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51ee5c003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f6dae8991e7e494d"/>
    <x:sheet xmlns:r="http://schemas.openxmlformats.org/officeDocument/2006/relationships" name="Controls" sheetId="2" r:id="Rffb66f6b04d14f34"/>
    <x:sheet xmlns:r="http://schemas.openxmlformats.org/officeDocument/2006/relationships" name="Source Boundary" sheetId="3" r:id="R90d5c43f4d964fb1"/>
    <x:sheet xmlns:r="http://schemas.openxmlformats.org/officeDocument/2006/relationships" name="Catchments" sheetId="4" r:id="Rda13cde76947484a"/>
    <x:sheet xmlns:r="http://schemas.openxmlformats.org/officeDocument/2006/relationships" name="Composition" sheetId="5" r:id="R87547624c9204db2"/>
    <x:sheet xmlns:r="http://schemas.openxmlformats.org/officeDocument/2006/relationships" name="Hazard Profiles" sheetId="6" r:id="R962d456932e24108"/>
    <x:sheet xmlns:r="http://schemas.openxmlformats.org/officeDocument/2006/relationships" name="Campaigns" sheetId="7" r:id="Radc780c750e54784"/>
    <x:sheet xmlns:r="http://schemas.openxmlformats.org/officeDocument/2006/relationships" name="Demand Allocation" sheetId="8" r:id="R3a657ab8843e4ddd"/>
    <x:sheet xmlns:r="http://schemas.openxmlformats.org/officeDocument/2006/relationships" name="Receiver Survival" sheetId="9" r:id="R5d955501e8424fb3"/>
    <x:sheet xmlns:r="http://schemas.openxmlformats.org/officeDocument/2006/relationships" name="Local Capacity" sheetId="10" r:id="R73c9fdbaa3604555"/>
    <x:sheet xmlns:r="http://schemas.openxmlformats.org/officeDocument/2006/relationships" name="SCA Adjacency" sheetId="11" r:id="R52cf1dba013241e9"/>
    <x:sheet xmlns:r="http://schemas.openxmlformats.org/officeDocument/2006/relationships" name="Modes" sheetId="12" r:id="R9293497785a74aae"/>
    <x:sheet xmlns:r="http://schemas.openxmlformats.org/officeDocument/2006/relationships" name="Path Matrix" sheetId="13" r:id="R2f0c7b0ec09a4bbc"/>
    <x:sheet xmlns:r="http://schemas.openxmlformats.org/officeDocument/2006/relationships" name="Corridor Dispatch" sheetId="14" r:id="Reaa2aaaded5a49de"/>
    <x:sheet xmlns:r="http://schemas.openxmlformats.org/officeDocument/2006/relationships" name="Origin Closure" sheetId="15" r:id="Ra2a7747db1924997"/>
    <x:sheet xmlns:r="http://schemas.openxmlformats.org/officeDocument/2006/relationships" name="Destination Intake" sheetId="16" r:id="R1594f797d6064cd6"/>
    <x:sheet xmlns:r="http://schemas.openxmlformats.org/officeDocument/2006/relationships" name="Architecture" sheetId="17" r:id="Rb0f9ca5645044d7b"/>
    <x:sheet xmlns:r="http://schemas.openxmlformats.org/officeDocument/2006/relationships" name="Cost" sheetId="18" r:id="R06f34a00a9264875"/>
    <x:sheet xmlns:r="http://schemas.openxmlformats.org/officeDocument/2006/relationships" name="Workforce" sheetId="19" r:id="R309829bae80c4fd4"/>
    <x:sheet xmlns:r="http://schemas.openxmlformats.org/officeDocument/2006/relationships" name="Technology Programs" sheetId="20" r:id="R9db61fed93b642f1"/>
    <x:sheet xmlns:r="http://schemas.openxmlformats.org/officeDocument/2006/relationships" name="Rights Accessibility" sheetId="21" r:id="R5f297c2f68b842f0"/>
    <x:sheet xmlns:r="http://schemas.openxmlformats.org/officeDocument/2006/relationships" name="Evidence Gates" sheetId="22" r:id="Re9344043a78e4be8"/>
    <x:sheet xmlns:r="http://schemas.openxmlformats.org/officeDocument/2006/relationships" name="Sources" sheetId="23" r:id="Rbfd540b3af7e4850"/>
    <x:sheet xmlns:r="http://schemas.openxmlformats.org/officeDocument/2006/relationships" name="Checks" sheetId="24" r:id="Rd2995a11d87c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%"/>
    <x:numFmt numFmtId="201" formatCode="#,##0"/>
    <x:numFmt numFmtId="202" formatCode="0.00%"/>
    <x:numFmt numFmtId="203" formatCode="#,##0.00"/>
    <x:numFmt numFmtId="204" formatCode="0.0"/>
    <x:numFmt numFmtId="205" formatCode="0.0000"/>
    <x:numFmt numFmtId="206" formatCode="0%"/>
    <x:numFmt numFmtId="207" formatCode="0.000"/>
    <x:numFmt numFmtId="208" formatCode="#,##0.0"/>
    <x:numFmt numFmtId="209" formatCode="$#,##0.0"/>
    <x:numFmt numFmtId="210" formatCode="#,##0.00000"/>
  </x:numFmts>
  <x:fonts count="10">
    <x:font>
      <x:sz val="11"/>
      <x:name val="Carlito"/>
    </x:font>
    <x:font>
      <x:b/>
      <x:sz val="18"/>
      <x:color rgb="FF17242E"/>
      <x:name val="Aptos"/>
    </x:font>
    <x:font>
      <x:i/>
      <x:sz val="10"/>
      <x:color rgb="FF60717D"/>
      <x:name val="Aptos"/>
    </x:font>
    <x:font>
      <x:b/>
      <x:sz val="9"/>
      <x:color rgb="FFFFFFFF"/>
      <x:name val="Aptos"/>
    </x:font>
    <x:font>
      <x:sz val="9"/>
      <x:color rgb="FF17242E"/>
      <x:name val="Aptos"/>
    </x:font>
    <x:font>
      <x:sz val="9"/>
      <x:color rgb="FF0000FF"/>
      <x:name val="Aptos"/>
    </x:font>
    <x:font>
      <x:i/>
      <x:sz val="9"/>
      <x:color rgb="FF17242E"/>
      <x:name val="Aptos"/>
    </x:font>
    <x:font>
      <x:b/>
      <x:sz val="11"/>
      <x:color rgb="FF143B57"/>
      <x:name val="Aptos"/>
    </x:font>
    <x:font>
      <x:sz val="10"/>
      <x:color rgb="FF17242E"/>
      <x:name val="Aptos"/>
    </x:font>
    <x:font>
      <x:sz val="1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43B57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EF2"/>
      </x:patternFill>
    </x:fill>
  </x:fills>
  <x:borders count="7">
    <x:border/>
    <x:border>
      <x:bottom style="thin">
        <x:color rgb="FF143B57"/>
      </x:bottom>
    </x:border>
    <x:border>
      <x:right style="thin">
        <x:color rgb="FFFFFFFF"/>
      </x:right>
      <x:bottom style="thin">
        <x:color rgb="FF143B57"/>
      </x:bottom>
    </x:border>
    <x:border>
      <x:left style="thin">
        <x:color rgb="FFFFFFFF"/>
      </x:left>
      <x:right style="thin">
        <x:color rgb="FFFFFFFF"/>
      </x:right>
      <x:bottom style="thin">
        <x:color rgb="FF143B57"/>
      </x:bottom>
    </x:border>
    <x:border>
      <x:left style="thin">
        <x:color rgb="FFFFFFFF"/>
      </x:left>
      <x:bottom style="thin">
        <x:color rgb="FF143B57"/>
      </x:bottom>
    </x:border>
    <x:border>
      <x:bottom style="thin">
        <x:color rgb="FFD4DEE4"/>
      </x:bottom>
    </x:border>
    <x:border>
      <x:top style="thin">
        <x:color rgb="FFD4DEE4"/>
      </x:top>
      <x:bottom style="thin">
        <x:color rgb="FFD4DEE4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201" fontId="4" fillId="3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3" borderId="6" xfId="0" applyNumberFormat="1" applyFont="1" applyFill="1" applyBorder="1" applyAlignment="1">
      <x:alignment vertical="top" wrapText="1"/>
    </x:xf>
    <x:xf numFmtId="202" fontId="4" fillId="3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202" fontId="4" fillId="3" borderId="6" xfId="0" applyNumberFormat="1" applyFont="1" applyFill="1" applyBorder="1" applyAlignment="1">
      <x:alignment vertical="top" wrapText="1"/>
    </x:xf>
    <x:xf numFmtId="203" fontId="4" fillId="3" borderId="5" xfId="0" applyNumberFormat="1" applyFont="1" applyFill="1" applyBorder="1" applyAlignment="1">
      <x:alignment vertical="top" wrapText="1"/>
    </x:xf>
    <x:xf numFmtId="203" fontId="4" fillId="0" borderId="6" xfId="0" applyNumberFormat="1" applyFont="1" applyFill="1" applyBorder="1" applyAlignment="1">
      <x:alignment vertical="top" wrapText="1"/>
    </x:xf>
    <x:xf numFmtId="203" fontId="4" fillId="3" borderId="6" xfId="0" applyNumberFormat="1" applyFont="1" applyFill="1" applyBorder="1" applyAlignment="1">
      <x:alignment vertical="top" wrapText="1"/>
    </x:xf>
    <x:xf numFmtId="200" fontId="4" fillId="3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200" fontId="4" fillId="3" borderId="6" xfId="0" applyNumberFormat="1" applyFont="1" applyFill="1" applyBorder="1" applyAlignment="1">
      <x:alignment vertical="top" wrapText="1"/>
    </x:xf>
    <x:xf numFmtId="204" fontId="4" fillId="3" borderId="5" xfId="0" applyNumberFormat="1" applyFont="1" applyFill="1" applyBorder="1" applyAlignment="1">
      <x:alignment vertical="top" wrapText="1"/>
    </x:xf>
    <x:xf numFmtId="204" fontId="4" fillId="0" borderId="6" xfId="0" applyNumberFormat="1" applyFont="1" applyFill="1" applyBorder="1" applyAlignment="1">
      <x:alignment vertical="top" wrapText="1"/>
    </x:xf>
    <x:xf numFmtId="204" fontId="4" fillId="3" borderId="6" xfId="0" applyNumberFormat="1" applyFont="1" applyFill="1" applyBorder="1" applyAlignment="1">
      <x:alignment vertical="top" wrapText="1"/>
    </x:xf>
    <x:xf numFmtId="205" fontId="4" fillId="3" borderId="5" xfId="0" applyNumberFormat="1" applyFont="1" applyFill="1" applyBorder="1" applyAlignment="1">
      <x:alignment vertical="top" wrapText="1"/>
    </x:xf>
    <x:xf numFmtId="205" fontId="4" fillId="0" borderId="6" xfId="0" applyNumberFormat="1" applyFont="1" applyFill="1" applyBorder="1" applyAlignment="1">
      <x:alignment vertical="top" wrapText="1"/>
    </x:xf>
    <x:xf numFmtId="205" fontId="4" fillId="3" borderId="6" xfId="0" applyNumberFormat="1" applyFont="1" applyFill="1" applyBorder="1" applyAlignment="1">
      <x:alignment vertical="top" wrapText="1"/>
    </x:xf>
    <x:xf numFmtId="201" fontId="5" fillId="4" borderId="5" xfId="0" applyNumberFormat="1" applyFont="1" applyFill="1" applyBorder="1" applyAlignment="1">
      <x:alignment vertical="top" wrapText="1"/>
    </x:xf>
    <x:xf numFmtId="201" fontId="5" fillId="4" borderId="6" xfId="0" applyNumberFormat="1" applyFont="1" applyFill="1" applyBorder="1" applyAlignment="1">
      <x:alignment vertical="top" wrapText="1"/>
    </x:xf>
    <x:xf numFmtId="206" fontId="5" fillId="4" borderId="5" xfId="0" applyNumberFormat="1" applyFont="1" applyFill="1" applyBorder="1" applyAlignment="1">
      <x:alignment vertical="top" wrapText="1"/>
    </x:xf>
    <x:xf numFmtId="206" fontId="5" fillId="4" borderId="6" xfId="0" applyNumberFormat="1" applyFont="1" applyFill="1" applyBorder="1" applyAlignment="1">
      <x:alignment vertical="top" wrapText="1"/>
    </x:xf>
    <x:xf numFmtId="207" fontId="4" fillId="3" borderId="5" xfId="0" applyNumberFormat="1" applyFont="1" applyFill="1" applyBorder="1" applyAlignment="1">
      <x:alignment vertical="top" wrapText="1"/>
    </x:xf>
    <x:xf numFmtId="207" fontId="4" fillId="0" borderId="6" xfId="0" applyNumberFormat="1" applyFont="1" applyFill="1" applyBorder="1" applyAlignment="1">
      <x:alignment vertical="top" wrapText="1"/>
    </x:xf>
    <x:xf numFmtId="207" fontId="4" fillId="3" borderId="6" xfId="0" applyNumberFormat="1" applyFont="1" applyFill="1" applyBorder="1" applyAlignment="1">
      <x:alignment vertical="top" wrapText="1"/>
    </x:xf>
    <x:xf numFmtId="208" fontId="4" fillId="3" borderId="5" xfId="0" applyNumberFormat="1" applyFont="1" applyFill="1" applyBorder="1" applyAlignment="1">
      <x:alignment vertical="top" wrapText="1"/>
    </x:xf>
    <x:xf numFmtId="208" fontId="4" fillId="0" borderId="6" xfId="0" applyNumberFormat="1" applyFont="1" applyFill="1" applyBorder="1" applyAlignment="1">
      <x:alignment vertical="top" wrapText="1"/>
    </x:xf>
    <x:xf numFmtId="208" fontId="4" fillId="3" borderId="6" xfId="0" applyNumberFormat="1" applyFont="1" applyFill="1" applyBorder="1" applyAlignment="1">
      <x:alignment vertical="top" wrapText="1"/>
    </x:xf>
    <x:xf numFmtId="209" fontId="4" fillId="3" borderId="5" xfId="0" applyNumberFormat="1" applyFont="1" applyFill="1" applyBorder="1" applyAlignment="1">
      <x:alignment vertical="top" wrapText="1"/>
    </x:xf>
    <x:xf numFmtId="209" fontId="4" fillId="0" borderId="6" xfId="0" applyNumberFormat="1" applyFont="1" applyFill="1" applyBorder="1" applyAlignment="1">
      <x:alignment vertical="top" wrapText="1"/>
    </x:xf>
    <x:xf numFmtId="209" fontId="4" fillId="3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210" fontId="4" fillId="3" borderId="5" xfId="0" applyNumberFormat="1" applyFont="1" applyFill="1" applyBorder="1" applyAlignment="1">
      <x:alignment vertical="top" wrapText="1"/>
    </x:xf>
    <x:xf numFmtId="210" fontId="4" fillId="0" borderId="6" xfId="0" applyNumberFormat="1" applyFont="1" applyFill="1" applyBorder="1" applyAlignment="1">
      <x:alignment vertical="top" wrapText="1"/>
    </x:xf>
    <x:xf numFmtId="210" fontId="4" fillId="3" borderId="6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5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4dafde276445c" /><Relationship Type="http://schemas.openxmlformats.org/officeDocument/2006/relationships/theme" Target="/xl/theme/theme1.xml" Id="Rfe1cf7da533f474c" /><Relationship Type="http://schemas.openxmlformats.org/officeDocument/2006/relationships/sharedStrings" Target="/xl/sharedStrings.xml" Id="Rd2ea8c38769c4c10" /><Relationship Type="http://schemas.openxmlformats.org/officeDocument/2006/relationships/worksheet" Target="/xl/worksheets/sheet1.xml" Id="Rf6dae8991e7e494d" /><Relationship Type="http://schemas.openxmlformats.org/officeDocument/2006/relationships/worksheet" Target="/xl/worksheets/sheet2.xml" Id="Rffb66f6b04d14f34" /><Relationship Type="http://schemas.openxmlformats.org/officeDocument/2006/relationships/worksheet" Target="/xl/worksheets/sheet3.xml" Id="R90d5c43f4d964fb1" /><Relationship Type="http://schemas.openxmlformats.org/officeDocument/2006/relationships/worksheet" Target="/xl/worksheets/sheet4.xml" Id="Rda13cde76947484a" /><Relationship Type="http://schemas.openxmlformats.org/officeDocument/2006/relationships/worksheet" Target="/xl/worksheets/sheet5.xml" Id="R87547624c9204db2" /><Relationship Type="http://schemas.openxmlformats.org/officeDocument/2006/relationships/worksheet" Target="/xl/worksheets/sheet6.xml" Id="R962d456932e24108" /><Relationship Type="http://schemas.openxmlformats.org/officeDocument/2006/relationships/worksheet" Target="/xl/worksheets/sheet7.xml" Id="Radc780c750e54784" /><Relationship Type="http://schemas.openxmlformats.org/officeDocument/2006/relationships/worksheet" Target="/xl/worksheets/sheet8.xml" Id="R3a657ab8843e4ddd" /><Relationship Type="http://schemas.openxmlformats.org/officeDocument/2006/relationships/worksheet" Target="/xl/worksheets/sheet9.xml" Id="R5d955501e8424fb3" /><Relationship Type="http://schemas.openxmlformats.org/officeDocument/2006/relationships/worksheet" Target="/xl/worksheets/sheet10.xml" Id="R73c9fdbaa3604555" /><Relationship Type="http://schemas.openxmlformats.org/officeDocument/2006/relationships/worksheet" Target="/xl/worksheets/sheet11.xml" Id="R52cf1dba013241e9" /><Relationship Type="http://schemas.openxmlformats.org/officeDocument/2006/relationships/worksheet" Target="/xl/worksheets/sheet12.xml" Id="R9293497785a74aae" /><Relationship Type="http://schemas.openxmlformats.org/officeDocument/2006/relationships/worksheet" Target="/xl/worksheets/sheet13.xml" Id="R2f0c7b0ec09a4bbc" /><Relationship Type="http://schemas.openxmlformats.org/officeDocument/2006/relationships/worksheet" Target="/xl/worksheets/sheet14.xml" Id="Reaa2aaaded5a49de" /><Relationship Type="http://schemas.openxmlformats.org/officeDocument/2006/relationships/worksheet" Target="/xl/worksheets/sheet15.xml" Id="Ra2a7747db1924997" /><Relationship Type="http://schemas.openxmlformats.org/officeDocument/2006/relationships/worksheet" Target="/xl/worksheets/sheet16.xml" Id="R1594f797d6064cd6" /><Relationship Type="http://schemas.openxmlformats.org/officeDocument/2006/relationships/worksheet" Target="/xl/worksheets/sheet17.xml" Id="Rb0f9ca5645044d7b" /><Relationship Type="http://schemas.openxmlformats.org/officeDocument/2006/relationships/worksheet" Target="/xl/worksheets/sheet18.xml" Id="R06f34a00a9264875" /><Relationship Type="http://schemas.openxmlformats.org/officeDocument/2006/relationships/worksheet" Target="/xl/worksheets/sheet19.xml" Id="R309829bae80c4fd4" /><Relationship Type="http://schemas.openxmlformats.org/officeDocument/2006/relationships/worksheet" Target="/xl/worksheets/sheet20.xml" Id="R9db61fed93b642f1" /><Relationship Type="http://schemas.openxmlformats.org/officeDocument/2006/relationships/worksheet" Target="/xl/worksheets/sheet21.xml" Id="R5f297c2f68b842f0" /><Relationship Type="http://schemas.openxmlformats.org/officeDocument/2006/relationships/worksheet" Target="/xl/worksheets/sheet22.xml" Id="Re9344043a78e4be8" /><Relationship Type="http://schemas.openxmlformats.org/officeDocument/2006/relationships/worksheet" Target="/xl/worksheets/sheet23.xml" Id="Rbfd540b3af7e4850" /><Relationship Type="http://schemas.openxmlformats.org/officeDocument/2006/relationships/worksheet" Target="/xl/worksheets/sheet24.xml" Id="Rd2995a11d87c43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22" hidden="0" customWidth="1"/>
    <x:col min="3" max="3" width="21" hidden="0" customWidth="1"/>
    <x:col min="4" max="4" width="39" hidden="0" customWidth="1"/>
    <x:col min="5" max="5" width="39" hidden="0" customWidth="1"/>
    <x:col min="6" max="6" width="25" hidden="0" customWidth="1"/>
    <x:col min="7" max="7" width="25" hidden="0" customWidth="1"/>
  </x:cols>
  <x:sheetData>
    <x:row r="1" ht="29" customHeight="1">
      <x:c r="A1" s="81" t="str">
        <x:v>National Receiving Geography</x:v>
      </x:c>
      <x:c r="B1" s="81"/>
      <x:c r="C1" s="81"/>
      <x:c r="D1" s="81"/>
      <x:c r="E1" s="81"/>
      <x:c r="F1" s="81"/>
      <x:c r="G1" s="81"/>
    </x:row>
    <x:row r="2" ht="29" customHeight="1">
      <x:c r="A2" s="82" t="str">
        <x:v>Pass 32. Real population and connected geography convert the receiving lattice into a capacity, movement and civil-rights system.</x:v>
      </x:c>
      <x:c r="B2" s="82"/>
      <x:c r="C2" s="82"/>
      <x:c r="D2" s="82"/>
      <x:c r="E2" s="82"/>
      <x:c r="F2" s="82"/>
      <x:c r="G2" s="82"/>
    </x:row>
    <x:row r="3">
      <x:c r="A3" s="83"/>
      <x:c r="B3" s="83"/>
      <x:c r="C3" s="83"/>
      <x:c r="D3" s="83"/>
      <x:c r="E3" s="83"/>
      <x:c r="F3" s="83"/>
      <x:c r="G3" s="83"/>
    </x:row>
    <x:row r="4" ht="31" customHeight="1">
      <x:c r="A4" s="84" t="str">
        <x:v>Decision measure</x:v>
      </x:c>
      <x:c r="B4" s="85" t="str">
        <x:v>Result</x:v>
      </x:c>
      <x:c r="C4" s="85" t="str">
        <x:v>Unit</x:v>
      </x:c>
      <x:c r="D4" s="85" t="str">
        <x:v>Finding</x:v>
      </x:c>
      <x:c r="E4" s="85" t="str">
        <x:v>Consequence</x:v>
      </x:c>
      <x:c r="F4" s="85" t="str">
        <x:v>Evidence state</x:v>
      </x:c>
      <x:c r="G4" s="86" t="str">
        <x:v>Owner</x:v>
      </x:c>
    </x:row>
    <x:row r="5" ht="32.400001525878906" hidden="0" customHeight="1">
      <x:c r="A5" s="28" t="str">
        <x:v>Population represented</x:v>
      </x:c>
      <x:c r="B5" s="45" t="n">
        <x:f>SUM(Catchments!C5:C36)</x:f>
        <x:v>344969692</x:v>
      </x:c>
      <x:c r="C5" s="28" t="str">
        <x:v>people</x:v>
      </x:c>
      <x:c r="D5" s="28" t="str">
        <x:v>states, DC and Puerto Rico</x:v>
      </x:c>
      <x:c r="E5" s="28" t="str">
        <x:v>national denominator</x:v>
      </x:c>
      <x:c r="F5" s="28" t="str">
        <x:v>official 2025 estimate</x:v>
      </x:c>
      <x:c r="G5" s="28" t="str">
        <x:v>Census</x:v>
      </x:c>
    </x:row>
    <x:row r="6" ht="43.20000076293945" hidden="0" customHeight="1">
      <x:c r="A6" s="27" t="str">
        <x:v>Service catchments</x:v>
      </x:c>
      <x:c r="B6" s="46" t="n">
        <x:f>COUNTA(Catchments!A5:A36)</x:f>
        <x:v>32</x:v>
      </x:c>
      <x:c r="C6" s="27" t="str">
        <x:v>SCA</x:v>
      </x:c>
      <x:c r="D6" s="27" t="str">
        <x:v>32 reproducible planning cells</x:v>
      </x:c>
      <x:c r="E6" s="27" t="str">
        <x:v>not jurisdictions or sites</x:v>
      </x:c>
      <x:c r="F6" s="27" t="str">
        <x:v>constructed R2+</x:v>
      </x:c>
      <x:c r="G6" s="27" t="str">
        <x:v>chief geographer</x:v>
      </x:c>
    </x:row>
    <x:row r="7" ht="32.400001525878906" hidden="0" customHeight="1">
      <x:c r="A7" s="29" t="str">
        <x:v>Concurrent campaign demand</x:v>
      </x:c>
      <x:c r="B7" s="47" t="n">
        <x:f>SUM(Campaigns!E5:E12)</x:f>
        <x:v>2500</x:v>
      </x:c>
      <x:c r="C7" s="29" t="str">
        <x:v>CDE</x:v>
      </x:c>
      <x:c r="D7" s="29" t="str">
        <x:v>2.5 million people</x:v>
      </x:c>
      <x:c r="E7" s="29" t="str">
        <x:v>3C + 5M stress set</x:v>
      </x:c>
      <x:c r="F7" s="29" t="str">
        <x:v>design standard</x:v>
      </x:c>
      <x:c r="G7" s="29" t="str">
        <x:v>force design</x:v>
      </x:c>
    </x:row>
    <x:row r="8" ht="32.400001525878906" hidden="0" customHeight="1">
      <x:c r="A8" s="27" t="str">
        <x:v>Surviving scenario capacity</x:v>
      </x:c>
      <x:c r="B8" s="46" t="n">
        <x:f>SUM('Local Capacity'!F5:F36)</x:f>
        <x:v>2355.799944488299</x:v>
      </x:c>
      <x:c r="C8" s="27" t="str">
        <x:v>CDE</x:v>
      </x:c>
      <x:c r="D8" s="27" t="str">
        <x:v>below total demand</x:v>
      </x:c>
      <x:c r="E8" s="27" t="str">
        <x:v>mobility alone cannot close</x:v>
      </x:c>
      <x:c r="F8" s="27" t="str">
        <x:v>stress arithmetic</x:v>
      </x:c>
      <x:c r="G8" s="27" t="str">
        <x:v>receiving command</x:v>
      </x:c>
    </x:row>
    <x:row r="9" ht="43.20000076293945" hidden="0" customHeight="1">
      <x:c r="A9" s="29" t="str">
        <x:v>Local-only service</x:v>
      </x:c>
      <x:c r="B9" s="47" t="n">
        <x:f>Architecture!G5</x:f>
        <x:v>1525.9196939748192</x:v>
      </x:c>
      <x:c r="C9" s="29" t="str">
        <x:v>CDE</x:v>
      </x:c>
      <x:c r="D9" s="29" t="str">
        <x:v>61.0% closure</x:v>
      </x:c>
      <x:c r="E9" s="29" t="str">
        <x:v>geography breaks national inventory</x:v>
      </x:c>
      <x:c r="F9" s="29" t="str">
        <x:v>R2+</x:v>
      </x:c>
      <x:c r="G9" s="29" t="str">
        <x:v>receiving command</x:v>
      </x:c>
    </x:row>
    <x:row r="10" ht="32.400001525878906" hidden="0" customHeight="1">
      <x:c r="A10" s="27" t="str">
        <x:v>Baseline corridor service</x:v>
      </x:c>
      <x:c r="B10" s="46" t="n">
        <x:f>Architecture!G6</x:f>
        <x:v>2066.417417723721</x:v>
      </x:c>
      <x:c r="C10" s="27" t="str">
        <x:v>CDE</x:v>
      </x:c>
      <x:c r="D10" s="27" t="str">
        <x:v>82.7% closure</x:v>
      </x:c>
      <x:c r="E10" s="27" t="str">
        <x:v>mobility recovers 540.5 CDE</x:v>
      </x:c>
      <x:c r="F10" s="27" t="str">
        <x:v>R2+ heuristic</x:v>
      </x:c>
      <x:c r="G10" s="27" t="str">
        <x:v>mobility command</x:v>
      </x:c>
    </x:row>
    <x:row r="11" ht="32.400001525878906" hidden="0" customHeight="1">
      <x:c r="A11" s="29" t="str">
        <x:v>Baseline shortfall</x:v>
      </x:c>
      <x:c r="B11" s="47" t="n">
        <x:f>Architecture!H6</x:f>
        <x:v>433.5825822762791</x:v>
      </x:c>
      <x:c r="C11" s="29" t="str">
        <x:v>CDE</x:v>
      </x:c>
      <x:c r="D11" s="29" t="str">
        <x:v>433.6 CDE / people-thousands</x:v>
      </x:c>
      <x:c r="E11" s="29" t="str">
        <x:v>capacity plus corridor deficit</x:v>
      </x:c>
      <x:c r="F11" s="29" t="str">
        <x:v>R2+ adverse result</x:v>
      </x:c>
      <x:c r="G11" s="29" t="str">
        <x:v>Department</x:v>
      </x:c>
    </x:row>
    <x:row r="12" ht="32.400001525878906" hidden="0" customHeight="1">
      <x:c r="A12" s="27" t="str">
        <x:v>Unconstrained transfer upper bound</x:v>
      </x:c>
      <x:c r="B12" s="46" t="n">
        <x:f>Architecture!G7</x:f>
        <x:v>2355.7999444883</x:v>
      </x:c>
      <x:c r="C12" s="27" t="str">
        <x:v>CDE</x:v>
      </x:c>
      <x:c r="D12" s="27" t="str">
        <x:v>still 144.2 CDE short</x:v>
      </x:c>
      <x:c r="E12" s="27" t="str">
        <x:v>aggregate surviving capacity fails</x:v>
      </x:c>
      <x:c r="F12" s="27" t="str">
        <x:v>mathematical bound</x:v>
      </x:c>
      <x:c r="G12" s="27" t="str">
        <x:v>Department</x:v>
      </x:c>
    </x:row>
    <x:row r="13" ht="32.400001525878906" hidden="0" customHeight="1">
      <x:c r="A13" s="29" t="str">
        <x:v>Dense-local closure scale</x:v>
      </x:c>
      <x:c r="B13" s="47" t="n">
        <x:f>Architecture!B8</x:f>
        <x:v>4.196438516787028</x:v>
      </x:c>
      <x:c r="C13" s="29" t="str">
        <x:v>x baseline</x:v>
      </x:c>
      <x:c r="D13" s="29" t="str">
        <x:v>4.20x lattice</x:v>
      </x:c>
      <x:c r="E13" s="29" t="str">
        <x:v>avoids relocation dependence</x:v>
      </x:c>
      <x:c r="F13" s="29" t="str">
        <x:v>R2+ screen</x:v>
      </x:c>
      <x:c r="G13" s="29" t="str">
        <x:v>receiving command</x:v>
      </x:c>
    </x:row>
    <x:row r="14" ht="43.20000076293945" hidden="0" customHeight="1">
      <x:c r="A14" s="27" t="str">
        <x:v>Closing hybrid</x:v>
      </x:c>
      <x:c r="B14" s="46" t="str">
        <x:f>Architecture!B9&amp;" / "&amp;TEXT(Architecture!C9,"0.00")</x:f>
        <x:v>1.5 / 1.73</x:v>
      </x:c>
      <x:c r="C14" s="27" t="str">
        <x:v>capacity x / corridor x</x:v>
      </x:c>
      <x:c r="D14" s="27" t="str">
        <x:v>1.50x / 1.73x</x:v>
      </x:c>
      <x:c r="E14" s="27" t="str">
        <x:v>least-cost closing candidate tested</x:v>
      </x:c>
      <x:c r="F14" s="27" t="str">
        <x:v>R2+ heuristic</x:v>
      </x:c>
      <x:c r="G14" s="27" t="str">
        <x:v>joint command</x:v>
      </x:c>
    </x:row>
    <x:row r="15" ht="43.20000076293945" hidden="0" customHeight="1">
      <x:c r="A15" s="29" t="str">
        <x:v>Closing hybrid 25-year burden</x:v>
      </x:c>
      <x:c r="B15" s="47" t="n">
        <x:f>Architecture!L9</x:f>
        <x:v>2310.730893671134</x:v>
      </x:c>
      <x:c r="C15" s="29" t="str">
        <x:v>$B</x:v>
      </x:c>
      <x:c r="D15" s="29" t="str">
        <x:v>about $2.31T</x:v>
      </x:c>
      <x:c r="E15" s="29" t="str">
        <x:v>major new industrial system</x:v>
      </x:c>
      <x:c r="F15" s="29" t="str">
        <x:v>planning screen</x:v>
      </x:c>
      <x:c r="G15" s="29" t="str">
        <x:v>cost agency</x:v>
      </x:c>
    </x:row>
    <x:row r="16" ht="32.400001525878906" hidden="0" customHeight="1">
      <x:c r="A16" s="27" t="str">
        <x:v>Open evidence gates</x:v>
      </x:c>
      <x:c r="B16" s="46" t="n">
        <x:f>COUNTIF('Evidence Gates'!F5:F24,"OPEN")</x:f>
        <x:v>20</x:v>
      </x:c>
      <x:c r="C16" s="27" t="str">
        <x:v>count</x:v>
      </x:c>
      <x:c r="D16" s="27" t="str">
        <x:v>all twenty open</x:v>
      </x:c>
      <x:c r="E16" s="27" t="str">
        <x:v>no platform rendering</x:v>
      </x:c>
      <x:c r="F16" s="27" t="str">
        <x:v>governance</x:v>
      </x:c>
      <x:c r="G16" s="27" t="str">
        <x:v>test authority</x:v>
      </x:c>
    </x:row>
    <x:row r="17">
      <x:c r="A17" s="83"/>
      <x:c r="B17" s="83"/>
      <x:c r="C17" s="83"/>
      <x:c r="D17" s="83"/>
      <x:c r="E17" s="83"/>
      <x:c r="F17" s="83"/>
      <x:c r="G17" s="83"/>
    </x:row>
    <x:row r="18" ht="23" customHeight="1">
      <x:c r="A18" s="87" t="str">
        <x:v>Governing decision</x:v>
      </x:c>
      <x:c r="B18" s="87"/>
      <x:c r="C18" s="87"/>
      <x:c r="D18" s="87"/>
      <x:c r="E18" s="87"/>
      <x:c r="F18" s="87"/>
      <x:c r="G18" s="87"/>
    </x:row>
    <x:row r="19" ht="46" customHeight="1">
      <x:c r="A19" s="88" t="str">
        <x:v>A receiving lattice cannot be bought independently of geography. Under the declared concurrent damage set, baseline surviving capacity is lower than demand even before transport friction.</x:v>
      </x:c>
      <x:c r="B19" s="88"/>
      <x:c r="C19" s="88"/>
      <x:c r="D19" s="88"/>
      <x:c r="E19" s="88"/>
      <x:c r="F19" s="88"/>
      <x:c r="G19" s="88"/>
    </x:row>
    <x:row r="20" ht="46" customHeight="1">
      <x:c r="A20" s="88" t="str">
        <x:v>Interregional transfer is population relocation, not receiver relocation. It requires accessible movement, medical and family continuity, lawful custody, destination intake, and a funded path home.</x:v>
      </x:c>
      <x:c r="B20" s="88"/>
      <x:c r="C20" s="88"/>
      <x:c r="D20" s="88"/>
      <x:c r="E20" s="88"/>
      <x:c r="F20" s="88"/>
      <x:c r="G20" s="88"/>
    </x:row>
    <x:row r="21" ht="46" customHeight="1">
      <x:c r="A21" s="88" t="str">
        <x:v>The best closing case tested is a 1.50x denser lattice paired with a 1.73x corridor enterprise. It is not an optimum; it is the next architecture to challenge with real networks, equity constraints and stochastic damage.</x:v>
      </x:c>
      <x:c r="B21" s="88"/>
      <x:c r="C21" s="88"/>
      <x:c r="D21" s="88"/>
      <x:c r="E21" s="88"/>
      <x:c r="F21" s="88"/>
      <x:c r="G21" s="88"/>
    </x:row>
    <x:row r="22" ht="46" customHeight="1">
      <x:c r="A22" s="89" t="str">
        <x:v>No parcel, city or platform selection follows from these catchments. All twenty evidence gates remain open and renderings remain prohibited.</x:v>
      </x:c>
      <x:c r="B22" s="89"/>
      <x:c r="C22" s="89"/>
      <x:c r="D22" s="89"/>
      <x:c r="E22" s="89"/>
      <x:c r="F22" s="89"/>
      <x:c r="G22" s="89"/>
    </x:row>
  </x:sheetData>
  <x:mergeCells>
    <x:mergeCell ref="A1:G1"/>
    <x:mergeCell ref="A2:G2"/>
    <x:mergeCell ref="A18:G18"/>
    <x:mergeCell ref="A19:G19"/>
    <x:mergeCell ref="A20:G20"/>
    <x:mergeCell ref="A21:G21"/>
    <x:mergeCell ref="A22:G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0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35" hidden="0" customWidth="1"/>
  </x:cols>
  <x:sheetData>
    <x:row r="1" ht="29" customHeight="1">
      <x:c r="A1" s="81" t="str">
        <x:v>National receiving geography controls</x:v>
      </x:c>
      <x:c r="B1" s="81"/>
      <x:c r="C1" s="81"/>
      <x:c r="D1" s="81"/>
      <x:c r="E1" s="81"/>
      <x:c r="F1" s="81"/>
      <x:c r="G1" s="81"/>
    </x:row>
    <x:row r="2" ht="29" customHeight="1">
      <x:c r="A2" s="82" t="str">
        <x:v>Pass 32 planning assumptions. Yellow cells are editable; official data and design hypotheses remain visibly separated.</x:v>
      </x:c>
      <x:c r="B2" s="82"/>
      <x:c r="C2" s="82"/>
      <x:c r="D2" s="82"/>
      <x:c r="E2" s="82"/>
      <x:c r="F2" s="82"/>
      <x:c r="G2" s="82"/>
    </x:row>
    <x:row r="3">
      <x:c r="A3" s="83"/>
      <x:c r="B3" s="83"/>
      <x:c r="C3" s="83"/>
      <x:c r="D3" s="83"/>
      <x:c r="E3" s="83"/>
      <x:c r="F3" s="83"/>
      <x:c r="G3" s="83"/>
    </x:row>
    <x:row r="4" ht="31" customHeight="1">
      <x:c r="A4" s="84" t="str">
        <x:v>ID</x:v>
      </x:c>
      <x:c r="B4" s="85" t="str">
        <x:v>Control</x:v>
      </x:c>
      <x:c r="C4" s="85" t="str">
        <x:v>Value</x:v>
      </x:c>
      <x:c r="D4" s="85" t="str">
        <x:v>Unit</x:v>
      </x:c>
      <x:c r="E4" s="85" t="str">
        <x:v>Class</x:v>
      </x:c>
      <x:c r="F4" s="85" t="str">
        <x:v>Use</x:v>
      </x:c>
      <x:c r="G4" s="86" t="str">
        <x:v>Boundary</x:v>
      </x:c>
    </x:row>
    <x:row r="5" ht="21.600000381469727" hidden="0" customHeight="1">
      <x:c r="A5" s="28" t="str">
        <x:v>C01</x:v>
      </x:c>
      <x:c r="B5" s="28" t="str">
        <x:v>Population vintage</x:v>
      </x:c>
      <x:c r="C5" s="32" t="n">
        <x:v>2025</x:v>
      </x:c>
      <x:c r="D5" s="28" t="str">
        <x:v>year</x:v>
      </x:c>
      <x:c r="E5" s="28" t="str">
        <x:v>official data</x:v>
      </x:c>
      <x:c r="F5" s="28" t="str">
        <x:v>population denominator</x:v>
      </x:c>
      <x:c r="G5" s="28" t="str">
        <x:v>estimate</x:v>
      </x:c>
    </x:row>
    <x:row r="6" ht="32.400001525878906" hidden="0" customHeight="1">
      <x:c r="A6" s="27" t="str">
        <x:v>C02</x:v>
      </x:c>
      <x:c r="B6" s="27" t="str">
        <x:v>Service catchments</x:v>
      </x:c>
      <x:c r="C6" s="33" t="n">
        <x:v>32</x:v>
      </x:c>
      <x:c r="D6" s="27" t="str">
        <x:v>SCA</x:v>
      </x:c>
      <x:c r="E6" s="27" t="str">
        <x:v>planning abstraction</x:v>
      </x:c>
      <x:c r="F6" s="27" t="str">
        <x:v>national allocation</x:v>
      </x:c>
      <x:c r="G6" s="27" t="str">
        <x:v>not jurisdictions or sites</x:v>
      </x:c>
    </x:row>
    <x:row r="7" ht="32.400001525878906" hidden="0" customHeight="1">
      <x:c r="A7" s="29" t="str">
        <x:v>C03</x:v>
      </x:c>
      <x:c r="B7" s="29" t="str">
        <x:v>Nominal domestic capacity</x:v>
      </x:c>
      <x:c r="C7" s="33" t="n">
        <x:v>7200</x:v>
      </x:c>
      <x:c r="D7" s="29" t="str">
        <x:v>CDE</x:v>
      </x:c>
      <x:c r="E7" s="29" t="str">
        <x:v>Pass 31</x:v>
      </x:c>
      <x:c r="F7" s="29" t="str">
        <x:v>receiving lattice</x:v>
      </x:c>
      <x:c r="G7" s="29" t="str">
        <x:v>not event-usable capacity</x:v>
      </x:c>
    </x:row>
    <x:row r="8" ht="32.400001525878906" hidden="0" customHeight="1">
      <x:c r="A8" s="27" t="str">
        <x:v>C04</x:v>
      </x:c>
      <x:c r="B8" s="27" t="str">
        <x:v>Minimum capacity per SCA</x:v>
      </x:c>
      <x:c r="C8" s="33" t="n">
        <x:v>35</x:v>
      </x:c>
      <x:c r="D8" s="27" t="str">
        <x:v>CDE</x:v>
      </x:c>
      <x:c r="E8" s="27" t="str">
        <x:v>design hypothesis</x:v>
      </x:c>
      <x:c r="F8" s="27" t="str">
        <x:v>territorial floor</x:v>
      </x:c>
      <x:c r="G8" s="27" t="str">
        <x:v>not engineered</x:v>
      </x:c>
    </x:row>
    <x:row r="9" ht="43.20000076293945" hidden="0" customHeight="1">
      <x:c r="A9" s="29" t="str">
        <x:v>C05</x:v>
      </x:c>
      <x:c r="B9" s="29" t="str">
        <x:v>Readiness-adjusted domestic capacity</x:v>
      </x:c>
      <x:c r="C9" s="33" t="n">
        <x:v>5203.2236544</x:v>
      </x:c>
      <x:c r="D9" s="29" t="str">
        <x:v>CDE</x:v>
      </x:c>
      <x:c r="E9" s="29" t="str">
        <x:v>Pass 31</x:v>
      </x:c>
      <x:c r="F9" s="29" t="str">
        <x:v>assurance</x:v>
      </x:c>
      <x:c r="G9" s="29" t="str">
        <x:v>factors provisional</x:v>
      </x:c>
    </x:row>
    <x:row r="10" ht="32.400001525878906" hidden="0" customHeight="1">
      <x:c r="A10" s="27" t="str">
        <x:v>C06</x:v>
      </x:c>
      <x:c r="B10" s="27" t="str">
        <x:v>Domestic assurance cells</x:v>
      </x:c>
      <x:c r="C10" s="33" t="n">
        <x:v>8</x:v>
      </x:c>
      <x:c r="D10" s="27" t="str">
        <x:v>cells</x:v>
      </x:c>
      <x:c r="E10" s="27" t="str">
        <x:v>Pass 31</x:v>
      </x:c>
      <x:c r="F10" s="27" t="str">
        <x:v>N-2 assurance</x:v>
      </x:c>
      <x:c r="G10" s="27" t="str">
        <x:v>independence unproved</x:v>
      </x:c>
    </x:row>
    <x:row r="11" ht="21.600000381469727" hidden="0" customHeight="1">
      <x:c r="A11" s="29" t="str">
        <x:v>C07</x:v>
      </x:c>
      <x:c r="B11" s="29" t="str">
        <x:v>Cell losses</x:v>
      </x:c>
      <x:c r="C11" s="33" t="n">
        <x:v>2</x:v>
      </x:c>
      <x:c r="D11" s="29" t="str">
        <x:v>cells</x:v>
      </x:c>
      <x:c r="E11" s="29" t="str">
        <x:v>design stress</x:v>
      </x:c>
      <x:c r="F11" s="29" t="str">
        <x:v>N-2 assurance</x:v>
      </x:c>
      <x:c r="G11" s="29" t="str">
        <x:v>not probability</x:v>
      </x:c>
    </x:row>
    <x:row r="12" ht="21.600000381469727" hidden="0" customHeight="1">
      <x:c r="A12" s="27" t="str">
        <x:v>C08</x:v>
      </x:c>
      <x:c r="B12" s="27" t="str">
        <x:v>Common-mode survival</x:v>
      </x:c>
      <x:c r="C12" s="34" t="n">
        <x:v>0.95</x:v>
      </x:c>
      <x:c r="D12" s="27" t="str">
        <x:v>fraction</x:v>
      </x:c>
      <x:c r="E12" s="27" t="str">
        <x:v>design stress</x:v>
      </x:c>
      <x:c r="F12" s="27" t="str">
        <x:v>assurance</x:v>
      </x:c>
      <x:c r="G12" s="27" t="str">
        <x:v>not probability</x:v>
      </x:c>
    </x:row>
    <x:row r="13" ht="21.600000381469727" hidden="0" customHeight="1">
      <x:c r="A13" s="29" t="str">
        <x:v>C09</x:v>
      </x:c>
      <x:c r="B13" s="29" t="str">
        <x:v>Service-entry deadline</x:v>
      </x:c>
      <x:c r="C13" s="33" t="n">
        <x:v>72</x:v>
      </x:c>
      <x:c r="D13" s="29" t="str">
        <x:v>hours</x:v>
      </x:c>
      <x:c r="E13" s="29" t="str">
        <x:v>force standard</x:v>
      </x:c>
      <x:c r="F13" s="29" t="str">
        <x:v>route screen</x:v>
      </x:c>
      <x:c r="G13" s="29" t="str">
        <x:v>release can be later</x:v>
      </x:c>
    </x:row>
    <x:row r="14" ht="32.400001525878906" hidden="0" customHeight="1">
      <x:c r="A14" s="27" t="str">
        <x:v>C10</x:v>
      </x:c>
      <x:c r="B14" s="27" t="str">
        <x:v>Destination intake share</x:v>
      </x:c>
      <x:c r="C14" s="34" t="n">
        <x:v>0.35</x:v>
      </x:c>
      <x:c r="D14" s="27" t="str">
        <x:v>fraction</x:v>
      </x:c>
      <x:c r="E14" s="27" t="str">
        <x:v>design hypothesis</x:v>
      </x:c>
      <x:c r="F14" s="27" t="str">
        <x:v>relocation receipt</x:v>
      </x:c>
      <x:c r="G14" s="27" t="str">
        <x:v>site exercises required</x:v>
      </x:c>
    </x:row>
    <x:row r="15" ht="32.400001525878906" hidden="0" customHeight="1">
      <x:c r="A15" s="29" t="str">
        <x:v>C11</x:v>
      </x:c>
      <x:c r="B15" s="29" t="str">
        <x:v>Minimum destination intake</x:v>
      </x:c>
      <x:c r="C15" s="33" t="n">
        <x:v>20</x:v>
      </x:c>
      <x:c r="D15" s="29" t="str">
        <x:v>CDE</x:v>
      </x:c>
      <x:c r="E15" s="29" t="str">
        <x:v>design hypothesis</x:v>
      </x:c>
      <x:c r="F15" s="29" t="str">
        <x:v>relocation receipt</x:v>
      </x:c>
      <x:c r="G15" s="29" t="str">
        <x:v>site exercises required</x:v>
      </x:c>
    </x:row>
    <x:row r="16" ht="21.600000381469727" hidden="0" customHeight="1">
      <x:c r="A16" s="27" t="str">
        <x:v>C12</x:v>
      </x:c>
      <x:c r="B16" s="27" t="str">
        <x:v>Scalable lattice capital</x:v>
      </x:c>
      <x:c r="C16" s="33" t="n">
        <x:v>349.84</x:v>
      </x:c>
      <x:c r="D16" s="27" t="str">
        <x:v>$B pre-reserve</x:v>
      </x:c>
      <x:c r="E16" s="27" t="str">
        <x:v>Pass 31</x:v>
      </x:c>
      <x:c r="F16" s="27" t="str">
        <x:v>architecture cost</x:v>
      </x:c>
      <x:c r="G16" s="27" t="str">
        <x:v>planning estimate</x:v>
      </x:c>
    </x:row>
    <x:row r="17" ht="21.600000381469727" hidden="0" customHeight="1">
      <x:c r="A17" s="29" t="str">
        <x:v>C13</x:v>
      </x:c>
      <x:c r="B17" s="29" t="str">
        <x:v>Common lattice capital</x:v>
      </x:c>
      <x:c r="C17" s="33" t="n">
        <x:v>120</x:v>
      </x:c>
      <x:c r="D17" s="29" t="str">
        <x:v>$B pre-reserve</x:v>
      </x:c>
      <x:c r="E17" s="29" t="str">
        <x:v>Pass 31</x:v>
      </x:c>
      <x:c r="F17" s="29" t="str">
        <x:v>architecture cost</x:v>
      </x:c>
      <x:c r="G17" s="29" t="str">
        <x:v>planning estimate</x:v>
      </x:c>
    </x:row>
    <x:row r="18" ht="32.400001525878906" hidden="0" customHeight="1">
      <x:c r="A18" s="27" t="str">
        <x:v>C14</x:v>
      </x:c>
      <x:c r="B18" s="27" t="str">
        <x:v>Baseline corridor capital</x:v>
      </x:c>
      <x:c r="C18" s="33" t="n">
        <x:v>180</x:v>
      </x:c>
      <x:c r="D18" s="27" t="str">
        <x:v>$B pre-reserve</x:v>
      </x:c>
      <x:c r="E18" s="27" t="str">
        <x:v>design hypothesis</x:v>
      </x:c>
      <x:c r="F18" s="27" t="str">
        <x:v>mobility enterprise</x:v>
      </x:c>
      <x:c r="G18" s="27" t="str">
        <x:v>independent cost open</x:v>
      </x:c>
    </x:row>
    <x:row r="19" ht="32.400001525878906" hidden="0" customHeight="1">
      <x:c r="A19" s="29" t="str">
        <x:v>C15</x:v>
      </x:c>
      <x:c r="B19" s="29" t="str">
        <x:v>Capital reserve</x:v>
      </x:c>
      <x:c r="C19" s="34" t="n">
        <x:v>0.2</x:v>
      </x:c>
      <x:c r="D19" s="29" t="str">
        <x:v>fraction</x:v>
      </x:c>
      <x:c r="E19" s="29" t="str">
        <x:v>planning</x:v>
      </x:c>
      <x:c r="F19" s="29" t="str">
        <x:v>architecture cost</x:v>
      </x:c>
      <x:c r="G19" s="29" t="str">
        <x:v>not confidence interval</x:v>
      </x:c>
    </x:row>
    <x:row r="20" ht="21.600000381469727" hidden="0" customHeight="1">
      <x:c r="A20" s="27" t="str">
        <x:v>C16</x:v>
      </x:c>
      <x:c r="B20" s="27" t="str">
        <x:v>Scalable lattice O&amp;M</x:v>
      </x:c>
      <x:c r="C20" s="33" t="n">
        <x:v>12.12</x:v>
      </x:c>
      <x:c r="D20" s="27" t="str">
        <x:v>$B/year</x:v>
      </x:c>
      <x:c r="E20" s="27" t="str">
        <x:v>Pass 31</x:v>
      </x:c>
      <x:c r="F20" s="27" t="str">
        <x:v>mature operations</x:v>
      </x:c>
      <x:c r="G20" s="27" t="str">
        <x:v>planning estimate</x:v>
      </x:c>
    </x:row>
    <x:row r="21" ht="21.600000381469727" hidden="0" customHeight="1">
      <x:c r="A21" s="29" t="str">
        <x:v>C17</x:v>
      </x:c>
      <x:c r="B21" s="29" t="str">
        <x:v>Common lattice O&amp;M</x:v>
      </x:c>
      <x:c r="C21" s="33" t="n">
        <x:v>24.2</x:v>
      </x:c>
      <x:c r="D21" s="29" t="str">
        <x:v>$B/year</x:v>
      </x:c>
      <x:c r="E21" s="29" t="str">
        <x:v>Pass 31</x:v>
      </x:c>
      <x:c r="F21" s="29" t="str">
        <x:v>mature operations</x:v>
      </x:c>
      <x:c r="G21" s="29" t="str">
        <x:v>planning estimate</x:v>
      </x:c>
    </x:row>
    <x:row r="22" ht="32.400001525878906" hidden="0" customHeight="1">
      <x:c r="A22" s="27" t="str">
        <x:v>C18</x:v>
      </x:c>
      <x:c r="B22" s="27" t="str">
        <x:v>Baseline corridor O&amp;M</x:v>
      </x:c>
      <x:c r="C22" s="33" t="n">
        <x:v>18</x:v>
      </x:c>
      <x:c r="D22" s="27" t="str">
        <x:v>$B/year</x:v>
      </x:c>
      <x:c r="E22" s="27" t="str">
        <x:v>design hypothesis</x:v>
      </x:c>
      <x:c r="F22" s="27" t="str">
        <x:v>mature operations</x:v>
      </x:c>
      <x:c r="G22" s="27" t="str">
        <x:v>independent cost open</x:v>
      </x:c>
    </x:row>
    <x:row r="23" ht="32.400001525878906" hidden="0" customHeight="1">
      <x:c r="A23" s="29" t="str">
        <x:v>C19</x:v>
      </x:c>
      <x:c r="B23" s="29" t="str">
        <x:v>25-year operations factor</x:v>
      </x:c>
      <x:c r="C23" s="33" t="n">
        <x:v>15.81</x:v>
      </x:c>
      <x:c r="D23" s="29" t="str">
        <x:v>mature years</x:v>
      </x:c>
      <x:c r="E23" s="29" t="str">
        <x:v>Pass 31 ramp</x:v>
      </x:c>
      <x:c r="F23" s="29" t="str">
        <x:v>program expenditure</x:v>
      </x:c>
      <x:c r="G23" s="29" t="str">
        <x:v>not discounted</x:v>
      </x:c>
    </x:row>
    <x:row r="24" ht="21.600000381469727" hidden="0" customHeight="1">
      <x:c r="A24" s="27" t="str">
        <x:v>C20</x:v>
      </x:c>
      <x:c r="B24" s="27" t="str">
        <x:v>Rendering authorization</x:v>
      </x:c>
      <x:c r="C24" s="33" t="n">
        <x:v>0</x:v>
      </x:c>
      <x:c r="D24" s="27" t="str">
        <x:v>binary</x:v>
      </x:c>
      <x:c r="E24" s="27" t="str">
        <x:v>governance</x:v>
      </x:c>
      <x:c r="F24" s="27" t="str">
        <x:v>imagery gate</x:v>
      </x:c>
      <x:c r="G24" s="27" t="str">
        <x:v>all evidence gates open</x:v>
      </x:c>
    </x:row>
    <x:row r="25">
      <x:c r="A25" s="83"/>
      <x:c r="B25" s="83"/>
      <x:c r="C25" s="83"/>
      <x:c r="D25" s="83"/>
      <x:c r="E25" s="83"/>
      <x:c r="F25" s="83"/>
      <x:c r="G25" s="83"/>
    </x:row>
    <x:row r="26" ht="36" customHeight="1">
      <x:c r="A26" s="90" t="str">
        <x:v>CDE = certified district-equivalent: complete receiving capacity for 1,000 people. The model treats capacity, survival, movement and civil release as separate claims.</x:v>
      </x:c>
      <x:c r="B26" s="90"/>
      <x:c r="C26" s="90"/>
      <x:c r="D26" s="90"/>
      <x:c r="E26" s="90"/>
      <x:c r="F26" s="90"/>
      <x:c r="G26" s="90"/>
    </x:row>
  </x:sheetData>
  <x:mergeCells>
    <x:mergeCell ref="A1:G1"/>
    <x:mergeCell ref="A2:G2"/>
    <x:mergeCell ref="A26:G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29" customHeight="1">
      <x:c r="A1" s="81" t="str">
        <x:v>Source and inference boundary</x:v>
      </x:c>
      <x:c r="B1" s="81"/>
      <x:c r="C1" s="81"/>
      <x:c r="D1" s="81"/>
      <x:c r="E1" s="81"/>
      <x:c r="F1" s="81"/>
      <x:c r="G1" s="81"/>
    </x:row>
    <x:row r="2" ht="29" customHeight="1">
      <x:c r="A2" s="82" t="str">
        <x:v>Observed inputs are kept distinct from constructed geography, stress assumptions and dispatch arithmetic.</x:v>
      </x:c>
      <x:c r="B2" s="82"/>
      <x:c r="C2" s="82"/>
      <x:c r="D2" s="82"/>
      <x:c r="E2" s="82"/>
      <x:c r="F2" s="82"/>
      <x:c r="G2" s="82"/>
    </x:row>
    <x:row r="3">
      <x:c r="A3" s="83"/>
      <x:c r="B3" s="83"/>
      <x:c r="C3" s="83"/>
      <x:c r="D3" s="83"/>
      <x:c r="E3" s="83"/>
      <x:c r="F3" s="83"/>
      <x:c r="G3" s="83"/>
    </x:row>
    <x:row r="4" ht="31" customHeight="1">
      <x:c r="A4" s="84" t="str">
        <x:v>Layer</x:v>
      </x:c>
      <x:c r="B4" s="85" t="str">
        <x:v>Item</x:v>
      </x:c>
      <x:c r="C4" s="85" t="str">
        <x:v>Status</x:v>
      </x:c>
      <x:c r="D4" s="85" t="str">
        <x:v>Model use</x:v>
      </x:c>
      <x:c r="E4" s="85" t="str">
        <x:v>Permitted inference</x:v>
      </x:c>
      <x:c r="F4" s="85" t="str">
        <x:v>Prohibited inference</x:v>
      </x:c>
      <x:c r="G4" s="86" t="str">
        <x:v>Next evidence</x:v>
      </x:c>
    </x:row>
    <x:row r="5" ht="43.20000076293945" hidden="0" customHeight="1">
      <x:c r="A5" s="28" t="str">
        <x:v>Observed</x:v>
      </x:c>
      <x:c r="B5" s="28" t="str">
        <x:v>2025 county/state population</x:v>
      </x:c>
      <x:c r="C5" s="28" t="str">
        <x:v>official estimate</x:v>
      </x:c>
      <x:c r="D5" s="28" t="str">
        <x:v>population weights</x:v>
      </x:c>
      <x:c r="E5" s="28" t="str">
        <x:v>relative people-at-risk denominator</x:v>
      </x:c>
      <x:c r="F5" s="28" t="str">
        <x:v>event evacuation demand</x:v>
      </x:c>
      <x:c r="G5" s="28" t="str">
        <x:v>event-specific census and mobility data</x:v>
      </x:c>
    </x:row>
    <x:row r="6" ht="32.400001525878906" hidden="0" customHeight="1">
      <x:c r="A6" s="27" t="str">
        <x:v>Observed</x:v>
      </x:c>
      <x:c r="B6" s="27" t="str">
        <x:v>2025 county internal points/area</x:v>
      </x:c>
      <x:c r="C6" s="27" t="str">
        <x:v>official geography</x:v>
      </x:c>
      <x:c r="D6" s="27" t="str">
        <x:v>spatial reference</x:v>
      </x:c>
      <x:c r="E6" s="27" t="str">
        <x:v>screening distance</x:v>
      </x:c>
      <x:c r="F6" s="27" t="str">
        <x:v>facility or preferred site</x:v>
      </x:c>
      <x:c r="G6" s="27" t="str">
        <x:v>parcel and infrastructure survey</x:v>
      </x:c>
    </x:row>
    <x:row r="7" ht="32.400001525878906" hidden="0" customHeight="1">
      <x:c r="A7" s="29" t="str">
        <x:v>Observed</x:v>
      </x:c>
      <x:c r="B7" s="29" t="str">
        <x:v>2025 county adjacency</x:v>
      </x:c>
      <x:c r="C7" s="29" t="str">
        <x:v>official geography</x:v>
      </x:c>
      <x:c r="D7" s="29" t="str">
        <x:v>connected catchments</x:v>
      </x:c>
      <x:c r="E7" s="29" t="str">
        <x:v>shared-boundary reachability</x:v>
      </x:c>
      <x:c r="F7" s="29" t="str">
        <x:v>open road or rail corridor</x:v>
      </x:c>
      <x:c r="G7" s="29" t="str">
        <x:v>NTAD plus damage-state routing</x:v>
      </x:c>
    </x:row>
    <x:row r="8" ht="43.20000076293945" hidden="0" customHeight="1">
      <x:c r="A8" s="27" t="str">
        <x:v>Observed</x:v>
      </x:c>
      <x:c r="B8" s="27" t="str">
        <x:v>FEMA NRI v1.20 scores</x:v>
      </x:c>
      <x:c r="C8" s="27" t="str">
        <x:v>official risk index</x:v>
      </x:c>
      <x:c r="D8" s="27" t="str">
        <x:v>hazard salience</x:v>
      </x:c>
      <x:c r="E8" s="27" t="str">
        <x:v>relative comparison with coverage</x:v>
      </x:c>
      <x:c r="F8" s="27" t="str">
        <x:v>failure probability or damage factor</x:v>
      </x:c>
      <x:c r="G8" s="27" t="str">
        <x:v>hazard-specific engineering studies</x:v>
      </x:c>
    </x:row>
    <x:row r="9" ht="54" hidden="0" customHeight="1">
      <x:c r="A9" s="29" t="str">
        <x:v>Constructed</x:v>
      </x:c>
      <x:c r="B9" s="29" t="str">
        <x:v>32 service catchments</x:v>
      </x:c>
      <x:c r="C9" s="29" t="str">
        <x:v>planning abstraction</x:v>
      </x:c>
      <x:c r="D9" s="29" t="str">
        <x:v>allocation unit</x:v>
      </x:c>
      <x:c r="E9" s="29" t="str">
        <x:v>repeatable national screen</x:v>
      </x:c>
      <x:c r="F9" s="29" t="str">
        <x:v>jurisdiction, command, parcel or investment decision</x:v>
      </x:c>
      <x:c r="G9" s="29" t="str">
        <x:v>optimization and stakeholder review</x:v>
      </x:c>
    </x:row>
    <x:row r="10" ht="32.400001525878906" hidden="0" customHeight="1">
      <x:c r="A10" s="27" t="str">
        <x:v>Assumed</x:v>
      </x:c>
      <x:c r="B10" s="27" t="str">
        <x:v>campaign damage losses</x:v>
      </x:c>
      <x:c r="C10" s="27" t="str">
        <x:v>stress hypothesis</x:v>
      </x:c>
      <x:c r="D10" s="27" t="str">
        <x:v>receiver survival</x:v>
      </x:c>
      <x:c r="E10" s="27" t="str">
        <x:v>declared adverse case</x:v>
      </x:c>
      <x:c r="F10" s="27" t="str">
        <x:v>forecast probability</x:v>
      </x:c>
      <x:c r="G10" s="27" t="str">
        <x:v>fragility and covariance evidence</x:v>
      </x:c>
    </x:row>
    <x:row r="11" ht="43.20000076293945" hidden="0" customHeight="1">
      <x:c r="A11" s="29" t="str">
        <x:v>Assumed</x:v>
      </x:c>
      <x:c r="B11" s="29" t="str">
        <x:v>mode speed/capacity</x:v>
      </x:c>
      <x:c r="C11" s="29" t="str">
        <x:v>stress hypothesis</x:v>
      </x:c>
      <x:c r="D11" s="29" t="str">
        <x:v>72-hour relocation</x:v>
      </x:c>
      <x:c r="E11" s="29" t="str">
        <x:v>comparative architecture screen</x:v>
      </x:c>
      <x:c r="F11" s="29" t="str">
        <x:v>proved transport performance</x:v>
      </x:c>
      <x:c r="G11" s="29" t="str">
        <x:v>route exercises and asset designs</x:v>
      </x:c>
    </x:row>
    <x:row r="12" ht="43.20000076293945" hidden="0" customHeight="1">
      <x:c r="A12" s="27" t="str">
        <x:v>Computed</x:v>
      </x:c>
      <x:c r="B12" s="27" t="str">
        <x:v>greedy dispatch</x:v>
      </x:c>
      <x:c r="C12" s="27" t="str">
        <x:v>declared heuristic</x:v>
      </x:c>
      <x:c r="D12" s="27" t="str">
        <x:v>feasible flow witness</x:v>
      </x:c>
      <x:c r="E12" s="27" t="str">
        <x:v>one auditable plan under assumptions</x:v>
      </x:c>
      <x:c r="F12" s="27" t="str">
        <x:v>optimal or equitable allocation</x:v>
      </x:c>
      <x:c r="G12" s="27" t="str">
        <x:v>mixed-integer network optimization</x:v>
      </x:c>
    </x:row>
    <x:row r="13" ht="54" hidden="0" customHeight="1">
      <x:c r="A13" s="29" t="str">
        <x:v>Computed</x:v>
      </x:c>
      <x:c r="B13" s="29" t="str">
        <x:v>architecture costs</x:v>
      </x:c>
      <x:c r="C13" s="29" t="str">
        <x:v>planning screen</x:v>
      </x:c>
      <x:c r="D13" s="29" t="str">
        <x:v>order-of-magnitude comparison</x:v>
      </x:c>
      <x:c r="E13" s="29" t="str">
        <x:v>relative burden under common rules</x:v>
      </x:c>
      <x:c r="F13" s="29" t="str">
        <x:v>budget request or estimate</x:v>
      </x:c>
      <x:c r="G13" s="29" t="str">
        <x:v>independent cost and schedule risk</x:v>
      </x:c>
    </x:row>
    <x:row r="14">
      <x:c r="A14" s="83"/>
      <x:c r="B14" s="83"/>
      <x:c r="C14" s="83"/>
      <x:c r="D14" s="83"/>
      <x:c r="E14" s="83"/>
      <x:c r="F14" s="83"/>
      <x:c r="G14" s="83"/>
    </x:row>
    <x:row r="15" ht="36" customHeight="1">
      <x:c r="A15" s="90" t="str">
        <x:v>The workbook never converts NRI risk scores into receiver-survival probabilities. Scenario damage is a separate, editable stress assumption.</x:v>
      </x:c>
      <x:c r="B15" s="90"/>
      <x:c r="C15" s="90"/>
      <x:c r="D15" s="90"/>
      <x:c r="E15" s="90"/>
      <x:c r="F15" s="90"/>
      <x:c r="G15" s="90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9" customHeight="1">
      <x:c r="A1" s="81" t="str">
        <x:v>Population-weighted service catchments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  <x:c r="O1" s="81"/>
      <x:c r="P1" s="81"/>
    </x:row>
    <x:row r="2" ht="29" customHeight="1">
      <x:c r="A2" s="82" t="str">
        <x:v>Twenty-nine connected CONUS planning cells plus Alaska, Hawaii and Puerto Rico. Reference places identify clusters; they are not candidate sites.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</x:row>
    <x:row r="4" ht="31" customHeight="1">
      <x:c r="A4" s="84" t="str">
        <x:v>SCA</x:v>
      </x:c>
      <x:c r="B4" s="85" t="str">
        <x:v>Reference place</x:v>
      </x:c>
      <x:c r="C4" s="85" t="str">
        <x:v>Population</x:v>
      </x:c>
      <x:c r="D4" s="85" t="str">
        <x:v>Share</x:v>
      </x:c>
      <x:c r="E4" s="85" t="str">
        <x:v>Counties</x:v>
      </x:c>
      <x:c r="F4" s="85" t="str">
        <x:v>Primary states</x:v>
      </x:c>
      <x:c r="G4" s="85" t="str">
        <x:v>Latitude</x:v>
      </x:c>
      <x:c r="H4" s="85" t="str">
        <x:v>Longitude</x:v>
      </x:c>
      <x:c r="I4" s="85" t="str">
        <x:v>Land mi²</x:v>
      </x:c>
      <x:c r="J4" s="85" t="str">
        <x:v>Water mi²</x:v>
      </x:c>
      <x:c r="K4" s="85" t="str">
        <x:v>Water access</x:v>
      </x:c>
      <x:c r="L4" s="85" t="str">
        <x:v>Non-CONUS</x:v>
      </x:c>
      <x:c r="M4" s="85" t="str">
        <x:v>Nominal CDE</x:v>
      </x:c>
      <x:c r="N4" s="85" t="str">
        <x:v>Baseline assured CDE</x:v>
      </x:c>
      <x:c r="O4" s="85" t="str">
        <x:v>NRI coverage</x:v>
      </x:c>
      <x:c r="P4" s="86" t="str">
        <x:v>NRI composite</x:v>
      </x:c>
    </x:row>
    <x:row r="5" ht="21.600000381469727" hidden="0" customHeight="1">
      <x:c r="A5" s="28" t="str">
        <x:v>SCA-01</x:v>
      </x:c>
      <x:c r="B5" s="28" t="str">
        <x:v>Honolulu County, HI</x:v>
      </x:c>
      <x:c r="C5" s="39" t="n">
        <x:v>1432820</x:v>
      </x:c>
      <x:c r="D5" s="42" t="n">
        <x:f>C5/SUM(C$5:C$36)</x:f>
        <x:v>0.004153466328282544</x:v>
      </x:c>
      <x:c r="E5" s="28" t="n">
        <x:v>5</x:v>
      </x:c>
      <x:c r="F5" s="28" t="str">
        <x:v>HI 100%</x:v>
      </x:c>
      <x:c r="G5" s="45" t="n">
        <x:v>21.14851014254896</x:v>
      </x:c>
      <x:c r="H5" s="45" t="n">
        <x:v>-157.70383701525034</x:v>
      </x:c>
      <x:c r="I5" s="45" t="n">
        <x:v>6422.593</x:v>
      </x:c>
      <x:c r="J5" s="45" t="n">
        <x:v>4547.266</x:v>
      </x:c>
      <x:c r="K5" s="28" t="str">
        <x:v>YES</x:v>
      </x:c>
      <x:c r="L5" s="28" t="str">
        <x:v>YES</x:v>
      </x:c>
      <x:c r="M5" s="45" t="n">
        <x:f>'Controls'!C8+('Controls'!C7-'Controls'!C8*'Controls'!C6)*D5</x:f>
        <x:v>60.25307527595787</x:v>
      </x:c>
      <x:c r="N5" s="45" t="n">
        <x:f>M5*('Controls'!C9/'Controls'!C7)*(('Controls'!C10-'Controls'!C11)/'Controls'!C10)*'Controls'!C12</x:f>
        <x:v>31.02444949998931</x:v>
      </x:c>
      <x:c r="O5" s="48" t="n">
        <x:v>1</x:v>
      </x:c>
      <x:c r="P5" s="51" t="n">
        <x:v>97.35238322348927</x:v>
      </x:c>
    </x:row>
    <x:row r="6" ht="32.400001525878906" hidden="0" customHeight="1">
      <x:c r="A6" s="27" t="str">
        <x:v>SCA-02</x:v>
      </x:c>
      <x:c r="B6" s="27" t="str">
        <x:v>Anchorage Municipality, AK</x:v>
      </x:c>
      <x:c r="C6" s="40" t="n">
        <x:v>737270</x:v>
      </x:c>
      <x:c r="D6" s="43" t="n">
        <x:f>C6/SUM(C$5:C$36)</x:f>
        <x:v>0.0021372022444220984</x:v>
      </x:c>
      <x:c r="E6" s="27" t="n">
        <x:v>30</x:v>
      </x:c>
      <x:c r="F6" s="27" t="str">
        <x:v>AK 100%</x:v>
      </x:c>
      <x:c r="G6" s="46" t="n">
        <x:v>61.48062255867728</x:v>
      </x:c>
      <x:c r="H6" s="46" t="n">
        <x:v>-146.29429920530742</x:v>
      </x:c>
      <x:c r="I6" s="46" t="n">
        <x:v>571390.052</x:v>
      </x:c>
      <x:c r="J6" s="46" t="n">
        <x:v>94334.844</x:v>
      </x:c>
      <x:c r="K6" s="27" t="str">
        <x:v>YES</x:v>
      </x:c>
      <x:c r="L6" s="27" t="str">
        <x:v>YES</x:v>
      </x:c>
      <x:c r="M6" s="46" t="n">
        <x:f>'Controls'!C8+('Controls'!C7-'Controls'!C8*'Controls'!C6)*D6</x:f>
        <x:v>47.994189646086355</x:v>
      </x:c>
      <x:c r="N6" s="46" t="n">
        <x:f>M6*('Controls'!C9/'Controls'!C7)*(('Controls'!C10-'Controls'!C11)/'Controls'!C10)*'Controls'!C12</x:f>
        <x:v>24.712320593568982</x:v>
      </x:c>
      <x:c r="O6" s="49" t="n">
        <x:v>1</x:v>
      </x:c>
      <x:c r="P6" s="52" t="n">
        <x:v>79.16012885339909</x:v>
      </x:c>
    </x:row>
    <x:row r="7" ht="32.400001525878906" hidden="0" customHeight="1">
      <x:c r="A7" s="29" t="str">
        <x:v>SCA-03</x:v>
      </x:c>
      <x:c r="B7" s="29" t="str">
        <x:v>King County, WA</x:v>
      </x:c>
      <x:c r="C7" s="41" t="n">
        <x:v>11968308</x:v>
      </x:c>
      <x:c r="D7" s="44" t="n">
        <x:f>C7/SUM(C$5:C$36)</x:f>
        <x:v>0.034693795650894456</x:v>
      </x:c>
      <x:c r="E7" s="29" t="n">
        <x:v>66</x:v>
      </x:c>
      <x:c r="F7" s="29" t="str">
        <x:v>WA 67%; OR 31%; ID 3%; MT 0%</x:v>
      </x:c>
      <x:c r="G7" s="47" t="n">
        <x:v>46.615708541596526</x:v>
      </x:c>
      <x:c r="H7" s="47" t="n">
        <x:v>-121.6755939688484</x:v>
      </x:c>
      <x:c r="I7" s="47" t="n">
        <x:v>111677.623</x:v>
      </x:c>
      <x:c r="J7" s="47" t="n">
        <x:v>6574.458</x:v>
      </x:c>
      <x:c r="K7" s="29" t="str">
        <x:v>YES</x:v>
      </x:c>
      <x:c r="L7" s="29" t="str">
        <x:v>NO</x:v>
      </x:c>
      <x:c r="M7" s="47" t="n">
        <x:f>'Controls'!C8+('Controls'!C7-'Controls'!C8*'Controls'!C6)*D7</x:f>
        <x:v>245.93827755743828</x:v>
      </x:c>
      <x:c r="N7" s="47" t="n">
        <x:f>M7*('Controls'!C9/'Controls'!C7)*(('Controls'!C10-'Controls'!C11)/'Controls'!C10)*'Controls'!C12</x:f>
        <x:v>126.63419480664507</x:v>
      </x:c>
      <x:c r="O7" s="50" t="n">
        <x:v>1</x:v>
      </x:c>
      <x:c r="P7" s="53" t="n">
        <x:v>92.02528568896172</x:v>
      </x:c>
    </x:row>
    <x:row r="8" ht="21.600000381469727" hidden="0" customHeight="1">
      <x:c r="A8" s="27" t="str">
        <x:v>SCA-04</x:v>
      </x:c>
      <x:c r="B8" s="27" t="str">
        <x:v>Santa Clara County, CA</x:v>
      </x:c>
      <x:c r="C8" s="40" t="n">
        <x:v>16200470</x:v>
      </x:c>
      <x:c r="D8" s="43" t="n">
        <x:f>C8/SUM(C$5:C$36)</x:f>
        <x:v>0.04696200963648714</x:v>
      </x:c>
      <x:c r="E8" s="27" t="n">
        <x:v>57</x:v>
      </x:c>
      <x:c r="F8" s="27" t="str">
        <x:v>CA 93%; NV 5%; OR 2%</x:v>
      </x:c>
      <x:c r="G8" s="46" t="n">
        <x:v>38.09892223474276</x:v>
      </x:c>
      <x:c r="H8" s="46" t="n">
        <x:v>-121.55443541223137</x:v>
      </x:c>
      <x:c r="I8" s="46" t="n">
        <x:v>118666.097</x:v>
      </x:c>
      <x:c r="J8" s="46" t="n">
        <x:v>5261.866</x:v>
      </x:c>
      <x:c r="K8" s="27" t="str">
        <x:v>YES</x:v>
      </x:c>
      <x:c r="L8" s="27" t="str">
        <x:v>NO</x:v>
      </x:c>
      <x:c r="M8" s="46" t="n">
        <x:f>'Controls'!C8+('Controls'!C7-'Controls'!C8*'Controls'!C6)*D8</x:f>
        <x:v>320.5290185898418</x:v>
      </x:c>
      <x:c r="N8" s="46" t="n">
        <x:f>M8*('Controls'!C9/'Controls'!C7)*(('Controls'!C10-'Controls'!C11)/'Controls'!C10)*'Controls'!C12</x:f>
        <x:v>165.04114196623624</x:v>
      </x:c>
      <x:c r="O8" s="49" t="n">
        <x:v>1</x:v>
      </x:c>
      <x:c r="P8" s="52" t="n">
        <x:v>96.88467059458651</x:v>
      </x:c>
    </x:row>
    <x:row r="9" ht="21.600000381469727" hidden="0" customHeight="1">
      <x:c r="A9" s="29" t="str">
        <x:v>SCA-05</x:v>
      </x:c>
      <x:c r="B9" s="29" t="str">
        <x:v>Los Angeles County, CA</x:v>
      </x:c>
      <x:c r="C9" s="41" t="n">
        <x:v>15966265</x:v>
      </x:c>
      <x:c r="D9" s="44" t="n">
        <x:f>C9/SUM(C$5:C$36)</x:f>
        <x:v>0.046283094921857657</x:v>
      </x:c>
      <x:c r="E9" s="29" t="n">
        <x:v>8</x:v>
      </x:c>
      <x:c r="F9" s="29" t="str">
        <x:v>CA 100%</x:v>
      </x:c>
      <x:c r="G9" s="47" t="n">
        <x:v>34.279307431374775</x:v>
      </x:c>
      <x:c r="H9" s="47" t="n">
        <x:v>-118.35741052193853</x:v>
      </x:c>
      <x:c r="I9" s="47" t="n">
        <x:v>27078.647</x:v>
      </x:c>
      <x:c r="J9" s="47" t="n">
        <x:v>2625.937</x:v>
      </x:c>
      <x:c r="K9" s="29" t="str">
        <x:v>YES</x:v>
      </x:c>
      <x:c r="L9" s="29" t="str">
        <x:v>NO</x:v>
      </x:c>
      <x:c r="M9" s="47" t="n">
        <x:f>'Controls'!C8+('Controls'!C7-'Controls'!C8*'Controls'!C6)*D9</x:f>
        <x:v>316.4012171248946</x:v>
      </x:c>
      <x:c r="N9" s="47" t="n">
        <x:f>M9*('Controls'!C9/'Controls'!C7)*(('Controls'!C10-'Controls'!C11)/'Controls'!C10)*'Controls'!C12</x:f>
        <x:v>162.91572732957724</x:v>
      </x:c>
      <x:c r="O9" s="50" t="n">
        <x:v>1</x:v>
      </x:c>
      <x:c r="P9" s="53" t="n">
        <x:v>99.60247287181552</x:v>
      </x:c>
    </x:row>
    <x:row r="10" ht="21.600000381469727" hidden="0" customHeight="1">
      <x:c r="A10" s="27" t="str">
        <x:v>SCA-06</x:v>
      </x:c>
      <x:c r="B10" s="27" t="str">
        <x:v>San Diego County, CA</x:v>
      </x:c>
      <x:c r="C10" s="40" t="n">
        <x:v>6008575</x:v>
      </x:c>
      <x:c r="D10" s="43" t="n">
        <x:f>C10/SUM(C$5:C$36)</x:f>
        <x:v>0.017417689551695457</x:v>
      </x:c>
      <x:c r="E10" s="27" t="n">
        <x:v>3</x:v>
      </x:c>
      <x:c r="F10" s="27" t="str">
        <x:v>CA 100%</x:v>
      </x:c>
      <x:c r="G10" s="46" t="n">
        <x:v>33.32324290614563</x:v>
      </x:c>
      <x:c r="H10" s="46" t="n">
        <x:v>-116.40544871410277</x:v>
      </x:c>
      <x:c r="I10" s="46" t="n">
        <x:v>15595.358</x:v>
      </x:c>
      <x:c r="J10" s="46" t="n">
        <x:v>713.735</x:v>
      </x:c>
      <x:c r="K10" s="27" t="str">
        <x:v>YES</x:v>
      </x:c>
      <x:c r="L10" s="27" t="str">
        <x:v>NO</x:v>
      </x:c>
      <x:c r="M10" s="46" t="n">
        <x:f>'Controls'!C8+('Controls'!C7-'Controls'!C8*'Controls'!C6)*D10</x:f>
        <x:v>140.8995524743084</x:v>
      </x:c>
      <x:c r="N10" s="46" t="n">
        <x:f>M10*('Controls'!C9/'Controls'!C7)*(('Controls'!C10-'Controls'!C11)/'Controls'!C10)*'Controls'!C12</x:f>
        <x:v>72.54950938669381</x:v>
      </x:c>
      <x:c r="O10" s="49" t="n">
        <x:v>1</x:v>
      </x:c>
      <x:c r="P10" s="52" t="n">
        <x:v>99.69661890339738</x:v>
      </x:c>
    </x:row>
    <x:row r="11" ht="32.400001525878906" hidden="0" customHeight="1">
      <x:c r="A11" s="29" t="str">
        <x:v>SCA-07</x:v>
      </x:c>
      <x:c r="B11" s="29" t="str">
        <x:v>Clark County, NV</x:v>
      </x:c>
      <x:c r="C11" s="41" t="n">
        <x:v>5229370</x:v>
      </x:c>
      <x:c r="D11" s="44" t="n">
        <x:f>C11/SUM(C$5:C$36)</x:f>
        <x:v>0.015158925903554448</x:v>
      </x:c>
      <x:c r="E11" s="29" t="n">
        <x:v>10</x:v>
      </x:c>
      <x:c r="F11" s="29" t="str">
        <x:v>NV 47%; CA 43%; UT 6%; AZ 4%</x:v>
      </x:c>
      <x:c r="G11" s="47" t="n">
        <x:v>35.70328694041653</x:v>
      </x:c>
      <x:c r="H11" s="47" t="n">
        <x:v>-115.39045649379867</x:v>
      </x:c>
      <x:c r="I11" s="47" t="n">
        <x:v>93604.548</x:v>
      </x:c>
      <x:c r="J11" s="47" t="n">
        <x:v>513.145</x:v>
      </x:c>
      <x:c r="K11" s="29" t="str">
        <x:v>YES</x:v>
      </x:c>
      <x:c r="L11" s="29" t="str">
        <x:v>NO</x:v>
      </x:c>
      <x:c r="M11" s="47" t="n">
        <x:f>'Controls'!C8+('Controls'!C7-'Controls'!C8*'Controls'!C6)*D11</x:f>
        <x:v>127.16626949361104</x:v>
      </x:c>
      <x:c r="N11" s="47" t="n">
        <x:f>M11*('Controls'!C9/'Controls'!C7)*(('Controls'!C10-'Controls'!C11)/'Controls'!C10)*'Controls'!C12</x:f>
        <x:v>65.47820983306394</x:v>
      </x:c>
      <x:c r="O11" s="50" t="n">
        <x:v>1</x:v>
      </x:c>
      <x:c r="P11" s="53" t="n">
        <x:v>98.22608801596381</x:v>
      </x:c>
    </x:row>
    <x:row r="12" ht="32.400001525878906" hidden="0" customHeight="1">
      <x:c r="A12" s="27" t="str">
        <x:v>SCA-08</x:v>
      </x:c>
      <x:c r="B12" s="27" t="str">
        <x:v>Ada County, ID</x:v>
      </x:c>
      <x:c r="C12" s="40" t="n">
        <x:v>2652387</x:v>
      </x:c>
      <x:c r="D12" s="43" t="n">
        <x:f>C12/SUM(C$5:C$36)</x:f>
        <x:v>0.007688753712311631</x:v>
      </x:c>
      <x:c r="E12" s="27" t="n">
        <x:v>85</x:v>
      </x:c>
      <x:c r="F12" s="27" t="str">
        <x:v>ID 53%; MT 33%; OR 11%; NV 3%</x:v>
      </x:c>
      <x:c r="G12" s="46" t="n">
        <x:v>44.72545609218715</x:v>
      </x:c>
      <x:c r="H12" s="46" t="n">
        <x:v>-114.98429857504958</x:v>
      </x:c>
      <x:c r="I12" s="46" t="n">
        <x:v>253090.368</x:v>
      </x:c>
      <x:c r="J12" s="46" t="n">
        <x:v>2325.386</x:v>
      </x:c>
      <x:c r="K12" s="27" t="str">
        <x:v>YES</x:v>
      </x:c>
      <x:c r="L12" s="27" t="str">
        <x:v>NO</x:v>
      </x:c>
      <x:c r="M12" s="46" t="n">
        <x:f>'Controls'!C8+('Controls'!C7-'Controls'!C8*'Controls'!C6)*D12</x:f>
        <x:v>81.74762257085472</x:v>
      </x:c>
      <x:c r="N12" s="46" t="n">
        <x:f>M12*('Controls'!C9/'Controls'!C7)*(('Controls'!C10-'Controls'!C11)/'Controls'!C10)*'Controls'!C12</x:f>
        <x:v>42.092042216568004</x:v>
      </x:c>
      <x:c r="O12" s="49" t="n">
        <x:v>1</x:v>
      </x:c>
      <x:c r="P12" s="52" t="n">
        <x:v>65.3252843282915</x:v>
      </x:c>
    </x:row>
    <x:row r="13" ht="21.600000381469727" hidden="0" customHeight="1">
      <x:c r="A13" s="29" t="str">
        <x:v>SCA-09</x:v>
      </x:c>
      <x:c r="B13" s="29" t="str">
        <x:v>Maricopa County, AZ</x:v>
      </x:c>
      <x:c r="C13" s="41" t="n">
        <x:v>7395716</x:v>
      </x:c>
      <x:c r="D13" s="44" t="n">
        <x:f>C13/SUM(C$5:C$36)</x:f>
        <x:v>0.021438741348906675</x:v>
      </x:c>
      <x:c r="E13" s="29" t="n">
        <x:v>14</x:v>
      </x:c>
      <x:c r="F13" s="29" t="str">
        <x:v>AZ 100%</x:v>
      </x:c>
      <x:c r="G13" s="47" t="n">
        <x:v>33.22415942179094</x:v>
      </x:c>
      <x:c r="H13" s="47" t="n">
        <x:v>-112.20033024409024</x:v>
      </x:c>
      <x:c r="I13" s="47" t="n">
        <x:v>100323.325</x:v>
      </x:c>
      <x:c r="J13" s="47" t="n">
        <x:v>200.959</x:v>
      </x:c>
      <x:c r="K13" s="29" t="str">
        <x:v>NO</x:v>
      </x:c>
      <x:c r="L13" s="29" t="str">
        <x:v>NO</x:v>
      </x:c>
      <x:c r="M13" s="47" t="n">
        <x:f>'Controls'!C8+('Controls'!C7-'Controls'!C8*'Controls'!C6)*D13</x:f>
        <x:v>165.34754740135259</x:v>
      </x:c>
      <x:c r="N13" s="47" t="n">
        <x:f>M13*('Controls'!C9/'Controls'!C7)*(('Controls'!C10-'Controls'!C11)/'Controls'!C10)*'Controls'!C12</x:f>
        <x:v>85.13783920249539</x:v>
      </x:c>
      <x:c r="O13" s="50" t="n">
        <x:v>1</x:v>
      </x:c>
      <x:c r="P13" s="53" t="n">
        <x:v>97.81239565214521</x:v>
      </x:c>
    </x:row>
    <x:row r="14" ht="32.400001525878906" hidden="0" customHeight="1">
      <x:c r="A14" s="27" t="str">
        <x:v>SCA-10</x:v>
      </x:c>
      <x:c r="B14" s="27" t="str">
        <x:v>Salt Lake County, UT</x:v>
      </x:c>
      <x:c r="C14" s="40" t="n">
        <x:v>4127033</x:v>
      </x:c>
      <x:c r="D14" s="43" t="n">
        <x:f>C14/SUM(C$5:C$36)</x:f>
        <x:v>0.011963465474526383</x:v>
      </x:c>
      <x:c r="E14" s="27" t="n">
        <x:v>56</x:v>
      </x:c>
      <x:c r="F14" s="27" t="str">
        <x:v>UT 79%; WY 8%; ID 8%; MT 5%</x:v>
      </x:c>
      <x:c r="G14" s="46" t="n">
        <x:v>41.252183635562886</x:v>
      </x:c>
      <x:c r="H14" s="46" t="n">
        <x:v>-111.396833670653</x:v>
      </x:c>
      <x:c r="I14" s="46" t="n">
        <x:v>178380.619</x:v>
      </x:c>
      <x:c r="J14" s="46" t="n">
        <x:v>3064.387</x:v>
      </x:c>
      <x:c r="K14" s="27" t="str">
        <x:v>NO</x:v>
      </x:c>
      <x:c r="L14" s="27" t="str">
        <x:v>NO</x:v>
      </x:c>
      <x:c r="M14" s="46" t="n">
        <x:f>'Controls'!C8+('Controls'!C7-'Controls'!C8*'Controls'!C6)*D14</x:f>
        <x:v>107.7378700851204</x:v>
      </x:c>
      <x:c r="N14" s="46" t="n">
        <x:f>M14*('Controls'!C9/'Controls'!C7)*(('Controls'!C10-'Controls'!C11)/'Controls'!C10)*'Controls'!C12</x:f>
        <x:v>55.47448149963478</x:v>
      </x:c>
      <x:c r="O14" s="49" t="n">
        <x:v>1</x:v>
      </x:c>
      <x:c r="P14" s="52" t="n">
        <x:v>79.6647445916745</x:v>
      </x:c>
    </x:row>
    <x:row r="15" ht="21.600000381469727" hidden="0" customHeight="1">
      <x:c r="A15" s="29" t="str">
        <x:v>SCA-11</x:v>
      </x:c>
      <x:c r="B15" s="29" t="str">
        <x:v>El Paso County, TX</x:v>
      </x:c>
      <x:c r="C15" s="41" t="n">
        <x:v>3517787</x:v>
      </x:c>
      <x:c r="D15" s="44" t="n">
        <x:f>C15/SUM(C$5:C$36)</x:f>
        <x:v>0.01019737989040498</x:v>
      </x:c>
      <x:c r="E15" s="29" t="n">
        <x:v>52</x:v>
      </x:c>
      <x:c r="F15" s="29" t="str">
        <x:v>TX 52%; NM 48%</x:v>
      </x:c>
      <x:c r="G15" s="47" t="n">
        <x:v>33.19467151010849</x:v>
      </x:c>
      <x:c r="H15" s="47" t="n">
        <x:v>-105.17266211383833</x:v>
      </x:c>
      <x:c r="I15" s="47" t="n">
        <x:v>134552.961</x:v>
      </x:c>
      <x:c r="J15" s="47" t="n">
        <x:v>230.661</x:v>
      </x:c>
      <x:c r="K15" s="29" t="str">
        <x:v>YES</x:v>
      </x:c>
      <x:c r="L15" s="29" t="str">
        <x:v>NO</x:v>
      </x:c>
      <x:c r="M15" s="47" t="n">
        <x:f>'Controls'!C8+('Controls'!C7-'Controls'!C8*'Controls'!C6)*D15</x:f>
        <x:v>97.00006973366229</x:v>
      </x:c>
      <x:c r="N15" s="47" t="n">
        <x:f>M15*('Controls'!C9/'Controls'!C7)*(('Controls'!C10-'Controls'!C11)/'Controls'!C10)*'Controls'!C12</x:f>
        <x:v>49.94556296362594</x:v>
      </x:c>
      <x:c r="O15" s="50" t="n">
        <x:v>1</x:v>
      </x:c>
      <x:c r="P15" s="53" t="n">
        <x:v>85.97451558884039</x:v>
      </x:c>
    </x:row>
    <x:row r="16" ht="32.400001525878906" hidden="0" customHeight="1">
      <x:c r="A16" s="27" t="str">
        <x:v>SCA-12</x:v>
      </x:c>
      <x:c r="B16" s="27" t="str">
        <x:v>El Paso County, CO</x:v>
      </x:c>
      <x:c r="C16" s="40" t="n">
        <x:v>7465186</x:v>
      </x:c>
      <x:c r="D16" s="43" t="n">
        <x:f>C16/SUM(C$5:C$36)</x:f>
        <x:v>0.0216401213588352</x:v>
      </x:c>
      <x:c r="E16" s="27" t="n">
        <x:v>151</x:v>
      </x:c>
      <x:c r="F16" s="27" t="str">
        <x:v>CO 80%; NM 6%; TX 4%; WY 3%</x:v>
      </x:c>
      <x:c r="G16" s="46" t="n">
        <x:v>39.44722034026413</x:v>
      </x:c>
      <x:c r="H16" s="46" t="n">
        <x:v>-104.87192014475568</x:v>
      </x:c>
      <x:c r="I16" s="46" t="n">
        <x:v>265386.956</x:v>
      </x:c>
      <x:c r="J16" s="46" t="n">
        <x:v>1102.299</x:v>
      </x:c>
      <x:c r="K16" s="27" t="str">
        <x:v>NO</x:v>
      </x:c>
      <x:c r="L16" s="27" t="str">
        <x:v>NO</x:v>
      </x:c>
      <x:c r="M16" s="46" t="n">
        <x:f>'Controls'!C8+('Controls'!C7-'Controls'!C8*'Controls'!C6)*D16</x:f>
        <x:v>166.571937861718</x:v>
      </x:c>
      <x:c r="N16" s="46" t="n">
        <x:f>M16*('Controls'!C9/'Controls'!C7)*(('Controls'!C10-'Controls'!C11)/'Controls'!C10)*'Controls'!C12</x:f>
        <x:v>85.76828071659074</x:v>
      </x:c>
      <x:c r="O16" s="49" t="n">
        <x:v>1</x:v>
      </x:c>
      <x:c r="P16" s="52" t="n">
        <x:v>80.93567456069324</x:v>
      </x:c>
    </x:row>
    <x:row r="17" ht="21.600000381469727" hidden="0" customHeight="1">
      <x:c r="A17" s="29" t="str">
        <x:v>SCA-13</x:v>
      </x:c>
      <x:c r="B17" s="29" t="str">
        <x:v>Bexar County, TX</x:v>
      </x:c>
      <x:c r="C17" s="41" t="n">
        <x:v>6759014</x:v>
      </x:c>
      <x:c r="D17" s="44" t="n">
        <x:f>C17/SUM(C$5:C$36)</x:f>
        <x:v>0.01959306616420088</x:v>
      </x:c>
      <x:c r="E17" s="29" t="n">
        <x:v>61</x:v>
      </x:c>
      <x:c r="F17" s="29" t="str">
        <x:v>TX 100%</x:v>
      </x:c>
      <x:c r="G17" s="47" t="n">
        <x:v>29.942706290989484</x:v>
      </x:c>
      <x:c r="H17" s="47" t="n">
        <x:v>-98.17058395905586</x:v>
      </x:c>
      <x:c r="I17" s="47" t="n">
        <x:v>67598.138</x:v>
      </x:c>
      <x:c r="J17" s="47" t="n">
        <x:v>865.153</x:v>
      </x:c>
      <x:c r="K17" s="29" t="str">
        <x:v>YES</x:v>
      </x:c>
      <x:c r="L17" s="29" t="str">
        <x:v>NO</x:v>
      </x:c>
      <x:c r="M17" s="47" t="n">
        <x:f>'Controls'!C8+('Controls'!C7-'Controls'!C8*'Controls'!C6)*D17</x:f>
        <x:v>154.12584227834134</x:v>
      </x:c>
      <x:c r="N17" s="47" t="n">
        <x:f>M17*('Controls'!C9/'Controls'!C7)*(('Controls'!C10-'Controls'!C11)/'Controls'!C10)*'Controls'!C12</x:f>
        <x:v>79.35975696688955</x:v>
      </x:c>
      <x:c r="O17" s="50" t="n">
        <x:v>1</x:v>
      </x:c>
      <x:c r="P17" s="53" t="n">
        <x:v>90.47940631313801</x:v>
      </x:c>
    </x:row>
    <x:row r="18" ht="21.600000381469727" hidden="0" customHeight="1">
      <x:c r="A18" s="27" t="str">
        <x:v>SCA-14</x:v>
      </x:c>
      <x:c r="B18" s="27" t="str">
        <x:v>Hidalgo County, TX</x:v>
      </x:c>
      <x:c r="C18" s="40" t="n">
        <x:v>2179728</x:v>
      </x:c>
      <x:c r="D18" s="43" t="n">
        <x:f>C18/SUM(C$5:C$36)</x:f>
        <x:v>0.0063186072589820445</x:v>
      </x:c>
      <x:c r="E18" s="27" t="n">
        <x:v>13</x:v>
      </x:c>
      <x:c r="F18" s="27" t="str">
        <x:v>TX 100%</x:v>
      </x:c>
      <x:c r="G18" s="46" t="n">
        <x:v>26.78746034984365</x:v>
      </x:c>
      <x:c r="H18" s="46" t="n">
        <x:v>-98.09490284029292</x:v>
      </x:c>
      <x:c r="I18" s="46" t="n">
        <x:v>16554.066</x:v>
      </x:c>
      <x:c r="J18" s="46" t="n">
        <x:v>1701.503</x:v>
      </x:c>
      <x:c r="K18" s="27" t="str">
        <x:v>YES</x:v>
      </x:c>
      <x:c r="L18" s="27" t="str">
        <x:v>NO</x:v>
      </x:c>
      <x:c r="M18" s="46" t="n">
        <x:f>'Controls'!C8+('Controls'!C7-'Controls'!C8*'Controls'!C6)*D18</x:f>
        <x:v>73.41713213461082</x:v>
      </x:c>
      <x:c r="N18" s="46" t="n">
        <x:f>M18*('Controls'!C9/'Controls'!C7)*(('Controls'!C10-'Controls'!C11)/'Controls'!C10)*'Controls'!C12</x:f>
        <x:v>37.80265319093401</x:v>
      </x:c>
      <x:c r="O18" s="49" t="n">
        <x:v>1</x:v>
      </x:c>
      <x:c r="P18" s="52" t="n">
        <x:v>95.11373264066619</x:v>
      </x:c>
    </x:row>
    <x:row r="19" ht="32.400001525878906" hidden="0" customHeight="1">
      <x:c r="A19" s="29" t="str">
        <x:v>SCA-15</x:v>
      </x:c>
      <x:c r="B19" s="29" t="str">
        <x:v>Dallas County, TX</x:v>
      </x:c>
      <x:c r="C19" s="41" t="n">
        <x:v>13192386</x:v>
      </x:c>
      <x:c r="D19" s="44" t="n">
        <x:f>C19/SUM(C$5:C$36)</x:f>
        <x:v>0.038242159546004406</x:v>
      </x:c>
      <x:c r="E19" s="29" t="n">
        <x:v>143</x:v>
      </x:c>
      <x:c r="F19" s="29" t="str">
        <x:v>TX 85%; OK 9%; LA 4%; AR 2%</x:v>
      </x:c>
      <x:c r="G19" s="47" t="n">
        <x:v>33.009741815306576</x:v>
      </x:c>
      <x:c r="H19" s="47" t="n">
        <x:v>-96.72125727209287</x:v>
      </x:c>
      <x:c r="I19" s="47" t="n">
        <x:v>114051.137</x:v>
      </x:c>
      <x:c r="J19" s="47" t="n">
        <x:v>2482.441</x:v>
      </x:c>
      <x:c r="K19" s="29" t="str">
        <x:v>YES</x:v>
      </x:c>
      <x:c r="L19" s="29" t="str">
        <x:v>NO</x:v>
      </x:c>
      <x:c r="M19" s="47" t="n">
        <x:f>'Controls'!C8+('Controls'!C7-'Controls'!C8*'Controls'!C6)*D19</x:f>
        <x:v>267.5123300397068</x:v>
      </x:c>
      <x:c r="N19" s="47" t="n">
        <x:f>M19*('Controls'!C9/'Controls'!C7)*(('Controls'!C10-'Controls'!C11)/'Controls'!C10)*'Controls'!C12</x:f>
        <x:v>137.74272493030716</x:v>
      </x:c>
      <x:c r="O19" s="50" t="n">
        <x:v>1</x:v>
      </x:c>
      <x:c r="P19" s="53" t="n">
        <x:v>87.17491995572777</x:v>
      </x:c>
    </x:row>
    <x:row r="20" ht="43.20000076293945" hidden="0" customHeight="1">
      <x:c r="A20" s="27" t="str">
        <x:v>SCA-16</x:v>
      </x:c>
      <x:c r="B20" s="27" t="str">
        <x:v>Oklahoma County, OK</x:v>
      </x:c>
      <x:c r="C20" s="40" t="n">
        <x:v>10177969</x:v>
      </x:c>
      <x:c r="D20" s="43" t="n">
        <x:f>C20/SUM(C$5:C$36)</x:f>
        <x:v>0.02950395132103373</x:v>
      </x:c>
      <x:c r="E20" s="27" t="n">
        <x:v>226</x:v>
      </x:c>
      <x:c r="F20" s="27" t="str">
        <x:v>OK 29%; KS 29%; NE 17%; MO 17%</x:v>
      </x:c>
      <x:c r="G20" s="46" t="n">
        <x:v>38.06774957037224</x:v>
      </x:c>
      <x:c r="H20" s="46" t="n">
        <x:v>-96.09805783381262</x:v>
      </x:c>
      <x:c r="I20" s="46" t="n">
        <x:v>168339.048</x:v>
      </x:c>
      <x:c r="J20" s="46" t="n">
        <x:v>1622.321</x:v>
      </x:c>
      <x:c r="K20" s="27" t="str">
        <x:v>NO</x:v>
      </x:c>
      <x:c r="L20" s="27" t="str">
        <x:v>NO</x:v>
      </x:c>
      <x:c r="M20" s="46" t="n">
        <x:f>'Controls'!C8+('Controls'!C7-'Controls'!C8*'Controls'!C6)*D20</x:f>
        <x:v>214.38402403188508</x:v>
      </x:c>
      <x:c r="N20" s="46" t="n">
        <x:f>M20*('Controls'!C9/'Controls'!C7)*(('Controls'!C10-'Controls'!C11)/'Controls'!C10)*'Controls'!C12</x:f>
        <x:v>110.38683580414107</x:v>
      </x:c>
      <x:c r="O20" s="49" t="n">
        <x:v>1</x:v>
      </x:c>
      <x:c r="P20" s="52" t="n">
        <x:v>79.72249592662013</x:v>
      </x:c>
    </x:row>
    <x:row r="21" ht="32.400001525878906" hidden="0" customHeight="1">
      <x:c r="A21" s="29" t="str">
        <x:v>SCA-17</x:v>
      </x:c>
      <x:c r="B21" s="29" t="str">
        <x:v>Harris County, TX</x:v>
      </x:c>
      <x:c r="C21" s="41" t="n">
        <x:v>12843509</x:v>
      </x:c>
      <x:c r="D21" s="44" t="n">
        <x:f>C21/SUM(C$5:C$36)</x:f>
        <x:v>0.03723083302054257</x:v>
      </x:c>
      <x:c r="E21" s="29" t="n">
        <x:v>85</x:v>
      </x:c>
      <x:c r="F21" s="29" t="str">
        <x:v>TX 73%; LA 27%; MS 0%</x:v>
      </x:c>
      <x:c r="G21" s="47" t="n">
        <x:v>29.998317060805267</x:v>
      </x:c>
      <x:c r="H21" s="47" t="n">
        <x:v>-94.26810780364791</x:v>
      </x:c>
      <x:c r="I21" s="47" t="n">
        <x:v>64015.4</x:v>
      </x:c>
      <x:c r="J21" s="47" t="n">
        <x:v>9964.798</x:v>
      </x:c>
      <x:c r="K21" s="29" t="str">
        <x:v>YES</x:v>
      </x:c>
      <x:c r="L21" s="29" t="str">
        <x:v>NO</x:v>
      </x:c>
      <x:c r="M21" s="47" t="n">
        <x:f>'Controls'!C8+('Controls'!C7-'Controls'!C8*'Controls'!C6)*D21</x:f>
        <x:v>261.3634647648988</x:v>
      </x:c>
      <x:c r="N21" s="47" t="n">
        <x:f>M21*('Controls'!C9/'Controls'!C7)*(('Controls'!C10-'Controls'!C11)/'Controls'!C10)*'Controls'!C12</x:f>
        <x:v>134.5766598070447</x:v>
      </x:c>
      <x:c r="O21" s="50" t="n">
        <x:v>1</x:v>
      </x:c>
      <x:c r="P21" s="53" t="n">
        <x:v>92.40079162099303</x:v>
      </x:c>
    </x:row>
    <x:row r="22" ht="32.400001525878906" hidden="0" customHeight="1">
      <x:c r="A22" s="27" t="str">
        <x:v>SCA-18</x:v>
      </x:c>
      <x:c r="B22" s="27" t="str">
        <x:v>Hennepin County, MN</x:v>
      </x:c>
      <x:c r="C22" s="40" t="n">
        <x:v>11004680</x:v>
      </x:c>
      <x:c r="D22" s="43" t="n">
        <x:f>C22/SUM(C$5:C$36)</x:f>
        <x:v>0.03190042561768006</x:v>
      </x:c>
      <x:c r="E22" s="27" t="n">
        <x:v>317</x:v>
      </x:c>
      <x:c r="F22" s="27" t="str">
        <x:v>MN 53%; IA 18%; WI 13%; ND 7%</x:v>
      </x:c>
      <x:c r="G22" s="46" t="n">
        <x:v>44.69652370953285</x:v>
      </x:c>
      <x:c r="H22" s="46" t="n">
        <x:v>-93.97479134785937</x:v>
      </x:c>
      <x:c r="I22" s="46" t="n">
        <x:v>295735.065</x:v>
      </x:c>
      <x:c r="J22" s="46" t="n">
        <x:v>24354.027000000002</x:v>
      </x:c>
      <x:c r="K22" s="27" t="str">
        <x:v>YES</x:v>
      </x:c>
      <x:c r="L22" s="27" t="str">
        <x:v>NO</x:v>
      </x:c>
      <x:c r="M22" s="46" t="n">
        <x:f>'Controls'!C8+('Controls'!C7-'Controls'!C8*'Controls'!C6)*D22</x:f>
        <x:v>228.95458775549477</x:v>
      </x:c>
      <x:c r="N22" s="46" t="n">
        <x:f>M22*('Controls'!C9/'Controls'!C7)*(('Controls'!C10-'Controls'!C11)/'Controls'!C10)*'Controls'!C12</x:f>
        <x:v>117.88925317220325</x:v>
      </x:c>
      <x:c r="O22" s="49" t="n">
        <x:v>1</x:v>
      </x:c>
      <x:c r="P22" s="52" t="n">
        <x:v>68.9572991879578</x:v>
      </x:c>
    </x:row>
    <x:row r="23" ht="32.400001525878906" hidden="0" customHeight="1">
      <x:c r="A23" s="29" t="str">
        <x:v>SCA-19</x:v>
      </x:c>
      <x:c r="B23" s="29" t="str">
        <x:v>St. Louis County, MO</x:v>
      </x:c>
      <x:c r="C23" s="41" t="n">
        <x:v>6677653</x:v>
      </x:c>
      <x:c r="D23" s="44" t="n">
        <x:f>C23/SUM(C$5:C$36)</x:f>
        <x:v>0.01935721645946798</x:v>
      </x:c>
      <x:c r="E23" s="29" t="n">
        <x:v>167</x:v>
      </x:c>
      <x:c r="F23" s="29" t="str">
        <x:v>MO 65%; IL 29%; IA 5%; KY 0%</x:v>
      </x:c>
      <x:c r="G23" s="47" t="n">
        <x:v>38.692767977629714</x:v>
      </x:c>
      <x:c r="H23" s="47" t="n">
        <x:v>-90.95650022721412</x:v>
      </x:c>
      <x:c r="I23" s="47" t="n">
        <x:v>91267.354</x:v>
      </x:c>
      <x:c r="J23" s="47" t="n">
        <x:v>1393.016</x:v>
      </x:c>
      <x:c r="K23" s="29" t="str">
        <x:v>YES</x:v>
      </x:c>
      <x:c r="L23" s="29" t="str">
        <x:v>NO</x:v>
      </x:c>
      <x:c r="M23" s="47" t="n">
        <x:f>'Controls'!C8+('Controls'!C7-'Controls'!C8*'Controls'!C6)*D23</x:f>
        <x:v>152.6918760735653</x:v>
      </x:c>
      <x:c r="N23" s="47" t="n">
        <x:f>M23*('Controls'!C9/'Controls'!C7)*(('Controls'!C10-'Controls'!C11)/'Controls'!C10)*'Controls'!C12</x:f>
        <x:v>78.62140441142228</x:v>
      </x:c>
      <x:c r="O23" s="50" t="n">
        <x:v>1</x:v>
      </x:c>
      <x:c r="P23" s="53" t="n">
        <x:v>74.82833605200005</x:v>
      </x:c>
    </x:row>
    <x:row r="24" ht="32.400001525878906" hidden="0" customHeight="1">
      <x:c r="A24" s="27" t="str">
        <x:v>SCA-20</x:v>
      </x:c>
      <x:c r="B24" s="27" t="str">
        <x:v>Shelby County, TN</x:v>
      </x:c>
      <x:c r="C24" s="40" t="n">
        <x:v>8490774</x:v>
      </x:c>
      <x:c r="D24" s="43" t="n">
        <x:f>C24/SUM(C$5:C$36)</x:f>
        <x:v>0.02461310137355487</x:v>
      </x:c>
      <x:c r="E24" s="27" t="n">
        <x:v>215</x:v>
      </x:c>
      <x:c r="F24" s="27" t="str">
        <x:v>MS 34%; AR 25%; TN 23%; LA 8%</x:v>
      </x:c>
      <x:c r="G24" s="46" t="n">
        <x:v>34.04518232729796</x:v>
      </x:c>
      <x:c r="H24" s="46" t="n">
        <x:v>-90.05222364854524</x:v>
      </x:c>
      <x:c r="I24" s="46" t="n">
        <x:v>129056.045</x:v>
      </x:c>
      <x:c r="J24" s="46" t="n">
        <x:v>5470.215</x:v>
      </x:c>
      <x:c r="K24" s="27" t="str">
        <x:v>YES</x:v>
      </x:c>
      <x:c r="L24" s="27" t="str">
        <x:v>NO</x:v>
      </x:c>
      <x:c r="M24" s="46" t="n">
        <x:f>'Controls'!C8+('Controls'!C7-'Controls'!C8*'Controls'!C6)*D24</x:f>
        <x:v>184.6476563512136</x:v>
      </x:c>
      <x:c r="N24" s="46" t="n">
        <x:f>M24*('Controls'!C9/'Controls'!C7)*(('Controls'!C10-'Controls'!C11)/'Controls'!C10)*'Controls'!C12</x:f>
        <x:v>95.07551047847387</x:v>
      </x:c>
      <x:c r="O24" s="49" t="n">
        <x:v>1</x:v>
      </x:c>
      <x:c r="P24" s="52" t="n">
        <x:v>75.84802817566946</x:v>
      </x:c>
    </x:row>
    <x:row r="25" ht="32.400001525878906" hidden="0" customHeight="1">
      <x:c r="A25" s="29" t="str">
        <x:v>SCA-21</x:v>
      </x:c>
      <x:c r="B25" s="29" t="str">
        <x:v>Cook County, IL</x:v>
      </x:c>
      <x:c r="C25" s="41" t="n">
        <x:v>19593580</x:v>
      </x:c>
      <x:c r="D25" s="44" t="n">
        <x:f>C25/SUM(C$5:C$36)</x:f>
        <x:v>0.05679797516820695</x:v>
      </x:c>
      <x:c r="E25" s="29" t="n">
        <x:v>134</x:v>
      </x:c>
      <x:c r="F25" s="29" t="str">
        <x:v>IL 55%; WI 23%; IN 12%; MI 6%</x:v>
      </x:c>
      <x:c r="G25" s="47" t="n">
        <x:v>42.144126986576374</x:v>
      </x:c>
      <x:c r="H25" s="47" t="n">
        <x:v>-88.0244002708601</x:v>
      </x:c>
      <x:c r="I25" s="47" t="n">
        <x:v>77649.344</x:v>
      </x:c>
      <x:c r="J25" s="47" t="n">
        <x:v>23784.365</x:v>
      </x:c>
      <x:c r="K25" s="29" t="str">
        <x:v>YES</x:v>
      </x:c>
      <x:c r="L25" s="29" t="str">
        <x:v>NO</x:v>
      </x:c>
      <x:c r="M25" s="47" t="n">
        <x:f>'Controls'!C8+('Controls'!C7-'Controls'!C8*'Controls'!C6)*D25</x:f>
        <x:v>380.33168902269824</x:v>
      </x:c>
      <x:c r="N25" s="47" t="n">
        <x:f>M25*('Controls'!C9/'Controls'!C7)*(('Controls'!C10-'Controls'!C11)/'Controls'!C10)*'Controls'!C12</x:f>
        <x:v>195.83367695820496</x:v>
      </x:c>
      <x:c r="O25" s="50" t="n">
        <x:v>1</x:v>
      </x:c>
      <x:c r="P25" s="53" t="n">
        <x:v>86.33362811234163</x:v>
      </x:c>
    </x:row>
    <x:row r="26" ht="43.20000076293945" hidden="0" customHeight="1">
      <x:c r="A26" s="27" t="str">
        <x:v>SCA-22</x:v>
      </x:c>
      <x:c r="B26" s="27" t="str">
        <x:v>Marion County, IN</x:v>
      </x:c>
      <x:c r="C26" s="40" t="n">
        <x:v>14732006</x:v>
      </x:c>
      <x:c r="D26" s="43" t="n">
        <x:f>C26/SUM(C$5:C$36)</x:f>
        <x:v>0.042705218289147556</x:v>
      </x:c>
      <x:c r="E26" s="27" t="n">
        <x:v>228</x:v>
      </x:c>
      <x:c r="F26" s="27" t="str">
        <x:v>KY 30%; IN 28%; OH 22%; TN 18%</x:v>
      </x:c>
      <x:c r="G26" s="46" t="n">
        <x:v>38.343049066935144</x:v>
      </x:c>
      <x:c r="H26" s="46" t="n">
        <x:v>-85.40057851806006</x:v>
      </x:c>
      <x:c r="I26" s="46" t="n">
        <x:v>83249.265</x:v>
      </x:c>
      <x:c r="J26" s="46" t="n">
        <x:v>1306.396</x:v>
      </x:c>
      <x:c r="K26" s="27" t="str">
        <x:v>YES</x:v>
      </x:c>
      <x:c r="L26" s="27" t="str">
        <x:v>NO</x:v>
      </x:c>
      <x:c r="M26" s="46" t="n">
        <x:f>'Controls'!C8+('Controls'!C7-'Controls'!C8*'Controls'!C6)*D26</x:f>
        <x:v>294.64772719801715</x:v>
      </x:c>
      <x:c r="N26" s="46" t="n">
        <x:f>M26*('Controls'!C9/'Controls'!C7)*(('Controls'!C10-'Controls'!C11)/'Controls'!C10)*'Controls'!C12</x:f>
        <x:v>151.71480444565884</x:v>
      </x:c>
      <x:c r="O26" s="49" t="n">
        <x:v>1</x:v>
      </x:c>
      <x:c r="P26" s="52" t="n">
        <x:v>74.21502781864899</x:v>
      </x:c>
    </x:row>
    <x:row r="27" ht="43.20000076293945" hidden="0" customHeight="1">
      <x:c r="A27" s="29" t="str">
        <x:v>SCA-23</x:v>
      </x:c>
      <x:c r="B27" s="29" t="str">
        <x:v>Fulton County, GA</x:v>
      </x:c>
      <x:c r="C27" s="41" t="n">
        <x:v>20869310</x:v>
      </x:c>
      <x:c r="D27" s="44" t="n">
        <x:f>C27/SUM(C$5:C$36)</x:f>
        <x:v>0.06049606815893844</x:v>
      </x:c>
      <x:c r="E27" s="29" t="n">
        <x:v>237</x:v>
      </x:c>
      <x:c r="F27" s="29" t="str">
        <x:v>GA 47%; AL 23%; TN 12%; SC 11%</x:v>
      </x:c>
      <x:c r="G27" s="47" t="n">
        <x:v>33.78329319116746</x:v>
      </x:c>
      <x:c r="H27" s="47" t="n">
        <x:v>-84.5998849326548</x:v>
      </x:c>
      <x:c r="I27" s="47" t="n">
        <x:v>112920.19</x:v>
      </x:c>
      <x:c r="J27" s="47" t="n">
        <x:v>4327.392</x:v>
      </x:c>
      <x:c r="K27" s="29" t="str">
        <x:v>YES</x:v>
      </x:c>
      <x:c r="L27" s="29" t="str">
        <x:v>NO</x:v>
      </x:c>
      <x:c r="M27" s="47" t="n">
        <x:f>'Controls'!C8+('Controls'!C7-'Controls'!C8*'Controls'!C6)*D27</x:f>
        <x:v>402.8160944063457</x:v>
      </x:c>
      <x:c r="N27" s="47" t="n">
        <x:f>M27*('Controls'!C9/'Controls'!C7)*(('Controls'!C10-'Controls'!C11)/'Controls'!C10)*'Controls'!C12</x:f>
        <x:v>207.41094992174118</x:v>
      </x:c>
      <x:c r="O27" s="50" t="n">
        <x:v>1</x:v>
      </x:c>
      <x:c r="P27" s="53" t="n">
        <x:v>78.39653553270401</x:v>
      </x:c>
    </x:row>
    <x:row r="28" ht="21.600000381469727" hidden="0" customHeight="1">
      <x:c r="A28" s="27" t="str">
        <x:v>SCA-24</x:v>
      </x:c>
      <x:c r="B28" s="27" t="str">
        <x:v>Wayne County, MI</x:v>
      </x:c>
      <x:c r="C28" s="40" t="n">
        <x:v>11816161</x:v>
      </x:c>
      <x:c r="D28" s="43" t="n">
        <x:f>C28/SUM(C$5:C$36)</x:f>
        <x:v>0.03425275110834954</x:v>
      </x:c>
      <x:c r="E28" s="27" t="n">
        <x:v>95</x:v>
      </x:c>
      <x:c r="F28" s="27" t="str">
        <x:v>MI 75%; OH 21%; IN 4%</x:v>
      </x:c>
      <x:c r="G28" s="46" t="n">
        <x:v>42.36049747406878</x:v>
      </x:c>
      <x:c r="H28" s="46" t="n">
        <x:v>-83.83728980234781</x:v>
      </x:c>
      <x:c r="I28" s="46" t="n">
        <x:v>52812.071</x:v>
      </x:c>
      <x:c r="J28" s="46" t="n">
        <x:v>17716.72</x:v>
      </x:c>
      <x:c r="K28" s="27" t="str">
        <x:v>YES</x:v>
      </x:c>
      <x:c r="L28" s="27" t="str">
        <x:v>NO</x:v>
      </x:c>
      <x:c r="M28" s="46" t="n">
        <x:f>'Controls'!C8+('Controls'!C7-'Controls'!C8*'Controls'!C6)*D28</x:f>
        <x:v>243.25672673876522</x:v>
      </x:c>
      <x:c r="N28" s="46" t="n">
        <x:f>M28*('Controls'!C9/'Controls'!C7)*(('Controls'!C10-'Controls'!C11)/'Controls'!C10)*'Controls'!C12</x:f>
        <x:v>125.25345801313614</x:v>
      </x:c>
      <x:c r="O28" s="49" t="n">
        <x:v>1</x:v>
      </x:c>
      <x:c r="P28" s="52" t="n">
        <x:v>79.9772238468897</x:v>
      </x:c>
    </x:row>
    <x:row r="29" ht="21.600000381469727" hidden="0" customHeight="1">
      <x:c r="A29" s="29" t="str">
        <x:v>SCA-25</x:v>
      </x:c>
      <x:c r="B29" s="29" t="str">
        <x:v>Duval County, FL</x:v>
      </x:c>
      <x:c r="C29" s="41" t="n">
        <x:v>6408394</x:v>
      </x:c>
      <x:c r="D29" s="44" t="n">
        <x:f>C29/SUM(C$5:C$36)</x:f>
        <x:v>0.018576687020957192</x:v>
      </x:c>
      <x:c r="E29" s="29" t="n">
        <x:v>83</x:v>
      </x:c>
      <x:c r="F29" s="29" t="str">
        <x:v>FL 67%; GA 25%; SC 8%</x:v>
      </x:c>
      <x:c r="G29" s="47" t="n">
        <x:v>30.536088729980708</x:v>
      </x:c>
      <x:c r="H29" s="47" t="n">
        <x:v>-82.11708059637954</x:v>
      </x:c>
      <x:c r="I29" s="47" t="n">
        <x:v>45186.284999999996</x:v>
      </x:c>
      <x:c r="J29" s="47" t="n">
        <x:v>5847.573</x:v>
      </x:c>
      <x:c r="K29" s="29" t="str">
        <x:v>YES</x:v>
      </x:c>
      <x:c r="L29" s="29" t="str">
        <x:v>NO</x:v>
      </x:c>
      <x:c r="M29" s="47" t="n">
        <x:f>'Controls'!C8+('Controls'!C7-'Controls'!C8*'Controls'!C6)*D29</x:f>
        <x:v>147.94625708741972</x:v>
      </x:c>
      <x:c r="N29" s="47" t="n">
        <x:f>M29*('Controls'!C9/'Controls'!C7)*(('Controls'!C10-'Controls'!C11)/'Controls'!C10)*'Controls'!C12</x:f>
        <x:v>76.177874086911</x:v>
      </x:c>
      <x:c r="O29" s="50" t="n">
        <x:v>1</x:v>
      </x:c>
      <x:c r="P29" s="53" t="n">
        <x:v>81.74604489256303</x:v>
      </x:c>
    </x:row>
    <x:row r="30" ht="21.600000381469727" hidden="0" customHeight="1">
      <x:c r="A30" s="27" t="str">
        <x:v>SCA-26</x:v>
      </x:c>
      <x:c r="B30" s="27" t="str">
        <x:v>Hillsborough County, FL</x:v>
      </x:c>
      <x:c r="C30" s="40" t="n">
        <x:v>10737083</x:v>
      </x:c>
      <x:c r="D30" s="43" t="n">
        <x:f>C30/SUM(C$5:C$36)</x:f>
        <x:v>0.031124713993715136</x:v>
      </x:c>
      <x:c r="E30" s="27" t="n">
        <x:v>23</x:v>
      </x:c>
      <x:c r="F30" s="27" t="str">
        <x:v>FL 100%</x:v>
      </x:c>
      <x:c r="G30" s="46" t="n">
        <x:v>27.974853271075023</x:v>
      </x:c>
      <x:c r="H30" s="46" t="n">
        <x:v>-81.88940576929758</x:v>
      </x:c>
      <x:c r="I30" s="46" t="n">
        <x:v>18212.459</x:v>
      </x:c>
      <x:c r="J30" s="46" t="n">
        <x:v>5704.199</x:v>
      </x:c>
      <x:c r="K30" s="27" t="str">
        <x:v>YES</x:v>
      </x:c>
      <x:c r="L30" s="27" t="str">
        <x:v>NO</x:v>
      </x:c>
      <x:c r="M30" s="46" t="n">
        <x:f>'Controls'!C8+('Controls'!C7-'Controls'!C8*'Controls'!C6)*D30</x:f>
        <x:v>224.23826108178804</x:v>
      </x:c>
      <x:c r="N30" s="46" t="n">
        <x:f>M30*('Controls'!C9/'Controls'!C7)*(('Controls'!C10-'Controls'!C11)/'Controls'!C10)*'Controls'!C12</x:f>
        <x:v>115.46080552793418</x:v>
      </x:c>
      <x:c r="O30" s="49" t="n">
        <x:v>1</x:v>
      </x:c>
      <x:c r="P30" s="52" t="n">
        <x:v>96.22497357893404</x:v>
      </x:c>
    </x:row>
    <x:row r="31" ht="21.600000381469727" hidden="0" customHeight="1">
      <x:c r="A31" s="29" t="str">
        <x:v>SCA-27</x:v>
      </x:c>
      <x:c r="B31" s="29" t="str">
        <x:v>Miami-Dade County, FL</x:v>
      </x:c>
      <x:c r="C31" s="41" t="n">
        <x:v>7505606</x:v>
      </x:c>
      <x:c r="D31" s="44" t="n">
        <x:f>C31/SUM(C$5:C$36)</x:f>
        <x:v>0.021757291072399484</x:v>
      </x:c>
      <x:c r="E31" s="29" t="n">
        <x:v>8</x:v>
      </x:c>
      <x:c r="F31" s="29" t="str">
        <x:v>FL 100%</x:v>
      </x:c>
      <x:c r="G31" s="47" t="n">
        <x:v>26.148469584825527</x:v>
      </x:c>
      <x:c r="H31" s="47" t="n">
        <x:v>-80.53888441252951</x:v>
      </x:c>
      <x:c r="I31" s="47" t="n">
        <x:v>10319.048</x:v>
      </x:c>
      <x:c r="J31" s="47" t="n">
        <x:v>6287.008</x:v>
      </x:c>
      <x:c r="K31" s="29" t="str">
        <x:v>YES</x:v>
      </x:c>
      <x:c r="L31" s="29" t="str">
        <x:v>NO</x:v>
      </x:c>
      <x:c r="M31" s="47" t="n">
        <x:f>'Controls'!C8+('Controls'!C7-'Controls'!C8*'Controls'!C6)*D31</x:f>
        <x:v>167.28432972018885</x:v>
      </x:c>
      <x:c r="N31" s="47" t="n">
        <x:f>M31*('Controls'!C9/'Controls'!C7)*(('Controls'!C10-'Controls'!C11)/'Controls'!C10)*'Controls'!C12</x:f>
        <x:v>86.13509295208424</x:v>
      </x:c>
      <x:c r="O31" s="50" t="n">
        <x:v>1</x:v>
      </x:c>
      <x:c r="P31" s="53" t="n">
        <x:v>98.91566635990971</x:v>
      </x:c>
    </x:row>
    <x:row r="32" ht="43.20000076293945" hidden="0" customHeight="1">
      <x:c r="A32" s="27" t="str">
        <x:v>SCA-28</x:v>
      </x:c>
      <x:c r="B32" s="27" t="str">
        <x:v>Franklin County, OH</x:v>
      </x:c>
      <x:c r="C32" s="40" t="n">
        <x:v>21305157</x:v>
      </x:c>
      <x:c r="D32" s="43" t="n">
        <x:f>C32/SUM(C$5:C$36)</x:f>
        <x:v>0.06175950378852412</x:v>
      </x:c>
      <x:c r="E32" s="27" t="n">
        <x:v>168</x:v>
      </x:c>
      <x:c r="F32" s="27" t="str">
        <x:v>OH 29%; PA 23%; VA 15%; NY 12%</x:v>
      </x:c>
      <x:c r="G32" s="46" t="n">
        <x:v>40.350602185048764</x:v>
      </x:c>
      <x:c r="H32" s="46" t="n">
        <x:v>-79.41871636030032</x:v>
      </x:c>
      <x:c r="I32" s="46" t="n">
        <x:v>88096.48</x:v>
      </x:c>
      <x:c r="J32" s="46" t="n">
        <x:v>6335.7</x:v>
      </x:c>
      <x:c r="K32" s="27" t="str">
        <x:v>YES</x:v>
      </x:c>
      <x:c r="L32" s="27" t="str">
        <x:v>NO</x:v>
      </x:c>
      <x:c r="M32" s="46" t="n">
        <x:f>'Controls'!C8+('Controls'!C7-'Controls'!C8*'Controls'!C6)*D32</x:f>
        <x:v>410.49778303422664</x:v>
      </x:c>
      <x:c r="N32" s="46" t="n">
        <x:f>M32*('Controls'!C9/'Controls'!C7)*(('Controls'!C10-'Controls'!C11)/'Controls'!C10)*'Controls'!C12</x:f>
        <x:v>211.3662693775338</x:v>
      </x:c>
      <x:c r="O32" s="49" t="n">
        <x:v>1</x:v>
      </x:c>
      <x:c r="P32" s="52" t="n">
        <x:v>80.17296349403453</x:v>
      </x:c>
    </x:row>
    <x:row r="33" ht="32.400001525878906" hidden="0" customHeight="1">
      <x:c r="A33" s="29" t="str">
        <x:v>SCA-29</x:v>
      </x:c>
      <x:c r="B33" s="29" t="str">
        <x:v>Wake County, NC</x:v>
      </x:c>
      <x:c r="C33" s="41" t="n">
        <x:v>19271685</x:v>
      </x:c>
      <x:c r="D33" s="44" t="n">
        <x:f>C33/SUM(C$5:C$36)</x:f>
        <x:v>0.055864864209578154</x:v>
      </x:c>
      <x:c r="E33" s="29" t="n">
        <x:v>221</x:v>
      </x:c>
      <x:c r="F33" s="29" t="str">
        <x:v>NC 54%; VA 29%; SC 14%; TN 1%</x:v>
      </x:c>
      <x:c r="G33" s="47" t="n">
        <x:v>35.85139903852024</x:v>
      </x:c>
      <x:c r="H33" s="47" t="n">
        <x:v>-79.09454971504708</x:v>
      </x:c>
      <x:c r="I33" s="47" t="n">
        <x:v>92790.756</x:v>
      </x:c>
      <x:c r="J33" s="47" t="n">
        <x:v>9957.13</x:v>
      </x:c>
      <x:c r="K33" s="29" t="str">
        <x:v>YES</x:v>
      </x:c>
      <x:c r="L33" s="29" t="str">
        <x:v>NO</x:v>
      </x:c>
      <x:c r="M33" s="47" t="n">
        <x:f>'Controls'!C8+('Controls'!C7-'Controls'!C8*'Controls'!C6)*D33</x:f>
        <x:v>374.6583743942352</x:v>
      </x:c>
      <x:c r="N33" s="47" t="n">
        <x:f>M33*('Controls'!C9/'Controls'!C7)*(('Controls'!C10-'Controls'!C11)/'Controls'!C10)*'Controls'!C12</x:f>
        <x:v>192.91247397591445</x:v>
      </x:c>
      <x:c r="O33" s="50" t="n">
        <x:v>1</x:v>
      </x:c>
      <x:c r="P33" s="53" t="n">
        <x:v>76.07301143076826</x:v>
      </x:c>
    </x:row>
    <x:row r="34" ht="43.20000076293945" hidden="0" customHeight="1">
      <x:c r="A34" s="27" t="str">
        <x:v>SCA-30</x:v>
      </x:c>
      <x:c r="B34" s="27" t="str">
        <x:v>Kings County, NY</x:v>
      </x:c>
      <x:c r="C34" s="40" t="n">
        <x:v>41291847</x:v>
      </x:c>
      <x:c r="D34" s="43" t="n">
        <x:f>C34/SUM(C$5:C$36)</x:f>
        <x:v>0.11969702834068101</x:v>
      </x:c>
      <x:c r="E34" s="27" t="n">
        <x:v>107</x:v>
      </x:c>
      <x:c r="F34" s="27" t="str">
        <x:v>NY 40%; NJ 23%; PA 20%; MD 9%</x:v>
      </x:c>
      <x:c r="G34" s="46" t="n">
        <x:v>40.58357534127451</x:v>
      </x:c>
      <x:c r="H34" s="46" t="n">
        <x:v>-74.66292970886754</x:v>
      </x:c>
      <x:c r="I34" s="46" t="n">
        <x:v>52475.973</x:v>
      </x:c>
      <x:c r="J34" s="46" t="n">
        <x:v>8503.372</x:v>
      </x:c>
      <x:c r="K34" s="27" t="str">
        <x:v>YES</x:v>
      </x:c>
      <x:c r="L34" s="27" t="str">
        <x:v>NO</x:v>
      </x:c>
      <x:c r="M34" s="46" t="n">
        <x:f>'Controls'!C8+('Controls'!C7-'Controls'!C8*'Controls'!C6)*D34</x:f>
        <x:v>762.7579323113405</x:v>
      </x:c>
      <x:c r="N34" s="46" t="n">
        <x:f>M34*('Controls'!C9/'Controls'!C7)*(('Controls'!C10-'Controls'!C11)/'Controls'!C10)*'Controls'!C12</x:f>
        <x:v>392.74584481087714</x:v>
      </x:c>
      <x:c r="O34" s="49" t="n">
        <x:v>1</x:v>
      </x:c>
      <x:c r="P34" s="52" t="n">
        <x:v>92.59682222725827</x:v>
      </x:c>
    </x:row>
    <x:row r="35" ht="43.20000076293945" hidden="0" customHeight="1">
      <x:c r="A35" s="29" t="str">
        <x:v>SCA-31</x:v>
      </x:c>
      <x:c r="B35" s="29" t="str">
        <x:v>Middlesex County, MA</x:v>
      </x:c>
      <x:c r="C35" s="41" t="n">
        <x:v>14227128</x:v>
      </x:c>
      <x:c r="D35" s="44" t="n">
        <x:f>C35/SUM(C$5:C$36)</x:f>
        <x:v>0.041241675225196305</x:v>
      </x:c>
      <x:c r="E35" s="29" t="n">
        <x:v>76</x:v>
      </x:c>
      <x:c r="F35" s="29" t="str">
        <x:v>MA 50%; NH 10%; ME 10%; CT 10%</x:v>
      </x:c>
      <x:c r="G35" s="47" t="n">
        <x:v>42.663912595195676</x:v>
      </x:c>
      <x:c r="H35" s="47" t="n">
        <x:v>-71.63478364454576</x:v>
      </x:c>
      <x:c r="I35" s="47" t="n">
        <x:v>77134.714</x:v>
      </x:c>
      <x:c r="J35" s="47" t="n">
        <x:v>10033.688</x:v>
      </x:c>
      <x:c r="K35" s="29" t="str">
        <x:v>YES</x:v>
      </x:c>
      <x:c r="L35" s="29" t="str">
        <x:v>NO</x:v>
      </x:c>
      <x:c r="M35" s="47" t="n">
        <x:f>'Controls'!C8+('Controls'!C7-'Controls'!C8*'Controls'!C6)*D35</x:f>
        <x:v>285.74938536919353</x:v>
      </x:c>
      <x:c r="N35" s="47" t="n">
        <x:f>M35*('Controls'!C9/'Controls'!C7)*(('Controls'!C10-'Controls'!C11)/'Controls'!C10)*'Controls'!C12</x:f>
        <x:v>147.133027408759</x:v>
      </x:c>
      <x:c r="O35" s="50" t="n">
        <x:v>1</x:v>
      </x:c>
      <x:c r="P35" s="53" t="n">
        <x:v>83.57202893168522</x:v>
      </x:c>
    </x:row>
    <x:row r="36" ht="32.400001525878906" hidden="0" customHeight="1">
      <x:c r="A36" s="27" t="str">
        <x:v>SCA-32</x:v>
      </x:c>
      <x:c r="B36" s="27" t="str">
        <x:v>San Juan Municipio, PR</x:v>
      </x:c>
      <x:c r="C36" s="40" t="n">
        <x:v>3184835</x:v>
      </x:c>
      <x:c r="D36" s="43" t="n">
        <x:f>C36/SUM(C$5:C$36)</x:f>
        <x:v>0.00923221684066089</x:v>
      </x:c>
      <x:c r="E36" s="27" t="n">
        <x:v>78</x:v>
      </x:c>
      <x:c r="F36" s="27" t="str">
        <x:v>PR 100%</x:v>
      </x:c>
      <x:c r="G36" s="46" t="n">
        <x:v>18.278608227311306</x:v>
      </x:c>
      <x:c r="H36" s="46" t="n">
        <x:v>-66.36515747271837</x:v>
      </x:c>
      <x:c r="I36" s="46" t="n">
        <x:v>3424.611</x:v>
      </x:c>
      <x:c r="J36" s="46" t="n">
        <x:v>1900.232</x:v>
      </x:c>
      <x:c r="K36" s="27" t="str">
        <x:v>YES</x:v>
      </x:c>
      <x:c r="L36" s="27" t="str">
        <x:v>YES</x:v>
      </x:c>
      <x:c r="M36" s="46" t="n">
        <x:f>'Controls'!C8+('Controls'!C7-'Controls'!C8*'Controls'!C6)*D36</x:f>
        <x:v>91.13187839121821</x:v>
      </x:c>
      <x:c r="N36" s="46" t="n">
        <x:f>M36*('Controls'!C9/'Controls'!C7)*(('Controls'!C10-'Controls'!C11)/'Controls'!C10)*'Controls'!C12</x:f>
        <x:v>46.92401750513919</x:v>
      </x:c>
      <x:c r="O36" s="49" t="n">
        <x:v>0</x:v>
      </x:c>
      <x:c r="P36" s="52"/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9" customHeight="1">
      <x:c r="A1" s="81" t="str">
        <x:v>Catchment composition</x:v>
      </x:c>
      <x:c r="B1" s="81"/>
      <x:c r="C1" s="81"/>
      <x:c r="D1" s="81"/>
      <x:c r="E1" s="81"/>
      <x:c r="F1" s="81"/>
      <x:c r="G1" s="81"/>
      <x:c r="H1" s="81"/>
    </x:row>
    <x:row r="2" ht="29" customHeight="1">
      <x:c r="A2" s="82" t="str">
        <x:v>County membership makes the planning geography reproducible and exposes every population allocation.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SCA</x:v>
      </x:c>
      <x:c r="B4" s="85" t="str">
        <x:v>County GEOID</x:v>
      </x:c>
      <x:c r="C4" s="85" t="str">
        <x:v>State</x:v>
      </x:c>
      <x:c r="D4" s="85" t="str">
        <x:v>County/municipio</x:v>
      </x:c>
      <x:c r="E4" s="85" t="str">
        <x:v>2025 population</x:v>
      </x:c>
      <x:c r="F4" s="85" t="str">
        <x:v>Latitude</x:v>
      </x:c>
      <x:c r="G4" s="85" t="str">
        <x:v>Longitude</x:v>
      </x:c>
      <x:c r="H4" s="86" t="str">
        <x:v>Population share of SCA</x:v>
      </x:c>
    </x:row>
    <x:row r="5" ht="21.600000381469727" hidden="0" customHeight="1">
      <x:c r="A5" s="28" t="str">
        <x:v>SCA-01</x:v>
      </x:c>
      <x:c r="B5" s="28" t="str">
        <x:v>15003</x:v>
      </x:c>
      <x:c r="C5" s="28" t="str">
        <x:v>HI</x:v>
      </x:c>
      <x:c r="D5" s="28" t="str">
        <x:v>Honolulu County</x:v>
      </x:c>
      <x:c r="E5" s="39" t="n">
        <x:v>988703</x:v>
      </x:c>
      <x:c r="F5" s="54" t="n">
        <x:v>21.461365</x:v>
      </x:c>
      <x:c r="G5" s="54" t="n">
        <x:v>-158.201974</x:v>
      </x:c>
      <x:c r="H5" s="42" t="n">
        <x:f>E5/SUMIF(A:A,A5,E:E)</x:f>
        <x:v>0.6900399212741307</x:v>
      </x:c>
    </x:row>
    <x:row r="6" ht="21.600000381469727" hidden="0" customHeight="1">
      <x:c r="A6" s="27" t="str">
        <x:v>SCA-01</x:v>
      </x:c>
      <x:c r="B6" s="27" t="str">
        <x:v>15001</x:v>
      </x:c>
      <x:c r="C6" s="27" t="str">
        <x:v>HI</x:v>
      </x:c>
      <x:c r="D6" s="27" t="str">
        <x:v>Hawaii County</x:v>
      </x:c>
      <x:c r="E6" s="40" t="n">
        <x:v>210043</x:v>
      </x:c>
      <x:c r="F6" s="55" t="n">
        <x:v>19.597764</x:v>
      </x:c>
      <x:c r="G6" s="55" t="n">
        <x:v>-155.502443</x:v>
      </x:c>
      <x:c r="H6" s="43" t="n">
        <x:f>E6/SUMIF(A:A,A6,E:E)</x:f>
        <x:v>0.14659412906017505</x:v>
      </x:c>
    </x:row>
    <x:row r="7" ht="15" hidden="0" customHeight="1">
      <x:c r="A7" s="29" t="str">
        <x:v>SCA-01</x:v>
      </x:c>
      <x:c r="B7" s="29" t="str">
        <x:v>15009</x:v>
      </x:c>
      <x:c r="C7" s="29" t="str">
        <x:v>HI</x:v>
      </x:c>
      <x:c r="D7" s="29" t="str">
        <x:v>Maui County</x:v>
      </x:c>
      <x:c r="E7" s="41" t="n">
        <x:v>160592</x:v>
      </x:c>
      <x:c r="F7" s="56" t="n">
        <x:v>20.855931</x:v>
      </x:c>
      <x:c r="G7" s="56" t="n">
        <x:v>-156.60155</x:v>
      </x:c>
      <x:c r="H7" s="44" t="n">
        <x:f>E7/SUMIF(A:A,A7,E:E)</x:f>
        <x:v>0.1120810708951578</x:v>
      </x:c>
    </x:row>
    <x:row r="8" ht="21.600000381469727" hidden="0" customHeight="1">
      <x:c r="A8" s="27" t="str">
        <x:v>SCA-01</x:v>
      </x:c>
      <x:c r="B8" s="27" t="str">
        <x:v>15007</x:v>
      </x:c>
      <x:c r="C8" s="27" t="str">
        <x:v>HI</x:v>
      </x:c>
      <x:c r="D8" s="27" t="str">
        <x:v>Kauai County</x:v>
      </x:c>
      <x:c r="E8" s="40" t="n">
        <x:v>73400</x:v>
      </x:c>
      <x:c r="F8" s="55" t="n">
        <x:v>22.012038</x:v>
      </x:c>
      <x:c r="G8" s="55" t="n">
        <x:v>-159.705965</x:v>
      </x:c>
      <x:c r="H8" s="43" t="n">
        <x:f>E8/SUMIF(A:A,A8,E:E)</x:f>
        <x:v>0.0512276489719574</x:v>
      </x:c>
    </x:row>
    <x:row r="9" ht="21.600000381469727" hidden="0" customHeight="1">
      <x:c r="A9" s="29" t="str">
        <x:v>SCA-01</x:v>
      </x:c>
      <x:c r="B9" s="29" t="str">
        <x:v>15005</x:v>
      </x:c>
      <x:c r="C9" s="29" t="str">
        <x:v>HI</x:v>
      </x:c>
      <x:c r="D9" s="29" t="str">
        <x:v>Kalawao County</x:v>
      </x:c>
      <x:c r="E9" s="41" t="n">
        <x:v>82</x:v>
      </x:c>
      <x:c r="F9" s="56" t="n">
        <x:v>21.218764</x:v>
      </x:c>
      <x:c r="G9" s="56" t="n">
        <x:v>-156.97401</x:v>
      </x:c>
      <x:c r="H9" s="44" t="n">
        <x:f>E9/SUMIF(A:A,A9,E:E)</x:f>
        <x:v>0.000057229798579025976</x:v>
      </x:c>
    </x:row>
    <x:row r="10" ht="21.600000381469727" hidden="0" customHeight="1">
      <x:c r="A10" s="27" t="str">
        <x:v>SCA-02</x:v>
      </x:c>
      <x:c r="B10" s="27" t="str">
        <x:v>02020</x:v>
      </x:c>
      <x:c r="C10" s="27" t="str">
        <x:v>AK</x:v>
      </x:c>
      <x:c r="D10" s="27" t="str">
        <x:v>Anchorage Municipality</x:v>
      </x:c>
      <x:c r="E10" s="40" t="n">
        <x:v>287155</x:v>
      </x:c>
      <x:c r="F10" s="55" t="n">
        <x:v>61.17425</x:v>
      </x:c>
      <x:c r="G10" s="55" t="n">
        <x:v>-149.284329</x:v>
      </x:c>
      <x:c r="H10" s="43" t="n">
        <x:f>E10/SUMIF(A:A,A10,E:E)</x:f>
        <x:v>0.38948417811656516</x:v>
      </x:c>
    </x:row>
    <x:row r="11" ht="32.400001525878906" hidden="0" customHeight="1">
      <x:c r="A11" s="29" t="str">
        <x:v>SCA-02</x:v>
      </x:c>
      <x:c r="B11" s="29" t="str">
        <x:v>02170</x:v>
      </x:c>
      <x:c r="C11" s="29" t="str">
        <x:v>AK</x:v>
      </x:c>
      <x:c r="D11" s="29" t="str">
        <x:v>Matanuska-Susitna Borough</x:v>
      </x:c>
      <x:c r="E11" s="41" t="n">
        <x:v>118666</x:v>
      </x:c>
      <x:c r="F11" s="56" t="n">
        <x:v>62.265626</x:v>
      </x:c>
      <x:c r="G11" s="56" t="n">
        <x:v>-149.503993</x:v>
      </x:c>
      <x:c r="H11" s="44" t="n">
        <x:f>E11/SUMIF(A:A,A11,E:E)</x:f>
        <x:v>0.1609532464361767</x:v>
      </x:c>
    </x:row>
    <x:row r="12" ht="32.400001525878906" hidden="0" customHeight="1">
      <x:c r="A12" s="27" t="str">
        <x:v>SCA-02</x:v>
      </x:c>
      <x:c r="B12" s="27" t="str">
        <x:v>02090</x:v>
      </x:c>
      <x:c r="C12" s="27" t="str">
        <x:v>AK</x:v>
      </x:c>
      <x:c r="D12" s="27" t="str">
        <x:v>Fairbanks North Star Borough</x:v>
      </x:c>
      <x:c r="E12" s="40" t="n">
        <x:v>93972</x:v>
      </x:c>
      <x:c r="F12" s="55" t="n">
        <x:v>64.670454</x:v>
      </x:c>
      <x:c r="G12" s="55" t="n">
        <x:v>-146.496061</x:v>
      </x:c>
      <x:c r="H12" s="43" t="n">
        <x:f>E12/SUMIF(A:A,A12,E:E)</x:f>
        <x:v>0.12745941107057115</x:v>
      </x:c>
    </x:row>
    <x:row r="13" ht="32.400001525878906" hidden="0" customHeight="1">
      <x:c r="A13" s="29" t="str">
        <x:v>SCA-02</x:v>
      </x:c>
      <x:c r="B13" s="29" t="str">
        <x:v>02122</x:v>
      </x:c>
      <x:c r="C13" s="29" t="str">
        <x:v>AK</x:v>
      </x:c>
      <x:c r="D13" s="29" t="str">
        <x:v>Kenai Peninsula Borough</x:v>
      </x:c>
      <x:c r="E13" s="41" t="n">
        <x:v>61951</x:v>
      </x:c>
      <x:c r="F13" s="56" t="n">
        <x:v>60.366668</x:v>
      </x:c>
      <x:c r="G13" s="56" t="n">
        <x:v>-152.322283</x:v>
      </x:c>
      <x:c r="H13" s="44" t="n">
        <x:f>E13/SUMIF(A:A,A13,E:E)</x:f>
        <x:v>0.08402756113771075</x:v>
      </x:c>
    </x:row>
    <x:row r="14" ht="21.600000381469727" hidden="0" customHeight="1">
      <x:c r="A14" s="27" t="str">
        <x:v>SCA-02</x:v>
      </x:c>
      <x:c r="B14" s="27" t="str">
        <x:v>02110</x:v>
      </x:c>
      <x:c r="C14" s="27" t="str">
        <x:v>AK</x:v>
      </x:c>
      <x:c r="D14" s="27" t="str">
        <x:v>Juneau City and Borough</x:v>
      </x:c>
      <x:c r="E14" s="40" t="n">
        <x:v>31609</x:v>
      </x:c>
      <x:c r="F14" s="55" t="n">
        <x:v>58.37291</x:v>
      </x:c>
      <x:c r="G14" s="55" t="n">
        <x:v>-134.178445</x:v>
      </x:c>
      <x:c r="H14" s="43" t="n">
        <x:f>E14/SUMIF(A:A,A14,E:E)</x:f>
        <x:v>0.04287303158951266</x:v>
      </x:c>
    </x:row>
    <x:row r="15" ht="21.600000381469727" hidden="0" customHeight="1">
      <x:c r="A15" s="29" t="str">
        <x:v>SCA-02</x:v>
      </x:c>
      <x:c r="B15" s="29" t="str">
        <x:v>02050</x:v>
      </x:c>
      <x:c r="C15" s="29" t="str">
        <x:v>AK</x:v>
      </x:c>
      <x:c r="D15" s="29" t="str">
        <x:v>Bethel Census Area</x:v>
      </x:c>
      <x:c r="E15" s="41" t="n">
        <x:v>18391</x:v>
      </x:c>
      <x:c r="F15" s="56" t="n">
        <x:v>60.929141</x:v>
      </x:c>
      <x:c r="G15" s="56" t="n">
        <x:v>-160.152625</x:v>
      </x:c>
      <x:c r="H15" s="44" t="n">
        <x:f>E15/SUMIF(A:A,A15,E:E)</x:f>
        <x:v>0.02494472852550626</x:v>
      </x:c>
    </x:row>
    <x:row r="16" ht="32.400001525878906" hidden="0" customHeight="1">
      <x:c r="A16" s="27" t="str">
        <x:v>SCA-02</x:v>
      </x:c>
      <x:c r="B16" s="27" t="str">
        <x:v>02130</x:v>
      </x:c>
      <x:c r="C16" s="27" t="str">
        <x:v>AK</x:v>
      </x:c>
      <x:c r="D16" s="27" t="str">
        <x:v>Ketchikan Gateway Borough</x:v>
      </x:c>
      <x:c r="E16" s="40" t="n">
        <x:v>13549</x:v>
      </x:c>
      <x:c r="F16" s="55" t="n">
        <x:v>55.449938</x:v>
      </x:c>
      <x:c r="G16" s="55" t="n">
        <x:v>-131.106685</x:v>
      </x:c>
      <x:c r="H16" s="43" t="n">
        <x:f>E16/SUMIF(A:A,A16,E:E)</x:f>
        <x:v>0.01837725663596783</x:v>
      </x:c>
    </x:row>
    <x:row r="17" ht="32.400001525878906" hidden="0" customHeight="1">
      <x:c r="A17" s="29" t="str">
        <x:v>SCA-02</x:v>
      </x:c>
      <x:c r="B17" s="29" t="str">
        <x:v>02150</x:v>
      </x:c>
      <x:c r="C17" s="29" t="str">
        <x:v>AK</x:v>
      </x:c>
      <x:c r="D17" s="29" t="str">
        <x:v>Kodiak Island Borough</x:v>
      </x:c>
      <x:c r="E17" s="41" t="n">
        <x:v>12387</x:v>
      </x:c>
      <x:c r="F17" s="56" t="n">
        <x:v>57.7044</x:v>
      </x:c>
      <x:c r="G17" s="56" t="n">
        <x:v>-153.918372</x:v>
      </x:c>
      <x:c r="H17" s="44" t="n">
        <x:f>E17/SUMIF(A:A,A17,E:E)</x:f>
        <x:v>0.01680117189089479</x:v>
      </x:c>
    </x:row>
    <x:row r="18" ht="21.600000381469727" hidden="0" customHeight="1">
      <x:c r="A18" s="27" t="str">
        <x:v>SCA-02</x:v>
      </x:c>
      <x:c r="B18" s="27" t="str">
        <x:v>02185</x:v>
      </x:c>
      <x:c r="C18" s="27" t="str">
        <x:v>AK</x:v>
      </x:c>
      <x:c r="D18" s="27" t="str">
        <x:v>North Slope Borough</x:v>
      </x:c>
      <x:c r="E18" s="40" t="n">
        <x:v>10582</x:v>
      </x:c>
      <x:c r="F18" s="55" t="n">
        <x:v>69.449343</x:v>
      </x:c>
      <x:c r="G18" s="55" t="n">
        <x:v>-153.47283</x:v>
      </x:c>
      <x:c r="H18" s="43" t="n">
        <x:f>E18/SUMIF(A:A,A18,E:E)</x:f>
        <x:v>0.014352950750742605</x:v>
      </x:c>
    </x:row>
    <x:row r="19" ht="21.600000381469727" hidden="0" customHeight="1">
      <x:c r="A19" s="29" t="str">
        <x:v>SCA-02</x:v>
      </x:c>
      <x:c r="B19" s="29" t="str">
        <x:v>02180</x:v>
      </x:c>
      <x:c r="C19" s="29" t="str">
        <x:v>AK</x:v>
      </x:c>
      <x:c r="D19" s="29" t="str">
        <x:v>Nome Census Area</x:v>
      </x:c>
      <x:c r="E19" s="41" t="n">
        <x:v>9830</x:v>
      </x:c>
      <x:c r="F19" s="56" t="n">
        <x:v>64.783686</x:v>
      </x:c>
      <x:c r="G19" s="56" t="n">
        <x:v>-164.188912</x:v>
      </x:c>
      <x:c r="H19" s="44" t="n">
        <x:f>E19/SUMIF(A:A,A19,E:E)</x:f>
        <x:v>0.01333297163861272</x:v>
      </x:c>
    </x:row>
    <x:row r="20" ht="21.600000381469727" hidden="0" customHeight="1">
      <x:c r="A20" s="27" t="str">
        <x:v>SCA-02</x:v>
      </x:c>
      <x:c r="B20" s="27" t="str">
        <x:v>02220</x:v>
      </x:c>
      <x:c r="C20" s="27" t="str">
        <x:v>AK</x:v>
      </x:c>
      <x:c r="D20" s="27" t="str">
        <x:v>Sitka City and Borough</x:v>
      </x:c>
      <x:c r="E20" s="40" t="n">
        <x:v>8319</x:v>
      </x:c>
      <x:c r="F20" s="55" t="n">
        <x:v>57.193204</x:v>
      </x:c>
      <x:c r="G20" s="55" t="n">
        <x:v>-135.367396</x:v>
      </x:c>
      <x:c r="H20" s="43" t="n">
        <x:f>E20/SUMIF(A:A,A20,E:E)</x:f>
        <x:v>0.011283518927936848</x:v>
      </x:c>
    </x:row>
    <x:row r="21" ht="21.600000381469727" hidden="0" customHeight="1">
      <x:c r="A21" s="29" t="str">
        <x:v>SCA-02</x:v>
      </x:c>
      <x:c r="B21" s="29" t="str">
        <x:v>02158</x:v>
      </x:c>
      <x:c r="C21" s="29" t="str">
        <x:v>AK</x:v>
      </x:c>
      <x:c r="D21" s="29" t="str">
        <x:v>Kusilvak Census Area</x:v>
      </x:c>
      <x:c r="E21" s="41" t="n">
        <x:v>7932</x:v>
      </x:c>
      <x:c r="F21" s="56" t="n">
        <x:v>62.283555</x:v>
      </x:c>
      <x:c r="G21" s="56" t="n">
        <x:v>-163.190154</x:v>
      </x:c>
      <x:c r="H21" s="44" t="n">
        <x:f>E21/SUMIF(A:A,A21,E:E)</x:f>
        <x:v>0.010758609464646601</x:v>
      </x:c>
    </x:row>
    <x:row r="22" ht="32.400001525878906" hidden="0" customHeight="1">
      <x:c r="A22" s="27" t="str">
        <x:v>SCA-02</x:v>
      </x:c>
      <x:c r="B22" s="27" t="str">
        <x:v>02240</x:v>
      </x:c>
      <x:c r="C22" s="27" t="str">
        <x:v>AK</x:v>
      </x:c>
      <x:c r="D22" s="27" t="str">
        <x:v>Southeast Fairbanks Census Area</x:v>
      </x:c>
      <x:c r="E22" s="40" t="n">
        <x:v>7270</x:v>
      </x:c>
      <x:c r="F22" s="55" t="n">
        <x:v>63.864997</x:v>
      </x:c>
      <x:c r="G22" s="55" t="n">
        <x:v>-143.218628</x:v>
      </x:c>
      <x:c r="H22" s="43" t="n">
        <x:f>E22/SUMIF(A:A,A22,E:E)</x:f>
        <x:v>0.00986070232072375</x:v>
      </x:c>
    </x:row>
    <x:row r="23" ht="32.400001525878906" hidden="0" customHeight="1">
      <x:c r="A23" s="29" t="str">
        <x:v>SCA-02</x:v>
      </x:c>
      <x:c r="B23" s="29" t="str">
        <x:v>02188</x:v>
      </x:c>
      <x:c r="C23" s="29" t="str">
        <x:v>AK</x:v>
      </x:c>
      <x:c r="D23" s="29" t="str">
        <x:v>Northwest Arctic Borough</x:v>
      </x:c>
      <x:c r="E23" s="41" t="n">
        <x:v>7095</x:v>
      </x:c>
      <x:c r="F23" s="56" t="n">
        <x:v>67.005066</x:v>
      </x:c>
      <x:c r="G23" s="56" t="n">
        <x:v>-160.021086</x:v>
      </x:c>
      <x:c r="H23" s="44" t="n">
        <x:f>E23/SUMIF(A:A,A23,E:E)</x:f>
        <x:v>0.009623340160321184</x:v>
      </x:c>
    </x:row>
    <x:row r="24" ht="21.600000381469727" hidden="0" customHeight="1">
      <x:c r="A24" s="27" t="str">
        <x:v>SCA-02</x:v>
      </x:c>
      <x:c r="B24" s="27" t="str">
        <x:v>02063</x:v>
      </x:c>
      <x:c r="C24" s="27" t="str">
        <x:v>AK</x:v>
      </x:c>
      <x:c r="D24" s="27" t="str">
        <x:v>Chugach Census Area</x:v>
      </x:c>
      <x:c r="E24" s="40" t="n">
        <x:v>6553</x:v>
      </x:c>
      <x:c r="F24" s="55" t="n">
        <x:v>60.488474</x:v>
      </x:c>
      <x:c r="G24" s="55" t="n">
        <x:v>-146.20309</x:v>
      </x:c>
      <x:c r="H24" s="43" t="n">
        <x:f>E24/SUMIF(A:A,A24,E:E)</x:f>
        <x:v>0.00888819564067438</x:v>
      </x:c>
    </x:row>
    <x:row r="25" ht="32.400001525878906" hidden="0" customHeight="1">
      <x:c r="A25" s="29" t="str">
        <x:v>SCA-02</x:v>
      </x:c>
      <x:c r="B25" s="29" t="str">
        <x:v>02198</x:v>
      </x:c>
      <x:c r="C25" s="29" t="str">
        <x:v>AK</x:v>
      </x:c>
      <x:c r="D25" s="29" t="str">
        <x:v>Prince of Wales-Hyder Census Area</x:v>
      </x:c>
      <x:c r="E25" s="41" t="n">
        <x:v>5777</x:v>
      </x:c>
      <x:c r="F25" s="56" t="n">
        <x:v>55.682773</x:v>
      </x:c>
      <x:c r="G25" s="56" t="n">
        <x:v>-133.162389</x:v>
      </x:c>
      <x:c r="H25" s="44" t="n">
        <x:f>E25/SUMIF(A:A,A25,E:E)</x:f>
        <x:v>0.007835664003689286</x:v>
      </x:c>
    </x:row>
    <x:row r="26" ht="32.400001525878906" hidden="0" customHeight="1">
      <x:c r="A26" s="27" t="str">
        <x:v>SCA-02</x:v>
      </x:c>
      <x:c r="B26" s="27" t="str">
        <x:v>02016</x:v>
      </x:c>
      <x:c r="C26" s="27" t="str">
        <x:v>AK</x:v>
      </x:c>
      <x:c r="D26" s="27" t="str">
        <x:v>Aleutians West Census Area</x:v>
      </x:c>
      <x:c r="E26" s="40" t="n">
        <x:v>5240</x:v>
      </x:c>
      <x:c r="F26" s="55" t="n">
        <x:v>51.948964</x:v>
      </x:c>
      <x:c r="G26" s="55" t="n">
        <x:v>179.621188</x:v>
      </x:c>
      <x:c r="H26" s="43" t="n">
        <x:f>E26/SUMIF(A:A,A26,E:E)</x:f>
        <x:v>0.007107301260053983</x:v>
      </x:c>
    </x:row>
    <x:row r="27" ht="32.400001525878906" hidden="0" customHeight="1">
      <x:c r="A27" s="29" t="str">
        <x:v>SCA-02</x:v>
      </x:c>
      <x:c r="B27" s="29" t="str">
        <x:v>02290</x:v>
      </x:c>
      <x:c r="C27" s="29" t="str">
        <x:v>AK</x:v>
      </x:c>
      <x:c r="D27" s="29" t="str">
        <x:v>Yukon-Koyukuk Census Area</x:v>
      </x:c>
      <x:c r="E27" s="41" t="n">
        <x:v>5028</x:v>
      </x:c>
      <x:c r="F27" s="56" t="n">
        <x:v>65.375656</x:v>
      </x:c>
      <x:c r="G27" s="56" t="n">
        <x:v>-151.578176</x:v>
      </x:c>
      <x:c r="H27" s="44" t="n">
        <x:f>E27/SUMIF(A:A,A27,E:E)</x:f>
        <x:v>0.006819753957166302</x:v>
      </x:c>
    </x:row>
    <x:row r="28" ht="21.600000381469727" hidden="0" customHeight="1">
      <x:c r="A28" s="27" t="str">
        <x:v>SCA-02</x:v>
      </x:c>
      <x:c r="B28" s="27" t="str">
        <x:v>02070</x:v>
      </x:c>
      <x:c r="C28" s="27" t="str">
        <x:v>AK</x:v>
      </x:c>
      <x:c r="D28" s="27" t="str">
        <x:v>Dillingham Census Area</x:v>
      </x:c>
      <x:c r="E28" s="40" t="n">
        <x:v>4483</x:v>
      </x:c>
      <x:c r="F28" s="55" t="n">
        <x:v>59.543326</x:v>
      </x:c>
      <x:c r="G28" s="55" t="n">
        <x:v>-158.267123</x:v>
      </x:c>
      <x:c r="H28" s="43" t="n">
        <x:f>E28/SUMIF(A:A,A28,E:E)</x:f>
        <x:v>0.006080540371912597</x:v>
      </x:c>
    </x:row>
    <x:row r="29" ht="32.400001525878906" hidden="0" customHeight="1">
      <x:c r="A29" s="29" t="str">
        <x:v>SCA-02</x:v>
      </x:c>
      <x:c r="B29" s="29" t="str">
        <x:v>02013</x:v>
      </x:c>
      <x:c r="C29" s="29" t="str">
        <x:v>AK</x:v>
      </x:c>
      <x:c r="D29" s="29" t="str">
        <x:v>Aleutians East Borough</x:v>
      </x:c>
      <x:c r="E29" s="41" t="n">
        <x:v>3479</x:v>
      </x:c>
      <x:c r="F29" s="56" t="n">
        <x:v>55.245044</x:v>
      </x:c>
      <x:c r="G29" s="56" t="n">
        <x:v>-161.997477</x:v>
      </x:c>
      <x:c r="H29" s="44" t="n">
        <x:f>E29/SUMIF(A:A,A29,E:E)</x:f>
        <x:v>0.0047187597488030164</x:v>
      </x:c>
    </x:row>
    <x:row r="30" ht="21.600000381469727" hidden="0" customHeight="1">
      <x:c r="A30" s="27" t="str">
        <x:v>SCA-02</x:v>
      </x:c>
      <x:c r="B30" s="27" t="str">
        <x:v>02195</x:v>
      </x:c>
      <x:c r="C30" s="27" t="str">
        <x:v>AK</x:v>
      </x:c>
      <x:c r="D30" s="27" t="str">
        <x:v>Petersburg Borough</x:v>
      </x:c>
      <x:c r="E30" s="40" t="n">
        <x:v>3394</x:v>
      </x:c>
      <x:c r="F30" s="55" t="n">
        <x:v>57.112458</x:v>
      </x:c>
      <x:c r="G30" s="55" t="n">
        <x:v>-133.008598</x:v>
      </x:c>
      <x:c r="H30" s="43" t="n">
        <x:f>E30/SUMIF(A:A,A30,E:E)</x:f>
        <x:v>0.004603469556607485</x:v>
      </x:c>
    </x:row>
    <x:row r="31" ht="21.600000381469727" hidden="0" customHeight="1">
      <x:c r="A31" s="29" t="str">
        <x:v>SCA-02</x:v>
      </x:c>
      <x:c r="B31" s="29" t="str">
        <x:v>02066</x:v>
      </x:c>
      <x:c r="C31" s="29" t="str">
        <x:v>AK</x:v>
      </x:c>
      <x:c r="D31" s="29" t="str">
        <x:v>Copper River Census Area</x:v>
      </x:c>
      <x:c r="E31" s="41" t="n">
        <x:v>2666</x:v>
      </x:c>
      <x:c r="F31" s="56" t="n">
        <x:v>62.034479</x:v>
      </x:c>
      <x:c r="G31" s="56" t="n">
        <x:v>-143.922167</x:v>
      </x:c>
      <x:c r="H31" s="44" t="n">
        <x:f>E31/SUMIF(A:A,A31,E:E)</x:f>
        <x:v>0.0036160429693328088</x:v>
      </x:c>
    </x:row>
    <x:row r="32" ht="32.400001525878906" hidden="0" customHeight="1">
      <x:c r="A32" s="27" t="str">
        <x:v>SCA-02</x:v>
      </x:c>
      <x:c r="B32" s="27" t="str">
        <x:v>02105</x:v>
      </x:c>
      <x:c r="C32" s="27" t="str">
        <x:v>AK</x:v>
      </x:c>
      <x:c r="D32" s="27" t="str">
        <x:v>Hoonah-Angoon Census Area</x:v>
      </x:c>
      <x:c r="E32" s="40" t="n">
        <x:v>2271</x:v>
      </x:c>
      <x:c r="F32" s="55" t="n">
        <x:v>58.403336</x:v>
      </x:c>
      <x:c r="G32" s="55" t="n">
        <x:v>-135.884909</x:v>
      </x:c>
      <x:c r="H32" s="43" t="n">
        <x:f>E32/SUMIF(A:A,A32,E:E)</x:f>
        <x:v>0.0030802826644241595</x:v>
      </x:c>
    </x:row>
    <x:row r="33" ht="21.600000381469727" hidden="0" customHeight="1">
      <x:c r="A33" s="29" t="str">
        <x:v>SCA-02</x:v>
      </x:c>
      <x:c r="B33" s="29" t="str">
        <x:v>02100</x:v>
      </x:c>
      <x:c r="C33" s="29" t="str">
        <x:v>AK</x:v>
      </x:c>
      <x:c r="D33" s="29" t="str">
        <x:v>Haines Borough</x:v>
      </x:c>
      <x:c r="E33" s="41" t="n">
        <x:v>2068</x:v>
      </x:c>
      <x:c r="F33" s="56" t="n">
        <x:v>59.098404</x:v>
      </x:c>
      <x:c r="G33" s="56" t="n">
        <x:v>-135.575791</x:v>
      </x:c>
      <x:c r="H33" s="44" t="n">
        <x:f>E33/SUMIF(A:A,A33,E:E)</x:f>
        <x:v>0.0028049425583571825</x:v>
      </x:c>
    </x:row>
    <x:row r="34" ht="21.600000381469727" hidden="0" customHeight="1">
      <x:c r="A34" s="27" t="str">
        <x:v>SCA-02</x:v>
      </x:c>
      <x:c r="B34" s="27" t="str">
        <x:v>02275</x:v>
      </x:c>
      <x:c r="C34" s="27" t="str">
        <x:v>AK</x:v>
      </x:c>
      <x:c r="D34" s="27" t="str">
        <x:v>Wrangell City and Borough</x:v>
      </x:c>
      <x:c r="E34" s="40" t="n">
        <x:v>2007</x:v>
      </x:c>
      <x:c r="F34" s="55" t="n">
        <x:v>56.180779</x:v>
      </x:c>
      <x:c r="G34" s="55" t="n">
        <x:v>-132.026788</x:v>
      </x:c>
      <x:c r="H34" s="43" t="n">
        <x:f>E34/SUMIF(A:A,A34,E:E)</x:f>
        <x:v>0.0027222048910168595</x:v>
      </x:c>
    </x:row>
    <x:row r="35" ht="21.600000381469727" hidden="0" customHeight="1">
      <x:c r="A35" s="29" t="str">
        <x:v>SCA-02</x:v>
      </x:c>
      <x:c r="B35" s="29" t="str">
        <x:v>02068</x:v>
      </x:c>
      <x:c r="C35" s="29" t="str">
        <x:v>AK</x:v>
      </x:c>
      <x:c r="D35" s="29" t="str">
        <x:v>Denali Borough</x:v>
      </x:c>
      <x:c r="E35" s="41" t="n">
        <x:v>1616</x:v>
      </x:c>
      <x:c r="F35" s="56" t="n">
        <x:v>63.682039</x:v>
      </x:c>
      <x:c r="G35" s="56" t="n">
        <x:v>-150.027016</x:v>
      </x:c>
      <x:c r="H35" s="44" t="n">
        <x:f>E35/SUMIF(A:A,A35,E:E)</x:f>
        <x:v>0.0021918700069174114</x:v>
      </x:c>
    </x:row>
    <x:row r="36" ht="32.400001525878906" hidden="0" customHeight="1">
      <x:c r="A36" s="27" t="str">
        <x:v>SCA-02</x:v>
      </x:c>
      <x:c r="B36" s="27" t="str">
        <x:v>02164</x:v>
      </x:c>
      <x:c r="C36" s="27" t="str">
        <x:v>AK</x:v>
      </x:c>
      <x:c r="D36" s="27" t="str">
        <x:v>Lake and Peninsula Borough</x:v>
      </x:c>
      <x:c r="E36" s="40" t="n">
        <x:v>1357</x:v>
      </x:c>
      <x:c r="F36" s="55" t="n">
        <x:v>58.108507</x:v>
      </x:c>
      <x:c r="G36" s="55" t="n">
        <x:v>-156.413413</x:v>
      </x:c>
      <x:c r="H36" s="43" t="n">
        <x:f>E36/SUMIF(A:A,A36,E:E)</x:f>
        <x:v>0.0018405740095216135</x:v>
      </x:c>
    </x:row>
    <x:row r="37" ht="21.600000381469727" hidden="0" customHeight="1">
      <x:c r="A37" s="29" t="str">
        <x:v>SCA-02</x:v>
      </x:c>
      <x:c r="B37" s="29" t="str">
        <x:v>02230</x:v>
      </x:c>
      <x:c r="C37" s="29" t="str">
        <x:v>AK</x:v>
      </x:c>
      <x:c r="D37" s="29" t="str">
        <x:v>Skagway Municipality</x:v>
      </x:c>
      <x:c r="E37" s="41" t="n">
        <x:v>1104</x:v>
      </x:c>
      <x:c r="F37" s="56" t="n">
        <x:v>59.560379</x:v>
      </x:c>
      <x:c r="G37" s="56" t="n">
        <x:v>-135.338279</x:v>
      </x:c>
      <x:c r="H37" s="44" t="n">
        <x:f>E37/SUMIF(A:A,A37,E:E)</x:f>
        <x:v>0.0014974161433396178</x:v>
      </x:c>
    </x:row>
    <x:row r="38" ht="21.600000381469727" hidden="0" customHeight="1">
      <x:c r="A38" s="27" t="str">
        <x:v>SCA-02</x:v>
      </x:c>
      <x:c r="B38" s="27" t="str">
        <x:v>02060</x:v>
      </x:c>
      <x:c r="C38" s="27" t="str">
        <x:v>AK</x:v>
      </x:c>
      <x:c r="D38" s="27" t="str">
        <x:v>Bristol Bay Borough</x:v>
      </x:c>
      <x:c r="E38" s="40" t="n">
        <x:v>847</x:v>
      </x:c>
      <x:c r="F38" s="55" t="n">
        <x:v>58.730546</x:v>
      </x:c>
      <x:c r="G38" s="55" t="n">
        <x:v>-156.994473</x:v>
      </x:c>
      <x:c r="H38" s="43" t="n">
        <x:f>E38/SUMIF(A:A,A38,E:E)</x:f>
        <x:v>0.0011488328563484206</x:v>
      </x:c>
    </x:row>
    <x:row r="39" ht="21.600000381469727" hidden="0" customHeight="1">
      <x:c r="A39" s="29" t="str">
        <x:v>SCA-02</x:v>
      </x:c>
      <x:c r="B39" s="29" t="str">
        <x:v>02282</x:v>
      </x:c>
      <x:c r="C39" s="29" t="str">
        <x:v>AK</x:v>
      </x:c>
      <x:c r="D39" s="29" t="str">
        <x:v>Yakutat City and Borough</x:v>
      </x:c>
      <x:c r="E39" s="41" t="n">
        <x:v>672</x:v>
      </x:c>
      <x:c r="F39" s="56" t="n">
        <x:v>60.017508</x:v>
      </x:c>
      <x:c r="G39" s="56" t="n">
        <x:v>-140.416847</x:v>
      </x:c>
      <x:c r="H39" s="44" t="n">
        <x:f>E39/SUMIF(A:A,A39,E:E)</x:f>
        <x:v>0.0009114706959458543</x:v>
      </x:c>
    </x:row>
    <x:row r="40" ht="15" hidden="0" customHeight="1">
      <x:c r="A40" s="27" t="str">
        <x:v>SCA-03</x:v>
      </x:c>
      <x:c r="B40" s="27" t="str">
        <x:v>53033</x:v>
      </x:c>
      <x:c r="C40" s="27" t="str">
        <x:v>WA</x:v>
      </x:c>
      <x:c r="D40" s="27" t="str">
        <x:v>King County</x:v>
      </x:c>
      <x:c r="E40" s="40" t="n">
        <x:v>2344939</x:v>
      </x:c>
      <x:c r="F40" s="55" t="n">
        <x:v>47.490552</x:v>
      </x:c>
      <x:c r="G40" s="55" t="n">
        <x:v>-121.833977</x:v>
      </x:c>
      <x:c r="H40" s="43" t="n">
        <x:f>E40/SUMIF(A:A,A40,E:E)</x:f>
        <x:v>0.19592903190659866</x:v>
      </x:c>
    </x:row>
    <x:row r="41" ht="21.600000381469727" hidden="0" customHeight="1">
      <x:c r="A41" s="29" t="str">
        <x:v>SCA-03</x:v>
      </x:c>
      <x:c r="B41" s="29" t="str">
        <x:v>53053</x:v>
      </x:c>
      <x:c r="C41" s="29" t="str">
        <x:v>WA</x:v>
      </x:c>
      <x:c r="D41" s="29" t="str">
        <x:v>Pierce County</x:v>
      </x:c>
      <x:c r="E41" s="41" t="n">
        <x:v>946288</x:v>
      </x:c>
      <x:c r="F41" s="56" t="n">
        <x:v>47.051413</x:v>
      </x:c>
      <x:c r="G41" s="56" t="n">
        <x:v>-122.15324</x:v>
      </x:c>
      <x:c r="H41" s="44" t="n">
        <x:f>E41/SUMIF(A:A,A41,E:E)</x:f>
        <x:v>0.07906614702763332</x:v>
      </x:c>
    </x:row>
    <x:row r="42" ht="21.600000381469727" hidden="0" customHeight="1">
      <x:c r="A42" s="27" t="str">
        <x:v>SCA-03</x:v>
      </x:c>
      <x:c r="B42" s="27" t="str">
        <x:v>53061</x:v>
      </x:c>
      <x:c r="C42" s="27" t="str">
        <x:v>WA</x:v>
      </x:c>
      <x:c r="D42" s="27" t="str">
        <x:v>Snohomish County</x:v>
      </x:c>
      <x:c r="E42" s="40" t="n">
        <x:v>870656</x:v>
      </x:c>
      <x:c r="F42" s="55" t="n">
        <x:v>48.054913</x:v>
      </x:c>
      <x:c r="G42" s="55" t="n">
        <x:v>-121.765038</x:v>
      </x:c>
      <x:c r="H42" s="43" t="n">
        <x:f>E42/SUMIF(A:A,A42,E:E)</x:f>
        <x:v>0.07274679094154328</x:v>
      </x:c>
    </x:row>
    <x:row r="43" ht="21.600000381469727" hidden="0" customHeight="1">
      <x:c r="A43" s="29" t="str">
        <x:v>SCA-03</x:v>
      </x:c>
      <x:c r="B43" s="29" t="str">
        <x:v>41051</x:v>
      </x:c>
      <x:c r="C43" s="29" t="str">
        <x:v>OR</x:v>
      </x:c>
      <x:c r="D43" s="29" t="str">
        <x:v>Multnomah County</x:v>
      </x:c>
      <x:c r="E43" s="41" t="n">
        <x:v>795391</x:v>
      </x:c>
      <x:c r="F43" s="56" t="n">
        <x:v>45.547711</x:v>
      </x:c>
      <x:c r="G43" s="56" t="n">
        <x:v>-122.417363</x:v>
      </x:c>
      <x:c r="H43" s="44" t="n">
        <x:f>E43/SUMIF(A:A,A43,E:E)</x:f>
        <x:v>0.06645809917324988</x:v>
      </x:c>
    </x:row>
    <x:row r="44" ht="21.600000381469727" hidden="0" customHeight="1">
      <x:c r="A44" s="27" t="str">
        <x:v>SCA-03</x:v>
      </x:c>
      <x:c r="B44" s="27" t="str">
        <x:v>41067</x:v>
      </x:c>
      <x:c r="C44" s="27" t="str">
        <x:v>OR</x:v>
      </x:c>
      <x:c r="D44" s="27" t="str">
        <x:v>Washington County</x:v>
      </x:c>
      <x:c r="E44" s="40" t="n">
        <x:v>611708</x:v>
      </x:c>
      <x:c r="F44" s="55" t="n">
        <x:v>45.553542</x:v>
      </x:c>
      <x:c r="G44" s="55" t="n">
        <x:v>-123.097615</x:v>
      </x:c>
      <x:c r="H44" s="43" t="n">
        <x:f>E44/SUMIF(A:A,A44,E:E)</x:f>
        <x:v>0.05111064989303417</x:v>
      </x:c>
    </x:row>
    <x:row r="45" ht="21.600000381469727" hidden="0" customHeight="1">
      <x:c r="A45" s="29" t="str">
        <x:v>SCA-03</x:v>
      </x:c>
      <x:c r="B45" s="29" t="str">
        <x:v>53063</x:v>
      </x:c>
      <x:c r="C45" s="29" t="str">
        <x:v>WA</x:v>
      </x:c>
      <x:c r="D45" s="29" t="str">
        <x:v>Spokane County</x:v>
      </x:c>
      <x:c r="E45" s="41" t="n">
        <x:v>558344</x:v>
      </x:c>
      <x:c r="F45" s="56" t="n">
        <x:v>47.620375</x:v>
      </x:c>
      <x:c r="G45" s="56" t="n">
        <x:v>-117.403371</x:v>
      </x:c>
      <x:c r="H45" s="44" t="n">
        <x:f>E45/SUMIF(A:A,A45,E:E)</x:f>
        <x:v>0.04665187426660477</x:v>
      </x:c>
    </x:row>
    <x:row r="46" ht="15" hidden="0" customHeight="1">
      <x:c r="A46" s="27" t="str">
        <x:v>SCA-03</x:v>
      </x:c>
      <x:c r="B46" s="27" t="str">
        <x:v>53011</x:v>
      </x:c>
      <x:c r="C46" s="27" t="str">
        <x:v>WA</x:v>
      </x:c>
      <x:c r="D46" s="27" t="str">
        <x:v>Clark County</x:v>
      </x:c>
      <x:c r="E46" s="40" t="n">
        <x:v>532119</x:v>
      </x:c>
      <x:c r="F46" s="55" t="n">
        <x:v>45.77173</x:v>
      </x:c>
      <x:c r="G46" s="55" t="n">
        <x:v>-122.485953</x:v>
      </x:c>
      <x:c r="H46" s="43" t="n">
        <x:f>E46/SUMIF(A:A,A46,E:E)</x:f>
        <x:v>0.04446067063113683</x:v>
      </x:c>
    </x:row>
    <x:row r="47" ht="21.600000381469727" hidden="0" customHeight="1">
      <x:c r="A47" s="29" t="str">
        <x:v>SCA-03</x:v>
      </x:c>
      <x:c r="B47" s="29" t="str">
        <x:v>41005</x:v>
      </x:c>
      <x:c r="C47" s="29" t="str">
        <x:v>OR</x:v>
      </x:c>
      <x:c r="D47" s="29" t="str">
        <x:v>Clackamas County</x:v>
      </x:c>
      <x:c r="E47" s="41" t="n">
        <x:v>426280</x:v>
      </x:c>
      <x:c r="F47" s="56" t="n">
        <x:v>45.160493</x:v>
      </x:c>
      <x:c r="G47" s="56" t="n">
        <x:v>-122.195127</x:v>
      </x:c>
      <x:c r="H47" s="44" t="n">
        <x:f>E47/SUMIF(A:A,A47,E:E)</x:f>
        <x:v>0.03561739888378541</x:v>
      </x:c>
    </x:row>
    <x:row r="48" ht="15" hidden="0" customHeight="1">
      <x:c r="A48" s="27" t="str">
        <x:v>SCA-03</x:v>
      </x:c>
      <x:c r="B48" s="27" t="str">
        <x:v>41039</x:v>
      </x:c>
      <x:c r="C48" s="27" t="str">
        <x:v>OR</x:v>
      </x:c>
      <x:c r="D48" s="27" t="str">
        <x:v>Lane County</x:v>
      </x:c>
      <x:c r="E48" s="40" t="n">
        <x:v>381584</x:v>
      </x:c>
      <x:c r="F48" s="55" t="n">
        <x:v>43.928334</x:v>
      </x:c>
      <x:c r="G48" s="55" t="n">
        <x:v>-122.897581</x:v>
      </x:c>
      <x:c r="H48" s="43" t="n">
        <x:f>E48/SUMIF(A:A,A48,E:E)</x:f>
        <x:v>0.03188286932455281</x:v>
      </x:c>
    </x:row>
    <x:row r="49" ht="21.600000381469727" hidden="0" customHeight="1">
      <x:c r="A49" s="29" t="str">
        <x:v>SCA-03</x:v>
      </x:c>
      <x:c r="B49" s="29" t="str">
        <x:v>41047</x:v>
      </x:c>
      <x:c r="C49" s="29" t="str">
        <x:v>OR</x:v>
      </x:c>
      <x:c r="D49" s="29" t="str">
        <x:v>Marion County</x:v>
      </x:c>
      <x:c r="E49" s="41" t="n">
        <x:v>355777</x:v>
      </x:c>
      <x:c r="F49" s="56" t="n">
        <x:v>44.900898</x:v>
      </x:c>
      <x:c r="G49" s="56" t="n">
        <x:v>-122.57626</x:v>
      </x:c>
      <x:c r="H49" s="44" t="n">
        <x:f>E49/SUMIF(A:A,A49,E:E)</x:f>
        <x:v>0.029726591260853245</x:v>
      </x:c>
    </x:row>
    <x:row r="50" ht="21.600000381469727" hidden="0" customHeight="1">
      <x:c r="A50" s="27" t="str">
        <x:v>SCA-03</x:v>
      </x:c>
      <x:c r="B50" s="27" t="str">
        <x:v>53067</x:v>
      </x:c>
      <x:c r="C50" s="27" t="str">
        <x:v>WA</x:v>
      </x:c>
      <x:c r="D50" s="27" t="str">
        <x:v>Thurston County</x:v>
      </x:c>
      <x:c r="E50" s="40" t="n">
        <x:v>304261</x:v>
      </x:c>
      <x:c r="F50" s="55" t="n">
        <x:v>46.935822</x:v>
      </x:c>
      <x:c r="G50" s="55" t="n">
        <x:v>-122.830152</x:v>
      </x:c>
      <x:c r="H50" s="43" t="n">
        <x:f>E50/SUMIF(A:A,A50,E:E)</x:f>
        <x:v>0.025422223425399813</x:v>
      </x:c>
    </x:row>
    <x:row r="51" ht="21.600000381469727" hidden="0" customHeight="1">
      <x:c r="A51" s="29" t="str">
        <x:v>SCA-03</x:v>
      </x:c>
      <x:c r="B51" s="29" t="str">
        <x:v>53035</x:v>
      </x:c>
      <x:c r="C51" s="29" t="str">
        <x:v>WA</x:v>
      </x:c>
      <x:c r="D51" s="29" t="str">
        <x:v>Kitsap County</x:v>
      </x:c>
      <x:c r="E51" s="41" t="n">
        <x:v>283374</x:v>
      </x:c>
      <x:c r="F51" s="56" t="n">
        <x:v>47.639687</x:v>
      </x:c>
      <x:c r="G51" s="56" t="n">
        <x:v>-122.649636</x:v>
      </x:c>
      <x:c r="H51" s="44" t="n">
        <x:f>E51/SUMIF(A:A,A51,E:E)</x:f>
        <x:v>0.02367703103897393</x:v>
      </x:c>
    </x:row>
    <x:row r="52" ht="21.600000381469727" hidden="0" customHeight="1">
      <x:c r="A52" s="27" t="str">
        <x:v>SCA-03</x:v>
      </x:c>
      <x:c r="B52" s="27" t="str">
        <x:v>53077</x:v>
      </x:c>
      <x:c r="C52" s="27" t="str">
        <x:v>WA</x:v>
      </x:c>
      <x:c r="D52" s="27" t="str">
        <x:v>Yakima County</x:v>
      </x:c>
      <x:c r="E52" s="40" t="n">
        <x:v>259185</x:v>
      </x:c>
      <x:c r="F52" s="55" t="n">
        <x:v>46.456558</x:v>
      </x:c>
      <x:c r="G52" s="55" t="n">
        <x:v>-120.740145</x:v>
      </x:c>
      <x:c r="H52" s="43" t="n">
        <x:f>E52/SUMIF(A:A,A52,E:E)</x:f>
        <x:v>0.021655943346377785</x:v>
      </x:c>
    </x:row>
    <x:row r="53" ht="21.600000381469727" hidden="0" customHeight="1">
      <x:c r="A53" s="29" t="str">
        <x:v>SCA-03</x:v>
      </x:c>
      <x:c r="B53" s="29" t="str">
        <x:v>53073</x:v>
      </x:c>
      <x:c r="C53" s="29" t="str">
        <x:v>WA</x:v>
      </x:c>
      <x:c r="D53" s="29" t="str">
        <x:v>Whatcom County</x:v>
      </x:c>
      <x:c r="E53" s="41" t="n">
        <x:v>236392</x:v>
      </x:c>
      <x:c r="F53" s="56" t="n">
        <x:v>48.842653</x:v>
      </x:c>
      <x:c r="G53" s="56" t="n">
        <x:v>-121.836432</x:v>
      </x:c>
      <x:c r="H53" s="44" t="n">
        <x:f>E53/SUMIF(A:A,A53,E:E)</x:f>
        <x:v>0.01975149703700807</x:v>
      </x:c>
    </x:row>
    <x:row r="54" ht="21.600000381469727" hidden="0" customHeight="1">
      <x:c r="A54" s="27" t="str">
        <x:v>SCA-03</x:v>
      </x:c>
      <x:c r="B54" s="27" t="str">
        <x:v>53005</x:v>
      </x:c>
      <x:c r="C54" s="27" t="str">
        <x:v>WA</x:v>
      </x:c>
      <x:c r="D54" s="27" t="str">
        <x:v>Benton County</x:v>
      </x:c>
      <x:c r="E54" s="40" t="n">
        <x:v>221722</x:v>
      </x:c>
      <x:c r="F54" s="55" t="n">
        <x:v>46.228125</x:v>
      </x:c>
      <x:c r="G54" s="55" t="n">
        <x:v>-119.516659</x:v>
      </x:c>
      <x:c r="H54" s="43" t="n">
        <x:f>E54/SUMIF(A:A,A54,E:E)</x:f>
        <x:v>0.01852575986513716</x:v>
      </x:c>
    </x:row>
    <x:row r="55" ht="21.600000381469727" hidden="0" customHeight="1">
      <x:c r="A55" s="29" t="str">
        <x:v>SCA-03</x:v>
      </x:c>
      <x:c r="B55" s="29" t="str">
        <x:v>41017</x:v>
      </x:c>
      <x:c r="C55" s="29" t="str">
        <x:v>OR</x:v>
      </x:c>
      <x:c r="D55" s="29" t="str">
        <x:v>Deschutes County</x:v>
      </x:c>
      <x:c r="E55" s="41" t="n">
        <x:v>213072</x:v>
      </x:c>
      <x:c r="F55" s="56" t="n">
        <x:v>43.915118</x:v>
      </x:c>
      <x:c r="G55" s="56" t="n">
        <x:v>-121.225575</x:v>
      </x:c>
      <x:c r="H55" s="44" t="n">
        <x:f>E55/SUMIF(A:A,A55,E:E)</x:f>
        <x:v>0.017803017769930388</x:v>
      </x:c>
    </x:row>
    <x:row r="56" ht="21.600000381469727" hidden="0" customHeight="1">
      <x:c r="A56" s="27" t="str">
        <x:v>SCA-03</x:v>
      </x:c>
      <x:c r="B56" s="27" t="str">
        <x:v>16055</x:v>
      </x:c>
      <x:c r="C56" s="27" t="str">
        <x:v>ID</x:v>
      </x:c>
      <x:c r="D56" s="27" t="str">
        <x:v>Kootenai County</x:v>
      </x:c>
      <x:c r="E56" s="40" t="n">
        <x:v>191864</x:v>
      </x:c>
      <x:c r="F56" s="55" t="n">
        <x:v>47.67596</x:v>
      </x:c>
      <x:c r="G56" s="55" t="n">
        <x:v>-116.695861</x:v>
      </x:c>
      <x:c r="H56" s="43" t="n">
        <x:f>E56/SUMIF(A:A,A56,E:E)</x:f>
        <x:v>0.016031004549682377</x:v>
      </x:c>
    </x:row>
    <x:row r="57" ht="21.600000381469727" hidden="0" customHeight="1">
      <x:c r="A57" s="29" t="str">
        <x:v>SCA-03</x:v>
      </x:c>
      <x:c r="B57" s="29" t="str">
        <x:v>53057</x:v>
      </x:c>
      <x:c r="C57" s="29" t="str">
        <x:v>WA</x:v>
      </x:c>
      <x:c r="D57" s="29" t="str">
        <x:v>Skagit County</x:v>
      </x:c>
      <x:c r="E57" s="41" t="n">
        <x:v>132975</x:v>
      </x:c>
      <x:c r="F57" s="56" t="n">
        <x:v>48.493292</x:v>
      </x:c>
      <x:c r="G57" s="56" t="n">
        <x:v>-121.81577</x:v>
      </x:c>
      <x:c r="H57" s="44" t="n">
        <x:f>E57/SUMIF(A:A,A57,E:E)</x:f>
        <x:v>0.011110593076314547</x:v>
      </x:c>
    </x:row>
    <x:row r="58" ht="15" hidden="0" customHeight="1">
      <x:c r="A58" s="27" t="str">
        <x:v>SCA-03</x:v>
      </x:c>
      <x:c r="B58" s="27" t="str">
        <x:v>41043</x:v>
      </x:c>
      <x:c r="C58" s="27" t="str">
        <x:v>OR</x:v>
      </x:c>
      <x:c r="D58" s="27" t="str">
        <x:v>Linn County</x:v>
      </x:c>
      <x:c r="E58" s="40" t="n">
        <x:v>132843</x:v>
      </x:c>
      <x:c r="F58" s="55" t="n">
        <x:v>44.488898</x:v>
      </x:c>
      <x:c r="G58" s="55" t="n">
        <x:v>-122.537208</x:v>
      </x:c>
      <x:c r="H58" s="43" t="n">
        <x:f>E58/SUMIF(A:A,A58,E:E)</x:f>
        <x:v>0.011099563948387691</x:v>
      </x:c>
    </x:row>
    <x:row r="59" ht="21.600000381469727" hidden="0" customHeight="1">
      <x:c r="A59" s="29" t="str">
        <x:v>SCA-03</x:v>
      </x:c>
      <x:c r="B59" s="29" t="str">
        <x:v>53015</x:v>
      </x:c>
      <x:c r="C59" s="29" t="str">
        <x:v>WA</x:v>
      </x:c>
      <x:c r="D59" s="29" t="str">
        <x:v>Cowlitz County</x:v>
      </x:c>
      <x:c r="E59" s="41" t="n">
        <x:v>114885</x:v>
      </x:c>
      <x:c r="F59" s="56" t="n">
        <x:v>46.196785</x:v>
      </x:c>
      <x:c r="G59" s="56" t="n">
        <x:v>-122.67846</x:v>
      </x:c>
      <x:c r="H59" s="44" t="n">
        <x:f>E59/SUMIF(A:A,A59,E:E)</x:f>
        <x:v>0.00959910122633876</x:v>
      </x:c>
    </x:row>
    <x:row r="60" ht="21.600000381469727" hidden="0" customHeight="1">
      <x:c r="A60" s="27" t="str">
        <x:v>SCA-03</x:v>
      </x:c>
      <x:c r="B60" s="27" t="str">
        <x:v>41019</x:v>
      </x:c>
      <x:c r="C60" s="27" t="str">
        <x:v>OR</x:v>
      </x:c>
      <x:c r="D60" s="27" t="str">
        <x:v>Douglas County</x:v>
      </x:c>
      <x:c r="E60" s="40" t="n">
        <x:v>111951</x:v>
      </x:c>
      <x:c r="F60" s="55" t="n">
        <x:v>43.286328</x:v>
      </x:c>
      <x:c r="G60" s="55" t="n">
        <x:v>-123.154476</x:v>
      </x:c>
      <x:c r="H60" s="43" t="n">
        <x:f>E60/SUMIF(A:A,A60,E:E)</x:f>
        <x:v>0.009353953791964579</x:v>
      </x:c>
    </x:row>
    <x:row r="61" ht="21.600000381469727" hidden="0" customHeight="1">
      <x:c r="A61" s="29" t="str">
        <x:v>SCA-03</x:v>
      </x:c>
      <x:c r="B61" s="29" t="str">
        <x:v>41071</x:v>
      </x:c>
      <x:c r="C61" s="29" t="str">
        <x:v>OR</x:v>
      </x:c>
      <x:c r="D61" s="29" t="str">
        <x:v>Yamhill County</x:v>
      </x:c>
      <x:c r="E61" s="41" t="n">
        <x:v>110024</x:v>
      </x:c>
      <x:c r="F61" s="56" t="n">
        <x:v>45.247827</x:v>
      </x:c>
      <x:c r="G61" s="56" t="n">
        <x:v>-123.316399</x:v>
      </x:c>
      <x:c r="H61" s="44" t="n">
        <x:f>E61/SUMIF(A:A,A61,E:E)</x:f>
        <x:v>0.009192945235032387</x:v>
      </x:c>
    </x:row>
    <x:row r="62" ht="21.600000381469727" hidden="0" customHeight="1">
      <x:c r="A62" s="27" t="str">
        <x:v>SCA-03</x:v>
      </x:c>
      <x:c r="B62" s="27" t="str">
        <x:v>53025</x:v>
      </x:c>
      <x:c r="C62" s="27" t="str">
        <x:v>WA</x:v>
      </x:c>
      <x:c r="D62" s="27" t="str">
        <x:v>Grant County</x:v>
      </x:c>
      <x:c r="E62" s="40" t="n">
        <x:v>105727</x:v>
      </x:c>
      <x:c r="F62" s="55" t="n">
        <x:v>47.213633</x:v>
      </x:c>
      <x:c r="G62" s="55" t="n">
        <x:v>-119.467788</x:v>
      </x:c>
      <x:c r="H62" s="43" t="n">
        <x:f>E62/SUMIF(A:A,A62,E:E)</x:f>
        <x:v>0.008833913699413484</x:v>
      </x:c>
    </x:row>
    <x:row r="63" ht="21.600000381469727" hidden="0" customHeight="1">
      <x:c r="A63" s="29" t="str">
        <x:v>SCA-03</x:v>
      </x:c>
      <x:c r="B63" s="29" t="str">
        <x:v>53021</x:v>
      </x:c>
      <x:c r="C63" s="29" t="str">
        <x:v>WA</x:v>
      </x:c>
      <x:c r="D63" s="29" t="str">
        <x:v>Franklin County</x:v>
      </x:c>
      <x:c r="E63" s="41" t="n">
        <x:v>102612</x:v>
      </x:c>
      <x:c r="F63" s="56" t="n">
        <x:v>46.537502</x:v>
      </x:c>
      <x:c r="G63" s="56" t="n">
        <x:v>-118.903891</x:v>
      </x:c>
      <x:c r="H63" s="44" t="n">
        <x:f>E63/SUMIF(A:A,A63,E:E)</x:f>
        <x:v>0.0085736429911396</x:v>
      </x:c>
    </x:row>
    <x:row r="64" ht="21.600000381469727" hidden="0" customHeight="1">
      <x:c r="A64" s="27" t="str">
        <x:v>SCA-03</x:v>
      </x:c>
      <x:c r="B64" s="27" t="str">
        <x:v>41003</x:v>
      </x:c>
      <x:c r="C64" s="27" t="str">
        <x:v>OR</x:v>
      </x:c>
      <x:c r="D64" s="27" t="str">
        <x:v>Benton County</x:v>
      </x:c>
      <x:c r="E64" s="40" t="n">
        <x:v>97728</x:v>
      </x:c>
      <x:c r="F64" s="55" t="n">
        <x:v>44.493882</x:v>
      </x:c>
      <x:c r="G64" s="55" t="n">
        <x:v>-123.424664</x:v>
      </x:c>
      <x:c r="H64" s="43" t="n">
        <x:f>E64/SUMIF(A:A,A64,E:E)</x:f>
        <x:v>0.008165565257845972</x:v>
      </x:c>
    </x:row>
    <x:row r="65" ht="15" hidden="0" customHeight="1">
      <x:c r="A65" s="29" t="str">
        <x:v>SCA-03</x:v>
      </x:c>
      <x:c r="B65" s="29" t="str">
        <x:v>41053</x:v>
      </x:c>
      <x:c r="C65" s="29" t="str">
        <x:v>OR</x:v>
      </x:c>
      <x:c r="D65" s="29" t="str">
        <x:v>Polk County</x:v>
      </x:c>
      <x:c r="E65" s="41" t="n">
        <x:v>90037</x:v>
      </x:c>
      <x:c r="F65" s="56" t="n">
        <x:v>44.900372</x:v>
      </x:c>
      <x:c r="G65" s="56" t="n">
        <x:v>-123.39864</x:v>
      </x:c>
      <x:c r="H65" s="44" t="n">
        <x:f>E65/SUMIF(A:A,A65,E:E)</x:f>
        <x:v>0.007522951448107786</x:v>
      </x:c>
    </x:row>
    <x:row r="66" ht="21.600000381469727" hidden="0" customHeight="1">
      <x:c r="A66" s="27" t="str">
        <x:v>SCA-03</x:v>
      </x:c>
      <x:c r="B66" s="27" t="str">
        <x:v>53041</x:v>
      </x:c>
      <x:c r="C66" s="27" t="str">
        <x:v>WA</x:v>
      </x:c>
      <x:c r="D66" s="27" t="str">
        <x:v>Lewis County</x:v>
      </x:c>
      <x:c r="E66" s="40" t="n">
        <x:v>88062</x:v>
      </x:c>
      <x:c r="F66" s="55" t="n">
        <x:v>46.580071</x:v>
      </x:c>
      <x:c r="G66" s="55" t="n">
        <x:v>-122.377444</x:v>
      </x:c>
      <x:c r="H66" s="43" t="n">
        <x:f>E66/SUMIF(A:A,A66,E:E)</x:f>
        <x:v>0.007357932299202193</x:v>
      </x:c>
    </x:row>
    <x:row r="67" ht="21.600000381469727" hidden="0" customHeight="1">
      <x:c r="A67" s="29" t="str">
        <x:v>SCA-03</x:v>
      </x:c>
      <x:c r="B67" s="29" t="str">
        <x:v>53029</x:v>
      </x:c>
      <x:c r="C67" s="29" t="str">
        <x:v>WA</x:v>
      </x:c>
      <x:c r="D67" s="29" t="str">
        <x:v>Island County</x:v>
      </x:c>
      <x:c r="E67" s="41" t="n">
        <x:v>85657</x:v>
      </x:c>
      <x:c r="F67" s="56" t="n">
        <x:v>48.158554</x:v>
      </x:c>
      <x:c r="G67" s="56" t="n">
        <x:v>-122.670649</x:v>
      </x:c>
      <x:c r="H67" s="44" t="n">
        <x:f>E67/SUMIF(A:A,A67,E:E)</x:f>
        <x:v>0.007156984930534876</x:v>
      </x:c>
    </x:row>
    <x:row r="68" ht="21.600000381469727" hidden="0" customHeight="1">
      <x:c r="A68" s="27" t="str">
        <x:v>SCA-03</x:v>
      </x:c>
      <x:c r="B68" s="27" t="str">
        <x:v>53007</x:v>
      </x:c>
      <x:c r="C68" s="27" t="str">
        <x:v>WA</x:v>
      </x:c>
      <x:c r="D68" s="27" t="str">
        <x:v>Chelan County</x:v>
      </x:c>
      <x:c r="E68" s="40" t="n">
        <x:v>81941</x:v>
      </x:c>
      <x:c r="F68" s="55" t="n">
        <x:v>47.860974</x:v>
      </x:c>
      <x:c r="G68" s="55" t="n">
        <x:v>-120.619041</x:v>
      </x:c>
      <x:c r="H68" s="43" t="n">
        <x:f>E68/SUMIF(A:A,A68,E:E)</x:f>
        <x:v>0.006846498268594023</x:v>
      </x:c>
    </x:row>
    <x:row r="69" ht="21.600000381469727" hidden="0" customHeight="1">
      <x:c r="A69" s="29" t="str">
        <x:v>SCA-03</x:v>
      </x:c>
      <x:c r="B69" s="29" t="str">
        <x:v>53009</x:v>
      </x:c>
      <x:c r="C69" s="29" t="str">
        <x:v>WA</x:v>
      </x:c>
      <x:c r="D69" s="29" t="str">
        <x:v>Clallam County</x:v>
      </x:c>
      <x:c r="E69" s="41" t="n">
        <x:v>78202</x:v>
      </x:c>
      <x:c r="F69" s="56" t="n">
        <x:v>48.110903</x:v>
      </x:c>
      <x:c r="G69" s="56" t="n">
        <x:v>-123.88986</x:v>
      </x:c>
      <x:c r="H69" s="44" t="n">
        <x:f>E69/SUMIF(A:A,A69,E:E)</x:f>
        <x:v>0.006534089864665916</x:v>
      </x:c>
    </x:row>
    <x:row r="70" ht="32.400001525878906" hidden="0" customHeight="1">
      <x:c r="A70" s="27" t="str">
        <x:v>SCA-03</x:v>
      </x:c>
      <x:c r="B70" s="27" t="str">
        <x:v>53027</x:v>
      </x:c>
      <x:c r="C70" s="27" t="str">
        <x:v>WA</x:v>
      </x:c>
      <x:c r="D70" s="27" t="str">
        <x:v>Grays Harbor County</x:v>
      </x:c>
      <x:c r="E70" s="40" t="n">
        <x:v>78144</x:v>
      </x:c>
      <x:c r="F70" s="55" t="n">
        <x:v>47.112084</x:v>
      </x:c>
      <x:c r="G70" s="55" t="n">
        <x:v>-123.826725</x:v>
      </x:c>
      <x:c r="H70" s="43" t="n">
        <x:f>E70/SUMIF(A:A,A70,E:E)</x:f>
        <x:v>0.0065292437326980556</x:v>
      </x:c>
    </x:row>
    <x:row r="71" ht="21.600000381469727" hidden="0" customHeight="1">
      <x:c r="A71" s="29" t="str">
        <x:v>SCA-03</x:v>
      </x:c>
      <x:c r="B71" s="29" t="str">
        <x:v>53045</x:v>
      </x:c>
      <x:c r="C71" s="29" t="str">
        <x:v>WA</x:v>
      </x:c>
      <x:c r="D71" s="29" t="str">
        <x:v>Mason County</x:v>
      </x:c>
      <x:c r="E71" s="41" t="n">
        <x:v>71165</x:v>
      </x:c>
      <x:c r="F71" s="56" t="n">
        <x:v>47.350832</x:v>
      </x:c>
      <x:c r="G71" s="56" t="n">
        <x:v>-123.173103</x:v>
      </x:c>
      <x:c r="H71" s="44" t="n">
        <x:f>E71/SUMIF(A:A,A71,E:E)</x:f>
        <x:v>0.005946120370565329</x:v>
      </x:c>
    </x:row>
    <x:row r="72" ht="15" hidden="0" customHeight="1">
      <x:c r="A72" s="27" t="str">
        <x:v>SCA-03</x:v>
      </x:c>
      <x:c r="B72" s="27" t="str">
        <x:v>41011</x:v>
      </x:c>
      <x:c r="C72" s="27" t="str">
        <x:v>OR</x:v>
      </x:c>
      <x:c r="D72" s="27" t="str">
        <x:v>Coos County</x:v>
      </x:c>
      <x:c r="E72" s="40" t="n">
        <x:v>63992</x:v>
      </x:c>
      <x:c r="F72" s="55" t="n">
        <x:v>43.18591</x:v>
      </x:c>
      <x:c r="G72" s="55" t="n">
        <x:v>-124.094133</x:v>
      </x:c>
      <x:c r="H72" s="43" t="n">
        <x:f>E72/SUMIF(A:A,A72,E:E)</x:f>
        <x:v>0.005346787532540105</x:v>
      </x:c>
    </x:row>
    <x:row r="73" ht="21.600000381469727" hidden="0" customHeight="1">
      <x:c r="A73" s="29" t="str">
        <x:v>SCA-03</x:v>
      </x:c>
      <x:c r="B73" s="29" t="str">
        <x:v>53071</x:v>
      </x:c>
      <x:c r="C73" s="29" t="str">
        <x:v>WA</x:v>
      </x:c>
      <x:c r="D73" s="29" t="str">
        <x:v>Walla Walla County</x:v>
      </x:c>
      <x:c r="E73" s="41" t="n">
        <x:v>62361</x:v>
      </x:c>
      <x:c r="F73" s="56" t="n">
        <x:v>46.254606</x:v>
      </x:c>
      <x:c r="G73" s="56" t="n">
        <x:v>-118.48037</x:v>
      </x:c>
      <x:c r="H73" s="44" t="n">
        <x:f>E73/SUMIF(A:A,A73,E:E)</x:f>
        <x:v>0.005210510959443891</x:v>
      </x:c>
    </x:row>
    <x:row r="74" ht="21.600000381469727" hidden="0" customHeight="1">
      <x:c r="A74" s="27" t="str">
        <x:v>SCA-03</x:v>
      </x:c>
      <x:c r="B74" s="27" t="str">
        <x:v>16017</x:v>
      </x:c>
      <x:c r="C74" s="27" t="str">
        <x:v>ID</x:v>
      </x:c>
      <x:c r="D74" s="27" t="str">
        <x:v>Bonner County</x:v>
      </x:c>
      <x:c r="E74" s="40" t="n">
        <x:v>54420</x:v>
      </x:c>
      <x:c r="F74" s="55" t="n">
        <x:v>48.324634</x:v>
      </x:c>
      <x:c r="G74" s="55" t="n">
        <x:v>-116.62745</x:v>
      </x:c>
      <x:c r="H74" s="43" t="n">
        <x:f>E74/SUMIF(A:A,A74,E:E)</x:f>
        <x:v>0.004547008649844238</x:v>
      </x:c>
    </x:row>
    <x:row r="75" ht="21.600000381469727" hidden="0" customHeight="1">
      <x:c r="A75" s="29" t="str">
        <x:v>SCA-03</x:v>
      </x:c>
      <x:c r="B75" s="29" t="str">
        <x:v>41009</x:v>
      </x:c>
      <x:c r="C75" s="29" t="str">
        <x:v>OR</x:v>
      </x:c>
      <x:c r="D75" s="29" t="str">
        <x:v>Columbia County</x:v>
      </x:c>
      <x:c r="E75" s="41" t="n">
        <x:v>54091</x:v>
      </x:c>
      <x:c r="F75" s="56" t="n">
        <x:v>45.941932</x:v>
      </x:c>
      <x:c r="G75" s="56" t="n">
        <x:v>-123.081079</x:v>
      </x:c>
      <x:c r="H75" s="44" t="n">
        <x:f>E75/SUMIF(A:A,A75,E:E)</x:f>
        <x:v>0.004519519384026547</x:v>
      </x:c>
    </x:row>
    <x:row r="76" ht="21.600000381469727" hidden="0" customHeight="1">
      <x:c r="A76" s="27" t="str">
        <x:v>SCA-03</x:v>
      </x:c>
      <x:c r="B76" s="27" t="str">
        <x:v>41041</x:v>
      </x:c>
      <x:c r="C76" s="27" t="str">
        <x:v>OR</x:v>
      </x:c>
      <x:c r="D76" s="27" t="str">
        <x:v>Lincoln County</x:v>
      </x:c>
      <x:c r="E76" s="40" t="n">
        <x:v>50636</x:v>
      </x:c>
      <x:c r="F76" s="55" t="n">
        <x:v>44.641061</x:v>
      </x:c>
      <x:c r="G76" s="55" t="n">
        <x:v>-123.911212</x:v>
      </x:c>
      <x:c r="H76" s="43" t="n">
        <x:f>E76/SUMIF(A:A,A76,E:E)</x:f>
        <x:v>0.004230840315941067</x:v>
      </x:c>
    </x:row>
    <x:row r="77" ht="21.600000381469727" hidden="0" customHeight="1">
      <x:c r="A77" s="29" t="str">
        <x:v>SCA-03</x:v>
      </x:c>
      <x:c r="B77" s="29" t="str">
        <x:v>53065</x:v>
      </x:c>
      <x:c r="C77" s="29" t="str">
        <x:v>WA</x:v>
      </x:c>
      <x:c r="D77" s="29" t="str">
        <x:v>Stevens County</x:v>
      </x:c>
      <x:c r="E77" s="41" t="n">
        <x:v>49668</x:v>
      </x:c>
      <x:c r="F77" s="56" t="n">
        <x:v>48.388728</x:v>
      </x:c>
      <x:c r="G77" s="56" t="n">
        <x:v>-117.854455</x:v>
      </x:c>
      <x:c r="H77" s="44" t="n">
        <x:f>E77/SUMIF(A:A,A77,E:E)</x:f>
        <x:v>0.004149960044477465</x:v>
      </x:c>
    </x:row>
    <x:row r="78" ht="21.600000381469727" hidden="0" customHeight="1">
      <x:c r="A78" s="27" t="str">
        <x:v>SCA-03</x:v>
      </x:c>
      <x:c r="B78" s="27" t="str">
        <x:v>53037</x:v>
      </x:c>
      <x:c r="C78" s="27" t="str">
        <x:v>WA</x:v>
      </x:c>
      <x:c r="D78" s="27" t="str">
        <x:v>Kittitas County</x:v>
      </x:c>
      <x:c r="E78" s="40" t="n">
        <x:v>48803</x:v>
      </x:c>
      <x:c r="F78" s="55" t="n">
        <x:v>47.124441</x:v>
      </x:c>
      <x:c r="G78" s="55" t="n">
        <x:v>-120.676709</x:v>
      </x:c>
      <x:c r="H78" s="43" t="n">
        <x:f>E78/SUMIF(A:A,A78,E:E)</x:f>
        <x:v>0.004077685834956788</x:v>
      </x:c>
    </x:row>
    <x:row r="79" ht="21.600000381469727" hidden="0" customHeight="1">
      <x:c r="A79" s="29" t="str">
        <x:v>SCA-03</x:v>
      </x:c>
      <x:c r="B79" s="29" t="str">
        <x:v>53075</x:v>
      </x:c>
      <x:c r="C79" s="29" t="str">
        <x:v>WA</x:v>
      </x:c>
      <x:c r="D79" s="29" t="str">
        <x:v>Whitman County</x:v>
      </x:c>
      <x:c r="E79" s="41" t="n">
        <x:v>48512</x:v>
      </x:c>
      <x:c r="F79" s="56" t="n">
        <x:v>46.905944</x:v>
      </x:c>
      <x:c r="G79" s="56" t="n">
        <x:v>-117.53539</x:v>
      </x:c>
      <x:c r="H79" s="44" t="n">
        <x:f>E79/SUMIF(A:A,A79,E:E)</x:f>
        <x:v>0.004053371621118039</x:v>
      </x:c>
    </x:row>
    <x:row r="80" ht="21.600000381469727" hidden="0" customHeight="1">
      <x:c r="A80" s="27" t="str">
        <x:v>SCA-03</x:v>
      </x:c>
      <x:c r="B80" s="27" t="str">
        <x:v>53017</x:v>
      </x:c>
      <x:c r="C80" s="27" t="str">
        <x:v>WA</x:v>
      </x:c>
      <x:c r="D80" s="27" t="str">
        <x:v>Douglas County</x:v>
      </x:c>
      <x:c r="E80" s="40" t="n">
        <x:v>46473</x:v>
      </x:c>
      <x:c r="F80" s="55" t="n">
        <x:v>47.741763</x:v>
      </x:c>
      <x:c r="G80" s="55" t="n">
        <x:v>-119.694622</x:v>
      </x:c>
      <x:c r="H80" s="43" t="n">
        <x:f>E80/SUMIF(A:A,A80,E:E)</x:f>
        <x:v>0.0038830050162479107</x:v>
      </x:c>
    </x:row>
    <x:row r="81" ht="21.600000381469727" hidden="0" customHeight="1">
      <x:c r="A81" s="29" t="str">
        <x:v>SCA-03</x:v>
      </x:c>
      <x:c r="B81" s="29" t="str">
        <x:v>53047</x:v>
      </x:c>
      <x:c r="C81" s="29" t="str">
        <x:v>WA</x:v>
      </x:c>
      <x:c r="D81" s="29" t="str">
        <x:v>Okanogan County</x:v>
      </x:c>
      <x:c r="E81" s="41" t="n">
        <x:v>45230</x:v>
      </x:c>
      <x:c r="F81" s="56" t="n">
        <x:v>48.548453</x:v>
      </x:c>
      <x:c r="G81" s="56" t="n">
        <x:v>-119.742235</x:v>
      </x:c>
      <x:c r="H81" s="44" t="n">
        <x:f>E81/SUMIF(A:A,A81,E:E)</x:f>
        <x:v>0.0037791473949366945</x:v>
      </x:c>
    </x:row>
    <x:row r="82" ht="21.600000381469727" hidden="0" customHeight="1">
      <x:c r="A82" s="27" t="str">
        <x:v>SCA-03</x:v>
      </x:c>
      <x:c r="B82" s="27" t="str">
        <x:v>16057</x:v>
      </x:c>
      <x:c r="C82" s="27" t="str">
        <x:v>ID</x:v>
      </x:c>
      <x:c r="D82" s="27" t="str">
        <x:v>Latah County</x:v>
      </x:c>
      <x:c r="E82" s="40" t="n">
        <x:v>41842</x:v>
      </x:c>
      <x:c r="F82" s="55" t="n">
        <x:v>46.81892</x:v>
      </x:c>
      <x:c r="G82" s="55" t="n">
        <x:v>-116.730974</x:v>
      </x:c>
      <x:c r="H82" s="43" t="n">
        <x:f>E82/SUMIF(A:A,A82,E:E)</x:f>
        <x:v>0.0034960664448140874</x:v>
      </x:c>
    </x:row>
    <x:row r="83" ht="21.600000381469727" hidden="0" customHeight="1">
      <x:c r="A83" s="29" t="str">
        <x:v>SCA-03</x:v>
      </x:c>
      <x:c r="B83" s="29" t="str">
        <x:v>41007</x:v>
      </x:c>
      <x:c r="C83" s="29" t="str">
        <x:v>OR</x:v>
      </x:c>
      <x:c r="D83" s="29" t="str">
        <x:v>Clatsop County</x:v>
      </x:c>
      <x:c r="E83" s="41" t="n">
        <x:v>40926</x:v>
      </x:c>
      <x:c r="F83" s="56" t="n">
        <x:v>46.024509</x:v>
      </x:c>
      <x:c r="G83" s="56" t="n">
        <x:v>-123.705037</x:v>
      </x:c>
      <x:c r="H83" s="44" t="n">
        <x:f>E83/SUMIF(A:A,A83,E:E)</x:f>
        <x:v>0.0034195309813216707</x:v>
      </x:c>
    </x:row>
    <x:row r="84" ht="21.600000381469727" hidden="0" customHeight="1">
      <x:c r="A84" s="27" t="str">
        <x:v>SCA-03</x:v>
      </x:c>
      <x:c r="B84" s="27" t="str">
        <x:v>53031</x:v>
      </x:c>
      <x:c r="C84" s="27" t="str">
        <x:v>WA</x:v>
      </x:c>
      <x:c r="D84" s="27" t="str">
        <x:v>Jefferson County</x:v>
      </x:c>
      <x:c r="E84" s="40" t="n">
        <x:v>33970</x:v>
      </x:c>
      <x:c r="F84" s="55" t="n">
        <x:v>47.805708</x:v>
      </x:c>
      <x:c r="G84" s="55" t="n">
        <x:v>-123.527057</x:v>
      </x:c>
      <x:c r="H84" s="43" t="n">
        <x:f>E84/SUMIF(A:A,A84,E:E)</x:f>
        <x:v>0.0028383293611761997</x:v>
      </x:c>
    </x:row>
    <x:row r="85" ht="21.600000381469727" hidden="0" customHeight="1">
      <x:c r="A85" s="29" t="str">
        <x:v>SCA-03</x:v>
      </x:c>
      <x:c r="B85" s="29" t="str">
        <x:v>41057</x:v>
      </x:c>
      <x:c r="C85" s="29" t="str">
        <x:v>OR</x:v>
      </x:c>
      <x:c r="D85" s="29" t="str">
        <x:v>Tillamook County</x:v>
      </x:c>
      <x:c r="E85" s="41" t="n">
        <x:v>27384</x:v>
      </x:c>
      <x:c r="F85" s="56" t="n">
        <x:v>45.45589</x:v>
      </x:c>
      <x:c r="G85" s="56" t="n">
        <x:v>-123.759299</x:v>
      </x:c>
      <x:c r="H85" s="44" t="n">
        <x:f>E85/SUMIF(A:A,A85,E:E)</x:f>
        <x:v>0.002288042720825701</x:v>
      </x:c>
    </x:row>
    <x:row r="86" ht="21.600000381469727" hidden="0" customHeight="1">
      <x:c r="A86" s="27" t="str">
        <x:v>SCA-03</x:v>
      </x:c>
      <x:c r="B86" s="27" t="str">
        <x:v>41065</x:v>
      </x:c>
      <x:c r="C86" s="27" t="str">
        <x:v>OR</x:v>
      </x:c>
      <x:c r="D86" s="27" t="str">
        <x:v>Wasco County</x:v>
      </x:c>
      <x:c r="E86" s="40" t="n">
        <x:v>26310</x:v>
      </x:c>
      <x:c r="F86" s="55" t="n">
        <x:v>45.164536</x:v>
      </x:c>
      <x:c r="G86" s="55" t="n">
        <x:v>-121.165069</x:v>
      </x:c>
      <x:c r="H86" s="43" t="n">
        <x:f>E86/SUMIF(A:A,A86,E:E)</x:f>
        <x:v>0.0021983057254208365</x:v>
      </x:c>
    </x:row>
    <x:row r="87" ht="21.600000381469727" hidden="0" customHeight="1">
      <x:c r="A87" s="29" t="str">
        <x:v>SCA-03</x:v>
      </x:c>
      <x:c r="B87" s="29" t="str">
        <x:v>41031</x:v>
      </x:c>
      <x:c r="C87" s="29" t="str">
        <x:v>OR</x:v>
      </x:c>
      <x:c r="D87" s="29" t="str">
        <x:v>Jefferson County</x:v>
      </x:c>
      <x:c r="E87" s="41" t="n">
        <x:v>25740</x:v>
      </x:c>
      <x:c r="F87" s="56" t="n">
        <x:v>44.645151</x:v>
      </x:c>
      <x:c r="G87" s="56" t="n">
        <x:v>-121.178632</x:v>
      </x:c>
      <x:c r="H87" s="44" t="n">
        <x:f>E87/SUMIF(A:A,A87,E:E)</x:f>
        <x:v>0.0021506799457366907</x:v>
      </x:c>
    </x:row>
    <x:row r="88" ht="21.600000381469727" hidden="0" customHeight="1">
      <x:c r="A88" s="27" t="str">
        <x:v>SCA-03</x:v>
      </x:c>
      <x:c r="B88" s="27" t="str">
        <x:v>53049</x:v>
      </x:c>
      <x:c r="C88" s="27" t="str">
        <x:v>WA</x:v>
      </x:c>
      <x:c r="D88" s="27" t="str">
        <x:v>Pacific County</x:v>
      </x:c>
      <x:c r="E88" s="40" t="n">
        <x:v>24357</x:v>
      </x:c>
      <x:c r="F88" s="55" t="n">
        <x:v>46.556587</x:v>
      </x:c>
      <x:c r="G88" s="55" t="n">
        <x:v>-123.782419</x:v>
      </x:c>
      <x:c r="H88" s="43" t="n">
        <x:f>E88/SUMIF(A:A,A88,E:E)</x:f>
        <x:v>0.0020351247645030526</x:v>
      </x:c>
    </x:row>
    <x:row r="89" ht="21.600000381469727" hidden="0" customHeight="1">
      <x:c r="A89" s="29" t="str">
        <x:v>SCA-03</x:v>
      </x:c>
      <x:c r="B89" s="29" t="str">
        <x:v>53039</x:v>
      </x:c>
      <x:c r="C89" s="29" t="str">
        <x:v>WA</x:v>
      </x:c>
      <x:c r="D89" s="29" t="str">
        <x:v>Klickitat County</x:v>
      </x:c>
      <x:c r="E89" s="41" t="n">
        <x:v>24331</x:v>
      </x:c>
      <x:c r="F89" s="56" t="n">
        <x:v>45.870446</x:v>
      </x:c>
      <x:c r="G89" s="56" t="n">
        <x:v>-120.779305</x:v>
      </x:c>
      <x:c r="H89" s="44" t="n">
        <x:f>E89/SUMIF(A:A,A89,E:E)</x:f>
        <x:v>0.00203295236051746</x:v>
      </x:c>
    </x:row>
    <x:row r="90" ht="21.600000381469727" hidden="0" customHeight="1">
      <x:c r="A90" s="27" t="str">
        <x:v>SCA-03</x:v>
      </x:c>
      <x:c r="B90" s="27" t="str">
        <x:v>41027</x:v>
      </x:c>
      <x:c r="C90" s="27" t="str">
        <x:v>OR</x:v>
      </x:c>
      <x:c r="D90" s="27" t="str">
        <x:v>Hood River County</x:v>
      </x:c>
      <x:c r="E90" s="40" t="n">
        <x:v>23720</x:v>
      </x:c>
      <x:c r="F90" s="55" t="n">
        <x:v>45.511775</x:v>
      </x:c>
      <x:c r="G90" s="55" t="n">
        <x:v>-121.655976</x:v>
      </x:c>
      <x:c r="H90" s="43" t="n">
        <x:f>E90/SUMIF(A:A,A90,E:E)</x:f>
        <x:v>0.0019819008668560336</x:v>
      </x:c>
    </x:row>
    <x:row r="91" ht="21.600000381469727" hidden="0" customHeight="1">
      <x:c r="A91" s="29" t="str">
        <x:v>SCA-03</x:v>
      </x:c>
      <x:c r="B91" s="29" t="str">
        <x:v>30053</x:v>
      </x:c>
      <x:c r="C91" s="29" t="str">
        <x:v>MT</x:v>
      </x:c>
      <x:c r="D91" s="29" t="str">
        <x:v>Lincoln County</x:v>
      </x:c>
      <x:c r="E91" s="41" t="n">
        <x:v>22328</x:v>
      </x:c>
      <x:c r="F91" s="56" t="n">
        <x:v>48.552385</x:v>
      </x:c>
      <x:c r="G91" s="56" t="n">
        <x:v>-115.463185</x:v>
      </x:c>
      <x:c r="H91" s="44" t="n">
        <x:f>E91/SUMIF(A:A,A91,E:E)</x:f>
        <x:v>0.0018655936996273825</x:v>
      </x:c>
    </x:row>
    <x:row r="92" ht="21.600000381469727" hidden="0" customHeight="1">
      <x:c r="A92" s="27" t="str">
        <x:v>SCA-03</x:v>
      </x:c>
      <x:c r="B92" s="27" t="str">
        <x:v>53001</x:v>
      </x:c>
      <x:c r="C92" s="27" t="str">
        <x:v>WA</x:v>
      </x:c>
      <x:c r="D92" s="27" t="str">
        <x:v>Adams County</x:v>
      </x:c>
      <x:c r="E92" s="40" t="n">
        <x:v>21488</x:v>
      </x:c>
      <x:c r="F92" s="55" t="n">
        <x:v>47.011238</x:v>
      </x:c>
      <x:c r="G92" s="55" t="n">
        <x:v>-118.512861</x:v>
      </x:c>
      <x:c r="H92" s="43" t="n">
        <x:f>E92/SUMIF(A:A,A92,E:E)</x:f>
        <x:v>0.001795408340092852</x:v>
      </x:c>
    </x:row>
    <x:row r="93" ht="21.600000381469727" hidden="0" customHeight="1">
      <x:c r="A93" s="29" t="str">
        <x:v>SCA-03</x:v>
      </x:c>
      <x:c r="B93" s="29" t="str">
        <x:v>53055</x:v>
      </x:c>
      <x:c r="C93" s="29" t="str">
        <x:v>WA</x:v>
      </x:c>
      <x:c r="D93" s="29" t="str">
        <x:v>San Juan County</x:v>
      </x:c>
      <x:c r="E93" s="41" t="n">
        <x:v>18577</x:v>
      </x:c>
      <x:c r="F93" s="56" t="n">
        <x:v>48.50719</x:v>
      </x:c>
      <x:c r="G93" s="56" t="n">
        <x:v>-123.103769</x:v>
      </x:c>
      <x:c r="H93" s="44" t="n">
        <x:f>E93/SUMIF(A:A,A93,E:E)</x:f>
        <x:v>0.0015521826477059247</x:v>
      </x:c>
    </x:row>
    <x:row r="94" ht="21.600000381469727" hidden="0" customHeight="1">
      <x:c r="A94" s="27" t="str">
        <x:v>SCA-03</x:v>
      </x:c>
      <x:c r="B94" s="27" t="str">
        <x:v>53051</x:v>
      </x:c>
      <x:c r="C94" s="27" t="str">
        <x:v>WA</x:v>
      </x:c>
      <x:c r="D94" s="27" t="str">
        <x:v>Pend Oreille County</x:v>
      </x:c>
      <x:c r="E94" s="40" t="n">
        <x:v>14457</x:v>
      </x:c>
      <x:c r="F94" s="55" t="n">
        <x:v>48.543825</x:v>
      </x:c>
      <x:c r="G94" s="55" t="n">
        <x:v>-117.232191</x:v>
      </x:c>
      <x:c r="H94" s="43" t="n">
        <x:f>E94/SUMIF(A:A,A94,E:E)</x:f>
        <x:v>0.0012079401699889407</x:v>
      </x:c>
    </x:row>
    <x:row r="95" ht="21.600000381469727" hidden="0" customHeight="1">
      <x:c r="A95" s="29" t="str">
        <x:v>SCA-03</x:v>
      </x:c>
      <x:c r="B95" s="29" t="str">
        <x:v>16021</x:v>
      </x:c>
      <x:c r="C95" s="29" t="str">
        <x:v>ID</x:v>
      </x:c>
      <x:c r="D95" s="29" t="str">
        <x:v>Boundary County</x:v>
      </x:c>
      <x:c r="E95" s="41" t="n">
        <x:v>13997</x:v>
      </x:c>
      <x:c r="F95" s="56" t="n">
        <x:v>48.773131</x:v>
      </x:c>
      <x:c r="G95" s="56" t="n">
        <x:v>-116.524668</x:v>
      </x:c>
      <x:c r="H95" s="44" t="n">
        <x:f>E95/SUMIF(A:A,A95,E:E)</x:f>
        <x:v>0.0011695053302438407</x:v>
      </x:c>
    </x:row>
    <x:row r="96" ht="21.600000381469727" hidden="0" customHeight="1">
      <x:c r="A96" s="27" t="str">
        <x:v>SCA-03</x:v>
      </x:c>
      <x:c r="B96" s="27" t="str">
        <x:v>53059</x:v>
      </x:c>
      <x:c r="C96" s="27" t="str">
        <x:v>WA</x:v>
      </x:c>
      <x:c r="D96" s="27" t="str">
        <x:v>Skamania County</x:v>
      </x:c>
      <x:c r="E96" s="40" t="n">
        <x:v>12669</x:v>
      </x:c>
      <x:c r="F96" s="55" t="n">
        <x:v>46.024785</x:v>
      </x:c>
      <x:c r="G96" s="55" t="n">
        <x:v>-121.953232</x:v>
      </x:c>
      <x:c r="H96" s="43" t="n">
        <x:f>E96/SUMIF(A:A,A96,E:E)</x:f>
        <x:v>0.0010585456189797255</x:v>
      </x:c>
    </x:row>
    <x:row r="97" ht="21.600000381469727" hidden="0" customHeight="1">
      <x:c r="A97" s="29" t="str">
        <x:v>SCA-03</x:v>
      </x:c>
      <x:c r="B97" s="29" t="str">
        <x:v>41049</x:v>
      </x:c>
      <x:c r="C97" s="29" t="str">
        <x:v>OR</x:v>
      </x:c>
      <x:c r="D97" s="29" t="str">
        <x:v>Morrow County</x:v>
      </x:c>
      <x:c r="E97" s="41" t="n">
        <x:v>12602</x:v>
      </x:c>
      <x:c r="F97" s="56" t="n">
        <x:v>45.425496</x:v>
      </x:c>
      <x:c r="G97" s="56" t="n">
        <x:v>-119.602311</x:v>
      </x:c>
      <x:c r="H97" s="44" t="n">
        <x:f>E97/SUMIF(A:A,A97,E:E)</x:f>
        <x:v>0.0010529475010168522</x:v>
      </x:c>
    </x:row>
    <x:row r="98" ht="21.600000381469727" hidden="0" customHeight="1">
      <x:c r="A98" s="27" t="str">
        <x:v>SCA-03</x:v>
      </x:c>
      <x:c r="B98" s="27" t="str">
        <x:v>53043</x:v>
      </x:c>
      <x:c r="C98" s="27" t="str">
        <x:v>WA</x:v>
      </x:c>
      <x:c r="D98" s="27" t="str">
        <x:v>Lincoln County</x:v>
      </x:c>
      <x:c r="E98" s="40" t="n">
        <x:v>11982</x:v>
      </x:c>
      <x:c r="F98" s="55" t="n">
        <x:v>47.582743</x:v>
      </x:c>
      <x:c r="G98" s="55" t="n">
        <x:v>-118.417692</x:v>
      </x:c>
      <x:c r="H98" s="43" t="n">
        <x:f>E98/SUMIF(A:A,A98,E:E)</x:f>
        <x:v>0.0010011440213604128</x:v>
      </x:c>
    </x:row>
    <x:row r="99" ht="21.600000381469727" hidden="0" customHeight="1">
      <x:c r="A99" s="29" t="str">
        <x:v>SCA-03</x:v>
      </x:c>
      <x:c r="B99" s="29" t="str">
        <x:v>16009</x:v>
      </x:c>
      <x:c r="C99" s="29" t="str">
        <x:v>ID</x:v>
      </x:c>
      <x:c r="D99" s="29" t="str">
        <x:v>Benewah County</x:v>
      </x:c>
      <x:c r="E99" s="41" t="n">
        <x:v>10508</x:v>
      </x:c>
      <x:c r="F99" s="56" t="n">
        <x:v>47.218451</x:v>
      </x:c>
      <x:c r="G99" s="56" t="n">
        <x:v>-116.633541</x:v>
      </x:c>
      <x:c r="H99" s="44" t="n">
        <x:f>E99/SUMIF(A:A,A99,E:E)</x:f>
        <x:v>0.0008779854261772007</x:v>
      </x:c>
    </x:row>
    <x:row r="100" ht="15" hidden="0" customHeight="1">
      <x:c r="A100" s="27" t="str">
        <x:v>SCA-03</x:v>
      </x:c>
      <x:c r="B100" s="27" t="str">
        <x:v>53019</x:v>
      </x:c>
      <x:c r="C100" s="27" t="str">
        <x:v>WA</x:v>
      </x:c>
      <x:c r="D100" s="27" t="str">
        <x:v>Ferry County</x:v>
      </x:c>
      <x:c r="E100" s="40" t="n">
        <x:v>7517</x:v>
      </x:c>
      <x:c r="F100" s="55" t="n">
        <x:v>48.473256</x:v>
      </x:c>
      <x:c r="G100" s="55" t="n">
        <x:v>-118.533589</x:v>
      </x:c>
      <x:c r="H100" s="43" t="n">
        <x:f>E100/SUMIF(A:A,A100,E:E)</x:f>
        <x:v>0.0006280754138346038</x:v>
      </x:c>
    </x:row>
    <x:row r="101" ht="21.600000381469727" hidden="0" customHeight="1">
      <x:c r="A101" s="29" t="str">
        <x:v>SCA-03</x:v>
      </x:c>
      <x:c r="B101" s="29" t="str">
        <x:v>53069</x:v>
      </x:c>
      <x:c r="C101" s="29" t="str">
        <x:v>WA</x:v>
      </x:c>
      <x:c r="D101" s="29" t="str">
        <x:v>Wahkiakum County</x:v>
      </x:c>
      <x:c r="E101" s="41" t="n">
        <x:v>4873</x:v>
      </x:c>
      <x:c r="F101" s="56" t="n">
        <x:v>46.294638</x:v>
      </x:c>
      <x:c r="G101" s="56" t="n">
        <x:v>-123.424458</x:v>
      </x:c>
      <x:c r="H101" s="44" t="n">
        <x:f>E101/SUMIF(A:A,A101,E:E)</x:f>
        <x:v>0.0004071586392997239</x:v>
      </x:c>
    </x:row>
    <x:row r="102" ht="21.600000381469727" hidden="0" customHeight="1">
      <x:c r="A102" s="27" t="str">
        <x:v>SCA-03</x:v>
      </x:c>
      <x:c r="B102" s="27" t="str">
        <x:v>53013</x:v>
      </x:c>
      <x:c r="C102" s="27" t="str">
        <x:v>WA</x:v>
      </x:c>
      <x:c r="D102" s="27" t="str">
        <x:v>Columbia County</x:v>
      </x:c>
      <x:c r="E102" s="40" t="n">
        <x:v>4141</x:v>
      </x:c>
      <x:c r="F102" s="55" t="n">
        <x:v>46.29285</x:v>
      </x:c>
      <x:c r="G102" s="55" t="n">
        <x:v>-117.911634</x:v>
      </x:c>
      <x:c r="H102" s="43" t="n">
        <x:f>E102/SUMIF(A:A,A102,E:E)</x:f>
        <x:v>0.00034599711170534714</x:v>
      </x:c>
    </x:row>
    <x:row r="103" ht="21.600000381469727" hidden="0" customHeight="1">
      <x:c r="A103" s="29" t="str">
        <x:v>SCA-03</x:v>
      </x:c>
      <x:c r="B103" s="29" t="str">
        <x:v>41055</x:v>
      </x:c>
      <x:c r="C103" s="29" t="str">
        <x:v>OR</x:v>
      </x:c>
      <x:c r="D103" s="29" t="str">
        <x:v>Sherman County</x:v>
      </x:c>
      <x:c r="E103" s="41" t="n">
        <x:v>2051</x:v>
      </x:c>
      <x:c r="F103" s="56" t="n">
        <x:v>45.399216</x:v>
      </x:c>
      <x:c r="G103" s="56" t="n">
        <x:v>-120.678512</x:v>
      </x:c>
      <x:c r="H103" s="44" t="n">
        <x:f>E103/SUMIF(A:A,A103,E:E)</x:f>
        <x:v>0.00017136925286347912</x:v>
      </x:c>
    </x:row>
    <x:row r="104" ht="21.600000381469727" hidden="0" customHeight="1">
      <x:c r="A104" s="27" t="str">
        <x:v>SCA-03</x:v>
      </x:c>
      <x:c r="B104" s="27" t="str">
        <x:v>41021</x:v>
      </x:c>
      <x:c r="C104" s="27" t="str">
        <x:v>OR</x:v>
      </x:c>
      <x:c r="D104" s="27" t="str">
        <x:v>Gilliam County</x:v>
      </x:c>
      <x:c r="E104" s="40" t="n">
        <x:v>1971</x:v>
      </x:c>
      <x:c r="F104" s="55" t="n">
        <x:v>45.382955</x:v>
      </x:c>
      <x:c r="G104" s="55" t="n">
        <x:v>-120.276246</x:v>
      </x:c>
      <x:c r="H104" s="43" t="n">
        <x:f>E104/SUMIF(A:A,A104,E:E)</x:f>
        <x:v>0.00016468493290780953</x:v>
      </x:c>
    </x:row>
    <x:row r="105" ht="21.600000381469727" hidden="0" customHeight="1">
      <x:c r="A105" s="29" t="str">
        <x:v>SCA-03</x:v>
      </x:c>
      <x:c r="B105" s="29" t="str">
        <x:v>41069</x:v>
      </x:c>
      <x:c r="C105" s="29" t="str">
        <x:v>OR</x:v>
      </x:c>
      <x:c r="D105" s="29" t="str">
        <x:v>Wheeler County</x:v>
      </x:c>
      <x:c r="E105" s="41" t="n">
        <x:v>1472</x:v>
      </x:c>
      <x:c r="F105" s="56" t="n">
        <x:v>44.736415</x:v>
      </x:c>
      <x:c r="G105" s="56" t="n">
        <x:v>-120.026861</x:v>
      </x:c>
      <x:c r="H105" s="44" t="n">
        <x:f>E105/SUMIF(A:A,A105,E:E)</x:f>
        <x:v>0.00012299148718432045</x:v>
      </x:c>
    </x:row>
    <x:row r="106" ht="21.600000381469727" hidden="0" customHeight="1">
      <x:c r="A106" s="27" t="str">
        <x:v>SCA-04</x:v>
      </x:c>
      <x:c r="B106" s="27" t="str">
        <x:v>06085</x:v>
      </x:c>
      <x:c r="C106" s="27" t="str">
        <x:v>CA</x:v>
      </x:c>
      <x:c r="D106" s="27" t="str">
        <x:v>Santa Clara County</x:v>
      </x:c>
      <x:c r="E106" s="40" t="n">
        <x:v>1914391</x:v>
      </x:c>
      <x:c r="F106" s="55" t="n">
        <x:v>37.221614</x:v>
      </x:c>
      <x:c r="G106" s="55" t="n">
        <x:v>-121.68954</x:v>
      </x:c>
      <x:c r="H106" s="43" t="n">
        <x:f>E106/SUMIF(A:A,A106,E:E)</x:f>
        <x:v>0.11816885559493027</x:v>
      </x:c>
    </x:row>
    <x:row r="107" ht="21.600000381469727" hidden="0" customHeight="1">
      <x:c r="A107" s="29" t="str">
        <x:v>SCA-04</x:v>
      </x:c>
      <x:c r="B107" s="29" t="str">
        <x:v>06001</x:v>
      </x:c>
      <x:c r="C107" s="29" t="str">
        <x:v>CA</x:v>
      </x:c>
      <x:c r="D107" s="29" t="str">
        <x:v>Alameda County</x:v>
      </x:c>
      <x:c r="E107" s="41" t="n">
        <x:v>1636630</x:v>
      </x:c>
      <x:c r="F107" s="56" t="n">
        <x:v>37.647139</x:v>
      </x:c>
      <x:c r="G107" s="56" t="n">
        <x:v>-121.912488</x:v>
      </x:c>
      <x:c r="H107" s="44" t="n">
        <x:f>E107/SUMIF(A:A,A107,E:E)</x:f>
        <x:v>0.1010236122779154</x:v>
      </x:c>
    </x:row>
    <x:row r="108" ht="21.600000381469727" hidden="0" customHeight="1">
      <x:c r="A108" s="27" t="str">
        <x:v>SCA-04</x:v>
      </x:c>
      <x:c r="B108" s="27" t="str">
        <x:v>06067</x:v>
      </x:c>
      <x:c r="C108" s="27" t="str">
        <x:v>CA</x:v>
      </x:c>
      <x:c r="D108" s="27" t="str">
        <x:v>Sacramento County</x:v>
      </x:c>
      <x:c r="E108" s="40" t="n">
        <x:v>1618460</x:v>
      </x:c>
      <x:c r="F108" s="55" t="n">
        <x:v>38.450136</x:v>
      </x:c>
      <x:c r="G108" s="55" t="n">
        <x:v>-121.344329</x:v>
      </x:c>
      <x:c r="H108" s="43" t="n">
        <x:f>E108/SUMIF(A:A,A108,E:E)</x:f>
        <x:v>0.09990203987908992</x:v>
      </x:c>
    </x:row>
    <x:row r="109" ht="21.600000381469727" hidden="0" customHeight="1">
      <x:c r="A109" s="29" t="str">
        <x:v>SCA-04</x:v>
      </x:c>
      <x:c r="B109" s="29" t="str">
        <x:v>06013</x:v>
      </x:c>
      <x:c r="C109" s="29" t="str">
        <x:v>CA</x:v>
      </x:c>
      <x:c r="D109" s="29" t="str">
        <x:v>Contra Costa County</x:v>
      </x:c>
      <x:c r="E109" s="41" t="n">
        <x:v>1170070</x:v>
      </x:c>
      <x:c r="F109" s="56" t="n">
        <x:v>37.919479</x:v>
      </x:c>
      <x:c r="G109" s="56" t="n">
        <x:v>-121.951543</x:v>
      </x:c>
      <x:c r="H109" s="44" t="n">
        <x:f>E109/SUMIF(A:A,A109,E:E)</x:f>
        <x:v>0.07222444780923022</x:v>
      </x:c>
    </x:row>
    <x:row r="110" ht="21.600000381469727" hidden="0" customHeight="1">
      <x:c r="A110" s="27" t="str">
        <x:v>SCA-04</x:v>
      </x:c>
      <x:c r="B110" s="27" t="str">
        <x:v>06019</x:v>
      </x:c>
      <x:c r="C110" s="27" t="str">
        <x:v>CA</x:v>
      </x:c>
      <x:c r="D110" s="27" t="str">
        <x:v>Fresno County</x:v>
      </x:c>
      <x:c r="E110" s="40" t="n">
        <x:v>1035456</x:v>
      </x:c>
      <x:c r="F110" s="55" t="n">
        <x:v>36.761006</x:v>
      </x:c>
      <x:c r="G110" s="55" t="n">
        <x:v>-119.655019</x:v>
      </x:c>
      <x:c r="H110" s="43" t="n">
        <x:f>E110/SUMIF(A:A,A110,E:E)</x:f>
        <x:v>0.06391518270766218</x:v>
      </x:c>
    </x:row>
    <x:row r="111" ht="32.400001525878906" hidden="0" customHeight="1">
      <x:c r="A111" s="29" t="str">
        <x:v>SCA-04</x:v>
      </x:c>
      <x:c r="B111" s="29" t="str">
        <x:v>06075</x:v>
      </x:c>
      <x:c r="C111" s="29" t="str">
        <x:v>CA</x:v>
      </x:c>
      <x:c r="D111" s="29" t="str">
        <x:v>San Francisco County</x:v>
      </x:c>
      <x:c r="E111" s="41" t="n">
        <x:v>826079</x:v>
      </x:c>
      <x:c r="F111" s="56" t="n">
        <x:v>37.727239</x:v>
      </x:c>
      <x:c r="G111" s="56" t="n">
        <x:v>-123.032229</x:v>
      </x:c>
      <x:c r="H111" s="44" t="n">
        <x:f>E111/SUMIF(A:A,A111,E:E)</x:f>
        <x:v>0.05099105149418504</x:v>
      </x:c>
    </x:row>
    <x:row r="112" ht="21.600000381469727" hidden="0" customHeight="1">
      <x:c r="A112" s="27" t="str">
        <x:v>SCA-04</x:v>
      </x:c>
      <x:c r="B112" s="27" t="str">
        <x:v>06077</x:v>
      </x:c>
      <x:c r="C112" s="27" t="str">
        <x:v>CA</x:v>
      </x:c>
      <x:c r="D112" s="27" t="str">
        <x:v>San Joaquin County</x:v>
      </x:c>
      <x:c r="E112" s="40" t="n">
        <x:v>823815</x:v>
      </x:c>
      <x:c r="F112" s="55" t="n">
        <x:v>37.934982</x:v>
      </x:c>
      <x:c r="G112" s="55" t="n">
        <x:v>-121.272244</x:v>
      </x:c>
      <x:c r="H112" s="43" t="n">
        <x:f>E112/SUMIF(A:A,A112,E:E)</x:f>
        <x:v>0.05085130246221252</x:v>
      </x:c>
    </x:row>
    <x:row r="113" ht="21.600000381469727" hidden="0" customHeight="1">
      <x:c r="A113" s="29" t="str">
        <x:v>SCA-04</x:v>
      </x:c>
      <x:c r="B113" s="29" t="str">
        <x:v>06081</x:v>
      </x:c>
      <x:c r="C113" s="29" t="str">
        <x:v>CA</x:v>
      </x:c>
      <x:c r="D113" s="29" t="str">
        <x:v>San Mateo County</x:v>
      </x:c>
      <x:c r="E113" s="41" t="n">
        <x:v>743568</x:v>
      </x:c>
      <x:c r="F113" s="56" t="n">
        <x:v>37.414672</x:v>
      </x:c>
      <x:c r="G113" s="56" t="n">
        <x:v>-122.371546</x:v>
      </x:c>
      <x:c r="H113" s="44" t="n">
        <x:f>E113/SUMIF(A:A,A113,E:E)</x:f>
        <x:v>0.04589792765271625</x:v>
      </x:c>
    </x:row>
    <x:row r="114" ht="21.600000381469727" hidden="0" customHeight="1">
      <x:c r="A114" s="27" t="str">
        <x:v>SCA-04</x:v>
      </x:c>
      <x:c r="B114" s="27" t="str">
        <x:v>06099</x:v>
      </x:c>
      <x:c r="C114" s="27" t="str">
        <x:v>CA</x:v>
      </x:c>
      <x:c r="D114" s="27" t="str">
        <x:v>Stanislaus County</x:v>
      </x:c>
      <x:c r="E114" s="40" t="n">
        <x:v>557719</x:v>
      </x:c>
      <x:c r="F114" s="55" t="n">
        <x:v>37.562316</x:v>
      </x:c>
      <x:c r="G114" s="55" t="n">
        <x:v>-121.002831</x:v>
      </x:c>
      <x:c r="H114" s="43" t="n">
        <x:f>E114/SUMIF(A:A,A114,E:E)</x:f>
        <x:v>0.034426099983519</x:v>
      </x:c>
    </x:row>
    <x:row r="115" ht="21.600000381469727" hidden="0" customHeight="1">
      <x:c r="A115" s="29" t="str">
        <x:v>SCA-04</x:v>
      </x:c>
      <x:c r="B115" s="29" t="str">
        <x:v>32031</x:v>
      </x:c>
      <x:c r="C115" s="29" t="str">
        <x:v>NV</x:v>
      </x:c>
      <x:c r="D115" s="29" t="str">
        <x:v>Washoe County</x:v>
      </x:c>
      <x:c r="E115" s="41" t="n">
        <x:v>509386</x:v>
      </x:c>
      <x:c r="F115" s="56" t="n">
        <x:v>40.73132</x:v>
      </x:c>
      <x:c r="G115" s="56" t="n">
        <x:v>-119.663269</x:v>
      </x:c>
      <x:c r="H115" s="44" t="n">
        <x:f>E115/SUMIF(A:A,A115,E:E)</x:f>
        <x:v>0.03144266802135987</x:v>
      </x:c>
    </x:row>
    <x:row r="116" ht="21.600000381469727" hidden="0" customHeight="1">
      <x:c r="A116" s="27" t="str">
        <x:v>SCA-04</x:v>
      </x:c>
      <x:c r="B116" s="27" t="str">
        <x:v>06097</x:v>
      </x:c>
      <x:c r="C116" s="27" t="str">
        <x:v>CA</x:v>
      </x:c>
      <x:c r="D116" s="27" t="str">
        <x:v>Sonoma County</x:v>
      </x:c>
      <x:c r="E116" s="40" t="n">
        <x:v>486444</x:v>
      </x:c>
      <x:c r="F116" s="55" t="n">
        <x:v>38.525182</x:v>
      </x:c>
      <x:c r="G116" s="55" t="n">
        <x:v>-122.92611</x:v>
      </x:c>
      <x:c r="H116" s="43" t="n">
        <x:f>E116/SUMIF(A:A,A116,E:E)</x:f>
        <x:v>0.03002653626715768</x:v>
      </x:c>
    </x:row>
    <x:row r="117" ht="21.600000381469727" hidden="0" customHeight="1">
      <x:c r="A117" s="29" t="str">
        <x:v>SCA-04</x:v>
      </x:c>
      <x:c r="B117" s="29" t="str">
        <x:v>06095</x:v>
      </x:c>
      <x:c r="C117" s="29" t="str">
        <x:v>CA</x:v>
      </x:c>
      <x:c r="D117" s="29" t="str">
        <x:v>Solano County</x:v>
      </x:c>
      <x:c r="E117" s="41" t="n">
        <x:v>455376</x:v>
      </x:c>
      <x:c r="F117" s="56" t="n">
        <x:v>38.267226</x:v>
      </x:c>
      <x:c r="G117" s="56" t="n">
        <x:v>-121.939594</x:v>
      </x:c>
      <x:c r="H117" s="44" t="n">
        <x:f>E117/SUMIF(A:A,A117,E:E)</x:f>
        <x:v>0.02810881412699755</x:v>
      </x:c>
    </x:row>
    <x:row r="118" ht="21.600000381469727" hidden="0" customHeight="1">
      <x:c r="A118" s="27" t="str">
        <x:v>SCA-04</x:v>
      </x:c>
      <x:c r="B118" s="27" t="str">
        <x:v>06061</x:v>
      </x:c>
      <x:c r="C118" s="27" t="str">
        <x:v>CA</x:v>
      </x:c>
      <x:c r="D118" s="27" t="str">
        <x:v>Placer County</x:v>
      </x:c>
      <x:c r="E118" s="40" t="n">
        <x:v>442081</x:v>
      </x:c>
      <x:c r="F118" s="55" t="n">
        <x:v>39.062032</x:v>
      </x:c>
      <x:c r="G118" s="55" t="n">
        <x:v>-120.722718</x:v>
      </x:c>
      <x:c r="H118" s="43" t="n">
        <x:f>E118/SUMIF(A:A,A118,E:E)</x:f>
        <x:v>0.02728815892378431</x:v>
      </x:c>
    </x:row>
    <x:row r="119" ht="21.600000381469727" hidden="0" customHeight="1">
      <x:c r="A119" s="29" t="str">
        <x:v>SCA-04</x:v>
      </x:c>
      <x:c r="B119" s="29" t="str">
        <x:v>06053</x:v>
      </x:c>
      <x:c r="C119" s="29" t="str">
        <x:v>CA</x:v>
      </x:c>
      <x:c r="D119" s="29" t="str">
        <x:v>Monterey County</x:v>
      </x:c>
      <x:c r="E119" s="41" t="n">
        <x:v>433729</x:v>
      </x:c>
      <x:c r="F119" s="56" t="n">
        <x:v>36.240104</x:v>
      </x:c>
      <x:c r="G119" s="56" t="n">
        <x:v>-121.315578</x:v>
      </x:c>
      <x:c r="H119" s="44" t="n">
        <x:f>E119/SUMIF(A:A,A119,E:E)</x:f>
        <x:v>0.02677261832527081</x:v>
      </x:c>
    </x:row>
    <x:row r="120" ht="21.600000381469727" hidden="0" customHeight="1">
      <x:c r="A120" s="27" t="str">
        <x:v>SCA-04</x:v>
      </x:c>
      <x:c r="B120" s="27" t="str">
        <x:v>06047</x:v>
      </x:c>
      <x:c r="C120" s="27" t="str">
        <x:v>CA</x:v>
      </x:c>
      <x:c r="D120" s="27" t="str">
        <x:v>Merced County</x:v>
      </x:c>
      <x:c r="E120" s="40" t="n">
        <x:v>297260</x:v>
      </x:c>
      <x:c r="F120" s="55" t="n">
        <x:v>37.194806</x:v>
      </x:c>
      <x:c r="G120" s="55" t="n">
        <x:v>-120.722802</x:v>
      </x:c>
      <x:c r="H120" s="43" t="n">
        <x:f>E120/SUMIF(A:A,A120,E:E)</x:f>
        <x:v>0.018348850372859552</x:v>
      </x:c>
    </x:row>
    <x:row r="121" ht="21.600000381469727" hidden="0" customHeight="1">
      <x:c r="A121" s="29" t="str">
        <x:v>SCA-04</x:v>
      </x:c>
      <x:c r="B121" s="29" t="str">
        <x:v>06087</x:v>
      </x:c>
      <x:c r="C121" s="29" t="str">
        <x:v>CA</x:v>
      </x:c>
      <x:c r="D121" s="29" t="str">
        <x:v>Santa Cruz County</x:v>
      </x:c>
      <x:c r="E121" s="41" t="n">
        <x:v>258852</x:v>
      </x:c>
      <x:c r="F121" s="56" t="n">
        <x:v>37.012347</x:v>
      </x:c>
      <x:c r="G121" s="56" t="n">
        <x:v>-122.007789</x:v>
      </x:c>
      <x:c r="H121" s="44" t="n">
        <x:f>E121/SUMIF(A:A,A121,E:E)</x:f>
        <x:v>0.015978054957664807</x:v>
      </x:c>
    </x:row>
    <x:row r="122" ht="21.600000381469727" hidden="0" customHeight="1">
      <x:c r="A122" s="27" t="str">
        <x:v>SCA-04</x:v>
      </x:c>
      <x:c r="B122" s="27" t="str">
        <x:v>06041</x:v>
      </x:c>
      <x:c r="C122" s="27" t="str">
        <x:v>CA</x:v>
      </x:c>
      <x:c r="D122" s="27" t="str">
        <x:v>Marin County</x:v>
      </x:c>
      <x:c r="E122" s="40" t="n">
        <x:v>253694</x:v>
      </x:c>
      <x:c r="F122" s="55" t="n">
        <x:v>38.051367</x:v>
      </x:c>
      <x:c r="G122" s="55" t="n">
        <x:v>-122.746396</x:v>
      </x:c>
      <x:c r="H122" s="43" t="n">
        <x:f>E122/SUMIF(A:A,A122,E:E)</x:f>
        <x:v>0.015659669133056015</x:v>
      </x:c>
    </x:row>
    <x:row r="123" ht="15" hidden="0" customHeight="1">
      <x:c r="A123" s="29" t="str">
        <x:v>SCA-04</x:v>
      </x:c>
      <x:c r="B123" s="29" t="str">
        <x:v>06113</x:v>
      </x:c>
      <x:c r="C123" s="29" t="str">
        <x:v>CA</x:v>
      </x:c>
      <x:c r="D123" s="29" t="str">
        <x:v>Yolo County</x:v>
      </x:c>
      <x:c r="E123" s="41" t="n">
        <x:v>224410</x:v>
      </x:c>
      <x:c r="F123" s="56" t="n">
        <x:v>38.679609</x:v>
      </x:c>
      <x:c r="G123" s="56" t="n">
        <x:v>-121.90275</x:v>
      </x:c>
      <x:c r="H123" s="44" t="n">
        <x:f>E123/SUMIF(A:A,A123,E:E)</x:f>
        <x:v>0.013852067254838903</x:v>
      </x:c>
    </x:row>
    <x:row r="124" ht="21.600000381469727" hidden="0" customHeight="1">
      <x:c r="A124" s="27" t="str">
        <x:v>SCA-04</x:v>
      </x:c>
      <x:c r="B124" s="27" t="str">
        <x:v>41029</x:v>
      </x:c>
      <x:c r="C124" s="27" t="str">
        <x:v>OR</x:v>
      </x:c>
      <x:c r="D124" s="27" t="str">
        <x:v>Jackson County</x:v>
      </x:c>
      <x:c r="E124" s="40" t="n">
        <x:v>221795</x:v>
      </x:c>
      <x:c r="F124" s="55" t="n">
        <x:v>42.411621</x:v>
      </x:c>
      <x:c r="G124" s="55" t="n">
        <x:v>-122.675611</x:v>
      </x:c>
      <x:c r="H124" s="43" t="n">
        <x:f>E124/SUMIF(A:A,A124,E:E)</x:f>
        <x:v>0.013690652184782293</x:v>
      </x:c>
    </x:row>
    <x:row r="125" ht="15" hidden="0" customHeight="1">
      <x:c r="A125" s="29" t="str">
        <x:v>SCA-04</x:v>
      </x:c>
      <x:c r="B125" s="29" t="str">
        <x:v>06007</x:v>
      </x:c>
      <x:c r="C125" s="29" t="str">
        <x:v>CA</x:v>
      </x:c>
      <x:c r="D125" s="29" t="str">
        <x:v>Butte County</x:v>
      </x:c>
      <x:c r="E125" s="41" t="n">
        <x:v>209211</x:v>
      </x:c>
      <x:c r="F125" s="56" t="n">
        <x:v>39.665336</x:v>
      </x:c>
      <x:c r="G125" s="56" t="n">
        <x:v>-121.603209</x:v>
      </x:c>
      <x:c r="H125" s="44" t="n">
        <x:f>E125/SUMIF(A:A,A125,E:E)</x:f>
        <x:v>0.012913884597175266</x:v>
      </x:c>
    </x:row>
    <x:row r="126" ht="21.600000381469727" hidden="0" customHeight="1">
      <x:c r="A126" s="27" t="str">
        <x:v>SCA-04</x:v>
      </x:c>
      <x:c r="B126" s="27" t="str">
        <x:v>06017</x:v>
      </x:c>
      <x:c r="C126" s="27" t="str">
        <x:v>CA</x:v>
      </x:c>
      <x:c r="D126" s="27" t="str">
        <x:v>El Dorado County</x:v>
      </x:c>
      <x:c r="E126" s="40" t="n">
        <x:v>192323</x:v>
      </x:c>
      <x:c r="F126" s="55" t="n">
        <x:v>38.785612</x:v>
      </x:c>
      <x:c r="G126" s="55" t="n">
        <x:v>-120.534225</x:v>
      </x:c>
      <x:c r="H126" s="43" t="n">
        <x:f>E126/SUMIF(A:A,A126,E:E)</x:f>
        <x:v>0.011871445704970288</x:v>
      </x:c>
    </x:row>
    <x:row r="127" ht="21.600000381469727" hidden="0" customHeight="1">
      <x:c r="A127" s="29" t="str">
        <x:v>SCA-04</x:v>
      </x:c>
      <x:c r="B127" s="29" t="str">
        <x:v>06089</x:v>
      </x:c>
      <x:c r="C127" s="29" t="str">
        <x:v>CA</x:v>
      </x:c>
      <x:c r="D127" s="29" t="str">
        <x:v>Shasta County</x:v>
      </x:c>
      <x:c r="E127" s="41" t="n">
        <x:v>181648</x:v>
      </x:c>
      <x:c r="F127" s="56" t="n">
        <x:v>40.760514</x:v>
      </x:c>
      <x:c r="G127" s="56" t="n">
        <x:v>-122.043556</x:v>
      </x:c>
      <x:c r="H127" s="44" t="n">
        <x:f>E127/SUMIF(A:A,A127,E:E)</x:f>
        <x:v>0.011212514204834798</x:v>
      </x:c>
    </x:row>
    <x:row r="128" ht="21.600000381469727" hidden="0" customHeight="1">
      <x:c r="A128" s="27" t="str">
        <x:v>SCA-04</x:v>
      </x:c>
      <x:c r="B128" s="27" t="str">
        <x:v>06039</x:v>
      </x:c>
      <x:c r="C128" s="27" t="str">
        <x:v>CA</x:v>
      </x:c>
      <x:c r="D128" s="27" t="str">
        <x:v>Madera County</x:v>
      </x:c>
      <x:c r="E128" s="40" t="n">
        <x:v>167927</x:v>
      </x:c>
      <x:c r="F128" s="55" t="n">
        <x:v>37.209821</x:v>
      </x:c>
      <x:c r="G128" s="55" t="n">
        <x:v>-119.749802</x:v>
      </x:c>
      <x:c r="H128" s="43" t="n">
        <x:f>E128/SUMIF(A:A,A128,E:E)</x:f>
        <x:v>0.010365563468220367</x:v>
      </x:c>
    </x:row>
    <x:row r="129" ht="15" hidden="0" customHeight="1">
      <x:c r="A129" s="29" t="str">
        <x:v>SCA-04</x:v>
      </x:c>
      <x:c r="B129" s="29" t="str">
        <x:v>06055</x:v>
      </x:c>
      <x:c r="C129" s="29" t="str">
        <x:v>CA</x:v>
      </x:c>
      <x:c r="D129" s="29" t="str">
        <x:v>Napa County</x:v>
      </x:c>
      <x:c r="E129" s="41" t="n">
        <x:v>132949</x:v>
      </x:c>
      <x:c r="F129" s="56" t="n">
        <x:v>38.5071</x:v>
      </x:c>
      <x:c r="G129" s="56" t="n">
        <x:v>-122.325904</x:v>
      </x:c>
      <x:c r="H129" s="44" t="n">
        <x:f>E129/SUMIF(A:A,A129,E:E)</x:f>
        <x:v>0.008206490305528173</x:v>
      </x:c>
    </x:row>
    <x:row r="130" ht="21.600000381469727" hidden="0" customHeight="1">
      <x:c r="A130" s="27" t="str">
        <x:v>SCA-04</x:v>
      </x:c>
      <x:c r="B130" s="27" t="str">
        <x:v>06023</x:v>
      </x:c>
      <x:c r="C130" s="27" t="str">
        <x:v>CA</x:v>
      </x:c>
      <x:c r="D130" s="27" t="str">
        <x:v>Humboldt County</x:v>
      </x:c>
      <x:c r="E130" s="40" t="n">
        <x:v>131647</x:v>
      </x:c>
      <x:c r="F130" s="55" t="n">
        <x:v>40.706655</x:v>
      </x:c>
      <x:c r="G130" s="55" t="n">
        <x:v>-123.926176</x:v>
      </x:c>
      <x:c r="H130" s="43" t="n">
        <x:f>E130/SUMIF(A:A,A130,E:E)</x:f>
        <x:v>0.008126122266823124</x:v>
      </x:c>
    </x:row>
    <x:row r="131" ht="21.600000381469727" hidden="0" customHeight="1">
      <x:c r="A131" s="29" t="str">
        <x:v>SCA-04</x:v>
      </x:c>
      <x:c r="B131" s="29" t="str">
        <x:v>06057</x:v>
      </x:c>
      <x:c r="C131" s="29" t="str">
        <x:v>CA</x:v>
      </x:c>
      <x:c r="D131" s="29" t="str">
        <x:v>Nevada County</x:v>
      </x:c>
      <x:c r="E131" s="41" t="n">
        <x:v>101911</x:v>
      </x:c>
      <x:c r="F131" s="56" t="n">
        <x:v>39.297508</x:v>
      </x:c>
      <x:c r="G131" s="56" t="n">
        <x:v>-120.771343</x:v>
      </x:c>
      <x:c r="H131" s="44" t="n">
        <x:f>E131/SUMIF(A:A,A131,E:E)</x:f>
        <x:v>0.006290619963494886</x:v>
      </x:c>
    </x:row>
    <x:row r="132" ht="21.600000381469727" hidden="0" customHeight="1">
      <x:c r="A132" s="27" t="str">
        <x:v>SCA-04</x:v>
      </x:c>
      <x:c r="B132" s="27" t="str">
        <x:v>06101</x:v>
      </x:c>
      <x:c r="C132" s="27" t="str">
        <x:v>CA</x:v>
      </x:c>
      <x:c r="D132" s="27" t="str">
        <x:v>Sutter County</x:v>
      </x:c>
      <x:c r="E132" s="40" t="n">
        <x:v>98787</x:v>
      </x:c>
      <x:c r="F132" s="55" t="n">
        <x:v>39.03619</x:v>
      </x:c>
      <x:c r="G132" s="55" t="n">
        <x:v>-121.70394</x:v>
      </x:c>
      <x:c r="H132" s="43" t="n">
        <x:f>E132/SUMIF(A:A,A132,E:E)</x:f>
        <x:v>0.006097786051886149</x:v>
      </x:c>
    </x:row>
    <x:row r="133" ht="15" hidden="0" customHeight="1">
      <x:c r="A133" s="29" t="str">
        <x:v>SCA-04</x:v>
      </x:c>
      <x:c r="B133" s="29" t="str">
        <x:v>06115</x:v>
      </x:c>
      <x:c r="C133" s="29" t="str">
        <x:v>CA</x:v>
      </x:c>
      <x:c r="D133" s="29" t="str">
        <x:v>Yuba County</x:v>
      </x:c>
      <x:c r="E133" s="41" t="n">
        <x:v>88691</x:v>
      </x:c>
      <x:c r="F133" s="56" t="n">
        <x:v>39.27013</x:v>
      </x:c>
      <x:c r="G133" s="56" t="n">
        <x:v>-121.344259</x:v>
      </x:c>
      <x:c r="H133" s="44" t="n">
        <x:f>E133/SUMIF(A:A,A133,E:E)</x:f>
        <x:v>0.005474594255598758</x:v>
      </x:c>
    </x:row>
    <x:row r="134" ht="21.600000381469727" hidden="0" customHeight="1">
      <x:c r="A134" s="27" t="str">
        <x:v>SCA-04</x:v>
      </x:c>
      <x:c r="B134" s="27" t="str">
        <x:v>06045</x:v>
      </x:c>
      <x:c r="C134" s="27" t="str">
        <x:v>CA</x:v>
      </x:c>
      <x:c r="D134" s="27" t="str">
        <x:v>Mendocino County</x:v>
      </x:c>
      <x:c r="E134" s="40" t="n">
        <x:v>88122</x:v>
      </x:c>
      <x:c r="F134" s="55" t="n">
        <x:v>39.432388</x:v>
      </x:c>
      <x:c r="G134" s="55" t="n">
        <x:v>-123.442881</x:v>
      </x:c>
      <x:c r="H134" s="43" t="n">
        <x:f>E134/SUMIF(A:A,A134,E:E)</x:f>
        <x:v>0.0054394718177929405</x:v>
      </x:c>
    </x:row>
    <x:row r="135" ht="21.600000381469727" hidden="0" customHeight="1">
      <x:c r="A135" s="29" t="str">
        <x:v>SCA-04</x:v>
      </x:c>
      <x:c r="B135" s="29" t="str">
        <x:v>41033</x:v>
      </x:c>
      <x:c r="C135" s="29" t="str">
        <x:v>OR</x:v>
      </x:c>
      <x:c r="D135" s="29" t="str">
        <x:v>Josephine County</x:v>
      </x:c>
      <x:c r="E135" s="41" t="n">
        <x:v>87867</x:v>
      </x:c>
      <x:c r="F135" s="56" t="n">
        <x:v>42.386983</x:v>
      </x:c>
      <x:c r="G135" s="56" t="n">
        <x:v>-123.57162</x:v>
      </x:c>
      <x:c r="H135" s="44" t="n">
        <x:f>E135/SUMIF(A:A,A135,E:E)</x:f>
        <x:v>0.005423731533714763</x:v>
      </x:c>
    </x:row>
    <x:row r="136" ht="21.600000381469727" hidden="0" customHeight="1">
      <x:c r="A136" s="27" t="str">
        <x:v>SCA-04</x:v>
      </x:c>
      <x:c r="B136" s="27" t="str">
        <x:v>06069</x:v>
      </x:c>
      <x:c r="C136" s="27" t="str">
        <x:v>CA</x:v>
      </x:c>
      <x:c r="D136" s="27" t="str">
        <x:v>San Benito County</x:v>
      </x:c>
      <x:c r="E136" s="40" t="n">
        <x:v>70082</x:v>
      </x:c>
      <x:c r="F136" s="55" t="n">
        <x:v>36.611651</x:v>
      </x:c>
      <x:c r="G136" s="55" t="n">
        <x:v>-121.085811</x:v>
      </x:c>
      <x:c r="H136" s="43" t="n">
        <x:f>E136/SUMIF(A:A,A136,E:E)</x:f>
        <x:v>0.004325923877517133</x:v>
      </x:c>
    </x:row>
    <x:row r="137" ht="15" hidden="0" customHeight="1">
      <x:c r="A137" s="29" t="str">
        <x:v>SCA-04</x:v>
      </x:c>
      <x:c r="B137" s="29" t="str">
        <x:v>06033</x:v>
      </x:c>
      <x:c r="C137" s="29" t="str">
        <x:v>CA</x:v>
      </x:c>
      <x:c r="D137" s="29" t="str">
        <x:v>Lake County</x:v>
      </x:c>
      <x:c r="E137" s="41" t="n">
        <x:v>67772</x:v>
      </x:c>
      <x:c r="F137" s="56" t="n">
        <x:v>39.108009</x:v>
      </x:c>
      <x:c r="G137" s="56" t="n">
        <x:v>-122.745217</x:v>
      </x:c>
      <x:c r="H137" s="44" t="n">
        <x:f>E137/SUMIF(A:A,A137,E:E)</x:f>
        <x:v>0.0041833354217501095</x:v>
      </x:c>
    </x:row>
    <x:row r="138" ht="15" hidden="0" customHeight="1">
      <x:c r="A138" s="27" t="str">
        <x:v>SCA-04</x:v>
      </x:c>
      <x:c r="B138" s="27" t="str">
        <x:v>32019</x:v>
      </x:c>
      <x:c r="C138" s="27" t="str">
        <x:v>NV</x:v>
      </x:c>
      <x:c r="D138" s="27" t="str">
        <x:v>Lyon County</x:v>
      </x:c>
      <x:c r="E138" s="40" t="n">
        <x:v>65088</x:v>
      </x:c>
      <x:c r="F138" s="55" t="n">
        <x:v>39.022213</x:v>
      </x:c>
      <x:c r="G138" s="55" t="n">
        <x:v>-119.197425</x:v>
      </x:c>
      <x:c r="H138" s="43" t="n">
        <x:f>E138/SUMIF(A:A,A138,E:E)</x:f>
        <x:v>0.004017661216001758</x:v>
      </x:c>
    </x:row>
    <x:row r="139" ht="21.600000381469727" hidden="0" customHeight="1">
      <x:c r="A139" s="29" t="str">
        <x:v>SCA-04</x:v>
      </x:c>
      <x:c r="B139" s="29" t="str">
        <x:v>06103</x:v>
      </x:c>
      <x:c r="C139" s="29" t="str">
        <x:v>CA</x:v>
      </x:c>
      <x:c r="D139" s="29" t="str">
        <x:v>Tehama County</x:v>
      </x:c>
      <x:c r="E139" s="41" t="n">
        <x:v>64665</x:v>
      </x:c>
      <x:c r="F139" s="56" t="n">
        <x:v>40.126157</x:v>
      </x:c>
      <x:c r="G139" s="56" t="n">
        <x:v>-122.232274</x:v>
      </x:c>
      <x:c r="H139" s="44" t="n">
        <x:f>E139/SUMIF(A:A,A139,E:E)</x:f>
        <x:v>0.003991550862413251</x:v>
      </x:c>
    </x:row>
    <x:row r="140" ht="15" hidden="0" customHeight="1">
      <x:c r="A140" s="27" t="str">
        <x:v>SCA-04</x:v>
      </x:c>
      <x:c r="B140" s="27" t="str">
        <x:v>32510</x:v>
      </x:c>
      <x:c r="C140" s="27" t="str">
        <x:v>NV</x:v>
      </x:c>
      <x:c r="D140" s="27" t="str">
        <x:v>Carson City</x:v>
      </x:c>
      <x:c r="E140" s="40" t="n">
        <x:v>58571</x:v>
      </x:c>
      <x:c r="F140" s="55" t="n">
        <x:v>39.15306</x:v>
      </x:c>
      <x:c r="G140" s="55" t="n">
        <x:v>-119.747368</x:v>
      </x:c>
      <x:c r="H140" s="43" t="n">
        <x:f>E140/SUMIF(A:A,A140,E:E)</x:f>
        <x:v>0.0036153889362469114</x:v>
      </x:c>
    </x:row>
    <x:row r="141" ht="21.600000381469727" hidden="0" customHeight="1">
      <x:c r="A141" s="29" t="str">
        <x:v>SCA-04</x:v>
      </x:c>
      <x:c r="B141" s="29" t="str">
        <x:v>06109</x:v>
      </x:c>
      <x:c r="C141" s="29" t="str">
        <x:v>CA</x:v>
      </x:c>
      <x:c r="D141" s="29" t="str">
        <x:v>Tuolumne County</x:v>
      </x:c>
      <x:c r="E141" s="41" t="n">
        <x:v>53160</x:v>
      </x:c>
      <x:c r="F141" s="56" t="n">
        <x:v>38.021434</x:v>
      </x:c>
      <x:c r="G141" s="56" t="n">
        <x:v>-119.964733</x:v>
      </x:c>
      <x:c r="H141" s="44" t="n">
        <x:f>E141/SUMIF(A:A,A141,E:E)</x:f>
        <x:v>0.0032813862807683975</x:v>
      </x:c>
    </x:row>
    <x:row r="142" ht="21.600000381469727" hidden="0" customHeight="1">
      <x:c r="A142" s="27" t="str">
        <x:v>SCA-04</x:v>
      </x:c>
      <x:c r="B142" s="27" t="str">
        <x:v>32005</x:v>
      </x:c>
      <x:c r="C142" s="27" t="str">
        <x:v>NV</x:v>
      </x:c>
      <x:c r="D142" s="27" t="str">
        <x:v>Douglas County</x:v>
      </x:c>
      <x:c r="E142" s="40" t="n">
        <x:v>50111</x:v>
      </x:c>
      <x:c r="F142" s="55" t="n">
        <x:v>38.905129</x:v>
      </x:c>
      <x:c r="G142" s="55" t="n">
        <x:v>-119.609019</x:v>
      </x:c>
      <x:c r="H142" s="43" t="n">
        <x:f>E142/SUMIF(A:A,A142,E:E)</x:f>
        <x:v>0.0030931818644767714</x:v>
      </x:c>
    </x:row>
    <x:row r="143" ht="21.600000381469727" hidden="0" customHeight="1">
      <x:c r="A143" s="29" t="str">
        <x:v>SCA-04</x:v>
      </x:c>
      <x:c r="B143" s="29" t="str">
        <x:v>06009</x:v>
      </x:c>
      <x:c r="C143" s="29" t="str">
        <x:v>CA</x:v>
      </x:c>
      <x:c r="D143" s="29" t="str">
        <x:v>Calaveras County</x:v>
      </x:c>
      <x:c r="E143" s="41" t="n">
        <x:v>46605</x:v>
      </x:c>
      <x:c r="F143" s="56" t="n">
        <x:v>38.191068</x:v>
      </x:c>
      <x:c r="G143" s="56" t="n">
        <x:v>-120.554107</x:v>
      </x:c>
      <x:c r="H143" s="44" t="n">
        <x:f>E143/SUMIF(A:A,A143,E:E)</x:f>
        <x:v>0.002876768390052881</x:v>
      </x:c>
    </x:row>
    <x:row r="144" ht="21.600000381469727" hidden="0" customHeight="1">
      <x:c r="A144" s="27" t="str">
        <x:v>SCA-04</x:v>
      </x:c>
      <x:c r="B144" s="27" t="str">
        <x:v>06093</x:v>
      </x:c>
      <x:c r="C144" s="27" t="str">
        <x:v>CA</x:v>
      </x:c>
      <x:c r="D144" s="27" t="str">
        <x:v>Siskiyou County</x:v>
      </x:c>
      <x:c r="E144" s="40" t="n">
        <x:v>42013</x:v>
      </x:c>
      <x:c r="F144" s="55" t="n">
        <x:v>41.587986</x:v>
      </x:c>
      <x:c r="G144" s="55" t="n">
        <x:v>-122.533287</x:v>
      </x:c>
      <x:c r="H144" s="43" t="n">
        <x:f>E144/SUMIF(A:A,A144,E:E)</x:f>
        <x:v>0.0025933198234372214</x:v>
      </x:c>
    </x:row>
    <x:row r="145" ht="21.600000381469727" hidden="0" customHeight="1">
      <x:c r="A145" s="29" t="str">
        <x:v>SCA-04</x:v>
      </x:c>
      <x:c r="B145" s="29" t="str">
        <x:v>06005</x:v>
      </x:c>
      <x:c r="C145" s="29" t="str">
        <x:v>CA</x:v>
      </x:c>
      <x:c r="D145" s="29" t="str">
        <x:v>Amador County</x:v>
      </x:c>
      <x:c r="E145" s="41" t="n">
        <x:v>41876</x:v>
      </x:c>
      <x:c r="F145" s="56" t="n">
        <x:v>38.443549</x:v>
      </x:c>
      <x:c r="G145" s="56" t="n">
        <x:v>-120.653858</x:v>
      </x:c>
      <x:c r="H145" s="44" t="n">
        <x:f>E145/SUMIF(A:A,A145,E:E)</x:f>
        <x:v>0.002584863278657965</x:v>
      </x:c>
    </x:row>
    <x:row r="146" ht="21.600000381469727" hidden="0" customHeight="1">
      <x:c r="A146" s="27" t="str">
        <x:v>SCA-04</x:v>
      </x:c>
      <x:c r="B146" s="27" t="str">
        <x:v>06021</x:v>
      </x:c>
      <x:c r="C146" s="27" t="str">
        <x:v>CA</x:v>
      </x:c>
      <x:c r="D146" s="27" t="str">
        <x:v>Glenn County</x:v>
      </x:c>
      <x:c r="E146" s="40" t="n">
        <x:v>28141</x:v>
      </x:c>
      <x:c r="F146" s="55" t="n">
        <x:v>39.602546</x:v>
      </x:c>
      <x:c r="G146" s="55" t="n">
        <x:v>-122.4017</x:v>
      </x:c>
      <x:c r="H146" s="43" t="n">
        <x:f>E146/SUMIF(A:A,A146,E:E)</x:f>
        <x:v>0.0017370483695843392</x:v>
      </x:c>
    </x:row>
    <x:row r="147" ht="21.600000381469727" hidden="0" customHeight="1">
      <x:c r="A147" s="29" t="str">
        <x:v>SCA-04</x:v>
      </x:c>
      <x:c r="B147" s="29" t="str">
        <x:v>06035</x:v>
      </x:c>
      <x:c r="C147" s="29" t="str">
        <x:v>CA</x:v>
      </x:c>
      <x:c r="D147" s="29" t="str">
        <x:v>Lassen County</x:v>
      </x:c>
      <x:c r="E147" s="41" t="n">
        <x:v>28117</x:v>
      </x:c>
      <x:c r="F147" s="56" t="n">
        <x:v>40.715287</x:v>
      </x:c>
      <x:c r="G147" s="56" t="n">
        <x:v>-120.621223</x:v>
      </x:c>
      <x:c r="H147" s="44" t="n">
        <x:f>E147/SUMIF(A:A,A147,E:E)</x:f>
        <x:v>0.0017355669310828636</x:v>
      </x:c>
    </x:row>
    <x:row r="148" ht="21.600000381469727" hidden="0" customHeight="1">
      <x:c r="A148" s="27" t="str">
        <x:v>SCA-04</x:v>
      </x:c>
      <x:c r="B148" s="27" t="str">
        <x:v>06015</x:v>
      </x:c>
      <x:c r="C148" s="27" t="str">
        <x:v>CA</x:v>
      </x:c>
      <x:c r="D148" s="27" t="str">
        <x:v>Del Norte County</x:v>
      </x:c>
      <x:c r="E148" s="40" t="n">
        <x:v>26410</x:v>
      </x:c>
      <x:c r="F148" s="55" t="n">
        <x:v>41.749903</x:v>
      </x:c>
      <x:c r="G148" s="55" t="n">
        <x:v>-123.980998</x:v>
      </x:c>
      <x:c r="H148" s="43" t="n">
        <x:f>E148/SUMIF(A:A,A148,E:E)</x:f>
        <x:v>0.0016301996176654133</x:v>
      </x:c>
    </x:row>
    <x:row r="149" ht="21.600000381469727" hidden="0" customHeight="1">
      <x:c r="A149" s="29" t="str">
        <x:v>SCA-04</x:v>
      </x:c>
      <x:c r="B149" s="29" t="str">
        <x:v>32001</x:v>
      </x:c>
      <x:c r="C149" s="29" t="str">
        <x:v>NV</x:v>
      </x:c>
      <x:c r="D149" s="29" t="str">
        <x:v>Churchill County</x:v>
      </x:c>
      <x:c r="E149" s="41" t="n">
        <x:v>25851</x:v>
      </x:c>
      <x:c r="F149" s="56" t="n">
        <x:v>39.53771</x:v>
      </x:c>
      <x:c r="G149" s="56" t="n">
        <x:v>-118.264166</x:v>
      </x:c>
      <x:c r="H149" s="44" t="n">
        <x:f>E149/SUMIF(A:A,A149,E:E)</x:f>
        <x:v>0.001595694445901878</x:v>
      </x:c>
    </x:row>
    <x:row r="150" ht="15" hidden="0" customHeight="1">
      <x:c r="A150" s="27" t="str">
        <x:v>SCA-04</x:v>
      </x:c>
      <x:c r="B150" s="27" t="str">
        <x:v>41015</x:v>
      </x:c>
      <x:c r="C150" s="27" t="str">
        <x:v>OR</x:v>
      </x:c>
      <x:c r="D150" s="27" t="str">
        <x:v>Curry County</x:v>
      </x:c>
      <x:c r="E150" s="40" t="n">
        <x:v>22621</x:v>
      </x:c>
      <x:c r="F150" s="55" t="n">
        <x:v>42.466439</x:v>
      </x:c>
      <x:c r="G150" s="55" t="n">
        <x:v>-124.210929</x:v>
      </x:c>
      <x:c r="H150" s="43" t="n">
        <x:f>E150/SUMIF(A:A,A150,E:E)</x:f>
        <x:v>0.0013963175142449572</x:v>
      </x:c>
    </x:row>
    <x:row r="151" ht="21.600000381469727" hidden="0" customHeight="1">
      <x:c r="A151" s="29" t="str">
        <x:v>SCA-04</x:v>
      </x:c>
      <x:c r="B151" s="29" t="str">
        <x:v>06011</x:v>
      </x:c>
      <x:c r="C151" s="29" t="str">
        <x:v>CA</x:v>
      </x:c>
      <x:c r="D151" s="29" t="str">
        <x:v>Colusa County</x:v>
      </x:c>
      <x:c r="E151" s="41" t="n">
        <x:v>21836</x:v>
      </x:c>
      <x:c r="F151" s="56" t="n">
        <x:v>39.177739</x:v>
      </x:c>
      <x:c r="G151" s="56" t="n">
        <x:v>-122.237563</x:v>
      </x:c>
      <x:c r="H151" s="44" t="n">
        <x:f>E151/SUMIF(A:A,A151,E:E)</x:f>
        <x:v>0.0013478621299258602</x:v>
      </x:c>
    </x:row>
    <x:row r="152" ht="21.600000381469727" hidden="0" customHeight="1">
      <x:c r="A152" s="27" t="str">
        <x:v>SCA-04</x:v>
      </x:c>
      <x:c r="B152" s="27" t="str">
        <x:v>06063</x:v>
      </x:c>
      <x:c r="C152" s="27" t="str">
        <x:v>CA</x:v>
      </x:c>
      <x:c r="D152" s="27" t="str">
        <x:v>Plumas County</x:v>
      </x:c>
      <x:c r="E152" s="40" t="n">
        <x:v>18583</x:v>
      </x:c>
      <x:c r="F152" s="55" t="n">
        <x:v>39.992295</x:v>
      </x:c>
      <x:c r="G152" s="55" t="n">
        <x:v>-120.824371</x:v>
      </x:c>
      <x:c r="H152" s="43" t="n">
        <x:f>E152/SUMIF(A:A,A152,E:E)</x:f>
        <x:v>0.0011470654863716917</x:v>
      </x:c>
    </x:row>
    <x:row r="153" ht="21.600000381469727" hidden="0" customHeight="1">
      <x:c r="A153" s="29" t="str">
        <x:v>SCA-04</x:v>
      </x:c>
      <x:c r="B153" s="29" t="str">
        <x:v>06043</x:v>
      </x:c>
      <x:c r="C153" s="29" t="str">
        <x:v>CA</x:v>
      </x:c>
      <x:c r="D153" s="29" t="str">
        <x:v>Mariposa County</x:v>
      </x:c>
      <x:c r="E153" s="41" t="n">
        <x:v>16918</x:v>
      </x:c>
      <x:c r="F153" s="56" t="n">
        <x:v>37.574343</x:v>
      </x:c>
      <x:c r="G153" s="56" t="n">
        <x:v>-119.911721</x:v>
      </x:c>
      <x:c r="H153" s="44" t="n">
        <x:f>E153/SUMIF(A:A,A153,E:E)</x:f>
        <x:v>0.0010442906903318236</x:v>
      </x:c>
    </x:row>
    <x:row r="154" ht="21.600000381469727" hidden="0" customHeight="1">
      <x:c r="A154" s="27" t="str">
        <x:v>SCA-04</x:v>
      </x:c>
      <x:c r="B154" s="27" t="str">
        <x:v>06105</x:v>
      </x:c>
      <x:c r="C154" s="27" t="str">
        <x:v>CA</x:v>
      </x:c>
      <x:c r="D154" s="27" t="str">
        <x:v>Trinity County</x:v>
      </x:c>
      <x:c r="E154" s="40" t="n">
        <x:v>15720</x:v>
      </x:c>
      <x:c r="F154" s="55" t="n">
        <x:v>40.647858</x:v>
      </x:c>
      <x:c r="G154" s="55" t="n">
        <x:v>-123.114666</x:v>
      </x:c>
      <x:c r="H154" s="43" t="n">
        <x:f>E154/SUMIF(A:A,A154,E:E)</x:f>
        <x:v>0.0009703422184665013</x:v>
      </x:c>
    </x:row>
    <x:row r="155" ht="21.600000381469727" hidden="0" customHeight="1">
      <x:c r="A155" s="29" t="str">
        <x:v>SCA-04</x:v>
      </x:c>
      <x:c r="B155" s="29" t="str">
        <x:v>06051</x:v>
      </x:c>
      <x:c r="C155" s="29" t="str">
        <x:v>CA</x:v>
      </x:c>
      <x:c r="D155" s="29" t="str">
        <x:v>Mono County</x:v>
      </x:c>
      <x:c r="E155" s="41" t="n">
        <x:v>12505</x:v>
      </x:c>
      <x:c r="F155" s="56" t="n">
        <x:v>37.915836</x:v>
      </x:c>
      <x:c r="G155" s="56" t="n">
        <x:v>-118.875167</x:v>
      </x:c>
      <x:c r="H155" s="44" t="n">
        <x:f>E155/SUMIF(A:A,A155,E:E)</x:f>
        <x:v>0.0007718911858730025</x:v>
      </x:c>
    </x:row>
    <x:row r="156" ht="21.600000381469727" hidden="0" customHeight="1">
      <x:c r="A156" s="27" t="str">
        <x:v>SCA-04</x:v>
      </x:c>
      <x:c r="B156" s="27" t="str">
        <x:v>06049</x:v>
      </x:c>
      <x:c r="C156" s="27" t="str">
        <x:v>CA</x:v>
      </x:c>
      <x:c r="D156" s="27" t="str">
        <x:v>Modoc County</x:v>
      </x:c>
      <x:c r="E156" s="40" t="n">
        <x:v>8426</x:v>
      </x:c>
      <x:c r="F156" s="55" t="n">
        <x:v>41.592918</x:v>
      </x:c>
      <x:c r="G156" s="55" t="n">
        <x:v>-120.71837</x:v>
      </x:c>
      <x:c r="H156" s="43" t="n">
        <x:f>E156/SUMIF(A:A,A156,E:E)</x:f>
        <x:v>0.0005201083672263829</x:v>
      </x:c>
    </x:row>
    <x:row r="157" ht="21.600000381469727" hidden="0" customHeight="1">
      <x:c r="A157" s="29" t="str">
        <x:v>SCA-04</x:v>
      </x:c>
      <x:c r="B157" s="29" t="str">
        <x:v>32027</x:v>
      </x:c>
      <x:c r="C157" s="29" t="str">
        <x:v>NV</x:v>
      </x:c>
      <x:c r="D157" s="29" t="str">
        <x:v>Pershing County</x:v>
      </x:c>
      <x:c r="E157" s="41" t="n">
        <x:v>6421</x:v>
      </x:c>
      <x:c r="F157" s="56" t="n">
        <x:v>40.439639</x:v>
      </x:c>
      <x:c r="G157" s="56" t="n">
        <x:v>-118.409477</x:v>
      </x:c>
      <x:c r="H157" s="44" t="n">
        <x:f>E157/SUMIF(A:A,A157,E:E)</x:f>
        <x:v>0.00039634652574894433</x:v>
      </x:c>
    </x:row>
    <x:row r="158" ht="21.600000381469727" hidden="0" customHeight="1">
      <x:c r="A158" s="27" t="str">
        <x:v>SCA-04</x:v>
      </x:c>
      <x:c r="B158" s="27" t="str">
        <x:v>32015</x:v>
      </x:c>
      <x:c r="C158" s="27" t="str">
        <x:v>NV</x:v>
      </x:c>
      <x:c r="D158" s="27" t="str">
        <x:v>Lander County</x:v>
      </x:c>
      <x:c r="E158" s="40" t="n">
        <x:v>5872</x:v>
      </x:c>
      <x:c r="F158" s="55" t="n">
        <x:v>39.90021</x:v>
      </x:c>
      <x:c r="G158" s="55" t="n">
        <x:v>-117.04724</x:v>
      </x:c>
      <x:c r="H158" s="43" t="n">
        <x:f>E158/SUMIF(A:A,A158,E:E)</x:f>
        <x:v>0.00036245862002769056</x:v>
      </x:c>
    </x:row>
    <x:row r="159" ht="21.600000381469727" hidden="0" customHeight="1">
      <x:c r="A159" s="29" t="str">
        <x:v>SCA-04</x:v>
      </x:c>
      <x:c r="B159" s="29" t="str">
        <x:v>32021</x:v>
      </x:c>
      <x:c r="C159" s="29" t="str">
        <x:v>NV</x:v>
      </x:c>
      <x:c r="D159" s="29" t="str">
        <x:v>Mineral County</x:v>
      </x:c>
      <x:c r="E159" s="41" t="n">
        <x:v>4407</x:v>
      </x:c>
      <x:c r="F159" s="56" t="n">
        <x:v>38.516647</x:v>
      </x:c>
      <x:c r="G159" s="56" t="n">
        <x:v>-118.416279</x:v>
      </x:c>
      <x:c r="H159" s="44" t="n">
        <x:f>E159/SUMIF(A:A,A159,E:E)</x:f>
        <x:v>0.0002720291448334524</x:v>
      </x:c>
    </x:row>
    <x:row r="160" ht="21.600000381469727" hidden="0" customHeight="1">
      <x:c r="A160" s="27" t="str">
        <x:v>SCA-04</x:v>
      </x:c>
      <x:c r="B160" s="27" t="str">
        <x:v>32029</x:v>
      </x:c>
      <x:c r="C160" s="27" t="str">
        <x:v>NV</x:v>
      </x:c>
      <x:c r="D160" s="27" t="str">
        <x:v>Storey County</x:v>
      </x:c>
      <x:c r="E160" s="40" t="n">
        <x:v>4260</x:v>
      </x:c>
      <x:c r="F160" s="55" t="n">
        <x:v>39.438385</x:v>
      </x:c>
      <x:c r="G160" s="55" t="n">
        <x:v>-119.524646</x:v>
      </x:c>
      <x:c r="H160" s="43" t="n">
        <x:f>E160/SUMIF(A:A,A160,E:E)</x:f>
        <x:v>0.0002629553340119145</x:v>
      </x:c>
    </x:row>
    <x:row r="161" ht="21.600000381469727" hidden="0" customHeight="1">
      <x:c r="A161" s="29" t="str">
        <x:v>SCA-04</x:v>
      </x:c>
      <x:c r="B161" s="29" t="str">
        <x:v>06091</x:v>
      </x:c>
      <x:c r="C161" s="29" t="str">
        <x:v>CA</x:v>
      </x:c>
      <x:c r="D161" s="29" t="str">
        <x:v>Sierra County</x:v>
      </x:c>
      <x:c r="E161" s="41" t="n">
        <x:v>3098</x:v>
      </x:c>
      <x:c r="F161" s="56" t="n">
        <x:v>39.576925</x:v>
      </x:c>
      <x:c r="G161" s="56" t="n">
        <x:v>-120.521993</x:v>
      </x:c>
      <x:c r="H161" s="44" t="n">
        <x:f>E161/SUMIF(A:A,A161,E:E)</x:f>
        <x:v>0.0001912290198988054</x:v>
      </x:c>
    </x:row>
    <x:row r="162" ht="21.600000381469727" hidden="0" customHeight="1">
      <x:c r="A162" s="27" t="str">
        <x:v>SCA-04</x:v>
      </x:c>
      <x:c r="B162" s="27" t="str">
        <x:v>06003</x:v>
      </x:c>
      <x:c r="C162" s="27" t="str">
        <x:v>CA</x:v>
      </x:c>
      <x:c r="D162" s="27" t="str">
        <x:v>Alpine County</x:v>
      </x:c>
      <x:c r="E162" s="40" t="n">
        <x:v>1043</x:v>
      </x:c>
      <x:c r="F162" s="55" t="n">
        <x:v>38.621783</x:v>
      </x:c>
      <x:c r="G162" s="55" t="n">
        <x:v>-119.798352</x:v>
      </x:c>
      <x:c r="H162" s="43" t="n">
        <x:f>E162/SUMIF(A:A,A162,E:E)</x:f>
        <x:v>0.00006438084820995935</x:v>
      </x:c>
    </x:row>
    <x:row r="163" ht="21.600000381469727" hidden="0" customHeight="1">
      <x:c r="A163" s="29" t="str">
        <x:v>SCA-05</x:v>
      </x:c>
      <x:c r="B163" s="29" t="str">
        <x:v>06037</x:v>
      </x:c>
      <x:c r="C163" s="29" t="str">
        <x:v>CA</x:v>
      </x:c>
      <x:c r="D163" s="29" t="str">
        <x:v>Los Angeles County</x:v>
      </x:c>
      <x:c r="E163" s="41" t="n">
        <x:v>9694934</x:v>
      </x:c>
      <x:c r="F163" s="56" t="n">
        <x:v>34.196398</x:v>
      </x:c>
      <x:c r="G163" s="56" t="n">
        <x:v>-118.261862</x:v>
      </x:c>
      <x:c r="H163" s="44" t="n">
        <x:f>E163/SUMIF(A:A,A163,E:E)</x:f>
        <x:v>0.6072136470238969</x:v>
      </x:c>
    </x:row>
    <x:row r="164" ht="21.600000381469727" hidden="0" customHeight="1">
      <x:c r="A164" s="27" t="str">
        <x:v>SCA-05</x:v>
      </x:c>
      <x:c r="B164" s="27" t="str">
        <x:v>06059</x:v>
      </x:c>
      <x:c r="C164" s="27" t="str">
        <x:v>CA</x:v>
      </x:c>
      <x:c r="D164" s="27" t="str">
        <x:v>Orange County</x:v>
      </x:c>
      <x:c r="E164" s="40" t="n">
        <x:v>3149507</x:v>
      </x:c>
      <x:c r="F164" s="55" t="n">
        <x:v>33.675687</x:v>
      </x:c>
      <x:c r="G164" s="55" t="n">
        <x:v>-117.777207</x:v>
      </x:c>
      <x:c r="H164" s="43" t="n">
        <x:f>E164/SUMIF(A:A,A164,E:E)</x:f>
        <x:v>0.19726009808806255</x:v>
      </x:c>
    </x:row>
    <x:row r="165" ht="15" hidden="0" customHeight="1">
      <x:c r="A165" s="29" t="str">
        <x:v>SCA-05</x:v>
      </x:c>
      <x:c r="B165" s="29" t="str">
        <x:v>06029</x:v>
      </x:c>
      <x:c r="C165" s="29" t="str">
        <x:v>CA</x:v>
      </x:c>
      <x:c r="D165" s="29" t="str">
        <x:v>Kern County</x:v>
      </x:c>
      <x:c r="E165" s="41" t="n">
        <x:v>927068</x:v>
      </x:c>
      <x:c r="F165" s="56" t="n">
        <x:v>35.346629</x:v>
      </x:c>
      <x:c r="G165" s="56" t="n">
        <x:v>-118.729506</x:v>
      </x:c>
      <x:c r="H165" s="44" t="n">
        <x:f>E165/SUMIF(A:A,A165,E:E)</x:f>
        <x:v>0.058064174683308836</x:v>
      </x:c>
    </x:row>
    <x:row r="166" ht="21.600000381469727" hidden="0" customHeight="1">
      <x:c r="A166" s="27" t="str">
        <x:v>SCA-05</x:v>
      </x:c>
      <x:c r="B166" s="27" t="str">
        <x:v>06111</x:v>
      </x:c>
      <x:c r="C166" s="27" t="str">
        <x:v>CA</x:v>
      </x:c>
      <x:c r="D166" s="27" t="str">
        <x:v>Ventura County</x:v>
      </x:c>
      <x:c r="E166" s="40" t="n">
        <x:v>830851</x:v>
      </x:c>
      <x:c r="F166" s="55" t="n">
        <x:v>34.358748</x:v>
      </x:c>
      <x:c r="G166" s="55" t="n">
        <x:v>-119.133145</x:v>
      </x:c>
      <x:c r="H166" s="43" t="n">
        <x:f>E166/SUMIF(A:A,A166,E:E)</x:f>
        <x:v>0.0520379061727962</x:v>
      </x:c>
    </x:row>
    <x:row r="167" ht="21.600000381469727" hidden="0" customHeight="1">
      <x:c r="A167" s="29" t="str">
        <x:v>SCA-05</x:v>
      </x:c>
      <x:c r="B167" s="29" t="str">
        <x:v>06107</x:v>
      </x:c>
      <x:c r="C167" s="29" t="str">
        <x:v>CA</x:v>
      </x:c>
      <x:c r="D167" s="29" t="str">
        <x:v>Tulare County</x:v>
      </x:c>
      <x:c r="E167" s="41" t="n">
        <x:v>485146</x:v>
      </x:c>
      <x:c r="F167" s="56" t="n">
        <x:v>36.228834</x:v>
      </x:c>
      <x:c r="G167" s="56" t="n">
        <x:v>-118.781055</x:v>
      </x:c>
      <x:c r="H167" s="44" t="n">
        <x:f>E167/SUMIF(A:A,A167,E:E)</x:f>
        <x:v>0.030385691331065844</x:v>
      </x:c>
    </x:row>
    <x:row r="168" ht="32.400001525878906" hidden="0" customHeight="1">
      <x:c r="A168" s="27" t="str">
        <x:v>SCA-05</x:v>
      </x:c>
      <x:c r="B168" s="27" t="str">
        <x:v>06083</x:v>
      </x:c>
      <x:c r="C168" s="27" t="str">
        <x:v>CA</x:v>
      </x:c>
      <x:c r="D168" s="27" t="str">
        <x:v>Santa Barbara County</x:v>
      </x:c>
      <x:c r="E168" s="40" t="n">
        <x:v>442065</x:v>
      </x:c>
      <x:c r="F168" s="55" t="n">
        <x:v>34.536677</x:v>
      </x:c>
      <x:c r="G168" s="55" t="n">
        <x:v>-120.038364</x:v>
      </x:c>
      <x:c r="H168" s="43" t="n">
        <x:f>E168/SUMIF(A:A,A168,E:E)</x:f>
        <x:v>0.027687439736218834</x:v>
      </x:c>
    </x:row>
    <x:row r="169" ht="32.400001525878906" hidden="0" customHeight="1">
      <x:c r="A169" s="29" t="str">
        <x:v>SCA-05</x:v>
      </x:c>
      <x:c r="B169" s="29" t="str">
        <x:v>06079</x:v>
      </x:c>
      <x:c r="C169" s="29" t="str">
        <x:v>CA</x:v>
      </x:c>
      <x:c r="D169" s="29" t="str">
        <x:v>San Luis Obispo County</x:v>
      </x:c>
      <x:c r="E169" s="41" t="n">
        <x:v>282367</x:v>
      </x:c>
      <x:c r="F169" s="56" t="n">
        <x:v>35.388189</x:v>
      </x:c>
      <x:c r="G169" s="56" t="n">
        <x:v>-120.448897</x:v>
      </x:c>
      <x:c r="H169" s="44" t="n">
        <x:f>E169/SUMIF(A:A,A169,E:E)</x:f>
        <x:v>0.017685225693047184</x:v>
      </x:c>
    </x:row>
    <x:row r="170" ht="21.600000381469727" hidden="0" customHeight="1">
      <x:c r="A170" s="27" t="str">
        <x:v>SCA-05</x:v>
      </x:c>
      <x:c r="B170" s="27" t="str">
        <x:v>06031</x:v>
      </x:c>
      <x:c r="C170" s="27" t="str">
        <x:v>CA</x:v>
      </x:c>
      <x:c r="D170" s="27" t="str">
        <x:v>Kings County</x:v>
      </x:c>
      <x:c r="E170" s="40" t="n">
        <x:v>154327</x:v>
      </x:c>
      <x:c r="F170" s="55" t="n">
        <x:v>36.072478</x:v>
      </x:c>
      <x:c r="G170" s="55" t="n">
        <x:v>-119.81553</x:v>
      </x:c>
      <x:c r="H170" s="43" t="n">
        <x:f>E170/SUMIF(A:A,A170,E:E)</x:f>
        <x:v>0.009665817271603597</x:v>
      </x:c>
    </x:row>
    <x:row r="171" ht="21.600000381469727" hidden="0" customHeight="1">
      <x:c r="A171" s="29" t="str">
        <x:v>SCA-06</x:v>
      </x:c>
      <x:c r="B171" s="29" t="str">
        <x:v>06073</x:v>
      </x:c>
      <x:c r="C171" s="29" t="str">
        <x:v>CA</x:v>
      </x:c>
      <x:c r="D171" s="29" t="str">
        <x:v>San Diego County</x:v>
      </x:c>
      <x:c r="E171" s="41" t="n">
        <x:v>3282248</x:v>
      </x:c>
      <x:c r="F171" s="56" t="n">
        <x:v>33.023604</x:v>
      </x:c>
      <x:c r="G171" s="56" t="n">
        <x:v>-116.776117</x:v>
      </x:c>
      <x:c r="H171" s="44" t="n">
        <x:f>E171/SUMIF(A:A,A171,E:E)</x:f>
        <x:v>0.5462606358412768</x:v>
      </x:c>
    </x:row>
    <x:row r="172" ht="21.600000381469727" hidden="0" customHeight="1">
      <x:c r="A172" s="27" t="str">
        <x:v>SCA-06</x:v>
      </x:c>
      <x:c r="B172" s="27" t="str">
        <x:v>06065</x:v>
      </x:c>
      <x:c r="C172" s="27" t="str">
        <x:v>CA</x:v>
      </x:c>
      <x:c r="D172" s="27" t="str">
        <x:v>Riverside County</x:v>
      </x:c>
      <x:c r="E172" s="40" t="n">
        <x:v>2544916</x:v>
      </x:c>
      <x:c r="F172" s="55" t="n">
        <x:v>33.729828</x:v>
      </x:c>
      <x:c r="G172" s="55" t="n">
        <x:v>-116.002239</x:v>
      </x:c>
      <x:c r="H172" s="43" t="n">
        <x:f>E172/SUMIF(A:A,A172,E:E)</x:f>
        <x:v>0.4235473469166982</x:v>
      </x:c>
    </x:row>
    <x:row r="173" ht="21.600000381469727" hidden="0" customHeight="1">
      <x:c r="A173" s="29" t="str">
        <x:v>SCA-06</x:v>
      </x:c>
      <x:c r="B173" s="29" t="str">
        <x:v>06025</x:v>
      </x:c>
      <x:c r="C173" s="29" t="str">
        <x:v>CA</x:v>
      </x:c>
      <x:c r="D173" s="29" t="str">
        <x:v>Imperial County</x:v>
      </x:c>
      <x:c r="E173" s="41" t="n">
        <x:v>181411</x:v>
      </x:c>
      <x:c r="F173" s="56" t="n">
        <x:v>33.040814</x:v>
      </x:c>
      <x:c r="G173" s="56" t="n">
        <x:v>-115.3554</x:v>
      </x:c>
      <x:c r="H173" s="44" t="n">
        <x:f>E173/SUMIF(A:A,A173,E:E)</x:f>
        <x:v>0.03019201724202494</x:v>
      </x:c>
    </x:row>
    <x:row r="174" ht="15" hidden="0" customHeight="1">
      <x:c r="A174" s="27" t="str">
        <x:v>SCA-07</x:v>
      </x:c>
      <x:c r="B174" s="27" t="str">
        <x:v>32003</x:v>
      </x:c>
      <x:c r="C174" s="27" t="str">
        <x:v>NV</x:v>
      </x:c>
      <x:c r="D174" s="27" t="str">
        <x:v>Clark County</x:v>
      </x:c>
      <x:c r="E174" s="40" t="n">
        <x:v>2407226</x:v>
      </x:c>
      <x:c r="F174" s="55" t="n">
        <x:v>36.21413</x:v>
      </x:c>
      <x:c r="G174" s="55" t="n">
        <x:v>-115.014398</x:v>
      </x:c>
      <x:c r="H174" s="43" t="n">
        <x:f>E174/SUMIF(A:A,A174,E:E)</x:f>
        <x:v>0.4603281083572209</x:v>
      </x:c>
    </x:row>
    <x:row r="175" ht="32.400001525878906" hidden="0" customHeight="1">
      <x:c r="A175" s="29" t="str">
        <x:v>SCA-07</x:v>
      </x:c>
      <x:c r="B175" s="29" t="str">
        <x:v>06071</x:v>
      </x:c>
      <x:c r="C175" s="29" t="str">
        <x:v>CA</x:v>
      </x:c>
      <x:c r="D175" s="29" t="str">
        <x:v>San Bernardino County</x:v>
      </x:c>
      <x:c r="E175" s="41" t="n">
        <x:v>2224091</x:v>
      </x:c>
      <x:c r="F175" s="56" t="n">
        <x:v>34.856661</x:v>
      </x:c>
      <x:c r="G175" s="56" t="n">
        <x:v>-116.181571</x:v>
      </x:c>
      <x:c r="H175" s="44" t="n">
        <x:f>E175/SUMIF(A:A,A175,E:E)</x:f>
        <x:v>0.42530763744007405</x:v>
      </x:c>
    </x:row>
    <x:row r="176" ht="21.600000381469727" hidden="0" customHeight="1">
      <x:c r="A176" s="27" t="str">
        <x:v>SCA-07</x:v>
      </x:c>
      <x:c r="B176" s="27" t="str">
        <x:v>04015</x:v>
      </x:c>
      <x:c r="C176" s="27" t="str">
        <x:v>AZ</x:v>
      </x:c>
      <x:c r="D176" s="27" t="str">
        <x:v>Mohave County</x:v>
      </x:c>
      <x:c r="E176" s="40" t="n">
        <x:v>228102</x:v>
      </x:c>
      <x:c r="F176" s="55" t="n">
        <x:v>35.717705</x:v>
      </x:c>
      <x:c r="G176" s="55" t="n">
        <x:v>-113.749689</x:v>
      </x:c>
      <x:c r="H176" s="43" t="n">
        <x:f>E176/SUMIF(A:A,A176,E:E)</x:f>
        <x:v>0.04361940348454976</x:v>
      </x:c>
    </x:row>
    <x:row r="177" ht="21.600000381469727" hidden="0" customHeight="1">
      <x:c r="A177" s="29" t="str">
        <x:v>SCA-07</x:v>
      </x:c>
      <x:c r="B177" s="29" t="str">
        <x:v>49053</x:v>
      </x:c>
      <x:c r="C177" s="29" t="str">
        <x:v>UT</x:v>
      </x:c>
      <x:c r="D177" s="29" t="str">
        <x:v>Washington County</x:v>
      </x:c>
      <x:c r="E177" s="41" t="n">
        <x:v>213670</x:v>
      </x:c>
      <x:c r="F177" s="56" t="n">
        <x:v>37.262531</x:v>
      </x:c>
      <x:c r="G177" s="56" t="n">
        <x:v>-113.4878</x:v>
      </x:c>
      <x:c r="H177" s="44" t="n">
        <x:f>E177/SUMIF(A:A,A177,E:E)</x:f>
        <x:v>0.04085960641530433</x:v>
      </x:c>
    </x:row>
    <x:row r="178" ht="15" hidden="0" customHeight="1">
      <x:c r="A178" s="27" t="str">
        <x:v>SCA-07</x:v>
      </x:c>
      <x:c r="B178" s="27" t="str">
        <x:v>49021</x:v>
      </x:c>
      <x:c r="C178" s="27" t="str">
        <x:v>UT</x:v>
      </x:c>
      <x:c r="D178" s="27" t="str">
        <x:v>Iron County</x:v>
      </x:c>
      <x:c r="E178" s="40" t="n">
        <x:v>67141</x:v>
      </x:c>
      <x:c r="F178" s="55" t="n">
        <x:v>37.909304</x:v>
      </x:c>
      <x:c r="G178" s="55" t="n">
        <x:v>-113.30674</x:v>
      </x:c>
      <x:c r="H178" s="43" t="n">
        <x:f>E178/SUMIF(A:A,A178,E:E)</x:f>
        <x:v>0.012839213901483352</x:v>
      </x:c>
    </x:row>
    <x:row r="179" ht="15" hidden="0" customHeight="1">
      <x:c r="A179" s="29" t="str">
        <x:v>SCA-07</x:v>
      </x:c>
      <x:c r="B179" s="29" t="str">
        <x:v>32023</x:v>
      </x:c>
      <x:c r="C179" s="29" t="str">
        <x:v>NV</x:v>
      </x:c>
      <x:c r="D179" s="29" t="str">
        <x:v>Nye County</x:v>
      </x:c>
      <x:c r="E179" s="41" t="n">
        <x:v>57336</x:v>
      </x:c>
      <x:c r="F179" s="56" t="n">
        <x:v>37.965864</x:v>
      </x:c>
      <x:c r="G179" s="56" t="n">
        <x:v>-116.459011</x:v>
      </x:c>
      <x:c r="H179" s="44" t="n">
        <x:f>E179/SUMIF(A:A,A179,E:E)</x:f>
        <x:v>0.010964227048382501</x:v>
      </x:c>
    </x:row>
    <x:row r="180" ht="15" hidden="0" customHeight="1">
      <x:c r="A180" s="27" t="str">
        <x:v>SCA-07</x:v>
      </x:c>
      <x:c r="B180" s="27" t="str">
        <x:v>06027</x:v>
      </x:c>
      <x:c r="C180" s="27" t="str">
        <x:v>CA</x:v>
      </x:c>
      <x:c r="D180" s="27" t="str">
        <x:v>Inyo County</x:v>
      </x:c>
      <x:c r="E180" s="40" t="n">
        <x:v>18158</x:v>
      </x:c>
      <x:c r="F180" s="55" t="n">
        <x:v>36.56216</x:v>
      </x:c>
      <x:c r="G180" s="55" t="n">
        <x:v>-117.404209</x:v>
      </x:c>
      <x:c r="H180" s="43" t="n">
        <x:f>E180/SUMIF(A:A,A180,E:E)</x:f>
        <x:v>0.0034723111961861564</x:v>
      </x:c>
    </x:row>
    <x:row r="181" ht="15" hidden="0" customHeight="1">
      <x:c r="A181" s="29" t="str">
        <x:v>SCA-07</x:v>
      </x:c>
      <x:c r="B181" s="29" t="str">
        <x:v>49025</x:v>
      </x:c>
      <x:c r="C181" s="29" t="str">
        <x:v>UT</x:v>
      </x:c>
      <x:c r="D181" s="29" t="str">
        <x:v>Kane County</x:v>
      </x:c>
      <x:c r="E181" s="41" t="n">
        <x:v>8597</x:v>
      </x:c>
      <x:c r="F181" s="56" t="n">
        <x:v>37.275089</x:v>
      </x:c>
      <x:c r="G181" s="56" t="n">
        <x:v>-111.815329</x:v>
      </x:c>
      <x:c r="H181" s="44" t="n">
        <x:f>E181/SUMIF(A:A,A181,E:E)</x:f>
        <x:v>0.0016439838833358512</x:v>
      </x:c>
    </x:row>
    <x:row r="182" ht="21.600000381469727" hidden="0" customHeight="1">
      <x:c r="A182" s="27" t="str">
        <x:v>SCA-07</x:v>
      </x:c>
      <x:c r="B182" s="27" t="str">
        <x:v>32017</x:v>
      </x:c>
      <x:c r="C182" s="27" t="str">
        <x:v>NV</x:v>
      </x:c>
      <x:c r="D182" s="27" t="str">
        <x:v>Lincoln County</x:v>
      </x:c>
      <x:c r="E182" s="40" t="n">
        <x:v>4320</x:v>
      </x:c>
      <x:c r="F182" s="55" t="n">
        <x:v>37.634605</x:v>
      </x:c>
      <x:c r="G182" s="55" t="n">
        <x:v>-114.863037</x:v>
      </x:c>
      <x:c r="H182" s="43" t="n">
        <x:f>E182/SUMIF(A:A,A182,E:E)</x:f>
        <x:v>0.000826103335583445</x:v>
      </x:c>
    </x:row>
    <x:row r="183" ht="21.600000381469727" hidden="0" customHeight="1">
      <x:c r="A183" s="29" t="str">
        <x:v>SCA-07</x:v>
      </x:c>
      <x:c r="B183" s="29" t="str">
        <x:v>32009</x:v>
      </x:c>
      <x:c r="C183" s="29" t="str">
        <x:v>NV</x:v>
      </x:c>
      <x:c r="D183" s="29" t="str">
        <x:v>Esmeralda County</x:v>
      </x:c>
      <x:c r="E183" s="41" t="n">
        <x:v>729</x:v>
      </x:c>
      <x:c r="F183" s="56" t="n">
        <x:v>37.778966</x:v>
      </x:c>
      <x:c r="G183" s="56" t="n">
        <x:v>-117.632382</x:v>
      </x:c>
      <x:c r="H183" s="44" t="n">
        <x:f>E183/SUMIF(A:A,A183,E:E)</x:f>
        <x:v>0.00013940493787970636</x:v>
      </x:c>
    </x:row>
    <x:row r="184" ht="15" hidden="0" customHeight="1">
      <x:c r="A184" s="27" t="str">
        <x:v>SCA-08</x:v>
      </x:c>
      <x:c r="B184" s="27" t="str">
        <x:v>16001</x:v>
      </x:c>
      <x:c r="C184" s="27" t="str">
        <x:v>ID</x:v>
      </x:c>
      <x:c r="D184" s="27" t="str">
        <x:v>Ada County</x:v>
      </x:c>
      <x:c r="E184" s="40" t="n">
        <x:v>546141</x:v>
      </x:c>
      <x:c r="F184" s="55" t="n">
        <x:v>43.451476</x:v>
      </x:c>
      <x:c r="G184" s="55" t="n">
        <x:v>-116.244376</x:v>
      </x:c>
      <x:c r="H184" s="43" t="n">
        <x:f>E184/SUMIF(A:A,A184,E:E)</x:f>
        <x:v>0.2059054730701063</x:v>
      </x:c>
    </x:row>
    <x:row r="185" ht="21.600000381469727" hidden="0" customHeight="1">
      <x:c r="A185" s="29" t="str">
        <x:v>SCA-08</x:v>
      </x:c>
      <x:c r="B185" s="29" t="str">
        <x:v>16027</x:v>
      </x:c>
      <x:c r="C185" s="29" t="str">
        <x:v>ID</x:v>
      </x:c>
      <x:c r="D185" s="29" t="str">
        <x:v>Canyon County</x:v>
      </x:c>
      <x:c r="E185" s="41" t="n">
        <x:v>275123</x:v>
      </x:c>
      <x:c r="F185" s="56" t="n">
        <x:v>43.625795</x:v>
      </x:c>
      <x:c r="G185" s="56" t="n">
        <x:v>-116.709058</x:v>
      </x:c>
      <x:c r="H185" s="44" t="n">
        <x:f>E185/SUMIF(A:A,A185,E:E)</x:f>
        <x:v>0.10372656780477359</x:v>
      </x:c>
    </x:row>
    <x:row r="186" ht="21.600000381469727" hidden="0" customHeight="1">
      <x:c r="A186" s="27" t="str">
        <x:v>SCA-08</x:v>
      </x:c>
      <x:c r="B186" s="27" t="str">
        <x:v>30031</x:v>
      </x:c>
      <x:c r="C186" s="27" t="str">
        <x:v>MT</x:v>
      </x:c>
      <x:c r="D186" s="27" t="str">
        <x:v>Gallatin County</x:v>
      </x:c>
      <x:c r="E186" s="40" t="n">
        <x:v>128740</x:v>
      </x:c>
      <x:c r="F186" s="55" t="n">
        <x:v>45.518054</x:v>
      </x:c>
      <x:c r="G186" s="55" t="n">
        <x:v>-111.163921</x:v>
      </x:c>
      <x:c r="H186" s="43" t="n">
        <x:f>E186/SUMIF(A:A,A186,E:E)</x:f>
        <x:v>0.04853741177286723</x:v>
      </x:c>
    </x:row>
    <x:row r="187" ht="21.600000381469727" hidden="0" customHeight="1">
      <x:c r="A187" s="29" t="str">
        <x:v>SCA-08</x:v>
      </x:c>
      <x:c r="B187" s="29" t="str">
        <x:v>30063</x:v>
      </x:c>
      <x:c r="C187" s="29" t="str">
        <x:v>MT</x:v>
      </x:c>
      <x:c r="D187" s="29" t="str">
        <x:v>Missoula County</x:v>
      </x:c>
      <x:c r="E187" s="41" t="n">
        <x:v>123513</x:v>
      </x:c>
      <x:c r="F187" s="56" t="n">
        <x:v>47.027263</x:v>
      </x:c>
      <x:c r="G187" s="56" t="n">
        <x:v>-113.892691</x:v>
      </x:c>
      <x:c r="H187" s="44" t="n">
        <x:f>E187/SUMIF(A:A,A187,E:E)</x:f>
        <x:v>0.04656673403994214</x:v>
      </x:c>
    </x:row>
    <x:row r="188" ht="21.600000381469727" hidden="0" customHeight="1">
      <x:c r="A188" s="27" t="str">
        <x:v>SCA-08</x:v>
      </x:c>
      <x:c r="B188" s="27" t="str">
        <x:v>30029</x:v>
      </x:c>
      <x:c r="C188" s="27" t="str">
        <x:v>MT</x:v>
      </x:c>
      <x:c r="D188" s="27" t="str">
        <x:v>Flathead County</x:v>
      </x:c>
      <x:c r="E188" s="40" t="n">
        <x:v>115429</x:v>
      </x:c>
      <x:c r="F188" s="55" t="n">
        <x:v>48.295422</x:v>
      </x:c>
      <x:c r="G188" s="55" t="n">
        <x:v>-114.052059</x:v>
      </x:c>
      <x:c r="H188" s="43" t="n">
        <x:f>E188/SUMIF(A:A,A188,E:E)</x:f>
        <x:v>0.043518913341077305</x:v>
      </x:c>
    </x:row>
    <x:row r="189" ht="21.600000381469727" hidden="0" customHeight="1">
      <x:c r="A189" s="29" t="str">
        <x:v>SCA-08</x:v>
      </x:c>
      <x:c r="B189" s="29" t="str">
        <x:v>16083</x:v>
      </x:c>
      <x:c r="C189" s="29" t="str">
        <x:v>ID</x:v>
      </x:c>
      <x:c r="D189" s="29" t="str">
        <x:v>Twin Falls County</x:v>
      </x:c>
      <x:c r="E189" s="41" t="n">
        <x:v>97539</x:v>
      </x:c>
      <x:c r="F189" s="56" t="n">
        <x:v>42.352309</x:v>
      </x:c>
      <x:c r="G189" s="56" t="n">
        <x:v>-114.665639</x:v>
      </x:c>
      <x:c r="H189" s="44" t="n">
        <x:f>E189/SUMIF(A:A,A189,E:E)</x:f>
        <x:v>0.03677404541644941</x:v>
      </x:c>
    </x:row>
    <x:row r="190" ht="21.600000381469727" hidden="0" customHeight="1">
      <x:c r="A190" s="27" t="str">
        <x:v>SCA-08</x:v>
      </x:c>
      <x:c r="B190" s="27" t="str">
        <x:v>30013</x:v>
      </x:c>
      <x:c r="C190" s="27" t="str">
        <x:v>MT</x:v>
      </x:c>
      <x:c r="D190" s="27" t="str">
        <x:v>Cascade County</x:v>
      </x:c>
      <x:c r="E190" s="40" t="n">
        <x:v>85029</x:v>
      </x:c>
      <x:c r="F190" s="55" t="n">
        <x:v>47.316575</x:v>
      </x:c>
      <x:c r="G190" s="55" t="n">
        <x:v>-111.350262</x:v>
      </x:c>
      <x:c r="H190" s="43" t="n">
        <x:f>E190/SUMIF(A:A,A190,E:E)</x:f>
        <x:v>0.03205753911476719</x:v>
      </x:c>
    </x:row>
    <x:row r="191" ht="21.600000381469727" hidden="0" customHeight="1">
      <x:c r="A191" s="29" t="str">
        <x:v>SCA-08</x:v>
      </x:c>
      <x:c r="B191" s="29" t="str">
        <x:v>41059</x:v>
      </x:c>
      <x:c r="C191" s="29" t="str">
        <x:v>OR</x:v>
      </x:c>
      <x:c r="D191" s="29" t="str">
        <x:v>Umatilla County</x:v>
      </x:c>
      <x:c r="E191" s="41" t="n">
        <x:v>81119</x:v>
      </x:c>
      <x:c r="F191" s="56" t="n">
        <x:v>45.5912</x:v>
      </x:c>
      <x:c r="G191" s="56" t="n">
        <x:v>-118.73388</x:v>
      </x:c>
      <x:c r="H191" s="44" t="n">
        <x:f>E191/SUMIF(A:A,A191,E:E)</x:f>
        <x:v>0.030583395258685857</x:v>
      </x:c>
    </x:row>
    <x:row r="192" ht="21.600000381469727" hidden="0" customHeight="1">
      <x:c r="A192" s="27" t="str">
        <x:v>SCA-08</x:v>
      </x:c>
      <x:c r="B192" s="27" t="str">
        <x:v>30049</x:v>
      </x:c>
      <x:c r="C192" s="27" t="str">
        <x:v>MT</x:v>
      </x:c>
      <x:c r="D192" s="27" t="str">
        <x:v>Lewis and Clark County</x:v>
      </x:c>
      <x:c r="E192" s="40" t="n">
        <x:v>75331</x:v>
      </x:c>
      <x:c r="F192" s="55" t="n">
        <x:v>47.122105</x:v>
      </x:c>
      <x:c r="G192" s="55" t="n">
        <x:v>-112.38289</x:v>
      </x:c>
      <x:c r="H192" s="43" t="n">
        <x:f>E192/SUMIF(A:A,A192,E:E)</x:f>
        <x:v>0.028401209929018654</x:v>
      </x:c>
    </x:row>
    <x:row r="193" ht="21.600000381469727" hidden="0" customHeight="1">
      <x:c r="A193" s="29" t="str">
        <x:v>SCA-08</x:v>
      </x:c>
      <x:c r="B193" s="29" t="str">
        <x:v>41035</x:v>
      </x:c>
      <x:c r="C193" s="29" t="str">
        <x:v>OR</x:v>
      </x:c>
      <x:c r="D193" s="29" t="str">
        <x:v>Klamath County</x:v>
      </x:c>
      <x:c r="E193" s="41" t="n">
        <x:v>70274</x:v>
      </x:c>
      <x:c r="F193" s="56" t="n">
        <x:v>42.683761</x:v>
      </x:c>
      <x:c r="G193" s="56" t="n">
        <x:v>-121.646168</x:v>
      </x:c>
      <x:c r="H193" s="44" t="n">
        <x:f>E193/SUMIF(A:A,A193,E:E)</x:f>
        <x:v>0.026494625407227527</x:v>
      </x:c>
    </x:row>
    <x:row r="194" ht="21.600000381469727" hidden="0" customHeight="1">
      <x:c r="A194" s="27" t="str">
        <x:v>SCA-08</x:v>
      </x:c>
      <x:c r="B194" s="27" t="str">
        <x:v>16065</x:v>
      </x:c>
      <x:c r="C194" s="27" t="str">
        <x:v>ID</x:v>
      </x:c>
      <x:c r="D194" s="27" t="str">
        <x:v>Madison County</x:v>
      </x:c>
      <x:c r="E194" s="40" t="n">
        <x:v>55172</x:v>
      </x:c>
      <x:c r="F194" s="55" t="n">
        <x:v>43.788614</x:v>
      </x:c>
      <x:c r="G194" s="55" t="n">
        <x:v>-111.656993</x:v>
      </x:c>
      <x:c r="H194" s="43" t="n">
        <x:f>E194/SUMIF(A:A,A194,E:E)</x:f>
        <x:v>0.020800886145196762</x:v>
      </x:c>
    </x:row>
    <x:row r="195" ht="15" hidden="0" customHeight="1">
      <x:c r="A195" s="29" t="str">
        <x:v>SCA-08</x:v>
      </x:c>
      <x:c r="B195" s="29" t="str">
        <x:v>32007</x:v>
      </x:c>
      <x:c r="C195" s="29" t="str">
        <x:v>NV</x:v>
      </x:c>
      <x:c r="D195" s="29" t="str">
        <x:v>Elko County</x:v>
      </x:c>
      <x:c r="E195" s="41" t="n">
        <x:v>54815</x:v>
      </x:c>
      <x:c r="F195" s="56" t="n">
        <x:v>41.141133</x:v>
      </x:c>
      <x:c r="G195" s="56" t="n">
        <x:v>-115.351424</x:v>
      </x:c>
      <x:c r="H195" s="44" t="n">
        <x:f>E195/SUMIF(A:A,A195,E:E)</x:f>
        <x:v>0.02066629040181542</x:v>
      </x:c>
    </x:row>
    <x:row r="196" ht="21.600000381469727" hidden="0" customHeight="1">
      <x:c r="A196" s="27" t="str">
        <x:v>SCA-08</x:v>
      </x:c>
      <x:c r="B196" s="27" t="str">
        <x:v>16011</x:v>
      </x:c>
      <x:c r="C196" s="27" t="str">
        <x:v>ID</x:v>
      </x:c>
      <x:c r="D196" s="27" t="str">
        <x:v>Bingham County</x:v>
      </x:c>
      <x:c r="E196" s="40" t="n">
        <x:v>51153</x:v>
      </x:c>
      <x:c r="F196" s="55" t="n">
        <x:v>43.216357</x:v>
      </x:c>
      <x:c r="G196" s="55" t="n">
        <x:v>-112.399206</x:v>
      </x:c>
      <x:c r="H196" s="43" t="n">
        <x:f>E196/SUMIF(A:A,A196,E:E)</x:f>
        <x:v>0.01928564723021188</x:v>
      </x:c>
    </x:row>
    <x:row r="197" ht="21.600000381469727" hidden="0" customHeight="1">
      <x:c r="A197" s="29" t="str">
        <x:v>SCA-08</x:v>
      </x:c>
      <x:c r="B197" s="29" t="str">
        <x:v>30081</x:v>
      </x:c>
      <x:c r="C197" s="29" t="str">
        <x:v>MT</x:v>
      </x:c>
      <x:c r="D197" s="29" t="str">
        <x:v>Ravalli County</x:v>
      </x:c>
      <x:c r="E197" s="41" t="n">
        <x:v>48582</x:v>
      </x:c>
      <x:c r="F197" s="56" t="n">
        <x:v>46.077744</x:v>
      </x:c>
      <x:c r="G197" s="56" t="n">
        <x:v>-114.105795</x:v>
      </x:c>
      <x:c r="H197" s="44" t="n">
        <x:f>E197/SUMIF(A:A,A197,E:E)</x:f>
        <x:v>0.018316331666532824</x:v>
      </x:c>
    </x:row>
    <x:row r="198" ht="21.600000381469727" hidden="0" customHeight="1">
      <x:c r="A198" s="27" t="str">
        <x:v>SCA-08</x:v>
      </x:c>
      <x:c r="B198" s="27" t="str">
        <x:v>16069</x:v>
      </x:c>
      <x:c r="C198" s="27" t="str">
        <x:v>ID</x:v>
      </x:c>
      <x:c r="D198" s="27" t="str">
        <x:v>Nez Perce County</x:v>
      </x:c>
      <x:c r="E198" s="40" t="n">
        <x:v>42905</x:v>
      </x:c>
      <x:c r="F198" s="55" t="n">
        <x:v>46.333791</x:v>
      </x:c>
      <x:c r="G198" s="55" t="n">
        <x:v>-116.760909</x:v>
      </x:c>
      <x:c r="H198" s="43" t="n">
        <x:f>E198/SUMIF(A:A,A198,E:E)</x:f>
        <x:v>0.016175995433547218</x:v>
      </x:c>
    </x:row>
    <x:row r="199" ht="21.600000381469727" hidden="0" customHeight="1">
      <x:c r="A199" s="29" t="str">
        <x:v>SCA-08</x:v>
      </x:c>
      <x:c r="B199" s="29" t="str">
        <x:v>30093</x:v>
      </x:c>
      <x:c r="C199" s="29" t="str">
        <x:v>MT</x:v>
      </x:c>
      <x:c r="D199" s="29" t="str">
        <x:v>Silver Bow County</x:v>
      </x:c>
      <x:c r="E199" s="41" t="n">
        <x:v>36118</x:v>
      </x:c>
      <x:c r="F199" s="56" t="n">
        <x:v>45.896232</x:v>
      </x:c>
      <x:c r="G199" s="56" t="n">
        <x:v>-112.660071</x:v>
      </x:c>
      <x:c r="H199" s="44" t="n">
        <x:f>E199/SUMIF(A:A,A199,E:E)</x:f>
        <x:v>0.01361716823374568</x:v>
      </x:c>
    </x:row>
    <x:row r="200" ht="21.600000381469727" hidden="0" customHeight="1">
      <x:c r="A200" s="27" t="str">
        <x:v>SCA-08</x:v>
      </x:c>
      <x:c r="B200" s="27" t="str">
        <x:v>16051</x:v>
      </x:c>
      <x:c r="C200" s="27" t="str">
        <x:v>ID</x:v>
      </x:c>
      <x:c r="D200" s="27" t="str">
        <x:v>Jefferson County</x:v>
      </x:c>
      <x:c r="E200" s="40" t="n">
        <x:v>35297</x:v>
      </x:c>
      <x:c r="F200" s="55" t="n">
        <x:v>43.796965</x:v>
      </x:c>
      <x:c r="G200" s="55" t="n">
        <x:v>-112.318588</x:v>
      </x:c>
      <x:c r="H200" s="43" t="n">
        <x:f>E200/SUMIF(A:A,A200,E:E)</x:f>
        <x:v>0.0133076357258575</x:v>
      </x:c>
    </x:row>
    <x:row r="201" ht="15" hidden="0" customHeight="1">
      <x:c r="A201" s="29" t="str">
        <x:v>SCA-08</x:v>
      </x:c>
      <x:c r="B201" s="29" t="str">
        <x:v>30047</x:v>
      </x:c>
      <x:c r="C201" s="29" t="str">
        <x:v>MT</x:v>
      </x:c>
      <x:c r="D201" s="29" t="str">
        <x:v>Lake County</x:v>
      </x:c>
      <x:c r="E201" s="41" t="n">
        <x:v>33392</x:v>
      </x:c>
      <x:c r="F201" s="56" t="n">
        <x:v>47.642901</x:v>
      </x:c>
      <x:c r="G201" s="56" t="n">
        <x:v>-114.083687</x:v>
      </x:c>
      <x:c r="H201" s="44" t="n">
        <x:f>E201/SUMIF(A:A,A201,E:E)</x:f>
        <x:v>0.012589414742268002</x:v>
      </x:c>
    </x:row>
    <x:row r="202" ht="21.600000381469727" hidden="0" customHeight="1">
      <x:c r="A202" s="27" t="str">
        <x:v>SCA-08</x:v>
      </x:c>
      <x:c r="B202" s="27" t="str">
        <x:v>41045</x:v>
      </x:c>
      <x:c r="C202" s="27" t="str">
        <x:v>OR</x:v>
      </x:c>
      <x:c r="D202" s="27" t="str">
        <x:v>Malheur County</x:v>
      </x:c>
      <x:c r="E202" s="40" t="n">
        <x:v>32261</x:v>
      </x:c>
      <x:c r="F202" s="55" t="n">
        <x:v>43.188625</x:v>
      </x:c>
      <x:c r="G202" s="55" t="n">
        <x:v>-117.603191</x:v>
      </x:c>
      <x:c r="H202" s="43" t="n">
        <x:f>E202/SUMIF(A:A,A202,E:E)</x:f>
        <x:v>0.012163006378782584</x:v>
      </x:c>
    </x:row>
    <x:row r="203" ht="21.600000381469727" hidden="0" customHeight="1">
      <x:c r="A203" s="29" t="str">
        <x:v>SCA-08</x:v>
      </x:c>
      <x:c r="B203" s="29" t="str">
        <x:v>16039</x:v>
      </x:c>
      <x:c r="C203" s="29" t="str">
        <x:v>ID</x:v>
      </x:c>
      <x:c r="D203" s="29" t="str">
        <x:v>Elmore County</x:v>
      </x:c>
      <x:c r="E203" s="41" t="n">
        <x:v>29465</x:v>
      </x:c>
      <x:c r="F203" s="56" t="n">
        <x:v>43.394698</x:v>
      </x:c>
      <x:c r="G203" s="56" t="n">
        <x:v>-115.471205</x:v>
      </x:c>
      <x:c r="H203" s="44" t="n">
        <x:f>E203/SUMIF(A:A,A203,E:E)</x:f>
        <x:v>0.011108861565073272</x:v>
      </x:c>
    </x:row>
    <x:row r="204" ht="21.600000381469727" hidden="0" customHeight="1">
      <x:c r="A204" s="27" t="str">
        <x:v>SCA-08</x:v>
      </x:c>
      <x:c r="B204" s="27" t="str">
        <x:v>16075</x:v>
      </x:c>
      <x:c r="C204" s="27" t="str">
        <x:v>ID</x:v>
      </x:c>
      <x:c r="D204" s="27" t="str">
        <x:v>Payette County</x:v>
      </x:c>
      <x:c r="E204" s="40" t="n">
        <x:v>27824</x:v>
      </x:c>
      <x:c r="F204" s="55" t="n">
        <x:v>44.00243</x:v>
      </x:c>
      <x:c r="G204" s="55" t="n">
        <x:v>-116.750238</x:v>
      </x:c>
      <x:c r="H204" s="43" t="n">
        <x:f>E204/SUMIF(A:A,A204,E:E)</x:f>
        <x:v>0.01049017356818594</x:v>
      </x:c>
    </x:row>
    <x:row r="205" ht="21.600000381469727" hidden="0" customHeight="1">
      <x:c r="A205" s="29" t="str">
        <x:v>SCA-08</x:v>
      </x:c>
      <x:c r="B205" s="29" t="str">
        <x:v>41013</x:v>
      </x:c>
      <x:c r="C205" s="29" t="str">
        <x:v>OR</x:v>
      </x:c>
      <x:c r="D205" s="29" t="str">
        <x:v>Crook County</x:v>
      </x:c>
      <x:c r="E205" s="41" t="n">
        <x:v>27564</x:v>
      </x:c>
      <x:c r="F205" s="56" t="n">
        <x:v>44.163054</x:v>
      </x:c>
      <x:c r="G205" s="56" t="n">
        <x:v>-120.371585</x:v>
      </x:c>
      <x:c r="H205" s="44" t="n">
        <x:f>E205/SUMIF(A:A,A205,E:E)</x:f>
        <x:v>0.010392148657039866</x:v>
      </x:c>
    </x:row>
    <x:row r="206" ht="21.600000381469727" hidden="0" customHeight="1">
      <x:c r="A206" s="27" t="str">
        <x:v>SCA-08</x:v>
      </x:c>
      <x:c r="B206" s="27" t="str">
        <x:v>16053</x:v>
      </x:c>
      <x:c r="C206" s="27" t="str">
        <x:v>ID</x:v>
      </x:c>
      <x:c r="D206" s="27" t="str">
        <x:v>Jerome County</x:v>
      </x:c>
      <x:c r="E206" s="40" t="n">
        <x:v>26362</x:v>
      </x:c>
      <x:c r="F206" s="55" t="n">
        <x:v>42.691395</x:v>
      </x:c>
      <x:c r="G206" s="55" t="n">
        <x:v>-114.262086</x:v>
      </x:c>
      <x:c r="H206" s="43" t="n">
        <x:f>E206/SUMIF(A:A,A206,E:E)</x:f>
        <x:v>0.00993897195243379</x:v>
      </x:c>
    </x:row>
    <x:row r="207" ht="21.600000381469727" hidden="0" customHeight="1">
      <x:c r="A207" s="29" t="str">
        <x:v>SCA-08</x:v>
      </x:c>
      <x:c r="B207" s="29" t="str">
        <x:v>41061</x:v>
      </x:c>
      <x:c r="C207" s="29" t="str">
        <x:v>OR</x:v>
      </x:c>
      <x:c r="D207" s="29" t="str">
        <x:v>Union County</x:v>
      </x:c>
      <x:c r="E207" s="41" t="n">
        <x:v>25900</x:v>
      </x:c>
      <x:c r="F207" s="56" t="n">
        <x:v>45.304081</x:v>
      </x:c>
      <x:c r="G207" s="56" t="n">
        <x:v>-117.999149</x:v>
      </x:c>
      <x:c r="H207" s="44" t="n">
        <x:f>E207/SUMIF(A:A,A207,E:E)</x:f>
        <x:v>0.009764789225704998</x:v>
      </x:c>
    </x:row>
    <x:row r="208" ht="21.600000381469727" hidden="0" customHeight="1">
      <x:c r="A208" s="27" t="str">
        <x:v>SCA-08</x:v>
      </x:c>
      <x:c r="B208" s="27" t="str">
        <x:v>16013</x:v>
      </x:c>
      <x:c r="C208" s="27" t="str">
        <x:v>ID</x:v>
      </x:c>
      <x:c r="D208" s="27" t="str">
        <x:v>Blaine County</x:v>
      </x:c>
      <x:c r="E208" s="40" t="n">
        <x:v>25517</x:v>
      </x:c>
      <x:c r="F208" s="55" t="n">
        <x:v>43.394192</x:v>
      </x:c>
      <x:c r="G208" s="55" t="n">
        <x:v>-113.955371</x:v>
      </x:c>
      <x:c r="H208" s="43" t="n">
        <x:f>E208/SUMIF(A:A,A208,E:E)</x:f>
        <x:v>0.00962039099120905</x:v>
      </x:c>
    </x:row>
    <x:row r="209" ht="21.600000381469727" hidden="0" customHeight="1">
      <x:c r="A209" s="29" t="str">
        <x:v>SCA-08</x:v>
      </x:c>
      <x:c r="B209" s="29" t="str">
        <x:v>16067</x:v>
      </x:c>
      <x:c r="C209" s="29" t="str">
        <x:v>ID</x:v>
      </x:c>
      <x:c r="D209" s="29" t="str">
        <x:v>Minidoka County</x:v>
      </x:c>
      <x:c r="E209" s="41" t="n">
        <x:v>22911</x:v>
      </x:c>
      <x:c r="F209" s="56" t="n">
        <x:v>42.857211</x:v>
      </x:c>
      <x:c r="G209" s="56" t="n">
        <x:v>-113.63984</x:v>
      </x:c>
      <x:c r="H209" s="44" t="n">
        <x:f>E209/SUMIF(A:A,A209,E:E)</x:f>
        <x:v>0.008637879766414176</x:v>
      </x:c>
    </x:row>
    <x:row r="210" ht="21.600000381469727" hidden="0" customHeight="1">
      <x:c r="A210" s="27" t="str">
        <x:v>SCA-08</x:v>
      </x:c>
      <x:c r="B210" s="27" t="str">
        <x:v>53003</x:v>
      </x:c>
      <x:c r="C210" s="27" t="str">
        <x:v>WA</x:v>
      </x:c>
      <x:c r="D210" s="27" t="str">
        <x:v>Asotin County</x:v>
      </x:c>
      <x:c r="E210" s="40" t="n">
        <x:v>22545</x:v>
      </x:c>
      <x:c r="F210" s="55" t="n">
        <x:v>46.181861</x:v>
      </x:c>
      <x:c r="G210" s="55" t="n">
        <x:v>-117.227781</x:v>
      </x:c>
      <x:c r="H210" s="43" t="n">
        <x:f>E210/SUMIF(A:A,A210,E:E)</x:f>
        <x:v>0.008499890853031628</x:v>
      </x:c>
    </x:row>
    <x:row r="211" ht="15" hidden="0" customHeight="1">
      <x:c r="A211" s="29" t="str">
        <x:v>SCA-08</x:v>
      </x:c>
      <x:c r="B211" s="29" t="str">
        <x:v>16045</x:v>
      </x:c>
      <x:c r="C211" s="29" t="str">
        <x:v>ID</x:v>
      </x:c>
      <x:c r="D211" s="29" t="str">
        <x:v>Gem County</x:v>
      </x:c>
      <x:c r="E211" s="41" t="n">
        <x:v>21773</x:v>
      </x:c>
      <x:c r="F211" s="56" t="n">
        <x:v>44.061473</x:v>
      </x:c>
      <x:c r="G211" s="56" t="n">
        <x:v>-116.398784</x:v>
      </x:c>
      <x:c r="H211" s="44" t="n">
        <x:f>E211/SUMIF(A:A,A211,E:E)</x:f>
        <x:v>0.008208832270705594</x:v>
      </x:c>
    </x:row>
    <x:row r="212" ht="15" hidden="0" customHeight="1">
      <x:c r="A212" s="27" t="str">
        <x:v>SCA-08</x:v>
      </x:c>
      <x:c r="B212" s="27" t="str">
        <x:v>30067</x:v>
      </x:c>
      <x:c r="C212" s="27" t="str">
        <x:v>MT</x:v>
      </x:c>
      <x:c r="D212" s="27" t="str">
        <x:v>Park County</x:v>
      </x:c>
      <x:c r="E212" s="40" t="n">
        <x:v>18214</x:v>
      </x:c>
      <x:c r="F212" s="55" t="n">
        <x:v>45.463081</x:v>
      </x:c>
      <x:c r="G212" s="55" t="n">
        <x:v>-110.53493</x:v>
      </x:c>
      <x:c r="H212" s="43" t="n">
        <x:f>E212/SUMIF(A:A,A212,E:E)</x:f>
        <x:v>0.0068670220446714605</x:v>
      </x:c>
    </x:row>
    <x:row r="213" ht="21.600000381469727" hidden="0" customHeight="1">
      <x:c r="A213" s="29" t="str">
        <x:v>SCA-08</x:v>
      </x:c>
      <x:c r="B213" s="29" t="str">
        <x:v>16049</x:v>
      </x:c>
      <x:c r="C213" s="29" t="str">
        <x:v>ID</x:v>
      </x:c>
      <x:c r="D213" s="29" t="str">
        <x:v>Idaho County</x:v>
      </x:c>
      <x:c r="E213" s="41" t="n">
        <x:v>17874</x:v>
      </x:c>
      <x:c r="F213" s="56" t="n">
        <x:v>45.849644</x:v>
      </x:c>
      <x:c r="G213" s="56" t="n">
        <x:v>-115.467337</x:v>
      </x:c>
      <x:c r="H213" s="44" t="n">
        <x:f>E213/SUMIF(A:A,A213,E:E)</x:f>
        <x:v>0.006738835622403518</x:v>
      </x:c>
    </x:row>
    <x:row r="214" ht="21.600000381469727" hidden="0" customHeight="1">
      <x:c r="A214" s="27" t="str">
        <x:v>SCA-08</x:v>
      </x:c>
      <x:c r="B214" s="27" t="str">
        <x:v>32013</x:v>
      </x:c>
      <x:c r="C214" s="27" t="str">
        <x:v>NV</x:v>
      </x:c>
      <x:c r="D214" s="27" t="str">
        <x:v>Humboldt County</x:v>
      </x:c>
      <x:c r="E214" s="40" t="n">
        <x:v>17267</x:v>
      </x:c>
      <x:c r="F214" s="55" t="n">
        <x:v>41.407914</x:v>
      </x:c>
      <x:c r="G214" s="55" t="n">
        <x:v>-118.127591</x:v>
      </x:c>
      <x:c r="H214" s="43" t="n">
        <x:f>E214/SUMIF(A:A,A214,E:E)</x:f>
        <x:v>0.006509985156766339</x:v>
      </x:c>
    </x:row>
    <x:row r="215" ht="21.600000381469727" hidden="0" customHeight="1">
      <x:c r="A215" s="29" t="str">
        <x:v>SCA-08</x:v>
      </x:c>
      <x:c r="B215" s="29" t="str">
        <x:v>41001</x:v>
      </x:c>
      <x:c r="C215" s="29" t="str">
        <x:v>OR</x:v>
      </x:c>
      <x:c r="D215" s="29" t="str">
        <x:v>Baker County</x:v>
      </x:c>
      <x:c r="E215" s="41" t="n">
        <x:v>16658</x:v>
      </x:c>
      <x:c r="F215" s="56" t="n">
        <x:v>44.703427</x:v>
      </x:c>
      <x:c r="G215" s="56" t="n">
        <x:v>-117.691933</x:v>
      </x:c>
      <x:c r="H215" s="44" t="n">
        <x:f>E215/SUMIF(A:A,A215,E:E)</x:f>
        <x:v>0.006280380653351113</x:v>
      </x:c>
    </x:row>
    <x:row r="216" ht="21.600000381469727" hidden="0" customHeight="1">
      <x:c r="A216" s="27" t="str">
        <x:v>SCA-08</x:v>
      </x:c>
      <x:c r="B216" s="27" t="str">
        <x:v>16047</x:v>
      </x:c>
      <x:c r="C216" s="27" t="str">
        <x:v>ID</x:v>
      </x:c>
      <x:c r="D216" s="27" t="str">
        <x:v>Gooding County</x:v>
      </x:c>
      <x:c r="E216" s="40" t="n">
        <x:v>16446</x:v>
      </x:c>
      <x:c r="F216" s="55" t="n">
        <x:v>42.973185</x:v>
      </x:c>
      <x:c r="G216" s="55" t="n">
        <x:v>-114.82142</x:v>
      </x:c>
      <x:c r="H216" s="43" t="n">
        <x:f>E216/SUMIF(A:A,A216,E:E)</x:f>
        <x:v>0.006200452648878162</x:v>
      </x:c>
    </x:row>
    <x:row r="217" ht="15" hidden="0" customHeight="1">
      <x:c r="A217" s="29" t="str">
        <x:v>SCA-08</x:v>
      </x:c>
      <x:c r="B217" s="29" t="str">
        <x:v>30041</x:v>
      </x:c>
      <x:c r="C217" s="29" t="str">
        <x:v>MT</x:v>
      </x:c>
      <x:c r="D217" s="29" t="str">
        <x:v>Hill County</x:v>
      </x:c>
      <x:c r="E217" s="41" t="n">
        <x:v>16167</x:v>
      </x:c>
      <x:c r="F217" s="56" t="n">
        <x:v>48.631959</x:v>
      </x:c>
      <x:c r="G217" s="56" t="n">
        <x:v>-110.106321</x:v>
      </x:c>
      <x:c r="H217" s="44" t="n">
        <x:f>E217/SUMIF(A:A,A217,E:E)</x:f>
        <x:v>0.006095264378840644</x:v>
      </x:c>
    </x:row>
    <x:row r="218" ht="21.600000381469727" hidden="0" customHeight="1">
      <x:c r="A218" s="27" t="str">
        <x:v>SCA-08</x:v>
      </x:c>
      <x:c r="B218" s="27" t="str">
        <x:v>16043</x:v>
      </x:c>
      <x:c r="C218" s="27" t="str">
        <x:v>ID</x:v>
      </x:c>
      <x:c r="D218" s="27" t="str">
        <x:v>Fremont County</x:v>
      </x:c>
      <x:c r="E218" s="40" t="n">
        <x:v>14208</x:v>
      </x:c>
      <x:c r="F218" s="55" t="n">
        <x:v>44.218091</x:v>
      </x:c>
      <x:c r="G218" s="55" t="n">
        <x:v>-111.484429</x:v>
      </x:c>
      <x:c r="H218" s="43" t="n">
        <x:f>E218/SUMIF(A:A,A218,E:E)</x:f>
        <x:v>0.005356684375243884</x:v>
      </x:c>
    </x:row>
    <x:row r="219" ht="21.600000381469727" hidden="0" customHeight="1">
      <x:c r="A219" s="29" t="str">
        <x:v>SCA-08</x:v>
      </x:c>
      <x:c r="B219" s="29" t="str">
        <x:v>16079</x:v>
      </x:c>
      <x:c r="C219" s="29" t="str">
        <x:v>ID</x:v>
      </x:c>
      <x:c r="D219" s="29" t="str">
        <x:v>Shoshone County</x:v>
      </x:c>
      <x:c r="E219" s="41" t="n">
        <x:v>14130</x:v>
      </x:c>
      <x:c r="F219" s="56" t="n">
        <x:v>47.347694</x:v>
      </x:c>
      <x:c r="G219" s="56" t="n">
        <x:v>-115.885092</x:v>
      </x:c>
      <x:c r="H219" s="44" t="n">
        <x:f>E219/SUMIF(A:A,A219,E:E)</x:f>
        <x:v>0.005327276901900062</x:v>
      </x:c>
    </x:row>
    <x:row r="220" ht="21.600000381469727" hidden="0" customHeight="1">
      <x:c r="A220" s="27" t="str">
        <x:v>SCA-08</x:v>
      </x:c>
      <x:c r="B220" s="27" t="str">
        <x:v>30089</x:v>
      </x:c>
      <x:c r="C220" s="27" t="str">
        <x:v>MT</x:v>
      </x:c>
      <x:c r="D220" s="27" t="str">
        <x:v>Sanders County</x:v>
      </x:c>
      <x:c r="E220" s="40" t="n">
        <x:v>14062</x:v>
      </x:c>
      <x:c r="F220" s="55" t="n">
        <x:v>47.756497</x:v>
      </x:c>
      <x:c r="G220" s="55" t="n">
        <x:v>-115.180306</x:v>
      </x:c>
      <x:c r="H220" s="43" t="n">
        <x:f>E220/SUMIF(A:A,A220,E:E)</x:f>
        <x:v>0.005301639617446474</x:v>
      </x:c>
    </x:row>
    <x:row r="221" ht="21.600000381469727" hidden="0" customHeight="1">
      <x:c r="A221" s="29" t="str">
        <x:v>SCA-08</x:v>
      </x:c>
      <x:c r="B221" s="29" t="str">
        <x:v>30035</x:v>
      </x:c>
      <x:c r="C221" s="29" t="str">
        <x:v>MT</x:v>
      </x:c>
      <x:c r="D221" s="29" t="str">
        <x:v>Glacier County</x:v>
      </x:c>
      <x:c r="E221" s="41" t="n">
        <x:v>13463</x:v>
      </x:c>
      <x:c r="F221" s="56" t="n">
        <x:v>48.705671</x:v>
      </x:c>
      <x:c r="G221" s="56" t="n">
        <x:v>-112.990502</x:v>
      </x:c>
      <x:c r="H221" s="44" t="n">
        <x:f>E221/SUMIF(A:A,A221,E:E)</x:f>
        <x:v>0.005075805302921481</x:v>
      </x:c>
    </x:row>
    <x:row r="222" ht="21.600000381469727" hidden="0" customHeight="1">
      <x:c r="A222" s="27" t="str">
        <x:v>SCA-08</x:v>
      </x:c>
      <x:c r="B222" s="27" t="str">
        <x:v>30043</x:v>
      </x:c>
      <x:c r="C222" s="27" t="str">
        <x:v>MT</x:v>
      </x:c>
      <x:c r="D222" s="27" t="str">
        <x:v>Jefferson County</x:v>
      </x:c>
      <x:c r="E222" s="40" t="n">
        <x:v>13329</x:v>
      </x:c>
      <x:c r="F222" s="55" t="n">
        <x:v>46.124232</x:v>
      </x:c>
      <x:c r="G222" s="55" t="n">
        <x:v>-112.059428</x:v>
      </x:c>
      <x:c r="H222" s="43" t="n">
        <x:f>E222/SUMIF(A:A,A222,E:E)</x:f>
        <x:v>0.005025284771792352</x:v>
      </x:c>
    </x:row>
    <x:row r="223" ht="21.600000381469727" hidden="0" customHeight="1">
      <x:c r="A223" s="29" t="str">
        <x:v>SCA-08</x:v>
      </x:c>
      <x:c r="B223" s="29" t="str">
        <x:v>16085</x:v>
      </x:c>
      <x:c r="C223" s="29" t="str">
        <x:v>ID</x:v>
      </x:c>
      <x:c r="D223" s="29" t="str">
        <x:v>Valley County</x:v>
      </x:c>
      <x:c r="E223" s="41" t="n">
        <x:v>12831</x:v>
      </x:c>
      <x:c r="F223" s="56" t="n">
        <x:v>44.85596</x:v>
      </x:c>
      <x:c r="G223" s="56" t="n">
        <x:v>-115.618061</x:v>
      </x:c>
      <x:c r="H223" s="44" t="n">
        <x:f>E223/SUMIF(A:A,A223,E:E)</x:f>
        <x:v>0.004837529365058719</x:v>
      </x:c>
    </x:row>
    <x:row r="224" ht="21.600000381469727" hidden="0" customHeight="1">
      <x:c r="A224" s="27" t="str">
        <x:v>SCA-08</x:v>
      </x:c>
      <x:c r="B224" s="27" t="str">
        <x:v>16073</x:v>
      </x:c>
      <x:c r="C224" s="27" t="str">
        <x:v>ID</x:v>
      </x:c>
      <x:c r="D224" s="27" t="str">
        <x:v>Owyhee County</x:v>
      </x:c>
      <x:c r="E224" s="40" t="n">
        <x:v>12661</x:v>
      </x:c>
      <x:c r="F224" s="55" t="n">
        <x:v>42.572851</x:v>
      </x:c>
      <x:c r="G224" s="55" t="n">
        <x:v>-116.18969</x:v>
      </x:c>
      <x:c r="H224" s="43" t="n">
        <x:f>E224/SUMIF(A:A,A224,E:E)</x:f>
        <x:v>0.004773436153924748</x:v>
      </x:c>
    </x:row>
    <x:row r="225" ht="21.600000381469727" hidden="0" customHeight="1">
      <x:c r="A225" s="29" t="str">
        <x:v>SCA-08</x:v>
      </x:c>
      <x:c r="B225" s="29" t="str">
        <x:v>30027</x:v>
      </x:c>
      <x:c r="C225" s="29" t="str">
        <x:v>MT</x:v>
      </x:c>
      <x:c r="D225" s="29" t="str">
        <x:v>Fergus County</x:v>
      </x:c>
      <x:c r="E225" s="41" t="n">
        <x:v>11825</x:v>
      </x:c>
      <x:c r="F225" s="56" t="n">
        <x:v>47.221816</x:v>
      </x:c>
      <x:c r="G225" s="56" t="n">
        <x:v>-109.232956</x:v>
      </x:c>
      <x:c r="H225" s="44" t="n">
        <x:f>E225/SUMIF(A:A,A225,E:E)</x:f>
        <x:v>0.0044582483627012195</x:v>
      </x:c>
    </x:row>
    <x:row r="226" ht="21.600000381469727" hidden="0" customHeight="1">
      <x:c r="A226" s="27" t="str">
        <x:v>SCA-08</x:v>
      </x:c>
      <x:c r="B226" s="27" t="str">
        <x:v>16087</x:v>
      </x:c>
      <x:c r="C226" s="27" t="str">
        <x:v>ID</x:v>
      </x:c>
      <x:c r="D226" s="27" t="str">
        <x:v>Washington County</x:v>
      </x:c>
      <x:c r="E226" s="40" t="n">
        <x:v>11583</x:v>
      </x:c>
      <x:c r="F226" s="55" t="n">
        <x:v>44.448223</x:v>
      </x:c>
      <x:c r="G226" s="55" t="n">
        <x:v>-116.797792</x:v>
      </x:c>
      <x:c r="H226" s="43" t="n">
        <x:f>E226/SUMIF(A:A,A226,E:E)</x:f>
        <x:v>0.004367009791557567</x:v>
      </x:c>
    </x:row>
    <x:row r="227" ht="21.600000381469727" hidden="0" customHeight="1">
      <x:c r="A227" s="29" t="str">
        <x:v>SCA-08</x:v>
      </x:c>
      <x:c r="B227" s="29" t="str">
        <x:v>30001</x:v>
      </x:c>
      <x:c r="C227" s="29" t="str">
        <x:v>MT</x:v>
      </x:c>
      <x:c r="D227" s="29" t="str">
        <x:v>Beaverhead County</x:v>
      </x:c>
      <x:c r="E227" s="41" t="n">
        <x:v>10043</x:v>
      </x:c>
      <x:c r="F227" s="56" t="n">
        <x:v>45.133863</x:v>
      </x:c>
      <x:c r="G227" s="56" t="n">
        <x:v>-112.892869</x:v>
      </x:c>
      <x:c r="H227" s="44" t="n">
        <x:f>E227/SUMIF(A:A,A227,E:E)</x:f>
        <x:v>0.003786400702461594</x:v>
      </x:c>
    </x:row>
    <x:row r="228" ht="21.600000381469727" hidden="0" customHeight="1">
      <x:c r="A228" s="27" t="str">
        <x:v>SCA-08</x:v>
      </x:c>
      <x:c r="B228" s="27" t="str">
        <x:v>30057</x:v>
      </x:c>
      <x:c r="C228" s="27" t="str">
        <x:v>MT</x:v>
      </x:c>
      <x:c r="D228" s="27" t="str">
        <x:v>Madison County</x:v>
      </x:c>
      <x:c r="E228" s="40" t="n">
        <x:v>10026</x:v>
      </x:c>
      <x:c r="F228" s="55" t="n">
        <x:v>45.32529</x:v>
      </x:c>
      <x:c r="G228" s="55" t="n">
        <x:v>-111.913791</x:v>
      </x:c>
      <x:c r="H228" s="43" t="n">
        <x:f>E228/SUMIF(A:A,A228,E:E)</x:f>
        <x:v>0.003779991381348197</x:v>
      </x:c>
    </x:row>
    <x:row r="229" ht="21.600000381469727" hidden="0" customHeight="1">
      <x:c r="A229" s="29" t="str">
        <x:v>SCA-08</x:v>
      </x:c>
      <x:c r="B229" s="29" t="str">
        <x:v>30023</x:v>
      </x:c>
      <x:c r="C229" s="29" t="str">
        <x:v>MT</x:v>
      </x:c>
      <x:c r="D229" s="29" t="str">
        <x:v>Deer Lodge County</x:v>
      </x:c>
      <x:c r="E229" s="41" t="n">
        <x:v>9709</x:v>
      </x:c>
      <x:c r="F229" s="56" t="n">
        <x:v>46.094672</x:v>
      </x:c>
      <x:c r="G229" s="56" t="n">
        <x:v>-113.141624</x:v>
      </x:c>
      <x:c r="H229" s="44" t="n">
        <x:f>E229/SUMIF(A:A,A229,E:E)</x:f>
        <x:v>0.003660476393527792</x:v>
      </x:c>
    </x:row>
    <x:row r="230" ht="21.600000381469727" hidden="0" customHeight="1">
      <x:c r="A230" s="27" t="str">
        <x:v>SCA-08</x:v>
      </x:c>
      <x:c r="B230" s="27" t="str">
        <x:v>30095</x:v>
      </x:c>
      <x:c r="C230" s="27" t="str">
        <x:v>MT</x:v>
      </x:c>
      <x:c r="D230" s="27" t="str">
        <x:v>Stillwater County</x:v>
      </x:c>
      <x:c r="E230" s="40" t="n">
        <x:v>9445</x:v>
      </x:c>
      <x:c r="F230" s="55" t="n">
        <x:v>45.658878</x:v>
      </x:c>
      <x:c r="G230" s="55" t="n">
        <x:v>-109.381705</x:v>
      </x:c>
      <x:c r="H230" s="43" t="n">
        <x:f>E230/SUMIF(A:A,A230,E:E)</x:f>
        <x:v>0.0035609434068256253</x:v>
      </x:c>
    </x:row>
    <x:row r="231" ht="21.600000381469727" hidden="0" customHeight="1">
      <x:c r="A231" s="29" t="str">
        <x:v>SCA-08</x:v>
      </x:c>
      <x:c r="B231" s="29" t="str">
        <x:v>16035</x:v>
      </x:c>
      <x:c r="C231" s="29" t="str">
        <x:v>ID</x:v>
      </x:c>
      <x:c r="D231" s="29" t="str">
        <x:v>Clearwater County</x:v>
      </x:c>
      <x:c r="E231" s="41" t="n">
        <x:v>9118</x:v>
      </x:c>
      <x:c r="F231" s="56" t="n">
        <x:v>46.67257</x:v>
      </x:c>
      <x:c r="G231" s="56" t="n">
        <x:v>-115.6535</x:v>
      </x:c>
      <x:c r="H231" s="44" t="n">
        <x:f>E231/SUMIF(A:A,A231,E:E)</x:f>
        <x:v>0.003437658230114987</x:v>
      </x:c>
    </x:row>
    <x:row r="232" ht="21.600000381469727" hidden="0" customHeight="1">
      <x:c r="A232" s="27" t="str">
        <x:v>SCA-08</x:v>
      </x:c>
      <x:c r="B232" s="27" t="str">
        <x:v>16015</x:v>
      </x:c>
      <x:c r="C232" s="27" t="str">
        <x:v>ID</x:v>
      </x:c>
      <x:c r="D232" s="27" t="str">
        <x:v>Boise County</x:v>
      </x:c>
      <x:c r="E232" s="40" t="n">
        <x:v>8545</x:v>
      </x:c>
      <x:c r="F232" s="55" t="n">
        <x:v>43.987275</x:v>
      </x:c>
      <x:c r="G232" s="55" t="n">
        <x:v>-115.71511</x:v>
      </x:c>
      <x:c r="H232" s="43" t="n">
        <x:f>E232/SUMIF(A:A,A232,E:E)</x:f>
        <x:v>0.0032216264067046023</x:v>
      </x:c>
    </x:row>
    <x:row r="233" ht="21.600000381469727" hidden="0" customHeight="1">
      <x:c r="A233" s="29" t="str">
        <x:v>SCA-08</x:v>
      </x:c>
      <x:c r="B233" s="29" t="str">
        <x:v>30007</x:v>
      </x:c>
      <x:c r="C233" s="29" t="str">
        <x:v>MT</x:v>
      </x:c>
      <x:c r="D233" s="29" t="str">
        <x:v>Broadwater County</x:v>
      </x:c>
      <x:c r="E233" s="41" t="n">
        <x:v>8493</x:v>
      </x:c>
      <x:c r="F233" s="56" t="n">
        <x:v>46.329849</x:v>
      </x:c>
      <x:c r="G233" s="56" t="n">
        <x:v>-111.497873</x:v>
      </x:c>
      <x:c r="H233" s="44" t="n">
        <x:f>E233/SUMIF(A:A,A233,E:E)</x:f>
        <x:v>0.0032020214244753878</x:v>
      </x:c>
    </x:row>
    <x:row r="234" ht="21.600000381469727" hidden="0" customHeight="1">
      <x:c r="A234" s="27" t="str">
        <x:v>SCA-08</x:v>
      </x:c>
      <x:c r="B234" s="27" t="str">
        <x:v>16059</x:v>
      </x:c>
      <x:c r="C234" s="27" t="str">
        <x:v>ID</x:v>
      </x:c>
      <x:c r="D234" s="27" t="str">
        <x:v>Lemhi County</x:v>
      </x:c>
      <x:c r="E234" s="40" t="n">
        <x:v>8474</x:v>
      </x:c>
      <x:c r="F234" s="55" t="n">
        <x:v>44.928506</x:v>
      </x:c>
      <x:c r="G234" s="55" t="n">
        <x:v>-113.887042</x:v>
      </x:c>
      <x:c r="H234" s="43" t="n">
        <x:f>E234/SUMIF(A:A,A234,E:E)</x:f>
        <x:v>0.0031948580655839437</x:v>
      </x:c>
    </x:row>
    <x:row r="235" ht="15" hidden="0" customHeight="1">
      <x:c r="A235" s="29" t="str">
        <x:v>SCA-08</x:v>
      </x:c>
      <x:c r="B235" s="29" t="str">
        <x:v>41037</x:v>
      </x:c>
      <x:c r="C235" s="29" t="str">
        <x:v>OR</x:v>
      </x:c>
      <x:c r="D235" s="29" t="str">
        <x:v>Lake County</x:v>
      </x:c>
      <x:c r="E235" s="41" t="n">
        <x:v>8187</x:v>
      </x:c>
      <x:c r="F235" s="56" t="n">
        <x:v>42.788401</x:v>
      </x:c>
      <x:c r="G235" s="56" t="n">
        <x:v>-120.38979</x:v>
      </x:c>
      <x:c r="H235" s="44" t="n">
        <x:f>E235/SUMIF(A:A,A235,E:E)</x:f>
        <x:v>0.00308665364443424</x:v>
      </x:c>
    </x:row>
    <x:row r="236" ht="21.600000381469727" hidden="0" customHeight="1">
      <x:c r="A236" s="27" t="str">
        <x:v>SCA-08</x:v>
      </x:c>
      <x:c r="B236" s="27" t="str">
        <x:v>41063</x:v>
      </x:c>
      <x:c r="C236" s="27" t="str">
        <x:v>OR</x:v>
      </x:c>
      <x:c r="D236" s="27" t="str">
        <x:v>Wallowa County</x:v>
      </x:c>
      <x:c r="E236" s="40" t="n">
        <x:v>7595</x:v>
      </x:c>
      <x:c r="F236" s="55" t="n">
        <x:v>45.593753</x:v>
      </x:c>
      <x:c r="G236" s="55" t="n">
        <x:v>-117.18558</x:v>
      </x:c>
      <x:c r="H236" s="43" t="n">
        <x:f>E236/SUMIF(A:A,A236,E:E)</x:f>
        <x:v>0.0028634584621324115</x:v>
      </x:c>
    </x:row>
    <x:row r="237" ht="21.600000381469727" hidden="0" customHeight="1">
      <x:c r="A237" s="29" t="str">
        <x:v>SCA-08</x:v>
      </x:c>
      <x:c r="B237" s="29" t="str">
        <x:v>30105</x:v>
      </x:c>
      <x:c r="C237" s="29" t="str">
        <x:v>MT</x:v>
      </x:c>
      <x:c r="D237" s="29" t="str">
        <x:v>Valley County</x:v>
      </x:c>
      <x:c r="E237" s="41" t="n">
        <x:v>7385</x:v>
      </x:c>
      <x:c r="F237" s="56" t="n">
        <x:v>48.34985</x:v>
      </x:c>
      <x:c r="G237" s="56" t="n">
        <x:v>-106.670424</x:v>
      </x:c>
      <x:c r="H237" s="44" t="n">
        <x:f>E237/SUMIF(A:A,A237,E:E)</x:f>
        <x:v>0.002784284495437506</x:v>
      </x:c>
    </x:row>
    <x:row r="238" ht="21.600000381469727" hidden="0" customHeight="1">
      <x:c r="A238" s="27" t="str">
        <x:v>SCA-08</x:v>
      </x:c>
      <x:c r="B238" s="27" t="str">
        <x:v>41025</x:v>
      </x:c>
      <x:c r="C238" s="27" t="str">
        <x:v>OR</x:v>
      </x:c>
      <x:c r="D238" s="27" t="str">
        <x:v>Harney County</x:v>
      </x:c>
      <x:c r="E238" s="40" t="n">
        <x:v>7380</x:v>
      </x:c>
      <x:c r="F238" s="55" t="n">
        <x:v>43.064449</x:v>
      </x:c>
      <x:c r="G238" s="55" t="n">
        <x:v>-118.987169</x:v>
      </x:c>
      <x:c r="H238" s="43" t="n">
        <x:f>E238/SUMIF(A:A,A238,E:E)</x:f>
        <x:v>0.002782399400992389</x:v>
      </x:c>
    </x:row>
    <x:row r="239" ht="21.600000381469727" hidden="0" customHeight="1">
      <x:c r="A239" s="29" t="str">
        <x:v>SCA-08</x:v>
      </x:c>
      <x:c r="B239" s="29" t="str">
        <x:v>30077</x:v>
      </x:c>
      <x:c r="C239" s="29" t="str">
        <x:v>MT</x:v>
      </x:c>
      <x:c r="D239" s="29" t="str">
        <x:v>Powell County</x:v>
      </x:c>
      <x:c r="E239" s="41" t="n">
        <x:v>7157</x:v>
      </x:c>
      <x:c r="F239" s="56" t="n">
        <x:v>46.844225</x:v>
      </x:c>
      <x:c r="G239" s="56" t="n">
        <x:v>-112.9311</x:v>
      </x:c>
      <x:c r="H239" s="44" t="n">
        <x:f>E239/SUMIF(A:A,A239,E:E)</x:f>
        <x:v>0.00269832418874018</x:v>
      </x:c>
    </x:row>
    <x:row r="240" ht="21.600000381469727" hidden="0" customHeight="1">
      <x:c r="A240" s="27" t="str">
        <x:v>SCA-08</x:v>
      </x:c>
      <x:c r="B240" s="27" t="str">
        <x:v>41023</x:v>
      </x:c>
      <x:c r="C240" s="27" t="str">
        <x:v>OR</x:v>
      </x:c>
      <x:c r="D240" s="27" t="str">
        <x:v>Grant County</x:v>
      </x:c>
      <x:c r="E240" s="40" t="n">
        <x:v>7075</x:v>
      </x:c>
      <x:c r="F240" s="55" t="n">
        <x:v>44.496326</x:v>
      </x:c>
      <x:c r="G240" s="55" t="n">
        <x:v>-119.014057</x:v>
      </x:c>
      <x:c r="H240" s="43" t="n">
        <x:f>E240/SUMIF(A:A,A240,E:E)</x:f>
        <x:v>0.0026674086398402646</x:v>
      </x:c>
    </x:row>
    <x:row r="241" ht="21.600000381469727" hidden="0" customHeight="1">
      <x:c r="A241" s="29" t="str">
        <x:v>SCA-08</x:v>
      </x:c>
      <x:c r="B241" s="29" t="str">
        <x:v>30005</x:v>
      </x:c>
      <x:c r="C241" s="29" t="str">
        <x:v>MT</x:v>
      </x:c>
      <x:c r="D241" s="29" t="str">
        <x:v>Blaine County</x:v>
      </x:c>
      <x:c r="E241" s="41" t="n">
        <x:v>6860</x:v>
      </x:c>
      <x:c r="F241" s="56" t="n">
        <x:v>48.428282</x:v>
      </x:c>
      <x:c r="G241" s="56" t="n">
        <x:v>-108.967648</x:v>
      </x:c>
      <x:c r="H241" s="44" t="n">
        <x:f>E241/SUMIF(A:A,A241,E:E)</x:f>
        <x:v>0.0025863495787002426</x:v>
      </x:c>
    </x:row>
    <x:row r="242" ht="15" hidden="0" customHeight="1">
      <x:c r="A242" s="27" t="str">
        <x:v>SCA-08</x:v>
      </x:c>
      <x:c r="B242" s="27" t="str">
        <x:v>30099</x:v>
      </x:c>
      <x:c r="C242" s="27" t="str">
        <x:v>MT</x:v>
      </x:c>
      <x:c r="D242" s="27" t="str">
        <x:v>Teton County</x:v>
      </x:c>
      <x:c r="E242" s="40" t="n">
        <x:v>6496</x:v>
      </x:c>
      <x:c r="F242" s="55" t="n">
        <x:v>47.819035</x:v>
      </x:c>
      <x:c r="G242" s="55" t="n">
        <x:v>-112.281725</x:v>
      </x:c>
      <x:c r="H242" s="43" t="n">
        <x:f>E242/SUMIF(A:A,A242,E:E)</x:f>
        <x:v>0.0024491147030957397</x:v>
      </x:c>
    </x:row>
    <x:row r="243" ht="21.600000381469727" hidden="0" customHeight="1">
      <x:c r="A243" s="29" t="str">
        <x:v>SCA-08</x:v>
      </x:c>
      <x:c r="B243" s="29" t="str">
        <x:v>30073</x:v>
      </x:c>
      <x:c r="C243" s="29" t="str">
        <x:v>MT</x:v>
      </x:c>
      <x:c r="D243" s="29" t="str">
        <x:v>Pondera County</x:v>
      </x:c>
      <x:c r="E243" s="41" t="n">
        <x:v>6072</x:v>
      </x:c>
      <x:c r="F243" s="56" t="n">
        <x:v>48.228604</x:v>
      </x:c>
      <x:c r="G243" s="56" t="n">
        <x:v>-112.220761</x:v>
      </x:c>
      <x:c r="H243" s="44" t="n">
        <x:f>E243/SUMIF(A:A,A243,E:E)</x:f>
        <x:v>0.0022892586941498354</x:v>
      </x:c>
    </x:row>
    <x:row r="244" ht="21.600000381469727" hidden="0" customHeight="1">
      <x:c r="A244" s="27" t="str">
        <x:v>SCA-08</x:v>
      </x:c>
      <x:c r="B244" s="27" t="str">
        <x:v>30015</x:v>
      </x:c>
      <x:c r="C244" s="27" t="str">
        <x:v>MT</x:v>
      </x:c>
      <x:c r="D244" s="27" t="str">
        <x:v>Chouteau County</x:v>
      </x:c>
      <x:c r="E244" s="40" t="n">
        <x:v>5865</x:v>
      </x:c>
      <x:c r="F244" s="55" t="n">
        <x:v>47.886834</x:v>
      </x:c>
      <x:c r="G244" s="55" t="n">
        <x:v>-110.4362</x:v>
      </x:c>
      <x:c r="H244" s="43" t="n">
        <x:f>E244/SUMIF(A:A,A244,E:E)</x:f>
        <x:v>0.0022112157841220003</x:v>
      </x:c>
    </x:row>
    <x:row r="245" ht="21.600000381469727" hidden="0" customHeight="1">
      <x:c r="A245" s="29" t="str">
        <x:v>SCA-08</x:v>
      </x:c>
      <x:c r="B245" s="29" t="str">
        <x:v>16063</x:v>
      </x:c>
      <x:c r="C245" s="29" t="str">
        <x:v>ID</x:v>
      </x:c>
      <x:c r="D245" s="29" t="str">
        <x:v>Lincoln County</x:v>
      </x:c>
      <x:c r="E245" s="41" t="n">
        <x:v>5603</x:v>
      </x:c>
      <x:c r="F245" s="56" t="n">
        <x:v>42.990782</x:v>
      </x:c>
      <x:c r="G245" s="56" t="n">
        <x:v>-114.153089</x:v>
      </x:c>
      <x:c r="H245" s="44" t="n">
        <x:f>E245/SUMIF(A:A,A245,E:E)</x:f>
        <x:v>0.00211243683519788</x:v>
      </x:c>
    </x:row>
    <x:row r="246" ht="21.600000381469727" hidden="0" customHeight="1">
      <x:c r="A246" s="27" t="str">
        <x:v>SCA-08</x:v>
      </x:c>
      <x:c r="B246" s="27" t="str">
        <x:v>30065</x:v>
      </x:c>
      <x:c r="C246" s="27" t="str">
        <x:v>MT</x:v>
      </x:c>
      <x:c r="D246" s="27" t="str">
        <x:v>Musselshell County</x:v>
      </x:c>
      <x:c r="E246" s="40" t="n">
        <x:v>5582</x:v>
      </x:c>
      <x:c r="F246" s="55" t="n">
        <x:v>46.505281</x:v>
      </x:c>
      <x:c r="G246" s="55" t="n">
        <x:v>-108.439763</x:v>
      </x:c>
      <x:c r="H246" s="43" t="n">
        <x:f>E246/SUMIF(A:A,A246,E:E)</x:f>
        <x:v>0.00210451943852839</x:v>
      </x:c>
    </x:row>
    <x:row r="247" ht="15" hidden="0" customHeight="1">
      <x:c r="A247" s="29" t="str">
        <x:v>SCA-08</x:v>
      </x:c>
      <x:c r="B247" s="29" t="str">
        <x:v>30101</x:v>
      </x:c>
      <x:c r="C247" s="29" t="str">
        <x:v>MT</x:v>
      </x:c>
      <x:c r="D247" s="29" t="str">
        <x:v>Toole County</x:v>
      </x:c>
      <x:c r="E247" s="41" t="n">
        <x:v>5211</x:v>
      </x:c>
      <x:c r="F247" s="56" t="n">
        <x:v>48.645125</x:v>
      </x:c>
      <x:c r="G247" s="56" t="n">
        <x:v>-111.733472</x:v>
      </x:c>
      <x:c r="H247" s="44" t="n">
        <x:f>E247/SUMIF(A:A,A247,E:E)</x:f>
        <x:v>0.0019646454307007235</x:v>
      </x:c>
    </x:row>
    <x:row r="248" ht="21.600000381469727" hidden="0" customHeight="1">
      <x:c r="A248" s="27" t="str">
        <x:v>SCA-08</x:v>
      </x:c>
      <x:c r="B248" s="27" t="str">
        <x:v>30061</x:v>
      </x:c>
      <x:c r="C248" s="27" t="str">
        <x:v>MT</x:v>
      </x:c>
      <x:c r="D248" s="27" t="str">
        <x:v>Mineral County</x:v>
      </x:c>
      <x:c r="E248" s="40" t="n">
        <x:v>5185</x:v>
      </x:c>
      <x:c r="F248" s="55" t="n">
        <x:v>47.129687</x:v>
      </x:c>
      <x:c r="G248" s="55" t="n">
        <x:v>-115.085385</x:v>
      </x:c>
      <x:c r="H248" s="43" t="n">
        <x:f>E248/SUMIF(A:A,A248,E:E)</x:f>
        <x:v>0.0019548429395861164</x:v>
      </x:c>
    </x:row>
    <x:row r="249" ht="21.600000381469727" hidden="0" customHeight="1">
      <x:c r="A249" s="29" t="str">
        <x:v>SCA-08</x:v>
      </x:c>
      <x:c r="B249" s="29" t="str">
        <x:v>16003</x:v>
      </x:c>
      <x:c r="C249" s="29" t="str">
        <x:v>ID</x:v>
      </x:c>
      <x:c r="D249" s="29" t="str">
        <x:v>Adams County</x:v>
      </x:c>
      <x:c r="E249" s="41" t="n">
        <x:v>5013</x:v>
      </x:c>
      <x:c r="F249" s="56" t="n">
        <x:v>44.876955</x:v>
      </x:c>
      <x:c r="G249" s="56" t="n">
        <x:v>-116.461614</x:v>
      </x:c>
      <x:c r="H249" s="44" t="n">
        <x:f>E249/SUMIF(A:A,A249,E:E)</x:f>
        <x:v>0.0018899956906740984</x:v>
      </x:c>
    </x:row>
    <x:row r="250" ht="21.600000381469727" hidden="0" customHeight="1">
      <x:c r="A250" s="27" t="str">
        <x:v>SCA-08</x:v>
      </x:c>
      <x:c r="B250" s="27" t="str">
        <x:v>16037</x:v>
      </x:c>
      <x:c r="C250" s="27" t="str">
        <x:v>ID</x:v>
      </x:c>
      <x:c r="D250" s="27" t="str">
        <x:v>Custer County</x:v>
      </x:c>
      <x:c r="E250" s="40" t="n">
        <x:v>4636</x:v>
      </x:c>
      <x:c r="F250" s="55" t="n">
        <x:v>44.273351</x:v>
      </x:c>
      <x:c r="G250" s="55" t="n">
        <x:v>-114.252267</x:v>
      </x:c>
      <x:c r="H250" s="43" t="n">
        <x:f>E250/SUMIF(A:A,A250,E:E)</x:f>
        <x:v>0.0017478595695122922</x:v>
      </x:c>
    </x:row>
    <x:row r="251" ht="21.600000381469727" hidden="0" customHeight="1">
      <x:c r="A251" s="29" t="str">
        <x:v>SCA-08</x:v>
      </x:c>
      <x:c r="B251" s="29" t="str">
        <x:v>30071</x:v>
      </x:c>
      <x:c r="C251" s="29" t="str">
        <x:v>MT</x:v>
      </x:c>
      <x:c r="D251" s="29" t="str">
        <x:v>Phillips County</x:v>
      </x:c>
      <x:c r="E251" s="41" t="n">
        <x:v>4203</x:v>
      </x:c>
      <x:c r="F251" s="56" t="n">
        <x:v>48.250143</x:v>
      </x:c>
      <x:c r="G251" s="56" t="n">
        <x:v>-107.928897</x:v>
      </x:c>
      <x:c r="H251" s="44" t="n">
        <x:f>E251/SUMIF(A:A,A251,E:E)</x:f>
        <x:v>0.0015846103905651776</x:v>
      </x:c>
    </x:row>
    <x:row r="252" ht="21.600000381469727" hidden="0" customHeight="1">
      <x:c r="A252" s="27" t="str">
        <x:v>SCA-08</x:v>
      </x:c>
      <x:c r="B252" s="27" t="str">
        <x:v>30097</x:v>
      </x:c>
      <x:c r="C252" s="27" t="str">
        <x:v>MT</x:v>
      </x:c>
      <x:c r="D252" s="27" t="str">
        <x:v>Sweet Grass County</x:v>
      </x:c>
      <x:c r="E252" s="40" t="n">
        <x:v>3762</x:v>
      </x:c>
      <x:c r="F252" s="55" t="n">
        <x:v>45.811292</x:v>
      </x:c>
      <x:c r="G252" s="55" t="n">
        <x:v>-109.944796</x:v>
      </x:c>
      <x:c r="H252" s="43" t="n">
        <x:f>E252/SUMIF(A:A,A252,E:E)</x:f>
        <x:v>0.0014183450605058765</x:v>
      </x:c>
    </x:row>
    <x:row r="253" ht="21.600000381469727" hidden="0" customHeight="1">
      <x:c r="A253" s="29" t="str">
        <x:v>SCA-08</x:v>
      </x:c>
      <x:c r="B253" s="29" t="str">
        <x:v>16061</x:v>
      </x:c>
      <x:c r="C253" s="29" t="str">
        <x:v>ID</x:v>
      </x:c>
      <x:c r="D253" s="29" t="str">
        <x:v>Lewis County</x:v>
      </x:c>
      <x:c r="E253" s="41" t="n">
        <x:v>3704</x:v>
      </x:c>
      <x:c r="F253" s="56" t="n">
        <x:v>46.236328</x:v>
      </x:c>
      <x:c r="G253" s="56" t="n">
        <x:v>-116.42376</x:v>
      </x:c>
      <x:c r="H253" s="44" t="n">
        <x:f>E253/SUMIF(A:A,A253,E:E)</x:f>
        <x:v>0.0013964779649425216</x:v>
      </x:c>
    </x:row>
    <x:row r="254" ht="21.600000381469727" hidden="0" customHeight="1">
      <x:c r="A254" s="27" t="str">
        <x:v>SCA-08</x:v>
      </x:c>
      <x:c r="B254" s="27" t="str">
        <x:v>30039</x:v>
      </x:c>
      <x:c r="C254" s="27" t="str">
        <x:v>MT</x:v>
      </x:c>
      <x:c r="D254" s="27" t="str">
        <x:v>Granite County</x:v>
      </x:c>
      <x:c r="E254" s="40" t="n">
        <x:v>3658</x:v>
      </x:c>
      <x:c r="F254" s="55" t="n">
        <x:v>46.395955</x:v>
      </x:c>
      <x:c r="G254" s="55" t="n">
        <x:v>-113.427356</x:v>
      </x:c>
      <x:c r="H254" s="43" t="n">
        <x:f>E254/SUMIF(A:A,A254,E:E)</x:f>
        <x:v>0.001379135096047447</x:v>
      </x:c>
    </x:row>
    <x:row r="255" ht="15" hidden="0" customHeight="1">
      <x:c r="A255" s="29" t="str">
        <x:v>SCA-08</x:v>
      </x:c>
      <x:c r="B255" s="29" t="str">
        <x:v>16023</x:v>
      </x:c>
      <x:c r="C255" s="29" t="str">
        <x:v>ID</x:v>
      </x:c>
      <x:c r="D255" s="29" t="str">
        <x:v>Butte County</x:v>
      </x:c>
      <x:c r="E255" s="41" t="n">
        <x:v>2783</x:v>
      </x:c>
      <x:c r="F255" s="56" t="n">
        <x:v>43.685101</x:v>
      </x:c>
      <x:c r="G255" s="56" t="n">
        <x:v>-113.177631</x:v>
      </x:c>
      <x:c r="H255" s="44" t="n">
        <x:f>E255/SUMIF(A:A,A255,E:E)</x:f>
        <x:v>0.001049243568152008</x:v>
      </x:c>
    </x:row>
    <x:row r="256" ht="21.600000381469727" hidden="0" customHeight="1">
      <x:c r="A256" s="27" t="str">
        <x:v>SCA-08</x:v>
      </x:c>
      <x:c r="B256" s="27" t="str">
        <x:v>53023</x:v>
      </x:c>
      <x:c r="C256" s="27" t="str">
        <x:v>WA</x:v>
      </x:c>
      <x:c r="D256" s="27" t="str">
        <x:v>Garfield County</x:v>
      </x:c>
      <x:c r="E256" s="40" t="n">
        <x:v>2416</x:v>
      </x:c>
      <x:c r="F256" s="55" t="n">
        <x:v>46.429318</x:v>
      </x:c>
      <x:c r="G256" s="55" t="n">
        <x:v>-117.536705</x:v>
      </x:c>
      <x:c r="H256" s="43" t="n">
        <x:f>E256/SUMIF(A:A,A256,E:E)</x:f>
        <x:v>0.0009108776358804353</x:v>
      </x:c>
    </x:row>
    <x:row r="257" ht="21.600000381469727" hidden="0" customHeight="1">
      <x:c r="A257" s="29" t="str">
        <x:v>SCA-08</x:v>
      </x:c>
      <x:c r="B257" s="29" t="str">
        <x:v>30045</x:v>
      </x:c>
      <x:c r="C257" s="29" t="str">
        <x:v>MT</x:v>
      </x:c>
      <x:c r="D257" s="29" t="str">
        <x:v>Judith Basin County</x:v>
      </x:c>
      <x:c r="E257" s="41" t="n">
        <x:v>2162</x:v>
      </x:c>
      <x:c r="F257" s="56" t="n">
        <x:v>47.032558</x:v>
      </x:c>
      <x:c r="G257" s="56" t="n">
        <x:v>-110.30532</x:v>
      </x:c>
      <x:c r="H257" s="44" t="n">
        <x:f>E257/SUMIF(A:A,A257,E:E)</x:f>
        <x:v>0.0008151148380685021</x:v>
      </x:c>
    </x:row>
    <x:row r="258" ht="21.600000381469727" hidden="0" customHeight="1">
      <x:c r="A258" s="27" t="str">
        <x:v>SCA-08</x:v>
      </x:c>
      <x:c r="B258" s="27" t="str">
        <x:v>30059</x:v>
      </x:c>
      <x:c r="C258" s="27" t="str">
        <x:v>MT</x:v>
      </x:c>
      <x:c r="D258" s="27" t="str">
        <x:v>Meagher County</x:v>
      </x:c>
      <x:c r="E258" s="40" t="n">
        <x:v>2137</x:v>
      </x:c>
      <x:c r="F258" s="55" t="n">
        <x:v>46.5857</x:v>
      </x:c>
      <x:c r="G258" s="55" t="n">
        <x:v>-110.92174</x:v>
      </x:c>
      <x:c r="H258" s="43" t="n">
        <x:f>E258/SUMIF(A:A,A258,E:E)</x:f>
        <x:v>0.0008056893658429181</x:v>
      </x:c>
    </x:row>
    <x:row r="259" ht="21.600000381469727" hidden="0" customHeight="1">
      <x:c r="A259" s="29" t="str">
        <x:v>SCA-08</x:v>
      </x:c>
      <x:c r="B259" s="29" t="str">
        <x:v>30107</x:v>
      </x:c>
      <x:c r="C259" s="29" t="str">
        <x:v>MT</x:v>
      </x:c>
      <x:c r="D259" s="29" t="str">
        <x:v>Wheatland County</x:v>
      </x:c>
      <x:c r="E259" s="41" t="n">
        <x:v>2100</x:v>
      </x:c>
      <x:c r="F259" s="56" t="n">
        <x:v>46.496967</x:v>
      </x:c>
      <x:c r="G259" s="56" t="n">
        <x:v>-109.857684</x:v>
      </x:c>
      <x:c r="H259" s="44" t="n">
        <x:f>E259/SUMIF(A:A,A259,E:E)</x:f>
        <x:v>0.0007917396669490538</x:v>
      </x:c>
    </x:row>
    <x:row r="260" ht="21.600000381469727" hidden="0" customHeight="1">
      <x:c r="A260" s="27" t="str">
        <x:v>SCA-08</x:v>
      </x:c>
      <x:c r="B260" s="27" t="str">
        <x:v>30051</x:v>
      </x:c>
      <x:c r="C260" s="27" t="str">
        <x:v>MT</x:v>
      </x:c>
      <x:c r="D260" s="27" t="str">
        <x:v>Liberty County</x:v>
      </x:c>
      <x:c r="E260" s="40" t="n">
        <x:v>1957</x:v>
      </x:c>
      <x:c r="F260" s="55" t="n">
        <x:v>48.559654</x:v>
      </x:c>
      <x:c r="G260" s="55" t="n">
        <x:v>-111.036924</x:v>
      </x:c>
      <x:c r="H260" s="43" t="n">
        <x:f>E260/SUMIF(A:A,A260,E:E)</x:f>
        <x:v>0.0007378259658187135</x:v>
      </x:c>
    </x:row>
    <x:row r="261" ht="21.600000381469727" hidden="0" customHeight="1">
      <x:c r="A261" s="29" t="str">
        <x:v>SCA-08</x:v>
      </x:c>
      <x:c r="B261" s="29" t="str">
        <x:v>32011</x:v>
      </x:c>
      <x:c r="C261" s="29" t="str">
        <x:v>NV</x:v>
      </x:c>
      <x:c r="D261" s="29" t="str">
        <x:v>Eureka County</x:v>
      </x:c>
      <x:c r="E261" s="41" t="n">
        <x:v>1867</x:v>
      </x:c>
      <x:c r="F261" s="56" t="n">
        <x:v>39.977788</x:v>
      </x:c>
      <x:c r="G261" s="56" t="n">
        <x:v>-116.272208</x:v>
      </x:c>
      <x:c r="H261" s="44" t="n">
        <x:f>E261/SUMIF(A:A,A261,E:E)</x:f>
        <x:v>0.0007038942658066111</x:v>
      </x:c>
    </x:row>
    <x:row r="262" ht="21.600000381469727" hidden="0" customHeight="1">
      <x:c r="A262" s="27" t="str">
        <x:v>SCA-08</x:v>
      </x:c>
      <x:c r="B262" s="27" t="str">
        <x:v>30055</x:v>
      </x:c>
      <x:c r="C262" s="27" t="str">
        <x:v>MT</x:v>
      </x:c>
      <x:c r="D262" s="27" t="str">
        <x:v>McCone County</x:v>
      </x:c>
      <x:c r="E262" s="40" t="n">
        <x:v>1720</x:v>
      </x:c>
      <x:c r="F262" s="55" t="n">
        <x:v>47.629628</x:v>
      </x:c>
      <x:c r="G262" s="55" t="n">
        <x:v>-105.757222</x:v>
      </x:c>
      <x:c r="H262" s="43" t="n">
        <x:f>E262/SUMIF(A:A,A262,E:E)</x:f>
        <x:v>0.0006484724891201774</x:v>
      </x:c>
    </x:row>
    <x:row r="263" ht="21.600000381469727" hidden="0" customHeight="1">
      <x:c r="A263" s="29" t="str">
        <x:v>SCA-08</x:v>
      </x:c>
      <x:c r="B263" s="29" t="str">
        <x:v>30019</x:v>
      </x:c>
      <x:c r="C263" s="29" t="str">
        <x:v>MT</x:v>
      </x:c>
      <x:c r="D263" s="29" t="str">
        <x:v>Daniels County</x:v>
      </x:c>
      <x:c r="E263" s="41" t="n">
        <x:v>1612</x:v>
      </x:c>
      <x:c r="F263" s="56" t="n">
        <x:v>48.794429</x:v>
      </x:c>
      <x:c r="G263" s="56" t="n">
        <x:v>-105.541739</x:v>
      </x:c>
      <x:c r="H263" s="44" t="n">
        <x:f>E263/SUMIF(A:A,A263,E:E)</x:f>
        <x:v>0.0006077544491056546</x:v>
      </x:c>
    </x:row>
    <x:row r="264" ht="21.600000381469727" hidden="0" customHeight="1">
      <x:c r="A264" s="27" t="str">
        <x:v>SCA-08</x:v>
      </x:c>
      <x:c r="B264" s="27" t="str">
        <x:v>16025</x:v>
      </x:c>
      <x:c r="C264" s="27" t="str">
        <x:v>ID</x:v>
      </x:c>
      <x:c r="D264" s="27" t="str">
        <x:v>Camas County</x:v>
      </x:c>
      <x:c r="E264" s="40" t="n">
        <x:v>1316</x:v>
      </x:c>
      <x:c r="F264" s="55" t="n">
        <x:v>43.502551</x:v>
      </x:c>
      <x:c r="G264" s="55" t="n">
        <x:v>-114.772135</x:v>
      </x:c>
      <x:c r="H264" s="43" t="n">
        <x:f>E264/SUMIF(A:A,A264,E:E)</x:f>
        <x:v>0.0004961568579547404</x:v>
      </x:c>
    </x:row>
    <x:row r="265" ht="21.600000381469727" hidden="0" customHeight="1">
      <x:c r="A265" s="29" t="str">
        <x:v>SCA-08</x:v>
      </x:c>
      <x:c r="B265" s="29" t="str">
        <x:v>30033</x:v>
      </x:c>
      <x:c r="C265" s="29" t="str">
        <x:v>MT</x:v>
      </x:c>
      <x:c r="D265" s="29" t="str">
        <x:v>Garfield County</x:v>
      </x:c>
      <x:c r="E265" s="41" t="n">
        <x:v>1148</x:v>
      </x:c>
      <x:c r="F265" s="56" t="n">
        <x:v>47.267184</x:v>
      </x:c>
      <x:c r="G265" s="56" t="n">
        <x:v>-106.995991</x:v>
      </x:c>
      <x:c r="H265" s="44" t="n">
        <x:f>E265/SUMIF(A:A,A265,E:E)</x:f>
        <x:v>0.00043281768459881606</x:v>
      </x:c>
    </x:row>
    <x:row r="266" ht="32.400001525878906" hidden="0" customHeight="1">
      <x:c r="A266" s="27" t="str">
        <x:v>SCA-08</x:v>
      </x:c>
      <x:c r="B266" s="27" t="str">
        <x:v>30037</x:v>
      </x:c>
      <x:c r="C266" s="27" t="str">
        <x:v>MT</x:v>
      </x:c>
      <x:c r="D266" s="27" t="str">
        <x:v>Golden Valley County</x:v>
      </x:c>
      <x:c r="E266" s="40" t="n">
        <x:v>844</x:v>
      </x:c>
      <x:c r="F266" s="55" t="n">
        <x:v>46.380624</x:v>
      </x:c>
      <x:c r="G266" s="55" t="n">
        <x:v>-109.174586</x:v>
      </x:c>
      <x:c r="H266" s="43" t="n">
        <x:f>E266/SUMIF(A:A,A266,E:E)</x:f>
        <x:v>0.00031820394233571497</x:v>
      </x:c>
    </x:row>
    <x:row r="267" ht="15" hidden="0" customHeight="1">
      <x:c r="A267" s="29" t="str">
        <x:v>SCA-08</x:v>
      </x:c>
      <x:c r="B267" s="29" t="str">
        <x:v>16033</x:v>
      </x:c>
      <x:c r="C267" s="29" t="str">
        <x:v>ID</x:v>
      </x:c>
      <x:c r="D267" s="29" t="str">
        <x:v>Clark County</x:v>
      </x:c>
      <x:c r="E267" s="41" t="n">
        <x:v>783</x:v>
      </x:c>
      <x:c r="F267" s="56" t="n">
        <x:v>44.290218</x:v>
      </x:c>
      <x:c r="G267" s="56" t="n">
        <x:v>-112.354613</x:v>
      </x:c>
      <x:c r="H267" s="44" t="n">
        <x:f>E267/SUMIF(A:A,A267,E:E)</x:f>
        <x:v>0.00029520579010529005</x:v>
      </x:c>
    </x:row>
    <x:row r="268" ht="21.600000381469727" hidden="0" customHeight="1">
      <x:c r="A268" s="27" t="str">
        <x:v>SCA-08</x:v>
      </x:c>
      <x:c r="B268" s="27" t="str">
        <x:v>30069</x:v>
      </x:c>
      <x:c r="C268" s="27" t="str">
        <x:v>MT</x:v>
      </x:c>
      <x:c r="D268" s="27" t="str">
        <x:v>Petroleum County</x:v>
      </x:c>
      <x:c r="E268" s="40" t="n">
        <x:v>548</x:v>
      </x:c>
      <x:c r="F268" s="55" t="n">
        <x:v>47.141917</x:v>
      </x:c>
      <x:c r="G268" s="55" t="n">
        <x:v>-108.226575</x:v>
      </x:c>
      <x:c r="H268" s="43" t="n">
        <x:f>E268/SUMIF(A:A,A268,E:E)</x:f>
        <x:v>0.00020660635118480072</x:v>
      </x:c>
    </x:row>
    <x:row r="269" ht="21.600000381469727" hidden="0" customHeight="1">
      <x:c r="A269" s="29" t="str">
        <x:v>SCA-09</x:v>
      </x:c>
      <x:c r="B269" s="29" t="str">
        <x:v>04013</x:v>
      </x:c>
      <x:c r="C269" s="29" t="str">
        <x:v>AZ</x:v>
      </x:c>
      <x:c r="D269" s="29" t="str">
        <x:v>Maricopa County</x:v>
      </x:c>
      <x:c r="E269" s="41" t="n">
        <x:v>4689558</x:v>
      </x:c>
      <x:c r="F269" s="56" t="n">
        <x:v>33.345176</x:v>
      </x:c>
      <x:c r="G269" s="56" t="n">
        <x:v>-112.49893</x:v>
      </x:c>
      <x:c r="H269" s="44" t="n">
        <x:f>E269/SUMIF(A:A,A269,E:E)</x:f>
        <x:v>0.6340911414121364</x:v>
      </x:c>
    </x:row>
    <x:row r="270" ht="15" hidden="0" customHeight="1">
      <x:c r="A270" s="27" t="str">
        <x:v>SCA-09</x:v>
      </x:c>
      <x:c r="B270" s="27" t="str">
        <x:v>04019</x:v>
      </x:c>
      <x:c r="C270" s="27" t="str">
        <x:v>AZ</x:v>
      </x:c>
      <x:c r="D270" s="27" t="str">
        <x:v>Pima County</x:v>
      </x:c>
      <x:c r="E270" s="40" t="n">
        <x:v>1074685</x:v>
      </x:c>
      <x:c r="F270" s="55" t="n">
        <x:v>32.128038</x:v>
      </x:c>
      <x:c r="G270" s="55" t="n">
        <x:v>-111.783657</x:v>
      </x:c>
      <x:c r="H270" s="43" t="n">
        <x:f>E270/SUMIF(A:A,A270,E:E)</x:f>
        <x:v>0.1453118264681878</x:v>
      </x:c>
    </x:row>
    <x:row r="271" ht="15" hidden="0" customHeight="1">
      <x:c r="A271" s="29" t="str">
        <x:v>SCA-09</x:v>
      </x:c>
      <x:c r="B271" s="29" t="str">
        <x:v>04021</x:v>
      </x:c>
      <x:c r="C271" s="29" t="str">
        <x:v>AZ</x:v>
      </x:c>
      <x:c r="D271" s="29" t="str">
        <x:v>Pinal County</x:v>
      </x:c>
      <x:c r="E271" s="41" t="n">
        <x:v>539380</x:v>
      </x:c>
      <x:c r="F271" s="56" t="n">
        <x:v>32.918521</x:v>
      </x:c>
      <x:c r="G271" s="56" t="n">
        <x:v>-111.366339</x:v>
      </x:c>
      <x:c r="H271" s="44" t="n">
        <x:f>E271/SUMIF(A:A,A271,E:E)</x:f>
        <x:v>0.07293141056254729</x:v>
      </x:c>
    </x:row>
    <x:row r="272" ht="21.600000381469727" hidden="0" customHeight="1">
      <x:c r="A272" s="27" t="str">
        <x:v>SCA-09</x:v>
      </x:c>
      <x:c r="B272" s="27" t="str">
        <x:v>04025</x:v>
      </x:c>
      <x:c r="C272" s="27" t="str">
        <x:v>AZ</x:v>
      </x:c>
      <x:c r="D272" s="27" t="str">
        <x:v>Yavapai County</x:v>
      </x:c>
      <x:c r="E272" s="40" t="n">
        <x:v>252552</x:v>
      </x:c>
      <x:c r="F272" s="55" t="n">
        <x:v>34.631071</x:v>
      </x:c>
      <x:c r="G272" s="55" t="n">
        <x:v>-112.577225</x:v>
      </x:c>
      <x:c r="H272" s="43" t="n">
        <x:f>E272/SUMIF(A:A,A272,E:E)</x:f>
        <x:v>0.03414841781377219</x:v>
      </x:c>
    </x:row>
    <x:row r="273" ht="21.600000381469727" hidden="0" customHeight="1">
      <x:c r="A273" s="29" t="str">
        <x:v>SCA-09</x:v>
      </x:c>
      <x:c r="B273" s="29" t="str">
        <x:v>04027</x:v>
      </x:c>
      <x:c r="C273" s="29" t="str">
        <x:v>AZ</x:v>
      </x:c>
      <x:c r="D273" s="29" t="str">
        <x:v>Yuma County</x:v>
      </x:c>
      <x:c r="E273" s="41" t="n">
        <x:v>224449</x:v>
      </x:c>
      <x:c r="F273" s="56" t="n">
        <x:v>32.773942</x:v>
      </x:c>
      <x:c r="G273" s="56" t="n">
        <x:v>-113.910905</x:v>
      </x:c>
      <x:c r="H273" s="44" t="n">
        <x:f>E273/SUMIF(A:A,A273,E:E)</x:f>
        <x:v>0.03034851527560009</x:v>
      </x:c>
    </x:row>
    <x:row r="274" ht="21.600000381469727" hidden="0" customHeight="1">
      <x:c r="A274" s="27" t="str">
        <x:v>SCA-09</x:v>
      </x:c>
      <x:c r="B274" s="27" t="str">
        <x:v>04005</x:v>
      </x:c>
      <x:c r="C274" s="27" t="str">
        <x:v>AZ</x:v>
      </x:c>
      <x:c r="D274" s="27" t="str">
        <x:v>Coconino County</x:v>
      </x:c>
      <x:c r="E274" s="40" t="n">
        <x:v>144368</x:v>
      </x:c>
      <x:c r="F274" s="55" t="n">
        <x:v>35.829692</x:v>
      </x:c>
      <x:c r="G274" s="55" t="n">
        <x:v>-111.773728</x:v>
      </x:c>
      <x:c r="H274" s="43" t="n">
        <x:f>E274/SUMIF(A:A,A274,E:E)</x:f>
        <x:v>0.01952048997013947</x:v>
      </x:c>
    </x:row>
    <x:row r="275" ht="21.600000381469727" hidden="0" customHeight="1">
      <x:c r="A275" s="29" t="str">
        <x:v>SCA-09</x:v>
      </x:c>
      <x:c r="B275" s="29" t="str">
        <x:v>04003</x:v>
      </x:c>
      <x:c r="C275" s="29" t="str">
        <x:v>AZ</x:v>
      </x:c>
      <x:c r="D275" s="29" t="str">
        <x:v>Cochise County</x:v>
      </x:c>
      <x:c r="E275" s="41" t="n">
        <x:v>126332</x:v>
      </x:c>
      <x:c r="F275" s="56" t="n">
        <x:v>31.840129</x:v>
      </x:c>
      <x:c r="G275" s="56" t="n">
        <x:v>-109.775163</x:v>
      </x:c>
      <x:c r="H275" s="44" t="n">
        <x:f>E275/SUMIF(A:A,A275,E:E)</x:f>
        <x:v>0.017081780857999416</x:v>
      </x:c>
    </x:row>
    <x:row r="276" ht="21.600000381469727" hidden="0" customHeight="1">
      <x:c r="A276" s="27" t="str">
        <x:v>SCA-09</x:v>
      </x:c>
      <x:c r="B276" s="27" t="str">
        <x:v>04017</x:v>
      </x:c>
      <x:c r="C276" s="27" t="str">
        <x:v>AZ</x:v>
      </x:c>
      <x:c r="D276" s="27" t="str">
        <x:v>Navajo County</x:v>
      </x:c>
      <x:c r="E276" s="40" t="n">
        <x:v>109946</x:v>
      </x:c>
      <x:c r="F276" s="55" t="n">
        <x:v>35.390785</x:v>
      </x:c>
      <x:c r="G276" s="55" t="n">
        <x:v>-110.321025</x:v>
      </x:c>
      <x:c r="H276" s="43" t="n">
        <x:f>E276/SUMIF(A:A,A276,E:E)</x:f>
        <x:v>0.01486617387687683</x:v>
      </x:c>
    </x:row>
    <x:row r="277" ht="21.600000381469727" hidden="0" customHeight="1">
      <x:c r="A277" s="29" t="str">
        <x:v>SCA-09</x:v>
      </x:c>
      <x:c r="B277" s="29" t="str">
        <x:v>04001</x:v>
      </x:c>
      <x:c r="C277" s="29" t="str">
        <x:v>AZ</x:v>
      </x:c>
      <x:c r="D277" s="29" t="str">
        <x:v>Apache County</x:v>
      </x:c>
      <x:c r="E277" s="41" t="n">
        <x:v>64445</x:v>
      </x:c>
      <x:c r="F277" s="56" t="n">
        <x:v>35.385084</x:v>
      </x:c>
      <x:c r="G277" s="56" t="n">
        <x:v>-109.490172</x:v>
      </x:c>
      <x:c r="H277" s="44" t="n">
        <x:f>E277/SUMIF(A:A,A277,E:E)</x:f>
        <x:v>0.00871382838389143</x:v>
      </x:c>
    </x:row>
    <x:row r="278" ht="15" hidden="0" customHeight="1">
      <x:c r="A278" s="27" t="str">
        <x:v>SCA-09</x:v>
      </x:c>
      <x:c r="B278" s="27" t="str">
        <x:v>04007</x:v>
      </x:c>
      <x:c r="C278" s="27" t="str">
        <x:v>AZ</x:v>
      </x:c>
      <x:c r="D278" s="27" t="str">
        <x:v>Gila County</x:v>
      </x:c>
      <x:c r="E278" s="40" t="n">
        <x:v>53801</x:v>
      </x:c>
      <x:c r="F278" s="55" t="n">
        <x:v>33.789618</x:v>
      </x:c>
      <x:c r="G278" s="55" t="n">
        <x:v>-110.81187</x:v>
      </x:c>
      <x:c r="H278" s="43" t="n">
        <x:f>E278/SUMIF(A:A,A278,E:E)</x:f>
        <x:v>0.007274616818709642</x:v>
      </x:c>
    </x:row>
    <x:row r="279" ht="21.600000381469727" hidden="0" customHeight="1">
      <x:c r="A279" s="29" t="str">
        <x:v>SCA-09</x:v>
      </x:c>
      <x:c r="B279" s="29" t="str">
        <x:v>04023</x:v>
      </x:c>
      <x:c r="C279" s="29" t="str">
        <x:v>AZ</x:v>
      </x:c>
      <x:c r="D279" s="29" t="str">
        <x:v>Santa Cruz County</x:v>
      </x:c>
      <x:c r="E279" s="41" t="n">
        <x:v>50020</x:v>
      </x:c>
      <x:c r="F279" s="56" t="n">
        <x:v>31.525733</x:v>
      </x:c>
      <x:c r="G279" s="56" t="n">
        <x:v>-110.845228</x:v>
      </x:c>
      <x:c r="H279" s="44" t="n">
        <x:f>E279/SUMIF(A:A,A279,E:E)</x:f>
        <x:v>0.006763374905147791</x:v>
      </x:c>
    </x:row>
    <x:row r="280" ht="21.600000381469727" hidden="0" customHeight="1">
      <x:c r="A280" s="27" t="str">
        <x:v>SCA-09</x:v>
      </x:c>
      <x:c r="B280" s="27" t="str">
        <x:v>04009</x:v>
      </x:c>
      <x:c r="C280" s="27" t="str">
        <x:v>AZ</x:v>
      </x:c>
      <x:c r="D280" s="27" t="str">
        <x:v>Graham County</x:v>
      </x:c>
      <x:c r="E280" s="40" t="n">
        <x:v>40157</x:v>
      </x:c>
      <x:c r="F280" s="55" t="n">
        <x:v>32.931828</x:v>
      </x:c>
      <x:c r="G280" s="55" t="n">
        <x:v>-109.87831</x:v>
      </x:c>
      <x:c r="H280" s="43" t="n">
        <x:f>E280/SUMIF(A:A,A280,E:E)</x:f>
        <x:v>0.005429765015314271</x:v>
      </x:c>
    </x:row>
    <x:row r="281" ht="21.600000381469727" hidden="0" customHeight="1">
      <x:c r="A281" s="29" t="str">
        <x:v>SCA-09</x:v>
      </x:c>
      <x:c r="B281" s="29" t="str">
        <x:v>04012</x:v>
      </x:c>
      <x:c r="C281" s="29" t="str">
        <x:v>AZ</x:v>
      </x:c>
      <x:c r="D281" s="29" t="str">
        <x:v>La Paz County</x:v>
      </x:c>
      <x:c r="E281" s="41" t="n">
        <x:v>16711</x:v>
      </x:c>
      <x:c r="F281" s="56" t="n">
        <x:v>33.72761</x:v>
      </x:c>
      <x:c r="G281" s="56" t="n">
        <x:v>-114.038806</x:v>
      </x:c>
      <x:c r="H281" s="44" t="n">
        <x:f>E281/SUMIF(A:A,A281,E:E)</x:f>
        <x:v>0.0022595513402623897</x:v>
      </x:c>
    </x:row>
    <x:row r="282" ht="21.600000381469727" hidden="0" customHeight="1">
      <x:c r="A282" s="27" t="str">
        <x:v>SCA-09</x:v>
      </x:c>
      <x:c r="B282" s="27" t="str">
        <x:v>04011</x:v>
      </x:c>
      <x:c r="C282" s="27" t="str">
        <x:v>AZ</x:v>
      </x:c>
      <x:c r="D282" s="27" t="str">
        <x:v>Greenlee County</x:v>
      </x:c>
      <x:c r="E282" s="40" t="n">
        <x:v>9312</x:v>
      </x:c>
      <x:c r="F282" s="55" t="n">
        <x:v>33.238872</x:v>
      </x:c>
      <x:c r="G282" s="55" t="n">
        <x:v>-109.242323</x:v>
      </x:c>
      <x:c r="H282" s="43" t="n">
        <x:f>E282/SUMIF(A:A,A282,E:E)</x:f>
        <x:v>0.0012591072994149585</x:v>
      </x:c>
    </x:row>
    <x:row r="283" ht="21.600000381469727" hidden="0" customHeight="1">
      <x:c r="A283" s="29" t="str">
        <x:v>SCA-10</x:v>
      </x:c>
      <x:c r="B283" s="29" t="str">
        <x:v>49035</x:v>
      </x:c>
      <x:c r="C283" s="29" t="str">
        <x:v>UT</x:v>
      </x:c>
      <x:c r="D283" s="29" t="str">
        <x:v>Salt Lake County</x:v>
      </x:c>
      <x:c r="E283" s="41" t="n">
        <x:v>1220916</x:v>
      </x:c>
      <x:c r="F283" s="56" t="n">
        <x:v>40.667883</x:v>
      </x:c>
      <x:c r="G283" s="56" t="n">
        <x:v>-111.92424</x:v>
      </x:c>
      <x:c r="H283" s="44" t="n">
        <x:f>E283/SUMIF(A:A,A283,E:E)</x:f>
        <x:v>0.29583383510623734</x:v>
      </x:c>
    </x:row>
    <x:row r="284" ht="15" hidden="0" customHeight="1">
      <x:c r="A284" s="27" t="str">
        <x:v>SCA-10</x:v>
      </x:c>
      <x:c r="B284" s="27" t="str">
        <x:v>49049</x:v>
      </x:c>
      <x:c r="C284" s="27" t="str">
        <x:v>UT</x:v>
      </x:c>
      <x:c r="D284" s="27" t="str">
        <x:v>Utah County</x:v>
      </x:c>
      <x:c r="E284" s="40" t="n">
        <x:v>759859</x:v>
      </x:c>
      <x:c r="F284" s="55" t="n">
        <x:v>40.120418</x:v>
      </x:c>
      <x:c r="G284" s="55" t="n">
        <x:v>-111.668563</x:v>
      </x:c>
      <x:c r="H284" s="43" t="n">
        <x:f>E284/SUMIF(A:A,A284,E:E)</x:f>
        <x:v>0.18411750039313957</x:v>
      </x:c>
    </x:row>
    <x:row r="285" ht="15" hidden="0" customHeight="1">
      <x:c r="A285" s="29" t="str">
        <x:v>SCA-10</x:v>
      </x:c>
      <x:c r="B285" s="29" t="str">
        <x:v>49011</x:v>
      </x:c>
      <x:c r="C285" s="29" t="str">
        <x:v>UT</x:v>
      </x:c>
      <x:c r="D285" s="29" t="str">
        <x:v>Davis County</x:v>
      </x:c>
      <x:c r="E285" s="41" t="n">
        <x:v>381227</x:v>
      </x:c>
      <x:c r="F285" s="56" t="n">
        <x:v>41.037559</x:v>
      </x:c>
      <x:c r="G285" s="56" t="n">
        <x:v>-112.201943</x:v>
      </x:c>
      <x:c r="H285" s="44" t="n">
        <x:f>E285/SUMIF(A:A,A285,E:E)</x:f>
        <x:v>0.09237314070422989</x:v>
      </x:c>
    </x:row>
    <x:row r="286" ht="21.600000381469727" hidden="0" customHeight="1">
      <x:c r="A286" s="27" t="str">
        <x:v>SCA-10</x:v>
      </x:c>
      <x:c r="B286" s="27" t="str">
        <x:v>49057</x:v>
      </x:c>
      <x:c r="C286" s="27" t="str">
        <x:v>UT</x:v>
      </x:c>
      <x:c r="D286" s="27" t="str">
        <x:v>Weber County</x:v>
      </x:c>
      <x:c r="E286" s="40" t="n">
        <x:v>278174</x:v>
      </x:c>
      <x:c r="F286" s="55" t="n">
        <x:v>41.270325</x:v>
      </x:c>
      <x:c r="G286" s="55" t="n">
        <x:v>-111.876883</x:v>
      </x:c>
      <x:c r="H286" s="43" t="n">
        <x:f>E286/SUMIF(A:A,A286,E:E)</x:f>
        <x:v>0.0674029017940976</x:v>
      </x:c>
    </x:row>
    <x:row r="287" ht="21.600000381469727" hidden="0" customHeight="1">
      <x:c r="A287" s="29" t="str">
        <x:v>SCA-10</x:v>
      </x:c>
      <x:c r="B287" s="29" t="str">
        <x:v>30111</x:v>
      </x:c>
      <x:c r="C287" s="29" t="str">
        <x:v>MT</x:v>
      </x:c>
      <x:c r="D287" s="29" t="str">
        <x:v>Yellowstone County</x:v>
      </x:c>
      <x:c r="E287" s="41" t="n">
        <x:v>172692</x:v>
      </x:c>
      <x:c r="F287" s="56" t="n">
        <x:v>45.936987</x:v>
      </x:c>
      <x:c r="G287" s="56" t="n">
        <x:v>-108.276656</x:v>
      </x:c>
      <x:c r="H287" s="44" t="n">
        <x:f>E287/SUMIF(A:A,A287,E:E)</x:f>
        <x:v>0.041844104469239765</x:v>
      </x:c>
    </x:row>
    <x:row r="288" ht="21.600000381469727" hidden="0" customHeight="1">
      <x:c r="A288" s="27" t="str">
        <x:v>SCA-10</x:v>
      </x:c>
      <x:c r="B288" s="27" t="str">
        <x:v>49005</x:v>
      </x:c>
      <x:c r="C288" s="27" t="str">
        <x:v>UT</x:v>
      </x:c>
      <x:c r="D288" s="27" t="str">
        <x:v>Cache County</x:v>
      </x:c>
      <x:c r="E288" s="40" t="n">
        <x:v>145000</x:v>
      </x:c>
      <x:c r="F288" s="55" t="n">
        <x:v>41.734118</x:v>
      </x:c>
      <x:c r="G288" s="55" t="n">
        <x:v>-111.745394</x:v>
      </x:c>
      <x:c r="H288" s="43" t="n">
        <x:f>E288/SUMIF(A:A,A288,E:E)</x:f>
        <x:v>0.03513419931461658</x:v>
      </x:c>
    </x:row>
    <x:row r="289" ht="21.600000381469727" hidden="0" customHeight="1">
      <x:c r="A289" s="29" t="str">
        <x:v>SCA-10</x:v>
      </x:c>
      <x:c r="B289" s="29" t="str">
        <x:v>16019</x:v>
      </x:c>
      <x:c r="C289" s="29" t="str">
        <x:v>ID</x:v>
      </x:c>
      <x:c r="D289" s="29" t="str">
        <x:v>Bonneville County</x:v>
      </x:c>
      <x:c r="E289" s="41" t="n">
        <x:v>135771</x:v>
      </x:c>
      <x:c r="F289" s="56" t="n">
        <x:v>43.395171</x:v>
      </x:c>
      <x:c r="G289" s="56" t="n">
        <x:v>-111.621878</x:v>
      </x:c>
      <x:c r="H289" s="44" t="n">
        <x:f>E289/SUMIF(A:A,A289,E:E)</x:f>
        <x:v>0.03289796810444695</x:v>
      </x:c>
    </x:row>
    <x:row r="290" ht="21.600000381469727" hidden="0" customHeight="1">
      <x:c r="A290" s="27" t="str">
        <x:v>SCA-10</x:v>
      </x:c>
      <x:c r="B290" s="27" t="str">
        <x:v>16005</x:v>
      </x:c>
      <x:c r="C290" s="27" t="str">
        <x:v>ID</x:v>
      </x:c>
      <x:c r="D290" s="27" t="str">
        <x:v>Bannock County</x:v>
      </x:c>
      <x:c r="E290" s="40" t="n">
        <x:v>91591</x:v>
      </x:c>
      <x:c r="F290" s="55" t="n">
        <x:v>42.692921</x:v>
      </x:c>
      <x:c r="G290" s="55" t="n">
        <x:v>-112.228982</x:v>
      </x:c>
      <x:c r="H290" s="43" t="n">
        <x:f>E290/SUMIF(A:A,A290,E:E)</x:f>
        <x:v>0.022192941030517565</x:v>
      </x:c>
    </x:row>
    <x:row r="291" ht="21.600000381469727" hidden="0" customHeight="1">
      <x:c r="A291" s="29" t="str">
        <x:v>SCA-10</x:v>
      </x:c>
      <x:c r="B291" s="29" t="str">
        <x:v>49045</x:v>
      </x:c>
      <x:c r="C291" s="29" t="str">
        <x:v>UT</x:v>
      </x:c>
      <x:c r="D291" s="29" t="str">
        <x:v>Tooele County</x:v>
      </x:c>
      <x:c r="E291" s="41" t="n">
        <x:v>87461</x:v>
      </x:c>
      <x:c r="F291" s="56" t="n">
        <x:v>40.467753</x:v>
      </x:c>
      <x:c r="G291" s="56" t="n">
        <x:v>-113.123979</x:v>
      </x:c>
      <x:c r="H291" s="44" t="n">
        <x:f>E291/SUMIF(A:A,A291,E:E)</x:f>
        <x:v>0.021192222112108142</x:v>
      </x:c>
    </x:row>
    <x:row r="292" ht="21.600000381469727" hidden="0" customHeight="1">
      <x:c r="A292" s="27" t="str">
        <x:v>SCA-10</x:v>
      </x:c>
      <x:c r="B292" s="27" t="str">
        <x:v>56025</x:v>
      </x:c>
      <x:c r="C292" s="27" t="str">
        <x:v>WY</x:v>
      </x:c>
      <x:c r="D292" s="27" t="str">
        <x:v>Natrona County</x:v>
      </x:c>
      <x:c r="E292" s="40" t="n">
        <x:v>80526</x:v>
      </x:c>
      <x:c r="F292" s="55" t="n">
        <x:v>42.977645</x:v>
      </x:c>
      <x:c r="G292" s="55" t="n">
        <x:v>-106.768219</x:v>
      </x:c>
      <x:c r="H292" s="43" t="n">
        <x:f>E292/SUMIF(A:A,A292,E:E)</x:f>
        <x:v>0.01951183816557803</x:v>
      </x:c>
    </x:row>
    <x:row r="293" ht="21.600000381469727" hidden="0" customHeight="1">
      <x:c r="A293" s="29" t="str">
        <x:v>SCA-10</x:v>
      </x:c>
      <x:c r="B293" s="29" t="str">
        <x:v>49003</x:v>
      </x:c>
      <x:c r="C293" s="29" t="str">
        <x:v>UT</x:v>
      </x:c>
      <x:c r="D293" s="29" t="str">
        <x:v>Box Elder County</x:v>
      </x:c>
      <x:c r="E293" s="41" t="n">
        <x:v>65320</x:v>
      </x:c>
      <x:c r="F293" s="56" t="n">
        <x:v>41.622623</x:v>
      </x:c>
      <x:c r="G293" s="56" t="n">
        <x:v>-113.060252</x:v>
      </x:c>
      <x:c r="H293" s="44" t="n">
        <x:f>E293/SUMIF(A:A,A293,E:E)</x:f>
        <x:v>0.01582735102917762</x:v>
      </x:c>
    </x:row>
    <x:row r="294" ht="21.600000381469727" hidden="0" customHeight="1">
      <x:c r="A294" s="27" t="str">
        <x:v>SCA-10</x:v>
      </x:c>
      <x:c r="B294" s="27" t="str">
        <x:v>49043</x:v>
      </x:c>
      <x:c r="C294" s="27" t="str">
        <x:v>UT</x:v>
      </x:c>
      <x:c r="D294" s="27" t="str">
        <x:v>Summit County</x:v>
      </x:c>
      <x:c r="E294" s="40" t="n">
        <x:v>43141</x:v>
      </x:c>
      <x:c r="F294" s="55" t="n">
        <x:v>40.87206</x:v>
      </x:c>
      <x:c r="G294" s="55" t="n">
        <x:v>-110.968486</x:v>
      </x:c>
      <x:c r="H294" s="43" t="n">
        <x:f>E294/SUMIF(A:A,A294,E:E)</x:f>
        <x:v>0.01045327236297844</x:v>
      </x:c>
    </x:row>
    <x:row r="295" ht="21.600000381469727" hidden="0" customHeight="1">
      <x:c r="A295" s="29" t="str">
        <x:v>SCA-10</x:v>
      </x:c>
      <x:c r="B295" s="29" t="str">
        <x:v>56037</x:v>
      </x:c>
      <x:c r="C295" s="29" t="str">
        <x:v>WY</x:v>
      </x:c>
      <x:c r="D295" s="29" t="str">
        <x:v>Sweetwater County</x:v>
      </x:c>
      <x:c r="E295" s="41" t="n">
        <x:v>41267</x:v>
      </x:c>
      <x:c r="F295" s="56" t="n">
        <x:v>41.660328</x:v>
      </x:c>
      <x:c r="G295" s="56" t="n">
        <x:v>-108.875677</x:v>
      </x:c>
      <x:c r="H295" s="44" t="n">
        <x:f>E295/SUMIF(A:A,A295,E:E)</x:f>
        <x:v>0.009999193124939878</x:v>
      </x:c>
    </x:row>
    <x:row r="296" ht="21.600000381469727" hidden="0" customHeight="1">
      <x:c r="A296" s="27" t="str">
        <x:v>SCA-10</x:v>
      </x:c>
      <x:c r="B296" s="27" t="str">
        <x:v>56013</x:v>
      </x:c>
      <x:c r="C296" s="27" t="str">
        <x:v>WY</x:v>
      </x:c>
      <x:c r="D296" s="27" t="str">
        <x:v>Fremont County</x:v>
      </x:c>
      <x:c r="E296" s="40" t="n">
        <x:v>39464</x:v>
      </x:c>
      <x:c r="F296" s="55" t="n">
        <x:v>43.054831</x:v>
      </x:c>
      <x:c r="G296" s="55" t="n">
        <x:v>-108.608935</x:v>
      </x:c>
      <x:c r="H296" s="43" t="n">
        <x:f>E296/SUMIF(A:A,A296,E:E)</x:f>
        <x:v>0.009562317529324335</x:v>
      </x:c>
    </x:row>
    <x:row r="297" ht="21.600000381469727" hidden="0" customHeight="1">
      <x:c r="A297" s="29" t="str">
        <x:v>SCA-10</x:v>
      </x:c>
      <x:c r="B297" s="29" t="str">
        <x:v>49051</x:v>
      </x:c>
      <x:c r="C297" s="29" t="str">
        <x:v>UT</x:v>
      </x:c>
      <x:c r="D297" s="29" t="str">
        <x:v>Wasatch County</x:v>
      </x:c>
      <x:c r="E297" s="41" t="n">
        <x:v>38514</x:v>
      </x:c>
      <x:c r="F297" s="56" t="n">
        <x:v>40.334884</x:v>
      </x:c>
      <x:c r="G297" s="56" t="n">
        <x:v>-111.161568</x:v>
      </x:c>
      <x:c r="H297" s="44" t="n">
        <x:f>E297/SUMIF(A:A,A297,E:E)</x:f>
        <x:v>0.009332127947607882</x:v>
      </x:c>
    </x:row>
    <x:row r="298" ht="21.600000381469727" hidden="0" customHeight="1">
      <x:c r="A298" s="27" t="str">
        <x:v>SCA-10</x:v>
      </x:c>
      <x:c r="B298" s="27" t="str">
        <x:v>49047</x:v>
      </x:c>
      <x:c r="C298" s="27" t="str">
        <x:v>UT</x:v>
      </x:c>
      <x:c r="D298" s="27" t="str">
        <x:v>Uintah County</x:v>
      </x:c>
      <x:c r="E298" s="40" t="n">
        <x:v>38278</x:v>
      </x:c>
      <x:c r="F298" s="55" t="n">
        <x:v>40.125887</x:v>
      </x:c>
      <x:c r="G298" s="55" t="n">
        <x:v>-109.517748</x:v>
      </x:c>
      <x:c r="H298" s="43" t="n">
        <x:f>E298/SUMIF(A:A,A298,E:E)</x:f>
        <x:v>0.009274944009413057</x:v>
      </x:c>
    </x:row>
    <x:row r="299" ht="21.600000381469727" hidden="0" customHeight="1">
      <x:c r="A299" s="29" t="str">
        <x:v>SCA-10</x:v>
      </x:c>
      <x:c r="B299" s="29" t="str">
        <x:v>56033</x:v>
      </x:c>
      <x:c r="C299" s="29" t="str">
        <x:v>WY</x:v>
      </x:c>
      <x:c r="D299" s="29" t="str">
        <x:v>Sheridan County</x:v>
      </x:c>
      <x:c r="E299" s="41" t="n">
        <x:v>33241</x:v>
      </x:c>
      <x:c r="F299" s="56" t="n">
        <x:v>44.781369</x:v>
      </x:c>
      <x:c r="G299" s="56" t="n">
        <x:v>-106.881211</x:v>
      </x:c>
      <x:c r="H299" s="44" t="n">
        <x:f>E299/SUMIF(A:A,A299,E:E)</x:f>
        <x:v>0.008054454616670136</x:v>
      </x:c>
    </x:row>
    <x:row r="300" ht="21.600000381469727" hidden="0" customHeight="1">
      <x:c r="A300" s="27" t="str">
        <x:v>SCA-10</x:v>
      </x:c>
      <x:c r="B300" s="27" t="str">
        <x:v>49039</x:v>
      </x:c>
      <x:c r="C300" s="27" t="str">
        <x:v>UT</x:v>
      </x:c>
      <x:c r="D300" s="27" t="str">
        <x:v>Sanpete County</x:v>
      </x:c>
      <x:c r="E300" s="40" t="n">
        <x:v>31453</x:v>
      </x:c>
      <x:c r="F300" s="55" t="n">
        <x:v>39.373426</x:v>
      </x:c>
      <x:c r="G300" s="55" t="n">
        <x:v>-111.576933</x:v>
      </x:c>
      <x:c r="H300" s="43" t="n">
        <x:f>E300/SUMIF(A:A,A300,E:E)</x:f>
        <x:v>0.007621213593397485</x:v>
      </x:c>
    </x:row>
    <x:row r="301" ht="15" hidden="0" customHeight="1">
      <x:c r="A301" s="29" t="str">
        <x:v>SCA-10</x:v>
      </x:c>
      <x:c r="B301" s="29" t="str">
        <x:v>56029</x:v>
      </x:c>
      <x:c r="C301" s="29" t="str">
        <x:v>WY</x:v>
      </x:c>
      <x:c r="D301" s="29" t="str">
        <x:v>Park County</x:v>
      </x:c>
      <x:c r="E301" s="41" t="n">
        <x:v>31171</x:v>
      </x:c>
      <x:c r="F301" s="56" t="n">
        <x:v>44.492387</x:v>
      </x:c>
      <x:c r="G301" s="56" t="n">
        <x:v>-109.593597</x:v>
      </x:c>
      <x:c r="H301" s="44" t="n">
        <x:f>E301/SUMIF(A:A,A301,E:E)</x:f>
        <x:v>0.007552883633351127</x:v>
      </x:c>
    </x:row>
    <x:row r="302" ht="21.600000381469727" hidden="0" customHeight="1">
      <x:c r="A302" s="27" t="str">
        <x:v>SCA-10</x:v>
      </x:c>
      <x:c r="B302" s="27" t="str">
        <x:v>16031</x:v>
      </x:c>
      <x:c r="C302" s="27" t="str">
        <x:v>ID</x:v>
      </x:c>
      <x:c r="D302" s="27" t="str">
        <x:v>Cassia County</x:v>
      </x:c>
      <x:c r="E302" s="40" t="n">
        <x:v>26397</x:v>
      </x:c>
      <x:c r="F302" s="55" t="n">
        <x:v>42.282313</x:v>
      </x:c>
      <x:c r="G302" s="55" t="n">
        <x:v>-113.626328</x:v>
      </x:c>
      <x:c r="H302" s="43" t="n">
        <x:f>E302/SUMIF(A:A,A302,E:E)</x:f>
        <x:v>0.006396120409020233</x:v>
      </x:c>
    </x:row>
    <x:row r="303" ht="15" hidden="0" customHeight="1">
      <x:c r="A303" s="29" t="str">
        <x:v>SCA-10</x:v>
      </x:c>
      <x:c r="B303" s="29" t="str">
        <x:v>56039</x:v>
      </x:c>
      <x:c r="C303" s="29" t="str">
        <x:v>WY</x:v>
      </x:c>
      <x:c r="D303" s="29" t="str">
        <x:v>Teton County</x:v>
      </x:c>
      <x:c r="E303" s="41" t="n">
        <x:v>23333</x:v>
      </x:c>
      <x:c r="F303" s="56" t="n">
        <x:v>44.048662</x:v>
      </x:c>
      <x:c r="G303" s="56" t="n">
        <x:v>-110.426087</x:v>
      </x:c>
      <x:c r="H303" s="44" t="n">
        <x:f>E303/SUMIF(A:A,A303,E:E)</x:f>
        <x:v>0.005653698431778956</x:v>
      </x:c>
    </x:row>
    <x:row r="304" ht="21.600000381469727" hidden="0" customHeight="1">
      <x:c r="A304" s="27" t="str">
        <x:v>SCA-10</x:v>
      </x:c>
      <x:c r="B304" s="27" t="str">
        <x:v>49041</x:v>
      </x:c>
      <x:c r="C304" s="27" t="str">
        <x:v>UT</x:v>
      </x:c>
      <x:c r="D304" s="27" t="str">
        <x:v>Sevier County</x:v>
      </x:c>
      <x:c r="E304" s="40" t="n">
        <x:v>22827</x:v>
      </x:c>
      <x:c r="F304" s="55" t="n">
        <x:v>38.746824</x:v>
      </x:c>
      <x:c r="G304" s="55" t="n">
        <x:v>-111.81193</x:v>
      </x:c>
      <x:c r="H304" s="43" t="n">
        <x:f>E304/SUMIF(A:A,A304,E:E)</x:f>
        <x:v>0.005531092191412087</x:v>
      </x:c>
    </x:row>
    <x:row r="305" ht="21.600000381469727" hidden="0" customHeight="1">
      <x:c r="A305" s="29" t="str">
        <x:v>SCA-10</x:v>
      </x:c>
      <x:c r="B305" s="29" t="str">
        <x:v>56023</x:v>
      </x:c>
      <x:c r="C305" s="29" t="str">
        <x:v>WY</x:v>
      </x:c>
      <x:c r="D305" s="29" t="str">
        <x:v>Lincoln County</x:v>
      </x:c>
      <x:c r="E305" s="41" t="n">
        <x:v>21180</x:v>
      </x:c>
      <x:c r="F305" s="56" t="n">
        <x:v>42.229993</x:v>
      </x:c>
      <x:c r="G305" s="56" t="n">
        <x:v>-110.682961</x:v>
      </x:c>
      <x:c r="H305" s="44" t="n">
        <x:f>E305/SUMIF(A:A,A305,E:E)</x:f>
        <x:v>0.005132016148162615</x:v>
      </x:c>
    </x:row>
    <x:row r="306" ht="21.600000381469727" hidden="0" customHeight="1">
      <x:c r="A306" s="27" t="str">
        <x:v>SCA-10</x:v>
      </x:c>
      <x:c r="B306" s="27" t="str">
        <x:v>49013</x:v>
      </x:c>
      <x:c r="C306" s="27" t="str">
        <x:v>UT</x:v>
      </x:c>
      <x:c r="D306" s="27" t="str">
        <x:v>Duchesne County</x:v>
      </x:c>
      <x:c r="E306" s="40" t="n">
        <x:v>20856</x:v>
      </x:c>
      <x:c r="F306" s="55" t="n">
        <x:v>40.289393</x:v>
      </x:c>
      <x:c r="G306" s="55" t="n">
        <x:v>-110.429584</x:v>
      </x:c>
      <x:c r="H306" s="43" t="n">
        <x:f>E306/SUMIF(A:A,A306,E:E)</x:f>
        <x:v>0.005053509385556161</x:v>
      </x:c>
    </x:row>
    <x:row r="307" ht="15" hidden="0" customHeight="1">
      <x:c r="A307" s="29" t="str">
        <x:v>SCA-10</x:v>
      </x:c>
      <x:c r="B307" s="29" t="str">
        <x:v>56041</x:v>
      </x:c>
      <x:c r="C307" s="29" t="str">
        <x:v>WY</x:v>
      </x:c>
      <x:c r="D307" s="29" t="str">
        <x:v>Uinta County</x:v>
      </x:c>
      <x:c r="E307" s="41" t="n">
        <x:v>20728</x:v>
      </x:c>
      <x:c r="F307" s="56" t="n">
        <x:v>41.284726</x:v>
      </x:c>
      <x:c r="G307" s="56" t="n">
        <x:v>-110.558947</x:v>
      </x:c>
      <x:c r="H307" s="44" t="n">
        <x:f>E307/SUMIF(A:A,A307,E:E)</x:f>
        <x:v>0.0050224943682301544</x:v>
      </x:c>
    </x:row>
    <x:row r="308" ht="21.600000381469727" hidden="0" customHeight="1">
      <x:c r="A308" s="27" t="str">
        <x:v>SCA-10</x:v>
      </x:c>
      <x:c r="B308" s="27" t="str">
        <x:v>49007</x:v>
      </x:c>
      <x:c r="C308" s="27" t="str">
        <x:v>UT</x:v>
      </x:c>
      <x:c r="D308" s="27" t="str">
        <x:v>Carbon County</x:v>
      </x:c>
      <x:c r="E308" s="40" t="n">
        <x:v>20680</x:v>
      </x:c>
      <x:c r="F308" s="55" t="n">
        <x:v>39.673284</x:v>
      </x:c>
      <x:c r="G308" s="55" t="n">
        <x:v>-110.588484</x:v>
      </x:c>
      <x:c r="H308" s="43" t="n">
        <x:f>E308/SUMIF(A:A,A308,E:E)</x:f>
        <x:v>0.005010863736732902</x:v>
      </x:c>
    </x:row>
    <x:row r="309" ht="21.600000381469727" hidden="0" customHeight="1">
      <x:c r="A309" s="29" t="str">
        <x:v>SCA-10</x:v>
      </x:c>
      <x:c r="B309" s="29" t="str">
        <x:v>16041</x:v>
      </x:c>
      <x:c r="C309" s="29" t="str">
        <x:v>ID</x:v>
      </x:c>
      <x:c r="D309" s="29" t="str">
        <x:v>Franklin County</x:v>
      </x:c>
      <x:c r="E309" s="41" t="n">
        <x:v>15889</x:v>
      </x:c>
      <x:c r="F309" s="56" t="n">
        <x:v>42.173609</x:v>
      </x:c>
      <x:c r="G309" s="56" t="n">
        <x:v>-111.822965</x:v>
      </x:c>
      <x:c r="H309" s="44" t="n">
        <x:f>E309/SUMIF(A:A,A309,E:E)</x:f>
        <x:v>0.0038499813304133986</x:v>
      </x:c>
    </x:row>
    <x:row r="310" ht="21.600000381469727" hidden="0" customHeight="1">
      <x:c r="A310" s="27" t="str">
        <x:v>SCA-10</x:v>
      </x:c>
      <x:c r="B310" s="27" t="str">
        <x:v>49037</x:v>
      </x:c>
      <x:c r="C310" s="27" t="str">
        <x:v>UT</x:v>
      </x:c>
      <x:c r="D310" s="27" t="str">
        <x:v>San Juan County</x:v>
      </x:c>
      <x:c r="E310" s="40" t="n">
        <x:v>14542</x:v>
      </x:c>
      <x:c r="F310" s="55" t="n">
        <x:v>37.602633</x:v>
      </x:c>
      <x:c r="G310" s="55" t="n">
        <x:v>-109.791574</x:v>
      </x:c>
      <x:c r="H310" s="43" t="n">
        <x:f>E310/SUMIF(A:A,A310,E:E)</x:f>
        <x:v>0.0035235967340217535</x:v>
      </x:c>
    </x:row>
    <x:row r="311" ht="21.600000381469727" hidden="0" customHeight="1">
      <x:c r="A311" s="29" t="str">
        <x:v>SCA-10</x:v>
      </x:c>
      <x:c r="B311" s="29" t="str">
        <x:v>49027</x:v>
      </x:c>
      <x:c r="C311" s="29" t="str">
        <x:v>UT</x:v>
      </x:c>
      <x:c r="D311" s="29" t="str">
        <x:v>Millard County</x:v>
      </x:c>
      <x:c r="E311" s="41" t="n">
        <x:v>14057</x:v>
      </x:c>
      <x:c r="F311" s="56" t="n">
        <x:v>38.956744</x:v>
      </x:c>
      <x:c r="G311" s="56" t="n">
        <x:v>-113.133092</x:v>
      </x:c>
      <x:c r="H311" s="44" t="n">
        <x:f>E311/SUMIF(A:A,A311,E:E)</x:f>
        <x:v>0.0034060788949349325</x:v>
      </x:c>
    </x:row>
    <x:row r="312" ht="15" hidden="0" customHeight="1">
      <x:c r="A312" s="27" t="str">
        <x:v>SCA-10</x:v>
      </x:c>
      <x:c r="B312" s="27" t="str">
        <x:v>49023</x:v>
      </x:c>
      <x:c r="C312" s="27" t="str">
        <x:v>UT</x:v>
      </x:c>
      <x:c r="D312" s="27" t="str">
        <x:v>Juab County</x:v>
      </x:c>
      <x:c r="E312" s="40" t="n">
        <x:v>13567</x:v>
      </x:c>
      <x:c r="F312" s="55" t="n">
        <x:v>39.71412</x:v>
      </x:c>
      <x:c r="G312" s="55" t="n">
        <x:v>-112.790471</x:v>
      </x:c>
      <x:c r="H312" s="43" t="n">
        <x:f>E312/SUMIF(A:A,A312,E:E)</x:f>
        <x:v>0.0032873495317338147</x:v>
      </x:c>
    </x:row>
    <x:row r="313" ht="21.600000381469727" hidden="0" customHeight="1">
      <x:c r="A313" s="29" t="str">
        <x:v>SCA-10</x:v>
      </x:c>
      <x:c r="B313" s="29" t="str">
        <x:v>49029</x:v>
      </x:c>
      <x:c r="C313" s="29" t="str">
        <x:v>UT</x:v>
      </x:c>
      <x:c r="D313" s="29" t="str">
        <x:v>Morgan County</x:v>
      </x:c>
      <x:c r="E313" s="41" t="n">
        <x:v>13383</x:v>
      </x:c>
      <x:c r="F313" s="56" t="n">
        <x:v>41.091027</x:v>
      </x:c>
      <x:c r="G313" s="56" t="n">
        <x:v>-111.577885</x:v>
      </x:c>
      <x:c r="H313" s="44" t="n">
        <x:f>E313/SUMIF(A:A,A313,E:E)</x:f>
        <x:v>0.0032427654443276804</x:v>
      </x:c>
    </x:row>
    <x:row r="314" ht="15" hidden="0" customHeight="1">
      <x:c r="A314" s="27" t="str">
        <x:v>SCA-10</x:v>
      </x:c>
      <x:c r="B314" s="27" t="str">
        <x:v>16081</x:v>
      </x:c>
      <x:c r="C314" s="27" t="str">
        <x:v>ID</x:v>
      </x:c>
      <x:c r="D314" s="27" t="str">
        <x:v>Teton County</x:v>
      </x:c>
      <x:c r="E314" s="40" t="n">
        <x:v>13254</x:v>
      </x:c>
      <x:c r="F314" s="55" t="n">
        <x:v>43.760994</x:v>
      </x:c>
      <x:c r="G314" s="55" t="n">
        <x:v>-111.211765</x:v>
      </x:c>
      <x:c r="H314" s="43" t="n">
        <x:f>E314/SUMIF(A:A,A314,E:E)</x:f>
        <x:v>0.0032115081221788144</x:v>
      </x:c>
    </x:row>
    <x:row r="315" ht="21.600000381469727" hidden="0" customHeight="1">
      <x:c r="A315" s="29" t="str">
        <x:v>SCA-10</x:v>
      </x:c>
      <x:c r="B315" s="29" t="str">
        <x:v>08081</x:v>
      </x:c>
      <x:c r="C315" s="29" t="str">
        <x:v>CO</x:v>
      </x:c>
      <x:c r="D315" s="29" t="str">
        <x:v>Moffat County</x:v>
      </x:c>
      <x:c r="E315" s="41" t="n">
        <x:v>13122</x:v>
      </x:c>
      <x:c r="F315" s="56" t="n">
        <x:v>40.610864</x:v>
      </x:c>
      <x:c r="G315" s="56" t="n">
        <x:v>-108.217154</x:v>
      </x:c>
      <x:c r="H315" s="44" t="n">
        <x:f>E315/SUMIF(A:A,A315,E:E)</x:f>
        <x:v>0.0031795238855613704</x:v>
      </x:c>
    </x:row>
    <x:row r="316" ht="21.600000381469727" hidden="0" customHeight="1">
      <x:c r="A316" s="27" t="str">
        <x:v>SCA-10</x:v>
      </x:c>
      <x:c r="B316" s="27" t="str">
        <x:v>30003</x:v>
      </x:c>
      <x:c r="C316" s="27" t="str">
        <x:v>MT</x:v>
      </x:c>
      <x:c r="D316" s="27" t="str">
        <x:v>Big Horn County</x:v>
      </x:c>
      <x:c r="E316" s="40" t="n">
        <x:v>12752</x:v>
      </x:c>
      <x:c r="F316" s="55" t="n">
        <x:v>45.407868</x:v>
      </x:c>
      <x:c r="G316" s="55" t="n">
        <x:v>-107.518162</x:v>
      </x:c>
      <x:c r="H316" s="43" t="n">
        <x:f>E316/SUMIF(A:A,A316,E:E)</x:f>
        <x:v>0.0030898711011033836</x:v>
      </x:c>
    </x:row>
    <x:row r="317" ht="21.600000381469727" hidden="0" customHeight="1">
      <x:c r="A317" s="29" t="str">
        <x:v>SCA-10</x:v>
      </x:c>
      <x:c r="B317" s="29" t="str">
        <x:v>56003</x:v>
      </x:c>
      <x:c r="C317" s="29" t="str">
        <x:v>WY</x:v>
      </x:c>
      <x:c r="D317" s="29" t="str">
        <x:v>Big Horn County</x:v>
      </x:c>
      <x:c r="E317" s="41" t="n">
        <x:v>12024</x:v>
      </x:c>
      <x:c r="F317" s="56" t="n">
        <x:v>44.525117</x:v>
      </x:c>
      <x:c r="G317" s="56" t="n">
        <x:v>-107.994848</x:v>
      </x:c>
      <x:c r="H317" s="44" t="n">
        <x:f>E317/SUMIF(A:A,A317,E:E)</x:f>
        <x:v>0.002913473190061722</x:v>
      </x:c>
    </x:row>
    <x:row r="318" ht="21.600000381469727" hidden="0" customHeight="1">
      <x:c r="A318" s="27" t="str">
        <x:v>SCA-10</x:v>
      </x:c>
      <x:c r="B318" s="27" t="str">
        <x:v>30009</x:v>
      </x:c>
      <x:c r="C318" s="27" t="str">
        <x:v>MT</x:v>
      </x:c>
      <x:c r="D318" s="27" t="str">
        <x:v>Carbon County</x:v>
      </x:c>
      <x:c r="E318" s="40" t="n">
        <x:v>11466</x:v>
      </x:c>
      <x:c r="F318" s="55" t="n">
        <x:v>45.224468</x:v>
      </x:c>
      <x:c r="G318" s="55" t="n">
        <x:v>-109.028554</x:v>
      </x:c>
      <x:c r="H318" s="43" t="n">
        <x:f>E318/SUMIF(A:A,A318,E:E)</x:f>
        <x:v>0.0027782670989061633</x:v>
      </x:c>
    </x:row>
    <x:row r="319" ht="21.600000381469727" hidden="0" customHeight="1">
      <x:c r="A319" s="29" t="str">
        <x:v>SCA-10</x:v>
      </x:c>
      <x:c r="B319" s="29" t="str">
        <x:v>49015</x:v>
      </x:c>
      <x:c r="C319" s="29" t="str">
        <x:v>UT</x:v>
      </x:c>
      <x:c r="D319" s="29" t="str">
        <x:v>Emery County</x:v>
      </x:c>
      <x:c r="E319" s="41" t="n">
        <x:v>10177</x:v>
      </x:c>
      <x:c r="F319" s="56" t="n">
        <x:v>39.009025</x:v>
      </x:c>
      <x:c r="G319" s="56" t="n">
        <x:v>-110.7211</x:v>
      </x:c>
      <x:c r="H319" s="44" t="n">
        <x:f>E319/SUMIF(A:A,A319,E:E)</x:f>
        <x:v>0.002465936182240365</x:v>
      </x:c>
    </x:row>
    <x:row r="320" ht="21.600000381469727" hidden="0" customHeight="1">
      <x:c r="A320" s="27" t="str">
        <x:v>SCA-10</x:v>
      </x:c>
      <x:c r="B320" s="27" t="str">
        <x:v>49019</x:v>
      </x:c>
      <x:c r="C320" s="27" t="str">
        <x:v>UT</x:v>
      </x:c>
      <x:c r="D320" s="27" t="str">
        <x:v>Grand County</x:v>
      </x:c>
      <x:c r="E320" s="40" t="n">
        <x:v>9790</x:v>
      </x:c>
      <x:c r="F320" s="55" t="n">
        <x:v>38.974326</x:v>
      </x:c>
      <x:c r="G320" s="55" t="n">
        <x:v>-109.57345</x:v>
      </x:c>
      <x:c r="H320" s="43" t="n">
        <x:f>E320/SUMIF(A:A,A320,E:E)</x:f>
        <x:v>0.002372164215793768</x:v>
      </x:c>
    </x:row>
    <x:row r="321" ht="21.600000381469727" hidden="0" customHeight="1">
      <x:c r="A321" s="29" t="str">
        <x:v>SCA-10</x:v>
      </x:c>
      <x:c r="B321" s="29" t="str">
        <x:v>56035</x:v>
      </x:c>
      <x:c r="C321" s="29" t="str">
        <x:v>WY</x:v>
      </x:c>
      <x:c r="D321" s="29" t="str">
        <x:v>Sublette County</x:v>
      </x:c>
      <x:c r="E321" s="41" t="n">
        <x:v>8929</x:v>
      </x:c>
      <x:c r="F321" s="56" t="n">
        <x:v>42.767928</x:v>
      </x:c>
      <x:c r="G321" s="56" t="n">
        <x:v>-109.91617</x:v>
      </x:c>
      <x:c r="H321" s="44" t="n">
        <x:f>E321/SUMIF(A:A,A321,E:E)</x:f>
        <x:v>0.002163539763311803</x:v>
      </x:c>
    </x:row>
    <x:row r="322" ht="21.600000381469727" hidden="0" customHeight="1">
      <x:c r="A322" s="27" t="str">
        <x:v>SCA-10</x:v>
      </x:c>
      <x:c r="B322" s="27" t="str">
        <x:v>56019</x:v>
      </x:c>
      <x:c r="C322" s="27" t="str">
        <x:v>WY</x:v>
      </x:c>
      <x:c r="D322" s="27" t="str">
        <x:v>Johnson County</x:v>
      </x:c>
      <x:c r="E322" s="40" t="n">
        <x:v>8908</x:v>
      </x:c>
      <x:c r="F322" s="55" t="n">
        <x:v>44.044048</x:v>
      </x:c>
      <x:c r="G322" s="55" t="n">
        <x:v>-106.588541</x:v>
      </x:c>
      <x:c r="H322" s="43" t="n">
        <x:f>E322/SUMIF(A:A,A322,E:E)</x:f>
        <x:v>0.002158451362031755</x:v>
      </x:c>
    </x:row>
    <x:row r="323" ht="21.600000381469727" hidden="0" customHeight="1">
      <x:c r="A323" s="29" t="str">
        <x:v>SCA-10</x:v>
      </x:c>
      <x:c r="B323" s="29" t="str">
        <x:v>32033</x:v>
      </x:c>
      <x:c r="C323" s="29" t="str">
        <x:v>NV</x:v>
      </x:c>
      <x:c r="D323" s="29" t="str">
        <x:v>White Pine County</x:v>
      </x:c>
      <x:c r="E323" s="41" t="n">
        <x:v>8661</x:v>
      </x:c>
      <x:c r="F323" s="56" t="n">
        <x:v>39.418176</x:v>
      </x:c>
      <x:c r="G323" s="56" t="n">
        <x:v>-114.900565</x:v>
      </x:c>
      <x:c r="H323" s="44" t="n">
        <x:f>E323/SUMIF(A:A,A323,E:E)</x:f>
        <x:v>0.002098602070785477</x:v>
      </x:c>
    </x:row>
    <x:row r="324" ht="21.600000381469727" hidden="0" customHeight="1">
      <x:c r="A324" s="27" t="str">
        <x:v>SCA-10</x:v>
      </x:c>
      <x:c r="B324" s="27" t="str">
        <x:v>30087</x:v>
      </x:c>
      <x:c r="C324" s="27" t="str">
        <x:v>MT</x:v>
      </x:c>
      <x:c r="D324" s="27" t="str">
        <x:v>Rosebud County</x:v>
      </x:c>
      <x:c r="E324" s="40" t="n">
        <x:v>8253</x:v>
      </x:c>
      <x:c r="F324" s="55" t="n">
        <x:v>46.173206</x:v>
      </x:c>
      <x:c r="G324" s="55" t="n">
        <x:v>-106.666792</x:v>
      </x:c>
      <x:c r="H324" s="43" t="n">
        <x:f>E324/SUMIF(A:A,A324,E:E)</x:f>
        <x:v>0.001999741703058832</x:v>
      </x:c>
    </x:row>
    <x:row r="325" ht="21.600000381469727" hidden="0" customHeight="1">
      <x:c r="A325" s="29" t="str">
        <x:v>SCA-10</x:v>
      </x:c>
      <x:c r="B325" s="29" t="str">
        <x:v>16077</x:v>
      </x:c>
      <x:c r="C325" s="29" t="str">
        <x:v>ID</x:v>
      </x:c>
      <x:c r="D325" s="29" t="str">
        <x:v>Power County</x:v>
      </x:c>
      <x:c r="E325" s="41" t="n">
        <x:v>8246</x:v>
      </x:c>
      <x:c r="F325" s="56" t="n">
        <x:v>42.694126</x:v>
      </x:c>
      <x:c r="G325" s="56" t="n">
        <x:v>-112.844407</x:v>
      </x:c>
      <x:c r="H325" s="44" t="n">
        <x:f>E325/SUMIF(A:A,A325,E:E)</x:f>
        <x:v>0.001998045569298816</x:v>
      </x:c>
    </x:row>
    <x:row r="326" ht="21.600000381469727" hidden="0" customHeight="1">
      <x:c r="A326" s="27" t="str">
        <x:v>SCA-10</x:v>
      </x:c>
      <x:c r="B326" s="27" t="str">
        <x:v>56043</x:v>
      </x:c>
      <x:c r="C326" s="27" t="str">
        <x:v>WY</x:v>
      </x:c>
      <x:c r="D326" s="27" t="str">
        <x:v>Washakie County</x:v>
      </x:c>
      <x:c r="E326" s="40" t="n">
        <x:v>7597</x:v>
      </x:c>
      <x:c r="F326" s="55" t="n">
        <x:v>43.878831</x:v>
      </x:c>
      <x:c r="G326" s="55" t="n">
        <x:v>-107.669052</x:v>
      </x:c>
      <x:c r="H326" s="43" t="n">
        <x:f>E326/SUMIF(A:A,A326,E:E)</x:f>
        <x:v>0.0018407897392630492</x:v>
      </x:c>
    </x:row>
    <x:row r="327" ht="21.600000381469727" hidden="0" customHeight="1">
      <x:c r="A327" s="29" t="str">
        <x:v>SCA-10</x:v>
      </x:c>
      <x:c r="B327" s="29" t="str">
        <x:v>49001</x:v>
      </x:c>
      <x:c r="C327" s="29" t="str">
        <x:v>UT</x:v>
      </x:c>
      <x:c r="D327" s="29" t="str">
        <x:v>Beaver County</x:v>
      </x:c>
      <x:c r="E327" s="41" t="n">
        <x:v>7301</x:v>
      </x:c>
      <x:c r="F327" s="56" t="n">
        <x:v>38.357535</x:v>
      </x:c>
      <x:c r="G327" s="56" t="n">
        <x:v>-113.238948</x:v>
      </x:c>
      <x:c r="H327" s="44" t="n">
        <x:f>E327/SUMIF(A:A,A327,E:E)</x:f>
        <x:v>0.0017690675116966595</x:v>
      </x:c>
    </x:row>
    <x:row r="328" ht="21.600000381469727" hidden="0" customHeight="1">
      <x:c r="A328" s="27" t="str">
        <x:v>SCA-10</x:v>
      </x:c>
      <x:c r="B328" s="27" t="str">
        <x:v>16029</x:v>
      </x:c>
      <x:c r="C328" s="27" t="str">
        <x:v>ID</x:v>
      </x:c>
      <x:c r="D328" s="27" t="str">
        <x:v>Caribou County</x:v>
      </x:c>
      <x:c r="E328" s="40" t="n">
        <x:v>7252</x:v>
      </x:c>
      <x:c r="F328" s="55" t="n">
        <x:v>42.786072</x:v>
      </x:c>
      <x:c r="G328" s="55" t="n">
        <x:v>-111.544273</x:v>
      </x:c>
      <x:c r="H328" s="43" t="n">
        <x:f>E328/SUMIF(A:A,A328,E:E)</x:f>
        <x:v>0.0017571945753765477</x:v>
      </x:c>
    </x:row>
    <x:row r="329" ht="21.600000381469727" hidden="0" customHeight="1">
      <x:c r="A329" s="29" t="str">
        <x:v>SCA-10</x:v>
      </x:c>
      <x:c r="B329" s="29" t="str">
        <x:v>16007</x:v>
      </x:c>
      <x:c r="C329" s="29" t="str">
        <x:v>ID</x:v>
      </x:c>
      <x:c r="D329" s="29" t="str">
        <x:v>Bear Lake County</x:v>
      </x:c>
      <x:c r="E329" s="41" t="n">
        <x:v>6727</x:v>
      </x:c>
      <x:c r="F329" s="56" t="n">
        <x:v>42.285892</x:v>
      </x:c>
      <x:c r="G329" s="56" t="n">
        <x:v>-111.327517</x:v>
      </x:c>
      <x:c r="H329" s="44" t="n">
        <x:f>E329/SUMIF(A:A,A329,E:E)</x:f>
        <x:v>0.0016299845433753498</x:v>
      </x:c>
    </x:row>
    <x:row r="330" ht="21.600000381469727" hidden="0" customHeight="1">
      <x:c r="A330" s="27" t="str">
        <x:v>SCA-10</x:v>
      </x:c>
      <x:c r="B330" s="27" t="str">
        <x:v>08103</x:v>
      </x:c>
      <x:c r="C330" s="27" t="str">
        <x:v>CO</x:v>
      </x:c>
      <x:c r="D330" s="27" t="str">
        <x:v>Rio Blanco County</x:v>
      </x:c>
      <x:c r="E330" s="40" t="n">
        <x:v>6683</x:v>
      </x:c>
      <x:c r="F330" s="55" t="n">
        <x:v>39.972622</x:v>
      </x:c>
      <x:c r="G330" s="55" t="n">
        <x:v>-108.200716</x:v>
      </x:c>
      <x:c r="H330" s="43" t="n">
        <x:f>E330/SUMIF(A:A,A330,E:E)</x:f>
        <x:v>0.001619323131169535</x:v>
      </x:c>
    </x:row>
    <x:row r="331" ht="21.600000381469727" hidden="0" customHeight="1">
      <x:c r="A331" s="29" t="str">
        <x:v>SCA-10</x:v>
      </x:c>
      <x:c r="B331" s="29" t="str">
        <x:v>49017</x:v>
      </x:c>
      <x:c r="C331" s="29" t="str">
        <x:v>UT</x:v>
      </x:c>
      <x:c r="D331" s="29" t="str">
        <x:v>Garfield County</x:v>
      </x:c>
      <x:c r="E331" s="41" t="n">
        <x:v>5256</x:v>
      </x:c>
      <x:c r="F331" s="56" t="n">
        <x:v>37.831663</x:v>
      </x:c>
      <x:c r="G331" s="56" t="n">
        <x:v>-111.450907</x:v>
      </x:c>
      <x:c r="H331" s="44" t="n">
        <x:f>E331/SUMIF(A:A,A331,E:E)</x:f>
        <x:v>0.001273554148949136</x:v>
      </x:c>
    </x:row>
    <x:row r="332" ht="21.600000381469727" hidden="0" customHeight="1">
      <x:c r="A332" s="27" t="str">
        <x:v>SCA-10</x:v>
      </x:c>
      <x:c r="B332" s="27" t="str">
        <x:v>16071</x:v>
      </x:c>
      <x:c r="C332" s="27" t="str">
        <x:v>ID</x:v>
      </x:c>
      <x:c r="D332" s="27" t="str">
        <x:v>Oneida County</x:v>
      </x:c>
      <x:c r="E332" s="40" t="n">
        <x:v>5085</x:v>
      </x:c>
      <x:c r="F332" s="55" t="n">
        <x:v>42.183895</x:v>
      </x:c>
      <x:c r="G332" s="55" t="n">
        <x:v>-112.520449</x:v>
      </x:c>
      <x:c r="H332" s="43" t="n">
        <x:f>E332/SUMIF(A:A,A332,E:E)</x:f>
        <x:v>0.0012321200242401745</x:v>
      </x:c>
    </x:row>
    <x:row r="333" ht="21.600000381469727" hidden="0" customHeight="1">
      <x:c r="A333" s="29" t="str">
        <x:v>SCA-10</x:v>
      </x:c>
      <x:c r="B333" s="29" t="str">
        <x:v>56017</x:v>
      </x:c>
      <x:c r="C333" s="29" t="str">
        <x:v>WY</x:v>
      </x:c>
      <x:c r="D333" s="29" t="str">
        <x:v>Hot Springs County</x:v>
      </x:c>
      <x:c r="E333" s="41" t="n">
        <x:v>4600</x:v>
      </x:c>
      <x:c r="F333" s="56" t="n">
        <x:v>43.720209</x:v>
      </x:c>
      <x:c r="G333" s="56" t="n">
        <x:v>-108.435076</x:v>
      </x:c>
      <x:c r="H333" s="44" t="n">
        <x:f>E333/SUMIF(A:A,A333,E:E)</x:f>
        <x:v>0.0011146021851533535</x:v>
      </x:c>
    </x:row>
    <x:row r="334" ht="15" hidden="0" customHeight="1">
      <x:c r="A334" s="27" t="str">
        <x:v>SCA-10</x:v>
      </x:c>
      <x:c r="B334" s="27" t="str">
        <x:v>49033</x:v>
      </x:c>
      <x:c r="C334" s="27" t="str">
        <x:v>UT</x:v>
      </x:c>
      <x:c r="D334" s="27" t="str">
        <x:v>Rich County</x:v>
      </x:c>
      <x:c r="E334" s="40" t="n">
        <x:v>2687</x:v>
      </x:c>
      <x:c r="F334" s="55" t="n">
        <x:v>41.627598</x:v>
      </x:c>
      <x:c r="G334" s="55" t="n">
        <x:v>-111.240227</x:v>
      </x:c>
      <x:c r="H334" s="43" t="n">
        <x:f>E334/SUMIF(A:A,A334,E:E)</x:f>
        <x:v>0.0006510730590232741</x:v>
      </x:c>
    </x:row>
    <x:row r="335" ht="21.600000381469727" hidden="0" customHeight="1">
      <x:c r="A335" s="29" t="str">
        <x:v>SCA-10</x:v>
      </x:c>
      <x:c r="B335" s="29" t="str">
        <x:v>49055</x:v>
      </x:c>
      <x:c r="C335" s="29" t="str">
        <x:v>UT</x:v>
      </x:c>
      <x:c r="D335" s="29" t="str">
        <x:v>Wayne County</x:v>
      </x:c>
      <x:c r="E335" s="41" t="n">
        <x:v>2587</x:v>
      </x:c>
      <x:c r="F335" s="56" t="n">
        <x:v>38.259856</x:v>
      </x:c>
      <x:c r="G335" s="56" t="n">
        <x:v>-110.990872</x:v>
      </x:c>
      <x:c r="H335" s="44" t="n">
        <x:f>E335/SUMIF(A:A,A335,E:E)</x:f>
        <x:v>0.0006268425767373317</x:v>
      </x:c>
    </x:row>
    <x:row r="336" ht="15" hidden="0" customHeight="1">
      <x:c r="A336" s="27" t="str">
        <x:v>SCA-10</x:v>
      </x:c>
      <x:c r="B336" s="27" t="str">
        <x:v>49031</x:v>
      </x:c>
      <x:c r="C336" s="27" t="str">
        <x:v>UT</x:v>
      </x:c>
      <x:c r="D336" s="27" t="str">
        <x:v>Piute County</x:v>
      </x:c>
      <x:c r="E336" s="40" t="n">
        <x:v>1509</x:v>
      </x:c>
      <x:c r="F336" s="55" t="n">
        <x:v>38.335881</x:v>
      </x:c>
      <x:c r="G336" s="55" t="n">
        <x:v>-112.129375</x:v>
      </x:c>
      <x:c r="H336" s="43" t="n">
        <x:f>E336/SUMIF(A:A,A336,E:E)</x:f>
        <x:v>0.0003656379776948718</x:v>
      </x:c>
    </x:row>
    <x:row r="337" ht="21.600000381469727" hidden="0" customHeight="1">
      <x:c r="A337" s="29" t="str">
        <x:v>SCA-10</x:v>
      </x:c>
      <x:c r="B337" s="29" t="str">
        <x:v>49009</x:v>
      </x:c>
      <x:c r="C337" s="29" t="str">
        <x:v>UT</x:v>
      </x:c>
      <x:c r="D337" s="29" t="str">
        <x:v>Daggett County</x:v>
      </x:c>
      <x:c r="E337" s="41" t="n">
        <x:v>934</x:v>
      </x:c>
      <x:c r="F337" s="56" t="n">
        <x:v>40.890099</x:v>
      </x:c>
      <x:c r="G337" s="56" t="n">
        <x:v>-109.505785</x:v>
      </x:c>
      <x:c r="H337" s="44" t="n">
        <x:f>E337/SUMIF(A:A,A337,E:E)</x:f>
        <x:v>0.00022631270455070263</x:v>
      </x:c>
    </x:row>
    <x:row r="338" ht="21.600000381469727" hidden="0" customHeight="1">
      <x:c r="A338" s="27" t="str">
        <x:v>SCA-10</x:v>
      </x:c>
      <x:c r="B338" s="27" t="str">
        <x:v>30103</x:v>
      </x:c>
      <x:c r="C338" s="27" t="str">
        <x:v>MT</x:v>
      </x:c>
      <x:c r="D338" s="27" t="str">
        <x:v>Treasure County</x:v>
      </x:c>
      <x:c r="E338" s="40" t="n">
        <x:v>728</x:v>
      </x:c>
      <x:c r="F338" s="55" t="n">
        <x:v>46.227113</x:v>
      </x:c>
      <x:c r="G338" s="55" t="n">
        <x:v>-107.275296</x:v>
      </x:c>
      <x:c r="H338" s="43" t="n">
        <x:f>E338/SUMIF(A:A,A338,E:E)</x:f>
        <x:v>0.00017639791104166118</x:v>
      </x:c>
    </x:row>
    <x:row r="339" ht="21.600000381469727" hidden="0" customHeight="1">
      <x:c r="A339" s="29" t="str">
        <x:v>SCA-11</x:v>
      </x:c>
      <x:c r="B339" s="29" t="str">
        <x:v>48141</x:v>
      </x:c>
      <x:c r="C339" s="29" t="str">
        <x:v>TX</x:v>
      </x:c>
      <x:c r="D339" s="29" t="str">
        <x:v>El Paso County</x:v>
      </x:c>
      <x:c r="E339" s="41" t="n">
        <x:v>877858</x:v>
      </x:c>
      <x:c r="F339" s="56" t="n">
        <x:v>31.766456</x:v>
      </x:c>
      <x:c r="G339" s="56" t="n">
        <x:v>-106.24152</x:v>
      </x:c>
      <x:c r="H339" s="44" t="n">
        <x:f>E339/SUMIF(A:A,A339,E:E)</x:f>
        <x:v>0.24954836662936103</x:v>
      </x:c>
    </x:row>
    <x:row r="340" ht="21.600000381469727" hidden="0" customHeight="1">
      <x:c r="A340" s="27" t="str">
        <x:v>SCA-11</x:v>
      </x:c>
      <x:c r="B340" s="27" t="str">
        <x:v>35001</x:v>
      </x:c>
      <x:c r="C340" s="27" t="str">
        <x:v>NM</x:v>
      </x:c>
      <x:c r="D340" s="27" t="str">
        <x:v>Bernalillo County</x:v>
      </x:c>
      <x:c r="E340" s="40" t="n">
        <x:v>667601</x:v>
      </x:c>
      <x:c r="F340" s="55" t="n">
        <x:v>35.053628</x:v>
      </x:c>
      <x:c r="G340" s="55" t="n">
        <x:v>-106.66908</x:v>
      </x:c>
      <x:c r="H340" s="43" t="n">
        <x:f>E340/SUMIF(A:A,A340,E:E)</x:f>
        <x:v>0.18977868756692773</x:v>
      </x:c>
    </x:row>
    <x:row r="341" ht="21.600000381469727" hidden="0" customHeight="1">
      <x:c r="A341" s="29" t="str">
        <x:v>SCA-11</x:v>
      </x:c>
      <x:c r="B341" s="29" t="str">
        <x:v>48303</x:v>
      </x:c>
      <x:c r="C341" s="29" t="str">
        <x:v>TX</x:v>
      </x:c>
      <x:c r="D341" s="29" t="str">
        <x:v>Lubbock County</x:v>
      </x:c>
      <x:c r="E341" s="41" t="n">
        <x:v>328906</x:v>
      </x:c>
      <x:c r="F341" s="56" t="n">
        <x:v>33.611469</x:v>
      </x:c>
      <x:c r="G341" s="56" t="n">
        <x:v>-101.819944</x:v>
      </x:c>
      <x:c r="H341" s="44" t="n">
        <x:f>E341/SUMIF(A:A,A341,E:E)</x:f>
        <x:v>0.0934979860918242</x:v>
      </x:c>
    </x:row>
    <x:row r="342" ht="21.600000381469727" hidden="0" customHeight="1">
      <x:c r="A342" s="27" t="str">
        <x:v>SCA-11</x:v>
      </x:c>
      <x:c r="B342" s="27" t="str">
        <x:v>35013</x:v>
      </x:c>
      <x:c r="C342" s="27" t="str">
        <x:v>NM</x:v>
      </x:c>
      <x:c r="D342" s="27" t="str">
        <x:v>Doña Ana County</x:v>
      </x:c>
      <x:c r="E342" s="40" t="n">
        <x:v>229091</x:v>
      </x:c>
      <x:c r="F342" s="55" t="n">
        <x:v>32.349919</x:v>
      </x:c>
      <x:c r="G342" s="55" t="n">
        <x:v>-106.834968</x:v>
      </x:c>
      <x:c r="H342" s="43" t="n">
        <x:f>E342/SUMIF(A:A,A342,E:E)</x:f>
        <x:v>0.0651236132261561</x:v>
      </x:c>
    </x:row>
    <x:row r="343" ht="21.600000381469727" hidden="0" customHeight="1">
      <x:c r="A343" s="29" t="str">
        <x:v>SCA-11</x:v>
      </x:c>
      <x:c r="B343" s="29" t="str">
        <x:v>48329</x:v>
      </x:c>
      <x:c r="C343" s="29" t="str">
        <x:v>TX</x:v>
      </x:c>
      <x:c r="D343" s="29" t="str">
        <x:v>Midland County</x:v>
      </x:c>
      <x:c r="E343" s="41" t="n">
        <x:v>187855</x:v>
      </x:c>
      <x:c r="F343" s="56" t="n">
        <x:v>31.814269</x:v>
      </x:c>
      <x:c r="G343" s="56" t="n">
        <x:v>-102.002454</x:v>
      </x:c>
      <x:c r="H343" s="44" t="n">
        <x:f>E343/SUMIF(A:A,A343,E:E)</x:f>
        <x:v>0.05340147086790644</x:v>
      </x:c>
    </x:row>
    <x:row r="344" ht="15" hidden="0" customHeight="1">
      <x:c r="A344" s="27" t="str">
        <x:v>SCA-11</x:v>
      </x:c>
      <x:c r="B344" s="27" t="str">
        <x:v>48135</x:v>
      </x:c>
      <x:c r="C344" s="27" t="str">
        <x:v>TX</x:v>
      </x:c>
      <x:c r="D344" s="27" t="str">
        <x:v>Ector County</x:v>
      </x:c>
      <x:c r="E344" s="40" t="n">
        <x:v>173801</x:v>
      </x:c>
      <x:c r="F344" s="55" t="n">
        <x:v>31.865301</x:v>
      </x:c>
      <x:c r="G344" s="55" t="n">
        <x:v>-102.542507</x:v>
      </x:c>
      <x:c r="H344" s="43" t="n">
        <x:f>E344/SUMIF(A:A,A344,E:E)</x:f>
        <x:v>0.04940634552347826</x:v>
      </x:c>
    </x:row>
    <x:row r="345" ht="21.600000381469727" hidden="0" customHeight="1">
      <x:c r="A345" s="29" t="str">
        <x:v>SCA-11</x:v>
      </x:c>
      <x:c r="B345" s="29" t="str">
        <x:v>35049</x:v>
      </x:c>
      <x:c r="C345" s="29" t="str">
        <x:v>NM</x:v>
      </x:c>
      <x:c r="D345" s="29" t="str">
        <x:v>Santa Fe County</x:v>
      </x:c>
      <x:c r="E345" s="41" t="n">
        <x:v>156907</x:v>
      </x:c>
      <x:c r="F345" s="56" t="n">
        <x:v>35.514531</x:v>
      </x:c>
      <x:c r="G345" s="56" t="n">
        <x:v>-105.963972</x:v>
      </x:c>
      <x:c r="H345" s="44" t="n">
        <x:f>E345/SUMIF(A:A,A345,E:E)</x:f>
        <x:v>0.04460389443704238</x:v>
      </x:c>
    </x:row>
    <x:row r="346" ht="21.600000381469727" hidden="0" customHeight="1">
      <x:c r="A346" s="27" t="str">
        <x:v>SCA-11</x:v>
      </x:c>
      <x:c r="B346" s="27" t="str">
        <x:v>35061</x:v>
      </x:c>
      <x:c r="C346" s="27" t="str">
        <x:v>NM</x:v>
      </x:c>
      <x:c r="D346" s="27" t="str">
        <x:v>Valencia County</x:v>
      </x:c>
      <x:c r="E346" s="40" t="n">
        <x:v>82013</x:v>
      </x:c>
      <x:c r="F346" s="55" t="n">
        <x:v>34.71684</x:v>
      </x:c>
      <x:c r="G346" s="55" t="n">
        <x:v>-106.806582</x:v>
      </x:c>
      <x:c r="H346" s="43" t="n">
        <x:f>E346/SUMIF(A:A,A346,E:E)</x:f>
        <x:v>0.023313804957491743</x:v>
      </x:c>
    </x:row>
    <x:row r="347" ht="15" hidden="0" customHeight="1">
      <x:c r="A347" s="29" t="str">
        <x:v>SCA-11</x:v>
      </x:c>
      <x:c r="B347" s="29" t="str">
        <x:v>35025</x:v>
      </x:c>
      <x:c r="C347" s="29" t="str">
        <x:v>NM</x:v>
      </x:c>
      <x:c r="D347" s="29" t="str">
        <x:v>Lea County</x:v>
      </x:c>
      <x:c r="E347" s="41" t="n">
        <x:v>74749</x:v>
      </x:c>
      <x:c r="F347" s="56" t="n">
        <x:v>32.795687</x:v>
      </x:c>
      <x:c r="G347" s="56" t="n">
        <x:v>-103.413271</x:v>
      </x:c>
      <x:c r="H347" s="44" t="n">
        <x:f>E347/SUMIF(A:A,A347,E:E)</x:f>
        <x:v>0.02124887038356785</x:v>
      </x:c>
    </x:row>
    <x:row r="348" ht="21.600000381469727" hidden="0" customHeight="1">
      <x:c r="A348" s="27" t="str">
        <x:v>SCA-11</x:v>
      </x:c>
      <x:c r="B348" s="27" t="str">
        <x:v>35035</x:v>
      </x:c>
      <x:c r="C348" s="27" t="str">
        <x:v>NM</x:v>
      </x:c>
      <x:c r="D348" s="27" t="str">
        <x:v>Otero County</x:v>
      </x:c>
      <x:c r="E348" s="40" t="n">
        <x:v>70368</x:v>
      </x:c>
      <x:c r="F348" s="55" t="n">
        <x:v>32.615599</x:v>
      </x:c>
      <x:c r="G348" s="55" t="n">
        <x:v>-105.751308</x:v>
      </x:c>
      <x:c r="H348" s="43" t="n">
        <x:f>E348/SUMIF(A:A,A348,E:E)</x:f>
        <x:v>0.02000348514563275</x:v>
      </x:c>
    </x:row>
    <x:row r="349" ht="21.600000381469727" hidden="0" customHeight="1">
      <x:c r="A349" s="29" t="str">
        <x:v>SCA-11</x:v>
      </x:c>
      <x:c r="B349" s="29" t="str">
        <x:v>35031</x:v>
      </x:c>
      <x:c r="C349" s="29" t="str">
        <x:v>NM</x:v>
      </x:c>
      <x:c r="D349" s="29" t="str">
        <x:v>McKinley County</x:v>
      </x:c>
      <x:c r="E349" s="41" t="n">
        <x:v>68119</x:v>
      </x:c>
      <x:c r="F349" s="56" t="n">
        <x:v>35.584062</x:v>
      </x:c>
      <x:c r="G349" s="56" t="n">
        <x:v>-108.253294</x:v>
      </x:c>
      <x:c r="H349" s="44" t="n">
        <x:f>E349/SUMIF(A:A,A349,E:E)</x:f>
        <x:v>0.019364162753458352</x:v>
      </x:c>
    </x:row>
    <x:row r="350" ht="21.600000381469727" hidden="0" customHeight="1">
      <x:c r="A350" s="27" t="str">
        <x:v>SCA-11</x:v>
      </x:c>
      <x:c r="B350" s="27" t="str">
        <x:v>35005</x:v>
      </x:c>
      <x:c r="C350" s="27" t="str">
        <x:v>NM</x:v>
      </x:c>
      <x:c r="D350" s="27" t="str">
        <x:v>Chaves County</x:v>
      </x:c>
      <x:c r="E350" s="40" t="n">
        <x:v>63364</x:v>
      </x:c>
      <x:c r="F350" s="55" t="n">
        <x:v>33.361604</x:v>
      </x:c>
      <x:c r="G350" s="55" t="n">
        <x:v>-104.469837</x:v>
      </x:c>
      <x:c r="H350" s="43" t="n">
        <x:f>E350/SUMIF(A:A,A350,E:E)</x:f>
        <x:v>0.01801246067485041</x:v>
      </x:c>
    </x:row>
    <x:row r="351" ht="15" hidden="0" customHeight="1">
      <x:c r="A351" s="29" t="str">
        <x:v>SCA-11</x:v>
      </x:c>
      <x:c r="B351" s="29" t="str">
        <x:v>35015</x:v>
      </x:c>
      <x:c r="C351" s="29" t="str">
        <x:v>NM</x:v>
      </x:c>
      <x:c r="D351" s="29" t="str">
        <x:v>Eddy County</x:v>
      </x:c>
      <x:c r="E351" s="41" t="n">
        <x:v>62509</x:v>
      </x:c>
      <x:c r="F351" s="56" t="n">
        <x:v>32.457835</x:v>
      </x:c>
      <x:c r="G351" s="56" t="n">
        <x:v>-104.306434</x:v>
      </x:c>
      <x:c r="H351" s="44" t="n">
        <x:f>E351/SUMIF(A:A,A351,E:E)</x:f>
        <x:v>0.0177694101433657</x:v>
      </x:c>
    </x:row>
    <x:row r="352" ht="15" hidden="0" customHeight="1">
      <x:c r="A352" s="27" t="str">
        <x:v>SCA-11</x:v>
      </x:c>
      <x:c r="B352" s="27" t="str">
        <x:v>35009</x:v>
      </x:c>
      <x:c r="C352" s="27" t="str">
        <x:v>NM</x:v>
      </x:c>
      <x:c r="D352" s="27" t="str">
        <x:v>Curry County</x:v>
      </x:c>
      <x:c r="E352" s="40" t="n">
        <x:v>46655</x:v>
      </x:c>
      <x:c r="F352" s="55" t="n">
        <x:v>34.572984</x:v>
      </x:c>
      <x:c r="G352" s="55" t="n">
        <x:v>-103.346055</x:v>
      </x:c>
      <x:c r="H352" s="43" t="n">
        <x:f>E352/SUMIF(A:A,A352,E:E)</x:f>
        <x:v>0.013262599469496022</x:v>
      </x:c>
    </x:row>
    <x:row r="353" ht="15" hidden="0" customHeight="1">
      <x:c r="A353" s="29" t="str">
        <x:v>SCA-11</x:v>
      </x:c>
      <x:c r="B353" s="29" t="str">
        <x:v>48189</x:v>
      </x:c>
      <x:c r="C353" s="29" t="str">
        <x:v>TX</x:v>
      </x:c>
      <x:c r="D353" s="29" t="str">
        <x:v>Hale County</x:v>
      </x:c>
      <x:c r="E353" s="41" t="n">
        <x:v>31819</x:v>
      </x:c>
      <x:c r="F353" s="56" t="n">
        <x:v>34.068436</x:v>
      </x:c>
      <x:c r="G353" s="56" t="n">
        <x:v>-101.822888</x:v>
      </x:c>
      <x:c r="H353" s="44" t="n">
        <x:f>E353/SUMIF(A:A,A353,E:E)</x:f>
        <x:v>0.009045175276388252</x:v>
      </x:c>
    </x:row>
    <x:row r="354" ht="21.600000381469727" hidden="0" customHeight="1">
      <x:c r="A354" s="27" t="str">
        <x:v>SCA-11</x:v>
      </x:c>
      <x:c r="B354" s="27" t="str">
        <x:v>35017</x:v>
      </x:c>
      <x:c r="C354" s="27" t="str">
        <x:v>NM</x:v>
      </x:c>
      <x:c r="D354" s="27" t="str">
        <x:v>Grant County</x:v>
      </x:c>
      <x:c r="E354" s="40" t="n">
        <x:v>27252</x:v>
      </x:c>
      <x:c r="F354" s="55" t="n">
        <x:v>32.732087</x:v>
      </x:c>
      <x:c r="G354" s="55" t="n">
        <x:v>-108.381504</x:v>
      </x:c>
      <x:c r="H354" s="43" t="n">
        <x:f>E354/SUMIF(A:A,A354,E:E)</x:f>
        <x:v>0.0077469158877441985</x:v>
      </x:c>
    </x:row>
    <x:row r="355" ht="21.600000381469727" hidden="0" customHeight="1">
      <x:c r="A355" s="29" t="str">
        <x:v>SCA-11</x:v>
      </x:c>
      <x:c r="B355" s="29" t="str">
        <x:v>35006</x:v>
      </x:c>
      <x:c r="C355" s="29" t="str">
        <x:v>NM</x:v>
      </x:c>
      <x:c r="D355" s="29" t="str">
        <x:v>Cibola County</x:v>
      </x:c>
      <x:c r="E355" s="41" t="n">
        <x:v>26807</x:v>
      </x:c>
      <x:c r="F355" s="56" t="n">
        <x:v>34.928272</x:v>
      </x:c>
      <x:c r="G355" s="56" t="n">
        <x:v>-107.99268</x:v>
      </x:c>
      <x:c r="H355" s="44" t="n">
        <x:f>E355/SUMIF(A:A,A355,E:E)</x:f>
        <x:v>0.007620415903521163</x:v>
      </x:c>
    </x:row>
    <x:row r="356" ht="15" hidden="0" customHeight="1">
      <x:c r="A356" s="27" t="str">
        <x:v>SCA-11</x:v>
      </x:c>
      <x:c r="B356" s="27" t="str">
        <x:v>35029</x:v>
      </x:c>
      <x:c r="C356" s="27" t="str">
        <x:v>NM</x:v>
      </x:c>
      <x:c r="D356" s="27" t="str">
        <x:v>Luna County</x:v>
      </x:c>
      <x:c r="E356" s="40" t="n">
        <x:v>25407</x:v>
      </x:c>
      <x:c r="F356" s="55" t="n">
        <x:v>32.184523</x:v>
      </x:c>
      <x:c r="G356" s="55" t="n">
        <x:v>-107.747191</x:v>
      </x:c>
      <x:c r="H356" s="43" t="n">
        <x:f>E356/SUMIF(A:A,A356,E:E)</x:f>
        <x:v>0.007222438425066668</x:v>
      </x:c>
    </x:row>
    <x:row r="357" ht="21.600000381469727" hidden="0" customHeight="1">
      <x:c r="A357" s="29" t="str">
        <x:v>SCA-11</x:v>
      </x:c>
      <x:c r="B357" s="29" t="str">
        <x:v>48165</x:v>
      </x:c>
      <x:c r="C357" s="29" t="str">
        <x:v>TX</x:v>
      </x:c>
      <x:c r="D357" s="29" t="str">
        <x:v>Gaines County</x:v>
      </x:c>
      <x:c r="E357" s="41" t="n">
        <x:v>23956</x:v>
      </x:c>
      <x:c r="F357" s="56" t="n">
        <x:v>32.743942</x:v>
      </x:c>
      <x:c r="G357" s="56" t="n">
        <x:v>-102.631561</x:v>
      </x:c>
      <x:c r="H357" s="44" t="n">
        <x:f>E357/SUMIF(A:A,A357,E:E)</x:f>
        <x:v>0.006809963195611331</x:v>
      </x:c>
    </x:row>
    <x:row r="358" ht="21.600000381469727" hidden="0" customHeight="1">
      <x:c r="A358" s="27" t="str">
        <x:v>SCA-11</x:v>
      </x:c>
      <x:c r="B358" s="27" t="str">
        <x:v>48219</x:v>
      </x:c>
      <x:c r="C358" s="27" t="str">
        <x:v>TX</x:v>
      </x:c>
      <x:c r="D358" s="27" t="str">
        <x:v>Hockley County</x:v>
      </x:c>
      <x:c r="E358" s="40" t="n">
        <x:v>21600</x:v>
      </x:c>
      <x:c r="F358" s="55" t="n">
        <x:v>33.605932</x:v>
      </x:c>
      <x:c r="G358" s="55" t="n">
        <x:v>-102.343398</x:v>
      </x:c>
      <x:c r="H358" s="43" t="n">
        <x:f>E358/SUMIF(A:A,A358,E:E)</x:f>
        <x:v>0.006140223953297911</x:v>
      </x:c>
    </x:row>
    <x:row r="359" ht="21.600000381469727" hidden="0" customHeight="1">
      <x:c r="A359" s="29" t="str">
        <x:v>SCA-11</x:v>
      </x:c>
      <x:c r="B359" s="29" t="str">
        <x:v>35027</x:v>
      </x:c>
      <x:c r="C359" s="29" t="str">
        <x:v>NM</x:v>
      </x:c>
      <x:c r="D359" s="29" t="str">
        <x:v>Lincoln County</x:v>
      </x:c>
      <x:c r="E359" s="41" t="n">
        <x:v>19844</x:v>
      </x:c>
      <x:c r="F359" s="56" t="n">
        <x:v>33.740841</x:v>
      </x:c>
      <x:c r="G359" s="56" t="n">
        <x:v>-105.449805</x:v>
      </x:c>
      <x:c r="H359" s="44" t="n">
        <x:f>E359/SUMIF(A:A,A359,E:E)</x:f>
        <x:v>0.005641046487464989</x:v>
      </x:c>
    </x:row>
    <x:row r="360" ht="21.600000381469727" hidden="0" customHeight="1">
      <x:c r="A360" s="27" t="str">
        <x:v>SCA-11</x:v>
      </x:c>
      <x:c r="B360" s="27" t="str">
        <x:v>48003</x:v>
      </x:c>
      <x:c r="C360" s="27" t="str">
        <x:v>TX</x:v>
      </x:c>
      <x:c r="D360" s="27" t="str">
        <x:v>Andrews County</x:v>
      </x:c>
      <x:c r="E360" s="40" t="n">
        <x:v>18914</x:v>
      </x:c>
      <x:c r="F360" s="55" t="n">
        <x:v>32.312258</x:v>
      </x:c>
      <x:c r="G360" s="55" t="n">
        <x:v>-102.640206</x:v>
      </x:c>
      <x:c r="H360" s="43" t="n">
        <x:f>E360/SUMIF(A:A,A360,E:E)</x:f>
        <x:v>0.005376675733920217</x:v>
      </x:c>
    </x:row>
    <x:row r="361" ht="21.600000381469727" hidden="0" customHeight="1">
      <x:c r="A361" s="29" t="str">
        <x:v>SCA-11</x:v>
      </x:c>
      <x:c r="B361" s="29" t="str">
        <x:v>35041</x:v>
      </x:c>
      <x:c r="C361" s="29" t="str">
        <x:v>NM</x:v>
      </x:c>
      <x:c r="D361" s="29" t="str">
        <x:v>Roosevelt County</x:v>
      </x:c>
      <x:c r="E361" s="41" t="n">
        <x:v>18615</x:v>
      </x:c>
      <x:c r="F361" s="56" t="n">
        <x:v>34.021207</x:v>
      </x:c>
      <x:c r="G361" s="56" t="n">
        <x:v>-103.483004</x:v>
      </x:c>
      <x:c r="H361" s="44" t="n">
        <x:f>E361/SUMIF(A:A,A361,E:E)</x:f>
        <x:v>0.005291679115307436</x:v>
      </x:c>
    </x:row>
    <x:row r="362" ht="21.600000381469727" hidden="0" customHeight="1">
      <x:c r="A362" s="27" t="str">
        <x:v>SCA-11</x:v>
      </x:c>
      <x:c r="B362" s="27" t="str">
        <x:v>35057</x:v>
      </x:c>
      <x:c r="C362" s="27" t="str">
        <x:v>NM</x:v>
      </x:c>
      <x:c r="D362" s="27" t="str">
        <x:v>Torrance County</x:v>
      </x:c>
      <x:c r="E362" s="40" t="n">
        <x:v>16100</x:v>
      </x:c>
      <x:c r="F362" s="55" t="n">
        <x:v>34.555001</x:v>
      </x:c>
      <x:c r="G362" s="55" t="n">
        <x:v>-105.89059</x:v>
      </x:c>
      <x:c r="H362" s="43" t="n">
        <x:f>E362/SUMIF(A:A,A362,E:E)</x:f>
        <x:v>0.004576741002226684</x:v>
      </x:c>
    </x:row>
    <x:row r="363" ht="21.600000381469727" hidden="0" customHeight="1">
      <x:c r="A363" s="29" t="str">
        <x:v>SCA-11</x:v>
      </x:c>
      <x:c r="B363" s="29" t="str">
        <x:v>35053</x:v>
      </x:c>
      <x:c r="C363" s="29" t="str">
        <x:v>NM</x:v>
      </x:c>
      <x:c r="D363" s="29" t="str">
        <x:v>Socorro County</x:v>
      </x:c>
      <x:c r="E363" s="41" t="n">
        <x:v>15838</x:v>
      </x:c>
      <x:c r="F363" s="56" t="n">
        <x:v>33.991658</x:v>
      </x:c>
      <x:c r="G363" s="56" t="n">
        <x:v>-106.939136</x:v>
      </x:c>
      <x:c r="H363" s="44" t="n">
        <x:f>E363/SUMIF(A:A,A363,E:E)</x:f>
        <x:v>0.0045022623598302</x:v>
      </x:c>
    </x:row>
    <x:row r="364" ht="21.600000381469727" hidden="0" customHeight="1">
      <x:c r="A364" s="27" t="str">
        <x:v>SCA-11</x:v>
      </x:c>
      <x:c r="B364" s="27" t="str">
        <x:v>48371</x:v>
      </x:c>
      <x:c r="C364" s="27" t="str">
        <x:v>TX</x:v>
      </x:c>
      <x:c r="D364" s="27" t="str">
        <x:v>Pecos County</x:v>
      </x:c>
      <x:c r="E364" s="40" t="n">
        <x:v>14560</x:v>
      </x:c>
      <x:c r="F364" s="55" t="n">
        <x:v>30.773298</x:v>
      </x:c>
      <x:c r="G364" s="55" t="n">
        <x:v>-102.718153</x:v>
      </x:c>
      <x:c r="H364" s="43" t="n">
        <x:f>E364/SUMIF(A:A,A364,E:E)</x:f>
        <x:v>0.00413896577592674</x:v>
      </x:c>
    </x:row>
    <x:row r="365" ht="21.600000381469727" hidden="0" customHeight="1">
      <x:c r="A365" s="29" t="str">
        <x:v>SCA-11</x:v>
      </x:c>
      <x:c r="B365" s="29" t="str">
        <x:v>48279</x:v>
      </x:c>
      <x:c r="C365" s="29" t="str">
        <x:v>TX</x:v>
      </x:c>
      <x:c r="D365" s="29" t="str">
        <x:v>Lamb County</x:v>
      </x:c>
      <x:c r="E365" s="41" t="n">
        <x:v>12579</x:v>
      </x:c>
      <x:c r="F365" s="56" t="n">
        <x:v>34.068861</x:v>
      </x:c>
      <x:c r="G365" s="56" t="n">
        <x:v>-102.348018</x:v>
      </x:c>
      <x:c r="H365" s="44" t="n">
        <x:f>E365/SUMIF(A:A,A365,E:E)</x:f>
        <x:v>0.003575827643913631</x:v>
      </x:c>
    </x:row>
    <x:row r="366" ht="21.600000381469727" hidden="0" customHeight="1">
      <x:c r="A366" s="27" t="str">
        <x:v>SCA-11</x:v>
      </x:c>
      <x:c r="B366" s="27" t="str">
        <x:v>48389</x:v>
      </x:c>
      <x:c r="C366" s="27" t="str">
        <x:v>TX</x:v>
      </x:c>
      <x:c r="D366" s="27" t="str">
        <x:v>Reeves County</x:v>
      </x:c>
      <x:c r="E366" s="40" t="n">
        <x:v>12138</x:v>
      </x:c>
      <x:c r="F366" s="55" t="n">
        <x:v>31.308366</x:v>
      </x:c>
      <x:c r="G366" s="55" t="n">
        <x:v>-103.712706</x:v>
      </x:c>
      <x:c r="H366" s="43" t="n">
        <x:f>E366/SUMIF(A:A,A366,E:E)</x:f>
        <x:v>0.003450464738200465</x:v>
      </x:c>
    </x:row>
    <x:row r="367" ht="21.600000381469727" hidden="0" customHeight="1">
      <x:c r="A367" s="29" t="str">
        <x:v>SCA-11</x:v>
      </x:c>
      <x:c r="B367" s="29" t="str">
        <x:v>48115</x:v>
      </x:c>
      <x:c r="C367" s="29" t="str">
        <x:v>TX</x:v>
      </x:c>
      <x:c r="D367" s="29" t="str">
        <x:v>Dawson County</x:v>
      </x:c>
      <x:c r="E367" s="41" t="n">
        <x:v>11776</x:v>
      </x:c>
      <x:c r="F367" s="56" t="n">
        <x:v>32.742528</x:v>
      </x:c>
      <x:c r="G367" s="56" t="n">
        <x:v>-101.948771</x:v>
      </x:c>
      <x:c r="H367" s="44" t="n">
        <x:f>E367/SUMIF(A:A,A367,E:E)</x:f>
        <x:v>0.003347559133057232</x:v>
      </x:c>
    </x:row>
    <x:row r="368" ht="15" hidden="0" customHeight="1">
      <x:c r="A368" s="27" t="str">
        <x:v>SCA-11</x:v>
      </x:c>
      <x:c r="B368" s="27" t="str">
        <x:v>48445</x:v>
      </x:c>
      <x:c r="C368" s="27" t="str">
        <x:v>TX</x:v>
      </x:c>
      <x:c r="D368" s="27" t="str">
        <x:v>Terry County</x:v>
      </x:c>
      <x:c r="E368" s="40" t="n">
        <x:v>11720</x:v>
      </x:c>
      <x:c r="F368" s="55" t="n">
        <x:v>33.171229</x:v>
      </x:c>
      <x:c r="G368" s="55" t="n">
        <x:v>-102.339284</x:v>
      </x:c>
      <x:c r="H368" s="43" t="n">
        <x:f>E368/SUMIF(A:A,A368,E:E)</x:f>
        <x:v>0.003331640033919052</x:v>
      </x:c>
    </x:row>
    <x:row r="369" ht="21.600000381469727" hidden="0" customHeight="1">
      <x:c r="A369" s="29" t="str">
        <x:v>SCA-11</x:v>
      </x:c>
      <x:c r="B369" s="29" t="str">
        <x:v>35051</x:v>
      </x:c>
      <x:c r="C369" s="29" t="str">
        <x:v>NM</x:v>
      </x:c>
      <x:c r="D369" s="29" t="str">
        <x:v>Sierra County</x:v>
      </x:c>
      <x:c r="E369" s="41" t="n">
        <x:v>11395</x:v>
      </x:c>
      <x:c r="F369" s="56" t="n">
        <x:v>33.119468</x:v>
      </x:c>
      <x:c r="G369" s="56" t="n">
        <x:v>-107.188161</x:v>
      </x:c>
      <x:c r="H369" s="44" t="n">
        <x:f>E369/SUMIF(A:A,A369,E:E)</x:f>
        <x:v>0.003239252404992116</x:v>
      </x:c>
    </x:row>
    <x:row r="370" ht="15" hidden="0" customHeight="1">
      <x:c r="A370" s="27" t="str">
        <x:v>SCA-11</x:v>
      </x:c>
      <x:c r="B370" s="27" t="str">
        <x:v>48475</x:v>
      </x:c>
      <x:c r="C370" s="27" t="str">
        <x:v>TX</x:v>
      </x:c>
      <x:c r="D370" s="27" t="str">
        <x:v>Ward County</x:v>
      </x:c>
      <x:c r="E370" s="40" t="n">
        <x:v>11125</x:v>
      </x:c>
      <x:c r="F370" s="55" t="n">
        <x:v>31.513069</x:v>
      </x:c>
      <x:c r="G370" s="55" t="n">
        <x:v>-103.105113</x:v>
      </x:c>
      <x:c r="H370" s="43" t="n">
        <x:f>E370/SUMIF(A:A,A370,E:E)</x:f>
        <x:v>0.003162499605575892</x:v>
      </x:c>
    </x:row>
    <x:row r="371" ht="21.600000381469727" hidden="0" customHeight="1">
      <x:c r="A371" s="29" t="str">
        <x:v>SCA-11</x:v>
      </x:c>
      <x:c r="B371" s="29" t="str">
        <x:v>48369</x:v>
      </x:c>
      <x:c r="C371" s="29" t="str">
        <x:v>TX</x:v>
      </x:c>
      <x:c r="D371" s="29" t="str">
        <x:v>Parmer County</x:v>
      </x:c>
      <x:c r="E371" s="41" t="n">
        <x:v>9678</x:v>
      </x:c>
      <x:c r="F371" s="56" t="n">
        <x:v>34.532163</x:v>
      </x:c>
      <x:c r="G371" s="56" t="n">
        <x:v>-102.784853</x:v>
      </x:c>
      <x:c r="H371" s="44" t="n">
        <x:f>E371/SUMIF(A:A,A371,E:E)</x:f>
        <x:v>0.002751161454630425</x:v>
      </x:c>
    </x:row>
    <x:row r="372" ht="21.600000381469727" hidden="0" customHeight="1">
      <x:c r="A372" s="27" t="str">
        <x:v>SCA-11</x:v>
      </x:c>
      <x:c r="B372" s="27" t="str">
        <x:v>48043</x:v>
      </x:c>
      <x:c r="C372" s="27" t="str">
        <x:v>TX</x:v>
      </x:c>
      <x:c r="D372" s="27" t="str">
        <x:v>Brewster County</x:v>
      </x:c>
      <x:c r="E372" s="40" t="n">
        <x:v>9458</x:v>
      </x:c>
      <x:c r="F372" s="55" t="n">
        <x:v>29.808997</x:v>
      </x:c>
      <x:c r="G372" s="55" t="n">
        <x:v>-103.252458</x:v>
      </x:c>
      <x:c r="H372" s="43" t="n">
        <x:f>E372/SUMIF(A:A,A372,E:E)</x:f>
        <x:v>0.002688622136587576</x:v>
      </x:c>
    </x:row>
    <x:row r="373" ht="21.600000381469727" hidden="0" customHeight="1">
      <x:c r="A373" s="29" t="str">
        <x:v>SCA-11</x:v>
      </x:c>
      <x:c r="B373" s="29" t="str">
        <x:v>48495</x:v>
      </x:c>
      <x:c r="C373" s="29" t="str">
        <x:v>TX</x:v>
      </x:c>
      <x:c r="D373" s="29" t="str">
        <x:v>Winkler County</x:v>
      </x:c>
      <x:c r="E373" s="41" t="n">
        <x:v>7540</x:v>
      </x:c>
      <x:c r="F373" s="56" t="n">
        <x:v>31.832862</x:v>
      </x:c>
      <x:c r="G373" s="56" t="n">
        <x:v>-103.054925</x:v>
      </x:c>
      <x:c r="H373" s="44" t="n">
        <x:f>E373/SUMIF(A:A,A373,E:E)</x:f>
        <x:v>0.002143392991104919</x:v>
      </x:c>
    </x:row>
    <x:row r="374" ht="21.600000381469727" hidden="0" customHeight="1">
      <x:c r="A374" s="27" t="str">
        <x:v>SCA-11</x:v>
      </x:c>
      <x:c r="B374" s="27" t="str">
        <x:v>48501</x:v>
      </x:c>
      <x:c r="C374" s="27" t="str">
        <x:v>TX</x:v>
      </x:c>
      <x:c r="D374" s="27" t="str">
        <x:v>Yoakum County</x:v>
      </x:c>
      <x:c r="E374" s="40" t="n">
        <x:v>7438</x:v>
      </x:c>
      <x:c r="F374" s="55" t="n">
        <x:v>33.162339</x:v>
      </x:c>
      <x:c r="G374" s="55" t="n">
        <x:v>-102.832241</x:v>
      </x:c>
      <x:c r="H374" s="43" t="n">
        <x:f>E374/SUMIF(A:A,A374,E:E)</x:f>
        <x:v>0.0021143974891032345</x:v>
      </x:c>
    </x:row>
    <x:row r="375" ht="21.600000381469727" hidden="0" customHeight="1">
      <x:c r="A375" s="29" t="str">
        <x:v>SCA-11</x:v>
      </x:c>
      <x:c r="B375" s="29" t="str">
        <x:v>48069</x:v>
      </x:c>
      <x:c r="C375" s="29" t="str">
        <x:v>TX</x:v>
      </x:c>
      <x:c r="D375" s="29" t="str">
        <x:v>Castro County</x:v>
      </x:c>
      <x:c r="E375" s="41" t="n">
        <x:v>7295</x:v>
      </x:c>
      <x:c r="F375" s="56" t="n">
        <x:v>34.533621</x:v>
      </x:c>
      <x:c r="G375" s="56" t="n">
        <x:v>-102.258786</x:v>
      </x:c>
      <x:c r="H375" s="44" t="n">
        <x:f>E375/SUMIF(A:A,A375,E:E)</x:f>
        <x:v>0.0020737469323753826</x:v>
      </x:c>
    </x:row>
    <x:row r="376" ht="21.600000381469727" hidden="0" customHeight="1">
      <x:c r="A376" s="27" t="str">
        <x:v>SCA-11</x:v>
      </x:c>
      <x:c r="B376" s="27" t="str">
        <x:v>48017</x:v>
      </x:c>
      <x:c r="C376" s="27" t="str">
        <x:v>TX</x:v>
      </x:c>
      <x:c r="D376" s="27" t="str">
        <x:v>Bailey County</x:v>
      </x:c>
      <x:c r="E376" s="40" t="n">
        <x:v>6963</x:v>
      </x:c>
      <x:c r="F376" s="55" t="n">
        <x:v>34.067521</x:v>
      </x:c>
      <x:c r="G376" s="55" t="n">
        <x:v>-102.830345</x:v>
      </x:c>
      <x:c r="H376" s="43" t="n">
        <x:f>E376/SUMIF(A:A,A376,E:E)</x:f>
        <x:v>0.001979369416056174</x:v>
      </x:c>
    </x:row>
    <x:row r="377" ht="15" hidden="0" customHeight="1">
      <x:c r="A377" s="29" t="str">
        <x:v>SCA-11</x:v>
      </x:c>
      <x:c r="B377" s="29" t="str">
        <x:v>48305</x:v>
      </x:c>
      <x:c r="C377" s="29" t="str">
        <x:v>TX</x:v>
      </x:c>
      <x:c r="D377" s="29" t="str">
        <x:v>Lynn County</x:v>
      </x:c>
      <x:c r="E377" s="41" t="n">
        <x:v>6017</x:v>
      </x:c>
      <x:c r="F377" s="56" t="n">
        <x:v>33.178412</x:v>
      </x:c>
      <x:c r="G377" s="56" t="n">
        <x:v>-101.818493</x:v>
      </x:c>
      <x:c r="H377" s="44" t="n">
        <x:f>E377/SUMIF(A:A,A377,E:E)</x:f>
        <x:v>0.0017104503484719228</x:v>
      </x:c>
    </x:row>
    <x:row r="378" ht="21.600000381469727" hidden="0" customHeight="1">
      <x:c r="A378" s="27" t="str">
        <x:v>SCA-11</x:v>
      </x:c>
      <x:c r="B378" s="27" t="str">
        <x:v>48377</x:v>
      </x:c>
      <x:c r="C378" s="27" t="str">
        <x:v>TX</x:v>
      </x:c>
      <x:c r="D378" s="27" t="str">
        <x:v>Presidio County</x:v>
      </x:c>
      <x:c r="E378" s="40" t="n">
        <x:v>5433</x:v>
      </x:c>
      <x:c r="F378" s="55" t="n">
        <x:v>30.005891</x:v>
      </x:c>
      <x:c r="G378" s="55" t="n">
        <x:v>-104.261619</x:v>
      </x:c>
      <x:c r="H378" s="43" t="n">
        <x:f>E378/SUMIF(A:A,A378,E:E)</x:f>
        <x:v>0.0015444368860309053</x:v>
      </x:c>
    </x:row>
    <x:row r="379" ht="21.600000381469727" hidden="0" customHeight="1">
      <x:c r="A379" s="29" t="str">
        <x:v>SCA-11</x:v>
      </x:c>
      <x:c r="B379" s="29" t="str">
        <x:v>48317</x:v>
      </x:c>
      <x:c r="C379" s="29" t="str">
        <x:v>TX</x:v>
      </x:c>
      <x:c r="D379" s="29" t="str">
        <x:v>Martin County</x:v>
      </x:c>
      <x:c r="E379" s="41" t="n">
        <x:v>5284</x:v>
      </x:c>
      <x:c r="F379" s="56" t="n">
        <x:v>32.30983</x:v>
      </x:c>
      <x:c r="G379" s="56" t="n">
        <x:v>-101.961836</x:v>
      </x:c>
      <x:c r="H379" s="44" t="n">
        <x:f>E379/SUMIF(A:A,A379,E:E)</x:f>
        <x:v>0.0015020807115382483</x:v>
      </x:c>
    </x:row>
    <x:row r="380" ht="21.600000381469727" hidden="0" customHeight="1">
      <x:c r="A380" s="27" t="str">
        <x:v>SCA-11</x:v>
      </x:c>
      <x:c r="B380" s="27" t="str">
        <x:v>48103</x:v>
      </x:c>
      <x:c r="C380" s="27" t="str">
        <x:v>TX</x:v>
      </x:c>
      <x:c r="D380" s="27" t="str">
        <x:v>Crane County</x:v>
      </x:c>
      <x:c r="E380" s="40" t="n">
        <x:v>4554</x:v>
      </x:c>
      <x:c r="F380" s="55" t="n">
        <x:v>31.439608</x:v>
      </x:c>
      <x:c r="G380" s="55" t="n">
        <x:v>-102.492504</x:v>
      </x:c>
      <x:c r="H380" s="43" t="n">
        <x:f>E380/SUMIF(A:A,A380,E:E)</x:f>
        <x:v>0.0012945638834869764</x:v>
      </x:c>
    </x:row>
    <x:row r="381" ht="21.600000381469727" hidden="0" customHeight="1">
      <x:c r="A381" s="29" t="str">
        <x:v>SCA-11</x:v>
      </x:c>
      <x:c r="B381" s="29" t="str">
        <x:v>35019</x:v>
      </x:c>
      <x:c r="C381" s="29" t="str">
        <x:v>NM</x:v>
      </x:c>
      <x:c r="D381" s="29" t="str">
        <x:v>Guadalupe County</x:v>
      </x:c>
      <x:c r="E381" s="41" t="n">
        <x:v>4343</x:v>
      </x:c>
      <x:c r="F381" s="56" t="n">
        <x:v>34.869748</x:v>
      </x:c>
      <x:c r="G381" s="56" t="n">
        <x:v>-104.784898</x:v>
      </x:c>
      <x:c r="H381" s="44" t="n">
        <x:f>E381/SUMIF(A:A,A381,E:E)</x:f>
        <x:v>0.0012345829920913348</x:v>
      </x:c>
    </x:row>
    <x:row r="382" ht="21.600000381469727" hidden="0" customHeight="1">
      <x:c r="A382" s="27" t="str">
        <x:v>SCA-11</x:v>
      </x:c>
      <x:c r="B382" s="27" t="str">
        <x:v>35023</x:v>
      </x:c>
      <x:c r="C382" s="27" t="str">
        <x:v>NM</x:v>
      </x:c>
      <x:c r="D382" s="27" t="str">
        <x:v>Hidalgo County</x:v>
      </x:c>
      <x:c r="E382" s="40" t="n">
        <x:v>3929</x:v>
      </x:c>
      <x:c r="F382" s="55" t="n">
        <x:v>31.898052</x:v>
      </x:c>
      <x:c r="G382" s="55" t="n">
        <x:v>-108.751929</x:v>
      </x:c>
      <x:c r="H382" s="43" t="n">
        <x:f>E382/SUMIF(A:A,A382,E:E)</x:f>
        <x:v>0.0011168953663197915</x:v>
      </x:c>
    </x:row>
    <x:row r="383" ht="21.600000381469727" hidden="0" customHeight="1">
      <x:c r="A383" s="29" t="str">
        <x:v>SCA-11</x:v>
      </x:c>
      <x:c r="B383" s="29" t="str">
        <x:v>35003</x:v>
      </x:c>
      <x:c r="C383" s="29" t="str">
        <x:v>NM</x:v>
      </x:c>
      <x:c r="D383" s="29" t="str">
        <x:v>Catron County</x:v>
      </x:c>
      <x:c r="E383" s="41" t="n">
        <x:v>3827</x:v>
      </x:c>
      <x:c r="F383" s="56" t="n">
        <x:v>33.901621</x:v>
      </x:c>
      <x:c r="G383" s="56" t="n">
        <x:v>-108.391928</x:v>
      </x:c>
      <x:c r="H383" s="44" t="n">
        <x:f>E383/SUMIF(A:A,A383,E:E)</x:f>
        <x:v>0.001087899864318107</x:v>
      </x:c>
    </x:row>
    <x:row r="384" ht="21.600000381469727" hidden="0" customHeight="1">
      <x:c r="A384" s="27" t="str">
        <x:v>SCA-11</x:v>
      </x:c>
      <x:c r="B384" s="27" t="str">
        <x:v>48229</x:v>
      </x:c>
      <x:c r="C384" s="27" t="str">
        <x:v>TX</x:v>
      </x:c>
      <x:c r="D384" s="27" t="str">
        <x:v>Hudspeth County</x:v>
      </x:c>
      <x:c r="E384" s="40" t="n">
        <x:v>3433</x:v>
      </x:c>
      <x:c r="F384" s="55" t="n">
        <x:v>31.450868</x:v>
      </x:c>
      <x:c r="G384" s="55" t="n">
        <x:v>-105.377549</x:v>
      </x:c>
      <x:c r="H384" s="43" t="n">
        <x:f>E384/SUMIF(A:A,A384,E:E)</x:f>
        <x:v>0.0009758976310959135</x:v>
      </x:c>
    </x:row>
    <x:row r="385" ht="21.600000381469727" hidden="0" customHeight="1">
      <x:c r="A385" s="29" t="str">
        <x:v>SCA-11</x:v>
      </x:c>
      <x:c r="B385" s="29" t="str">
        <x:v>48461</x:v>
      </x:c>
      <x:c r="C385" s="29" t="str">
        <x:v>TX</x:v>
      </x:c>
      <x:c r="D385" s="29" t="str">
        <x:v>Upton County</x:v>
      </x:c>
      <x:c r="E385" s="41" t="n">
        <x:v>3131</x:v>
      </x:c>
      <x:c r="F385" s="56" t="n">
        <x:v>31.353816</x:v>
      </x:c>
      <x:c r="G385" s="56" t="n">
        <x:v>-102.041546</x:v>
      </x:c>
      <x:c r="H385" s="44" t="n">
        <x:f>E385/SUMIF(A:A,A385,E:E)</x:f>
        <x:v>0.0008900482036007296</x:v>
      </x:c>
    </x:row>
    <x:row r="386" ht="21.600000381469727" hidden="0" customHeight="1">
      <x:c r="A386" s="27" t="str">
        <x:v>SCA-11</x:v>
      </x:c>
      <x:c r="B386" s="27" t="str">
        <x:v>48079</x:v>
      </x:c>
      <x:c r="C386" s="27" t="str">
        <x:v>TX</x:v>
      </x:c>
      <x:c r="D386" s="27" t="str">
        <x:v>Cochran County</x:v>
      </x:c>
      <x:c r="E386" s="40" t="n">
        <x:v>2546</x:v>
      </x:c>
      <x:c r="F386" s="55" t="n">
        <x:v>33.60844</x:v>
      </x:c>
      <x:c r="G386" s="55" t="n">
        <x:v>-102.830449</x:v>
      </x:c>
      <x:c r="H386" s="43" t="n">
        <x:f>E386/SUMIF(A:A,A386,E:E)</x:f>
        <x:v>0.0007237504715322446</x:v>
      </x:c>
    </x:row>
    <x:row r="387" ht="21.600000381469727" hidden="0" customHeight="1">
      <x:c r="A387" s="29" t="str">
        <x:v>SCA-11</x:v>
      </x:c>
      <x:c r="B387" s="29" t="str">
        <x:v>48109</x:v>
      </x:c>
      <x:c r="C387" s="29" t="str">
        <x:v>TX</x:v>
      </x:c>
      <x:c r="D387" s="29" t="str">
        <x:v>Culberson County</x:v>
      </x:c>
      <x:c r="E387" s="41" t="n">
        <x:v>2267</x:v>
      </x:c>
      <x:c r="F387" s="56" t="n">
        <x:v>31.445908</x:v>
      </x:c>
      <x:c r="G387" s="56" t="n">
        <x:v>-104.526945</x:v>
      </x:c>
      <x:c r="H387" s="44" t="n">
        <x:f>E387/SUMIF(A:A,A387,E:E)</x:f>
        <x:v>0.0006444392454688133</x:v>
      </x:c>
    </x:row>
    <x:row r="388" ht="21.600000381469727" hidden="0" customHeight="1">
      <x:c r="A388" s="27" t="str">
        <x:v>SCA-11</x:v>
      </x:c>
      <x:c r="B388" s="27" t="str">
        <x:v>48243</x:v>
      </x:c>
      <x:c r="C388" s="27" t="str">
        <x:v>TX</x:v>
      </x:c>
      <x:c r="D388" s="27" t="str">
        <x:v>Jeff Davis County</x:v>
      </x:c>
      <x:c r="E388" s="40" t="n">
        <x:v>1711</x:v>
      </x:c>
      <x:c r="F388" s="55" t="n">
        <x:v>30.625357</x:v>
      </x:c>
      <x:c r="G388" s="55" t="n">
        <x:v>-104.191873</x:v>
      </x:c>
      <x:c r="H388" s="43" t="n">
        <x:f>E388/SUMIF(A:A,A388,E:E)</x:f>
        <x:v>0.0004863853325968855</x:v>
      </x:c>
    </x:row>
    <x:row r="389" ht="21.600000381469727" hidden="0" customHeight="1">
      <x:c r="A389" s="29" t="str">
        <x:v>SCA-11</x:v>
      </x:c>
      <x:c r="B389" s="29" t="str">
        <x:v>35011</x:v>
      </x:c>
      <x:c r="C389" s="29" t="str">
        <x:v>NM</x:v>
      </x:c>
      <x:c r="D389" s="29" t="str">
        <x:v>De Baca County</x:v>
      </x:c>
      <x:c r="E389" s="41" t="n">
        <x:v>1647</x:v>
      </x:c>
      <x:c r="F389" s="56" t="n">
        <x:v>34.359273</x:v>
      </x:c>
      <x:c r="G389" s="56" t="n">
        <x:v>-104.368696</x:v>
      </x:c>
      <x:c r="H389" s="44" t="n">
        <x:f>E389/SUMIF(A:A,A389,E:E)</x:f>
        <x:v>0.00046819207643896576</x:v>
      </x:c>
    </x:row>
    <x:row r="390" ht="21.600000381469727" hidden="0" customHeight="1">
      <x:c r="A390" s="27" t="str">
        <x:v>SCA-11</x:v>
      </x:c>
      <x:c r="B390" s="27" t="str">
        <x:v>48301</x:v>
      </x:c>
      <x:c r="C390" s="27" t="str">
        <x:v>TX</x:v>
      </x:c>
      <x:c r="D390" s="27" t="str">
        <x:v>Loving County</x:v>
      </x:c>
      <x:c r="E390" s="40" t="n">
        <x:v>52</x:v>
      </x:c>
      <x:c r="F390" s="55" t="n">
        <x:v>31.844936</x:v>
      </x:c>
      <x:c r="G390" s="55" t="n">
        <x:v>-103.561229</x:v>
      </x:c>
      <x:c r="H390" s="43" t="n">
        <x:f>E390/SUMIF(A:A,A390,E:E)</x:f>
        <x:v>0.000014782020628309787</x:v>
      </x:c>
    </x:row>
    <x:row r="391" ht="21.600000381469727" hidden="0" customHeight="1">
      <x:c r="A391" s="29" t="str">
        <x:v>SCA-12</x:v>
      </x:c>
      <x:c r="B391" s="29" t="str">
        <x:v>08041</x:v>
      </x:c>
      <x:c r="C391" s="29" t="str">
        <x:v>CO</x:v>
      </x:c>
      <x:c r="D391" s="29" t="str">
        <x:v>El Paso County</x:v>
      </x:c>
      <x:c r="E391" s="41" t="n">
        <x:v>757040</x:v>
      </x:c>
      <x:c r="F391" s="56" t="n">
        <x:v>38.8311</x:v>
      </x:c>
      <x:c r="G391" s="56" t="n">
        <x:v>-104.527681</x:v>
      </x:c>
      <x:c r="H391" s="44" t="n">
        <x:f>E391/SUMIF(A:A,A391,E:E)</x:f>
        <x:v>0.1014093955596016</x:v>
      </x:c>
    </x:row>
    <x:row r="392" ht="21.600000381469727" hidden="0" customHeight="1">
      <x:c r="A392" s="27" t="str">
        <x:v>SCA-12</x:v>
      </x:c>
      <x:c r="B392" s="27" t="str">
        <x:v>08031</x:v>
      </x:c>
      <x:c r="C392" s="27" t="str">
        <x:v>CO</x:v>
      </x:c>
      <x:c r="D392" s="27" t="str">
        <x:v>Denver County</x:v>
      </x:c>
      <x:c r="E392" s="40" t="n">
        <x:v>740613</x:v>
      </x:c>
      <x:c r="F392" s="55" t="n">
        <x:v>39.76185</x:v>
      </x:c>
      <x:c r="G392" s="55" t="n">
        <x:v>-104.881105</x:v>
      </x:c>
      <x:c r="H392" s="43" t="n">
        <x:f>E392/SUMIF(A:A,A392,E:E)</x:f>
        <x:v>0.09920891455350209</x:v>
      </x:c>
    </x:row>
    <x:row r="393" ht="21.600000381469727" hidden="0" customHeight="1">
      <x:c r="A393" s="29" t="str">
        <x:v>SCA-12</x:v>
      </x:c>
      <x:c r="B393" s="29" t="str">
        <x:v>08005</x:v>
      </x:c>
      <x:c r="C393" s="29" t="str">
        <x:v>CO</x:v>
      </x:c>
      <x:c r="D393" s="29" t="str">
        <x:v>Arapahoe County</x:v>
      </x:c>
      <x:c r="E393" s="41" t="n">
        <x:v>673820</x:v>
      </x:c>
      <x:c r="F393" s="56" t="n">
        <x:v>39.644554</x:v>
      </x:c>
      <x:c r="G393" s="56" t="n">
        <x:v>-104.331706</x:v>
      </x:c>
      <x:c r="H393" s="44" t="n">
        <x:f>E393/SUMIF(A:A,A393,E:E)</x:f>
        <x:v>0.09026164920740086</x:v>
      </x:c>
    </x:row>
    <x:row r="394" ht="21.600000381469727" hidden="0" customHeight="1">
      <x:c r="A394" s="27" t="str">
        <x:v>SCA-12</x:v>
      </x:c>
      <x:c r="B394" s="27" t="str">
        <x:v>08059</x:v>
      </x:c>
      <x:c r="C394" s="27" t="str">
        <x:v>CO</x:v>
      </x:c>
      <x:c r="D394" s="27" t="str">
        <x:v>Jefferson County</x:v>
      </x:c>
      <x:c r="E394" s="40" t="n">
        <x:v>580451</x:v>
      </x:c>
      <x:c r="F394" s="55" t="n">
        <x:v>39.579511</x:v>
      </x:c>
      <x:c r="G394" s="55" t="n">
        <x:v>-105.245462</x:v>
      </x:c>
      <x:c r="H394" s="43" t="n">
        <x:f>E394/SUMIF(A:A,A394,E:E)</x:f>
        <x:v>0.07775439218795084</x:v>
      </x:c>
    </x:row>
    <x:row r="395" ht="21.600000381469727" hidden="0" customHeight="1">
      <x:c r="A395" s="29" t="str">
        <x:v>SCA-12</x:v>
      </x:c>
      <x:c r="B395" s="29" t="str">
        <x:v>08001</x:v>
      </x:c>
      <x:c r="C395" s="29" t="str">
        <x:v>CO</x:v>
      </x:c>
      <x:c r="D395" s="29" t="str">
        <x:v>Adams County</x:v>
      </x:c>
      <x:c r="E395" s="41" t="n">
        <x:v>554668</x:v>
      </x:c>
      <x:c r="F395" s="56" t="n">
        <x:v>39.874325</x:v>
      </x:c>
      <x:c r="G395" s="56" t="n">
        <x:v>-104.331872</x:v>
      </x:c>
      <x:c r="H395" s="44" t="n">
        <x:f>E395/SUMIF(A:A,A395,E:E)</x:f>
        <x:v>0.07430062693682381</x:v>
      </x:c>
    </x:row>
    <x:row r="396" ht="21.600000381469727" hidden="0" customHeight="1">
      <x:c r="A396" s="27" t="str">
        <x:v>SCA-12</x:v>
      </x:c>
      <x:c r="B396" s="27" t="str">
        <x:v>08035</x:v>
      </x:c>
      <x:c r="C396" s="27" t="str">
        <x:v>CO</x:v>
      </x:c>
      <x:c r="D396" s="27" t="str">
        <x:v>Douglas County</x:v>
      </x:c>
      <x:c r="E396" s="40" t="n">
        <x:v>399396</x:v>
      </x:c>
      <x:c r="F396" s="55" t="n">
        <x:v>39.325414</x:v>
      </x:c>
      <x:c r="G396" s="55" t="n">
        <x:v>-104.925987</x:v>
      </x:c>
      <x:c r="H396" s="43" t="n">
        <x:f>E396/SUMIF(A:A,A396,E:E)</x:f>
        <x:v>0.053501145182450915</x:v>
      </x:c>
    </x:row>
    <x:row r="397" ht="15" hidden="0" customHeight="1">
      <x:c r="A397" s="29" t="str">
        <x:v>SCA-12</x:v>
      </x:c>
      <x:c r="B397" s="29" t="str">
        <x:v>08123</x:v>
      </x:c>
      <x:c r="C397" s="29" t="str">
        <x:v>CO</x:v>
      </x:c>
      <x:c r="D397" s="29" t="str">
        <x:v>Weld County</x:v>
      </x:c>
      <x:c r="E397" s="41" t="n">
        <x:v>378426</x:v>
      </x:c>
      <x:c r="F397" s="56" t="n">
        <x:v>40.555961</x:v>
      </x:c>
      <x:c r="G397" s="56" t="n">
        <x:v>-104.383666</x:v>
      </x:c>
      <x:c r="H397" s="44" t="n">
        <x:f>E397/SUMIF(A:A,A397,E:E)</x:f>
        <x:v>0.05069210599709103</x:v>
      </x:c>
    </x:row>
    <x:row r="398" ht="21.600000381469727" hidden="0" customHeight="1">
      <x:c r="A398" s="27" t="str">
        <x:v>SCA-12</x:v>
      </x:c>
      <x:c r="B398" s="27" t="str">
        <x:v>08069</x:v>
      </x:c>
      <x:c r="C398" s="27" t="str">
        <x:v>CO</x:v>
      </x:c>
      <x:c r="D398" s="27" t="str">
        <x:v>Larimer County</x:v>
      </x:c>
      <x:c r="E398" s="40" t="n">
        <x:v>377292</x:v>
      </x:c>
      <x:c r="F398" s="55" t="n">
        <x:v>40.658093</x:v>
      </x:c>
      <x:c r="G398" s="55" t="n">
        <x:v>-105.486764</x:v>
      </x:c>
      <x:c r="H398" s="43" t="n">
        <x:f>E398/SUMIF(A:A,A398,E:E)</x:f>
        <x:v>0.050540200873762556</x:v>
      </x:c>
    </x:row>
    <x:row r="399" ht="21.600000381469727" hidden="0" customHeight="1">
      <x:c r="A399" s="29" t="str">
        <x:v>SCA-12</x:v>
      </x:c>
      <x:c r="B399" s="29" t="str">
        <x:v>08013</x:v>
      </x:c>
      <x:c r="C399" s="29" t="str">
        <x:v>CO</x:v>
      </x:c>
      <x:c r="D399" s="29" t="str">
        <x:v>Boulder County</x:v>
      </x:c>
      <x:c r="E399" s="41" t="n">
        <x:v>328560</x:v>
      </x:c>
      <x:c r="F399" s="56" t="n">
        <x:v>40.094971</x:v>
      </x:c>
      <x:c r="G399" s="56" t="n">
        <x:v>-105.39771</x:v>
      </x:c>
      <x:c r="H399" s="44" t="n">
        <x:f>E399/SUMIF(A:A,A399,E:E)</x:f>
        <x:v>0.04401229922469447</x:v>
      </x:c>
    </x:row>
    <x:row r="400" ht="21.600000381469727" hidden="0" customHeight="1">
      <x:c r="A400" s="27" t="str">
        <x:v>SCA-12</x:v>
      </x:c>
      <x:c r="B400" s="27" t="str">
        <x:v>08101</x:v>
      </x:c>
      <x:c r="C400" s="27" t="str">
        <x:v>CO</x:v>
      </x:c>
      <x:c r="D400" s="27" t="str">
        <x:v>Pueblo County</x:v>
      </x:c>
      <x:c r="E400" s="40" t="n">
        <x:v>169277</x:v>
      </x:c>
      <x:c r="F400" s="55" t="n">
        <x:v>38.162765</x:v>
      </x:c>
      <x:c r="G400" s="55" t="n">
        <x:v>-104.484668</x:v>
      </x:c>
      <x:c r="H400" s="43" t="n">
        <x:f>E400/SUMIF(A:A,A400,E:E)</x:f>
        <x:v>0.022675523422993078</x:v>
      </x:c>
    </x:row>
    <x:row r="401" ht="15" hidden="0" customHeight="1">
      <x:c r="A401" s="29" t="str">
        <x:v>SCA-12</x:v>
      </x:c>
      <x:c r="B401" s="29" t="str">
        <x:v>08077</x:v>
      </x:c>
      <x:c r="C401" s="29" t="str">
        <x:v>CO</x:v>
      </x:c>
      <x:c r="D401" s="29" t="str">
        <x:v>Mesa County</x:v>
      </x:c>
      <x:c r="E401" s="41" t="n">
        <x:v>162845</x:v>
      </x:c>
      <x:c r="F401" s="56" t="n">
        <x:v>39.019524</x:v>
      </x:c>
      <x:c r="G401" s="56" t="n">
        <x:v>-108.460571</x:v>
      </x:c>
      <x:c r="H401" s="44" t="n">
        <x:f>E401/SUMIF(A:A,A401,E:E)</x:f>
        <x:v>0.02181392399332046</x:v>
      </x:c>
    </x:row>
    <x:row r="402" ht="21.600000381469727" hidden="0" customHeight="1">
      <x:c r="A402" s="27" t="str">
        <x:v>SCA-12</x:v>
      </x:c>
      <x:c r="B402" s="27" t="str">
        <x:v>35043</x:v>
      </x:c>
      <x:c r="C402" s="27" t="str">
        <x:v>NM</x:v>
      </x:c>
      <x:c r="D402" s="27" t="str">
        <x:v>Sandoval County</x:v>
      </x:c>
      <x:c r="E402" s="40" t="n">
        <x:v>159565</x:v>
      </x:c>
      <x:c r="F402" s="55" t="n">
        <x:v>35.685091</x:v>
      </x:c>
      <x:c r="G402" s="55" t="n">
        <x:v>-106.883119</x:v>
      </x:c>
      <x:c r="H402" s="43" t="n">
        <x:f>E402/SUMIF(A:A,A402,E:E)</x:f>
        <x:v>0.021374551149830695</x:v>
      </x:c>
    </x:row>
    <x:row r="403" ht="21.600000381469727" hidden="0" customHeight="1">
      <x:c r="A403" s="29" t="str">
        <x:v>SCA-12</x:v>
      </x:c>
      <x:c r="B403" s="29" t="str">
        <x:v>48381</x:v>
      </x:c>
      <x:c r="C403" s="29" t="str">
        <x:v>TX</x:v>
      </x:c>
      <x:c r="D403" s="29" t="str">
        <x:v>Randall County</x:v>
      </x:c>
      <x:c r="E403" s="41" t="n">
        <x:v>152351</x:v>
      </x:c>
      <x:c r="F403" s="56" t="n">
        <x:v>34.962529</x:v>
      </x:c>
      <x:c r="G403" s="56" t="n">
        <x:v>-101.895547</x:v>
      </x:c>
      <x:c r="H403" s="44" t="n">
        <x:f>E403/SUMIF(A:A,A403,E:E)</x:f>
        <x:v>0.020408198804423627</x:v>
      </x:c>
    </x:row>
    <x:row r="404" ht="21.600000381469727" hidden="0" customHeight="1">
      <x:c r="A404" s="27" t="str">
        <x:v>SCA-12</x:v>
      </x:c>
      <x:c r="B404" s="27" t="str">
        <x:v>35045</x:v>
      </x:c>
      <x:c r="C404" s="27" t="str">
        <x:v>NM</x:v>
      </x:c>
      <x:c r="D404" s="27" t="str">
        <x:v>San Juan County</x:v>
      </x:c>
      <x:c r="E404" s="40" t="n">
        <x:v>120340</x:v>
      </x:c>
      <x:c r="F404" s="55" t="n">
        <x:v>36.511624</x:v>
      </x:c>
      <x:c r="G404" s="55" t="n">
        <x:v>-108.324578</x:v>
      </x:c>
      <x:c r="H404" s="43" t="n">
        <x:f>E404/SUMIF(A:A,A404,E:E)</x:f>
        <x:v>0.01612016097120688</x:v>
      </x:c>
    </x:row>
    <x:row r="405" ht="21.600000381469727" hidden="0" customHeight="1">
      <x:c r="A405" s="29" t="str">
        <x:v>SCA-12</x:v>
      </x:c>
      <x:c r="B405" s="29" t="str">
        <x:v>46103</x:v>
      </x:c>
      <x:c r="C405" s="29" t="str">
        <x:v>SD</x:v>
      </x:c>
      <x:c r="D405" s="29" t="str">
        <x:v>Pennington County</x:v>
      </x:c>
      <x:c r="E405" s="41" t="n">
        <x:v>116792</x:v>
      </x:c>
      <x:c r="F405" s="56" t="n">
        <x:v>44.002349</x:v>
      </x:c>
      <x:c r="G405" s="56" t="n">
        <x:v>-102.823801</x:v>
      </x:c>
      <x:c r="H405" s="44" t="n">
        <x:f>E405/SUMIF(A:A,A405,E:E)</x:f>
        <x:v>0.015644888151480754</x:v>
      </x:c>
    </x:row>
    <x:row r="406" ht="21.600000381469727" hidden="0" customHeight="1">
      <x:c r="A406" s="27" t="str">
        <x:v>SCA-12</x:v>
      </x:c>
      <x:c r="B406" s="27" t="str">
        <x:v>48375</x:v>
      </x:c>
      <x:c r="C406" s="27" t="str">
        <x:v>TX</x:v>
      </x:c>
      <x:c r="D406" s="27" t="str">
        <x:v>Potter County</x:v>
      </x:c>
      <x:c r="E406" s="40" t="n">
        <x:v>114453</x:v>
      </x:c>
      <x:c r="F406" s="55" t="n">
        <x:v>35.398675</x:v>
      </x:c>
      <x:c r="G406" s="55" t="n">
        <x:v>-101.893804</x:v>
      </x:c>
      <x:c r="H406" s="43" t="n">
        <x:f>E406/SUMIF(A:A,A406,E:E)</x:f>
        <x:v>0.015331567090223874</x:v>
      </x:c>
    </x:row>
    <x:row r="407" ht="21.600000381469727" hidden="0" customHeight="1">
      <x:c r="A407" s="29" t="str">
        <x:v>SCA-12</x:v>
      </x:c>
      <x:c r="B407" s="29" t="str">
        <x:v>56021</x:v>
      </x:c>
      <x:c r="C407" s="29" t="str">
        <x:v>WY</x:v>
      </x:c>
      <x:c r="D407" s="29" t="str">
        <x:v>Laramie County</x:v>
      </x:c>
      <x:c r="E407" s="41" t="n">
        <x:v>102938</x:v>
      </x:c>
      <x:c r="F407" s="56" t="n">
        <x:v>41.29283</x:v>
      </x:c>
      <x:c r="G407" s="56" t="n">
        <x:v>-104.660395</x:v>
      </x:c>
      <x:c r="H407" s="44" t="n">
        <x:f>E407/SUMIF(A:A,A407,E:E)</x:f>
        <x:v>0.013789073708277328</x:v>
      </x:c>
    </x:row>
    <x:row r="408" ht="21.600000381469727" hidden="0" customHeight="1">
      <x:c r="A408" s="27" t="str">
        <x:v>SCA-12</x:v>
      </x:c>
      <x:c r="B408" s="27" t="str">
        <x:v>08014</x:v>
      </x:c>
      <x:c r="C408" s="27" t="str">
        <x:v>CO</x:v>
      </x:c>
      <x:c r="D408" s="27" t="str">
        <x:v>Broomfield County</x:v>
      </x:c>
      <x:c r="E408" s="40" t="n">
        <x:v>79174</x:v>
      </x:c>
      <x:c r="F408" s="55" t="n">
        <x:v>39.953877</x:v>
      </x:c>
      <x:c r="G408" s="55" t="n">
        <x:v>-105.050898</x:v>
      </x:c>
      <x:c r="H408" s="43" t="n">
        <x:f>E408/SUMIF(A:A,A408,E:E)</x:f>
        <x:v>0.010605763875139883</x:v>
      </x:c>
    </x:row>
    <x:row r="409" ht="21.600000381469727" hidden="0" customHeight="1">
      <x:c r="A409" s="29" t="str">
        <x:v>SCA-12</x:v>
      </x:c>
      <x:c r="B409" s="29" t="str">
        <x:v>08045</x:v>
      </x:c>
      <x:c r="C409" s="29" t="str">
        <x:v>CO</x:v>
      </x:c>
      <x:c r="D409" s="29" t="str">
        <x:v>Garfield County</x:v>
      </x:c>
      <x:c r="E409" s="41" t="n">
        <x:v>63474</x:v>
      </x:c>
      <x:c r="F409" s="56" t="n">
        <x:v>39.599352</x:v>
      </x:c>
      <x:c r="G409" s="56" t="n">
        <x:v>-107.90978</x:v>
      </x:c>
      <x:c r="H409" s="44" t="n">
        <x:f>E409/SUMIF(A:A,A409,E:E)</x:f>
        <x:v>0.008502668252338254</x:v>
      </x:c>
    </x:row>
    <x:row r="410" ht="21.600000381469727" hidden="0" customHeight="1">
      <x:c r="A410" s="27" t="str">
        <x:v>SCA-12</x:v>
      </x:c>
      <x:c r="B410" s="27" t="str">
        <x:v>08067</x:v>
      </x:c>
      <x:c r="C410" s="27" t="str">
        <x:v>CO</x:v>
      </x:c>
      <x:c r="D410" s="27" t="str">
        <x:v>La Plata County</x:v>
      </x:c>
      <x:c r="E410" s="40" t="n">
        <x:v>56898</x:v>
      </x:c>
      <x:c r="F410" s="55" t="n">
        <x:v>37.287367</x:v>
      </x:c>
      <x:c r="G410" s="55" t="n">
        <x:v>-107.839718</x:v>
      </x:c>
      <x:c r="H410" s="43" t="n">
        <x:f>E410/SUMIF(A:A,A410,E:E)</x:f>
        <x:v>0.007621779283195355</x:v>
      </x:c>
    </x:row>
    <x:row r="411" ht="15" hidden="0" customHeight="1">
      <x:c r="A411" s="29" t="str">
        <x:v>SCA-12</x:v>
      </x:c>
      <x:c r="B411" s="29" t="str">
        <x:v>08037</x:v>
      </x:c>
      <x:c r="C411" s="29" t="str">
        <x:v>CO</x:v>
      </x:c>
      <x:c r="D411" s="29" t="str">
        <x:v>Eagle County</x:v>
      </x:c>
      <x:c r="E411" s="41" t="n">
        <x:v>54291</x:v>
      </x:c>
      <x:c r="F411" s="56" t="n">
        <x:v>39.626992</x:v>
      </x:c>
      <x:c r="G411" s="56" t="n">
        <x:v>-106.695169</x:v>
      </x:c>
      <x:c r="H411" s="44" t="n">
        <x:f>E411/SUMIF(A:A,A411,E:E)</x:f>
        <x:v>0.007272558245702117</x:v>
      </x:c>
    </x:row>
    <x:row r="412" ht="21.600000381469727" hidden="0" customHeight="1">
      <x:c r="A412" s="27" t="str">
        <x:v>SCA-12</x:v>
      </x:c>
      <x:c r="B412" s="27" t="str">
        <x:v>08043</x:v>
      </x:c>
      <x:c r="C412" s="27" t="str">
        <x:v>CO</x:v>
      </x:c>
      <x:c r="D412" s="27" t="str">
        <x:v>Fremont County</x:v>
      </x:c>
      <x:c r="E412" s="40" t="n">
        <x:v>50039</x:v>
      </x:c>
      <x:c r="F412" s="55" t="n">
        <x:v>38.45517</x:v>
      </x:c>
      <x:c r="G412" s="55" t="n">
        <x:v>-105.424958</x:v>
      </x:c>
      <x:c r="H412" s="43" t="n">
        <x:f>E412/SUMIF(A:A,A412,E:E)</x:f>
        <x:v>0.006702981010787943</x:v>
      </x:c>
    </x:row>
    <x:row r="413" ht="21.600000381469727" hidden="0" customHeight="1">
      <x:c r="A413" s="29" t="str">
        <x:v>SCA-12</x:v>
      </x:c>
      <x:c r="B413" s="29" t="str">
        <x:v>56005</x:v>
      </x:c>
      <x:c r="C413" s="29" t="str">
        <x:v>WY</x:v>
      </x:c>
      <x:c r="D413" s="29" t="str">
        <x:v>Campbell County</x:v>
      </x:c>
      <x:c r="E413" s="41" t="n">
        <x:v>48145</x:v>
      </x:c>
      <x:c r="F413" s="56" t="n">
        <x:v>44.189686</x:v>
      </x:c>
      <x:c r="G413" s="56" t="n">
        <x:v>-105.52614</x:v>
      </x:c>
      <x:c r="H413" s="44" t="n">
        <x:f>E413/SUMIF(A:A,A413,E:E)</x:f>
        <x:v>0.006449269984699644</x:v>
      </x:c>
    </x:row>
    <x:row r="414" ht="21.600000381469727" hidden="0" customHeight="1">
      <x:c r="A414" s="27" t="str">
        <x:v>SCA-12</x:v>
      </x:c>
      <x:c r="B414" s="27" t="str">
        <x:v>08085</x:v>
      </x:c>
      <x:c r="C414" s="27" t="str">
        <x:v>CO</x:v>
      </x:c>
      <x:c r="D414" s="27" t="str">
        <x:v>Montrose County</x:v>
      </x:c>
      <x:c r="E414" s="40" t="n">
        <x:v>44591</x:v>
      </x:c>
      <x:c r="F414" s="55" t="n">
        <x:v>38.407507</x:v>
      </x:c>
      <x:c r="G414" s="55" t="n">
        <x:v>-108.266282</x:v>
      </x:c>
      <x:c r="H414" s="43" t="n">
        <x:f>E414/SUMIF(A:A,A414,E:E)</x:f>
        <x:v>0.005973193434162256</x:v>
      </x:c>
    </x:row>
    <x:row r="415" ht="21.600000381469727" hidden="0" customHeight="1">
      <x:c r="A415" s="29" t="str">
        <x:v>SCA-12</x:v>
      </x:c>
      <x:c r="B415" s="29" t="str">
        <x:v>35039</x:v>
      </x:c>
      <x:c r="C415" s="29" t="str">
        <x:v>NM</x:v>
      </x:c>
      <x:c r="D415" s="29" t="str">
        <x:v>Rio Arriba County</x:v>
      </x:c>
      <x:c r="E415" s="41" t="n">
        <x:v>39832</x:v>
      </x:c>
      <x:c r="F415" s="56" t="n">
        <x:v>36.509669</x:v>
      </x:c>
      <x:c r="G415" s="56" t="n">
        <x:v>-106.693983</x:v>
      </x:c>
      <x:c r="H415" s="44" t="n">
        <x:f>E415/SUMIF(A:A,A415,E:E)</x:f>
        <x:v>0.0053357009456964635</x:v>
      </x:c>
    </x:row>
    <x:row r="416" ht="21.600000381469727" hidden="0" customHeight="1">
      <x:c r="A416" s="27" t="str">
        <x:v>SCA-12</x:v>
      </x:c>
      <x:c r="B416" s="27" t="str">
        <x:v>56001</x:v>
      </x:c>
      <x:c r="C416" s="27" t="str">
        <x:v>WY</x:v>
      </x:c>
      <x:c r="D416" s="27" t="str">
        <x:v>Albany County</x:v>
      </x:c>
      <x:c r="E416" s="40" t="n">
        <x:v>38558</x:v>
      </x:c>
      <x:c r="F416" s="55" t="n">
        <x:v>41.665514</x:v>
      </x:c>
      <x:c r="G416" s="55" t="n">
        <x:v>-105.721883</x:v>
      </x:c>
      <x:c r="H416" s="43" t="n">
        <x:f>E416/SUMIF(A:A,A416,E:E)</x:f>
        <x:v>0.0051650421034385476</x:v>
      </x:c>
    </x:row>
    <x:row r="417" ht="21.600000381469727" hidden="0" customHeight="1">
      <x:c r="A417" s="29" t="str">
        <x:v>SCA-12</x:v>
      </x:c>
      <x:c r="B417" s="29" t="str">
        <x:v>31157</x:v>
      </x:c>
      <x:c r="C417" s="29" t="str">
        <x:v>NE</x:v>
      </x:c>
      <x:c r="D417" s="29" t="str">
        <x:v>Scotts Bluff County</x:v>
      </x:c>
      <x:c r="E417" s="41" t="n">
        <x:v>35586</x:v>
      </x:c>
      <x:c r="F417" s="56" t="n">
        <x:v>41.850506</x:v>
      </x:c>
      <x:c r="G417" s="56" t="n">
        <x:v>-103.703021</x:v>
      </x:c>
      <x:c r="H417" s="44" t="n">
        <x:f>E417/SUMIF(A:A,A417,E:E)</x:f>
        <x:v>0.0047669274415935515</x:v>
      </x:c>
    </x:row>
    <x:row r="418" ht="15" hidden="0" customHeight="1">
      <x:c r="A418" s="27" t="str">
        <x:v>SCA-12</x:v>
      </x:c>
      <x:c r="B418" s="27" t="str">
        <x:v>35055</x:v>
      </x:c>
      <x:c r="C418" s="27" t="str">
        <x:v>NM</x:v>
      </x:c>
      <x:c r="D418" s="27" t="str">
        <x:v>Taos County</x:v>
      </x:c>
      <x:c r="E418" s="40" t="n">
        <x:v>34564</x:v>
      </x:c>
      <x:c r="F418" s="55" t="n">
        <x:v>36.577183</x:v>
      </x:c>
      <x:c r="G418" s="55" t="n">
        <x:v>-105.638878</x:v>
      </x:c>
      <x:c r="H418" s="43" t="n">
        <x:f>E418/SUMIF(A:A,A418,E:E)</x:f>
        <x:v>0.00463002529340863</x:v>
      </x:c>
    </x:row>
    <x:row r="419" ht="21.600000381469727" hidden="0" customHeight="1">
      <x:c r="A419" s="29" t="str">
        <x:v>SCA-12</x:v>
      </x:c>
      <x:c r="B419" s="29" t="str">
        <x:v>31111</x:v>
      </x:c>
      <x:c r="C419" s="29" t="str">
        <x:v>NE</x:v>
      </x:c>
      <x:c r="D419" s="29" t="str">
        <x:v>Lincoln County</x:v>
      </x:c>
      <x:c r="E419" s="41" t="n">
        <x:v>33303</x:v>
      </x:c>
      <x:c r="F419" s="56" t="n">
        <x:v>41.050323</x:v>
      </x:c>
      <x:c r="G419" s="56" t="n">
        <x:v>-100.74448</x:v>
      </x:c>
      <x:c r="H419" s="44" t="n">
        <x:f>E419/SUMIF(A:A,A419,E:E)</x:f>
        <x:v>0.004461107867908449</x:v>
      </x:c>
    </x:row>
    <x:row r="420" ht="15" hidden="0" customHeight="1">
      <x:c r="A420" s="27" t="str">
        <x:v>SCA-12</x:v>
      </x:c>
      <x:c r="B420" s="27" t="str">
        <x:v>08029</x:v>
      </x:c>
      <x:c r="C420" s="27" t="str">
        <x:v>CO</x:v>
      </x:c>
      <x:c r="D420" s="27" t="str">
        <x:v>Delta County</x:v>
      </x:c>
      <x:c r="E420" s="40" t="n">
        <x:v>32178</x:v>
      </x:c>
      <x:c r="F420" s="55" t="n">
        <x:v>38.861423</x:v>
      </x:c>
      <x:c r="G420" s="55" t="n">
        <x:v>-107.865043</x:v>
      </x:c>
      <x:c r="H420" s="43" t="n">
        <x:f>E420/SUMIF(A:A,A420,E:E)</x:f>
        <x:v>0.004310408340796867</x:v>
      </x:c>
    </x:row>
    <x:row r="421" ht="21.600000381469727" hidden="0" customHeight="1">
      <x:c r="A421" s="29" t="str">
        <x:v>SCA-12</x:v>
      </x:c>
      <x:c r="B421" s="29" t="str">
        <x:v>08117</x:v>
      </x:c>
      <x:c r="C421" s="29" t="str">
        <x:v>CO</x:v>
      </x:c>
      <x:c r="D421" s="29" t="str">
        <x:v>Summit County</x:v>
      </x:c>
      <x:c r="E421" s="41" t="n">
        <x:v>31517</x:v>
      </x:c>
      <x:c r="F421" s="56" t="n">
        <x:v>39.621023</x:v>
      </x:c>
      <x:c r="G421" s="56" t="n">
        <x:v>-106.137555</x:v>
      </x:c>
      <x:c r="H421" s="44" t="n">
        <x:f>E421/SUMIF(A:A,A421,E:E)</x:f>
        <x:v>0.004221863996422862</x:v>
      </x:c>
    </x:row>
    <x:row r="422" ht="21.600000381469727" hidden="0" customHeight="1">
      <x:c r="A422" s="27" t="str">
        <x:v>SCA-12</x:v>
      </x:c>
      <x:c r="B422" s="27" t="str">
        <x:v>46093</x:v>
      </x:c>
      <x:c r="C422" s="27" t="str">
        <x:v>SD</x:v>
      </x:c>
      <x:c r="D422" s="27" t="str">
        <x:v>Meade County</x:v>
      </x:c>
      <x:c r="E422" s="40" t="n">
        <x:v>30711</x:v>
      </x:c>
      <x:c r="F422" s="55" t="n">
        <x:v>44.605282</x:v>
      </x:c>
      <x:c r="G422" s="55" t="n">
        <x:v>-102.714169</x:v>
      </x:c>
      <x:c r="H422" s="43" t="n">
        <x:f>E422/SUMIF(A:A,A422,E:E)</x:f>
        <x:v>0.0041138961574433645</x:v>
      </x:c>
    </x:row>
    <x:row r="423" ht="21.600000381469727" hidden="0" customHeight="1">
      <x:c r="A423" s="29" t="str">
        <x:v>SCA-12</x:v>
      </x:c>
      <x:c r="B423" s="29" t="str">
        <x:v>08039</x:v>
      </x:c>
      <x:c r="C423" s="29" t="str">
        <x:v>CO</x:v>
      </x:c>
      <x:c r="D423" s="29" t="str">
        <x:v>Elbert County</x:v>
      </x:c>
      <x:c r="E423" s="41" t="n">
        <x:v>30534</x:v>
      </x:c>
      <x:c r="F423" s="56" t="n">
        <x:v>39.315157</x:v>
      </x:c>
      <x:c r="G423" s="56" t="n">
        <x:v>-104.114076</x:v>
      </x:c>
      <x:c r="H423" s="44" t="n">
        <x:f>E423/SUMIF(A:A,A423,E:E)</x:f>
        <x:v>0.004090186098511142</x:v>
      </x:c>
    </x:row>
    <x:row r="424" ht="21.600000381469727" hidden="0" customHeight="1">
      <x:c r="A424" s="27" t="str">
        <x:v>SCA-12</x:v>
      </x:c>
      <x:c r="B424" s="27" t="str">
        <x:v>08087</x:v>
      </x:c>
      <x:c r="C424" s="27" t="str">
        <x:v>CO</x:v>
      </x:c>
      <x:c r="D424" s="27" t="str">
        <x:v>Morgan County</x:v>
      </x:c>
      <x:c r="E424" s="40" t="n">
        <x:v>30306</x:v>
      </x:c>
      <x:c r="F424" s="55" t="n">
        <x:v>40.262085</x:v>
      </x:c>
      <x:c r="G424" s="55" t="n">
        <x:v>-103.807235</x:v>
      </x:c>
      <x:c r="H424" s="43" t="n">
        <x:f>E424/SUMIF(A:A,A424,E:E)</x:f>
        <x:v>0.004059644327683195</x:v>
      </x:c>
    </x:row>
    <x:row r="425" ht="21.600000381469727" hidden="0" customHeight="1">
      <x:c r="A425" s="29" t="str">
        <x:v>SCA-12</x:v>
      </x:c>
      <x:c r="B425" s="29" t="str">
        <x:v>46081</x:v>
      </x:c>
      <x:c r="C425" s="29" t="str">
        <x:v>SD</x:v>
      </x:c>
      <x:c r="D425" s="29" t="str">
        <x:v>Lawrence County</x:v>
      </x:c>
      <x:c r="E425" s="41" t="n">
        <x:v>29459</x:v>
      </x:c>
      <x:c r="F425" s="56" t="n">
        <x:v>44.348514</x:v>
      </x:c>
      <x:c r="G425" s="56" t="n">
        <x:v>-103.806362</x:v>
      </x:c>
      <x:c r="H425" s="44" t="n">
        <x:f>E425/SUMIF(A:A,A425,E:E)</x:f>
        <x:v>0.003946184328160076</x:v>
      </x:c>
    </x:row>
    <x:row r="426" ht="21.600000381469727" hidden="0" customHeight="1">
      <x:c r="A426" s="27" t="str">
        <x:v>SCA-12</x:v>
      </x:c>
      <x:c r="B426" s="27" t="str">
        <x:v>08083</x:v>
      </x:c>
      <x:c r="C426" s="27" t="str">
        <x:v>CO</x:v>
      </x:c>
      <x:c r="D426" s="27" t="str">
        <x:v>Montezuma County</x:v>
      </x:c>
      <x:c r="E426" s="40" t="n">
        <x:v>26678</x:v>
      </x:c>
      <x:c r="F426" s="55" t="n">
        <x:v>37.338025</x:v>
      </x:c>
      <x:c r="G426" s="55" t="n">
        <x:v>-108.595786</x:v>
      </x:c>
      <x:c r="H426" s="43" t="n">
        <x:f>E426/SUMIF(A:A,A426,E:E)</x:f>
        <x:v>0.0035736550971402453</x:v>
      </x:c>
    </x:row>
    <x:row r="427" ht="21.600000381469727" hidden="0" customHeight="1">
      <x:c r="A427" s="29" t="str">
        <x:v>SCA-12</x:v>
      </x:c>
      <x:c r="B427" s="29" t="str">
        <x:v>35047</x:v>
      </x:c>
      <x:c r="C427" s="29" t="str">
        <x:v>NM</x:v>
      </x:c>
      <x:c r="D427" s="29" t="str">
        <x:v>San Miguel County</x:v>
      </x:c>
      <x:c r="E427" s="41" t="n">
        <x:v>26260</x:v>
      </x:c>
      <x:c r="F427" s="56" t="n">
        <x:v>35.476859</x:v>
      </x:c>
      <x:c r="G427" s="56" t="n">
        <x:v>-104.803519</x:v>
      </x:c>
      <x:c r="H427" s="44" t="n">
        <x:f>E427/SUMIF(A:A,A427,E:E)</x:f>
        <x:v>0.003517661850622342</x:v>
      </x:c>
    </x:row>
    <x:row r="428" ht="15" hidden="0" customHeight="1">
      <x:c r="A428" s="27" t="str">
        <x:v>SCA-12</x:v>
      </x:c>
      <x:c r="B428" s="27" t="str">
        <x:v>08107</x:v>
      </x:c>
      <x:c r="C428" s="27" t="str">
        <x:v>CO</x:v>
      </x:c>
      <x:c r="D428" s="27" t="str">
        <x:v>Routt County</x:v>
      </x:c>
      <x:c r="E428" s="40" t="n">
        <x:v>25329</x:v>
      </x:c>
      <x:c r="F428" s="55" t="n">
        <x:v>40.483664</x:v>
      </x:c>
      <x:c r="G428" s="55" t="n">
        <x:v>-106.987702</x:v>
      </x:c>
      <x:c r="H428" s="43" t="n">
        <x:f>E428/SUMIF(A:A,A428,E:E)</x:f>
        <x:v>0.0033929496197415577</x:v>
      </x:c>
    </x:row>
    <x:row r="429" ht="15" hidden="0" customHeight="1">
      <x:c r="A429" s="29" t="str">
        <x:v>SCA-12</x:v>
      </x:c>
      <x:c r="B429" s="29" t="str">
        <x:v>08119</x:v>
      </x:c>
      <x:c r="C429" s="29" t="str">
        <x:v>CO</x:v>
      </x:c>
      <x:c r="D429" s="29" t="str">
        <x:v>Teller County</x:v>
      </x:c>
      <x:c r="E429" s="41" t="n">
        <x:v>24756</x:v>
      </x:c>
      <x:c r="F429" s="56" t="n">
        <x:v>38.869976</x:v>
      </x:c>
      <x:c r="G429" s="56" t="n">
        <x:v>-105.187365</x:v>
      </x:c>
      <x:c r="H429" s="44" t="n">
        <x:f>E429/SUMIF(A:A,A429,E:E)</x:f>
        <x:v>0.0033161933272660587</x:v>
      </x:c>
    </x:row>
    <x:row r="430" ht="21.600000381469727" hidden="0" customHeight="1">
      <x:c r="A430" s="27" t="str">
        <x:v>SCA-12</x:v>
      </x:c>
      <x:c r="B430" s="27" t="str">
        <x:v>48341</x:v>
      </x:c>
      <x:c r="C430" s="27" t="str">
        <x:v>TX</x:v>
      </x:c>
      <x:c r="D430" s="27" t="str">
        <x:v>Moore County</x:v>
      </x:c>
      <x:c r="E430" s="40" t="n">
        <x:v>21891</x:v>
      </x:c>
      <x:c r="F430" s="55" t="n">
        <x:v>35.835676</x:v>
      </x:c>
      <x:c r="G430" s="55" t="n">
        <x:v>-101.890502</x:v>
      </x:c>
      <x:c r="H430" s="43" t="n">
        <x:f>E430/SUMIF(A:A,A430,E:E)</x:f>
        <x:v>0.002932411864888564</x:v>
      </x:c>
    </x:row>
    <x:row r="431" ht="21.600000381469727" hidden="0" customHeight="1">
      <x:c r="A431" s="29" t="str">
        <x:v>SCA-12</x:v>
      </x:c>
      <x:c r="B431" s="29" t="str">
        <x:v>08015</x:v>
      </x:c>
      <x:c r="C431" s="29" t="str">
        <x:v>CO</x:v>
      </x:c>
      <x:c r="D431" s="29" t="str">
        <x:v>Chaffee County</x:v>
      </x:c>
      <x:c r="E431" s="41" t="n">
        <x:v>20831</x:v>
      </x:c>
      <x:c r="F431" s="56" t="n">
        <x:v>38.734599</x:v>
      </x:c>
      <x:c r="G431" s="56" t="n">
        <x:v>-106.300025</x:v>
      </x:c>
      <x:c r="H431" s="44" t="n">
        <x:f>E431/SUMIF(A:A,A431,E:E)</x:f>
        <x:v>0.0027904194215656515</x:v>
      </x:c>
    </x:row>
    <x:row r="432" ht="21.600000381469727" hidden="0" customHeight="1">
      <x:c r="A432" s="27" t="str">
        <x:v>SCA-12</x:v>
      </x:c>
      <x:c r="B432" s="27" t="str">
        <x:v>08075</x:v>
      </x:c>
      <x:c r="C432" s="27" t="str">
        <x:v>CO</x:v>
      </x:c>
      <x:c r="D432" s="27" t="str">
        <x:v>Logan County</x:v>
      </x:c>
      <x:c r="E432" s="40" t="n">
        <x:v>20654</x:v>
      </x:c>
      <x:c r="F432" s="55" t="n">
        <x:v>40.728091</x:v>
      </x:c>
      <x:c r="G432" s="55" t="n">
        <x:v>-103.090464</x:v>
      </x:c>
      <x:c r="H432" s="43" t="n">
        <x:f>E432/SUMIF(A:A,A432,E:E)</x:f>
        <x:v>0.0027667093626334294</x:v>
      </x:c>
    </x:row>
    <x:row r="433" ht="21.600000381469727" hidden="0" customHeight="1">
      <x:c r="A433" s="29" t="str">
        <x:v>SCA-12</x:v>
      </x:c>
      <x:c r="B433" s="29" t="str">
        <x:v>35028</x:v>
      </x:c>
      <x:c r="C433" s="29" t="str">
        <x:v>NM</x:v>
      </x:c>
      <x:c r="D433" s="29" t="str">
        <x:v>Los Alamos County</x:v>
      </x:c>
      <x:c r="E433" s="41" t="n">
        <x:v>19407</x:v>
      </x:c>
      <x:c r="F433" s="56" t="n">
        <x:v>35.870047</x:v>
      </x:c>
      <x:c r="G433" s="56" t="n">
        <x:v>-106.307968</x:v>
      </x:c>
      <x:c r="H433" s="44" t="n">
        <x:f>E433/SUMIF(A:A,A433,E:E)</x:f>
        <x:v>0.0025996673090261917</x:v>
      </x:c>
    </x:row>
    <x:row r="434" ht="21.600000381469727" hidden="0" customHeight="1">
      <x:c r="A434" s="27" t="str">
        <x:v>SCA-12</x:v>
      </x:c>
      <x:c r="B434" s="27" t="str">
        <x:v>48117</x:v>
      </x:c>
      <x:c r="C434" s="27" t="str">
        <x:v>TX</x:v>
      </x:c>
      <x:c r="D434" s="27" t="str">
        <x:v>Deaf Smith County</x:v>
      </x:c>
      <x:c r="E434" s="40" t="n">
        <x:v>18626</x:v>
      </x:c>
      <x:c r="F434" s="55" t="n">
        <x:v>34.940766</x:v>
      </x:c>
      <x:c r="G434" s="55" t="n">
        <x:v>-102.607564</x:v>
      </x:c>
      <x:c r="H434" s="43" t="n">
        <x:f>E434/SUMIF(A:A,A434,E:E)</x:f>
        <x:v>0.0024950483484269515</x:v>
      </x:c>
    </x:row>
    <x:row r="435" ht="15" hidden="0" customHeight="1">
      <x:c r="A435" s="29" t="str">
        <x:v>SCA-12</x:v>
      </x:c>
      <x:c r="B435" s="29" t="str">
        <x:v>08093</x:v>
      </x:c>
      <x:c r="C435" s="29" t="str">
        <x:v>CO</x:v>
      </x:c>
      <x:c r="D435" s="29" t="str">
        <x:v>Park County</x:v>
      </x:c>
      <x:c r="E435" s="41" t="n">
        <x:v>18314</x:v>
      </x:c>
      <x:c r="F435" s="56" t="n">
        <x:v>39.118914</x:v>
      </x:c>
      <x:c r="G435" s="56" t="n">
        <x:v>-105.717648</x:v>
      </x:c>
      <x:c r="H435" s="44" t="n">
        <x:f>E435/SUMIF(A:A,A435,E:E)</x:f>
        <x:v>0.0024532543462413396</x:v>
      </x:c>
    </x:row>
    <x:row r="436" ht="21.600000381469727" hidden="0" customHeight="1">
      <x:c r="A436" s="27" t="str">
        <x:v>SCA-12</x:v>
      </x:c>
      <x:c r="B436" s="27" t="str">
        <x:v>08089</x:v>
      </x:c>
      <x:c r="C436" s="27" t="str">
        <x:v>CO</x:v>
      </x:c>
      <x:c r="D436" s="27" t="str">
        <x:v>Otero County</x:v>
      </x:c>
      <x:c r="E436" s="40" t="n">
        <x:v>17683</x:v>
      </x:c>
      <x:c r="F436" s="55" t="n">
        <x:v>37.88417</x:v>
      </x:c>
      <x:c r="G436" s="55" t="n">
        <x:v>-103.72126</x:v>
      </x:c>
      <x:c r="H436" s="43" t="n">
        <x:f>E436/SUMIF(A:A,A436,E:E)</x:f>
        <x:v>0.0023687286559236436</x:v>
      </x:c>
    </x:row>
    <x:row r="437" ht="21.600000381469727" hidden="0" customHeight="1">
      <x:c r="A437" s="29" t="str">
        <x:v>SCA-12</x:v>
      </x:c>
      <x:c r="B437" s="29" t="str">
        <x:v>08051</x:v>
      </x:c>
      <x:c r="C437" s="29" t="str">
        <x:v>CO</x:v>
      </x:c>
      <x:c r="D437" s="29" t="str">
        <x:v>Gunnison County</x:v>
      </x:c>
      <x:c r="E437" s="41" t="n">
        <x:v>17439</x:v>
      </x:c>
      <x:c r="F437" s="56" t="n">
        <x:v>38.670499</x:v>
      </x:c>
      <x:c r="G437" s="56" t="n">
        <x:v>-107.05688</x:v>
      </x:c>
      <x:c r="H437" s="44" t="n">
        <x:f>E437/SUMIF(A:A,A437,E:E)</x:f>
        <x:v>0.0023360436029323316</x:v>
      </x:c>
    </x:row>
    <x:row r="438" ht="21.600000381469727" hidden="0" customHeight="1">
      <x:c r="A438" s="27" t="str">
        <x:v>SCA-12</x:v>
      </x:c>
      <x:c r="B438" s="27" t="str">
        <x:v>08003</x:v>
      </x:c>
      <x:c r="C438" s="27" t="str">
        <x:v>CO</x:v>
      </x:c>
      <x:c r="D438" s="27" t="str">
        <x:v>Alamosa County</x:v>
      </x:c>
      <x:c r="E438" s="40" t="n">
        <x:v>16688</x:v>
      </x:c>
      <x:c r="F438" s="55" t="n">
        <x:v>37.568442</x:v>
      </x:c>
      <x:c r="G438" s="55" t="n">
        <x:v>-105.788041</x:v>
      </x:c>
      <x:c r="H438" s="43" t="n">
        <x:f>E438/SUMIF(A:A,A438,E:E)</x:f>
        <x:v>0.0022354432963894</x:v>
      </x:c>
    </x:row>
    <x:row r="439" ht="15" hidden="0" customHeight="1">
      <x:c r="A439" s="29" t="str">
        <x:v>SCA-12</x:v>
      </x:c>
      <x:c r="B439" s="29" t="str">
        <x:v>08097</x:v>
      </x:c>
      <x:c r="C439" s="29" t="str">
        <x:v>CO</x:v>
      </x:c>
      <x:c r="D439" s="29" t="str">
        <x:v>Pitkin County</x:v>
      </x:c>
      <x:c r="E439" s="41" t="n">
        <x:v>16625</x:v>
      </x:c>
      <x:c r="F439" s="56" t="n">
        <x:v>39.217541</x:v>
      </x:c>
      <x:c r="G439" s="56" t="n">
        <x:v>-106.916162</x:v>
      </x:c>
      <x:c r="H439" s="44" t="n">
        <x:f>E439/SUMIF(A:A,A439,E:E)</x:f>
        <x:v>0.0022270041228711515</x:v>
      </x:c>
    </x:row>
    <x:row r="440" ht="21.600000381469727" hidden="0" customHeight="1">
      <x:c r="A440" s="27" t="str">
        <x:v>SCA-12</x:v>
      </x:c>
      <x:c r="B440" s="27" t="str">
        <x:v>08049</x:v>
      </x:c>
      <x:c r="C440" s="27" t="str">
        <x:v>CO</x:v>
      </x:c>
      <x:c r="D440" s="27" t="str">
        <x:v>Grand County</x:v>
      </x:c>
      <x:c r="E440" s="40" t="n">
        <x:v>16496</x:v>
      </x:c>
      <x:c r="F440" s="55" t="n">
        <x:v>40.113065</x:v>
      </x:c>
      <x:c r="G440" s="55" t="n">
        <x:v>-106.110837</x:v>
      </x:c>
      <x:c r="H440" s="43" t="n">
        <x:f>E440/SUMIF(A:A,A440,E:E)</x:f>
        <x:v>0.0022097239104290236</x:v>
      </x:c>
    </x:row>
    <x:row r="441" ht="21.600000381469727" hidden="0" customHeight="1">
      <x:c r="A441" s="29" t="str">
        <x:v>SCA-12</x:v>
      </x:c>
      <x:c r="B441" s="29" t="str">
        <x:v>08071</x:v>
      </x:c>
      <x:c r="C441" s="29" t="str">
        <x:v>CO</x:v>
      </x:c>
      <x:c r="D441" s="29" t="str">
        <x:v>Las Animas County</x:v>
      </x:c>
      <x:c r="E441" s="41" t="n">
        <x:v>14391</x:v>
      </x:c>
      <x:c r="F441" s="56" t="n">
        <x:v>37.318831</x:v>
      </x:c>
      <x:c r="G441" s="56" t="n">
        <x:v>-104.04411</x:v>
      </x:c>
      <x:c r="H441" s="44" t="n">
        <x:f>E441/SUMIF(A:A,A441,E:E)</x:f>
        <x:v>0.0019277483508113528</x:v>
      </x:c>
    </x:row>
    <x:row r="442" ht="21.600000381469727" hidden="0" customHeight="1">
      <x:c r="A442" s="27" t="str">
        <x:v>SCA-12</x:v>
      </x:c>
      <x:c r="B442" s="27" t="str">
        <x:v>08007</x:v>
      </x:c>
      <x:c r="C442" s="27" t="str">
        <x:v>CO</x:v>
      </x:c>
      <x:c r="D442" s="27" t="str">
        <x:v>Archuleta County</x:v>
      </x:c>
      <x:c r="E442" s="40" t="n">
        <x:v>14306</x:v>
      </x:c>
      <x:c r="F442" s="55" t="n">
        <x:v>37.202395</x:v>
      </x:c>
      <x:c r="G442" s="55" t="n">
        <x:v>-107.050863</x:v>
      </x:c>
      <x:c r="H442" s="43" t="n">
        <x:f>E442/SUMIF(A:A,A442,E:E)</x:f>
        <x:v>0.0019163621643184779</x:v>
      </x:c>
    </x:row>
    <x:row r="443" ht="21.600000381469727" hidden="0" customHeight="1">
      <x:c r="A443" s="29" t="str">
        <x:v>SCA-12</x:v>
      </x:c>
      <x:c r="B443" s="29" t="str">
        <x:v>56007</x:v>
      </x:c>
      <x:c r="C443" s="29" t="str">
        <x:v>WY</x:v>
      </x:c>
      <x:c r="D443" s="29" t="str">
        <x:v>Carbon County</x:v>
      </x:c>
      <x:c r="E443" s="41" t="n">
        <x:v>14013</x:v>
      </x:c>
      <x:c r="F443" s="56" t="n">
        <x:v>41.70359</x:v>
      </x:c>
      <x:c r="G443" s="56" t="n">
        <x:v>-106.933153</x:v>
      </x:c>
      <x:c r="H443" s="44" t="n">
        <x:f>E443/SUMIF(A:A,A443,E:E)</x:f>
        <x:v>0.0018771133097018615</x:v>
      </x:c>
    </x:row>
    <x:row r="444" ht="21.600000381469727" hidden="0" customHeight="1">
      <x:c r="A444" s="27" t="str">
        <x:v>SCA-12</x:v>
      </x:c>
      <x:c r="B444" s="27" t="str">
        <x:v>56009</x:v>
      </x:c>
      <x:c r="C444" s="27" t="str">
        <x:v>WY</x:v>
      </x:c>
      <x:c r="D444" s="27" t="str">
        <x:v>Converse County</x:v>
      </x:c>
      <x:c r="E444" s="40" t="n">
        <x:v>13824</x:v>
      </x:c>
      <x:c r="F444" s="55" t="n">
        <x:v>42.984623</x:v>
      </x:c>
      <x:c r="G444" s="55" t="n">
        <x:v>-105.524752</x:v>
      </x:c>
      <x:c r="H444" s="43" t="n">
        <x:f>E444/SUMIF(A:A,A444,E:E)</x:f>
        <x:v>0.0018517957891471158</x:v>
      </x:c>
    </x:row>
    <x:row r="445" ht="32.400001525878906" hidden="0" customHeight="1">
      <x:c r="A445" s="29" t="str">
        <x:v>SCA-12</x:v>
      </x:c>
      <x:c r="B445" s="29" t="str">
        <x:v>46102</x:v>
      </x:c>
      <x:c r="C445" s="29" t="str">
        <x:v>SD</x:v>
      </x:c>
      <x:c r="D445" s="29" t="str">
        <x:v>Oglala Lakota County</x:v>
      </x:c>
      <x:c r="E445" s="41" t="n">
        <x:v>13338</x:v>
      </x:c>
      <x:c r="F445" s="56" t="n">
        <x:v>43.333393</x:v>
      </x:c>
      <x:c r="G445" s="56" t="n">
        <x:v>-102.561486</x:v>
      </x:c>
      <x:c r="H445" s="44" t="n">
        <x:f>E445/SUMIF(A:A,A445,E:E)</x:f>
        <x:v>0.0017866935934349123</x:v>
      </x:c>
    </x:row>
    <x:row r="446" ht="21.600000381469727" hidden="0" customHeight="1">
      <x:c r="A446" s="27" t="str">
        <x:v>SCA-12</x:v>
      </x:c>
      <x:c r="B446" s="27" t="str">
        <x:v>56015</x:v>
      </x:c>
      <x:c r="C446" s="27" t="str">
        <x:v>WY</x:v>
      </x:c>
      <x:c r="D446" s="27" t="str">
        <x:v>Goshen County</x:v>
      </x:c>
      <x:c r="E446" s="40" t="n">
        <x:v>12640</x:v>
      </x:c>
      <x:c r="F446" s="55" t="n">
        <x:v>42.089455</x:v>
      </x:c>
      <x:c r="G446" s="55" t="n">
        <x:v>-104.35354</x:v>
      </x:c>
      <x:c r="H446" s="43" t="n">
        <x:f>E446/SUMIF(A:A,A446,E:E)</x:f>
        <x:v>0.0016931929090581266</x:v>
      </x:c>
    </x:row>
    <x:row r="447" ht="21.600000381469727" hidden="0" customHeight="1">
      <x:c r="A447" s="29" t="str">
        <x:v>SCA-12</x:v>
      </x:c>
      <x:c r="B447" s="29" t="str">
        <x:v>35007</x:v>
      </x:c>
      <x:c r="C447" s="29" t="str">
        <x:v>NM</x:v>
      </x:c>
      <x:c r="D447" s="29" t="str">
        <x:v>Colfax County</x:v>
      </x:c>
      <x:c r="E447" s="41" t="n">
        <x:v>12184</x:v>
      </x:c>
      <x:c r="F447" s="56" t="n">
        <x:v>36.612964</x:v>
      </x:c>
      <x:c r="G447" s="56" t="n">
        <x:v>-104.64011</x:v>
      </x:c>
      <x:c r="H447" s="44" t="n">
        <x:f>E447/SUMIF(A:A,A447,E:E)</x:f>
        <x:v>0.0016321093674022322</x:v>
      </x:c>
    </x:row>
    <x:row r="448" ht="21.600000381469727" hidden="0" customHeight="1">
      <x:c r="A448" s="27" t="str">
        <x:v>SCA-12</x:v>
      </x:c>
      <x:c r="B448" s="27" t="str">
        <x:v>30017</x:v>
      </x:c>
      <x:c r="C448" s="27" t="str">
        <x:v>MT</x:v>
      </x:c>
      <x:c r="D448" s="27" t="str">
        <x:v>Custer County</x:v>
      </x:c>
      <x:c r="E448" s="40" t="n">
        <x:v>12034</x:v>
      </x:c>
      <x:c r="F448" s="55" t="n">
        <x:v>46.261414</x:v>
      </x:c>
      <x:c r="G448" s="55" t="n">
        <x:v>-105.550352</x:v>
      </x:c>
      <x:c r="H448" s="43" t="n">
        <x:f>E448/SUMIF(A:A,A448,E:E)</x:f>
        <x:v>0.001612016097120688</x:v>
      </x:c>
    </x:row>
    <x:row r="449" ht="21.600000381469727" hidden="0" customHeight="1">
      <x:c r="A449" s="29" t="str">
        <x:v>SCA-12</x:v>
      </x:c>
      <x:c r="B449" s="29" t="str">
        <x:v>08099</x:v>
      </x:c>
      <x:c r="C449" s="29" t="str">
        <x:v>CO</x:v>
      </x:c>
      <x:c r="D449" s="29" t="str">
        <x:v>Prowers County</x:v>
      </x:c>
      <x:c r="E449" s="41" t="n">
        <x:v>11884</x:v>
      </x:c>
      <x:c r="F449" s="56" t="n">
        <x:v>37.958443</x:v>
      </x:c>
      <x:c r="G449" s="56" t="n">
        <x:v>-102.391754</x:v>
      </x:c>
      <x:c r="H449" s="44" t="n">
        <x:f>E449/SUMIF(A:A,A449,E:E)</x:f>
        <x:v>0.0015919228268391438</x:v>
      </x:c>
    </x:row>
    <x:row r="450" ht="21.600000381469727" hidden="0" customHeight="1">
      <x:c r="A450" s="27" t="str">
        <x:v>SCA-12</x:v>
      </x:c>
      <x:c r="B450" s="27" t="str">
        <x:v>08105</x:v>
      </x:c>
      <x:c r="C450" s="27" t="str">
        <x:v>CO</x:v>
      </x:c>
      <x:c r="D450" s="27" t="str">
        <x:v>Rio Grande County</x:v>
      </x:c>
      <x:c r="E450" s="40" t="n">
        <x:v>11087</x:v>
      </x:c>
      <x:c r="F450" s="55" t="n">
        <x:v>37.485853</x:v>
      </x:c>
      <x:c r="G450" s="55" t="n">
        <x:v>-106.453128</x:v>
      </x:c>
      <x:c r="H450" s="43" t="n">
        <x:f>E450/SUMIF(A:A,A450,E:E)</x:f>
        <x:v>0.0014851605840765388</x:v>
      </x:c>
    </x:row>
    <x:row r="451" ht="15" hidden="0" customHeight="1">
      <x:c r="A451" s="29" t="str">
        <x:v>SCA-12</x:v>
      </x:c>
      <x:c r="B451" s="29" t="str">
        <x:v>46019</x:v>
      </x:c>
      <x:c r="C451" s="29" t="str">
        <x:v>SD</x:v>
      </x:c>
      <x:c r="D451" s="29" t="str">
        <x:v>Butte County</x:v>
      </x:c>
      <x:c r="E451" s="41" t="n">
        <x:v>10856</x:v>
      </x:c>
      <x:c r="F451" s="56" t="n">
        <x:v>44.896226</x:v>
      </x:c>
      <x:c r="G451" s="56" t="n">
        <x:v>-103.501436</x:v>
      </x:c>
      <x:c r="H451" s="44" t="n">
        <x:f>E451/SUMIF(A:A,A451,E:E)</x:f>
        <x:v>0.0014542169478429607</x:v>
      </x:c>
    </x:row>
    <x:row r="452" ht="21.600000381469727" hidden="0" customHeight="1">
      <x:c r="A452" s="27" t="str">
        <x:v>SCA-12</x:v>
      </x:c>
      <x:c r="B452" s="27" t="str">
        <x:v>31013</x:v>
      </x:c>
      <x:c r="C452" s="27" t="str">
        <x:v>NE</x:v>
      </x:c>
      <x:c r="D452" s="27" t="str">
        <x:v>Box Butte County</x:v>
      </x:c>
      <x:c r="E452" s="40" t="n">
        <x:v>10494</x:v>
      </x:c>
      <x:c r="F452" s="55" t="n">
        <x:v>42.21038</x:v>
      </x:c>
      <x:c r="G452" s="55" t="n">
        <x:v>-103.081779</x:v>
      </x:c>
      <x:c r="H452" s="43" t="n">
        <x:f>E452/SUMIF(A:A,A452,E:E)</x:f>
        <x:v>0.001405725188896834</x:v>
      </x:c>
    </x:row>
    <x:row r="453" ht="21.600000381469727" hidden="0" customHeight="1">
      <x:c r="A453" s="29" t="str">
        <x:v>SCA-12</x:v>
      </x:c>
      <x:c r="B453" s="29" t="str">
        <x:v>31145</x:v>
      </x:c>
      <x:c r="C453" s="29" t="str">
        <x:v>NE</x:v>
      </x:c>
      <x:c r="D453" s="29" t="str">
        <x:v>Red Willow County</x:v>
      </x:c>
      <x:c r="E453" s="41" t="n">
        <x:v>10307</x:v>
      </x:c>
      <x:c r="F453" s="56" t="n">
        <x:v>40.16942</x:v>
      </x:c>
      <x:c r="G453" s="56" t="n">
        <x:v>-100.468576</x:v>
      </x:c>
      <x:c r="H453" s="44" t="n">
        <x:f>E453/SUMIF(A:A,A453,E:E)</x:f>
        <x:v>0.0013806755786125089</x:v>
      </x:c>
    </x:row>
    <x:row r="454" ht="21.600000381469727" hidden="0" customHeight="1">
      <x:c r="A454" s="27" t="str">
        <x:v>SCA-12</x:v>
      </x:c>
      <x:c r="B454" s="27" t="str">
        <x:v>08125</x:v>
      </x:c>
      <x:c r="C454" s="27" t="str">
        <x:v>CO</x:v>
      </x:c>
      <x:c r="D454" s="27" t="str">
        <x:v>Yuma County</x:v>
      </x:c>
      <x:c r="E454" s="40" t="n">
        <x:v>9896</x:v>
      </x:c>
      <x:c r="F454" s="55" t="n">
        <x:v>40.00077</x:v>
      </x:c>
      <x:c r="G454" s="55" t="n">
        <x:v>-102.421649</x:v>
      </x:c>
      <x:c r="H454" s="43" t="n">
        <x:f>E454/SUMIF(A:A,A454,E:E)</x:f>
        <x:v>0.0013256200180410775</x:v>
      </x:c>
    </x:row>
    <x:row r="455" ht="21.600000381469727" hidden="0" customHeight="1">
      <x:c r="A455" s="29" t="str">
        <x:v>SCA-12</x:v>
      </x:c>
      <x:c r="B455" s="29" t="str">
        <x:v>31033</x:v>
      </x:c>
      <x:c r="C455" s="29" t="str">
        <x:v>NE</x:v>
      </x:c>
      <x:c r="D455" s="29" t="str">
        <x:v>Cheyenne County</x:v>
      </x:c>
      <x:c r="E455" s="41" t="n">
        <x:v>9528</x:v>
      </x:c>
      <x:c r="F455" s="56" t="n">
        <x:v>41.214236</x:v>
      </x:c>
      <x:c r="G455" s="56" t="n">
        <x:v>-103.011929</x:v>
      </x:c>
      <x:c r="H455" s="44" t="n">
        <x:f>E455/SUMIF(A:A,A455,E:E)</x:f>
        <x:v>0.001276324528283689</x:v>
      </x:c>
    </x:row>
    <x:row r="456" ht="21.600000381469727" hidden="0" customHeight="1">
      <x:c r="A456" s="27" t="str">
        <x:v>SCA-12</x:v>
      </x:c>
      <x:c r="B456" s="27" t="str">
        <x:v>46033</x:v>
      </x:c>
      <x:c r="C456" s="27" t="str">
        <x:v>SD</x:v>
      </x:c>
      <x:c r="D456" s="27" t="str">
        <x:v>Custer County</x:v>
      </x:c>
      <x:c r="E456" s="40" t="n">
        <x:v>9431</x:v>
      </x:c>
      <x:c r="F456" s="55" t="n">
        <x:v>43.684943</x:v>
      </x:c>
      <x:c r="G456" s="55" t="n">
        <x:v>-103.46225</x:v>
      </x:c>
      <x:c r="H456" s="43" t="n">
        <x:f>E456/SUMIF(A:A,A456,E:E)</x:f>
        <x:v>0.0012633308801682905</x:v>
      </x:c>
    </x:row>
    <x:row r="457" ht="21.600000381469727" hidden="0" customHeight="1">
      <x:c r="A457" s="29" t="str">
        <x:v>SCA-12</x:v>
      </x:c>
      <x:c r="B457" s="29" t="str">
        <x:v>08019</x:v>
      </x:c>
      <x:c r="C457" s="29" t="str">
        <x:v>CO</x:v>
      </x:c>
      <x:c r="D457" s="29" t="str">
        <x:v>Clear Creek County</x:v>
      </x:c>
      <x:c r="E457" s="41" t="n">
        <x:v>8994</x:v>
      </x:c>
      <x:c r="F457" s="56" t="n">
        <x:v>39.689403</x:v>
      </x:c>
      <x:c r="G457" s="56" t="n">
        <x:v>-105.670783</x:v>
      </x:c>
      <x:c r="H457" s="44" t="n">
        <x:f>E457/SUMIF(A:A,A457,E:E)</x:f>
        <x:v>0.0012047924860813916</x:v>
      </x:c>
    </x:row>
    <x:row r="458" ht="15" hidden="0" customHeight="1">
      <x:c r="A458" s="27" t="str">
        <x:v>SCA-12</x:v>
      </x:c>
      <x:c r="B458" s="27" t="str">
        <x:v>46121</x:v>
      </x:c>
      <x:c r="C458" s="27" t="str">
        <x:v>SD</x:v>
      </x:c>
      <x:c r="D458" s="27" t="str">
        <x:v>Todd County</x:v>
      </x:c>
      <x:c r="E458" s="40" t="n">
        <x:v>8863</x:v>
      </x:c>
      <x:c r="F458" s="55" t="n">
        <x:v>43.208794</x:v>
      </x:c>
      <x:c r="G458" s="55" t="n">
        <x:v>-100.707664</x:v>
      </x:c>
      <x:c r="H458" s="43" t="n">
        <x:f>E458/SUMIF(A:A,A458,E:E)</x:f>
        <x:v>0.001187244363368843</x:v>
      </x:c>
    </x:row>
    <x:row r="459" ht="21.600000381469727" hidden="0" customHeight="1">
      <x:c r="A459" s="29" t="str">
        <x:v>SCA-12</x:v>
      </x:c>
      <x:c r="B459" s="29" t="str">
        <x:v>30021</x:v>
      </x:c>
      <x:c r="C459" s="29" t="str">
        <x:v>MT</x:v>
      </x:c>
      <x:c r="D459" s="29" t="str">
        <x:v>Dawson County</x:v>
      </x:c>
      <x:c r="E459" s="41" t="n">
        <x:v>8692</x:v>
      </x:c>
      <x:c r="F459" s="56" t="n">
        <x:v>47.26613</x:v>
      </x:c>
      <x:c r="G459" s="56" t="n">
        <x:v>-104.898271</x:v>
      </x:c>
      <x:c r="H459" s="44" t="n">
        <x:f>E459/SUMIF(A:A,A459,E:E)</x:f>
        <x:v>0.0011643380352478827</x:v>
      </x:c>
    </x:row>
    <x:row r="460" ht="21.600000381469727" hidden="0" customHeight="1">
      <x:c r="A460" s="27" t="str">
        <x:v>SCA-12</x:v>
      </x:c>
      <x:c r="B460" s="27" t="str">
        <x:v>56031</x:v>
      </x:c>
      <x:c r="C460" s="27" t="str">
        <x:v>WY</x:v>
      </x:c>
      <x:c r="D460" s="27" t="str">
        <x:v>Platte County</x:v>
      </x:c>
      <x:c r="E460" s="40" t="n">
        <x:v>8634</x:v>
      </x:c>
      <x:c r="F460" s="55" t="n">
        <x:v>42.131593</x:v>
      </x:c>
      <x:c r="G460" s="55" t="n">
        <x:v>-104.953963</x:v>
      </x:c>
      <x:c r="H460" s="43" t="n">
        <x:f>E460/SUMIF(A:A,A460,E:E)</x:f>
        <x:v>0.0011565686374056855</x:v>
      </x:c>
    </x:row>
    <x:row r="461" ht="15" hidden="0" customHeight="1">
      <x:c r="A461" s="29" t="str">
        <x:v>SCA-12</x:v>
      </x:c>
      <x:c r="B461" s="29" t="str">
        <x:v>35037</x:v>
      </x:c>
      <x:c r="C461" s="29" t="str">
        <x:v>NM</x:v>
      </x:c>
      <x:c r="D461" s="29" t="str">
        <x:v>Quay County</x:v>
      </x:c>
      <x:c r="E461" s="41" t="n">
        <x:v>8454</x:v>
      </x:c>
      <x:c r="F461" s="56" t="n">
        <x:v>35.107018</x:v>
      </x:c>
      <x:c r="G461" s="56" t="n">
        <x:v>-103.548071</x:v>
      </x:c>
      <x:c r="H461" s="44" t="n">
        <x:f>E461/SUMIF(A:A,A461,E:E)</x:f>
        <x:v>0.0011324567130678324</x:v>
      </x:c>
    </x:row>
    <x:row r="462" ht="15" hidden="0" customHeight="1">
      <x:c r="A462" s="27" t="str">
        <x:v>SCA-12</x:v>
      </x:c>
      <x:c r="B462" s="27" t="str">
        <x:v>31101</x:v>
      </x:c>
      <x:c r="C462" s="27" t="str">
        <x:v>NE</x:v>
      </x:c>
      <x:c r="D462" s="27" t="str">
        <x:v>Keith County</x:v>
      </x:c>
      <x:c r="E462" s="40" t="n">
        <x:v>8100</x:v>
      </x:c>
      <x:c r="F462" s="55" t="n">
        <x:v>41.194245</x:v>
      </x:c>
      <x:c r="G462" s="55" t="n">
        <x:v>-101.644449</x:v>
      </x:c>
      <x:c r="H462" s="43" t="n">
        <x:f>E462/SUMIF(A:A,A462,E:E)</x:f>
        <x:v>0.001085036595203388</x:v>
      </x:c>
    </x:row>
    <x:row r="463" ht="21.600000381469727" hidden="0" customHeight="1">
      <x:c r="A463" s="29" t="str">
        <x:v>SCA-12</x:v>
      </x:c>
      <x:c r="B463" s="29" t="str">
        <x:v>31045</x:v>
      </x:c>
      <x:c r="C463" s="29" t="str">
        <x:v>NE</x:v>
      </x:c>
      <x:c r="D463" s="29" t="str">
        <x:v>Dawes County</x:v>
      </x:c>
      <x:c r="E463" s="41" t="n">
        <x:v>7858</x:v>
      </x:c>
      <x:c r="F463" s="56" t="n">
        <x:v>42.713038</x:v>
      </x:c>
      <x:c r="G463" s="56" t="n">
        <x:v>-103.135436</x:v>
      </x:c>
      <x:c r="H463" s="44" t="n">
        <x:f>E463/SUMIF(A:A,A463,E:E)</x:f>
        <x:v>0.0010526194524824966</x:v>
      </x:c>
    </x:row>
    <x:row r="464" ht="21.600000381469727" hidden="0" customHeight="1">
      <x:c r="A464" s="27" t="str">
        <x:v>SCA-12</x:v>
      </x:c>
      <x:c r="B464" s="27" t="str">
        <x:v>56011</x:v>
      </x:c>
      <x:c r="C464" s="27" t="str">
        <x:v>WY</x:v>
      </x:c>
      <x:c r="D464" s="27" t="str">
        <x:v>Crook County</x:v>
      </x:c>
      <x:c r="E464" s="40" t="n">
        <x:v>7852</x:v>
      </x:c>
      <x:c r="F464" s="55" t="n">
        <x:v>44.589266</x:v>
      </x:c>
      <x:c r="G464" s="55" t="n">
        <x:v>-104.567298</x:v>
      </x:c>
      <x:c r="H464" s="43" t="n">
        <x:f>E464/SUMIF(A:A,A464,E:E)</x:f>
        <x:v>0.001051815721671235</x:v>
      </x:c>
    </x:row>
    <x:row r="465" ht="21.600000381469727" hidden="0" customHeight="1">
      <x:c r="A465" s="29" t="str">
        <x:v>SCA-12</x:v>
      </x:c>
      <x:c r="B465" s="29" t="str">
        <x:v>08113</x:v>
      </x:c>
      <x:c r="C465" s="29" t="str">
        <x:v>CO</x:v>
      </x:c>
      <x:c r="D465" s="29" t="str">
        <x:v>San Miguel County</x:v>
      </x:c>
      <x:c r="E465" s="41" t="n">
        <x:v>7753</x:v>
      </x:c>
      <x:c r="F465" s="56" t="n">
        <x:v>38.009319</x:v>
      </x:c>
      <x:c r="G465" s="56" t="n">
        <x:v>-108.427263</x:v>
      </x:c>
      <x:c r="H465" s="44" t="n">
        <x:f>E465/SUMIF(A:A,A465,E:E)</x:f>
        <x:v>0.0010385541632854157</x:v>
      </x:c>
    </x:row>
    <x:row r="466" ht="21.600000381469727" hidden="0" customHeight="1">
      <x:c r="A466" s="27" t="str">
        <x:v>SCA-12</x:v>
      </x:c>
      <x:c r="B466" s="27" t="str">
        <x:v>20193</x:v>
      </x:c>
      <x:c r="C466" s="27" t="str">
        <x:v>KS</x:v>
      </x:c>
      <x:c r="D466" s="27" t="str">
        <x:v>Thomas County</x:v>
      </x:c>
      <x:c r="E466" s="40" t="n">
        <x:v>7725</x:v>
      </x:c>
      <x:c r="F466" s="55" t="n">
        <x:v>39.357713</x:v>
      </x:c>
      <x:c r="G466" s="55" t="n">
        <x:v>-101.083386</x:v>
      </x:c>
      <x:c r="H466" s="43" t="n">
        <x:f>E466/SUMIF(A:A,A466,E:E)</x:f>
        <x:v>0.0010348034194995275</x:v>
      </x:c>
    </x:row>
    <x:row r="467" ht="15" hidden="0" customHeight="1">
      <x:c r="A467" s="29" t="str">
        <x:v>SCA-12</x:v>
      </x:c>
      <x:c r="B467" s="29" t="str">
        <x:v>08065</x:v>
      </x:c>
      <x:c r="C467" s="29" t="str">
        <x:v>CO</x:v>
      </x:c>
      <x:c r="D467" s="29" t="str">
        <x:v>Lake County</x:v>
      </x:c>
      <x:c r="E467" s="41" t="n">
        <x:v>7552</x:v>
      </x:c>
      <x:c r="F467" s="56" t="n">
        <x:v>39.205363</x:v>
      </x:c>
      <x:c r="G467" s="56" t="n">
        <x:v>-106.350123</x:v>
      </x:c>
      <x:c r="H467" s="44" t="n">
        <x:f>E467/SUMIF(A:A,A467,E:E)</x:f>
        <x:v>0.0010116291811081465</x:v>
      </x:c>
    </x:row>
    <x:row r="468" ht="21.600000381469727" hidden="0" customHeight="1">
      <x:c r="A468" s="27" t="str">
        <x:v>SCA-12</x:v>
      </x:c>
      <x:c r="B468" s="27" t="str">
        <x:v>08021</x:v>
      </x:c>
      <x:c r="C468" s="27" t="str">
        <x:v>CO</x:v>
      </x:c>
      <x:c r="D468" s="27" t="str">
        <x:v>Conejos County</x:v>
      </x:c>
      <x:c r="E468" s="40" t="n">
        <x:v>7529</x:v>
      </x:c>
      <x:c r="F468" s="55" t="n">
        <x:v>37.213406</x:v>
      </x:c>
      <x:c r="G468" s="55" t="n">
        <x:v>-106.176447</x:v>
      </x:c>
      <x:c r="H468" s="43" t="n">
        <x:f>E468/SUMIF(A:A,A468,E:E)</x:f>
        <x:v>0.0010085482129983097</x:v>
      </x:c>
    </x:row>
    <x:row r="469" ht="21.600000381469727" hidden="0" customHeight="1">
      <x:c r="A469" s="29" t="str">
        <x:v>SCA-12</x:v>
      </x:c>
      <x:c r="B469" s="29" t="str">
        <x:v>48111</x:v>
      </x:c>
      <x:c r="C469" s="29" t="str">
        <x:v>TX</x:v>
      </x:c>
      <x:c r="D469" s="29" t="str">
        <x:v>Dallam County</x:v>
      </x:c>
      <x:c r="E469" s="41" t="n">
        <x:v>7508</x:v>
      </x:c>
      <x:c r="F469" s="56" t="n">
        <x:v>36.28637</x:v>
      </x:c>
      <x:c r="G469" s="56" t="n">
        <x:v>-102.59402</x:v>
      </x:c>
      <x:c r="H469" s="44" t="n">
        <x:f>E469/SUMIF(A:A,A469,E:E)</x:f>
        <x:v>0.0010057351551588936</x:v>
      </x:c>
    </x:row>
    <x:row r="470" ht="21.600000381469727" hidden="0" customHeight="1">
      <x:c r="A470" s="27" t="str">
        <x:v>SCA-12</x:v>
      </x:c>
      <x:c r="B470" s="27" t="str">
        <x:v>46047</x:v>
      </x:c>
      <x:c r="C470" s="27" t="str">
        <x:v>SD</x:v>
      </x:c>
      <x:c r="D470" s="27" t="str">
        <x:v>Fall River County</x:v>
      </x:c>
      <x:c r="E470" s="40" t="n">
        <x:v>7467</x:v>
      </x:c>
      <x:c r="F470" s="55" t="n">
        <x:v>43.221619</x:v>
      </x:c>
      <x:c r="G470" s="55" t="n">
        <x:v>-103.512609</x:v>
      </x:c>
      <x:c r="H470" s="43" t="n">
        <x:f>E470/SUMIF(A:A,A470,E:E)</x:f>
        <x:v>0.0010002429946152716</x:v>
      </x:c>
    </x:row>
    <x:row r="471" ht="21.600000381469727" hidden="0" customHeight="1">
      <x:c r="A471" s="29" t="str">
        <x:v>SCA-12</x:v>
      </x:c>
      <x:c r="B471" s="29" t="str">
        <x:v>08063</x:v>
      </x:c>
      <x:c r="C471" s="29" t="str">
        <x:v>CO</x:v>
      </x:c>
      <x:c r="D471" s="29" t="str">
        <x:v>Kit Carson County</x:v>
      </x:c>
      <x:c r="E471" s="41" t="n">
        <x:v>7069</x:v>
      </x:c>
      <x:c r="F471" s="56" t="n">
        <x:v>39.30534</x:v>
      </x:c>
      <x:c r="G471" s="56" t="n">
        <x:v>-102.603023</x:v>
      </x:c>
      <x:c r="H471" s="44" t="n">
        <x:f>E471/SUMIF(A:A,A471,E:E)</x:f>
        <x:v>0.0009469288508015741</x:v>
      </x:c>
    </x:row>
    <x:row r="472" ht="21.600000381469727" hidden="0" customHeight="1">
      <x:c r="A472" s="27" t="str">
        <x:v>SCA-12</x:v>
      </x:c>
      <x:c r="B472" s="27" t="str">
        <x:v>08055</x:v>
      </x:c>
      <x:c r="C472" s="27" t="str">
        <x:v>CO</x:v>
      </x:c>
      <x:c r="D472" s="27" t="str">
        <x:v>Huerfano County</x:v>
      </x:c>
      <x:c r="E472" s="40" t="n">
        <x:v>7011</x:v>
      </x:c>
      <x:c r="F472" s="55" t="n">
        <x:v>37.687815</x:v>
      </x:c>
      <x:c r="G472" s="55" t="n">
        <x:v>-104.959928</x:v>
      </x:c>
      <x:c r="H472" s="43" t="n">
        <x:f>E472/SUMIF(A:A,A472,E:E)</x:f>
        <x:v>0.000939159452959377</x:v>
      </x:c>
    </x:row>
    <x:row r="473" ht="21.600000381469727" hidden="0" customHeight="1">
      <x:c r="A473" s="29" t="str">
        <x:v>SCA-12</x:v>
      </x:c>
      <x:c r="B473" s="29" t="str">
        <x:v>56045</x:v>
      </x:c>
      <x:c r="C473" s="29" t="str">
        <x:v>WY</x:v>
      </x:c>
      <x:c r="D473" s="29" t="str">
        <x:v>Weston County</x:v>
      </x:c>
      <x:c r="E473" s="41" t="n">
        <x:v>6840</x:v>
      </x:c>
      <x:c r="F473" s="56" t="n">
        <x:v>43.846213</x:v>
      </x:c>
      <x:c r="G473" s="56" t="n">
        <x:v>-104.57002</x:v>
      </x:c>
      <x:c r="H473" s="44" t="n">
        <x:f>E473/SUMIF(A:A,A473,E:E)</x:f>
        <x:v>0.0009162531248384166</x:v>
      </x:c>
    </x:row>
    <x:row r="474" ht="21.600000381469727" hidden="0" customHeight="1">
      <x:c r="A474" s="27" t="str">
        <x:v>SCA-12</x:v>
      </x:c>
      <x:c r="B474" s="27" t="str">
        <x:v>08109</x:v>
      </x:c>
      <x:c r="C474" s="27" t="str">
        <x:v>CO</x:v>
      </x:c>
      <x:c r="D474" s="27" t="str">
        <x:v>Saguache County</x:v>
      </x:c>
      <x:c r="E474" s="40" t="n">
        <x:v>6732</x:v>
      </x:c>
      <x:c r="F474" s="55" t="n">
        <x:v>38.031651</x:v>
      </x:c>
      <x:c r="G474" s="55" t="n">
        <x:v>-106.234666</x:v>
      </x:c>
      <x:c r="H474" s="43" t="n">
        <x:f>E474/SUMIF(A:A,A474,E:E)</x:f>
        <x:v>0.0009017859702357048</x:v>
      </x:c>
    </x:row>
    <x:row r="475" ht="21.600000381469727" hidden="0" customHeight="1">
      <x:c r="A475" s="29" t="str">
        <x:v>SCA-12</x:v>
      </x:c>
      <x:c r="B475" s="29" t="str">
        <x:v>08047</x:v>
      </x:c>
      <x:c r="C475" s="29" t="str">
        <x:v>CO</x:v>
      </x:c>
      <x:c r="D475" s="29" t="str">
        <x:v>Gilpin County</x:v>
      </x:c>
      <x:c r="E475" s="41" t="n">
        <x:v>6073</x:v>
      </x:c>
      <x:c r="F475" s="56" t="n">
        <x:v>39.861156</x:v>
      </x:c>
      <x:c r="G475" s="56" t="n">
        <x:v>-105.528878</x:v>
      </x:c>
      <x:c r="H475" s="44" t="n">
        <x:f>E475/SUMIF(A:A,A475,E:E)</x:f>
        <x:v>0.0008135095361321205</x:v>
      </x:c>
    </x:row>
    <x:row r="476" ht="21.600000381469727" hidden="0" customHeight="1">
      <x:c r="A476" s="27" t="str">
        <x:v>SCA-12</x:v>
      </x:c>
      <x:c r="B476" s="27" t="str">
        <x:v>20181</x:v>
      </x:c>
      <x:c r="C476" s="27" t="str">
        <x:v>KS</x:v>
      </x:c>
      <x:c r="D476" s="27" t="str">
        <x:v>Sherman County</x:v>
      </x:c>
      <x:c r="E476" s="40" t="n">
        <x:v>5763</x:v>
      </x:c>
      <x:c r="F476" s="55" t="n">
        <x:v>39.351352</x:v>
      </x:c>
      <x:c r="G476" s="55" t="n">
        <x:v>-101.719859</x:v>
      </x:c>
      <x:c r="H476" s="43" t="n">
        <x:f>E476/SUMIF(A:A,A476,E:E)</x:f>
        <x:v>0.000771983444216929</x:v>
      </x:c>
    </x:row>
    <x:row r="477" ht="15" hidden="0" customHeight="1">
      <x:c r="A477" s="29" t="str">
        <x:v>SCA-12</x:v>
      </x:c>
      <x:c r="B477" s="29" t="str">
        <x:v>08011</x:v>
      </x:c>
      <x:c r="C477" s="29" t="str">
        <x:v>CO</x:v>
      </x:c>
      <x:c r="D477" s="29" t="str">
        <x:v>Bent County</x:v>
      </x:c>
      <x:c r="E477" s="41" t="n">
        <x:v>5716</x:v>
      </x:c>
      <x:c r="F477" s="56" t="n">
        <x:v>37.931891</x:v>
      </x:c>
      <x:c r="G477" s="56" t="n">
        <x:v>-103.077584</x:v>
      </x:c>
      <x:c r="H477" s="44" t="n">
        <x:f>E477/SUMIF(A:A,A477,E:E)</x:f>
        <x:v>0.0007656875528620452</x:v>
      </x:c>
    </x:row>
    <x:row r="478" ht="21.600000381469727" hidden="0" customHeight="1">
      <x:c r="A478" s="27" t="str">
        <x:v>SCA-12</x:v>
      </x:c>
      <x:c r="B478" s="27" t="str">
        <x:v>08025</x:v>
      </x:c>
      <x:c r="C478" s="27" t="str">
        <x:v>CO</x:v>
      </x:c>
      <x:c r="D478" s="27" t="str">
        <x:v>Crowley County</x:v>
      </x:c>
      <x:c r="E478" s="40" t="n">
        <x:v>5677</x:v>
      </x:c>
      <x:c r="F478" s="55" t="n">
        <x:v>38.30618</x:v>
      </x:c>
      <x:c r="G478" s="55" t="n">
        <x:v>-103.772736</x:v>
      </x:c>
      <x:c r="H478" s="43" t="n">
        <x:f>E478/SUMIF(A:A,A478,E:E)</x:f>
        <x:v>0.0007604633025888437</x:v>
      </x:c>
    </x:row>
    <x:row r="479" ht="21.600000381469727" hidden="0" customHeight="1">
      <x:c r="A479" s="29" t="str">
        <x:v>SCA-12</x:v>
      </x:c>
      <x:c r="B479" s="29" t="str">
        <x:v>08073</x:v>
      </x:c>
      <x:c r="C479" s="29" t="str">
        <x:v>CO</x:v>
      </x:c>
      <x:c r="D479" s="29" t="str">
        <x:v>Lincoln County</x:v>
      </x:c>
      <x:c r="E479" s="41" t="n">
        <x:v>5645</x:v>
      </x:c>
      <x:c r="F479" s="56" t="n">
        <x:v>38.99374</x:v>
      </x:c>
      <x:c r="G479" s="56" t="n">
        <x:v>-103.507555</x:v>
      </x:c>
      <x:c r="H479" s="44" t="n">
        <x:f>E479/SUMIF(A:A,A479,E:E)</x:f>
        <x:v>0.0007561767382621143</x:v>
      </x:c>
    </x:row>
    <x:row r="480" ht="21.600000381469727" hidden="0" customHeight="1">
      <x:c r="A480" s="27" t="str">
        <x:v>SCA-12</x:v>
      </x:c>
      <x:c r="B480" s="27" t="str">
        <x:v>08027</x:v>
      </x:c>
      <x:c r="C480" s="27" t="str">
        <x:v>CO</x:v>
      </x:c>
      <x:c r="D480" s="27" t="str">
        <x:v>Custer County</x:v>
      </x:c>
      <x:c r="E480" s="40" t="n">
        <x:v>5590</x:v>
      </x:c>
      <x:c r="F480" s="55" t="n">
        <x:v>38.101996</x:v>
      </x:c>
      <x:c r="G480" s="55" t="n">
        <x:v>-105.373512</x:v>
      </x:c>
      <x:c r="H480" s="43" t="n">
        <x:f>E480/SUMIF(A:A,A480,E:E)</x:f>
        <x:v>0.000748809205825548</x:v>
      </x:c>
    </x:row>
    <x:row r="481" ht="21.600000381469727" hidden="0" customHeight="1">
      <x:c r="A481" s="29" t="str">
        <x:v>SCA-12</x:v>
      </x:c>
      <x:c r="B481" s="29" t="str">
        <x:v>31031</x:v>
      </x:c>
      <x:c r="C481" s="29" t="str">
        <x:v>NE</x:v>
      </x:c>
      <x:c r="D481" s="29" t="str">
        <x:v>Cherry County</x:v>
      </x:c>
      <x:c r="E481" s="41" t="n">
        <x:v>5561</x:v>
      </x:c>
      <x:c r="F481" s="56" t="n">
        <x:v>42.571323</x:v>
      </x:c>
      <x:c r="G481" s="56" t="n">
        <x:v>-101.047653</x:v>
      </x:c>
      <x:c r="H481" s="44" t="n">
        <x:f>E481/SUMIF(A:A,A481,E:E)</x:f>
        <x:v>0.0007449245069044495</x:v>
      </x:c>
    </x:row>
    <x:row r="482" ht="21.600000381469727" hidden="0" customHeight="1">
      <x:c r="A482" s="27" t="str">
        <x:v>SCA-12</x:v>
      </x:c>
      <x:c r="B482" s="27" t="str">
        <x:v>08091</x:v>
      </x:c>
      <x:c r="C482" s="27" t="str">
        <x:v>CO</x:v>
      </x:c>
      <x:c r="D482" s="27" t="str">
        <x:v>Ouray County</x:v>
      </x:c>
      <x:c r="E482" s="40" t="n">
        <x:v>5265</x:v>
      </x:c>
      <x:c r="F482" s="55" t="n">
        <x:v>38.154731</x:v>
      </x:c>
      <x:c r="G482" s="55" t="n">
        <x:v>-107.78848</x:v>
      </x:c>
      <x:c r="H482" s="43" t="n">
        <x:f>E482/SUMIF(A:A,A482,E:E)</x:f>
        <x:v>0.0007052737868822023</x:v>
      </x:c>
    </x:row>
    <x:row r="483" ht="21.600000381469727" hidden="0" customHeight="1">
      <x:c r="A483" s="29" t="str">
        <x:v>SCA-12</x:v>
      </x:c>
      <x:c r="B483" s="29" t="str">
        <x:v>48205</x:v>
      </x:c>
      <x:c r="C483" s="29" t="str">
        <x:v>TX</x:v>
      </x:c>
      <x:c r="D483" s="29" t="str">
        <x:v>Hartley County</x:v>
      </x:c>
      <x:c r="E483" s="41" t="n">
        <x:v>4904</x:v>
      </x:c>
      <x:c r="F483" s="56" t="n">
        <x:v>35.840244</x:v>
      </x:c>
      <x:c r="G483" s="56" t="n">
        <x:v>-102.610047</x:v>
      </x:c>
      <x:c r="H483" s="44" t="n">
        <x:f>E483/SUMIF(A:A,A483,E:E)</x:f>
        <x:v>0.0006569159830712858</x:v>
      </x:c>
    </x:row>
    <x:row r="484" ht="21.600000381469727" hidden="0" customHeight="1">
      <x:c r="A484" s="27" t="str">
        <x:v>SCA-12</x:v>
      </x:c>
      <x:c r="B484" s="27" t="str">
        <x:v>31161</x:v>
      </x:c>
      <x:c r="C484" s="27" t="str">
        <x:v>NE</x:v>
      </x:c>
      <x:c r="D484" s="27" t="str">
        <x:v>Sheridan County</x:v>
      </x:c>
      <x:c r="E484" s="40" t="n">
        <x:v>4809</x:v>
      </x:c>
      <x:c r="F484" s="55" t="n">
        <x:v>42.512289</x:v>
      </x:c>
      <x:c r="G484" s="55" t="n">
        <x:v>-102.36828</x:v>
      </x:c>
      <x:c r="H484" s="43" t="n">
        <x:f>E484/SUMIF(A:A,A484,E:E)</x:f>
        <x:v>0.0006441902452263078</x:v>
      </x:c>
    </x:row>
    <x:row r="485" ht="21.600000381469727" hidden="0" customHeight="1">
      <x:c r="A485" s="29" t="str">
        <x:v>SCA-12</x:v>
      </x:c>
      <x:c r="B485" s="29" t="str">
        <x:v>08121</x:v>
      </x:c>
      <x:c r="C485" s="29" t="str">
        <x:v>CO</x:v>
      </x:c>
      <x:c r="D485" s="29" t="str">
        <x:v>Washington County</x:v>
      </x:c>
      <x:c r="E485" s="41" t="n">
        <x:v>4732</x:v>
      </x:c>
      <x:c r="F485" s="56" t="n">
        <x:v>39.96579</x:v>
      </x:c>
      <x:c r="G485" s="56" t="n">
        <x:v>-103.209744</x:v>
      </x:c>
      <x:c r="H485" s="44" t="n">
        <x:f>E485/SUMIF(A:A,A485,E:E)</x:f>
        <x:v>0.0006338756998151151</x:v>
      </x:c>
    </x:row>
    <x:row r="486" ht="21.600000381469727" hidden="0" customHeight="1">
      <x:c r="A486" s="27" t="str">
        <x:v>SCA-12</x:v>
      </x:c>
      <x:c r="B486" s="27" t="str">
        <x:v>08095</x:v>
      </x:c>
      <x:c r="C486" s="27" t="str">
        <x:v>CO</x:v>
      </x:c>
      <x:c r="D486" s="27" t="str">
        <x:v>Phillips County</x:v>
      </x:c>
      <x:c r="E486" s="40" t="n">
        <x:v>4420</x:v>
      </x:c>
      <x:c r="F486" s="55" t="n">
        <x:v>40.594712</x:v>
      </x:c>
      <x:c r="G486" s="55" t="n">
        <x:v>-102.345105</x:v>
      </x:c>
      <x:c r="H486" s="43" t="n">
        <x:f>E486/SUMIF(A:A,A486,E:E)</x:f>
        <x:v>0.0005920816976295032</x:v>
      </x:c>
    </x:row>
    <x:row r="487" ht="21.600000381469727" hidden="0" customHeight="1">
      <x:c r="A487" s="29" t="str">
        <x:v>SCA-12</x:v>
      </x:c>
      <x:c r="B487" s="29" t="str">
        <x:v>31123</x:v>
      </x:c>
      <x:c r="C487" s="29" t="str">
        <x:v>NE</x:v>
      </x:c>
      <x:c r="D487" s="29" t="str">
        <x:v>Morrill County</x:v>
      </x:c>
      <x:c r="E487" s="41" t="n">
        <x:v>4404</x:v>
      </x:c>
      <x:c r="F487" s="56" t="n">
        <x:v>41.732204</x:v>
      </x:c>
      <x:c r="G487" s="56" t="n">
        <x:v>-102.990594</x:v>
      </x:c>
      <x:c r="H487" s="44" t="n">
        <x:f>E487/SUMIF(A:A,A487,E:E)</x:f>
        <x:v>0.0005899384154661384</x:v>
      </x:c>
    </x:row>
    <x:row r="488" ht="15" hidden="0" customHeight="1">
      <x:c r="A488" s="27" t="str">
        <x:v>SCA-12</x:v>
      </x:c>
      <x:c r="B488" s="27" t="str">
        <x:v>35033</x:v>
      </x:c>
      <x:c r="C488" s="27" t="str">
        <x:v>NM</x:v>
      </x:c>
      <x:c r="D488" s="27" t="str">
        <x:v>Mora County</x:v>
      </x:c>
      <x:c r="E488" s="40" t="n">
        <x:v>4051</x:v>
      </x:c>
      <x:c r="F488" s="55" t="n">
        <x:v>35.982841</x:v>
      </x:c>
      <x:c r="G488" s="55" t="n">
        <x:v>-104.921898</x:v>
      </x:c>
      <x:c r="H488" s="43" t="n">
        <x:f>E488/SUMIF(A:A,A488,E:E)</x:f>
        <x:v>0.0005426522527369043</x:v>
      </x:c>
    </x:row>
    <x:row r="489" ht="21.600000381469727" hidden="0" customHeight="1">
      <x:c r="A489" s="29" t="str">
        <x:v>SCA-12</x:v>
      </x:c>
      <x:c r="B489" s="29" t="str">
        <x:v>20093</x:v>
      </x:c>
      <x:c r="C489" s="29" t="str">
        <x:v>KS</x:v>
      </x:c>
      <x:c r="D489" s="29" t="str">
        <x:v>Kearny County</x:v>
      </x:c>
      <x:c r="E489" s="41" t="n">
        <x:v>3888</x:v>
      </x:c>
      <x:c r="F489" s="56" t="n">
        <x:v>37.994461</x:v>
      </x:c>
      <x:c r="G489" s="56" t="n">
        <x:v>-101.308136</x:v>
      </x:c>
      <x:c r="H489" s="44" t="n">
        <x:f>E489/SUMIF(A:A,A489,E:E)</x:f>
        <x:v>0.0005208175656976262</x:v>
      </x:c>
    </x:row>
    <x:row r="490" ht="21.600000381469727" hidden="0" customHeight="1">
      <x:c r="A490" s="27" t="str">
        <x:v>SCA-12</x:v>
      </x:c>
      <x:c r="B490" s="27" t="str">
        <x:v>35059</x:v>
      </x:c>
      <x:c r="C490" s="27" t="str">
        <x:v>NM</x:v>
      </x:c>
      <x:c r="D490" s="27" t="str">
        <x:v>Union County</x:v>
      </x:c>
      <x:c r="E490" s="40" t="n">
        <x:v>3844</x:v>
      </x:c>
      <x:c r="F490" s="55" t="n">
        <x:v>36.488085</x:v>
      </x:c>
      <x:c r="G490" s="55" t="n">
        <x:v>-103.475723</x:v>
      </x:c>
      <x:c r="H490" s="43" t="n">
        <x:f>E490/SUMIF(A:A,A490,E:E)</x:f>
        <x:v>0.0005149235397483733</x:v>
      </x:c>
    </x:row>
    <x:row r="491" ht="21.600000381469727" hidden="0" customHeight="1">
      <x:c r="A491" s="29" t="str">
        <x:v>SCA-12</x:v>
      </x:c>
      <x:c r="B491" s="29" t="str">
        <x:v>31029</x:v>
      </x:c>
      <x:c r="C491" s="29" t="str">
        <x:v>NE</x:v>
      </x:c>
      <x:c r="D491" s="29" t="str">
        <x:v>Chase County</x:v>
      </x:c>
      <x:c r="E491" s="41" t="n">
        <x:v>3718</x:v>
      </x:c>
      <x:c r="F491" s="56" t="n">
        <x:v>40.53039</x:v>
      </x:c>
      <x:c r="G491" s="56" t="n">
        <x:v>-101.694192</x:v>
      </x:c>
      <x:c r="H491" s="44" t="n">
        <x:f>E491/SUMIF(A:A,A491,E:E)</x:f>
        <x:v>0.0004980451927118762</x:v>
      </x:c>
    </x:row>
    <x:row r="492" ht="21.600000381469727" hidden="0" customHeight="1">
      <x:c r="A492" s="27" t="str">
        <x:v>SCA-12</x:v>
      </x:c>
      <x:c r="B492" s="27" t="str">
        <x:v>08023</x:v>
      </x:c>
      <x:c r="C492" s="27" t="str">
        <x:v>CO</x:v>
      </x:c>
      <x:c r="D492" s="27" t="str">
        <x:v>Costilla County</x:v>
      </x:c>
      <x:c r="E492" s="40" t="n">
        <x:v>3679</x:v>
      </x:c>
      <x:c r="F492" s="55" t="n">
        <x:v>37.277547</x:v>
      </x:c>
      <x:c r="G492" s="55" t="n">
        <x:v>-105.42894</x:v>
      </x:c>
      <x:c r="H492" s="43" t="n">
        <x:f>E492/SUMIF(A:A,A492,E:E)</x:f>
        <x:v>0.0004928209424386747</x:v>
      </x:c>
    </x:row>
    <x:row r="493" ht="21.600000381469727" hidden="0" customHeight="1">
      <x:c r="A493" s="29" t="str">
        <x:v>SCA-12</x:v>
      </x:c>
      <x:c r="B493" s="29" t="str">
        <x:v>31105</x:v>
      </x:c>
      <x:c r="C493" s="29" t="str">
        <x:v>NE</x:v>
      </x:c>
      <x:c r="D493" s="29" t="str">
        <x:v>Kimball County</x:v>
      </x:c>
      <x:c r="E493" s="41" t="n">
        <x:v>3391</x:v>
      </x:c>
      <x:c r="F493" s="56" t="n">
        <x:v>41.199274</x:v>
      </x:c>
      <x:c r="G493" s="56" t="n">
        <x:v>-103.703153</x:v>
      </x:c>
      <x:c r="H493" s="44" t="n">
        <x:f>E493/SUMIF(A:A,A493,E:E)</x:f>
        <x:v>0.00045424186349810974</x:v>
      </x:c>
    </x:row>
    <x:row r="494" ht="15" hidden="0" customHeight="1">
      <x:c r="A494" s="27" t="str">
        <x:v>SCA-12</x:v>
      </x:c>
      <x:c r="B494" s="27" t="str">
        <x:v>08009</x:v>
      </x:c>
      <x:c r="C494" s="27" t="str">
        <x:v>CO</x:v>
      </x:c>
      <x:c r="D494" s="27" t="str">
        <x:v>Baca County</x:v>
      </x:c>
      <x:c r="E494" s="40" t="n">
        <x:v>3347</x:v>
      </x:c>
      <x:c r="F494" s="55" t="n">
        <x:v>37.30978</x:v>
      </x:c>
      <x:c r="G494" s="55" t="n">
        <x:v>-102.543741</x:v>
      </x:c>
      <x:c r="H494" s="43" t="n">
        <x:f>E494/SUMIF(A:A,A494,E:E)</x:f>
        <x:v>0.0004483478375488568</x:v>
      </x:c>
    </x:row>
    <x:row r="495" ht="21.600000381469727" hidden="0" customHeight="1">
      <x:c r="A495" s="29" t="str">
        <x:v>SCA-12</x:v>
      </x:c>
      <x:c r="B495" s="29" t="str">
        <x:v>46007</x:v>
      </x:c>
      <x:c r="C495" s="29" t="str">
        <x:v>SD</x:v>
      </x:c>
      <x:c r="D495" s="29" t="str">
        <x:v>Bennett County</x:v>
      </x:c>
      <x:c r="E495" s="41" t="n">
        <x:v>3307</x:v>
      </x:c>
      <x:c r="F495" s="56" t="n">
        <x:v>43.186912</x:v>
      </x:c>
      <x:c r="G495" s="56" t="n">
        <x:v>-101.677181</x:v>
      </x:c>
      <x:c r="H495" s="44" t="n">
        <x:f>E495/SUMIF(A:A,A495,E:E)</x:f>
        <x:v>0.000442989632140445</x:v>
      </x:c>
    </x:row>
    <x:row r="496" ht="21.600000381469727" hidden="0" customHeight="1">
      <x:c r="A496" s="27" t="str">
        <x:v>SCA-12</x:v>
      </x:c>
      <x:c r="B496" s="27" t="str">
        <x:v>30025</x:v>
      </x:c>
      <x:c r="C496" s="27" t="str">
        <x:v>MT</x:v>
      </x:c>
      <x:c r="D496" s="27" t="str">
        <x:v>Fallon County</x:v>
      </x:c>
      <x:c r="E496" s="40" t="n">
        <x:v>2959</x:v>
      </x:c>
      <x:c r="F496" s="55" t="n">
        <x:v>46.318184</x:v>
      </x:c>
      <x:c r="G496" s="55" t="n">
        <x:v>-104.405718</x:v>
      </x:c>
      <x:c r="H496" s="43" t="n">
        <x:f>E496/SUMIF(A:A,A496,E:E)</x:f>
        <x:v>0.0003963732450872624</x:v>
      </x:c>
    </x:row>
    <x:row r="497" ht="21.600000381469727" hidden="0" customHeight="1">
      <x:c r="A497" s="29" t="str">
        <x:v>SCA-12</x:v>
      </x:c>
      <x:c r="B497" s="29" t="str">
        <x:v>31135</x:v>
      </x:c>
      <x:c r="C497" s="29" t="str">
        <x:v>NE</x:v>
      </x:c>
      <x:c r="D497" s="29" t="str">
        <x:v>Perkins County</x:v>
      </x:c>
      <x:c r="E497" s="41" t="n">
        <x:v>2849</x:v>
      </x:c>
      <x:c r="F497" s="56" t="n">
        <x:v>40.857624</x:v>
      </x:c>
      <x:c r="G497" s="56" t="n">
        <x:v>-101.62747</x:v>
      </x:c>
      <x:c r="H497" s="44" t="n">
        <x:f>E497/SUMIF(A:A,A497,E:E)</x:f>
        <x:v>0.00038163818021413</x:v>
      </x:c>
    </x:row>
    <x:row r="498" ht="21.600000381469727" hidden="0" customHeight="1">
      <x:c r="A498" s="27" t="str">
        <x:v>SCA-12</x:v>
      </x:c>
      <x:c r="B498" s="27" t="str">
        <x:v>48421</x:v>
      </x:c>
      <x:c r="C498" s="27" t="str">
        <x:v>TX</x:v>
      </x:c>
      <x:c r="D498" s="27" t="str">
        <x:v>Sherman County</x:v>
      </x:c>
      <x:c r="E498" s="40" t="n">
        <x:v>2781</x:v>
      </x:c>
      <x:c r="F498" s="55" t="n">
        <x:v>36.278593</x:v>
      </x:c>
      <x:c r="G498" s="55" t="n">
        <x:v>-101.899265</x:v>
      </x:c>
      <x:c r="H498" s="43" t="n">
        <x:f>E498/SUMIF(A:A,A498,E:E)</x:f>
        <x:v>0.0003725292310198299</x:v>
      </x:c>
    </x:row>
    <x:row r="499" ht="21.600000381469727" hidden="0" customHeight="1">
      <x:c r="A499" s="29" t="str">
        <x:v>SCA-12</x:v>
      </x:c>
      <x:c r="B499" s="29" t="str">
        <x:v>20039</x:v>
      </x:c>
      <x:c r="C499" s="29" t="str">
        <x:v>KS</x:v>
      </x:c>
      <x:c r="D499" s="29" t="str">
        <x:v>Decatur County</x:v>
      </x:c>
      <x:c r="E499" s="41" t="n">
        <x:v>2716</x:v>
      </x:c>
      <x:c r="F499" s="56" t="n">
        <x:v>39.783542</x:v>
      </x:c>
      <x:c r="G499" s="56" t="n">
        <x:v>-100.459708</x:v>
      </x:c>
      <x:c r="H499" s="44" t="n">
        <x:f>E499/SUMIF(A:A,A499,E:E)</x:f>
        <x:v>0.0003638221472311608</x:v>
      </x:c>
    </x:row>
    <x:row r="500" ht="21.600000381469727" hidden="0" customHeight="1">
      <x:c r="A500" s="27" t="str">
        <x:v>SCA-12</x:v>
      </x:c>
      <x:c r="B500" s="27" t="str">
        <x:v>46071</x:v>
      </x:c>
      <x:c r="C500" s="27" t="str">
        <x:v>SD</x:v>
      </x:c>
      <x:c r="D500" s="27" t="str">
        <x:v>Jackson County</x:v>
      </x:c>
      <x:c r="E500" s="40" t="n">
        <x:v>2666</x:v>
      </x:c>
      <x:c r="F500" s="55" t="n">
        <x:v>43.677506</x:v>
      </x:c>
      <x:c r="G500" s="55" t="n">
        <x:v>-101.626323</x:v>
      </x:c>
      <x:c r="H500" s="43" t="n">
        <x:f>E500/SUMIF(A:A,A500,E:E)</x:f>
        <x:v>0.000357124390470646</x:v>
      </x:c>
    </x:row>
    <x:row r="501" ht="21.600000381469727" hidden="0" customHeight="1">
      <x:c r="A501" s="29" t="str">
        <x:v>SCA-12</x:v>
      </x:c>
      <x:c r="B501" s="29" t="str">
        <x:v>20109</x:v>
      </x:c>
      <x:c r="C501" s="29" t="str">
        <x:v>KS</x:v>
      </x:c>
      <x:c r="D501" s="29" t="str">
        <x:v>Logan County</x:v>
      </x:c>
      <x:c r="E501" s="41" t="n">
        <x:v>2661</x:v>
      </x:c>
      <x:c r="F501" s="56" t="n">
        <x:v>38.91327</x:v>
      </x:c>
      <x:c r="G501" s="56" t="n">
        <x:v>-101.157402</x:v>
      </x:c>
      <x:c r="H501" s="44" t="n">
        <x:f>E501/SUMIF(A:A,A501,E:E)</x:f>
        <x:v>0.00035645461479459455</x:v>
      </x:c>
    </x:row>
    <x:row r="502" ht="21.600000381469727" hidden="0" customHeight="1">
      <x:c r="A502" s="27" t="str">
        <x:v>SCA-12</x:v>
      </x:c>
      <x:c r="B502" s="27" t="str">
        <x:v>31063</x:v>
      </x:c>
      <x:c r="C502" s="27" t="str">
        <x:v>NE</x:v>
      </x:c>
      <x:c r="D502" s="27" t="str">
        <x:v>Frontier County</x:v>
      </x:c>
      <x:c r="E502" s="40" t="n">
        <x:v>2655</x:v>
      </x:c>
      <x:c r="F502" s="55" t="n">
        <x:v>40.530947</x:v>
      </x:c>
      <x:c r="G502" s="55" t="n">
        <x:v>-100.406683</x:v>
      </x:c>
      <x:c r="H502" s="43" t="n">
        <x:f>E502/SUMIF(A:A,A502,E:E)</x:f>
        <x:v>0.00035565088398333277</x:v>
      </x:c>
    </x:row>
    <x:row r="503" ht="21.600000381469727" hidden="0" customHeight="1">
      <x:c r="A503" s="29" t="str">
        <x:v>SCA-12</x:v>
      </x:c>
      <x:c r="B503" s="29" t="str">
        <x:v>20023</x:v>
      </x:c>
      <x:c r="C503" s="29" t="str">
        <x:v>KS</x:v>
      </x:c>
      <x:c r="D503" s="29" t="str">
        <x:v>Cheyenne County</x:v>
      </x:c>
      <x:c r="E503" s="41" t="n">
        <x:v>2604</x:v>
      </x:c>
      <x:c r="F503" s="56" t="n">
        <x:v>39.789901</x:v>
      </x:c>
      <x:c r="G503" s="56" t="n">
        <x:v>-101.727317</x:v>
      </x:c>
      <x:c r="H503" s="44" t="n">
        <x:f>E503/SUMIF(A:A,A503,E:E)</x:f>
        <x:v>0.0003488191720876077</x:v>
      </x:c>
    </x:row>
    <x:row r="504" ht="21.600000381469727" hidden="0" customHeight="1">
      <x:c r="A504" s="27" t="str">
        <x:v>SCA-12</x:v>
      </x:c>
      <x:c r="B504" s="27" t="str">
        <x:v>20075</x:v>
      </x:c>
      <x:c r="C504" s="27" t="str">
        <x:v>KS</x:v>
      </x:c>
      <x:c r="D504" s="27" t="str">
        <x:v>Hamilton County</x:v>
      </x:c>
      <x:c r="E504" s="40" t="n">
        <x:v>2500</x:v>
      </x:c>
      <x:c r="F504" s="55" t="n">
        <x:v>37.995244</x:v>
      </x:c>
      <x:c r="G504" s="55" t="n">
        <x:v>-101.793689</x:v>
      </x:c>
      <x:c r="H504" s="43" t="n">
        <x:f>E504/SUMIF(A:A,A504,E:E)</x:f>
        <x:v>0.00033488783802573704</x:v>
      </x:c>
    </x:row>
    <x:row r="505" ht="21.600000381469727" hidden="0" customHeight="1">
      <x:c r="A505" s="29" t="str">
        <x:v>SCA-12</x:v>
      </x:c>
      <x:c r="B505" s="29" t="str">
        <x:v>20129</x:v>
      </x:c>
      <x:c r="C505" s="29" t="str">
        <x:v>KS</x:v>
      </x:c>
      <x:c r="D505" s="29" t="str">
        <x:v>Morton County</x:v>
      </x:c>
      <x:c r="E505" s="41" t="n">
        <x:v>2470</x:v>
      </x:c>
      <x:c r="F505" s="56" t="n">
        <x:v>37.185249</x:v>
      </x:c>
      <x:c r="G505" s="56" t="n">
        <x:v>-101.809516</x:v>
      </x:c>
      <x:c r="H505" s="44" t="n">
        <x:f>E505/SUMIF(A:A,A505,E:E)</x:f>
        <x:v>0.0003308691839694282</x:v>
      </x:c>
    </x:row>
    <x:row r="506" ht="21.600000381469727" hidden="0" customHeight="1">
      <x:c r="A506" s="27" t="str">
        <x:v>SCA-12</x:v>
      </x:c>
      <x:c r="B506" s="27" t="str">
        <x:v>31087</x:v>
      </x:c>
      <x:c r="C506" s="27" t="str">
        <x:v>NE</x:v>
      </x:c>
      <x:c r="D506" s="27" t="str">
        <x:v>Hitchcock County</x:v>
      </x:c>
      <x:c r="E506" s="40" t="n">
        <x:v>2467</x:v>
      </x:c>
      <x:c r="F506" s="55" t="n">
        <x:v>40.176896</x:v>
      </x:c>
      <x:c r="G506" s="55" t="n">
        <x:v>-101.044217</x:v>
      </x:c>
      <x:c r="H506" s="43" t="n">
        <x:f>E506/SUMIF(A:A,A506,E:E)</x:f>
        <x:v>0.00033046731856379734</x:v>
      </x:c>
    </x:row>
    <x:row r="507" ht="21.600000381469727" hidden="0" customHeight="1">
      <x:c r="A507" s="29" t="str">
        <x:v>SCA-12</x:v>
      </x:c>
      <x:c r="B507" s="29" t="str">
        <x:v>08033</x:v>
      </x:c>
      <x:c r="C507" s="29" t="str">
        <x:v>CO</x:v>
      </x:c>
      <x:c r="D507" s="29" t="str">
        <x:v>Dolores County</x:v>
      </x:c>
      <x:c r="E507" s="41" t="n">
        <x:v>2466</x:v>
      </x:c>
      <x:c r="F507" s="56" t="n">
        <x:v>37.733823</x:v>
      </x:c>
      <x:c r="G507" s="56" t="n">
        <x:v>-108.506219</x:v>
      </x:c>
      <x:c r="H507" s="44" t="n">
        <x:f>E507/SUMIF(A:A,A507,E:E)</x:f>
        <x:v>0.00033033336342858707</x:v>
      </x:c>
    </x:row>
    <x:row r="508" ht="21.600000381469727" hidden="0" customHeight="1">
      <x:c r="A508" s="27" t="str">
        <x:v>SCA-12</x:v>
      </x:c>
      <x:c r="B508" s="27" t="str">
        <x:v>20153</x:v>
      </x:c>
      <x:c r="C508" s="27" t="str">
        <x:v>KS</x:v>
      </x:c>
      <x:c r="D508" s="27" t="str">
        <x:v>Rawlins County</x:v>
      </x:c>
      <x:c r="E508" s="40" t="n">
        <x:v>2431</x:v>
      </x:c>
      <x:c r="F508" s="55" t="n">
        <x:v>39.786198</x:v>
      </x:c>
      <x:c r="G508" s="55" t="n">
        <x:v>-101.076738</x:v>
      </x:c>
      <x:c r="H508" s="43" t="n">
        <x:f>E508/SUMIF(A:A,A508,E:E)</x:f>
        <x:v>0.0003256449336962267</x:v>
      </x:c>
    </x:row>
    <x:row r="509" ht="21.600000381469727" hidden="0" customHeight="1">
      <x:c r="A509" s="29" t="str">
        <x:v>SCA-12</x:v>
      </x:c>
      <x:c r="B509" s="29" t="str">
        <x:v>20179</x:v>
      </x:c>
      <x:c r="C509" s="29" t="str">
        <x:v>KS</x:v>
      </x:c>
      <x:c r="D509" s="29" t="str">
        <x:v>Sheridan County</x:v>
      </x:c>
      <x:c r="E509" s="41" t="n">
        <x:v>2427</x:v>
      </x:c>
      <x:c r="F509" s="56" t="n">
        <x:v>39.350547</x:v>
      </x:c>
      <x:c r="G509" s="56" t="n">
        <x:v>-100.441228</x:v>
      </x:c>
      <x:c r="H509" s="44" t="n">
        <x:f>E509/SUMIF(A:A,A509,E:E)</x:f>
        <x:v>0.00032510911315538553</x:v>
      </x:c>
    </x:row>
    <x:row r="510" ht="21.600000381469727" hidden="0" customHeight="1">
      <x:c r="A510" s="27" t="str">
        <x:v>SCA-12</x:v>
      </x:c>
      <x:c r="B510" s="27" t="str">
        <x:v>56027</x:v>
      </x:c>
      <x:c r="C510" s="27" t="str">
        <x:v>WY</x:v>
      </x:c>
      <x:c r="D510" s="27" t="str">
        <x:v>Niobrara County</x:v>
      </x:c>
      <x:c r="E510" s="40" t="n">
        <x:v>2341</x:v>
      </x:c>
      <x:c r="F510" s="55" t="n">
        <x:v>43.062159</x:v>
      </x:c>
      <x:c r="G510" s="55" t="n">
        <x:v>-104.468373</x:v>
      </x:c>
      <x:c r="H510" s="43" t="n">
        <x:f>E510/SUMIF(A:A,A510,E:E)</x:f>
        <x:v>0.0003135889715273002</x:v>
      </x:c>
    </x:row>
    <x:row r="511" ht="21.600000381469727" hidden="0" customHeight="1">
      <x:c r="A511" s="29" t="str">
        <x:v>SCA-12</x:v>
      </x:c>
      <x:c r="B511" s="29" t="str">
        <x:v>08115</x:v>
      </x:c>
      <x:c r="C511" s="29" t="str">
        <x:v>CO</x:v>
      </x:c>
      <x:c r="D511" s="29" t="str">
        <x:v>Sedgwick County</x:v>
      </x:c>
      <x:c r="E511" s="41" t="n">
        <x:v>2247</x:v>
      </x:c>
      <x:c r="F511" s="56" t="n">
        <x:v>40.871568</x:v>
      </x:c>
      <x:c r="G511" s="56" t="n">
        <x:v>-102.355358</x:v>
      </x:c>
      <x:c r="H511" s="44" t="n">
        <x:f>E511/SUMIF(A:A,A511,E:E)</x:f>
        <x:v>0.00030099718881753247</x:v>
      </x:c>
    </x:row>
    <x:row r="512" ht="21.600000381469727" hidden="0" customHeight="1">
      <x:c r="A512" s="27" t="str">
        <x:v>SCA-12</x:v>
      </x:c>
      <x:c r="B512" s="27" t="str">
        <x:v>40025</x:v>
      </x:c>
      <x:c r="C512" s="27" t="str">
        <x:v>OK</x:v>
      </x:c>
      <x:c r="D512" s="27" t="str">
        <x:v>Cimarron County</x:v>
      </x:c>
      <x:c r="E512" s="40" t="n">
        <x:v>2059</x:v>
      </x:c>
      <x:c r="F512" s="55" t="n">
        <x:v>36.74839</x:v>
      </x:c>
      <x:c r="G512" s="55" t="n">
        <x:v>-102.517698</x:v>
      </x:c>
      <x:c r="H512" s="43" t="n">
        <x:f>E512/SUMIF(A:A,A512,E:E)</x:f>
        <x:v>0.00027581362339799704</x:v>
      </x:c>
    </x:row>
    <x:row r="513" ht="21.600000381469727" hidden="0" customHeight="1">
      <x:c r="A513" s="29" t="str">
        <x:v>SCA-12</x:v>
      </x:c>
      <x:c r="B513" s="29" t="str">
        <x:v>20203</x:v>
      </x:c>
      <x:c r="C513" s="29" t="str">
        <x:v>KS</x:v>
      </x:c>
      <x:c r="D513" s="29" t="str">
        <x:v>Wichita County</x:v>
      </x:c>
      <x:c r="E513" s="41" t="n">
        <x:v>2031</x:v>
      </x:c>
      <x:c r="F513" s="56" t="n">
        <x:v>38.481922</x:v>
      </x:c>
      <x:c r="G513" s="56" t="n">
        <x:v>-101.347434</x:v>
      </x:c>
      <x:c r="H513" s="44" t="n">
        <x:f>E513/SUMIF(A:A,A513,E:E)</x:f>
        <x:v>0.0002720628796121088</x:v>
      </x:c>
    </x:row>
    <x:row r="514" ht="21.600000381469727" hidden="0" customHeight="1">
      <x:c r="A514" s="27" t="str">
        <x:v>SCA-12</x:v>
      </x:c>
      <x:c r="B514" s="27" t="str">
        <x:v>20187</x:v>
      </x:c>
      <x:c r="C514" s="27" t="str">
        <x:v>KS</x:v>
      </x:c>
      <x:c r="D514" s="27" t="str">
        <x:v>Stanton County</x:v>
      </x:c>
      <x:c r="E514" s="40" t="n">
        <x:v>1986</x:v>
      </x:c>
      <x:c r="F514" s="55" t="n">
        <x:v>37.565932</x:v>
      </x:c>
      <x:c r="G514" s="55" t="n">
        <x:v>-101.789383</x:v>
      </x:c>
      <x:c r="H514" s="43" t="n">
        <x:f>E514/SUMIF(A:A,A514,E:E)</x:f>
        <x:v>0.0002660348985276455</x:v>
      </x:c>
    </x:row>
    <x:row r="515" ht="21.600000381469727" hidden="0" customHeight="1">
      <x:c r="A515" s="29" t="str">
        <x:v>SCA-12</x:v>
      </x:c>
      <x:c r="B515" s="29" t="str">
        <x:v>31049</x:v>
      </x:c>
      <x:c r="C515" s="29" t="str">
        <x:v>NE</x:v>
      </x:c>
      <x:c r="D515" s="29" t="str">
        <x:v>Deuel County</x:v>
      </x:c>
      <x:c r="E515" s="41" t="n">
        <x:v>1862</x:v>
      </x:c>
      <x:c r="F515" s="56" t="n">
        <x:v>41.111903</x:v>
      </x:c>
      <x:c r="G515" s="56" t="n">
        <x:v>-102.332609</x:v>
      </x:c>
      <x:c r="H515" s="44" t="n">
        <x:f>E515/SUMIF(A:A,A515,E:E)</x:f>
        <x:v>0.00024942446176156897</x:v>
      </x:c>
    </x:row>
    <x:row r="516" ht="21.600000381469727" hidden="0" customHeight="1">
      <x:c r="A516" s="27" t="str">
        <x:v>SCA-12</x:v>
      </x:c>
      <x:c r="B516" s="27" t="str">
        <x:v>31069</x:v>
      </x:c>
      <x:c r="C516" s="27" t="str">
        <x:v>NE</x:v>
      </x:c>
      <x:c r="D516" s="27" t="str">
        <x:v>Garden County</x:v>
      </x:c>
      <x:c r="E516" s="40" t="n">
        <x:v>1804</x:v>
      </x:c>
      <x:c r="F516" s="55" t="n">
        <x:v>41.633364</x:v>
      </x:c>
      <x:c r="G516" s="55" t="n">
        <x:v>-102.302985</x:v>
      </x:c>
      <x:c r="H516" s="43" t="n">
        <x:f>E516/SUMIF(A:A,A516,E:E)</x:f>
        <x:v>0.00024165506391937187</x:v>
      </x:c>
    </x:row>
    <x:row r="517" ht="21.600000381469727" hidden="0" customHeight="1">
      <x:c r="A517" s="29" t="str">
        <x:v>SCA-12</x:v>
      </x:c>
      <x:c r="B517" s="29" t="str">
        <x:v>48359</x:v>
      </x:c>
      <x:c r="C517" s="29" t="str">
        <x:v>TX</x:v>
      </x:c>
      <x:c r="D517" s="29" t="str">
        <x:v>Oldham County</x:v>
      </x:c>
      <x:c r="E517" s="41" t="n">
        <x:v>1783</x:v>
      </x:c>
      <x:c r="F517" s="56" t="n">
        <x:v>35.401921</x:v>
      </x:c>
      <x:c r="G517" s="56" t="n">
        <x:v>-102.59762</x:v>
      </x:c>
      <x:c r="H517" s="44" t="n">
        <x:f>E517/SUMIF(A:A,A517,E:E)</x:f>
        <x:v>0.00023884200607995567</x:v>
      </x:c>
    </x:row>
    <x:row r="518" ht="21.600000381469727" hidden="0" customHeight="1">
      <x:c r="A518" s="27" t="str">
        <x:v>SCA-12</x:v>
      </x:c>
      <x:c r="B518" s="27" t="str">
        <x:v>30075</x:v>
      </x:c>
      <x:c r="C518" s="27" t="str">
        <x:v>MT</x:v>
      </x:c>
      <x:c r="D518" s="27" t="str">
        <x:v>Powder River County</x:v>
      </x:c>
      <x:c r="E518" s="40" t="n">
        <x:v>1781</x:v>
      </x:c>
      <x:c r="F518" s="55" t="n">
        <x:v>45.408926</x:v>
      </x:c>
      <x:c r="G518" s="55" t="n">
        <x:v>-105.555344</x:v>
      </x:c>
      <x:c r="H518" s="43" t="n">
        <x:f>E518/SUMIF(A:A,A518,E:E)</x:f>
        <x:v>0.00023857409580953508</x:v>
      </x:c>
    </x:row>
    <x:row r="519" ht="21.600000381469727" hidden="0" customHeight="1">
      <x:c r="A519" s="29" t="str">
        <x:v>SCA-12</x:v>
      </x:c>
      <x:c r="B519" s="29" t="str">
        <x:v>08017</x:v>
      </x:c>
      <x:c r="C519" s="29" t="str">
        <x:v>CO</x:v>
      </x:c>
      <x:c r="D519" s="29" t="str">
        <x:v>Cheyenne County</x:v>
      </x:c>
      <x:c r="E519" s="41" t="n">
        <x:v>1713</x:v>
      </x:c>
      <x:c r="F519" s="56" t="n">
        <x:v>38.835646</x:v>
      </x:c>
      <x:c r="G519" s="56" t="n">
        <x:v>-102.601791</x:v>
      </x:c>
      <x:c r="H519" s="44" t="n">
        <x:f>E519/SUMIF(A:A,A519,E:E)</x:f>
        <x:v>0.00022946514661523505</x:v>
      </x:c>
    </x:row>
    <x:row r="520" ht="21.600000381469727" hidden="0" customHeight="1">
      <x:c r="A520" s="27" t="str">
        <x:v>SCA-12</x:v>
      </x:c>
      <x:c r="B520" s="27" t="str">
        <x:v>31057</x:v>
      </x:c>
      <x:c r="C520" s="27" t="str">
        <x:v>NE</x:v>
      </x:c>
      <x:c r="D520" s="27" t="str">
        <x:v>Dundy County</x:v>
      </x:c>
      <x:c r="E520" s="40" t="n">
        <x:v>1568</x:v>
      </x:c>
      <x:c r="F520" s="55" t="n">
        <x:v>40.180165</x:v>
      </x:c>
      <x:c r="G520" s="55" t="n">
        <x:v>-101.681133</x:v>
      </x:c>
      <x:c r="H520" s="43" t="n">
        <x:f>E520/SUMIF(A:A,A520,E:E)</x:f>
        <x:v>0.0002100416520097423</x:v>
      </x:c>
    </x:row>
    <x:row r="521" ht="21.600000381469727" hidden="0" customHeight="1">
      <x:c r="A521" s="29" t="str">
        <x:v>SCA-12</x:v>
      </x:c>
      <x:c r="B521" s="29" t="str">
        <x:v>20199</x:v>
      </x:c>
      <x:c r="C521" s="29" t="str">
        <x:v>KS</x:v>
      </x:c>
      <x:c r="D521" s="29" t="str">
        <x:v>Wallace County</x:v>
      </x:c>
      <x:c r="E521" s="41" t="n">
        <x:v>1441</x:v>
      </x:c>
      <x:c r="F521" s="56" t="n">
        <x:v>38.926626</x:v>
      </x:c>
      <x:c r="G521" s="56" t="n">
        <x:v>-101.771103</x:v>
      </x:c>
      <x:c r="H521" s="44" t="n">
        <x:f>E521/SUMIF(A:A,A521,E:E)</x:f>
        <x:v>0.00019302934983803484</x:v>
      </x:c>
    </x:row>
    <x:row r="522" ht="21.600000381469727" hidden="0" customHeight="1">
      <x:c r="A522" s="27" t="str">
        <x:v>SCA-12</x:v>
      </x:c>
      <x:c r="B522" s="27" t="str">
        <x:v>08061</x:v>
      </x:c>
      <x:c r="C522" s="27" t="str">
        <x:v>CO</x:v>
      </x:c>
      <x:c r="D522" s="27" t="str">
        <x:v>Kiowa County</x:v>
      </x:c>
      <x:c r="E522" s="40" t="n">
        <x:v>1412</x:v>
      </x:c>
      <x:c r="F522" s="55" t="n">
        <x:v>38.387663</x:v>
      </x:c>
      <x:c r="G522" s="55" t="n">
        <x:v>-102.756849</x:v>
      </x:c>
      <x:c r="H522" s="43" t="n">
        <x:f>E522/SUMIF(A:A,A522,E:E)</x:f>
        <x:v>0.0001891446509169363</x:v>
      </x:c>
    </x:row>
    <x:row r="523" ht="21.600000381469727" hidden="0" customHeight="1">
      <x:c r="A523" s="29" t="str">
        <x:v>SCA-12</x:v>
      </x:c>
      <x:c r="B523" s="29" t="str">
        <x:v>30011</x:v>
      </x:c>
      <x:c r="C523" s="29" t="str">
        <x:v>MT</x:v>
      </x:c>
      <x:c r="D523" s="29" t="str">
        <x:v>Carter County</x:v>
      </x:c>
      <x:c r="E523" s="41" t="n">
        <x:v>1383</x:v>
      </x:c>
      <x:c r="F523" s="56" t="n">
        <x:v>45.516825</x:v>
      </x:c>
      <x:c r="G523" s="56" t="n">
        <x:v>-104.515324</x:v>
      </x:c>
      <x:c r="H523" s="44" t="n">
        <x:f>E523/SUMIF(A:A,A523,E:E)</x:f>
        <x:v>0.00018525995199583775</x:v>
      </x:c>
    </x:row>
    <x:row r="524" ht="21.600000381469727" hidden="0" customHeight="1">
      <x:c r="A524" s="27" t="str">
        <x:v>SCA-12</x:v>
      </x:c>
      <x:c r="B524" s="27" t="str">
        <x:v>46063</x:v>
      </x:c>
      <x:c r="C524" s="27" t="str">
        <x:v>SD</x:v>
      </x:c>
      <x:c r="D524" s="27" t="str">
        <x:v>Harding County</x:v>
      </x:c>
      <x:c r="E524" s="40" t="n">
        <x:v>1331</x:v>
      </x:c>
      <x:c r="F524" s="55" t="n">
        <x:v>45.596611</x:v>
      </x:c>
      <x:c r="G524" s="55" t="n">
        <x:v>-103.473871</x:v>
      </x:c>
      <x:c r="H524" s="43" t="n">
        <x:f>E524/SUMIF(A:A,A524,E:E)</x:f>
        <x:v>0.0001782942849649024</x:v>
      </x:c>
    </x:row>
    <x:row r="525" ht="21.600000381469727" hidden="0" customHeight="1">
      <x:c r="A525" s="29" t="str">
        <x:v>SCA-12</x:v>
      </x:c>
      <x:c r="B525" s="29" t="str">
        <x:v>08057</x:v>
      </x:c>
      <x:c r="C525" s="29" t="str">
        <x:v>CO</x:v>
      </x:c>
      <x:c r="D525" s="29" t="str">
        <x:v>Jackson County</x:v>
      </x:c>
      <x:c r="E525" s="41" t="n">
        <x:v>1211</x:v>
      </x:c>
      <x:c r="F525" s="56" t="n">
        <x:v>40.663432</x:v>
      </x:c>
      <x:c r="G525" s="56" t="n">
        <x:v>-106.329248</x:v>
      </x:c>
      <x:c r="H525" s="44" t="n">
        <x:f>E525/SUMIF(A:A,A525,E:E)</x:f>
        <x:v>0.00016221966873966704</x:v>
      </x:c>
    </x:row>
    <x:row r="526" ht="21.600000381469727" hidden="0" customHeight="1">
      <x:c r="A526" s="27" t="str">
        <x:v>SCA-12</x:v>
      </x:c>
      <x:c r="B526" s="27" t="str">
        <x:v>31165</x:v>
      </x:c>
      <x:c r="C526" s="27" t="str">
        <x:v>NE</x:v>
      </x:c>
      <x:c r="D526" s="27" t="str">
        <x:v>Sioux County</x:v>
      </x:c>
      <x:c r="E526" s="40" t="n">
        <x:v>1188</x:v>
      </x:c>
      <x:c r="F526" s="55" t="n">
        <x:v>42.470668</x:v>
      </x:c>
      <x:c r="G526" s="55" t="n">
        <x:v>-103.73217</x:v>
      </x:c>
      <x:c r="H526" s="43" t="n">
        <x:f>E526/SUMIF(A:A,A526,E:E)</x:f>
        <x:v>0.00015913870062983024</x:v>
      </x:c>
    </x:row>
    <x:row r="527" ht="21.600000381469727" hidden="0" customHeight="1">
      <x:c r="A527" s="29" t="str">
        <x:v>SCA-12</x:v>
      </x:c>
      <x:c r="B527" s="29" t="str">
        <x:v>20071</x:v>
      </x:c>
      <x:c r="C527" s="29" t="str">
        <x:v>KS</x:v>
      </x:c>
      <x:c r="D527" s="29" t="str">
        <x:v>Greeley County</x:v>
      </x:c>
      <x:c r="E527" s="41" t="n">
        <x:v>1182</x:v>
      </x:c>
      <x:c r="F527" s="56" t="n">
        <x:v>38.480404</x:v>
      </x:c>
      <x:c r="G527" s="56" t="n">
        <x:v>-101.80597</x:v>
      </x:c>
      <x:c r="H527" s="44" t="n">
        <x:f>E527/SUMIF(A:A,A527,E:E)</x:f>
        <x:v>0.0001583349698185685</x:v>
      </x:c>
    </x:row>
    <x:row r="528" ht="21.600000381469727" hidden="0" customHeight="1">
      <x:c r="A528" s="27" t="str">
        <x:v>SCA-12</x:v>
      </x:c>
      <x:c r="B528" s="27" t="str">
        <x:v>30079</x:v>
      </x:c>
      <x:c r="C528" s="27" t="str">
        <x:v>MT</x:v>
      </x:c>
      <x:c r="D528" s="27" t="str">
        <x:v>Prairie County</x:v>
      </x:c>
      <x:c r="E528" s="40" t="n">
        <x:v>1112</x:v>
      </x:c>
      <x:c r="F528" s="55" t="n">
        <x:v>46.812388</x:v>
      </x:c>
      <x:c r="G528" s="55" t="n">
        <x:v>-105.503938</x:v>
      </x:c>
      <x:c r="H528" s="43" t="n">
        <x:f>E528/SUMIF(A:A,A528,E:E)</x:f>
        <x:v>0.00014895811035384784</x:v>
      </x:c>
    </x:row>
    <x:row r="529" ht="21.600000381469727" hidden="0" customHeight="1">
      <x:c r="A529" s="29" t="str">
        <x:v>SCA-12</x:v>
      </x:c>
      <x:c r="B529" s="29" t="str">
        <x:v>08079</x:v>
      </x:c>
      <x:c r="C529" s="29" t="str">
        <x:v>CO</x:v>
      </x:c>
      <x:c r="D529" s="29" t="str">
        <x:v>Mineral County</x:v>
      </x:c>
      <x:c r="E529" s="41" t="n">
        <x:v>910</x:v>
      </x:c>
      <x:c r="F529" s="56" t="n">
        <x:v>37.549069</x:v>
      </x:c>
      <x:c r="G529" s="56" t="n">
        <x:v>-107.003235</x:v>
      </x:c>
      <x:c r="H529" s="44" t="n">
        <x:f>E529/SUMIF(A:A,A529,E:E)</x:f>
        <x:v>0.0001218991730413683</x:v>
      </x:c>
    </x:row>
    <x:row r="530" ht="21.600000381469727" hidden="0" customHeight="1">
      <x:c r="A530" s="27" t="str">
        <x:v>SCA-12</x:v>
      </x:c>
      <x:c r="B530" s="27" t="str">
        <x:v>30109</x:v>
      </x:c>
      <x:c r="C530" s="27" t="str">
        <x:v>MT</x:v>
      </x:c>
      <x:c r="D530" s="27" t="str">
        <x:v>Wibaux County</x:v>
      </x:c>
      <x:c r="E530" s="40" t="n">
        <x:v>885</x:v>
      </x:c>
      <x:c r="F530" s="55" t="n">
        <x:v>46.962966</x:v>
      </x:c>
      <x:c r="G530" s="55" t="n">
        <x:v>-104.274518</x:v>
      </x:c>
      <x:c r="H530" s="43" t="n">
        <x:f>E530/SUMIF(A:A,A530,E:E)</x:f>
        <x:v>0.00011855029466111092</x:v>
      </x:c>
    </x:row>
    <x:row r="531" ht="21.600000381469727" hidden="0" customHeight="1">
      <x:c r="A531" s="29" t="str">
        <x:v>SCA-12</x:v>
      </x:c>
      <x:c r="B531" s="29" t="str">
        <x:v>31085</x:v>
      </x:c>
      <x:c r="C531" s="29" t="str">
        <x:v>NE</x:v>
      </x:c>
      <x:c r="D531" s="29" t="str">
        <x:v>Hayes County</x:v>
      </x:c>
      <x:c r="E531" s="41" t="n">
        <x:v>821</x:v>
      </x:c>
      <x:c r="F531" s="56" t="n">
        <x:v>40.537234</x:v>
      </x:c>
      <x:c r="G531" s="56" t="n">
        <x:v>-101.047963</x:v>
      </x:c>
      <x:c r="H531" s="44" t="n">
        <x:f>E531/SUMIF(A:A,A531,E:E)</x:f>
        <x:v>0.00010997716600765205</x:v>
      </x:c>
    </x:row>
    <x:row r="532" ht="21.600000381469727" hidden="0" customHeight="1">
      <x:c r="A532" s="27" t="str">
        <x:v>SCA-12</x:v>
      </x:c>
      <x:c r="B532" s="27" t="str">
        <x:v>08111</x:v>
      </x:c>
      <x:c r="C532" s="27" t="str">
        <x:v>CO</x:v>
      </x:c>
      <x:c r="D532" s="27" t="str">
        <x:v>San Juan County</x:v>
      </x:c>
      <x:c r="E532" s="40" t="n">
        <x:v>813</x:v>
      </x:c>
      <x:c r="F532" s="55" t="n">
        <x:v>37.781049</x:v>
      </x:c>
      <x:c r="G532" s="55" t="n">
        <x:v>-107.670257</x:v>
      </x:c>
      <x:c r="H532" s="43" t="n">
        <x:f>E532/SUMIF(A:A,A532,E:E)</x:f>
        <x:v>0.00010890552492596969</x:v>
      </x:c>
    </x:row>
    <x:row r="533" ht="21.600000381469727" hidden="0" customHeight="1">
      <x:c r="A533" s="29" t="str">
        <x:v>SCA-12</x:v>
      </x:c>
      <x:c r="B533" s="29" t="str">
        <x:v>08053</x:v>
      </x:c>
      <x:c r="C533" s="29" t="str">
        <x:v>CO</x:v>
      </x:c>
      <x:c r="D533" s="29" t="str">
        <x:v>Hinsdale County</x:v>
      </x:c>
      <x:c r="E533" s="41" t="n">
        <x:v>753</x:v>
      </x:c>
      <x:c r="F533" s="56" t="n">
        <x:v>37.811519</x:v>
      </x:c>
      <x:c r="G533" s="56" t="n">
        <x:v>-107.383974</x:v>
      </x:c>
      <x:c r="H533" s="44" t="n">
        <x:f>E533/SUMIF(A:A,A533,E:E)</x:f>
        <x:v>0.000100868216813352</x:v>
      </x:c>
    </x:row>
    <x:row r="534" ht="21.600000381469727" hidden="0" customHeight="1">
      <x:c r="A534" s="27" t="str">
        <x:v>SCA-12</x:v>
      </x:c>
      <x:c r="B534" s="27" t="str">
        <x:v>31007</x:v>
      </x:c>
      <x:c r="C534" s="27" t="str">
        <x:v>NE</x:v>
      </x:c>
      <x:c r="D534" s="27" t="str">
        <x:v>Banner County</x:v>
      </x:c>
      <x:c r="E534" s="40" t="n">
        <x:v>686</x:v>
      </x:c>
      <x:c r="F534" s="55" t="n">
        <x:v>41.53975</x:v>
      </x:c>
      <x:c r="G534" s="55" t="n">
        <x:v>-103.726263</x:v>
      </x:c>
      <x:c r="H534" s="43" t="n">
        <x:f>E534/SUMIF(A:A,A534,E:E)</x:f>
        <x:v>0.00009189322275426226</x:v>
      </x:c>
    </x:row>
    <x:row r="535" ht="21.600000381469727" hidden="0" customHeight="1">
      <x:c r="A535" s="29" t="str">
        <x:v>SCA-12</x:v>
      </x:c>
      <x:c r="B535" s="29" t="str">
        <x:v>31091</x:v>
      </x:c>
      <x:c r="C535" s="29" t="str">
        <x:v>NE</x:v>
      </x:c>
      <x:c r="D535" s="29" t="str">
        <x:v>Hooker County</x:v>
      </x:c>
      <x:c r="E535" s="41" t="n">
        <x:v>686</x:v>
      </x:c>
      <x:c r="F535" s="56" t="n">
        <x:v>41.920317</x:v>
      </x:c>
      <x:c r="G535" s="56" t="n">
        <x:v>-101.117324</x:v>
      </x:c>
      <x:c r="H535" s="44" t="n">
        <x:f>E535/SUMIF(A:A,A535,E:E)</x:f>
        <x:v>0.00009189322275426226</x:v>
      </x:c>
    </x:row>
    <x:row r="536" ht="21.600000381469727" hidden="0" customHeight="1">
      <x:c r="A536" s="27" t="str">
        <x:v>SCA-12</x:v>
      </x:c>
      <x:c r="B536" s="27" t="str">
        <x:v>31113</x:v>
      </x:c>
      <x:c r="C536" s="27" t="str">
        <x:v>NE</x:v>
      </x:c>
      <x:c r="D536" s="27" t="str">
        <x:v>Logan County</x:v>
      </x:c>
      <x:c r="E536" s="40" t="n">
        <x:v>669</x:v>
      </x:c>
      <x:c r="F536" s="55" t="n">
        <x:v>41.542155</x:v>
      </x:c>
      <x:c r="G536" s="55" t="n">
        <x:v>-100.443665</x:v>
      </x:c>
      <x:c r="H536" s="43" t="n">
        <x:f>E536/SUMIF(A:A,A536,E:E)</x:f>
        <x:v>0.00008961598545568724</x:v>
      </x:c>
    </x:row>
    <x:row r="537" ht="21.600000381469727" hidden="0" customHeight="1">
      <x:c r="A537" s="29" t="str">
        <x:v>SCA-12</x:v>
      </x:c>
      <x:c r="B537" s="29" t="str">
        <x:v>31171</x:v>
      </x:c>
      <x:c r="C537" s="29" t="str">
        <x:v>NE</x:v>
      </x:c>
      <x:c r="D537" s="29" t="str">
        <x:v>Thomas County</x:v>
      </x:c>
      <x:c r="E537" s="41" t="n">
        <x:v>639</x:v>
      </x:c>
      <x:c r="F537" s="56" t="n">
        <x:v>41.85573</x:v>
      </x:c>
      <x:c r="G537" s="56" t="n">
        <x:v>-100.524703</x:v>
      </x:c>
      <x:c r="H537" s="44" t="n">
        <x:f>E537/SUMIF(A:A,A537,E:E)</x:f>
        <x:v>0.0000855973313993784</x:v>
      </x:c>
    </x:row>
    <x:row r="538" ht="21.600000381469727" hidden="0" customHeight="1">
      <x:c r="A538" s="27" t="str">
        <x:v>SCA-12</x:v>
      </x:c>
      <x:c r="B538" s="27" t="str">
        <x:v>35021</x:v>
      </x:c>
      <x:c r="C538" s="27" t="str">
        <x:v>NM</x:v>
      </x:c>
      <x:c r="D538" s="27" t="str">
        <x:v>Harding County</x:v>
      </x:c>
      <x:c r="E538" s="40" t="n">
        <x:v>617</x:v>
      </x:c>
      <x:c r="F538" s="55" t="n">
        <x:v>35.859352</x:v>
      </x:c>
      <x:c r="G538" s="55" t="n">
        <x:v>-103.853424</x:v>
      </x:c>
      <x:c r="H538" s="43" t="n">
        <x:f>E538/SUMIF(A:A,A538,E:E)</x:f>
        <x:v>0.00008265031842475191</x:v>
      </x:c>
    </x:row>
    <x:row r="539" ht="21.600000381469727" hidden="0" customHeight="1">
      <x:c r="A539" s="29" t="str">
        <x:v>SCA-12</x:v>
      </x:c>
      <x:c r="B539" s="29" t="str">
        <x:v>31075</x:v>
      </x:c>
      <x:c r="C539" s="29" t="str">
        <x:v>NE</x:v>
      </x:c>
      <x:c r="D539" s="29" t="str">
        <x:v>Grant County</x:v>
      </x:c>
      <x:c r="E539" s="41" t="n">
        <x:v>561</x:v>
      </x:c>
      <x:c r="F539" s="56" t="n">
        <x:v>41.913957</x:v>
      </x:c>
      <x:c r="G539" s="56" t="n">
        <x:v>-101.755965</x:v>
      </x:c>
      <x:c r="H539" s="44" t="n">
        <x:f>E539/SUMIF(A:A,A539,E:E)</x:f>
        <x:v>0.0000751488308529754</x:v>
      </x:c>
    </x:row>
    <x:row r="540" ht="21.600000381469727" hidden="0" customHeight="1">
      <x:c r="A540" s="27" t="str">
        <x:v>SCA-12</x:v>
      </x:c>
      <x:c r="B540" s="27" t="str">
        <x:v>31005</x:v>
      </x:c>
      <x:c r="C540" s="27" t="str">
        <x:v>NE</x:v>
      </x:c>
      <x:c r="D540" s="27" t="str">
        <x:v>Arthur County</x:v>
      </x:c>
      <x:c r="E540" s="40" t="n">
        <x:v>396</x:v>
      </x:c>
      <x:c r="F540" s="55" t="n">
        <x:v>41.57193</x:v>
      </x:c>
      <x:c r="G540" s="55" t="n">
        <x:v>-101.695917</x:v>
      </x:c>
      <x:c r="H540" s="43" t="n">
        <x:f>E540/SUMIF(A:A,A540,E:E)</x:f>
        <x:v>0.00005304623354327675</x:v>
      </x:c>
    </x:row>
    <x:row r="541" ht="21.600000381469727" hidden="0" customHeight="1">
      <x:c r="A541" s="29" t="str">
        <x:v>SCA-12</x:v>
      </x:c>
      <x:c r="B541" s="29" t="str">
        <x:v>31117</x:v>
      </x:c>
      <x:c r="C541" s="29" t="str">
        <x:v>NE</x:v>
      </x:c>
      <x:c r="D541" s="29" t="str">
        <x:v>McPherson County</x:v>
      </x:c>
      <x:c r="E541" s="41" t="n">
        <x:v>369</x:v>
      </x:c>
      <x:c r="F541" s="56" t="n">
        <x:v>41.648414</x:v>
      </x:c>
      <x:c r="G541" s="56" t="n">
        <x:v>-101.120851</x:v>
      </x:c>
      <x:c r="H541" s="44" t="n">
        <x:f>E541/SUMIF(A:A,A541,E:E)</x:f>
        <x:v>0.00004942944489259879</x:v>
      </x:c>
    </x:row>
    <x:row r="542" ht="21.600000381469727" hidden="0" customHeight="1">
      <x:c r="A542" s="27" t="str">
        <x:v>SCA-13</x:v>
      </x:c>
      <x:c r="B542" s="27" t="str">
        <x:v>48029</x:v>
      </x:c>
      <x:c r="C542" s="27" t="str">
        <x:v>TX</x:v>
      </x:c>
      <x:c r="D542" s="27" t="str">
        <x:v>Bexar County</x:v>
      </x:c>
      <x:c r="E542" s="40" t="n">
        <x:v>2160088</x:v>
      </x:c>
      <x:c r="F542" s="55" t="n">
        <x:v>29.448671</x:v>
      </x:c>
      <x:c r="G542" s="55" t="n">
        <x:v>-98.520147</x:v>
      </x:c>
      <x:c r="H542" s="43" t="n">
        <x:f>E542/SUMIF(A:A,A542,E:E)</x:f>
        <x:v>0.31958625917922345</x:v>
      </x:c>
    </x:row>
    <x:row r="543" ht="21.600000381469727" hidden="0" customHeight="1">
      <x:c r="A543" s="29" t="str">
        <x:v>SCA-13</x:v>
      </x:c>
      <x:c r="B543" s="29" t="str">
        <x:v>48453</x:v>
      </x:c>
      <x:c r="C543" s="29" t="str">
        <x:v>TX</x:v>
      </x:c>
      <x:c r="D543" s="29" t="str">
        <x:v>Travis County</x:v>
      </x:c>
      <x:c r="E543" s="41" t="n">
        <x:v>1389670</x:v>
      </x:c>
      <x:c r="F543" s="56" t="n">
        <x:v>30.239513</x:v>
      </x:c>
      <x:c r="G543" s="56" t="n">
        <x:v>-97.69127</x:v>
      </x:c>
      <x:c r="H543" s="44" t="n">
        <x:f>E543/SUMIF(A:A,A543,E:E)</x:f>
        <x:v>0.20560247397031578</x:v>
      </x:c>
    </x:row>
    <x:row r="544" ht="21.600000381469727" hidden="0" customHeight="1">
      <x:c r="A544" s="27" t="str">
        <x:v>SCA-13</x:v>
      </x:c>
      <x:c r="B544" s="27" t="str">
        <x:v>48491</x:v>
      </x:c>
      <x:c r="C544" s="27" t="str">
        <x:v>TX</x:v>
      </x:c>
      <x:c r="D544" s="27" t="str">
        <x:v>Williamson County</x:v>
      </x:c>
      <x:c r="E544" s="40" t="n">
        <x:v>752827</x:v>
      </x:c>
      <x:c r="F544" s="55" t="n">
        <x:v>30.649082</x:v>
      </x:c>
      <x:c r="G544" s="55" t="n">
        <x:v>-97.605065</x:v>
      </x:c>
      <x:c r="H544" s="43" t="n">
        <x:f>E544/SUMIF(A:A,A544,E:E)</x:f>
        <x:v>0.11138118666420871</x:v>
      </x:c>
    </x:row>
    <x:row r="545" ht="15" hidden="0" customHeight="1">
      <x:c r="A545" s="29" t="str">
        <x:v>SCA-13</x:v>
      </x:c>
      <x:c r="B545" s="29" t="str">
        <x:v>48027</x:v>
      </x:c>
      <x:c r="C545" s="29" t="str">
        <x:v>TX</x:v>
      </x:c>
      <x:c r="D545" s="29" t="str">
        <x:v>Bell County</x:v>
      </x:c>
      <x:c r="E545" s="41" t="n">
        <x:v>402248</x:v>
      </x:c>
      <x:c r="F545" s="56" t="n">
        <x:v>31.037009</x:v>
      </x:c>
      <x:c r="G545" s="56" t="n">
        <x:v>-97.479635</x:v>
      </x:c>
      <x:c r="H545" s="44" t="n">
        <x:f>E545/SUMIF(A:A,A545,E:E)</x:f>
        <x:v>0.05951282243238437</x:v>
      </x:c>
    </x:row>
    <x:row r="546" ht="15" hidden="0" customHeight="1">
      <x:c r="A546" s="27" t="str">
        <x:v>SCA-13</x:v>
      </x:c>
      <x:c r="B546" s="27" t="str">
        <x:v>48209</x:v>
      </x:c>
      <x:c r="C546" s="27" t="str">
        <x:v>TX</x:v>
      </x:c>
      <x:c r="D546" s="27" t="str">
        <x:v>Hays County</x:v>
      </x:c>
      <x:c r="E546" s="40" t="n">
        <x:v>304390</x:v>
      </x:c>
      <x:c r="F546" s="55" t="n">
        <x:v>30.061225</x:v>
      </x:c>
      <x:c r="G546" s="55" t="n">
        <x:v>-98.029267</x:v>
      </x:c>
      <x:c r="H546" s="43" t="n">
        <x:f>E546/SUMIF(A:A,A546,E:E)</x:f>
        <x:v>0.045034675175994604</x:v>
      </x:c>
    </x:row>
    <x:row r="547" ht="21.600000381469727" hidden="0" customHeight="1">
      <x:c r="A547" s="29" t="str">
        <x:v>SCA-13</x:v>
      </x:c>
      <x:c r="B547" s="29" t="str">
        <x:v>48091</x:v>
      </x:c>
      <x:c r="C547" s="29" t="str">
        <x:v>TX</x:v>
      </x:c>
      <x:c r="D547" s="29" t="str">
        <x:v>Comal County</x:v>
      </x:c>
      <x:c r="E547" s="41" t="n">
        <x:v>209166</x:v>
      </x:c>
      <x:c r="F547" s="56" t="n">
        <x:v>29.812377</x:v>
      </x:c>
      <x:c r="G547" s="56" t="n">
        <x:v>-98.258129</x:v>
      </x:c>
      <x:c r="H547" s="44" t="n">
        <x:f>E547/SUMIF(A:A,A547,E:E)</x:f>
        <x:v>0.030946229731141257</x:v>
      </x:c>
    </x:row>
    <x:row r="548" ht="21.600000381469727" hidden="0" customHeight="1">
      <x:c r="A548" s="27" t="str">
        <x:v>SCA-13</x:v>
      </x:c>
      <x:c r="B548" s="27" t="str">
        <x:v>48187</x:v>
      </x:c>
      <x:c r="C548" s="27" t="str">
        <x:v>TX</x:v>
      </x:c>
      <x:c r="D548" s="27" t="str">
        <x:v>Guadalupe County</x:v>
      </x:c>
      <x:c r="E548" s="40" t="n">
        <x:v>201111</x:v>
      </x:c>
      <x:c r="F548" s="55" t="n">
        <x:v>29.582671</x:v>
      </x:c>
      <x:c r="G548" s="55" t="n">
        <x:v>-97.948995</x:v>
      </x:c>
      <x:c r="H548" s="43" t="n">
        <x:f>E548/SUMIF(A:A,A548,E:E)</x:f>
        <x:v>0.029754487858732057</x:v>
      </x:c>
    </x:row>
    <x:row r="549" ht="21.600000381469727" hidden="0" customHeight="1">
      <x:c r="A549" s="29" t="str">
        <x:v>SCA-13</x:v>
      </x:c>
      <x:c r="B549" s="29" t="str">
        <x:v>48451</x:v>
      </x:c>
      <x:c r="C549" s="29" t="str">
        <x:v>TX</x:v>
      </x:c>
      <x:c r="D549" s="29" t="str">
        <x:v>Tom Green County</x:v>
      </x:c>
      <x:c r="E549" s="41" t="n">
        <x:v>120602</x:v>
      </x:c>
      <x:c r="F549" s="56" t="n">
        <x:v>31.397591</x:v>
      </x:c>
      <x:c r="G549" s="56" t="n">
        <x:v>-100.464168</x:v>
      </x:c>
      <x:c r="H549" s="44" t="n">
        <x:f>E549/SUMIF(A:A,A549,E:E)</x:f>
        <x:v>0.017843135108168144</x:v>
      </x:c>
    </x:row>
    <x:row r="550" ht="21.600000381469727" hidden="0" customHeight="1">
      <x:c r="A550" s="27" t="str">
        <x:v>SCA-13</x:v>
      </x:c>
      <x:c r="B550" s="27" t="str">
        <x:v>48021</x:v>
      </x:c>
      <x:c r="C550" s="27" t="str">
        <x:v>TX</x:v>
      </x:c>
      <x:c r="D550" s="27" t="str">
        <x:v>Bastrop County</x:v>
      </x:c>
      <x:c r="E550" s="40" t="n">
        <x:v>118908</x:v>
      </x:c>
      <x:c r="F550" s="55" t="n">
        <x:v>30.100772</x:v>
      </x:c>
      <x:c r="G550" s="55" t="n">
        <x:v>-97.310639</x:v>
      </x:c>
      <x:c r="H550" s="43" t="n">
        <x:f>E550/SUMIF(A:A,A550,E:E)</x:f>
        <x:v>0.017592506836056267</x:v>
      </x:c>
    </x:row>
    <x:row r="551" ht="21.600000381469727" hidden="0" customHeight="1">
      <x:c r="A551" s="29" t="str">
        <x:v>SCA-13</x:v>
      </x:c>
      <x:c r="B551" s="29" t="str">
        <x:v>48469</x:v>
      </x:c>
      <x:c r="C551" s="29" t="str">
        <x:v>TX</x:v>
      </x:c>
      <x:c r="D551" s="29" t="str">
        <x:v>Victoria County</x:v>
      </x:c>
      <x:c r="E551" s="41" t="n">
        <x:v>92656</x:v>
      </x:c>
      <x:c r="F551" s="56" t="n">
        <x:v>28.79637</x:v>
      </x:c>
      <x:c r="G551" s="56" t="n">
        <x:v>-96.971198</x:v>
      </x:c>
      <x:c r="H551" s="44" t="n">
        <x:f>E551/SUMIF(A:A,A551,E:E)</x:f>
        <x:v>0.013708508371191419</x:v>
      </x:c>
    </x:row>
    <x:row r="552" ht="21.600000381469727" hidden="0" customHeight="1">
      <x:c r="A552" s="27" t="str">
        <x:v>SCA-13</x:v>
      </x:c>
      <x:c r="B552" s="27" t="str">
        <x:v>48409</x:v>
      </x:c>
      <x:c r="C552" s="27" t="str">
        <x:v>TX</x:v>
      </x:c>
      <x:c r="D552" s="27" t="str">
        <x:v>San Patricio County</x:v>
      </x:c>
      <x:c r="E552" s="40" t="n">
        <x:v>72053</x:v>
      </x:c>
      <x:c r="F552" s="55" t="n">
        <x:v>28.011794</x:v>
      </x:c>
      <x:c r="G552" s="55" t="n">
        <x:v>-97.517157</x:v>
      </x:c>
      <x:c r="H552" s="43" t="n">
        <x:f>E552/SUMIF(A:A,A552,E:E)</x:f>
        <x:v>0.0106602826980385</x:v>
      </x:c>
    </x:row>
    <x:row r="553" ht="21.600000381469727" hidden="0" customHeight="1">
      <x:c r="A553" s="29" t="str">
        <x:v>SCA-13</x:v>
      </x:c>
      <x:c r="B553" s="29" t="str">
        <x:v>48323</x:v>
      </x:c>
      <x:c r="C553" s="29" t="str">
        <x:v>TX</x:v>
      </x:c>
      <x:c r="D553" s="29" t="str">
        <x:v>Maverick County</x:v>
      </x:c>
      <x:c r="E553" s="41" t="n">
        <x:v>58823</x:v>
      </x:c>
      <x:c r="F553" s="56" t="n">
        <x:v>28.729787</x:v>
      </x:c>
      <x:c r="G553" s="56" t="n">
        <x:v>-100.316678</x:v>
      </x:c>
      <x:c r="H553" s="44" t="n">
        <x:f>E553/SUMIF(A:A,A553,E:E)</x:f>
        <x:v>0.008702896605925065</x:v>
      </x:c>
    </x:row>
    <x:row r="554" ht="21.600000381469727" hidden="0" customHeight="1">
      <x:c r="A554" s="27" t="str">
        <x:v>SCA-13</x:v>
      </x:c>
      <x:c r="B554" s="27" t="str">
        <x:v>48053</x:v>
      </x:c>
      <x:c r="C554" s="27" t="str">
        <x:v>TX</x:v>
      </x:c>
      <x:c r="D554" s="27" t="str">
        <x:v>Burnet County</x:v>
      </x:c>
      <x:c r="E554" s="40" t="n">
        <x:v>57015</x:v>
      </x:c>
      <x:c r="F554" s="55" t="n">
        <x:v>30.78963</x:v>
      </x:c>
      <x:c r="G554" s="55" t="n">
        <x:v>-98.201187</x:v>
      </x:c>
      <x:c r="H554" s="43" t="n">
        <x:f>E554/SUMIF(A:A,A554,E:E)</x:f>
        <x:v>0.008435401968393616</x:v>
      </x:c>
    </x:row>
    <x:row r="555" ht="21.600000381469727" hidden="0" customHeight="1">
      <x:c r="A555" s="29" t="str">
        <x:v>SCA-13</x:v>
      </x:c>
      <x:c r="B555" s="29" t="str">
        <x:v>48325</x:v>
      </x:c>
      <x:c r="C555" s="29" t="str">
        <x:v>TX</x:v>
      </x:c>
      <x:c r="D555" s="29" t="str">
        <x:v>Medina County</x:v>
      </x:c>
      <x:c r="E555" s="41" t="n">
        <x:v>56881</x:v>
      </x:c>
      <x:c r="F555" s="56" t="n">
        <x:v>29.353661</x:v>
      </x:c>
      <x:c r="G555" s="56" t="n">
        <x:v>-99.111085</x:v>
      </x:c>
      <x:c r="H555" s="44" t="n">
        <x:f>E555/SUMIF(A:A,A555,E:E)</x:f>
        <x:v>0.008415576591496925</x:v>
      </x:c>
    </x:row>
    <x:row r="556" ht="21.600000381469727" hidden="0" customHeight="1">
      <x:c r="A556" s="27" t="str">
        <x:v>SCA-13</x:v>
      </x:c>
      <x:c r="B556" s="27" t="str">
        <x:v>48493</x:v>
      </x:c>
      <x:c r="C556" s="27" t="str">
        <x:v>TX</x:v>
      </x:c>
      <x:c r="D556" s="27" t="str">
        <x:v>Wilson County</x:v>
      </x:c>
      <x:c r="E556" s="40" t="n">
        <x:v>56139</x:v>
      </x:c>
      <x:c r="F556" s="55" t="n">
        <x:v>29.173883</x:v>
      </x:c>
      <x:c r="G556" s="55" t="n">
        <x:v>-98.086734</x:v>
      </x:c>
      <x:c r="H556" s="43" t="n">
        <x:f>E556/SUMIF(A:A,A556,E:E)</x:f>
        <x:v>0.008305797265695854</x:v>
      </x:c>
    </x:row>
    <x:row r="557" ht="21.600000381469727" hidden="0" customHeight="1">
      <x:c r="A557" s="29" t="str">
        <x:v>SCA-13</x:v>
      </x:c>
      <x:c r="B557" s="29" t="str">
        <x:v>48055</x:v>
      </x:c>
      <x:c r="C557" s="29" t="str">
        <x:v>TX</x:v>
      </x:c>
      <x:c r="D557" s="29" t="str">
        <x:v>Caldwell County</x:v>
      </x:c>
      <x:c r="E557" s="41" t="n">
        <x:v>55150</x:v>
      </x:c>
      <x:c r="F557" s="56" t="n">
        <x:v>29.832399</x:v>
      </x:c>
      <x:c r="G557" s="56" t="n">
        <x:v>-97.628141</x:v>
      </x:c>
      <x:c r="H557" s="44" t="n">
        <x:f>E557/SUMIF(A:A,A557,E:E)</x:f>
        <x:v>0.00815947414815238</x:v>
      </x:c>
    </x:row>
    <x:row r="558" ht="15" hidden="0" customHeight="1">
      <x:c r="A558" s="27" t="str">
        <x:v>SCA-13</x:v>
      </x:c>
      <x:c r="B558" s="27" t="str">
        <x:v>48265</x:v>
      </x:c>
      <x:c r="C558" s="27" t="str">
        <x:v>TX</x:v>
      </x:c>
      <x:c r="D558" s="27" t="str">
        <x:v>Kerr County</x:v>
      </x:c>
      <x:c r="E558" s="40" t="n">
        <x:v>54037</x:v>
      </x:c>
      <x:c r="F558" s="55" t="n">
        <x:v>30.053563</x:v>
      </x:c>
      <x:c r="G558" s="55" t="n">
        <x:v>-99.374682</x:v>
      </x:c>
      <x:c r="H558" s="43" t="n">
        <x:f>E558/SUMIF(A:A,A558,E:E)</x:f>
        <x:v>0.007994805159450773</x:v>
      </x:c>
    </x:row>
    <x:row r="559" ht="21.600000381469727" hidden="0" customHeight="1">
      <x:c r="A559" s="29" t="str">
        <x:v>SCA-13</x:v>
      </x:c>
      <x:c r="B559" s="29" t="str">
        <x:v>48013</x:v>
      </x:c>
      <x:c r="C559" s="29" t="str">
        <x:v>TX</x:v>
      </x:c>
      <x:c r="D559" s="29" t="str">
        <x:v>Atascosa County</x:v>
      </x:c>
      <x:c r="E559" s="41" t="n">
        <x:v>53590</x:v>
      </x:c>
      <x:c r="F559" s="56" t="n">
        <x:v>28.891478</x:v>
      </x:c>
      <x:c r="G559" s="56" t="n">
        <x:v>-98.535381</x:v>
      </x:c>
      <x:c r="H559" s="44" t="n">
        <x:f>E559/SUMIF(A:A,A559,E:E)</x:f>
        <x:v>0.007928671252937189</x:v>
      </x:c>
    </x:row>
    <x:row r="560" ht="21.600000381469727" hidden="0" customHeight="1">
      <x:c r="A560" s="27" t="str">
        <x:v>SCA-13</x:v>
      </x:c>
      <x:c r="B560" s="27" t="str">
        <x:v>48259</x:v>
      </x:c>
      <x:c r="C560" s="27" t="str">
        <x:v>TX</x:v>
      </x:c>
      <x:c r="D560" s="27" t="str">
        <x:v>Kendall County</x:v>
      </x:c>
      <x:c r="E560" s="40" t="n">
        <x:v>53289</x:v>
      </x:c>
      <x:c r="F560" s="55" t="n">
        <x:v>29.943525</x:v>
      </x:c>
      <x:c r="G560" s="55" t="n">
        <x:v>-98.709269</x:v>
      </x:c>
      <x:c r="H560" s="43" t="n">
        <x:f>E560/SUMIF(A:A,A560,E:E)</x:f>
        <x:v>0.007884138130206565</x:v>
      </x:c>
    </x:row>
    <x:row r="561" ht="21.600000381469727" hidden="0" customHeight="1">
      <x:c r="A561" s="29" t="str">
        <x:v>SCA-13</x:v>
      </x:c>
      <x:c r="B561" s="29" t="str">
        <x:v>48465</x:v>
      </x:c>
      <x:c r="C561" s="29" t="str">
        <x:v>TX</x:v>
      </x:c>
      <x:c r="D561" s="29" t="str">
        <x:v>Val Verde County</x:v>
      </x:c>
      <x:c r="E561" s="41" t="n">
        <x:v>47835</x:v>
      </x:c>
      <x:c r="F561" s="56" t="n">
        <x:v>29.875285</x:v>
      </x:c>
      <x:c r="G561" s="56" t="n">
        <x:v>-101.143324</x:v>
      </x:c>
      <x:c r="H561" s="44" t="n">
        <x:f>E561/SUMIF(A:A,A561,E:E)</x:f>
        <x:v>0.007077215700396537</x:v>
      </x:c>
    </x:row>
    <x:row r="562" ht="15" hidden="0" customHeight="1">
      <x:c r="A562" s="27" t="str">
        <x:v>SCA-13</x:v>
      </x:c>
      <x:c r="B562" s="27" t="str">
        <x:v>48025</x:v>
      </x:c>
      <x:c r="C562" s="27" t="str">
        <x:v>TX</x:v>
      </x:c>
      <x:c r="D562" s="27" t="str">
        <x:v>Bee County</x:v>
      </x:c>
      <x:c r="E562" s="40" t="n">
        <x:v>32515</x:v>
      </x:c>
      <x:c r="F562" s="55" t="n">
        <x:v>28.416077</x:v>
      </x:c>
      <x:c r="G562" s="55" t="n">
        <x:v>-97.742586</x:v>
      </x:c>
      <x:c r="H562" s="43" t="n">
        <x:f>E562/SUMIF(A:A,A562,E:E)</x:f>
        <x:v>0.00481061290892429</x:v>
      </x:c>
    </x:row>
    <x:row r="563" ht="21.600000381469727" hidden="0" customHeight="1">
      <x:c r="A563" s="29" t="str">
        <x:v>SCA-13</x:v>
      </x:c>
      <x:c r="B563" s="29" t="str">
        <x:v>48227</x:v>
      </x:c>
      <x:c r="C563" s="29" t="str">
        <x:v>TX</x:v>
      </x:c>
      <x:c r="D563" s="29" t="str">
        <x:v>Howard County</x:v>
      </x:c>
      <x:c r="E563" s="41" t="n">
        <x:v>30504</x:v>
      </x:c>
      <x:c r="F563" s="56" t="n">
        <x:v>32.30343</x:v>
      </x:c>
      <x:c r="G563" s="56" t="n">
        <x:v>-101.438721</x:v>
      </x:c>
      <x:c r="H563" s="44" t="n">
        <x:f>E563/SUMIF(A:A,A563,E:E)</x:f>
        <x:v>0.0045130843049000936</x:v>
      </x:c>
    </x:row>
    <x:row r="564" ht="21.600000381469727" hidden="0" customHeight="1">
      <x:c r="A564" s="27" t="str">
        <x:v>SCA-13</x:v>
      </x:c>
      <x:c r="B564" s="27" t="str">
        <x:v>48171</x:v>
      </x:c>
      <x:c r="C564" s="27" t="str">
        <x:v>TX</x:v>
      </x:c>
      <x:c r="D564" s="27" t="str">
        <x:v>Gillespie County</x:v>
      </x:c>
      <x:c r="E564" s="40" t="n">
        <x:v>28527</x:v>
      </x:c>
      <x:c r="F564" s="55" t="n">
        <x:v>30.325095</x:v>
      </x:c>
      <x:c r="G564" s="55" t="n">
        <x:v>-98.941845</x:v>
      </x:c>
      <x:c r="H564" s="43" t="n">
        <x:f>E564/SUMIF(A:A,A564,E:E)</x:f>
        <x:v>0.004220586020386997</x:v>
      </x:c>
    </x:row>
    <x:row r="565" ht="21.600000381469727" hidden="0" customHeight="1">
      <x:c r="A565" s="29" t="str">
        <x:v>SCA-13</x:v>
      </x:c>
      <x:c r="B565" s="29" t="str">
        <x:v>48007</x:v>
      </x:c>
      <x:c r="C565" s="29" t="str">
        <x:v>TX</x:v>
      </x:c>
      <x:c r="D565" s="29" t="str">
        <x:v>Aransas County</x:v>
      </x:c>
      <x:c r="E565" s="41" t="n">
        <x:v>26146</x:v>
      </x:c>
      <x:c r="F565" s="56" t="n">
        <x:v>28.122621</x:v>
      </x:c>
      <x:c r="G565" s="56" t="n">
        <x:v>-96.967501</x:v>
      </x:c>
      <x:c r="H565" s="44" t="n">
        <x:f>E565/SUMIF(A:A,A565,E:E)</x:f>
        <x:v>0.0038683157040361213</x:v>
      </x:c>
    </x:row>
    <x:row r="566" ht="21.600000381469727" hidden="0" customHeight="1">
      <x:c r="A566" s="27" t="str">
        <x:v>SCA-13</x:v>
      </x:c>
      <x:c r="B566" s="27" t="str">
        <x:v>48463</x:v>
      </x:c>
      <x:c r="C566" s="27" t="str">
        <x:v>TX</x:v>
      </x:c>
      <x:c r="D566" s="27" t="str">
        <x:v>Uvalde County</x:v>
      </x:c>
      <x:c r="E566" s="40" t="n">
        <x:v>24963</x:v>
      </x:c>
      <x:c r="F566" s="55" t="n">
        <x:v>29.350308</x:v>
      </x:c>
      <x:c r="G566" s="55" t="n">
        <x:v>-99.768427</x:v>
      </x:c>
      <x:c r="H566" s="43" t="n">
        <x:f>E566/SUMIF(A:A,A566,E:E)</x:f>
        <x:v>0.0036932901751646026</x:v>
      </x:c>
    </x:row>
    <x:row r="567" ht="21.600000381469727" hidden="0" customHeight="1">
      <x:c r="A567" s="29" t="str">
        <x:v>SCA-13</x:v>
      </x:c>
      <x:c r="B567" s="29" t="str">
        <x:v>48281</x:v>
      </x:c>
      <x:c r="C567" s="29" t="str">
        <x:v>TX</x:v>
      </x:c>
      <x:c r="D567" s="29" t="str">
        <x:v>Lampasas County</x:v>
      </x:c>
      <x:c r="E567" s="41" t="n">
        <x:v>23657</x:v>
      </x:c>
      <x:c r="F567" s="56" t="n">
        <x:v>31.196731</x:v>
      </x:c>
      <x:c r="G567" s="56" t="n">
        <x:v>-98.240889</x:v>
      </x:c>
      <x:c r="H567" s="44" t="n">
        <x:f>E567/SUMIF(A:A,A567,E:E)</x:f>
        <x:v>0.003500066725708809</x:v>
      </x:c>
    </x:row>
    <x:row r="568" ht="15" hidden="0" customHeight="1">
      <x:c r="A568" s="27" t="str">
        <x:v>SCA-13</x:v>
      </x:c>
      <x:c r="B568" s="27" t="str">
        <x:v>48299</x:v>
      </x:c>
      <x:c r="C568" s="27" t="str">
        <x:v>TX</x:v>
      </x:c>
      <x:c r="D568" s="27" t="str">
        <x:v>Llano County</x:v>
      </x:c>
      <x:c r="E568" s="40" t="n">
        <x:v>23353</x:v>
      </x:c>
      <x:c r="F568" s="55" t="n">
        <x:v>30.707584</x:v>
      </x:c>
      <x:c r="G568" s="55" t="n">
        <x:v>-98.68469</x:v>
      </x:c>
      <x:c r="H568" s="43" t="n">
        <x:f>E568/SUMIF(A:A,A568,E:E)</x:f>
        <x:v>0.0034550897512566183</x:v>
      </x:c>
    </x:row>
    <x:row r="569" ht="21.600000381469727" hidden="0" customHeight="1">
      <x:c r="A569" s="29" t="str">
        <x:v>SCA-13</x:v>
      </x:c>
      <x:c r="B569" s="29" t="str">
        <x:v>48019</x:v>
      </x:c>
      <x:c r="C569" s="29" t="str">
        <x:v>TX</x:v>
      </x:c>
      <x:c r="D569" s="29" t="str">
        <x:v>Bandera County</x:v>
      </x:c>
      <x:c r="E569" s="41" t="n">
        <x:v>22876</x:v>
      </x:c>
      <x:c r="F569" s="56" t="n">
        <x:v>29.756389</x:v>
      </x:c>
      <x:c r="G569" s="56" t="n">
        <x:v>-99.248285</x:v>
      </x:c>
      <x:c r="H569" s="44" t="n">
        <x:f>E569/SUMIF(A:A,A569,E:E)</x:f>
        <x:v>0.003384517327527358</x:v>
      </x:c>
    </x:row>
    <x:row r="570" ht="21.600000381469727" hidden="0" customHeight="1">
      <x:c r="A570" s="27" t="str">
        <x:v>SCA-13</x:v>
      </x:c>
      <x:c r="B570" s="27" t="str">
        <x:v>48285</x:v>
      </x:c>
      <x:c r="C570" s="27" t="str">
        <x:v>TX</x:v>
      </x:c>
      <x:c r="D570" s="27" t="str">
        <x:v>Lavaca County</x:v>
      </x:c>
      <x:c r="E570" s="40" t="n">
        <x:v>20651</x:v>
      </x:c>
      <x:c r="F570" s="55" t="n">
        <x:v>29.382578</x:v>
      </x:c>
      <x:c r="G570" s="55" t="n">
        <x:v>-96.923633</x:v>
      </x:c>
      <x:c r="H570" s="43" t="n">
        <x:f>E570/SUMIF(A:A,A570,E:E)</x:f>
        <x:v>0.0030553273006980013</x:v>
      </x:c>
    </x:row>
    <x:row r="571" ht="21.600000381469727" hidden="0" customHeight="1">
      <x:c r="A571" s="29" t="str">
        <x:v>SCA-13</x:v>
      </x:c>
      <x:c r="B571" s="29" t="str">
        <x:v>48123</x:v>
      </x:c>
      <x:c r="C571" s="29" t="str">
        <x:v>TX</x:v>
      </x:c>
      <x:c r="D571" s="29" t="str">
        <x:v>DeWitt County</x:v>
      </x:c>
      <x:c r="E571" s="41" t="n">
        <x:v>20309</x:v>
      </x:c>
      <x:c r="F571" s="56" t="n">
        <x:v>29.082346</x:v>
      </x:c>
      <x:c r="G571" s="56" t="n">
        <x:v>-97.361654</x:v>
      </x:c>
      <x:c r="H571" s="44" t="n">
        <x:f>E571/SUMIF(A:A,A571,E:E)</x:f>
        <x:v>0.0030047282044392866</x:v>
      </x:c>
    </x:row>
    <x:row r="572" ht="21.600000381469727" hidden="0" customHeight="1">
      <x:c r="A572" s="27" t="str">
        <x:v>SCA-13</x:v>
      </x:c>
      <x:c r="B572" s="27" t="str">
        <x:v>48177</x:v>
      </x:c>
      <x:c r="C572" s="27" t="str">
        <x:v>TX</x:v>
      </x:c>
      <x:c r="D572" s="27" t="str">
        <x:v>Gonzales County</x:v>
      </x:c>
      <x:c r="E572" s="40" t="n">
        <x:v>20159</x:v>
      </x:c>
      <x:c r="F572" s="55" t="n">
        <x:v>29.461912</x:v>
      </x:c>
      <x:c r="G572" s="55" t="n">
        <x:v>-97.49192</x:v>
      </x:c>
      <x:c r="H572" s="43" t="n">
        <x:f>E572/SUMIF(A:A,A572,E:E)</x:f>
        <x:v>0.002982535618360903</x:v>
      </x:c>
    </x:row>
    <x:row r="573" ht="15" hidden="0" customHeight="1">
      <x:c r="A573" s="29" t="str">
        <x:v>SCA-13</x:v>
      </x:c>
      <x:c r="B573" s="29" t="str">
        <x:v>48163</x:v>
      </x:c>
      <x:c r="C573" s="29" t="str">
        <x:v>TX</x:v>
      </x:c>
      <x:c r="D573" s="29" t="str">
        <x:v>Frio County</x:v>
      </x:c>
      <x:c r="E573" s="41" t="n">
        <x:v>18823</x:v>
      </x:c>
      <x:c r="F573" s="56" t="n">
        <x:v>28.869383</x:v>
      </x:c>
      <x:c r="G573" s="56" t="n">
        <x:v>-99.109005</x:v>
      </x:c>
      <x:c r="H573" s="44" t="n">
        <x:f>E573/SUMIF(A:A,A573,E:E)</x:f>
        <x:v>0.0027848736516894327</x:v>
      </x:c>
    </x:row>
    <x:row r="574" ht="21.600000381469727" hidden="0" customHeight="1">
      <x:c r="A574" s="27" t="str">
        <x:v>SCA-13</x:v>
      </x:c>
      <x:c r="B574" s="27" t="str">
        <x:v>48255</x:v>
      </x:c>
      <x:c r="C574" s="27" t="str">
        <x:v>TX</x:v>
      </x:c>
      <x:c r="D574" s="27" t="str">
        <x:v>Karnes County</x:v>
      </x:c>
      <x:c r="E574" s="40" t="n">
        <x:v>15018</x:v>
      </x:c>
      <x:c r="F574" s="55" t="n">
        <x:v>28.908996</x:v>
      </x:c>
      <x:c r="G574" s="55" t="n">
        <x:v>-97.852205</x:v>
      </x:c>
      <x:c r="H574" s="43" t="n">
        <x:f>E574/SUMIF(A:A,A574,E:E)</x:f>
        <x:v>0.0022219217181677683</x:v>
      </x:c>
    </x:row>
    <x:row r="575" ht="21.600000381469727" hidden="0" customHeight="1">
      <x:c r="A575" s="29" t="str">
        <x:v>SCA-13</x:v>
      </x:c>
      <x:c r="B575" s="29" t="str">
        <x:v>48031</x:v>
      </x:c>
      <x:c r="C575" s="29" t="str">
        <x:v>TX</x:v>
      </x:c>
      <x:c r="D575" s="29" t="str">
        <x:v>Blanco County</x:v>
      </x:c>
      <x:c r="E575" s="41" t="n">
        <x:v>13581</x:v>
      </x:c>
      <x:c r="F575" s="56" t="n">
        <x:v>30.266203</x:v>
      </x:c>
      <x:c r="G575" s="56" t="n">
        <x:v>-98.399332</x:v>
      </x:c>
      <x:c r="H575" s="44" t="n">
        <x:f>E575/SUMIF(A:A,A575,E:E)</x:f>
        <x:v>0.0020093167435368533</x:v>
      </x:c>
    </x:row>
    <x:row r="576" ht="21.600000381469727" hidden="0" customHeight="1">
      <x:c r="A576" s="27" t="str">
        <x:v>SCA-13</x:v>
      </x:c>
      <x:c r="B576" s="27" t="str">
        <x:v>48297</x:v>
      </x:c>
      <x:c r="C576" s="27" t="str">
        <x:v>TX</x:v>
      </x:c>
      <x:c r="D576" s="27" t="str">
        <x:v>Live Oak County</x:v>
      </x:c>
      <x:c r="E576" s="40" t="n">
        <x:v>11929</x:v>
      </x:c>
      <x:c r="F576" s="55" t="n">
        <x:v>28.351479</x:v>
      </x:c>
      <x:c r="G576" s="55" t="n">
        <x:v>-98.126891</x:v>
      </x:c>
      <x:c r="H576" s="43" t="n">
        <x:f>E576/SUMIF(A:A,A576,E:E)</x:f>
        <x:v>0.0017649023955269216</x:v>
      </x:c>
    </x:row>
    <x:row r="577" ht="21.600000381469727" hidden="0" customHeight="1">
      <x:c r="A577" s="29" t="str">
        <x:v>SCA-13</x:v>
      </x:c>
      <x:c r="B577" s="29" t="str">
        <x:v>48399</x:v>
      </x:c>
      <x:c r="C577" s="29" t="str">
        <x:v>TX</x:v>
      </x:c>
      <x:c r="D577" s="29" t="str">
        <x:v>Runnels County</x:v>
      </x:c>
      <x:c r="E577" s="41" t="n">
        <x:v>9693</x:v>
      </x:c>
      <x:c r="F577" s="56" t="n">
        <x:v>31.845119</x:v>
      </x:c>
      <x:c r="G577" s="56" t="n">
        <x:v>-99.982715</x:v>
      </x:c>
      <x:c r="H577" s="44" t="n">
        <x:f>E577/SUMIF(A:A,A577,E:E)</x:f>
        <x:v>0.0014340849123851496</x:v>
      </x:c>
    </x:row>
    <x:row r="578" ht="21.600000381469727" hidden="0" customHeight="1">
      <x:c r="A578" s="27" t="str">
        <x:v>SCA-13</x:v>
      </x:c>
      <x:c r="B578" s="27" t="str">
        <x:v>48507</x:v>
      </x:c>
      <x:c r="C578" s="27" t="str">
        <x:v>TX</x:v>
      </x:c>
      <x:c r="D578" s="27" t="str">
        <x:v>Zavala County</x:v>
      </x:c>
      <x:c r="E578" s="40" t="n">
        <x:v>9037</x:v>
      </x:c>
      <x:c r="F578" s="55" t="n">
        <x:v>28.864652</x:v>
      </x:c>
      <x:c r="G578" s="55" t="n">
        <x:v>-99.75983</x:v>
      </x:c>
      <x:c r="H578" s="43" t="n">
        <x:f>E578/SUMIF(A:A,A578,E:E)</x:f>
        <x:v>0.0013370293359356853</x:v>
      </x:c>
    </x:row>
    <x:row r="579" ht="21.600000381469727" hidden="0" customHeight="1">
      <x:c r="A579" s="29" t="str">
        <x:v>SCA-13</x:v>
      </x:c>
      <x:c r="B579" s="29" t="str">
        <x:v>48127</x:v>
      </x:c>
      <x:c r="C579" s="29" t="str">
        <x:v>TX</x:v>
      </x:c>
      <x:c r="D579" s="29" t="str">
        <x:v>Dimmit County</x:v>
      </x:c>
      <x:c r="E579" s="41" t="n">
        <x:v>8024</x:v>
      </x:c>
      <x:c r="F579" s="56" t="n">
        <x:v>28.423587</x:v>
      </x:c>
      <x:c r="G579" s="56" t="n">
        <x:v>-99.765871</x:v>
      </x:c>
      <x:c r="H579" s="44" t="n">
        <x:f>E579/SUMIF(A:A,A579,E:E)</x:f>
        <x:v>0.001187155404619668</x:v>
      </x:c>
    </x:row>
    <x:row r="580" ht="21.600000381469727" hidden="0" customHeight="1">
      <x:c r="A580" s="27" t="str">
        <x:v>SCA-13</x:v>
      </x:c>
      <x:c r="B580" s="27" t="str">
        <x:v>48083</x:v>
      </x:c>
      <x:c r="C580" s="27" t="str">
        <x:v>TX</x:v>
      </x:c>
      <x:c r="D580" s="27" t="str">
        <x:v>Coleman County</x:v>
      </x:c>
      <x:c r="E580" s="40" t="n">
        <x:v>7915</x:v>
      </x:c>
      <x:c r="F580" s="55" t="n">
        <x:v>31.914205</x:v>
      </x:c>
      <x:c r="G580" s="55" t="n">
        <x:v>-99.346622</x:v>
      </x:c>
      <x:c r="H580" s="43" t="n">
        <x:f>E580/SUMIF(A:A,A580,E:E)</x:f>
        <x:v>0.0011710287920693758</x:v>
      </x:c>
    </x:row>
    <x:row r="581" ht="21.600000381469727" hidden="0" customHeight="1">
      <x:c r="A581" s="29" t="str">
        <x:v>SCA-13</x:v>
      </x:c>
      <x:c r="B581" s="29" t="str">
        <x:v>48307</x:v>
      </x:c>
      <x:c r="C581" s="29" t="str">
        <x:v>TX</x:v>
      </x:c>
      <x:c r="D581" s="29" t="str">
        <x:v>McCulloch County</x:v>
      </x:c>
      <x:c r="E581" s="41" t="n">
        <x:v>7472</x:v>
      </x:c>
      <x:c r="F581" s="56" t="n">
        <x:v>31.205477</x:v>
      </x:c>
      <x:c r="G581" s="56" t="n">
        <x:v>-99.359856</x:v>
      </x:c>
      <x:c r="H581" s="44" t="n">
        <x:f>E581/SUMIF(A:A,A581,E:E)</x:f>
        <x:v>0.0011054866878512162</x:v>
      </x:c>
    </x:row>
    <x:row r="582" ht="21.600000381469727" hidden="0" customHeight="1">
      <x:c r="A582" s="27" t="str">
        <x:v>SCA-13</x:v>
      </x:c>
      <x:c r="B582" s="27" t="str">
        <x:v>48175</x:v>
      </x:c>
      <x:c r="C582" s="27" t="str">
        <x:v>TX</x:v>
      </x:c>
      <x:c r="D582" s="27" t="str">
        <x:v>Goliad County</x:v>
      </x:c>
      <x:c r="E582" s="40" t="n">
        <x:v>7208</x:v>
      </x:c>
      <x:c r="F582" s="55" t="n">
        <x:v>28.6607</x:v>
      </x:c>
      <x:c r="G582" s="55" t="n">
        <x:v>-97.430415</x:v>
      </x:c>
      <x:c r="H582" s="43" t="n">
        <x:f>E582/SUMIF(A:A,A582,E:E)</x:f>
        <x:v>0.001066427736353261</x:v>
      </x:c>
    </x:row>
    <x:row r="583" ht="21.600000381469727" hidden="0" customHeight="1">
      <x:c r="A583" s="29" t="str">
        <x:v>SCA-13</x:v>
      </x:c>
      <x:c r="B583" s="29" t="str">
        <x:v>48391</x:v>
      </x:c>
      <x:c r="C583" s="29" t="str">
        <x:v>TX</x:v>
      </x:c>
      <x:c r="D583" s="29" t="str">
        <x:v>Refugio County</x:v>
      </x:c>
      <x:c r="E583" s="41" t="n">
        <x:v>6657</x:v>
      </x:c>
      <x:c r="F583" s="56" t="n">
        <x:v>28.322116</x:v>
      </x:c>
      <x:c r="G583" s="56" t="n">
        <x:v>-97.162472</x:v>
      </x:c>
      <x:c r="H583" s="44" t="n">
        <x:f>E583/SUMIF(A:A,A583,E:E)</x:f>
        <x:v>0.0009849069701586652</x:v>
      </x:c>
    </x:row>
    <x:row r="584" ht="21.600000381469727" hidden="0" customHeight="1">
      <x:c r="A584" s="27" t="str">
        <x:v>SCA-13</x:v>
      </x:c>
      <x:c r="B584" s="27" t="str">
        <x:v>48283</x:v>
      </x:c>
      <x:c r="C584" s="27" t="str">
        <x:v>TX</x:v>
      </x:c>
      <x:c r="D584" s="27" t="str">
        <x:v>La Salle County</x:v>
      </x:c>
      <x:c r="E584" s="40" t="n">
        <x:v>6517</x:v>
      </x:c>
      <x:c r="F584" s="55" t="n">
        <x:v>28.351098</x:v>
      </x:c>
      <x:c r="G584" s="55" t="n">
        <x:v>-99.096774</x:v>
      </x:c>
      <x:c r="H584" s="43" t="n">
        <x:f>E584/SUMIF(A:A,A584,E:E)</x:f>
        <x:v>0.0009641938898188405</x:v>
      </x:c>
    </x:row>
    <x:row r="585" ht="21.600000381469727" hidden="0" customHeight="1">
      <x:c r="A585" s="29" t="str">
        <x:v>SCA-13</x:v>
      </x:c>
      <x:c r="B585" s="29" t="str">
        <x:v>48411</x:v>
      </x:c>
      <x:c r="C585" s="29" t="str">
        <x:v>TX</x:v>
      </x:c>
      <x:c r="D585" s="29" t="str">
        <x:v>San Saba County</x:v>
      </x:c>
      <x:c r="E585" s="41" t="n">
        <x:v>5787</x:v>
      </x:c>
      <x:c r="F585" s="56" t="n">
        <x:v>31.155138</x:v>
      </x:c>
      <x:c r="G585" s="56" t="n">
        <x:v>-98.819292</x:v>
      </x:c>
      <x:c r="H585" s="44" t="n">
        <x:f>E585/SUMIF(A:A,A585,E:E)</x:f>
        <x:v>0.0008561899709040401</x:v>
      </x:c>
    </x:row>
    <x:row r="586" ht="21.600000381469727" hidden="0" customHeight="1">
      <x:c r="A586" s="27" t="str">
        <x:v>SCA-13</x:v>
      </x:c>
      <x:c r="B586" s="27" t="str">
        <x:v>48267</x:v>
      </x:c>
      <x:c r="C586" s="27" t="str">
        <x:v>TX</x:v>
      </x:c>
      <x:c r="D586" s="27" t="str">
        <x:v>Kimble County</x:v>
      </x:c>
      <x:c r="E586" s="40" t="n">
        <x:v>4438</x:v>
      </x:c>
      <x:c r="F586" s="55" t="n">
        <x:v>30.479472</x:v>
      </x:c>
      <x:c r="G586" s="55" t="n">
        <x:v>-99.746396</x:v>
      </x:c>
      <x:c r="H586" s="43" t="n">
        <x:f>E586/SUMIF(A:A,A586,E:E)</x:f>
        <x:v>0.0006566046467724434</x:v>
      </x:c>
    </x:row>
    <x:row r="587" ht="21.600000381469727" hidden="0" customHeight="1">
      <x:c r="A587" s="29" t="str">
        <x:v>SCA-13</x:v>
      </x:c>
      <x:c r="B587" s="29" t="str">
        <x:v>48319</x:v>
      </x:c>
      <x:c r="C587" s="29" t="str">
        <x:v>TX</x:v>
      </x:c>
      <x:c r="D587" s="29" t="str">
        <x:v>Mason County</x:v>
      </x:c>
      <x:c r="E587" s="41" t="n">
        <x:v>3990</x:v>
      </x:c>
      <x:c r="F587" s="56" t="n">
        <x:v>30.703916</x:v>
      </x:c>
      <x:c r="G587" s="56" t="n">
        <x:v>-99.237302</x:v>
      </x:c>
      <x:c r="H587" s="44" t="n">
        <x:f>E587/SUMIF(A:A,A587,E:E)</x:f>
        <x:v>0.0005903227896850043</x:v>
      </x:c>
    </x:row>
    <x:row r="588" ht="21.600000381469727" hidden="0" customHeight="1">
      <x:c r="A588" s="27" t="str">
        <x:v>SCA-13</x:v>
      </x:c>
      <x:c r="B588" s="27" t="str">
        <x:v>48095</x:v>
      </x:c>
      <x:c r="C588" s="27" t="str">
        <x:v>TX</x:v>
      </x:c>
      <x:c r="D588" s="27" t="str">
        <x:v>Concho County</x:v>
      </x:c>
      <x:c r="E588" s="40" t="n">
        <x:v>3607</x:v>
      </x:c>
      <x:c r="F588" s="55" t="n">
        <x:v>31.318883</x:v>
      </x:c>
      <x:c r="G588" s="55" t="n">
        <x:v>-99.863649</x:v>
      </x:c>
      <x:c r="H588" s="43" t="n">
        <x:f>E588/SUMIF(A:A,A588,E:E)</x:f>
        <x:v>0.0005336577198981981</x:v>
      </x:c>
    </x:row>
    <x:row r="589" ht="15" hidden="0" customHeight="1">
      <x:c r="A589" s="29" t="str">
        <x:v>SCA-13</x:v>
      </x:c>
      <x:c r="B589" s="29" t="str">
        <x:v>48081</x:v>
      </x:c>
      <x:c r="C589" s="29" t="str">
        <x:v>TX</x:v>
      </x:c>
      <x:c r="D589" s="29" t="str">
        <x:v>Coke County</x:v>
      </x:c>
      <x:c r="E589" s="41" t="n">
        <x:v>3412</x:v>
      </x:c>
      <x:c r="F589" s="56" t="n">
        <x:v>31.87711</x:v>
      </x:c>
      <x:c r="G589" s="56" t="n">
        <x:v>-100.635231</x:v>
      </x:c>
      <x:c r="H589" s="44" t="n">
        <x:f>E589/SUMIF(A:A,A589,E:E)</x:f>
        <x:v>0.0005048073579962995</x:v>
      </x:c>
    </x:row>
    <x:row r="590" ht="21.600000381469727" hidden="0" customHeight="1">
      <x:c r="A590" s="27" t="str">
        <x:v>SCA-13</x:v>
      </x:c>
      <x:c r="B590" s="27" t="str">
        <x:v>48435</x:v>
      </x:c>
      <x:c r="C590" s="27" t="str">
        <x:v>TX</x:v>
      </x:c>
      <x:c r="D590" s="27" t="str">
        <x:v>Sutton County</x:v>
      </x:c>
      <x:c r="E590" s="40" t="n">
        <x:v>3203</x:v>
      </x:c>
      <x:c r="F590" s="55" t="n">
        <x:v>30.522185</x:v>
      </x:c>
      <x:c r="G590" s="55" t="n">
        <x:v>-100.513359</x:v>
      </x:c>
      <x:c r="H590" s="43" t="n">
        <x:f>E590/SUMIF(A:A,A590,E:E)</x:f>
        <x:v>0.0004738856880604183</x:v>
      </x:c>
    </x:row>
    <x:row r="591" ht="21.600000381469727" hidden="0" customHeight="1">
      <x:c r="A591" s="29" t="str">
        <x:v>SCA-13</x:v>
      </x:c>
      <x:c r="B591" s="29" t="str">
        <x:v>48383</x:v>
      </x:c>
      <x:c r="C591" s="29" t="str">
        <x:v>TX</x:v>
      </x:c>
      <x:c r="D591" s="29" t="str">
        <x:v>Reagan County</x:v>
      </x:c>
      <x:c r="E591" s="41" t="n">
        <x:v>3166</x:v>
      </x:c>
      <x:c r="F591" s="56" t="n">
        <x:v>31.375191</x:v>
      </x:c>
      <x:c r="G591" s="56" t="n">
        <x:v>-101.514395</x:v>
      </x:c>
      <x:c r="H591" s="44" t="n">
        <x:f>E591/SUMIF(A:A,A591,E:E)</x:f>
        <x:v>0.0004684115168277503</x:v>
      </x:c>
    </x:row>
    <x:row r="592" ht="21.600000381469727" hidden="0" customHeight="1">
      <x:c r="A592" s="27" t="str">
        <x:v>SCA-13</x:v>
      </x:c>
      <x:c r="B592" s="27" t="str">
        <x:v>48271</x:v>
      </x:c>
      <x:c r="C592" s="27" t="str">
        <x:v>TX</x:v>
      </x:c>
      <x:c r="D592" s="27" t="str">
        <x:v>Kinney County</x:v>
      </x:c>
      <x:c r="E592" s="40" t="n">
        <x:v>3128</x:v>
      </x:c>
      <x:c r="F592" s="55" t="n">
        <x:v>29.347086</x:v>
      </x:c>
      <x:c r="G592" s="55" t="n">
        <x:v>-100.4177</x:v>
      </x:c>
      <x:c r="H592" s="43" t="n">
        <x:f>E592/SUMIF(A:A,A592,E:E)</x:f>
        <x:v>0.00046278939502122647</x:v>
      </x:c>
    </x:row>
    <x:row r="593" ht="21.600000381469727" hidden="0" customHeight="1">
      <x:c r="A593" s="29" t="str">
        <x:v>SCA-13</x:v>
      </x:c>
      <x:c r="B593" s="29" t="str">
        <x:v>48105</x:v>
      </x:c>
      <x:c r="C593" s="29" t="str">
        <x:v>TX</x:v>
      </x:c>
      <x:c r="D593" s="29" t="str">
        <x:v>Crockett County</x:v>
      </x:c>
      <x:c r="E593" s="41" t="n">
        <x:v>2769</x:v>
      </x:c>
      <x:c r="F593" s="56" t="n">
        <x:v>30.717532</x:v>
      </x:c>
      <x:c r="G593" s="56" t="n">
        <x:v>-101.404211</x:v>
      </x:c>
      <x:c r="H593" s="44" t="n">
        <x:f>E593/SUMIF(A:A,A593,E:E)</x:f>
        <x:v>0.00040967513900696167</x:v>
      </x:c>
    </x:row>
    <x:row r="594" ht="15" hidden="0" customHeight="1">
      <x:c r="A594" s="27" t="str">
        <x:v>SCA-13</x:v>
      </x:c>
      <x:c r="B594" s="27" t="str">
        <x:v>48385</x:v>
      </x:c>
      <x:c r="C594" s="27" t="str">
        <x:v>TX</x:v>
      </x:c>
      <x:c r="D594" s="27" t="str">
        <x:v>Real County</x:v>
      </x:c>
      <x:c r="E594" s="40" t="n">
        <x:v>2745</x:v>
      </x:c>
      <x:c r="F594" s="55" t="n">
        <x:v>29.830097</x:v>
      </x:c>
      <x:c r="G594" s="55" t="n">
        <x:v>-99.812549</x:v>
      </x:c>
      <x:c r="H594" s="43" t="n">
        <x:f>E594/SUMIF(A:A,A594,E:E)</x:f>
        <x:v>0.0004061243252344203</x:v>
      </x:c>
    </x:row>
    <x:row r="595" ht="21.600000381469727" hidden="0" customHeight="1">
      <x:c r="A595" s="29" t="str">
        <x:v>SCA-13</x:v>
      </x:c>
      <x:c r="B595" s="29" t="str">
        <x:v>48413</x:v>
      </x:c>
      <x:c r="C595" s="29" t="str">
        <x:v>TX</x:v>
      </x:c>
      <x:c r="D595" s="29" t="str">
        <x:v>Schleicher County</x:v>
      </x:c>
      <x:c r="E595" s="41" t="n">
        <x:v>2245</x:v>
      </x:c>
      <x:c r="F595" s="56" t="n">
        <x:v>30.896233</x:v>
      </x:c>
      <x:c r="G595" s="56" t="n">
        <x:v>-100.527216</x:v>
      </x:c>
      <x:c r="H595" s="44" t="n">
        <x:f>E595/SUMIF(A:A,A595,E:E)</x:f>
        <x:v>0.00033214903830647486</x:v>
      </x:c>
    </x:row>
    <x:row r="596" ht="21.600000381469727" hidden="0" customHeight="1">
      <x:c r="A596" s="27" t="str">
        <x:v>SCA-13</x:v>
      </x:c>
      <x:c r="B596" s="27" t="str">
        <x:v>48327</x:v>
      </x:c>
      <x:c r="C596" s="27" t="str">
        <x:v>TX</x:v>
      </x:c>
      <x:c r="D596" s="27" t="str">
        <x:v>Menard County</x:v>
      </x:c>
      <x:c r="E596" s="40" t="n">
        <x:v>1956</x:v>
      </x:c>
      <x:c r="F596" s="55" t="n">
        <x:v>30.885268</x:v>
      </x:c>
      <x:c r="G596" s="55" t="n">
        <x:v>-99.858861</x:v>
      </x:c>
      <x:c r="H596" s="43" t="n">
        <x:f>E596/SUMIF(A:A,A596,E:E)</x:f>
        <x:v>0.00028939132246212244</x:v>
      </x:c>
    </x:row>
    <x:row r="597" ht="15" hidden="0" customHeight="1">
      <x:c r="A597" s="29" t="str">
        <x:v>SCA-13</x:v>
      </x:c>
      <x:c r="B597" s="29" t="str">
        <x:v>48235</x:v>
      </x:c>
      <x:c r="C597" s="29" t="str">
        <x:v>TX</x:v>
      </x:c>
      <x:c r="D597" s="29" t="str">
        <x:v>Irion County</x:v>
      </x:c>
      <x:c r="E597" s="41" t="n">
        <x:v>1463</x:v>
      </x:c>
      <x:c r="F597" s="56" t="n">
        <x:v>31.303424</x:v>
      </x:c>
      <x:c r="G597" s="56" t="n">
        <x:v>-100.981304</x:v>
      </x:c>
      <x:c r="H597" s="44" t="n">
        <x:f>E597/SUMIF(A:A,A597,E:E)</x:f>
        <x:v>0.00021645168955116827</x:v>
      </x:c>
    </x:row>
    <x:row r="598" ht="21.600000381469727" hidden="0" customHeight="1">
      <x:c r="A598" s="27" t="str">
        <x:v>SCA-13</x:v>
      </x:c>
      <x:c r="B598" s="27" t="str">
        <x:v>48137</x:v>
      </x:c>
      <x:c r="C598" s="27" t="str">
        <x:v>TX</x:v>
      </x:c>
      <x:c r="D598" s="27" t="str">
        <x:v>Edwards County</x:v>
      </x:c>
      <x:c r="E598" s="40" t="n">
        <x:v>1370</x:v>
      </x:c>
      <x:c r="F598" s="55" t="n">
        <x:v>29.985933</x:v>
      </x:c>
      <x:c r="G598" s="55" t="n">
        <x:v>-100.3074</x:v>
      </x:c>
      <x:c r="H598" s="43" t="n">
        <x:f>E598/SUMIF(A:A,A598,E:E)</x:f>
        <x:v>0.00020269228618257043</x:v>
      </x:c>
    </x:row>
    <x:row r="599" ht="21.600000381469727" hidden="0" customHeight="1">
      <x:c r="A599" s="29" t="str">
        <x:v>SCA-13</x:v>
      </x:c>
      <x:c r="B599" s="29" t="str">
        <x:v>48431</x:v>
      </x:c>
      <x:c r="C599" s="29" t="str">
        <x:v>TX</x:v>
      </x:c>
      <x:c r="D599" s="29" t="str">
        <x:v>Sterling County</x:v>
      </x:c>
      <x:c r="E599" s="41" t="n">
        <x:v>1349</x:v>
      </x:c>
      <x:c r="F599" s="56" t="n">
        <x:v>31.835773</x:v>
      </x:c>
      <x:c r="G599" s="56" t="n">
        <x:v>-101.054911</x:v>
      </x:c>
      <x:c r="H599" s="44" t="n">
        <x:f>E599/SUMIF(A:A,A599,E:E)</x:f>
        <x:v>0.0001995853241315967</x:v>
      </x:c>
    </x:row>
    <x:row r="600" ht="21.600000381469727" hidden="0" customHeight="1">
      <x:c r="A600" s="27" t="str">
        <x:v>SCA-13</x:v>
      </x:c>
      <x:c r="B600" s="27" t="str">
        <x:v>48173</x:v>
      </x:c>
      <x:c r="C600" s="27" t="str">
        <x:v>TX</x:v>
      </x:c>
      <x:c r="D600" s="27" t="str">
        <x:v>Glasscock County</x:v>
      </x:c>
      <x:c r="E600" s="40" t="n">
        <x:v>1128</x:v>
      </x:c>
      <x:c r="F600" s="55" t="n">
        <x:v>31.868006</x:v>
      </x:c>
      <x:c r="G600" s="55" t="n">
        <x:v>-101.521494</x:v>
      </x:c>
      <x:c r="H600" s="43" t="n">
        <x:f>E600/SUMIF(A:A,A600,E:E)</x:f>
        <x:v>0.00016688824730944483</x:v>
      </x:c>
    </x:row>
    <x:row r="601" ht="21.600000381469727" hidden="0" customHeight="1">
      <x:c r="A601" s="29" t="str">
        <x:v>SCA-13</x:v>
      </x:c>
      <x:c r="B601" s="29" t="str">
        <x:v>48443</x:v>
      </x:c>
      <x:c r="C601" s="29" t="str">
        <x:v>TX</x:v>
      </x:c>
      <x:c r="D601" s="29" t="str">
        <x:v>Terrell County</x:v>
      </x:c>
      <x:c r="E601" s="41" t="n">
        <x:v>702</x:v>
      </x:c>
      <x:c r="F601" s="56" t="n">
        <x:v>30.232343</x:v>
      </x:c>
      <x:c r="G601" s="56" t="n">
        <x:v>-102.072513</x:v>
      </x:c>
      <x:c r="H601" s="44" t="n">
        <x:f>E601/SUMIF(A:A,A601,E:E)</x:f>
        <x:v>0.00010386130284683535</x:v>
      </x:c>
    </x:row>
    <x:row r="602" ht="21.600000381469727" hidden="0" customHeight="1">
      <x:c r="A602" s="27" t="str">
        <x:v>SCA-13</x:v>
      </x:c>
      <x:c r="B602" s="27" t="str">
        <x:v>48311</x:v>
      </x:c>
      <x:c r="C602" s="27" t="str">
        <x:v>TX</x:v>
      </x:c>
      <x:c r="D602" s="27" t="str">
        <x:v>McMullen County</x:v>
      </x:c>
      <x:c r="E602" s="40" t="n">
        <x:v>544</x:v>
      </x:c>
      <x:c r="F602" s="55" t="n">
        <x:v>28.384922</x:v>
      </x:c>
      <x:c r="G602" s="55" t="n">
        <x:v>-98.578853</x:v>
      </x:c>
      <x:c r="H602" s="43" t="n">
        <x:f>E602/SUMIF(A:A,A602,E:E)</x:f>
        <x:v>0.00008048511217760461</x:v>
      </x:c>
    </x:row>
    <x:row r="603" ht="21.600000381469727" hidden="0" customHeight="1">
      <x:c r="A603" s="29" t="str">
        <x:v>SCA-14</x:v>
      </x:c>
      <x:c r="B603" s="29" t="str">
        <x:v>48215</x:v>
      </x:c>
      <x:c r="C603" s="29" t="str">
        <x:v>TX</x:v>
      </x:c>
      <x:c r="D603" s="29" t="str">
        <x:v>Hidalgo County</x:v>
      </x:c>
      <x:c r="E603" s="41" t="n">
        <x:v>921549</x:v>
      </x:c>
      <x:c r="F603" s="56" t="n">
        <x:v>26.396384</x:v>
      </x:c>
      <x:c r="G603" s="56" t="n">
        <x:v>-98.18099</x:v>
      </x:c>
      <x:c r="H603" s="44" t="n">
        <x:f>E603/SUMIF(A:A,A603,E:E)</x:f>
        <x:v>0.42278164982052807</x:v>
      </x:c>
    </x:row>
    <x:row r="604" ht="21.600000381469727" hidden="0" customHeight="1">
      <x:c r="A604" s="27" t="str">
        <x:v>SCA-14</x:v>
      </x:c>
      <x:c r="B604" s="27" t="str">
        <x:v>48061</x:v>
      </x:c>
      <x:c r="C604" s="27" t="str">
        <x:v>TX</x:v>
      </x:c>
      <x:c r="D604" s="27" t="str">
        <x:v>Cameron County</x:v>
      </x:c>
      <x:c r="E604" s="40" t="n">
        <x:v>433946</x:v>
      </x:c>
      <x:c r="F604" s="55" t="n">
        <x:v>26.102923</x:v>
      </x:c>
      <x:c r="G604" s="55" t="n">
        <x:v>-97.478958</x:v>
      </x:c>
      <x:c r="H604" s="43" t="n">
        <x:f>E604/SUMIF(A:A,A604,E:E)</x:f>
        <x:v>0.19908263783371136</x:v>
      </x:c>
    </x:row>
    <x:row r="605" ht="21.600000381469727" hidden="0" customHeight="1">
      <x:c r="A605" s="29" t="str">
        <x:v>SCA-14</x:v>
      </x:c>
      <x:c r="B605" s="29" t="str">
        <x:v>48355</x:v>
      </x:c>
      <x:c r="C605" s="29" t="str">
        <x:v>TX</x:v>
      </x:c>
      <x:c r="D605" s="29" t="str">
        <x:v>Nueces County</x:v>
      </x:c>
      <x:c r="E605" s="41" t="n">
        <x:v>352992</x:v>
      </x:c>
      <x:c r="F605" s="56" t="n">
        <x:v>27.739975</x:v>
      </x:c>
      <x:c r="G605" s="56" t="n">
        <x:v>-97.516301</x:v>
      </x:c>
      <x:c r="H605" s="44" t="n">
        <x:f>E605/SUMIF(A:A,A605,E:E)</x:f>
        <x:v>0.16194314152958533</x:v>
      </x:c>
    </x:row>
    <x:row r="606" ht="21.600000381469727" hidden="0" customHeight="1">
      <x:c r="A606" s="27" t="str">
        <x:v>SCA-14</x:v>
      </x:c>
      <x:c r="B606" s="27" t="str">
        <x:v>48479</x:v>
      </x:c>
      <x:c r="C606" s="27" t="str">
        <x:v>TX</x:v>
      </x:c>
      <x:c r="D606" s="27" t="str">
        <x:v>Webb County</x:v>
      </x:c>
      <x:c r="E606" s="40" t="n">
        <x:v>281224</x:v>
      </x:c>
      <x:c r="F606" s="55" t="n">
        <x:v>27.760799</x:v>
      </x:c>
      <x:c r="G606" s="55" t="n">
        <x:v>-99.340752</x:v>
      </x:c>
      <x:c r="H606" s="43" t="n">
        <x:f>E606/SUMIF(A:A,A606,E:E)</x:f>
        <x:v>0.12901793251268048</x:v>
      </x:c>
    </x:row>
    <x:row r="607" ht="15" hidden="0" customHeight="1">
      <x:c r="A607" s="29" t="str">
        <x:v>SCA-14</x:v>
      </x:c>
      <x:c r="B607" s="29" t="str">
        <x:v>48427</x:v>
      </x:c>
      <x:c r="C607" s="29" t="str">
        <x:v>TX</x:v>
      </x:c>
      <x:c r="D607" s="29" t="str">
        <x:v>Starr County</x:v>
      </x:c>
      <x:c r="E607" s="41" t="n">
        <x:v>66319</x:v>
      </x:c>
      <x:c r="F607" s="56" t="n">
        <x:v>26.530903</x:v>
      </x:c>
      <x:c r="G607" s="56" t="n">
        <x:v>-98.740235</x:v>
      </x:c>
      <x:c r="H607" s="44" t="n">
        <x:f>E607/SUMIF(A:A,A607,E:E)</x:f>
        <x:v>0.030425355824212928</x:v>
      </x:c>
    </x:row>
    <x:row r="608" ht="21.600000381469727" hidden="0" customHeight="1">
      <x:c r="A608" s="27" t="str">
        <x:v>SCA-14</x:v>
      </x:c>
      <x:c r="B608" s="27" t="str">
        <x:v>48249</x:v>
      </x:c>
      <x:c r="C608" s="27" t="str">
        <x:v>TX</x:v>
      </x:c>
      <x:c r="D608" s="27" t="str">
        <x:v>Jim Wells County</x:v>
      </x:c>
      <x:c r="E608" s="40" t="n">
        <x:v>38804</x:v>
      </x:c>
      <x:c r="F608" s="55" t="n">
        <x:v>27.733516</x:v>
      </x:c>
      <x:c r="G608" s="55" t="n">
        <x:v>-98.090814</x:v>
      </x:c>
      <x:c r="H608" s="43" t="n">
        <x:f>E608/SUMIF(A:A,A608,E:E)</x:f>
        <x:v>0.017802221194571064</x:v>
      </x:c>
    </x:row>
    <x:row r="609" ht="21.600000381469727" hidden="0" customHeight="1">
      <x:c r="A609" s="29" t="str">
        <x:v>SCA-14</x:v>
      </x:c>
      <x:c r="B609" s="29" t="str">
        <x:v>48273</x:v>
      </x:c>
      <x:c r="C609" s="29" t="str">
        <x:v>TX</x:v>
      </x:c>
      <x:c r="D609" s="29" t="str">
        <x:v>Kleberg County</x:v>
      </x:c>
      <x:c r="E609" s="41" t="n">
        <x:v>30315</x:v>
      </x:c>
      <x:c r="F609" s="56" t="n">
        <x:v>27.438735</x:v>
      </x:c>
      <x:c r="G609" s="56" t="n">
        <x:v>-97.66062</x:v>
      </x:c>
      <x:c r="H609" s="44" t="n">
        <x:f>E609/SUMIF(A:A,A609,E:E)</x:f>
        <x:v>0.013907698575235074</x:v>
      </x:c>
    </x:row>
    <x:row r="610" ht="21.600000381469727" hidden="0" customHeight="1">
      <x:c r="A610" s="27" t="str">
        <x:v>SCA-14</x:v>
      </x:c>
      <x:c r="B610" s="27" t="str">
        <x:v>48489</x:v>
      </x:c>
      <x:c r="C610" s="27" t="str">
        <x:v>TX</x:v>
      </x:c>
      <x:c r="D610" s="27" t="str">
        <x:v>Willacy County</x:v>
      </x:c>
      <x:c r="E610" s="40" t="n">
        <x:v>19971</x:v>
      </x:c>
      <x:c r="F610" s="55" t="n">
        <x:v>26.481861</x:v>
      </x:c>
      <x:c r="G610" s="55" t="n">
        <x:v>-97.594731</x:v>
      </x:c>
      <x:c r="H610" s="43" t="n">
        <x:f>E610/SUMIF(A:A,A610,E:E)</x:f>
        <x:v>0.009162152341943583</x:v>
      </x:c>
    </x:row>
    <x:row r="611" ht="21.600000381469727" hidden="0" customHeight="1">
      <x:c r="A611" s="29" t="str">
        <x:v>SCA-14</x:v>
      </x:c>
      <x:c r="B611" s="29" t="str">
        <x:v>48505</x:v>
      </x:c>
      <x:c r="C611" s="29" t="str">
        <x:v>TX</x:v>
      </x:c>
      <x:c r="D611" s="29" t="str">
        <x:v>Zapata County</x:v>
      </x:c>
      <x:c r="E611" s="41" t="n">
        <x:v>13753</x:v>
      </x:c>
      <x:c r="F611" s="56" t="n">
        <x:v>26.996981</x:v>
      </x:c>
      <x:c r="G611" s="56" t="n">
        <x:v>-99.182603</x:v>
      </x:c>
      <x:c r="H611" s="44" t="n">
        <x:f>E611/SUMIF(A:A,A611,E:E)</x:f>
        <x:v>0.0063095028370512285</x:v>
      </x:c>
    </x:row>
    <x:row r="612" ht="21.600000381469727" hidden="0" customHeight="1">
      <x:c r="A612" s="27" t="str">
        <x:v>SCA-14</x:v>
      </x:c>
      <x:c r="B612" s="27" t="str">
        <x:v>48131</x:v>
      </x:c>
      <x:c r="C612" s="27" t="str">
        <x:v>TX</x:v>
      </x:c>
      <x:c r="D612" s="27" t="str">
        <x:v>Duval County</x:v>
      </x:c>
      <x:c r="E612" s="40" t="n">
        <x:v>9402</x:v>
      </x:c>
      <x:c r="F612" s="55" t="n">
        <x:v>27.681123</x:v>
      </x:c>
      <x:c r="G612" s="55" t="n">
        <x:v>-98.497393</x:v>
      </x:c>
      <x:c r="H612" s="43" t="n">
        <x:f>E612/SUMIF(A:A,A612,E:E)</x:f>
        <x:v>0.00431338222016692</x:v>
      </x:c>
    </x:row>
    <x:row r="613" ht="21.600000381469727" hidden="0" customHeight="1">
      <x:c r="A613" s="29" t="str">
        <x:v>SCA-14</x:v>
      </x:c>
      <x:c r="B613" s="29" t="str">
        <x:v>48047</x:v>
      </x:c>
      <x:c r="C613" s="29" t="str">
        <x:v>TX</x:v>
      </x:c>
      <x:c r="D613" s="29" t="str">
        <x:v>Brooks County</x:v>
      </x:c>
      <x:c r="E613" s="41" t="n">
        <x:v>6579</x:v>
      </x:c>
      <x:c r="F613" s="56" t="n">
        <x:v>27.034994</x:v>
      </x:c>
      <x:c r="G613" s="56" t="n">
        <x:v>-98.215276</x:v>
      </x:c>
      <x:c r="H613" s="44" t="n">
        <x:f>E613/SUMIF(A:A,A613,E:E)</x:f>
        <x:v>0.0030182664993063353</x:v>
      </x:c>
    </x:row>
    <x:row r="614" ht="21.600000381469727" hidden="0" customHeight="1">
      <x:c r="A614" s="27" t="str">
        <x:v>SCA-14</x:v>
      </x:c>
      <x:c r="B614" s="27" t="str">
        <x:v>48247</x:v>
      </x:c>
      <x:c r="C614" s="27" t="str">
        <x:v>TX</x:v>
      </x:c>
      <x:c r="D614" s="27" t="str">
        <x:v>Jim Hogg County</x:v>
      </x:c>
      <x:c r="E614" s="40" t="n">
        <x:v>4555</x:v>
      </x:c>
      <x:c r="F614" s="55" t="n">
        <x:v>27.053231</x:v>
      </x:c>
      <x:c r="G614" s="55" t="n">
        <x:v>-98.747572</x:v>
      </x:c>
      <x:c r="H614" s="43" t="n">
        <x:f>E614/SUMIF(A:A,A614,E:E)</x:f>
        <x:v>0.0020897102757775282</x:v>
      </x:c>
    </x:row>
    <x:row r="615" ht="21.600000381469727" hidden="0" customHeight="1">
      <x:c r="A615" s="29" t="str">
        <x:v>SCA-14</x:v>
      </x:c>
      <x:c r="B615" s="29" t="str">
        <x:v>48261</x:v>
      </x:c>
      <x:c r="C615" s="29" t="str">
        <x:v>TX</x:v>
      </x:c>
      <x:c r="D615" s="29" t="str">
        <x:v>Kenedy County</x:v>
      </x:c>
      <x:c r="E615" s="41" t="n">
        <x:v>319</x:v>
      </x:c>
      <x:c r="F615" s="56" t="n">
        <x:v>26.890213</x:v>
      </x:c>
      <x:c r="G615" s="56" t="n">
        <x:v>-97.591143</x:v>
      </x:c>
      <x:c r="H615" s="44" t="n">
        <x:f>E615/SUMIF(A:A,A615,E:E)</x:f>
        <x:v>0.00014634853523008375</x:v>
      </x:c>
    </x:row>
    <x:row r="616" ht="21.600000381469727" hidden="0" customHeight="1">
      <x:c r="A616" s="27" t="str">
        <x:v>SCA-15</x:v>
      </x:c>
      <x:c r="B616" s="27" t="str">
        <x:v>48113</x:v>
      </x:c>
      <x:c r="C616" s="27" t="str">
        <x:v>TX</x:v>
      </x:c>
      <x:c r="D616" s="27" t="str">
        <x:v>Dallas County</x:v>
      </x:c>
      <x:c r="E616" s="40" t="n">
        <x:v>2661397</x:v>
      </x:c>
      <x:c r="F616" s="55" t="n">
        <x:v>32.766987</x:v>
      </x:c>
      <x:c r="G616" s="55" t="n">
        <x:v>-96.778424</x:v>
      </x:c>
      <x:c r="H616" s="43" t="n">
        <x:f>E616/SUMIF(A:A,A616,E:E)</x:f>
        <x:v>0.20173735062027445</x:v>
      </x:c>
    </x:row>
    <x:row r="617" ht="21.600000381469727" hidden="0" customHeight="1">
      <x:c r="A617" s="29" t="str">
        <x:v>SCA-15</x:v>
      </x:c>
      <x:c r="B617" s="29" t="str">
        <x:v>48439</x:v>
      </x:c>
      <x:c r="C617" s="29" t="str">
        <x:v>TX</x:v>
      </x:c>
      <x:c r="D617" s="29" t="str">
        <x:v>Tarrant County</x:v>
      </x:c>
      <x:c r="E617" s="41" t="n">
        <x:v>2248466</x:v>
      </x:c>
      <x:c r="F617" s="56" t="n">
        <x:v>32.772119</x:v>
      </x:c>
      <x:c r="G617" s="56" t="n">
        <x:v>-97.291224</x:v>
      </x:c>
      <x:c r="H617" s="44" t="n">
        <x:f>E617/SUMIF(A:A,A617,E:E)</x:f>
        <x:v>0.17043664428860708</x:v>
      </x:c>
    </x:row>
    <x:row r="618" ht="21.600000381469727" hidden="0" customHeight="1">
      <x:c r="A618" s="27" t="str">
        <x:v>SCA-15</x:v>
      </x:c>
      <x:c r="B618" s="27" t="str">
        <x:v>48085</x:v>
      </x:c>
      <x:c r="C618" s="27" t="str">
        <x:v>TX</x:v>
      </x:c>
      <x:c r="D618" s="27" t="str">
        <x:v>Collin County</x:v>
      </x:c>
      <x:c r="E618" s="40" t="n">
        <x:v>1297179</x:v>
      </x:c>
      <x:c r="F618" s="55" t="n">
        <x:v>33.194482</x:v>
      </x:c>
      <x:c r="G618" s="55" t="n">
        <x:v>-96.579428</x:v>
      </x:c>
      <x:c r="H618" s="43" t="n">
        <x:f>E618/SUMIF(A:A,A618,E:E)</x:f>
        <x:v>0.09832785365740511</x:v>
      </x:c>
    </x:row>
    <x:row r="619" ht="21.600000381469727" hidden="0" customHeight="1">
      <x:c r="A619" s="29" t="str">
        <x:v>SCA-15</x:v>
      </x:c>
      <x:c r="B619" s="29" t="str">
        <x:v>48121</x:v>
      </x:c>
      <x:c r="C619" s="29" t="str">
        <x:v>TX</x:v>
      </x:c>
      <x:c r="D619" s="29" t="str">
        <x:v>Denton County</x:v>
      </x:c>
      <x:c r="E619" s="41" t="n">
        <x:v>1069346</x:v>
      </x:c>
      <x:c r="F619" s="56" t="n">
        <x:v>33.205132</x:v>
      </x:c>
      <x:c r="G619" s="56" t="n">
        <x:v>-97.12114</x:v>
      </x:c>
      <x:c r="H619" s="44" t="n">
        <x:f>E619/SUMIF(A:A,A619,E:E)</x:f>
        <x:v>0.08105781622823953</x:v>
      </x:c>
    </x:row>
    <x:row r="620" ht="21.600000381469727" hidden="0" customHeight="1">
      <x:c r="A620" s="27" t="str">
        <x:v>SCA-15</x:v>
      </x:c>
      <x:c r="B620" s="27" t="str">
        <x:v>40027</x:v>
      </x:c>
      <x:c r="C620" s="27" t="str">
        <x:v>OK</x:v>
      </x:c>
      <x:c r="D620" s="27" t="str">
        <x:v>Cleveland County</x:v>
      </x:c>
      <x:c r="E620" s="40" t="n">
        <x:v>303973</x:v>
      </x:c>
      <x:c r="F620" s="55" t="n">
        <x:v>35.206376</x:v>
      </x:c>
      <x:c r="G620" s="55" t="n">
        <x:v>-97.323088</x:v>
      </x:c>
      <x:c r="H620" s="43" t="n">
        <x:f>E620/SUMIF(A:A,A620,E:E)</x:f>
        <x:v>0.023041548359788746</x:v>
      </x:c>
    </x:row>
    <x:row r="621" ht="21.600000381469727" hidden="0" customHeight="1">
      <x:c r="A621" s="29" t="str">
        <x:v>SCA-15</x:v>
      </x:c>
      <x:c r="B621" s="29" t="str">
        <x:v>48309</x:v>
      </x:c>
      <x:c r="C621" s="29" t="str">
        <x:v>TX</x:v>
      </x:c>
      <x:c r="D621" s="29" t="str">
        <x:v>McLennan County</x:v>
      </x:c>
      <x:c r="E621" s="41" t="n">
        <x:v>272020</x:v>
      </x:c>
      <x:c r="F621" s="56" t="n">
        <x:v>31.549596</x:v>
      </x:c>
      <x:c r="G621" s="56" t="n">
        <x:v>-97.201511</x:v>
      </x:c>
      <x:c r="H621" s="44" t="n">
        <x:f>E621/SUMIF(A:A,A621,E:E)</x:f>
        <x:v>0.020619469442449606</x:v>
      </x:c>
    </x:row>
    <x:row r="622" ht="21.600000381469727" hidden="0" customHeight="1">
      <x:c r="A622" s="27" t="str">
        <x:v>SCA-15</x:v>
      </x:c>
      <x:c r="B622" s="27" t="str">
        <x:v>48423</x:v>
      </x:c>
      <x:c r="C622" s="27" t="str">
        <x:v>TX</x:v>
      </x:c>
      <x:c r="D622" s="27" t="str">
        <x:v>Smith County</x:v>
      </x:c>
      <x:c r="E622" s="40" t="n">
        <x:v>252549</x:v>
      </x:c>
      <x:c r="F622" s="55" t="n">
        <x:v>32.375105</x:v>
      </x:c>
      <x:c r="G622" s="55" t="n">
        <x:v>-95.268939</x:v>
      </x:c>
      <x:c r="H622" s="43" t="n">
        <x:f>E622/SUMIF(A:A,A622,E:E)</x:f>
        <x:v>0.019143542343288016</x:v>
      </x:c>
    </x:row>
    <x:row r="623" ht="15" hidden="0" customHeight="1">
      <x:c r="A623" s="29" t="str">
        <x:v>SCA-15</x:v>
      </x:c>
      <x:c r="B623" s="29" t="str">
        <x:v>48139</x:v>
      </x:c>
      <x:c r="C623" s="29" t="str">
        <x:v>TX</x:v>
      </x:c>
      <x:c r="D623" s="29" t="str">
        <x:v>Ellis County</x:v>
      </x:c>
      <x:c r="E623" s="41" t="n">
        <x:v>240867</x:v>
      </x:c>
      <x:c r="F623" s="56" t="n">
        <x:v>32.346878</x:v>
      </x:c>
      <x:c r="G623" s="56" t="n">
        <x:v>-96.79694</x:v>
      </x:c>
      <x:c r="H623" s="44" t="n">
        <x:f>E623/SUMIF(A:A,A623,E:E)</x:f>
        <x:v>0.018258031564570655</x:v>
      </x:c>
    </x:row>
    <x:row r="624" ht="21.600000381469727" hidden="0" customHeight="1">
      <x:c r="A624" s="27" t="str">
        <x:v>SCA-15</x:v>
      </x:c>
      <x:c r="B624" s="27" t="str">
        <x:v>22017</x:v>
      </x:c>
      <x:c r="C624" s="27" t="str">
        <x:v>LA</x:v>
      </x:c>
      <x:c r="D624" s="27" t="str">
        <x:v>Caddo Parish</x:v>
      </x:c>
      <x:c r="E624" s="40" t="n">
        <x:v>224226</x:v>
      </x:c>
      <x:c r="F624" s="55" t="n">
        <x:v>32.580106</x:v>
      </x:c>
      <x:c r="G624" s="55" t="n">
        <x:v>-93.88497</x:v>
      </x:c>
      <x:c r="H624" s="43" t="n">
        <x:f>E624/SUMIF(A:A,A624,E:E)</x:f>
        <x:v>0.01699662214249947</x:v>
      </x:c>
    </x:row>
    <x:row r="625" ht="21.600000381469727" hidden="0" customHeight="1">
      <x:c r="A625" s="29" t="str">
        <x:v>SCA-15</x:v>
      </x:c>
      <x:c r="B625" s="29" t="str">
        <x:v>48251</x:v>
      </x:c>
      <x:c r="C625" s="29" t="str">
        <x:v>TX</x:v>
      </x:c>
      <x:c r="D625" s="29" t="str">
        <x:v>Johnson County</x:v>
      </x:c>
      <x:c r="E625" s="41" t="n">
        <x:v>218048</x:v>
      </x:c>
      <x:c r="F625" s="56" t="n">
        <x:v>32.379654</x:v>
      </x:c>
      <x:c r="G625" s="56" t="n">
        <x:v>-97.364906</x:v>
      </x:c>
      <x:c r="H625" s="44" t="n">
        <x:f>E625/SUMIF(A:A,A625,E:E)</x:f>
        <x:v>0.016528321715268187</x:v>
      </x:c>
    </x:row>
    <x:row r="626" ht="21.600000381469727" hidden="0" customHeight="1">
      <x:c r="A626" s="27" t="str">
        <x:v>SCA-15</x:v>
      </x:c>
      <x:c r="B626" s="27" t="str">
        <x:v>48257</x:v>
      </x:c>
      <x:c r="C626" s="27" t="str">
        <x:v>TX</x:v>
      </x:c>
      <x:c r="D626" s="27" t="str">
        <x:v>Kaufman County</x:v>
      </x:c>
      <x:c r="E626" s="40" t="n">
        <x:v>209235</x:v>
      </x:c>
      <x:c r="F626" s="55" t="n">
        <x:v>32.598944</x:v>
      </x:c>
      <x:c r="G626" s="55" t="n">
        <x:v>-96.288377</x:v>
      </x:c>
      <x:c r="H626" s="43" t="n">
        <x:f>E626/SUMIF(A:A,A626,E:E)</x:f>
        <x:v>0.015860284864314917</x:v>
      </x:c>
    </x:row>
    <x:row r="627" ht="21.600000381469727" hidden="0" customHeight="1">
      <x:c r="A627" s="29" t="str">
        <x:v>SCA-15</x:v>
      </x:c>
      <x:c r="B627" s="29" t="str">
        <x:v>48367</x:v>
      </x:c>
      <x:c r="C627" s="29" t="str">
        <x:v>TX</x:v>
      </x:c>
      <x:c r="D627" s="29" t="str">
        <x:v>Parker County</x:v>
      </x:c>
      <x:c r="E627" s="41" t="n">
        <x:v>184767</x:v>
      </x:c>
      <x:c r="F627" s="56" t="n">
        <x:v>32.777096</x:v>
      </x:c>
      <x:c r="G627" s="56" t="n">
        <x:v>-97.805905</x:v>
      </x:c>
      <x:c r="H627" s="44" t="n">
        <x:f>E627/SUMIF(A:A,A627,E:E)</x:f>
        <x:v>0.01400557867242514</x:v>
      </x:c>
    </x:row>
    <x:row r="628" ht="21.600000381469727" hidden="0" customHeight="1">
      <x:c r="A628" s="27" t="str">
        <x:v>SCA-15</x:v>
      </x:c>
      <x:c r="B628" s="27" t="str">
        <x:v>48181</x:v>
      </x:c>
      <x:c r="C628" s="27" t="str">
        <x:v>TX</x:v>
      </x:c>
      <x:c r="D628" s="27" t="str">
        <x:v>Grayson County</x:v>
      </x:c>
      <x:c r="E628" s="40" t="n">
        <x:v>153613</x:v>
      </x:c>
      <x:c r="F628" s="55" t="n">
        <x:v>33.624548</x:v>
      </x:c>
      <x:c r="G628" s="55" t="n">
        <x:v>-96.675777</x:v>
      </x:c>
      <x:c r="H628" s="43" t="n">
        <x:f>E628/SUMIF(A:A,A628,E:E)</x:f>
        <x:v>0.011644064993246862</x:v>
      </x:c>
    </x:row>
    <x:row r="629" ht="21.600000381469727" hidden="0" customHeight="1">
      <x:c r="A629" s="29" t="str">
        <x:v>SCA-15</x:v>
      </x:c>
      <x:c r="B629" s="29" t="str">
        <x:v>48441</x:v>
      </x:c>
      <x:c r="C629" s="29" t="str">
        <x:v>TX</x:v>
      </x:c>
      <x:c r="D629" s="29" t="str">
        <x:v>Taylor County</x:v>
      </x:c>
      <x:c r="E629" s="41" t="n">
        <x:v>150077</x:v>
      </x:c>
      <x:c r="F629" s="56" t="n">
        <x:v>32.297126</x:v>
      </x:c>
      <x:c r="G629" s="56" t="n">
        <x:v>-99.89043</x:v>
      </x:c>
      <x:c r="H629" s="44" t="n">
        <x:f>E629/SUMIF(A:A,A629,E:E)</x:f>
        <x:v>0.011376031598832843</x:v>
      </x:c>
    </x:row>
    <x:row r="630" ht="21.600000381469727" hidden="0" customHeight="1">
      <x:c r="A630" s="27" t="str">
        <x:v>SCA-15</x:v>
      </x:c>
      <x:c r="B630" s="27" t="str">
        <x:v>48397</x:v>
      </x:c>
      <x:c r="C630" s="27" t="str">
        <x:v>TX</x:v>
      </x:c>
      <x:c r="D630" s="27" t="str">
        <x:v>Rockwall County</x:v>
      </x:c>
      <x:c r="E630" s="40" t="n">
        <x:v>140738</x:v>
      </x:c>
      <x:c r="F630" s="55" t="n">
        <x:v>32.90028</x:v>
      </x:c>
      <x:c r="G630" s="55" t="n">
        <x:v>-96.412049</x:v>
      </x:c>
      <x:c r="H630" s="43" t="n">
        <x:f>E630/SUMIF(A:A,A630,E:E)</x:f>
        <x:v>0.0106681232644345</x:v>
      </x:c>
    </x:row>
    <x:row r="631" ht="21.600000381469727" hidden="0" customHeight="1">
      <x:c r="A631" s="29" t="str">
        <x:v>SCA-15</x:v>
      </x:c>
      <x:c r="B631" s="29" t="str">
        <x:v>22015</x:v>
      </x:c>
      <x:c r="C631" s="29" t="str">
        <x:v>LA</x:v>
      </x:c>
      <x:c r="D631" s="29" t="str">
        <x:v>Bossier Parish</x:v>
      </x:c>
      <x:c r="E631" s="41" t="n">
        <x:v>131867</x:v>
      </x:c>
      <x:c r="F631" s="56" t="n">
        <x:v>32.698481</x:v>
      </x:c>
      <x:c r="G631" s="56" t="n">
        <x:v>-93.626561</x:v>
      </x:c>
      <x:c r="H631" s="44" t="n">
        <x:f>E631/SUMIF(A:A,A631,E:E)</x:f>
        <x:v>0.009995689938120368</x:v>
      </x:c>
    </x:row>
    <x:row r="632" ht="21.600000381469727" hidden="0" customHeight="1">
      <x:c r="A632" s="27" t="str">
        <x:v>SCA-15</x:v>
      </x:c>
      <x:c r="B632" s="27" t="str">
        <x:v>05131</x:v>
      </x:c>
      <x:c r="C632" s="27" t="str">
        <x:v>AR</x:v>
      </x:c>
      <x:c r="D632" s="27" t="str">
        <x:v>Sebastian County</x:v>
      </x:c>
      <x:c r="E632" s="40" t="n">
        <x:v>130641</x:v>
      </x:c>
      <x:c r="F632" s="55" t="n">
        <x:v>35.196981</x:v>
      </x:c>
      <x:c r="G632" s="55" t="n">
        <x:v>-94.274989</x:v>
      </x:c>
      <x:c r="H632" s="43" t="n">
        <x:f>E632/SUMIF(A:A,A632,E:E)</x:f>
        <x:v>0.009902757545147634</x:v>
      </x:c>
    </x:row>
    <x:row r="633" ht="21.600000381469727" hidden="0" customHeight="1">
      <x:c r="A633" s="29" t="str">
        <x:v>SCA-15</x:v>
      </x:c>
      <x:c r="B633" s="29" t="str">
        <x:v>48485</x:v>
      </x:c>
      <x:c r="C633" s="29" t="str">
        <x:v>TX</x:v>
      </x:c>
      <x:c r="D633" s="29" t="str">
        <x:v>Wichita County</x:v>
      </x:c>
      <x:c r="E633" s="41" t="n">
        <x:v>129555</x:v>
      </x:c>
      <x:c r="F633" s="56" t="n">
        <x:v>33.988212</x:v>
      </x:c>
      <x:c r="G633" s="56" t="n">
        <x:v>-98.70801</x:v>
      </x:c>
      <x:c r="H633" s="44" t="n">
        <x:f>E633/SUMIF(A:A,A633,E:E)</x:f>
        <x:v>0.009820437334080431</x:v>
      </x:c>
    </x:row>
    <x:row r="634" ht="21.600000381469727" hidden="0" customHeight="1">
      <x:c r="A634" s="27" t="str">
        <x:v>SCA-15</x:v>
      </x:c>
      <x:c r="B634" s="27" t="str">
        <x:v>48183</x:v>
      </x:c>
      <x:c r="C634" s="27" t="str">
        <x:v>TX</x:v>
      </x:c>
      <x:c r="D634" s="27" t="str">
        <x:v>Gregg County</x:v>
      </x:c>
      <x:c r="E634" s="40" t="n">
        <x:v>126095</x:v>
      </x:c>
      <x:c r="F634" s="55" t="n">
        <x:v>32.486401</x:v>
      </x:c>
      <x:c r="G634" s="55" t="n">
        <x:v>-94.816277</x:v>
      </x:c>
      <x:c r="H634" s="43" t="n">
        <x:f>E634/SUMIF(A:A,A634,E:E)</x:f>
        <x:v>0.009558164838415128</x:v>
      </x:c>
    </x:row>
    <x:row r="635" ht="15" hidden="0" customHeight="1">
      <x:c r="A635" s="29" t="str">
        <x:v>SCA-15</x:v>
      </x:c>
      <x:c r="B635" s="29" t="str">
        <x:v>48231</x:v>
      </x:c>
      <x:c r="C635" s="29" t="str">
        <x:v>TX</x:v>
      </x:c>
      <x:c r="D635" s="29" t="str">
        <x:v>Hunt County</x:v>
      </x:c>
      <x:c r="E635" s="41" t="n">
        <x:v>123336</x:v>
      </x:c>
      <x:c r="F635" s="56" t="n">
        <x:v>33.123308</x:v>
      </x:c>
      <x:c r="G635" s="56" t="n">
        <x:v>-96.08423</x:v>
      </x:c>
      <x:c r="H635" s="44" t="n">
        <x:f>E635/SUMIF(A:A,A635,E:E)</x:f>
        <x:v>0.009349029053576813</x:v>
      </x:c>
    </x:row>
    <x:row r="636" ht="21.600000381469727" hidden="0" customHeight="1">
      <x:c r="A636" s="27" t="str">
        <x:v>SCA-15</x:v>
      </x:c>
      <x:c r="B636" s="27" t="str">
        <x:v>40031</x:v>
      </x:c>
      <x:c r="C636" s="27" t="str">
        <x:v>OK</x:v>
      </x:c>
      <x:c r="D636" s="27" t="str">
        <x:v>Comanche County</x:v>
      </x:c>
      <x:c r="E636" s="40" t="n">
        <x:v>122158</x:v>
      </x:c>
      <x:c r="F636" s="55" t="n">
        <x:v>34.66263</x:v>
      </x:c>
      <x:c r="G636" s="55" t="n">
        <x:v>-98.476612</x:v>
      </x:c>
      <x:c r="H636" s="43" t="n">
        <x:f>E636/SUMIF(A:A,A636,E:E)</x:f>
        <x:v>0.00925973512297169</x:v>
      </x:c>
    </x:row>
    <x:row r="637" ht="21.600000381469727" hidden="0" customHeight="1">
      <x:c r="A637" s="29" t="str">
        <x:v>SCA-15</x:v>
      </x:c>
      <x:c r="B637" s="29" t="str">
        <x:v>48037</x:v>
      </x:c>
      <x:c r="C637" s="29" t="str">
        <x:v>TX</x:v>
      </x:c>
      <x:c r="D637" s="29" t="str">
        <x:v>Bowie County</x:v>
      </x:c>
      <x:c r="E637" s="41" t="n">
        <x:v>92696</x:v>
      </x:c>
      <x:c r="F637" s="56" t="n">
        <x:v>33.446065</x:v>
      </x:c>
      <x:c r="G637" s="56" t="n">
        <x:v>-94.422393</x:v>
      </x:c>
      <x:c r="H637" s="44" t="n">
        <x:f>E637/SUMIF(A:A,A637,E:E)</x:f>
        <x:v>0.0070264772422517045</x:v>
      </x:c>
    </x:row>
    <x:row r="638" ht="21.600000381469727" hidden="0" customHeight="1">
      <x:c r="A638" s="27" t="str">
        <x:v>SCA-15</x:v>
      </x:c>
      <x:c r="B638" s="27" t="str">
        <x:v>48213</x:v>
      </x:c>
      <x:c r="C638" s="27" t="str">
        <x:v>TX</x:v>
      </x:c>
      <x:c r="D638" s="27" t="str">
        <x:v>Henderson County</x:v>
      </x:c>
      <x:c r="E638" s="40" t="n">
        <x:v>88595</x:v>
      </x:c>
      <x:c r="F638" s="55" t="n">
        <x:v>32.211633</x:v>
      </x:c>
      <x:c r="G638" s="55" t="n">
        <x:v>-95.853418</x:v>
      </x:c>
      <x:c r="H638" s="43" t="n">
        <x:f>E638/SUMIF(A:A,A638,E:E)</x:f>
        <x:v>0.006715616113718928</x:v>
      </x:c>
    </x:row>
    <x:row r="639" ht="21.600000381469727" hidden="0" customHeight="1">
      <x:c r="A639" s="29" t="str">
        <x:v>SCA-15</x:v>
      </x:c>
      <x:c r="B639" s="29" t="str">
        <x:v>48099</x:v>
      </x:c>
      <x:c r="C639" s="29" t="str">
        <x:v>TX</x:v>
      </x:c>
      <x:c r="D639" s="29" t="str">
        <x:v>Coryell County</x:v>
      </x:c>
      <x:c r="E639" s="41" t="n">
        <x:v>85592</x:v>
      </x:c>
      <x:c r="F639" s="56" t="n">
        <x:v>31.391177</x:v>
      </x:c>
      <x:c r="G639" s="56" t="n">
        <x:v>-97.798022</x:v>
      </x:c>
      <x:c r="H639" s="44" t="n">
        <x:f>E639/SUMIF(A:A,A639,E:E)</x:f>
        <x:v>0.006487984811845256</x:v>
      </x:c>
    </x:row>
    <x:row r="640" ht="15" hidden="0" customHeight="1">
      <x:c r="A640" s="27" t="str">
        <x:v>SCA-15</x:v>
      </x:c>
      <x:c r="B640" s="27" t="str">
        <x:v>48497</x:v>
      </x:c>
      <x:c r="C640" s="27" t="str">
        <x:v>TX</x:v>
      </x:c>
      <x:c r="D640" s="27" t="str">
        <x:v>Wise County</x:v>
      </x:c>
      <x:c r="E640" s="40" t="n">
        <x:v>83778</x:v>
      </x:c>
      <x:c r="F640" s="55" t="n">
        <x:v>33.219346</x:v>
      </x:c>
      <x:c r="G640" s="55" t="n">
        <x:v>-97.652986</x:v>
      </x:c>
      <x:c r="H640" s="43" t="n">
        <x:f>E640/SUMIF(A:A,A640,E:E)</x:f>
        <x:v>0.006350481254869286</x:v>
      </x:c>
    </x:row>
    <x:row r="641" ht="21.600000381469727" hidden="0" customHeight="1">
      <x:c r="A641" s="29" t="str">
        <x:v>SCA-15</x:v>
      </x:c>
      <x:c r="B641" s="29" t="str">
        <x:v>40125</x:v>
      </x:c>
      <x:c r="C641" s="29" t="str">
        <x:v>OK</x:v>
      </x:c>
      <x:c r="D641" s="29" t="str">
        <x:v>Pottawatomie County</x:v>
      </x:c>
      <x:c r="E641" s="41" t="n">
        <x:v>75102</x:v>
      </x:c>
      <x:c r="F641" s="56" t="n">
        <x:v>35.211391</x:v>
      </x:c>
      <x:c r="G641" s="56" t="n">
        <x:v>-96.957004</x:v>
      </x:c>
      <x:c r="H641" s="44" t="n">
        <x:f>E641/SUMIF(A:A,A641,E:E)</x:f>
        <x:v>0.005692829181923573</x:v>
      </x:c>
    </x:row>
    <x:row r="642" ht="21.600000381469727" hidden="0" customHeight="1">
      <x:c r="A642" s="27" t="str">
        <x:v>SCA-15</x:v>
      </x:c>
      <x:c r="B642" s="27" t="str">
        <x:v>48203</x:v>
      </x:c>
      <x:c r="C642" s="27" t="str">
        <x:v>TX</x:v>
      </x:c>
      <x:c r="D642" s="27" t="str">
        <x:v>Harrison County</x:v>
      </x:c>
      <x:c r="E642" s="40" t="n">
        <x:v>71956</x:v>
      </x:c>
      <x:c r="F642" s="55" t="n">
        <x:v>32.547991</x:v>
      </x:c>
      <x:c r="G642" s="55" t="n">
        <x:v>-94.374434</x:v>
      </x:c>
      <x:c r="H642" s="43" t="n">
        <x:f>E642/SUMIF(A:A,A642,E:E)</x:f>
        <x:v>0.005454358294246393</x:v>
      </x:c>
    </x:row>
    <x:row r="643" ht="15" hidden="0" customHeight="1">
      <x:c r="A643" s="29" t="str">
        <x:v>SCA-15</x:v>
      </x:c>
      <x:c r="B643" s="29" t="str">
        <x:v>48221</x:v>
      </x:c>
      <x:c r="C643" s="29" t="str">
        <x:v>TX</x:v>
      </x:c>
      <x:c r="D643" s="29" t="str">
        <x:v>Hood County</x:v>
      </x:c>
      <x:c r="E643" s="41" t="n">
        <x:v>70501</x:v>
      </x:c>
      <x:c r="F643" s="56" t="n">
        <x:v>32.430149</x:v>
      </x:c>
      <x:c r="G643" s="56" t="n">
        <x:v>-97.831677</x:v>
      </x:c>
      <x:c r="H643" s="44" t="n">
        <x:f>E643/SUMIF(A:A,A643,E:E)</x:f>
        <x:v>0.005344067403728181</x:v>
      </x:c>
    </x:row>
    <x:row r="644" ht="21.600000381469727" hidden="0" customHeight="1">
      <x:c r="A644" s="27" t="str">
        <x:v>SCA-15</x:v>
      </x:c>
      <x:c r="B644" s="27" t="str">
        <x:v>48467</x:v>
      </x:c>
      <x:c r="C644" s="27" t="str">
        <x:v>TX</x:v>
      </x:c>
      <x:c r="D644" s="27" t="str">
        <x:v>Van Zandt County</x:v>
      </x:c>
      <x:c r="E644" s="40" t="n">
        <x:v>66130</x:v>
      </x:c>
      <x:c r="F644" s="55" t="n">
        <x:v>32.558787</x:v>
      </x:c>
      <x:c r="G644" s="55" t="n">
        <x:v>-95.836906</x:v>
      </x:c>
      <x:c r="H644" s="43" t="n">
        <x:f>E644/SUMIF(A:A,A644,E:E)</x:f>
        <x:v>0.005012739924377591</x:v>
      </x:c>
    </x:row>
    <x:row r="645" ht="21.600000381469727" hidden="0" customHeight="1">
      <x:c r="A645" s="29" t="str">
        <x:v>SCA-15</x:v>
      </x:c>
      <x:c r="B645" s="29" t="str">
        <x:v>48001</x:v>
      </x:c>
      <x:c r="C645" s="29" t="str">
        <x:v>TX</x:v>
      </x:c>
      <x:c r="D645" s="29" t="str">
        <x:v>Anderson County</x:v>
      </x:c>
      <x:c r="E645" s="41" t="n">
        <x:v>59805</x:v>
      </x:c>
      <x:c r="F645" s="56" t="n">
        <x:v>31.841261</x:v>
      </x:c>
      <x:c r="G645" s="56" t="n">
        <x:v>-95.661727</x:v>
      </x:c>
      <x:c r="H645" s="44" t="n">
        <x:f>E645/SUMIF(A:A,A645,E:E)</x:f>
        <x:v>0.0045332967061455</x:v>
      </x:c>
    </x:row>
    <x:row r="646" ht="21.600000381469727" hidden="0" customHeight="1">
      <x:c r="A646" s="27" t="str">
        <x:v>SCA-15</x:v>
      </x:c>
      <x:c r="B646" s="27" t="str">
        <x:v>40051</x:v>
      </x:c>
      <x:c r="C646" s="27" t="str">
        <x:v>OK</x:v>
      </x:c>
      <x:c r="D646" s="27" t="str">
        <x:v>Grady County</x:v>
      </x:c>
      <x:c r="E646" s="40" t="n">
        <x:v>59128</x:v>
      </x:c>
      <x:c r="F646" s="55" t="n">
        <x:v>35.021058</x:v>
      </x:c>
      <x:c r="G646" s="55" t="n">
        <x:v>-97.88689</x:v>
      </x:c>
      <x:c r="H646" s="43" t="n">
        <x:f>E646/SUMIF(A:A,A646,E:E)</x:f>
        <x:v>0.004481979226502317</x:v>
      </x:c>
    </x:row>
    <x:row r="647" ht="21.600000381469727" hidden="0" customHeight="1">
      <x:c r="A647" s="29" t="str">
        <x:v>SCA-15</x:v>
      </x:c>
      <x:c r="B647" s="29" t="str">
        <x:v>48349</x:v>
      </x:c>
      <x:c r="C647" s="29" t="str">
        <x:v>TX</x:v>
      </x:c>
      <x:c r="D647" s="29" t="str">
        <x:v>Navarro County</x:v>
      </x:c>
      <x:c r="E647" s="41" t="n">
        <x:v>57181</x:v>
      </x:c>
      <x:c r="F647" s="56" t="n">
        <x:v>32.043349</x:v>
      </x:c>
      <x:c r="G647" s="56" t="n">
        <x:v>-96.476406</x:v>
      </x:c>
      <x:c r="H647" s="44" t="n">
        <x:f>E647/SUMIF(A:A,A647,E:E)</x:f>
        <x:v>0.004334394096716091</x:v>
      </x:c>
    </x:row>
    <x:row r="648" ht="15" hidden="0" customHeight="1">
      <x:c r="A648" s="27" t="str">
        <x:v>SCA-15</x:v>
      </x:c>
      <x:c r="B648" s="27" t="str">
        <x:v>48401</x:v>
      </x:c>
      <x:c r="C648" s="27" t="str">
        <x:v>TX</x:v>
      </x:c>
      <x:c r="D648" s="27" t="str">
        <x:v>Rusk County</x:v>
      </x:c>
      <x:c r="E648" s="40" t="n">
        <x:v>54854</x:v>
      </x:c>
      <x:c r="F648" s="55" t="n">
        <x:v>32.109423</x:v>
      </x:c>
      <x:c r="G648" s="55" t="n">
        <x:v>-94.756382</x:v>
      </x:c>
      <x:c r="H648" s="43" t="n">
        <x:f>E648/SUMIF(A:A,A648,E:E)</x:f>
        <x:v>0.004158004473186276</x:v>
      </x:c>
    </x:row>
    <x:row r="649" ht="21.600000381469727" hidden="0" customHeight="1">
      <x:c r="A649" s="29" t="str">
        <x:v>SCA-15</x:v>
      </x:c>
      <x:c r="B649" s="29" t="str">
        <x:v>48073</x:v>
      </x:c>
      <x:c r="C649" s="29" t="str">
        <x:v>TX</x:v>
      </x:c>
      <x:c r="D649" s="29" t="str">
        <x:v>Cherokee County</x:v>
      </x:c>
      <x:c r="E649" s="41" t="n">
        <x:v>53337</x:v>
      </x:c>
      <x:c r="F649" s="56" t="n">
        <x:v>31.843879</x:v>
      </x:c>
      <x:c r="G649" s="56" t="n">
        <x:v>-95.156343</x:v>
      </x:c>
      <x:c r="H649" s="44" t="n">
        <x:f>E649/SUMIF(A:A,A649,E:E)</x:f>
        <x:v>0.004043013902109899</x:v>
      </x:c>
    </x:row>
    <x:row r="650" ht="21.600000381469727" hidden="0" customHeight="1">
      <x:c r="A650" s="27" t="str">
        <x:v>SCA-15</x:v>
      </x:c>
      <x:c r="B650" s="27" t="str">
        <x:v>48277</x:v>
      </x:c>
      <x:c r="C650" s="27" t="str">
        <x:v>TX</x:v>
      </x:c>
      <x:c r="D650" s="27" t="str">
        <x:v>Lamar County</x:v>
      </x:c>
      <x:c r="E650" s="40" t="n">
        <x:v>51503</x:v>
      </x:c>
      <x:c r="F650" s="55" t="n">
        <x:v>33.667263</x:v>
      </x:c>
      <x:c r="G650" s="55" t="n">
        <x:v>-95.570348</x:v>
      </x:c>
      <x:c r="H650" s="43" t="n">
        <x:f>E650/SUMIF(A:A,A650,E:E)</x:f>
        <x:v>0.0039039943191474234</x:v>
      </x:c>
    </x:row>
    <x:row r="651" ht="21.600000381469727" hidden="0" customHeight="1">
      <x:c r="A651" s="29" t="str">
        <x:v>SCA-15</x:v>
      </x:c>
      <x:c r="B651" s="29" t="str">
        <x:v>40013</x:v>
      </x:c>
      <x:c r="C651" s="29" t="str">
        <x:v>OK</x:v>
      </x:c>
      <x:c r="D651" s="29" t="str">
        <x:v>Bryan County</x:v>
      </x:c>
      <x:c r="E651" s="41" t="n">
        <x:v>51367</x:v>
      </x:c>
      <x:c r="F651" s="56" t="n">
        <x:v>33.964004</x:v>
      </x:c>
      <x:c r="G651" s="56" t="n">
        <x:v>-96.265135</x:v>
      </x:c>
      <x:c r="H651" s="44" t="n">
        <x:f>E651/SUMIF(A:A,A651,E:E)</x:f>
        <x:v>0.0038936853424391916</x:v>
      </x:c>
    </x:row>
    <x:row r="652" ht="21.600000381469727" hidden="0" customHeight="1">
      <x:c r="A652" s="27" t="str">
        <x:v>SCA-15</x:v>
      </x:c>
      <x:c r="B652" s="27" t="str">
        <x:v>40079</x:v>
      </x:c>
      <x:c r="C652" s="27" t="str">
        <x:v>OK</x:v>
      </x:c>
      <x:c r="D652" s="27" t="str">
        <x:v>Le Flore County</x:v>
      </x:c>
      <x:c r="E652" s="40" t="n">
        <x:v>50196</x:v>
      </x:c>
      <x:c r="F652" s="55" t="n">
        <x:v>34.897356</x:v>
      </x:c>
      <x:c r="G652" s="55" t="n">
        <x:v>-94.695074</x:v>
      </x:c>
      <x:c r="H652" s="43" t="n">
        <x:f>E652/SUMIF(A:A,A652,E:E)</x:f>
        <x:v>0.003804922020929345</x:v>
      </x:c>
    </x:row>
    <x:row r="653" ht="21.600000381469727" hidden="0" customHeight="1">
      <x:c r="A653" s="29" t="str">
        <x:v>SCA-15</x:v>
      </x:c>
      <x:c r="B653" s="29" t="str">
        <x:v>48499</x:v>
      </x:c>
      <x:c r="C653" s="29" t="str">
        <x:v>TX</x:v>
      </x:c>
      <x:c r="D653" s="29" t="str">
        <x:v>Wood County</x:v>
      </x:c>
      <x:c r="E653" s="41" t="n">
        <x:v>49688</x:v>
      </x:c>
      <x:c r="F653" s="56" t="n">
        <x:v>32.783588</x:v>
      </x:c>
      <x:c r="G653" s="56" t="n">
        <x:v>-95.382166</x:v>
      </x:c>
      <x:c r="H653" s="44" t="n">
        <x:f>E653/SUMIF(A:A,A653,E:E)</x:f>
        <x:v>0.003766414960872127</x:v>
      </x:c>
    </x:row>
    <x:row r="654" ht="21.600000381469727" hidden="0" customHeight="1">
      <x:c r="A654" s="27" t="str">
        <x:v>SCA-15</x:v>
      </x:c>
      <x:c r="B654" s="27" t="str">
        <x:v>40087</x:v>
      </x:c>
      <x:c r="C654" s="27" t="str">
        <x:v>OK</x:v>
      </x:c>
      <x:c r="D654" s="27" t="str">
        <x:v>McClain County</x:v>
      </x:c>
      <x:c r="E654" s="40" t="n">
        <x:v>49647</x:v>
      </x:c>
      <x:c r="F654" s="55" t="n">
        <x:v>35.016436</x:v>
      </x:c>
      <x:c r="G654" s="55" t="n">
        <x:v>-97.449803</x:v>
      </x:c>
      <x:c r="H654" s="43" t="n">
        <x:f>E654/SUMIF(A:A,A654,E:E)</x:f>
        <x:v>0.003763307107599793</x:v>
      </x:c>
    </x:row>
    <x:row r="655" ht="21.600000381469727" hidden="0" customHeight="1">
      <x:c r="A655" s="29" t="str">
        <x:v>SCA-15</x:v>
      </x:c>
      <x:c r="B655" s="29" t="str">
        <x:v>40019</x:v>
      </x:c>
      <x:c r="C655" s="29" t="str">
        <x:v>OK</x:v>
      </x:c>
      <x:c r="D655" s="29" t="str">
        <x:v>Carter County</x:v>
      </x:c>
      <x:c r="E655" s="41" t="n">
        <x:v>48910</x:v>
      </x:c>
      <x:c r="F655" s="56" t="n">
        <x:v>34.251848</x:v>
      </x:c>
      <x:c r="G655" s="56" t="n">
        <x:v>-97.287927</x:v>
      </x:c>
      <x:c r="H655" s="44" t="n">
        <x:f>E655/SUMIF(A:A,A655,E:E)</x:f>
        <x:v>0.0037074415499970966</x:v>
      </x:c>
    </x:row>
    <x:row r="656" ht="21.600000381469727" hidden="0" customHeight="1">
      <x:c r="A656" s="27" t="str">
        <x:v>SCA-15</x:v>
      </x:c>
      <x:c r="B656" s="27" t="str">
        <x:v>22061</x:v>
      </x:c>
      <x:c r="C656" s="27" t="str">
        <x:v>LA</x:v>
      </x:c>
      <x:c r="D656" s="27" t="str">
        <x:v>Lincoln Parish</x:v>
      </x:c>
      <x:c r="E656" s="40" t="n">
        <x:v>48360</x:v>
      </x:c>
      <x:c r="F656" s="55" t="n">
        <x:v>32.601823</x:v>
      </x:c>
      <x:c r="G656" s="55" t="n">
        <x:v>-92.662303</x:v>
      </x:c>
      <x:c r="H656" s="43" t="n">
        <x:f>E656/SUMIF(A:A,A656,E:E)</x:f>
        <x:v>0.003665750835368219</x:v>
      </x:c>
    </x:row>
    <x:row r="657" ht="21.600000381469727" hidden="0" customHeight="1">
      <x:c r="A657" s="29" t="str">
        <x:v>SCA-15</x:v>
      </x:c>
      <x:c r="B657" s="29" t="str">
        <x:v>48097</x:v>
      </x:c>
      <x:c r="C657" s="29" t="str">
        <x:v>TX</x:v>
      </x:c>
      <x:c r="D657" s="29" t="str">
        <x:v>Cooke County</x:v>
      </x:c>
      <x:c r="E657" s="41" t="n">
        <x:v>44461</x:v>
      </x:c>
      <x:c r="F657" s="56" t="n">
        <x:v>33.639196</x:v>
      </x:c>
      <x:c r="G657" s="56" t="n">
        <x:v>-97.210343</x:v>
      </x:c>
      <x:c r="H657" s="44" t="n">
        <x:f>E657/SUMIF(A:A,A657,E:E)</x:f>
        <x:v>0.0033702015692991397</x:v>
      </x:c>
    </x:row>
    <x:row r="658" ht="21.600000381469727" hidden="0" customHeight="1">
      <x:c r="A658" s="27" t="str">
        <x:v>SCA-15</x:v>
      </x:c>
      <x:c r="B658" s="27" t="str">
        <x:v>48459</x:v>
      </x:c>
      <x:c r="C658" s="27" t="str">
        <x:v>TX</x:v>
      </x:c>
      <x:c r="D658" s="27" t="str">
        <x:v>Upshur County</x:v>
      </x:c>
      <x:c r="E658" s="40" t="n">
        <x:v>44410</x:v>
      </x:c>
      <x:c r="F658" s="55" t="n">
        <x:v>32.735349</x:v>
      </x:c>
      <x:c r="G658" s="55" t="n">
        <x:v>-94.941184</x:v>
      </x:c>
      <x:c r="H658" s="43" t="n">
        <x:f>E658/SUMIF(A:A,A658,E:E)</x:f>
        <x:v>0.0033663357030335526</x:v>
      </x:c>
    </x:row>
    <x:row r="659" ht="21.600000381469727" hidden="0" customHeight="1">
      <x:c r="A659" s="29" t="str">
        <x:v>SCA-15</x:v>
      </x:c>
      <x:c r="B659" s="29" t="str">
        <x:v>40137</x:v>
      </x:c>
      <x:c r="C659" s="29" t="str">
        <x:v>OK</x:v>
      </x:c>
      <x:c r="D659" s="29" t="str">
        <x:v>Stephens County</x:v>
      </x:c>
      <x:c r="E659" s="41" t="n">
        <x:v>44310</x:v>
      </x:c>
      <x:c r="F659" s="56" t="n">
        <x:v>34.481361</x:v>
      </x:c>
      <x:c r="G659" s="56" t="n">
        <x:v>-97.855607</x:v>
      </x:c>
      <x:c r="H659" s="44" t="n">
        <x:f>E659/SUMIF(A:A,A659,E:E)</x:f>
        <x:v>0.0033587555731010295</x:v>
      </x:c>
    </x:row>
    <x:row r="660" ht="15" hidden="0" customHeight="1">
      <x:c r="A660" s="27" t="str">
        <x:v>SCA-15</x:v>
      </x:c>
      <x:c r="B660" s="27" t="str">
        <x:v>48143</x:v>
      </x:c>
      <x:c r="C660" s="27" t="str">
        <x:v>TX</x:v>
      </x:c>
      <x:c r="D660" s="27" t="str">
        <x:v>Erath County</x:v>
      </x:c>
      <x:c r="E660" s="40" t="n">
        <x:v>43911</x:v>
      </x:c>
      <x:c r="F660" s="55" t="n">
        <x:v>32.236207</x:v>
      </x:c>
      <x:c r="G660" s="55" t="n">
        <x:v>-98.218336</x:v>
      </x:c>
      <x:c r="H660" s="43" t="n">
        <x:f>E660/SUMIF(A:A,A660,E:E)</x:f>
        <x:v>0.003328510854670262</x:v>
      </x:c>
    </x:row>
    <x:row r="661" ht="21.600000381469727" hidden="0" customHeight="1">
      <x:c r="A661" s="29" t="str">
        <x:v>SCA-15</x:v>
      </x:c>
      <x:c r="B661" s="29" t="str">
        <x:v>40121</x:v>
      </x:c>
      <x:c r="C661" s="29" t="str">
        <x:v>OK</x:v>
      </x:c>
      <x:c r="D661" s="29" t="str">
        <x:v>Pittsburg County</x:v>
      </x:c>
      <x:c r="E661" s="41" t="n">
        <x:v>43320</x:v>
      </x:c>
      <x:c r="F661" s="56" t="n">
        <x:v>34.92554</x:v>
      </x:c>
      <x:c r="G661" s="56" t="n">
        <x:v>-95.74813</x:v>
      </x:c>
      <x:c r="H661" s="44" t="n">
        <x:f>E661/SUMIF(A:A,A661,E:E)</x:f>
        <x:v>0.00328371228676905</x:v>
      </x:c>
    </x:row>
    <x:row r="662" ht="15" hidden="0" customHeight="1">
      <x:c r="A662" s="27" t="str">
        <x:v>SCA-15</x:v>
      </x:c>
      <x:c r="B662" s="27" t="str">
        <x:v>05091</x:v>
      </x:c>
      <x:c r="C662" s="27" t="str">
        <x:v>AR</x:v>
      </x:c>
      <x:c r="D662" s="27" t="str">
        <x:v>Miller County</x:v>
      </x:c>
      <x:c r="E662" s="40" t="n">
        <x:v>42357</x:v>
      </x:c>
      <x:c r="F662" s="55" t="n">
        <x:v>33.305505</x:v>
      </x:c>
      <x:c r="G662" s="55" t="n">
        <x:v>-93.901502</x:v>
      </x:c>
      <x:c r="H662" s="43" t="n">
        <x:f>E662/SUMIF(A:A,A662,E:E)</x:f>
        <x:v>0.0032107156355188514</x:v>
      </x:c>
    </x:row>
    <x:row r="663" ht="15" hidden="0" customHeight="1">
      <x:c r="A663" s="29" t="str">
        <x:v>SCA-15</x:v>
      </x:c>
      <x:c r="B663" s="29" t="str">
        <x:v>48217</x:v>
      </x:c>
      <x:c r="C663" s="29" t="str">
        <x:v>TX</x:v>
      </x:c>
      <x:c r="D663" s="29" t="str">
        <x:v>Hill County</x:v>
      </x:c>
      <x:c r="E663" s="41" t="n">
        <x:v>39503</x:v>
      </x:c>
      <x:c r="F663" s="56" t="n">
        <x:v>31.982641</x:v>
      </x:c>
      <x:c r="G663" s="56" t="n">
        <x:v>-97.130632</x:v>
      </x:c>
      <x:c r="H663" s="44" t="n">
        <x:f>E663/SUMIF(A:A,A663,E:E)</x:f>
        <x:v>0.0029943787272446393</x:v>
      </x:c>
    </x:row>
    <x:row r="664" ht="21.600000381469727" hidden="0" customHeight="1">
      <x:c r="A664" s="27" t="str">
        <x:v>SCA-15</x:v>
      </x:c>
      <x:c r="B664" s="27" t="str">
        <x:v>48147</x:v>
      </x:c>
      <x:c r="C664" s="27" t="str">
        <x:v>TX</x:v>
      </x:c>
      <x:c r="D664" s="27" t="str">
        <x:v>Fannin County</x:v>
      </x:c>
      <x:c r="E664" s="40" t="n">
        <x:v>39265</x:v>
      </x:c>
      <x:c r="F664" s="55" t="n">
        <x:v>33.591161</x:v>
      </x:c>
      <x:c r="G664" s="55" t="n">
        <x:v>-96.104988</x:v>
      </x:c>
      <x:c r="H664" s="43" t="n">
        <x:f>E664/SUMIF(A:A,A664,E:E)</x:f>
        <x:v>0.0029763380180052343</x:v>
      </x:c>
    </x:row>
    <x:row r="665" ht="21.600000381469727" hidden="0" customHeight="1">
      <x:c r="A665" s="29" t="str">
        <x:v>SCA-15</x:v>
      </x:c>
      <x:c r="B665" s="29" t="str">
        <x:v>48223</x:v>
      </x:c>
      <x:c r="C665" s="29" t="str">
        <x:v>TX</x:v>
      </x:c>
      <x:c r="D665" s="29" t="str">
        <x:v>Hopkins County</x:v>
      </x:c>
      <x:c r="E665" s="41" t="n">
        <x:v>39063</x:v>
      </x:c>
      <x:c r="F665" s="56" t="n">
        <x:v>33.148967</x:v>
      </x:c>
      <x:c r="G665" s="56" t="n">
        <x:v>-95.565434</x:v>
      </x:c>
      <x:c r="H665" s="44" t="n">
        <x:f>E665/SUMIF(A:A,A665,E:E)</x:f>
        <x:v>0.0029610261555415374</x:v>
      </x:c>
    </x:row>
    <x:row r="666" ht="21.600000381469727" hidden="0" customHeight="1">
      <x:c r="A666" s="27" t="str">
        <x:v>SCA-15</x:v>
      </x:c>
      <x:c r="B666" s="27" t="str">
        <x:v>48049</x:v>
      </x:c>
      <x:c r="C666" s="27" t="str">
        <x:v>TX</x:v>
      </x:c>
      <x:c r="D666" s="27" t="str">
        <x:v>Brown County</x:v>
      </x:c>
      <x:c r="E666" s="40" t="n">
        <x:v>38711</x:v>
      </x:c>
      <x:c r="F666" s="55" t="n">
        <x:v>31.764137</x:v>
      </x:c>
      <x:c r="G666" s="55" t="n">
        <x:v>-98.998456</x:v>
      </x:c>
      <x:c r="H666" s="43" t="n">
        <x:f>E666/SUMIF(A:A,A666,E:E)</x:f>
        <x:v>0.002934344098179056</x:v>
      </x:c>
    </x:row>
    <x:row r="667" ht="21.600000381469727" hidden="0" customHeight="1">
      <x:c r="A667" s="29" t="str">
        <x:v>SCA-15</x:v>
      </x:c>
      <x:c r="B667" s="29" t="str">
        <x:v>40123</x:v>
      </x:c>
      <x:c r="C667" s="29" t="str">
        <x:v>OK</x:v>
      </x:c>
      <x:c r="D667" s="29" t="str">
        <x:v>Pontotoc County</x:v>
      </x:c>
      <x:c r="E667" s="41" t="n">
        <x:v>38528</x:v>
      </x:c>
      <x:c r="F667" s="56" t="n">
        <x:v>34.721421</x:v>
      </x:c>
      <x:c r="G667" s="56" t="n">
        <x:v>-96.691804</x:v>
      </x:c>
      <x:c r="H667" s="44" t="n">
        <x:f>E667/SUMIF(A:A,A667,E:E)</x:f>
        <x:v>0.002920472460402538</x:v>
      </x:c>
    </x:row>
    <x:row r="668" ht="21.600000381469727" hidden="0" customHeight="1">
      <x:c r="A668" s="27" t="str">
        <x:v>SCA-15</x:v>
      </x:c>
      <x:c r="B668" s="27" t="str">
        <x:v>22119</x:v>
      </x:c>
      <x:c r="C668" s="27" t="str">
        <x:v>LA</x:v>
      </x:c>
      <x:c r="D668" s="27" t="str">
        <x:v>Webster Parish</x:v>
      </x:c>
      <x:c r="E668" s="40" t="n">
        <x:v>34948</x:v>
      </x:c>
      <x:c r="F668" s="55" t="n">
        <x:v>32.732152</x:v>
      </x:c>
      <x:c r="G668" s="55" t="n">
        <x:v>-93.339825</x:v>
      </x:c>
      <x:c r="H668" s="43" t="n">
        <x:f>E668/SUMIF(A:A,A668,E:E)</x:f>
        <x:v>0.0026491038088182076</x:v>
      </x:c>
    </x:row>
    <x:row r="669" ht="15" hidden="0" customHeight="1">
      <x:c r="A669" s="29" t="str">
        <x:v>SCA-15</x:v>
      </x:c>
      <x:c r="B669" s="29" t="str">
        <x:v>48449</x:v>
      </x:c>
      <x:c r="C669" s="29" t="str">
        <x:v>TX</x:v>
      </x:c>
      <x:c r="D669" s="29" t="str">
        <x:v>Titus County</x:v>
      </x:c>
      <x:c r="E669" s="41" t="n">
        <x:v>31563</x:v>
      </x:c>
      <x:c r="F669" s="56" t="n">
        <x:v>33.214599</x:v>
      </x:c>
      <x:c r="G669" s="56" t="n">
        <x:v>-94.966783</x:v>
      </x:c>
      <x:c r="H669" s="44" t="n">
        <x:f>E669/SUMIF(A:A,A669,E:E)</x:f>
        <x:v>0.0023925164106022973</x:v>
      </x:c>
    </x:row>
    <x:row r="670" ht="21.600000381469727" hidden="0" customHeight="1">
      <x:c r="A670" s="27" t="str">
        <x:v>SCA-15</x:v>
      </x:c>
      <x:c r="B670" s="27" t="str">
        <x:v>48363</x:v>
      </x:c>
      <x:c r="C670" s="27" t="str">
        <x:v>TX</x:v>
      </x:c>
      <x:c r="D670" s="27" t="str">
        <x:v>Palo Pinto County</x:v>
      </x:c>
      <x:c r="E670" s="40" t="n">
        <x:v>30791</x:v>
      </x:c>
      <x:c r="F670" s="55" t="n">
        <x:v>32.752204</x:v>
      </x:c>
      <x:c r="G670" s="55" t="n">
        <x:v>-98.317967</x:v>
      </x:c>
      <x:c r="H670" s="43" t="n">
        <x:f>E670/SUMIF(A:A,A670,E:E)</x:f>
        <x:v>0.0023339978075232184</x:v>
      </x:c>
    </x:row>
    <x:row r="671" ht="21.600000381469727" hidden="0" customHeight="1">
      <x:c r="A671" s="29" t="str">
        <x:v>SCA-15</x:v>
      </x:c>
      <x:c r="B671" s="29" t="str">
        <x:v>40089</x:v>
      </x:c>
      <x:c r="C671" s="29" t="str">
        <x:v>OK</x:v>
      </x:c>
      <x:c r="D671" s="29" t="str">
        <x:v>McCurtain County</x:v>
      </x:c>
      <x:c r="E671" s="41" t="n">
        <x:v>30744</x:v>
      </x:c>
      <x:c r="F671" s="56" t="n">
        <x:v>34.117073</x:v>
      </x:c>
      <x:c r="G671" s="56" t="n">
        <x:v>-94.766086</x:v>
      </x:c>
      <x:c r="H671" s="44" t="n">
        <x:f>E671/SUMIF(A:A,A671,E:E)</x:f>
        <x:v>0.0023304351464549324</x:v>
      </x:c>
    </x:row>
    <x:row r="672" ht="15" hidden="0" customHeight="1">
      <x:c r="A672" s="27" t="str">
        <x:v>SCA-15</x:v>
      </x:c>
      <x:c r="B672" s="27" t="str">
        <x:v>48067</x:v>
      </x:c>
      <x:c r="C672" s="27" t="str">
        <x:v>TX</x:v>
      </x:c>
      <x:c r="D672" s="27" t="str">
        <x:v>Cass County</x:v>
      </x:c>
      <x:c r="E672" s="40" t="n">
        <x:v>28651</x:v>
      </x:c>
      <x:c r="F672" s="55" t="n">
        <x:v>33.083698</x:v>
      </x:c>
      <x:c r="G672" s="55" t="n">
        <x:v>-94.357579</x:v>
      </x:c>
      <x:c r="H672" s="43" t="n">
        <x:f>E672/SUMIF(A:A,A672,E:E)</x:f>
        <x:v>0.002171783026967222</x:v>
      </x:c>
    </x:row>
    <x:row r="673" ht="21.600000381469727" hidden="0" customHeight="1">
      <x:c r="A673" s="29" t="str">
        <x:v>SCA-15</x:v>
      </x:c>
      <x:c r="B673" s="29" t="str">
        <x:v>22031</x:v>
      </x:c>
      <x:c r="C673" s="29" t="str">
        <x:v>LA</x:v>
      </x:c>
      <x:c r="D673" s="29" t="str">
        <x:v>De Soto Parish</x:v>
      </x:c>
      <x:c r="E673" s="41" t="n">
        <x:v>27381</x:v>
      </x:c>
      <x:c r="F673" s="56" t="n">
        <x:v>32.059248</x:v>
      </x:c>
      <x:c r="G673" s="56" t="n">
        <x:v>-93.740797</x:v>
      </x:c>
      <x:c r="H673" s="44" t="n">
        <x:f>E673/SUMIF(A:A,A673,E:E)</x:f>
        <x:v>0.0020755153768241773</x:v>
      </x:c>
    </x:row>
    <x:row r="674" ht="21.600000381469727" hidden="0" customHeight="1">
      <x:c r="A674" s="27" t="str">
        <x:v>SCA-15</x:v>
      </x:c>
      <x:c r="B674" s="27" t="str">
        <x:v>40049</x:v>
      </x:c>
      <x:c r="C674" s="27" t="str">
        <x:v>OK</x:v>
      </x:c>
      <x:c r="D674" s="27" t="str">
        <x:v>Garvin County</x:v>
      </x:c>
      <x:c r="E674" s="40" t="n">
        <x:v>26377</x:v>
      </x:c>
      <x:c r="F674" s="55" t="n">
        <x:v>34.70935</x:v>
      </x:c>
      <x:c r="G674" s="55" t="n">
        <x:v>-97.312723</x:v>
      </x:c>
      <x:c r="H674" s="43" t="n">
        <x:f>E674/SUMIF(A:A,A674,E:E)</x:f>
        <x:v>0.001999410872301644</x:v>
      </x:c>
    </x:row>
    <x:row r="675" ht="21.600000381469727" hidden="0" customHeight="1">
      <x:c r="A675" s="29" t="str">
        <x:v>SCA-15</x:v>
      </x:c>
      <x:c r="B675" s="29" t="str">
        <x:v>40065</x:v>
      </x:c>
      <x:c r="C675" s="29" t="str">
        <x:v>OK</x:v>
      </x:c>
      <x:c r="D675" s="29" t="str">
        <x:v>Jackson County</x:v>
      </x:c>
      <x:c r="E675" s="41" t="n">
        <x:v>24764</x:v>
      </x:c>
      <x:c r="F675" s="56" t="n">
        <x:v>34.594006</x:v>
      </x:c>
      <x:c r="G675" s="56" t="n">
        <x:v>-99.412235</x:v>
      </x:c>
      <x:c r="H675" s="44" t="n">
        <x:f>E675/SUMIF(A:A,A675,E:E)</x:f>
        <x:v>0.001877143376490045</x:v>
      </x:c>
    </x:row>
    <x:row r="676" ht="21.600000381469727" hidden="0" customHeight="1">
      <x:c r="A676" s="27" t="str">
        <x:v>SCA-15</x:v>
      </x:c>
      <x:c r="B676" s="27" t="str">
        <x:v>40133</x:v>
      </x:c>
      <x:c r="C676" s="27" t="str">
        <x:v>OK</x:v>
      </x:c>
      <x:c r="D676" s="27" t="str">
        <x:v>Seminole County</x:v>
      </x:c>
      <x:c r="E676" s="40" t="n">
        <x:v>23441</x:v>
      </x:c>
      <x:c r="F676" s="55" t="n">
        <x:v>35.158365</x:v>
      </x:c>
      <x:c r="G676" s="55" t="n">
        <x:v>-96.602858</x:v>
      </x:c>
      <x:c r="H676" s="43" t="n">
        <x:f>E676/SUMIF(A:A,A676,E:E)</x:f>
        <x:v>0.001776858257482763</x:v>
      </x:c>
    </x:row>
    <x:row r="677" ht="21.600000381469727" hidden="0" customHeight="1">
      <x:c r="A677" s="29" t="str">
        <x:v>SCA-15</x:v>
      </x:c>
      <x:c r="B677" s="29" t="str">
        <x:v>48365</x:v>
      </x:c>
      <x:c r="C677" s="29" t="str">
        <x:v>TX</x:v>
      </x:c>
      <x:c r="D677" s="29" t="str">
        <x:v>Panola County</x:v>
      </x:c>
      <x:c r="E677" s="41" t="n">
        <x:v>23018</x:v>
      </x:c>
      <x:c r="F677" s="56" t="n">
        <x:v>32.163978</x:v>
      </x:c>
      <x:c r="G677" s="56" t="n">
        <x:v>-94.305156</x:v>
      </x:c>
      <x:c r="H677" s="44" t="n">
        <x:f>E677/SUMIF(A:A,A677,E:E)</x:f>
        <x:v>0.00174479430786819</x:v>
      </x:c>
    </x:row>
    <x:row r="678" ht="21.600000381469727" hidden="0" customHeight="1">
      <x:c r="A678" s="27" t="str">
        <x:v>SCA-15</x:v>
      </x:c>
      <x:c r="B678" s="27" t="str">
        <x:v>48293</x:v>
      </x:c>
      <x:c r="C678" s="27" t="str">
        <x:v>TX</x:v>
      </x:c>
      <x:c r="D678" s="27" t="str">
        <x:v>Limestone County</x:v>
      </x:c>
      <x:c r="E678" s="40" t="n">
        <x:v>22849</x:v>
      </x:c>
      <x:c r="F678" s="55" t="n">
        <x:v>31.547543</x:v>
      </x:c>
      <x:c r="G678" s="55" t="n">
        <x:v>-96.593623</x:v>
      </x:c>
      <x:c r="H678" s="43" t="n">
        <x:f>E678/SUMIF(A:A,A678,E:E)</x:f>
        <x:v>0.0017319838882822259</x:v>
      </x:c>
    </x:row>
    <x:row r="679" ht="21.600000381469727" hidden="0" customHeight="1">
      <x:c r="A679" s="29" t="str">
        <x:v>SCA-15</x:v>
      </x:c>
      <x:c r="B679" s="29" t="str">
        <x:v>48337</x:v>
      </x:c>
      <x:c r="C679" s="29" t="str">
        <x:v>TX</x:v>
      </x:c>
      <x:c r="D679" s="29" t="str">
        <x:v>Montague County</x:v>
      </x:c>
      <x:c r="E679" s="41" t="n">
        <x:v>21966</x:v>
      </x:c>
      <x:c r="F679" s="56" t="n">
        <x:v>33.678356</x:v>
      </x:c>
      <x:c r="G679" s="56" t="n">
        <x:v>-97.725014</x:v>
      </x:c>
      <x:c r="H679" s="44" t="n">
        <x:f>E679/SUMIF(A:A,A679,E:E)</x:f>
        <x:v>0.001665051340978046</x:v>
      </x:c>
    </x:row>
    <x:row r="680" ht="21.600000381469727" hidden="0" customHeight="1">
      <x:c r="A680" s="27" t="str">
        <x:v>SCA-15</x:v>
      </x:c>
      <x:c r="B680" s="27" t="str">
        <x:v>05027</x:v>
      </x:c>
      <x:c r="C680" s="27" t="str">
        <x:v>AR</x:v>
      </x:c>
      <x:c r="D680" s="27" t="str">
        <x:v>Columbia County</x:v>
      </x:c>
      <x:c r="E680" s="40" t="n">
        <x:v>21894</x:v>
      </x:c>
      <x:c r="F680" s="55" t="n">
        <x:v>33.223038</x:v>
      </x:c>
      <x:c r="G680" s="55" t="n">
        <x:v>-93.232843</x:v>
      </x:c>
      <x:c r="H680" s="43" t="n">
        <x:f>E680/SUMIF(A:A,A680,E:E)</x:f>
        <x:v>0.0016595936474266292</x:v>
      </x:c>
    </x:row>
    <x:row r="681" ht="21.600000381469727" hidden="0" customHeight="1">
      <x:c r="A681" s="29" t="str">
        <x:v>SCA-15</x:v>
      </x:c>
      <x:c r="B681" s="29" t="str">
        <x:v>48253</x:v>
      </x:c>
      <x:c r="C681" s="29" t="str">
        <x:v>TX</x:v>
      </x:c>
      <x:c r="D681" s="29" t="str">
        <x:v>Jones County</x:v>
      </x:c>
      <x:c r="E681" s="41" t="n">
        <x:v>20861</x:v>
      </x:c>
      <x:c r="F681" s="56" t="n">
        <x:v>32.743709</x:v>
      </x:c>
      <x:c r="G681" s="56" t="n">
        <x:v>-99.87443</x:v>
      </x:c>
      <x:c r="H681" s="44" t="n">
        <x:f>E681/SUMIF(A:A,A681,E:E)</x:f>
        <x:v>0.0015812909052236646</x:v>
      </x:c>
    </x:row>
    <x:row r="682" ht="21.600000381469727" hidden="0" customHeight="1">
      <x:c r="A682" s="27" t="str">
        <x:v>SCA-15</x:v>
      </x:c>
      <x:c r="B682" s="27" t="str">
        <x:v>48161</x:v>
      </x:c>
      <x:c r="C682" s="27" t="str">
        <x:v>TX</x:v>
      </x:c>
      <x:c r="D682" s="27" t="str">
        <x:v>Freestone County</x:v>
      </x:c>
      <x:c r="E682" s="40" t="n">
        <x:v>20811</x:v>
      </x:c>
      <x:c r="F682" s="55" t="n">
        <x:v>31.701749</x:v>
      </x:c>
      <x:c r="G682" s="55" t="n">
        <x:v>-96.144957</x:v>
      </x:c>
      <x:c r="H682" s="43" t="n">
        <x:f>E682/SUMIF(A:A,A682,E:E)</x:f>
        <x:v>0.001577500840257403</x:v>
      </x:c>
    </x:row>
    <x:row r="683" ht="21.600000381469727" hidden="0" customHeight="1">
      <x:c r="A683" s="29" t="str">
        <x:v>SCA-15</x:v>
      </x:c>
      <x:c r="B683" s="29" t="str">
        <x:v>40091</x:v>
      </x:c>
      <x:c r="C683" s="29" t="str">
        <x:v>OK</x:v>
      </x:c>
      <x:c r="D683" s="29" t="str">
        <x:v>McIntosh County</x:v>
      </x:c>
      <x:c r="E683" s="41" t="n">
        <x:v>19758</x:v>
      </x:c>
      <x:c r="F683" s="56" t="n">
        <x:v>35.369108</x:v>
      </x:c>
      <x:c r="G683" s="56" t="n">
        <x:v>-95.671787</x:v>
      </x:c>
      <x:c r="H683" s="44" t="n">
        <x:f>E683/SUMIF(A:A,A683,E:E)</x:f>
        <x:v>0.0014976820720679338</x:v>
      </x:c>
    </x:row>
    <x:row r="684" ht="15" hidden="0" customHeight="1">
      <x:c r="A684" s="27" t="str">
        <x:v>SCA-15</x:v>
      </x:c>
      <x:c r="B684" s="27" t="str">
        <x:v>05113</x:v>
      </x:c>
      <x:c r="C684" s="27" t="str">
        <x:v>AR</x:v>
      </x:c>
      <x:c r="D684" s="27" t="str">
        <x:v>Polk County</x:v>
      </x:c>
      <x:c r="E684" s="40" t="n">
        <x:v>19486</x:v>
      </x:c>
      <x:c r="F684" s="55" t="n">
        <x:v>34.49096</x:v>
      </x:c>
      <x:c r="G684" s="55" t="n">
        <x:v>-94.230894</x:v>
      </x:c>
      <x:c r="H684" s="43" t="n">
        <x:f>E684/SUMIF(A:A,A684,E:E)</x:f>
        <x:v>0.0014770641186514705</x:v>
      </x:c>
    </x:row>
    <x:row r="685" ht="21.600000381469727" hidden="0" customHeight="1">
      <x:c r="A685" s="29" t="str">
        <x:v>SCA-15</x:v>
      </x:c>
      <x:c r="B685" s="29" t="str">
        <x:v>05057</x:v>
      </x:c>
      <x:c r="C685" s="29" t="str">
        <x:v>AR</x:v>
      </x:c>
      <x:c r="D685" s="29" t="str">
        <x:v>Hempstead County</x:v>
      </x:c>
      <x:c r="E685" s="41" t="n">
        <x:v>19080</x:v>
      </x:c>
      <x:c r="F685" s="56" t="n">
        <x:v>33.735953</x:v>
      </x:c>
      <x:c r="G685" s="56" t="n">
        <x:v>-93.664355</x:v>
      </x:c>
      <x:c r="H685" s="44" t="n">
        <x:f>E685/SUMIF(A:A,A685,E:E)</x:f>
        <x:v>0.0014462887911254265</x:v>
      </x:c>
    </x:row>
    <x:row r="686" ht="21.600000381469727" hidden="0" customHeight="1">
      <x:c r="A686" s="27" t="str">
        <x:v>SCA-15</x:v>
      </x:c>
      <x:c r="B686" s="27" t="str">
        <x:v>48035</x:v>
      </x:c>
      <x:c r="C686" s="27" t="str">
        <x:v>TX</x:v>
      </x:c>
      <x:c r="D686" s="27" t="str">
        <x:v>Bosque County</x:v>
      </x:c>
      <x:c r="E686" s="40" t="n">
        <x:v>18918</x:v>
      </x:c>
      <x:c r="F686" s="55" t="n">
        <x:v>31.900819</x:v>
      </x:c>
      <x:c r="G686" s="55" t="n">
        <x:v>-97.637641</x:v>
      </x:c>
      <x:c r="H686" s="43" t="n">
        <x:f>E686/SUMIF(A:A,A686,E:E)</x:f>
        <x:v>0.0014340089806347388</x:v>
      </x:c>
    </x:row>
    <x:row r="687" ht="21.600000381469727" hidden="0" customHeight="1">
      <x:c r="A687" s="29" t="str">
        <x:v>SCA-15</x:v>
      </x:c>
      <x:c r="B687" s="29" t="str">
        <x:v>48503</x:v>
      </x:c>
      <x:c r="C687" s="29" t="str">
        <x:v>TX</x:v>
      </x:c>
      <x:c r="D687" s="29" t="str">
        <x:v>Young County</x:v>
      </x:c>
      <x:c r="E687" s="41" t="n">
        <x:v>18154</x:v>
      </x:c>
      <x:c r="F687" s="56" t="n">
        <x:v>33.158778</x:v>
      </x:c>
      <x:c r="G687" s="56" t="n">
        <x:v>-98.67839</x:v>
      </x:c>
      <x:c r="H687" s="44" t="n">
        <x:f>E687/SUMIF(A:A,A687,E:E)</x:f>
        <x:v>0.0013760967879502615</x:v>
      </x:c>
    </x:row>
    <x:row r="688" ht="21.600000381469727" hidden="0" customHeight="1">
      <x:c r="A688" s="27" t="str">
        <x:v>SCA-15</x:v>
      </x:c>
      <x:c r="B688" s="27" t="str">
        <x:v>48133</x:v>
      </x:c>
      <x:c r="C688" s="27" t="str">
        <x:v>TX</x:v>
      </x:c>
      <x:c r="D688" s="27" t="str">
        <x:v>Eastland County</x:v>
      </x:c>
      <x:c r="E688" s="40" t="n">
        <x:v>18143</x:v>
      </x:c>
      <x:c r="F688" s="55" t="n">
        <x:v>32.324645</x:v>
      </x:c>
      <x:c r="G688" s="55" t="n">
        <x:v>-98.83656</x:v>
      </x:c>
      <x:c r="H688" s="43" t="n">
        <x:f>E688/SUMIF(A:A,A688,E:E)</x:f>
        <x:v>0.0013752629736576841</x:v>
      </x:c>
    </x:row>
    <x:row r="689" ht="15" hidden="0" customHeight="1">
      <x:c r="A689" s="29" t="str">
        <x:v>SCA-15</x:v>
      </x:c>
      <x:c r="B689" s="29" t="str">
        <x:v>48145</x:v>
      </x:c>
      <x:c r="C689" s="29" t="str">
        <x:v>TX</x:v>
      </x:c>
      <x:c r="D689" s="29" t="str">
        <x:v>Falls County</x:v>
      </x:c>
      <x:c r="E689" s="41" t="n">
        <x:v>17869</x:v>
      </x:c>
      <x:c r="F689" s="56" t="n">
        <x:v>31.25193</x:v>
      </x:c>
      <x:c r="G689" s="56" t="n">
        <x:v>-96.934127</x:v>
      </x:c>
      <x:c r="H689" s="44" t="n">
        <x:f>E689/SUMIF(A:A,A689,E:E)</x:f>
        <x:v>0.0013544934176425705</x:v>
      </x:c>
    </x:row>
    <x:row r="690" ht="21.600000381469727" hidden="0" customHeight="1">
      <x:c r="A690" s="27" t="str">
        <x:v>SCA-15</x:v>
      </x:c>
      <x:c r="B690" s="27" t="str">
        <x:v>40095</x:v>
      </x:c>
      <x:c r="C690" s="27" t="str">
        <x:v>OK</x:v>
      </x:c>
      <x:c r="D690" s="27" t="str">
        <x:v>Marshall County</x:v>
      </x:c>
      <x:c r="E690" s="40" t="n">
        <x:v>16255</x:v>
      </x:c>
      <x:c r="F690" s="55" t="n">
        <x:v>34.027007</x:v>
      </x:c>
      <x:c r="G690" s="55" t="n">
        <x:v>-96.770533</x:v>
      </x:c>
      <x:c r="H690" s="43" t="n">
        <x:f>E690/SUMIF(A:A,A690,E:E)</x:f>
        <x:v>0.001232150120531646</x:v>
      </x:c>
    </x:row>
    <x:row r="691" ht="21.600000381469727" hidden="0" customHeight="1">
      <x:c r="A691" s="29" t="str">
        <x:v>SCA-15</x:v>
      </x:c>
      <x:c r="B691" s="29" t="str">
        <x:v>48415</x:v>
      </x:c>
      <x:c r="C691" s="29" t="str">
        <x:v>TX</x:v>
      </x:c>
      <x:c r="D691" s="29" t="str">
        <x:v>Scurry County</x:v>
      </x:c>
      <x:c r="E691" s="41" t="n">
        <x:v>16162</x:v>
      </x:c>
      <x:c r="F691" s="56" t="n">
        <x:v>32.744353</x:v>
      </x:c>
      <x:c r="G691" s="56" t="n">
        <x:v>-100.913346</x:v>
      </x:c>
      <x:c r="H691" s="44" t="n">
        <x:f>E691/SUMIF(A:A,A691,E:E)</x:f>
        <x:v>0.0012251005996943994</x:v>
      </x:c>
    </x:row>
    <x:row r="692" ht="21.600000381469727" hidden="0" customHeight="1">
      <x:c r="A692" s="27" t="str">
        <x:v>SCA-15</x:v>
      </x:c>
      <x:c r="B692" s="27" t="str">
        <x:v>05133</x:v>
      </x:c>
      <x:c r="C692" s="27" t="str">
        <x:v>AR</x:v>
      </x:c>
      <x:c r="D692" s="27" t="str">
        <x:v>Sevier County</x:v>
      </x:c>
      <x:c r="E692" s="40" t="n">
        <x:v>15758</x:v>
      </x:c>
      <x:c r="F692" s="55" t="n">
        <x:v>33.994877</x:v>
      </x:c>
      <x:c r="G692" s="55" t="n">
        <x:v>-94.243279</x:v>
      </x:c>
      <x:c r="H692" s="43" t="n">
        <x:f>E692/SUMIF(A:A,A692,E:E)</x:f>
        <x:v>0.0011944768747670057</x:v>
      </x:c>
    </x:row>
    <x:row r="693" ht="21.600000381469727" hidden="0" customHeight="1">
      <x:c r="A693" s="29" t="str">
        <x:v>SCA-15</x:v>
      </x:c>
      <x:c r="B693" s="29" t="str">
        <x:v>40005</x:v>
      </x:c>
      <x:c r="C693" s="29" t="str">
        <x:v>OK</x:v>
      </x:c>
      <x:c r="D693" s="29" t="str">
        <x:v>Atoka County</x:v>
      </x:c>
      <x:c r="E693" s="41" t="n">
        <x:v>14609</x:v>
      </x:c>
      <x:c r="F693" s="56" t="n">
        <x:v>34.392469</x:v>
      </x:c>
      <x:c r="G693" s="56" t="n">
        <x:v>-96.036558</x:v>
      </x:c>
      <x:c r="H693" s="44" t="n">
        <x:f>E693/SUMIF(A:A,A693,E:E)</x:f>
        <x:v>0.0011073811818423142</x:v>
      </x:c>
    </x:row>
    <x:row r="694" ht="21.600000381469727" hidden="0" customHeight="1">
      <x:c r="A694" s="27" t="str">
        <x:v>SCA-15</x:v>
      </x:c>
      <x:c r="B694" s="27" t="str">
        <x:v>48059</x:v>
      </x:c>
      <x:c r="C694" s="27" t="str">
        <x:v>TX</x:v>
      </x:c>
      <x:c r="D694" s="27" t="str">
        <x:v>Callahan County</x:v>
      </x:c>
      <x:c r="E694" s="40" t="n">
        <x:v>14491</x:v>
      </x:c>
      <x:c r="F694" s="55" t="n">
        <x:v>32.29315</x:v>
      </x:c>
      <x:c r="G694" s="55" t="n">
        <x:v>-99.372249</x:v>
      </x:c>
      <x:c r="H694" s="43" t="n">
        <x:f>E694/SUMIF(A:A,A694,E:E)</x:f>
        <x:v>0.001098436628521937</x:v>
      </x:c>
    </x:row>
    <x:row r="695" ht="21.600000381469727" hidden="0" customHeight="1">
      <x:c r="A695" s="29" t="str">
        <x:v>SCA-15</x:v>
      </x:c>
      <x:c r="B695" s="29" t="str">
        <x:v>48093</x:v>
      </x:c>
      <x:c r="C695" s="29" t="str">
        <x:v>TX</x:v>
      </x:c>
      <x:c r="D695" s="29" t="str">
        <x:v>Comanche County</x:v>
      </x:c>
      <x:c r="E695" s="41" t="n">
        <x:v>14432</x:v>
      </x:c>
      <x:c r="F695" s="56" t="n">
        <x:v>31.951645</x:v>
      </x:c>
      <x:c r="G695" s="56" t="n">
        <x:v>-98.549617</x:v>
      </x:c>
      <x:c r="H695" s="44" t="n">
        <x:f>E695/SUMIF(A:A,A695,E:E)</x:f>
        <x:v>0.001093964351861748</x:v>
      </x:c>
    </x:row>
    <x:row r="696" ht="21.600000381469727" hidden="0" customHeight="1">
      <x:c r="A696" s="27" t="str">
        <x:v>SCA-15</x:v>
      </x:c>
      <x:c r="B696" s="27" t="str">
        <x:v>48353</x:v>
      </x:c>
      <x:c r="C696" s="27" t="str">
        <x:v>TX</x:v>
      </x:c>
      <x:c r="D696" s="27" t="str">
        <x:v>Nolan County</x:v>
      </x:c>
      <x:c r="E696" s="40" t="n">
        <x:v>14117</x:v>
      </x:c>
      <x:c r="F696" s="55" t="n">
        <x:v>32.312338</x:v>
      </x:c>
      <x:c r="G696" s="55" t="n">
        <x:v>-100.418108</x:v>
      </x:c>
      <x:c r="H696" s="43" t="n">
        <x:f>E696/SUMIF(A:A,A696,E:E)</x:f>
        <x:v>0.0010700869425743001</x:v>
      </x:c>
    </x:row>
    <x:row r="697" ht="21.600000381469727" hidden="0" customHeight="1">
      <x:c r="A697" s="29" t="str">
        <x:v>SCA-15</x:v>
      </x:c>
      <x:c r="B697" s="29" t="str">
        <x:v>40023</x:v>
      </x:c>
      <x:c r="C697" s="29" t="str">
        <x:v>OK</x:v>
      </x:c>
      <x:c r="D697" s="29" t="str">
        <x:v>Choctaw County</x:v>
      </x:c>
      <x:c r="E697" s="41" t="n">
        <x:v>14059</x:v>
      </x:c>
      <x:c r="F697" s="56" t="n">
        <x:v>34.027699</x:v>
      </x:c>
      <x:c r="G697" s="56" t="n">
        <x:v>-95.554079</x:v>
      </x:c>
      <x:c r="H697" s="44" t="n">
        <x:f>E697/SUMIF(A:A,A697,E:E)</x:f>
        <x:v>0.0010656904672134366</x:v>
      </x:c>
    </x:row>
    <x:row r="698" ht="21.600000381469727" hidden="0" customHeight="1">
      <x:c r="A698" s="27" t="str">
        <x:v>SCA-15</x:v>
      </x:c>
      <x:c r="B698" s="27" t="str">
        <x:v>40099</x:v>
      </x:c>
      <x:c r="C698" s="27" t="str">
        <x:v>OK</x:v>
      </x:c>
      <x:c r="D698" s="27" t="str">
        <x:v>Murray County</x:v>
      </x:c>
      <x:c r="E698" s="40" t="n">
        <x:v>13805</x:v>
      </x:c>
      <x:c r="F698" s="55" t="n">
        <x:v>34.485766</x:v>
      </x:c>
      <x:c r="G698" s="55" t="n">
        <x:v>-97.071556</x:v>
      </x:c>
      <x:c r="H698" s="43" t="n">
        <x:f>E698/SUMIF(A:A,A698,E:E)</x:f>
        <x:v>0.0010464369371848278</x:v>
      </x:c>
    </x:row>
    <x:row r="699" ht="21.600000381469727" hidden="0" customHeight="1">
      <x:c r="A699" s="29" t="str">
        <x:v>SCA-15</x:v>
      </x:c>
      <x:c r="B699" s="29" t="str">
        <x:v>48379</x:v>
      </x:c>
      <x:c r="C699" s="29" t="str">
        <x:v>TX</x:v>
      </x:c>
      <x:c r="D699" s="29" t="str">
        <x:v>Rains County</x:v>
      </x:c>
      <x:c r="E699" s="41" t="n">
        <x:v>13542</x:v>
      </x:c>
      <x:c r="F699" s="56" t="n">
        <x:v>32.870457</x:v>
      </x:c>
      <x:c r="G699" s="56" t="n">
        <x:v>-95.795613</x:v>
      </x:c>
      <x:c r="H699" s="44" t="n">
        <x:f>E699/SUMIF(A:A,A699,E:E)</x:f>
        <x:v>0.0010265011954622917</x:v>
      </x:c>
    </x:row>
    <x:row r="700" ht="21.600000381469727" hidden="0" customHeight="1">
      <x:c r="A700" s="27" t="str">
        <x:v>SCA-15</x:v>
      </x:c>
      <x:c r="B700" s="27" t="str">
        <x:v>40063</x:v>
      </x:c>
      <x:c r="C700" s="27" t="str">
        <x:v>OK</x:v>
      </x:c>
      <x:c r="D700" s="27" t="str">
        <x:v>Hughes County</x:v>
      </x:c>
      <x:c r="E700" s="40" t="n">
        <x:v>13455</x:v>
      </x:c>
      <x:c r="F700" s="55" t="n">
        <x:v>35.052934</x:v>
      </x:c>
      <x:c r="G700" s="55" t="n">
        <x:v>-96.251183</x:v>
      </x:c>
      <x:c r="H700" s="43" t="n">
        <x:f>E700/SUMIF(A:A,A700,E:E)</x:f>
        <x:v>0.0010199064824209965</x:v>
      </x:c>
    </x:row>
    <x:row r="701" ht="21.600000381469727" hidden="0" customHeight="1">
      <x:c r="A701" s="29" t="str">
        <x:v>SCA-15</x:v>
      </x:c>
      <x:c r="B701" s="29" t="str">
        <x:v>48063</x:v>
      </x:c>
      <x:c r="C701" s="29" t="str">
        <x:v>TX</x:v>
      </x:c>
      <x:c r="D701" s="29" t="str">
        <x:v>Camp County</x:v>
      </x:c>
      <x:c r="E701" s="41" t="n">
        <x:v>13380</x:v>
      </x:c>
      <x:c r="F701" s="56" t="n">
        <x:v>32.974581</x:v>
      </x:c>
      <x:c r="G701" s="56" t="n">
        <x:v>-94.979085</x:v>
      </x:c>
      <x:c r="H701" s="44" t="n">
        <x:f>E701/SUMIF(A:A,A701,E:E)</x:f>
        <x:v>0.0010142213849716041</x:v>
      </x:c>
    </x:row>
    <x:row r="702" ht="21.600000381469727" hidden="0" customHeight="1">
      <x:c r="A702" s="27" t="str">
        <x:v>SCA-15</x:v>
      </x:c>
      <x:c r="B702" s="27" t="str">
        <x:v>22027</x:v>
      </x:c>
      <x:c r="C702" s="27" t="str">
        <x:v>LA</x:v>
      </x:c>
      <x:c r="D702" s="27" t="str">
        <x:v>Claiborne Parish</x:v>
      </x:c>
      <x:c r="E702" s="40" t="n">
        <x:v>13354</x:v>
      </x:c>
      <x:c r="F702" s="55" t="n">
        <x:v>32.82716</x:v>
      </x:c>
      <x:c r="G702" s="55" t="n">
        <x:v>-92.989728</x:v>
      </x:c>
      <x:c r="H702" s="43" t="n">
        <x:f>E702/SUMIF(A:A,A702,E:E)</x:f>
        <x:v>0.001012250551189148</x:v>
      </x:c>
    </x:row>
    <x:row r="703" ht="21.600000381469727" hidden="0" customHeight="1">
      <x:c r="A703" s="29" t="str">
        <x:v>SCA-15</x:v>
      </x:c>
      <x:c r="B703" s="29" t="str">
        <x:v>48487</x:v>
      </x:c>
      <x:c r="C703" s="29" t="str">
        <x:v>TX</x:v>
      </x:c>
      <x:c r="D703" s="29" t="str">
        <x:v>Wilbarger County</x:v>
      </x:c>
      <x:c r="E703" s="41" t="n">
        <x:v>12481</x:v>
      </x:c>
      <x:c r="F703" s="56" t="n">
        <x:v>34.08492</x:v>
      </x:c>
      <x:c r="G703" s="56" t="n">
        <x:v>-99.24244</x:v>
      </x:c>
      <x:c r="H703" s="44" t="n">
        <x:f>E703/SUMIF(A:A,A703,E:E)</x:f>
        <x:v>0.0009460760168782205</x:v>
      </x:c>
    </x:row>
    <x:row r="704" ht="21.600000381469727" hidden="0" customHeight="1">
      <x:c r="A704" s="27" t="str">
        <x:v>SCA-15</x:v>
      </x:c>
      <x:c r="B704" s="27" t="str">
        <x:v>05061</x:v>
      </x:c>
      <x:c r="C704" s="27" t="str">
        <x:v>AR</x:v>
      </x:c>
      <x:c r="D704" s="27" t="str">
        <x:v>Howard County</x:v>
      </x:c>
      <x:c r="E704" s="40" t="n">
        <x:v>12306</x:v>
      </x:c>
      <x:c r="F704" s="55" t="n">
        <x:v>34.083064</x:v>
      </x:c>
      <x:c r="G704" s="55" t="n">
        <x:v>-93.990931</x:v>
      </x:c>
      <x:c r="H704" s="43" t="n">
        <x:f>E704/SUMIF(A:A,A704,E:E)</x:f>
        <x:v>0.0009328107894963049</x:v>
      </x:c>
    </x:row>
    <x:row r="705" ht="21.600000381469727" hidden="0" customHeight="1">
      <x:c r="A705" s="29" t="str">
        <x:v>SCA-15</x:v>
      </x:c>
      <x:c r="B705" s="29" t="str">
        <x:v>22013</x:v>
      </x:c>
      <x:c r="C705" s="29" t="str">
        <x:v>LA</x:v>
      </x:c>
      <x:c r="D705" s="29" t="str">
        <x:v>Bienville Parish</x:v>
      </x:c>
      <x:c r="E705" s="41" t="n">
        <x:v>12269</x:v>
      </x:c>
      <x:c r="F705" s="56" t="n">
        <x:v>32.340952</x:v>
      </x:c>
      <x:c r="G705" s="56" t="n">
        <x:v>-93.041151</x:v>
      </x:c>
      <x:c r="H705" s="44" t="n">
        <x:f>E705/SUMIF(A:A,A705,E:E)</x:f>
        <x:v>0.0009300061414212713</x:v>
      </x:c>
    </x:row>
    <x:row r="706" ht="21.600000381469727" hidden="0" customHeight="1">
      <x:c r="A706" s="27" t="str">
        <x:v>SCA-15</x:v>
      </x:c>
      <x:c r="B706" s="27" t="str">
        <x:v>48343</x:v>
      </x:c>
      <x:c r="C706" s="27" t="str">
        <x:v>TX</x:v>
      </x:c>
      <x:c r="D706" s="27" t="str">
        <x:v>Morris County</x:v>
      </x:c>
      <x:c r="E706" s="40" t="n">
        <x:v>12133</x:v>
      </x:c>
      <x:c r="F706" s="55" t="n">
        <x:v>33.116466</x:v>
      </x:c>
      <x:c r="G706" s="55" t="n">
        <x:v>-94.731265</x:v>
      </x:c>
      <x:c r="H706" s="43" t="n">
        <x:f>E706/SUMIF(A:A,A706,E:E)</x:f>
        <x:v>0.0009196971647130398</x:v>
      </x:c>
    </x:row>
    <x:row r="707" ht="21.600000381469727" hidden="0" customHeight="1">
      <x:c r="A707" s="29" t="str">
        <x:v>SCA-15</x:v>
      </x:c>
      <x:c r="B707" s="29" t="str">
        <x:v>48387</x:v>
      </x:c>
      <x:c r="C707" s="29" t="str">
        <x:v>TX</x:v>
      </x:c>
      <x:c r="D707" s="29" t="str">
        <x:v>Red River County</x:v>
      </x:c>
      <x:c r="E707" s="41" t="n">
        <x:v>11816</x:v>
      </x:c>
      <x:c r="F707" s="56" t="n">
        <x:v>33.619625</x:v>
      </x:c>
      <x:c r="G707" s="56" t="n">
        <x:v>-95.048429</x:v>
      </x:c>
      <x:c r="H707" s="44" t="n">
        <x:f>E707/SUMIF(A:A,A707,E:E)</x:f>
        <x:v>0.0008956681528269413</x:v>
      </x:c>
    </x:row>
    <x:row r="708" ht="21.600000381469727" hidden="0" customHeight="1">
      <x:c r="A708" s="27" t="str">
        <x:v>SCA-15</x:v>
      </x:c>
      <x:c r="B708" s="27" t="str">
        <x:v>40061</x:v>
      </x:c>
      <x:c r="C708" s="27" t="str">
        <x:v>OK</x:v>
      </x:c>
      <x:c r="D708" s="27" t="str">
        <x:v>Haskell County</x:v>
      </x:c>
      <x:c r="E708" s="40" t="n">
        <x:v>11787</x:v>
      </x:c>
      <x:c r="F708" s="55" t="n">
        <x:v>35.232431</x:v>
      </x:c>
      <x:c r="G708" s="55" t="n">
        <x:v>-95.109642</x:v>
      </x:c>
      <x:c r="H708" s="43" t="n">
        <x:f>E708/SUMIF(A:A,A708,E:E)</x:f>
        <x:v>0.0008934699151465095</x:v>
      </x:c>
    </x:row>
    <x:row r="709" ht="21.600000381469727" hidden="0" customHeight="1">
      <x:c r="A709" s="29" t="str">
        <x:v>SCA-15</x:v>
      </x:c>
      <x:c r="B709" s="29" t="str">
        <x:v>05081</x:v>
      </x:c>
      <x:c r="C709" s="29" t="str">
        <x:v>AR</x:v>
      </x:c>
      <x:c r="D709" s="29" t="str">
        <x:v>Little River County</x:v>
      </x:c>
      <x:c r="E709" s="41" t="n">
        <x:v>11763</x:v>
      </x:c>
      <x:c r="F709" s="56" t="n">
        <x:v>33.701941</x:v>
      </x:c>
      <x:c r="G709" s="56" t="n">
        <x:v>-94.236287</x:v>
      </x:c>
      <x:c r="H709" s="44" t="n">
        <x:f>E709/SUMIF(A:A,A709,E:E)</x:f>
        <x:v>0.000891650683962704</x:v>
      </x:c>
    </x:row>
    <x:row r="710" ht="21.600000381469727" hidden="0" customHeight="1">
      <x:c r="A710" s="27" t="str">
        <x:v>SCA-15</x:v>
      </x:c>
      <x:c r="B710" s="27" t="str">
        <x:v>48159</x:v>
      </x:c>
      <x:c r="C710" s="27" t="str">
        <x:v>TX</x:v>
      </x:c>
      <x:c r="D710" s="27" t="str">
        <x:v>Franklin County</x:v>
      </x:c>
      <x:c r="E710" s="40" t="n">
        <x:v>10994</x:v>
      </x:c>
      <x:c r="F710" s="55" t="n">
        <x:v>33.175846</x:v>
      </x:c>
      <x:c r="G710" s="55" t="n">
        <x:v>-95.219066</x:v>
      </x:c>
      <x:c r="H710" s="43" t="n">
        <x:f>E710/SUMIF(A:A,A710,E:E)</x:f>
        <x:v>0.0008333594847816005</x:v>
      </x:c>
    </x:row>
    <x:row r="711" ht="21.600000381469727" hidden="0" customHeight="1">
      <x:c r="A711" s="29" t="str">
        <x:v>SCA-15</x:v>
      </x:c>
      <x:c r="B711" s="29" t="str">
        <x:v>40127</x:v>
      </x:c>
      <x:c r="C711" s="29" t="str">
        <x:v>OK</x:v>
      </x:c>
      <x:c r="D711" s="29" t="str">
        <x:v>Pushmataha County</x:v>
      </x:c>
      <x:c r="E711" s="41" t="n">
        <x:v>10807</x:v>
      </x:c>
      <x:c r="F711" s="56" t="n">
        <x:v>34.377899</x:v>
      </x:c>
      <x:c r="G711" s="56" t="n">
        <x:v>-95.408082</x:v>
      </x:c>
      <x:c r="H711" s="44" t="n">
        <x:f>E711/SUMIF(A:A,A711,E:E)</x:f>
        <x:v>0.0008191846418077822</x:v>
      </x:c>
    </x:row>
    <x:row r="712" ht="15" hidden="0" customHeight="1">
      <x:c r="A712" s="27" t="str">
        <x:v>SCA-15</x:v>
      </x:c>
      <x:c r="B712" s="27" t="str">
        <x:v>40085</x:v>
      </x:c>
      <x:c r="C712" s="27" t="str">
        <x:v>OK</x:v>
      </x:c>
      <x:c r="D712" s="27" t="str">
        <x:v>Love County</x:v>
      </x:c>
      <x:c r="E712" s="40" t="n">
        <x:v>10780</x:v>
      </x:c>
      <x:c r="F712" s="55" t="n">
        <x:v>33.957804</x:v>
      </x:c>
      <x:c r="G712" s="55" t="n">
        <x:v>-97.245093</x:v>
      </x:c>
      <x:c r="H712" s="43" t="n">
        <x:f>E712/SUMIF(A:A,A712,E:E)</x:f>
        <x:v>0.0008171380067260009</x:v>
      </x:c>
    </x:row>
    <x:row r="713" ht="15" hidden="0" customHeight="1">
      <x:c r="A713" s="29" t="str">
        <x:v>SCA-15</x:v>
      </x:c>
      <x:c r="B713" s="29" t="str">
        <x:v>48077</x:v>
      </x:c>
      <x:c r="C713" s="29" t="str">
        <x:v>TX</x:v>
      </x:c>
      <x:c r="D713" s="29" t="str">
        <x:v>Clay County</x:v>
      </x:c>
      <x:c r="E713" s="41" t="n">
        <x:v>10764</x:v>
      </x:c>
      <x:c r="F713" s="56" t="n">
        <x:v>33.785904</x:v>
      </x:c>
      <x:c r="G713" s="56" t="n">
        <x:v>-98.212917</x:v>
      </x:c>
      <x:c r="H713" s="44" t="n">
        <x:f>E713/SUMIF(A:A,A713,E:E)</x:f>
        <x:v>0.0008159251859367972</x:v>
      </x:c>
    </x:row>
    <x:row r="714" ht="21.600000381469727" hidden="0" customHeight="1">
      <x:c r="A714" s="27" t="str">
        <x:v>SCA-15</x:v>
      </x:c>
      <x:c r="B714" s="27" t="str">
        <x:v>40069</x:v>
      </x:c>
      <x:c r="C714" s="27" t="str">
        <x:v>OK</x:v>
      </x:c>
      <x:c r="D714" s="27" t="str">
        <x:v>Johnston County</x:v>
      </x:c>
      <x:c r="E714" s="40" t="n">
        <x:v>10448</x:v>
      </x:c>
      <x:c r="F714" s="55" t="n">
        <x:v>34.313455</x:v>
      </x:c>
      <x:c r="G714" s="55" t="n">
        <x:v>-96.654254</x:v>
      </x:c>
      <x:c r="H714" s="43" t="n">
        <x:f>E714/SUMIF(A:A,A714,E:E)</x:f>
        <x:v>0.0007919719753500239</x:v>
      </x:c>
    </x:row>
    <x:row r="715" ht="21.600000381469727" hidden="0" customHeight="1">
      <x:c r="A715" s="29" t="str">
        <x:v>SCA-15</x:v>
      </x:c>
      <x:c r="B715" s="29" t="str">
        <x:v>48425</x:v>
      </x:c>
      <x:c r="C715" s="29" t="str">
        <x:v>TX</x:v>
      </x:c>
      <x:c r="D715" s="29" t="str">
        <x:v>Somervell County</x:v>
      </x:c>
      <x:c r="E715" s="41" t="n">
        <x:v>10261</x:v>
      </x:c>
      <x:c r="F715" s="56" t="n">
        <x:v>32.218071</x:v>
      </x:c>
      <x:c r="G715" s="56" t="n">
        <x:v>-97.769217</x:v>
      </x:c>
      <x:c r="H715" s="44" t="n">
        <x:f>E715/SUMIF(A:A,A715,E:E)</x:f>
        <x:v>0.0007777971323762055</x:v>
      </x:c>
    </x:row>
    <x:row r="716" ht="15" hidden="0" customHeight="1">
      <x:c r="A716" s="27" t="str">
        <x:v>SCA-15</x:v>
      </x:c>
      <x:c r="B716" s="27" t="str">
        <x:v>05127</x:v>
      </x:c>
      <x:c r="C716" s="27" t="str">
        <x:v>AR</x:v>
      </x:c>
      <x:c r="D716" s="27" t="str">
        <x:v>Scott County</x:v>
      </x:c>
      <x:c r="E716" s="40" t="n">
        <x:v>9965</x:v>
      </x:c>
      <x:c r="F716" s="55" t="n">
        <x:v>34.858869</x:v>
      </x:c>
      <x:c r="G716" s="55" t="n">
        <x:v>-94.063641</x:v>
      </x:c>
      <x:c r="H716" s="43" t="n">
        <x:f>E716/SUMIF(A:A,A716,E:E)</x:f>
        <x:v>0.0007553599477759368</x:v>
      </x:c>
    </x:row>
    <x:row r="717" ht="15" hidden="0" customHeight="1">
      <x:c r="A717" s="29" t="str">
        <x:v>SCA-15</x:v>
      </x:c>
      <x:c r="B717" s="29" t="str">
        <x:v>05109</x:v>
      </x:c>
      <x:c r="C717" s="29" t="str">
        <x:v>AR</x:v>
      </x:c>
      <x:c r="D717" s="29" t="str">
        <x:v>Pike County</x:v>
      </x:c>
      <x:c r="E717" s="41" t="n">
        <x:v>9964</x:v>
      </x:c>
      <x:c r="F717" s="56" t="n">
        <x:v>34.158191</x:v>
      </x:c>
      <x:c r="G717" s="56" t="n">
        <x:v>-93.658659</x:v>
      </x:c>
      <x:c r="H717" s="44" t="n">
        <x:f>E717/SUMIF(A:A,A717,E:E)</x:f>
        <x:v>0.0007552841464766116</x:v>
      </x:c>
    </x:row>
    <x:row r="718" ht="21.600000381469727" hidden="0" customHeight="1">
      <x:c r="A718" s="27" t="str">
        <x:v>SCA-15</x:v>
      </x:c>
      <x:c r="B718" s="27" t="str">
        <x:v>48315</x:v>
      </x:c>
      <x:c r="C718" s="27" t="str">
        <x:v>TX</x:v>
      </x:c>
      <x:c r="D718" s="27" t="str">
        <x:v>Marion County</x:v>
      </x:c>
      <x:c r="E718" s="40" t="n">
        <x:v>9896</x:v>
      </x:c>
      <x:c r="F718" s="55" t="n">
        <x:v>32.798182</x:v>
      </x:c>
      <x:c r="G718" s="55" t="n">
        <x:v>-94.356853</x:v>
      </x:c>
      <x:c r="H718" s="43" t="n">
        <x:f>E718/SUMIF(A:A,A718,E:E)</x:f>
        <x:v>0.0007501296581224958</x:v>
      </x:c>
    </x:row>
    <x:row r="719" ht="21.600000381469727" hidden="0" customHeight="1">
      <x:c r="A719" s="29" t="str">
        <x:v>SCA-15</x:v>
      </x:c>
      <x:c r="B719" s="29" t="str">
        <x:v>40077</x:v>
      </x:c>
      <x:c r="C719" s="29" t="str">
        <x:v>OK</x:v>
      </x:c>
      <x:c r="D719" s="29" t="str">
        <x:v>Latimer County</x:v>
      </x:c>
      <x:c r="E719" s="41" t="n">
        <x:v>9645</x:v>
      </x:c>
      <x:c r="F719" s="56" t="n">
        <x:v>34.875137</x:v>
      </x:c>
      <x:c r="G719" s="56" t="n">
        <x:v>-95.272262</x:v>
      </x:c>
      <x:c r="H719" s="44" t="n">
        <x:f>E719/SUMIF(A:A,A719,E:E)</x:f>
        <x:v>0.0007311035319918625</x:v>
      </x:c>
    </x:row>
    <x:row r="720" ht="15" hidden="0" customHeight="1">
      <x:c r="A720" s="27" t="str">
        <x:v>SCA-15</x:v>
      </x:c>
      <x:c r="B720" s="27" t="str">
        <x:v>48237</x:v>
      </x:c>
      <x:c r="C720" s="27" t="str">
        <x:v>TX</x:v>
      </x:c>
      <x:c r="D720" s="27" t="str">
        <x:v>Jack County</x:v>
      </x:c>
      <x:c r="E720" s="40" t="n">
        <x:v>9563</x:v>
      </x:c>
      <x:c r="F720" s="55" t="n">
        <x:v>33.232302</x:v>
      </x:c>
      <x:c r="G720" s="55" t="n">
        <x:v>-98.171104</x:v>
      </x:c>
      <x:c r="H720" s="43" t="n">
        <x:f>E720/SUMIF(A:A,A720,E:E)</x:f>
        <x:v>0.0007248878254471936</x:v>
      </x:c>
    </x:row>
    <x:row r="721" ht="21.600000381469727" hidden="0" customHeight="1">
      <x:c r="A721" s="29" t="str">
        <x:v>SCA-15</x:v>
      </x:c>
      <x:c r="B721" s="29" t="str">
        <x:v>48429</x:v>
      </x:c>
      <x:c r="C721" s="29" t="str">
        <x:v>TX</x:v>
      </x:c>
      <x:c r="D721" s="29" t="str">
        <x:v>Stephens County</x:v>
      </x:c>
      <x:c r="E721" s="41" t="n">
        <x:v>9380</x:v>
      </x:c>
      <x:c r="F721" s="56" t="n">
        <x:v>32.738052</x:v>
      </x:c>
      <x:c r="G721" s="56" t="n">
        <x:v>-98.839344</x:v>
      </x:c>
      <x:c r="H721" s="44" t="n">
        <x:f>E721/SUMIF(A:A,A721,E:E)</x:f>
        <x:v>0.0007110161876706761</x:v>
      </x:c>
    </x:row>
    <x:row r="722" ht="21.600000381469727" hidden="0" customHeight="1">
      <x:c r="A722" s="27" t="str">
        <x:v>SCA-15</x:v>
      </x:c>
      <x:c r="B722" s="27" t="str">
        <x:v>48009</x:v>
      </x:c>
      <x:c r="C722" s="27" t="str">
        <x:v>TX</x:v>
      </x:c>
      <x:c r="D722" s="27" t="str">
        <x:v>Archer County</x:v>
      </x:c>
      <x:c r="E722" s="40" t="n">
        <x:v>9129</x:v>
      </x:c>
      <x:c r="F722" s="55" t="n">
        <x:v>33.616305</x:v>
      </x:c>
      <x:c r="G722" s="55" t="n">
        <x:v>-98.687267</x:v>
      </x:c>
      <x:c r="H722" s="43" t="n">
        <x:f>E722/SUMIF(A:A,A722,E:E)</x:f>
        <x:v>0.0006919900615400429</x:v>
      </x:c>
    </x:row>
    <x:row r="723" ht="21.600000381469727" hidden="0" customHeight="1">
      <x:c r="A723" s="29" t="str">
        <x:v>SCA-15</x:v>
      </x:c>
      <x:c r="B723" s="29" t="str">
        <x:v>48335</x:v>
      </x:c>
      <x:c r="C723" s="29" t="str">
        <x:v>TX</x:v>
      </x:c>
      <x:c r="D723" s="29" t="str">
        <x:v>Mitchell County</x:v>
      </x:c>
      <x:c r="E723" s="41" t="n">
        <x:v>8947</x:v>
      </x:c>
      <x:c r="F723" s="56" t="n">
        <x:v>32.304117</x:v>
      </x:c>
      <x:c r="G723" s="56" t="n">
        <x:v>-100.924392</x:v>
      </x:c>
      <x:c r="H723" s="44" t="n">
        <x:f>E723/SUMIF(A:A,A723,E:E)</x:f>
        <x:v>0.0006781942250628506</x:v>
      </x:c>
    </x:row>
    <x:row r="724" ht="21.600000381469727" hidden="0" customHeight="1">
      <x:c r="A724" s="27" t="str">
        <x:v>SCA-15</x:v>
      </x:c>
      <x:c r="B724" s="27" t="str">
        <x:v>48193</x:v>
      </x:c>
      <x:c r="C724" s="27" t="str">
        <x:v>TX</x:v>
      </x:c>
      <x:c r="D724" s="27" t="str">
        <x:v>Hamilton County</x:v>
      </x:c>
      <x:c r="E724" s="40" t="n">
        <x:v>8680</x:v>
      </x:c>
      <x:c r="F724" s="55" t="n">
        <x:v>31.707342</x:v>
      </x:c>
      <x:c r="G724" s="55" t="n">
        <x:v>-98.111756</x:v>
      </x:c>
      <x:c r="H724" s="43" t="n">
        <x:f>E724/SUMIF(A:A,A724,E:E)</x:f>
        <x:v>0.0006579552781430137</x:v>
      </x:c>
    </x:row>
    <x:row r="725" ht="21.600000381469727" hidden="0" customHeight="1">
      <x:c r="A725" s="29" t="str">
        <x:v>SCA-15</x:v>
      </x:c>
      <x:c r="B725" s="29" t="str">
        <x:v>40075</x:v>
      </x:c>
      <x:c r="C725" s="29" t="str">
        <x:v>OK</x:v>
      </x:c>
      <x:c r="D725" s="29" t="str">
        <x:v>Kiowa County</x:v>
      </x:c>
      <x:c r="E725" s="41" t="n">
        <x:v>8181</x:v>
      </x:c>
      <x:c r="F725" s="56" t="n">
        <x:v>34.921489</x:v>
      </x:c>
      <x:c r="G725" s="56" t="n">
        <x:v>-98.981617</x:v>
      </x:c>
      <x:c r="H725" s="44" t="n">
        <x:f>E725/SUMIF(A:A,A725,E:E)</x:f>
        <x:v>0.000620130429779723</x:v>
      </x:c>
    </x:row>
    <x:row r="726" ht="21.600000381469727" hidden="0" customHeight="1">
      <x:c r="A726" s="27" t="str">
        <x:v>SCA-15</x:v>
      </x:c>
      <x:c r="B726" s="27" t="str">
        <x:v>05099</x:v>
      </x:c>
      <x:c r="C726" s="27" t="str">
        <x:v>AR</x:v>
      </x:c>
      <x:c r="D726" s="27" t="str">
        <x:v>Nevada County</x:v>
      </x:c>
      <x:c r="E726" s="40" t="n">
        <x:v>7942</x:v>
      </x:c>
      <x:c r="F726" s="55" t="n">
        <x:v>33.666699</x:v>
      </x:c>
      <x:c r="G726" s="55" t="n">
        <x:v>-93.305072</x:v>
      </x:c>
      <x:c r="H726" s="43" t="n">
        <x:f>E726/SUMIF(A:A,A726,E:E)</x:f>
        <x:v>0.0006020139192409924</x:v>
      </x:c>
    </x:row>
    <x:row r="727" ht="21.600000381469727" hidden="0" customHeight="1">
      <x:c r="A727" s="29" t="str">
        <x:v>SCA-15</x:v>
      </x:c>
      <x:c r="B727" s="29" t="str">
        <x:v>22081</x:v>
      </x:c>
      <x:c r="C727" s="29" t="str">
        <x:v>LA</x:v>
      </x:c>
      <x:c r="D727" s="29" t="str">
        <x:v>Red River Parish</x:v>
      </x:c>
      <x:c r="E727" s="41" t="n">
        <x:v>7165</x:v>
      </x:c>
      <x:c r="F727" s="56" t="n">
        <x:v>32.101213</x:v>
      </x:c>
      <x:c r="G727" s="56" t="n">
        <x:v>-93.34905</x:v>
      </x:c>
      <x:c r="H727" s="44" t="n">
        <x:f>E727/SUMIF(A:A,A727,E:E)</x:f>
        <x:v>0.0005431163096652872</x:v>
      </x:c>
    </x:row>
    <x:row r="728" ht="21.600000381469727" hidden="0" customHeight="1">
      <x:c r="A728" s="27" t="str">
        <x:v>SCA-15</x:v>
      </x:c>
      <x:c r="B728" s="27" t="str">
        <x:v>40141</x:v>
      </x:c>
      <x:c r="C728" s="27" t="str">
        <x:v>OK</x:v>
      </x:c>
      <x:c r="D728" s="27" t="str">
        <x:v>Tillman County</x:v>
      </x:c>
      <x:c r="E728" s="40" t="n">
        <x:v>6780</x:v>
      </x:c>
      <x:c r="F728" s="55" t="n">
        <x:v>34.371085</x:v>
      </x:c>
      <x:c r="G728" s="55" t="n">
        <x:v>-98.931701</x:v>
      </x:c>
      <x:c r="H728" s="43" t="n">
        <x:f>E728/SUMIF(A:A,A728,E:E)</x:f>
        <x:v>0.0005139328094250729</x:v>
      </x:c>
    </x:row>
    <x:row r="729" ht="21.600000381469727" hidden="0" customHeight="1">
      <x:c r="A729" s="29" t="str">
        <x:v>SCA-15</x:v>
      </x:c>
      <x:c r="B729" s="29" t="str">
        <x:v>48437</x:v>
      </x:c>
      <x:c r="C729" s="29" t="str">
        <x:v>TX</x:v>
      </x:c>
      <x:c r="D729" s="29" t="str">
        <x:v>Swisher County</x:v>
      </x:c>
      <x:c r="E729" s="41" t="n">
        <x:v>6703</x:v>
      </x:c>
      <x:c r="F729" s="56" t="n">
        <x:v>34.526319</x:v>
      </x:c>
      <x:c r="G729" s="56" t="n">
        <x:v>-101.743865</x:v>
      </x:c>
      <x:c r="H729" s="44" t="n">
        <x:f>E729/SUMIF(A:A,A729,E:E)</x:f>
        <x:v>0.0005080961093770301</x:v>
      </x:c>
    </x:row>
    <x:row r="730" ht="21.600000381469727" hidden="0" customHeight="1">
      <x:c r="A730" s="27" t="str">
        <x:v>SCA-15</x:v>
      </x:c>
      <x:c r="B730" s="27" t="str">
        <x:v>48075</x:v>
      </x:c>
      <x:c r="C730" s="27" t="str">
        <x:v>TX</x:v>
      </x:c>
      <x:c r="D730" s="27" t="str">
        <x:v>Childress County</x:v>
      </x:c>
      <x:c r="E730" s="40" t="n">
        <x:v>6643</x:v>
      </x:c>
      <x:c r="F730" s="55" t="n">
        <x:v>34.524661</x:v>
      </x:c>
      <x:c r="G730" s="55" t="n">
        <x:v>-100.208194</x:v>
      </x:c>
      <x:c r="H730" s="43" t="n">
        <x:f>E730/SUMIF(A:A,A730,E:E)</x:f>
        <x:v>0.0005035480314175161</x:v>
      </x:c>
    </x:row>
    <x:row r="731" ht="21.600000381469727" hidden="0" customHeight="1">
      <x:c r="A731" s="29" t="str">
        <x:v>SCA-15</x:v>
      </x:c>
      <x:c r="B731" s="29" t="str">
        <x:v>05073</x:v>
      </x:c>
      <x:c r="C731" s="29" t="str">
        <x:v>AR</x:v>
      </x:c>
      <x:c r="D731" s="29" t="str">
        <x:v>Lafayette County</x:v>
      </x:c>
      <x:c r="E731" s="41" t="n">
        <x:v>5888</x:v>
      </x:c>
      <x:c r="F731" s="56" t="n">
        <x:v>33.240629</x:v>
      </x:c>
      <x:c r="G731" s="56" t="n">
        <x:v>-93.611514</x:v>
      </x:c>
      <x:c r="H731" s="44" t="n">
        <x:f>E731/SUMIF(A:A,A731,E:E)</x:f>
        <x:v>0.00044631805042696595</x:v>
      </x:c>
    </x:row>
    <x:row r="732" ht="15" hidden="0" customHeight="1">
      <x:c r="A732" s="27" t="str">
        <x:v>SCA-15</x:v>
      </x:c>
      <x:c r="B732" s="27" t="str">
        <x:v>48119</x:v>
      </x:c>
      <x:c r="C732" s="27" t="str">
        <x:v>TX</x:v>
      </x:c>
      <x:c r="D732" s="27" t="str">
        <x:v>Delta County</x:v>
      </x:c>
      <x:c r="E732" s="40" t="n">
        <x:v>5549</x:v>
      </x:c>
      <x:c r="F732" s="55" t="n">
        <x:v>33.385933</x:v>
      </x:c>
      <x:c r="G732" s="55" t="n">
        <x:v>-95.67335</x:v>
      </x:c>
      <x:c r="H732" s="43" t="n">
        <x:f>E732/SUMIF(A:A,A732,E:E)</x:f>
        <x:v>0.0004206214099557123</x:v>
      </x:c>
    </x:row>
    <x:row r="733" ht="21.600000381469727" hidden="0" customHeight="1">
      <x:c r="A733" s="29" t="str">
        <x:v>SCA-15</x:v>
      </x:c>
      <x:c r="B733" s="29" t="str">
        <x:v>48207</x:v>
      </x:c>
      <x:c r="C733" s="29" t="str">
        <x:v>TX</x:v>
      </x:c>
      <x:c r="D733" s="29" t="str">
        <x:v>Haskell County</x:v>
      </x:c>
      <x:c r="E733" s="41" t="n">
        <x:v>5499</x:v>
      </x:c>
      <x:c r="F733" s="56" t="n">
        <x:v>33.175964</x:v>
      </x:c>
      <x:c r="G733" s="56" t="n">
        <x:v>-99.730774</x:v>
      </x:c>
      <x:c r="H733" s="44" t="n">
        <x:f>E733/SUMIF(A:A,A733,E:E)</x:f>
        <x:v>0.00041683134498945074</x:v>
      </x:c>
    </x:row>
    <x:row r="734" ht="15" hidden="0" customHeight="1">
      <x:c r="A734" s="27" t="str">
        <x:v>SCA-15</x:v>
      </x:c>
      <x:c r="B734" s="27" t="str">
        <x:v>40029</x:v>
      </x:c>
      <x:c r="C734" s="27" t="str">
        <x:v>OK</x:v>
      </x:c>
      <x:c r="D734" s="27" t="str">
        <x:v>Coal County</x:v>
      </x:c>
      <x:c r="E734" s="40" t="n">
        <x:v>5436</x:v>
      </x:c>
      <x:c r="F734" s="55" t="n">
        <x:v>34.582861</x:v>
      </x:c>
      <x:c r="G734" s="55" t="n">
        <x:v>-96.288038</x:v>
      </x:c>
      <x:c r="H734" s="43" t="n">
        <x:f>E734/SUMIF(A:A,A734,E:E)</x:f>
        <x:v>0.0004120558631319611</x:v>
      </x:c>
    </x:row>
    <x:row r="735" ht="21.600000381469727" hidden="0" customHeight="1">
      <x:c r="A735" s="29" t="str">
        <x:v>SCA-15</x:v>
      </x:c>
      <x:c r="B735" s="29" t="str">
        <x:v>40033</x:v>
      </x:c>
      <x:c r="C735" s="29" t="str">
        <x:v>OK</x:v>
      </x:c>
      <x:c r="D735" s="29" t="str">
        <x:v>Cotton County</x:v>
      </x:c>
      <x:c r="E735" s="41" t="n">
        <x:v>5432</x:v>
      </x:c>
      <x:c r="F735" s="56" t="n">
        <x:v>34.290676</x:v>
      </x:c>
      <x:c r="G735" s="56" t="n">
        <x:v>-98.373438</x:v>
      </x:c>
      <x:c r="H735" s="44" t="n">
        <x:f>E735/SUMIF(A:A,A735,E:E)</x:f>
        <x:v>0.0004117526579346602</x:v>
      </x:c>
    </x:row>
    <x:row r="736" ht="21.600000381469727" hidden="0" customHeight="1">
      <x:c r="A736" s="27" t="str">
        <x:v>SCA-15</x:v>
      </x:c>
      <x:c r="B736" s="27" t="str">
        <x:v>40067</x:v>
      </x:c>
      <x:c r="C736" s="27" t="str">
        <x:v>OK</x:v>
      </x:c>
      <x:c r="D736" s="27" t="str">
        <x:v>Jefferson County</x:v>
      </x:c>
      <x:c r="E736" s="40" t="n">
        <x:v>5431</x:v>
      </x:c>
      <x:c r="F736" s="55" t="n">
        <x:v>34.105082</x:v>
      </x:c>
      <x:c r="G736" s="55" t="n">
        <x:v>-97.83889</x:v>
      </x:c>
      <x:c r="H736" s="43" t="n">
        <x:f>E736/SUMIF(A:A,A736,E:E)</x:f>
        <x:v>0.00041167685663533497</x:v>
      </x:c>
    </x:row>
    <x:row r="737" ht="15" hidden="0" customHeight="1">
      <x:c r="A737" s="29" t="str">
        <x:v>SCA-15</x:v>
      </x:c>
      <x:c r="B737" s="29" t="str">
        <x:v>40055</x:v>
      </x:c>
      <x:c r="C737" s="29" t="str">
        <x:v>OK</x:v>
      </x:c>
      <x:c r="D737" s="29" t="str">
        <x:v>Greer County</x:v>
      </x:c>
      <x:c r="E737" s="41" t="n">
        <x:v>5373</x:v>
      </x:c>
      <x:c r="F737" s="56" t="n">
        <x:v>34.933853</x:v>
      </x:c>
      <x:c r="G737" s="56" t="n">
        <x:v>-99.552968</x:v>
      </x:c>
      <x:c r="H737" s="44" t="n">
        <x:f>E737/SUMIF(A:A,A737,E:E)</x:f>
        <x:v>0.0004072803812744715</x:v>
      </x:c>
    </x:row>
    <x:row r="738" ht="15" hidden="0" customHeight="1">
      <x:c r="A738" s="27" t="str">
        <x:v>SCA-15</x:v>
      </x:c>
      <x:c r="B738" s="27" t="str">
        <x:v>48153</x:v>
      </x:c>
      <x:c r="C738" s="27" t="str">
        <x:v>TX</x:v>
      </x:c>
      <x:c r="D738" s="27" t="str">
        <x:v>Floyd County</x:v>
      </x:c>
      <x:c r="E738" s="40" t="n">
        <x:v>4881</x:v>
      </x:c>
      <x:c r="F738" s="55" t="n">
        <x:v>34.07373</x:v>
      </x:c>
      <x:c r="G738" s="55" t="n">
        <x:v>-101.303274</x:v>
      </x:c>
      <x:c r="H738" s="43" t="n">
        <x:f>E738/SUMIF(A:A,A738,E:E)</x:f>
        <x:v>0.00036998614200645737</x:v>
      </x:c>
    </x:row>
    <x:row r="739" ht="21.600000381469727" hidden="0" customHeight="1">
      <x:c r="A739" s="29" t="str">
        <x:v>SCA-15</x:v>
      </x:c>
      <x:c r="B739" s="29" t="str">
        <x:v>48107</x:v>
      </x:c>
      <x:c r="C739" s="29" t="str">
        <x:v>TX</x:v>
      </x:c>
      <x:c r="D739" s="29" t="str">
        <x:v>Crosby County</x:v>
      </x:c>
      <x:c r="E739" s="41" t="n">
        <x:v>4852</x:v>
      </x:c>
      <x:c r="F739" s="56" t="n">
        <x:v>33.609144</x:v>
      </x:c>
      <x:c r="G739" s="56" t="n">
        <x:v>-101.29871</x:v>
      </x:c>
      <x:c r="H739" s="44" t="n">
        <x:f>E739/SUMIF(A:A,A739,E:E)</x:f>
        <x:v>0.00036778790432602564</x:v>
      </x:c>
    </x:row>
    <x:row r="740" ht="15" hidden="0" customHeight="1">
      <x:c r="A740" s="27" t="str">
        <x:v>SCA-15</x:v>
      </x:c>
      <x:c r="B740" s="27" t="str">
        <x:v>48333</x:v>
      </x:c>
      <x:c r="C740" s="27" t="str">
        <x:v>TX</x:v>
      </x:c>
      <x:c r="D740" s="27" t="str">
        <x:v>Mills County</x:v>
      </x:c>
      <x:c r="E740" s="40" t="n">
        <x:v>4580</x:v>
      </x:c>
      <x:c r="F740" s="55" t="n">
        <x:v>31.494888</x:v>
      </x:c>
      <x:c r="G740" s="55" t="n">
        <x:v>-98.594623</x:v>
      </x:c>
      <x:c r="H740" s="43" t="n">
        <x:f>E740/SUMIF(A:A,A740,E:E)</x:f>
        <x:v>0.00034716995090956255</x:v>
      </x:c>
    </x:row>
    <x:row r="741" ht="21.600000381469727" hidden="0" customHeight="1">
      <x:c r="A741" s="29" t="str">
        <x:v>SCA-15</x:v>
      </x:c>
      <x:c r="B741" s="29" t="str">
        <x:v>48169</x:v>
      </x:c>
      <x:c r="C741" s="29" t="str">
        <x:v>TX</x:v>
      </x:c>
      <x:c r="D741" s="29" t="str">
        <x:v>Garza County</x:v>
      </x:c>
      <x:c r="E741" s="41" t="n">
        <x:v>4510</x:v>
      </x:c>
      <x:c r="F741" s="56" t="n">
        <x:v>33.183792</x:v>
      </x:c>
      <x:c r="G741" s="56" t="n">
        <x:v>-101.301134</x:v>
      </x:c>
      <x:c r="H741" s="44" t="n">
        <x:f>E741/SUMIF(A:A,A741,E:E)</x:f>
        <x:v>0.0003418638599567963</x:v>
      </x:c>
    </x:row>
    <x:row r="742" ht="21.600000381469727" hidden="0" customHeight="1">
      <x:c r="A742" s="27" t="str">
        <x:v>SCA-15</x:v>
      </x:c>
      <x:c r="B742" s="27" t="str">
        <x:v>48151</x:v>
      </x:c>
      <x:c r="C742" s="27" t="str">
        <x:v>TX</x:v>
      </x:c>
      <x:c r="D742" s="27" t="str">
        <x:v>Fisher County</x:v>
      </x:c>
      <x:c r="E742" s="40" t="n">
        <x:v>3692</x:v>
      </x:c>
      <x:c r="F742" s="55" t="n">
        <x:v>32.740473</x:v>
      </x:c>
      <x:c r="G742" s="55" t="n">
        <x:v>-100.40312</x:v>
      </x:c>
      <x:c r="H742" s="43" t="n">
        <x:f>E742/SUMIF(A:A,A742,E:E)</x:f>
        <x:v>0.00027985839710875654</x:v>
      </x:c>
    </x:row>
    <x:row r="743" ht="21.600000381469727" hidden="0" customHeight="1">
      <x:c r="A743" s="29" t="str">
        <x:v>SCA-15</x:v>
      </x:c>
      <x:c r="B743" s="29" t="str">
        <x:v>48023</x:v>
      </x:c>
      <x:c r="C743" s="29" t="str">
        <x:v>TX</x:v>
      </x:c>
      <x:c r="D743" s="29" t="str">
        <x:v>Baylor County</x:v>
      </x:c>
      <x:c r="E743" s="41" t="n">
        <x:v>3472</x:v>
      </x:c>
      <x:c r="F743" s="56" t="n">
        <x:v>33.618802</x:v>
      </x:c>
      <x:c r="G743" s="56" t="n">
        <x:v>-99.208189</x:v>
      </x:c>
      <x:c r="H743" s="44" t="n">
        <x:f>E743/SUMIF(A:A,A743,E:E)</x:f>
        <x:v>0.0002631821112572055</x:v>
      </x:c>
    </x:row>
    <x:row r="744" ht="21.600000381469727" hidden="0" customHeight="1">
      <x:c r="A744" s="27" t="str">
        <x:v>SCA-15</x:v>
      </x:c>
      <x:c r="B744" s="27" t="str">
        <x:v>48197</x:v>
      </x:c>
      <x:c r="C744" s="27" t="str">
        <x:v>TX</x:v>
      </x:c>
      <x:c r="D744" s="27" t="str">
        <x:v>Hardeman County</x:v>
      </x:c>
      <x:c r="E744" s="40" t="n">
        <x:v>3292</x:v>
      </x:c>
      <x:c r="F744" s="55" t="n">
        <x:v>34.289904</x:v>
      </x:c>
      <x:c r="G744" s="55" t="n">
        <x:v>-99.745697</x:v>
      </x:c>
      <x:c r="H744" s="43" t="n">
        <x:f>E744/SUMIF(A:A,A744,E:E)</x:f>
        <x:v>0.00024953787737866373</x:v>
      </x:c>
    </x:row>
    <x:row r="745" ht="21.600000381469727" hidden="0" customHeight="1">
      <x:c r="A745" s="29" t="str">
        <x:v>SCA-15</x:v>
      </x:c>
      <x:c r="B745" s="29" t="str">
        <x:v>48417</x:v>
      </x:c>
      <x:c r="C745" s="29" t="str">
        <x:v>TX</x:v>
      </x:c>
      <x:c r="D745" s="29" t="str">
        <x:v>Shackelford County</x:v>
      </x:c>
      <x:c r="E745" s="41" t="n">
        <x:v>3197</x:v>
      </x:c>
      <x:c r="F745" s="56" t="n">
        <x:v>32.74382</x:v>
      </x:c>
      <x:c r="G745" s="56" t="n">
        <x:v>-99.347005</x:v>
      </x:c>
      <x:c r="H745" s="44" t="n">
        <x:f>E745/SUMIF(A:A,A745,E:E)</x:f>
        <x:v>0.00024233675394276668</x:v>
      </x:c>
    </x:row>
    <x:row r="746" ht="15" hidden="0" customHeight="1">
      <x:c r="A746" s="27" t="str">
        <x:v>SCA-15</x:v>
      </x:c>
      <x:c r="B746" s="27" t="str">
        <x:v>48275</x:v>
      </x:c>
      <x:c r="C746" s="27" t="str">
        <x:v>TX</x:v>
      </x:c>
      <x:c r="D746" s="27" t="str">
        <x:v>Knox County</x:v>
      </x:c>
      <x:c r="E746" s="40" t="n">
        <x:v>3192</x:v>
      </x:c>
      <x:c r="F746" s="55" t="n">
        <x:v>33.61189</x:v>
      </x:c>
      <x:c r="G746" s="55" t="n">
        <x:v>-99.730356</x:v>
      </x:c>
      <x:c r="H746" s="43" t="n">
        <x:f>E746/SUMIF(A:A,A746,E:E)</x:f>
        <x:v>0.00024195774744614052</x:v>
      </x:c>
    </x:row>
    <x:row r="747" ht="15" hidden="0" customHeight="1">
      <x:c r="A747" s="29" t="str">
        <x:v>SCA-15</x:v>
      </x:c>
      <x:c r="B747" s="29" t="str">
        <x:v>48191</x:v>
      </x:c>
      <x:c r="C747" s="29" t="str">
        <x:v>TX</x:v>
      </x:c>
      <x:c r="D747" s="29" t="str">
        <x:v>Hall County</x:v>
      </x:c>
      <x:c r="E747" s="41" t="n">
        <x:v>2737</x:v>
      </x:c>
      <x:c r="F747" s="56" t="n">
        <x:v>34.453189</x:v>
      </x:c>
      <x:c r="G747" s="56" t="n">
        <x:v>-100.576343</x:v>
      </x:c>
      <x:c r="H747" s="44" t="n">
        <x:f>E747/SUMIF(A:A,A747,E:E)</x:f>
        <x:v>0.00020746815625315997</x:v>
      </x:c>
    </x:row>
    <x:row r="748" ht="21.600000381469727" hidden="0" customHeight="1">
      <x:c r="A748" s="27" t="str">
        <x:v>SCA-15</x:v>
      </x:c>
      <x:c r="B748" s="27" t="str">
        <x:v>40057</x:v>
      </x:c>
      <x:c r="C748" s="27" t="str">
        <x:v>OK</x:v>
      </x:c>
      <x:c r="D748" s="27" t="str">
        <x:v>Harmon County</x:v>
      </x:c>
      <x:c r="E748" s="40" t="n">
        <x:v>2327</x:v>
      </x:c>
      <x:c r="F748" s="55" t="n">
        <x:v>34.745971</x:v>
      </x:c>
      <x:c r="G748" s="55" t="n">
        <x:v>-99.844194</x:v>
      </x:c>
      <x:c r="H748" s="43" t="n">
        <x:f>E748/SUMIF(A:A,A748,E:E)</x:f>
        <x:v>0.00017638962352981485</x:v>
      </x:c>
    </x:row>
    <x:row r="749" ht="21.600000381469727" hidden="0" customHeight="1">
      <x:c r="A749" s="29" t="str">
        <x:v>SCA-15</x:v>
      </x:c>
      <x:c r="B749" s="29" t="str">
        <x:v>48125</x:v>
      </x:c>
      <x:c r="C749" s="29" t="str">
        <x:v>TX</x:v>
      </x:c>
      <x:c r="D749" s="29" t="str">
        <x:v>Dickens County</x:v>
      </x:c>
      <x:c r="E749" s="41" t="n">
        <x:v>1692</x:v>
      </x:c>
      <x:c r="F749" s="56" t="n">
        <x:v>33.615362</x:v>
      </x:c>
      <x:c r="G749" s="56" t="n">
        <x:v>-100.787618</x:v>
      </x:c>
      <x:c r="H749" s="44" t="n">
        <x:f>E749/SUMIF(A:A,A749,E:E)</x:f>
        <x:v>0.00012825579845829254</x:v>
      </x:c>
    </x:row>
    <x:row r="750" ht="21.600000381469727" hidden="0" customHeight="1">
      <x:c r="A750" s="27" t="str">
        <x:v>SCA-15</x:v>
      </x:c>
      <x:c r="B750" s="27" t="str">
        <x:v>48447</x:v>
      </x:c>
      <x:c r="C750" s="27" t="str">
        <x:v>TX</x:v>
      </x:c>
      <x:c r="D750" s="27" t="str">
        <x:v>Throckmorton County</x:v>
      </x:c>
      <x:c r="E750" s="40" t="n">
        <x:v>1554</x:v>
      </x:c>
      <x:c r="F750" s="55" t="n">
        <x:v>33.170695</x:v>
      </x:c>
      <x:c r="G750" s="55" t="n">
        <x:v>-99.205796</x:v>
      </x:c>
      <x:c r="H750" s="43" t="n">
        <x:f>E750/SUMIF(A:A,A750,E:E)</x:f>
        <x:v>0.00011779521915141051</x:v>
      </x:c>
    </x:row>
    <x:row r="751" ht="21.600000381469727" hidden="0" customHeight="1">
      <x:c r="A751" s="29" t="str">
        <x:v>SCA-15</x:v>
      </x:c>
      <x:c r="B751" s="29" t="str">
        <x:v>48045</x:v>
      </x:c>
      <x:c r="C751" s="29" t="str">
        <x:v>TX</x:v>
      </x:c>
      <x:c r="D751" s="29" t="str">
        <x:v>Briscoe County</x:v>
      </x:c>
      <x:c r="E751" s="41" t="n">
        <x:v>1474</x:v>
      </x:c>
      <x:c r="F751" s="56" t="n">
        <x:v>34.525172</x:v>
      </x:c>
      <x:c r="G751" s="56" t="n">
        <x:v>-101.205893</x:v>
      </x:c>
      <x:c r="H751" s="44" t="n">
        <x:f>E751/SUMIF(A:A,A751,E:E)</x:f>
        <x:v>0.00011173111520539196</x:v>
      </x:c>
    </x:row>
    <x:row r="752" ht="21.600000381469727" hidden="0" customHeight="1">
      <x:c r="A752" s="27" t="str">
        <x:v>SCA-15</x:v>
      </x:c>
      <x:c r="B752" s="27" t="str">
        <x:v>48101</x:v>
      </x:c>
      <x:c r="C752" s="27" t="str">
        <x:v>TX</x:v>
      </x:c>
      <x:c r="D752" s="27" t="str">
        <x:v>Cottle County</x:v>
      </x:c>
      <x:c r="E752" s="40" t="n">
        <x:v>1224</x:v>
      </x:c>
      <x:c r="F752" s="55" t="n">
        <x:v>34.091906</x:v>
      </x:c>
      <x:c r="G752" s="55" t="n">
        <x:v>-100.276442</x:v>
      </x:c>
      <x:c r="H752" s="43" t="n">
        <x:f>E752/SUMIF(A:A,A752,E:E)</x:f>
        <x:v>0.00009278079037408396</x:v>
      </x:c>
    </x:row>
    <x:row r="753" ht="21.600000381469727" hidden="0" customHeight="1">
      <x:c r="A753" s="29" t="str">
        <x:v>SCA-15</x:v>
      </x:c>
      <x:c r="B753" s="29" t="str">
        <x:v>48433</x:v>
      </x:c>
      <x:c r="C753" s="29" t="str">
        <x:v>TX</x:v>
      </x:c>
      <x:c r="D753" s="29" t="str">
        <x:v>Stonewall County</x:v>
      </x:c>
      <x:c r="E753" s="41" t="n">
        <x:v>1186</x:v>
      </x:c>
      <x:c r="F753" s="56" t="n">
        <x:v>33.17958</x:v>
      </x:c>
      <x:c r="G753" s="56" t="n">
        <x:v>-100.253807</x:v>
      </x:c>
      <x:c r="H753" s="44" t="n">
        <x:f>E753/SUMIF(A:A,A753,E:E)</x:f>
        <x:v>0.00008990034099972515</x:v>
      </x:c>
    </x:row>
    <x:row r="754" ht="21.600000381469727" hidden="0" customHeight="1">
      <x:c r="A754" s="27" t="str">
        <x:v>SCA-15</x:v>
      </x:c>
      <x:c r="B754" s="27" t="str">
        <x:v>48155</x:v>
      </x:c>
      <x:c r="C754" s="27" t="str">
        <x:v>TX</x:v>
      </x:c>
      <x:c r="D754" s="27" t="str">
        <x:v>Foard County</x:v>
      </x:c>
      <x:c r="E754" s="40" t="n">
        <x:v>1044</x:v>
      </x:c>
      <x:c r="F754" s="55" t="n">
        <x:v>33.963306</x:v>
      </x:c>
      <x:c r="G754" s="55" t="n">
        <x:v>-99.816828</x:v>
      </x:c>
      <x:c r="H754" s="43" t="n">
        <x:f>E754/SUMIF(A:A,A754,E:E)</x:f>
        <x:v>0.0000791365564955422</x:v>
      </x:c>
    </x:row>
    <x:row r="755" ht="21.600000381469727" hidden="0" customHeight="1">
      <x:c r="A755" s="29" t="str">
        <x:v>SCA-15</x:v>
      </x:c>
      <x:c r="B755" s="29" t="str">
        <x:v>48345</x:v>
      </x:c>
      <x:c r="C755" s="29" t="str">
        <x:v>TX</x:v>
      </x:c>
      <x:c r="D755" s="29" t="str">
        <x:v>Motley County</x:v>
      </x:c>
      <x:c r="E755" s="41" t="n">
        <x:v>1043</x:v>
      </x:c>
      <x:c r="F755" s="56" t="n">
        <x:v>34.057899</x:v>
      </x:c>
      <x:c r="G755" s="56" t="n">
        <x:v>-100.793152</x:v>
      </x:c>
      <x:c r="H755" s="44" t="n">
        <x:f>E755/SUMIF(A:A,A755,E:E)</x:f>
        <x:v>0.00007906075519621697</x:v>
      </x:c>
    </x:row>
    <x:row r="756" ht="15" hidden="0" customHeight="1">
      <x:c r="A756" s="27" t="str">
        <x:v>SCA-15</x:v>
      </x:c>
      <x:c r="B756" s="27" t="str">
        <x:v>48263</x:v>
      </x:c>
      <x:c r="C756" s="27" t="str">
        <x:v>TX</x:v>
      </x:c>
      <x:c r="D756" s="27" t="str">
        <x:v>Kent County</x:v>
      </x:c>
      <x:c r="E756" s="40" t="n">
        <x:v>674</x:v>
      </x:c>
      <x:c r="F756" s="55" t="n">
        <x:v>33.18478</x:v>
      </x:c>
      <x:c r="G756" s="55" t="n">
        <x:v>-100.76972</x:v>
      </x:c>
      <x:c r="H756" s="43" t="n">
        <x:f>E756/SUMIF(A:A,A756,E:E)</x:f>
        <x:v>0.000051090075745206365</x:v>
      </x:c>
    </x:row>
    <x:row r="757" ht="21.600000381469727" hidden="0" customHeight="1">
      <x:c r="A757" s="29" t="str">
        <x:v>SCA-15</x:v>
      </x:c>
      <x:c r="B757" s="29" t="str">
        <x:v>48033</x:v>
      </x:c>
      <x:c r="C757" s="29" t="str">
        <x:v>TX</x:v>
      </x:c>
      <x:c r="D757" s="29" t="str">
        <x:v>Borden County</x:v>
      </x:c>
      <x:c r="E757" s="41" t="n">
        <x:v>567</x:v>
      </x:c>
      <x:c r="F757" s="56" t="n">
        <x:v>32.73859</x:v>
      </x:c>
      <x:c r="G757" s="56" t="n">
        <x:v>-101.439199</x:v>
      </x:c>
      <x:c r="H757" s="44" t="n">
        <x:f>E757/SUMIF(A:A,A757,E:E)</x:f>
        <x:v>0.00004297933671740654</x:v>
      </x:c>
    </x:row>
    <x:row r="758" ht="15" hidden="0" customHeight="1">
      <x:c r="A758" s="27" t="str">
        <x:v>SCA-15</x:v>
      </x:c>
      <x:c r="B758" s="27" t="str">
        <x:v>48269</x:v>
      </x:c>
      <x:c r="C758" s="27" t="str">
        <x:v>TX</x:v>
      </x:c>
      <x:c r="D758" s="27" t="str">
        <x:v>King County</x:v>
      </x:c>
      <x:c r="E758" s="40" t="n">
        <x:v>192</x:v>
      </x:c>
      <x:c r="F758" s="55" t="n">
        <x:v>33.614268</x:v>
      </x:c>
      <x:c r="G758" s="55" t="n">
        <x:v>-100.245345</x:v>
      </x:c>
      <x:c r="H758" s="43" t="n">
        <x:f>E758/SUMIF(A:A,A758,E:E)</x:f>
        <x:v>0.000014553849470444544</x:v>
      </x:c>
    </x:row>
    <x:row r="759" ht="21.600000381469727" hidden="0" customHeight="1">
      <x:c r="A759" s="29" t="str">
        <x:v>SCA-16</x:v>
      </x:c>
      <x:c r="B759" s="29" t="str">
        <x:v>40109</x:v>
      </x:c>
      <x:c r="C759" s="29" t="str">
        <x:v>OK</x:v>
      </x:c>
      <x:c r="D759" s="29" t="str">
        <x:v>Oklahoma County</x:v>
      </x:c>
      <x:c r="E759" s="41" t="n">
        <x:v>822125</x:v>
      </x:c>
      <x:c r="F759" s="56" t="n">
        <x:v>35.554611</x:v>
      </x:c>
      <x:c r="G759" s="56" t="n">
        <x:v>-97.409401</x:v>
      </x:c>
      <x:c r="H759" s="44" t="n">
        <x:f>E759/SUMIF(A:A,A759,E:E)</x:f>
        <x:v>0.08077495618231889</x:v>
      </x:c>
    </x:row>
    <x:row r="760" ht="21.600000381469727" hidden="0" customHeight="1">
      <x:c r="A760" s="27" t="str">
        <x:v>SCA-16</x:v>
      </x:c>
      <x:c r="B760" s="27" t="str">
        <x:v>29095</x:v>
      </x:c>
      <x:c r="C760" s="27" t="str">
        <x:v>MO</x:v>
      </x:c>
      <x:c r="D760" s="27" t="str">
        <x:v>Jackson County</x:v>
      </x:c>
      <x:c r="E760" s="40" t="n">
        <x:v>732994</x:v>
      </x:c>
      <x:c r="F760" s="55" t="n">
        <x:v>39.005364</x:v>
      </x:c>
      <x:c r="G760" s="55" t="n">
        <x:v>-94.343211</x:v>
      </x:c>
      <x:c r="H760" s="43" t="n">
        <x:f>E760/SUMIF(A:A,A760,E:E)</x:f>
        <x:v>0.0720177080515769</x:v>
      </x:c>
    </x:row>
    <x:row r="761" ht="15" hidden="0" customHeight="1">
      <x:c r="A761" s="29" t="str">
        <x:v>SCA-16</x:v>
      </x:c>
      <x:c r="B761" s="29" t="str">
        <x:v>40143</x:v>
      </x:c>
      <x:c r="C761" s="29" t="str">
        <x:v>OK</x:v>
      </x:c>
      <x:c r="D761" s="29" t="str">
        <x:v>Tulsa County</x:v>
      </x:c>
      <x:c r="E761" s="41" t="n">
        <x:v>698782</x:v>
      </x:c>
      <x:c r="F761" s="56" t="n">
        <x:v>36.120318</x:v>
      </x:c>
      <x:c r="G761" s="56" t="n">
        <x:v>-95.941813</x:v>
      </x:c>
      <x:c r="H761" s="44" t="n">
        <x:f>E761/SUMIF(A:A,A761,E:E)</x:f>
        <x:v>0.06865633015781439</x:v>
      </x:c>
    </x:row>
    <x:row r="762" ht="21.600000381469727" hidden="0" customHeight="1">
      <x:c r="A762" s="27" t="str">
        <x:v>SCA-16</x:v>
      </x:c>
      <x:c r="B762" s="27" t="str">
        <x:v>20091</x:v>
      </x:c>
      <x:c r="C762" s="27" t="str">
        <x:v>KS</x:v>
      </x:c>
      <x:c r="D762" s="27" t="str">
        <x:v>Johnson County</x:v>
      </x:c>
      <x:c r="E762" s="40" t="n">
        <x:v>636906</x:v>
      </x:c>
      <x:c r="F762" s="55" t="n">
        <x:v>38.883907</x:v>
      </x:c>
      <x:c r="G762" s="55" t="n">
        <x:v>-94.82233</x:v>
      </x:c>
      <x:c r="H762" s="43" t="n">
        <x:f>E762/SUMIF(A:A,A762,E:E)</x:f>
        <x:v>0.06257692472830287</x:v>
      </x:c>
    </x:row>
    <x:row r="763" ht="21.600000381469727" hidden="0" customHeight="1">
      <x:c r="A763" s="29" t="str">
        <x:v>SCA-16</x:v>
      </x:c>
      <x:c r="B763" s="29" t="str">
        <x:v>31055</x:v>
      </x:c>
      <x:c r="C763" s="29" t="str">
        <x:v>NE</x:v>
      </x:c>
      <x:c r="D763" s="29" t="str">
        <x:v>Douglas County</x:v>
      </x:c>
      <x:c r="E763" s="41" t="n">
        <x:v>606460</x:v>
      </x:c>
      <x:c r="F763" s="56" t="n">
        <x:v>41.297091</x:v>
      </x:c>
      <x:c r="G763" s="56" t="n">
        <x:v>-96.154066</x:v>
      </x:c>
      <x:c r="H763" s="44" t="n">
        <x:f>E763/SUMIF(A:A,A763,E:E)</x:f>
        <x:v>0.05958556171668434</x:v>
      </x:c>
    </x:row>
    <x:row r="764" ht="21.600000381469727" hidden="0" customHeight="1">
      <x:c r="A764" s="27" t="str">
        <x:v>SCA-16</x:v>
      </x:c>
      <x:c r="B764" s="27" t="str">
        <x:v>20173</x:v>
      </x:c>
      <x:c r="C764" s="27" t="str">
        <x:v>KS</x:v>
      </x:c>
      <x:c r="D764" s="27" t="str">
        <x:v>Sedgwick County</x:v>
      </x:c>
      <x:c r="E764" s="40" t="n">
        <x:v>538433</x:v>
      </x:c>
      <x:c r="F764" s="55" t="n">
        <x:v>37.681045</x:v>
      </x:c>
      <x:c r="G764" s="55" t="n">
        <x:v>-97.461054</x:v>
      </x:c>
      <x:c r="H764" s="43" t="n">
        <x:f>E764/SUMIF(A:A,A764,E:E)</x:f>
        <x:v>0.052901811746528214</x:v>
      </x:c>
    </x:row>
    <x:row r="765" ht="21.600000381469727" hidden="0" customHeight="1">
      <x:c r="A765" s="29" t="str">
        <x:v>SCA-16</x:v>
      </x:c>
      <x:c r="B765" s="29" t="str">
        <x:v>31109</x:v>
      </x:c>
      <x:c r="C765" s="29" t="str">
        <x:v>NE</x:v>
      </x:c>
      <x:c r="D765" s="29" t="str">
        <x:v>Lancaster County</x:v>
      </x:c>
      <x:c r="E765" s="41" t="n">
        <x:v>334049</x:v>
      </x:c>
      <x:c r="F765" s="56" t="n">
        <x:v>40.783547</x:v>
      </x:c>
      <x:c r="G765" s="56" t="n">
        <x:v>-96.688658</x:v>
      </x:c>
      <x:c r="H765" s="44" t="n">
        <x:f>E765/SUMIF(A:A,A765,E:E)</x:f>
        <x:v>0.03282079165303019</x:v>
      </x:c>
    </x:row>
    <x:row r="766" ht="21.600000381469727" hidden="0" customHeight="1">
      <x:c r="A766" s="27" t="str">
        <x:v>SCA-16</x:v>
      </x:c>
      <x:c r="B766" s="27" t="str">
        <x:v>05007</x:v>
      </x:c>
      <x:c r="C766" s="27" t="str">
        <x:v>AR</x:v>
      </x:c>
      <x:c r="D766" s="27" t="str">
        <x:v>Benton County</x:v>
      </x:c>
      <x:c r="E766" s="40" t="n">
        <x:v>332554</x:v>
      </x:c>
      <x:c r="F766" s="55" t="n">
        <x:v>36.337819</x:v>
      </x:c>
      <x:c r="G766" s="55" t="n">
        <x:v>-94.256298</x:v>
      </x:c>
      <x:c r="H766" s="43" t="n">
        <x:f>E766/SUMIF(A:A,A766,E:E)</x:f>
        <x:v>0.032673905766464804</x:v>
      </x:c>
    </x:row>
    <x:row r="767" ht="21.600000381469727" hidden="0" customHeight="1">
      <x:c r="A767" s="29" t="str">
        <x:v>SCA-16</x:v>
      </x:c>
      <x:c r="B767" s="29" t="str">
        <x:v>05143</x:v>
      </x:c>
      <x:c r="C767" s="29" t="str">
        <x:v>AR</x:v>
      </x:c>
      <x:c r="D767" s="29" t="str">
        <x:v>Washington County</x:v>
      </x:c>
      <x:c r="E767" s="41" t="n">
        <x:v>271213</x:v>
      </x:c>
      <x:c r="F767" s="56" t="n">
        <x:v>35.978001</x:v>
      </x:c>
      <x:c r="G767" s="56" t="n">
        <x:v>-94.217269</x:v>
      </x:c>
      <x:c r="H767" s="44" t="n">
        <x:f>E767/SUMIF(A:A,A767,E:E)</x:f>
        <x:v>0.026647064851543563</x:v>
      </x:c>
    </x:row>
    <x:row r="768" ht="15" hidden="0" customHeight="1">
      <x:c r="A768" s="27" t="str">
        <x:v>SCA-16</x:v>
      </x:c>
      <x:c r="B768" s="27" t="str">
        <x:v>29047</x:v>
      </x:c>
      <x:c r="C768" s="27" t="str">
        <x:v>MO</x:v>
      </x:c>
      <x:c r="D768" s="27" t="str">
        <x:v>Clay County</x:v>
      </x:c>
      <x:c r="E768" s="40" t="n">
        <x:v>265032</x:v>
      </x:c>
      <x:c r="F768" s="55" t="n">
        <x:v>39.315551</x:v>
      </x:c>
      <x:c r="G768" s="55" t="n">
        <x:v>-94.421502</x:v>
      </x:c>
      <x:c r="H768" s="43" t="n">
        <x:f>E768/SUMIF(A:A,A768,E:E)</x:f>
        <x:v>0.02603977276802474</x:v>
      </x:c>
    </x:row>
    <x:row r="769" ht="21.600000381469727" hidden="0" customHeight="1">
      <x:c r="A769" s="29" t="str">
        <x:v>SCA-16</x:v>
      </x:c>
      <x:c r="B769" s="29" t="str">
        <x:v>31153</x:v>
      </x:c>
      <x:c r="C769" s="29" t="str">
        <x:v>NE</x:v>
      </x:c>
      <x:c r="D769" s="29" t="str">
        <x:v>Sarpy County</x:v>
      </x:c>
      <x:c r="E769" s="41" t="n">
        <x:v>208303</x:v>
      </x:c>
      <x:c r="F769" s="56" t="n">
        <x:v>41.115064</x:v>
      </x:c>
      <x:c r="G769" s="56" t="n">
        <x:v>-96.109125</x:v>
      </x:c>
      <x:c r="H769" s="44" t="n">
        <x:f>E769/SUMIF(A:A,A769,E:E)</x:f>
        <x:v>0.020466067444300528</x:v>
      </x:c>
    </x:row>
    <x:row r="770" ht="21.600000381469727" hidden="0" customHeight="1">
      <x:c r="A770" s="27" t="str">
        <x:v>SCA-16</x:v>
      </x:c>
      <x:c r="B770" s="27" t="str">
        <x:v>40017</x:v>
      </x:c>
      <x:c r="C770" s="27" t="str">
        <x:v>OK</x:v>
      </x:c>
      <x:c r="D770" s="27" t="str">
        <x:v>Canadian County</x:v>
      </x:c>
      <x:c r="E770" s="40" t="n">
        <x:v>187189</x:v>
      </x:c>
      <x:c r="F770" s="55" t="n">
        <x:v>35.543354</x:v>
      </x:c>
      <x:c r="G770" s="55" t="n">
        <x:v>-97.979889</x:v>
      </x:c>
      <x:c r="H770" s="43" t="n">
        <x:f>E770/SUMIF(A:A,A770,E:E)</x:f>
        <x:v>0.018391586769423252</x:v>
      </x:c>
    </x:row>
    <x:row r="771" ht="21.600000381469727" hidden="0" customHeight="1">
      <x:c r="A771" s="29" t="str">
        <x:v>SCA-16</x:v>
      </x:c>
      <x:c r="B771" s="29" t="str">
        <x:v>20177</x:v>
      </x:c>
      <x:c r="C771" s="29" t="str">
        <x:v>KS</x:v>
      </x:c>
      <x:c r="D771" s="29" t="str">
        <x:v>Shawnee County</x:v>
      </x:c>
      <x:c r="E771" s="41" t="n">
        <x:v>178607</x:v>
      </x:c>
      <x:c r="F771" s="56" t="n">
        <x:v>39.041805</x:v>
      </x:c>
      <x:c r="G771" s="56" t="n">
        <x:v>-95.755664</x:v>
      </x:c>
      <x:c r="H771" s="44" t="n">
        <x:f>E771/SUMIF(A:A,A771,E:E)</x:f>
        <x:v>0.017548393004537546</x:v>
      </x:c>
    </x:row>
    <x:row r="772" ht="21.600000381469727" hidden="0" customHeight="1">
      <x:c r="A772" s="27" t="str">
        <x:v>SCA-16</x:v>
      </x:c>
      <x:c r="B772" s="27" t="str">
        <x:v>20209</x:v>
      </x:c>
      <x:c r="C772" s="27" t="str">
        <x:v>KS</x:v>
      </x:c>
      <x:c r="D772" s="27" t="str">
        <x:v>Wyandotte County</x:v>
      </x:c>
      <x:c r="E772" s="40" t="n">
        <x:v>170597</x:v>
      </x:c>
      <x:c r="F772" s="55" t="n">
        <x:v>39.115384</x:v>
      </x:c>
      <x:c r="G772" s="55" t="n">
        <x:v>-94.763087</x:v>
      </x:c>
      <x:c r="H772" s="43" t="n">
        <x:f>E772/SUMIF(A:A,A772,E:E)</x:f>
        <x:v>0.016761399057120336</x:v>
      </x:c>
    </x:row>
    <x:row r="773" ht="21.600000381469727" hidden="0" customHeight="1">
      <x:c r="A773" s="29" t="str">
        <x:v>SCA-16</x:v>
      </x:c>
      <x:c r="B773" s="29" t="str">
        <x:v>29097</x:v>
      </x:c>
      <x:c r="C773" s="29" t="str">
        <x:v>MO</x:v>
      </x:c>
      <x:c r="D773" s="29" t="str">
        <x:v>Jasper County</x:v>
      </x:c>
      <x:c r="E773" s="41" t="n">
        <x:v>127428</x:v>
      </x:c>
      <x:c r="F773" s="56" t="n">
        <x:v>37.205197</x:v>
      </x:c>
      <x:c r="G773" s="56" t="n">
        <x:v>-94.337259</x:v>
      </x:c>
      <x:c r="H773" s="44" t="n">
        <x:f>E773/SUMIF(A:A,A773,E:E)</x:f>
        <x:v>0.01251998311254436</x:v>
      </x:c>
    </x:row>
    <x:row r="774" ht="21.600000381469727" hidden="0" customHeight="1">
      <x:c r="A774" s="27" t="str">
        <x:v>SCA-16</x:v>
      </x:c>
      <x:c r="B774" s="27" t="str">
        <x:v>20045</x:v>
      </x:c>
      <x:c r="C774" s="27" t="str">
        <x:v>KS</x:v>
      </x:c>
      <x:c r="D774" s="27" t="str">
        <x:v>Douglas County</x:v>
      </x:c>
      <x:c r="E774" s="40" t="n">
        <x:v>120920</x:v>
      </x:c>
      <x:c r="F774" s="55" t="n">
        <x:v>38.896417</x:v>
      </x:c>
      <x:c r="G774" s="55" t="n">
        <x:v>-95.290947</x:v>
      </x:c>
      <x:c r="H774" s="43" t="n">
        <x:f>E774/SUMIF(A:A,A774,E:E)</x:f>
        <x:v>0.011880562811696518</x:v>
      </x:c>
    </x:row>
    <x:row r="775" ht="15" hidden="0" customHeight="1">
      <x:c r="A775" s="29" t="str">
        <x:v>SCA-16</x:v>
      </x:c>
      <x:c r="B775" s="29" t="str">
        <x:v>29037</x:v>
      </x:c>
      <x:c r="C775" s="29" t="str">
        <x:v>MO</x:v>
      </x:c>
      <x:c r="D775" s="29" t="str">
        <x:v>Cass County</x:v>
      </x:c>
      <x:c r="E775" s="41" t="n">
        <x:v>115859</x:v>
      </x:c>
      <x:c r="F775" s="56" t="n">
        <x:v>38.646474</x:v>
      </x:c>
      <x:c r="G775" s="56" t="n">
        <x:v>-94.354547</x:v>
      </x:c>
      <x:c r="H775" s="44" t="n">
        <x:f>E775/SUMIF(A:A,A775,E:E)</x:f>
        <x:v>0.011383312328815306</x:v>
      </x:c>
    </x:row>
    <x:row r="776" ht="21.600000381469727" hidden="0" customHeight="1">
      <x:c r="A776" s="27" t="str">
        <x:v>SCA-16</x:v>
      </x:c>
      <x:c r="B776" s="27" t="str">
        <x:v>29165</x:v>
      </x:c>
      <x:c r="C776" s="27" t="str">
        <x:v>MO</x:v>
      </x:c>
      <x:c r="D776" s="27" t="str">
        <x:v>Platte County</x:v>
      </x:c>
      <x:c r="E776" s="40" t="n">
        <x:v>114400</x:v>
      </x:c>
      <x:c r="F776" s="55" t="n">
        <x:v>39.37869</x:v>
      </x:c>
      <x:c r="G776" s="55" t="n">
        <x:v>-94.761476</x:v>
      </x:c>
      <x:c r="H776" s="43" t="n">
        <x:f>E776/SUMIF(A:A,A776,E:E)</x:f>
        <x:v>0.011239963493698988</x:v>
      </x:c>
    </x:row>
    <x:row r="777" ht="21.600000381469727" hidden="0" customHeight="1">
      <x:c r="A777" s="29" t="str">
        <x:v>SCA-16</x:v>
      </x:c>
      <x:c r="B777" s="29" t="str">
        <x:v>40131</x:v>
      </x:c>
      <x:c r="C777" s="29" t="str">
        <x:v>OK</x:v>
      </x:c>
      <x:c r="D777" s="29" t="str">
        <x:v>Rogers County</x:v>
      </x:c>
      <x:c r="E777" s="41" t="n">
        <x:v>102197</x:v>
      </x:c>
      <x:c r="F777" s="56" t="n">
        <x:v>36.377794</x:v>
      </x:c>
      <x:c r="G777" s="56" t="n">
        <x:v>-95.601383</x:v>
      </x:c>
      <x:c r="H777" s="44" t="n">
        <x:f>E777/SUMIF(A:A,A777,E:E)</x:f>
        <x:v>0.010041001303894716</x:v>
      </x:c>
    </x:row>
    <x:row r="778" ht="21.600000381469727" hidden="0" customHeight="1">
      <x:c r="A778" s="27" t="str">
        <x:v>SCA-16</x:v>
      </x:c>
      <x:c r="B778" s="27" t="str">
        <x:v>40145</x:v>
      </x:c>
      <x:c r="C778" s="27" t="str">
        <x:v>OK</x:v>
      </x:c>
      <x:c r="D778" s="27" t="str">
        <x:v>Wagoner County</x:v>
      </x:c>
      <x:c r="E778" s="40" t="n">
        <x:v>93263</x:v>
      </x:c>
      <x:c r="F778" s="55" t="n">
        <x:v>35.963388</x:v>
      </x:c>
      <x:c r="G778" s="55" t="n">
        <x:v>-95.514201</x:v>
      </x:c>
      <x:c r="H778" s="43" t="n">
        <x:f>E778/SUMIF(A:A,A778,E:E)</x:f>
        <x:v>0.009163223035951476</x:v>
      </x:c>
    </x:row>
    <x:row r="779" ht="21.600000381469727" hidden="0" customHeight="1">
      <x:c r="A779" s="29" t="str">
        <x:v>SCA-16</x:v>
      </x:c>
      <x:c r="B779" s="29" t="str">
        <x:v>20103</x:v>
      </x:c>
      <x:c r="C779" s="29" t="str">
        <x:v>KS</x:v>
      </x:c>
      <x:c r="D779" s="29" t="str">
        <x:v>Leavenworth County</x:v>
      </x:c>
      <x:c r="E779" s="41" t="n">
        <x:v>84590</x:v>
      </x:c>
      <x:c r="F779" s="56" t="n">
        <x:v>39.189511</x:v>
      </x:c>
      <x:c r="G779" s="56" t="n">
        <x:v>-95.038977</x:v>
      </x:c>
      <x:c r="H779" s="44" t="n">
        <x:f>E779/SUMIF(A:A,A779,E:E)</x:f>
        <x:v>0.008311088391013964</x:v>
      </x:c>
    </x:row>
    <x:row r="780" ht="21.600000381469727" hidden="0" customHeight="1">
      <x:c r="A780" s="27" t="str">
        <x:v>SCA-16</x:v>
      </x:c>
      <x:c r="B780" s="27" t="str">
        <x:v>40119</x:v>
      </x:c>
      <x:c r="C780" s="27" t="str">
        <x:v>OK</x:v>
      </x:c>
      <x:c r="D780" s="27" t="str">
        <x:v>Payne County</x:v>
      </x:c>
      <x:c r="E780" s="40" t="n">
        <x:v>83889</x:v>
      </x:c>
      <x:c r="F780" s="55" t="n">
        <x:v>36.079225</x:v>
      </x:c>
      <x:c r="G780" s="55" t="n">
        <x:v>-96.975255</x:v>
      </x:c>
      <x:c r="H780" s="43" t="n">
        <x:f>E780/SUMIF(A:A,A780,E:E)</x:f>
        <x:v>0.008242214139186315</x:v>
      </x:c>
    </x:row>
    <x:row r="781" ht="21.600000381469727" hidden="0" customHeight="1">
      <x:c r="A781" s="29" t="str">
        <x:v>SCA-16</x:v>
      </x:c>
      <x:c r="B781" s="29" t="str">
        <x:v>29021</x:v>
      </x:c>
      <x:c r="C781" s="29" t="str">
        <x:v>MO</x:v>
      </x:c>
      <x:c r="D781" s="29" t="str">
        <x:v>Buchanan County</x:v>
      </x:c>
      <x:c r="E781" s="41" t="n">
        <x:v>83540</x:v>
      </x:c>
      <x:c r="F781" s="56" t="n">
        <x:v>39.660369</x:v>
      </x:c>
      <x:c r="G781" s="56" t="n">
        <x:v>-94.808173</x:v>
      </x:c>
      <x:c r="H781" s="44" t="n">
        <x:f>E781/SUMIF(A:A,A781,E:E)</x:f>
        <x:v>0.008207924390416201</x:v>
      </x:c>
    </x:row>
    <x:row r="782" ht="21.600000381469727" hidden="0" customHeight="1">
      <x:c r="A782" s="27" t="str">
        <x:v>SCA-16</x:v>
      </x:c>
      <x:c r="B782" s="27" t="str">
        <x:v>40037</x:v>
      </x:c>
      <x:c r="C782" s="27" t="str">
        <x:v>OK</x:v>
      </x:c>
      <x:c r="D782" s="27" t="str">
        <x:v>Creek County</x:v>
      </x:c>
      <x:c r="E782" s="40" t="n">
        <x:v>74967</x:v>
      </x:c>
      <x:c r="F782" s="55" t="n">
        <x:v>35.907398</x:v>
      </x:c>
      <x:c r="G782" s="55" t="n">
        <x:v>-96.380177</x:v>
      </x:c>
      <x:c r="H782" s="43" t="n">
        <x:f>E782/SUMIF(A:A,A782,E:E)</x:f>
        <x:v>0.0073656148883927625</x:v>
      </x:c>
    </x:row>
    <x:row r="783" ht="15" hidden="0" customHeight="1">
      <x:c r="A783" s="29" t="str">
        <x:v>SCA-16</x:v>
      </x:c>
      <x:c r="B783" s="29" t="str">
        <x:v>20161</x:v>
      </x:c>
      <x:c r="C783" s="29" t="str">
        <x:v>KS</x:v>
      </x:c>
      <x:c r="D783" s="29" t="str">
        <x:v>Riley County</x:v>
      </x:c>
      <x:c r="E783" s="41" t="n">
        <x:v>72598</x:v>
      </x:c>
      <x:c r="F783" s="56" t="n">
        <x:v>39.29121</x:v>
      </x:c>
      <x:c r="G783" s="56" t="n">
        <x:v>-96.727488</x:v>
      </x:c>
      <x:c r="H783" s="44" t="n">
        <x:f>E783/SUMIF(A:A,A783,E:E)</x:f>
        <x:v>0.007132857252758384</x:v>
      </x:c>
    </x:row>
    <x:row r="784" ht="21.600000381469727" hidden="0" customHeight="1">
      <x:c r="A784" s="27" t="str">
        <x:v>SCA-16</x:v>
      </x:c>
      <x:c r="B784" s="27" t="str">
        <x:v>20015</x:v>
      </x:c>
      <x:c r="C784" s="27" t="str">
        <x:v>KS</x:v>
      </x:c>
      <x:c r="D784" s="27" t="str">
        <x:v>Butler County</x:v>
      </x:c>
      <x:c r="E784" s="40" t="n">
        <x:v>69484</x:v>
      </x:c>
      <x:c r="F784" s="55" t="n">
        <x:v>37.773649</x:v>
      </x:c>
      <x:c r="G784" s="55" t="n">
        <x:v>-96.83884</x:v>
      </x:c>
      <x:c r="H784" s="43" t="n">
        <x:f>E784/SUMIF(A:A,A784,E:E)</x:f>
        <x:v>0.006826902302414165</x:v>
      </x:c>
    </x:row>
    <x:row r="785" ht="21.600000381469727" hidden="0" customHeight="1">
      <x:c r="A785" s="29" t="str">
        <x:v>SCA-16</x:v>
      </x:c>
      <x:c r="B785" s="29" t="str">
        <x:v>40101</x:v>
      </x:c>
      <x:c r="C785" s="29" t="str">
        <x:v>OK</x:v>
      </x:c>
      <x:c r="D785" s="29" t="str">
        <x:v>Muskogee County</x:v>
      </x:c>
      <x:c r="E785" s="41" t="n">
        <x:v>66708</x:v>
      </x:c>
      <x:c r="F785" s="56" t="n">
        <x:v>35.617551</x:v>
      </x:c>
      <x:c r="G785" s="56" t="n">
        <x:v>-95.383911</x:v>
      </x:c>
      <x:c r="H785" s="44" t="n">
        <x:f>E785/SUMIF(A:A,A785,E:E)</x:f>
        <x:v>0.006554156335119511</x:v>
      </x:c>
    </x:row>
    <x:row r="786" ht="15" hidden="0" customHeight="1">
      <x:c r="A786" s="27" t="str">
        <x:v>SCA-16</x:v>
      </x:c>
      <x:c r="B786" s="27" t="str">
        <x:v>31079</x:v>
      </x:c>
      <x:c r="C786" s="27" t="str">
        <x:v>NE</x:v>
      </x:c>
      <x:c r="D786" s="27" t="str">
        <x:v>Hall County</x:v>
      </x:c>
      <x:c r="E786" s="40" t="n">
        <x:v>63633</x:v>
      </x:c>
      <x:c r="F786" s="55" t="n">
        <x:v>40.866027</x:v>
      </x:c>
      <x:c r="G786" s="55" t="n">
        <x:v>-98.502663</x:v>
      </x:c>
      <x:c r="H786" s="43" t="n">
        <x:f>E786/SUMIF(A:A,A786,E:E)</x:f>
        <x:v>0.0062520331905117806</x:v>
      </x:c>
    </x:row>
    <x:row r="787" ht="21.600000381469727" hidden="0" customHeight="1">
      <x:c r="A787" s="29" t="str">
        <x:v>SCA-16</x:v>
      </x:c>
      <x:c r="B787" s="29" t="str">
        <x:v>05033</x:v>
      </x:c>
      <x:c r="C787" s="29" t="str">
        <x:v>AR</x:v>
      </x:c>
      <x:c r="D787" s="29" t="str">
        <x:v>Crawford County</x:v>
      </x:c>
      <x:c r="E787" s="41" t="n">
        <x:v>62657</x:v>
      </x:c>
      <x:c r="F787" s="56" t="n">
        <x:v>35.582959</x:v>
      </x:c>
      <x:c r="G787" s="56" t="n">
        <x:v>-94.236193</x:v>
      </x:c>
      <x:c r="H787" s="44" t="n">
        <x:f>E787/SUMIF(A:A,A787,E:E)</x:f>
        <x:v>0.006156139795670433</x:v>
      </x:c>
    </x:row>
    <x:row r="788" ht="21.600000381469727" hidden="0" customHeight="1">
      <x:c r="A788" s="27" t="str">
        <x:v>SCA-16</x:v>
      </x:c>
      <x:c r="B788" s="27" t="str">
        <x:v>29145</x:v>
      </x:c>
      <x:c r="C788" s="27" t="str">
        <x:v>MO</x:v>
      </x:c>
      <x:c r="D788" s="27" t="str">
        <x:v>Newton County</x:v>
      </x:c>
      <x:c r="E788" s="40" t="n">
        <x:v>62263</x:v>
      </x:c>
      <x:c r="F788" s="55" t="n">
        <x:v>36.908371</x:v>
      </x:c>
      <x:c r="G788" s="55" t="n">
        <x:v>-94.335034</x:v>
      </x:c>
      <x:c r="H788" s="43" t="n">
        <x:f>E788/SUMIF(A:A,A788,E:E)</x:f>
        <x:v>0.006117428732588987</x:v>
      </x:c>
    </x:row>
    <x:row r="789" ht="21.600000381469727" hidden="0" customHeight="1">
      <x:c r="A789" s="29" t="str">
        <x:v>SCA-16</x:v>
      </x:c>
      <x:c r="B789" s="29" t="str">
        <x:v>40047</x:v>
      </x:c>
      <x:c r="C789" s="29" t="str">
        <x:v>OK</x:v>
      </x:c>
      <x:c r="D789" s="29" t="str">
        <x:v>Garfield County</x:v>
      </x:c>
      <x:c r="E789" s="41" t="n">
        <x:v>61779</x:v>
      </x:c>
      <x:c r="F789" s="56" t="n">
        <x:v>36.378132</x:v>
      </x:c>
      <x:c r="G789" s="56" t="n">
        <x:v>-97.788741</x:v>
      </x:c>
      <x:c r="H789" s="44" t="n">
        <x:f>E789/SUMIF(A:A,A789,E:E)</x:f>
        <x:v>0.006069875040884876</x:v>
      </x:c>
    </x:row>
    <x:row r="790" ht="15" hidden="0" customHeight="1">
      <x:c r="A790" s="27" t="str">
        <x:v>SCA-16</x:v>
      </x:c>
      <x:c r="B790" s="27" t="str">
        <x:v>20155</x:v>
      </x:c>
      <x:c r="C790" s="27" t="str">
        <x:v>KS</x:v>
      </x:c>
      <x:c r="D790" s="27" t="str">
        <x:v>Reno County</x:v>
      </x:c>
      <x:c r="E790" s="40" t="n">
        <x:v>61539</x:v>
      </x:c>
      <x:c r="F790" s="55" t="n">
        <x:v>37.948185</x:v>
      </x:c>
      <x:c r="G790" s="55" t="n">
        <x:v>-98.078346</x:v>
      </x:c>
      <x:c r="H790" s="43" t="n">
        <x:f>E790/SUMIF(A:A,A790,E:E)</x:f>
        <x:v>0.0060462946978911015</x:v>
      </x:c>
    </x:row>
    <x:row r="791" ht="21.600000381469727" hidden="0" customHeight="1">
      <x:c r="A791" s="29" t="str">
        <x:v>SCA-16</x:v>
      </x:c>
      <x:c r="B791" s="29" t="str">
        <x:v>40083</x:v>
      </x:c>
      <x:c r="C791" s="29" t="str">
        <x:v>OK</x:v>
      </x:c>
      <x:c r="D791" s="29" t="str">
        <x:v>Logan County</x:v>
      </x:c>
      <x:c r="E791" s="41" t="n">
        <x:v>55473</x:v>
      </x:c>
      <x:c r="F791" s="56" t="n">
        <x:v>35.914277</x:v>
      </x:c>
      <x:c r="G791" s="56" t="n">
        <x:v>-97.450952</x:v>
      </x:c>
      <x:c r="H791" s="44" t="n">
        <x:f>E791/SUMIF(A:A,A791,E:E)</x:f>
        <x:v>0.005450301528723461</x:v>
      </x:c>
    </x:row>
    <x:row r="792" ht="21.600000381469727" hidden="0" customHeight="1">
      <x:c r="A792" s="27" t="str">
        <x:v>SCA-16</x:v>
      </x:c>
      <x:c r="B792" s="27" t="str">
        <x:v>40147</x:v>
      </x:c>
      <x:c r="C792" s="27" t="str">
        <x:v>OK</x:v>
      </x:c>
      <x:c r="D792" s="27" t="str">
        <x:v>Washington County</x:v>
      </x:c>
      <x:c r="E792" s="40" t="n">
        <x:v>54037</x:v>
      </x:c>
      <x:c r="F792" s="55" t="n">
        <x:v>36.704403</x:v>
      </x:c>
      <x:c r="G792" s="55" t="n">
        <x:v>-95.906253</x:v>
      </x:c>
      <x:c r="H792" s="43" t="n">
        <x:f>E792/SUMIF(A:A,A792,E:E)</x:f>
        <x:v>0.00530921247647738</x:v>
      </x:c>
    </x:row>
    <x:row r="793" ht="21.600000381469727" hidden="0" customHeight="1">
      <x:c r="A793" s="29" t="str">
        <x:v>SCA-16</x:v>
      </x:c>
      <x:c r="B793" s="29" t="str">
        <x:v>20169</x:v>
      </x:c>
      <x:c r="C793" s="29" t="str">
        <x:v>KS</x:v>
      </x:c>
      <x:c r="D793" s="29" t="str">
        <x:v>Saline County</x:v>
      </x:c>
      <x:c r="E793" s="41" t="n">
        <x:v>53377</x:v>
      </x:c>
      <x:c r="F793" s="56" t="n">
        <x:v>38.791804</x:v>
      </x:c>
      <x:c r="G793" s="56" t="n">
        <x:v>-97.651478</x:v>
      </x:c>
      <x:c r="H793" s="44" t="n">
        <x:f>E793/SUMIF(A:A,A793,E:E)</x:f>
        <x:v>0.005244366533244501</x:v>
      </x:c>
    </x:row>
    <x:row r="794" ht="21.600000381469727" hidden="0" customHeight="1">
      <x:c r="A794" s="27" t="str">
        <x:v>SCA-16</x:v>
      </x:c>
      <x:c r="B794" s="27" t="str">
        <x:v>31019</x:v>
      </x:c>
      <x:c r="C794" s="27" t="str">
        <x:v>NE</x:v>
      </x:c>
      <x:c r="D794" s="27" t="str">
        <x:v>Buffalo County</x:v>
      </x:c>
      <x:c r="E794" s="40" t="n">
        <x:v>51172</x:v>
      </x:c>
      <x:c r="F794" s="55" t="n">
        <x:v>40.855265</x:v>
      </x:c>
      <x:c r="G794" s="55" t="n">
        <x:v>-99.074984</x:v>
      </x:c>
      <x:c r="H794" s="43" t="n">
        <x:f>E794/SUMIF(A:A,A794,E:E)</x:f>
        <x:v>0.005027722131989202</x:v>
      </x:c>
    </x:row>
    <x:row r="795" ht="21.600000381469727" hidden="0" customHeight="1">
      <x:c r="A795" s="29" t="str">
        <x:v>SCA-16</x:v>
      </x:c>
      <x:c r="B795" s="29" t="str">
        <x:v>40021</x:v>
      </x:c>
      <x:c r="C795" s="29" t="str">
        <x:v>OK</x:v>
      </x:c>
      <x:c r="D795" s="29" t="str">
        <x:v>Cherokee County</x:v>
      </x:c>
      <x:c r="E795" s="41" t="n">
        <x:v>49196</x:v>
      </x:c>
      <x:c r="F795" s="56" t="n">
        <x:v>35.904367</x:v>
      </x:c>
      <x:c r="G795" s="56" t="n">
        <x:v>-94.996796</x:v>
      </x:c>
      <x:c r="H795" s="44" t="n">
        <x:f>E795/SUMIF(A:A,A795,E:E)</x:f>
        <x:v>0.004833577308007128</x:v>
      </x:c>
    </x:row>
    <x:row r="796" ht="21.600000381469727" hidden="0" customHeight="1">
      <x:c r="A796" s="27" t="str">
        <x:v>SCA-16</x:v>
      </x:c>
      <x:c r="B796" s="27" t="str">
        <x:v>40113</x:v>
      </x:c>
      <x:c r="C796" s="27" t="str">
        <x:v>OK</x:v>
      </x:c>
      <x:c r="D796" s="27" t="str">
        <x:v>Osage County</x:v>
      </x:c>
      <x:c r="E796" s="40" t="n">
        <x:v>46794</x:v>
      </x:c>
      <x:c r="F796" s="55" t="n">
        <x:v>36.624299</x:v>
      </x:c>
      <x:c r="G796" s="55" t="n">
        <x:v>-96.408112</x:v>
      </x:c>
      <x:c r="H796" s="43" t="n">
        <x:f>E796/SUMIF(A:A,A796,E:E)</x:f>
        <x:v>0.0045975773752111055</x:v>
      </x:c>
    </x:row>
    <x:row r="797" ht="15" hidden="0" customHeight="1">
      <x:c r="A797" s="29" t="str">
        <x:v>SCA-16</x:v>
      </x:c>
      <x:c r="B797" s="29" t="str">
        <x:v>40071</x:v>
      </x:c>
      <x:c r="C797" s="29" t="str">
        <x:v>OK</x:v>
      </x:c>
      <x:c r="D797" s="29" t="str">
        <x:v>Kay County</x:v>
      </x:c>
      <x:c r="E797" s="41" t="n">
        <x:v>43490</x:v>
      </x:c>
      <x:c r="F797" s="56" t="n">
        <x:v>36.814885</x:v>
      </x:c>
      <x:c r="G797" s="56" t="n">
        <x:v>-97.143862</x:v>
      </x:c>
      <x:c r="H797" s="44" t="n">
        <x:f>E797/SUMIF(A:A,A797,E:E)</x:f>
        <x:v>0.0042729546533301485</x:v>
      </x:c>
    </x:row>
    <x:row r="798" ht="21.600000381469727" hidden="0" customHeight="1">
      <x:c r="A798" s="27" t="str">
        <x:v>SCA-16</x:v>
      </x:c>
      <x:c r="B798" s="27" t="str">
        <x:v>40041</x:v>
      </x:c>
      <x:c r="C798" s="27" t="str">
        <x:v>OK</x:v>
      </x:c>
      <x:c r="D798" s="27" t="str">
        <x:v>Delaware County</x:v>
      </x:c>
      <x:c r="E798" s="40" t="n">
        <x:v>41910</x:v>
      </x:c>
      <x:c r="F798" s="55" t="n">
        <x:v>36.393437</x:v>
      </x:c>
      <x:c r="G798" s="55" t="n">
        <x:v>-94.808189</x:v>
      </x:c>
      <x:c r="H798" s="43" t="n">
        <x:f>E798/SUMIF(A:A,A798,E:E)</x:f>
        <x:v>0.004117717395287802</x:v>
      </x:c>
    </x:row>
    <x:row r="799" ht="21.600000381469727" hidden="0" customHeight="1">
      <x:c r="A799" s="29" t="str">
        <x:v>SCA-16</x:v>
      </x:c>
      <x:c r="B799" s="29" t="str">
        <x:v>40135</x:v>
      </x:c>
      <x:c r="C799" s="29" t="str">
        <x:v>OK</x:v>
      </x:c>
      <x:c r="D799" s="29" t="str">
        <x:v>Sequoyah County</x:v>
      </x:c>
      <x:c r="E799" s="41" t="n">
        <x:v>40842</x:v>
      </x:c>
      <x:c r="F799" s="56" t="n">
        <x:v>35.502435</x:v>
      </x:c>
      <x:c r="G799" s="56" t="n">
        <x:v>-94.750757</x:v>
      </x:c>
      <x:c r="H799" s="44" t="n">
        <x:f>E799/SUMIF(A:A,A799,E:E)</x:f>
        <x:v>0.004012784868965507</x:v>
      </x:c>
    </x:row>
    <x:row r="800" ht="21.600000381469727" hidden="0" customHeight="1">
      <x:c r="A800" s="27" t="str">
        <x:v>SCA-16</x:v>
      </x:c>
      <x:c r="B800" s="27" t="str">
        <x:v>40097</x:v>
      </x:c>
      <x:c r="C800" s="27" t="str">
        <x:v>OK</x:v>
      </x:c>
      <x:c r="D800" s="27" t="str">
        <x:v>Mayes County</x:v>
      </x:c>
      <x:c r="E800" s="40" t="n">
        <x:v>40416</x:v>
      </x:c>
      <x:c r="F800" s="55" t="n">
        <x:v>36.303804</x:v>
      </x:c>
      <x:c r="G800" s="55" t="n">
        <x:v>-95.235638</x:v>
      </x:c>
      <x:c r="H800" s="43" t="n">
        <x:f>E800/SUMIF(A:A,A800,E:E)</x:f>
        <x:v>0.003970929760151559</x:v>
      </x:c>
    </x:row>
    <x:row r="801" ht="21.600000381469727" hidden="0" customHeight="1">
      <x:c r="A801" s="29" t="str">
        <x:v>SCA-16</x:v>
      </x:c>
      <x:c r="B801" s="29" t="str">
        <x:v>29109</x:v>
      </x:c>
      <x:c r="C801" s="29" t="str">
        <x:v>MO</x:v>
      </x:c>
      <x:c r="D801" s="29" t="str">
        <x:v>Lawrence County</x:v>
      </x:c>
      <x:c r="E801" s="41" t="n">
        <x:v>39401</x:v>
      </x:c>
      <x:c r="F801" s="56" t="n">
        <x:v>37.106611</x:v>
      </x:c>
      <x:c r="G801" s="56" t="n">
        <x:v>-93.830542</x:v>
      </x:c>
      <x:c r="H801" s="44" t="n">
        <x:f>E801/SUMIF(A:A,A801,E:E)</x:f>
        <x:v>0.0038712045595737225</x:v>
      </x:c>
    </x:row>
    <x:row r="802" ht="21.600000381469727" hidden="0" customHeight="1">
      <x:c r="A802" s="27" t="str">
        <x:v>SCA-16</x:v>
      </x:c>
      <x:c r="B802" s="27" t="str">
        <x:v>20037</x:v>
      </x:c>
      <x:c r="C802" s="27" t="str">
        <x:v>KS</x:v>
      </x:c>
      <x:c r="D802" s="27" t="str">
        <x:v>Crawford County</x:v>
      </x:c>
      <x:c r="E802" s="40" t="n">
        <x:v>39008</x:v>
      </x:c>
      <x:c r="F802" s="55" t="n">
        <x:v>37.505821</x:v>
      </x:c>
      <x:c r="G802" s="55" t="n">
        <x:v>-94.853897</x:v>
      </x:c>
      <x:c r="H802" s="43" t="n">
        <x:f>E802/SUMIF(A:A,A802,E:E)</x:f>
        <x:v>0.0038325917479214173</x:v>
      </x:c>
    </x:row>
    <x:row r="803" ht="21.600000381469727" hidden="0" customHeight="1">
      <x:c r="A803" s="29" t="str">
        <x:v>SCA-16</x:v>
      </x:c>
      <x:c r="B803" s="29" t="str">
        <x:v>31053</x:v>
      </x:c>
      <x:c r="C803" s="29" t="str">
        <x:v>NE</x:v>
      </x:c>
      <x:c r="D803" s="29" t="str">
        <x:v>Dodge County</x:v>
      </x:c>
      <x:c r="E803" s="41" t="n">
        <x:v>38057</x:v>
      </x:c>
      <x:c r="F803" s="56" t="n">
        <x:v>41.577008</x:v>
      </x:c>
      <x:c r="G803" s="56" t="n">
        <x:v>-96.645852</x:v>
      </x:c>
      <x:c r="H803" s="44" t="n">
        <x:f>E803/SUMIF(A:A,A803,E:E)</x:f>
        <x:v>0.0037391546388085874</x:v>
      </x:c>
    </x:row>
    <x:row r="804" ht="21.600000381469727" hidden="0" customHeight="1">
      <x:c r="A804" s="27" t="str">
        <x:v>SCA-16</x:v>
      </x:c>
      <x:c r="B804" s="27" t="str">
        <x:v>20055</x:v>
      </x:c>
      <x:c r="C804" s="27" t="str">
        <x:v>KS</x:v>
      </x:c>
      <x:c r="D804" s="27" t="str">
        <x:v>Finney County</x:v>
      </x:c>
      <x:c r="E804" s="40" t="n">
        <x:v>37505</x:v>
      </x:c>
      <x:c r="F804" s="55" t="n">
        <x:v>38.049808</x:v>
      </x:c>
      <x:c r="G804" s="55" t="n">
        <x:v>-100.739967</x:v>
      </x:c>
      <x:c r="H804" s="43" t="n">
        <x:f>E804/SUMIF(A:A,A804,E:E)</x:f>
        <x:v>0.003684919849922907</x:v>
      </x:c>
    </x:row>
    <x:row r="805" ht="21.600000381469727" hidden="0" customHeight="1">
      <x:c r="A805" s="29" t="str">
        <x:v>SCA-16</x:v>
      </x:c>
      <x:c r="B805" s="29" t="str">
        <x:v>40111</x:v>
      </x:c>
      <x:c r="C805" s="29" t="str">
        <x:v>OK</x:v>
      </x:c>
      <x:c r="D805" s="29" t="str">
        <x:v>Okmulgee County</x:v>
      </x:c>
      <x:c r="E805" s="41" t="n">
        <x:v>37241</x:v>
      </x:c>
      <x:c r="F805" s="56" t="n">
        <x:v>35.6435</x:v>
      </x:c>
      <x:c r="G805" s="56" t="n">
        <x:v>-95.965947</x:v>
      </x:c>
      <x:c r="H805" s="44" t="n">
        <x:f>E805/SUMIF(A:A,A805,E:E)</x:f>
        <x:v>0.0036589814726297556</x:v>
      </x:c>
    </x:row>
    <x:row r="806" ht="21.600000381469727" hidden="0" customHeight="1">
      <x:c r="A806" s="27" t="str">
        <x:v>SCA-16</x:v>
      </x:c>
      <x:c r="B806" s="27" t="str">
        <x:v>20061</x:v>
      </x:c>
      <x:c r="C806" s="27" t="str">
        <x:v>KS</x:v>
      </x:c>
      <x:c r="D806" s="27" t="str">
        <x:v>Geary County</x:v>
      </x:c>
      <x:c r="E806" s="40" t="n">
        <x:v>36338</x:v>
      </x:c>
      <x:c r="F806" s="55" t="n">
        <x:v>39.002139</x:v>
      </x:c>
      <x:c r="G806" s="55" t="n">
        <x:v>-96.7681</x:v>
      </x:c>
      <x:c r="H806" s="43" t="n">
        <x:f>E806/SUMIF(A:A,A806,E:E)</x:f>
        <x:v>0.0035702604321156805</x:v>
      </x:c>
    </x:row>
    <x:row r="807" ht="21.600000381469727" hidden="0" customHeight="1">
      <x:c r="A807" s="29" t="str">
        <x:v>SCA-16</x:v>
      </x:c>
      <x:c r="B807" s="29" t="str">
        <x:v>20121</x:v>
      </x:c>
      <x:c r="C807" s="29" t="str">
        <x:v>KS</x:v>
      </x:c>
      <x:c r="D807" s="29" t="str">
        <x:v>Miami County</x:v>
      </x:c>
      <x:c r="E807" s="41" t="n">
        <x:v>36240</x:v>
      </x:c>
      <x:c r="F807" s="56" t="n">
        <x:v>38.566772</x:v>
      </x:c>
      <x:c r="G807" s="56" t="n">
        <x:v>-94.832963</x:v>
      </x:c>
      <x:c r="H807" s="44" t="n">
        <x:f>E807/SUMIF(A:A,A807,E:E)</x:f>
        <x:v>0.0035606317920598893</x:v>
      </x:c>
    </x:row>
    <x:row r="808" ht="15" hidden="0" customHeight="1">
      <x:c r="A808" s="27" t="str">
        <x:v>SCA-16</x:v>
      </x:c>
      <x:c r="B808" s="27" t="str">
        <x:v>29009</x:v>
      </x:c>
      <x:c r="C808" s="27" t="str">
        <x:v>MO</x:v>
      </x:c>
      <x:c r="D808" s="27" t="str">
        <x:v>Barry County</x:v>
      </x:c>
      <x:c r="E808" s="40" t="n">
        <x:v>36200</x:v>
      </x:c>
      <x:c r="F808" s="55" t="n">
        <x:v>36.699376</x:v>
      </x:c>
      <x:c r="G808" s="55" t="n">
        <x:v>-93.834334</x:v>
      </x:c>
      <x:c r="H808" s="43" t="n">
        <x:f>E808/SUMIF(A:A,A808,E:E)</x:f>
        <x:v>0.0035567017348942602</x:v>
      </x:c>
    </x:row>
    <x:row r="809" ht="21.600000381469727" hidden="0" customHeight="1">
      <x:c r="A809" s="29" t="str">
        <x:v>SCA-16</x:v>
      </x:c>
      <x:c r="B809" s="29" t="str">
        <x:v>31119</x:v>
      </x:c>
      <x:c r="C809" s="29" t="str">
        <x:v>NE</x:v>
      </x:c>
      <x:c r="D809" s="29" t="str">
        <x:v>Madison County</x:v>
      </x:c>
      <x:c r="E809" s="41" t="n">
        <x:v>36106</x:v>
      </x:c>
      <x:c r="F809" s="56" t="n">
        <x:v>41.90993</x:v>
      </x:c>
      <x:c r="G809" s="56" t="n">
        <x:v>-97.606856</x:v>
      </x:c>
      <x:c r="H809" s="44" t="n">
        <x:f>E809/SUMIF(A:A,A809,E:E)</x:f>
        <x:v>0.003547466100555032</x:v>
      </x:c>
    </x:row>
    <x:row r="810" ht="21.600000381469727" hidden="0" customHeight="1">
      <x:c r="A810" s="27" t="str">
        <x:v>SCA-16</x:v>
      </x:c>
      <x:c r="B810" s="27" t="str">
        <x:v>31141</x:v>
      </x:c>
      <x:c r="C810" s="27" t="str">
        <x:v>NE</x:v>
      </x:c>
      <x:c r="D810" s="27" t="str">
        <x:v>Platte County</x:v>
      </x:c>
      <x:c r="E810" s="40" t="n">
        <x:v>35649</x:v>
      </x:c>
      <x:c r="F810" s="55" t="n">
        <x:v>41.576866</x:v>
      </x:c>
      <x:c r="G810" s="55" t="n">
        <x:v>-97.513467</x:v>
      </x:c>
      <x:c r="H810" s="43" t="n">
        <x:f>E810/SUMIF(A:A,A810,E:E)</x:f>
        <x:v>0.0035025651974377207</x:v>
      </x:c>
    </x:row>
    <x:row r="811" ht="21.600000381469727" hidden="0" customHeight="1">
      <x:c r="A811" s="29" t="str">
        <x:v>SCA-16</x:v>
      </x:c>
      <x:c r="B811" s="29" t="str">
        <x:v>40081</x:v>
      </x:c>
      <x:c r="C811" s="29" t="str">
        <x:v>OK</x:v>
      </x:c>
      <x:c r="D811" s="29" t="str">
        <x:v>Lincoln County</x:v>
      </x:c>
      <x:c r="E811" s="41" t="n">
        <x:v>35278</x:v>
      </x:c>
      <x:c r="F811" s="56" t="n">
        <x:v>35.703117</x:v>
      </x:c>
      <x:c r="G811" s="56" t="n">
        <x:v>-96.881392</x:v>
      </x:c>
      <x:c r="H811" s="44" t="n">
        <x:f>E811/SUMIF(A:A,A811,E:E)</x:f>
        <x:v>0.0034661139172265116</x:v>
      </x:c>
    </x:row>
    <x:row r="812" ht="21.600000381469727" hidden="0" customHeight="1">
      <x:c r="A812" s="27" t="str">
        <x:v>SCA-16</x:v>
      </x:c>
      <x:c r="B812" s="27" t="str">
        <x:v>20035</x:v>
      </x:c>
      <x:c r="C812" s="27" t="str">
        <x:v>KS</x:v>
      </x:c>
      <x:c r="D812" s="27" t="str">
        <x:v>Cowley County</x:v>
      </x:c>
      <x:c r="E812" s="40" t="n">
        <x:v>34382</x:v>
      </x:c>
      <x:c r="F812" s="55" t="n">
        <x:v>37.234507</x:v>
      </x:c>
      <x:c r="G812" s="55" t="n">
        <x:v>-96.837247</x:v>
      </x:c>
      <x:c r="H812" s="43" t="n">
        <x:f>E812/SUMIF(A:A,A812,E:E)</x:f>
        <x:v>0.0033780806367164217</x:v>
      </x:c>
    </x:row>
    <x:row r="813" ht="15" hidden="0" customHeight="1">
      <x:c r="A813" s="29" t="str">
        <x:v>SCA-16</x:v>
      </x:c>
      <x:c r="B813" s="29" t="str">
        <x:v>20057</x:v>
      </x:c>
      <x:c r="C813" s="29" t="str">
        <x:v>KS</x:v>
      </x:c>
      <x:c r="D813" s="29" t="str">
        <x:v>Ford County</x:v>
      </x:c>
      <x:c r="E813" s="41" t="n">
        <x:v>33993</x:v>
      </x:c>
      <x:c r="F813" s="56" t="n">
        <x:v>37.68851</x:v>
      </x:c>
      <x:c r="G813" s="56" t="n">
        <x:v>-99.884743</x:v>
      </x:c>
      <x:c r="H813" s="44" t="n">
        <x:f>E813/SUMIF(A:A,A813,E:E)</x:f>
        <x:v>0.0033398608307806795</x:v>
      </x:c>
    </x:row>
    <x:row r="814" ht="21.600000381469727" hidden="0" customHeight="1">
      <x:c r="A814" s="27" t="str">
        <x:v>SCA-16</x:v>
      </x:c>
      <x:c r="B814" s="27" t="str">
        <x:v>20079</x:v>
      </x:c>
      <x:c r="C814" s="27" t="str">
        <x:v>KS</x:v>
      </x:c>
      <x:c r="D814" s="27" t="str">
        <x:v>Harvey County</x:v>
      </x:c>
      <x:c r="E814" s="40" t="n">
        <x:v>33580</x:v>
      </x:c>
      <x:c r="F814" s="55" t="n">
        <x:v>38.050144</x:v>
      </x:c>
      <x:c r="G814" s="55" t="n">
        <x:v>-97.436706</x:v>
      </x:c>
      <x:c r="H814" s="43" t="n">
        <x:f>E814/SUMIF(A:A,A814,E:E)</x:f>
        <x:v>0.00329928299054556</x:v>
      </x:c>
    </x:row>
    <x:row r="815" ht="15" hidden="0" customHeight="1">
      <x:c r="A815" s="29" t="str">
        <x:v>SCA-16</x:v>
      </x:c>
      <x:c r="B815" s="29" t="str">
        <x:v>20111</x:v>
      </x:c>
      <x:c r="C815" s="29" t="str">
        <x:v>KS</x:v>
      </x:c>
      <x:c r="D815" s="29" t="str">
        <x:v>Lyon County</x:v>
      </x:c>
      <x:c r="E815" s="41" t="n">
        <x:v>32266</x:v>
      </x:c>
      <x:c r="F815" s="56" t="n">
        <x:v>38.455403</x:v>
      </x:c>
      <x:c r="G815" s="56" t="n">
        <x:v>-96.161641</x:v>
      </x:c>
      <x:c r="H815" s="44" t="n">
        <x:f>E815/SUMIF(A:A,A815,E:E)</x:f>
        <x:v>0.0031701806126546465</x:v>
      </x:c>
    </x:row>
    <x:row r="816" ht="21.600000381469727" hidden="0" customHeight="1">
      <x:c r="A816" s="27" t="str">
        <x:v>SCA-16</x:v>
      </x:c>
      <x:c r="B816" s="27" t="str">
        <x:v>31001</x:v>
      </x:c>
      <x:c r="C816" s="27" t="str">
        <x:v>NE</x:v>
      </x:c>
      <x:c r="D816" s="27" t="str">
        <x:v>Adams County</x:v>
      </x:c>
      <x:c r="E816" s="40" t="n">
        <x:v>31071</x:v>
      </x:c>
      <x:c r="F816" s="55" t="n">
        <x:v>40.520632</x:v>
      </x:c>
      <x:c r="G816" s="55" t="n">
        <x:v>-98.500044</x:v>
      </x:c>
      <x:c r="H816" s="43" t="n">
        <x:f>E816/SUMIF(A:A,A816,E:E)</x:f>
        <x:v>0.0030527701548314795</x:v>
      </x:c>
    </x:row>
    <x:row r="817" ht="21.600000381469727" hidden="0" customHeight="1">
      <x:c r="A817" s="29" t="str">
        <x:v>SCA-16</x:v>
      </x:c>
      <x:c r="B817" s="29" t="str">
        <x:v>40115</x:v>
      </x:c>
      <x:c r="C817" s="29" t="str">
        <x:v>OK</x:v>
      </x:c>
      <x:c r="D817" s="29" t="str">
        <x:v>Ottawa County</x:v>
      </x:c>
      <x:c r="E817" s="41" t="n">
        <x:v>30438</x:v>
      </x:c>
      <x:c r="F817" s="56" t="n">
        <x:v>36.835764</x:v>
      </x:c>
      <x:c r="G817" s="56" t="n">
        <x:v>-94.802681</x:v>
      </x:c>
      <x:c r="H817" s="44" t="n">
        <x:f>E817/SUMIF(A:A,A817,E:E)</x:f>
        <x:v>0.0029905770001854006</x:v>
      </x:c>
    </x:row>
    <x:row r="818" ht="21.600000381469727" hidden="0" customHeight="1">
      <x:c r="A818" s="27" t="str">
        <x:v>SCA-16</x:v>
      </x:c>
      <x:c r="B818" s="27" t="str">
        <x:v>20125</x:v>
      </x:c>
      <x:c r="C818" s="27" t="str">
        <x:v>KS</x:v>
      </x:c>
      <x:c r="D818" s="27" t="str">
        <x:v>Montgomery County</x:v>
      </x:c>
      <x:c r="E818" s="40" t="n">
        <x:v>30177</x:v>
      </x:c>
      <x:c r="F818" s="55" t="n">
        <x:v>37.189537</x:v>
      </x:c>
      <x:c r="G818" s="55" t="n">
        <x:v>-95.742403</x:v>
      </x:c>
      <x:c r="H818" s="43" t="n">
        <x:f>E818/SUMIF(A:A,A818,E:E)</x:f>
        <x:v>0.002964933377179671</x:v>
      </x:c>
    </x:row>
    <x:row r="819" ht="21.600000381469727" hidden="0" customHeight="1">
      <x:c r="A819" s="29" t="str">
        <x:v>SCA-16</x:v>
      </x:c>
      <x:c r="B819" s="29" t="str">
        <x:v>20113</x:v>
      </x:c>
      <x:c r="C819" s="29" t="str">
        <x:v>KS</x:v>
      </x:c>
      <x:c r="D819" s="29" t="str">
        <x:v>McPherson County</x:v>
      </x:c>
      <x:c r="E819" s="41" t="n">
        <x:v>30064</x:v>
      </x:c>
      <x:c r="F819" s="56" t="n">
        <x:v>38.395812</x:v>
      </x:c>
      <x:c r="G819" s="56" t="n">
        <x:v>-97.647489</x:v>
      </x:c>
      <x:c r="H819" s="44" t="n">
        <x:f>E819/SUMIF(A:A,A819,E:E)</x:f>
        <x:v>0.002953830965686769</x:v>
      </x:c>
    </x:row>
    <x:row r="820" ht="15" hidden="0" customHeight="1">
      <x:c r="A820" s="27" t="str">
        <x:v>SCA-16</x:v>
      </x:c>
      <x:c r="B820" s="27" t="str">
        <x:v>20051</x:v>
      </x:c>
      <x:c r="C820" s="27" t="str">
        <x:v>KS</x:v>
      </x:c>
      <x:c r="D820" s="27" t="str">
        <x:v>Ellis County</x:v>
      </x:c>
      <x:c r="E820" s="40" t="n">
        <x:v>29075</x:v>
      </x:c>
      <x:c r="F820" s="55" t="n">
        <x:v>38.914597</x:v>
      </x:c>
      <x:c r="G820" s="55" t="n">
        <x:v>-99.317313</x:v>
      </x:c>
      <x:c r="H820" s="43" t="n">
        <x:f>E820/SUMIF(A:A,A820,E:E)</x:f>
        <x:v>0.0028566603022665915</x:v>
      </x:c>
    </x:row>
    <x:row r="821" ht="21.600000381469727" hidden="0" customHeight="1">
      <x:c r="A821" s="29" t="str">
        <x:v>SCA-16</x:v>
      </x:c>
      <x:c r="B821" s="29" t="str">
        <x:v>40039</x:v>
      </x:c>
      <x:c r="C821" s="29" t="str">
        <x:v>OK</x:v>
      </x:c>
      <x:c r="D821" s="29" t="str">
        <x:v>Custer County</x:v>
      </x:c>
      <x:c r="E821" s="41" t="n">
        <x:v>28175</x:v>
      </x:c>
      <x:c r="F821" s="56" t="n">
        <x:v>35.645601</x:v>
      </x:c>
      <x:c r="G821" s="56" t="n">
        <x:v>-98.997386</x:v>
      </x:c>
      <x:c r="H821" s="44" t="n">
        <x:f>E821/SUMIF(A:A,A821,E:E)</x:f>
        <x:v>0.002768234016039939</x:v>
      </x:c>
    </x:row>
    <x:row r="822" ht="15" hidden="0" customHeight="1">
      <x:c r="A822" s="27" t="str">
        <x:v>SCA-16</x:v>
      </x:c>
      <x:c r="B822" s="27" t="str">
        <x:v>31025</x:v>
      </x:c>
      <x:c r="C822" s="27" t="str">
        <x:v>NE</x:v>
      </x:c>
      <x:c r="D822" s="27" t="str">
        <x:v>Cass County</x:v>
      </x:c>
      <x:c r="E822" s="40" t="n">
        <x:v>27657</x:v>
      </x:c>
      <x:c r="F822" s="55" t="n">
        <x:v>40.909878</x:v>
      </x:c>
      <x:c r="G822" s="55" t="n">
        <x:v>-96.140609</x:v>
      </x:c>
      <x:c r="H822" s="43" t="n">
        <x:f>E822/SUMIF(A:A,A822,E:E)</x:f>
        <x:v>0.002717339775745043</x:v>
      </x:c>
    </x:row>
    <x:row r="823" ht="21.600000381469727" hidden="0" customHeight="1">
      <x:c r="A823" s="29" t="str">
        <x:v>SCA-16</x:v>
      </x:c>
      <x:c r="B823" s="29" t="str">
        <x:v>20149</x:v>
      </x:c>
      <x:c r="C823" s="29" t="str">
        <x:v>KS</x:v>
      </x:c>
      <x:c r="D823" s="29" t="str">
        <x:v>Pottawatomie County</x:v>
      </x:c>
      <x:c r="E823" s="41" t="n">
        <x:v>27186</x:v>
      </x:c>
      <x:c r="F823" s="56" t="n">
        <x:v>39.382187</x:v>
      </x:c>
      <x:c r="G823" s="56" t="n">
        <x:v>-96.337113</x:v>
      </x:c>
      <x:c r="H823" s="44" t="n">
        <x:f>E823/SUMIF(A:A,A823,E:E)</x:f>
        <x:v>0.0026710633526197615</x:v>
      </x:c>
    </x:row>
    <x:row r="824" ht="21.600000381469727" hidden="0" customHeight="1">
      <x:c r="A824" s="27" t="str">
        <x:v>SCA-16</x:v>
      </x:c>
      <x:c r="B824" s="27" t="str">
        <x:v>20059</x:v>
      </x:c>
      <x:c r="C824" s="27" t="str">
        <x:v>KS</x:v>
      </x:c>
      <x:c r="D824" s="27" t="str">
        <x:v>Franklin County</x:v>
      </x:c>
      <x:c r="E824" s="40" t="n">
        <x:v>26299</x:v>
      </x:c>
      <x:c r="F824" s="55" t="n">
        <x:v>38.558019</x:v>
      </x:c>
      <x:c r="G824" s="55" t="n">
        <x:v>-95.278962</x:v>
      </x:c>
      <x:c r="H824" s="43" t="n">
        <x:f>E824/SUMIF(A:A,A824,E:E)</x:f>
        <x:v>0.002583914334971938</x:v>
      </x:c>
    </x:row>
    <x:row r="825" ht="21.600000381469727" hidden="0" customHeight="1">
      <x:c r="A825" s="29" t="str">
        <x:v>SCA-16</x:v>
      </x:c>
      <x:c r="B825" s="29" t="str">
        <x:v>40015</x:v>
      </x:c>
      <x:c r="C825" s="29" t="str">
        <x:v>OK</x:v>
      </x:c>
      <x:c r="D825" s="29" t="str">
        <x:v>Caddo County</x:v>
      </x:c>
      <x:c r="E825" s="41" t="n">
        <x:v>26130</x:v>
      </x:c>
      <x:c r="F825" s="56" t="n">
        <x:v>35.16792</x:v>
      </x:c>
      <x:c r="G825" s="56" t="n">
        <x:v>-98.381045</x:v>
      </x:c>
      <x:c r="H825" s="44" t="n">
        <x:f>E825/SUMIF(A:A,A825,E:E)</x:f>
        <x:v>0.0025673098434471553</x:v>
      </x:c>
    </x:row>
    <x:row r="826" ht="21.600000381469727" hidden="0" customHeight="1">
      <x:c r="A826" s="27" t="str">
        <x:v>SCA-16</x:v>
      </x:c>
      <x:c r="B826" s="27" t="str">
        <x:v>20009</x:v>
      </x:c>
      <x:c r="C826" s="27" t="str">
        <x:v>KS</x:v>
      </x:c>
      <x:c r="D826" s="27" t="str">
        <x:v>Barton County</x:v>
      </x:c>
      <x:c r="E826" s="40" t="n">
        <x:v>24790</x:v>
      </x:c>
      <x:c r="F826" s="55" t="n">
        <x:v>38.481239</x:v>
      </x:c>
      <x:c r="G826" s="55" t="n">
        <x:v>-98.767837</x:v>
      </x:c>
      <x:c r="H826" s="43" t="n">
        <x:f>E826/SUMIF(A:A,A826,E:E)</x:f>
        <x:v>0.0024356529283985832</x:v>
      </x:c>
    </x:row>
    <x:row r="827" ht="21.600000381469727" hidden="0" customHeight="1">
      <x:c r="A827" s="29" t="str">
        <x:v>SCA-16</x:v>
      </x:c>
      <x:c r="B827" s="29" t="str">
        <x:v>31047</x:v>
      </x:c>
      <x:c r="C827" s="29" t="str">
        <x:v>NE</x:v>
      </x:c>
      <x:c r="D827" s="29" t="str">
        <x:v>Dawson County</x:v>
      </x:c>
      <x:c r="E827" s="41" t="n">
        <x:v>24452</x:v>
      </x:c>
      <x:c r="F827" s="56" t="n">
        <x:v>40.86784</x:v>
      </x:c>
      <x:c r="G827" s="56" t="n">
        <x:v>-99.815583</x:v>
      </x:c>
      <x:c r="H827" s="44" t="n">
        <x:f>E827/SUMIF(A:A,A827,E:E)</x:f>
        <x:v>0.002402443945349018</x:v>
      </x:c>
    </x:row>
    <x:row r="828" ht="21.600000381469727" hidden="0" customHeight="1">
      <x:c r="A828" s="27" t="str">
        <x:v>SCA-16</x:v>
      </x:c>
      <x:c r="B828" s="27" t="str">
        <x:v>29119</x:v>
      </x:c>
      <x:c r="C828" s="27" t="str">
        <x:v>MO</x:v>
      </x:c>
      <x:c r="D828" s="27" t="str">
        <x:v>McDonald County</x:v>
      </x:c>
      <x:c r="E828" s="40" t="n">
        <x:v>23992</x:v>
      </x:c>
      <x:c r="F828" s="55" t="n">
        <x:v>36.627955</x:v>
      </x:c>
      <x:c r="G828" s="55" t="n">
        <x:v>-94.343716</x:v>
      </x:c>
      <x:c r="H828" s="43" t="n">
        <x:f>E828/SUMIF(A:A,A828,E:E)</x:f>
        <x:v>0.0023572482879442845</x:v>
      </x:c>
    </x:row>
    <x:row r="829" ht="21.600000381469727" hidden="0" customHeight="1">
      <x:c r="A829" s="29" t="str">
        <x:v>SCA-16</x:v>
      </x:c>
      <x:c r="B829" s="29" t="str">
        <x:v>31155</x:v>
      </x:c>
      <x:c r="C829" s="29" t="str">
        <x:v>NE</x:v>
      </x:c>
      <x:c r="D829" s="29" t="str">
        <x:v>Saunders County</x:v>
      </x:c>
      <x:c r="E829" s="41" t="n">
        <x:v>23702</x:v>
      </x:c>
      <x:c r="F829" s="56" t="n">
        <x:v>41.222966</x:v>
      </x:c>
      <x:c r="G829" s="56" t="n">
        <x:v>-96.642696</x:v>
      </x:c>
      <x:c r="H829" s="44" t="n">
        <x:f>E829/SUMIF(A:A,A829,E:E)</x:f>
        <x:v>0.002328755373493474</x:v>
      </x:c>
    </x:row>
    <x:row r="830" ht="21.600000381469727" hidden="0" customHeight="1">
      <x:c r="A830" s="27" t="str">
        <x:v>SCA-16</x:v>
      </x:c>
      <x:c r="B830" s="27" t="str">
        <x:v>20191</x:v>
      </x:c>
      <x:c r="C830" s="27" t="str">
        <x:v>KS</x:v>
      </x:c>
      <x:c r="D830" s="27" t="str">
        <x:v>Sumner County</x:v>
      </x:c>
      <x:c r="E830" s="40" t="n">
        <x:v>22312</x:v>
      </x:c>
      <x:c r="F830" s="55" t="n">
        <x:v>37.236662</x:v>
      </x:c>
      <x:c r="G830" s="55" t="n">
        <x:v>-97.493352</x:v>
      </x:c>
      <x:c r="H830" s="43" t="n">
        <x:f>E830/SUMIF(A:A,A830,E:E)</x:f>
        <x:v>0.0021921858869878657</x:v>
      </x:c>
    </x:row>
    <x:row r="831" ht="21.600000381469727" hidden="0" customHeight="1">
      <x:c r="A831" s="29" t="str">
        <x:v>SCA-16</x:v>
      </x:c>
      <x:c r="B831" s="29" t="str">
        <x:v>40009</x:v>
      </x:c>
      <x:c r="C831" s="29" t="str">
        <x:v>OK</x:v>
      </x:c>
      <x:c r="D831" s="29" t="str">
        <x:v>Beckham County</x:v>
      </x:c>
      <x:c r="E831" s="41" t="n">
        <x:v>22159</x:v>
      </x:c>
      <x:c r="F831" s="56" t="n">
        <x:v>35.270601</x:v>
      </x:c>
      <x:c r="G831" s="56" t="n">
        <x:v>-99.690057</x:v>
      </x:c>
      <x:c r="H831" s="44" t="n">
        <x:f>E831/SUMIF(A:A,A831,E:E)</x:f>
        <x:v>0.0021771534183293345</x:v>
      </x:c>
    </x:row>
    <x:row r="832" ht="15" hidden="0" customHeight="1">
      <x:c r="A832" s="27" t="str">
        <x:v>SCA-16</x:v>
      </x:c>
      <x:c r="B832" s="27" t="str">
        <x:v>31067</x:v>
      </x:c>
      <x:c r="C832" s="27" t="str">
        <x:v>NE</x:v>
      </x:c>
      <x:c r="D832" s="27" t="str">
        <x:v>Gage County</x:v>
      </x:c>
      <x:c r="E832" s="40" t="n">
        <x:v>21711</x:v>
      </x:c>
      <x:c r="F832" s="55" t="n">
        <x:v>40.255234</x:v>
      </x:c>
      <x:c r="G832" s="55" t="n">
        <x:v>-96.683453</x:v>
      </x:c>
      <x:c r="H832" s="43" t="n">
        <x:f>E832/SUMIF(A:A,A832,E:E)</x:f>
        <x:v>0.0021331367780742898</x:v>
      </x:c>
    </x:row>
    <x:row r="833" ht="21.600000381469727" hidden="0" customHeight="1">
      <x:c r="A833" s="29" t="str">
        <x:v>SCA-16</x:v>
      </x:c>
      <x:c r="B833" s="29" t="str">
        <x:v>29049</x:v>
      </x:c>
      <x:c r="C833" s="29" t="str">
        <x:v>MO</x:v>
      </x:c>
      <x:c r="D833" s="29" t="str">
        <x:v>Clinton County</x:v>
      </x:c>
      <x:c r="E833" s="41" t="n">
        <x:v>21661</x:v>
      </x:c>
      <x:c r="F833" s="56" t="n">
        <x:v>39.608723</x:v>
      </x:c>
      <x:c r="G833" s="56" t="n">
        <x:v>-94.395803</x:v>
      </x:c>
      <x:c r="H833" s="44" t="n">
        <x:f>E833/SUMIF(A:A,A833,E:E)</x:f>
        <x:v>0.0021282242066172534</x:v>
      </x:c>
    </x:row>
    <x:row r="834" ht="21.600000381469727" hidden="0" customHeight="1">
      <x:c r="A834" s="27" t="str">
        <x:v>SCA-16</x:v>
      </x:c>
      <x:c r="B834" s="27" t="str">
        <x:v>31177</x:v>
      </x:c>
      <x:c r="C834" s="27" t="str">
        <x:v>NE</x:v>
      </x:c>
      <x:c r="D834" s="27" t="str">
        <x:v>Washington County</x:v>
      </x:c>
      <x:c r="E834" s="40" t="n">
        <x:v>21302</x:v>
      </x:c>
      <x:c r="F834" s="55" t="n">
        <x:v>41.533973</x:v>
      </x:c>
      <x:c r="G834" s="55" t="n">
        <x:v>-96.224577</x:v>
      </x:c>
      <x:c r="H834" s="43" t="n">
        <x:f>E834/SUMIF(A:A,A834,E:E)</x:f>
        <x:v>0.002092951943555733</x:v>
      </x:c>
    </x:row>
    <x:row r="835" ht="21.600000381469727" hidden="0" customHeight="1">
      <x:c r="A835" s="29" t="str">
        <x:v>SCA-16</x:v>
      </x:c>
      <x:c r="B835" s="29" t="str">
        <x:v>20175</x:v>
      </x:c>
      <x:c r="C835" s="29" t="str">
        <x:v>KS</x:v>
      </x:c>
      <x:c r="D835" s="29" t="str">
        <x:v>Seward County</x:v>
      </x:c>
      <x:c r="E835" s="41" t="n">
        <x:v>21073</x:v>
      </x:c>
      <x:c r="F835" s="56" t="n">
        <x:v>37.18096</x:v>
      </x:c>
      <x:c r="G835" s="56" t="n">
        <x:v>-100.855257</x:v>
      </x:c>
      <x:c r="H835" s="44" t="n">
        <x:f>E835/SUMIF(A:A,A835,E:E)</x:f>
        <x:v>0.002070452366282507</x:v>
      </x:c>
    </x:row>
    <x:row r="836" ht="15" hidden="0" customHeight="1">
      <x:c r="A836" s="27" t="str">
        <x:v>SCA-16</x:v>
      </x:c>
      <x:c r="B836" s="27" t="str">
        <x:v>48179</x:v>
      </x:c>
      <x:c r="C836" s="27" t="str">
        <x:v>TX</x:v>
      </x:c>
      <x:c r="D836" s="27" t="str">
        <x:v>Gray County</x:v>
      </x:c>
      <x:c r="E836" s="40" t="n">
        <x:v>20919</x:v>
      </x:c>
      <x:c r="F836" s="55" t="n">
        <x:v>35.402542</x:v>
      </x:c>
      <x:c r="G836" s="55" t="n">
        <x:v>-100.812374</x:v>
      </x:c>
      <x:c r="H836" s="43" t="n">
        <x:f>E836/SUMIF(A:A,A836,E:E)</x:f>
        <x:v>0.002055321646194835</x:v>
      </x:c>
    </x:row>
    <x:row r="837" ht="21.600000381469727" hidden="0" customHeight="1">
      <x:c r="A837" s="29" t="str">
        <x:v>SCA-16</x:v>
      </x:c>
      <x:c r="B837" s="29" t="str">
        <x:v>40139</x:v>
      </x:c>
      <x:c r="C837" s="29" t="str">
        <x:v>OK</x:v>
      </x:c>
      <x:c r="D837" s="29" t="str">
        <x:v>Texas County</x:v>
      </x:c>
      <x:c r="E837" s="41" t="n">
        <x:v>20322</x:v>
      </x:c>
      <x:c r="F837" s="56" t="n">
        <x:v>36.746317</x:v>
      </x:c>
      <x:c r="G837" s="56" t="n">
        <x:v>-101.483855</x:v>
      </x:c>
      <x:c r="H837" s="44" t="n">
        <x:f>E837/SUMIF(A:A,A837,E:E)</x:f>
        <x:v>0.001996665542997822</x:v>
      </x:c>
    </x:row>
    <x:row r="838" ht="21.600000381469727" hidden="0" customHeight="1">
      <x:c r="A838" s="27" t="str">
        <x:v>SCA-16</x:v>
      </x:c>
      <x:c r="B838" s="27" t="str">
        <x:v>29147</x:v>
      </x:c>
      <x:c r="C838" s="27" t="str">
        <x:v>MO</x:v>
      </x:c>
      <x:c r="D838" s="27" t="str">
        <x:v>Nodaway County</x:v>
      </x:c>
      <x:c r="E838" s="40" t="n">
        <x:v>20174</x:v>
      </x:c>
      <x:c r="F838" s="55" t="n">
        <x:v>40.361136</x:v>
      </x:c>
      <x:c r="G838" s="55" t="n">
        <x:v>-94.883146</x:v>
      </x:c>
      <x:c r="H838" s="43" t="n">
        <x:f>E838/SUMIF(A:A,A838,E:E)</x:f>
        <x:v>0.001982124331484995</x:v>
      </x:c>
    </x:row>
    <x:row r="839" ht="21.600000381469727" hidden="0" customHeight="1">
      <x:c r="A839" s="29" t="str">
        <x:v>SCA-16</x:v>
      </x:c>
      <x:c r="B839" s="29" t="str">
        <x:v>29217</x:v>
      </x:c>
      <x:c r="C839" s="29" t="str">
        <x:v>MO</x:v>
      </x:c>
      <x:c r="D839" s="29" t="str">
        <x:v>Vernon County</x:v>
      </x:c>
      <x:c r="E839" s="41" t="n">
        <x:v>19946</x:v>
      </x:c>
      <x:c r="F839" s="56" t="n">
        <x:v>37.850232</x:v>
      </x:c>
      <x:c r="G839" s="56" t="n">
        <x:v>-94.341701</x:v>
      </x:c>
      <x:c r="H839" s="44" t="n">
        <x:f>E839/SUMIF(A:A,A839,E:E)</x:f>
        <x:v>0.001959723005640909</x:v>
      </x:c>
    </x:row>
    <x:row r="840" ht="15" hidden="0" customHeight="1">
      <x:c r="A840" s="27" t="str">
        <x:v>SCA-16</x:v>
      </x:c>
      <x:c r="B840" s="27" t="str">
        <x:v>40001</x:v>
      </x:c>
      <x:c r="C840" s="27" t="str">
        <x:v>OK</x:v>
      </x:c>
      <x:c r="D840" s="27" t="str">
        <x:v>Adair County</x:v>
      </x:c>
      <x:c r="E840" s="40" t="n">
        <x:v>19828</x:v>
      </x:c>
      <x:c r="F840" s="55" t="n">
        <x:v>35.898043</x:v>
      </x:c>
      <x:c r="G840" s="55" t="n">
        <x:v>-94.651026</x:v>
      </x:c>
      <x:c r="H840" s="43" t="n">
        <x:f>E840/SUMIF(A:A,A840,E:E)</x:f>
        <x:v>0.0019481293370023037</x:v>
      </x:c>
    </x:row>
    <x:row r="841" ht="21.600000381469727" hidden="0" customHeight="1">
      <x:c r="A841" s="29" t="str">
        <x:v>SCA-16</x:v>
      </x:c>
      <x:c r="B841" s="29" t="str">
        <x:v>40153</x:v>
      </x:c>
      <x:c r="C841" s="29" t="str">
        <x:v>OK</x:v>
      </x:c>
      <x:c r="D841" s="29" t="str">
        <x:v>Woodward County</x:v>
      </x:c>
      <x:c r="E841" s="41" t="n">
        <x:v>19827</x:v>
      </x:c>
      <x:c r="F841" s="56" t="n">
        <x:v>36.425619</x:v>
      </x:c>
      <x:c r="G841" s="56" t="n">
        <x:v>-99.273661</x:v>
      </x:c>
      <x:c r="H841" s="44" t="n">
        <x:f>E841/SUMIF(A:A,A841,E:E)</x:f>
        <x:v>0.001948031085573163</x:v>
      </x:c>
    </x:row>
    <x:row r="842" ht="21.600000381469727" hidden="0" customHeight="1">
      <x:c r="A842" s="27" t="str">
        <x:v>SCA-16</x:v>
      </x:c>
      <x:c r="B842" s="27" t="str">
        <x:v>20099</x:v>
      </x:c>
      <x:c r="C842" s="27" t="str">
        <x:v>KS</x:v>
      </x:c>
      <x:c r="D842" s="27" t="str">
        <x:v>Labette County</x:v>
      </x:c>
      <x:c r="E842" s="40" t="n">
        <x:v>19685</x:v>
      </x:c>
      <x:c r="F842" s="55" t="n">
        <x:v>37.191468</x:v>
      </x:c>
      <x:c r="G842" s="55" t="n">
        <x:v>-95.297473</x:v>
      </x:c>
      <x:c r="H842" s="43" t="n">
        <x:f>E842/SUMIF(A:A,A842,E:E)</x:f>
        <x:v>0.00193407938263518</x:v>
      </x:c>
    </x:row>
    <x:row r="843" ht="21.600000381469727" hidden="0" customHeight="1">
      <x:c r="A843" s="29" t="str">
        <x:v>SCA-16</x:v>
      </x:c>
      <x:c r="B843" s="29" t="str">
        <x:v>48233</x:v>
      </x:c>
      <x:c r="C843" s="29" t="str">
        <x:v>TX</x:v>
      </x:c>
      <x:c r="D843" s="29" t="str">
        <x:v>Hutchinson County</x:v>
      </x:c>
      <x:c r="E843" s="41" t="n">
        <x:v>19633</x:v>
      </x:c>
      <x:c r="F843" s="56" t="n">
        <x:v>35.837047</x:v>
      </x:c>
      <x:c r="G843" s="56" t="n">
        <x:v>-101.362746</x:v>
      </x:c>
      <x:c r="H843" s="44" t="n">
        <x:f>E843/SUMIF(A:A,A843,E:E)</x:f>
        <x:v>0.0019289703083198622</x:v>
      </x:c>
    </x:row>
    <x:row r="844" ht="21.600000381469727" hidden="0" customHeight="1">
      <x:c r="A844" s="27" t="str">
        <x:v>SCA-16</x:v>
      </x:c>
      <x:c r="B844" s="27" t="str">
        <x:v>20021</x:v>
      </x:c>
      <x:c r="C844" s="27" t="str">
        <x:v>KS</x:v>
      </x:c>
      <x:c r="D844" s="27" t="str">
        <x:v>Cherokee County</x:v>
      </x:c>
      <x:c r="E844" s="40" t="n">
        <x:v>19105</x:v>
      </x:c>
      <x:c r="F844" s="55" t="n">
        <x:v>37.169392</x:v>
      </x:c>
      <x:c r="G844" s="55" t="n">
        <x:v>-94.845698</x:v>
      </x:c>
      <x:c r="H844" s="43" t="n">
        <x:f>E844/SUMIF(A:A,A844,E:E)</x:f>
        <x:v>0.0018770935537335593</x:v>
      </x:c>
    </x:row>
    <x:row r="845" ht="21.600000381469727" hidden="0" customHeight="1">
      <x:c r="A845" s="29" t="str">
        <x:v>SCA-16</x:v>
      </x:c>
      <x:c r="B845" s="29" t="str">
        <x:v>20041</x:v>
      </x:c>
      <x:c r="C845" s="29" t="str">
        <x:v>KS</x:v>
      </x:c>
      <x:c r="D845" s="29" t="str">
        <x:v>Dickinson County</x:v>
      </x:c>
      <x:c r="E845" s="41" t="n">
        <x:v>18637</x:v>
      </x:c>
      <x:c r="F845" s="56" t="n">
        <x:v>38.867735</x:v>
      </x:c>
      <x:c r="G845" s="56" t="n">
        <x:v>-97.157943</x:v>
      </x:c>
      <x:c r="H845" s="44" t="n">
        <x:f>E845/SUMIF(A:A,A845,E:E)</x:f>
        <x:v>0.0018311118848956998</x:v>
      </x:c>
    </x:row>
    <x:row r="846" ht="21.600000381469727" hidden="0" customHeight="1">
      <x:c r="A846" s="27" t="str">
        <x:v>SCA-16</x:v>
      </x:c>
      <x:c r="B846" s="27" t="str">
        <x:v>20087</x:v>
      </x:c>
      <x:c r="C846" s="27" t="str">
        <x:v>KS</x:v>
      </x:c>
      <x:c r="D846" s="27" t="str">
        <x:v>Jefferson County</x:v>
      </x:c>
      <x:c r="E846" s="40" t="n">
        <x:v>18296</x:v>
      </x:c>
      <x:c r="F846" s="55" t="n">
        <x:v>39.239644</x:v>
      </x:c>
      <x:c r="G846" s="55" t="n">
        <x:v>-95.375314</x:v>
      </x:c>
      <x:c r="H846" s="43" t="n">
        <x:f>E846/SUMIF(A:A,A846,E:E)</x:f>
        <x:v>0.0017976081475587124</x:v>
      </x:c>
    </x:row>
    <x:row r="847" ht="21.600000381469727" hidden="0" customHeight="1">
      <x:c r="A847" s="29" t="str">
        <x:v>SCA-16</x:v>
      </x:c>
      <x:c r="B847" s="29" t="str">
        <x:v>29003</x:v>
      </x:c>
      <x:c r="C847" s="29" t="str">
        <x:v>MO</x:v>
      </x:c>
      <x:c r="D847" s="29" t="str">
        <x:v>Andrew County</x:v>
      </x:c>
      <x:c r="E847" s="41" t="n">
        <x:v>18241</x:v>
      </x:c>
      <x:c r="F847" s="56" t="n">
        <x:v>39.988863</x:v>
      </x:c>
      <x:c r="G847" s="56" t="n">
        <x:v>-94.803552</x:v>
      </x:c>
      <x:c r="H847" s="44" t="n">
        <x:f>E847/SUMIF(A:A,A847,E:E)</x:f>
        <x:v>0.0017922043189559725</x:v>
      </x:c>
    </x:row>
    <x:row r="848" ht="21.600000381469727" hidden="0" customHeight="1">
      <x:c r="A848" s="27" t="str">
        <x:v>SCA-16</x:v>
      </x:c>
      <x:c r="B848" s="27" t="str">
        <x:v>31159</x:v>
      </x:c>
      <x:c r="C848" s="27" t="str">
        <x:v>NE</x:v>
      </x:c>
      <x:c r="D848" s="27" t="str">
        <x:v>Seward County</x:v>
      </x:c>
      <x:c r="E848" s="40" t="n">
        <x:v>18032</x:v>
      </x:c>
      <x:c r="F848" s="55" t="n">
        <x:v>40.871944</x:v>
      </x:c>
      <x:c r="G848" s="55" t="n">
        <x:v>-97.140383</x:v>
      </x:c>
      <x:c r="H848" s="43" t="n">
        <x:f>E848/SUMIF(A:A,A848,E:E)</x:f>
        <x:v>0.0017716697702655608</x:v>
      </x:c>
    </x:row>
    <x:row r="849" ht="15" hidden="0" customHeight="1">
      <x:c r="A849" s="29" t="str">
        <x:v>SCA-16</x:v>
      </x:c>
      <x:c r="B849" s="29" t="str">
        <x:v>31131</x:v>
      </x:c>
      <x:c r="C849" s="29" t="str">
        <x:v>NE</x:v>
      </x:c>
      <x:c r="D849" s="29" t="str">
        <x:v>Otoe County</x:v>
      </x:c>
      <x:c r="E849" s="41" t="n">
        <x:v>16531</x:v>
      </x:c>
      <x:c r="F849" s="56" t="n">
        <x:v>40.637992</x:v>
      </x:c>
      <x:c r="G849" s="56" t="n">
        <x:v>-96.131027</x:v>
      </x:c>
      <x:c r="H849" s="44" t="n">
        <x:f>E849/SUMIF(A:A,A849,E:E)</x:f>
        <x:v>0.001624194375125332</x:v>
      </x:c>
    </x:row>
    <x:row r="850" ht="21.600000381469727" hidden="0" customHeight="1">
      <x:c r="A850" s="27" t="str">
        <x:v>SCA-16</x:v>
      </x:c>
      <x:c r="B850" s="27" t="str">
        <x:v>29013</x:v>
      </x:c>
      <x:c r="C850" s="27" t="str">
        <x:v>MO</x:v>
      </x:c>
      <x:c r="D850" s="27" t="str">
        <x:v>Bates County</x:v>
      </x:c>
      <x:c r="E850" s="40" t="n">
        <x:v>16512</x:v>
      </x:c>
      <x:c r="F850" s="55" t="n">
        <x:v>38.257217</x:v>
      </x:c>
      <x:c r="G850" s="55" t="n">
        <x:v>-94.339246</x:v>
      </x:c>
      <x:c r="H850" s="43" t="n">
        <x:f>E850/SUMIF(A:A,A850,E:E)</x:f>
        <x:v>0.001622327597971658</x:v>
      </x:c>
    </x:row>
    <x:row r="851" ht="21.600000381469727" hidden="0" customHeight="1">
      <x:c r="A851" s="29" t="str">
        <x:v>SCA-16</x:v>
      </x:c>
      <x:c r="B851" s="29" t="str">
        <x:v>20005</x:v>
      </x:c>
      <x:c r="C851" s="29" t="str">
        <x:v>KS</x:v>
      </x:c>
      <x:c r="D851" s="29" t="str">
        <x:v>Atchison County</x:v>
      </x:c>
      <x:c r="E851" s="41" t="n">
        <x:v>16172</x:v>
      </x:c>
      <x:c r="F851" s="56" t="n">
        <x:v>39.532544</x:v>
      </x:c>
      <x:c r="G851" s="56" t="n">
        <x:v>-95.313397</x:v>
      </x:c>
      <x:c r="H851" s="44" t="n">
        <x:f>E851/SUMIF(A:A,A851,E:E)</x:f>
        <x:v>0.0015889221120638116</x:v>
      </x:c>
    </x:row>
    <x:row r="852" ht="21.600000381469727" hidden="0" customHeight="1">
      <x:c r="A852" s="27" t="str">
        <x:v>SCA-16</x:v>
      </x:c>
      <x:c r="B852" s="27" t="str">
        <x:v>40117</x:v>
      </x:c>
      <x:c r="C852" s="27" t="str">
        <x:v>OK</x:v>
      </x:c>
      <x:c r="D852" s="27" t="str">
        <x:v>Pawnee County</x:v>
      </x:c>
      <x:c r="E852" s="40" t="n">
        <x:v>16029</x:v>
      </x:c>
      <x:c r="F852" s="55" t="n">
        <x:v>36.313704</x:v>
      </x:c>
      <x:c r="G852" s="55" t="n">
        <x:v>-96.696669</x:v>
      </x:c>
      <x:c r="H852" s="43" t="n">
        <x:f>E852/SUMIF(A:A,A852,E:E)</x:f>
        <x:v>0.001574872157696688</x:v>
      </x:c>
    </x:row>
    <x:row r="853" ht="21.600000381469727" hidden="0" customHeight="1">
      <x:c r="A853" s="29" t="str">
        <x:v>SCA-16</x:v>
      </x:c>
      <x:c r="B853" s="29" t="str">
        <x:v>40073</x:v>
      </x:c>
      <x:c r="C853" s="29" t="str">
        <x:v>OK</x:v>
      </x:c>
      <x:c r="D853" s="29" t="str">
        <x:v>Kingfisher County</x:v>
      </x:c>
      <x:c r="E853" s="41" t="n">
        <x:v>15795</x:v>
      </x:c>
      <x:c r="F853" s="56" t="n">
        <x:v>35.949436</x:v>
      </x:c>
      <x:c r="G853" s="56" t="n">
        <x:v>-97.934557</x:v>
      </x:c>
      <x:c r="H853" s="44" t="n">
        <x:f>E853/SUMIF(A:A,A853,E:E)</x:f>
        <x:v>0.001551881323277758</x:v>
      </x:c>
    </x:row>
    <x:row r="854" ht="21.600000381469727" hidden="0" customHeight="1">
      <x:c r="A854" s="27" t="str">
        <x:v>SCA-16</x:v>
      </x:c>
      <x:c r="B854" s="27" t="str">
        <x:v>20139</x:v>
      </x:c>
      <x:c r="C854" s="27" t="str">
        <x:v>KS</x:v>
      </x:c>
      <x:c r="D854" s="27" t="str">
        <x:v>Osage County</x:v>
      </x:c>
      <x:c r="E854" s="40" t="n">
        <x:v>15693</x:v>
      </x:c>
      <x:c r="F854" s="55" t="n">
        <x:v>38.650215</x:v>
      </x:c>
      <x:c r="G854" s="55" t="n">
        <x:v>-95.708255</x:v>
      </x:c>
      <x:c r="H854" s="43" t="n">
        <x:f>E854/SUMIF(A:A,A854,E:E)</x:f>
        <x:v>0.001541859677505404</x:v>
      </x:c>
    </x:row>
    <x:row r="855" ht="21.600000381469727" hidden="0" customHeight="1">
      <x:c r="A855" s="29" t="str">
        <x:v>SCA-16</x:v>
      </x:c>
      <x:c r="B855" s="29" t="str">
        <x:v>20133</x:v>
      </x:c>
      <x:c r="C855" s="29" t="str">
        <x:v>KS</x:v>
      </x:c>
      <x:c r="D855" s="29" t="str">
        <x:v>Neosho County</x:v>
      </x:c>
      <x:c r="E855" s="41" t="n">
        <x:v>15637</x:v>
      </x:c>
      <x:c r="F855" s="56" t="n">
        <x:v>37.564283</x:v>
      </x:c>
      <x:c r="G855" s="56" t="n">
        <x:v>-95.315682</x:v>
      </x:c>
      <x:c r="H855" s="44" t="n">
        <x:f>E855/SUMIF(A:A,A855,E:E)</x:f>
        <x:v>0.0015363575974735235</x:v>
      </x:c>
    </x:row>
    <x:row r="856" ht="21.600000381469727" hidden="0" customHeight="1">
      <x:c r="A856" s="27" t="str">
        <x:v>SCA-16</x:v>
      </x:c>
      <x:c r="B856" s="27" t="str">
        <x:v>31151</x:v>
      </x:c>
      <x:c r="C856" s="27" t="str">
        <x:v>NE</x:v>
      </x:c>
      <x:c r="D856" s="27" t="str">
        <x:v>Saline County</x:v>
      </x:c>
      <x:c r="E856" s="40" t="n">
        <x:v>14996</x:v>
      </x:c>
      <x:c r="F856" s="55" t="n">
        <x:v>40.516802</x:v>
      </x:c>
      <x:c r="G856" s="55" t="n">
        <x:v>-97.131755</x:v>
      </x:c>
      <x:c r="H856" s="43" t="n">
        <x:f>E856/SUMIF(A:A,A856,E:E)</x:f>
        <x:v>0.0014733784313943185</x:v>
      </x:c>
    </x:row>
    <x:row r="857" ht="21.600000381469727" hidden="0" customHeight="1">
      <x:c r="A857" s="29" t="str">
        <x:v>SCA-16</x:v>
      </x:c>
      <x:c r="B857" s="29" t="str">
        <x:v>29039</x:v>
      </x:c>
      <x:c r="C857" s="29" t="str">
        <x:v>MO</x:v>
      </x:c>
      <x:c r="D857" s="29" t="str">
        <x:v>Cedar County</x:v>
      </x:c>
      <x:c r="E857" s="41" t="n">
        <x:v>14888</x:v>
      </x:c>
      <x:c r="F857" s="56" t="n">
        <x:v>37.733655</x:v>
      </x:c>
      <x:c r="G857" s="56" t="n">
        <x:v>-93.850014</x:v>
      </x:c>
      <x:c r="H857" s="44" t="n">
        <x:f>E857/SUMIF(A:A,A857,E:E)</x:f>
        <x:v>0.00146276727704712</x:v>
      </x:c>
    </x:row>
    <x:row r="858" ht="15" hidden="0" customHeight="1">
      <x:c r="A858" s="27" t="str">
        <x:v>SCA-16</x:v>
      </x:c>
      <x:c r="B858" s="27" t="str">
        <x:v>19145</x:v>
      </x:c>
      <x:c r="C858" s="27" t="str">
        <x:v>IA</x:v>
      </x:c>
      <x:c r="D858" s="27" t="str">
        <x:v>Page County</x:v>
      </x:c>
      <x:c r="E858" s="40" t="n">
        <x:v>14856</x:v>
      </x:c>
      <x:c r="F858" s="55" t="n">
        <x:v>40.739097</x:v>
      </x:c>
      <x:c r="G858" s="55" t="n">
        <x:v>-95.144301</x:v>
      </x:c>
      <x:c r="H858" s="43" t="n">
        <x:f>E858/SUMIF(A:A,A858,E:E)</x:f>
        <x:v>0.001459623231314617</x:v>
      </x:c>
    </x:row>
    <x:row r="859" ht="15" hidden="0" customHeight="1">
      <x:c r="A859" s="29" t="str">
        <x:v>SCA-16</x:v>
      </x:c>
      <x:c r="B859" s="29" t="str">
        <x:v>19129</x:v>
      </x:c>
      <x:c r="C859" s="29" t="str">
        <x:v>IA</x:v>
      </x:c>
      <x:c r="D859" s="29" t="str">
        <x:v>Mills County</x:v>
      </x:c>
      <x:c r="E859" s="41" t="n">
        <x:v>14793</x:v>
      </x:c>
      <x:c r="F859" s="56" t="n">
        <x:v>41.033703</x:v>
      </x:c>
      <x:c r="G859" s="56" t="n">
        <x:v>-95.619101</x:v>
      </x:c>
      <x:c r="H859" s="44" t="n">
        <x:f>E859/SUMIF(A:A,A859,E:E)</x:f>
        <x:v>0.0014534333912787512</x:v>
      </x:c>
    </x:row>
    <x:row r="860" ht="15" hidden="0" customHeight="1">
      <x:c r="A860" s="27" t="str">
        <x:v>SCA-16</x:v>
      </x:c>
      <x:c r="B860" s="27" t="str">
        <x:v>31185</x:v>
      </x:c>
      <x:c r="C860" s="27" t="str">
        <x:v>NE</x:v>
      </x:c>
      <x:c r="D860" s="27" t="str">
        <x:v>York County</x:v>
      </x:c>
      <x:c r="E860" s="40" t="n">
        <x:v>14564</x:v>
      </x:c>
      <x:c r="F860" s="55" t="n">
        <x:v>40.873056</x:v>
      </x:c>
      <x:c r="G860" s="55" t="n">
        <x:v>-97.596742</x:v>
      </x:c>
      <x:c r="H860" s="43" t="n">
        <x:f>E860/SUMIF(A:A,A860,E:E)</x:f>
        <x:v>0.001430933814005525</x:v>
      </x:c>
    </x:row>
    <x:row r="861" ht="15" hidden="0" customHeight="1">
      <x:c r="A861" s="29" t="str">
        <x:v>SCA-16</x:v>
      </x:c>
      <x:c r="B861" s="29" t="str">
        <x:v>40035</x:v>
      </x:c>
      <x:c r="C861" s="29" t="str">
        <x:v>OK</x:v>
      </x:c>
      <x:c r="D861" s="29" t="str">
        <x:v>Craig County</x:v>
      </x:c>
      <x:c r="E861" s="41" t="n">
        <x:v>14518</x:v>
      </x:c>
      <x:c r="F861" s="56" t="n">
        <x:v>36.76389</x:v>
      </x:c>
      <x:c r="G861" s="56" t="n">
        <x:v>-95.201553</x:v>
      </x:c>
      <x:c r="H861" s="44" t="n">
        <x:f>E861/SUMIF(A:A,A861,E:E)</x:f>
        <x:v>0.0014264142482650517</x:v>
      </x:c>
    </x:row>
    <x:row r="862" ht="21.600000381469727" hidden="0" customHeight="1">
      <x:c r="A862" s="27" t="str">
        <x:v>SCA-16</x:v>
      </x:c>
      <x:c r="B862" s="27" t="str">
        <x:v>20011</x:v>
      </x:c>
      <x:c r="C862" s="27" t="str">
        <x:v>KS</x:v>
      </x:c>
      <x:c r="D862" s="27" t="str">
        <x:v>Bourbon County</x:v>
      </x:c>
      <x:c r="E862" s="40" t="n">
        <x:v>14319</x:v>
      </x:c>
      <x:c r="F862" s="55" t="n">
        <x:v>37.8561</x:v>
      </x:c>
      <x:c r="G862" s="55" t="n">
        <x:v>-94.850928</x:v>
      </x:c>
      <x:c r="H862" s="43" t="n">
        <x:f>E862/SUMIF(A:A,A862,E:E)</x:f>
        <x:v>0.0014068622138660473</x:v>
      </x:c>
    </x:row>
    <x:row r="863" ht="21.600000381469727" hidden="0" customHeight="1">
      <x:c r="A863" s="29" t="str">
        <x:v>SCA-16</x:v>
      </x:c>
      <x:c r="B863" s="29" t="str">
        <x:v>20085</x:v>
      </x:c>
      <x:c r="C863" s="29" t="str">
        <x:v>KS</x:v>
      </x:c>
      <x:c r="D863" s="29" t="str">
        <x:v>Jackson County</x:v>
      </x:c>
      <x:c r="E863" s="41" t="n">
        <x:v>13438</x:v>
      </x:c>
      <x:c r="F863" s="56" t="n">
        <x:v>39.411096</x:v>
      </x:c>
      <x:c r="G863" s="56" t="n">
        <x:v>-95.794492</x:v>
      </x:c>
      <x:c r="H863" s="44" t="n">
        <x:f>E863/SUMIF(A:A,A863,E:E)</x:f>
        <x:v>0.0013203027047930683</x:v>
      </x:c>
    </x:row>
    <x:row r="864" ht="15" hidden="0" customHeight="1">
      <x:c r="A864" s="27" t="str">
        <x:v>SCA-16</x:v>
      </x:c>
      <x:c r="B864" s="27" t="str">
        <x:v>20001</x:v>
      </x:c>
      <x:c r="C864" s="27" t="str">
        <x:v>KS</x:v>
      </x:c>
      <x:c r="D864" s="27" t="str">
        <x:v>Allen County</x:v>
      </x:c>
      <x:c r="E864" s="40" t="n">
        <x:v>12302</x:v>
      </x:c>
      <x:c r="F864" s="55" t="n">
        <x:v>37.884228</x:v>
      </x:c>
      <x:c r="G864" s="55" t="n">
        <x:v>-95.300945</x:v>
      </x:c>
      <x:c r="H864" s="43" t="n">
        <x:f>E864/SUMIF(A:A,A864,E:E)</x:f>
        <x:v>0.001208689081289204</x:v>
      </x:c>
    </x:row>
    <x:row r="865" ht="21.600000381469727" hidden="0" customHeight="1">
      <x:c r="A865" s="29" t="str">
        <x:v>SCA-16</x:v>
      </x:c>
      <x:c r="B865" s="29" t="str">
        <x:v>29011</x:v>
      </x:c>
      <x:c r="C865" s="29" t="str">
        <x:v>MO</x:v>
      </x:c>
      <x:c r="D865" s="29" t="str">
        <x:v>Barton County</x:v>
      </x:c>
      <x:c r="E865" s="41" t="n">
        <x:v>11795</x:v>
      </x:c>
      <x:c r="F865" s="56" t="n">
        <x:v>37.50091</x:v>
      </x:c>
      <x:c r="G865" s="56" t="n">
        <x:v>-94.344059</x:v>
      </x:c>
      <x:c r="H865" s="44" t="n">
        <x:f>E865/SUMIF(A:A,A865,E:E)</x:f>
        <x:v>0.0011588756067148563</x:v>
      </x:c>
    </x:row>
    <x:row r="866" ht="21.600000381469727" hidden="0" customHeight="1">
      <x:c r="A866" s="27" t="str">
        <x:v>SCA-16</x:v>
      </x:c>
      <x:c r="B866" s="27" t="str">
        <x:v>20115</x:v>
      </x:c>
      <x:c r="C866" s="27" t="str">
        <x:v>KS</x:v>
      </x:c>
      <x:c r="D866" s="27" t="str">
        <x:v>Marion County</x:v>
      </x:c>
      <x:c r="E866" s="40" t="n">
        <x:v>11634</x:v>
      </x:c>
      <x:c r="F866" s="55" t="n">
        <x:v>38.359647</x:v>
      </x:c>
      <x:c r="G866" s="55" t="n">
        <x:v>-97.102771</x:v>
      </x:c>
      <x:c r="H866" s="43" t="n">
        <x:f>E866/SUMIF(A:A,A866,E:E)</x:f>
        <x:v>0.0011430571266231996</x:v>
      </x:c>
    </x:row>
    <x:row r="867" ht="21.600000381469727" hidden="0" customHeight="1">
      <x:c r="A867" s="29" t="str">
        <x:v>SCA-16</x:v>
      </x:c>
      <x:c r="B867" s="29" t="str">
        <x:v>40107</x:v>
      </x:c>
      <x:c r="C867" s="29" t="str">
        <x:v>OK</x:v>
      </x:c>
      <x:c r="D867" s="29" t="str">
        <x:v>Okfuskee County</x:v>
      </x:c>
      <x:c r="E867" s="41" t="n">
        <x:v>11451</x:v>
      </x:c>
      <x:c r="F867" s="56" t="n">
        <x:v>35.466804</x:v>
      </x:c>
      <x:c r="G867" s="56" t="n">
        <x:v>-96.327762</x:v>
      </x:c>
      <x:c r="H867" s="44" t="n">
        <x:f>E867/SUMIF(A:A,A867,E:E)</x:f>
        <x:v>0.0011250771150904469</x:v>
      </x:c>
    </x:row>
    <x:row r="868" ht="21.600000381469727" hidden="0" customHeight="1">
      <x:c r="A868" s="27" t="str">
        <x:v>SCA-16</x:v>
      </x:c>
      <x:c r="B868" s="27" t="str">
        <x:v>31037</x:v>
      </x:c>
      <x:c r="C868" s="27" t="str">
        <x:v>NE</x:v>
      </x:c>
      <x:c r="D868" s="27" t="str">
        <x:v>Colfax County</x:v>
      </x:c>
      <x:c r="E868" s="40" t="n">
        <x:v>10934</x:v>
      </x:c>
      <x:c r="F868" s="55" t="n">
        <x:v>41.57496</x:v>
      </x:c>
      <x:c r="G868" s="55" t="n">
        <x:v>-97.088945</x:v>
      </x:c>
      <x:c r="H868" s="43" t="n">
        <x:f>E868/SUMIF(A:A,A868,E:E)</x:f>
        <x:v>0.0010742811262246918</x:v>
      </x:c>
    </x:row>
    <x:row r="869" ht="21.600000381469727" hidden="0" customHeight="1">
      <x:c r="A869" s="29" t="str">
        <x:v>SCA-16</x:v>
      </x:c>
      <x:c r="B869" s="29" t="str">
        <x:v>40103</x:v>
      </x:c>
      <x:c r="C869" s="29" t="str">
        <x:v>OK</x:v>
      </x:c>
      <x:c r="D869" s="29" t="str">
        <x:v>Noble County</x:v>
      </x:c>
      <x:c r="E869" s="41" t="n">
        <x:v>10899</x:v>
      </x:c>
      <x:c r="F869" s="56" t="n">
        <x:v>36.384901</x:v>
      </x:c>
      <x:c r="G869" s="56" t="n">
        <x:v>-97.236335</x:v>
      </x:c>
      <x:c r="H869" s="44" t="n">
        <x:f>E869/SUMIF(A:A,A869,E:E)</x:f>
        <x:v>0.0010708423262047663</x:v>
      </x:c>
    </x:row>
    <x:row r="870" ht="21.600000381469727" hidden="0" customHeight="1">
      <x:c r="A870" s="27" t="str">
        <x:v>SCA-16</x:v>
      </x:c>
      <x:c r="B870" s="27" t="str">
        <x:v>40149</x:v>
      </x:c>
      <x:c r="C870" s="27" t="str">
        <x:v>OK</x:v>
      </x:c>
      <x:c r="D870" s="27" t="str">
        <x:v>Washita County</x:v>
      </x:c>
      <x:c r="E870" s="40" t="n">
        <x:v>10884</x:v>
      </x:c>
      <x:c r="F870" s="55" t="n">
        <x:v>35.289908</x:v>
      </x:c>
      <x:c r="G870" s="55" t="n">
        <x:v>-98.992272</x:v>
      </x:c>
      <x:c r="H870" s="43" t="n">
        <x:f>E870/SUMIF(A:A,A870,E:E)</x:f>
        <x:v>0.0010693685547676554</x:v>
      </x:c>
    </x:row>
    <x:row r="871" ht="21.600000381469727" hidden="0" customHeight="1">
      <x:c r="A871" s="29" t="str">
        <x:v>SCA-16</x:v>
      </x:c>
      <x:c r="B871" s="29" t="str">
        <x:v>31041</x:v>
      </x:c>
      <x:c r="C871" s="29" t="str">
        <x:v>NE</x:v>
      </x:c>
      <x:c r="D871" s="29" t="str">
        <x:v>Custer County</x:v>
      </x:c>
      <x:c r="E871" s="41" t="n">
        <x:v>10500</x:v>
      </x:c>
      <x:c r="F871" s="56" t="n">
        <x:v>41.393893</x:v>
      </x:c>
      <x:c r="G871" s="56" t="n">
        <x:v>-99.726866</x:v>
      </x:c>
      <x:c r="H871" s="44" t="n">
        <x:f>E871/SUMIF(A:A,A871,E:E)</x:f>
        <x:v>0.001031640005977617</x:v>
      </x:c>
    </x:row>
    <x:row r="872" ht="21.600000381469727" hidden="0" customHeight="1">
      <x:c r="A872" s="27" t="str">
        <x:v>SCA-16</x:v>
      </x:c>
      <x:c r="B872" s="27" t="str">
        <x:v>20131</x:v>
      </x:c>
      <x:c r="C872" s="27" t="str">
        <x:v>KS</x:v>
      </x:c>
      <x:c r="D872" s="27" t="str">
        <x:v>Nemaha County</x:v>
      </x:c>
      <x:c r="E872" s="40" t="n">
        <x:v>10054</x:v>
      </x:c>
      <x:c r="F872" s="55" t="n">
        <x:v>39.791043</x:v>
      </x:c>
      <x:c r="G872" s="55" t="n">
        <x:v>-96.005381</x:v>
      </x:c>
      <x:c r="H872" s="43" t="n">
        <x:f>E872/SUMIF(A:A,A872,E:E)</x:f>
        <x:v>0.0009878198685808533</x:v>
      </x:c>
    </x:row>
    <x:row r="873" ht="21.600000381469727" hidden="0" customHeight="1">
      <x:c r="A873" s="29" t="str">
        <x:v>SCA-16</x:v>
      </x:c>
      <x:c r="B873" s="29" t="str">
        <x:v>19137</x:v>
      </x:c>
      <x:c r="C873" s="29" t="str">
        <x:v>IA</x:v>
      </x:c>
      <x:c r="D873" s="29" t="str">
        <x:v>Montgomery County</x:v>
      </x:c>
      <x:c r="E873" s="41" t="n">
        <x:v>10002</x:v>
      </x:c>
      <x:c r="F873" s="56" t="n">
        <x:v>41.021735</x:v>
      </x:c>
      <x:c r="G873" s="56" t="n">
        <x:v>-95.15779</x:v>
      </x:c>
      <x:c r="H873" s="44" t="n">
        <x:f>E873/SUMIF(A:A,A873,E:E)</x:f>
        <x:v>0.0009827107942655356</x:v>
      </x:c>
    </x:row>
    <x:row r="874" ht="15" hidden="0" customHeight="1">
      <x:c r="A874" s="27" t="str">
        <x:v>SCA-16</x:v>
      </x:c>
      <x:c r="B874" s="27" t="str">
        <x:v>20107</x:v>
      </x:c>
      <x:c r="C874" s="27" t="str">
        <x:v>KS</x:v>
      </x:c>
      <x:c r="D874" s="27" t="str">
        <x:v>Linn County</x:v>
      </x:c>
      <x:c r="E874" s="40" t="n">
        <x:v>9950</x:v>
      </x:c>
      <x:c r="F874" s="55" t="n">
        <x:v>38.216549</x:v>
      </x:c>
      <x:c r="G874" s="55" t="n">
        <x:v>-94.844932</x:v>
      </x:c>
      <x:c r="H874" s="43" t="n">
        <x:f>E874/SUMIF(A:A,A874,E:E)</x:f>
        <x:v>0.000977601719950218</x:v>
      </x:c>
    </x:row>
    <x:row r="875" ht="21.600000381469727" hidden="0" customHeight="1">
      <x:c r="A875" s="29" t="str">
        <x:v>SCA-16</x:v>
      </x:c>
      <x:c r="B875" s="29" t="str">
        <x:v>20117</x:v>
      </x:c>
      <x:c r="C875" s="29" t="str">
        <x:v>KS</x:v>
      </x:c>
      <x:c r="D875" s="29" t="str">
        <x:v>Marshall County</x:v>
      </x:c>
      <x:c r="E875" s="41" t="n">
        <x:v>9852</x:v>
      </x:c>
      <x:c r="F875" s="56" t="n">
        <x:v>39.782709</x:v>
      </x:c>
      <x:c r="G875" s="56" t="n">
        <x:v>-96.521243</x:v>
      </x:c>
      <x:c r="H875" s="44" t="n">
        <x:f>E875/SUMIF(A:A,A875,E:E)</x:f>
        <x:v>0.0009679730798944269</x:v>
      </x:c>
    </x:row>
    <x:row r="876" ht="21.600000381469727" hidden="0" customHeight="1">
      <x:c r="A876" s="27" t="str">
        <x:v>SCA-16</x:v>
      </x:c>
      <x:c r="B876" s="27" t="str">
        <x:v>31081</x:v>
      </x:c>
      <x:c r="C876" s="27" t="str">
        <x:v>NE</x:v>
      </x:c>
      <x:c r="D876" s="27" t="str">
        <x:v>Hamilton County</x:v>
      </x:c>
      <x:c r="E876" s="40" t="n">
        <x:v>9678</x:v>
      </x:c>
      <x:c r="F876" s="55" t="n">
        <x:v>40.872817</x:v>
      </x:c>
      <x:c r="G876" s="55" t="n">
        <x:v>-98.022329</x:v>
      </x:c>
      <x:c r="H876" s="43" t="n">
        <x:f>E876/SUMIF(A:A,A876,E:E)</x:f>
        <x:v>0.0009508773312239407</x:v>
      </x:c>
    </x:row>
    <x:row r="877" ht="21.600000381469727" hidden="0" customHeight="1">
      <x:c r="A877" s="29" t="str">
        <x:v>SCA-16</x:v>
      </x:c>
      <x:c r="B877" s="29" t="str">
        <x:v>40105</x:v>
      </x:c>
      <x:c r="C877" s="29" t="str">
        <x:v>OK</x:v>
      </x:c>
      <x:c r="D877" s="29" t="str">
        <x:v>Nowata County</x:v>
      </x:c>
      <x:c r="E877" s="41" t="n">
        <x:v>9522</x:v>
      </x:c>
      <x:c r="F877" s="56" t="n">
        <x:v>36.789615</x:v>
      </x:c>
      <x:c r="G877" s="56" t="n">
        <x:v>-95.613312</x:v>
      </x:c>
      <x:c r="H877" s="44" t="n">
        <x:f>E877/SUMIF(A:A,A877,E:E)</x:f>
        <x:v>0.0009355501082779874</x:v>
      </x:c>
    </x:row>
    <x:row r="878" ht="21.600000381469727" hidden="0" customHeight="1">
      <x:c r="A878" s="27" t="str">
        <x:v>SCA-16</x:v>
      </x:c>
      <x:c r="B878" s="27" t="str">
        <x:v>48357</x:v>
      </x:c>
      <x:c r="C878" s="27" t="str">
        <x:v>TX</x:v>
      </x:c>
      <x:c r="D878" s="27" t="str">
        <x:v>Ochiltree County</x:v>
      </x:c>
      <x:c r="E878" s="40" t="n">
        <x:v>9284</x:v>
      </x:c>
      <x:c r="F878" s="55" t="n">
        <x:v>36.278744</x:v>
      </x:c>
      <x:c r="G878" s="55" t="n">
        <x:v>-100.815864</x:v>
      </x:c>
      <x:c r="H878" s="43" t="n">
        <x:f>E878/SUMIF(A:A,A878,E:E)</x:f>
        <x:v>0.0009121662681424948</x:v>
      </x:c>
    </x:row>
    <x:row r="879" ht="15" hidden="0" customHeight="1">
      <x:c r="A879" s="29" t="str">
        <x:v>SCA-16</x:v>
      </x:c>
      <x:c r="B879" s="29" t="str">
        <x:v>20159</x:v>
      </x:c>
      <x:c r="C879" s="29" t="str">
        <x:v>KS</x:v>
      </x:c>
      <x:c r="D879" s="29" t="str">
        <x:v>Rice County</x:v>
      </x:c>
      <x:c r="E879" s="41" t="n">
        <x:v>9266</x:v>
      </x:c>
      <x:c r="F879" s="56" t="n">
        <x:v>38.347178</x:v>
      </x:c>
      <x:c r="G879" s="56" t="n">
        <x:v>-98.201415</x:v>
      </x:c>
      <x:c r="H879" s="44" t="n">
        <x:f>E879/SUMIF(A:A,A879,E:E)</x:f>
        <x:v>0.0009103977424179618</x:v>
      </x:c>
    </x:row>
    <x:row r="880" ht="15" hidden="0" customHeight="1">
      <x:c r="A880" s="27" t="str">
        <x:v>SCA-16</x:v>
      </x:c>
      <x:c r="B880" s="27" t="str">
        <x:v>20151</x:v>
      </x:c>
      <x:c r="C880" s="27" t="str">
        <x:v>KS</x:v>
      </x:c>
      <x:c r="D880" s="27" t="str">
        <x:v>Pratt County</x:v>
      </x:c>
      <x:c r="E880" s="40" t="n">
        <x:v>9117</x:v>
      </x:c>
      <x:c r="F880" s="55" t="n">
        <x:v>37.647594</x:v>
      </x:c>
      <x:c r="G880" s="55" t="n">
        <x:v>-98.74012</x:v>
      </x:c>
      <x:c r="H880" s="43" t="n">
        <x:f>E880/SUMIF(A:A,A880,E:E)</x:f>
        <x:v>0.0008957582794759936</x:v>
      </x:c>
    </x:row>
    <x:row r="881" ht="21.600000381469727" hidden="0" customHeight="1">
      <x:c r="A881" s="29" t="str">
        <x:v>SCA-16</x:v>
      </x:c>
      <x:c r="B881" s="29" t="str">
        <x:v>20013</x:v>
      </x:c>
      <x:c r="C881" s="29" t="str">
        <x:v>KS</x:v>
      </x:c>
      <x:c r="D881" s="29" t="str">
        <x:v>Brown County</x:v>
      </x:c>
      <x:c r="E881" s="41" t="n">
        <x:v>9104</x:v>
      </x:c>
      <x:c r="F881" s="56" t="n">
        <x:v>39.825931</x:v>
      </x:c>
      <x:c r="G881" s="56" t="n">
        <x:v>-95.569905</x:v>
      </x:c>
      <x:c r="H881" s="44" t="n">
        <x:f>E881/SUMIF(A:A,A881,E:E)</x:f>
        <x:v>0.0008944810108971643</x:v>
      </x:c>
    </x:row>
    <x:row r="882" ht="21.600000381469727" hidden="0" customHeight="1">
      <x:c r="A882" s="27" t="str">
        <x:v>SCA-16</x:v>
      </x:c>
      <x:c r="B882" s="27" t="str">
        <x:v>31137</x:v>
      </x:c>
      <x:c r="C882" s="27" t="str">
        <x:v>NE</x:v>
      </x:c>
      <x:c r="D882" s="27" t="str">
        <x:v>Phelps County</x:v>
      </x:c>
      <x:c r="E882" s="40" t="n">
        <x:v>8994</x:v>
      </x:c>
      <x:c r="F882" s="55" t="n">
        <x:v>40.516365</x:v>
      </x:c>
      <x:c r="G882" s="55" t="n">
        <x:v>-99.406557</x:v>
      </x:c>
      <x:c r="H882" s="43" t="n">
        <x:f>E882/SUMIF(A:A,A882,E:E)</x:f>
        <x:v>0.0008836733536916844</x:v>
      </x:c>
    </x:row>
    <x:row r="883" ht="21.600000381469727" hidden="0" customHeight="1">
      <x:c r="A883" s="29" t="str">
        <x:v>SCA-16</x:v>
      </x:c>
      <x:c r="B883" s="29" t="str">
        <x:v>20029</x:v>
      </x:c>
      <x:c r="C883" s="29" t="str">
        <x:v>KS</x:v>
      </x:c>
      <x:c r="D883" s="29" t="str">
        <x:v>Cloud County</x:v>
      </x:c>
      <x:c r="E883" s="41" t="n">
        <x:v>8833</x:v>
      </x:c>
      <x:c r="F883" s="56" t="n">
        <x:v>39.487329</x:v>
      </x:c>
      <x:c r="G883" s="56" t="n">
        <x:v>-97.64139</x:v>
      </x:c>
      <x:c r="H883" s="44" t="n">
        <x:f>E883/SUMIF(A:A,A883,E:E)</x:f>
        <x:v>0.0008678548736000276</x:v>
      </x:c>
    </x:row>
    <x:row r="884" ht="21.600000381469727" hidden="0" customHeight="1">
      <x:c r="A884" s="27" t="str">
        <x:v>SCA-16</x:v>
      </x:c>
      <x:c r="B884" s="27" t="str">
        <x:v>40011</x:v>
      </x:c>
      <x:c r="C884" s="27" t="str">
        <x:v>OK</x:v>
      </x:c>
      <x:c r="D884" s="27" t="str">
        <x:v>Blaine County</x:v>
      </x:c>
      <x:c r="E884" s="40" t="n">
        <x:v>8515</x:v>
      </x:c>
      <x:c r="F884" s="55" t="n">
        <x:v>35.877795</x:v>
      </x:c>
      <x:c r="G884" s="55" t="n">
        <x:v>-98.429032</x:v>
      </x:c>
      <x:c r="H884" s="43" t="n">
        <x:f>E884/SUMIF(A:A,A884,E:E)</x:f>
        <x:v>0.000836610919133277</x:v>
      </x:c>
    </x:row>
    <x:row r="885" ht="21.600000381469727" hidden="0" customHeight="1">
      <x:c r="A885" s="29" t="str">
        <x:v>SCA-16</x:v>
      </x:c>
      <x:c r="B885" s="29" t="str">
        <x:v>31023</x:v>
      </x:c>
      <x:c r="C885" s="29" t="str">
        <x:v>NE</x:v>
      </x:c>
      <x:c r="D885" s="29" t="str">
        <x:v>Butler County</x:v>
      </x:c>
      <x:c r="E885" s="41" t="n">
        <x:v>8507</x:v>
      </x:c>
      <x:c r="F885" s="56" t="n">
        <x:v>41.226054</x:v>
      </x:c>
      <x:c r="G885" s="56" t="n">
        <x:v>-97.132003</x:v>
      </x:c>
      <x:c r="H885" s="44" t="n">
        <x:f>E885/SUMIF(A:A,A885,E:E)</x:f>
        <x:v>0.0008358249077001511</x:v>
      </x:c>
    </x:row>
    <x:row r="886" ht="21.600000381469727" hidden="0" customHeight="1">
      <x:c r="A886" s="27" t="str">
        <x:v>SCA-16</x:v>
      </x:c>
      <x:c r="B886" s="27" t="str">
        <x:v>20031</x:v>
      </x:c>
      <x:c r="C886" s="27" t="str">
        <x:v>KS</x:v>
      </x:c>
      <x:c r="D886" s="27" t="str">
        <x:v>Coffey County</x:v>
      </x:c>
      <x:c r="E886" s="40" t="n">
        <x:v>8467</x:v>
      </x:c>
      <x:c r="F886" s="55" t="n">
        <x:v>38.23645</x:v>
      </x:c>
      <x:c r="G886" s="55" t="n">
        <x:v>-95.729137</x:v>
      </x:c>
      <x:c r="H886" s="43" t="n">
        <x:f>E886/SUMIF(A:A,A886,E:E)</x:f>
        <x:v>0.0008318948505345222</x:v>
      </x:c>
    </x:row>
    <x:row r="887" ht="21.600000381469727" hidden="0" customHeight="1">
      <x:c r="A887" s="29" t="str">
        <x:v>SCA-16</x:v>
      </x:c>
      <x:c r="B887" s="29" t="str">
        <x:v>40151</x:v>
      </x:c>
      <x:c r="C887" s="29" t="str">
        <x:v>OK</x:v>
      </x:c>
      <x:c r="D887" s="29" t="str">
        <x:v>Woods County</x:v>
      </x:c>
      <x:c r="E887" s="41" t="n">
        <x:v>8443</x:v>
      </x:c>
      <x:c r="F887" s="56" t="n">
        <x:v>36.726984</x:v>
      </x:c>
      <x:c r="G887" s="56" t="n">
        <x:v>-98.863649</x:v>
      </x:c>
      <x:c r="H887" s="44" t="n">
        <x:f>E887/SUMIF(A:A,A887,E:E)</x:f>
        <x:v>0.0008295368162351448</x:v>
      </x:c>
    </x:row>
    <x:row r="888" ht="21.600000381469727" hidden="0" customHeight="1">
      <x:c r="A888" s="27" t="str">
        <x:v>SCA-16</x:v>
      </x:c>
      <x:c r="B888" s="27" t="str">
        <x:v>20205</x:v>
      </x:c>
      <x:c r="C888" s="27" t="str">
        <x:v>KS</x:v>
      </x:c>
      <x:c r="D888" s="27" t="str">
        <x:v>Wilson County</x:v>
      </x:c>
      <x:c r="E888" s="40" t="n">
        <x:v>8299</x:v>
      </x:c>
      <x:c r="F888" s="55" t="n">
        <x:v>37.558515</x:v>
      </x:c>
      <x:c r="G888" s="55" t="n">
        <x:v>-95.745175</x:v>
      </x:c>
      <x:c r="H888" s="43" t="n">
        <x:f>E888/SUMIF(A:A,A888,E:E)</x:f>
        <x:v>0.0008153886104388803</x:v>
      </x:c>
    </x:row>
    <x:row r="889" ht="21.600000381469727" hidden="0" customHeight="1">
      <x:c r="A889" s="29" t="str">
        <x:v>SCA-16</x:v>
      </x:c>
      <x:c r="B889" s="29" t="str">
        <x:v>20003</x:v>
      </x:c>
      <x:c r="C889" s="29" t="str">
        <x:v>KS</x:v>
      </x:c>
      <x:c r="D889" s="29" t="str">
        <x:v>Anderson County</x:v>
      </x:c>
      <x:c r="E889" s="41" t="n">
        <x:v>8018</x:v>
      </x:c>
      <x:c r="F889" s="56" t="n">
        <x:v>38.215114</x:v>
      </x:c>
      <x:c r="G889" s="56" t="n">
        <x:v>-95.292046</x:v>
      </x:c>
      <x:c r="H889" s="44" t="n">
        <x:f>E889/SUMIF(A:A,A889,E:E)</x:f>
        <x:v>0.0007877799588503364</x:v>
      </x:c>
    </x:row>
    <x:row r="890" ht="15" hidden="0" customHeight="1">
      <x:c r="A890" s="27" t="str">
        <x:v>SCA-16</x:v>
      </x:c>
      <x:c r="B890" s="27" t="str">
        <x:v>20027</x:v>
      </x:c>
      <x:c r="C890" s="27" t="str">
        <x:v>KS</x:v>
      </x:c>
      <x:c r="D890" s="27" t="str">
        <x:v>Clay County</x:v>
      </x:c>
      <x:c r="E890" s="40" t="n">
        <x:v>7990</x:v>
      </x:c>
      <x:c r="F890" s="55" t="n">
        <x:v>39.344964</x:v>
      </x:c>
      <x:c r="G890" s="55" t="n">
        <x:v>-97.168853</x:v>
      </x:c>
      <x:c r="H890" s="43" t="n">
        <x:f>E890/SUMIF(A:A,A890,E:E)</x:f>
        <x:v>0.0007850289188343962</x:v>
      </x:c>
    </x:row>
    <x:row r="891" ht="21.600000381469727" hidden="0" customHeight="1">
      <x:c r="A891" s="29" t="str">
        <x:v>SCA-16</x:v>
      </x:c>
      <x:c r="B891" s="29" t="str">
        <x:v>31121</x:v>
      </x:c>
      <x:c r="C891" s="29" t="str">
        <x:v>NE</x:v>
      </x:c>
      <x:c r="D891" s="29" t="str">
        <x:v>Merrick County</x:v>
      </x:c>
      <x:c r="E891" s="41" t="n">
        <x:v>7905</x:v>
      </x:c>
      <x:c r="F891" s="56" t="n">
        <x:v>41.16979</x:v>
      </x:c>
      <x:c r="G891" s="56" t="n">
        <x:v>-98.031057</x:v>
      </x:c>
      <x:c r="H891" s="44" t="n">
        <x:f>E891/SUMIF(A:A,A891,E:E)</x:f>
        <x:v>0.0007766775473574345</x:v>
      </x:c>
    </x:row>
    <x:row r="892" ht="15" hidden="0" customHeight="1">
      <x:c r="A892" s="27" t="str">
        <x:v>SCA-16</x:v>
      </x:c>
      <x:c r="B892" s="27" t="str">
        <x:v>29057</x:v>
      </x:c>
      <x:c r="C892" s="27" t="str">
        <x:v>MO</x:v>
      </x:c>
      <x:c r="D892" s="27" t="str">
        <x:v>Dade County</x:v>
      </x:c>
      <x:c r="E892" s="40" t="n">
        <x:v>7804</x:v>
      </x:c>
      <x:c r="F892" s="55" t="n">
        <x:v>37.43235</x:v>
      </x:c>
      <x:c r="G892" s="55" t="n">
        <x:v>-93.854878</x:v>
      </x:c>
      <x:c r="H892" s="43" t="n">
        <x:f>E892/SUMIF(A:A,A892,E:E)</x:f>
        <x:v>0.0007667541530142212</x:v>
      </x:c>
    </x:row>
    <x:row r="893" ht="21.600000381469727" hidden="0" customHeight="1">
      <x:c r="A893" s="29" t="str">
        <x:v>SCA-16</x:v>
      </x:c>
      <x:c r="B893" s="29" t="str">
        <x:v>20043</x:v>
      </x:c>
      <x:c r="C893" s="29" t="str">
        <x:v>KS</x:v>
      </x:c>
      <x:c r="D893" s="29" t="str">
        <x:v>Doniphan County</x:v>
      </x:c>
      <x:c r="E893" s="41" t="n">
        <x:v>7594</x:v>
      </x:c>
      <x:c r="F893" s="56" t="n">
        <x:v>39.788502</x:v>
      </x:c>
      <x:c r="G893" s="56" t="n">
        <x:v>-95.147225</x:v>
      </x:c>
      <x:c r="H893" s="44" t="n">
        <x:f>E893/SUMIF(A:A,A893,E:E)</x:f>
        <x:v>0.0007461213528946689</x:v>
      </x:c>
    </x:row>
    <x:row r="894" ht="21.600000381469727" hidden="0" customHeight="1">
      <x:c r="A894" s="27" t="str">
        <x:v>SCA-16</x:v>
      </x:c>
      <x:c r="B894" s="27" t="str">
        <x:v>40093</x:v>
      </x:c>
      <x:c r="C894" s="27" t="str">
        <x:v>OK</x:v>
      </x:c>
      <x:c r="D894" s="27" t="str">
        <x:v>Major County</x:v>
      </x:c>
      <x:c r="E894" s="40" t="n">
        <x:v>7536</x:v>
      </x:c>
      <x:c r="F894" s="55" t="n">
        <x:v>36.313119</x:v>
      </x:c>
      <x:c r="G894" s="55" t="n">
        <x:v>-98.542015</x:v>
      </x:c>
      <x:c r="H894" s="43" t="n">
        <x:f>E894/SUMIF(A:A,A894,E:E)</x:f>
        <x:v>0.0007404227700045068</x:v>
      </x:c>
    </x:row>
    <x:row r="895" ht="21.600000381469727" hidden="0" customHeight="1">
      <x:c r="A895" s="29" t="str">
        <x:v>SCA-16</x:v>
      </x:c>
      <x:c r="B895" s="29" t="str">
        <x:v>31147</x:v>
      </x:c>
      <x:c r="C895" s="29" t="str">
        <x:v>NE</x:v>
      </x:c>
      <x:c r="D895" s="29" t="str">
        <x:v>Richardson County</x:v>
      </x:c>
      <x:c r="E895" s="41" t="n">
        <x:v>7530</x:v>
      </x:c>
      <x:c r="F895" s="56" t="n">
        <x:v>40.123743</x:v>
      </x:c>
      <x:c r="G895" s="56" t="n">
        <x:v>-95.718603</x:v>
      </x:c>
      <x:c r="H895" s="44" t="n">
        <x:f>E895/SUMIF(A:A,A895,E:E)</x:f>
        <x:v>0.0007398332614296625</x:v>
      </x:c>
    </x:row>
    <x:row r="896" ht="21.600000381469727" hidden="0" customHeight="1">
      <x:c r="A896" s="27" t="str">
        <x:v>SCA-16</x:v>
      </x:c>
      <x:c r="B896" s="27" t="str">
        <x:v>31127</x:v>
      </x:c>
      <x:c r="C896" s="27" t="str">
        <x:v>NE</x:v>
      </x:c>
      <x:c r="D896" s="27" t="str">
        <x:v>Nemaha County</x:v>
      </x:c>
      <x:c r="E896" s="40" t="n">
        <x:v>7102</x:v>
      </x:c>
      <x:c r="F896" s="55" t="n">
        <x:v>40.387238</x:v>
      </x:c>
      <x:c r="G896" s="55" t="n">
        <x:v>-95.852461</x:v>
      </x:c>
      <x:c r="H896" s="43" t="n">
        <x:f>E896/SUMIF(A:A,A896,E:E)</x:f>
        <x:v>0.000697781649757432</x:v>
      </x:c>
    </x:row>
    <x:row r="897" ht="21.600000381469727" hidden="0" customHeight="1">
      <x:c r="A897" s="29" t="str">
        <x:v>SCA-16</x:v>
      </x:c>
      <x:c r="B897" s="29" t="str">
        <x:v>31095</x:v>
      </x:c>
      <x:c r="C897" s="29" t="str">
        <x:v>NE</x:v>
      </x:c>
      <x:c r="D897" s="29" t="str">
        <x:v>Jefferson County</x:v>
      </x:c>
      <x:c r="E897" s="41" t="n">
        <x:v>7070</x:v>
      </x:c>
      <x:c r="F897" s="56" t="n">
        <x:v>40.175736</x:v>
      </x:c>
      <x:c r="G897" s="56" t="n">
        <x:v>-97.143103</x:v>
      </x:c>
      <x:c r="H897" s="44" t="n">
        <x:f>E897/SUMIF(A:A,A897,E:E)</x:f>
        <x:v>0.0006946376040249287</x:v>
      </x:c>
    </x:row>
    <x:row r="898" ht="21.600000381469727" hidden="0" customHeight="1">
      <x:c r="A898" s="27" t="str">
        <x:v>SCA-16</x:v>
      </x:c>
      <x:c r="B898" s="27" t="str">
        <x:v>20095</x:v>
      </x:c>
      <x:c r="C898" s="27" t="str">
        <x:v>KS</x:v>
      </x:c>
      <x:c r="D898" s="27" t="str">
        <x:v>Kingman County</x:v>
      </x:c>
      <x:c r="E898" s="40" t="n">
        <x:v>7029</x:v>
      </x:c>
      <x:c r="F898" s="55" t="n">
        <x:v>37.552951</x:v>
      </x:c>
      <x:c r="G898" s="55" t="n">
        <x:v>-98.144529</x:v>
      </x:c>
      <x:c r="H898" s="43" t="n">
        <x:f>E898/SUMIF(A:A,A898,E:E)</x:f>
        <x:v>0.000690609295430159</x:v>
      </x:c>
    </x:row>
    <x:row r="899" ht="21.600000381469727" hidden="0" customHeight="1">
      <x:c r="A899" s="29" t="str">
        <x:v>SCA-16</x:v>
      </x:c>
      <x:c r="B899" s="29" t="str">
        <x:v>20067</x:v>
      </x:c>
      <x:c r="C899" s="29" t="str">
        <x:v>KS</x:v>
      </x:c>
      <x:c r="D899" s="29" t="str">
        <x:v>Grant County</x:v>
      </x:c>
      <x:c r="E899" s="41" t="n">
        <x:v>7028</x:v>
      </x:c>
      <x:c r="F899" s="56" t="n">
        <x:v>37.547539</x:v>
      </x:c>
      <x:c r="G899" s="56" t="n">
        <x:v>-101.299362</x:v>
      </x:c>
      <x:c r="H899" s="44" t="n">
        <x:f>E899/SUMIF(A:A,A899,E:E)</x:f>
        <x:v>0.0006905110440010183</x:v>
      </x:c>
    </x:row>
    <x:row r="900" ht="21.600000381469727" hidden="0" customHeight="1">
      <x:c r="A900" s="27" t="str">
        <x:v>SCA-16</x:v>
      </x:c>
      <x:c r="B900" s="27" t="str">
        <x:v>20197</x:v>
      </x:c>
      <x:c r="C900" s="27" t="str">
        <x:v>KS</x:v>
      </x:c>
      <x:c r="D900" s="27" t="str">
        <x:v>Wabaunsee County</x:v>
      </x:c>
      <x:c r="E900" s="40" t="n">
        <x:v>7018</x:v>
      </x:c>
      <x:c r="F900" s="55" t="n">
        <x:v>38.955154</x:v>
      </x:c>
      <x:c r="G900" s="55" t="n">
        <x:v>-96.201262</x:v>
      </x:c>
      <x:c r="H900" s="43" t="n">
        <x:f>E900/SUMIF(A:A,A900,E:E)</x:f>
        <x:v>0.000689528529709611</x:v>
      </x:c>
    </x:row>
    <x:row r="901" ht="21.600000381469727" hidden="0" customHeight="1">
      <x:c r="A901" s="29" t="str">
        <x:v>SCA-16</x:v>
      </x:c>
      <x:c r="B901" s="29" t="str">
        <x:v>31099</x:v>
      </x:c>
      <x:c r="C901" s="29" t="str">
        <x:v>NE</x:v>
      </x:c>
      <x:c r="D901" s="29" t="str">
        <x:v>Kearney County</x:v>
      </x:c>
      <x:c r="E901" s="41" t="n">
        <x:v>6790</x:v>
      </x:c>
      <x:c r="F901" s="56" t="n">
        <x:v>40.50912</x:v>
      </x:c>
      <x:c r="G901" s="56" t="n">
        <x:v>-98.947602</x:v>
      </x:c>
      <x:c r="H901" s="44" t="n">
        <x:f>E901/SUMIF(A:A,A901,E:E)</x:f>
        <x:v>0.0006671272038655256</x:v>
      </x:c>
    </x:row>
    <x:row r="902" ht="21.600000381469727" hidden="0" customHeight="1">
      <x:c r="A902" s="27" t="str">
        <x:v>SCA-16</x:v>
      </x:c>
      <x:c r="B902" s="27" t="str">
        <x:v>20167</x:v>
      </x:c>
      <x:c r="C902" s="27" t="str">
        <x:v>KS</x:v>
      </x:c>
      <x:c r="D902" s="27" t="str">
        <x:v>Russell County</x:v>
      </x:c>
      <x:c r="E902" s="40" t="n">
        <x:v>6581</x:v>
      </x:c>
      <x:c r="F902" s="55" t="n">
        <x:v>38.91604</x:v>
      </x:c>
      <x:c r="G902" s="55" t="n">
        <x:v>-98.770949</x:v>
      </x:c>
      <x:c r="H902" s="43" t="n">
        <x:f>E902/SUMIF(A:A,A902,E:E)</x:f>
        <x:v>0.000646592655175114</x:v>
      </x:c>
    </x:row>
    <x:row r="903" ht="21.600000381469727" hidden="0" customHeight="1">
      <x:c r="A903" s="29" t="str">
        <x:v>SCA-16</x:v>
      </x:c>
      <x:c r="B903" s="29" t="str">
        <x:v>31093</x:v>
      </x:c>
      <x:c r="C903" s="29" t="str">
        <x:v>NE</x:v>
      </x:c>
      <x:c r="D903" s="29" t="str">
        <x:v>Howard County</x:v>
      </x:c>
      <x:c r="E903" s="41" t="n">
        <x:v>6538</x:v>
      </x:c>
      <x:c r="F903" s="56" t="n">
        <x:v>41.216851</x:v>
      </x:c>
      <x:c r="G903" s="56" t="n">
        <x:v>-98.513342</x:v>
      </x:c>
      <x:c r="H903" s="44" t="n">
        <x:f>E903/SUMIF(A:A,A903,E:E)</x:f>
        <x:v>0.0006423678437220628</x:v>
      </x:c>
    </x:row>
    <x:row r="904" ht="21.600000381469727" hidden="0" customHeight="1">
      <x:c r="A904" s="27" t="str">
        <x:v>SCA-16</x:v>
      </x:c>
      <x:c r="B904" s="27" t="str">
        <x:v>19071</x:v>
      </x:c>
      <x:c r="C904" s="27" t="str">
        <x:v>IA</x:v>
      </x:c>
      <x:c r="D904" s="27" t="str">
        <x:v>Fremont County</x:v>
      </x:c>
      <x:c r="E904" s="40" t="n">
        <x:v>6522</x:v>
      </x:c>
      <x:c r="F904" s="55" t="n">
        <x:v>40.74259</x:v>
      </x:c>
      <x:c r="G904" s="55" t="n">
        <x:v>-95.599182</x:v>
      </x:c>
      <x:c r="H904" s="43" t="n">
        <x:f>E904/SUMIF(A:A,A904,E:E)</x:f>
        <x:v>0.0006407958208558112</x:v>
      </x:c>
    </x:row>
    <x:row r="905" ht="21.600000381469727" hidden="0" customHeight="1">
      <x:c r="A905" s="29" t="str">
        <x:v>SCA-16</x:v>
      </x:c>
      <x:c r="B905" s="29" t="str">
        <x:v>20053</x:v>
      </x:c>
      <x:c r="C905" s="29" t="str">
        <x:v>KS</x:v>
      </x:c>
      <x:c r="D905" s="29" t="str">
        <x:v>Ellsworth County</x:v>
      </x:c>
      <x:c r="E905" s="41" t="n">
        <x:v>6257</x:v>
      </x:c>
      <x:c r="F905" s="56" t="n">
        <x:v>38.700845</x:v>
      </x:c>
      <x:c r="G905" s="56" t="n">
        <x:v>-98.205355</x:v>
      </x:c>
      <x:c r="H905" s="44" t="n">
        <x:f>E905/SUMIF(A:A,A905,E:E)</x:f>
        <x:v>0.0006147591921335189</x:v>
      </x:c>
    </x:row>
    <x:row r="906" ht="15" hidden="0" customHeight="1">
      <x:c r="A906" s="27" t="str">
        <x:v>SCA-16</x:v>
      </x:c>
      <x:c r="B906" s="27" t="str">
        <x:v>31035</x:v>
      </x:c>
      <x:c r="C906" s="27" t="str">
        <x:v>NE</x:v>
      </x:c>
      <x:c r="D906" s="27" t="str">
        <x:v>Clay County</x:v>
      </x:c>
      <x:c r="E906" s="40" t="n">
        <x:v>6170</x:v>
      </x:c>
      <x:c r="F906" s="55" t="n">
        <x:v>40.523669</x:v>
      </x:c>
      <x:c r="G906" s="55" t="n">
        <x:v>-98.050858</x:v>
      </x:c>
      <x:c r="H906" s="43" t="n">
        <x:f>E906/SUMIF(A:A,A906,E:E)</x:f>
        <x:v>0.0006062113177982758</x:v>
      </x:c>
    </x:row>
    <x:row r="907" ht="21.600000381469727" hidden="0" customHeight="1">
      <x:c r="A907" s="29" t="str">
        <x:v>SCA-16</x:v>
      </x:c>
      <x:c r="B907" s="29" t="str">
        <x:v>20145</x:v>
      </x:c>
      <x:c r="C907" s="29" t="str">
        <x:v>KS</x:v>
      </x:c>
      <x:c r="D907" s="29" t="str">
        <x:v>Pawnee County</x:v>
      </x:c>
      <x:c r="E907" s="41" t="n">
        <x:v>5991</x:v>
      </x:c>
      <x:c r="F907" s="56" t="n">
        <x:v>38.181477</x:v>
      </x:c>
      <x:c r="G907" s="56" t="n">
        <x:v>-99.234772</x:v>
      </x:c>
      <x:c r="H907" s="44" t="n">
        <x:f>E907/SUMIF(A:A,A907,E:E)</x:f>
        <x:v>0.000588624311982086</x:v>
      </x:c>
    </x:row>
    <x:row r="908" ht="21.600000381469727" hidden="0" customHeight="1">
      <x:c r="A908" s="27" t="str">
        <x:v>SCA-16</x:v>
      </x:c>
      <x:c r="B908" s="27" t="str">
        <x:v>19173</x:v>
      </x:c>
      <x:c r="C908" s="27" t="str">
        <x:v>IA</x:v>
      </x:c>
      <x:c r="D908" s="27" t="str">
        <x:v>Taylor County</x:v>
      </x:c>
      <x:c r="E908" s="40" t="n">
        <x:v>5835</x:v>
      </x:c>
      <x:c r="F908" s="55" t="n">
        <x:v>40.737949</x:v>
      </x:c>
      <x:c r="G908" s="55" t="n">
        <x:v>-94.697108</x:v>
      </x:c>
      <x:c r="H908" s="43" t="n">
        <x:f>E908/SUMIF(A:A,A908,E:E)</x:f>
        <x:v>0.0005732970890361328</x:v>
      </x:c>
    </x:row>
    <x:row r="909" ht="21.600000381469727" hidden="0" customHeight="1">
      <x:c r="A909" s="29" t="str">
        <x:v>SCA-16</x:v>
      </x:c>
      <x:c r="B909" s="29" t="str">
        <x:v>20073</x:v>
      </x:c>
      <x:c r="C909" s="29" t="str">
        <x:v>KS</x:v>
      </x:c>
      <x:c r="D909" s="29" t="str">
        <x:v>Greenwood County</x:v>
      </x:c>
      <x:c r="E909" s="41" t="n">
        <x:v>5826</x:v>
      </x:c>
      <x:c r="F909" s="56" t="n">
        <x:v>37.879347</x:v>
      </x:c>
      <x:c r="G909" s="56" t="n">
        <x:v>-96.241732</x:v>
      </x:c>
      <x:c r="H909" s="44" t="n">
        <x:f>E909/SUMIF(A:A,A909,E:E)</x:f>
        <x:v>0.0005724128261738663</x:v>
      </x:c>
    </x:row>
    <x:row r="910" ht="21.600000381469727" hidden="0" customHeight="1">
      <x:c r="A910" s="27" t="str">
        <x:v>SCA-16</x:v>
      </x:c>
      <x:c r="B910" s="27" t="str">
        <x:v>48065</x:v>
      </x:c>
      <x:c r="C910" s="27" t="str">
        <x:v>TX</x:v>
      </x:c>
      <x:c r="D910" s="27" t="str">
        <x:v>Carson County</x:v>
      </x:c>
      <x:c r="E910" s="40" t="n">
        <x:v>5805</x:v>
      </x:c>
      <x:c r="F910" s="55" t="n">
        <x:v>35.405496</x:v>
      </x:c>
      <x:c r="G910" s="55" t="n">
        <x:v>-101.355356</x:v>
      </x:c>
      <x:c r="H910" s="43" t="n">
        <x:f>E910/SUMIF(A:A,A910,E:E)</x:f>
        <x:v>0.0005703495461619111</x:v>
      </x:c>
    </x:row>
    <x:row r="911" ht="21.600000381469727" hidden="0" customHeight="1">
      <x:c r="A911" s="29" t="str">
        <x:v>SCA-16</x:v>
      </x:c>
      <x:c r="B911" s="29" t="str">
        <x:v>20143</x:v>
      </x:c>
      <x:c r="C911" s="29" t="str">
        <x:v>KS</x:v>
      </x:c>
      <x:c r="D911" s="29" t="str">
        <x:v>Ottawa County</x:v>
      </x:c>
      <x:c r="E911" s="41" t="n">
        <x:v>5744</x:v>
      </x:c>
      <x:c r="F911" s="56" t="n">
        <x:v>39.137963</x:v>
      </x:c>
      <x:c r="G911" s="56" t="n">
        <x:v>-97.654802</x:v>
      </x:c>
      <x:c r="H911" s="44" t="n">
        <x:f>E911/SUMIF(A:A,A911,E:E)</x:f>
        <x:v>0.0005643562089843268</x:v>
      </x:c>
    </x:row>
    <x:row r="912" ht="21.600000381469727" hidden="0" customHeight="1">
      <x:c r="A912" s="27" t="str">
        <x:v>SCA-16</x:v>
      </x:c>
      <x:c r="B912" s="27" t="str">
        <x:v>31167</x:v>
      </x:c>
      <x:c r="C912" s="27" t="str">
        <x:v>NE</x:v>
      </x:c>
      <x:c r="D912" s="27" t="str">
        <x:v>Stanton County</x:v>
      </x:c>
      <x:c r="E912" s="40" t="n">
        <x:v>5744</x:v>
      </x:c>
      <x:c r="F912" s="55" t="n">
        <x:v>41.905045</x:v>
      </x:c>
      <x:c r="G912" s="55" t="n">
        <x:v>-97.177109</x:v>
      </x:c>
      <x:c r="H912" s="43" t="n">
        <x:f>E912/SUMIF(A:A,A912,E:E)</x:f>
        <x:v>0.0005643562089843268</x:v>
      </x:c>
    </x:row>
    <x:row r="913" ht="15" hidden="0" customHeight="1">
      <x:c r="A913" s="29" t="str">
        <x:v>SCA-16</x:v>
      </x:c>
      <x:c r="B913" s="29" t="str">
        <x:v>20069</x:v>
      </x:c>
      <x:c r="C913" s="29" t="str">
        <x:v>KS</x:v>
      </x:c>
      <x:c r="D913" s="29" t="str">
        <x:v>Gray County</x:v>
      </x:c>
      <x:c r="E913" s="41" t="n">
        <x:v>5652</x:v>
      </x:c>
      <x:c r="F913" s="56" t="n">
        <x:v>37.744513</x:v>
      </x:c>
      <x:c r="G913" s="56" t="n">
        <x:v>-100.451715</x:v>
      </x:c>
      <x:c r="H913" s="44" t="n">
        <x:f>E913/SUMIF(A:A,A913,E:E)</x:f>
        <x:v>0.0005553170775033801</x:v>
      </x:c>
    </x:row>
    <x:row r="914" ht="21.600000381469727" hidden="0" customHeight="1">
      <x:c r="A914" s="27" t="str">
        <x:v>SCA-16</x:v>
      </x:c>
      <x:c r="B914" s="27" t="str">
        <x:v>40003</x:v>
      </x:c>
      <x:c r="C914" s="27" t="str">
        <x:v>OK</x:v>
      </x:c>
      <x:c r="D914" s="27" t="str">
        <x:v>Alfalfa County</x:v>
      </x:c>
      <x:c r="E914" s="40" t="n">
        <x:v>5649</x:v>
      </x:c>
      <x:c r="F914" s="55" t="n">
        <x:v>36.729703</x:v>
      </x:c>
      <x:c r="G914" s="55" t="n">
        <x:v>-98.323445</x:v>
      </x:c>
      <x:c r="H914" s="43" t="n">
        <x:f>E914/SUMIF(A:A,A914,E:E)</x:f>
        <x:v>0.000555022323215958</x:v>
      </x:c>
    </x:row>
    <x:row r="915" ht="21.600000381469727" hidden="0" customHeight="1">
      <x:c r="A915" s="29" t="str">
        <x:v>SCA-16</x:v>
      </x:c>
      <x:c r="B915" s="29" t="str">
        <x:v>20123</x:v>
      </x:c>
      <x:c r="C915" s="29" t="str">
        <x:v>KS</x:v>
      </x:c>
      <x:c r="D915" s="29" t="str">
        <x:v>Mitchell County</x:v>
      </x:c>
      <x:c r="E915" s="41" t="n">
        <x:v>5590</x:v>
      </x:c>
      <x:c r="F915" s="56" t="n">
        <x:v>39.393026</x:v>
      </x:c>
      <x:c r="G915" s="56" t="n">
        <x:v>-98.207362</x:v>
      </x:c>
      <x:c r="H915" s="44" t="n">
        <x:f>E915/SUMIF(A:A,A915,E:E)</x:f>
        <x:v>0.0005492254888966551</x:v>
      </x:c>
    </x:row>
    <x:row r="916" ht="21.600000381469727" hidden="0" customHeight="1">
      <x:c r="A916" s="27" t="str">
        <x:v>SCA-16</x:v>
      </x:c>
      <x:c r="B916" s="27" t="str">
        <x:v>20201</x:v>
      </x:c>
      <x:c r="C916" s="27" t="str">
        <x:v>KS</x:v>
      </x:c>
      <x:c r="D916" s="27" t="str">
        <x:v>Washington County</x:v>
      </x:c>
      <x:c r="E916" s="40" t="n">
        <x:v>5533</x:v>
      </x:c>
      <x:c r="F916" s="55" t="n">
        <x:v>39.776715</x:v>
      </x:c>
      <x:c r="G916" s="55" t="n">
        <x:v>-97.09561</x:v>
      </x:c>
      <x:c r="H916" s="43" t="n">
        <x:f>E916/SUMIF(A:A,A916,E:E)</x:f>
        <x:v>0.0005436251574356338</x:v>
      </x:c>
    </x:row>
    <x:row r="917" ht="21.600000381469727" hidden="0" customHeight="1">
      <x:c r="A917" s="29" t="str">
        <x:v>SCA-16</x:v>
      </x:c>
      <x:c r="B917" s="29" t="str">
        <x:v>31059</x:v>
      </x:c>
      <x:c r="C917" s="29" t="str">
        <x:v>NE</x:v>
      </x:c>
      <x:c r="D917" s="29" t="str">
        <x:v>Fillmore County</x:v>
      </x:c>
      <x:c r="E917" s="41" t="n">
        <x:v>5458</x:v>
      </x:c>
      <x:c r="F917" s="56" t="n">
        <x:v>40.52504</x:v>
      </x:c>
      <x:c r="G917" s="56" t="n">
        <x:v>-97.596705</x:v>
      </x:c>
      <x:c r="H917" s="44" t="n">
        <x:f>E917/SUMIF(A:A,A917,E:E)</x:f>
        <x:v>0.0005362563002500794</x:v>
      </x:c>
    </x:row>
    <x:row r="918" ht="21.600000381469727" hidden="0" customHeight="1">
      <x:c r="A918" s="27" t="str">
        <x:v>SCA-16</x:v>
      </x:c>
      <x:c r="B918" s="27" t="str">
        <x:v>20077</x:v>
      </x:c>
      <x:c r="C918" s="27" t="str">
        <x:v>KS</x:v>
      </x:c>
      <x:c r="D918" s="27" t="str">
        <x:v>Harper County</x:v>
      </x:c>
      <x:c r="E918" s="40" t="n">
        <x:v>5370</x:v>
      </x:c>
      <x:c r="F918" s="55" t="n">
        <x:v>37.188184</x:v>
      </x:c>
      <x:c r="G918" s="55" t="n">
        <x:v>-98.06659</x:v>
      </x:c>
      <x:c r="H918" s="43" t="n">
        <x:f>E918/SUMIF(A:A,A918,E:E)</x:f>
        <x:v>0.0005276101744856955</x:v>
      </x:c>
    </x:row>
    <x:row r="919" ht="21.600000381469727" hidden="0" customHeight="1">
      <x:c r="A919" s="29" t="str">
        <x:v>SCA-16</x:v>
      </x:c>
      <x:c r="B919" s="29" t="str">
        <x:v>31011</x:v>
      </x:c>
      <x:c r="C919" s="29" t="str">
        <x:v>NE</x:v>
      </x:c>
      <x:c r="D919" s="29" t="str">
        <x:v>Boone County</x:v>
      </x:c>
      <x:c r="E919" s="41" t="n">
        <x:v>5355</x:v>
      </x:c>
      <x:c r="F919" s="56" t="n">
        <x:v>41.703934</x:v>
      </x:c>
      <x:c r="G919" s="56" t="n">
        <x:v>-98.070476</x:v>
      </x:c>
      <x:c r="H919" s="44" t="n">
        <x:f>E919/SUMIF(A:A,A919,E:E)</x:f>
        <x:v>0.0005261364030485846</x:v>
      </x:c>
    </x:row>
    <x:row r="920" ht="21.600000381469727" hidden="0" customHeight="1">
      <x:c r="A920" s="27" t="str">
        <x:v>SCA-16</x:v>
      </x:c>
      <x:c r="B920" s="27" t="str">
        <x:v>20127</x:v>
      </x:c>
      <x:c r="C920" s="27" t="str">
        <x:v>KS</x:v>
      </x:c>
      <x:c r="D920" s="27" t="str">
        <x:v>Morris County</x:v>
      </x:c>
      <x:c r="E920" s="40" t="n">
        <x:v>5348</x:v>
      </x:c>
      <x:c r="F920" s="55" t="n">
        <x:v>38.688204</x:v>
      </x:c>
      <x:c r="G920" s="55" t="n">
        <x:v>-96.651448</x:v>
      </x:c>
      <x:c r="H920" s="43" t="n">
        <x:f>E920/SUMIF(A:A,A920,E:E)</x:f>
        <x:v>0.0005254486430445995</x:v>
      </x:c>
    </x:row>
    <x:row r="921" ht="21.600000381469727" hidden="0" customHeight="1">
      <x:c r="A921" s="29" t="str">
        <x:v>SCA-16</x:v>
      </x:c>
      <x:c r="B921" s="29" t="str">
        <x:v>20137</x:v>
      </x:c>
      <x:c r="C921" s="29" t="str">
        <x:v>KS</x:v>
      </x:c>
      <x:c r="D921" s="29" t="str">
        <x:v>Norton County</x:v>
      </x:c>
      <x:c r="E921" s="41" t="n">
        <x:v>5288</x:v>
      </x:c>
      <x:c r="F921" s="56" t="n">
        <x:v>39.783867</x:v>
      </x:c>
      <x:c r="G921" s="56" t="n">
        <x:v>-99.899235</x:v>
      </x:c>
      <x:c r="H921" s="44" t="n">
        <x:f>E921/SUMIF(A:A,A921,E:E)</x:f>
        <x:v>0.000519553557296156</x:v>
      </x:c>
    </x:row>
    <x:row r="922" ht="15" hidden="0" customHeight="1">
      <x:c r="A922" s="27" t="str">
        <x:v>SCA-16</x:v>
      </x:c>
      <x:c r="B922" s="27" t="str">
        <x:v>31143</x:v>
      </x:c>
      <x:c r="C922" s="27" t="str">
        <x:v>NE</x:v>
      </x:c>
      <x:c r="D922" s="27" t="str">
        <x:v>Polk County</x:v>
      </x:c>
      <x:c r="E922" s="40" t="n">
        <x:v>5270</x:v>
      </x:c>
      <x:c r="F922" s="55" t="n">
        <x:v>41.187925</x:v>
      </x:c>
      <x:c r="G922" s="55" t="n">
        <x:v>-97.570663</x:v>
      </x:c>
      <x:c r="H922" s="43" t="n">
        <x:f>E922/SUMIF(A:A,A922,E:E)</x:f>
        <x:v>0.000517785031571623</x:v>
      </x:c>
    </x:row>
    <x:row r="923" ht="21.600000381469727" hidden="0" customHeight="1">
      <x:c r="A923" s="29" t="str">
        <x:v>SCA-16</x:v>
      </x:c>
      <x:c r="B923" s="29" t="str">
        <x:v>31097</x:v>
      </x:c>
      <x:c r="C923" s="29" t="str">
        <x:v>NE</x:v>
      </x:c>
      <x:c r="D923" s="29" t="str">
        <x:v>Johnson County</x:v>
      </x:c>
      <x:c r="E923" s="41" t="n">
        <x:v>5218</x:v>
      </x:c>
      <x:c r="F923" s="56" t="n">
        <x:v>40.394955</x:v>
      </x:c>
      <x:c r="G923" s="56" t="n">
        <x:v>-96.265264</x:v>
      </x:c>
      <x:c r="H923" s="44" t="n">
        <x:f>E923/SUMIF(A:A,A923,E:E)</x:f>
        <x:v>0.0005126759572563052</x:v>
      </x:c>
    </x:row>
    <x:row r="924" ht="21.600000381469727" hidden="0" customHeight="1">
      <x:c r="A924" s="27" t="str">
        <x:v>SCA-16</x:v>
      </x:c>
      <x:c r="B924" s="27" t="str">
        <x:v>29005</x:v>
      </x:c>
      <x:c r="C924" s="27" t="str">
        <x:v>MO</x:v>
      </x:c>
      <x:c r="D924" s="27" t="str">
        <x:v>Atchison County</x:v>
      </x:c>
      <x:c r="E924" s="40" t="n">
        <x:v>5175</x:v>
      </x:c>
      <x:c r="F924" s="55" t="n">
        <x:v>40.431846</x:v>
      </x:c>
      <x:c r="G924" s="55" t="n">
        <x:v>-95.437555</x:v>
      </x:c>
      <x:c r="H924" s="43" t="n">
        <x:f>E924/SUMIF(A:A,A924,E:E)</x:f>
        <x:v>0.0005084511458032541</x:v>
      </x:c>
    </x:row>
    <x:row r="925" ht="21.600000381469727" hidden="0" customHeight="1">
      <x:c r="A925" s="29" t="str">
        <x:v>SCA-16</x:v>
      </x:c>
      <x:c r="B925" s="29" t="str">
        <x:v>20189</x:v>
      </x:c>
      <x:c r="C925" s="29" t="str">
        <x:v>KS</x:v>
      </x:c>
      <x:c r="D925" s="29" t="str">
        <x:v>Stevens County</x:v>
      </x:c>
      <x:c r="E925" s="41" t="n">
        <x:v>4984</x:v>
      </x:c>
      <x:c r="F925" s="56" t="n">
        <x:v>37.2017</x:v>
      </x:c>
      <x:c r="G925" s="56" t="n">
        <x:v>-101.317268</x:v>
      </x:c>
      <x:c r="H925" s="44" t="n">
        <x:f>E925/SUMIF(A:A,A925,E:E)</x:f>
        <x:v>0.0004896851228373755</x:v>
      </x:c>
    </x:row>
    <x:row r="926" ht="21.600000381469727" hidden="0" customHeight="1">
      <x:c r="A926" s="27" t="str">
        <x:v>SCA-16</x:v>
      </x:c>
      <x:c r="B926" s="27" t="str">
        <x:v>48195</x:v>
      </x:c>
      <x:c r="C926" s="27" t="str">
        <x:v>TX</x:v>
      </x:c>
      <x:c r="D926" s="27" t="str">
        <x:v>Hansford County</x:v>
      </x:c>
      <x:c r="E926" s="40" t="n">
        <x:v>4944</x:v>
      </x:c>
      <x:c r="F926" s="55" t="n">
        <x:v>36.272847</x:v>
      </x:c>
      <x:c r="G926" s="55" t="n">
        <x:v>-101.35693</x:v>
      </x:c>
      <x:c r="H926" s="43" t="n">
        <x:f>E926/SUMIF(A:A,A926,E:E)</x:f>
        <x:v>0.0004857550656717465</x:v>
      </x:c>
    </x:row>
    <x:row r="927" ht="21.600000381469727" hidden="0" customHeight="1">
      <x:c r="A927" s="29" t="str">
        <x:v>SCA-16</x:v>
      </x:c>
      <x:c r="B927" s="29" t="str">
        <x:v>40007</x:v>
      </x:c>
      <x:c r="C927" s="29" t="str">
        <x:v>OK</x:v>
      </x:c>
      <x:c r="D927" s="29" t="str">
        <x:v>Beaver County</x:v>
      </x:c>
      <x:c r="E927" s="41" t="n">
        <x:v>4882</x:v>
      </x:c>
      <x:c r="F927" s="56" t="n">
        <x:v>36.748334</x:v>
      </x:c>
      <x:c r="G927" s="56" t="n">
        <x:v>-100.483056</x:v>
      </x:c>
      <x:c r="H927" s="44" t="n">
        <x:f>E927/SUMIF(A:A,A927,E:E)</x:f>
        <x:v>0.0004796634770650215</x:v>
      </x:c>
    </x:row>
    <x:row r="928" ht="21.600000381469727" hidden="0" customHeight="1">
      <x:c r="A928" s="27" t="str">
        <x:v>SCA-16</x:v>
      </x:c>
      <x:c r="B928" s="27" t="str">
        <x:v>31169</x:v>
      </x:c>
      <x:c r="C928" s="27" t="str">
        <x:v>NE</x:v>
      </x:c>
      <x:c r="D928" s="27" t="str">
        <x:v>Thayer County</x:v>
      </x:c>
      <x:c r="E928" s="40" t="n">
        <x:v>4842</x:v>
      </x:c>
      <x:c r="F928" s="55" t="n">
        <x:v>40.17342</x:v>
      </x:c>
      <x:c r="G928" s="55" t="n">
        <x:v>-97.596258</x:v>
      </x:c>
      <x:c r="H928" s="43" t="n">
        <x:f>E928/SUMIF(A:A,A928,E:E)</x:f>
        <x:v>0.0004757334198993925</x:v>
      </x:c>
    </x:row>
    <x:row r="929" ht="15" hidden="0" customHeight="1">
      <x:c r="A929" s="29" t="str">
        <x:v>SCA-16</x:v>
      </x:c>
      <x:c r="B929" s="29" t="str">
        <x:v>20171</x:v>
      </x:c>
      <x:c r="C929" s="29" t="str">
        <x:v>KS</x:v>
      </x:c>
      <x:c r="D929" s="29" t="str">
        <x:v>Scott County</x:v>
      </x:c>
      <x:c r="E929" s="41" t="n">
        <x:v>4815</x:v>
      </x:c>
      <x:c r="F929" s="56" t="n">
        <x:v>38.481877</x:v>
      </x:c>
      <x:c r="G929" s="56" t="n">
        <x:v>-100.90636</x:v>
      </x:c>
      <x:c r="H929" s="44" t="n">
        <x:f>E929/SUMIF(A:A,A929,E:E)</x:f>
        <x:v>0.00047308063131259293</x:v>
      </x:c>
    </x:row>
    <x:row r="930" ht="21.600000381469727" hidden="0" customHeight="1">
      <x:c r="A930" s="27" t="str">
        <x:v>SCA-16</x:v>
      </x:c>
      <x:c r="B930" s="27" t="str">
        <x:v>48483</x:v>
      </x:c>
      <x:c r="C930" s="27" t="str">
        <x:v>TX</x:v>
      </x:c>
      <x:c r="D930" s="27" t="str">
        <x:v>Wheeler County</x:v>
      </x:c>
      <x:c r="E930" s="40" t="n">
        <x:v>4773</x:v>
      </x:c>
      <x:c r="F930" s="55" t="n">
        <x:v>35.392603</x:v>
      </x:c>
      <x:c r="G930" s="55" t="n">
        <x:v>-100.253114</x:v>
      </x:c>
      <x:c r="H930" s="43" t="n">
        <x:f>E930/SUMIF(A:A,A930,E:E)</x:f>
        <x:v>0.0004689540712886825</x:v>
      </x:c>
    </x:row>
    <x:row r="931" ht="21.600000381469727" hidden="0" customHeight="1">
      <x:c r="A931" s="29" t="str">
        <x:v>SCA-16</x:v>
      </x:c>
      <x:c r="B931" s="29" t="str">
        <x:v>20147</x:v>
      </x:c>
      <x:c r="C931" s="29" t="str">
        <x:v>KS</x:v>
      </x:c>
      <x:c r="D931" s="29" t="str">
        <x:v>Phillips County</x:v>
      </x:c>
      <x:c r="E931" s="41" t="n">
        <x:v>4728</x:v>
      </x:c>
      <x:c r="F931" s="56" t="n">
        <x:v>39.784506</x:v>
      </x:c>
      <x:c r="G931" s="56" t="n">
        <x:v>-99.34215</x:v>
      </x:c>
      <x:c r="H931" s="44" t="n">
        <x:f>E931/SUMIF(A:A,A931,E:E)</x:f>
        <x:v>0.0004645327569773498</x:v>
      </x:c>
    </x:row>
    <x:row r="932" ht="21.600000381469727" hidden="0" customHeight="1">
      <x:c r="A932" s="27" t="str">
        <x:v>SCA-16</x:v>
      </x:c>
      <x:c r="B932" s="27" t="str">
        <x:v>20163</x:v>
      </x:c>
      <x:c r="C932" s="27" t="str">
        <x:v>KS</x:v>
      </x:c>
      <x:c r="D932" s="27" t="str">
        <x:v>Rooks County</x:v>
      </x:c>
      <x:c r="E932" s="40" t="n">
        <x:v>4646</x:v>
      </x:c>
      <x:c r="F932" s="55" t="n">
        <x:v>39.346006</x:v>
      </x:c>
      <x:c r="G932" s="55" t="n">
        <x:v>-99.324492</x:v>
      </x:c>
      <x:c r="H932" s="43" t="n">
        <x:f>E932/SUMIF(A:A,A932,E:E)</x:f>
        <x:v>0.0004564761397878103</x:v>
      </x:c>
    </x:row>
    <x:row r="933" ht="21.600000381469727" hidden="0" customHeight="1">
      <x:c r="A933" s="29" t="str">
        <x:v>SCA-16</x:v>
      </x:c>
      <x:c r="B933" s="29" t="str">
        <x:v>20157</x:v>
      </x:c>
      <x:c r="C933" s="29" t="str">
        <x:v>KS</x:v>
      </x:c>
      <x:c r="D933" s="29" t="str">
        <x:v>Republic County</x:v>
      </x:c>
      <x:c r="E933" s="41" t="n">
        <x:v>4640</x:v>
      </x:c>
      <x:c r="F933" s="56" t="n">
        <x:v>39.828906</x:v>
      </x:c>
      <x:c r="G933" s="56" t="n">
        <x:v>-97.650883</x:v>
      </x:c>
      <x:c r="H933" s="44" t="n">
        <x:f>E933/SUMIF(A:A,A933,E:E)</x:f>
        <x:v>0.000455886631212966</x:v>
      </x:c>
    </x:row>
    <x:row r="934" ht="21.600000381469727" hidden="0" customHeight="1">
      <x:c r="A934" s="27" t="str">
        <x:v>SCA-16</x:v>
      </x:c>
      <x:c r="B934" s="27" t="str">
        <x:v>31065</x:v>
      </x:c>
      <x:c r="C934" s="27" t="str">
        <x:v>NE</x:v>
      </x:c>
      <x:c r="D934" s="27" t="str">
        <x:v>Furnas County</x:v>
      </x:c>
      <x:c r="E934" s="40" t="n">
        <x:v>4524</x:v>
      </x:c>
      <x:c r="F934" s="55" t="n">
        <x:v>40.192252</x:v>
      </x:c>
      <x:c r="G934" s="55" t="n">
        <x:v>-99.908637</x:v>
      </x:c>
      <x:c r="H934" s="43" t="n">
        <x:f>E934/SUMIF(A:A,A934,E:E)</x:f>
        <x:v>0.0004444894654326418</x:v>
      </x:c>
    </x:row>
    <x:row r="935" ht="21.600000381469727" hidden="0" customHeight="1">
      <x:c r="A935" s="29" t="str">
        <x:v>SCA-16</x:v>
      </x:c>
      <x:c r="B935" s="29" t="str">
        <x:v>40043</x:v>
      </x:c>
      <x:c r="C935" s="29" t="str">
        <x:v>OK</x:v>
      </x:c>
      <x:c r="D935" s="29" t="str">
        <x:v>Dewey County</x:v>
      </x:c>
      <x:c r="E935" s="41" t="n">
        <x:v>4207</x:v>
      </x:c>
      <x:c r="F935" s="56" t="n">
        <x:v>35.97796</x:v>
      </x:c>
      <x:c r="G935" s="56" t="n">
        <x:v>-99.014385</x:v>
      </x:c>
      <x:c r="H935" s="44" t="n">
        <x:f>E935/SUMIF(A:A,A935,E:E)</x:f>
        <x:v>0.00041334376239503186</x:v>
      </x:c>
    </x:row>
    <x:row r="936" ht="15" hidden="0" customHeight="1">
      <x:c r="A936" s="27" t="str">
        <x:v>SCA-16</x:v>
      </x:c>
      <x:c r="B936" s="27" t="str">
        <x:v>29087</x:v>
      </x:c>
      <x:c r="C936" s="27" t="str">
        <x:v>MO</x:v>
      </x:c>
      <x:c r="D936" s="27" t="str">
        <x:v>Holt County</x:v>
      </x:c>
      <x:c r="E936" s="40" t="n">
        <x:v>4200</x:v>
      </x:c>
      <x:c r="F936" s="55" t="n">
        <x:v>40.095724</x:v>
      </x:c>
      <x:c r="G936" s="55" t="n">
        <x:v>-95.219072</x:v>
      </x:c>
      <x:c r="H936" s="43" t="n">
        <x:f>E936/SUMIF(A:A,A936,E:E)</x:f>
        <x:v>0.0004126560023910468</x:v>
      </x:c>
    </x:row>
    <x:row r="937" ht="21.600000381469727" hidden="0" customHeight="1">
      <x:c r="A937" s="29" t="str">
        <x:v>SCA-16</x:v>
      </x:c>
      <x:c r="B937" s="29" t="str">
        <x:v>31129</x:v>
      </x:c>
      <x:c r="C937" s="29" t="str">
        <x:v>NE</x:v>
      </x:c>
      <x:c r="D937" s="29" t="str">
        <x:v>Nuckolls County</x:v>
      </x:c>
      <x:c r="E937" s="41" t="n">
        <x:v>4100</x:v>
      </x:c>
      <x:c r="F937" s="56" t="n">
        <x:v>40.176492</x:v>
      </x:c>
      <x:c r="G937" s="56" t="n">
        <x:v>-98.046842</x:v>
      </x:c>
      <x:c r="H937" s="44" t="n">
        <x:f>E937/SUMIF(A:A,A937,E:E)</x:f>
        <x:v>0.00040283085947697425</x:v>
      </x:c>
    </x:row>
    <x:row r="938" ht="21.600000381469727" hidden="0" customHeight="1">
      <x:c r="A938" s="27" t="str">
        <x:v>SCA-16</x:v>
      </x:c>
      <x:c r="B938" s="27" t="str">
        <x:v>31175</x:v>
      </x:c>
      <x:c r="C938" s="27" t="str">
        <x:v>NE</x:v>
      </x:c>
      <x:c r="D938" s="27" t="str">
        <x:v>Valley County</x:v>
      </x:c>
      <x:c r="E938" s="40" t="n">
        <x:v>4094</x:v>
      </x:c>
      <x:c r="F938" s="55" t="n">
        <x:v>41.564094</x:v>
      </x:c>
      <x:c r="G938" s="55" t="n">
        <x:v>-98.983484</x:v>
      </x:c>
      <x:c r="H938" s="43" t="n">
        <x:f>E938/SUMIF(A:A,A938,E:E)</x:f>
        <x:v>0.0004022413509021299</x:v>
      </x:c>
    </x:row>
    <x:row r="939" ht="21.600000381469727" hidden="0" customHeight="1">
      <x:c r="A939" s="29" t="str">
        <x:v>SCA-16</x:v>
      </x:c>
      <x:c r="B939" s="29" t="str">
        <x:v>20007</x:v>
      </x:c>
      <x:c r="C939" s="29" t="str">
        <x:v>KS</x:v>
      </x:c>
      <x:c r="D939" s="29" t="str">
        <x:v>Barber County</x:v>
      </x:c>
      <x:c r="E939" s="41" t="n">
        <x:v>4083</x:v>
      </x:c>
      <x:c r="F939" s="56" t="n">
        <x:v>37.222906</x:v>
      </x:c>
      <x:c r="G939" s="56" t="n">
        <x:v>-98.685052</x:v>
      </x:c>
      <x:c r="H939" s="44" t="n">
        <x:f>E939/SUMIF(A:A,A939,E:E)</x:f>
        <x:v>0.0004011605851815819</x:v>
      </x:c>
    </x:row>
    <x:row r="940" ht="21.600000381469727" hidden="0" customHeight="1">
      <x:c r="A940" s="27" t="str">
        <x:v>SCA-16</x:v>
      </x:c>
      <x:c r="B940" s="27" t="str">
        <x:v>40053</x:v>
      </x:c>
      <x:c r="C940" s="27" t="str">
        <x:v>OK</x:v>
      </x:c>
      <x:c r="D940" s="27" t="str">
        <x:v>Grant County</x:v>
      </x:c>
      <x:c r="E940" s="40" t="n">
        <x:v>4067</x:v>
      </x:c>
      <x:c r="F940" s="55" t="n">
        <x:v>36.788254</x:v>
      </x:c>
      <x:c r="G940" s="55" t="n">
        <x:v>-97.788151</x:v>
      </x:c>
      <x:c r="H940" s="43" t="n">
        <x:f>E940/SUMIF(A:A,A940,E:E)</x:f>
        <x:v>0.0003995885623153303</x:v>
      </x:c>
    </x:row>
    <x:row r="941" ht="21.600000381469727" hidden="0" customHeight="1">
      <x:c r="A941" s="29" t="str">
        <x:v>SCA-16</x:v>
      </x:c>
      <x:c r="B941" s="29" t="str">
        <x:v>20185</x:v>
      </x:c>
      <x:c r="C941" s="29" t="str">
        <x:v>KS</x:v>
      </x:c>
      <x:c r="D941" s="29" t="str">
        <x:v>Stafford County</x:v>
      </x:c>
      <x:c r="E941" s="41" t="n">
        <x:v>4005</x:v>
      </x:c>
      <x:c r="F941" s="56" t="n">
        <x:v>38.03563</x:v>
      </x:c>
      <x:c r="G941" s="56" t="n">
        <x:v>-98.719889</x:v>
      </x:c>
      <x:c r="H941" s="44" t="n">
        <x:f>E941/SUMIF(A:A,A941,E:E)</x:f>
        <x:v>0.0003934969737086053</x:v>
      </x:c>
    </x:row>
    <x:row r="942" ht="21.600000381469727" hidden="0" customHeight="1">
      <x:c r="A942" s="27" t="str">
        <x:v>SCA-16</x:v>
      </x:c>
      <x:c r="B942" s="27" t="str">
        <x:v>20119</x:v>
      </x:c>
      <x:c r="C942" s="27" t="str">
        <x:v>KS</x:v>
      </x:c>
      <x:c r="D942" s="27" t="str">
        <x:v>Meade County</x:v>
      </x:c>
      <x:c r="E942" s="40" t="n">
        <x:v>3852</x:v>
      </x:c>
      <x:c r="F942" s="55" t="n">
        <x:v>37.243886</x:v>
      </x:c>
      <x:c r="G942" s="55" t="n">
        <x:v>-100.360094</x:v>
      </x:c>
      <x:c r="H942" s="43" t="n">
        <x:f>E942/SUMIF(A:A,A942,E:E)</x:f>
        <x:v>0.0003784645050500743</x:v>
      </x:c>
    </x:row>
    <x:row r="943" ht="15" hidden="0" customHeight="1">
      <x:c r="A943" s="29" t="str">
        <x:v>SCA-16</x:v>
      </x:c>
      <x:c r="B943" s="29" t="str">
        <x:v>40045</x:v>
      </x:c>
      <x:c r="C943" s="29" t="str">
        <x:v>OK</x:v>
      </x:c>
      <x:c r="D943" s="29" t="str">
        <x:v>Ellis County</x:v>
      </x:c>
      <x:c r="E943" s="41" t="n">
        <x:v>3613</x:v>
      </x:c>
      <x:c r="F943" s="56" t="n">
        <x:v>36.224258</x:v>
      </x:c>
      <x:c r="G943" s="56" t="n">
        <x:v>-99.750139</x:v>
      </x:c>
      <x:c r="H943" s="44" t="n">
        <x:f>E943/SUMIF(A:A,A943,E:E)</x:f>
        <x:v>0.000354982413485441</x:v>
      </x:c>
    </x:row>
    <x:row r="944" ht="21.600000381469727" hidden="0" customHeight="1">
      <x:c r="A944" s="27" t="str">
        <x:v>SCA-16</x:v>
      </x:c>
      <x:c r="B944" s="27" t="str">
        <x:v>20081</x:v>
      </x:c>
      <x:c r="C944" s="27" t="str">
        <x:v>KS</x:v>
      </x:c>
      <x:c r="D944" s="27" t="str">
        <x:v>Haskell County</x:v>
      </x:c>
      <x:c r="E944" s="40" t="n">
        <x:v>3599</x:v>
      </x:c>
      <x:c r="F944" s="55" t="n">
        <x:v>37.554979</x:v>
      </x:c>
      <x:c r="G944" s="55" t="n">
        <x:v>-100.879952</x:v>
      </x:c>
      <x:c r="H944" s="43" t="n">
        <x:f>E944/SUMIF(A:A,A944,E:E)</x:f>
        <x:v>0.0003536068934774708</x:v>
      </x:c>
    </x:row>
    <x:row r="945" ht="21.600000381469727" hidden="0" customHeight="1">
      <x:c r="A945" s="29" t="str">
        <x:v>SCA-16</x:v>
      </x:c>
      <x:c r="B945" s="29" t="str">
        <x:v>20183</x:v>
      </x:c>
      <x:c r="C945" s="29" t="str">
        <x:v>KS</x:v>
      </x:c>
      <x:c r="D945" s="29" t="str">
        <x:v>Smith County</x:v>
      </x:c>
      <x:c r="E945" s="41" t="n">
        <x:v>3566</x:v>
      </x:c>
      <x:c r="F945" s="56" t="n">
        <x:v>39.78466</x:v>
      </x:c>
      <x:c r="G945" s="56" t="n">
        <x:v>-98.785429</x:v>
      </x:c>
      <x:c r="H945" s="44" t="n">
        <x:f>E945/SUMIF(A:A,A945,E:E)</x:f>
        <x:v>0.0003503645963158269</x:v>
      </x:c>
    </x:row>
    <x:row r="946" ht="21.600000381469727" hidden="0" customHeight="1">
      <x:c r="A946" s="27" t="str">
        <x:v>SCA-16</x:v>
      </x:c>
      <x:c r="B946" s="27" t="str">
        <x:v>31181</x:v>
      </x:c>
      <x:c r="C946" s="27" t="str">
        <x:v>NE</x:v>
      </x:c>
      <x:c r="D946" s="27" t="str">
        <x:v>Webster County</x:v>
      </x:c>
      <x:c r="E946" s="40" t="n">
        <x:v>3336</x:v>
      </x:c>
      <x:c r="F946" s="55" t="n">
        <x:v>40.180646</x:v>
      </x:c>
      <x:c r="G946" s="55" t="n">
        <x:v>-98.49859</x:v>
      </x:c>
      <x:c r="H946" s="43" t="n">
        <x:f>E946/SUMIF(A:A,A946,E:E)</x:f>
        <x:v>0.00032776676761346</x:v>
      </x:c>
    </x:row>
    <x:row r="947" ht="21.600000381469727" hidden="0" customHeight="1">
      <x:c r="A947" s="29" t="str">
        <x:v>SCA-16</x:v>
      </x:c>
      <x:c r="B947" s="29" t="str">
        <x:v>20019</x:v>
      </x:c>
      <x:c r="C947" s="29" t="str">
        <x:v>KS</x:v>
      </x:c>
      <x:c r="D947" s="29" t="str">
        <x:v>Chautauqua County</x:v>
      </x:c>
      <x:c r="E947" s="41" t="n">
        <x:v>3321</x:v>
      </x:c>
      <x:c r="F947" s="56" t="n">
        <x:v>37.154259</x:v>
      </x:c>
      <x:c r="G947" s="56" t="n">
        <x:v>-96.245396</x:v>
      </x:c>
      <x:c r="H947" s="44" t="n">
        <x:f>E947/SUMIF(A:A,A947,E:E)</x:f>
        <x:v>0.00032629299617634915</x:v>
      </x:c>
    </x:row>
    <x:row r="948" ht="21.600000381469727" hidden="0" customHeight="1">
      <x:c r="A948" s="27" t="str">
        <x:v>SCA-16</x:v>
      </x:c>
      <x:c r="B948" s="27" t="str">
        <x:v>31125</x:v>
      </x:c>
      <x:c r="C948" s="27" t="str">
        <x:v>NE</x:v>
      </x:c>
      <x:c r="D948" s="27" t="str">
        <x:v>Nance County</x:v>
      </x:c>
      <x:c r="E948" s="40" t="n">
        <x:v>3290</x:v>
      </x:c>
      <x:c r="F948" s="55" t="n">
        <x:v>41.402385</x:v>
      </x:c>
      <x:c r="G948" s="55" t="n">
        <x:v>-97.991408</x:v>
      </x:c>
      <x:c r="H948" s="43" t="n">
        <x:f>E948/SUMIF(A:A,A948,E:E)</x:f>
        <x:v>0.0003232472018729866</x:v>
      </x:c>
    </x:row>
    <x:row r="949" ht="21.600000381469727" hidden="0" customHeight="1">
      <x:c r="A949" s="29" t="str">
        <x:v>SCA-16</x:v>
      </x:c>
      <x:c r="B949" s="29" t="str">
        <x:v>20141</x:v>
      </x:c>
      <x:c r="C949" s="29" t="str">
        <x:v>KS</x:v>
      </x:c>
      <x:c r="D949" s="29" t="str">
        <x:v>Osborne County</x:v>
      </x:c>
      <x:c r="E949" s="41" t="n">
        <x:v>3285</x:v>
      </x:c>
      <x:c r="F949" s="56" t="n">
        <x:v>39.348261</x:v>
      </x:c>
      <x:c r="G949" s="56" t="n">
        <x:v>-98.767942</x:v>
      </x:c>
      <x:c r="H949" s="44" t="n">
        <x:f>E949/SUMIF(A:A,A949,E:E)</x:f>
        <x:v>0.00032275594472728304</x:v>
      </x:c>
    </x:row>
    <x:row r="950" ht="21.600000381469727" hidden="0" customHeight="1">
      <x:c r="A950" s="27" t="str">
        <x:v>SCA-16</x:v>
      </x:c>
      <x:c r="B950" s="27" t="str">
        <x:v>40129</x:v>
      </x:c>
      <x:c r="C950" s="27" t="str">
        <x:v>OK</x:v>
      </x:c>
      <x:c r="D950" s="27" t="str">
        <x:v>Roger Mills County</x:v>
      </x:c>
      <x:c r="E950" s="40" t="n">
        <x:v>3259</x:v>
      </x:c>
      <x:c r="F950" s="55" t="n">
        <x:v>35.708554</x:v>
      </x:c>
      <x:c r="G950" s="55" t="n">
        <x:v>-99.741572</x:v>
      </x:c>
      <x:c r="H950" s="43" t="n">
        <x:f>E950/SUMIF(A:A,A950,E:E)</x:f>
        <x:v>0.00032020140756962415</x:v>
      </x:c>
    </x:row>
    <x:row r="951" ht="21.600000381469727" hidden="0" customHeight="1">
      <x:c r="A951" s="29" t="str">
        <x:v>SCA-16</x:v>
      </x:c>
      <x:c r="B951" s="29" t="str">
        <x:v>48129</x:v>
      </x:c>
      <x:c r="C951" s="29" t="str">
        <x:v>TX</x:v>
      </x:c>
      <x:c r="D951" s="29" t="str">
        <x:v>Donley County</x:v>
      </x:c>
      <x:c r="E951" s="41" t="n">
        <x:v>3213</x:v>
      </x:c>
      <x:c r="F951" s="56" t="n">
        <x:v>34.955036</x:v>
      </x:c>
      <x:c r="G951" s="56" t="n">
        <x:v>-100.815846</x:v>
      </x:c>
      <x:c r="H951" s="44" t="n">
        <x:f>E951/SUMIF(A:A,A951,E:E)</x:f>
        <x:v>0.00031568184182915077</x:v>
      </x:c>
    </x:row>
    <x:row r="952" ht="21.600000381469727" hidden="0" customHeight="1">
      <x:c r="A952" s="27" t="str">
        <x:v>SCA-16</x:v>
      </x:c>
      <x:c r="B952" s="27" t="str">
        <x:v>40059</x:v>
      </x:c>
      <x:c r="C952" s="27" t="str">
        <x:v>OK</x:v>
      </x:c>
      <x:c r="D952" s="27" t="str">
        <x:v>Harper County</x:v>
      </x:c>
      <x:c r="E952" s="40" t="n">
        <x:v>3172</x:v>
      </x:c>
      <x:c r="F952" s="55" t="n">
        <x:v>36.80035</x:v>
      </x:c>
      <x:c r="G952" s="55" t="n">
        <x:v>-99.662805</x:v>
      </x:c>
      <x:c r="H952" s="43" t="n">
        <x:f>E952/SUMIF(A:A,A952,E:E)</x:f>
        <x:v>0.00031165353323438103</x:v>
      </x:c>
    </x:row>
    <x:row r="953" ht="21.600000381469727" hidden="0" customHeight="1">
      <x:c r="A953" s="29" t="str">
        <x:v>SCA-16</x:v>
      </x:c>
      <x:c r="B953" s="29" t="str">
        <x:v>20207</x:v>
      </x:c>
      <x:c r="C953" s="29" t="str">
        <x:v>KS</x:v>
      </x:c>
      <x:c r="D953" s="29" t="str">
        <x:v>Woodson County</x:v>
      </x:c>
      <x:c r="E953" s="41" t="n">
        <x:v>3118</x:v>
      </x:c>
      <x:c r="F953" s="56" t="n">
        <x:v>37.888193</x:v>
      </x:c>
      <x:c r="G953" s="56" t="n">
        <x:v>-95.758469</x:v>
      </x:c>
      <x:c r="H953" s="44" t="n">
        <x:f>E953/SUMIF(A:A,A953,E:E)</x:f>
        <x:v>0.00030634795606078187</x:v>
      </x:c>
    </x:row>
    <x:row r="954" ht="21.600000381469727" hidden="0" customHeight="1">
      <x:c r="A954" s="27" t="str">
        <x:v>SCA-16</x:v>
      </x:c>
      <x:c r="B954" s="27" t="str">
        <x:v>48211</x:v>
      </x:c>
      <x:c r="C954" s="27" t="str">
        <x:v>TX</x:v>
      </x:c>
      <x:c r="D954" s="27" t="str">
        <x:v>Hemphill County</x:v>
      </x:c>
      <x:c r="E954" s="40" t="n">
        <x:v>3083</x:v>
      </x:c>
      <x:c r="F954" s="55" t="n">
        <x:v>35.815956</x:v>
      </x:c>
      <x:c r="G954" s="55" t="n">
        <x:v>-100.27921</x:v>
      </x:c>
      <x:c r="H954" s="43" t="n">
        <x:f>E954/SUMIF(A:A,A954,E:E)</x:f>
        <x:v>0.0003029091560408565</x:v>
      </x:c>
    </x:row>
    <x:row r="955" ht="21.600000381469727" hidden="0" customHeight="1">
      <x:c r="A955" s="29" t="str">
        <x:v>SCA-16</x:v>
      </x:c>
      <x:c r="B955" s="29" t="str">
        <x:v>31083</x:v>
      </x:c>
      <x:c r="C955" s="29" t="str">
        <x:v>NE</x:v>
      </x:c>
      <x:c r="D955" s="29" t="str">
        <x:v>Harlan County</x:v>
      </x:c>
      <x:c r="E955" s="41" t="n">
        <x:v>3000</x:v>
      </x:c>
      <x:c r="F955" s="56" t="n">
        <x:v>40.178766</x:v>
      </x:c>
      <x:c r="G955" s="56" t="n">
        <x:v>-99.403418</x:v>
      </x:c>
      <x:c r="H955" s="44" t="n">
        <x:f>E955/SUMIF(A:A,A955,E:E)</x:f>
        <x:v>0.0002947542874221763</x:v>
      </x:c>
    </x:row>
    <x:row r="956" ht="21.600000381469727" hidden="0" customHeight="1">
      <x:c r="A956" s="27" t="str">
        <x:v>SCA-16</x:v>
      </x:c>
      <x:c r="B956" s="27" t="str">
        <x:v>48295</x:v>
      </x:c>
      <x:c r="C956" s="27" t="str">
        <x:v>TX</x:v>
      </x:c>
      <x:c r="D956" s="27" t="str">
        <x:v>Lipscomb County</x:v>
      </x:c>
      <x:c r="E956" s="40" t="n">
        <x:v>2955</x:v>
      </x:c>
      <x:c r="F956" s="55" t="n">
        <x:v>36.2802</x:v>
      </x:c>
      <x:c r="G956" s="55" t="n">
        <x:v>-100.272683</x:v>
      </x:c>
      <x:c r="H956" s="43" t="n">
        <x:f>E956/SUMIF(A:A,A956,E:E)</x:f>
        <x:v>0.0002903329731108436</x:v>
      </x:c>
    </x:row>
    <x:row r="957" ht="21.600000381469727" hidden="0" customHeight="1">
      <x:c r="A957" s="29" t="str">
        <x:v>SCA-16</x:v>
      </x:c>
      <x:c r="B957" s="29" t="str">
        <x:v>31163</x:v>
      </x:c>
      <x:c r="C957" s="29" t="str">
        <x:v>NE</x:v>
      </x:c>
      <x:c r="D957" s="29" t="str">
        <x:v>Sherman County</x:v>
      </x:c>
      <x:c r="E957" s="41" t="n">
        <x:v>2924</x:v>
      </x:c>
      <x:c r="F957" s="56" t="n">
        <x:v>41.218743</x:v>
      </x:c>
      <x:c r="G957" s="56" t="n">
        <x:v>-98.972849</x:v>
      </x:c>
      <x:c r="H957" s="44" t="n">
        <x:f>E957/SUMIF(A:A,A957,E:E)</x:f>
        <x:v>0.00028728717880748114</x:v>
      </x:c>
    </x:row>
    <x:row r="958" ht="21.600000381469727" hidden="0" customHeight="1">
      <x:c r="A958" s="27" t="str">
        <x:v>SCA-16</x:v>
      </x:c>
      <x:c r="B958" s="27" t="str">
        <x:v>20105</x:v>
      </x:c>
      <x:c r="C958" s="27" t="str">
        <x:v>KS</x:v>
      </x:c>
      <x:c r="D958" s="27" t="str">
        <x:v>Lincoln County</x:v>
      </x:c>
      <x:c r="E958" s="40" t="n">
        <x:v>2861</x:v>
      </x:c>
      <x:c r="F958" s="55" t="n">
        <x:v>39.047228</x:v>
      </x:c>
      <x:c r="G958" s="55" t="n">
        <x:v>-98.214381</x:v>
      </x:c>
      <x:c r="H958" s="43" t="n">
        <x:f>E958/SUMIF(A:A,A958,E:E)</x:f>
        <x:v>0.0002810973387716154</x:v>
      </x:c>
    </x:row>
    <x:row r="959" ht="15" hidden="0" customHeight="1">
      <x:c r="A959" s="29" t="str">
        <x:v>SCA-16</x:v>
      </x:c>
      <x:c r="B959" s="29" t="str">
        <x:v>20165</x:v>
      </x:c>
      <x:c r="C959" s="29" t="str">
        <x:v>KS</x:v>
      </x:c>
      <x:c r="D959" s="29" t="str">
        <x:v>Rush County</x:v>
      </x:c>
      <x:c r="E959" s="41" t="n">
        <x:v>2845</x:v>
      </x:c>
      <x:c r="F959" s="56" t="n">
        <x:v>38.523596</x:v>
      </x:c>
      <x:c r="G959" s="56" t="n">
        <x:v>-99.309184</x:v>
      </x:c>
      <x:c r="H959" s="44" t="n">
        <x:f>E959/SUMIF(A:A,A959,E:E)</x:f>
        <x:v>0.00027952531590536386</x:v>
      </x:c>
    </x:row>
    <x:row r="960" ht="21.600000381469727" hidden="0" customHeight="1">
      <x:c r="A960" s="27" t="str">
        <x:v>SCA-16</x:v>
      </x:c>
      <x:c r="B960" s="27" t="str">
        <x:v>20089</x:v>
      </x:c>
      <x:c r="C960" s="27" t="str">
        <x:v>KS</x:v>
      </x:c>
      <x:c r="D960" s="27" t="str">
        <x:v>Jewell County</x:v>
      </x:c>
      <x:c r="E960" s="40" t="n">
        <x:v>2830</x:v>
      </x:c>
      <x:c r="F960" s="55" t="n">
        <x:v>39.777005</x:v>
      </x:c>
      <x:c r="G960" s="55" t="n">
        <x:v>-98.222619</x:v>
      </x:c>
      <x:c r="H960" s="43" t="n">
        <x:f>E960/SUMIF(A:A,A960,E:E)</x:f>
        <x:v>0.00027805154446825295</x:v>
      </x:c>
    </x:row>
    <x:row r="961" ht="21.600000381469727" hidden="0" customHeight="1">
      <x:c r="A961" s="29" t="str">
        <x:v>SCA-16</x:v>
      </x:c>
      <x:c r="B961" s="29" t="str">
        <x:v>31017</x:v>
      </x:c>
      <x:c r="C961" s="29" t="str">
        <x:v>NE</x:v>
      </x:c>
      <x:c r="D961" s="29" t="str">
        <x:v>Brown County</x:v>
      </x:c>
      <x:c r="E961" s="41" t="n">
        <x:v>2826</x:v>
      </x:c>
      <x:c r="F961" s="56" t="n">
        <x:v>42.359562</x:v>
      </x:c>
      <x:c r="G961" s="56" t="n">
        <x:v>-99.92392</x:v>
      </x:c>
      <x:c r="H961" s="44" t="n">
        <x:f>E961/SUMIF(A:A,A961,E:E)</x:f>
        <x:v>0.00027765853875169003</x:v>
      </x:c>
    </x:row>
    <x:row r="962" ht="21.600000381469727" hidden="0" customHeight="1">
      <x:c r="A962" s="27" t="str">
        <x:v>SCA-16</x:v>
      </x:c>
      <x:c r="B962" s="27" t="str">
        <x:v>31061</x:v>
      </x:c>
      <x:c r="C962" s="27" t="str">
        <x:v>NE</x:v>
      </x:c>
      <x:c r="D962" s="27" t="str">
        <x:v>Franklin County</x:v>
      </x:c>
      <x:c r="E962" s="40" t="n">
        <x:v>2795</x:v>
      </x:c>
      <x:c r="F962" s="55" t="n">
        <x:v>40.183203</x:v>
      </x:c>
      <x:c r="G962" s="55" t="n">
        <x:v>-98.96208</x:v>
      </x:c>
      <x:c r="H962" s="43" t="n">
        <x:f>E962/SUMIF(A:A,A962,E:E)</x:f>
        <x:v>0.00027461274444832756</x:v>
      </x:c>
    </x:row>
    <x:row r="963" ht="15" hidden="0" customHeight="1">
      <x:c r="A963" s="29" t="str">
        <x:v>SCA-16</x:v>
      </x:c>
      <x:c r="B963" s="29" t="str">
        <x:v>20195</x:v>
      </x:c>
      <x:c r="C963" s="29" t="str">
        <x:v>KS</x:v>
      </x:c>
      <x:c r="D963" s="29" t="str">
        <x:v>Trego County</x:v>
      </x:c>
      <x:c r="E963" s="41" t="n">
        <x:v>2740</x:v>
      </x:c>
      <x:c r="F963" s="56" t="n">
        <x:v>38.921302</x:v>
      </x:c>
      <x:c r="G963" s="56" t="n">
        <x:v>-99.865423</x:v>
      </x:c>
      <x:c r="H963" s="44" t="n">
        <x:f>E963/SUMIF(A:A,A963,E:E)</x:f>
        <x:v>0.0002692089158455877</x:v>
      </x:c>
    </x:row>
    <x:row r="964" ht="21.600000381469727" hidden="0" customHeight="1">
      <x:c r="A964" s="27" t="str">
        <x:v>SCA-16</x:v>
      </x:c>
      <x:c r="B964" s="27" t="str">
        <x:v>20047</x:v>
      </x:c>
      <x:c r="C964" s="27" t="str">
        <x:v>KS</x:v>
      </x:c>
      <x:c r="D964" s="27" t="str">
        <x:v>Edwards County</x:v>
      </x:c>
      <x:c r="E964" s="40" t="n">
        <x:v>2640</x:v>
      </x:c>
      <x:c r="F964" s="55" t="n">
        <x:v>37.883595</x:v>
      </x:c>
      <x:c r="G964" s="55" t="n">
        <x:v>-99.304746</x:v>
      </x:c>
      <x:c r="H964" s="43" t="n">
        <x:f>E964/SUMIF(A:A,A964,E:E)</x:f>
        <x:v>0.00025938377293151514</x:v>
      </x:c>
    </x:row>
    <x:row r="965" ht="15" hidden="0" customHeight="1">
      <x:c r="A965" s="29" t="str">
        <x:v>SCA-16</x:v>
      </x:c>
      <x:c r="B965" s="29" t="str">
        <x:v>20063</x:v>
      </x:c>
      <x:c r="C965" s="29" t="str">
        <x:v>KS</x:v>
      </x:c>
      <x:c r="D965" s="29" t="str">
        <x:v>Gove County</x:v>
      </x:c>
      <x:c r="E965" s="41" t="n">
        <x:v>2631</x:v>
      </x:c>
      <x:c r="F965" s="56" t="n">
        <x:v>38.917239</x:v>
      </x:c>
      <x:c r="G965" s="56" t="n">
        <x:v>-100.48736</x:v>
      </x:c>
      <x:c r="H965" s="44" t="n">
        <x:f>E965/SUMIF(A:A,A965,E:E)</x:f>
        <x:v>0.0002584995100692486</x:v>
      </x:c>
    </x:row>
    <x:row r="966" ht="15" hidden="0" customHeight="1">
      <x:c r="A966" s="27" t="str">
        <x:v>SCA-16</x:v>
      </x:c>
      <x:c r="B966" s="27" t="str">
        <x:v>20135</x:v>
      </x:c>
      <x:c r="C966" s="27" t="str">
        <x:v>KS</x:v>
      </x:c>
      <x:c r="D966" s="27" t="str">
        <x:v>Ness County</x:v>
      </x:c>
      <x:c r="E966" s="40" t="n">
        <x:v>2617</x:v>
      </x:c>
      <x:c r="F966" s="55" t="n">
        <x:v>38.480437</x:v>
      </x:c>
      <x:c r="G966" s="55" t="n">
        <x:v>-99.908745</x:v>
      </x:c>
      <x:c r="H966" s="43" t="n">
        <x:f>E966/SUMIF(A:A,A966,E:E)</x:f>
        <x:v>0.00025712399006127846</x:v>
      </x:c>
    </x:row>
    <x:row r="967" ht="21.600000381469727" hidden="0" customHeight="1">
      <x:c r="A967" s="29" t="str">
        <x:v>SCA-16</x:v>
      </x:c>
      <x:c r="B967" s="29" t="str">
        <x:v>20017</x:v>
      </x:c>
      <x:c r="C967" s="29" t="str">
        <x:v>KS</x:v>
      </x:c>
      <x:c r="D967" s="29" t="str">
        <x:v>Chase County</x:v>
      </x:c>
      <x:c r="E967" s="41" t="n">
        <x:v>2572</x:v>
      </x:c>
      <x:c r="F967" s="56" t="n">
        <x:v>38.299475</x:v>
      </x:c>
      <x:c r="G967" s="56" t="n">
        <x:v>-96.594029</x:v>
      </x:c>
      <x:c r="H967" s="44" t="n">
        <x:f>E967/SUMIF(A:A,A967,E:E)</x:f>
        <x:v>0.0002527026757499458</x:v>
      </x:c>
    </x:row>
    <x:row r="968" ht="21.600000381469727" hidden="0" customHeight="1">
      <x:c r="A968" s="27" t="str">
        <x:v>SCA-16</x:v>
      </x:c>
      <x:c r="B968" s="27" t="str">
        <x:v>31133</x:v>
      </x:c>
      <x:c r="C968" s="27" t="str">
        <x:v>NE</x:v>
      </x:c>
      <x:c r="D968" s="27" t="str">
        <x:v>Pawnee County</x:v>
      </x:c>
      <x:c r="E968" s="40" t="n">
        <x:v>2510</x:v>
      </x:c>
      <x:c r="F968" s="55" t="n">
        <x:v>40.137797</x:v>
      </x:c>
      <x:c r="G968" s="55" t="n">
        <x:v>-96.245214</x:v>
      </x:c>
      <x:c r="H968" s="43" t="n">
        <x:f>E968/SUMIF(A:A,A968,E:E)</x:f>
        <x:v>0.0002466110871432208</x:v>
      </x:c>
    </x:row>
    <x:row r="969" ht="21.600000381469727" hidden="0" customHeight="1">
      <x:c r="A969" s="29" t="str">
        <x:v>SCA-16</x:v>
      </x:c>
      <x:c r="B969" s="29" t="str">
        <x:v>48087</x:v>
      </x:c>
      <x:c r="C969" s="29" t="str">
        <x:v>TX</x:v>
      </x:c>
      <x:c r="D969" s="29" t="str">
        <x:v>Collingsworth County</x:v>
      </x:c>
      <x:c r="E969" s="41" t="n">
        <x:v>2487</x:v>
      </x:c>
      <x:c r="F969" s="56" t="n">
        <x:v>34.963358</x:v>
      </x:c>
      <x:c r="G969" s="56" t="n">
        <x:v>-100.272135</x:v>
      </x:c>
      <x:c r="H969" s="44" t="n">
        <x:f>E969/SUMIF(A:A,A969,E:E)</x:f>
        <x:v>0.0002443513042729841</x:v>
      </x:c>
    </x:row>
    <x:row r="970" ht="15" hidden="0" customHeight="1">
      <x:c r="A970" s="27" t="str">
        <x:v>SCA-16</x:v>
      </x:c>
      <x:c r="B970" s="27" t="str">
        <x:v>20049</x:v>
      </x:c>
      <x:c r="C970" s="27" t="str">
        <x:v>KS</x:v>
      </x:c>
      <x:c r="D970" s="27" t="str">
        <x:v>Elk County</x:v>
      </x:c>
      <x:c r="E970" s="40" t="n">
        <x:v>2458</x:v>
      </x:c>
      <x:c r="F970" s="55" t="n">
        <x:v>37.456026</x:v>
      </x:c>
      <x:c r="G970" s="55" t="n">
        <x:v>-96.244642</x:v>
      </x:c>
      <x:c r="H970" s="43" t="n">
        <x:f>E970/SUMIF(A:A,A970,E:E)</x:f>
        <x:v>0.0002415020128279031</x:v>
      </x:c>
    </x:row>
    <x:row r="971" ht="21.600000381469727" hidden="0" customHeight="1">
      <x:c r="A971" s="29" t="str">
        <x:v>SCA-16</x:v>
      </x:c>
      <x:c r="B971" s="29" t="str">
        <x:v>20097</x:v>
      </x:c>
      <x:c r="C971" s="29" t="str">
        <x:v>KS</x:v>
      </x:c>
      <x:c r="D971" s="29" t="str">
        <x:v>Kiowa County</x:v>
      </x:c>
      <x:c r="E971" s="41" t="n">
        <x:v>2432</x:v>
      </x:c>
      <x:c r="F971" s="56" t="n">
        <x:v>37.561231</x:v>
      </x:c>
      <x:c r="G971" s="56" t="n">
        <x:v>-99.286538</x:v>
      </x:c>
      <x:c r="H971" s="44" t="n">
        <x:f>E971/SUMIF(A:A,A971,E:E)</x:f>
        <x:v>0.00023894747567024423</x:v>
      </x:c>
    </x:row>
    <x:row r="972" ht="21.600000381469727" hidden="0" customHeight="1">
      <x:c r="A972" s="27" t="str">
        <x:v>SCA-16</x:v>
      </x:c>
      <x:c r="B972" s="27" t="str">
        <x:v>20065</x:v>
      </x:c>
      <x:c r="C972" s="27" t="str">
        <x:v>KS</x:v>
      </x:c>
      <x:c r="D972" s="27" t="str">
        <x:v>Graham County</x:v>
      </x:c>
      <x:c r="E972" s="40" t="n">
        <x:v>2371</x:v>
      </x:c>
      <x:c r="F972" s="55" t="n">
        <x:v>39.354972</x:v>
      </x:c>
      <x:c r="G972" s="55" t="n">
        <x:v>-99.879894</x:v>
      </x:c>
      <x:c r="H972" s="43" t="n">
        <x:f>E972/SUMIF(A:A,A972,E:E)</x:f>
        <x:v>0.00023295413849265997</x:v>
      </x:c>
    </x:row>
    <x:row r="973" ht="21.600000381469727" hidden="0" customHeight="1">
      <x:c r="A973" s="29" t="str">
        <x:v>SCA-16</x:v>
      </x:c>
      <x:c r="B973" s="29" t="str">
        <x:v>31077</x:v>
      </x:c>
      <x:c r="C973" s="29" t="str">
        <x:v>NE</x:v>
      </x:c>
      <x:c r="D973" s="29" t="str">
        <x:v>Greeley County</x:v>
      </x:c>
      <x:c r="E973" s="41" t="n">
        <x:v>2154</x:v>
      </x:c>
      <x:c r="F973" s="56" t="n">
        <x:v>41.567563</x:v>
      </x:c>
      <x:c r="G973" s="56" t="n">
        <x:v>-98.530567</x:v>
      </x:c>
      <x:c r="H973" s="44" t="n">
        <x:f>E973/SUMIF(A:A,A973,E:E)</x:f>
        <x:v>0.00021163357836912256</x:v>
      </x:c>
    </x:row>
    <x:row r="974" ht="15" hidden="0" customHeight="1">
      <x:c r="A974" s="27" t="str">
        <x:v>SCA-16</x:v>
      </x:c>
      <x:c r="B974" s="27" t="str">
        <x:v>20025</x:v>
      </x:c>
      <x:c r="C974" s="27" t="str">
        <x:v>KS</x:v>
      </x:c>
      <x:c r="D974" s="27" t="str">
        <x:v>Clark County</x:v>
      </x:c>
      <x:c r="E974" s="40" t="n">
        <x:v>1900</x:v>
      </x:c>
      <x:c r="F974" s="55" t="n">
        <x:v>37.233831</x:v>
      </x:c>
      <x:c r="G974" s="55" t="n">
        <x:v>-99.813869</x:v>
      </x:c>
      <x:c r="H974" s="43" t="n">
        <x:f>E974/SUMIF(A:A,A974,E:E)</x:f>
        <x:v>0.0001866777153673783</x:v>
      </x:c>
    </x:row>
    <x:row r="975" ht="21.600000381469727" hidden="0" customHeight="1">
      <x:c r="A975" s="29" t="str">
        <x:v>SCA-16</x:v>
      </x:c>
      <x:c r="B975" s="29" t="str">
        <x:v>48011</x:v>
      </x:c>
      <x:c r="C975" s="29" t="str">
        <x:v>TX</x:v>
      </x:c>
      <x:c r="D975" s="29" t="str">
        <x:v>Armstrong County</x:v>
      </x:c>
      <x:c r="E975" s="41" t="n">
        <x:v>1843</x:v>
      </x:c>
      <x:c r="F975" s="56" t="n">
        <x:v>34.964179</x:v>
      </x:c>
      <x:c r="G975" s="56" t="n">
        <x:v>-101.356636</x:v>
      </x:c>
      <x:c r="H975" s="44" t="n">
        <x:f>E975/SUMIF(A:A,A975,E:E)</x:f>
        <x:v>0.00018107738390635696</x:v>
      </x:c>
    </x:row>
    <x:row r="976" ht="21.600000381469727" hidden="0" customHeight="1">
      <x:c r="A976" s="27" t="str">
        <x:v>SCA-16</x:v>
      </x:c>
      <x:c r="B976" s="27" t="str">
        <x:v>31073</x:v>
      </x:c>
      <x:c r="C976" s="27" t="str">
        <x:v>NE</x:v>
      </x:c>
      <x:c r="D976" s="27" t="str">
        <x:v>Gosper County</x:v>
      </x:c>
      <x:c r="E976" s="40" t="n">
        <x:v>1803</x:v>
      </x:c>
      <x:c r="F976" s="55" t="n">
        <x:v>40.509095</x:v>
      </x:c>
      <x:c r="G976" s="55" t="n">
        <x:v>-99.823206</x:v>
      </x:c>
      <x:c r="H976" s="43" t="n">
        <x:f>E976/SUMIF(A:A,A976,E:E)</x:f>
        <x:v>0.00017714732674072793</x:v>
      </x:c>
    </x:row>
    <x:row r="977" ht="21.600000381469727" hidden="0" customHeight="1">
      <x:c r="A977" s="29" t="str">
        <x:v>SCA-16</x:v>
      </x:c>
      <x:c r="B977" s="29" t="str">
        <x:v>31071</x:v>
      </x:c>
      <x:c r="C977" s="29" t="str">
        <x:v>NE</x:v>
      </x:c>
      <x:c r="D977" s="29" t="str">
        <x:v>Garfield County</x:v>
      </x:c>
      <x:c r="E977" s="41" t="n">
        <x:v>1710</x:v>
      </x:c>
      <x:c r="F977" s="56" t="n">
        <x:v>41.906912</x:v>
      </x:c>
      <x:c r="G977" s="56" t="n">
        <x:v>-98.951283</x:v>
      </x:c>
      <x:c r="H977" s="44" t="n">
        <x:f>E977/SUMIF(A:A,A977,E:E)</x:f>
        <x:v>0.00016800994383064048</x:v>
      </x:c>
    </x:row>
    <x:row r="978" ht="21.600000381469727" hidden="0" customHeight="1">
      <x:c r="A978" s="27" t="str">
        <x:v>SCA-16</x:v>
      </x:c>
      <x:c r="B978" s="27" t="str">
        <x:v>20033</x:v>
      </x:c>
      <x:c r="C978" s="27" t="str">
        <x:v>KS</x:v>
      </x:c>
      <x:c r="D978" s="27" t="str">
        <x:v>Comanche County</x:v>
      </x:c>
      <x:c r="E978" s="40" t="n">
        <x:v>1673</x:v>
      </x:c>
      <x:c r="F978" s="55" t="n">
        <x:v>37.181442</x:v>
      </x:c>
      <x:c r="G978" s="55" t="n">
        <x:v>-99.251293</x:v>
      </x:c>
      <x:c r="H978" s="43" t="n">
        <x:f>E978/SUMIF(A:A,A978,E:E)</x:f>
        <x:v>0.00016437464095243363</x:v>
      </x:c>
    </x:row>
    <x:row r="979" ht="21.600000381469727" hidden="0" customHeight="1">
      <x:c r="A979" s="29" t="str">
        <x:v>SCA-16</x:v>
      </x:c>
      <x:c r="B979" s="29" t="str">
        <x:v>20083</x:v>
      </x:c>
      <x:c r="C979" s="29" t="str">
        <x:v>KS</x:v>
      </x:c>
      <x:c r="D979" s="29" t="str">
        <x:v>Hodgeman County</x:v>
      </x:c>
      <x:c r="E979" s="41" t="n">
        <x:v>1619</x:v>
      </x:c>
      <x:c r="F979" s="56" t="n">
        <x:v>38.087493</x:v>
      </x:c>
      <x:c r="G979" s="56" t="n">
        <x:v>-99.898407</x:v>
      </x:c>
      <x:c r="H979" s="44" t="n">
        <x:f>E979/SUMIF(A:A,A979,E:E)</x:f>
        <x:v>0.00015906906377883447</x:v>
      </x:c>
    </x:row>
    <x:row r="980" ht="15" hidden="0" customHeight="1">
      <x:c r="A980" s="27" t="str">
        <x:v>SCA-16</x:v>
      </x:c>
      <x:c r="B980" s="27" t="str">
        <x:v>20101</x:v>
      </x:c>
      <x:c r="C980" s="27" t="str">
        <x:v>KS</x:v>
      </x:c>
      <x:c r="D980" s="27" t="str">
        <x:v>Lane County</x:v>
      </x:c>
      <x:c r="E980" s="40" t="n">
        <x:v>1508</x:v>
      </x:c>
      <x:c r="F980" s="55" t="n">
        <x:v>38.481286</x:v>
      </x:c>
      <x:c r="G980" s="55" t="n">
        <x:v>-100.466185</x:v>
      </x:c>
      <x:c r="H980" s="43" t="n">
        <x:f>E980/SUMIF(A:A,A980,E:E)</x:f>
        <x:v>0.00014816315514421395</x:v>
      </x:c>
    </x:row>
    <x:row r="981" ht="21.600000381469727" hidden="0" customHeight="1">
      <x:c r="A981" s="29" t="str">
        <x:v>SCA-16</x:v>
      </x:c>
      <x:c r="B981" s="29" t="str">
        <x:v>48393</x:v>
      </x:c>
      <x:c r="C981" s="29" t="str">
        <x:v>TX</x:v>
      </x:c>
      <x:c r="D981" s="29" t="str">
        <x:v>Roberts County</x:v>
      </x:c>
      <x:c r="E981" s="41" t="n">
        <x:v>867</x:v>
      </x:c>
      <x:c r="F981" s="56" t="n">
        <x:v>35.838596</x:v>
      </x:c>
      <x:c r="G981" s="56" t="n">
        <x:v>-100.836682</x:v>
      </x:c>
      <x:c r="H981" s="44" t="n">
        <x:f>E981/SUMIF(A:A,A981,E:E)</x:f>
        <x:v>0.00008518398906500894</x:v>
      </x:c>
    </x:row>
    <x:row r="982" ht="21.600000381469727" hidden="0" customHeight="1">
      <x:c r="A982" s="27" t="str">
        <x:v>SCA-16</x:v>
      </x:c>
      <x:c r="B982" s="27" t="str">
        <x:v>31183</x:v>
      </x:c>
      <x:c r="C982" s="27" t="str">
        <x:v>NE</x:v>
      </x:c>
      <x:c r="D982" s="27" t="str">
        <x:v>Wheeler County</x:v>
      </x:c>
      <x:c r="E982" s="40" t="n">
        <x:v>789</x:v>
      </x:c>
      <x:c r="F982" s="55" t="n">
        <x:v>41.922575</x:v>
      </x:c>
      <x:c r="G982" s="55" t="n">
        <x:v>-98.520853</x:v>
      </x:c>
      <x:c r="H982" s="43" t="n">
        <x:f>E982/SUMIF(A:A,A982,E:E)</x:f>
        <x:v>0.00007752037759203236</x:v>
      </x:c>
    </x:row>
    <x:row r="983" ht="15" hidden="0" customHeight="1">
      <x:c r="A983" s="29" t="str">
        <x:v>SCA-16</x:v>
      </x:c>
      <x:c r="B983" s="29" t="str">
        <x:v>31115</x:v>
      </x:c>
      <x:c r="C983" s="29" t="str">
        <x:v>NE</x:v>
      </x:c>
      <x:c r="D983" s="29" t="str">
        <x:v>Loup County</x:v>
      </x:c>
      <x:c r="E983" s="41" t="n">
        <x:v>570</x:v>
      </x:c>
      <x:c r="F983" s="56" t="n">
        <x:v>41.898204</x:v>
      </x:c>
      <x:c r="G983" s="56" t="n">
        <x:v>-99.514525</x:v>
      </x:c>
      <x:c r="H983" s="44" t="n">
        <x:f>E983/SUMIF(A:A,A983,E:E)</x:f>
        <x:v>0.00005600331461021349</x:v>
      </x:c>
    </x:row>
    <x:row r="984" ht="21.600000381469727" hidden="0" customHeight="1">
      <x:c r="A984" s="27" t="str">
        <x:v>SCA-16</x:v>
      </x:c>
      <x:c r="B984" s="27" t="str">
        <x:v>31009</x:v>
      </x:c>
      <x:c r="C984" s="27" t="str">
        <x:v>NE</x:v>
      </x:c>
      <x:c r="D984" s="27" t="str">
        <x:v>Blaine County</x:v>
      </x:c>
      <x:c r="E984" s="40" t="n">
        <x:v>458</x:v>
      </x:c>
      <x:c r="F984" s="55" t="n">
        <x:v>41.931945</x:v>
      </x:c>
      <x:c r="G984" s="55" t="n">
        <x:v>-99.996407</x:v>
      </x:c>
      <x:c r="H984" s="43" t="n">
        <x:f>E984/SUMIF(A:A,A984,E:E)</x:f>
        <x:v>0.00004499915454645224</x:v>
      </x:c>
    </x:row>
    <x:row r="985" ht="21.600000381469727" hidden="0" customHeight="1">
      <x:c r="A985" s="29" t="str">
        <x:v>SCA-17</x:v>
      </x:c>
      <x:c r="B985" s="29" t="str">
        <x:v>48201</x:v>
      </x:c>
      <x:c r="C985" s="29" t="str">
        <x:v>TX</x:v>
      </x:c>
      <x:c r="D985" s="29" t="str">
        <x:v>Harris County</x:v>
      </x:c>
      <x:c r="E985" s="41" t="n">
        <x:v>5045026</x:v>
      </x:c>
      <x:c r="F985" s="56" t="n">
        <x:v>29.857273</x:v>
      </x:c>
      <x:c r="G985" s="56" t="n">
        <x:v>-95.393037</x:v>
      </x:c>
      <x:c r="H985" s="44" t="n">
        <x:f>E985/SUMIF(A:A,A985,E:E)</x:f>
        <x:v>0.3928074484940214</x:v>
      </x:c>
    </x:row>
    <x:row r="986" ht="21.600000381469727" hidden="0" customHeight="1">
      <x:c r="A986" s="27" t="str">
        <x:v>SCA-17</x:v>
      </x:c>
      <x:c r="B986" s="27" t="str">
        <x:v>48157</x:v>
      </x:c>
      <x:c r="C986" s="27" t="str">
        <x:v>TX</x:v>
      </x:c>
      <x:c r="D986" s="27" t="str">
        <x:v>Fort Bend County</x:v>
      </x:c>
      <x:c r="E986" s="40" t="n">
        <x:v>975191</x:v>
      </x:c>
      <x:c r="F986" s="55" t="n">
        <x:v>29.526602</x:v>
      </x:c>
      <x:c r="G986" s="55" t="n">
        <x:v>-95.771015</x:v>
      </x:c>
      <x:c r="H986" s="43" t="n">
        <x:f>E986/SUMIF(A:A,A986,E:E)</x:f>
        <x:v>0.07592870453082565</x:v>
      </x:c>
    </x:row>
    <x:row r="987" ht="21.600000381469727" hidden="0" customHeight="1">
      <x:c r="A987" s="29" t="str">
        <x:v>SCA-17</x:v>
      </x:c>
      <x:c r="B987" s="29" t="str">
        <x:v>48339</x:v>
      </x:c>
      <x:c r="C987" s="29" t="str">
        <x:v>TX</x:v>
      </x:c>
      <x:c r="D987" s="29" t="str">
        <x:v>Montgomery County</x:v>
      </x:c>
      <x:c r="E987" s="41" t="n">
        <x:v>781194</x:v>
      </x:c>
      <x:c r="F987" s="56" t="n">
        <x:v>30.298801</x:v>
      </x:c>
      <x:c r="G987" s="56" t="n">
        <x:v>-95.50295</x:v>
      </x:c>
      <x:c r="H987" s="44" t="n">
        <x:f>E987/SUMIF(A:A,A987,E:E)</x:f>
        <x:v>0.060824031812489875</x:v>
      </x:c>
    </x:row>
    <x:row r="988" ht="32.400001525878906" hidden="0" customHeight="1">
      <x:c r="A988" s="27" t="str">
        <x:v>SCA-17</x:v>
      </x:c>
      <x:c r="B988" s="27" t="str">
        <x:v>22033</x:v>
      </x:c>
      <x:c r="C988" s="27" t="str">
        <x:v>LA</x:v>
      </x:c>
      <x:c r="D988" s="27" t="str">
        <x:v>East Baton Rouge Parish</x:v>
      </x:c>
      <x:c r="E988" s="40" t="n">
        <x:v>456180</x:v>
      </x:c>
      <x:c r="F988" s="55" t="n">
        <x:v>30.54393</x:v>
      </x:c>
      <x:c r="G988" s="55" t="n">
        <x:v>-91.093131</x:v>
      </x:c>
      <x:c r="H988" s="43" t="n">
        <x:f>E988/SUMIF(A:A,A988,E:E)</x:f>
        <x:v>0.03551833069918821</x:v>
      </x:c>
    </x:row>
    <x:row r="989" ht="21.600000381469727" hidden="0" customHeight="1">
      <x:c r="A989" s="29" t="str">
        <x:v>SCA-17</x:v>
      </x:c>
      <x:c r="B989" s="29" t="str">
        <x:v>22051</x:v>
      </x:c>
      <x:c r="C989" s="29" t="str">
        <x:v>LA</x:v>
      </x:c>
      <x:c r="D989" s="29" t="str">
        <x:v>Jefferson Parish</x:v>
      </x:c>
      <x:c r="E989" s="41" t="n">
        <x:v>431398</x:v>
      </x:c>
      <x:c r="F989" s="56" t="n">
        <x:v>29.5033</x:v>
      </x:c>
      <x:c r="G989" s="56" t="n">
        <x:v>-90.036231</x:v>
      </x:c>
      <x:c r="H989" s="44" t="n">
        <x:f>E989/SUMIF(A:A,A989,E:E)</x:f>
        <x:v>0.03358879570995746</x:v>
      </x:c>
    </x:row>
    <x:row r="990" ht="21.600000381469727" hidden="0" customHeight="1">
      <x:c r="A990" s="27" t="str">
        <x:v>SCA-17</x:v>
      </x:c>
      <x:c r="B990" s="27" t="str">
        <x:v>48039</x:v>
      </x:c>
      <x:c r="C990" s="27" t="str">
        <x:v>TX</x:v>
      </x:c>
      <x:c r="D990" s="27" t="str">
        <x:v>Brazoria County</x:v>
      </x:c>
      <x:c r="E990" s="40" t="n">
        <x:v>419080</x:v>
      </x:c>
      <x:c r="F990" s="55" t="n">
        <x:v>29.167817</x:v>
      </x:c>
      <x:c r="G990" s="55" t="n">
        <x:v>-95.434647</x:v>
      </x:c>
      <x:c r="H990" s="43" t="n">
        <x:f>E990/SUMIF(A:A,A990,E:E)</x:f>
        <x:v>0.03262971202028978</x:v>
      </x:c>
    </x:row>
    <x:row r="991" ht="21.600000381469727" hidden="0" customHeight="1">
      <x:c r="A991" s="29" t="str">
        <x:v>SCA-17</x:v>
      </x:c>
      <x:c r="B991" s="29" t="str">
        <x:v>48167</x:v>
      </x:c>
      <x:c r="C991" s="29" t="str">
        <x:v>TX</x:v>
      </x:c>
      <x:c r="D991" s="29" t="str">
        <x:v>Galveston County</x:v>
      </x:c>
      <x:c r="E991" s="41" t="n">
        <x:v>372207</x:v>
      </x:c>
      <x:c r="F991" s="56" t="n">
        <x:v>29.233927</x:v>
      </x:c>
      <x:c r="G991" s="56" t="n">
        <x:v>-94.888197</x:v>
      </x:c>
      <x:c r="H991" s="44" t="n">
        <x:f>E991/SUMIF(A:A,A991,E:E)</x:f>
        <x:v>0.02898016422147561</x:v>
      </x:c>
    </x:row>
    <x:row r="992" ht="21.600000381469727" hidden="0" customHeight="1">
      <x:c r="A992" s="27" t="str">
        <x:v>SCA-17</x:v>
      </x:c>
      <x:c r="B992" s="27" t="str">
        <x:v>22071</x:v>
      </x:c>
      <x:c r="C992" s="27" t="str">
        <x:v>LA</x:v>
      </x:c>
      <x:c r="D992" s="27" t="str">
        <x:v>Orleans Parish</x:v>
      </x:c>
      <x:c r="E992" s="40" t="n">
        <x:v>362154</x:v>
      </x:c>
      <x:c r="F992" s="55" t="n">
        <x:v>30.05342</x:v>
      </x:c>
      <x:c r="G992" s="55" t="n">
        <x:v>-89.934502</x:v>
      </x:c>
      <x:c r="H992" s="43" t="n">
        <x:f>E992/SUMIF(A:A,A992,E:E)</x:f>
        <x:v>0.02819743420587006</x:v>
      </x:c>
    </x:row>
    <x:row r="993" ht="21.600000381469727" hidden="0" customHeight="1">
      <x:c r="A993" s="29" t="str">
        <x:v>SCA-17</x:v>
      </x:c>
      <x:c r="B993" s="29" t="str">
        <x:v>22055</x:v>
      </x:c>
      <x:c r="C993" s="29" t="str">
        <x:v>LA</x:v>
      </x:c>
      <x:c r="D993" s="29" t="str">
        <x:v>Lafayette Parish</x:v>
      </x:c>
      <x:c r="E993" s="41" t="n">
        <x:v>257949</x:v>
      </x:c>
      <x:c r="F993" s="56" t="n">
        <x:v>30.206507</x:v>
      </x:c>
      <x:c r="G993" s="56" t="n">
        <x:v>-92.06417</x:v>
      </x:c>
      <x:c r="H993" s="44" t="n">
        <x:f>E993/SUMIF(A:A,A993,E:E)</x:f>
        <x:v>0.020083997293885963</x:v>
      </x:c>
    </x:row>
    <x:row r="994" ht="21.600000381469727" hidden="0" customHeight="1">
      <x:c r="A994" s="27" t="str">
        <x:v>SCA-17</x:v>
      </x:c>
      <x:c r="B994" s="27" t="str">
        <x:v>48245</x:v>
      </x:c>
      <x:c r="C994" s="27" t="str">
        <x:v>TX</x:v>
      </x:c>
      <x:c r="D994" s="27" t="str">
        <x:v>Jefferson County</x:v>
      </x:c>
      <x:c r="E994" s="40" t="n">
        <x:v>254321</x:v>
      </x:c>
      <x:c r="F994" s="55" t="n">
        <x:v>29.854027</x:v>
      </x:c>
      <x:c r="G994" s="55" t="n">
        <x:v>-94.149318</x:v>
      </x:c>
      <x:c r="H994" s="43" t="n">
        <x:f>E994/SUMIF(A:A,A994,E:E)</x:f>
        <x:v>0.01980151997401956</x:v>
      </x:c>
    </x:row>
    <x:row r="995" ht="21.600000381469727" hidden="0" customHeight="1">
      <x:c r="A995" s="29" t="str">
        <x:v>SCA-17</x:v>
      </x:c>
      <x:c r="B995" s="29" t="str">
        <x:v>48041</x:v>
      </x:c>
      <x:c r="C995" s="29" t="str">
        <x:v>TX</x:v>
      </x:c>
      <x:c r="D995" s="29" t="str">
        <x:v>Brazos County</x:v>
      </x:c>
      <x:c r="E995" s="41" t="n">
        <x:v>249088</x:v>
      </x:c>
      <x:c r="F995" s="56" t="n">
        <x:v>30.656713</x:v>
      </x:c>
      <x:c r="G995" s="56" t="n">
        <x:v>-96.302394</x:v>
      </x:c>
      <x:c r="H995" s="44" t="n">
        <x:f>E995/SUMIF(A:A,A995,E:E)</x:f>
        <x:v>0.01939407680564556</x:v>
      </x:c>
    </x:row>
    <x:row r="996" ht="21.600000381469727" hidden="0" customHeight="1">
      <x:c r="A996" s="27" t="str">
        <x:v>SCA-17</x:v>
      </x:c>
      <x:c r="B996" s="27" t="str">
        <x:v>22019</x:v>
      </x:c>
      <x:c r="C996" s="27" t="str">
        <x:v>LA</x:v>
      </x:c>
      <x:c r="D996" s="27" t="str">
        <x:v>Calcasieu Parish</x:v>
      </x:c>
      <x:c r="E996" s="40" t="n">
        <x:v>208466</x:v>
      </x:c>
      <x:c r="F996" s="55" t="n">
        <x:v>30.229559</x:v>
      </x:c>
      <x:c r="G996" s="55" t="n">
        <x:v>-93.358015</x:v>
      </x:c>
      <x:c r="H996" s="43" t="n">
        <x:f>E996/SUMIF(A:A,A996,E:E)</x:f>
        <x:v>0.016231234003106162</x:v>
      </x:c>
    </x:row>
    <x:row r="997" ht="21.600000381469727" hidden="0" customHeight="1">
      <x:c r="A997" s="29" t="str">
        <x:v>SCA-17</x:v>
      </x:c>
      <x:c r="B997" s="29" t="str">
        <x:v>22063</x:v>
      </x:c>
      <x:c r="C997" s="29" t="str">
        <x:v>LA</x:v>
      </x:c>
      <x:c r="D997" s="29" t="str">
        <x:v>Livingston Parish</x:v>
      </x:c>
      <x:c r="E997" s="41" t="n">
        <x:v>155036</x:v>
      </x:c>
      <x:c r="F997" s="56" t="n">
        <x:v>30.440419</x:v>
      </x:c>
      <x:c r="G997" s="56" t="n">
        <x:v>-90.727474</x:v>
      </x:c>
      <x:c r="H997" s="44" t="n">
        <x:f>E997/SUMIF(A:A,A997,E:E)</x:f>
        <x:v>0.012071155943441936</x:v>
      </x:c>
    </x:row>
    <x:row r="998" ht="21.600000381469727" hidden="0" customHeight="1">
      <x:c r="A998" s="27" t="str">
        <x:v>SCA-17</x:v>
      </x:c>
      <x:c r="B998" s="27" t="str">
        <x:v>22105</x:v>
      </x:c>
      <x:c r="C998" s="27" t="str">
        <x:v>LA</x:v>
      </x:c>
      <x:c r="D998" s="27" t="str">
        <x:v>Tangipahoa Parish</x:v>
      </x:c>
      <x:c r="E998" s="40" t="n">
        <x:v>141346</x:v>
      </x:c>
      <x:c r="F998" s="55" t="n">
        <x:v>30.621348</x:v>
      </x:c>
      <x:c r="G998" s="55" t="n">
        <x:v>-90.40649</x:v>
      </x:c>
      <x:c r="H998" s="43" t="n">
        <x:f>E998/SUMIF(A:A,A998,E:E)</x:f>
        <x:v>0.011005247864894244</x:v>
      </x:c>
    </x:row>
    <x:row r="999" ht="21.600000381469727" hidden="0" customHeight="1">
      <x:c r="A999" s="29" t="str">
        <x:v>SCA-17</x:v>
      </x:c>
      <x:c r="B999" s="29" t="str">
        <x:v>22005</x:v>
      </x:c>
      <x:c r="C999" s="29" t="str">
        <x:v>LA</x:v>
      </x:c>
      <x:c r="D999" s="29" t="str">
        <x:v>Ascension Parish</x:v>
      </x:c>
      <x:c r="E999" s="41" t="n">
        <x:v>135105</x:v>
      </x:c>
      <x:c r="F999" s="56" t="n">
        <x:v>30.206444</x:v>
      </x:c>
      <x:c r="G999" s="56" t="n">
        <x:v>-90.912502</x:v>
      </x:c>
      <x:c r="H999" s="44" t="n">
        <x:f>E999/SUMIF(A:A,A999,E:E)</x:f>
        <x:v>0.010519321472036965</x:v>
      </x:c>
    </x:row>
    <x:row r="1000" ht="21.600000381469727" hidden="0" customHeight="1">
      <x:c r="A1000" s="27" t="str">
        <x:v>SCA-17</x:v>
      </x:c>
      <x:c r="B1000" s="27" t="str">
        <x:v>22079</x:v>
      </x:c>
      <x:c r="C1000" s="27" t="str">
        <x:v>LA</x:v>
      </x:c>
      <x:c r="D1000" s="27" t="str">
        <x:v>Rapides Parish</x:v>
      </x:c>
      <x:c r="E1000" s="40" t="n">
        <x:v>125877</x:v>
      </x:c>
      <x:c r="F1000" s="55" t="n">
        <x:v>31.193204</x:v>
      </x:c>
      <x:c r="G1000" s="55" t="n">
        <x:v>-92.535953</x:v>
      </x:c>
      <x:c r="H1000" s="43" t="n">
        <x:f>E1000/SUMIF(A:A,A1000,E:E)</x:f>
        <x:v>0.009800826238374576</x:v>
      </x:c>
    </x:row>
    <x:row r="1001" ht="21.600000381469727" hidden="0" customHeight="1">
      <x:c r="A1001" s="29" t="str">
        <x:v>SCA-17</x:v>
      </x:c>
      <x:c r="B1001" s="29" t="str">
        <x:v>48291</x:v>
      </x:c>
      <x:c r="C1001" s="29" t="str">
        <x:v>TX</x:v>
      </x:c>
      <x:c r="D1001" s="29" t="str">
        <x:v>Liberty County</x:v>
      </x:c>
      <x:c r="E1001" s="41" t="n">
        <x:v>121364</x:v>
      </x:c>
      <x:c r="F1001" s="56" t="n">
        <x:v>30.158508</x:v>
      </x:c>
      <x:c r="G1001" s="56" t="n">
        <x:v>-94.844061</x:v>
      </x:c>
      <x:c r="H1001" s="44" t="n">
        <x:f>E1001/SUMIF(A:A,A1001,E:E)</x:f>
        <x:v>0.009449442516060058</x:v>
      </x:c>
    </x:row>
    <x:row r="1002" ht="21.600000381469727" hidden="0" customHeight="1">
      <x:c r="A1002" s="27" t="str">
        <x:v>SCA-17</x:v>
      </x:c>
      <x:c r="B1002" s="27" t="str">
        <x:v>22109</x:v>
      </x:c>
      <x:c r="C1002" s="27" t="str">
        <x:v>LA</x:v>
      </x:c>
      <x:c r="D1002" s="27" t="str">
        <x:v>Terrebonne Parish</x:v>
      </x:c>
      <x:c r="E1002" s="40" t="n">
        <x:v>104163</x:v>
      </x:c>
      <x:c r="F1002" s="55" t="n">
        <x:v>29.33413</x:v>
      </x:c>
      <x:c r="G1002" s="55" t="n">
        <x:v>-90.843674</x:v>
      </x:c>
      <x:c r="H1002" s="43" t="n">
        <x:f>E1002/SUMIF(A:A,A1002,E:E)</x:f>
        <x:v>0.00811016677763063</x:v>
      </x:c>
    </x:row>
    <x:row r="1003" ht="21.600000381469727" hidden="0" customHeight="1">
      <x:c r="A1003" s="29" t="str">
        <x:v>SCA-17</x:v>
      </x:c>
      <x:c r="B1003" s="29" t="str">
        <x:v>22057</x:v>
      </x:c>
      <x:c r="C1003" s="29" t="str">
        <x:v>LA</x:v>
      </x:c>
      <x:c r="D1003" s="29" t="str">
        <x:v>Lafourche Parish</x:v>
      </x:c>
      <x:c r="E1003" s="41" t="n">
        <x:v>95505</x:v>
      </x:c>
      <x:c r="F1003" s="56" t="n">
        <x:v>29.491992</x:v>
      </x:c>
      <x:c r="G1003" s="56" t="n">
        <x:v>-90.394849</x:v>
      </x:c>
      <x:c r="H1003" s="44" t="n">
        <x:f>E1003/SUMIF(A:A,A1003,E:E)</x:f>
        <x:v>0.007436051938765333</x:v>
      </x:c>
    </x:row>
    <x:row r="1004" ht="21.600000381469727" hidden="0" customHeight="1">
      <x:c r="A1004" s="27" t="str">
        <x:v>SCA-17</x:v>
      </x:c>
      <x:c r="B1004" s="27" t="str">
        <x:v>48005</x:v>
      </x:c>
      <x:c r="C1004" s="27" t="str">
        <x:v>TX</x:v>
      </x:c>
      <x:c r="D1004" s="27" t="str">
        <x:v>Angelina County</x:v>
      </x:c>
      <x:c r="E1004" s="40" t="n">
        <x:v>88154</x:v>
      </x:c>
      <x:c r="F1004" s="55" t="n">
        <x:v>31.251896</x:v>
      </x:c>
      <x:c r="G1004" s="55" t="n">
        <x:v>-94.611134</x:v>
      </x:c>
      <x:c r="H1004" s="43" t="n">
        <x:f>E1004/SUMIF(A:A,A1004,E:E)</x:f>
        <x:v>0.006863700566566349</x:v>
      </x:c>
    </x:row>
    <x:row r="1005" ht="21.600000381469727" hidden="0" customHeight="1">
      <x:c r="A1005" s="29" t="str">
        <x:v>SCA-17</x:v>
      </x:c>
      <x:c r="B1005" s="29" t="str">
        <x:v>48361</x:v>
      </x:c>
      <x:c r="C1005" s="29" t="str">
        <x:v>TX</x:v>
      </x:c>
      <x:c r="D1005" s="29" t="str">
        <x:v>Orange County</x:v>
      </x:c>
      <x:c r="E1005" s="41" t="n">
        <x:v>86266</x:v>
      </x:c>
      <x:c r="F1005" s="56" t="n">
        <x:v>30.122323</x:v>
      </x:c>
      <x:c r="G1005" s="56" t="n">
        <x:v>-93.8941</x:v>
      </x:c>
      <x:c r="H1005" s="44" t="n">
        <x:f>E1005/SUMIF(A:A,A1005,E:E)</x:f>
        <x:v>0.006716700241343701</x:v>
      </x:c>
    </x:row>
    <x:row r="1006" ht="21.600000381469727" hidden="0" customHeight="1">
      <x:c r="A1006" s="27" t="str">
        <x:v>SCA-17</x:v>
      </x:c>
      <x:c r="B1006" s="27" t="str">
        <x:v>48471</x:v>
      </x:c>
      <x:c r="C1006" s="27" t="str">
        <x:v>TX</x:v>
      </x:c>
      <x:c r="D1006" s="27" t="str">
        <x:v>Walker County</x:v>
      </x:c>
      <x:c r="E1006" s="40" t="n">
        <x:v>83842</x:v>
      </x:c>
      <x:c r="F1006" s="55" t="n">
        <x:v>30.743163</x:v>
      </x:c>
      <x:c r="G1006" s="55" t="n">
        <x:v>-95.569825</x:v>
      </x:c>
      <x:c r="H1006" s="43" t="n">
        <x:f>E1006/SUMIF(A:A,A1006,E:E)</x:f>
        <x:v>0.006527966772943438</x:v>
      </x:c>
    </x:row>
    <x:row r="1007" ht="21.600000381469727" hidden="0" customHeight="1">
      <x:c r="A1007" s="29" t="str">
        <x:v>SCA-17</x:v>
      </x:c>
      <x:c r="B1007" s="29" t="str">
        <x:v>22097</x:v>
      </x:c>
      <x:c r="C1007" s="29" t="str">
        <x:v>LA</x:v>
      </x:c>
      <x:c r="D1007" s="29" t="str">
        <x:v>St. Landry Parish</x:v>
      </x:c>
      <x:c r="E1007" s="41" t="n">
        <x:v>80765</x:v>
      </x:c>
      <x:c r="F1007" s="56" t="n">
        <x:v>30.583441</x:v>
      </x:c>
      <x:c r="G1007" s="56" t="n">
        <x:v>-91.989274</x:v>
      </x:c>
      <x:c r="H1007" s="44" t="n">
        <x:f>E1007/SUMIF(A:A,A1007,E:E)</x:f>
        <x:v>0.006288390501380892</x:v>
      </x:c>
    </x:row>
    <x:row r="1008" ht="21.600000381469727" hidden="0" customHeight="1">
      <x:c r="A1008" s="27" t="str">
        <x:v>SCA-17</x:v>
      </x:c>
      <x:c r="B1008" s="27" t="str">
        <x:v>48473</x:v>
      </x:c>
      <x:c r="C1008" s="27" t="str">
        <x:v>TX</x:v>
      </x:c>
      <x:c r="D1008" s="27" t="str">
        <x:v>Waller County</x:v>
      </x:c>
      <x:c r="E1008" s="40" t="n">
        <x:v>69858</x:v>
      </x:c>
      <x:c r="F1008" s="55" t="n">
        <x:v>30.01359</x:v>
      </x:c>
      <x:c r="G1008" s="55" t="n">
        <x:v>-95.982149</x:v>
      </x:c>
      <x:c r="H1008" s="43" t="n">
        <x:f>E1008/SUMIF(A:A,A1008,E:E)</x:f>
        <x:v>0.005439167753921456</x:v>
      </x:c>
    </x:row>
    <x:row r="1009" ht="15" hidden="0" customHeight="1">
      <x:c r="A1009" s="29" t="str">
        <x:v>SCA-17</x:v>
      </x:c>
      <x:c r="B1009" s="29" t="str">
        <x:v>22045</x:v>
      </x:c>
      <x:c r="C1009" s="29" t="str">
        <x:v>LA</x:v>
      </x:c>
      <x:c r="D1009" s="29" t="str">
        <x:v>Iberia Parish</x:v>
      </x:c>
      <x:c r="E1009" s="41" t="n">
        <x:v>66846</x:v>
      </x:c>
      <x:c r="F1009" s="56" t="n">
        <x:v>29.606013</x:v>
      </x:c>
      <x:c r="G1009" s="56" t="n">
        <x:v>-91.842706</x:v>
      </x:c>
      <x:c r="H1009" s="44" t="n">
        <x:f>E1009/SUMIF(A:A,A1009,E:E)</x:f>
        <x:v>0.005204652404572613</x:v>
      </x:c>
    </x:row>
    <x:row r="1010" ht="21.600000381469727" hidden="0" customHeight="1">
      <x:c r="A1010" s="27" t="str">
        <x:v>SCA-17</x:v>
      </x:c>
      <x:c r="B1010" s="27" t="str">
        <x:v>48347</x:v>
      </x:c>
      <x:c r="C1010" s="27" t="str">
        <x:v>TX</x:v>
      </x:c>
      <x:c r="D1010" s="27" t="str">
        <x:v>Nacogdoches County</x:v>
      </x:c>
      <x:c r="E1010" s="40" t="n">
        <x:v>66035</x:v>
      </x:c>
      <x:c r="F1010" s="55" t="n">
        <x:v>31.62056</x:v>
      </x:c>
      <x:c r="G1010" s="55" t="n">
        <x:v>-94.62025</x:v>
      </x:c>
      <x:c r="H1010" s="43" t="n">
        <x:f>E1010/SUMIF(A:A,A1010,E:E)</x:f>
        <x:v>0.0051415076674139444</x:v>
      </x:c>
    </x:row>
    <x:row r="1011" ht="21.600000381469727" hidden="0" customHeight="1">
      <x:c r="A1011" s="29" t="str">
        <x:v>SCA-17</x:v>
      </x:c>
      <x:c r="B1011" s="29" t="str">
        <x:v>48199</x:v>
      </x:c>
      <x:c r="C1011" s="29" t="str">
        <x:v>TX</x:v>
      </x:c>
      <x:c r="D1011" s="29" t="str">
        <x:v>Hardin County</x:v>
      </x:c>
      <x:c r="E1011" s="41" t="n">
        <x:v>58723</x:v>
      </x:c>
      <x:c r="F1011" s="56" t="n">
        <x:v>30.329648</x:v>
      </x:c>
      <x:c r="G1011" s="56" t="n">
        <x:v>-94.393178</x:v>
      </x:c>
      <x:c r="H1011" s="44" t="n">
        <x:f>E1011/SUMIF(A:A,A1011,E:E)</x:f>
        <x:v>0.004572192848543182</x:v>
      </x:c>
    </x:row>
    <x:row r="1012" ht="21.600000381469727" hidden="0" customHeight="1">
      <x:c r="A1012" s="27" t="str">
        <x:v>SCA-17</x:v>
      </x:c>
      <x:c r="B1012" s="27" t="str">
        <x:v>22113</x:v>
      </x:c>
      <x:c r="C1012" s="27" t="str">
        <x:v>LA</x:v>
      </x:c>
      <x:c r="D1012" s="27" t="str">
        <x:v>Vermilion Parish</x:v>
      </x:c>
      <x:c r="E1012" s="40" t="n">
        <x:v>57671</x:v>
      </x:c>
      <x:c r="F1012" s="55" t="n">
        <x:v>29.806638</x:v>
      </x:c>
      <x:c r="G1012" s="55" t="n">
        <x:v>-92.321394</x:v>
      </x:c>
      <x:c r="H1012" s="43" t="n">
        <x:f>E1012/SUMIF(A:A,A1012,E:E)</x:f>
        <x:v>0.004490283769022936</x:v>
      </x:c>
    </x:row>
    <x:row r="1013" ht="21.600000381469727" hidden="0" customHeight="1">
      <x:c r="A1013" s="29" t="str">
        <x:v>SCA-17</x:v>
      </x:c>
      <x:c r="B1013" s="29" t="str">
        <x:v>48071</x:v>
      </x:c>
      <x:c r="C1013" s="29" t="str">
        <x:v>TX</x:v>
      </x:c>
      <x:c r="D1013" s="29" t="str">
        <x:v>Chambers County</x:v>
      </x:c>
      <x:c r="E1013" s="41" t="n">
        <x:v>57594</x:v>
      </x:c>
      <x:c r="F1013" s="56" t="n">
        <x:v>29.696374</x:v>
      </x:c>
      <x:c r="G1013" s="56" t="n">
        <x:v>-94.669445</x:v>
      </x:c>
      <x:c r="H1013" s="44" t="n">
        <x:f>E1013/SUMIF(A:A,A1013,E:E)</x:f>
        <x:v>0.004484288522708242</x:v>
      </x:c>
    </x:row>
    <x:row r="1014" ht="21.600000381469727" hidden="0" customHeight="1">
      <x:c r="A1014" s="27" t="str">
        <x:v>SCA-17</x:v>
      </x:c>
      <x:c r="B1014" s="27" t="str">
        <x:v>22001</x:v>
      </x:c>
      <x:c r="C1014" s="27" t="str">
        <x:v>LA</x:v>
      </x:c>
      <x:c r="D1014" s="27" t="str">
        <x:v>Acadia Parish</x:v>
      </x:c>
      <x:c r="E1014" s="40" t="n">
        <x:v>57032</x:v>
      </x:c>
      <x:c r="F1014" s="55" t="n">
        <x:v>30.291497</x:v>
      </x:c>
      <x:c r="G1014" s="55" t="n">
        <x:v>-92.411037</x:v>
      </x:c>
      <x:c r="H1014" s="43" t="n">
        <x:f>E1014/SUMIF(A:A,A1014,E:E)</x:f>
        <x:v>0.004440531010645144</x:v>
      </x:c>
    </x:row>
    <x:row r="1015" ht="15" hidden="0" customHeight="1">
      <x:c r="A1015" s="29" t="str">
        <x:v>SCA-17</x:v>
      </x:c>
      <x:c r="B1015" s="29" t="str">
        <x:v>48373</x:v>
      </x:c>
      <x:c r="C1015" s="29" t="str">
        <x:v>TX</x:v>
      </x:c>
      <x:c r="D1015" s="29" t="str">
        <x:v>Polk County</x:v>
      </x:c>
      <x:c r="E1015" s="41" t="n">
        <x:v>53434</x:v>
      </x:c>
      <x:c r="F1015" s="56" t="n">
        <x:v>30.784553</x:v>
      </x:c>
      <x:c r="G1015" s="56" t="n">
        <x:v>-94.837338</x:v>
      </x:c>
      <x:c r="H1015" s="44" t="n">
        <x:f>E1015/SUMIF(A:A,A1015,E:E)</x:f>
        <x:v>0.004160389501031221</x:v>
      </x:c>
    </x:row>
    <x:row r="1016" ht="21.600000381469727" hidden="0" customHeight="1">
      <x:c r="A1016" s="27" t="str">
        <x:v>SCA-17</x:v>
      </x:c>
      <x:c r="B1016" s="27" t="str">
        <x:v>22099</x:v>
      </x:c>
      <x:c r="C1016" s="27" t="str">
        <x:v>LA</x:v>
      </x:c>
      <x:c r="D1016" s="27" t="str">
        <x:v>St. Martin Parish</x:v>
      </x:c>
      <x:c r="E1016" s="40" t="n">
        <x:v>51106</x:v>
      </x:c>
      <x:c r="F1016" s="55" t="n">
        <x:v>30.121433</x:v>
      </x:c>
      <x:c r="G1016" s="55" t="n">
        <x:v>-91.611481</x:v>
      </x:c>
      <x:c r="H1016" s="43" t="n">
        <x:f>E1016/SUMIF(A:A,A1016,E:E)</x:f>
        <x:v>0.003979130625438889</x:v>
      </x:c>
    </x:row>
    <x:row r="1017" ht="21.600000381469727" hidden="0" customHeight="1">
      <x:c r="A1017" s="29" t="str">
        <x:v>SCA-17</x:v>
      </x:c>
      <x:c r="B1017" s="29" t="str">
        <x:v>22089</x:v>
      </x:c>
      <x:c r="C1017" s="29" t="str">
        <x:v>LA</x:v>
      </x:c>
      <x:c r="D1017" s="29" t="str">
        <x:v>St. Charles Parish</x:v>
      </x:c>
      <x:c r="E1017" s="41" t="n">
        <x:v>50586</x:v>
      </x:c>
      <x:c r="F1017" s="56" t="n">
        <x:v>29.905722</x:v>
      </x:c>
      <x:c r="G1017" s="56" t="n">
        <x:v>-90.357855</x:v>
      </x:c>
      <x:c r="H1017" s="44" t="n">
        <x:f>E1017/SUMIF(A:A,A1017,E:E)</x:f>
        <x:v>0.003938643247729262</x:v>
      </x:c>
    </x:row>
    <x:row r="1018" ht="21.600000381469727" hidden="0" customHeight="1">
      <x:c r="A1018" s="27" t="str">
        <x:v>SCA-17</x:v>
      </x:c>
      <x:c r="B1018" s="27" t="str">
        <x:v>22101</x:v>
      </x:c>
      <x:c r="C1018" s="27" t="str">
        <x:v>LA</x:v>
      </x:c>
      <x:c r="D1018" s="27" t="str">
        <x:v>St. Mary Parish</x:v>
      </x:c>
      <x:c r="E1018" s="40" t="n">
        <x:v>46552</x:v>
      </x:c>
      <x:c r="F1018" s="55" t="n">
        <x:v>29.629349</x:v>
      </x:c>
      <x:c r="G1018" s="55" t="n">
        <x:v>-91.463804</x:v>
      </x:c>
      <x:c r="H1018" s="43" t="n">
        <x:f>E1018/SUMIF(A:A,A1018,E:E)</x:f>
        <x:v>0.003624554629112651</x:v>
      </x:c>
    </x:row>
    <x:row r="1019" ht="21.600000381469727" hidden="0" customHeight="1">
      <x:c r="A1019" s="29" t="str">
        <x:v>SCA-17</x:v>
      </x:c>
      <x:c r="B1019" s="29" t="str">
        <x:v>22115</x:v>
      </x:c>
      <x:c r="C1019" s="29" t="str">
        <x:v>LA</x:v>
      </x:c>
      <x:c r="D1019" s="29" t="str">
        <x:v>Vernon Parish</x:v>
      </x:c>
      <x:c r="E1019" s="41" t="n">
        <x:v>45091</x:v>
      </x:c>
      <x:c r="F1019" s="56" t="n">
        <x:v>31.102841</x:v>
      </x:c>
      <x:c r="G1019" s="56" t="n">
        <x:v>-93.18833</x:v>
      </x:c>
      <x:c r="H1019" s="44" t="n">
        <x:f>E1019/SUMIF(A:A,A1019,E:E)</x:f>
        <x:v>0.003510800669816948</x:v>
      </x:c>
    </x:row>
    <x:row r="1020" ht="21.600000381469727" hidden="0" customHeight="1">
      <x:c r="A1020" s="27" t="str">
        <x:v>SCA-17</x:v>
      </x:c>
      <x:c r="B1020" s="27" t="str">
        <x:v>48481</x:v>
      </x:c>
      <x:c r="C1020" s="27" t="str">
        <x:v>TX</x:v>
      </x:c>
      <x:c r="D1020" s="27" t="str">
        <x:v>Wharton County</x:v>
      </x:c>
      <x:c r="E1020" s="40" t="n">
        <x:v>42060</x:v>
      </x:c>
      <x:c r="F1020" s="55" t="n">
        <x:v>29.27848</x:v>
      </x:c>
      <x:c r="G1020" s="55" t="n">
        <x:v>-96.229674</x:v>
      </x:c>
      <x:c r="H1020" s="43" t="n">
        <x:f>E1020/SUMIF(A:A,A1020,E:E)</x:f>
        <x:v>0.0032748059739748695</x:v>
      </x:c>
    </x:row>
    <x:row r="1021" ht="32.400001525878906" hidden="0" customHeight="1">
      <x:c r="A1021" s="29" t="str">
        <x:v>SCA-17</x:v>
      </x:c>
      <x:c r="B1021" s="29" t="str">
        <x:v>22095</x:v>
      </x:c>
      <x:c r="C1021" s="29" t="str">
        <x:v>LA</x:v>
      </x:c>
      <x:c r="D1021" s="29" t="str">
        <x:v>St. John the Baptist Parish</x:v>
      </x:c>
      <x:c r="E1021" s="41" t="n">
        <x:v>39875</x:v>
      </x:c>
      <x:c r="F1021" s="56" t="n">
        <x:v>30.144068</x:v>
      </x:c>
      <x:c r="G1021" s="56" t="n">
        <x:v>-90.49096</x:v>
      </x:c>
      <x:c r="H1021" s="44" t="n">
        <x:f>E1021/SUMIF(A:A,A1021,E:E)</x:f>
        <x:v>0.0031046811272526847</x:v>
      </x:c>
    </x:row>
    <x:row r="1022" ht="21.600000381469727" hidden="0" customHeight="1">
      <x:c r="A1022" s="27" t="str">
        <x:v>SCA-17</x:v>
      </x:c>
      <x:c r="B1022" s="27" t="str">
        <x:v>48477</x:v>
      </x:c>
      <x:c r="C1022" s="27" t="str">
        <x:v>TX</x:v>
      </x:c>
      <x:c r="D1022" s="27" t="str">
        <x:v>Washington County</x:v>
      </x:c>
      <x:c r="E1022" s="40" t="n">
        <x:v>38288</x:v>
      </x:c>
      <x:c r="F1022" s="55" t="n">
        <x:v>30.215075</x:v>
      </x:c>
      <x:c r="G1022" s="55" t="n">
        <x:v>-96.410272</x:v>
      </x:c>
      <x:c r="H1022" s="43" t="n">
        <x:f>E1022/SUMIF(A:A,A1022,E:E)</x:f>
        <x:v>0.0029811167648965717</x:v>
      </x:c>
    </x:row>
    <x:row r="1023" ht="21.600000381469727" hidden="0" customHeight="1">
      <x:c r="A1023" s="29" t="str">
        <x:v>SCA-17</x:v>
      </x:c>
      <x:c r="B1023" s="29" t="str">
        <x:v>22009</x:v>
      </x:c>
      <x:c r="C1023" s="29" t="str">
        <x:v>LA</x:v>
      </x:c>
      <x:c r="D1023" s="29" t="str">
        <x:v>Avoyelles Parish</x:v>
      </x:c>
      <x:c r="E1023" s="41" t="n">
        <x:v>37941</x:v>
      </x:c>
      <x:c r="F1023" s="56" t="n">
        <x:v>31.088503</x:v>
      </x:c>
      <x:c r="G1023" s="56" t="n">
        <x:v>-91.983275</x:v>
      </x:c>
      <x:c r="H1023" s="44" t="n">
        <x:f>E1023/SUMIF(A:A,A1023,E:E)</x:f>
        <x:v>0.00295409922630957</x:v>
      </x:c>
    </x:row>
    <x:row r="1024" ht="21.600000381469727" hidden="0" customHeight="1">
      <x:c r="A1024" s="27" t="str">
        <x:v>SCA-17</x:v>
      </x:c>
      <x:c r="B1024" s="27" t="str">
        <x:v>22011</x:v>
      </x:c>
      <x:c r="C1024" s="27" t="str">
        <x:v>LA</x:v>
      </x:c>
      <x:c r="D1024" s="27" t="str">
        <x:v>Beauregard Parish</x:v>
      </x:c>
      <x:c r="E1024" s="40" t="n">
        <x:v>36673</x:v>
      </x:c>
      <x:c r="F1024" s="55" t="n">
        <x:v>30.645018</x:v>
      </x:c>
      <x:c r="G1024" s="55" t="n">
        <x:v>-93.340253</x:v>
      </x:c>
      <x:c r="H1024" s="43" t="n">
        <x:f>E1024/SUMIF(A:A,A1024,E:E)</x:f>
        <x:v>0.0028553723129714783</x:v>
      </x:c>
    </x:row>
    <x:row r="1025" ht="21.600000381469727" hidden="0" customHeight="1">
      <x:c r="A1025" s="29" t="str">
        <x:v>SCA-17</x:v>
      </x:c>
      <x:c r="B1025" s="29" t="str">
        <x:v>48321</x:v>
      </x:c>
      <x:c r="C1025" s="29" t="str">
        <x:v>TX</x:v>
      </x:c>
      <x:c r="D1025" s="29" t="str">
        <x:v>Matagorda County</x:v>
      </x:c>
      <x:c r="E1025" s="41" t="n">
        <x:v>36463</x:v>
      </x:c>
      <x:c r="F1025" s="56" t="n">
        <x:v>28.77476</x:v>
      </x:c>
      <x:c r="G1025" s="56" t="n">
        <x:v>-96.001532</x:v>
      </x:c>
      <x:c r="H1025" s="44" t="n">
        <x:f>E1025/SUMIF(A:A,A1025,E:E)</x:f>
        <x:v>0.002839021641204129</x:v>
      </x:c>
    </x:row>
    <x:row r="1026" ht="21.600000381469727" hidden="0" customHeight="1">
      <x:c r="A1026" s="27" t="str">
        <x:v>SCA-17</x:v>
      </x:c>
      <x:c r="B1026" s="27" t="str">
        <x:v>22069</x:v>
      </x:c>
      <x:c r="C1026" s="27" t="str">
        <x:v>LA</x:v>
      </x:c>
      <x:c r="D1026" s="27" t="str">
        <x:v>Natchitoches Parish</x:v>
      </x:c>
      <x:c r="E1026" s="40" t="n">
        <x:v>36089</x:v>
      </x:c>
      <x:c r="F1026" s="55" t="n">
        <x:v>31.732509</x:v>
      </x:c>
      <x:c r="G1026" s="55" t="n">
        <x:v>-93.082546</x:v>
      </x:c>
      <x:c r="H1026" s="43" t="n">
        <x:f>E1026/SUMIF(A:A,A1026,E:E)</x:f>
        <x:v>0.002809901873389897</x:v>
      </x:c>
    </x:row>
    <x:row r="1027" ht="21.600000381469727" hidden="0" customHeight="1">
      <x:c r="A1027" s="29" t="str">
        <x:v>SCA-17</x:v>
      </x:c>
      <x:c r="B1027" s="29" t="str">
        <x:v>48185</x:v>
      </x:c>
      <x:c r="C1027" s="29" t="str">
        <x:v>TX</x:v>
      </x:c>
      <x:c r="D1027" s="29" t="str">
        <x:v>Grimes County</x:v>
      </x:c>
      <x:c r="E1027" s="41" t="n">
        <x:v>34252</x:v>
      </x:c>
      <x:c r="F1027" s="56" t="n">
        <x:v>30.543231</x:v>
      </x:c>
      <x:c r="G1027" s="56" t="n">
        <x:v>-95.988082</x:v>
      </x:c>
      <x:c r="H1027" s="44" t="n">
        <x:f>E1027/SUMIF(A:A,A1027,E:E)</x:f>
        <x:v>0.002666872425596463</x:v>
      </x:c>
    </x:row>
    <x:row r="1028" ht="21.600000381469727" hidden="0" customHeight="1">
      <x:c r="A1028" s="27" t="str">
        <x:v>SCA-17</x:v>
      </x:c>
      <x:c r="B1028" s="27" t="str">
        <x:v>48015</x:v>
      </x:c>
      <x:c r="C1028" s="27" t="str">
        <x:v>TX</x:v>
      </x:c>
      <x:c r="D1028" s="27" t="str">
        <x:v>Austin County</x:v>
      </x:c>
      <x:c r="E1028" s="40" t="n">
        <x:v>33625</x:v>
      </x:c>
      <x:c r="F1028" s="55" t="n">
        <x:v>29.891901</x:v>
      </x:c>
      <x:c r="G1028" s="55" t="n">
        <x:v>-96.27017</x:v>
      </x:c>
      <x:c r="H1028" s="43" t="n">
        <x:f>E1028/SUMIF(A:A,A1028,E:E)</x:f>
        <x:v>0.0026180539913196617</x:v>
      </x:c>
    </x:row>
    <x:row r="1029" ht="21.600000381469727" hidden="0" customHeight="1">
      <x:c r="A1029" s="29" t="str">
        <x:v>SCA-17</x:v>
      </x:c>
      <x:c r="B1029" s="29" t="str">
        <x:v>48241</x:v>
      </x:c>
      <x:c r="C1029" s="29" t="str">
        <x:v>TX</x:v>
      </x:c>
      <x:c r="D1029" s="29" t="str">
        <x:v>Jasper County</x:v>
      </x:c>
      <x:c r="E1029" s="41" t="n">
        <x:v>33075</x:v>
      </x:c>
      <x:c r="F1029" s="56" t="n">
        <x:v>30.752932</x:v>
      </x:c>
      <x:c r="G1029" s="56" t="n">
        <x:v>-94.022294</x:v>
      </x:c>
      <x:c r="H1029" s="44" t="n">
        <x:f>E1029/SUMIF(A:A,A1029,E:E)</x:f>
        <x:v>0.002575230803357556</x:v>
      </x:c>
    </x:row>
    <x:row r="1030" ht="21.600000381469727" hidden="0" customHeight="1">
      <x:c r="A1030" s="27" t="str">
        <x:v>SCA-17</x:v>
      </x:c>
      <x:c r="B1030" s="27" t="str">
        <x:v>22039</x:v>
      </x:c>
      <x:c r="C1030" s="27" t="str">
        <x:v>LA</x:v>
      </x:c>
      <x:c r="D1030" s="27" t="str">
        <x:v>Evangeline Parish</x:v>
      </x:c>
      <x:c r="E1030" s="40" t="n">
        <x:v>31980</x:v>
      </x:c>
      <x:c r="F1030" s="55" t="n">
        <x:v>30.720693</x:v>
      </x:c>
      <x:c r="G1030" s="55" t="n">
        <x:v>-92.404086</x:v>
      </x:c>
      <x:c r="H1030" s="43" t="n">
        <x:f>E1030/SUMIF(A:A,A1030,E:E)</x:f>
        <x:v>0.0024899737291420904</x:v>
      </x:c>
    </x:row>
    <x:row r="1031" ht="21.600000381469727" hidden="0" customHeight="1">
      <x:c r="A1031" s="29" t="str">
        <x:v>SCA-17</x:v>
      </x:c>
      <x:c r="B1031" s="29" t="str">
        <x:v>22053</x:v>
      </x:c>
      <x:c r="C1031" s="29" t="str">
        <x:v>LA</x:v>
      </x:c>
      <x:c r="D1031" s="29" t="str">
        <x:v>Jefferson Davis Parish</x:v>
      </x:c>
      <x:c r="E1031" s="41" t="n">
        <x:v>31471</x:v>
      </x:c>
      <x:c r="F1031" s="56" t="n">
        <x:v>30.269529</x:v>
      </x:c>
      <x:c r="G1031" s="56" t="n">
        <x:v>-92.816221</x:v>
      </x:c>
      <x:c r="H1031" s="44" t="n">
        <x:f>E1031/SUMIF(A:A,A1031,E:E)</x:f>
        <x:v>0.002450342815191705</x:v>
      </x:c>
    </x:row>
    <x:row r="1032" ht="21.600000381469727" hidden="0" customHeight="1">
      <x:c r="A1032" s="27" t="str">
        <x:v>SCA-17</x:v>
      </x:c>
      <x:c r="B1032" s="27" t="str">
        <x:v>28001</x:v>
      </x:c>
      <x:c r="C1032" s="27" t="str">
        <x:v>MS</x:v>
      </x:c>
      <x:c r="D1032" s="27" t="str">
        <x:v>Adams County</x:v>
      </x:c>
      <x:c r="E1032" s="40" t="n">
        <x:v>30061</x:v>
      </x:c>
      <x:c r="F1032" s="55" t="n">
        <x:v>31.486224</x:v>
      </x:c>
      <x:c r="G1032" s="55" t="n">
        <x:v>-91.351797</x:v>
      </x:c>
      <x:c r="H1032" s="43" t="n">
        <x:f>E1032/SUMIF(A:A,A1032,E:E)</x:f>
        <x:v>0.002340559733325215</x:v>
      </x:c>
    </x:row>
    <x:row r="1033" ht="21.600000381469727" hidden="0" customHeight="1">
      <x:c r="A1033" s="29" t="str">
        <x:v>SCA-17</x:v>
      </x:c>
      <x:c r="B1033" s="29" t="str">
        <x:v>22047</x:v>
      </x:c>
      <x:c r="C1033" s="29" t="str">
        <x:v>LA</x:v>
      </x:c>
      <x:c r="D1033" s="29" t="str">
        <x:v>Iberville Parish</x:v>
      </x:c>
      <x:c r="E1033" s="41" t="n">
        <x:v>29579</x:v>
      </x:c>
      <x:c r="F1033" s="56" t="n">
        <x:v>30.270658</x:v>
      </x:c>
      <x:c r="G1033" s="56" t="n">
        <x:v>-91.36587</x:v>
      </x:c>
      <x:c r="H1033" s="44" t="n">
        <x:f>E1033/SUMIF(A:A,A1033,E:E)</x:f>
        <x:v>0.0023030310486020604</x:v>
      </x:c>
    </x:row>
    <x:row r="1034" ht="21.600000381469727" hidden="0" customHeight="1">
      <x:c r="A1034" s="27" t="str">
        <x:v>SCA-17</x:v>
      </x:c>
      <x:c r="B1034" s="27" t="str">
        <x:v>48407</x:v>
      </x:c>
      <x:c r="C1034" s="27" t="str">
        <x:v>TX</x:v>
      </x:c>
      <x:c r="D1034" s="27" t="str">
        <x:v>San Jacinto County</x:v>
      </x:c>
      <x:c r="E1034" s="40" t="n">
        <x:v>29488</x:v>
      </x:c>
      <x:c r="F1034" s="55" t="n">
        <x:v>30.574388</x:v>
      </x:c>
      <x:c r="G1034" s="55" t="n">
        <x:v>-95.163136</x:v>
      </x:c>
      <x:c r="H1034" s="43" t="n">
        <x:f>E1034/SUMIF(A:A,A1034,E:E)</x:f>
        <x:v>0.0022959457575028757</x:v>
      </x:c>
    </x:row>
    <x:row r="1035" ht="32.400001525878906" hidden="0" customHeight="1">
      <x:c r="A1035" s="29" t="str">
        <x:v>SCA-17</x:v>
      </x:c>
      <x:c r="B1035" s="29" t="str">
        <x:v>22121</x:v>
      </x:c>
      <x:c r="C1035" s="29" t="str">
        <x:v>LA</x:v>
      </x:c>
      <x:c r="D1035" s="29" t="str">
        <x:v>West Baton Rouge Parish</x:v>
      </x:c>
      <x:c r="E1035" s="41" t="n">
        <x:v>28756</x:v>
      </x:c>
      <x:c r="F1035" s="56" t="n">
        <x:v>30.464052</x:v>
      </x:c>
      <x:c r="G1035" s="56" t="n">
        <x:v>-91.309808</x:v>
      </x:c>
      <x:c r="H1035" s="44" t="n">
        <x:f>E1035/SUMIF(A:A,A1035,E:E)</x:f>
        <x:v>0.0022389519873424</x:v>
      </x:c>
    </x:row>
    <x:row r="1036" ht="21.600000381469727" hidden="0" customHeight="1">
      <x:c r="A1036" s="27" t="str">
        <x:v>SCA-17</x:v>
      </x:c>
      <x:c r="B1036" s="27" t="str">
        <x:v>48331</x:v>
      </x:c>
      <x:c r="C1036" s="27" t="str">
        <x:v>TX</x:v>
      </x:c>
      <x:c r="D1036" s="27" t="str">
        <x:v>Milam County</x:v>
      </x:c>
      <x:c r="E1036" s="40" t="n">
        <x:v>26258</x:v>
      </x:c>
      <x:c r="F1036" s="55" t="n">
        <x:v>30.791242</x:v>
      </x:c>
      <x:c r="G1036" s="55" t="n">
        <x:v>-96.984395</x:v>
      </x:c>
      <x:c r="H1036" s="43" t="n">
        <x:f>E1036/SUMIF(A:A,A1036,E:E)</x:f>
        <x:v>0.0020444568536526894</x:v>
      </x:c>
    </x:row>
    <x:row r="1037" ht="21.600000381469727" hidden="0" customHeight="1">
      <x:c r="A1037" s="29" t="str">
        <x:v>SCA-17</x:v>
      </x:c>
      <x:c r="B1037" s="29" t="str">
        <x:v>48149</x:v>
      </x:c>
      <x:c r="C1037" s="29" t="str">
        <x:v>TX</x:v>
      </x:c>
      <x:c r="D1037" s="29" t="str">
        <x:v>Fayette County</x:v>
      </x:c>
      <x:c r="E1037" s="41" t="n">
        <x:v>25459</x:v>
      </x:c>
      <x:c r="F1037" s="56" t="n">
        <x:v>29.877886</x:v>
      </x:c>
      <x:c r="G1037" s="56" t="n">
        <x:v>-96.921231</x:v>
      </x:c>
      <x:c r="H1037" s="44" t="n">
        <x:f>E1037/SUMIF(A:A,A1037,E:E)</x:f>
        <x:v>0.001982246440595012</x:v>
      </x:c>
    </x:row>
    <x:row r="1038" ht="21.600000381469727" hidden="0" customHeight="1">
      <x:c r="A1038" s="27" t="str">
        <x:v>SCA-17</x:v>
      </x:c>
      <x:c r="B1038" s="27" t="str">
        <x:v>48419</x:v>
      </x:c>
      <x:c r="C1038" s="27" t="str">
        <x:v>TX</x:v>
      </x:c>
      <x:c r="D1038" s="27" t="str">
        <x:v>Shelby County</x:v>
      </x:c>
      <x:c r="E1038" s="40" t="n">
        <x:v>24286</x:v>
      </x:c>
      <x:c r="F1038" s="55" t="n">
        <x:v>31.790139</x:v>
      </x:c>
      <x:c r="G1038" s="55" t="n">
        <x:v>-94.142579</x:v>
      </x:c>
      <x:c r="H1038" s="43" t="n">
        <x:f>E1038/SUMIF(A:A,A1038,E:E)</x:f>
        <x:v>0.001890916259723102</x:v>
      </x:c>
    </x:row>
    <x:row r="1039" ht="15" hidden="0" customHeight="1">
      <x:c r="A1039" s="29" t="str">
        <x:v>SCA-17</x:v>
      </x:c>
      <x:c r="B1039" s="29" t="str">
        <x:v>22003</x:v>
      </x:c>
      <x:c r="C1039" s="29" t="str">
        <x:v>LA</x:v>
      </x:c>
      <x:c r="D1039" s="29" t="str">
        <x:v>Allen Parish</x:v>
      </x:c>
      <x:c r="E1039" s="41" t="n">
        <x:v>22672</x:v>
      </x:c>
      <x:c r="F1039" s="56" t="n">
        <x:v>30.652744</x:v>
      </x:c>
      <x:c r="G1039" s="56" t="n">
        <x:v>-92.819605</x:v>
      </x:c>
      <x:c r="H1039" s="44" t="n">
        <x:f>E1039/SUMIF(A:A,A1039,E:E)</x:f>
        <x:v>0.0017652496681397583</x:v>
      </x:c>
    </x:row>
    <x:row r="1040" ht="21.600000381469727" hidden="0" customHeight="1">
      <x:c r="A1040" s="27" t="str">
        <x:v>SCA-17</x:v>
      </x:c>
      <x:c r="B1040" s="27" t="str">
        <x:v>48225</x:v>
      </x:c>
      <x:c r="C1040" s="27" t="str">
        <x:v>TX</x:v>
      </x:c>
      <x:c r="D1040" s="27" t="str">
        <x:v>Houston County</x:v>
      </x:c>
      <x:c r="E1040" s="40" t="n">
        <x:v>22316</x:v>
      </x:c>
      <x:c r="F1040" s="55" t="n">
        <x:v>31.323036</x:v>
      </x:c>
      <x:c r="G1040" s="55" t="n">
        <x:v>-95.4216</x:v>
      </x:c>
      <x:c r="H1040" s="43" t="n">
        <x:f>E1040/SUMIF(A:A,A1040,E:E)</x:f>
        <x:v>0.0017375313864770134</x:v>
      </x:c>
    </x:row>
    <x:row r="1041" ht="21.600000381469727" hidden="0" customHeight="1">
      <x:c r="A1041" s="29" t="str">
        <x:v>SCA-17</x:v>
      </x:c>
      <x:c r="B1041" s="29" t="str">
        <x:v>22075</x:v>
      </x:c>
      <x:c r="C1041" s="29" t="str">
        <x:v>LA</x:v>
      </x:c>
      <x:c r="D1041" s="29" t="str">
        <x:v>Plaquemines Parish</x:v>
      </x:c>
      <x:c r="E1041" s="41" t="n">
        <x:v>22256</x:v>
      </x:c>
      <x:c r="F1041" s="56" t="n">
        <x:v>29.282447</x:v>
      </x:c>
      <x:c r="G1041" s="56" t="n">
        <x:v>-89.576068</x:v>
      </x:c>
      <x:c r="H1041" s="44" t="n">
        <x:f>E1041/SUMIF(A:A,A1041,E:E)</x:f>
        <x:v>0.0017328597659720564</x:v>
      </x:c>
    </x:row>
    <x:row r="1042" ht="15" hidden="0" customHeight="1">
      <x:c r="A1042" s="27" t="str">
        <x:v>SCA-17</x:v>
      </x:c>
      <x:c r="B1042" s="27" t="str">
        <x:v>22043</x:v>
      </x:c>
      <x:c r="C1042" s="27" t="str">
        <x:v>LA</x:v>
      </x:c>
      <x:c r="D1042" s="27" t="str">
        <x:v>Grant Parish</x:v>
      </x:c>
      <x:c r="E1042" s="40" t="n">
        <x:v>22075</x:v>
      </x:c>
      <x:c r="F1042" s="55" t="n">
        <x:v>31.597787</x:v>
      </x:c>
      <x:c r="G1042" s="55" t="n">
        <x:v>-92.561716</x:v>
      </x:c>
      <x:c r="H1042" s="43" t="n">
        <x:f>E1042/SUMIF(A:A,A1042,E:E)</x:f>
        <x:v>0.001718767044115436</x:v>
      </x:c>
    </x:row>
    <x:row r="1043" ht="21.600000381469727" hidden="0" customHeight="1">
      <x:c r="A1043" s="29" t="str">
        <x:v>SCA-17</x:v>
      </x:c>
      <x:c r="B1043" s="29" t="str">
        <x:v>22085</x:v>
      </x:c>
      <x:c r="C1043" s="29" t="str">
        <x:v>LA</x:v>
      </x:c>
      <x:c r="D1043" s="29" t="str">
        <x:v>Sabine Parish</x:v>
      </x:c>
      <x:c r="E1043" s="41" t="n">
        <x:v>21834</x:v>
      </x:c>
      <x:c r="F1043" s="56" t="n">
        <x:v>31.560402</x:v>
      </x:c>
      <x:c r="G1043" s="56" t="n">
        <x:v>-93.559579</x:v>
      </x:c>
      <x:c r="H1043" s="44" t="n">
        <x:f>E1043/SUMIF(A:A,A1043,E:E)</x:f>
        <x:v>0.0017000027017538587</x:v>
      </x:c>
    </x:row>
    <x:row r="1044" ht="21.600000381469727" hidden="0" customHeight="1">
      <x:c r="A1044" s="27" t="str">
        <x:v>SCA-17</x:v>
      </x:c>
      <x:c r="B1044" s="27" t="str">
        <x:v>48089</x:v>
      </x:c>
      <x:c r="C1044" s="27" t="str">
        <x:v>TX</x:v>
      </x:c>
      <x:c r="D1044" s="27" t="str">
        <x:v>Colorado County</x:v>
      </x:c>
      <x:c r="E1044" s="40" t="n">
        <x:v>21439</x:v>
      </x:c>
      <x:c r="F1044" s="55" t="n">
        <x:v>29.596262</x:v>
      </x:c>
      <x:c r="G1044" s="55" t="n">
        <x:v>-96.508888</x:v>
      </x:c>
      <x:c r="H1044" s="43" t="n">
        <x:f>E1044/SUMIF(A:A,A1044,E:E)</x:f>
        <x:v>0.0016692478667628917</x:v>
      </x:c>
    </x:row>
    <x:row r="1045" ht="21.600000381469727" hidden="0" customHeight="1">
      <x:c r="A1045" s="29" t="str">
        <x:v>SCA-17</x:v>
      </x:c>
      <x:c r="B1045" s="29" t="str">
        <x:v>48051</x:v>
      </x:c>
      <x:c r="C1045" s="29" t="str">
        <x:v>TX</x:v>
      </x:c>
      <x:c r="D1045" s="29" t="str">
        <x:v>Burleson County</x:v>
      </x:c>
      <x:c r="E1045" s="41" t="n">
        <x:v>20549</x:v>
      </x:c>
      <x:c r="F1045" s="56" t="n">
        <x:v>30.493487</x:v>
      </x:c>
      <x:c r="G1045" s="56" t="n">
        <x:v>-96.622091</x:v>
      </x:c>
      <x:c r="H1045" s="44" t="n">
        <x:f>E1045/SUMIF(A:A,A1045,E:E)</x:f>
        <x:v>0.0015999521626060293</x:v>
      </x:c>
    </x:row>
    <x:row r="1046" ht="15" hidden="0" customHeight="1">
      <x:c r="A1046" s="27" t="str">
        <x:v>SCA-17</x:v>
      </x:c>
      <x:c r="B1046" s="27" t="str">
        <x:v>48457</x:v>
      </x:c>
      <x:c r="C1046" s="27" t="str">
        <x:v>TX</x:v>
      </x:c>
      <x:c r="D1046" s="27" t="str">
        <x:v>Tyler County</x:v>
      </x:c>
      <x:c r="E1046" s="40" t="n">
        <x:v>20443</x:v>
      </x:c>
      <x:c r="F1046" s="55" t="n">
        <x:v>30.769295</x:v>
      </x:c>
      <x:c r="G1046" s="55" t="n">
        <x:v>-94.375656</x:v>
      </x:c>
      <x:c r="H1046" s="43" t="n">
        <x:f>E1046/SUMIF(A:A,A1046,E:E)</x:f>
        <x:v>0.0015916989663806052</x:v>
      </x:c>
    </x:row>
    <x:row r="1047" ht="21.600000381469727" hidden="0" customHeight="1">
      <x:c r="A1047" s="29" t="str">
        <x:v>SCA-17</x:v>
      </x:c>
      <x:c r="B1047" s="29" t="str">
        <x:v>22007</x:v>
      </x:c>
      <x:c r="C1047" s="29" t="str">
        <x:v>LA</x:v>
      </x:c>
      <x:c r="D1047" s="29" t="str">
        <x:v>Assumption Parish</x:v>
      </x:c>
      <x:c r="E1047" s="41" t="n">
        <x:v>19720</x:v>
      </x:c>
      <x:c r="F1047" s="56" t="n">
        <x:v>29.9033</x:v>
      </x:c>
      <x:c r="G1047" s="56" t="n">
        <x:v>-91.065219</x:v>
      </x:c>
      <x:c r="H1047" s="44" t="n">
        <x:f>E1047/SUMIF(A:A,A1047,E:E)</x:f>
        <x:v>0.0015354059392958732</x:v>
      </x:c>
    </x:row>
    <x:row r="1048" ht="21.600000381469727" hidden="0" customHeight="1">
      <x:c r="A1048" s="27" t="str">
        <x:v>SCA-17</x:v>
      </x:c>
      <x:c r="B1048" s="27" t="str">
        <x:v>48057</x:v>
      </x:c>
      <x:c r="C1048" s="27" t="str">
        <x:v>TX</x:v>
      </x:c>
      <x:c r="D1048" s="27" t="str">
        <x:v>Calhoun County</x:v>
      </x:c>
      <x:c r="E1048" s="40" t="n">
        <x:v>19599</x:v>
      </x:c>
      <x:c r="F1048" s="55" t="n">
        <x:v>28.441719</x:v>
      </x:c>
      <x:c r="G1048" s="55" t="n">
        <x:v>-96.579574</x:v>
      </x:c>
      <x:c r="H1048" s="43" t="n">
        <x:f>E1048/SUMIF(A:A,A1048,E:E)</x:f>
        <x:v>0.0015259848379442099</x:v>
      </x:c>
    </x:row>
    <x:row r="1049" ht="32.400001525878906" hidden="0" customHeight="1">
      <x:c r="A1049" s="29" t="str">
        <x:v>SCA-17</x:v>
      </x:c>
      <x:c r="B1049" s="29" t="str">
        <x:v>22077</x:v>
      </x:c>
      <x:c r="C1049" s="29" t="str">
        <x:v>LA</x:v>
      </x:c>
      <x:c r="D1049" s="29" t="str">
        <x:v>Pointe Coupee Parish</x:v>
      </x:c>
      <x:c r="E1049" s="41" t="n">
        <x:v>19520</x:v>
      </x:c>
      <x:c r="F1049" s="56" t="n">
        <x:v>30.708319</x:v>
      </x:c>
      <x:c r="G1049" s="56" t="n">
        <x:v>-91.604621</x:v>
      </x:c>
      <x:c r="H1049" s="44" t="n">
        <x:f>E1049/SUMIF(A:A,A1049,E:E)</x:f>
        <x:v>0.0015198338709460164</x:v>
      </x:c>
    </x:row>
    <x:row r="1050" ht="21.600000381469727" hidden="0" customHeight="1">
      <x:c r="A1050" s="27" t="str">
        <x:v>SCA-17</x:v>
      </x:c>
      <x:c r="B1050" s="27" t="str">
        <x:v>22093</x:v>
      </x:c>
      <x:c r="C1050" s="27" t="str">
        <x:v>LA</x:v>
      </x:c>
      <x:c r="D1050" s="27" t="str">
        <x:v>St. James Parish</x:v>
      </x:c>
      <x:c r="E1050" s="40" t="n">
        <x:v>18938</x:v>
      </x:c>
      <x:c r="F1050" s="55" t="n">
        <x:v>30.024777</x:v>
      </x:c>
      <x:c r="G1050" s="55" t="n">
        <x:v>-90.793956</x:v>
      </x:c>
      <x:c r="H1050" s="43" t="n">
        <x:f>E1050/SUMIF(A:A,A1050,E:E)</x:f>
        <x:v>0.0014745191520479334</x:v>
      </x:c>
    </x:row>
    <x:row r="1051" ht="32.400001525878906" hidden="0" customHeight="1">
      <x:c r="A1051" s="29" t="str">
        <x:v>SCA-17</x:v>
      </x:c>
      <x:c r="B1051" s="29" t="str">
        <x:v>22037</x:v>
      </x:c>
      <x:c r="C1051" s="29" t="str">
        <x:v>LA</x:v>
      </x:c>
      <x:c r="D1051" s="29" t="str">
        <x:v>East Feliciana Parish</x:v>
      </x:c>
      <x:c r="E1051" s="41" t="n">
        <x:v>18911</x:v>
      </x:c>
      <x:c r="F1051" s="56" t="n">
        <x:v>30.839784</x:v>
      </x:c>
      <x:c r="G1051" s="56" t="n">
        <x:v>-91.043434</x:v>
      </x:c>
      <x:c r="H1051" s="44" t="n">
        <x:f>E1051/SUMIF(A:A,A1051,E:E)</x:f>
        <x:v>0.0014724169228207027</x:v>
      </x:c>
    </x:row>
    <x:row r="1052" ht="15" hidden="0" customHeight="1">
      <x:c r="A1052" s="27" t="str">
        <x:v>SCA-17</x:v>
      </x:c>
      <x:c r="B1052" s="27" t="str">
        <x:v>48287</x:v>
      </x:c>
      <x:c r="C1052" s="27" t="str">
        <x:v>TX</x:v>
      </x:c>
      <x:c r="D1052" s="27" t="str">
        <x:v>Lee County</x:v>
      </x:c>
      <x:c r="E1052" s="40" t="n">
        <x:v>18729</x:v>
      </x:c>
      <x:c r="F1052" s="55" t="n">
        <x:v>30.321498</x:v>
      </x:c>
      <x:c r="G1052" s="55" t="n">
        <x:v>-96.976823</x:v>
      </x:c>
      <x:c r="H1052" s="43" t="n">
        <x:f>E1052/SUMIF(A:A,A1052,E:E)</x:f>
        <x:v>0.0014582463406223331</x:v>
      </x:c>
    </x:row>
    <x:row r="1053" ht="21.600000381469727" hidden="0" customHeight="1">
      <x:c r="A1053" s="29" t="str">
        <x:v>SCA-17</x:v>
      </x:c>
      <x:c r="B1053" s="29" t="str">
        <x:v>48395</x:v>
      </x:c>
      <x:c r="C1053" s="29" t="str">
        <x:v>TX</x:v>
      </x:c>
      <x:c r="D1053" s="29" t="str">
        <x:v>Robertson County</x:v>
      </x:c>
      <x:c r="E1053" s="41" t="n">
        <x:v>17839</x:v>
      </x:c>
      <x:c r="F1053" s="56" t="n">
        <x:v>31.025481</x:v>
      </x:c>
      <x:c r="G1053" s="56" t="n">
        <x:v>-96.514941</x:v>
      </x:c>
      <x:c r="H1053" s="44" t="n">
        <x:f>E1053/SUMIF(A:A,A1053,E:E)</x:f>
        <x:v>0.0013889506364654705</x:v>
      </x:c>
    </x:row>
    <x:row r="1054" ht="21.600000381469727" hidden="0" customHeight="1">
      <x:c r="A1054" s="27" t="str">
        <x:v>SCA-17</x:v>
      </x:c>
      <x:c r="B1054" s="27" t="str">
        <x:v>22029</x:v>
      </x:c>
      <x:c r="C1054" s="27" t="str">
        <x:v>LA</x:v>
      </x:c>
      <x:c r="D1054" s="27" t="str">
        <x:v>Concordia Parish</x:v>
      </x:c>
      <x:c r="E1054" s="40" t="n">
        <x:v>17836</x:v>
      </x:c>
      <x:c r="F1054" s="55" t="n">
        <x:v>31.469805</x:v>
      </x:c>
      <x:c r="G1054" s="55" t="n">
        <x:v>-91.626315</x:v>
      </x:c>
      <x:c r="H1054" s="43" t="n">
        <x:f>E1054/SUMIF(A:A,A1054,E:E)</x:f>
        <x:v>0.0013887170554402228</x:v>
      </x:c>
    </x:row>
    <x:row r="1055" ht="15" hidden="0" customHeight="1">
      <x:c r="A1055" s="29" t="str">
        <x:v>SCA-17</x:v>
      </x:c>
      <x:c r="B1055" s="29" t="str">
        <x:v>48289</x:v>
      </x:c>
      <x:c r="C1055" s="29" t="str">
        <x:v>TX</x:v>
      </x:c>
      <x:c r="D1055" s="29" t="str">
        <x:v>Leon County</x:v>
      </x:c>
      <x:c r="E1055" s="41" t="n">
        <x:v>16894</x:v>
      </x:c>
      <x:c r="F1055" s="56" t="n">
        <x:v>31.300493</x:v>
      </x:c>
      <x:c r="G1055" s="56" t="n">
        <x:v>-95.995622</x:v>
      </x:c>
      <x:c r="H1055" s="44" t="n">
        <x:f>E1055/SUMIF(A:A,A1055,E:E)</x:f>
        <x:v>0.0013153726135123976</x:v>
      </x:c>
    </x:row>
    <x:row r="1056" ht="21.600000381469727" hidden="0" customHeight="1">
      <x:c r="A1056" s="27" t="str">
        <x:v>SCA-17</x:v>
      </x:c>
      <x:c r="B1056" s="27" t="str">
        <x:v>22049</x:v>
      </x:c>
      <x:c r="C1056" s="27" t="str">
        <x:v>LA</x:v>
      </x:c>
      <x:c r="D1056" s="27" t="str">
        <x:v>Jackson Parish</x:v>
      </x:c>
      <x:c r="E1056" s="40" t="n">
        <x:v>15834</x:v>
      </x:c>
      <x:c r="F1056" s="55" t="n">
        <x:v>32.30429</x:v>
      </x:c>
      <x:c r="G1056" s="55" t="n">
        <x:v>-92.5617</x:v>
      </x:c>
      <x:c r="H1056" s="43" t="n">
        <x:f>E1056/SUMIF(A:A,A1056,E:E)</x:f>
        <x:v>0.001232840651258157</x:v>
      </x:c>
    </x:row>
    <x:row r="1057" ht="21.600000381469727" hidden="0" customHeight="1">
      <x:c r="A1057" s="29" t="str">
        <x:v>SCA-17</x:v>
      </x:c>
      <x:c r="B1057" s="29" t="str">
        <x:v>48239</x:v>
      </x:c>
      <x:c r="C1057" s="29" t="str">
        <x:v>TX</x:v>
      </x:c>
      <x:c r="D1057" s="29" t="str">
        <x:v>Jackson County</x:v>
      </x:c>
      <x:c r="E1057" s="41" t="n">
        <x:v>15393</x:v>
      </x:c>
      <x:c r="F1057" s="56" t="n">
        <x:v>28.959802</x:v>
      </x:c>
      <x:c r="G1057" s="56" t="n">
        <x:v>-96.58908</x:v>
      </x:c>
      <x:c r="H1057" s="44" t="n">
        <x:f>E1057/SUMIF(A:A,A1057,E:E)</x:f>
        <x:v>0.001198504240546723</x:v>
      </x:c>
    </x:row>
    <x:row r="1058" ht="21.600000381469727" hidden="0" customHeight="1">
      <x:c r="A1058" s="27" t="str">
        <x:v>SCA-17</x:v>
      </x:c>
      <x:c r="B1058" s="27" t="str">
        <x:v>22059</x:v>
      </x:c>
      <x:c r="C1058" s="27" t="str">
        <x:v>LA</x:v>
      </x:c>
      <x:c r="D1058" s="27" t="str">
        <x:v>LaSalle Parish</x:v>
      </x:c>
      <x:c r="E1058" s="40" t="n">
        <x:v>15154</x:v>
      </x:c>
      <x:c r="F1058" s="55" t="n">
        <x:v>31.680083</x:v>
      </x:c>
      <x:c r="G1058" s="55" t="n">
        <x:v>-92.161596</x:v>
      </x:c>
      <x:c r="H1058" s="43" t="n">
        <x:f>E1058/SUMIF(A:A,A1058,E:E)</x:f>
        <x:v>0.001179895618868644</x:v>
      </x:c>
    </x:row>
    <x:row r="1059" ht="32.400001525878906" hidden="0" customHeight="1">
      <x:c r="A1059" s="29" t="str">
        <x:v>SCA-17</x:v>
      </x:c>
      <x:c r="B1059" s="29" t="str">
        <x:v>22125</x:v>
      </x:c>
      <x:c r="C1059" s="29" t="str">
        <x:v>LA</x:v>
      </x:c>
      <x:c r="D1059" s="29" t="str">
        <x:v>West Feliciana Parish</x:v>
      </x:c>
      <x:c r="E1059" s="41" t="n">
        <x:v>15134</x:v>
      </x:c>
      <x:c r="F1059" s="56" t="n">
        <x:v>30.873364</x:v>
      </x:c>
      <x:c r="G1059" s="56" t="n">
        <x:v>-91.421776</x:v>
      </x:c>
      <x:c r="H1059" s="44" t="n">
        <x:f>E1059/SUMIF(A:A,A1059,E:E)</x:f>
        <x:v>0.0011783384120336584</x:v>
      </x:c>
    </x:row>
    <x:row r="1060" ht="15" hidden="0" customHeight="1">
      <x:c r="A1060" s="27" t="str">
        <x:v>SCA-17</x:v>
      </x:c>
      <x:c r="B1060" s="27" t="str">
        <x:v>22127</x:v>
      </x:c>
      <x:c r="C1060" s="27" t="str">
        <x:v>LA</x:v>
      </x:c>
      <x:c r="D1060" s="27" t="str">
        <x:v>Winn Parish</x:v>
      </x:c>
      <x:c r="E1060" s="40" t="n">
        <x:v>14961</x:v>
      </x:c>
      <x:c r="F1060" s="55" t="n">
        <x:v>31.941187</x:v>
      </x:c>
      <x:c r="G1060" s="55" t="n">
        <x:v>-92.641269</x:v>
      </x:c>
      <x:c r="H1060" s="43" t="n">
        <x:f>E1060/SUMIF(A:A,A1060,E:E)</x:f>
        <x:v>0.0011648685729110323</x:v>
      </x:c>
    </x:row>
    <x:row r="1061" ht="21.600000381469727" hidden="0" customHeight="1">
      <x:c r="A1061" s="29" t="str">
        <x:v>SCA-17</x:v>
      </x:c>
      <x:c r="B1061" s="29" t="str">
        <x:v>48455</x:v>
      </x:c>
      <x:c r="C1061" s="29" t="str">
        <x:v>TX</x:v>
      </x:c>
      <x:c r="D1061" s="29" t="str">
        <x:v>Trinity County</x:v>
      </x:c>
      <x:c r="E1061" s="41" t="n">
        <x:v>14384</x:v>
      </x:c>
      <x:c r="F1061" s="56" t="n">
        <x:v>31.096675</x:v>
      </x:c>
      <x:c r="G1061" s="56" t="n">
        <x:v>-95.151687</x:v>
      </x:c>
      <x:c r="H1061" s="44" t="n">
        <x:f>E1061/SUMIF(A:A,A1061,E:E)</x:f>
        <x:v>0.0011199431557216957</x:v>
      </x:c>
    </x:row>
    <x:row r="1062" ht="21.600000381469727" hidden="0" customHeight="1">
      <x:c r="A1062" s="27" t="str">
        <x:v>SCA-17</x:v>
      </x:c>
      <x:c r="B1062" s="27" t="str">
        <x:v>48313</x:v>
      </x:c>
      <x:c r="C1062" s="27" t="str">
        <x:v>TX</x:v>
      </x:c>
      <x:c r="D1062" s="27" t="str">
        <x:v>Madison County</x:v>
      </x:c>
      <x:c r="E1062" s="40" t="n">
        <x:v>14226</x:v>
      </x:c>
      <x:c r="F1062" s="55" t="n">
        <x:v>30.966878</x:v>
      </x:c>
      <x:c r="G1062" s="55" t="n">
        <x:v>-95.930372</x:v>
      </x:c>
      <x:c r="H1062" s="43" t="n">
        <x:f>E1062/SUMIF(A:A,A1062,E:E)</x:f>
        <x:v>0.0011076412217253088</x:v>
      </x:c>
    </x:row>
    <x:row r="1063" ht="21.600000381469727" hidden="0" customHeight="1">
      <x:c r="A1063" s="29" t="str">
        <x:v>SCA-17</x:v>
      </x:c>
      <x:c r="B1063" s="29" t="str">
        <x:v>48351</x:v>
      </x:c>
      <x:c r="C1063" s="29" t="str">
        <x:v>TX</x:v>
      </x:c>
      <x:c r="D1063" s="29" t="str">
        <x:v>Newton County</x:v>
      </x:c>
      <x:c r="E1063" s="41" t="n">
        <x:v>11954</x:v>
      </x:c>
      <x:c r="F1063" s="56" t="n">
        <x:v>30.786718</x:v>
      </x:c>
      <x:c r="G1063" s="56" t="n">
        <x:v>-93.73925</x:v>
      </x:c>
      <x:c r="H1063" s="44" t="n">
        <x:f>E1063/SUMIF(A:A,A1063,E:E)</x:f>
        <x:v>0.0009307425252709365</x:v>
      </x:c>
    </x:row>
    <x:row r="1064" ht="21.600000381469727" hidden="0" customHeight="1">
      <x:c r="A1064" s="27" t="str">
        <x:v>SCA-17</x:v>
      </x:c>
      <x:c r="B1064" s="27" t="str">
        <x:v>22091</x:v>
      </x:c>
      <x:c r="C1064" s="27" t="str">
        <x:v>LA</x:v>
      </x:c>
      <x:c r="D1064" s="27" t="str">
        <x:v>St. Helena Parish</x:v>
      </x:c>
      <x:c r="E1064" s="40" t="n">
        <x:v>10758</x:v>
      </x:c>
      <x:c r="F1064" s="55" t="n">
        <x:v>30.822539</x:v>
      </x:c>
      <x:c r="G1064" s="55" t="n">
        <x:v>-90.708307</x:v>
      </x:c>
      <x:c r="H1064" s="43" t="n">
        <x:f>E1064/SUMIF(A:A,A1064,E:E)</x:f>
        <x:v>0.0008376215565387932</x:v>
      </x:c>
    </x:row>
    <x:row r="1065" ht="21.600000381469727" hidden="0" customHeight="1">
      <x:c r="A1065" s="29" t="str">
        <x:v>SCA-17</x:v>
      </x:c>
      <x:c r="B1065" s="29" t="str">
        <x:v>48403</x:v>
      </x:c>
      <x:c r="C1065" s="29" t="str">
        <x:v>TX</x:v>
      </x:c>
      <x:c r="D1065" s="29" t="str">
        <x:v>Sabine County</x:v>
      </x:c>
      <x:c r="E1065" s="41" t="n">
        <x:v>10012</x:v>
      </x:c>
      <x:c r="F1065" s="56" t="n">
        <x:v>31.3433</x:v>
      </x:c>
      <x:c r="G1065" s="56" t="n">
        <x:v>-93.851913</x:v>
      </x:c>
      <x:c r="H1065" s="44" t="n">
        <x:f>E1065/SUMIF(A:A,A1065,E:E)</x:f>
        <x:v>0.0007795377415938276</x:v>
      </x:c>
    </x:row>
    <x:row r="1066" ht="21.600000381469727" hidden="0" customHeight="1">
      <x:c r="A1066" s="27" t="str">
        <x:v>SCA-17</x:v>
      </x:c>
      <x:c r="B1066" s="27" t="str">
        <x:v>22025</x:v>
      </x:c>
      <x:c r="C1066" s="27" t="str">
        <x:v>LA</x:v>
      </x:c>
      <x:c r="D1066" s="27" t="str">
        <x:v>Catahoula Parish</x:v>
      </x:c>
      <x:c r="E1066" s="40" t="n">
        <x:v>8223</x:v>
      </x:c>
      <x:c r="F1066" s="55" t="n">
        <x:v>31.666517</x:v>
      </x:c>
      <x:c r="G1066" s="55" t="n">
        <x:v>-91.846703</x:v>
      </x:c>
      <x:c r="H1066" s="43" t="n">
        <x:f>E1066/SUMIF(A:A,A1066,E:E)</x:f>
        <x:v>0.0006402455902043592</x:v>
      </x:c>
    </x:row>
    <x:row r="1067" ht="32.400001525878906" hidden="0" customHeight="1">
      <x:c r="A1067" s="29" t="str">
        <x:v>SCA-17</x:v>
      </x:c>
      <x:c r="B1067" s="29" t="str">
        <x:v>48405</x:v>
      </x:c>
      <x:c r="C1067" s="29" t="str">
        <x:v>TX</x:v>
      </x:c>
      <x:c r="D1067" s="29" t="str">
        <x:v>San Augustine County</x:v>
      </x:c>
      <x:c r="E1067" s="41" t="n">
        <x:v>7722</x:v>
      </x:c>
      <x:c r="F1067" s="56" t="n">
        <x:v>31.382449</x:v>
      </x:c>
      <x:c r="G1067" s="56" t="n">
        <x:v>-94.16318</x:v>
      </x:c>
      <x:c r="H1067" s="44" t="n">
        <x:f>E1067/SUMIF(A:A,A1067,E:E)</x:f>
        <x:v>0.0006012375589879681</x:v>
      </x:c>
    </x:row>
    <x:row r="1068" ht="21.600000381469727" hidden="0" customHeight="1">
      <x:c r="A1068" s="27" t="str">
        <x:v>SCA-17</x:v>
      </x:c>
      <x:c r="B1068" s="27" t="str">
        <x:v>28157</x:v>
      </x:c>
      <x:c r="C1068" s="27" t="str">
        <x:v>MS</x:v>
      </x:c>
      <x:c r="D1068" s="27" t="str">
        <x:v>Wilkinson County</x:v>
      </x:c>
      <x:c r="E1068" s="40" t="n">
        <x:v>7582</x:v>
      </x:c>
      <x:c r="F1068" s="55" t="n">
        <x:v>31.161091</x:v>
      </x:c>
      <x:c r="G1068" s="55" t="n">
        <x:v>-91.324617</x:v>
      </x:c>
      <x:c r="H1068" s="43" t="n">
        <x:f>E1068/SUMIF(A:A,A1068,E:E)</x:f>
        <x:v>0.0005903371111430684</x:v>
      </x:c>
    </x:row>
    <x:row r="1069" ht="21.600000381469727" hidden="0" customHeight="1">
      <x:c r="A1069" s="29" t="str">
        <x:v>SCA-17</x:v>
      </x:c>
      <x:c r="B1069" s="29" t="str">
        <x:v>22023</x:v>
      </x:c>
      <x:c r="C1069" s="29" t="str">
        <x:v>LA</x:v>
      </x:c>
      <x:c r="D1069" s="29" t="str">
        <x:v>Cameron Parish</x:v>
      </x:c>
      <x:c r="E1069" s="41" t="n">
        <x:v>4718</x:v>
      </x:c>
      <x:c r="F1069" s="56" t="n">
        <x:v>29.871812</x:v>
      </x:c>
      <x:c r="G1069" s="56" t="n">
        <x:v>-93.164948</x:v>
      </x:c>
      <x:c r="H1069" s="44" t="n">
        <x:f>E1069/SUMIF(A:A,A1069,E:E)</x:f>
        <x:v>0.00036734509237312015</x:v>
      </x:c>
    </x:row>
    <x:row r="1070" ht="21.600000381469727" hidden="0" customHeight="1">
      <x:c r="A1070" s="27" t="str">
        <x:v>SCA-18</x:v>
      </x:c>
      <x:c r="B1070" s="27" t="str">
        <x:v>27053</x:v>
      </x:c>
      <x:c r="C1070" s="27" t="str">
        <x:v>MN</x:v>
      </x:c>
      <x:c r="D1070" s="27" t="str">
        <x:v>Hennepin County</x:v>
      </x:c>
      <x:c r="E1070" s="40" t="n">
        <x:v>1284784</x:v>
      </x:c>
      <x:c r="F1070" s="55" t="n">
        <x:v>45.006121</x:v>
      </x:c>
      <x:c r="G1070" s="55" t="n">
        <x:v>-93.475228</x:v>
      </x:c>
      <x:c r="H1070" s="43" t="n">
        <x:f>E1070/SUMIF(A:A,A1070,E:E)</x:f>
        <x:v>0.11674887411537636</x:v>
      </x:c>
    </x:row>
    <x:row r="1071" ht="21.600000381469727" hidden="0" customHeight="1">
      <x:c r="A1071" s="29" t="str">
        <x:v>SCA-18</x:v>
      </x:c>
      <x:c r="B1071" s="29" t="str">
        <x:v>27123</x:v>
      </x:c>
      <x:c r="C1071" s="29" t="str">
        <x:v>MN</x:v>
      </x:c>
      <x:c r="D1071" s="29" t="str">
        <x:v>Ramsey County</x:v>
      </x:c>
      <x:c r="E1071" s="41" t="n">
        <x:v>541623</x:v>
      </x:c>
      <x:c r="F1071" s="56" t="n">
        <x:v>45.015204</x:v>
      </x:c>
      <x:c r="G1071" s="56" t="n">
        <x:v>-93.099965</x:v>
      </x:c>
      <x:c r="H1071" s="44" t="n">
        <x:f>E1071/SUMIF(A:A,A1071,E:E)</x:f>
        <x:v>0.04921751473009665</x:v>
      </x:c>
    </x:row>
    <x:row r="1072" ht="15" hidden="0" customHeight="1">
      <x:c r="A1072" s="27" t="str">
        <x:v>SCA-18</x:v>
      </x:c>
      <x:c r="B1072" s="27" t="str">
        <x:v>19153</x:v>
      </x:c>
      <x:c r="C1072" s="27" t="str">
        <x:v>IA</x:v>
      </x:c>
      <x:c r="D1072" s="27" t="str">
        <x:v>Polk County</x:v>
      </x:c>
      <x:c r="E1072" s="40" t="n">
        <x:v>516546</x:v>
      </x:c>
      <x:c r="F1072" s="55" t="n">
        <x:v>41.684816</x:v>
      </x:c>
      <x:c r="G1072" s="55" t="n">
        <x:v>-93.568971</x:v>
      </x:c>
      <x:c r="H1072" s="43" t="n">
        <x:f>E1072/SUMIF(A:A,A1072,E:E)</x:f>
        <x:v>0.04693875696521843</x:v>
      </x:c>
    </x:row>
    <x:row r="1073" ht="21.600000381469727" hidden="0" customHeight="1">
      <x:c r="A1073" s="29" t="str">
        <x:v>SCA-18</x:v>
      </x:c>
      <x:c r="B1073" s="29" t="str">
        <x:v>27037</x:v>
      </x:c>
      <x:c r="C1073" s="29" t="str">
        <x:v>MN</x:v>
      </x:c>
      <x:c r="D1073" s="29" t="str">
        <x:v>Dakota County</x:v>
      </x:c>
      <x:c r="E1073" s="41" t="n">
        <x:v>457710</x:v>
      </x:c>
      <x:c r="F1073" s="56" t="n">
        <x:v>44.670893</x:v>
      </x:c>
      <x:c r="G1073" s="56" t="n">
        <x:v>-93.062481</x:v>
      </x:c>
      <x:c r="H1073" s="44" t="n">
        <x:f>E1073/SUMIF(A:A,A1073,E:E)</x:f>
        <x:v>0.04159230436505196</x:v>
      </x:c>
    </x:row>
    <x:row r="1074" ht="21.600000381469727" hidden="0" customHeight="1">
      <x:c r="A1074" s="27" t="str">
        <x:v>SCA-18</x:v>
      </x:c>
      <x:c r="B1074" s="27" t="str">
        <x:v>27003</x:v>
      </x:c>
      <x:c r="C1074" s="27" t="str">
        <x:v>MN</x:v>
      </x:c>
      <x:c r="D1074" s="27" t="str">
        <x:v>Anoka County</x:v>
      </x:c>
      <x:c r="E1074" s="40" t="n">
        <x:v>381605</x:v>
      </x:c>
      <x:c r="F1074" s="55" t="n">
        <x:v>45.27411</x:v>
      </x:c>
      <x:c r="G1074" s="55" t="n">
        <x:v>-93.242723</x:v>
      </x:c>
      <x:c r="H1074" s="43" t="n">
        <x:f>E1074/SUMIF(A:A,A1074,E:E)</x:f>
        <x:v>0.03467661031488421</x:v>
      </x:c>
    </x:row>
    <x:row r="1075" ht="21.600000381469727" hidden="0" customHeight="1">
      <x:c r="A1075" s="29" t="str">
        <x:v>SCA-18</x:v>
      </x:c>
      <x:c r="B1075" s="29" t="str">
        <x:v>27163</x:v>
      </x:c>
      <x:c r="C1075" s="29" t="str">
        <x:v>MN</x:v>
      </x:c>
      <x:c r="D1075" s="29" t="str">
        <x:v>Washington County</x:v>
      </x:c>
      <x:c r="E1075" s="41" t="n">
        <x:v>286895</x:v>
      </x:c>
      <x:c r="F1075" s="56" t="n">
        <x:v>45.037929</x:v>
      </x:c>
      <x:c r="G1075" s="56" t="n">
        <x:v>-92.890117</x:v>
      </x:c>
      <x:c r="H1075" s="44" t="n">
        <x:f>E1075/SUMIF(A:A,A1075,E:E)</x:f>
        <x:v>0.026070271920673748</x:v>
      </x:c>
    </x:row>
    <x:row r="1076" ht="21.600000381469727" hidden="0" customHeight="1">
      <x:c r="A1076" s="27" t="str">
        <x:v>SCA-18</x:v>
      </x:c>
      <x:c r="B1076" s="27" t="str">
        <x:v>46099</x:v>
      </x:c>
      <x:c r="C1076" s="27" t="str">
        <x:v>SD</x:v>
      </x:c>
      <x:c r="D1076" s="27" t="str">
        <x:v>Minnehaha County</x:v>
      </x:c>
      <x:c r="E1076" s="40" t="n">
        <x:v>212691</x:v>
      </x:c>
      <x:c r="F1076" s="55" t="n">
        <x:v>43.667472</x:v>
      </x:c>
      <x:c r="G1076" s="55" t="n">
        <x:v>-96.795726</x:v>
      </x:c>
      <x:c r="H1076" s="43" t="n">
        <x:f>E1076/SUMIF(A:A,A1076,E:E)</x:f>
        <x:v>0.01932732255731198</x:v>
      </x:c>
    </x:row>
    <x:row r="1077" ht="15" hidden="0" customHeight="1">
      <x:c r="A1077" s="29" t="str">
        <x:v>SCA-18</x:v>
      </x:c>
      <x:c r="B1077" s="29" t="str">
        <x:v>38017</x:v>
      </x:c>
      <x:c r="C1077" s="29" t="str">
        <x:v>ND</x:v>
      </x:c>
      <x:c r="D1077" s="29" t="str">
        <x:v>Cass County</x:v>
      </x:c>
      <x:c r="E1077" s="41" t="n">
        <x:v>201794</x:v>
      </x:c>
      <x:c r="F1077" s="56" t="n">
        <x:v>46.927003</x:v>
      </x:c>
      <x:c r="G1077" s="56" t="n">
        <x:v>-97.252375</x:v>
      </x:c>
      <x:c r="H1077" s="44" t="n">
        <x:f>E1077/SUMIF(A:A,A1077,E:E)</x:f>
        <x:v>0.018337107485179034</x:v>
      </x:c>
    </x:row>
    <x:row r="1078" ht="21.600000381469727" hidden="0" customHeight="1">
      <x:c r="A1078" s="27" t="str">
        <x:v>SCA-18</x:v>
      </x:c>
      <x:c r="B1078" s="27" t="str">
        <x:v>27137</x:v>
      </x:c>
      <x:c r="C1078" s="27" t="str">
        <x:v>MN</x:v>
      </x:c>
      <x:c r="D1078" s="27" t="str">
        <x:v>St. Louis County</x:v>
      </x:c>
      <x:c r="E1078" s="40" t="n">
        <x:v>200518</x:v>
      </x:c>
      <x:c r="F1078" s="55" t="n">
        <x:v>47.578635</x:v>
      </x:c>
      <x:c r="G1078" s="55" t="n">
        <x:v>-92.514585</x:v>
      </x:c>
      <x:c r="H1078" s="43" t="n">
        <x:f>E1078/SUMIF(A:A,A1078,E:E)</x:f>
        <x:v>0.018221156816917893</x:v>
      </x:c>
    </x:row>
    <x:row r="1079" ht="21.600000381469727" hidden="0" customHeight="1">
      <x:c r="A1079" s="29" t="str">
        <x:v>SCA-18</x:v>
      </x:c>
      <x:c r="B1079" s="29" t="str">
        <x:v>27109</x:v>
      </x:c>
      <x:c r="C1079" s="29" t="str">
        <x:v>MN</x:v>
      </x:c>
      <x:c r="D1079" s="29" t="str">
        <x:v>Olmsted County</x:v>
      </x:c>
      <x:c r="E1079" s="41" t="n">
        <x:v>166731</x:v>
      </x:c>
      <x:c r="F1079" s="56" t="n">
        <x:v>43.999688</x:v>
      </x:c>
      <x:c r="G1079" s="56" t="n">
        <x:v>-92.410155</x:v>
      </x:c>
      <x:c r="H1079" s="44" t="n">
        <x:f>E1079/SUMIF(A:A,A1079,E:E)</x:f>
        <x:v>0.015150917609598824</x:v>
      </x:c>
    </x:row>
    <x:row r="1080" ht="21.600000381469727" hidden="0" customHeight="1">
      <x:c r="A1080" s="27" t="str">
        <x:v>SCA-18</x:v>
      </x:c>
      <x:c r="B1080" s="27" t="str">
        <x:v>27145</x:v>
      </x:c>
      <x:c r="C1080" s="27" t="str">
        <x:v>MN</x:v>
      </x:c>
      <x:c r="D1080" s="27" t="str">
        <x:v>Stearns County</x:v>
      </x:c>
      <x:c r="E1080" s="40" t="n">
        <x:v>164110</x:v>
      </x:c>
      <x:c r="F1080" s="55" t="n">
        <x:v>45.555233</x:v>
      </x:c>
      <x:c r="G1080" s="55" t="n">
        <x:v>-94.610483</x:v>
      </x:c>
      <x:c r="H1080" s="43" t="n">
        <x:f>E1080/SUMIF(A:A,A1080,E:E)</x:f>
        <x:v>0.014912746213429195</x:v>
      </x:c>
    </x:row>
    <x:row r="1081" ht="15" hidden="0" customHeight="1">
      <x:c r="A1081" s="29" t="str">
        <x:v>SCA-18</x:v>
      </x:c>
      <x:c r="B1081" s="29" t="str">
        <x:v>27139</x:v>
      </x:c>
      <x:c r="C1081" s="29" t="str">
        <x:v>MN</x:v>
      </x:c>
      <x:c r="D1081" s="29" t="str">
        <x:v>Scott County</x:v>
      </x:c>
      <x:c r="E1081" s="41" t="n">
        <x:v>159017</x:v>
      </x:c>
      <x:c r="F1081" s="56" t="n">
        <x:v>44.651811</x:v>
      </x:c>
      <x:c r="G1081" s="56" t="n">
        <x:v>-93.533733</x:v>
      </x:c>
      <x:c r="H1081" s="44" t="n">
        <x:f>E1081/SUMIF(A:A,A1081,E:E)</x:f>
        <x:v>0.014449943115111025</x:v>
      </x:c>
    </x:row>
    <x:row r="1082" ht="21.600000381469727" hidden="0" customHeight="1">
      <x:c r="A1082" s="27" t="str">
        <x:v>SCA-18</x:v>
      </x:c>
      <x:c r="B1082" s="27" t="str">
        <x:v>27171</x:v>
      </x:c>
      <x:c r="C1082" s="27" t="str">
        <x:v>MN</x:v>
      </x:c>
      <x:c r="D1082" s="27" t="str">
        <x:v>Wright County</x:v>
      </x:c>
      <x:c r="E1082" s="40" t="n">
        <x:v>157559</x:v>
      </x:c>
      <x:c r="F1082" s="55" t="n">
        <x:v>45.174921</x:v>
      </x:c>
      <x:c r="G1082" s="55" t="n">
        <x:v>-93.966482</x:v>
      </x:c>
      <x:c r="H1082" s="43" t="n">
        <x:f>E1082/SUMIF(A:A,A1082,E:E)</x:f>
        <x:v>0.01431745402864963</x:v>
      </x:c>
    </x:row>
    <x:row r="1083" ht="21.600000381469727" hidden="0" customHeight="1">
      <x:c r="A1083" s="29" t="str">
        <x:v>SCA-18</x:v>
      </x:c>
      <x:c r="B1083" s="29" t="str">
        <x:v>55073</x:v>
      </x:c>
      <x:c r="C1083" s="29" t="str">
        <x:v>WI</x:v>
      </x:c>
      <x:c r="D1083" s="29" t="str">
        <x:v>Marathon County</x:v>
      </x:c>
      <x:c r="E1083" s="41" t="n">
        <x:v>139432</x:v>
      </x:c>
      <x:c r="F1083" s="56" t="n">
        <x:v>44.898036</x:v>
      </x:c>
      <x:c r="G1083" s="56" t="n">
        <x:v>-89.757823</x:v>
      </x:c>
      <x:c r="H1083" s="44" t="n">
        <x:f>E1083/SUMIF(A:A,A1083,E:E)</x:f>
        <x:v>0.012670245749990004</x:v>
      </x:c>
    </x:row>
    <x:row r="1084" ht="21.600000381469727" hidden="0" customHeight="1">
      <x:c r="A1084" s="27" t="str">
        <x:v>SCA-18</x:v>
      </x:c>
      <x:c r="B1084" s="27" t="str">
        <x:v>19013</x:v>
      </x:c>
      <x:c r="C1084" s="27" t="str">
        <x:v>IA</x:v>
      </x:c>
      <x:c r="D1084" s="27" t="str">
        <x:v>Black Hawk County</x:v>
      </x:c>
      <x:c r="E1084" s="40" t="n">
        <x:v>131532</x:v>
      </x:c>
      <x:c r="F1084" s="55" t="n">
        <x:v>42.471132</x:v>
      </x:c>
      <x:c r="G1084" s="55" t="n">
        <x:v>-92.3076</x:v>
      </x:c>
      <x:c r="H1084" s="43" t="n">
        <x:f>E1084/SUMIF(A:A,A1084,E:E)</x:f>
        <x:v>0.011952369355583262</x:v>
      </x:c>
    </x:row>
    <x:row r="1085" ht="21.600000381469727" hidden="0" customHeight="1">
      <x:c r="A1085" s="29" t="str">
        <x:v>SCA-18</x:v>
      </x:c>
      <x:c r="B1085" s="29" t="str">
        <x:v>55063</x:v>
      </x:c>
      <x:c r="C1085" s="29" t="str">
        <x:v>WI</x:v>
      </x:c>
      <x:c r="D1085" s="29" t="str">
        <x:v>La Crosse County</x:v>
      </x:c>
      <x:c r="E1085" s="41" t="n">
        <x:v>121339</x:v>
      </x:c>
      <x:c r="F1085" s="56" t="n">
        <x:v>43.908222</x:v>
      </x:c>
      <x:c r="G1085" s="56" t="n">
        <x:v>-91.111758</x:v>
      </x:c>
      <x:c r="H1085" s="44" t="n">
        <x:f>E1085/SUMIF(A:A,A1085,E:E)</x:f>
        <x:v>0.011026127065939218</x:v>
      </x:c>
    </x:row>
    <x:row r="1086" ht="21.600000381469727" hidden="0" customHeight="1">
      <x:c r="A1086" s="27" t="str">
        <x:v>SCA-18</x:v>
      </x:c>
      <x:c r="B1086" s="27" t="str">
        <x:v>19049</x:v>
      </x:c>
      <x:c r="C1086" s="27" t="str">
        <x:v>IA</x:v>
      </x:c>
      <x:c r="D1086" s="27" t="str">
        <x:v>Dallas County</x:v>
      </x:c>
      <x:c r="E1086" s="40" t="n">
        <x:v>118457</x:v>
      </x:c>
      <x:c r="F1086" s="55" t="n">
        <x:v>41.68532</x:v>
      </x:c>
      <x:c r="G1086" s="55" t="n">
        <x:v>-94.040706</x:v>
      </x:c>
      <x:c r="H1086" s="43" t="n">
        <x:f>E1086/SUMIF(A:A,A1086,E:E)</x:f>
        <x:v>0.010764238487625265</x:v>
      </x:c>
    </x:row>
    <x:row r="1087" ht="21.600000381469727" hidden="0" customHeight="1">
      <x:c r="A1087" s="29" t="str">
        <x:v>SCA-18</x:v>
      </x:c>
      <x:c r="B1087" s="29" t="str">
        <x:v>27019</x:v>
      </x:c>
      <x:c r="C1087" s="29" t="str">
        <x:v>MN</x:v>
      </x:c>
      <x:c r="D1087" s="29" t="str">
        <x:v>Carver County</x:v>
      </x:c>
      <x:c r="E1087" s="41" t="n">
        <x:v>114379</x:v>
      </x:c>
      <x:c r="F1087" s="56" t="n">
        <x:v>44.821321</x:v>
      </x:c>
      <x:c r="G1087" s="56" t="n">
        <x:v>-93.800093</x:v>
      </x:c>
      <x:c r="H1087" s="44" t="n">
        <x:f>E1087/SUMIF(A:A,A1087,E:E)</x:f>
        <x:v>0.01039366887542391</x:v>
      </x:c>
    </x:row>
    <x:row r="1088" ht="21.600000381469727" hidden="0" customHeight="1">
      <x:c r="A1088" s="27" t="str">
        <x:v>SCA-18</x:v>
      </x:c>
      <x:c r="B1088" s="27" t="str">
        <x:v>55035</x:v>
      </x:c>
      <x:c r="C1088" s="27" t="str">
        <x:v>WI</x:v>
      </x:c>
      <x:c r="D1088" s="27" t="str">
        <x:v>Eau Claire County</x:v>
      </x:c>
      <x:c r="E1088" s="40" t="n">
        <x:v>109033</x:v>
      </x:c>
      <x:c r="F1088" s="55" t="n">
        <x:v>44.726355</x:v>
      </x:c>
      <x:c r="G1088" s="55" t="n">
        <x:v>-91.286414</x:v>
      </x:c>
      <x:c r="H1088" s="43" t="n">
        <x:f>E1088/SUMIF(A:A,A1088,E:E)</x:f>
        <x:v>0.00990787555839879</x:v>
      </x:c>
    </x:row>
    <x:row r="1089" ht="21.600000381469727" hidden="0" customHeight="1">
      <x:c r="A1089" s="29" t="str">
        <x:v>SCA-18</x:v>
      </x:c>
      <x:c r="B1089" s="29" t="str">
        <x:v>19193</x:v>
      </x:c>
      <x:c r="C1089" s="29" t="str">
        <x:v>IA</x:v>
      </x:c>
      <x:c r="D1089" s="29" t="str">
        <x:v>Woodbury County</x:v>
      </x:c>
      <x:c r="E1089" s="41" t="n">
        <x:v>106649</x:v>
      </x:c>
      <x:c r="F1089" s="56" t="n">
        <x:v>42.39322</x:v>
      </x:c>
      <x:c r="G1089" s="56" t="n">
        <x:v>-96.053296</x:v>
      </x:c>
      <x:c r="H1089" s="44" t="n">
        <x:f>E1089/SUMIF(A:A,A1089,E:E)</x:f>
        <x:v>0.009691240454061363</x:v>
      </x:c>
    </x:row>
    <x:row r="1090" ht="21.600000381469727" hidden="0" customHeight="1">
      <x:c r="A1090" s="27" t="str">
        <x:v>SCA-18</x:v>
      </x:c>
      <x:c r="B1090" s="27" t="str">
        <x:v>27141</x:v>
      </x:c>
      <x:c r="C1090" s="27" t="str">
        <x:v>MN</x:v>
      </x:c>
      <x:c r="D1090" s="27" t="str">
        <x:v>Sherburne County</x:v>
      </x:c>
      <x:c r="E1090" s="40" t="n">
        <x:v>104194</x:v>
      </x:c>
      <x:c r="F1090" s="55" t="n">
        <x:v>45.453166</x:v>
      </x:c>
      <x:c r="G1090" s="55" t="n">
        <x:v>-93.769164</x:v>
      </x:c>
      <x:c r="H1090" s="43" t="n">
        <x:f>E1090/SUMIF(A:A,A1090,E:E)</x:f>
        <x:v>0.009468153549217243</x:v>
      </x:c>
    </x:row>
    <x:row r="1091" ht="21.600000381469727" hidden="0" customHeight="1">
      <x:c r="A1091" s="29" t="str">
        <x:v>SCA-18</x:v>
      </x:c>
      <x:c r="B1091" s="29" t="str">
        <x:v>38015</x:v>
      </x:c>
      <x:c r="C1091" s="29" t="str">
        <x:v>ND</x:v>
      </x:c>
      <x:c r="D1091" s="29" t="str">
        <x:v>Burleigh County</x:v>
      </x:c>
      <x:c r="E1091" s="41" t="n">
        <x:v>103251</x:v>
      </x:c>
      <x:c r="F1091" s="56" t="n">
        <x:v>46.978829</x:v>
      </x:c>
      <x:c r="G1091" s="56" t="n">
        <x:v>-100.469533</x:v>
      </x:c>
      <x:c r="H1091" s="44" t="n">
        <x:f>E1091/SUMIF(A:A,A1091,E:E)</x:f>
        <x:v>0.00938246273403679</x:v>
      </x:c>
    </x:row>
    <x:row r="1092" ht="15" hidden="0" customHeight="1">
      <x:c r="A1092" s="27" t="str">
        <x:v>SCA-18</x:v>
      </x:c>
      <x:c r="B1092" s="27" t="str">
        <x:v>19169</x:v>
      </x:c>
      <x:c r="C1092" s="27" t="str">
        <x:v>IA</x:v>
      </x:c>
      <x:c r="D1092" s="27" t="str">
        <x:v>Story County</x:v>
      </x:c>
      <x:c r="E1092" s="40" t="n">
        <x:v>101291</x:v>
      </x:c>
      <x:c r="F1092" s="55" t="n">
        <x:v>42.037538</x:v>
      </x:c>
      <x:c r="G1092" s="55" t="n">
        <x:v>-93.466093</x:v>
      </x:c>
      <x:c r="H1092" s="43" t="n">
        <x:f>E1092/SUMIF(A:A,A1092,E:E)</x:f>
        <x:v>0.009204356691880182</x:v>
      </x:c>
    </x:row>
    <x:row r="1093" ht="21.600000381469727" hidden="0" customHeight="1">
      <x:c r="A1093" s="29" t="str">
        <x:v>SCA-18</x:v>
      </x:c>
      <x:c r="B1093" s="29" t="str">
        <x:v>55109</x:v>
      </x:c>
      <x:c r="C1093" s="29" t="str">
        <x:v>WI</x:v>
      </x:c>
      <x:c r="D1093" s="29" t="str">
        <x:v>St. Croix County</x:v>
      </x:c>
      <x:c r="E1093" s="41" t="n">
        <x:v>98276</x:v>
      </x:c>
      <x:c r="F1093" s="56" t="n">
        <x:v>45.028959</x:v>
      </x:c>
      <x:c r="G1093" s="56" t="n">
        <x:v>-92.447284</x:v>
      </x:c>
      <x:c r="H1093" s="44" t="n">
        <x:f>E1093/SUMIF(A:A,A1093,E:E)</x:f>
        <x:v>0.008930382346419886</x:v>
      </x:c>
    </x:row>
    <x:row r="1094" ht="21.600000381469727" hidden="0" customHeight="1">
      <x:c r="A1094" s="27" t="str">
        <x:v>SCA-18</x:v>
      </x:c>
      <x:c r="B1094" s="27" t="str">
        <x:v>19155</x:v>
      </x:c>
      <x:c r="C1094" s="27" t="str">
        <x:v>IA</x:v>
      </x:c>
      <x:c r="D1094" s="27" t="str">
        <x:v>Pottawattamie County</x:v>
      </x:c>
      <x:c r="E1094" s="40" t="n">
        <x:v>92996</x:v>
      </x:c>
      <x:c r="F1094" s="55" t="n">
        <x:v>41.340184</x:v>
      </x:c>
      <x:c r="G1094" s="55" t="n">
        <x:v>-95.544905</x:v>
      </x:c>
      <x:c r="H1094" s="43" t="n">
        <x:f>E1094/SUMIF(A:A,A1094,E:E)</x:f>
        <x:v>0.008450586477753102</x:v>
      </x:c>
    </x:row>
    <x:row r="1095" ht="21.600000381469727" hidden="0" customHeight="1">
      <x:c r="A1095" s="29" t="str">
        <x:v>SCA-18</x:v>
      </x:c>
      <x:c r="B1095" s="29" t="str">
        <x:v>46083</x:v>
      </x:c>
      <x:c r="C1095" s="29" t="str">
        <x:v>SD</x:v>
      </x:c>
      <x:c r="D1095" s="29" t="str">
        <x:v>Lincoln County</x:v>
      </x:c>
      <x:c r="E1095" s="41" t="n">
        <x:v>77145</x:v>
      </x:c>
      <x:c r="F1095" s="56" t="n">
        <x:v>43.279422</x:v>
      </x:c>
      <x:c r="G1095" s="56" t="n">
        <x:v>-96.722288</x:v>
      </x:c>
      <x:c r="H1095" s="44" t="n">
        <x:f>E1095/SUMIF(A:A,A1095,E:E)</x:f>
        <x:v>0.007010199297026356</x:v>
      </x:c>
    </x:row>
    <x:row r="1096" ht="21.600000381469727" hidden="0" customHeight="1">
      <x:c r="A1096" s="27" t="str">
        <x:v>SCA-18</x:v>
      </x:c>
      <x:c r="B1096" s="27" t="str">
        <x:v>38035</x:v>
      </x:c>
      <x:c r="C1096" s="27" t="str">
        <x:v>ND</x:v>
      </x:c>
      <x:c r="D1096" s="27" t="str">
        <x:v>Grand Forks County</x:v>
      </x:c>
      <x:c r="E1096" s="40" t="n">
        <x:v>74501</x:v>
      </x:c>
      <x:c r="F1096" s="55" t="n">
        <x:v>47.926003</x:v>
      </x:c>
      <x:c r="G1096" s="55" t="n">
        <x:v>-97.450851</x:v>
      </x:c>
      <x:c r="H1096" s="43" t="n">
        <x:f>E1096/SUMIF(A:A,A1096,E:E)</x:f>
        <x:v>0.006769937880974276</x:v>
      </x:c>
    </x:row>
    <x:row r="1097" ht="21.600000381469727" hidden="0" customHeight="1">
      <x:c r="A1097" s="29" t="str">
        <x:v>SCA-18</x:v>
      </x:c>
      <x:c r="B1097" s="29" t="str">
        <x:v>55141</x:v>
      </x:c>
      <x:c r="C1097" s="29" t="str">
        <x:v>WI</x:v>
      </x:c>
      <x:c r="D1097" s="29" t="str">
        <x:v>Wood County</x:v>
      </x:c>
      <x:c r="E1097" s="41" t="n">
        <x:v>74060</x:v>
      </x:c>
      <x:c r="F1097" s="56" t="n">
        <x:v>44.461413</x:v>
      </x:c>
      <x:c r="G1097" s="56" t="n">
        <x:v>-90.038825</x:v>
      </x:c>
      <x:c r="H1097" s="44" t="n">
        <x:f>E1097/SUMIF(A:A,A1097,E:E)</x:f>
        <x:v>0.006729864021489039</x:v>
      </x:c>
    </x:row>
    <x:row r="1098" ht="21.600000381469727" hidden="0" customHeight="1">
      <x:c r="A1098" s="27" t="str">
        <x:v>SCA-18</x:v>
      </x:c>
      <x:c r="B1098" s="27" t="str">
        <x:v>55097</x:v>
      </x:c>
      <x:c r="C1098" s="27" t="str">
        <x:v>WI</x:v>
      </x:c>
      <x:c r="D1098" s="27" t="str">
        <x:v>Portage County</x:v>
      </x:c>
      <x:c r="E1098" s="40" t="n">
        <x:v>71943</x:v>
      </x:c>
      <x:c r="F1098" s="55" t="n">
        <x:v>44.476246</x:v>
      </x:c>
      <x:c r="G1098" s="55" t="n">
        <x:v>-89.49807</x:v>
      </x:c>
      <x:c r="H1098" s="43" t="n">
        <x:f>E1098/SUMIF(A:A,A1098,E:E)</x:f>
        <x:v>0.006537491321873966</x:v>
      </x:c>
    </x:row>
    <x:row r="1099" ht="21.600000381469727" hidden="0" customHeight="1">
      <x:c r="A1099" s="29" t="str">
        <x:v>SCA-18</x:v>
      </x:c>
      <x:c r="B1099" s="29" t="str">
        <x:v>27013</x:v>
      </x:c>
      <x:c r="C1099" s="29" t="str">
        <x:v>MN</x:v>
      </x:c>
      <x:c r="D1099" s="29" t="str">
        <x:v>Blue Earth County</x:v>
      </x:c>
      <x:c r="E1099" s="41" t="n">
        <x:v>70634</x:v>
      </x:c>
      <x:c r="F1099" s="56" t="n">
        <x:v>44.03371</x:v>
      </x:c>
      <x:c r="G1099" s="56" t="n">
        <x:v>-94.064012</x:v>
      </x:c>
      <x:c r="H1099" s="44" t="n">
        <x:f>E1099/SUMIF(A:A,A1099,E:E)</x:f>
        <x:v>0.006418541929433659</x:v>
      </x:c>
    </x:row>
    <x:row r="1100" ht="15" hidden="0" customHeight="1">
      <x:c r="A1100" s="27" t="str">
        <x:v>SCA-18</x:v>
      </x:c>
      <x:c r="B1100" s="27" t="str">
        <x:v>27131</x:v>
      </x:c>
      <x:c r="C1100" s="27" t="str">
        <x:v>MN</x:v>
      </x:c>
      <x:c r="D1100" s="27" t="str">
        <x:v>Rice County</x:v>
      </x:c>
      <x:c r="E1100" s="40" t="n">
        <x:v>69939</x:v>
      </x:c>
      <x:c r="F1100" s="55" t="n">
        <x:v>44.350775</x:v>
      </x:c>
      <x:c r="G1100" s="55" t="n">
        <x:v>-93.298513</x:v>
      </x:c>
      <x:c r="H1100" s="43" t="n">
        <x:f>E1100/SUMIF(A:A,A1100,E:E)</x:f>
        <x:v>0.0063553869808118</x:v>
      </x:c>
    </x:row>
    <x:row r="1101" ht="21.600000381469727" hidden="0" customHeight="1">
      <x:c r="A1101" s="29" t="str">
        <x:v>SCA-18</x:v>
      </x:c>
      <x:c r="B1101" s="29" t="str">
        <x:v>27035</x:v>
      </x:c>
      <x:c r="C1101" s="29" t="str">
        <x:v>MN</x:v>
      </x:c>
      <x:c r="D1101" s="29" t="str">
        <x:v>Crow Wing County</x:v>
      </x:c>
      <x:c r="E1101" s="41" t="n">
        <x:v>69132</x:v>
      </x:c>
      <x:c r="F1101" s="56" t="n">
        <x:v>46.491653</x:v>
      </x:c>
      <x:c r="G1101" s="56" t="n">
        <x:v>-94.070718</x:v>
      </x:c>
      <x:c r="H1101" s="44" t="n">
        <x:f>E1101/SUMIF(A:A,A1101,E:E)</x:f>
        <x:v>0.006282054544066706</x:v>
      </x:c>
    </x:row>
    <x:row r="1102" ht="15" hidden="0" customHeight="1">
      <x:c r="A1102" s="27" t="str">
        <x:v>SCA-18</x:v>
      </x:c>
      <x:c r="B1102" s="27" t="str">
        <x:v>38101</x:v>
      </x:c>
      <x:c r="C1102" s="27" t="str">
        <x:v>ND</x:v>
      </x:c>
      <x:c r="D1102" s="27" t="str">
        <x:v>Ward County</x:v>
      </x:c>
      <x:c r="E1102" s="40" t="n">
        <x:v>68233</x:v>
      </x:c>
      <x:c r="F1102" s="55" t="n">
        <x:v>48.216686</x:v>
      </x:c>
      <x:c r="G1102" s="55" t="n">
        <x:v>-101.540537</x:v>
      </x:c>
      <x:c r="H1102" s="43" t="n">
        <x:f>E1102/SUMIF(A:A,A1102,E:E)</x:f>
        <x:v>0.006200362027791812</x:v>
      </x:c>
    </x:row>
    <x:row r="1103" ht="21.600000381469727" hidden="0" customHeight="1">
      <x:c r="A1103" s="29" t="str">
        <x:v>SCA-18</x:v>
      </x:c>
      <x:c r="B1103" s="29" t="str">
        <x:v>26103</x:v>
      </x:c>
      <x:c r="C1103" s="29" t="str">
        <x:v>MI</x:v>
      </x:c>
      <x:c r="D1103" s="29" t="str">
        <x:v>Marquette County</x:v>
      </x:c>
      <x:c r="E1103" s="41" t="n">
        <x:v>68064</x:v>
      </x:c>
      <x:c r="F1103" s="56" t="n">
        <x:v>46.656596</x:v>
      </x:c>
      <x:c r="G1103" s="56" t="n">
        <x:v>-87.584028</x:v>
      </x:c>
      <x:c r="H1103" s="44" t="n">
        <x:f>E1103/SUMIF(A:A,A1103,E:E)</x:f>
        <x:v>0.006185004925177288</x:v>
      </x:c>
    </x:row>
    <x:row r="1104" ht="15" hidden="0" customHeight="1">
      <x:c r="A1104" s="27" t="str">
        <x:v>SCA-18</x:v>
      </x:c>
      <x:c r="B1104" s="27" t="str">
        <x:v>27027</x:v>
      </x:c>
      <x:c r="C1104" s="27" t="str">
        <x:v>MN</x:v>
      </x:c>
      <x:c r="D1104" s="27" t="str">
        <x:v>Clay County</x:v>
      </x:c>
      <x:c r="E1104" s="40" t="n">
        <x:v>67734</x:v>
      </x:c>
      <x:c r="F1104" s="55" t="n">
        <x:v>46.898377</x:v>
      </x:c>
      <x:c r="G1104" s="55" t="n">
        <x:v>-96.494901</x:v>
      </x:c>
      <x:c r="H1104" s="43" t="n">
        <x:f>E1104/SUMIF(A:A,A1104,E:E)</x:f>
        <x:v>0.006155017683385614</x:v>
      </x:c>
    </x:row>
    <x:row r="1105" ht="21.600000381469727" hidden="0" customHeight="1">
      <x:c r="A1105" s="29" t="str">
        <x:v>SCA-18</x:v>
      </x:c>
      <x:c r="B1105" s="29" t="str">
        <x:v>55017</x:v>
      </x:c>
      <x:c r="C1105" s="29" t="str">
        <x:v>WI</x:v>
      </x:c>
      <x:c r="D1105" s="29" t="str">
        <x:v>Chippewa County</x:v>
      </x:c>
      <x:c r="E1105" s="41" t="n">
        <x:v>67614</x:v>
      </x:c>
      <x:c r="F1105" s="56" t="n">
        <x:v>45.069092</x:v>
      </x:c>
      <x:c r="G1105" s="56" t="n">
        <x:v>-91.283505</x:v>
      </x:c>
      <x:c r="H1105" s="44" t="n">
        <x:f>E1105/SUMIF(A:A,A1105,E:E)</x:f>
        <x:v>0.006144113231825005</x:v>
      </x:c>
    </x:row>
    <x:row r="1106" ht="21.600000381469727" hidden="0" customHeight="1">
      <x:c r="A1106" s="27" t="str">
        <x:v>SCA-18</x:v>
      </x:c>
      <x:c r="B1106" s="27" t="str">
        <x:v>27111</x:v>
      </x:c>
      <x:c r="C1106" s="27" t="str">
        <x:v>MN</x:v>
      </x:c>
      <x:c r="D1106" s="27" t="str">
        <x:v>Otter Tail County</x:v>
      </x:c>
      <x:c r="E1106" s="40" t="n">
        <x:v>61041</x:v>
      </x:c>
      <x:c r="F1106" s="55" t="n">
        <x:v>46.405727</x:v>
      </x:c>
      <x:c r="G1106" s="55" t="n">
        <x:v>-95.714581</x:v>
      </x:c>
      <x:c r="H1106" s="43" t="n">
        <x:f>E1106/SUMIF(A:A,A1106,E:E)</x:f>
        <x:v>0.00554682189759266</x:v>
      </x:c>
    </x:row>
    <x:row r="1107" ht="21.600000381469727" hidden="0" customHeight="1">
      <x:c r="A1107" s="29" t="str">
        <x:v>SCA-18</x:v>
      </x:c>
      <x:c r="B1107" s="29" t="str">
        <x:v>27025</x:v>
      </x:c>
      <x:c r="C1107" s="29" t="str">
        <x:v>MN</x:v>
      </x:c>
      <x:c r="D1107" s="29" t="str">
        <x:v>Chisago County</x:v>
      </x:c>
      <x:c r="E1107" s="41" t="n">
        <x:v>59142</x:v>
      </x:c>
      <x:c r="F1107" s="56" t="n">
        <x:v>45.505444</x:v>
      </x:c>
      <x:c r="G1107" s="56" t="n">
        <x:v>-92.903849</x:v>
      </x:c>
      <x:c r="H1107" s="44" t="n">
        <x:f>E1107/SUMIF(A:A,A1107,E:E)</x:f>
        <x:v>0.0053742589516460266</x:v>
      </x:c>
    </x:row>
    <x:row r="1108" ht="21.600000381469727" hidden="0" customHeight="1">
      <x:c r="A1108" s="27" t="str">
        <x:v>SCA-18</x:v>
      </x:c>
      <x:c r="B1108" s="27" t="str">
        <x:v>19181</x:v>
      </x:c>
      <x:c r="C1108" s="27" t="str">
        <x:v>IA</x:v>
      </x:c>
      <x:c r="D1108" s="27" t="str">
        <x:v>Warren County</x:v>
      </x:c>
      <x:c r="E1108" s="40" t="n">
        <x:v>57331</x:v>
      </x:c>
      <x:c r="F1108" s="55" t="n">
        <x:v>41.332446</x:v>
      </x:c>
      <x:c r="G1108" s="55" t="n">
        <x:v>-93.568751</x:v>
      </x:c>
      <x:c r="H1108" s="43" t="n">
        <x:f>E1108/SUMIF(A:A,A1108,E:E)</x:f>
        <x:v>0.0052096926035105065</x:v>
      </x:c>
    </x:row>
    <x:row r="1109" ht="21.600000381469727" hidden="0" customHeight="1">
      <x:c r="A1109" s="29" t="str">
        <x:v>SCA-18</x:v>
      </x:c>
      <x:c r="B1109" s="29" t="str">
        <x:v>27169</x:v>
      </x:c>
      <x:c r="C1109" s="29" t="str">
        <x:v>MN</x:v>
      </x:c>
      <x:c r="D1109" s="29" t="str">
        <x:v>Winona County</x:v>
      </x:c>
      <x:c r="E1109" s="41" t="n">
        <x:v>50523</x:v>
      </x:c>
      <x:c r="F1109" s="56" t="n">
        <x:v>43.981353</x:v>
      </x:c>
      <x:c r="G1109" s="56" t="n">
        <x:v>-91.777044</x:v>
      </x:c>
      <x:c r="H1109" s="44" t="n">
        <x:f>E1109/SUMIF(A:A,A1109,E:E)</x:f>
        <x:v>0.004591046718305303</x:v>
      </x:c>
    </x:row>
    <x:row r="1110" ht="21.600000381469727" hidden="0" customHeight="1">
      <x:c r="A1110" s="27" t="str">
        <x:v>SCA-18</x:v>
      </x:c>
      <x:c r="B1110" s="27" t="str">
        <x:v>27049</x:v>
      </x:c>
      <x:c r="C1110" s="27" t="str">
        <x:v>MN</x:v>
      </x:c>
      <x:c r="D1110" s="27" t="str">
        <x:v>Goodhue County</x:v>
      </x:c>
      <x:c r="E1110" s="40" t="n">
        <x:v>48195</x:v>
      </x:c>
      <x:c r="F1110" s="55" t="n">
        <x:v>44.406178</x:v>
      </x:c>
      <x:c r="G1110" s="55" t="n">
        <x:v>-92.716</x:v>
      </x:c>
      <x:c r="H1110" s="43" t="n">
        <x:f>E1110/SUMIF(A:A,A1110,E:E)</x:f>
        <x:v>0.004379500358029493</x:v>
      </x:c>
    </x:row>
    <x:row r="1111" ht="21.600000381469727" hidden="0" customHeight="1">
      <x:c r="A1111" s="29" t="str">
        <x:v>SCA-18</x:v>
      </x:c>
      <x:c r="B1111" s="29" t="str">
        <x:v>27007</x:v>
      </x:c>
      <x:c r="C1111" s="29" t="str">
        <x:v>MN</x:v>
      </x:c>
      <x:c r="D1111" s="29" t="str">
        <x:v>Beltrami County</x:v>
      </x:c>
      <x:c r="E1111" s="41" t="n">
        <x:v>47055</x:v>
      </x:c>
      <x:c r="F1111" s="56" t="n">
        <x:v>47.879508</x:v>
      </x:c>
      <x:c r="G1111" s="56" t="n">
        <x:v>-95.00505</x:v>
      </x:c>
      <x:c r="H1111" s="44" t="n">
        <x:f>E1111/SUMIF(A:A,A1111,E:E)</x:f>
        <x:v>0.004275908068203709</x:v>
      </x:c>
    </x:row>
    <x:row r="1112" ht="21.600000381469727" hidden="0" customHeight="1">
      <x:c r="A1112" s="27" t="str">
        <x:v>SCA-18</x:v>
      </x:c>
      <x:c r="B1112" s="27" t="str">
        <x:v>55081</x:v>
      </x:c>
      <x:c r="C1112" s="27" t="str">
        <x:v>WI</x:v>
      </x:c>
      <x:c r="D1112" s="27" t="str">
        <x:v>Monroe County</x:v>
      </x:c>
      <x:c r="E1112" s="40" t="n">
        <x:v>46572</x:v>
      </x:c>
      <x:c r="F1112" s="55" t="n">
        <x:v>43.945175</x:v>
      </x:c>
      <x:c r="G1112" s="55" t="n">
        <x:v>-90.619969</x:v>
      </x:c>
      <x:c r="H1112" s="43" t="n">
        <x:f>E1112/SUMIF(A:A,A1112,E:E)</x:f>
        <x:v>0.004232017650672259</x:v>
      </x:c>
    </x:row>
    <x:row r="1113" ht="21.600000381469727" hidden="0" customHeight="1">
      <x:c r="A1113" s="29" t="str">
        <x:v>SCA-18</x:v>
      </x:c>
      <x:c r="B1113" s="29" t="str">
        <x:v>55005</x:v>
      </x:c>
      <x:c r="C1113" s="29" t="str">
        <x:v>WI</x:v>
      </x:c>
      <x:c r="D1113" s="29" t="str">
        <x:v>Barron County</x:v>
      </x:c>
      <x:c r="E1113" s="41" t="n">
        <x:v>46484</x:v>
      </x:c>
      <x:c r="F1113" s="56" t="n">
        <x:v>45.437192</x:v>
      </x:c>
      <x:c r="G1113" s="56" t="n">
        <x:v>-91.852892</x:v>
      </x:c>
      <x:c r="H1113" s="44" t="n">
        <x:f>E1113/SUMIF(A:A,A1113,E:E)</x:f>
        <x:v>0.0042240210528611466</x:v>
      </x:c>
    </x:row>
    <x:row r="1114" ht="15" hidden="0" customHeight="1">
      <x:c r="A1114" s="27" t="str">
        <x:v>SCA-18</x:v>
      </x:c>
      <x:c r="B1114" s="27" t="str">
        <x:v>55033</x:v>
      </x:c>
      <x:c r="C1114" s="27" t="str">
        <x:v>WI</x:v>
      </x:c>
      <x:c r="D1114" s="27" t="str">
        <x:v>Dunn County</x:v>
      </x:c>
      <x:c r="E1114" s="40" t="n">
        <x:v>46223</x:v>
      </x:c>
      <x:c r="F1114" s="55" t="n">
        <x:v>44.947751</x:v>
      </x:c>
      <x:c r="G1114" s="55" t="n">
        <x:v>-91.897645</x:v>
      </x:c>
      <x:c r="H1114" s="43" t="n">
        <x:f>E1114/SUMIF(A:A,A1114,E:E)</x:f>
        <x:v>0.004200303870716822</x:v>
      </x:c>
    </x:row>
    <x:row r="1115" ht="15" hidden="0" customHeight="1">
      <x:c r="A1115" s="29" t="str">
        <x:v>SCA-18</x:v>
      </x:c>
      <x:c r="B1115" s="29" t="str">
        <x:v>55095</x:v>
      </x:c>
      <x:c r="C1115" s="29" t="str">
        <x:v>WI</x:v>
      </x:c>
      <x:c r="D1115" s="29" t="str">
        <x:v>Polk County</x:v>
      </x:c>
      <x:c r="E1115" s="41" t="n">
        <x:v>45803</x:v>
      </x:c>
      <x:c r="F1115" s="56" t="n">
        <x:v>45.462041</x:v>
      </x:c>
      <x:c r="G1115" s="56" t="n">
        <x:v>-92.447066</x:v>
      </x:c>
      <x:c r="H1115" s="44" t="n">
        <x:f>E1115/SUMIF(A:A,A1115,E:E)</x:f>
        <x:v>0.004162138290254692</x:v>
      </x:c>
    </x:row>
    <x:row r="1116" ht="21.600000381469727" hidden="0" customHeight="1">
      <x:c r="A1116" s="27" t="str">
        <x:v>SCA-18</x:v>
      </x:c>
      <x:c r="B1116" s="27" t="str">
        <x:v>27061</x:v>
      </x:c>
      <x:c r="C1116" s="27" t="str">
        <x:v>MN</x:v>
      </x:c>
      <x:c r="D1116" s="27" t="str">
        <x:v>Itasca County</x:v>
      </x:c>
      <x:c r="E1116" s="40" t="n">
        <x:v>45404</x:v>
      </x:c>
      <x:c r="F1116" s="55" t="n">
        <x:v>47.490817</x:v>
      </x:c>
      <x:c r="G1116" s="55" t="n">
        <x:v>-93.611102</x:v>
      </x:c>
      <x:c r="H1116" s="43" t="n">
        <x:f>E1116/SUMIF(A:A,A1116,E:E)</x:f>
        <x:v>0.0041258809888156675</x:v>
      </x:c>
    </x:row>
    <x:row r="1117" ht="21.600000381469727" hidden="0" customHeight="1">
      <x:c r="A1117" s="29" t="str">
        <x:v>SCA-18</x:v>
      </x:c>
      <x:c r="B1117" s="29" t="str">
        <x:v>27067</x:v>
      </x:c>
      <x:c r="C1117" s="29" t="str">
        <x:v>MN</x:v>
      </x:c>
      <x:c r="D1117" s="29" t="str">
        <x:v>Kandiyohi County</x:v>
      </x:c>
      <x:c r="E1117" s="41" t="n">
        <x:v>44720</x:v>
      </x:c>
      <x:c r="F1117" s="56" t="n">
        <x:v>45.152714</x:v>
      </x:c>
      <x:c r="G1117" s="56" t="n">
        <x:v>-95.004981</x:v>
      </x:c>
      <x:c r="H1117" s="44" t="n">
        <x:f>E1117/SUMIF(A:A,A1117,E:E)</x:f>
        <x:v>0.004063725614920198</x:v>
      </x:c>
    </x:row>
    <x:row r="1118" ht="15" hidden="0" customHeight="1">
      <x:c r="A1118" s="27" t="str">
        <x:v>SCA-18</x:v>
      </x:c>
      <x:c r="B1118" s="27" t="str">
        <x:v>27059</x:v>
      </x:c>
      <x:c r="C1118" s="27" t="str">
        <x:v>MN</x:v>
      </x:c>
      <x:c r="D1118" s="27" t="str">
        <x:v>Isanti County</x:v>
      </x:c>
      <x:c r="E1118" s="40" t="n">
        <x:v>44386</x:v>
      </x:c>
      <x:c r="F1118" s="55" t="n">
        <x:v>45.562431</x:v>
      </x:c>
      <x:c r="G1118" s="55" t="n">
        <x:v>-93.296339</x:v>
      </x:c>
      <x:c r="H1118" s="43" t="n">
        <x:f>E1118/SUMIF(A:A,A1118,E:E)</x:f>
        <x:v>0.004033374891409837</x:v>
      </x:c>
    </x:row>
    <x:row r="1119" ht="21.600000381469727" hidden="0" customHeight="1">
      <x:c r="A1119" s="29" t="str">
        <x:v>SCA-18</x:v>
      </x:c>
      <x:c r="B1119" s="29" t="str">
        <x:v>55031</x:v>
      </x:c>
      <x:c r="C1119" s="29" t="str">
        <x:v>WI</x:v>
      </x:c>
      <x:c r="D1119" s="29" t="str">
        <x:v>Douglas County</x:v>
      </x:c>
      <x:c r="E1119" s="41" t="n">
        <x:v>43990</x:v>
      </x:c>
      <x:c r="F1119" s="56" t="n">
        <x:v>46.463218</x:v>
      </x:c>
      <x:c r="G1119" s="56" t="n">
        <x:v>-91.892477</x:v>
      </x:c>
      <x:c r="H1119" s="44" t="n">
        <x:f>E1119/SUMIF(A:A,A1119,E:E)</x:f>
        <x:v>0.003997390201259827</x:v>
      </x:c>
    </x:row>
    <x:row r="1120" ht="21.600000381469727" hidden="0" customHeight="1">
      <x:c r="A1120" s="27" t="str">
        <x:v>SCA-18</x:v>
      </x:c>
      <x:c r="B1120" s="27" t="str">
        <x:v>55093</x:v>
      </x:c>
      <x:c r="C1120" s="27" t="str">
        <x:v>WI</x:v>
      </x:c>
      <x:c r="D1120" s="27" t="str">
        <x:v>Pierce County</x:v>
      </x:c>
      <x:c r="E1120" s="40" t="n">
        <x:v>43519</x:v>
      </x:c>
      <x:c r="F1120" s="55" t="n">
        <x:v>44.725336</x:v>
      </x:c>
      <x:c r="G1120" s="55" t="n">
        <x:v>-92.426279</x:v>
      </x:c>
      <x:c r="H1120" s="43" t="n">
        <x:f>E1120/SUMIF(A:A,A1120,E:E)</x:f>
        <x:v>0.003954590228884438</x:v>
      </x:c>
    </x:row>
    <x:row r="1121" ht="21.600000381469727" hidden="0" customHeight="1">
      <x:c r="A1121" s="29" t="str">
        <x:v>SCA-18</x:v>
      </x:c>
      <x:c r="B1121" s="29" t="str">
        <x:v>19033</x:v>
      </x:c>
      <x:c r="C1121" s="29" t="str">
        <x:v>IA</x:v>
      </x:c>
      <x:c r="D1121" s="29" t="str">
        <x:v>Cerro Gordo County</x:v>
      </x:c>
      <x:c r="E1121" s="41" t="n">
        <x:v>42372</x:v>
      </x:c>
      <x:c r="F1121" s="56" t="n">
        <x:v>43.074975</x:v>
      </x:c>
      <x:c r="G1121" s="56" t="n">
        <x:v>-93.250965</x:v>
      </x:c>
      <x:c r="H1121" s="44" t="n">
        <x:f>E1121/SUMIF(A:A,A1121,E:E)</x:f>
        <x:v>0.003850361846050953</x:v>
      </x:c>
    </x:row>
    <x:row r="1122" ht="21.600000381469727" hidden="0" customHeight="1">
      <x:c r="A1122" s="27" t="str">
        <x:v>SCA-18</x:v>
      </x:c>
      <x:c r="B1122" s="27" t="str">
        <x:v>38105</x:v>
      </x:c>
      <x:c r="C1122" s="27" t="str">
        <x:v>ND</x:v>
      </x:c>
      <x:c r="D1122" s="27" t="str">
        <x:v>Williams County</x:v>
      </x:c>
      <x:c r="E1122" s="40" t="n">
        <x:v>41767</x:v>
      </x:c>
      <x:c r="F1122" s="55" t="n">
        <x:v>48.355765</x:v>
      </x:c>
      <x:c r="G1122" s="55" t="n">
        <x:v>-103.501333</x:v>
      </x:c>
      <x:c r="H1122" s="43" t="n">
        <x:f>E1122/SUMIF(A:A,A1122,E:E)</x:f>
        <x:v>0.0037953852360995506</x:v>
      </x:c>
    </x:row>
    <x:row r="1123" ht="21.600000381469727" hidden="0" customHeight="1">
      <x:c r="A1123" s="29" t="str">
        <x:v>SCA-18</x:v>
      </x:c>
      <x:c r="B1123" s="29" t="str">
        <x:v>27009</x:v>
      </x:c>
      <x:c r="C1123" s="29" t="str">
        <x:v>MN</x:v>
      </x:c>
      <x:c r="D1123" s="29" t="str">
        <x:v>Benton County</x:v>
      </x:c>
      <x:c r="E1123" s="41" t="n">
        <x:v>41744</x:v>
      </x:c>
      <x:c r="F1123" s="56" t="n">
        <x:v>45.701225</x:v>
      </x:c>
      <x:c r="G1123" s="56" t="n">
        <x:v>-94.00144</x:v>
      </x:c>
      <x:c r="H1123" s="44" t="n">
        <x:f>E1123/SUMIF(A:A,A1123,E:E)</x:f>
        <x:v>0.0037932952162171006</x:v>
      </x:c>
    </x:row>
    <x:row r="1124" ht="21.600000381469727" hidden="0" customHeight="1">
      <x:c r="A1124" s="27" t="str">
        <x:v>SCA-18</x:v>
      </x:c>
      <x:c r="B1124" s="27" t="str">
        <x:v>27099</x:v>
      </x:c>
      <x:c r="C1124" s="27" t="str">
        <x:v>MN</x:v>
      </x:c>
      <x:c r="D1124" s="27" t="str">
        <x:v>Mower County</x:v>
      </x:c>
      <x:c r="E1124" s="40" t="n">
        <x:v>40971</x:v>
      </x:c>
      <x:c r="F1124" s="55" t="n">
        <x:v>43.666249</x:v>
      </x:c>
      <x:c r="G1124" s="55" t="n">
        <x:v>-92.759514</x:v>
      </x:c>
      <x:c r="H1124" s="43" t="n">
        <x:f>E1124/SUMIF(A:A,A1124,E:E)</x:f>
        <x:v>0.0037230523740808454</x:v>
      </x:c>
    </x:row>
    <x:row r="1125" ht="21.600000381469727" hidden="0" customHeight="1">
      <x:c r="A1125" s="29" t="str">
        <x:v>SCA-18</x:v>
      </x:c>
      <x:c r="B1125" s="29" t="str">
        <x:v>27041</x:v>
      </x:c>
      <x:c r="C1125" s="29" t="str">
        <x:v>MN</x:v>
      </x:c>
      <x:c r="D1125" s="29" t="str">
        <x:v>Douglas County</x:v>
      </x:c>
      <x:c r="E1125" s="41" t="n">
        <x:v>40120</x:v>
      </x:c>
      <x:c r="F1125" s="56" t="n">
        <x:v>45.936835</x:v>
      </x:c>
      <x:c r="G1125" s="56" t="n">
        <x:v>-95.462155</x:v>
      </x:c>
      <x:c r="H1125" s="44" t="n">
        <x:f>E1125/SUMIF(A:A,A1125,E:E)</x:f>
        <x:v>0.003645721638430195</x:v>
      </x:c>
    </x:row>
    <x:row r="1126" ht="21.600000381469727" hidden="0" customHeight="1">
      <x:c r="A1126" s="27" t="str">
        <x:v>SCA-18</x:v>
      </x:c>
      <x:c r="B1126" s="27" t="str">
        <x:v>19127</x:v>
      </x:c>
      <x:c r="C1126" s="27" t="str">
        <x:v>IA</x:v>
      </x:c>
      <x:c r="D1126" s="27" t="str">
        <x:v>Marshall County</x:v>
      </x:c>
      <x:c r="E1126" s="40" t="n">
        <x:v>39890</x:v>
      </x:c>
      <x:c r="F1126" s="55" t="n">
        <x:v>42.0417</x:v>
      </x:c>
      <x:c r="G1126" s="55" t="n">
        <x:v>-92.981403</x:v>
      </x:c>
      <x:c r="H1126" s="43" t="n">
        <x:f>E1126/SUMIF(A:A,A1126,E:E)</x:f>
        <x:v>0.003624821439605695</x:v>
      </x:c>
    </x:row>
    <x:row r="1127" ht="21.600000381469727" hidden="0" customHeight="1">
      <x:c r="A1127" s="29" t="str">
        <x:v>SCA-18</x:v>
      </x:c>
      <x:c r="B1127" s="29" t="str">
        <x:v>19099</x:v>
      </x:c>
      <x:c r="C1127" s="29" t="str">
        <x:v>IA</x:v>
      </x:c>
      <x:c r="D1127" s="29" t="str">
        <x:v>Jasper County</x:v>
      </x:c>
      <x:c r="E1127" s="41" t="n">
        <x:v>38153</x:v>
      </x:c>
      <x:c r="F1127" s="56" t="n">
        <x:v>41.685551</x:v>
      </x:c>
      <x:c r="G1127" s="56" t="n">
        <x:v>-93.054147</x:v>
      </x:c>
      <x:c r="H1127" s="44" t="n">
        <x:f>E1127/SUMIF(A:A,A1127,E:E)</x:f>
        <x:v>0.003466979503265883</x:v>
      </x:c>
    </x:row>
    <x:row r="1128" ht="21.600000381469727" hidden="0" customHeight="1">
      <x:c r="A1128" s="27" t="str">
        <x:v>SCA-18</x:v>
      </x:c>
      <x:c r="B1128" s="27" t="str">
        <x:v>55085</x:v>
      </x:c>
      <x:c r="C1128" s="27" t="str">
        <x:v>WI</x:v>
      </x:c>
      <x:c r="D1128" s="27" t="str">
        <x:v>Oneida County</x:v>
      </x:c>
      <x:c r="E1128" s="40" t="n">
        <x:v>38131</x:v>
      </x:c>
      <x:c r="F1128" s="55" t="n">
        <x:v>45.716176</x:v>
      </x:c>
      <x:c r="G1128" s="55" t="n">
        <x:v>-89.534533</x:v>
      </x:c>
      <x:c r="H1128" s="43" t="n">
        <x:f>E1128/SUMIF(A:A,A1128,E:E)</x:f>
        <x:v>0.003464980353813105</x:v>
      </x:c>
    </x:row>
    <x:row r="1129" ht="21.600000381469727" hidden="0" customHeight="1">
      <x:c r="A1129" s="29" t="str">
        <x:v>SCA-18</x:v>
      </x:c>
      <x:c r="B1129" s="29" t="str">
        <x:v>26061</x:v>
      </x:c>
      <x:c r="C1129" s="29" t="str">
        <x:v>MI</x:v>
      </x:c>
      <x:c r="D1129" s="29" t="str">
        <x:v>Houghton County</x:v>
      </x:c>
      <x:c r="E1129" s="41" t="n">
        <x:v>37842</x:v>
      </x:c>
      <x:c r="F1129" s="56" t="n">
        <x:v>46.998427</x:v>
      </x:c>
      <x:c r="G1129" s="56" t="n">
        <x:v>-88.651903</x:v>
      </x:c>
      <x:c r="H1129" s="44" t="n">
        <x:f>E1129/SUMIF(A:A,A1129,E:E)</x:f>
        <x:v>0.003438718799637972</x:v>
      </x:c>
    </x:row>
    <x:row r="1130" ht="21.600000381469727" hidden="0" customHeight="1">
      <x:c r="A1130" s="27" t="str">
        <x:v>SCA-18</x:v>
      </x:c>
      <x:c r="B1130" s="27" t="str">
        <x:v>46011</x:v>
      </x:c>
      <x:c r="C1130" s="27" t="str">
        <x:v>SD</x:v>
      </x:c>
      <x:c r="D1130" s="27" t="str">
        <x:v>Brookings County</x:v>
      </x:c>
      <x:c r="E1130" s="40" t="n">
        <x:v>37635</x:v>
      </x:c>
      <x:c r="F1130" s="55" t="n">
        <x:v>44.376675</x:v>
      </x:c>
      <x:c r="G1130" s="55" t="n">
        <x:v>-96.797797</x:v>
      </x:c>
      <x:c r="H1130" s="43" t="n">
        <x:f>E1130/SUMIF(A:A,A1130,E:E)</x:f>
        <x:v>0.003419908620695922</x:v>
      </x:c>
    </x:row>
    <x:row r="1131" ht="21.600000381469727" hidden="0" customHeight="1">
      <x:c r="A1131" s="29" t="str">
        <x:v>SCA-18</x:v>
      </x:c>
      <x:c r="B1131" s="29" t="str">
        <x:v>46013</x:v>
      </x:c>
      <x:c r="C1131" s="29" t="str">
        <x:v>SD</x:v>
      </x:c>
      <x:c r="D1131" s="29" t="str">
        <x:v>Brown County</x:v>
      </x:c>
      <x:c r="E1131" s="41" t="n">
        <x:v>37561</x:v>
      </x:c>
      <x:c r="F1131" s="56" t="n">
        <x:v>45.589254</x:v>
      </x:c>
      <x:c r="G1131" s="56" t="n">
        <x:v>-98.352175</x:v>
      </x:c>
      <x:c r="H1131" s="44" t="n">
        <x:f>E1131/SUMIF(A:A,A1131,E:E)</x:f>
        <x:v>0.003413184208900213</x:v>
      </x:c>
    </x:row>
    <x:row r="1132" ht="21.600000381469727" hidden="0" customHeight="1">
      <x:c r="A1132" s="27" t="str">
        <x:v>SCA-18</x:v>
      </x:c>
      <x:c r="B1132" s="27" t="str">
        <x:v>27147</x:v>
      </x:c>
      <x:c r="C1132" s="27" t="str">
        <x:v>MN</x:v>
      </x:c>
      <x:c r="D1132" s="27" t="str">
        <x:v>Steele County</x:v>
      </x:c>
      <x:c r="E1132" s="40" t="n">
        <x:v>37464</x:v>
      </x:c>
      <x:c r="F1132" s="55" t="n">
        <x:v>44.015181</x:v>
      </x:c>
      <x:c r="G1132" s="55" t="n">
        <x:v>-93.236065</x:v>
      </x:c>
      <x:c r="H1132" s="43" t="n">
        <x:f>E1132/SUMIF(A:A,A1132,E:E)</x:f>
        <x:v>0.0034043697772220545</x:v>
      </x:c>
    </x:row>
    <x:row r="1133" ht="21.600000381469727" hidden="0" customHeight="1">
      <x:c r="A1133" s="29" t="str">
        <x:v>SCA-18</x:v>
      </x:c>
      <x:c r="B1133" s="29" t="str">
        <x:v>19187</x:v>
      </x:c>
      <x:c r="C1133" s="29" t="str">
        <x:v>IA</x:v>
      </x:c>
      <x:c r="D1133" s="29" t="str">
        <x:v>Webster County</x:v>
      </x:c>
      <x:c r="E1133" s="41" t="n">
        <x:v>36838</x:v>
      </x:c>
      <x:c r="F1133" s="56" t="n">
        <x:v>42.433579</x:v>
      </x:c>
      <x:c r="G1133" s="56" t="n">
        <x:v>-94.175831</x:v>
      </x:c>
      <x:c r="H1133" s="44" t="n">
        <x:f>E1133/SUMIF(A:A,A1133,E:E)</x:f>
        <x:v>0.003347484888247546</x:v>
      </x:c>
    </x:row>
    <x:row r="1134" ht="21.600000381469727" hidden="0" customHeight="1">
      <x:c r="A1134" s="27" t="str">
        <x:v>SCA-18</x:v>
      </x:c>
      <x:c r="B1134" s="27" t="str">
        <x:v>19167</x:v>
      </x:c>
      <x:c r="C1134" s="27" t="str">
        <x:v>IA</x:v>
      </x:c>
      <x:c r="D1134" s="27" t="str">
        <x:v>Sioux County</x:v>
      </x:c>
      <x:c r="E1134" s="40" t="n">
        <x:v>36774</x:v>
      </x:c>
      <x:c r="F1134" s="55" t="n">
        <x:v>43.082618</x:v>
      </x:c>
      <x:c r="G1134" s="55" t="n">
        <x:v>-96.17798</x:v>
      </x:c>
      <x:c r="H1134" s="43" t="n">
        <x:f>E1134/SUMIF(A:A,A1134,E:E)</x:f>
        <x:v>0.0033416691807485544</x:v>
      </x:c>
    </x:row>
    <x:row r="1135" ht="21.600000381469727" hidden="0" customHeight="1">
      <x:c r="A1135" s="29" t="str">
        <x:v>SCA-18</x:v>
      </x:c>
      <x:c r="B1135" s="29" t="str">
        <x:v>27017</x:v>
      </x:c>
      <x:c r="C1135" s="29" t="str">
        <x:v>MN</x:v>
      </x:c>
      <x:c r="D1135" s="29" t="str">
        <x:v>Carlton County</x:v>
      </x:c>
      <x:c r="E1135" s="41" t="n">
        <x:v>36711</x:v>
      </x:c>
      <x:c r="F1135" s="56" t="n">
        <x:v>46.603818</x:v>
      </x:c>
      <x:c r="G1135" s="56" t="n">
        <x:v>-92.671044</x:v>
      </x:c>
      <x:c r="H1135" s="44" t="n">
        <x:f>E1135/SUMIF(A:A,A1135,E:E)</x:f>
        <x:v>0.003335944343679235</x:v>
      </x:c>
    </x:row>
    <x:row r="1136" ht="21.600000381469727" hidden="0" customHeight="1">
      <x:c r="A1136" s="27" t="str">
        <x:v>SCA-18</x:v>
      </x:c>
      <x:c r="B1136" s="27" t="str">
        <x:v>27085</x:v>
      </x:c>
      <x:c r="C1136" s="27" t="str">
        <x:v>MN</x:v>
      </x:c>
      <x:c r="D1136" s="27" t="str">
        <x:v>McLeod County</x:v>
      </x:c>
      <x:c r="E1136" s="40" t="n">
        <x:v>36631</x:v>
      </x:c>
      <x:c r="F1136" s="55" t="n">
        <x:v>44.821657</x:v>
      </x:c>
      <x:c r="G1136" s="55" t="n">
        <x:v>-94.272323</x:v>
      </x:c>
      <x:c r="H1136" s="43" t="n">
        <x:f>E1136/SUMIF(A:A,A1136,E:E)</x:f>
        <x:v>0.0033286747093054956</x:v>
      </x:c>
    </x:row>
    <x:row r="1137" ht="21.600000381469727" hidden="0" customHeight="1">
      <x:c r="A1137" s="29" t="str">
        <x:v>SCA-18</x:v>
      </x:c>
      <x:c r="B1137" s="29" t="str">
        <x:v>27005</x:v>
      </x:c>
      <x:c r="C1137" s="29" t="str">
        <x:v>MN</x:v>
      </x:c>
      <x:c r="D1137" s="29" t="str">
        <x:v>Becker County</x:v>
      </x:c>
      <x:c r="E1137" s="41" t="n">
        <x:v>35497</x:v>
      </x:c>
      <x:c r="F1137" s="56" t="n">
        <x:v>46.937629</x:v>
      </x:c>
      <x:c r="G1137" s="56" t="n">
        <x:v>-95.741757</x:v>
      </x:c>
      <x:c r="H1137" s="44" t="n">
        <x:f>E1137/SUMIF(A:A,A1137,E:E)</x:f>
        <x:v>0.003225627642057743</x:v>
      </x:c>
    </x:row>
    <x:row r="1138" ht="15" hidden="0" customHeight="1">
      <x:c r="A1138" s="27" t="str">
        <x:v>SCA-18</x:v>
      </x:c>
      <x:c r="B1138" s="27" t="str">
        <x:v>55019</x:v>
      </x:c>
      <x:c r="C1138" s="27" t="str">
        <x:v>WI</x:v>
      </x:c>
      <x:c r="D1138" s="27" t="str">
        <x:v>Clark County</x:v>
      </x:c>
      <x:c r="E1138" s="40" t="n">
        <x:v>35052</x:v>
      </x:c>
      <x:c r="F1138" s="55" t="n">
        <x:v>44.739166</x:v>
      </x:c>
      <x:c r="G1138" s="55" t="n">
        <x:v>-90.609909</x:v>
      </x:c>
      <x:c r="H1138" s="43" t="n">
        <x:f>E1138/SUMIF(A:A,A1138,E:E)</x:f>
        <x:v>0.0031851903008538185</x:v>
      </x:c>
    </x:row>
    <x:row r="1139" ht="21.600000381469727" hidden="0" customHeight="1">
      <x:c r="A1139" s="29" t="str">
        <x:v>SCA-18</x:v>
      </x:c>
      <x:c r="B1139" s="29" t="str">
        <x:v>27097</x:v>
      </x:c>
      <x:c r="C1139" s="29" t="str">
        <x:v>MN</x:v>
      </x:c>
      <x:c r="D1139" s="29" t="str">
        <x:v>Morrison County</x:v>
      </x:c>
      <x:c r="E1139" s="41" t="n">
        <x:v>34620</x:v>
      </x:c>
      <x:c r="F1139" s="56" t="n">
        <x:v>46.020484</x:v>
      </x:c>
      <x:c r="G1139" s="56" t="n">
        <x:v>-94.266619</x:v>
      </x:c>
      <x:c r="H1139" s="44" t="n">
        <x:f>E1139/SUMIF(A:A,A1139,E:E)</x:f>
        <x:v>0.0031459342752356272</x:v>
      </x:c>
    </x:row>
    <x:row r="1140" ht="21.600000381469727" hidden="0" customHeight="1">
      <x:c r="A1140" s="27" t="str">
        <x:v>SCA-18</x:v>
      </x:c>
      <x:c r="B1140" s="27" t="str">
        <x:v>38059</x:v>
      </x:c>
      <x:c r="C1140" s="27" t="str">
        <x:v>ND</x:v>
      </x:c>
      <x:c r="D1140" s="27" t="str">
        <x:v>Morton County</x:v>
      </x:c>
      <x:c r="E1140" s="40" t="n">
        <x:v>34601</x:v>
      </x:c>
      <x:c r="F1140" s="55" t="n">
        <x:v>46.710029</x:v>
      </x:c>
      <x:c r="G1140" s="55" t="n">
        <x:v>-101.310041</x:v>
      </x:c>
      <x:c r="H1140" s="43" t="n">
        <x:f>E1140/SUMIF(A:A,A1140,E:E)</x:f>
        <x:v>0.003144207737071864</x:v>
      </x:c>
    </x:row>
    <x:row r="1141" ht="21.600000381469727" hidden="0" customHeight="1">
      <x:c r="A1141" s="29" t="str">
        <x:v>SCA-18</x:v>
      </x:c>
      <x:c r="B1141" s="29" t="str">
        <x:v>27103</x:v>
      </x:c>
      <x:c r="C1141" s="29" t="str">
        <x:v>MN</x:v>
      </x:c>
      <x:c r="D1141" s="29" t="str">
        <x:v>Nicollet County</x:v>
      </x:c>
      <x:c r="E1141" s="41" t="n">
        <x:v>34273</x:v>
      </x:c>
      <x:c r="F1141" s="56" t="n">
        <x:v>44.35882</x:v>
      </x:c>
      <x:c r="G1141" s="56" t="n">
        <x:v>-94.245684</x:v>
      </x:c>
      <x:c r="H1141" s="44" t="n">
        <x:f>E1141/SUMIF(A:A,A1141,E:E)</x:f>
        <x:v>0.0031144022361395333</x:v>
      </x:c>
    </x:row>
    <x:row r="1142" ht="15" hidden="0" customHeight="1">
      <x:c r="A1142" s="27" t="str">
        <x:v>SCA-18</x:v>
      </x:c>
      <x:c r="B1142" s="27" t="str">
        <x:v>38089</x:v>
      </x:c>
      <x:c r="C1142" s="27" t="str">
        <x:v>ND</x:v>
      </x:c>
      <x:c r="D1142" s="27" t="str">
        <x:v>Stark County</x:v>
      </x:c>
      <x:c r="E1142" s="40" t="n">
        <x:v>34013</x:v>
      </x:c>
      <x:c r="F1142" s="55" t="n">
        <x:v>46.817031</x:v>
      </x:c>
      <x:c r="G1142" s="55" t="n">
        <x:v>-102.662026</x:v>
      </x:c>
      <x:c r="H1142" s="43" t="n">
        <x:f>E1142/SUMIF(A:A,A1142,E:E)</x:f>
        <x:v>0.003090775924424881</x:v>
      </x:c>
    </x:row>
    <x:row r="1143" ht="21.600000381469727" hidden="0" customHeight="1">
      <x:c r="A1143" s="29" t="str">
        <x:v>SCA-18</x:v>
      </x:c>
      <x:c r="B1143" s="29" t="str">
        <x:v>55123</x:v>
      </x:c>
      <x:c r="C1143" s="29" t="str">
        <x:v>WI</x:v>
      </x:c>
      <x:c r="D1143" s="29" t="str">
        <x:v>Vernon County</x:v>
      </x:c>
      <x:c r="E1143" s="41" t="n">
        <x:v>31443</x:v>
      </x:c>
      <x:c r="F1143" s="56" t="n">
        <x:v>43.599366</x:v>
      </x:c>
      <x:c r="G1143" s="56" t="n">
        <x:v>-90.821983</x:v>
      </x:c>
      <x:c r="H1143" s="44" t="n">
        <x:f>E1143/SUMIF(A:A,A1143,E:E)</x:f>
        <x:v>0.00285723892016851</x:v>
      </x:c>
    </x:row>
    <x:row r="1144" ht="15" hidden="0" customHeight="1">
      <x:c r="A1144" s="27" t="str">
        <x:v>SCA-18</x:v>
      </x:c>
      <x:c r="B1144" s="27" t="str">
        <x:v>27021</x:v>
      </x:c>
      <x:c r="C1144" s="27" t="str">
        <x:v>MN</x:v>
      </x:c>
      <x:c r="D1144" s="27" t="str">
        <x:v>Cass County</x:v>
      </x:c>
      <x:c r="E1144" s="40" t="n">
        <x:v>31430</x:v>
      </x:c>
      <x:c r="F1144" s="55" t="n">
        <x:v>46.951745</x:v>
      </x:c>
      <x:c r="G1144" s="55" t="n">
        <x:v>-94.333705</x:v>
      </x:c>
      <x:c r="H1144" s="43" t="n">
        <x:f>E1144/SUMIF(A:A,A1144,E:E)</x:f>
        <x:v>0.0028560576045827775</x:v>
      </x:c>
    </x:row>
    <x:row r="1145" ht="21.600000381469727" hidden="0" customHeight="1">
      <x:c r="A1145" s="29" t="str">
        <x:v>SCA-18</x:v>
      </x:c>
      <x:c r="B1145" s="29" t="str">
        <x:v>55121</x:v>
      </x:c>
      <x:c r="C1145" s="29" t="str">
        <x:v>WI</x:v>
      </x:c>
      <x:c r="D1145" s="29" t="str">
        <x:v>Trempealeau County</x:v>
      </x:c>
      <x:c r="E1145" s="41" t="n">
        <x:v>31171</x:v>
      </x:c>
      <x:c r="F1145" s="56" t="n">
        <x:v>44.30305</x:v>
      </x:c>
      <x:c r="G1145" s="56" t="n">
        <x:v>-91.358867</x:v>
      </x:c>
      <x:c r="H1145" s="44" t="n">
        <x:f>E1145/SUMIF(A:A,A1145,E:E)</x:f>
        <x:v>0.002832522163297797</x:v>
      </x:c>
    </x:row>
    <x:row r="1146" ht="15" hidden="0" customHeight="1">
      <x:c r="A1146" s="27" t="str">
        <x:v>SCA-18</x:v>
      </x:c>
      <x:c r="B1146" s="27" t="str">
        <x:v>27119</x:v>
      </x:c>
      <x:c r="C1146" s="27" t="str">
        <x:v>MN</x:v>
      </x:c>
      <x:c r="D1146" s="27" t="str">
        <x:v>Polk County</x:v>
      </x:c>
      <x:c r="E1146" s="40" t="n">
        <x:v>30545</x:v>
      </x:c>
      <x:c r="F1146" s="55" t="n">
        <x:v>47.774254</x:v>
      </x:c>
      <x:c r="G1146" s="55" t="n">
        <x:v>-96.400027</x:v>
      </x:c>
      <x:c r="H1146" s="43" t="n">
        <x:f>E1146/SUMIF(A:A,A1146,E:E)</x:f>
        <x:v>0.002775637274323288</x:v>
      </x:c>
    </x:row>
    <x:row r="1147" ht="15" hidden="0" customHeight="1">
      <x:c r="A1147" s="29" t="str">
        <x:v>SCA-18</x:v>
      </x:c>
      <x:c r="B1147" s="29" t="str">
        <x:v>27115</x:v>
      </x:c>
      <x:c r="C1147" s="29" t="str">
        <x:v>MN</x:v>
      </x:c>
      <x:c r="D1147" s="29" t="str">
        <x:v>Pine County</x:v>
      </x:c>
      <x:c r="E1147" s="41" t="n">
        <x:v>30472</x:v>
      </x:c>
      <x:c r="F1147" s="56" t="n">
        <x:v>46.10085</x:v>
      </x:c>
      <x:c r="G1147" s="56" t="n">
        <x:v>-92.763091</x:v>
      </x:c>
      <x:c r="H1147" s="44" t="n">
        <x:f>E1147/SUMIF(A:A,A1147,E:E)</x:f>
        <x:v>0.002769003732957251</x:v>
      </x:c>
    </x:row>
    <x:row r="1148" ht="21.600000381469727" hidden="0" customHeight="1">
      <x:c r="A1148" s="27" t="str">
        <x:v>SCA-18</x:v>
      </x:c>
      <x:c r="B1148" s="27" t="str">
        <x:v>27047</x:v>
      </x:c>
      <x:c r="C1148" s="27" t="str">
        <x:v>MN</x:v>
      </x:c>
      <x:c r="D1148" s="27" t="str">
        <x:v>Freeborn County</x:v>
      </x:c>
      <x:c r="E1148" s="40" t="n">
        <x:v>30440</x:v>
      </x:c>
      <x:c r="F1148" s="55" t="n">
        <x:v>43.674202</x:v>
      </x:c>
      <x:c r="G1148" s="55" t="n">
        <x:v>-93.350289</x:v>
      </x:c>
      <x:c r="H1148" s="43" t="n">
        <x:f>E1148/SUMIF(A:A,A1148,E:E)</x:f>
        <x:v>0.0027660958792077553</x:v>
      </x:c>
    </x:row>
    <x:row r="1149" ht="21.600000381469727" hidden="0" customHeight="1">
      <x:c r="A1149" s="29" t="str">
        <x:v>SCA-18</x:v>
      </x:c>
      <x:c r="B1149" s="29" t="str">
        <x:v>46029</x:v>
      </x:c>
      <x:c r="C1149" s="29" t="str">
        <x:v>SD</x:v>
      </x:c>
      <x:c r="D1149" s="29" t="str">
        <x:v>Codington County</x:v>
      </x:c>
      <x:c r="E1149" s="41" t="n">
        <x:v>29562</x:v>
      </x:c>
      <x:c r="F1149" s="56" t="n">
        <x:v>44.966285</x:v>
      </x:c>
      <x:c r="G1149" s="56" t="n">
        <x:v>-97.198837</x:v>
      </x:c>
      <x:c r="H1149" s="44" t="n">
        <x:f>E1149/SUMIF(A:A,A1149,E:E)</x:f>
        <x:v>0.002686311641955968</x:v>
      </x:c>
    </x:row>
    <x:row r="1150" ht="21.600000381469727" hidden="0" customHeight="1">
      <x:c r="A1150" s="27" t="str">
        <x:v>SCA-18</x:v>
      </x:c>
      <x:c r="B1150" s="27" t="str">
        <x:v>27079</x:v>
      </x:c>
      <x:c r="C1150" s="27" t="str">
        <x:v>MN</x:v>
      </x:c>
      <x:c r="D1150" s="27" t="str">
        <x:v>Le Sueur County</x:v>
      </x:c>
      <x:c r="E1150" s="40" t="n">
        <x:v>29453</x:v>
      </x:c>
      <x:c r="F1150" s="55" t="n">
        <x:v>44.373421</x:v>
      </x:c>
      <x:c r="G1150" s="55" t="n">
        <x:v>-93.730106</x:v>
      </x:c>
      <x:c r="H1150" s="43" t="n">
        <x:f>E1150/SUMIF(A:A,A1150,E:E)</x:f>
        <x:v>0.002676406765121748</x:v>
      </x:c>
    </x:row>
    <x:row r="1151" ht="21.600000381469727" hidden="0" customHeight="1">
      <x:c r="A1151" s="29" t="str">
        <x:v>SCA-18</x:v>
      </x:c>
      <x:c r="B1151" s="29" t="str">
        <x:v>55069</x:v>
      </x:c>
      <x:c r="C1151" s="29" t="str">
        <x:v>WI</x:v>
      </x:c>
      <x:c r="D1151" s="29" t="str">
        <x:v>Lincoln County</x:v>
      </x:c>
      <x:c r="E1151" s="41" t="n">
        <x:v>28403</x:v>
      </x:c>
      <x:c r="F1151" s="56" t="n">
        <x:v>45.333148</x:v>
      </x:c>
      <x:c r="G1151" s="56" t="n">
        <x:v>-89.73224</x:v>
      </x:c>
      <x:c r="H1151" s="44" t="n">
        <x:f>E1151/SUMIF(A:A,A1151,E:E)</x:f>
        <x:v>0.0025809928139664214</x:v>
      </x:c>
    </x:row>
    <x:row r="1152" ht="21.600000381469727" hidden="0" customHeight="1">
      <x:c r="A1152" s="27" t="str">
        <x:v>SCA-18</x:v>
      </x:c>
      <x:c r="B1152" s="27" t="str">
        <x:v>27095</x:v>
      </x:c>
      <x:c r="C1152" s="27" t="str">
        <x:v>MN</x:v>
      </x:c>
      <x:c r="D1152" s="27" t="str">
        <x:v>Mille Lacs County</x:v>
      </x:c>
      <x:c r="E1152" s="40" t="n">
        <x:v>27753</x:v>
      </x:c>
      <x:c r="F1152" s="55" t="n">
        <x:v>45.929266</x:v>
      </x:c>
      <x:c r="G1152" s="55" t="n">
        <x:v>-93.632748</x:v>
      </x:c>
      <x:c r="H1152" s="43" t="n">
        <x:f>E1152/SUMIF(A:A,A1152,E:E)</x:f>
        <x:v>0.002521927034679791</x:v>
      </x:c>
    </x:row>
    <x:row r="1153" ht="21.600000381469727" hidden="0" customHeight="1">
      <x:c r="A1153" s="29" t="str">
        <x:v>SCA-18</x:v>
      </x:c>
      <x:c r="B1153" s="29" t="str">
        <x:v>19015</x:v>
      </x:c>
      <x:c r="C1153" s="29" t="str">
        <x:v>IA</x:v>
      </x:c>
      <x:c r="D1153" s="29" t="str">
        <x:v>Boone County</x:v>
      </x:c>
      <x:c r="E1153" s="41" t="n">
        <x:v>26799</x:v>
      </x:c>
      <x:c r="F1153" s="56" t="n">
        <x:v>42.03862</x:v>
      </x:c>
      <x:c r="G1153" s="56" t="n">
        <x:v>-93.939383</x:v>
      </x:c>
      <x:c r="H1153" s="44" t="n">
        <x:f>E1153/SUMIF(A:A,A1153,E:E)</x:f>
        <x:v>0.002435236644772951</x:v>
      </x:c>
    </x:row>
    <x:row r="1154" ht="21.600000381469727" hidden="0" customHeight="1">
      <x:c r="A1154" s="27" t="str">
        <x:v>SCA-18</x:v>
      </x:c>
      <x:c r="B1154" s="27" t="str">
        <x:v>55057</x:v>
      </x:c>
      <x:c r="C1154" s="27" t="str">
        <x:v>WI</x:v>
      </x:c>
      <x:c r="D1154" s="27" t="str">
        <x:v>Juneau County</x:v>
      </x:c>
      <x:c r="E1154" s="40" t="n">
        <x:v>26649</x:v>
      </x:c>
      <x:c r="F1154" s="55" t="n">
        <x:v>43.932836</x:v>
      </x:c>
      <x:c r="G1154" s="55" t="n">
        <x:v>-90.113984</x:v>
      </x:c>
      <x:c r="H1154" s="43" t="n">
        <x:f>E1154/SUMIF(A:A,A1154,E:E)</x:f>
        <x:v>0.00242160608032219</x:v>
      </x:c>
    </x:row>
    <x:row r="1155" ht="15" hidden="0" customHeight="1">
      <x:c r="A1155" s="29" t="str">
        <x:v>SCA-18</x:v>
      </x:c>
      <x:c r="B1155" s="29" t="str">
        <x:v>27153</x:v>
      </x:c>
      <x:c r="C1155" s="29" t="str">
        <x:v>MN</x:v>
      </x:c>
      <x:c r="D1155" s="29" t="str">
        <x:v>Todd County</x:v>
      </x:c>
      <x:c r="E1155" s="41" t="n">
        <x:v>26060</x:v>
      </x:c>
      <x:c r="F1155" s="56" t="n">
        <x:v>46.066569</x:v>
      </x:c>
      <x:c r="G1155" s="56" t="n">
        <x:v>-94.900576</x:v>
      </x:c>
      <x:c r="H1155" s="44" t="n">
        <x:f>E1155/SUMIF(A:A,A1155,E:E)</x:f>
        <x:v>0.0023680833972455355</x:v>
      </x:c>
    </x:row>
    <x:row r="1156" ht="21.600000381469727" hidden="0" customHeight="1">
      <x:c r="A1156" s="27" t="str">
        <x:v>SCA-18</x:v>
      </x:c>
      <x:c r="B1156" s="27" t="str">
        <x:v>19011</x:v>
      </x:c>
      <x:c r="C1156" s="27" t="str">
        <x:v>IA</x:v>
      </x:c>
      <x:c r="D1156" s="27" t="str">
        <x:v>Benton County</x:v>
      </x:c>
      <x:c r="E1156" s="40" t="n">
        <x:v>26004</x:v>
      </x:c>
      <x:c r="F1156" s="55" t="n">
        <x:v>42.092547</x:v>
      </x:c>
      <x:c r="G1156" s="55" t="n">
        <x:v>-92.05763</x:v>
      </x:c>
      <x:c r="H1156" s="43" t="n">
        <x:f>E1156/SUMIF(A:A,A1156,E:E)</x:f>
        <x:v>0.002362994653183918</x:v>
      </x:c>
    </x:row>
    <x:row r="1157" ht="21.600000381469727" hidden="0" customHeight="1">
      <x:c r="A1157" s="29" t="str">
        <x:v>SCA-18</x:v>
      </x:c>
      <x:c r="B1157" s="29" t="str">
        <x:v>19149</x:v>
      </x:c>
      <x:c r="C1157" s="29" t="str">
        <x:v>IA</x:v>
      </x:c>
      <x:c r="D1157" s="29" t="str">
        <x:v>Plymouth County</x:v>
      </x:c>
      <x:c r="E1157" s="41" t="n">
        <x:v>25697</x:v>
      </x:c>
      <x:c r="F1157" s="56" t="n">
        <x:v>42.737615</x:v>
      </x:c>
      <x:c r="G1157" s="56" t="n">
        <x:v>-96.215973</x:v>
      </x:c>
      <x:c r="H1157" s="44" t="n">
        <x:f>E1157/SUMIF(A:A,A1157,E:E)</x:f>
        <x:v>0.002335097431274694</x:v>
      </x:c>
    </x:row>
    <x:row r="1158" ht="15" hidden="0" customHeight="1">
      <x:c r="A1158" s="27" t="str">
        <x:v>SCA-18</x:v>
      </x:c>
      <x:c r="B1158" s="27" t="str">
        <x:v>27083</x:v>
      </x:c>
      <x:c r="C1158" s="27" t="str">
        <x:v>MN</x:v>
      </x:c>
      <x:c r="D1158" s="27" t="str">
        <x:v>Lyon County</x:v>
      </x:c>
      <x:c r="E1158" s="40" t="n">
        <x:v>25684</x:v>
      </x:c>
      <x:c r="F1158" s="55" t="n">
        <x:v>44.409195</x:v>
      </x:c>
      <x:c r="G1158" s="55" t="n">
        <x:v>-95.847268</x:v>
      </x:c>
      <x:c r="H1158" s="43" t="n">
        <x:f>E1158/SUMIF(A:A,A1158,E:E)</x:f>
        <x:v>0.0023339161156889616</x:v>
      </x:c>
    </x:row>
    <x:row r="1159" ht="21.600000381469727" hidden="0" customHeight="1">
      <x:c r="A1159" s="29" t="str">
        <x:v>SCA-18</x:v>
      </x:c>
      <x:c r="B1159" s="29" t="str">
        <x:v>27015</x:v>
      </x:c>
      <x:c r="C1159" s="29" t="str">
        <x:v>MN</x:v>
      </x:c>
      <x:c r="D1159" s="29" t="str">
        <x:v>Brown County</x:v>
      </x:c>
      <x:c r="E1159" s="41" t="n">
        <x:v>25517</x:v>
      </x:c>
      <x:c r="F1159" s="56" t="n">
        <x:v>44.246541</x:v>
      </x:c>
      <x:c r="G1159" s="56" t="n">
        <x:v>-94.733647</x:v>
      </x:c>
      <x:c r="H1159" s="44" t="n">
        <x:f>E1159/SUMIF(A:A,A1159,E:E)</x:f>
        <x:v>0.002318740753933781</x:v>
      </x:c>
    </x:row>
    <x:row r="1160" ht="21.600000381469727" hidden="0" customHeight="1">
      <x:c r="A1160" s="27" t="str">
        <x:v>SCA-18</x:v>
      </x:c>
      <x:c r="B1160" s="27" t="str">
        <x:v>19017</x:v>
      </x:c>
      <x:c r="C1160" s="27" t="str">
        <x:v>IA</x:v>
      </x:c>
      <x:c r="D1160" s="27" t="str">
        <x:v>Bremer County</x:v>
      </x:c>
      <x:c r="E1160" s="40" t="n">
        <x:v>25296</x:v>
      </x:c>
      <x:c r="F1160" s="55" t="n">
        <x:v>42.780895</x:v>
      </x:c>
      <x:c r="G1160" s="55" t="n">
        <x:v>-92.327356</x:v>
      </x:c>
      <x:c r="H1160" s="43" t="n">
        <x:f>E1160/SUMIF(A:A,A1160,E:E)</x:f>
        <x:v>0.0022986583889763263</x:v>
      </x:c>
    </x:row>
    <x:row r="1161" ht="15" hidden="0" customHeight="1">
      <x:c r="A1161" s="29" t="str">
        <x:v>SCA-18</x:v>
      </x:c>
      <x:c r="B1161" s="29" t="str">
        <x:v>55125</x:v>
      </x:c>
      <x:c r="C1161" s="29" t="str">
        <x:v>WI</x:v>
      </x:c>
      <x:c r="D1161" s="29" t="str">
        <x:v>Vilas County</x:v>
      </x:c>
      <x:c r="E1161" s="41" t="n">
        <x:v>23761</x:v>
      </x:c>
      <x:c r="F1161" s="56" t="n">
        <x:v>46.049848</x:v>
      </x:c>
      <x:c r="G1161" s="56" t="n">
        <x:v>-89.501254</x:v>
      </x:c>
      <x:c r="H1161" s="44" t="n">
        <x:f>E1161/SUMIF(A:A,A1161,E:E)</x:f>
        <x:v>0.002159172279430206</x:v>
      </x:c>
    </x:row>
    <x:row r="1162" ht="21.600000381469727" hidden="0" customHeight="1">
      <x:c r="A1162" s="27" t="str">
        <x:v>SCA-18</x:v>
      </x:c>
      <x:c r="B1162" s="27" t="str">
        <x:v>46135</x:v>
      </x:c>
      <x:c r="C1162" s="27" t="str">
        <x:v>SD</x:v>
      </x:c>
      <x:c r="D1162" s="27" t="str">
        <x:v>Yankton County</x:v>
      </x:c>
      <x:c r="E1162" s="40" t="n">
        <x:v>23635</x:v>
      </x:c>
      <x:c r="F1162" s="55" t="n">
        <x:v>43.006603</x:v>
      </x:c>
      <x:c r="G1162" s="55" t="n">
        <x:v>-97.388361</x:v>
      </x:c>
      <x:c r="H1162" s="43" t="n">
        <x:f>E1162/SUMIF(A:A,A1162,E:E)</x:f>
        <x:v>0.0021477226052915668</x:v>
      </x:c>
    </x:row>
    <x:row r="1163" ht="21.600000381469727" hidden="0" customHeight="1">
      <x:c r="A1163" s="29" t="str">
        <x:v>SCA-18</x:v>
      </x:c>
      <x:c r="B1163" s="29" t="str">
        <x:v>27093</x:v>
      </x:c>
      <x:c r="C1163" s="29" t="str">
        <x:v>MN</x:v>
      </x:c>
      <x:c r="D1163" s="29" t="str">
        <x:v>Meeker County</x:v>
      </x:c>
      <x:c r="E1163" s="41" t="n">
        <x:v>23603</x:v>
      </x:c>
      <x:c r="F1163" s="56" t="n">
        <x:v>45.123155</x:v>
      </x:c>
      <x:c r="G1163" s="56" t="n">
        <x:v>-94.527346</x:v>
      </x:c>
      <x:c r="H1163" s="44" t="n">
        <x:f>E1163/SUMIF(A:A,A1163,E:E)</x:f>
        <x:v>0.0021448147515420713</x:v>
      </x:c>
    </x:row>
    <x:row r="1164" ht="21.600000381469727" hidden="0" customHeight="1">
      <x:c r="A1164" s="27" t="str">
        <x:v>SCA-18</x:v>
      </x:c>
      <x:c r="B1164" s="27" t="str">
        <x:v>27057</x:v>
      </x:c>
      <x:c r="C1164" s="27" t="str">
        <x:v>MN</x:v>
      </x:c>
      <x:c r="D1164" s="27" t="str">
        <x:v>Hubbard County</x:v>
      </x:c>
      <x:c r="E1164" s="40" t="n">
        <x:v>22369</x:v>
      </x:c>
      <x:c r="F1164" s="55" t="n">
        <x:v>47.095551</x:v>
      </x:c>
      <x:c r="G1164" s="55" t="n">
        <x:v>-94.91329</x:v>
      </x:c>
      <x:c r="H1164" s="43" t="n">
        <x:f>E1164/SUMIF(A:A,A1164,E:E)</x:f>
        <x:v>0.0020326806413271444</x:v>
      </x:c>
    </x:row>
    <x:row r="1165" ht="21.600000381469727" hidden="0" customHeight="1">
      <x:c r="A1165" s="29" t="str">
        <x:v>SCA-18</x:v>
      </x:c>
      <x:c r="B1165" s="29" t="str">
        <x:v>27105</x:v>
      </x:c>
      <x:c r="C1165" s="29" t="str">
        <x:v>MN</x:v>
      </x:c>
      <x:c r="D1165" s="29" t="str">
        <x:v>Nobles County</x:v>
      </x:c>
      <x:c r="E1165" s="41" t="n">
        <x:v>22338</x:v>
      </x:c>
      <x:c r="F1165" s="56" t="n">
        <x:v>43.677686</x:v>
      </x:c>
      <x:c r="G1165" s="56" t="n">
        <x:v>-95.763132</x:v>
      </x:c>
      <x:c r="H1165" s="44" t="n">
        <x:f>E1165/SUMIF(A:A,A1165,E:E)</x:f>
        <x:v>0.0020298636580073203</x:v>
      </x:c>
    </x:row>
    <x:row r="1166" ht="21.600000381469727" hidden="0" customHeight="1">
      <x:c r="A1166" s="27" t="str">
        <x:v>SCA-18</x:v>
      </x:c>
      <x:c r="B1166" s="27" t="str">
        <x:v>31043</x:v>
      </x:c>
      <x:c r="C1166" s="27" t="str">
        <x:v>NE</x:v>
      </x:c>
      <x:c r="D1166" s="27" t="str">
        <x:v>Dakota County</x:v>
      </x:c>
      <x:c r="E1166" s="40" t="n">
        <x:v>21687</x:v>
      </x:c>
      <x:c r="F1166" s="55" t="n">
        <x:v>42.391624</x:v>
      </x:c>
      <x:c r="G1166" s="55" t="n">
        <x:v>-96.561327</x:v>
      </x:c>
      <x:c r="H1166" s="43" t="n">
        <x:f>E1166/SUMIF(A:A,A1166,E:E)</x:f>
        <x:v>0.001970707008291018</x:v>
      </x:c>
    </x:row>
    <x:row r="1167" ht="21.600000381469727" hidden="0" customHeight="1">
      <x:c r="A1167" s="29" t="str">
        <x:v>SCA-18</x:v>
      </x:c>
      <x:c r="B1167" s="29" t="str">
        <x:v>27045</x:v>
      </x:c>
      <x:c r="C1167" s="29" t="str">
        <x:v>MN</x:v>
      </x:c>
      <x:c r="D1167" s="29" t="str">
        <x:v>Fillmore County</x:v>
      </x:c>
      <x:c r="E1167" s="41" t="n">
        <x:v>21540</x:v>
      </x:c>
      <x:c r="F1167" s="56" t="n">
        <x:v>43.679187</x:v>
      </x:c>
      <x:c r="G1167" s="56" t="n">
        <x:v>-92.093937</x:v>
      </x:c>
      <x:c r="H1167" s="44" t="n">
        <x:f>E1167/SUMIF(A:A,A1167,E:E)</x:f>
        <x:v>0.0019573490551292724</x:v>
      </x:c>
    </x:row>
    <x:row r="1168" ht="21.600000381469727" hidden="0" customHeight="1">
      <x:c r="A1168" s="27" t="str">
        <x:v>SCA-18</x:v>
      </x:c>
      <x:c r="B1168" s="27" t="str">
        <x:v>27157</x:v>
      </x:c>
      <x:c r="C1168" s="27" t="str">
        <x:v>MN</x:v>
      </x:c>
      <x:c r="D1168" s="27" t="str">
        <x:v>Wabasha County</x:v>
      </x:c>
      <x:c r="E1168" s="40" t="n">
        <x:v>21537</x:v>
      </x:c>
      <x:c r="F1168" s="55" t="n">
        <x:v>44.289634</x:v>
      </x:c>
      <x:c r="G1168" s="55" t="n">
        <x:v>-92.233454</x:v>
      </x:c>
      <x:c r="H1168" s="43" t="n">
        <x:f>E1168/SUMIF(A:A,A1168,E:E)</x:f>
        <x:v>0.001957076443840257</x:v>
      </x:c>
    </x:row>
    <x:row r="1169" ht="21.600000381469727" hidden="0" customHeight="1">
      <x:c r="A1169" s="29" t="str">
        <x:v>SCA-18</x:v>
      </x:c>
      <x:c r="B1169" s="29" t="str">
        <x:v>38093</x:v>
      </x:c>
      <x:c r="C1169" s="29" t="str">
        <x:v>ND</x:v>
      </x:c>
      <x:c r="D1169" s="29" t="str">
        <x:v>Stutsman County</x:v>
      </x:c>
      <x:c r="E1169" s="41" t="n">
        <x:v>21414</x:v>
      </x:c>
      <x:c r="F1169" s="56" t="n">
        <x:v>46.972223</x:v>
      </x:c>
      <x:c r="G1169" s="56" t="n">
        <x:v>-98.956123</x:v>
      </x:c>
      <x:c r="H1169" s="44" t="n">
        <x:f>E1169/SUMIF(A:A,A1169,E:E)</x:f>
        <x:v>0.001945899380990633</x:v>
      </x:c>
    </x:row>
    <x:row r="1170" ht="21.600000381469727" hidden="0" customHeight="1">
      <x:c r="A1170" s="27" t="str">
        <x:v>SCA-18</x:v>
      </x:c>
      <x:c r="B1170" s="27" t="str">
        <x:v>27039</x:v>
      </x:c>
      <x:c r="C1170" s="27" t="str">
        <x:v>MN</x:v>
      </x:c>
      <x:c r="D1170" s="27" t="str">
        <x:v>Dodge County</x:v>
      </x:c>
      <x:c r="E1170" s="40" t="n">
        <x:v>21376</x:v>
      </x:c>
      <x:c r="F1170" s="55" t="n">
        <x:v>44.020706</x:v>
      </x:c>
      <x:c r="G1170" s="55" t="n">
        <x:v>-92.869353</x:v>
      </x:c>
      <x:c r="H1170" s="43" t="n">
        <x:f>E1170/SUMIF(A:A,A1170,E:E)</x:f>
        <x:v>0.001942446304663107</x:v>
      </x:c>
    </x:row>
    <x:row r="1171" ht="21.600000381469727" hidden="0" customHeight="1">
      <x:c r="A1171" s="29" t="str">
        <x:v>SCA-18</x:v>
      </x:c>
      <x:c r="B1171" s="29" t="str">
        <x:v>55053</x:v>
      </x:c>
      <x:c r="C1171" s="29" t="str">
        <x:v>WI</x:v>
      </x:c>
      <x:c r="D1171" s="29" t="str">
        <x:v>Jackson County</x:v>
      </x:c>
      <x:c r="E1171" s="41" t="n">
        <x:v>20999</x:v>
      </x:c>
      <x:c r="F1171" s="56" t="n">
        <x:v>44.32459</x:v>
      </x:c>
      <x:c r="G1171" s="56" t="n">
        <x:v>-90.79951</x:v>
      </x:c>
      <x:c r="H1171" s="44" t="n">
        <x:f>E1171/SUMIF(A:A,A1171,E:E)</x:f>
        <x:v>0.001908188152676861</x:v>
      </x:c>
    </x:row>
    <x:row r="1172" ht="21.600000381469727" hidden="0" customHeight="1">
      <x:c r="A1172" s="27" t="str">
        <x:v>SCA-18</x:v>
      </x:c>
      <x:c r="B1172" s="27" t="str">
        <x:v>19019</x:v>
      </x:c>
      <x:c r="C1172" s="27" t="str">
        <x:v>IA</x:v>
      </x:c>
      <x:c r="D1172" s="27" t="str">
        <x:v>Buchanan County</x:v>
      </x:c>
      <x:c r="E1172" s="40" t="n">
        <x:v>20883</x:v>
      </x:c>
      <x:c r="F1172" s="55" t="n">
        <x:v>42.470328</x:v>
      </x:c>
      <x:c r="G1172" s="55" t="n">
        <x:v>-91.838666</x:v>
      </x:c>
      <x:c r="H1172" s="43" t="n">
        <x:f>E1172/SUMIF(A:A,A1172,E:E)</x:f>
        <x:v>0.0018976471828349394</x:v>
      </x:c>
    </x:row>
    <x:row r="1173" ht="21.600000381469727" hidden="0" customHeight="1">
      <x:c r="A1173" s="29" t="str">
        <x:v>SCA-18</x:v>
      </x:c>
      <x:c r="B1173" s="29" t="str">
        <x:v>19021</x:v>
      </x:c>
      <x:c r="C1173" s="29" t="str">
        <x:v>IA</x:v>
      </x:c>
      <x:c r="D1173" s="29" t="str">
        <x:v>Buena Vista County</x:v>
      </x:c>
      <x:c r="E1173" s="41" t="n">
        <x:v>20449</x:v>
      </x:c>
      <x:c r="F1173" s="56" t="n">
        <x:v>42.741522</x:v>
      </x:c>
      <x:c r="G1173" s="56" t="n">
        <x:v>-95.141432</x:v>
      </x:c>
      <x:c r="H1173" s="44" t="n">
        <x:f>E1173/SUMIF(A:A,A1173,E:E)</x:f>
        <x:v>0.0018582094163574043</x:v>
      </x:c>
    </x:row>
    <x:row r="1174" ht="21.600000381469727" hidden="0" customHeight="1">
      <x:c r="A1174" s="27" t="str">
        <x:v>SCA-18</x:v>
      </x:c>
      <x:c r="B1174" s="27" t="str">
        <x:v>19027</x:v>
      </x:c>
      <x:c r="C1174" s="27" t="str">
        <x:v>IA</x:v>
      </x:c>
      <x:c r="D1174" s="27" t="str">
        <x:v>Carroll County</x:v>
      </x:c>
      <x:c r="E1174" s="40" t="n">
        <x:v>20303</x:v>
      </x:c>
      <x:c r="F1174" s="55" t="n">
        <x:v>42.039502</x:v>
      </x:c>
      <x:c r="G1174" s="55" t="n">
        <x:v>-94.86765</x:v>
      </x:c>
      <x:c r="H1174" s="43" t="n">
        <x:f>E1174/SUMIF(A:A,A1174,E:E)</x:f>
        <x:v>0.0018449423336253303</x:v>
      </x:c>
    </x:row>
    <x:row r="1175" ht="21.600000381469727" hidden="0" customHeight="1">
      <x:c r="A1175" s="29" t="str">
        <x:v>SCA-18</x:v>
      </x:c>
      <x:c r="B1175" s="29" t="str">
        <x:v>55119</x:v>
      </x:c>
      <x:c r="C1175" s="29" t="str">
        <x:v>WI</x:v>
      </x:c>
      <x:c r="D1175" s="29" t="str">
        <x:v>Taylor County</x:v>
      </x:c>
      <x:c r="E1175" s="41" t="n">
        <x:v>20118</x:v>
      </x:c>
      <x:c r="F1175" s="56" t="n">
        <x:v>45.211656</x:v>
      </x:c>
      <x:c r="G1175" s="56" t="n">
        <x:v>-90.504853</x:v>
      </x:c>
      <x:c r="H1175" s="44" t="n">
        <x:f>E1175/SUMIF(A:A,A1175,E:E)</x:f>
        <x:v>0.0018281313041360586</x:v>
      </x:c>
    </x:row>
    <x:row r="1176" ht="21.600000381469727" hidden="0" customHeight="1">
      <x:c r="A1176" s="27" t="str">
        <x:v>SCA-18</x:v>
      </x:c>
      <x:c r="B1176" s="27" t="str">
        <x:v>46035</x:v>
      </x:c>
      <x:c r="C1176" s="27" t="str">
        <x:v>SD</x:v>
      </x:c>
      <x:c r="D1176" s="27" t="str">
        <x:v>Davison County</x:v>
      </x:c>
      <x:c r="E1176" s="40" t="n">
        <x:v>20069</x:v>
      </x:c>
      <x:c r="F1176" s="55" t="n">
        <x:v>43.680439</x:v>
      </x:c>
      <x:c r="G1176" s="55" t="n">
        <x:v>-98.155868</x:v>
      </x:c>
      <x:c r="H1176" s="43" t="n">
        <x:f>E1176/SUMIF(A:A,A1176,E:E)</x:f>
        <x:v>0.0018236786530821433</x:v>
      </x:c>
    </x:row>
    <x:row r="1177" ht="21.600000381469727" hidden="0" customHeight="1">
      <x:c r="A1177" s="29" t="str">
        <x:v>SCA-18</x:v>
      </x:c>
      <x:c r="B1177" s="29" t="str">
        <x:v>19191</x:v>
      </x:c>
      <x:c r="C1177" s="29" t="str">
        <x:v>IA</x:v>
      </x:c>
      <x:c r="D1177" s="29" t="str">
        <x:v>Winneshiek County</x:v>
      </x:c>
      <x:c r="E1177" s="41" t="n">
        <x:v>19733</x:v>
      </x:c>
      <x:c r="F1177" s="56" t="n">
        <x:v>43.292989</x:v>
      </x:c>
      <x:c r="G1177" s="56" t="n">
        <x:v>-91.850788</x:v>
      </x:c>
      <x:c r="H1177" s="44" t="n">
        <x:f>E1177/SUMIF(A:A,A1177,E:E)</x:f>
        <x:v>0.0017931461887124387</x:v>
      </x:c>
    </x:row>
    <x:row r="1178" ht="21.600000381469727" hidden="0" customHeight="1">
      <x:c r="A1178" s="27" t="str">
        <x:v>SCA-18</x:v>
      </x:c>
      <x:c r="B1178" s="27" t="str">
        <x:v>46005</x:v>
      </x:c>
      <x:c r="C1178" s="27" t="str">
        <x:v>SD</x:v>
      </x:c>
      <x:c r="D1178" s="27" t="str">
        <x:v>Beadle County</x:v>
      </x:c>
      <x:c r="E1178" s="40" t="n">
        <x:v>19624</x:v>
      </x:c>
      <x:c r="F1178" s="55" t="n">
        <x:v>44.418265</x:v>
      </x:c>
      <x:c r="G1178" s="55" t="n">
        <x:v>-98.279422</x:v>
      </x:c>
      <x:c r="H1178" s="43" t="n">
        <x:f>E1178/SUMIF(A:A,A1178,E:E)</x:f>
        <x:v>0.001783241311878219</x:v>
      </x:c>
    </x:row>
    <x:row r="1179" ht="21.600000381469727" hidden="0" customHeight="1">
      <x:c r="A1179" s="29" t="str">
        <x:v>SCA-18</x:v>
      </x:c>
      <x:c r="B1179" s="29" t="str">
        <x:v>55067</x:v>
      </x:c>
      <x:c r="C1179" s="29" t="str">
        <x:v>WI</x:v>
      </x:c>
      <x:c r="D1179" s="29" t="str">
        <x:v>Langlade County</x:v>
      </x:c>
      <x:c r="E1179" s="41" t="n">
        <x:v>19534</x:v>
      </x:c>
      <x:c r="F1179" s="56" t="n">
        <x:v>45.254863</x:v>
      </x:c>
      <x:c r="G1179" s="56" t="n">
        <x:v>-89.06707</x:v>
      </x:c>
      <x:c r="H1179" s="44" t="n">
        <x:f>E1179/SUMIF(A:A,A1179,E:E)</x:f>
        <x:v>0.0017750629732077624</x:v>
      </x:c>
    </x:row>
    <x:row r="1180" ht="21.600000381469727" hidden="0" customHeight="1">
      <x:c r="A1180" s="27" t="str">
        <x:v>SCA-18</x:v>
      </x:c>
      <x:c r="B1180" s="27" t="str">
        <x:v>27091</x:v>
      </x:c>
      <x:c r="C1180" s="27" t="str">
        <x:v>MN</x:v>
      </x:c>
      <x:c r="D1180" s="27" t="str">
        <x:v>Martin County</x:v>
      </x:c>
      <x:c r="E1180" s="40" t="n">
        <x:v>19440</x:v>
      </x:c>
      <x:c r="F1180" s="55" t="n">
        <x:v>43.677173</x:v>
      </x:c>
      <x:c r="G1180" s="55" t="n">
        <x:v>-94.547096</x:v>
      </x:c>
      <x:c r="H1180" s="43" t="n">
        <x:f>E1180/SUMIF(A:A,A1180,E:E)</x:f>
        <x:v>0.001766521152818619</x:v>
      </x:c>
    </x:row>
    <x:row r="1181" ht="21.600000381469727" hidden="0" customHeight="1">
      <x:c r="A1181" s="29" t="str">
        <x:v>SCA-18</x:v>
      </x:c>
      <x:c r="B1181" s="29" t="str">
        <x:v>19065</x:v>
      </x:c>
      <x:c r="C1181" s="29" t="str">
        <x:v>IA</x:v>
      </x:c>
      <x:c r="D1181" s="29" t="str">
        <x:v>Fayette County</x:v>
      </x:c>
      <x:c r="E1181" s="41" t="n">
        <x:v>19047</x:v>
      </x:c>
      <x:c r="F1181" s="56" t="n">
        <x:v>42.864122</x:v>
      </x:c>
      <x:c r="G1181" s="56" t="n">
        <x:v>-91.840376</x:v>
      </x:c>
      <x:c r="H1181" s="44" t="n">
        <x:f>E1181/SUMIF(A:A,A1181,E:E)</x:f>
        <x:v>0.0017308090739576252</x:v>
      </x:c>
    </x:row>
    <x:row r="1182" ht="21.600000381469727" hidden="0" customHeight="1">
      <x:c r="A1182" s="27" t="str">
        <x:v>SCA-18</x:v>
      </x:c>
      <x:c r="B1182" s="27" t="str">
        <x:v>55113</x:v>
      </x:c>
      <x:c r="C1182" s="27" t="str">
        <x:v>WI</x:v>
      </x:c>
      <x:c r="D1182" s="27" t="str">
        <x:v>Sawyer County</x:v>
      </x:c>
      <x:c r="E1182" s="40" t="n">
        <x:v>18846</x:v>
      </x:c>
      <x:c r="F1182" s="55" t="n">
        <x:v>45.864999</x:v>
      </x:c>
      <x:c r="G1182" s="55" t="n">
        <x:v>-91.147063</x:v>
      </x:c>
      <x:c r="H1182" s="43" t="n">
        <x:f>E1182/SUMIF(A:A,A1182,E:E)</x:f>
        <x:v>0.0017125441175936057</x:v>
      </x:c>
    </x:row>
    <x:row r="1183" ht="21.600000381469727" hidden="0" customHeight="1">
      <x:c r="A1183" s="29" t="str">
        <x:v>SCA-18</x:v>
      </x:c>
      <x:c r="B1183" s="29" t="str">
        <x:v>27161</x:v>
      </x:c>
      <x:c r="C1183" s="29" t="str">
        <x:v>MN</x:v>
      </x:c>
      <x:c r="D1183" s="29" t="str">
        <x:v>Waseca County</x:v>
      </x:c>
      <x:c r="E1183" s="41" t="n">
        <x:v>18688</x:v>
      </x:c>
      <x:c r="F1183" s="56" t="n">
        <x:v>44.01846</x:v>
      </x:c>
      <x:c r="G1183" s="56" t="n">
        <x:v>-93.589844</x:v>
      </x:c>
      <x:c r="H1183" s="44" t="n">
        <x:f>E1183/SUMIF(A:A,A1183,E:E)</x:f>
        <x:v>0.0016981865897054708</x:v>
      </x:c>
    </x:row>
    <x:row r="1184" ht="21.600000381469727" hidden="0" customHeight="1">
      <x:c r="A1184" s="27" t="str">
        <x:v>SCA-18</x:v>
      </x:c>
      <x:c r="B1184" s="27" t="str">
        <x:v>27055</x:v>
      </x:c>
      <x:c r="C1184" s="27" t="str">
        <x:v>MN</x:v>
      </x:c>
      <x:c r="D1184" s="27" t="str">
        <x:v>Houston County</x:v>
      </x:c>
      <x:c r="E1184" s="40" t="n">
        <x:v>18400</x:v>
      </x:c>
      <x:c r="F1184" s="55" t="n">
        <x:v>43.66699</x:v>
      </x:c>
      <x:c r="G1184" s="55" t="n">
        <x:v>-91.501556</x:v>
      </x:c>
      <x:c r="H1184" s="43" t="n">
        <x:f>E1184/SUMIF(A:A,A1184,E:E)</x:f>
        <x:v>0.0016720159059600097</x:v>
      </x:c>
    </x:row>
    <x:row r="1185" ht="21.600000381469727" hidden="0" customHeight="1">
      <x:c r="A1185" s="29" t="str">
        <x:v>SCA-18</x:v>
      </x:c>
      <x:c r="B1185" s="29" t="str">
        <x:v>19059</x:v>
      </x:c>
      <x:c r="C1185" s="29" t="str">
        <x:v>IA</x:v>
      </x:c>
      <x:c r="D1185" s="29" t="str">
        <x:v>Dickinson County</x:v>
      </x:c>
      <x:c r="E1185" s="41" t="n">
        <x:v>18077</x:v>
      </x:c>
      <x:c r="F1185" s="56" t="n">
        <x:v>43.389611</x:v>
      </x:c>
      <x:c r="G1185" s="56" t="n">
        <x:v>-95.196057</x:v>
      </x:c>
      <x:c r="H1185" s="44" t="n">
        <x:f>E1185/SUMIF(A:A,A1185,E:E)</x:f>
        <x:v>0.0016426647571760379</x:v>
      </x:c>
    </x:row>
    <x:row r="1186" ht="21.600000381469727" hidden="0" customHeight="1">
      <x:c r="A1186" s="27" t="str">
        <x:v>SCA-18</x:v>
      </x:c>
      <x:c r="B1186" s="27" t="str">
        <x:v>46065</x:v>
      </x:c>
      <x:c r="C1186" s="27" t="str">
        <x:v>SD</x:v>
      </x:c>
      <x:c r="D1186" s="27" t="str">
        <x:v>Hughes County</x:v>
      </x:c>
      <x:c r="E1186" s="40" t="n">
        <x:v>17570</x:v>
      </x:c>
      <x:c r="F1186" s="55" t="n">
        <x:v>44.384452</x:v>
      </x:c>
      <x:c r="G1186" s="55" t="n">
        <x:v>-99.975684</x:v>
      </x:c>
      <x:c r="H1186" s="43" t="n">
        <x:f>E1186/SUMIF(A:A,A1186,E:E)</x:f>
        <x:v>0.0015965934493324659</x:v>
      </x:c>
    </x:row>
    <x:row r="1187" ht="21.600000381469727" hidden="0" customHeight="1">
      <x:c r="A1187" s="29" t="str">
        <x:v>SCA-18</x:v>
      </x:c>
      <x:c r="B1187" s="29" t="str">
        <x:v>46127</x:v>
      </x:c>
      <x:c r="C1187" s="29" t="str">
        <x:v>SD</x:v>
      </x:c>
      <x:c r="D1187" s="29" t="str">
        <x:v>Union County</x:v>
      </x:c>
      <x:c r="E1187" s="41" t="n">
        <x:v>17402</x:v>
      </x:c>
      <x:c r="F1187" s="56" t="n">
        <x:v>42.831106</x:v>
      </x:c>
      <x:c r="G1187" s="56" t="n">
        <x:v>-96.650829</x:v>
      </x:c>
      <x:c r="H1187" s="44" t="n">
        <x:f>E1187/SUMIF(A:A,A1187,E:E)</x:f>
        <x:v>0.0015813272171476135</x:v>
      </x:c>
    </x:row>
    <x:row r="1188" ht="21.600000381469727" hidden="0" customHeight="1">
      <x:c r="A1188" s="27" t="str">
        <x:v>SCA-18</x:v>
      </x:c>
      <x:c r="B1188" s="27" t="str">
        <x:v>19121</x:v>
      </x:c>
      <x:c r="C1188" s="27" t="str">
        <x:v>IA</x:v>
      </x:c>
      <x:c r="D1188" s="27" t="str">
        <x:v>Madison County</x:v>
      </x:c>
      <x:c r="E1188" s="40" t="n">
        <x:v>17270</x:v>
      </x:c>
      <x:c r="F1188" s="55" t="n">
        <x:v>41.330622</x:v>
      </x:c>
      <x:c r="G1188" s="55" t="n">
        <x:v>-94.015184</x:v>
      </x:c>
      <x:c r="H1188" s="43" t="n">
        <x:f>E1188/SUMIF(A:A,A1188,E:E)</x:f>
        <x:v>0.0015693323204309438</x:v>
      </x:c>
    </x:row>
    <x:row r="1189" ht="21.600000381469727" hidden="0" customHeight="1">
      <x:c r="A1189" s="29" t="str">
        <x:v>SCA-18</x:v>
      </x:c>
      <x:c r="B1189" s="29" t="str">
        <x:v>55013</x:v>
      </x:c>
      <x:c r="C1189" s="29" t="str">
        <x:v>WI</x:v>
      </x:c>
      <x:c r="D1189" s="29" t="str">
        <x:v>Burnett County</x:v>
      </x:c>
      <x:c r="E1189" s="41" t="n">
        <x:v>17223</x:v>
      </x:c>
      <x:c r="F1189" s="56" t="n">
        <x:v>45.866897</x:v>
      </x:c>
      <x:c r="G1189" s="56" t="n">
        <x:v>-92.37573</x:v>
      </x:c>
      <x:c r="H1189" s="44" t="n">
        <x:f>E1189/SUMIF(A:A,A1189,E:E)</x:f>
        <x:v>0.0015650614102363722</x:v>
      </x:c>
    </x:row>
    <x:row r="1190" ht="21.600000381469727" hidden="0" customHeight="1">
      <x:c r="A1190" s="27" t="str">
        <x:v>SCA-18</x:v>
      </x:c>
      <x:c r="B1190" s="27" t="str">
        <x:v>55129</x:v>
      </x:c>
      <x:c r="C1190" s="27" t="str">
        <x:v>WI</x:v>
      </x:c>
      <x:c r="D1190" s="27" t="str">
        <x:v>Washburn County</x:v>
      </x:c>
      <x:c r="E1190" s="40" t="n">
        <x:v>17087</x:v>
      </x:c>
      <x:c r="F1190" s="55" t="n">
        <x:v>45.892489</x:v>
      </x:c>
      <x:c r="G1190" s="55" t="n">
        <x:v>-91.796422</x:v>
      </x:c>
      <x:c r="H1190" s="43" t="n">
        <x:f>E1190/SUMIF(A:A,A1190,E:E)</x:f>
        <x:v>0.0015527030318010155</x:v>
      </x:c>
    </x:row>
    <x:row r="1191" ht="21.600000381469727" hidden="0" customHeight="1">
      <x:c r="A1191" s="29" t="str">
        <x:v>SCA-18</x:v>
      </x:c>
      <x:c r="B1191" s="29" t="str">
        <x:v>19043</x:v>
      </x:c>
      <x:c r="C1191" s="29" t="str">
        <x:v>IA</x:v>
      </x:c>
      <x:c r="D1191" s="29" t="str">
        <x:v>Clayton County</x:v>
      </x:c>
      <x:c r="E1191" s="41" t="n">
        <x:v>16845</x:v>
      </x:c>
      <x:c r="F1191" s="56" t="n">
        <x:v>42.840985</x:v>
      </x:c>
      <x:c r="G1191" s="56" t="n">
        <x:v>-91.323576</x:v>
      </x:c>
      <x:c r="H1191" s="44" t="n">
        <x:f>E1191/SUMIF(A:A,A1191,E:E)</x:f>
        <x:v>0.0015307123878204546</x:v>
      </x:c>
    </x:row>
    <x:row r="1192" ht="15" hidden="0" customHeight="1">
      <x:c r="A1192" s="27" t="str">
        <x:v>SCA-18</x:v>
      </x:c>
      <x:c r="B1192" s="27" t="str">
        <x:v>19171</x:v>
      </x:c>
      <x:c r="C1192" s="27" t="str">
        <x:v>IA</x:v>
      </x:c>
      <x:c r="D1192" s="27" t="str">
        <x:v>Tama County</x:v>
      </x:c>
      <x:c r="E1192" s="40" t="n">
        <x:v>16796</x:v>
      </x:c>
      <x:c r="F1192" s="55" t="n">
        <x:v>42.074848</x:v>
      </x:c>
      <x:c r="G1192" s="55" t="n">
        <x:v>-92.529411</x:v>
      </x:c>
      <x:c r="H1192" s="43" t="n">
        <x:f>E1192/SUMIF(A:A,A1192,E:E)</x:f>
        <x:v>0.0015262597367665393</x:v>
      </x:c>
    </x:row>
    <x:row r="1193" ht="21.600000381469727" hidden="0" customHeight="1">
      <x:c r="A1193" s="29" t="str">
        <x:v>SCA-18</x:v>
      </x:c>
      <x:c r="B1193" s="29" t="str">
        <x:v>55007</x:v>
      </x:c>
      <x:c r="C1193" s="29" t="str">
        <x:v>WI</x:v>
      </x:c>
      <x:c r="D1193" s="29" t="str">
        <x:v>Bayfield County</x:v>
      </x:c>
      <x:c r="E1193" s="41" t="n">
        <x:v>16787</x:v>
      </x:c>
      <x:c r="F1193" s="56" t="n">
        <x:v>46.634199</x:v>
      </x:c>
      <x:c r="G1193" s="56" t="n">
        <x:v>-91.177282</x:v>
      </x:c>
      <x:c r="H1193" s="44" t="n">
        <x:f>E1193/SUMIF(A:A,A1193,E:E)</x:f>
        <x:v>0.0015254419028994937</x:v>
      </x:c>
    </x:row>
    <x:row r="1194" ht="21.600000381469727" hidden="0" customHeight="1">
      <x:c r="A1194" s="27" t="str">
        <x:v>SCA-18</x:v>
      </x:c>
      <x:c r="B1194" s="27" t="str">
        <x:v>38077</x:v>
      </x:c>
      <x:c r="C1194" s="27" t="str">
        <x:v>ND</x:v>
      </x:c>
      <x:c r="D1194" s="27" t="str">
        <x:v>Richland County</x:v>
      </x:c>
      <x:c r="E1194" s="40" t="n">
        <x:v>16731</x:v>
      </x:c>
      <x:c r="F1194" s="55" t="n">
        <x:v>46.265219</x:v>
      </x:c>
      <x:c r="G1194" s="55" t="n">
        <x:v>-96.93796</x:v>
      </x:c>
      <x:c r="H1194" s="43" t="n">
        <x:f>E1194/SUMIF(A:A,A1194,E:E)</x:f>
        <x:v>0.0015203531588378763</x:v>
      </x:c>
    </x:row>
    <x:row r="1195" ht="21.600000381469727" hidden="0" customHeight="1">
      <x:c r="A1195" s="29" t="str">
        <x:v>SCA-18</x:v>
      </x:c>
      <x:c r="B1195" s="29" t="str">
        <x:v>27065</x:v>
      </x:c>
      <x:c r="C1195" s="29" t="str">
        <x:v>MN</x:v>
      </x:c>
      <x:c r="D1195" s="29" t="str">
        <x:v>Kanabec County</x:v>
      </x:c>
      <x:c r="E1195" s="41" t="n">
        <x:v>16628</x:v>
      </x:c>
      <x:c r="F1195" s="56" t="n">
        <x:v>45.94776</x:v>
      </x:c>
      <x:c r="G1195" s="56" t="n">
        <x:v>-93.297788</x:v>
      </x:c>
      <x:c r="H1195" s="44" t="n">
        <x:f>E1195/SUMIF(A:A,A1195,E:E)</x:f>
        <x:v>0.0015109935045816872</x:v>
      </x:c>
    </x:row>
    <x:row r="1196" ht="21.600000381469727" hidden="0" customHeight="1">
      <x:c r="A1196" s="27" t="str">
        <x:v>SCA-18</x:v>
      </x:c>
      <x:c r="B1196" s="27" t="str">
        <x:v>19083</x:v>
      </x:c>
      <x:c r="C1196" s="27" t="str">
        <x:v>IA</x:v>
      </x:c>
      <x:c r="D1196" s="27" t="str">
        <x:v>Hardin County</x:v>
      </x:c>
      <x:c r="E1196" s="40" t="n">
        <x:v>16455</x:v>
      </x:c>
      <x:c r="F1196" s="55" t="n">
        <x:v>42.390208</x:v>
      </x:c>
      <x:c r="G1196" s="55" t="n">
        <x:v>-93.241669</x:v>
      </x:c>
      <x:c r="H1196" s="43" t="n">
        <x:f>E1196/SUMIF(A:A,A1196,E:E)</x:f>
        <x:v>0.0014952729202484761</x:v>
      </x:c>
    </x:row>
    <x:row r="1197" ht="15" hidden="0" customHeight="1">
      <x:c r="A1197" s="29" t="str">
        <x:v>SCA-18</x:v>
      </x:c>
      <x:c r="B1197" s="29" t="str">
        <x:v>27001</x:v>
      </x:c>
      <x:c r="C1197" s="29" t="str">
        <x:v>MN</x:v>
      </x:c>
      <x:c r="D1197" s="29" t="str">
        <x:v>Aitkin County</x:v>
      </x:c>
      <x:c r="E1197" s="41" t="n">
        <x:v>16252</x:v>
      </x:c>
      <x:c r="F1197" s="56" t="n">
        <x:v>46.602409</x:v>
      </x:c>
      <x:c r="G1197" s="56" t="n">
        <x:v>-93.419694</x:v>
      </x:c>
      <x:c r="H1197" s="44" t="n">
        <x:f>E1197/SUMIF(A:A,A1197,E:E)</x:f>
        <x:v>0.001476826223025113</x:v>
      </x:c>
    </x:row>
    <x:row r="1198" ht="21.600000381469727" hidden="0" customHeight="1">
      <x:c r="A1198" s="27" t="str">
        <x:v>SCA-18</x:v>
      </x:c>
      <x:c r="B1198" s="27" t="str">
        <x:v>19047</x:v>
      </x:c>
      <x:c r="C1198" s="27" t="str">
        <x:v>IA</x:v>
      </x:c>
      <x:c r="D1198" s="27" t="str">
        <x:v>Crawford County</x:v>
      </x:c>
      <x:c r="E1198" s="40" t="n">
        <x:v>16237</x:v>
      </x:c>
      <x:c r="F1198" s="55" t="n">
        <x:v>42.043119</x:v>
      </x:c>
      <x:c r="G1198" s="55" t="n">
        <x:v>-95.38909</x:v>
      </x:c>
      <x:c r="H1198" s="43" t="n">
        <x:f>E1198/SUMIF(A:A,A1198,E:E)</x:f>
        <x:v>0.0014754631665800369</x:v>
      </x:c>
    </x:row>
    <x:row r="1199" ht="21.600000381469727" hidden="0" customHeight="1">
      <x:c r="A1199" s="29" t="str">
        <x:v>SCA-18</x:v>
      </x:c>
      <x:c r="B1199" s="29" t="str">
        <x:v>55003</x:v>
      </x:c>
      <x:c r="C1199" s="29" t="str">
        <x:v>WI</x:v>
      </x:c>
      <x:c r="D1199" s="29" t="str">
        <x:v>Ashland County</x:v>
      </x:c>
      <x:c r="E1199" s="41" t="n">
        <x:v>16203</x:v>
      </x:c>
      <x:c r="F1199" s="56" t="n">
        <x:v>46.544424</x:v>
      </x:c>
      <x:c r="G1199" s="56" t="n">
        <x:v>-90.679691</x:v>
      </x:c>
      <x:c r="H1199" s="44" t="n">
        <x:f>E1199/SUMIF(A:A,A1199,E:E)</x:f>
        <x:v>0.0014723735719711977</x:v>
      </x:c>
    </x:row>
    <x:row r="1200" ht="15" hidden="0" customHeight="1">
      <x:c r="A1200" s="27" t="str">
        <x:v>SCA-18</x:v>
      </x:c>
      <x:c r="B1200" s="27" t="str">
        <x:v>19041</x:v>
      </x:c>
      <x:c r="C1200" s="27" t="str">
        <x:v>IA</x:v>
      </x:c>
      <x:c r="D1200" s="27" t="str">
        <x:v>Clay County</x:v>
      </x:c>
      <x:c r="E1200" s="40" t="n">
        <x:v>16202</x:v>
      </x:c>
      <x:c r="F1200" s="55" t="n">
        <x:v>43.081224</x:v>
      </x:c>
      <x:c r="G1200" s="55" t="n">
        <x:v>-95.149875</x:v>
      </x:c>
      <x:c r="H1200" s="43" t="n">
        <x:f>E1200/SUMIF(A:A,A1200,E:E)</x:f>
        <x:v>0.001472282701541526</x:v>
      </x:c>
    </x:row>
    <x:row r="1201" ht="21.600000381469727" hidden="0" customHeight="1">
      <x:c r="A1201" s="29" t="str">
        <x:v>SCA-18</x:v>
      </x:c>
      <x:c r="B1201" s="29" t="str">
        <x:v>55023</x:v>
      </x:c>
      <x:c r="C1201" s="29" t="str">
        <x:v>WI</x:v>
      </x:c>
      <x:c r="D1201" s="29" t="str">
        <x:v>Crawford County</x:v>
      </x:c>
      <x:c r="E1201" s="41" t="n">
        <x:v>15910</x:v>
      </x:c>
      <x:c r="F1201" s="56" t="n">
        <x:v>43.242768</x:v>
      </x:c>
      <x:c r="G1201" s="56" t="n">
        <x:v>-90.935185</x:v>
      </x:c>
      <x:c r="H1201" s="44" t="n">
        <x:f>E1201/SUMIF(A:A,A1201,E:E)</x:f>
        <x:v>0.001445748536077378</x:v>
      </x:c>
    </x:row>
    <x:row r="1202" ht="21.600000381469727" hidden="0" customHeight="1">
      <x:c r="A1202" s="27" t="str">
        <x:v>SCA-18</x:v>
      </x:c>
      <x:c r="B1202" s="27" t="str">
        <x:v>27143</x:v>
      </x:c>
      <x:c r="C1202" s="27" t="str">
        <x:v>MN</x:v>
      </x:c>
      <x:c r="D1202" s="27" t="str">
        <x:v>Sibley County</x:v>
      </x:c>
      <x:c r="E1202" s="40" t="n">
        <x:v>15356</x:v>
      </x:c>
      <x:c r="F1202" s="55" t="n">
        <x:v>44.575734</x:v>
      </x:c>
      <x:c r="G1202" s="55" t="n">
        <x:v>-94.230123</x:v>
      </x:c>
      <x:c r="H1202" s="43" t="n">
        <x:f>E1202/SUMIF(A:A,A1202,E:E)</x:f>
        <x:v>0.0013954063180392341</x:v>
      </x:c>
    </x:row>
    <x:row r="1203" ht="21.600000381469727" hidden="0" customHeight="1">
      <x:c r="A1203" s="29" t="str">
        <x:v>SCA-18</x:v>
      </x:c>
      <x:c r="B1203" s="29" t="str">
        <x:v>27127</x:v>
      </x:c>
      <x:c r="C1203" s="29" t="str">
        <x:v>MN</x:v>
      </x:c>
      <x:c r="D1203" s="29" t="str">
        <x:v>Redwood County</x:v>
      </x:c>
      <x:c r="E1203" s="41" t="n">
        <x:v>15265</x:v>
      </x:c>
      <x:c r="F1203" s="56" t="n">
        <x:v>44.403536</x:v>
      </x:c>
      <x:c r="G1203" s="56" t="n">
        <x:v>-95.254241</x:v>
      </x:c>
      <x:c r="H1203" s="44" t="n">
        <x:f>E1203/SUMIF(A:A,A1203,E:E)</x:f>
        <x:v>0.0013871371089391059</x:v>
      </x:c>
    </x:row>
    <x:row r="1204" ht="21.600000381469727" hidden="0" customHeight="1">
      <x:c r="A1204" s="27" t="str">
        <x:v>SCA-18</x:v>
      </x:c>
      <x:c r="B1204" s="27" t="str">
        <x:v>27135</x:v>
      </x:c>
      <x:c r="C1204" s="27" t="str">
        <x:v>MN</x:v>
      </x:c>
      <x:c r="D1204" s="27" t="str">
        <x:v>Roseau County</x:v>
      </x:c>
      <x:c r="E1204" s="40" t="n">
        <x:v>15246</x:v>
      </x:c>
      <x:c r="F1204" s="55" t="n">
        <x:v>48.761069</x:v>
      </x:c>
      <x:c r="G1204" s="55" t="n">
        <x:v>-95.821505</x:v>
      </x:c>
      <x:c r="H1204" s="43" t="n">
        <x:f>E1204/SUMIF(A:A,A1204,E:E)</x:f>
        <x:v>0.001385410570775343</x:v>
      </x:c>
    </x:row>
    <x:row r="1205" ht="21.600000381469727" hidden="0" customHeight="1">
      <x:c r="A1205" s="29" t="str">
        <x:v>SCA-18</x:v>
      </x:c>
      <x:c r="B1205" s="29" t="str">
        <x:v>38053</x:v>
      </x:c>
      <x:c r="C1205" s="29" t="str">
        <x:v>ND</x:v>
      </x:c>
      <x:c r="D1205" s="29" t="str">
        <x:v>McKenzie County</x:v>
      </x:c>
      <x:c r="E1205" s="41" t="n">
        <x:v>15192</x:v>
      </x:c>
      <x:c r="F1205" s="56" t="n">
        <x:v>47.742475</x:v>
      </x:c>
      <x:c r="G1205" s="56" t="n">
        <x:v>-103.403215</x:v>
      </x:c>
      <x:c r="H1205" s="44" t="n">
        <x:f>E1205/SUMIF(A:A,A1205,E:E)</x:f>
        <x:v>0.001380503567573069</x:v>
      </x:c>
    </x:row>
    <x:row r="1206" ht="15" hidden="0" customHeight="1">
      <x:c r="A1206" s="27" t="str">
        <x:v>SCA-18</x:v>
      </x:c>
      <x:c r="B1206" s="27" t="str">
        <x:v>46027</x:v>
      </x:c>
      <x:c r="C1206" s="27" t="str">
        <x:v>SD</x:v>
      </x:c>
      <x:c r="D1206" s="27" t="str">
        <x:v>Clay County</x:v>
      </x:c>
      <x:c r="E1206" s="40" t="n">
        <x:v>15031</x:v>
      </x:c>
      <x:c r="F1206" s="55" t="n">
        <x:v>42.91615</x:v>
      </x:c>
      <x:c r="G1206" s="55" t="n">
        <x:v>-96.980468</x:v>
      </x:c>
      <x:c r="H1206" s="43" t="n">
        <x:f>E1206/SUMIF(A:A,A1206,E:E)</x:f>
        <x:v>0.0013658734283959189</x:v>
      </x:c>
    </x:row>
    <x:row r="1207" ht="21.600000381469727" hidden="0" customHeight="1">
      <x:c r="A1207" s="29" t="str">
        <x:v>SCA-18</x:v>
      </x:c>
      <x:c r="B1207" s="29" t="str">
        <x:v>19079</x:v>
      </x:c>
      <x:c r="C1207" s="29" t="str">
        <x:v>IA</x:v>
      </x:c>
      <x:c r="D1207" s="29" t="str">
        <x:v>Hamilton County</x:v>
      </x:c>
      <x:c r="E1207" s="41" t="n">
        <x:v>14944</x:v>
      </x:c>
      <x:c r="F1207" s="56" t="n">
        <x:v>42.390789</x:v>
      </x:c>
      <x:c r="G1207" s="56" t="n">
        <x:v>-93.70913</x:v>
      </x:c>
      <x:c r="H1207" s="44" t="n">
        <x:f>E1207/SUMIF(A:A,A1207,E:E)</x:f>
        <x:v>0.0013579677010144774</x:v>
      </x:c>
    </x:row>
    <x:row r="1208" ht="15" hidden="0" customHeight="1">
      <x:c r="A1208" s="27" t="str">
        <x:v>SCA-18</x:v>
      </x:c>
      <x:c r="B1208" s="27" t="str">
        <x:v>19067</x:v>
      </x:c>
      <x:c r="C1208" s="27" t="str">
        <x:v>IA</x:v>
      </x:c>
      <x:c r="D1208" s="27" t="str">
        <x:v>Floyd County</x:v>
      </x:c>
      <x:c r="E1208" s="40" t="n">
        <x:v>14901</x:v>
      </x:c>
      <x:c r="F1208" s="55" t="n">
        <x:v>43.052741</x:v>
      </x:c>
      <x:c r="G1208" s="55" t="n">
        <x:v>-92.787367</x:v>
      </x:c>
      <x:c r="H1208" s="43" t="n">
        <x:f>E1208/SUMIF(A:A,A1208,E:E)</x:f>
        <x:v>0.0013540602725385926</x:v>
      </x:c>
    </x:row>
    <x:row r="1209" ht="21.600000381469727" hidden="0" customHeight="1">
      <x:c r="A1209" s="29" t="str">
        <x:v>SCA-18</x:v>
      </x:c>
      <x:c r="B1209" s="29" t="str">
        <x:v>19085</x:v>
      </x:c>
      <x:c r="C1209" s="29" t="str">
        <x:v>IA</x:v>
      </x:c>
      <x:c r="D1209" s="29" t="str">
        <x:v>Harrison County</x:v>
      </x:c>
      <x:c r="E1209" s="41" t="n">
        <x:v>14623</x:v>
      </x:c>
      <x:c r="F1209" s="56" t="n">
        <x:v>41.688584</x:v>
      </x:c>
      <x:c r="G1209" s="56" t="n">
        <x:v>-95.827149</x:v>
      </x:c>
      <x:c r="H1209" s="44" t="n">
        <x:f>E1209/SUMIF(A:A,A1209,E:E)</x:f>
        <x:v>0.001328798293089849</x:v>
      </x:c>
    </x:row>
    <x:row r="1210" ht="21.600000381469727" hidden="0" customHeight="1">
      <x:c r="A1210" s="27" t="str">
        <x:v>SCA-18</x:v>
      </x:c>
      <x:c r="B1210" s="27" t="str">
        <x:v>27159</x:v>
      </x:c>
      <x:c r="C1210" s="27" t="str">
        <x:v>MN</x:v>
      </x:c>
      <x:c r="D1210" s="27" t="str">
        <x:v>Wadena County</x:v>
      </x:c>
      <x:c r="E1210" s="40" t="n">
        <x:v>14388</x:v>
      </x:c>
      <x:c r="F1210" s="55" t="n">
        <x:v>46.586985</x:v>
      </x:c>
      <x:c r="G1210" s="55" t="n">
        <x:v>-94.988608</x:v>
      </x:c>
      <x:c r="H1210" s="43" t="n">
        <x:f>E1210/SUMIF(A:A,A1210,E:E)</x:f>
        <x:v>0.0013074437421169902</x:v>
      </x:c>
    </x:row>
    <x:row r="1211" ht="21.600000381469727" hidden="0" customHeight="1">
      <x:c r="A1211" s="29" t="str">
        <x:v>SCA-18</x:v>
      </x:c>
      <x:c r="B1211" s="29" t="str">
        <x:v>27129</x:v>
      </x:c>
      <x:c r="C1211" s="29" t="str">
        <x:v>MN</x:v>
      </x:c>
      <x:c r="D1211" s="29" t="str">
        <x:v>Renville County</x:v>
      </x:c>
      <x:c r="E1211" s="41" t="n">
        <x:v>14356</x:v>
      </x:c>
      <x:c r="F1211" s="56" t="n">
        <x:v>44.723697</x:v>
      </x:c>
      <x:c r="G1211" s="56" t="n">
        <x:v>-94.955616</x:v>
      </x:c>
      <x:c r="H1211" s="44" t="n">
        <x:f>E1211/SUMIF(A:A,A1211,E:E)</x:f>
        <x:v>0.0013045358883674945</x:v>
      </x:c>
    </x:row>
    <x:row r="1212" ht="21.600000381469727" hidden="0" customHeight="1">
      <x:c r="A1212" s="27" t="str">
        <x:v>SCA-18</x:v>
      </x:c>
      <x:c r="B1212" s="27" t="str">
        <x:v>19109</x:v>
      </x:c>
      <x:c r="C1212" s="27" t="str">
        <x:v>IA</x:v>
      </x:c>
      <x:c r="D1212" s="27" t="str">
        <x:v>Kossuth County</x:v>
      </x:c>
      <x:c r="E1212" s="40" t="n">
        <x:v>14322</x:v>
      </x:c>
      <x:c r="F1212" s="55" t="n">
        <x:v>43.212336</x:v>
      </x:c>
      <x:c r="G1212" s="55" t="n">
        <x:v>-94.213971</x:v>
      </x:c>
      <x:c r="H1212" s="43" t="n">
        <x:f>E1212/SUMIF(A:A,A1212,E:E)</x:f>
        <x:v>0.0013014462937586554</x:v>
      </x:c>
    </x:row>
    <x:row r="1213" ht="21.600000381469727" hidden="0" customHeight="1">
      <x:c r="A1213" s="29" t="str">
        <x:v>SCA-18</x:v>
      </x:c>
      <x:c r="B1213" s="29" t="str">
        <x:v>26053</x:v>
      </x:c>
      <x:c r="C1213" s="29" t="str">
        <x:v>MI</x:v>
      </x:c>
      <x:c r="D1213" s="29" t="str">
        <x:v>Gogebic County</x:v>
      </x:c>
      <x:c r="E1213" s="41" t="n">
        <x:v>14285</x:v>
      </x:c>
      <x:c r="F1213" s="56" t="n">
        <x:v>46.488054</x:v>
      </x:c>
      <x:c r="G1213" s="56" t="n">
        <x:v>-89.788314</x:v>
      </x:c>
      <x:c r="H1213" s="44" t="n">
        <x:f>E1213/SUMIF(A:A,A1213,E:E)</x:f>
        <x:v>0.001298084087860801</x:v>
      </x:c>
    </x:row>
    <x:row r="1214" ht="21.600000381469727" hidden="0" customHeight="1">
      <x:c r="A1214" s="27" t="str">
        <x:v>SCA-18</x:v>
      </x:c>
      <x:c r="B1214" s="27" t="str">
        <x:v>19005</x:v>
      </x:c>
      <x:c r="C1214" s="27" t="str">
        <x:v>IA</x:v>
      </x:c>
      <x:c r="D1214" s="27" t="str">
        <x:v>Allamakee County</x:v>
      </x:c>
      <x:c r="E1214" s="40" t="n">
        <x:v>14238</x:v>
      </x:c>
      <x:c r="F1214" s="55" t="n">
        <x:v>43.274964</x:v>
      </x:c>
      <x:c r="G1214" s="55" t="n">
        <x:v>-91.382751</x:v>
      </x:c>
      <x:c r="H1214" s="43" t="n">
        <x:f>E1214/SUMIF(A:A,A1214,E:E)</x:f>
        <x:v>0.0012938131776662294</x:v>
      </x:c>
    </x:row>
    <x:row r="1215" ht="21.600000381469727" hidden="0" customHeight="1">
      <x:c r="A1215" s="29" t="str">
        <x:v>SCA-18</x:v>
      </x:c>
      <x:c r="B1215" s="29" t="str">
        <x:v>19141</x:v>
      </x:c>
      <x:c r="C1215" s="29" t="str">
        <x:v>IA</x:v>
      </x:c>
      <x:c r="D1215" s="29" t="str">
        <x:v>O'Brien County</x:v>
      </x:c>
      <x:c r="E1215" s="41" t="n">
        <x:v>14220</x:v>
      </x:c>
      <x:c r="F1215" s="56" t="n">
        <x:v>43.083746</x:v>
      </x:c>
      <x:c r="G1215" s="56" t="n">
        <x:v>-95.625624</x:v>
      </x:c>
      <x:c r="H1215" s="44" t="n">
        <x:f>E1215/SUMIF(A:A,A1215,E:E)</x:f>
        <x:v>0.001292177509932138</x:v>
      </x:c>
    </x:row>
    <x:row r="1216" ht="15" hidden="0" customHeight="1">
      <x:c r="A1216" s="27" t="str">
        <x:v>SCA-18</x:v>
      </x:c>
      <x:c r="B1216" s="27" t="str">
        <x:v>55107</x:v>
      </x:c>
      <x:c r="C1216" s="27" t="str">
        <x:v>WI</x:v>
      </x:c>
      <x:c r="D1216" s="27" t="str">
        <x:v>Rusk County</x:v>
      </x:c>
      <x:c r="E1216" s="40" t="n">
        <x:v>14146</x:v>
      </x:c>
      <x:c r="F1216" s="55" t="n">
        <x:v>45.472734</x:v>
      </x:c>
      <x:c r="G1216" s="55" t="n">
        <x:v>-91.136744</x:v>
      </x:c>
      <x:c r="H1216" s="43" t="n">
        <x:f>E1216/SUMIF(A:A,A1216,E:E)</x:f>
        <x:v>0.0012854530981364293</x:v>
      </x:c>
    </x:row>
    <x:row r="1217" ht="21.600000381469727" hidden="0" customHeight="1">
      <x:c r="A1217" s="29" t="str">
        <x:v>SCA-18</x:v>
      </x:c>
      <x:c r="B1217" s="29" t="str">
        <x:v>19023</x:v>
      </x:c>
      <x:c r="C1217" s="29" t="str">
        <x:v>IA</x:v>
      </x:c>
      <x:c r="D1217" s="29" t="str">
        <x:v>Butler County</x:v>
      </x:c>
      <x:c r="E1217" s="41" t="n">
        <x:v>14049</x:v>
      </x:c>
      <x:c r="F1217" s="56" t="n">
        <x:v>42.734757</x:v>
      </x:c>
      <x:c r="G1217" s="56" t="n">
        <x:v>-92.780153</x:v>
      </x:c>
      <x:c r="H1217" s="44" t="n">
        <x:f>E1217/SUMIF(A:A,A1217,E:E)</x:f>
        <x:v>0.0012766386664582704</x:v>
      </x:c>
    </x:row>
    <x:row r="1218" ht="15" hidden="0" customHeight="1">
      <x:c r="A1218" s="27" t="str">
        <x:v>SCA-18</x:v>
      </x:c>
      <x:c r="B1218" s="27" t="str">
        <x:v>55099</x:v>
      </x:c>
      <x:c r="C1218" s="27" t="str">
        <x:v>WI</x:v>
      </x:c>
      <x:c r="D1218" s="27" t="str">
        <x:v>Price County</x:v>
      </x:c>
      <x:c r="E1218" s="40" t="n">
        <x:v>13988</x:v>
      </x:c>
      <x:c r="F1218" s="55" t="n">
        <x:v>45.679072</x:v>
      </x:c>
      <x:c r="G1218" s="55" t="n">
        <x:v>-90.35965</x:v>
      </x:c>
      <x:c r="H1218" s="43" t="n">
        <x:f>E1218/SUMIF(A:A,A1218,E:E)</x:f>
        <x:v>0.0012710955702482944</x:v>
      </x:c>
    </x:row>
    <x:row r="1219" ht="21.600000381469727" hidden="0" customHeight="1">
      <x:c r="A1219" s="29" t="str">
        <x:v>SCA-18</x:v>
      </x:c>
      <x:c r="B1219" s="29" t="str">
        <x:v>27043</x:v>
      </x:c>
      <x:c r="C1219" s="29" t="str">
        <x:v>MN</x:v>
      </x:c>
      <x:c r="D1219" s="29" t="str">
        <x:v>Faribault County</x:v>
      </x:c>
      <x:c r="E1219" s="41" t="n">
        <x:v>13888</x:v>
      </x:c>
      <x:c r="F1219" s="56" t="n">
        <x:v>43.676522</x:v>
      </x:c>
      <x:c r="G1219" s="56" t="n">
        <x:v>-93.947234</x:v>
      </x:c>
      <x:c r="H1219" s="44" t="n">
        <x:f>E1219/SUMIF(A:A,A1219,E:E)</x:f>
        <x:v>0.0012620085272811205</x:v>
      </x:c>
    </x:row>
    <x:row r="1220" ht="21.600000381469727" hidden="0" customHeight="1">
      <x:c r="A1220" s="27" t="str">
        <x:v>SCA-18</x:v>
      </x:c>
      <x:c r="B1220" s="27" t="str">
        <x:v>27113</x:v>
      </x:c>
      <x:c r="C1220" s="27" t="str">
        <x:v>MN</x:v>
      </x:c>
      <x:c r="D1220" s="27" t="str">
        <x:v>Pennington County</x:v>
      </x:c>
      <x:c r="E1220" s="40" t="n">
        <x:v>13686</x:v>
      </x:c>
      <x:c r="F1220" s="55" t="n">
        <x:v>48.069247</x:v>
      </x:c>
      <x:c r="G1220" s="55" t="n">
        <x:v>-96.037725</x:v>
      </x:c>
      <x:c r="H1220" s="43" t="n">
        <x:f>E1220/SUMIF(A:A,A1220,E:E)</x:f>
        <x:v>0.001243652700487429</x:v>
      </x:c>
    </x:row>
    <x:row r="1221" ht="21.600000381469727" hidden="0" customHeight="1">
      <x:c r="A1221" s="29" t="str">
        <x:v>SCA-18</x:v>
      </x:c>
      <x:c r="B1221" s="29" t="str">
        <x:v>55011</x:v>
      </x:c>
      <x:c r="C1221" s="29" t="str">
        <x:v>WI</x:v>
      </x:c>
      <x:c r="D1221" s="29" t="str">
        <x:v>Buffalo County</x:v>
      </x:c>
      <x:c r="E1221" s="41" t="n">
        <x:v>13318</x:v>
      </x:c>
      <x:c r="F1221" s="56" t="n">
        <x:v>44.385633</x:v>
      </x:c>
      <x:c r="G1221" s="56" t="n">
        <x:v>-91.761294</x:v>
      </x:c>
      <x:c r="H1221" s="44" t="n">
        <x:f>E1221/SUMIF(A:A,A1221,E:E)</x:f>
        <x:v>0.0012102123823682289</x:v>
      </x:c>
    </x:row>
    <x:row r="1222" ht="15" hidden="0" customHeight="1">
      <x:c r="A1222" s="27" t="str">
        <x:v>SCA-18</x:v>
      </x:c>
      <x:c r="B1222" s="27" t="str">
        <x:v>19029</x:v>
      </x:c>
      <x:c r="C1222" s="27" t="str">
        <x:v>IA</x:v>
      </x:c>
      <x:c r="D1222" s="27" t="str">
        <x:v>Cass County</x:v>
      </x:c>
      <x:c r="E1222" s="40" t="n">
        <x:v>12960</x:v>
      </x:c>
      <x:c r="F1222" s="55" t="n">
        <x:v>41.333823</x:v>
      </x:c>
      <x:c r="G1222" s="55" t="n">
        <x:v>-94.933301</x:v>
      </x:c>
      <x:c r="H1222" s="43" t="n">
        <x:f>E1222/SUMIF(A:A,A1222,E:E)</x:f>
        <x:v>0.0011776807685457459</x:v>
      </x:c>
    </x:row>
    <x:row r="1223" ht="21.600000381469727" hidden="0" customHeight="1">
      <x:c r="A1223" s="29" t="str">
        <x:v>SCA-18</x:v>
      </x:c>
      <x:c r="B1223" s="29" t="str">
        <x:v>19197</x:v>
      </x:c>
      <x:c r="C1223" s="29" t="str">
        <x:v>IA</x:v>
      </x:c>
      <x:c r="D1223" s="29" t="str">
        <x:v>Wright County</x:v>
      </x:c>
      <x:c r="E1223" s="41" t="n">
        <x:v>12801</x:v>
      </x:c>
      <x:c r="F1223" s="56" t="n">
        <x:v>42.733007</x:v>
      </x:c>
      <x:c r="G1223" s="56" t="n">
        <x:v>-93.734735</x:v>
      </x:c>
      <x:c r="H1223" s="44" t="n">
        <x:f>E1223/SUMIF(A:A,A1223,E:E)</x:f>
        <x:v>0.0011632323702279394</x:v>
      </x:c>
    </x:row>
    <x:row r="1224" ht="21.600000381469727" hidden="0" customHeight="1">
      <x:c r="A1224" s="27" t="str">
        <x:v>SCA-18</x:v>
      </x:c>
      <x:c r="B1224" s="27" t="str">
        <x:v>27023</x:v>
      </x:c>
      <x:c r="C1224" s="27" t="str">
        <x:v>MN</x:v>
      </x:c>
      <x:c r="D1224" s="27" t="str">
        <x:v>Chippewa County</x:v>
      </x:c>
      <x:c r="E1224" s="40" t="n">
        <x:v>12406</x:v>
      </x:c>
      <x:c r="F1224" s="55" t="n">
        <x:v>45.028626</x:v>
      </x:c>
      <x:c r="G1224" s="55" t="n">
        <x:v>-95.564108</x:v>
      </x:c>
      <x:c r="H1224" s="43" t="n">
        <x:f>E1224/SUMIF(A:A,A1224,E:E)</x:f>
        <x:v>0.0011273385505076023</x:v>
      </x:c>
    </x:row>
    <x:row r="1225" ht="21.600000381469727" hidden="0" customHeight="1">
      <x:c r="A1225" s="29" t="str">
        <x:v>SCA-18</x:v>
      </x:c>
      <x:c r="B1225" s="29" t="str">
        <x:v>19075</x:v>
      </x:c>
      <x:c r="C1225" s="29" t="str">
        <x:v>IA</x:v>
      </x:c>
      <x:c r="D1225" s="29" t="str">
        <x:v>Grundy County</x:v>
      </x:c>
      <x:c r="E1225" s="41" t="n">
        <x:v>12361</x:v>
      </x:c>
      <x:c r="F1225" s="56" t="n">
        <x:v>42.403339</x:v>
      </x:c>
      <x:c r="G1225" s="56" t="n">
        <x:v>-92.790244</x:v>
      </x:c>
      <x:c r="H1225" s="44" t="n">
        <x:f>E1225/SUMIF(A:A,A1225,E:E)</x:f>
        <x:v>0.001123249381172374</x:v>
      </x:c>
    </x:row>
    <x:row r="1226" ht="15" hidden="0" customHeight="1">
      <x:c r="A1226" s="27" t="str">
        <x:v>SCA-18</x:v>
      </x:c>
      <x:c r="B1226" s="27" t="str">
        <x:v>19119</x:v>
      </x:c>
      <x:c r="C1226" s="27" t="str">
        <x:v>IA</x:v>
      </x:c>
      <x:c r="D1226" s="27" t="str">
        <x:v>Lyon County</x:v>
      </x:c>
      <x:c r="E1226" s="40" t="n">
        <x:v>12354</x:v>
      </x:c>
      <x:c r="F1226" s="55" t="n">
        <x:v>43.38358</x:v>
      </x:c>
      <x:c r="G1226" s="55" t="n">
        <x:v>-96.207201</x:v>
      </x:c>
      <x:c r="H1226" s="43" t="n">
        <x:f>E1226/SUMIF(A:A,A1226,E:E)</x:f>
        <x:v>0.0011226132881646718</x:v>
      </x:c>
    </x:row>
    <x:row r="1227" ht="15" hidden="0" customHeight="1">
      <x:c r="A1227" s="29" t="str">
        <x:v>SCA-18</x:v>
      </x:c>
      <x:c r="B1227" s="29" t="str">
        <x:v>26071</x:v>
      </x:c>
      <x:c r="C1227" s="29" t="str">
        <x:v>MI</x:v>
      </x:c>
      <x:c r="D1227" s="29" t="str">
        <x:v>Iron County</x:v>
      </x:c>
      <x:c r="E1227" s="41" t="n">
        <x:v>11757</x:v>
      </x:c>
      <x:c r="F1227" s="56" t="n">
        <x:v>46.170254</x:v>
      </x:c>
      <x:c r="G1227" s="56" t="n">
        <x:v>-88.540526</x:v>
      </x:c>
      <x:c r="H1227" s="44" t="n">
        <x:f>E1227/SUMIF(A:A,A1227,E:E)</x:f>
        <x:v>0.0010683636416506431</x:v>
      </x:c>
    </x:row>
    <x:row r="1228" ht="21.600000381469727" hidden="0" customHeight="1">
      <x:c r="A1228" s="27" t="str">
        <x:v>SCA-18</x:v>
      </x:c>
      <x:c r="B1228" s="27" t="str">
        <x:v>19165</x:v>
      </x:c>
      <x:c r="C1228" s="27" t="str">
        <x:v>IA</x:v>
      </x:c>
      <x:c r="D1228" s="27" t="str">
        <x:v>Shelby County</x:v>
      </x:c>
      <x:c r="E1228" s="40" t="n">
        <x:v>11689</x:v>
      </x:c>
      <x:c r="F1228" s="55" t="n">
        <x:v>41.679014</x:v>
      </x:c>
      <x:c r="G1228" s="55" t="n">
        <x:v>-95.308917</x:v>
      </x:c>
      <x:c r="H1228" s="43" t="n">
        <x:f>E1228/SUMIF(A:A,A1228,E:E)</x:f>
        <x:v>0.0010621844524329649</x:v>
      </x:c>
    </x:row>
    <x:row r="1229" ht="21.600000381469727" hidden="0" customHeight="1">
      <x:c r="A1229" s="29" t="str">
        <x:v>SCA-18</x:v>
      </x:c>
      <x:c r="B1229" s="29" t="str">
        <x:v>38079</x:v>
      </x:c>
      <x:c r="C1229" s="29" t="str">
        <x:v>ND</x:v>
      </x:c>
      <x:c r="D1229" s="29" t="str">
        <x:v>Rolette County</x:v>
      </x:c>
      <x:c r="E1229" s="41" t="n">
        <x:v>11688</x:v>
      </x:c>
      <x:c r="F1229" s="56" t="n">
        <x:v>48.768271</x:v>
      </x:c>
      <x:c r="G1229" s="56" t="n">
        <x:v>-99.840463</x:v>
      </x:c>
      <x:c r="H1229" s="44" t="n">
        <x:f>E1229/SUMIF(A:A,A1229,E:E)</x:f>
        <x:v>0.001062093582003293</x:v>
      </x:c>
    </x:row>
    <x:row r="1230" ht="21.600000381469727" hidden="0" customHeight="1">
      <x:c r="A1230" s="27" t="str">
        <x:v>SCA-18</x:v>
      </x:c>
      <x:c r="B1230" s="27" t="str">
        <x:v>19037</x:v>
      </x:c>
      <x:c r="C1230" s="27" t="str">
        <x:v>IA</x:v>
      </x:c>
      <x:c r="D1230" s="27" t="str">
        <x:v>Chickasaw County</x:v>
      </x:c>
      <x:c r="E1230" s="40" t="n">
        <x:v>11663</x:v>
      </x:c>
      <x:c r="F1230" s="55" t="n">
        <x:v>43.059741</x:v>
      </x:c>
      <x:c r="G1230" s="55" t="n">
        <x:v>-92.31721</x:v>
      </x:c>
      <x:c r="H1230" s="43" t="n">
        <x:f>E1230/SUMIF(A:A,A1230,E:E)</x:f>
        <x:v>0.0010598218212614996</x:v>
      </x:c>
    </x:row>
    <x:row r="1231" ht="21.600000381469727" hidden="0" customHeight="1">
      <x:c r="A1231" s="29" t="str">
        <x:v>SCA-18</x:v>
      </x:c>
      <x:c r="B1231" s="29" t="str">
        <x:v>27071</x:v>
      </x:c>
      <x:c r="C1231" s="29" t="str">
        <x:v>MN</x:v>
      </x:c>
      <x:c r="D1231" s="29" t="str">
        <x:v>Koochiching County</x:v>
      </x:c>
      <x:c r="E1231" s="41" t="n">
        <x:v>11587</x:v>
      </x:c>
      <x:c r="F1231" s="56" t="n">
        <x:v>48.245374</x:v>
      </x:c>
      <x:c r="G1231" s="56" t="n">
        <x:v>-93.782896</x:v>
      </x:c>
      <x:c r="H1231" s="44" t="n">
        <x:f>E1231/SUMIF(A:A,A1231,E:E)</x:f>
        <x:v>0.0010529156686064475</x:v>
      </x:c>
    </x:row>
    <x:row r="1232" ht="21.600000381469727" hidden="0" customHeight="1">
      <x:c r="A1232" s="27" t="str">
        <x:v>SCA-18</x:v>
      </x:c>
      <x:c r="B1232" s="27" t="str">
        <x:v>38071</x:v>
      </x:c>
      <x:c r="C1232" s="27" t="str">
        <x:v>ND</x:v>
      </x:c>
      <x:c r="D1232" s="27" t="str">
        <x:v>Ramsey County</x:v>
      </x:c>
      <x:c r="E1232" s="40" t="n">
        <x:v>11530</x:v>
      </x:c>
      <x:c r="F1232" s="55" t="n">
        <x:v>48.266163</x:v>
      </x:c>
      <x:c r="G1232" s="55" t="n">
        <x:v>-98.739031</x:v>
      </x:c>
      <x:c r="H1232" s="43" t="n">
        <x:f>E1232/SUMIF(A:A,A1232,E:E)</x:f>
        <x:v>0.0010477360541151584</x:v>
      </x:c>
    </x:row>
    <x:row r="1233" ht="21.600000381469727" hidden="0" customHeight="1">
      <x:c r="A1233" s="29" t="str">
        <x:v>SCA-18</x:v>
      </x:c>
      <x:c r="B1233" s="29" t="str">
        <x:v>27165</x:v>
      </x:c>
      <x:c r="C1233" s="29" t="str">
        <x:v>MN</x:v>
      </x:c>
      <x:c r="D1233" s="29" t="str">
        <x:v>Watonwan County</x:v>
      </x:c>
      <x:c r="E1233" s="41" t="n">
        <x:v>11459</x:v>
      </x:c>
      <x:c r="F1233" s="56" t="n">
        <x:v>43.978109</x:v>
      </x:c>
      <x:c r="G1233" s="56" t="n">
        <x:v>-94.613798</x:v>
      </x:c>
      <x:c r="H1233" s="44" t="n">
        <x:f>E1233/SUMIF(A:A,A1233,E:E)</x:f>
        <x:v>0.0010412842536084647</x:v>
      </x:c>
    </x:row>
    <x:row r="1234" ht="15" hidden="0" customHeight="1">
      <x:c r="A1234" s="27" t="str">
        <x:v>SCA-18</x:v>
      </x:c>
      <x:c r="B1234" s="27" t="str">
        <x:v>27121</x:v>
      </x:c>
      <x:c r="C1234" s="27" t="str">
        <x:v>MN</x:v>
      </x:c>
      <x:c r="D1234" s="27" t="str">
        <x:v>Pope County</x:v>
      </x:c>
      <x:c r="E1234" s="40" t="n">
        <x:v>11420</x:v>
      </x:c>
      <x:c r="F1234" s="55" t="n">
        <x:v>45.589623</x:v>
      </x:c>
      <x:c r="G1234" s="55" t="n">
        <x:v>-95.446705</x:v>
      </x:c>
      <x:c r="H1234" s="43" t="n">
        <x:f>E1234/SUMIF(A:A,A1234,E:E)</x:f>
        <x:v>0.001037740306851267</x:v>
      </x:c>
    </x:row>
    <x:row r="1235" ht="21.600000381469727" hidden="0" customHeight="1">
      <x:c r="A1235" s="29" t="str">
        <x:v>SCA-18</x:v>
      </x:c>
      <x:c r="B1235" s="29" t="str">
        <x:v>27033</x:v>
      </x:c>
      <x:c r="C1235" s="29" t="str">
        <x:v>MN</x:v>
      </x:c>
      <x:c r="D1235" s="29" t="str">
        <x:v>Cottonwood County</x:v>
      </x:c>
      <x:c r="E1235" s="41" t="n">
        <x:v>11405</x:v>
      </x:c>
      <x:c r="F1235" s="56" t="n">
        <x:v>44.010639</x:v>
      </x:c>
      <x:c r="G1235" s="56" t="n">
        <x:v>-95.183152</x:v>
      </x:c>
      <x:c r="H1235" s="44" t="n">
        <x:f>E1235/SUMIF(A:A,A1235,E:E)</x:f>
        <x:v>0.0010363772504061908</x:v>
      </x:c>
    </x:row>
    <x:row r="1236" ht="21.600000381469727" hidden="0" customHeight="1">
      <x:c r="A1236" s="27" t="str">
        <x:v>SCA-18</x:v>
      </x:c>
      <x:c r="B1236" s="27" t="str">
        <x:v>30083</x:v>
      </x:c>
      <x:c r="C1236" s="27" t="str">
        <x:v>MT</x:v>
      </x:c>
      <x:c r="D1236" s="27" t="str">
        <x:v>Richland County</x:v>
      </x:c>
      <x:c r="E1236" s="40" t="n">
        <x:v>11377</x:v>
      </x:c>
      <x:c r="F1236" s="55" t="n">
        <x:v>47.785633</x:v>
      </x:c>
      <x:c r="G1236" s="55" t="n">
        <x:v>-104.563408</x:v>
      </x:c>
      <x:c r="H1236" s="43" t="n">
        <x:f>E1236/SUMIF(A:A,A1236,E:E)</x:f>
        <x:v>0.0010338328783753821</x:v>
      </x:c>
    </x:row>
    <x:row r="1237" ht="21.600000381469727" hidden="0" customHeight="1">
      <x:c r="A1237" s="29" t="str">
        <x:v>SCA-18</x:v>
      </x:c>
      <x:c r="B1237" s="29" t="str">
        <x:v>19035</x:v>
      </x:c>
      <x:c r="C1237" s="29" t="str">
        <x:v>IA</x:v>
      </x:c>
      <x:c r="D1237" s="29" t="str">
        <x:v>Cherokee County</x:v>
      </x:c>
      <x:c r="E1237" s="41" t="n">
        <x:v>11369</x:v>
      </x:c>
      <x:c r="F1237" s="56" t="n">
        <x:v>42.742737</x:v>
      </x:c>
      <x:c r="G1237" s="56" t="n">
        <x:v>-95.633262</x:v>
      </x:c>
      <x:c r="H1237" s="44" t="n">
        <x:f>E1237/SUMIF(A:A,A1237,E:E)</x:f>
        <x:v>0.0010331059149380083</x:v>
      </x:c>
    </x:row>
    <x:row r="1238" ht="15" hidden="0" customHeight="1">
      <x:c r="A1238" s="27" t="str">
        <x:v>SCA-18</x:v>
      </x:c>
      <x:c r="B1238" s="27" t="str">
        <x:v>46079</x:v>
      </x:c>
      <x:c r="C1238" s="27" t="str">
        <x:v>SD</x:v>
      </x:c>
      <x:c r="D1238" s="27" t="str">
        <x:v>Lake County</x:v>
      </x:c>
      <x:c r="E1238" s="40" t="n">
        <x:v>10993</x:v>
      </x:c>
      <x:c r="F1238" s="55" t="n">
        <x:v>44.02845</x:v>
      </x:c>
      <x:c r="G1238" s="55" t="n">
        <x:v>-97.123223</x:v>
      </x:c>
      <x:c r="H1238" s="43" t="n">
        <x:f>E1238/SUMIF(A:A,A1238,E:E)</x:f>
        <x:v>0.000998938633381434</x:v>
      </x:c>
    </x:row>
    <x:row r="1239" ht="21.600000381469727" hidden="0" customHeight="1">
      <x:c r="A1239" s="29" t="str">
        <x:v>SCA-18</x:v>
      </x:c>
      <x:c r="B1239" s="29" t="str">
        <x:v>19077</x:v>
      </x:c>
      <x:c r="C1239" s="29" t="str">
        <x:v>IA</x:v>
      </x:c>
      <x:c r="D1239" s="29" t="str">
        <x:v>Guthrie County</x:v>
      </x:c>
      <x:c r="E1239" s="41" t="n">
        <x:v>10782</x:v>
      </x:c>
      <x:c r="F1239" s="56" t="n">
        <x:v>41.683573</x:v>
      </x:c>
      <x:c r="G1239" s="56" t="n">
        <x:v>-94.501272</x:v>
      </x:c>
      <x:c r="H1239" s="44" t="n">
        <x:f>E1239/SUMIF(A:A,A1239,E:E)</x:f>
        <x:v>0.0009797649727206971</x:v>
      </x:c>
    </x:row>
    <x:row r="1240" ht="15" hidden="0" customHeight="1">
      <x:c r="A1240" s="27" t="str">
        <x:v>SCA-18</x:v>
      </x:c>
      <x:c r="B1240" s="27" t="str">
        <x:v>27075</x:v>
      </x:c>
      <x:c r="C1240" s="27" t="str">
        <x:v>MN</x:v>
      </x:c>
      <x:c r="D1240" s="27" t="str">
        <x:v>Lake County</x:v>
      </x:c>
      <x:c r="E1240" s="40" t="n">
        <x:v>10746</x:v>
      </x:c>
      <x:c r="F1240" s="55" t="n">
        <x:v>47.517111</x:v>
      </x:c>
      <x:c r="G1240" s="55" t="n">
        <x:v>-91.411704</x:v>
      </x:c>
      <x:c r="H1240" s="43" t="n">
        <x:f>E1240/SUMIF(A:A,A1240,E:E)</x:f>
        <x:v>0.0009764936372525144</x:v>
      </x:c>
    </x:row>
    <x:row r="1241" ht="21.600000381469727" hidden="0" customHeight="1">
      <x:c r="A1241" s="29" t="str">
        <x:v>SCA-18</x:v>
      </x:c>
      <x:c r="B1241" s="29" t="str">
        <x:v>19131</x:v>
      </x:c>
      <x:c r="C1241" s="29" t="str">
        <x:v>IA</x:v>
      </x:c>
      <x:c r="D1241" s="29" t="str">
        <x:v>Mitchell County</x:v>
      </x:c>
      <x:c r="E1241" s="41" t="n">
        <x:v>10650</x:v>
      </x:c>
      <x:c r="F1241" s="56" t="n">
        <x:v>43.348564</x:v>
      </x:c>
      <x:c r="G1241" s="56" t="n">
        <x:v>-92.784466</x:v>
      </x:c>
      <x:c r="H1241" s="44" t="n">
        <x:f>E1241/SUMIF(A:A,A1241,E:E)</x:f>
        <x:v>0.0009677700760040274</x:v>
      </x:c>
    </x:row>
    <x:row r="1242" ht="21.600000381469727" hidden="0" customHeight="1">
      <x:c r="A1242" s="27" t="str">
        <x:v>SCA-18</x:v>
      </x:c>
      <x:c r="B1242" s="27" t="str">
        <x:v>38003</x:v>
      </x:c>
      <x:c r="C1242" s="27" t="str">
        <x:v>ND</x:v>
      </x:c>
      <x:c r="D1242" s="27" t="str">
        <x:v>Barnes County</x:v>
      </x:c>
      <x:c r="E1242" s="40" t="n">
        <x:v>10573</x:v>
      </x:c>
      <x:c r="F1242" s="55" t="n">
        <x:v>46.94255</x:v>
      </x:c>
      <x:c r="G1242" s="55" t="n">
        <x:v>-98.070195</x:v>
      </x:c>
      <x:c r="H1242" s="43" t="n">
        <x:f>E1242/SUMIF(A:A,A1242,E:E)</x:f>
        <x:v>0.0009607730529193034</x:v>
      </x:c>
    </x:row>
    <x:row r="1243" ht="21.600000381469727" hidden="0" customHeight="1">
      <x:c r="A1243" s="29" t="str">
        <x:v>SCA-18</x:v>
      </x:c>
      <x:c r="B1243" s="29" t="str">
        <x:v>19081</x:v>
      </x:c>
      <x:c r="C1243" s="29" t="str">
        <x:v>IA</x:v>
      </x:c>
      <x:c r="D1243" s="29" t="str">
        <x:v>Hancock County</x:v>
      </x:c>
      <x:c r="E1243" s="41" t="n">
        <x:v>10528</x:v>
      </x:c>
      <x:c r="F1243" s="56" t="n">
        <x:v>43.075411</x:v>
      </x:c>
      <x:c r="G1243" s="56" t="n">
        <x:v>-93.743697</x:v>
      </x:c>
      <x:c r="H1243" s="44" t="n">
        <x:f>E1243/SUMIF(A:A,A1243,E:E)</x:f>
        <x:v>0.0009566838835840751</x:v>
      </x:c>
    </x:row>
    <x:row r="1244" ht="21.600000381469727" hidden="0" customHeight="1">
      <x:c r="A1244" s="27" t="str">
        <x:v>SCA-18</x:v>
      </x:c>
      <x:c r="B1244" s="27" t="str">
        <x:v>46109</x:v>
      </x:c>
      <x:c r="C1244" s="27" t="str">
        <x:v>SD</x:v>
      </x:c>
      <x:c r="D1244" s="27" t="str">
        <x:v>Roberts County</x:v>
      </x:c>
      <x:c r="E1244" s="40" t="n">
        <x:v>10255</x:v>
      </x:c>
      <x:c r="F1244" s="55" t="n">
        <x:v>45.623397</x:v>
      </x:c>
      <x:c r="G1244" s="55" t="n">
        <x:v>-96.947551</x:v>
      </x:c>
      <x:c r="H1244" s="43" t="n">
        <x:f>E1244/SUMIF(A:A,A1244,E:E)</x:f>
        <x:v>0.0009318762562836902</x:v>
      </x:c>
    </x:row>
    <x:row r="1245" ht="21.600000381469727" hidden="0" customHeight="1">
      <x:c r="A1245" s="29" t="str">
        <x:v>SCA-18</x:v>
      </x:c>
      <x:c r="B1245" s="29" t="str">
        <x:v>19189</x:v>
      </x:c>
      <x:c r="C1245" s="29" t="str">
        <x:v>IA</x:v>
      </x:c>
      <x:c r="D1245" s="29" t="str">
        <x:v>Winnebago County</x:v>
      </x:c>
      <x:c r="E1245" s="41" t="n">
        <x:v>10251</x:v>
      </x:c>
      <x:c r="F1245" s="56" t="n">
        <x:v>43.378124</x:v>
      </x:c>
      <x:c r="G1245" s="56" t="n">
        <x:v>-93.743488</x:v>
      </x:c>
      <x:c r="H1245" s="44" t="n">
        <x:f>E1245/SUMIF(A:A,A1245,E:E)</x:f>
        <x:v>0.0009315127745650033</x:v>
      </x:c>
    </x:row>
    <x:row r="1246" ht="21.600000381469727" hidden="0" customHeight="1">
      <x:c r="A1246" s="27" t="str">
        <x:v>SCA-18</x:v>
      </x:c>
      <x:c r="B1246" s="27" t="str">
        <x:v>30085</x:v>
      </x:c>
      <x:c r="C1246" s="27" t="str">
        <x:v>MT</x:v>
      </x:c>
      <x:c r="D1246" s="27" t="str">
        <x:v>Roosevelt County</x:v>
      </x:c>
      <x:c r="E1246" s="40" t="n">
        <x:v>10242</x:v>
      </x:c>
      <x:c r="F1246" s="55" t="n">
        <x:v>48.282747</x:v>
      </x:c>
      <x:c r="G1246" s="55" t="n">
        <x:v>-104.99517</x:v>
      </x:c>
      <x:c r="H1246" s="43" t="n">
        <x:f>E1246/SUMIF(A:A,A1246,E:E)</x:f>
        <x:v>0.0009306949406979576</x:v>
      </x:c>
    </x:row>
    <x:row r="1247" ht="21.600000381469727" hidden="0" customHeight="1">
      <x:c r="A1247" s="29" t="str">
        <x:v>SCA-18</x:v>
      </x:c>
      <x:c r="B1247" s="29" t="str">
        <x:v>38099</x:v>
      </x:c>
      <x:c r="C1247" s="29" t="str">
        <x:v>ND</x:v>
      </x:c>
      <x:c r="D1247" s="29" t="str">
        <x:v>Walsh County</x:v>
      </x:c>
      <x:c r="E1247" s="41" t="n">
        <x:v>10179</x:v>
      </x:c>
      <x:c r="F1247" s="56" t="n">
        <x:v>48.376979</x:v>
      </x:c>
      <x:c r="G1247" s="56" t="n">
        <x:v>-97.72223</x:v>
      </x:c>
      <x:c r="H1247" s="44" t="n">
        <x:f>E1247/SUMIF(A:A,A1247,E:E)</x:f>
        <x:v>0.000924970103628638</x:v>
      </x:c>
    </x:row>
    <x:row r="1248" ht="15" hidden="0" customHeight="1">
      <x:c r="A1248" s="27" t="str">
        <x:v>SCA-18</x:v>
      </x:c>
      <x:c r="B1248" s="27" t="str">
        <x:v>31089</x:v>
      </x:c>
      <x:c r="C1248" s="27" t="str">
        <x:v>NE</x:v>
      </x:c>
      <x:c r="D1248" s="27" t="str">
        <x:v>Holt County</x:v>
      </x:c>
      <x:c r="E1248" s="40" t="n">
        <x:v>10067</x:v>
      </x:c>
      <x:c r="F1248" s="55" t="n">
        <x:v>42.459287</x:v>
      </x:c>
      <x:c r="G1248" s="55" t="n">
        <x:v>-98.784766</x:v>
      </x:c>
      <x:c r="H1248" s="43" t="n">
        <x:f>E1248/SUMIF(A:A,A1248,E:E)</x:f>
        <x:v>0.0009147926155054031</x:v>
      </x:c>
    </x:row>
    <x:row r="1249" ht="21.600000381469727" hidden="0" customHeight="1">
      <x:c r="A1249" s="29" t="str">
        <x:v>SCA-18</x:v>
      </x:c>
      <x:c r="B1249" s="29" t="str">
        <x:v>31179</x:v>
      </x:c>
      <x:c r="C1249" s="29" t="str">
        <x:v>NE</x:v>
      </x:c>
      <x:c r="D1249" s="29" t="str">
        <x:v>Wayne County</x:v>
      </x:c>
      <x:c r="E1249" s="41" t="n">
        <x:v>10020</x:v>
      </x:c>
      <x:c r="F1249" s="56" t="n">
        <x:v>42.210746</x:v>
      </x:c>
      <x:c r="G1249" s="56" t="n">
        <x:v>-97.126243</x:v>
      </x:c>
      <x:c r="H1249" s="44" t="n">
        <x:f>E1249/SUMIF(A:A,A1249,E:E)</x:f>
        <x:v>0.0009105217053108314</x:v>
      </x:c>
    </x:row>
    <x:row r="1250" ht="21.600000381469727" hidden="0" customHeight="1">
      <x:c r="A1250" s="27" t="str">
        <x:v>SCA-18</x:v>
      </x:c>
      <x:c r="B1250" s="27" t="str">
        <x:v>19069</x:v>
      </x:c>
      <x:c r="C1250" s="27" t="str">
        <x:v>IA</x:v>
      </x:c>
      <x:c r="D1250" s="27" t="str">
        <x:v>Franklin County</x:v>
      </x:c>
      <x:c r="E1250" s="40" t="n">
        <x:v>9868</x:v>
      </x:c>
      <x:c r="F1250" s="55" t="n">
        <x:v>42.736545</x:v>
      </x:c>
      <x:c r="G1250" s="55" t="n">
        <x:v>-93.271415</x:v>
      </x:c>
      <x:c r="H1250" s="43" t="n">
        <x:f>E1250/SUMIF(A:A,A1250,E:E)</x:f>
        <x:v>0.000896709400000727</x:v>
      </x:c>
    </x:row>
    <x:row r="1251" ht="21.600000381469727" hidden="0" customHeight="1">
      <x:c r="A1251" s="29" t="str">
        <x:v>SCA-18</x:v>
      </x:c>
      <x:c r="B1251" s="29" t="str">
        <x:v>27063</x:v>
      </x:c>
      <x:c r="C1251" s="29" t="str">
        <x:v>MN</x:v>
      </x:c>
      <x:c r="D1251" s="29" t="str">
        <x:v>Jackson County</x:v>
      </x:c>
      <x:c r="E1251" s="41" t="n">
        <x:v>9857</x:v>
      </x:c>
      <x:c r="F1251" s="56" t="n">
        <x:v>43.671111</x:v>
      </x:c>
      <x:c r="G1251" s="56" t="n">
        <x:v>-95.149731</x:v>
      </x:c>
      <x:c r="H1251" s="44" t="n">
        <x:f>E1251/SUMIF(A:A,A1251,E:E)</x:f>
        <x:v>0.0008957098252743379</x:v>
      </x:c>
    </x:row>
    <x:row r="1252" ht="15" hidden="0" customHeight="1">
      <x:c r="A1252" s="27" t="str">
        <x:v>SCA-18</x:v>
      </x:c>
      <x:c r="B1252" s="27" t="str">
        <x:v>27151</x:v>
      </x:c>
      <x:c r="C1252" s="27" t="str">
        <x:v>MN</x:v>
      </x:c>
      <x:c r="D1252" s="27" t="str">
        <x:v>Swift County</x:v>
      </x:c>
      <x:c r="E1252" s="40" t="n">
        <x:v>9763</x:v>
      </x:c>
      <x:c r="F1252" s="55" t="n">
        <x:v>45.27581</x:v>
      </x:c>
      <x:c r="G1252" s="55" t="n">
        <x:v>-95.690124</x:v>
      </x:c>
      <x:c r="H1252" s="43" t="n">
        <x:f>E1252/SUMIF(A:A,A1252,E:E)</x:f>
        <x:v>0.0008871680048851943</x:v>
      </x:c>
    </x:row>
    <x:row r="1253" ht="21.600000381469727" hidden="0" customHeight="1">
      <x:c r="A1253" s="29" t="str">
        <x:v>SCA-18</x:v>
      </x:c>
      <x:c r="B1253" s="29" t="str">
        <x:v>27149</x:v>
      </x:c>
      <x:c r="C1253" s="29" t="str">
        <x:v>MN</x:v>
      </x:c>
      <x:c r="D1253" s="29" t="str">
        <x:v>Stevens County</x:v>
      </x:c>
      <x:c r="E1253" s="41" t="n">
        <x:v>9747</x:v>
      </x:c>
      <x:c r="F1253" s="56" t="n">
        <x:v>45.593461</x:v>
      </x:c>
      <x:c r="G1253" s="56" t="n">
        <x:v>-95.992315</x:v>
      </x:c>
      <x:c r="H1253" s="44" t="n">
        <x:f>E1253/SUMIF(A:A,A1253,E:E)</x:f>
        <x:v>0.0008857140780104464</x:v>
      </x:c>
    </x:row>
    <x:row r="1254" ht="21.600000381469727" hidden="0" customHeight="1">
      <x:c r="A1254" s="27" t="str">
        <x:v>SCA-18</x:v>
      </x:c>
      <x:c r="B1254" s="27" t="str">
        <x:v>38055</x:v>
      </x:c>
      <x:c r="C1254" s="27" t="str">
        <x:v>ND</x:v>
      </x:c>
      <x:c r="D1254" s="27" t="str">
        <x:v>McLean County</x:v>
      </x:c>
      <x:c r="E1254" s="40" t="n">
        <x:v>9740</x:v>
      </x:c>
      <x:c r="F1254" s="55" t="n">
        <x:v>47.653206</x:v>
      </x:c>
      <x:c r="G1254" s="55" t="n">
        <x:v>-101.421914</x:v>
      </x:c>
      <x:c r="H1254" s="43" t="n">
        <x:f>E1254/SUMIF(A:A,A1254,E:E)</x:f>
        <x:v>0.0008850779850027443</x:v>
      </x:c>
    </x:row>
    <x:row r="1255" ht="21.600000381469727" hidden="0" customHeight="1">
      <x:c r="A1255" s="29" t="str">
        <x:v>SCA-18</x:v>
      </x:c>
      <x:c r="B1255" s="29" t="str">
        <x:v>55041</x:v>
      </x:c>
      <x:c r="C1255" s="29" t="str">
        <x:v>WI</x:v>
      </x:c>
      <x:c r="D1255" s="29" t="str">
        <x:v>Forest County</x:v>
      </x:c>
      <x:c r="E1255" s="41" t="n">
        <x:v>9574</x:v>
      </x:c>
      <x:c r="F1255" s="56" t="n">
        <x:v>45.666881</x:v>
      </x:c>
      <x:c r="G1255" s="56" t="n">
        <x:v>-88.773326</x:v>
      </x:c>
      <x:c r="H1255" s="44" t="n">
        <x:f>E1255/SUMIF(A:A,A1255,E:E)</x:f>
        <x:v>0.0008699934936772355</x:v>
      </x:c>
    </x:row>
    <x:row r="1256" ht="21.600000381469727" hidden="0" customHeight="1">
      <x:c r="A1256" s="27" t="str">
        <x:v>SCA-18</x:v>
      </x:c>
      <x:c r="B1256" s="27" t="str">
        <x:v>19025</x:v>
      </x:c>
      <x:c r="C1256" s="27" t="str">
        <x:v>IA</x:v>
      </x:c>
      <x:c r="D1256" s="27" t="str">
        <x:v>Calhoun County</x:v>
      </x:c>
      <x:c r="E1256" s="40" t="n">
        <x:v>9562</x:v>
      </x:c>
      <x:c r="F1256" s="55" t="n">
        <x:v>42.386061</x:v>
      </x:c>
      <x:c r="G1256" s="55" t="n">
        <x:v>-94.643602</x:v>
      </x:c>
      <x:c r="H1256" s="43" t="n">
        <x:f>E1256/SUMIF(A:A,A1256,E:E)</x:f>
        <x:v>0.0008689030485211747</x:v>
      </x:c>
    </x:row>
    <x:row r="1257" ht="15" hidden="0" customHeight="1">
      <x:c r="A1257" s="29" t="str">
        <x:v>SCA-18</x:v>
      </x:c>
      <x:c r="B1257" s="29" t="str">
        <x:v>19161</x:v>
      </x:c>
      <x:c r="C1257" s="29" t="str">
        <x:v>IA</x:v>
      </x:c>
      <x:c r="D1257" s="29" t="str">
        <x:v>Sac County</x:v>
      </x:c>
      <x:c r="E1257" s="41" t="n">
        <x:v>9525</x:v>
      </x:c>
      <x:c r="F1257" s="56" t="n">
        <x:v>42.387526</x:v>
      </x:c>
      <x:c r="G1257" s="56" t="n">
        <x:v>-95.105224</x:v>
      </x:c>
      <x:c r="H1257" s="44" t="n">
        <x:f>E1257/SUMIF(A:A,A1257,E:E)</x:f>
        <x:v>0.0008655408426233202</x:v>
      </x:c>
    </x:row>
    <x:row r="1258" ht="15" hidden="0" customHeight="1">
      <x:c r="A1258" s="27" t="str">
        <x:v>SCA-18</x:v>
      </x:c>
      <x:c r="B1258" s="27" t="str">
        <x:v>27133</x:v>
      </x:c>
      <x:c r="C1258" s="27" t="str">
        <x:v>MN</x:v>
      </x:c>
      <x:c r="D1258" s="27" t="str">
        <x:v>Rock County</x:v>
      </x:c>
      <x:c r="E1258" s="40" t="n">
        <x:v>9524</x:v>
      </x:c>
      <x:c r="F1258" s="55" t="n">
        <x:v>43.669587</x:v>
      </x:c>
      <x:c r="G1258" s="55" t="n">
        <x:v>-96.263238</x:v>
      </x:c>
      <x:c r="H1258" s="43" t="n">
        <x:f>E1258/SUMIF(A:A,A1258,E:E)</x:f>
        <x:v>0.0008654499721936485</x:v>
      </x:c>
    </x:row>
    <x:row r="1259" ht="32.400001525878906" hidden="0" customHeight="1">
      <x:c r="A1259" s="29" t="str">
        <x:v>SCA-18</x:v>
      </x:c>
      <x:c r="B1259" s="29" t="str">
        <x:v>27173</x:v>
      </x:c>
      <x:c r="C1259" s="29" t="str">
        <x:v>MN</x:v>
      </x:c>
      <x:c r="D1259" s="29" t="str">
        <x:v>Yellow Medicine County</x:v>
      </x:c>
      <x:c r="E1259" s="41" t="n">
        <x:v>9477</x:v>
      </x:c>
      <x:c r="F1259" s="56" t="n">
        <x:v>44.715736</x:v>
      </x:c>
      <x:c r="G1259" s="56" t="n">
        <x:v>-95.862756</x:v>
      </x:c>
      <x:c r="H1259" s="44" t="n">
        <x:f>E1259/SUMIF(A:A,A1259,E:E)</x:f>
        <x:v>0.0008611790619990768</x:v>
      </x:c>
    </x:row>
    <x:row r="1260" ht="21.600000381469727" hidden="0" customHeight="1">
      <x:c r="A1260" s="27" t="str">
        <x:v>SCA-18</x:v>
      </x:c>
      <x:c r="B1260" s="27" t="str">
        <x:v>19089</x:v>
      </x:c>
      <x:c r="C1260" s="27" t="str">
        <x:v>IA</x:v>
      </x:c>
      <x:c r="D1260" s="27" t="str">
        <x:v>Howard County</x:v>
      </x:c>
      <x:c r="E1260" s="40" t="n">
        <x:v>9415</x:v>
      </x:c>
      <x:c r="F1260" s="55" t="n">
        <x:v>43.365312</x:v>
      </x:c>
      <x:c r="G1260" s="55" t="n">
        <x:v>-92.321908</x:v>
      </x:c>
      <x:c r="H1260" s="43" t="n">
        <x:f>E1260/SUMIF(A:A,A1260,E:E)</x:f>
        <x:v>0.0008555450953594289</x:v>
      </x:c>
    </x:row>
    <x:row r="1261" ht="21.600000381469727" hidden="0" customHeight="1">
      <x:c r="A1261" s="29" t="str">
        <x:v>SCA-18</x:v>
      </x:c>
      <x:c r="B1261" s="29" t="str">
        <x:v>19091</x:v>
      </x:c>
      <x:c r="C1261" s="29" t="str">
        <x:v>IA</x:v>
      </x:c>
      <x:c r="D1261" s="29" t="str">
        <x:v>Humboldt County</x:v>
      </x:c>
      <x:c r="E1261" s="41" t="n">
        <x:v>9409</x:v>
      </x:c>
      <x:c r="F1261" s="56" t="n">
        <x:v>42.782221</x:v>
      </x:c>
      <x:c r="G1261" s="56" t="n">
        <x:v>-94.202775</x:v>
      </x:c>
      <x:c r="H1261" s="44" t="n">
        <x:f>E1261/SUMIF(A:A,A1261,E:E)</x:f>
        <x:v>0.0008549998727813984</x:v>
      </x:c>
    </x:row>
    <x:row r="1262" ht="21.600000381469727" hidden="0" customHeight="1">
      <x:c r="A1262" s="27" t="str">
        <x:v>SCA-18</x:v>
      </x:c>
      <x:c r="B1262" s="27" t="str">
        <x:v>38061</x:v>
      </x:c>
      <x:c r="C1262" s="27" t="str">
        <x:v>ND</x:v>
      </x:c>
      <x:c r="D1262" s="27" t="str">
        <x:v>Mountrail County</x:v>
      </x:c>
      <x:c r="E1262" s="40" t="n">
        <x:v>9395</x:v>
      </x:c>
      <x:c r="F1262" s="55" t="n">
        <x:v>48.210073</x:v>
      </x:c>
      <x:c r="G1262" s="55" t="n">
        <x:v>-102.364895</x:v>
      </x:c>
      <x:c r="H1262" s="43" t="n">
        <x:f>E1262/SUMIF(A:A,A1262,E:E)</x:f>
        <x:v>0.0008537276867659941</x:v>
      </x:c>
    </x:row>
    <x:row r="1263" ht="21.600000381469727" hidden="0" customHeight="1">
      <x:c r="A1263" s="29" t="str">
        <x:v>SCA-18</x:v>
      </x:c>
      <x:c r="B1263" s="29" t="str">
        <x:v>46125</x:v>
      </x:c>
      <x:c r="C1263" s="29" t="str">
        <x:v>SD</x:v>
      </x:c>
      <x:c r="D1263" s="29" t="str">
        <x:v>Turner County</x:v>
      </x:c>
      <x:c r="E1263" s="41" t="n">
        <x:v>9314</x:v>
      </x:c>
      <x:c r="F1263" s="56" t="n">
        <x:v>43.30867</x:v>
      </x:c>
      <x:c r="G1263" s="56" t="n">
        <x:v>-97.150185</x:v>
      </x:c>
      <x:c r="H1263" s="44" t="n">
        <x:f>E1263/SUMIF(A:A,A1263,E:E)</x:f>
        <x:v>0.0008463671819625832</x:v>
      </x:c>
    </x:row>
    <x:row r="1264" ht="21.600000381469727" hidden="0" customHeight="1">
      <x:c r="A1264" s="27" t="str">
        <x:v>SCA-18</x:v>
      </x:c>
      <x:c r="B1264" s="27" t="str">
        <x:v>46023</x:v>
      </x:c>
      <x:c r="C1264" s="27" t="str">
        <x:v>SD</x:v>
      </x:c>
      <x:c r="D1264" s="27" t="str">
        <x:v>Charles Mix County</x:v>
      </x:c>
      <x:c r="E1264" s="40" t="n">
        <x:v>9303</x:v>
      </x:c>
      <x:c r="F1264" s="55" t="n">
        <x:v>43.206185</x:v>
      </x:c>
      <x:c r="G1264" s="55" t="n">
        <x:v>-98.595143</x:v>
      </x:c>
      <x:c r="H1264" s="43" t="n">
        <x:f>E1264/SUMIF(A:A,A1264,E:E)</x:f>
        <x:v>0.000845367607236194</x:v>
      </x:c>
    </x:row>
    <x:row r="1265" ht="21.600000381469727" hidden="0" customHeight="1">
      <x:c r="A1265" s="29" t="str">
        <x:v>SCA-18</x:v>
      </x:c>
      <x:c r="B1265" s="29" t="str">
        <x:v>27117</x:v>
      </x:c>
      <x:c r="C1265" s="29" t="str">
        <x:v>MN</x:v>
      </x:c>
      <x:c r="D1265" s="29" t="str">
        <x:v>Pipestone County</x:v>
      </x:c>
      <x:c r="E1265" s="41" t="n">
        <x:v>9260</x:v>
      </x:c>
      <x:c r="F1265" s="56" t="n">
        <x:v>44.015361</x:v>
      </x:c>
      <x:c r="G1265" s="56" t="n">
        <x:v>-96.257015</x:v>
      </x:c>
      <x:c r="H1265" s="44" t="n">
        <x:f>E1265/SUMIF(A:A,A1265,E:E)</x:f>
        <x:v>0.0008414601787603092</x:v>
      </x:c>
    </x:row>
    <x:row r="1266" ht="21.600000381469727" hidden="0" customHeight="1">
      <x:c r="A1266" s="27" t="str">
        <x:v>SCA-18</x:v>
      </x:c>
      <x:c r="B1266" s="27" t="str">
        <x:v>19063</x:v>
      </x:c>
      <x:c r="C1266" s="27" t="str">
        <x:v>IA</x:v>
      </x:c>
      <x:c r="D1266" s="27" t="str">
        <x:v>Emmet County</x:v>
      </x:c>
      <x:c r="E1266" s="40" t="n">
        <x:v>9107</x:v>
      </x:c>
      <x:c r="F1266" s="55" t="n">
        <x:v>43.377984</x:v>
      </x:c>
      <x:c r="G1266" s="55" t="n">
        <x:v>-94.66937</x:v>
      </x:c>
      <x:c r="H1266" s="43" t="n">
        <x:f>E1266/SUMIF(A:A,A1266,E:E)</x:f>
        <x:v>0.0008275570030205331</x:v>
      </x:c>
    </x:row>
    <x:row r="1267" ht="21.600000381469727" hidden="0" customHeight="1">
      <x:c r="A1267" s="29" t="str">
        <x:v>SCA-18</x:v>
      </x:c>
      <x:c r="B1267" s="29" t="str">
        <x:v>19147</x:v>
      </x:c>
      <x:c r="C1267" s="29" t="str">
        <x:v>IA</x:v>
      </x:c>
      <x:c r="D1267" s="29" t="str">
        <x:v>Palo Alto County</x:v>
      </x:c>
      <x:c r="E1267" s="41" t="n">
        <x:v>8899</x:v>
      </x:c>
      <x:c r="F1267" s="56" t="n">
        <x:v>43.075337</x:v>
      </x:c>
      <x:c r="G1267" s="56" t="n">
        <x:v>-94.669055</x:v>
      </x:c>
      <x:c r="H1267" s="44" t="n">
        <x:f>E1267/SUMIF(A:A,A1267,E:E)</x:f>
        <x:v>0.0008086559536488112</x:v>
      </x:c>
    </x:row>
    <x:row r="1268" ht="21.600000381469727" hidden="0" customHeight="1">
      <x:c r="A1268" s="27" t="str">
        <x:v>SCA-18</x:v>
      </x:c>
      <x:c r="B1268" s="27" t="str">
        <x:v>31039</x:v>
      </x:c>
      <x:c r="C1268" s="27" t="str">
        <x:v>NE</x:v>
      </x:c>
      <x:c r="D1268" s="27" t="str">
        <x:v>Cuming County</x:v>
      </x:c>
      <x:c r="E1268" s="40" t="n">
        <x:v>8823</x:v>
      </x:c>
      <x:c r="F1268" s="55" t="n">
        <x:v>41.915865</x:v>
      </x:c>
      <x:c r="G1268" s="55" t="n">
        <x:v>-96.788517</x:v>
      </x:c>
      <x:c r="H1268" s="43" t="n">
        <x:f>E1268/SUMIF(A:A,A1268,E:E)</x:f>
        <x:v>0.000801749800993759</x:v>
      </x:c>
    </x:row>
    <x:row r="1269" ht="21.600000381469727" hidden="0" customHeight="1">
      <x:c r="A1269" s="29" t="str">
        <x:v>SCA-18</x:v>
      </x:c>
      <x:c r="B1269" s="29" t="str">
        <x:v>27089</x:v>
      </x:c>
      <x:c r="C1269" s="29" t="str">
        <x:v>MN</x:v>
      </x:c>
      <x:c r="D1269" s="29" t="str">
        <x:v>Marshall County</x:v>
      </x:c>
      <x:c r="E1269" s="41" t="n">
        <x:v>8798</x:v>
      </x:c>
      <x:c r="F1269" s="56" t="n">
        <x:v>48.362728</x:v>
      </x:c>
      <x:c r="G1269" s="56" t="n">
        <x:v>-96.357761</x:v>
      </x:c>
      <x:c r="H1269" s="44" t="n">
        <x:f>E1269/SUMIF(A:A,A1269,E:E)</x:f>
        <x:v>0.0007994780402519656</x:v>
      </x:c>
    </x:row>
    <x:row r="1270" ht="21.600000381469727" hidden="0" customHeight="1">
      <x:c r="A1270" s="27" t="str">
        <x:v>SCA-18</x:v>
      </x:c>
      <x:c r="B1270" s="27" t="str">
        <x:v>19073</x:v>
      </x:c>
      <x:c r="C1270" s="27" t="str">
        <x:v>IA</x:v>
      </x:c>
      <x:c r="D1270" s="27" t="str">
        <x:v>Greene County</x:v>
      </x:c>
      <x:c r="E1270" s="40" t="n">
        <x:v>8658</x:v>
      </x:c>
      <x:c r="F1270" s="55" t="n">
        <x:v>42.042513</x:v>
      </x:c>
      <x:c r="G1270" s="55" t="n">
        <x:v>-94.388727</x:v>
      </x:c>
      <x:c r="H1270" s="43" t="n">
        <x:f>E1270/SUMIF(A:A,A1270,E:E)</x:f>
        <x:v>0.0007867561800979219</x:v>
      </x:c>
    </x:row>
    <x:row r="1271" ht="21.600000381469727" hidden="0" customHeight="1">
      <x:c r="A1271" s="29" t="str">
        <x:v>SCA-18</x:v>
      </x:c>
      <x:c r="B1271" s="29" t="str">
        <x:v>27029</x:v>
      </x:c>
      <x:c r="C1271" s="29" t="str">
        <x:v>MN</x:v>
      </x:c>
      <x:c r="D1271" s="29" t="str">
        <x:v>Clearwater County</x:v>
      </x:c>
      <x:c r="E1271" s="41" t="n">
        <x:v>8647</x:v>
      </x:c>
      <x:c r="F1271" s="56" t="n">
        <x:v>47.575873</x:v>
      </x:c>
      <x:c r="G1271" s="56" t="n">
        <x:v>-95.371117</x:v>
      </x:c>
      <x:c r="H1271" s="44" t="n">
        <x:f>E1271/SUMIF(A:A,A1271,E:E)</x:f>
        <x:v>0.0007857566053715328</x:v>
      </x:c>
    </x:row>
    <x:row r="1272" ht="21.600000381469727" hidden="0" customHeight="1">
      <x:c r="A1272" s="27" t="str">
        <x:v>SCA-18</x:v>
      </x:c>
      <x:c r="B1272" s="27" t="str">
        <x:v>19133</x:v>
      </x:c>
      <x:c r="C1272" s="27" t="str">
        <x:v>IA</x:v>
      </x:c>
      <x:c r="D1272" s="27" t="str">
        <x:v>Monona County</x:v>
      </x:c>
      <x:c r="E1272" s="40" t="n">
        <x:v>8539</x:v>
      </x:c>
      <x:c r="F1272" s="55" t="n">
        <x:v>42.049432</x:v>
      </x:c>
      <x:c r="G1272" s="55" t="n">
        <x:v>-95.956566</x:v>
      </x:c>
      <x:c r="H1272" s="43" t="n">
        <x:f>E1272/SUMIF(A:A,A1272,E:E)</x:f>
        <x:v>0.0007759425989669849</x:v>
      </x:c>
    </x:row>
    <x:row r="1273" ht="21.600000381469727" hidden="0" customHeight="1">
      <x:c r="A1273" s="29" t="str">
        <x:v>SCA-18</x:v>
      </x:c>
      <x:c r="B1273" s="29" t="str">
        <x:v>38057</x:v>
      </x:c>
      <x:c r="C1273" s="29" t="str">
        <x:v>ND</x:v>
      </x:c>
      <x:c r="D1273" s="29" t="str">
        <x:v>Mercer County</x:v>
      </x:c>
      <x:c r="E1273" s="41" t="n">
        <x:v>8441</x:v>
      </x:c>
      <x:c r="F1273" s="56" t="n">
        <x:v>47.303329</x:v>
      </x:c>
      <x:c r="G1273" s="56" t="n">
        <x:v>-101.82202</x:v>
      </x:c>
      <x:c r="H1273" s="44" t="n">
        <x:f>E1273/SUMIF(A:A,A1273,E:E)</x:f>
        <x:v>0.0007670372968591545</x:v>
      </x:c>
    </x:row>
    <x:row r="1274" ht="21.600000381469727" hidden="0" customHeight="1">
      <x:c r="A1274" s="27" t="str">
        <x:v>SCA-18</x:v>
      </x:c>
      <x:c r="B1274" s="27" t="str">
        <x:v>31027</x:v>
      </x:c>
      <x:c r="C1274" s="27" t="str">
        <x:v>NE</x:v>
      </x:c>
      <x:c r="D1274" s="27" t="str">
        <x:v>Cedar County</x:v>
      </x:c>
      <x:c r="E1274" s="40" t="n">
        <x:v>8373</x:v>
      </x:c>
      <x:c r="F1274" s="55" t="n">
        <x:v>42.60456</x:v>
      </x:c>
      <x:c r="G1274" s="55" t="n">
        <x:v>-97.25687</x:v>
      </x:c>
      <x:c r="H1274" s="43" t="n">
        <x:f>E1274/SUMIF(A:A,A1274,E:E)</x:f>
        <x:v>0.0007608581076414761</x:v>
      </x:c>
    </x:row>
    <x:row r="1275" ht="15" hidden="0" customHeight="1">
      <x:c r="A1275" s="29" t="str">
        <x:v>SCA-18</x:v>
      </x:c>
      <x:c r="B1275" s="29" t="str">
        <x:v>31107</x:v>
      </x:c>
      <x:c r="C1275" s="29" t="str">
        <x:v>NE</x:v>
      </x:c>
      <x:c r="D1275" s="29" t="str">
        <x:v>Knox County</x:v>
      </x:c>
      <x:c r="E1275" s="41" t="n">
        <x:v>8335</x:v>
      </x:c>
      <x:c r="F1275" s="56" t="n">
        <x:v>42.634404</x:v>
      </x:c>
      <x:c r="G1275" s="56" t="n">
        <x:v>-97.891349</x:v>
      </x:c>
      <x:c r="H1275" s="44" t="n">
        <x:f>E1275/SUMIF(A:A,A1275,E:E)</x:f>
        <x:v>0.0007574050313139501</x:v>
      </x:c>
    </x:row>
    <x:row r="1276" ht="21.600000381469727" hidden="0" customHeight="1">
      <x:c r="A1276" s="27" t="str">
        <x:v>SCA-18</x:v>
      </x:c>
      <x:c r="B1276" s="27" t="str">
        <x:v>26013</x:v>
      </x:c>
      <x:c r="C1276" s="27" t="str">
        <x:v>MI</x:v>
      </x:c>
      <x:c r="D1276" s="27" t="str">
        <x:v>Baraga County</x:v>
      </x:c>
      <x:c r="E1276" s="40" t="n">
        <x:v>8169</x:v>
      </x:c>
      <x:c r="F1276" s="55" t="n">
        <x:v>46.695859</x:v>
      </x:c>
      <x:c r="G1276" s="55" t="n">
        <x:v>-88.36181</x:v>
      </x:c>
      <x:c r="H1276" s="43" t="n">
        <x:f>E1276/SUMIF(A:A,A1276,E:E)</x:f>
        <x:v>0.0007423205399884413</x:v>
      </x:c>
    </x:row>
    <x:row r="1277" ht="21.600000381469727" hidden="0" customHeight="1">
      <x:c r="A1277" s="29" t="str">
        <x:v>SCA-18</x:v>
      </x:c>
      <x:c r="B1277" s="29" t="str">
        <x:v>27101</x:v>
      </x:c>
      <x:c r="C1277" s="29" t="str">
        <x:v>MN</x:v>
      </x:c>
      <x:c r="D1277" s="29" t="str">
        <x:v>Murray County</x:v>
      </x:c>
      <x:c r="E1277" s="41" t="n">
        <x:v>7942</x:v>
      </x:c>
      <x:c r="F1277" s="56" t="n">
        <x:v>44.015594</x:v>
      </x:c>
      <x:c r="G1277" s="56" t="n">
        <x:v>-95.761581</x:v>
      </x:c>
      <x:c r="H1277" s="44" t="n">
        <x:f>E1277/SUMIF(A:A,A1277,E:E)</x:f>
        <x:v>0.0007216929524529564</x:v>
      </x:c>
    </x:row>
    <x:row r="1278" ht="15" hidden="0" customHeight="1">
      <x:c r="A1278" s="27" t="str">
        <x:v>SCA-18</x:v>
      </x:c>
      <x:c r="B1278" s="27" t="str">
        <x:v>38097</x:v>
      </x:c>
      <x:c r="C1278" s="27" t="str">
        <x:v>ND</x:v>
      </x:c>
      <x:c r="D1278" s="27" t="str">
        <x:v>Traill County</x:v>
      </x:c>
      <x:c r="E1278" s="40" t="n">
        <x:v>7920</x:v>
      </x:c>
      <x:c r="F1278" s="55" t="n">
        <x:v>47.446271</x:v>
      </x:c>
      <x:c r="G1278" s="55" t="n">
        <x:v>-97.164636</x:v>
      </x:c>
      <x:c r="H1278" s="43" t="n">
        <x:f>E1278/SUMIF(A:A,A1278,E:E)</x:f>
        <x:v>0.000719693803000178</x:v>
      </x:c>
    </x:row>
    <x:row r="1279" ht="21.600000381469727" hidden="0" customHeight="1">
      <x:c r="A1279" s="29" t="str">
        <x:v>SCA-18</x:v>
      </x:c>
      <x:c r="B1279" s="29" t="str">
        <x:v>46051</x:v>
      </x:c>
      <x:c r="C1279" s="29" t="str">
        <x:v>SD</x:v>
      </x:c>
      <x:c r="D1279" s="29" t="str">
        <x:v>Grant County</x:v>
      </x:c>
      <x:c r="E1279" s="41" t="n">
        <x:v>7534</x:v>
      </x:c>
      <x:c r="F1279" s="56" t="n">
        <x:v>45.172637</x:v>
      </x:c>
      <x:c r="G1279" s="56" t="n">
        <x:v>-96.772261</x:v>
      </x:c>
      <x:c r="H1279" s="44" t="n">
        <x:f>E1279/SUMIF(A:A,A1279,E:E)</x:f>
        <x:v>0.0006846178171468866</x:v>
      </x:c>
    </x:row>
    <x:row r="1280" ht="21.600000381469727" hidden="0" customHeight="1">
      <x:c r="A1280" s="27" t="str">
        <x:v>SCA-18</x:v>
      </x:c>
      <x:c r="B1280" s="27" t="str">
        <x:v>55091</x:v>
      </x:c>
      <x:c r="C1280" s="27" t="str">
        <x:v>WI</x:v>
      </x:c>
      <x:c r="D1280" s="27" t="str">
        <x:v>Pepin County</x:v>
      </x:c>
      <x:c r="E1280" s="40" t="n">
        <x:v>7513</x:v>
      </x:c>
      <x:c r="F1280" s="55" t="n">
        <x:v>44.627436</x:v>
      </x:c>
      <x:c r="G1280" s="55" t="n">
        <x:v>-91.83489</x:v>
      </x:c>
      <x:c r="H1280" s="43" t="n">
        <x:f>E1280/SUMIF(A:A,A1280,E:E)</x:f>
        <x:v>0.0006827095381237801</x:v>
      </x:c>
    </x:row>
    <x:row r="1281" ht="21.600000381469727" hidden="0" customHeight="1">
      <x:c r="A1281" s="29" t="str">
        <x:v>SCA-18</x:v>
      </x:c>
      <x:c r="B1281" s="29" t="str">
        <x:v>46067</x:v>
      </x:c>
      <x:c r="C1281" s="29" t="str">
        <x:v>SD</x:v>
      </x:c>
      <x:c r="D1281" s="29" t="str">
        <x:v>Hutchinson County</x:v>
      </x:c>
      <x:c r="E1281" s="41" t="n">
        <x:v>7413</x:v>
      </x:c>
      <x:c r="F1281" s="56" t="n">
        <x:v>43.33671</x:v>
      </x:c>
      <x:c r="G1281" s="56" t="n">
        <x:v>-97.749383</x:v>
      </x:c>
      <x:c r="H1281" s="44" t="n">
        <x:f>E1281/SUMIF(A:A,A1281,E:E)</x:f>
        <x:v>0.0006736224951566061</x:v>
      </x:c>
    </x:row>
    <x:row r="1282" ht="15" hidden="0" customHeight="1">
      <x:c r="A1282" s="27" t="str">
        <x:v>SCA-18</x:v>
      </x:c>
      <x:c r="B1282" s="27" t="str">
        <x:v>19001</x:v>
      </x:c>
      <x:c r="C1282" s="27" t="str">
        <x:v>IA</x:v>
      </x:c>
      <x:c r="D1282" s="27" t="str">
        <x:v>Adair County</x:v>
      </x:c>
      <x:c r="E1282" s="40" t="n">
        <x:v>7403</x:v>
      </x:c>
      <x:c r="F1282" s="55" t="n">
        <x:v>41.328528</x:v>
      </x:c>
      <x:c r="G1282" s="55" t="n">
        <x:v>-94.478164</x:v>
      </x:c>
      <x:c r="H1282" s="43" t="n">
        <x:f>E1282/SUMIF(A:A,A1282,E:E)</x:f>
        <x:v>0.0006727137908598887</x:v>
      </x:c>
    </x:row>
    <x:row r="1283" ht="21.600000381469727" hidden="0" customHeight="1">
      <x:c r="A1283" s="29" t="str">
        <x:v>SCA-18</x:v>
      </x:c>
      <x:c r="B1283" s="29" t="str">
        <x:v>31139</x:v>
      </x:c>
      <x:c r="C1283" s="29" t="str">
        <x:v>NE</x:v>
      </x:c>
      <x:c r="D1283" s="29" t="str">
        <x:v>Pierce County</x:v>
      </x:c>
      <x:c r="E1283" s="41" t="n">
        <x:v>7378</x:v>
      </x:c>
      <x:c r="F1283" s="56" t="n">
        <x:v>42.271413</x:v>
      </x:c>
      <x:c r="G1283" s="56" t="n">
        <x:v>-97.610992</x:v>
      </x:c>
      <x:c r="H1283" s="44" t="n">
        <x:f>E1283/SUMIF(A:A,A1283,E:E)</x:f>
        <x:v>0.0006704420301180952</x:v>
      </x:c>
    </x:row>
    <x:row r="1284" ht="21.600000381469727" hidden="0" customHeight="1">
      <x:c r="A1284" s="27" t="str">
        <x:v>SCA-18</x:v>
      </x:c>
      <x:c r="B1284" s="27" t="str">
        <x:v>19195</x:v>
      </x:c>
      <x:c r="C1284" s="27" t="str">
        <x:v>IA</x:v>
      </x:c>
      <x:c r="D1284" s="27" t="str">
        <x:v>Worth County</x:v>
      </x:c>
      <x:c r="E1284" s="40" t="n">
        <x:v>7338</x:v>
      </x:c>
      <x:c r="F1284" s="55" t="n">
        <x:v>43.373491</x:v>
      </x:c>
      <x:c r="G1284" s="55" t="n">
        <x:v>-93.248533</x:v>
      </x:c>
      <x:c r="H1284" s="43" t="n">
        <x:f>E1284/SUMIF(A:A,A1284,E:E)</x:f>
        <x:v>0.0006668072129312257</x:v>
      </x:c>
    </x:row>
    <x:row r="1285" ht="21.600000381469727" hidden="0" customHeight="1">
      <x:c r="A1285" s="29" t="str">
        <x:v>SCA-18</x:v>
      </x:c>
      <x:c r="B1285" s="29" t="str">
        <x:v>46009</x:v>
      </x:c>
      <x:c r="C1285" s="29" t="str">
        <x:v>SD</x:v>
      </x:c>
      <x:c r="D1285" s="29" t="str">
        <x:v>Bon Homme County</x:v>
      </x:c>
      <x:c r="E1285" s="41" t="n">
        <x:v>7244</x:v>
      </x:c>
      <x:c r="F1285" s="56" t="n">
        <x:v>42.985714</x:v>
      </x:c>
      <x:c r="G1285" s="56" t="n">
        <x:v>-97.884175</x:v>
      </x:c>
      <x:c r="H1285" s="44" t="n">
        <x:f>E1285/SUMIF(A:A,A1285,E:E)</x:f>
        <x:v>0.0006582653925420821</x:v>
      </x:c>
    </x:row>
    <x:row r="1286" ht="21.600000381469727" hidden="0" customHeight="1">
      <x:c r="A1286" s="27" t="str">
        <x:v>SCA-18</x:v>
      </x:c>
      <x:c r="B1286" s="27" t="str">
        <x:v>46057</x:v>
      </x:c>
      <x:c r="C1286" s="27" t="str">
        <x:v>SD</x:v>
      </x:c>
      <x:c r="D1286" s="27" t="str">
        <x:v>Hamlin County</x:v>
      </x:c>
      <x:c r="E1286" s="40" t="n">
        <x:v>6900</x:v>
      </x:c>
      <x:c r="F1286" s="55" t="n">
        <x:v>44.680619</x:v>
      </x:c>
      <x:c r="G1286" s="55" t="n">
        <x:v>-97.178598</x:v>
      </x:c>
      <x:c r="H1286" s="43" t="n">
        <x:f>E1286/SUMIF(A:A,A1286,E:E)</x:f>
        <x:v>0.0006270059647350036</x:v>
      </x:c>
    </x:row>
    <x:row r="1287" ht="21.600000381469727" hidden="0" customHeight="1">
      <x:c r="A1287" s="29" t="str">
        <x:v>SCA-18</x:v>
      </x:c>
      <x:c r="B1287" s="29" t="str">
        <x:v>19151</x:v>
      </x:c>
      <x:c r="C1287" s="29" t="str">
        <x:v>IA</x:v>
      </x:c>
      <x:c r="D1287" s="29" t="str">
        <x:v>Pocahontas County</x:v>
      </x:c>
      <x:c r="E1287" s="41" t="n">
        <x:v>6819</x:v>
      </x:c>
      <x:c r="F1287" s="56" t="n">
        <x:v>42.734033</x:v>
      </x:c>
      <x:c r="G1287" s="56" t="n">
        <x:v>-94.678279</x:v>
      </x:c>
      <x:c r="H1287" s="44" t="n">
        <x:f>E1287/SUMIF(A:A,A1287,E:E)</x:f>
        <x:v>0.0006196454599315928</x:v>
      </x:c>
    </x:row>
    <x:row r="1288" ht="15" hidden="0" customHeight="1">
      <x:c r="A1288" s="27" t="str">
        <x:v>SCA-18</x:v>
      </x:c>
      <x:c r="B1288" s="27" t="str">
        <x:v>19093</x:v>
      </x:c>
      <x:c r="C1288" s="27" t="str">
        <x:v>IA</x:v>
      </x:c>
      <x:c r="D1288" s="27" t="str">
        <x:v>Ida County</x:v>
      </x:c>
      <x:c r="E1288" s="40" t="n">
        <x:v>6777</x:v>
      </x:c>
      <x:c r="F1288" s="55" t="n">
        <x:v>42.39186</x:v>
      </x:c>
      <x:c r="G1288" s="55" t="n">
        <x:v>-95.507421</x:v>
      </x:c>
      <x:c r="H1288" s="43" t="n">
        <x:f>E1288/SUMIF(A:A,A1288,E:E)</x:f>
        <x:v>0.0006158289018853797</x:v>
      </x:c>
    </x:row>
    <x:row r="1289" ht="21.600000381469727" hidden="0" customHeight="1">
      <x:c r="A1289" s="29" t="str">
        <x:v>SCA-18</x:v>
      </x:c>
      <x:c r="B1289" s="29" t="str">
        <x:v>31173</x:v>
      </x:c>
      <x:c r="C1289" s="29" t="str">
        <x:v>NE</x:v>
      </x:c>
      <x:c r="D1289" s="29" t="str">
        <x:v>Thurston County</x:v>
      </x:c>
      <x:c r="E1289" s="41" t="n">
        <x:v>6752</x:v>
      </x:c>
      <x:c r="F1289" s="56" t="n">
        <x:v>42.154061</x:v>
      </x:c>
      <x:c r="G1289" s="56" t="n">
        <x:v>-96.533943</x:v>
      </x:c>
      <x:c r="H1289" s="44" t="n">
        <x:f>E1289/SUMIF(A:A,A1289,E:E)</x:f>
        <x:v>0.0006135571411435862</x:v>
      </x:c>
    </x:row>
    <x:row r="1290" ht="21.600000381469727" hidden="0" customHeight="1">
      <x:c r="A1290" s="27" t="str">
        <x:v>SCA-18</x:v>
      </x:c>
      <x:c r="B1290" s="27" t="str">
        <x:v>27073</x:v>
      </x:c>
      <x:c r="C1290" s="27" t="str">
        <x:v>MN</x:v>
      </x:c>
      <x:c r="D1290" s="27" t="str">
        <x:v>Lac qui Parle County</x:v>
      </x:c>
      <x:c r="E1290" s="40" t="n">
        <x:v>6704</x:v>
      </x:c>
      <x:c r="F1290" s="55" t="n">
        <x:v>44.999826</x:v>
      </x:c>
      <x:c r="G1290" s="55" t="n">
        <x:v>-96.176852</x:v>
      </x:c>
      <x:c r="H1290" s="43" t="n">
        <x:f>E1290/SUMIF(A:A,A1290,E:E)</x:f>
        <x:v>0.0006091953605193427</x:v>
      </x:c>
    </x:row>
    <x:row r="1291" ht="15" hidden="0" customHeight="1">
      <x:c r="A1291" s="29" t="str">
        <x:v>SCA-18</x:v>
      </x:c>
      <x:c r="B1291" s="29" t="str">
        <x:v>31021</x:v>
      </x:c>
      <x:c r="C1291" s="29" t="str">
        <x:v>NE</x:v>
      </x:c>
      <x:c r="D1291" s="29" t="str">
        <x:v>Burt County</x:v>
      </x:c>
      <x:c r="E1291" s="41" t="n">
        <x:v>6678</x:v>
      </x:c>
      <x:c r="F1291" s="56" t="n">
        <x:v>41.854179</x:v>
      </x:c>
      <x:c r="G1291" s="56" t="n">
        <x:v>-96.337746</x:v>
      </x:c>
      <x:c r="H1291" s="44" t="n">
        <x:f>E1291/SUMIF(A:A,A1291,E:E)</x:f>
        <x:v>0.0006068327293478774</x:v>
      </x:c>
    </x:row>
    <x:row r="1292" ht="21.600000381469727" hidden="0" customHeight="1">
      <x:c r="A1292" s="27" t="str">
        <x:v>SCA-18</x:v>
      </x:c>
      <x:c r="B1292" s="27" t="str">
        <x:v>46101</x:v>
      </x:c>
      <x:c r="C1292" s="27" t="str">
        <x:v>SD</x:v>
      </x:c>
      <x:c r="D1292" s="27" t="str">
        <x:v>Moody County</x:v>
      </x:c>
      <x:c r="E1292" s="40" t="n">
        <x:v>6632</x:v>
      </x:c>
      <x:c r="F1292" s="55" t="n">
        <x:v>44.012429</x:v>
      </x:c>
      <x:c r="G1292" s="55" t="n">
        <x:v>-96.676054</x:v>
      </x:c>
      <x:c r="H1292" s="43" t="n">
        <x:f>E1292/SUMIF(A:A,A1292,E:E)</x:f>
        <x:v>0.0006026526895829774</x:v>
      </x:c>
    </x:row>
    <x:row r="1293" ht="21.600000381469727" hidden="0" customHeight="1">
      <x:c r="A1293" s="29" t="str">
        <x:v>SCA-18</x:v>
      </x:c>
      <x:c r="B1293" s="29" t="str">
        <x:v>38067</x:v>
      </x:c>
      <x:c r="C1293" s="29" t="str">
        <x:v>ND</x:v>
      </x:c>
      <x:c r="D1293" s="29" t="str">
        <x:v>Pembina County</x:v>
      </x:c>
      <x:c r="E1293" s="41" t="n">
        <x:v>6568</x:v>
      </x:c>
      <x:c r="F1293" s="56" t="n">
        <x:v>48.766896</x:v>
      </x:c>
      <x:c r="G1293" s="56" t="n">
        <x:v>-97.545405</x:v>
      </x:c>
      <x:c r="H1293" s="44" t="n">
        <x:f>E1293/SUMIF(A:A,A1293,E:E)</x:f>
        <x:v>0.0005968369820839861</x:v>
      </x:c>
    </x:row>
    <x:row r="1294" ht="21.600000381469727" hidden="0" customHeight="1">
      <x:c r="A1294" s="27" t="str">
        <x:v>SCA-18</x:v>
      </x:c>
      <x:c r="B1294" s="27" t="str">
        <x:v>31003</x:v>
      </x:c>
      <x:c r="C1294" s="27" t="str">
        <x:v>NE</x:v>
      </x:c>
      <x:c r="D1294" s="27" t="str">
        <x:v>Antelope County</x:v>
      </x:c>
      <x:c r="E1294" s="40" t="n">
        <x:v>6352</x:v>
      </x:c>
      <x:c r="F1294" s="55" t="n">
        <x:v>42.183225</x:v>
      </x:c>
      <x:c r="G1294" s="55" t="n">
        <x:v>-98.058037</x:v>
      </x:c>
      <x:c r="H1294" s="43" t="n">
        <x:f>E1294/SUMIF(A:A,A1294,E:E)</x:f>
        <x:v>0.0005772089692748903</x:v>
      </x:c>
    </x:row>
    <x:row r="1295" ht="21.600000381469727" hidden="0" customHeight="1">
      <x:c r="A1295" s="29" t="str">
        <x:v>SCA-18</x:v>
      </x:c>
      <x:c r="B1295" s="29" t="str">
        <x:v>27107</x:v>
      </x:c>
      <x:c r="C1295" s="29" t="str">
        <x:v>MN</x:v>
      </x:c>
      <x:c r="D1295" s="29" t="str">
        <x:v>Norman County</x:v>
      </x:c>
      <x:c r="E1295" s="41" t="n">
        <x:v>6336</x:v>
      </x:c>
      <x:c r="F1295" s="56" t="n">
        <x:v>47.329453</x:v>
      </x:c>
      <x:c r="G1295" s="56" t="n">
        <x:v>-96.463776</x:v>
      </x:c>
      <x:c r="H1295" s="44" t="n">
        <x:f>E1295/SUMIF(A:A,A1295,E:E)</x:f>
        <x:v>0.0005757550424001425</x:v>
      </x:c>
    </x:row>
    <x:row r="1296" ht="21.600000381469727" hidden="0" customHeight="1">
      <x:c r="A1296" s="27" t="str">
        <x:v>SCA-18</x:v>
      </x:c>
      <x:c r="B1296" s="27" t="str">
        <x:v>27167</x:v>
      </x:c>
      <x:c r="C1296" s="27" t="str">
        <x:v>MN</x:v>
      </x:c>
      <x:c r="D1296" s="27" t="str">
        <x:v>Wilkin County</x:v>
      </x:c>
      <x:c r="E1296" s="40" t="n">
        <x:v>6288</x:v>
      </x:c>
      <x:c r="F1296" s="55" t="n">
        <x:v>46.362335</x:v>
      </x:c>
      <x:c r="G1296" s="55" t="n">
        <x:v>-96.476657</x:v>
      </x:c>
      <x:c r="H1296" s="43" t="n">
        <x:f>E1296/SUMIF(A:A,A1296,E:E)</x:f>
        <x:v>0.0005713932617758989</x:v>
      </x:c>
    </x:row>
    <x:row r="1297" ht="21.600000381469727" hidden="0" customHeight="1">
      <x:c r="A1297" s="29" t="str">
        <x:v>SCA-18</x:v>
      </x:c>
      <x:c r="B1297" s="29" t="str">
        <x:v>38009</x:v>
      </x:c>
      <x:c r="C1297" s="29" t="str">
        <x:v>ND</x:v>
      </x:c>
      <x:c r="D1297" s="29" t="str">
        <x:v>Bottineau County</x:v>
      </x:c>
      <x:c r="E1297" s="41" t="n">
        <x:v>6284</x:v>
      </x:c>
      <x:c r="F1297" s="56" t="n">
        <x:v>48.794412</x:v>
      </x:c>
      <x:c r="G1297" s="56" t="n">
        <x:v>-100.831257</x:v>
      </x:c>
      <x:c r="H1297" s="44" t="n">
        <x:f>E1297/SUMIF(A:A,A1297,E:E)</x:f>
        <x:v>0.000571029780057212</x:v>
      </x:c>
    </x:row>
    <x:row r="1298" ht="21.600000381469727" hidden="0" customHeight="1">
      <x:c r="A1298" s="27" t="str">
        <x:v>SCA-18</x:v>
      </x:c>
      <x:c r="B1298" s="27" t="str">
        <x:v>46115</x:v>
      </x:c>
      <x:c r="C1298" s="27" t="str">
        <x:v>SD</x:v>
      </x:c>
      <x:c r="D1298" s="27" t="str">
        <x:v>Spink County</x:v>
      </x:c>
      <x:c r="E1298" s="40" t="n">
        <x:v>6155</x:v>
      </x:c>
      <x:c r="F1298" s="55" t="n">
        <x:v>44.923772</x:v>
      </x:c>
      <x:c r="G1298" s="55" t="n">
        <x:v>-98.339615</x:v>
      </x:c>
      <x:c r="H1298" s="43" t="n">
        <x:f>E1298/SUMIF(A:A,A1298,E:E)</x:f>
        <x:v>0.0005593074946295576</x:v>
      </x:c>
    </x:row>
    <x:row r="1299" ht="15" hidden="0" customHeight="1">
      <x:c r="A1299" s="29" t="str">
        <x:v>SCA-18</x:v>
      </x:c>
      <x:c r="B1299" s="29" t="str">
        <x:v>55051</x:v>
      </x:c>
      <x:c r="C1299" s="29" t="str">
        <x:v>WI</x:v>
      </x:c>
      <x:c r="D1299" s="29" t="str">
        <x:v>Iron County</x:v>
      </x:c>
      <x:c r="E1299" s="41" t="n">
        <x:v>6127</x:v>
      </x:c>
      <x:c r="F1299" s="56" t="n">
        <x:v>46.32655</x:v>
      </x:c>
      <x:c r="G1299" s="56" t="n">
        <x:v>-90.261298</x:v>
      </x:c>
      <x:c r="H1299" s="44" t="n">
        <x:f>E1299/SUMIF(A:A,A1299,E:E)</x:f>
        <x:v>0.0005567631225987489</x:v>
      </x:c>
    </x:row>
    <x:row r="1300" ht="21.600000381469727" hidden="0" customHeight="1">
      <x:c r="A1300" s="27" t="str">
        <x:v>SCA-18</x:v>
      </x:c>
      <x:c r="B1300" s="27" t="str">
        <x:v>27051</x:v>
      </x:c>
      <x:c r="C1300" s="27" t="str">
        <x:v>MN</x:v>
      </x:c>
      <x:c r="D1300" s="27" t="str">
        <x:v>Grant County</x:v>
      </x:c>
      <x:c r="E1300" s="40" t="n">
        <x:v>6085</x:v>
      </x:c>
      <x:c r="F1300" s="55" t="n">
        <x:v>45.930743</x:v>
      </x:c>
      <x:c r="G1300" s="55" t="n">
        <x:v>-96.010699</x:v>
      </x:c>
      <x:c r="H1300" s="43" t="n">
        <x:f>E1300/SUMIF(A:A,A1300,E:E)</x:f>
        <x:v>0.0005529465645525358</x:v>
      </x:c>
    </x:row>
    <x:row r="1301" ht="21.600000381469727" hidden="0" customHeight="1">
      <x:c r="A1301" s="29" t="str">
        <x:v>SCA-18</x:v>
      </x:c>
      <x:c r="B1301" s="29" t="str">
        <x:v>19143</x:v>
      </x:c>
      <x:c r="C1301" s="29" t="str">
        <x:v>IA</x:v>
      </x:c>
      <x:c r="D1301" s="29" t="str">
        <x:v>Osceola County</x:v>
      </x:c>
      <x:c r="E1301" s="41" t="n">
        <x:v>5980</x:v>
      </x:c>
      <x:c r="F1301" s="56" t="n">
        <x:v>43.378542</x:v>
      </x:c>
      <x:c r="G1301" s="56" t="n">
        <x:v>-95.633788</x:v>
      </x:c>
      <x:c r="H1301" s="44" t="n">
        <x:f>E1301/SUMIF(A:A,A1301,E:E)</x:f>
        <x:v>0.0005434051694370031</x:v>
      </x:c>
    </x:row>
    <x:row r="1302" ht="21.600000381469727" hidden="0" customHeight="1">
      <x:c r="A1302" s="27" t="str">
        <x:v>SCA-18</x:v>
      </x:c>
      <x:c r="B1302" s="27" t="str">
        <x:v>46087</x:v>
      </x:c>
      <x:c r="C1302" s="27" t="str">
        <x:v>SD</x:v>
      </x:c>
      <x:c r="D1302" s="27" t="str">
        <x:v>McCook County</x:v>
      </x:c>
      <x:c r="E1302" s="40" t="n">
        <x:v>5964</x:v>
      </x:c>
      <x:c r="F1302" s="55" t="n">
        <x:v>43.680416</x:v>
      </x:c>
      <x:c r="G1302" s="55" t="n">
        <x:v>-97.358048</x:v>
      </x:c>
      <x:c r="H1302" s="43" t="n">
        <x:f>E1302/SUMIF(A:A,A1302,E:E)</x:f>
        <x:v>0.0005419512425622554</x:v>
      </x:c>
    </x:row>
    <x:row r="1303" ht="21.600000381469727" hidden="0" customHeight="1">
      <x:c r="A1303" s="29" t="str">
        <x:v>SCA-18</x:v>
      </x:c>
      <x:c r="B1303" s="29" t="str">
        <x:v>26131</x:v>
      </x:c>
      <x:c r="C1303" s="29" t="str">
        <x:v>MI</x:v>
      </x:c>
      <x:c r="D1303" s="29" t="str">
        <x:v>Ontonagon County</x:v>
      </x:c>
      <x:c r="E1303" s="41" t="n">
        <x:v>5823</x:v>
      </x:c>
      <x:c r="F1303" s="56" t="n">
        <x:v>46.835203</x:v>
      </x:c>
      <x:c r="G1303" s="56" t="n">
        <x:v>-89.276943</x:v>
      </x:c>
      <x:c r="H1303" s="44" t="n">
        <x:f>E1303/SUMIF(A:A,A1303,E:E)</x:f>
        <x:v>0.00052913851197854</x:v>
      </x:c>
    </x:row>
    <x:row r="1304" ht="21.600000381469727" hidden="0" customHeight="1">
      <x:c r="A1304" s="27" t="str">
        <x:v>SCA-18</x:v>
      </x:c>
      <x:c r="B1304" s="27" t="str">
        <x:v>38005</x:v>
      </x:c>
      <x:c r="C1304" s="27" t="str">
        <x:v>ND</x:v>
      </x:c>
      <x:c r="D1304" s="27" t="str">
        <x:v>Benson County</x:v>
      </x:c>
      <x:c r="E1304" s="40" t="n">
        <x:v>5759</x:v>
      </x:c>
      <x:c r="F1304" s="55" t="n">
        <x:v>48.071743</x:v>
      </x:c>
      <x:c r="G1304" s="55" t="n">
        <x:v>-99.351152</x:v>
      </x:c>
      <x:c r="H1304" s="43" t="n">
        <x:f>E1304/SUMIF(A:A,A1304,E:E)</x:f>
        <x:v>0.0005233228044795487</x:v>
      </x:c>
    </x:row>
    <x:row r="1305" ht="15" hidden="0" customHeight="1">
      <x:c r="A1305" s="29" t="str">
        <x:v>SCA-18</x:v>
      </x:c>
      <x:c r="B1305" s="29" t="str">
        <x:v>46123</x:v>
      </x:c>
      <x:c r="C1305" s="29" t="str">
        <x:v>SD</x:v>
      </x:c>
      <x:c r="D1305" s="29" t="str">
        <x:v>Tripp County</x:v>
      </x:c>
      <x:c r="E1305" s="41" t="n">
        <x:v>5708</x:v>
      </x:c>
      <x:c r="F1305" s="56" t="n">
        <x:v>43.349729</x:v>
      </x:c>
      <x:c r="G1305" s="56" t="n">
        <x:v>-99.876219</x:v>
      </x:c>
      <x:c r="H1305" s="44" t="n">
        <x:f>E1305/SUMIF(A:A,A1305,E:E)</x:f>
        <x:v>0.00051868841256629</x:v>
      </x:c>
    </x:row>
    <x:row r="1306" ht="21.600000381469727" hidden="0" customHeight="1">
      <x:c r="A1306" s="27" t="str">
        <x:v>SCA-18</x:v>
      </x:c>
      <x:c r="B1306" s="27" t="str">
        <x:v>38073</x:v>
      </x:c>
      <x:c r="C1306" s="27" t="str">
        <x:v>ND</x:v>
      </x:c>
      <x:c r="D1306" s="27" t="str">
        <x:v>Ransom County</x:v>
      </x:c>
      <x:c r="E1306" s="40" t="n">
        <x:v>5617</x:v>
      </x:c>
      <x:c r="F1306" s="55" t="n">
        <x:v>46.449276</x:v>
      </x:c>
      <x:c r="G1306" s="55" t="n">
        <x:v>-97.647554</x:v>
      </x:c>
      <x:c r="H1306" s="43" t="n">
        <x:f>E1306/SUMIF(A:A,A1306,E:E)</x:f>
        <x:v>0.0005104192034661617</x:v>
      </x:c>
    </x:row>
    <x:row r="1307" ht="21.600000381469727" hidden="0" customHeight="1">
      <x:c r="A1307" s="29" t="str">
        <x:v>SCA-18</x:v>
      </x:c>
      <x:c r="B1307" s="29" t="str">
        <x:v>31051</x:v>
      </x:c>
      <x:c r="C1307" s="29" t="str">
        <x:v>NE</x:v>
      </x:c>
      <x:c r="D1307" s="29" t="str">
        <x:v>Dixon County</x:v>
      </x:c>
      <x:c r="E1307" s="41" t="n">
        <x:v>5602</x:v>
      </x:c>
      <x:c r="F1307" s="56" t="n">
        <x:v>42.485086</x:v>
      </x:c>
      <x:c r="G1307" s="56" t="n">
        <x:v>-96.855784</x:v>
      </x:c>
      <x:c r="H1307" s="44" t="n">
        <x:f>E1307/SUMIF(A:A,A1307,E:E)</x:f>
        <x:v>0.0005090561470210855</x:v>
      </x:c>
    </x:row>
    <x:row r="1308" ht="21.600000381469727" hidden="0" customHeight="1">
      <x:c r="A1308" s="27" t="str">
        <x:v>SCA-18</x:v>
      </x:c>
      <x:c r="B1308" s="27" t="str">
        <x:v>27081</x:v>
      </x:c>
      <x:c r="C1308" s="27" t="str">
        <x:v>MN</x:v>
      </x:c>
      <x:c r="D1308" s="27" t="str">
        <x:v>Lincoln County</x:v>
      </x:c>
      <x:c r="E1308" s="40" t="n">
        <x:v>5583</x:v>
      </x:c>
      <x:c r="F1308" s="55" t="n">
        <x:v>44.408238</x:v>
      </x:c>
      <x:c r="G1308" s="55" t="n">
        <x:v>-96.272032</x:v>
      </x:c>
      <x:c r="H1308" s="43" t="n">
        <x:f>E1308/SUMIF(A:A,A1308,E:E)</x:f>
        <x:v>0.0005073296088573226</x:v>
      </x:c>
    </x:row>
    <x:row r="1309" ht="15" hidden="0" customHeight="1">
      <x:c r="A1309" s="29" t="str">
        <x:v>SCA-18</x:v>
      </x:c>
      <x:c r="B1309" s="29" t="str">
        <x:v>27031</x:v>
      </x:c>
      <x:c r="C1309" s="29" t="str">
        <x:v>MN</x:v>
      </x:c>
      <x:c r="D1309" s="29" t="str">
        <x:v>Cook County</x:v>
      </x:c>
      <x:c r="E1309" s="41" t="n">
        <x:v>5522</x:v>
      </x:c>
      <x:c r="F1309" s="56" t="n">
        <x:v>47.758556</x:v>
      </x:c>
      <x:c r="G1309" s="56" t="n">
        <x:v>-90.344319</x:v>
      </x:c>
      <x:c r="H1309" s="44" t="n">
        <x:f>E1309/SUMIF(A:A,A1309,E:E)</x:f>
        <x:v>0.0005017865126473464</x:v>
      </x:c>
    </x:row>
    <x:row r="1310" ht="21.600000381469727" hidden="0" customHeight="1">
      <x:c r="A1310" s="27" t="str">
        <x:v>SCA-18</x:v>
      </x:c>
      <x:c r="B1310" s="27" t="str">
        <x:v>19009</x:v>
      </x:c>
      <x:c r="C1310" s="27" t="str">
        <x:v>IA</x:v>
      </x:c>
      <x:c r="D1310" s="27" t="str">
        <x:v>Audubon County</x:v>
      </x:c>
      <x:c r="E1310" s="40" t="n">
        <x:v>5509</x:v>
      </x:c>
      <x:c r="F1310" s="55" t="n">
        <x:v>41.679178</x:v>
      </x:c>
      <x:c r="G1310" s="55" t="n">
        <x:v>-94.904312</x:v>
      </x:c>
      <x:c r="H1310" s="43" t="n">
        <x:f>E1310/SUMIF(A:A,A1310,E:E)</x:f>
        <x:v>0.0005006051970616138</x:v>
      </x:c>
    </x:row>
    <x:row r="1311" ht="15" hidden="0" customHeight="1">
      <x:c r="A1311" s="29" t="str">
        <x:v>SCA-18</x:v>
      </x:c>
      <x:c r="B1311" s="29" t="str">
        <x:v>46037</x:v>
      </x:c>
      <x:c r="C1311" s="29" t="str">
        <x:v>SD</x:v>
      </x:c>
      <x:c r="D1311" s="29" t="str">
        <x:v>Day County</x:v>
      </x:c>
      <x:c r="E1311" s="41" t="n">
        <x:v>5484</x:v>
      </x:c>
      <x:c r="F1311" s="56" t="n">
        <x:v>45.355161</x:v>
      </x:c>
      <x:c r="G1311" s="56" t="n">
        <x:v>-97.58143</x:v>
      </x:c>
      <x:c r="H1311" s="44" t="n">
        <x:f>E1311/SUMIF(A:A,A1311,E:E)</x:f>
        <x:v>0.0004983334363198203</x:v>
      </x:c>
    </x:row>
    <x:row r="1312" ht="21.600000381469727" hidden="0" customHeight="1">
      <x:c r="A1312" s="27" t="str">
        <x:v>SCA-18</x:v>
      </x:c>
      <x:c r="B1312" s="27" t="str">
        <x:v>46041</x:v>
      </x:c>
      <x:c r="C1312" s="27" t="str">
        <x:v>SD</x:v>
      </x:c>
      <x:c r="D1312" s="27" t="str">
        <x:v>Dewey County</x:v>
      </x:c>
      <x:c r="E1312" s="40" t="n">
        <x:v>5419</x:v>
      </x:c>
      <x:c r="F1312" s="55" t="n">
        <x:v>45.148049</x:v>
      </x:c>
      <x:c r="G1312" s="55" t="n">
        <x:v>-100.837953</x:v>
      </x:c>
      <x:c r="H1312" s="43" t="n">
        <x:f>E1312/SUMIF(A:A,A1312,E:E)</x:f>
        <x:v>0.0004924268583911572</x:v>
      </x:c>
    </x:row>
    <x:row r="1313" ht="21.600000381469727" hidden="0" customHeight="1">
      <x:c r="A1313" s="29" t="str">
        <x:v>SCA-18</x:v>
      </x:c>
      <x:c r="B1313" s="29" t="str">
        <x:v>46077</x:v>
      </x:c>
      <x:c r="C1313" s="29" t="str">
        <x:v>SD</x:v>
      </x:c>
      <x:c r="D1313" s="29" t="str">
        <x:v>Kingsbury County</x:v>
      </x:c>
      <x:c r="E1313" s="41" t="n">
        <x:v>5284</x:v>
      </x:c>
      <x:c r="F1313" s="56" t="n">
        <x:v>44.362969</x:v>
      </x:c>
      <x:c r="G1313" s="56" t="n">
        <x:v>-97.499313</x:v>
      </x:c>
      <x:c r="H1313" s="44" t="n">
        <x:f>E1313/SUMIF(A:A,A1313,E:E)</x:f>
        <x:v>0.00048015935038547234</x:v>
      </x:c>
    </x:row>
    <x:row r="1314" ht="15" hidden="0" customHeight="1">
      <x:c r="A1314" s="27" t="str">
        <x:v>SCA-18</x:v>
      </x:c>
      <x:c r="B1314" s="27" t="str">
        <x:v>46015</x:v>
      </x:c>
      <x:c r="C1314" s="27" t="str">
        <x:v>SD</x:v>
      </x:c>
      <x:c r="D1314" s="27" t="str">
        <x:v>Brule County</x:v>
      </x:c>
      <x:c r="E1314" s="40" t="n">
        <x:v>5278</x:v>
      </x:c>
      <x:c r="F1314" s="55" t="n">
        <x:v>43.729873</x:v>
      </x:c>
      <x:c r="G1314" s="55" t="n">
        <x:v>-99.092909</x:v>
      </x:c>
      <x:c r="H1314" s="43" t="n">
        <x:f>E1314/SUMIF(A:A,A1314,E:E)</x:f>
        <x:v>0.00047961412780744194</x:v>
      </x:c>
    </x:row>
    <x:row r="1315" ht="21.600000381469727" hidden="0" customHeight="1">
      <x:c r="A1315" s="29" t="str">
        <x:v>SCA-18</x:v>
      </x:c>
      <x:c r="B1315" s="29" t="str">
        <x:v>46129</x:v>
      </x:c>
      <x:c r="C1315" s="29" t="str">
        <x:v>SD</x:v>
      </x:c>
      <x:c r="D1315" s="29" t="str">
        <x:v>Walworth County</x:v>
      </x:c>
      <x:c r="E1315" s="41" t="n">
        <x:v>5217</x:v>
      </x:c>
      <x:c r="F1315" s="56" t="n">
        <x:v>45.427605</x:v>
      </x:c>
      <x:c r="G1315" s="56" t="n">
        <x:v>-100.027856</x:v>
      </x:c>
      <x:c r="H1315" s="44" t="n">
        <x:f>E1315/SUMIF(A:A,A1315,E:E)</x:f>
        <x:v>0.0004740710315974658</x:v>
      </x:c>
    </x:row>
    <x:row r="1316" ht="21.600000381469727" hidden="0" customHeight="1">
      <x:c r="A1316" s="27" t="str">
        <x:v>SCA-18</x:v>
      </x:c>
      <x:c r="B1316" s="27" t="str">
        <x:v>27087</x:v>
      </x:c>
      <x:c r="C1316" s="27" t="str">
        <x:v>MN</x:v>
      </x:c>
      <x:c r="D1316" s="27" t="str">
        <x:v>Mahnomen County</x:v>
      </x:c>
      <x:c r="E1316" s="40" t="n">
        <x:v>5153</x:v>
      </x:c>
      <x:c r="F1316" s="55" t="n">
        <x:v>47.328387</x:v>
      </x:c>
      <x:c r="G1316" s="55" t="n">
        <x:v>-95.811089</x:v>
      </x:c>
      <x:c r="H1316" s="43" t="n">
        <x:f>E1316/SUMIF(A:A,A1316,E:E)</x:f>
        <x:v>0.00046825532409847445</x:v>
      </x:c>
    </x:row>
    <x:row r="1317" ht="21.600000381469727" hidden="0" customHeight="1">
      <x:c r="A1317" s="29" t="str">
        <x:v>SCA-18</x:v>
      </x:c>
      <x:c r="B1317" s="29" t="str">
        <x:v>38049</x:v>
      </x:c>
      <x:c r="C1317" s="29" t="str">
        <x:v>ND</x:v>
      </x:c>
      <x:c r="D1317" s="29" t="str">
        <x:v>McHenry County</x:v>
      </x:c>
      <x:c r="E1317" s="41" t="n">
        <x:v>5130</x:v>
      </x:c>
      <x:c r="F1317" s="56" t="n">
        <x:v>48.233842</x:v>
      </x:c>
      <x:c r="G1317" s="56" t="n">
        <x:v>-100.633267</x:v>
      </x:c>
      <x:c r="H1317" s="44" t="n">
        <x:f>E1317/SUMIF(A:A,A1317,E:E)</x:f>
        <x:v>0.00046616530421602443</x:v>
      </x:c>
    </x:row>
    <x:row r="1318" ht="21.600000381469727" hidden="0" customHeight="1">
      <x:c r="A1318" s="27" t="str">
        <x:v>SCA-18</x:v>
      </x:c>
      <x:c r="B1318" s="27" t="str">
        <x:v>27011</x:v>
      </x:c>
      <x:c r="C1318" s="27" t="str">
        <x:v>MN</x:v>
      </x:c>
      <x:c r="D1318" s="27" t="str">
        <x:v>Big Stone County</x:v>
      </x:c>
      <x:c r="E1318" s="40" t="n">
        <x:v>5054</x:v>
      </x:c>
      <x:c r="F1318" s="55" t="n">
        <x:v>45.419925</x:v>
      </x:c>
      <x:c r="G1318" s="55" t="n">
        <x:v>-96.402226</x:v>
      </x:c>
      <x:c r="H1318" s="43" t="n">
        <x:f>E1318/SUMIF(A:A,A1318,E:E)</x:f>
        <x:v>0.0004592591515609722</x:v>
      </x:c>
    </x:row>
    <x:row r="1319" ht="21.600000381469727" hidden="0" customHeight="1">
      <x:c r="A1319" s="29" t="str">
        <x:v>SCA-18</x:v>
      </x:c>
      <x:c r="B1319" s="29" t="str">
        <x:v>38021</x:v>
      </x:c>
      <x:c r="C1319" s="29" t="str">
        <x:v>ND</x:v>
      </x:c>
      <x:c r="D1319" s="29" t="str">
        <x:v>Dickey County</x:v>
      </x:c>
      <x:c r="E1319" s="41" t="n">
        <x:v>4895</x:v>
      </x:c>
      <x:c r="F1319" s="56" t="n">
        <x:v>46.107756</x:v>
      </x:c>
      <x:c r="G1319" s="56" t="n">
        <x:v>-98.496518</x:v>
      </x:c>
      <x:c r="H1319" s="44" t="n">
        <x:f>E1319/SUMIF(A:A,A1319,E:E)</x:f>
        <x:v>0.0004448107532431656</x:v>
      </x:c>
    </x:row>
    <x:row r="1320" ht="21.600000381469727" hidden="0" customHeight="1">
      <x:c r="A1320" s="27" t="str">
        <x:v>SCA-18</x:v>
      </x:c>
      <x:c r="B1320" s="27" t="str">
        <x:v>55037</x:v>
      </x:c>
      <x:c r="C1320" s="27" t="str">
        <x:v>WI</x:v>
      </x:c>
      <x:c r="D1320" s="27" t="str">
        <x:v>Florence County</x:v>
      </x:c>
      <x:c r="E1320" s="40" t="n">
        <x:v>4748</x:v>
      </x:c>
      <x:c r="F1320" s="55" t="n">
        <x:v>45.871828</x:v>
      </x:c>
      <x:c r="G1320" s="55" t="n">
        <x:v>-88.406988</x:v>
      </x:c>
      <x:c r="H1320" s="43" t="n">
        <x:f>E1320/SUMIF(A:A,A1320,E:E)</x:f>
        <x:v>0.00043145280008141993</x:v>
      </x:c>
    </x:row>
    <x:row r="1321" ht="21.600000381469727" hidden="0" customHeight="1">
      <x:c r="A1321" s="29" t="str">
        <x:v>SCA-18</x:v>
      </x:c>
      <x:c r="B1321" s="29" t="str">
        <x:v>46091</x:v>
      </x:c>
      <x:c r="C1321" s="29" t="str">
        <x:v>SD</x:v>
      </x:c>
      <x:c r="D1321" s="29" t="str">
        <x:v>Marshall County</x:v>
      </x:c>
      <x:c r="E1321" s="41" t="n">
        <x:v>4426</x:v>
      </x:c>
      <x:c r="F1321" s="56" t="n">
        <x:v>45.737044</x:v>
      </x:c>
      <x:c r="G1321" s="56" t="n">
        <x:v>-97.58087</x:v>
      </x:c>
      <x:c r="H1321" s="44" t="n">
        <x:f>E1321/SUMIF(A:A,A1321,E:E)</x:f>
        <x:v>0.00040219252172711973</x:v>
      </x:c>
    </x:row>
    <x:row r="1322" ht="21.600000381469727" hidden="0" customHeight="1">
      <x:c r="A1322" s="27" t="str">
        <x:v>SCA-18</x:v>
      </x:c>
      <x:c r="B1322" s="27" t="str">
        <x:v>46039</x:v>
      </x:c>
      <x:c r="C1322" s="27" t="str">
        <x:v>SD</x:v>
      </x:c>
      <x:c r="D1322" s="27" t="str">
        <x:v>Deuel County</x:v>
      </x:c>
      <x:c r="E1322" s="40" t="n">
        <x:v>4408</x:v>
      </x:c>
      <x:c r="F1322" s="55" t="n">
        <x:v>44.75629</x:v>
      </x:c>
      <x:c r="G1322" s="55" t="n">
        <x:v>-96.690239</x:v>
      </x:c>
      <x:c r="H1322" s="43" t="n">
        <x:f>E1322/SUMIF(A:A,A1322,E:E)</x:f>
        <x:v>0.0004005568539930284</x:v>
      </x:c>
    </x:row>
    <x:row r="1323" ht="21.600000381469727" hidden="0" customHeight="1">
      <x:c r="A1323" s="29" t="str">
        <x:v>SCA-18</x:v>
      </x:c>
      <x:c r="B1323" s="29" t="str">
        <x:v>38045</x:v>
      </x:c>
      <x:c r="C1323" s="29" t="str">
        <x:v>ND</x:v>
      </x:c>
      <x:c r="D1323" s="29" t="str">
        <x:v>LaMoure County</x:v>
      </x:c>
      <x:c r="E1323" s="41" t="n">
        <x:v>4135</x:v>
      </x:c>
      <x:c r="F1323" s="56" t="n">
        <x:v>46.464195</x:v>
      </x:c>
      <x:c r="G1323" s="56" t="n">
        <x:v>-98.526057</x:v>
      </x:c>
      <x:c r="H1323" s="44" t="n">
        <x:f>E1323/SUMIF(A:A,A1323,E:E)</x:f>
        <x:v>0.0003757492266926435</x:v>
      </x:c>
    </x:row>
    <x:row r="1324" ht="15" hidden="0" customHeight="1">
      <x:c r="A1324" s="27" t="str">
        <x:v>SCA-18</x:v>
      </x:c>
      <x:c r="B1324" s="27" t="str">
        <x:v>38025</x:v>
      </x:c>
      <x:c r="C1324" s="27" t="str">
        <x:v>ND</x:v>
      </x:c>
      <x:c r="D1324" s="27" t="str">
        <x:v>Dunn County</x:v>
      </x:c>
      <x:c r="E1324" s="40" t="n">
        <x:v>4058</x:v>
      </x:c>
      <x:c r="F1324" s="55" t="n">
        <x:v>47.354557</x:v>
      </x:c>
      <x:c r="G1324" s="55" t="n">
        <x:v>-102.612322</x:v>
      </x:c>
      <x:c r="H1324" s="43" t="n">
        <x:f>E1324/SUMIF(A:A,A1324,E:E)</x:f>
        <x:v>0.00036875220360791956</x:v>
      </x:c>
    </x:row>
    <x:row r="1325" ht="21.600000381469727" hidden="0" customHeight="1">
      <x:c r="A1325" s="29" t="str">
        <x:v>SCA-18</x:v>
      </x:c>
      <x:c r="B1325" s="29" t="str">
        <x:v>46053</x:v>
      </x:c>
      <x:c r="C1325" s="29" t="str">
        <x:v>SD</x:v>
      </x:c>
      <x:c r="D1325" s="29" t="str">
        <x:v>Gregory County</x:v>
      </x:c>
      <x:c r="E1325" s="41" t="n">
        <x:v>4037</x:v>
      </x:c>
      <x:c r="F1325" s="56" t="n">
        <x:v>43.175142</x:v>
      </x:c>
      <x:c r="G1325" s="56" t="n">
        <x:v>-99.206591</x:v>
      </x:c>
      <x:c r="H1325" s="44" t="n">
        <x:f>E1325/SUMIF(A:A,A1325,E:E)</x:f>
        <x:v>0.000366843924584813</x:v>
      </x:c>
    </x:row>
    <x:row r="1326" ht="21.600000381469727" hidden="0" customHeight="1">
      <x:c r="A1326" s="27" t="str">
        <x:v>SCA-18</x:v>
      </x:c>
      <x:c r="B1326" s="27" t="str">
        <x:v>27069</x:v>
      </x:c>
      <x:c r="C1326" s="27" t="str">
        <x:v>MN</x:v>
      </x:c>
      <x:c r="D1326" s="27" t="str">
        <x:v>Kittson County</x:v>
      </x:c>
      <x:c r="E1326" s="40" t="n">
        <x:v>4031</x:v>
      </x:c>
      <x:c r="F1326" s="55" t="n">
        <x:v>48.77604</x:v>
      </x:c>
      <x:c r="G1326" s="55" t="n">
        <x:v>-96.780349</x:v>
      </x:c>
      <x:c r="H1326" s="43" t="n">
        <x:f>E1326/SUMIF(A:A,A1326,E:E)</x:f>
        <x:v>0.00036629870200678255</x:v>
      </x:c>
    </x:row>
    <x:row r="1327" ht="15" hidden="0" customHeight="1">
      <x:c r="A1327" s="29" t="str">
        <x:v>SCA-18</x:v>
      </x:c>
      <x:c r="B1327" s="29" t="str">
        <x:v>46025</x:v>
      </x:c>
      <x:c r="C1327" s="29" t="str">
        <x:v>SD</x:v>
      </x:c>
      <x:c r="D1327" s="29" t="str">
        <x:v>Clark County</x:v>
      </x:c>
      <x:c r="E1327" s="41" t="n">
        <x:v>4031</x:v>
      </x:c>
      <x:c r="F1327" s="56" t="n">
        <x:v>44.855211</x:v>
      </x:c>
      <x:c r="G1327" s="56" t="n">
        <x:v>-97.724912</x:v>
      </x:c>
      <x:c r="H1327" s="44" t="n">
        <x:f>E1327/SUMIF(A:A,A1327,E:E)</x:f>
        <x:v>0.00036629870200678255</x:v>
      </x:c>
    </x:row>
    <x:row r="1328" ht="21.600000381469727" hidden="0" customHeight="1">
      <x:c r="A1328" s="27" t="str">
        <x:v>SCA-18</x:v>
      </x:c>
      <x:c r="B1328" s="27" t="str">
        <x:v>46045</x:v>
      </x:c>
      <x:c r="C1328" s="27" t="str">
        <x:v>SD</x:v>
      </x:c>
      <x:c r="D1328" s="27" t="str">
        <x:v>Edmunds County</x:v>
      </x:c>
      <x:c r="E1328" s="40" t="n">
        <x:v>4022</x:v>
      </x:c>
      <x:c r="F1328" s="55" t="n">
        <x:v>45.41168</x:v>
      </x:c>
      <x:c r="G1328" s="55" t="n">
        <x:v>-99.205362</x:v>
      </x:c>
      <x:c r="H1328" s="43" t="n">
        <x:f>E1328/SUMIF(A:A,A1328,E:E)</x:f>
        <x:v>0.0003654808681397369</x:v>
      </x:c>
    </x:row>
    <x:row r="1329" ht="21.600000381469727" hidden="0" customHeight="1">
      <x:c r="A1329" s="29" t="str">
        <x:v>SCA-18</x:v>
      </x:c>
      <x:c r="B1329" s="29" t="str">
        <x:v>27125</x:v>
      </x:c>
      <x:c r="C1329" s="29" t="str">
        <x:v>MN</x:v>
      </x:c>
      <x:c r="D1329" s="29" t="str">
        <x:v>Red Lake County</x:v>
      </x:c>
      <x:c r="E1329" s="41" t="n">
        <x:v>3940</x:v>
      </x:c>
      <x:c r="F1329" s="56" t="n">
        <x:v>47.865487</x:v>
      </x:c>
      <x:c r="G1329" s="56" t="n">
        <x:v>-96.08718</x:v>
      </x:c>
      <x:c r="H1329" s="44" t="n">
        <x:f>E1329/SUMIF(A:A,A1329,E:E)</x:f>
        <x:v>0.00035802949290665424</x:v>
      </x:c>
    </x:row>
    <x:row r="1330" ht="21.600000381469727" hidden="0" customHeight="1">
      <x:c r="A1330" s="27" t="str">
        <x:v>SCA-18</x:v>
      </x:c>
      <x:c r="B1330" s="27" t="str">
        <x:v>38069</x:v>
      </x:c>
      <x:c r="C1330" s="27" t="str">
        <x:v>ND</x:v>
      </x:c>
      <x:c r="D1330" s="27" t="str">
        <x:v>Pierce County</x:v>
      </x:c>
      <x:c r="E1330" s="40" t="n">
        <x:v>3838</x:v>
      </x:c>
      <x:c r="F1330" s="55" t="n">
        <x:v>48.238883</x:v>
      </x:c>
      <x:c r="G1330" s="55" t="n">
        <x:v>-99.966497</x:v>
      </x:c>
      <x:c r="H1330" s="43" t="n">
        <x:f>E1330/SUMIF(A:A,A1330,E:E)</x:f>
        <x:v>0.0003487607090801368</x:v>
      </x:c>
    </x:row>
    <x:row r="1331" ht="21.600000381469727" hidden="0" customHeight="1">
      <x:c r="A1331" s="29" t="str">
        <x:v>SCA-18</x:v>
      </x:c>
      <x:c r="B1331" s="29" t="str">
        <x:v>46031</x:v>
      </x:c>
      <x:c r="C1331" s="29" t="str">
        <x:v>SD</x:v>
      </x:c>
      <x:c r="D1331" s="29" t="str">
        <x:v>Corson County</x:v>
      </x:c>
      <x:c r="E1331" s="41" t="n">
        <x:v>3781</x:v>
      </x:c>
      <x:c r="F1331" s="56" t="n">
        <x:v>45.685671</x:v>
      </x:c>
      <x:c r="G1331" s="56" t="n">
        <x:v>-101.179665</x:v>
      </x:c>
      <x:c r="H1331" s="44" t="n">
        <x:f>E1331/SUMIF(A:A,A1331,E:E)</x:f>
        <x:v>0.00034358109458884763</x:v>
      </x:c>
    </x:row>
    <x:row r="1332" ht="32.400001525878906" hidden="0" customHeight="1">
      <x:c r="A1332" s="27" t="str">
        <x:v>SCA-18</x:v>
      </x:c>
      <x:c r="B1332" s="27" t="str">
        <x:v>27077</x:v>
      </x:c>
      <x:c r="C1332" s="27" t="str">
        <x:v>MN</x:v>
      </x:c>
      <x:c r="D1332" s="27" t="str">
        <x:v>Lake of the Woods County</x:v>
      </x:c>
      <x:c r="E1332" s="40" t="n">
        <x:v>3770</x:v>
      </x:c>
      <x:c r="F1332" s="55" t="n">
        <x:v>48.7681</x:v>
      </x:c>
      <x:c r="G1332" s="55" t="n">
        <x:v>-94.904633</x:v>
      </x:c>
      <x:c r="H1332" s="43" t="n">
        <x:f>E1332/SUMIF(A:A,A1332,E:E)</x:f>
        <x:v>0.00034258151986245853</x:v>
      </x:c>
    </x:row>
    <x:row r="1333" ht="15" hidden="0" customHeight="1">
      <x:c r="A1333" s="29" t="str">
        <x:v>SCA-18</x:v>
      </x:c>
      <x:c r="B1333" s="29" t="str">
        <x:v>38103</x:v>
      </x:c>
      <x:c r="C1333" s="29" t="str">
        <x:v>ND</x:v>
      </x:c>
      <x:c r="D1333" s="29" t="str">
        <x:v>Wells County</x:v>
      </x:c>
      <x:c r="E1333" s="41" t="n">
        <x:v>3729</x:v>
      </x:c>
      <x:c r="F1333" s="56" t="n">
        <x:v>47.580851</x:v>
      </x:c>
      <x:c r="G1333" s="56" t="n">
        <x:v>-99.682213</x:v>
      </x:c>
      <x:c r="H1333" s="44" t="n">
        <x:f>E1333/SUMIF(A:A,A1333,E:E)</x:f>
        <x:v>0.0003388558322459172</x:v>
      </x:c>
    </x:row>
    <x:row r="1334" ht="21.600000381469727" hidden="0" customHeight="1">
      <x:c r="A1334" s="27" t="str">
        <x:v>SCA-18</x:v>
      </x:c>
      <x:c r="B1334" s="27" t="str">
        <x:v>38081</x:v>
      </x:c>
      <x:c r="C1334" s="27" t="str">
        <x:v>ND</x:v>
      </x:c>
      <x:c r="D1334" s="27" t="str">
        <x:v>Sargent County</x:v>
      </x:c>
      <x:c r="E1334" s="40" t="n">
        <x:v>3711</x:v>
      </x:c>
      <x:c r="F1334" s="55" t="n">
        <x:v>46.108204</x:v>
      </x:c>
      <x:c r="G1334" s="55" t="n">
        <x:v>-97.630051</x:v>
      </x:c>
      <x:c r="H1334" s="43" t="n">
        <x:f>E1334/SUMIF(A:A,A1334,E:E)</x:f>
        <x:v>0.0003372201645118259</x:v>
      </x:c>
    </x:row>
    <x:row r="1335" ht="21.600000381469727" hidden="0" customHeight="1">
      <x:c r="A1335" s="29" t="str">
        <x:v>SCA-18</x:v>
      </x:c>
      <x:c r="B1335" s="29" t="str">
        <x:v>46085</x:v>
      </x:c>
      <x:c r="C1335" s="29" t="str">
        <x:v>SD</x:v>
      </x:c>
      <x:c r="D1335" s="29" t="str">
        <x:v>Lyman County</x:v>
      </x:c>
      <x:c r="E1335" s="41" t="n">
        <x:v>3694</x:v>
      </x:c>
      <x:c r="F1335" s="56" t="n">
        <x:v>43.894812</x:v>
      </x:c>
      <x:c r="G1335" s="56" t="n">
        <x:v>-99.841925</x:v>
      </x:c>
      <x:c r="H1335" s="44" t="n">
        <x:f>E1335/SUMIF(A:A,A1335,E:E)</x:f>
        <x:v>0.0003356753672074063</x:v>
      </x:c>
    </x:row>
    <x:row r="1336" ht="21.600000381469727" hidden="0" customHeight="1">
      <x:c r="A1336" s="27" t="str">
        <x:v>SCA-18</x:v>
      </x:c>
      <x:c r="B1336" s="27" t="str">
        <x:v>38085</x:v>
      </x:c>
      <x:c r="C1336" s="27" t="str">
        <x:v>ND</x:v>
      </x:c>
      <x:c r="D1336" s="27" t="str">
        <x:v>Sioux County</x:v>
      </x:c>
      <x:c r="E1336" s="40" t="n">
        <x:v>3667</x:v>
      </x:c>
      <x:c r="F1336" s="55" t="n">
        <x:v>46.110618</x:v>
      </x:c>
      <x:c r="G1336" s="55" t="n">
        <x:v>-101.061284</x:v>
      </x:c>
      <x:c r="H1336" s="43" t="n">
        <x:f>E1336/SUMIF(A:A,A1336,E:E)</x:f>
        <x:v>0.0003332218656062693</x:v>
      </x:c>
    </x:row>
    <x:row r="1337" ht="21.600000381469727" hidden="0" customHeight="1">
      <x:c r="A1337" s="29" t="str">
        <x:v>SCA-18</x:v>
      </x:c>
      <x:c r="B1337" s="29" t="str">
        <x:v>19003</x:v>
      </x:c>
      <x:c r="C1337" s="29" t="str">
        <x:v>IA</x:v>
      </x:c>
      <x:c r="D1337" s="29" t="str">
        <x:v>Adams County</x:v>
      </x:c>
      <x:c r="E1337" s="41" t="n">
        <x:v>3617</x:v>
      </x:c>
      <x:c r="F1337" s="56" t="n">
        <x:v>41.021656</x:v>
      </x:c>
      <x:c r="G1337" s="56" t="n">
        <x:v>-94.696906</x:v>
      </x:c>
      <x:c r="H1337" s="44" t="n">
        <x:f>E1337/SUMIF(A:A,A1337,E:E)</x:f>
        <x:v>0.00032867834412268234</x:v>
      </x:c>
    </x:row>
    <x:row r="1338" ht="21.600000381469727" hidden="0" customHeight="1">
      <x:c r="A1338" s="27" t="str">
        <x:v>SCA-18</x:v>
      </x:c>
      <x:c r="B1338" s="27" t="str">
        <x:v>38019</x:v>
      </x:c>
      <x:c r="C1338" s="27" t="str">
        <x:v>ND</x:v>
      </x:c>
      <x:c r="D1338" s="27" t="str">
        <x:v>Cavalier County</x:v>
      </x:c>
      <x:c r="E1338" s="40" t="n">
        <x:v>3497</x:v>
      </x:c>
      <x:c r="F1338" s="55" t="n">
        <x:v>48.768439</x:v>
      </x:c>
      <x:c r="G1338" s="55" t="n">
        <x:v>-98.46379</x:v>
      </x:c>
      <x:c r="H1338" s="43" t="n">
        <x:f>E1338/SUMIF(A:A,A1338,E:E)</x:f>
        <x:v>0.0003177738925620736</x:v>
      </x:c>
    </x:row>
    <x:row r="1339" ht="21.600000381469727" hidden="0" customHeight="1">
      <x:c r="A1339" s="29" t="str">
        <x:v>SCA-18</x:v>
      </x:c>
      <x:c r="B1339" s="29" t="str">
        <x:v>46061</x:v>
      </x:c>
      <x:c r="C1339" s="29" t="str">
        <x:v>SD</x:v>
      </x:c>
      <x:c r="D1339" s="29" t="str">
        <x:v>Hanson County</x:v>
      </x:c>
      <x:c r="E1339" s="41" t="n">
        <x:v>3456</x:v>
      </x:c>
      <x:c r="F1339" s="56" t="n">
        <x:v>43.680612</x:v>
      </x:c>
      <x:c r="G1339" s="56" t="n">
        <x:v>-97.796845</x:v>
      </x:c>
      <x:c r="H1339" s="44" t="n">
        <x:f>E1339/SUMIF(A:A,A1339,E:E)</x:f>
        <x:v>0.00031404820494553226</x:v>
      </x:c>
    </x:row>
    <x:row r="1340" ht="21.600000381469727" hidden="0" customHeight="1">
      <x:c r="A1340" s="27" t="str">
        <x:v>SCA-18</x:v>
      </x:c>
      <x:c r="B1340" s="27" t="str">
        <x:v>30091</x:v>
      </x:c>
      <x:c r="C1340" s="27" t="str">
        <x:v>MT</x:v>
      </x:c>
      <x:c r="D1340" s="27" t="str">
        <x:v>Sheridan County</x:v>
      </x:c>
      <x:c r="E1340" s="40" t="n">
        <x:v>3436</x:v>
      </x:c>
      <x:c r="F1340" s="55" t="n">
        <x:v>48.705587</x:v>
      </x:c>
      <x:c r="G1340" s="55" t="n">
        <x:v>-104.533916</x:v>
      </x:c>
      <x:c r="H1340" s="43" t="n">
        <x:f>E1340/SUMIF(A:A,A1340,E:E)</x:f>
        <x:v>0.0003122307963520975</x:v>
      </x:c>
    </x:row>
    <x:row r="1341" ht="21.600000381469727" hidden="0" customHeight="1">
      <x:c r="A1341" s="29" t="str">
        <x:v>SCA-18</x:v>
      </x:c>
      <x:c r="B1341" s="29" t="str">
        <x:v>38029</x:v>
      </x:c>
      <x:c r="C1341" s="29" t="str">
        <x:v>ND</x:v>
      </x:c>
      <x:c r="D1341" s="29" t="str">
        <x:v>Emmons County</x:v>
      </x:c>
      <x:c r="E1341" s="41" t="n">
        <x:v>3215</x:v>
      </x:c>
      <x:c r="F1341" s="56" t="n">
        <x:v>46.284255</x:v>
      </x:c>
      <x:c r="G1341" s="56" t="n">
        <x:v>-100.237842</x:v>
      </x:c>
      <x:c r="H1341" s="44" t="n">
        <x:f>E1341/SUMIF(A:A,A1341,E:E)</x:f>
        <x:v>0.000292148431394643</x:v>
      </x:c>
    </x:row>
    <x:row r="1342" ht="21.600000381469727" hidden="0" customHeight="1">
      <x:c r="A1342" s="27" t="str">
        <x:v>SCA-18</x:v>
      </x:c>
      <x:c r="B1342" s="27" t="str">
        <x:v>38031</x:v>
      </x:c>
      <x:c r="C1342" s="27" t="str">
        <x:v>ND</x:v>
      </x:c>
      <x:c r="D1342" s="27" t="str">
        <x:v>Foster County</x:v>
      </x:c>
      <x:c r="E1342" s="40" t="n">
        <x:v>3212</x:v>
      </x:c>
      <x:c r="F1342" s="55" t="n">
        <x:v>47.471431</x:v>
      </x:c>
      <x:c r="G1342" s="55" t="n">
        <x:v>-98.872876</x:v>
      </x:c>
      <x:c r="H1342" s="43" t="n">
        <x:f>E1342/SUMIF(A:A,A1342,E:E)</x:f>
        <x:v>0.0002918758201056278</x:v>
      </x:c>
    </x:row>
    <x:row r="1343" ht="21.600000381469727" hidden="0" customHeight="1">
      <x:c r="A1343" s="29" t="str">
        <x:v>SCA-18</x:v>
      </x:c>
      <x:c r="B1343" s="29" t="str">
        <x:v>27155</x:v>
      </x:c>
      <x:c r="C1343" s="29" t="str">
        <x:v>MN</x:v>
      </x:c>
      <x:c r="D1343" s="29" t="str">
        <x:v>Traverse County</x:v>
      </x:c>
      <x:c r="E1343" s="41" t="n">
        <x:v>3130</x:v>
      </x:c>
      <x:c r="F1343" s="56" t="n">
        <x:v>45.769935</x:v>
      </x:c>
      <x:c r="G1343" s="56" t="n">
        <x:v>-96.474832</x:v>
      </x:c>
      <x:c r="H1343" s="44" t="n">
        <x:f>E1343/SUMIF(A:A,A1343,E:E)</x:f>
        <x:v>0.00028442444487254513</x:v>
      </x:c>
    </x:row>
    <x:row r="1344" ht="15" hidden="0" customHeight="1">
      <x:c r="A1344" s="27" t="str">
        <x:v>SCA-18</x:v>
      </x:c>
      <x:c r="B1344" s="27" t="str">
        <x:v>46059</x:v>
      </x:c>
      <x:c r="C1344" s="27" t="str">
        <x:v>SD</x:v>
      </x:c>
      <x:c r="D1344" s="27" t="str">
        <x:v>Hand County</x:v>
      </x:c>
      <x:c r="E1344" s="40" t="n">
        <x:v>3121</x:v>
      </x:c>
      <x:c r="F1344" s="55" t="n">
        <x:v>44.546713</x:v>
      </x:c>
      <x:c r="G1344" s="55" t="n">
        <x:v>-99.004575</x:v>
      </x:c>
      <x:c r="H1344" s="43" t="n">
        <x:f>E1344/SUMIF(A:A,A1344,E:E)</x:f>
        <x:v>0.0002836066110054995</x:v>
      </x:c>
    </x:row>
    <x:row r="1345" ht="21.600000381469727" hidden="0" customHeight="1">
      <x:c r="A1345" s="29" t="str">
        <x:v>SCA-18</x:v>
      </x:c>
      <x:c r="B1345" s="29" t="str">
        <x:v>46117</x:v>
      </x:c>
      <x:c r="C1345" s="29" t="str">
        <x:v>SD</x:v>
      </x:c>
      <x:c r="D1345" s="29" t="str">
        <x:v>Stanley County</x:v>
      </x:c>
      <x:c r="E1345" s="41" t="n">
        <x:v>3018</x:v>
      </x:c>
      <x:c r="F1345" s="56" t="n">
        <x:v>44.413984</x:v>
      </x:c>
      <x:c r="G1345" s="56" t="n">
        <x:v>-100.747822</x:v>
      </x:c>
      <x:c r="H1345" s="44" t="n">
        <x:f>E1345/SUMIF(A:A,A1345,E:E)</x:f>
        <x:v>0.0002742469567493103</x:v>
      </x:c>
    </x:row>
    <x:row r="1346" ht="21.600000381469727" hidden="0" customHeight="1">
      <x:c r="A1346" s="27" t="str">
        <x:v>SCA-18</x:v>
      </x:c>
      <x:c r="B1346" s="27" t="str">
        <x:v>38063</x:v>
      </x:c>
      <x:c r="C1346" s="27" t="str">
        <x:v>ND</x:v>
      </x:c>
      <x:c r="D1346" s="27" t="str">
        <x:v>Nelson County</x:v>
      </x:c>
      <x:c r="E1346" s="40" t="n">
        <x:v>2963</x:v>
      </x:c>
      <x:c r="F1346" s="55" t="n">
        <x:v>47.918667</x:v>
      </x:c>
      <x:c r="G1346" s="55" t="n">
        <x:v>-98.204428</x:v>
      </x:c>
      <x:c r="H1346" s="43" t="n">
        <x:f>E1346/SUMIF(A:A,A1346,E:E)</x:f>
        <x:v>0.0002692490831173646</x:v>
      </x:c>
    </x:row>
    <x:row r="1347" ht="21.600000381469727" hidden="0" customHeight="1">
      <x:c r="A1347" s="29" t="str">
        <x:v>SCA-18</x:v>
      </x:c>
      <x:c r="B1347" s="29" t="str">
        <x:v>46043</x:v>
      </x:c>
      <x:c r="C1347" s="29" t="str">
        <x:v>SD</x:v>
      </x:c>
      <x:c r="D1347" s="29" t="str">
        <x:v>Douglas County</x:v>
      </x:c>
      <x:c r="E1347" s="41" t="n">
        <x:v>2888</x:v>
      </x:c>
      <x:c r="F1347" s="56" t="n">
        <x:v>43.391506</x:v>
      </x:c>
      <x:c r="G1347" s="56" t="n">
        <x:v>-98.358433</x:v>
      </x:c>
      <x:c r="H1347" s="44" t="n">
        <x:f>E1347/SUMIF(A:A,A1347,E:E)</x:f>
        <x:v>0.00026243380089198415</x:v>
      </x:c>
    </x:row>
    <x:row r="1348" ht="21.600000381469727" hidden="0" customHeight="1">
      <x:c r="A1348" s="27" t="str">
        <x:v>SCA-18</x:v>
      </x:c>
      <x:c r="B1348" s="27" t="str">
        <x:v>46105</x:v>
      </x:c>
      <x:c r="C1348" s="27" t="str">
        <x:v>SD</x:v>
      </x:c>
      <x:c r="D1348" s="27" t="str">
        <x:v>Perkins County</x:v>
      </x:c>
      <x:c r="E1348" s="40" t="n">
        <x:v>2853</x:v>
      </x:c>
      <x:c r="F1348" s="55" t="n">
        <x:v>45.483387</x:v>
      </x:c>
      <x:c r="G1348" s="55" t="n">
        <x:v>-102.467995</x:v>
      </x:c>
      <x:c r="H1348" s="43" t="n">
        <x:f>E1348/SUMIF(A:A,A1348,E:E)</x:f>
        <x:v>0.00025925333585347327</x:v>
      </x:c>
    </x:row>
    <x:row r="1349" ht="21.600000381469727" hidden="0" customHeight="1">
      <x:c r="A1349" s="29" t="str">
        <x:v>SCA-18</x:v>
      </x:c>
      <x:c r="B1349" s="29" t="str">
        <x:v>46003</x:v>
      </x:c>
      <x:c r="C1349" s="29" t="str">
        <x:v>SD</x:v>
      </x:c>
      <x:c r="D1349" s="29" t="str">
        <x:v>Aurora County</x:v>
      </x:c>
      <x:c r="E1349" s="41" t="n">
        <x:v>2801</x:v>
      </x:c>
      <x:c r="F1349" s="56" t="n">
        <x:v>43.724719</x:v>
      </x:c>
      <x:c r="G1349" s="56" t="n">
        <x:v>-98.577587</x:v>
      </x:c>
      <x:c r="H1349" s="44" t="n">
        <x:f>E1349/SUMIF(A:A,A1349,E:E)</x:f>
        <x:v>0.00025452807351054277</x:v>
      </x:c>
    </x:row>
    <x:row r="1350" ht="21.600000381469727" hidden="0" customHeight="1">
      <x:c r="A1350" s="27" t="str">
        <x:v>SCA-18</x:v>
      </x:c>
      <x:c r="B1350" s="27" t="str">
        <x:v>38011</x:v>
      </x:c>
      <x:c r="C1350" s="27" t="str">
        <x:v>ND</x:v>
      </x:c>
      <x:c r="D1350" s="27" t="str">
        <x:v>Bowman County</x:v>
      </x:c>
      <x:c r="E1350" s="40" t="n">
        <x:v>2762</x:v>
      </x:c>
      <x:c r="F1350" s="55" t="n">
        <x:v>46.110144</x:v>
      </x:c>
      <x:c r="G1350" s="55" t="n">
        <x:v>-103.505943</x:v>
      </x:c>
      <x:c r="H1350" s="43" t="n">
        <x:f>E1350/SUMIF(A:A,A1350,E:E)</x:f>
        <x:v>0.00025098412675334496</x:v>
      </x:c>
    </x:row>
    <x:row r="1351" ht="21.600000381469727" hidden="0" customHeight="1">
      <x:c r="A1351" s="29" t="str">
        <x:v>SCA-18</x:v>
      </x:c>
      <x:c r="B1351" s="29" t="str">
        <x:v>38041</x:v>
      </x:c>
      <x:c r="C1351" s="29" t="str">
        <x:v>ND</x:v>
      </x:c>
      <x:c r="D1351" s="29" t="str">
        <x:v>Hettinger County</x:v>
      </x:c>
      <x:c r="E1351" s="41" t="n">
        <x:v>2492</x:v>
      </x:c>
      <x:c r="F1351" s="56" t="n">
        <x:v>46.435704</x:v>
      </x:c>
      <x:c r="G1351" s="56" t="n">
        <x:v>-102.454238</x:v>
      </x:c>
      <x:c r="H1351" s="44" t="n">
        <x:f>E1351/SUMIF(A:A,A1351,E:E)</x:f>
        <x:v>0.00022644911074197523</x:v>
      </x:c>
    </x:row>
    <x:row r="1352" ht="21.600000381469727" hidden="0" customHeight="1">
      <x:c r="A1352" s="27" t="str">
        <x:v>SCA-18</x:v>
      </x:c>
      <x:c r="B1352" s="27" t="str">
        <x:v>38051</x:v>
      </x:c>
      <x:c r="C1352" s="27" t="str">
        <x:v>ND</x:v>
      </x:c>
      <x:c r="D1352" s="27" t="str">
        <x:v>McIntosh County</x:v>
      </x:c>
      <x:c r="E1352" s="40" t="n">
        <x:v>2451</x:v>
      </x:c>
      <x:c r="F1352" s="55" t="n">
        <x:v>46.095986</x:v>
      </x:c>
      <x:c r="G1352" s="55" t="n">
        <x:v>-99.440811</x:v>
      </x:c>
      <x:c r="H1352" s="43" t="n">
        <x:f>E1352/SUMIF(A:A,A1352,E:E)</x:f>
        <x:v>0.00022272342312543392</x:v>
      </x:c>
    </x:row>
    <x:row r="1353" ht="21.600000381469727" hidden="0" customHeight="1">
      <x:c r="A1353" s="29" t="str">
        <x:v>SCA-18</x:v>
      </x:c>
      <x:c r="B1353" s="29" t="str">
        <x:v>38043</x:v>
      </x:c>
      <x:c r="C1353" s="29" t="str">
        <x:v>ND</x:v>
      </x:c>
      <x:c r="D1353" s="29" t="str">
        <x:v>Kidder County</x:v>
      </x:c>
      <x:c r="E1353" s="41" t="n">
        <x:v>2393</x:v>
      </x:c>
      <x:c r="F1353" s="56" t="n">
        <x:v>46.938273</x:v>
      </x:c>
      <x:c r="G1353" s="56" t="n">
        <x:v>-99.731198</x:v>
      </x:c>
      <x:c r="H1353" s="44" t="n">
        <x:f>E1353/SUMIF(A:A,A1353,E:E)</x:f>
        <x:v>0.00021745293820447302</x:v>
      </x:c>
    </x:row>
    <x:row r="1354" ht="21.600000381469727" hidden="0" customHeight="1">
      <x:c r="A1354" s="27" t="str">
        <x:v>SCA-18</x:v>
      </x:c>
      <x:c r="B1354" s="27" t="str">
        <x:v>46137</x:v>
      </x:c>
      <x:c r="C1354" s="27" t="str">
        <x:v>SD</x:v>
      </x:c>
      <x:c r="D1354" s="27" t="str">
        <x:v>Ziebach County</x:v>
      </x:c>
      <x:c r="E1354" s="40" t="n">
        <x:v>2389</x:v>
      </x:c>
      <x:c r="F1354" s="55" t="n">
        <x:v>44.989764</x:v>
      </x:c>
      <x:c r="G1354" s="55" t="n">
        <x:v>-101.660827</x:v>
      </x:c>
      <x:c r="H1354" s="43" t="n">
        <x:f>E1354/SUMIF(A:A,A1354,E:E)</x:f>
        <x:v>0.00021708945648578606</x:v>
      </x:c>
    </x:row>
    <x:row r="1355" ht="21.600000381469727" hidden="0" customHeight="1">
      <x:c r="A1355" s="29" t="str">
        <x:v>SCA-18</x:v>
      </x:c>
      <x:c r="B1355" s="29" t="str">
        <x:v>46111</x:v>
      </x:c>
      <x:c r="C1355" s="29" t="str">
        <x:v>SD</x:v>
      </x:c>
      <x:c r="D1355" s="29" t="str">
        <x:v>Sanborn County</x:v>
      </x:c>
      <x:c r="E1355" s="41" t="n">
        <x:v>2388</x:v>
      </x:c>
      <x:c r="F1355" s="56" t="n">
        <x:v>44.018942</x:v>
      </x:c>
      <x:c r="G1355" s="56" t="n">
        <x:v>-98.091709</x:v>
      </x:c>
      <x:c r="H1355" s="44" t="n">
        <x:f>E1355/SUMIF(A:A,A1355,E:E)</x:f>
        <x:v>0.0002169985860561143</x:v>
      </x:c>
    </x:row>
    <x:row r="1356" ht="21.600000381469727" hidden="0" customHeight="1">
      <x:c r="A1356" s="27" t="str">
        <x:v>SCA-18</x:v>
      </x:c>
      <x:c r="B1356" s="27" t="str">
        <x:v>46107</x:v>
      </x:c>
      <x:c r="C1356" s="27" t="str">
        <x:v>SD</x:v>
      </x:c>
      <x:c r="D1356" s="27" t="str">
        <x:v>Potter County</x:v>
      </x:c>
      <x:c r="E1356" s="40" t="n">
        <x:v>2377</x:v>
      </x:c>
      <x:c r="F1356" s="55" t="n">
        <x:v>45.052713</x:v>
      </x:c>
      <x:c r="G1356" s="55" t="n">
        <x:v>-99.962003</x:v>
      </x:c>
      <x:c r="H1356" s="43" t="n">
        <x:f>E1356/SUMIF(A:A,A1356,E:E)</x:f>
        <x:v>0.00021599901132972517</x:v>
      </x:c>
    </x:row>
    <x:row r="1357" ht="21.600000381469727" hidden="0" customHeight="1">
      <x:c r="A1357" s="29" t="str">
        <x:v>SCA-18</x:v>
      </x:c>
      <x:c r="B1357" s="29" t="str">
        <x:v>46089</x:v>
      </x:c>
      <x:c r="C1357" s="29" t="str">
        <x:v>SD</x:v>
      </x:c>
      <x:c r="D1357" s="29" t="str">
        <x:v>McPherson County</x:v>
      </x:c>
      <x:c r="E1357" s="41" t="n">
        <x:v>2347</x:v>
      </x:c>
      <x:c r="F1357" s="56" t="n">
        <x:v>45.784249</x:v>
      </x:c>
      <x:c r="G1357" s="56" t="n">
        <x:v>-99.211421</x:v>
      </x:c>
      <x:c r="H1357" s="44" t="n">
        <x:f>E1357/SUMIF(A:A,A1357,E:E)</x:f>
        <x:v>0.00021327289843957298</x:v>
      </x:c>
    </x:row>
    <x:row r="1358" ht="21.600000381469727" hidden="0" customHeight="1">
      <x:c r="A1358" s="27" t="str">
        <x:v>SCA-18</x:v>
      </x:c>
      <x:c r="B1358" s="27" t="str">
        <x:v>38075</x:v>
      </x:c>
      <x:c r="C1358" s="27" t="str">
        <x:v>ND</x:v>
      </x:c>
      <x:c r="D1358" s="27" t="str">
        <x:v>Renville County</x:v>
      </x:c>
      <x:c r="E1358" s="40" t="n">
        <x:v>2331</x:v>
      </x:c>
      <x:c r="F1358" s="55" t="n">
        <x:v>48.712781</x:v>
      </x:c>
      <x:c r="G1358" s="55" t="n">
        <x:v>-101.658152</x:v>
      </x:c>
      <x:c r="H1358" s="43" t="n">
        <x:f>E1358/SUMIF(A:A,A1358,E:E)</x:f>
        <x:v>0.00021181897156482516</x:v>
      </x:c>
    </x:row>
    <x:row r="1359" ht="15" hidden="0" customHeight="1">
      <x:c r="A1359" s="29" t="str">
        <x:v>SCA-18</x:v>
      </x:c>
      <x:c r="B1359" s="29" t="str">
        <x:v>38027</x:v>
      </x:c>
      <x:c r="C1359" s="29" t="str">
        <x:v>ND</x:v>
      </x:c>
      <x:c r="D1359" s="29" t="str">
        <x:v>Eddy County</x:v>
      </x:c>
      <x:c r="E1359" s="41" t="n">
        <x:v>2329</x:v>
      </x:c>
      <x:c r="F1359" s="56" t="n">
        <x:v>47.723436</x:v>
      </x:c>
      <x:c r="G1359" s="56" t="n">
        <x:v>-98.900474</x:v>
      </x:c>
      <x:c r="H1359" s="44" t="n">
        <x:f>E1359/SUMIF(A:A,A1359,E:E)</x:f>
        <x:v>0.00021163723070548166</x:v>
      </x:c>
    </x:row>
    <x:row r="1360" ht="21.600000381469727" hidden="0" customHeight="1">
      <x:c r="A1360" s="27" t="str">
        <x:v>SCA-18</x:v>
      </x:c>
      <x:c r="B1360" s="27" t="str">
        <x:v>46097</x:v>
      </x:c>
      <x:c r="C1360" s="27" t="str">
        <x:v>SD</x:v>
      </x:c>
      <x:c r="D1360" s="27" t="str">
        <x:v>Miner County</x:v>
      </x:c>
      <x:c r="E1360" s="40" t="n">
        <x:v>2281</x:v>
      </x:c>
      <x:c r="F1360" s="55" t="n">
        <x:v>44.021541</x:v>
      </x:c>
      <x:c r="G1360" s="55" t="n">
        <x:v>-97.608122</x:v>
      </x:c>
      <x:c r="H1360" s="43" t="n">
        <x:f>E1360/SUMIF(A:A,A1360,E:E)</x:f>
        <x:v>0.00020727545008123816</x:v>
      </x:c>
    </x:row>
    <x:row r="1361" ht="21.600000381469727" hidden="0" customHeight="1">
      <x:c r="A1361" s="29" t="str">
        <x:v>SCA-18</x:v>
      </x:c>
      <x:c r="B1361" s="29" t="str">
        <x:v>38001</x:v>
      </x:c>
      <x:c r="C1361" s="29" t="str">
        <x:v>ND</x:v>
      </x:c>
      <x:c r="D1361" s="29" t="str">
        <x:v>Adams County</x:v>
      </x:c>
      <x:c r="E1361" s="41" t="n">
        <x:v>2275</x:v>
      </x:c>
      <x:c r="F1361" s="56" t="n">
        <x:v>46.096815</x:v>
      </x:c>
      <x:c r="G1361" s="56" t="n">
        <x:v>-102.533198</x:v>
      </x:c>
      <x:c r="H1361" s="44" t="n">
        <x:f>E1361/SUMIF(A:A,A1361,E:E)</x:f>
        <x:v>0.00020673022750320773</x:v>
      </x:c>
    </x:row>
    <x:row r="1362" ht="21.600000381469727" hidden="0" customHeight="1">
      <x:c r="A1362" s="27" t="str">
        <x:v>SCA-18</x:v>
      </x:c>
      <x:c r="B1362" s="27" t="str">
        <x:v>38039</x:v>
      </x:c>
      <x:c r="C1362" s="27" t="str">
        <x:v>ND</x:v>
      </x:c>
      <x:c r="D1362" s="27" t="str">
        <x:v>Griggs County</x:v>
      </x:c>
      <x:c r="E1362" s="40" t="n">
        <x:v>2239</x:v>
      </x:c>
      <x:c r="F1362" s="55" t="n">
        <x:v>47.456334</x:v>
      </x:c>
      <x:c r="G1362" s="55" t="n">
        <x:v>-98.232286</x:v>
      </x:c>
      <x:c r="H1362" s="43" t="n">
        <x:f>E1362/SUMIF(A:A,A1362,E:E)</x:f>
        <x:v>0.00020345889203502509</x:v>
      </x:c>
    </x:row>
    <x:row r="1363" ht="21.600000381469727" hidden="0" customHeight="1">
      <x:c r="A1363" s="29" t="str">
        <x:v>SCA-18</x:v>
      </x:c>
      <x:c r="B1363" s="29" t="str">
        <x:v>38037</x:v>
      </x:c>
      <x:c r="C1363" s="29" t="str">
        <x:v>ND</x:v>
      </x:c>
      <x:c r="D1363" s="29" t="str">
        <x:v>Grant County</x:v>
      </x:c>
      <x:c r="E1363" s="41" t="n">
        <x:v>2206</x:v>
      </x:c>
      <x:c r="F1363" s="56" t="n">
        <x:v>46.357827</x:v>
      </x:c>
      <x:c r="G1363" s="56" t="n">
        <x:v>-101.639049</x:v>
      </x:c>
      <x:c r="H1363" s="44" t="n">
        <x:f>E1363/SUMIF(A:A,A1363,E:E)</x:f>
        <x:v>0.0002004601678558577</x:v>
      </x:c>
    </x:row>
    <x:row r="1364" ht="21.600000381469727" hidden="0" customHeight="1">
      <x:c r="A1364" s="27" t="str">
        <x:v>SCA-18</x:v>
      </x:c>
      <x:c r="B1364" s="27" t="str">
        <x:v>26083</x:v>
      </x:c>
      <x:c r="C1364" s="27" t="str">
        <x:v>MI</x:v>
      </x:c>
      <x:c r="D1364" s="27" t="str">
        <x:v>Keweenaw County</x:v>
      </x:c>
      <x:c r="E1364" s="40" t="n">
        <x:v>2186</x:v>
      </x:c>
      <x:c r="F1364" s="55" t="n">
        <x:v>47.367297</x:v>
      </x:c>
      <x:c r="G1364" s="55" t="n">
        <x:v>-88.351332</x:v>
      </x:c>
      <x:c r="H1364" s="43" t="n">
        <x:f>E1364/SUMIF(A:A,A1364,E:E)</x:f>
        <x:v>0.00019864275926242289</x:v>
      </x:c>
    </x:row>
    <x:row r="1365" ht="15" hidden="0" customHeight="1">
      <x:c r="A1365" s="29" t="str">
        <x:v>SCA-18</x:v>
      </x:c>
      <x:c r="B1365" s="29" t="str">
        <x:v>46049</x:v>
      </x:c>
      <x:c r="C1365" s="29" t="str">
        <x:v>SD</x:v>
      </x:c>
      <x:c r="D1365" s="29" t="str">
        <x:v>Faulk County</x:v>
      </x:c>
      <x:c r="E1365" s="41" t="n">
        <x:v>2178</x:v>
      </x:c>
      <x:c r="F1365" s="56" t="n">
        <x:v>45.065476</x:v>
      </x:c>
      <x:c r="G1365" s="56" t="n">
        <x:v>-99.153564</x:v>
      </x:c>
      <x:c r="H1365" s="44" t="n">
        <x:f>E1365/SUMIF(A:A,A1365,E:E)</x:f>
        <x:v>0.00019791579582504899</x:v>
      </x:c>
    </x:row>
    <x:row r="1366" ht="21.600000381469727" hidden="0" customHeight="1">
      <x:c r="A1366" s="27" t="str">
        <x:v>SCA-18</x:v>
      </x:c>
      <x:c r="B1366" s="27" t="str">
        <x:v>46095</x:v>
      </x:c>
      <x:c r="C1366" s="27" t="str">
        <x:v>SD</x:v>
      </x:c>
      <x:c r="D1366" s="27" t="str">
        <x:v>Mellette County</x:v>
      </x:c>
      <x:c r="E1366" s="40" t="n">
        <x:v>2137</x:v>
      </x:c>
      <x:c r="F1366" s="55" t="n">
        <x:v>43.581334</x:v>
      </x:c>
      <x:c r="G1366" s="55" t="n">
        <x:v>-100.75521</x:v>
      </x:c>
      <x:c r="H1366" s="43" t="n">
        <x:f>E1366/SUMIF(A:A,A1366,E:E)</x:f>
        <x:v>0.00019419010820850765</x:v>
      </x:c>
    </x:row>
    <x:row r="1367" ht="21.600000381469727" hidden="0" customHeight="1">
      <x:c r="A1367" s="29" t="str">
        <x:v>SCA-18</x:v>
      </x:c>
      <x:c r="B1367" s="29" t="str">
        <x:v>38013</x:v>
      </x:c>
      <x:c r="C1367" s="29" t="str">
        <x:v>ND</x:v>
      </x:c>
      <x:c r="D1367" s="29" t="str">
        <x:v>Burke County</x:v>
      </x:c>
      <x:c r="E1367" s="41" t="n">
        <x:v>2132</x:v>
      </x:c>
      <x:c r="F1367" s="56" t="n">
        <x:v>48.786453</x:v>
      </x:c>
      <x:c r="G1367" s="56" t="n">
        <x:v>-102.520087</x:v>
      </x:c>
      <x:c r="H1367" s="44" t="n">
        <x:f>E1367/SUMIF(A:A,A1367,E:E)</x:f>
        <x:v>0.00019373575606014895</x:v>
      </x:c>
    </x:row>
    <x:row r="1368" ht="21.600000381469727" hidden="0" customHeight="1">
      <x:c r="A1368" s="27" t="str">
        <x:v>SCA-18</x:v>
      </x:c>
      <x:c r="B1368" s="27" t="str">
        <x:v>38023</x:v>
      </x:c>
      <x:c r="C1368" s="27" t="str">
        <x:v>ND</x:v>
      </x:c>
      <x:c r="D1368" s="27" t="str">
        <x:v>Divide County</x:v>
      </x:c>
      <x:c r="E1368" s="40" t="n">
        <x:v>2110</x:v>
      </x:c>
      <x:c r="F1368" s="55" t="n">
        <x:v>48.814754</x:v>
      </x:c>
      <x:c r="G1368" s="55" t="n">
        <x:v>-103.509326</x:v>
      </x:c>
      <x:c r="H1368" s="43" t="n">
        <x:f>E1368/SUMIF(A:A,A1368,E:E)</x:f>
        <x:v>0.0001917366066073707</x:v>
      </x:c>
    </x:row>
    <x:row r="1369" ht="21.600000381469727" hidden="0" customHeight="1">
      <x:c r="A1369" s="29" t="str">
        <x:v>SCA-18</x:v>
      </x:c>
      <x:c r="B1369" s="29" t="str">
        <x:v>38095</x:v>
      </x:c>
      <x:c r="C1369" s="29" t="str">
        <x:v>ND</x:v>
      </x:c>
      <x:c r="D1369" s="29" t="str">
        <x:v>Towner County</x:v>
      </x:c>
      <x:c r="E1369" s="41" t="n">
        <x:v>2040</x:v>
      </x:c>
      <x:c r="F1369" s="56" t="n">
        <x:v>48.682183</x:v>
      </x:c>
      <x:c r="G1369" s="56" t="n">
        <x:v>-99.248158</x:v>
      </x:c>
      <x:c r="H1369" s="44" t="n">
        <x:f>E1369/SUMIF(A:A,A1369,E:E)</x:f>
        <x:v>0.0001853756765303489</x:v>
      </x:c>
    </x:row>
    <x:row r="1370" ht="21.600000381469727" hidden="0" customHeight="1">
      <x:c r="A1370" s="27" t="str">
        <x:v>SCA-18</x:v>
      </x:c>
      <x:c r="B1370" s="27" t="str">
        <x:v>38065</x:v>
      </x:c>
      <x:c r="C1370" s="27" t="str">
        <x:v>ND</x:v>
      </x:c>
      <x:c r="D1370" s="27" t="str">
        <x:v>Oliver County</x:v>
      </x:c>
      <x:c r="E1370" s="40" t="n">
        <x:v>1898</x:v>
      </x:c>
      <x:c r="F1370" s="55" t="n">
        <x:v>47.118079</x:v>
      </x:c>
      <x:c r="G1370" s="55" t="n">
        <x:v>-101.33142</x:v>
      </x:c>
      <x:c r="H1370" s="43" t="n">
        <x:f>E1370/SUMIF(A:A,A1370,E:E)</x:f>
        <x:v>0.00017247207551696186</x:v>
      </x:c>
    </x:row>
    <x:row r="1371" ht="21.600000381469727" hidden="0" customHeight="1">
      <x:c r="A1371" s="29" t="str">
        <x:v>SCA-18</x:v>
      </x:c>
      <x:c r="B1371" s="29" t="str">
        <x:v>38047</x:v>
      </x:c>
      <x:c r="C1371" s="29" t="str">
        <x:v>ND</x:v>
      </x:c>
      <x:c r="D1371" s="29" t="str">
        <x:v>Logan County</x:v>
      </x:c>
      <x:c r="E1371" s="41" t="n">
        <x:v>1859</x:v>
      </x:c>
      <x:c r="F1371" s="56" t="n">
        <x:v>46.469278</x:v>
      </x:c>
      <x:c r="G1371" s="56" t="n">
        <x:v>-99.504585</x:v>
      </x:c>
      <x:c r="H1371" s="44" t="n">
        <x:f>E1371/SUMIF(A:A,A1371,E:E)</x:f>
        <x:v>0.00016892812875976402</x:v>
      </x:c>
    </x:row>
    <x:row r="1372" ht="32.400001525878906" hidden="0" customHeight="1">
      <x:c r="A1372" s="27" t="str">
        <x:v>SCA-18</x:v>
      </x:c>
      <x:c r="B1372" s="27" t="str">
        <x:v>38033</x:v>
      </x:c>
      <x:c r="C1372" s="27" t="str">
        <x:v>ND</x:v>
      </x:c>
      <x:c r="D1372" s="27" t="str">
        <x:v>Golden Valley County</x:v>
      </x:c>
      <x:c r="E1372" s="40" t="n">
        <x:v>1808</x:v>
      </x:c>
      <x:c r="F1372" s="55" t="n">
        <x:v>46.938924</x:v>
      </x:c>
      <x:c r="G1372" s="55" t="n">
        <x:v>-103.844612</x:v>
      </x:c>
      <x:c r="H1372" s="43" t="n">
        <x:f>E1372/SUMIF(A:A,A1372,E:E)</x:f>
        <x:v>0.00016429373684650531</x:v>
      </x:c>
    </x:row>
    <x:row r="1373" ht="21.600000381469727" hidden="0" customHeight="1">
      <x:c r="A1373" s="29" t="str">
        <x:v>SCA-18</x:v>
      </x:c>
      <x:c r="B1373" s="29" t="str">
        <x:v>46017</x:v>
      </x:c>
      <x:c r="C1373" s="29" t="str">
        <x:v>SD</x:v>
      </x:c>
      <x:c r="D1373" s="29" t="str">
        <x:v>Buffalo County</x:v>
      </x:c>
      <x:c r="E1373" s="41" t="n">
        <x:v>1802</x:v>
      </x:c>
      <x:c r="F1373" s="56" t="n">
        <x:v>44.044306</x:v>
      </x:c>
      <x:c r="G1373" s="56" t="n">
        <x:v>-99.203998</x:v>
      </x:c>
      <x:c r="H1373" s="44" t="n">
        <x:f>E1373/SUMIF(A:A,A1373,E:E)</x:f>
        <x:v>0.00016374851426847486</x:v>
      </x:c>
    </x:row>
    <x:row r="1374" ht="21.600000381469727" hidden="0" customHeight="1">
      <x:c r="A1374" s="27" t="str">
        <x:v>SCA-18</x:v>
      </x:c>
      <x:c r="B1374" s="27" t="str">
        <x:v>46055</x:v>
      </x:c>
      <x:c r="C1374" s="27" t="str">
        <x:v>SD</x:v>
      </x:c>
      <x:c r="D1374" s="27" t="str">
        <x:v>Haakon County</x:v>
      </x:c>
      <x:c r="E1374" s="40" t="n">
        <x:v>1802</x:v>
      </x:c>
      <x:c r="F1374" s="55" t="n">
        <x:v>44.288097</x:v>
      </x:c>
      <x:c r="G1374" s="55" t="n">
        <x:v>-101.540856</x:v>
      </x:c>
      <x:c r="H1374" s="43" t="n">
        <x:f>E1374/SUMIF(A:A,A1374,E:E)</x:f>
        <x:v>0.00016374851426847486</x:v>
      </x:c>
    </x:row>
    <x:row r="1375" ht="21.600000381469727" hidden="0" customHeight="1">
      <x:c r="A1375" s="29" t="str">
        <x:v>SCA-18</x:v>
      </x:c>
      <x:c r="B1375" s="29" t="str">
        <x:v>38091</x:v>
      </x:c>
      <x:c r="C1375" s="29" t="str">
        <x:v>ND</x:v>
      </x:c>
      <x:c r="D1375" s="29" t="str">
        <x:v>Steele County</x:v>
      </x:c>
      <x:c r="E1375" s="41" t="n">
        <x:v>1797</x:v>
      </x:c>
      <x:c r="F1375" s="56" t="n">
        <x:v>47.451062</x:v>
      </x:c>
      <x:c r="G1375" s="56" t="n">
        <x:v>-97.71892</x:v>
      </x:c>
      <x:c r="H1375" s="44" t="n">
        <x:f>E1375/SUMIF(A:A,A1375,E:E)</x:f>
        <x:v>0.00016329416212011616</x:v>
      </x:c>
    </x:row>
    <x:row r="1376" ht="15" hidden="0" customHeight="1">
      <x:c r="A1376" s="27" t="str">
        <x:v>SCA-18</x:v>
      </x:c>
      <x:c r="B1376" s="27" t="str">
        <x:v>31015</x:v>
      </x:c>
      <x:c r="C1376" s="27" t="str">
        <x:v>NE</x:v>
      </x:c>
      <x:c r="D1376" s="27" t="str">
        <x:v>Boyd County</x:v>
      </x:c>
      <x:c r="E1376" s="40" t="n">
        <x:v>1674</x:v>
      </x:c>
      <x:c r="F1376" s="55" t="n">
        <x:v>42.894448</x:v>
      </x:c>
      <x:c r="G1376" s="55" t="n">
        <x:v>-98.773022</x:v>
      </x:c>
      <x:c r="H1376" s="43" t="n">
        <x:f>E1376/SUMIF(A:A,A1376,E:E)</x:f>
        <x:v>0.0001521170992704922</x:v>
      </x:c>
    </x:row>
    <x:row r="1377" ht="21.600000381469727" hidden="0" customHeight="1">
      <x:c r="A1377" s="29" t="str">
        <x:v>SCA-18</x:v>
      </x:c>
      <x:c r="B1377" s="29" t="str">
        <x:v>46073</x:v>
      </x:c>
      <x:c r="C1377" s="29" t="str">
        <x:v>SD</x:v>
      </x:c>
      <x:c r="D1377" s="29" t="str">
        <x:v>Jerauld County</x:v>
      </x:c>
      <x:c r="E1377" s="41" t="n">
        <x:v>1654</x:v>
      </x:c>
      <x:c r="F1377" s="56" t="n">
        <x:v>44.06341</x:v>
      </x:c>
      <x:c r="G1377" s="56" t="n">
        <x:v>-98.62317</x:v>
      </x:c>
      <x:c r="H1377" s="44" t="n">
        <x:f>E1377/SUMIF(A:A,A1377,E:E)</x:f>
        <x:v>0.0001502996906770574</x:v>
      </x:c>
    </x:row>
    <x:row r="1378" ht="15" hidden="0" customHeight="1">
      <x:c r="A1378" s="27" t="str">
        <x:v>SCA-18</x:v>
      </x:c>
      <x:c r="B1378" s="27" t="str">
        <x:v>46119</x:v>
      </x:c>
      <x:c r="C1378" s="27" t="str">
        <x:v>SD</x:v>
      </x:c>
      <x:c r="D1378" s="27" t="str">
        <x:v>Sully County</x:v>
      </x:c>
      <x:c r="E1378" s="40" t="n">
        <x:v>1479</x:v>
      </x:c>
      <x:c r="F1378" s="55" t="n">
        <x:v>44.722325</x:v>
      </x:c>
      <x:c r="G1378" s="55" t="n">
        <x:v>-100.131399</x:v>
      </x:c>
      <x:c r="H1378" s="43" t="n">
        <x:f>E1378/SUMIF(A:A,A1378,E:E)</x:f>
        <x:v>0.00013439736548450295</x:v>
      </x:c>
    </x:row>
    <x:row r="1379" ht="21.600000381469727" hidden="0" customHeight="1">
      <x:c r="A1379" s="29" t="str">
        <x:v>SCA-18</x:v>
      </x:c>
      <x:c r="B1379" s="29" t="str">
        <x:v>46021</x:v>
      </x:c>
      <x:c r="C1379" s="29" t="str">
        <x:v>SD</x:v>
      </x:c>
      <x:c r="D1379" s="29" t="str">
        <x:v>Campbell County</x:v>
      </x:c>
      <x:c r="E1379" s="41" t="n">
        <x:v>1377</x:v>
      </x:c>
      <x:c r="F1379" s="56" t="n">
        <x:v>45.785575</x:v>
      </x:c>
      <x:c r="G1379" s="56" t="n">
        <x:v>-100.002107</x:v>
      </x:c>
      <x:c r="H1379" s="44" t="n">
        <x:f>E1379/SUMIF(A:A,A1379,E:E)</x:f>
        <x:v>0.00012512858165798552</x:v>
      </x:c>
    </x:row>
    <x:row r="1380" ht="21.600000381469727" hidden="0" customHeight="1">
      <x:c r="A1380" s="27" t="str">
        <x:v>SCA-18</x:v>
      </x:c>
      <x:c r="B1380" s="27" t="str">
        <x:v>38083</x:v>
      </x:c>
      <x:c r="C1380" s="27" t="str">
        <x:v>ND</x:v>
      </x:c>
      <x:c r="D1380" s="27" t="str">
        <x:v>Sheridan County</x:v>
      </x:c>
      <x:c r="E1380" s="40" t="n">
        <x:v>1296</x:v>
      </x:c>
      <x:c r="F1380" s="55" t="n">
        <x:v>47.581359</x:v>
      </x:c>
      <x:c r="G1380" s="55" t="n">
        <x:v>-100.330986</x:v>
      </x:c>
      <x:c r="H1380" s="43" t="n">
        <x:f>E1380/SUMIF(A:A,A1380,E:E)</x:f>
        <x:v>0.0001177680768545746</x:v>
      </x:c>
    </x:row>
    <x:row r="1381" ht="15" hidden="0" customHeight="1">
      <x:c r="A1381" s="29" t="str">
        <x:v>SCA-18</x:v>
      </x:c>
      <x:c r="B1381" s="29" t="str">
        <x:v>31149</x:v>
      </x:c>
      <x:c r="C1381" s="29" t="str">
        <x:v>NE</x:v>
      </x:c>
      <x:c r="D1381" s="29" t="str">
        <x:v>Rock County</x:v>
      </x:c>
      <x:c r="E1381" s="41" t="n">
        <x:v>1259</x:v>
      </x:c>
      <x:c r="F1381" s="56" t="n">
        <x:v>42.394749</x:v>
      </x:c>
      <x:c r="G1381" s="56" t="n">
        <x:v>-99.420851</x:v>
      </x:c>
      <x:c r="H1381" s="44" t="n">
        <x:f>E1381/SUMIF(A:A,A1381,E:E)</x:f>
        <x:v>0.00011440587095672024</x:v>
      </x:c>
    </x:row>
    <x:row r="1382" ht="15" hidden="0" customHeight="1">
      <x:c r="A1382" s="27" t="str">
        <x:v>SCA-18</x:v>
      </x:c>
      <x:c r="B1382" s="27" t="str">
        <x:v>46069</x:v>
      </x:c>
      <x:c r="C1382" s="27" t="str">
        <x:v>SD</x:v>
      </x:c>
      <x:c r="D1382" s="27" t="str">
        <x:v>Hyde County</x:v>
      </x:c>
      <x:c r="E1382" s="40" t="n">
        <x:v>1191</x:v>
      </x:c>
      <x:c r="F1382" s="55" t="n">
        <x:v>44.537174</x:v>
      </x:c>
      <x:c r="G1382" s="55" t="n">
        <x:v>-99.472736</x:v>
      </x:c>
      <x:c r="H1382" s="43" t="n">
        <x:f>E1382/SUMIF(A:A,A1382,E:E)</x:f>
        <x:v>0.00010822668173904193</x:v>
      </x:c>
    </x:row>
    <x:row r="1383" ht="21.600000381469727" hidden="0" customHeight="1">
      <x:c r="A1383" s="29" t="str">
        <x:v>SCA-18</x:v>
      </x:c>
      <x:c r="B1383" s="29" t="str">
        <x:v>38007</x:v>
      </x:c>
      <x:c r="C1383" s="29" t="str">
        <x:v>ND</x:v>
      </x:c>
      <x:c r="D1383" s="29" t="str">
        <x:v>Billings County</x:v>
      </x:c>
      <x:c r="E1383" s="41" t="n">
        <x:v>1071</x:v>
      </x:c>
      <x:c r="F1383" s="56" t="n">
        <x:v>47.007044</x:v>
      </x:c>
      <x:c r="G1383" s="56" t="n">
        <x:v>-103.364016</x:v>
      </x:c>
      <x:c r="H1383" s="44" t="n">
        <x:f>E1383/SUMIF(A:A,A1383,E:E)</x:f>
        <x:v>0.00009732223017843317</x:v>
      </x:c>
    </x:row>
    <x:row r="1384" ht="21.600000381469727" hidden="0" customHeight="1">
      <x:c r="A1384" s="27" t="str">
        <x:v>SCA-18</x:v>
      </x:c>
      <x:c r="B1384" s="27" t="str">
        <x:v>46075</x:v>
      </x:c>
      <x:c r="C1384" s="27" t="str">
        <x:v>SD</x:v>
      </x:c>
      <x:c r="D1384" s="27" t="str">
        <x:v>Jones County</x:v>
      </x:c>
      <x:c r="E1384" s="40" t="n">
        <x:v>913</x:v>
      </x:c>
      <x:c r="F1384" s="55" t="n">
        <x:v>43.951991</x:v>
      </x:c>
      <x:c r="G1384" s="55" t="n">
        <x:v>-100.686138</x:v>
      </x:c>
      <x:c r="H1384" s="43" t="n">
        <x:f>E1384/SUMIF(A:A,A1384,E:E)</x:f>
        <x:v>0.0000829647022902983</x:v>
      </x:c>
    </x:row>
    <x:row r="1385" ht="21.600000381469727" hidden="0" customHeight="1">
      <x:c r="A1385" s="29" t="str">
        <x:v>SCA-18</x:v>
      </x:c>
      <x:c r="B1385" s="29" t="str">
        <x:v>31103</x:v>
      </x:c>
      <x:c r="C1385" s="29" t="str">
        <x:v>NE</x:v>
      </x:c>
      <x:c r="D1385" s="29" t="str">
        <x:v>Keya Paha County</x:v>
      </x:c>
      <x:c r="E1385" s="41" t="n">
        <x:v>792</x:v>
      </x:c>
      <x:c r="F1385" s="56" t="n">
        <x:v>42.87548</x:v>
      </x:c>
      <x:c r="G1385" s="56" t="n">
        <x:v>-99.718351</x:v>
      </x:c>
      <x:c r="H1385" s="44" t="n">
        <x:f>E1385/SUMIF(A:A,A1385,E:E)</x:f>
        <x:v>0.00007196938030001781</x:v>
      </x:c>
    </x:row>
    <x:row r="1386" ht="21.600000381469727" hidden="0" customHeight="1">
      <x:c r="A1386" s="27" t="str">
        <x:v>SCA-18</x:v>
      </x:c>
      <x:c r="B1386" s="27" t="str">
        <x:v>38087</x:v>
      </x:c>
      <x:c r="C1386" s="27" t="str">
        <x:v>ND</x:v>
      </x:c>
      <x:c r="D1386" s="27" t="str">
        <x:v>Slope County</x:v>
      </x:c>
      <x:c r="E1386" s="40" t="n">
        <x:v>628</x:v>
      </x:c>
      <x:c r="F1386" s="55" t="n">
        <x:v>46.445834</x:v>
      </x:c>
      <x:c r="G1386" s="55" t="n">
        <x:v>-103.462462</x:v>
      </x:c>
      <x:c r="H1386" s="43" t="n">
        <x:f>E1386/SUMIF(A:A,A1386,E:E)</x:f>
        <x:v>0.000057066629833852504</x:v>
      </x:c>
    </x:row>
    <x:row r="1387" ht="21.600000381469727" hidden="0" customHeight="1">
      <x:c r="A1387" s="29" t="str">
        <x:v>SCA-19</x:v>
      </x:c>
      <x:c r="B1387" s="29" t="str">
        <x:v>29189</x:v>
      </x:c>
      <x:c r="C1387" s="29" t="str">
        <x:v>MO</x:v>
      </x:c>
      <x:c r="D1387" s="29" t="str">
        <x:v>St. Louis County</x:v>
      </x:c>
      <x:c r="E1387" s="41" t="n">
        <x:v>990911</x:v>
      </x:c>
      <x:c r="F1387" s="56" t="n">
        <x:v>38.640438</x:v>
      </x:c>
      <x:c r="G1387" s="56" t="n">
        <x:v>-90.445497</x:v>
      </x:c>
      <x:c r="H1387" s="44" t="n">
        <x:f>E1387/SUMIF(A:A,A1387,E:E)</x:f>
        <x:v>0.14839210722689544</x:v>
      </x:c>
    </x:row>
    <x:row r="1388" ht="21.600000381469727" hidden="0" customHeight="1">
      <x:c r="A1388" s="27" t="str">
        <x:v>SCA-19</x:v>
      </x:c>
      <x:c r="B1388" s="27" t="str">
        <x:v>29183</x:v>
      </x:c>
      <x:c r="C1388" s="27" t="str">
        <x:v>MO</x:v>
      </x:c>
      <x:c r="D1388" s="27" t="str">
        <x:v>St. Charles County</x:v>
      </x:c>
      <x:c r="E1388" s="40" t="n">
        <x:v>426499</x:v>
      </x:c>
      <x:c r="F1388" s="55" t="n">
        <x:v>38.781102</x:v>
      </x:c>
      <x:c r="G1388" s="55" t="n">
        <x:v>-90.674915</x:v>
      </x:c>
      <x:c r="H1388" s="43" t="n">
        <x:f>E1388/SUMIF(A:A,A1388,E:E)</x:f>
        <x:v>0.06386959609910847</x:v>
      </x:c>
    </x:row>
    <x:row r="1389" ht="21.600000381469727" hidden="0" customHeight="1">
      <x:c r="A1389" s="29" t="str">
        <x:v>SCA-19</x:v>
      </x:c>
      <x:c r="B1389" s="29" t="str">
        <x:v>29077</x:v>
      </x:c>
      <x:c r="C1389" s="29" t="str">
        <x:v>MO</x:v>
      </x:c>
      <x:c r="D1389" s="29" t="str">
        <x:v>Greene County</x:v>
      </x:c>
      <x:c r="E1389" s="41" t="n">
        <x:v>309286</x:v>
      </x:c>
      <x:c r="F1389" s="56" t="n">
        <x:v>37.258196</x:v>
      </x:c>
      <x:c r="G1389" s="56" t="n">
        <x:v>-93.340641</x:v>
      </x:c>
      <x:c r="H1389" s="44" t="n">
        <x:f>E1389/SUMIF(A:A,A1389,E:E)</x:f>
        <x:v>0.046316572604176945</x:v>
      </x:c>
    </x:row>
    <x:row r="1390" ht="15" hidden="0" customHeight="1">
      <x:c r="A1390" s="27" t="str">
        <x:v>SCA-19</x:v>
      </x:c>
      <x:c r="B1390" s="27" t="str">
        <x:v>29510</x:v>
      </x:c>
      <x:c r="C1390" s="27" t="str">
        <x:v>MO</x:v>
      </x:c>
      <x:c r="D1390" s="27" t="str">
        <x:v>St. Louis city</x:v>
      </x:c>
      <x:c r="E1390" s="40" t="n">
        <x:v>278144</x:v>
      </x:c>
      <x:c r="F1390" s="55" t="n">
        <x:v>38.635699</x:v>
      </x:c>
      <x:c r="G1390" s="55" t="n">
        <x:v>-90.244582</x:v>
      </x:c>
      <x:c r="H1390" s="43" t="n">
        <x:f>E1390/SUMIF(A:A,A1390,E:E)</x:f>
        <x:v>0.04165295800785096</x:v>
      </x:c>
    </x:row>
    <x:row r="1391" ht="21.600000381469727" hidden="0" customHeight="1">
      <x:c r="A1391" s="29" t="str">
        <x:v>SCA-19</x:v>
      </x:c>
      <x:c r="B1391" s="29" t="str">
        <x:v>17119</x:v>
      </x:c>
      <x:c r="C1391" s="29" t="str">
        <x:v>IL</x:v>
      </x:c>
      <x:c r="D1391" s="29" t="str">
        <x:v>Madison County</x:v>
      </x:c>
      <x:c r="E1391" s="41" t="n">
        <x:v>263110</x:v>
      </x:c>
      <x:c r="F1391" s="56" t="n">
        <x:v>38.82712</x:v>
      </x:c>
      <x:c r="G1391" s="56" t="n">
        <x:v>-89.900227</x:v>
      </x:c>
      <x:c r="H1391" s="44" t="n">
        <x:f>E1391/SUMIF(A:A,A1391,E:E)</x:f>
        <x:v>0.03940156818570836</x:v>
      </x:c>
    </x:row>
    <x:row r="1392" ht="21.600000381469727" hidden="0" customHeight="1">
      <x:c r="A1392" s="27" t="str">
        <x:v>SCA-19</x:v>
      </x:c>
      <x:c r="B1392" s="27" t="str">
        <x:v>17163</x:v>
      </x:c>
      <x:c r="C1392" s="27" t="str">
        <x:v>IL</x:v>
      </x:c>
      <x:c r="D1392" s="27" t="str">
        <x:v>St. Clair County</x:v>
      </x:c>
      <x:c r="E1392" s="40" t="n">
        <x:v>250708</x:v>
      </x:c>
      <x:c r="F1392" s="55" t="n">
        <x:v>38.470198</x:v>
      </x:c>
      <x:c r="G1392" s="55" t="n">
        <x:v>-89.928546</x:v>
      </x:c>
      <x:c r="H1392" s="43" t="n">
        <x:f>E1392/SUMIF(A:A,A1392,E:E)</x:f>
        <x:v>0.03754432882331562</x:v>
      </x:c>
    </x:row>
    <x:row r="1393" ht="21.600000381469727" hidden="0" customHeight="1">
      <x:c r="A1393" s="29" t="str">
        <x:v>SCA-19</x:v>
      </x:c>
      <x:c r="B1393" s="29" t="str">
        <x:v>29099</x:v>
      </x:c>
      <x:c r="C1393" s="29" t="str">
        <x:v>MO</x:v>
      </x:c>
      <x:c r="D1393" s="29" t="str">
        <x:v>Jefferson County</x:v>
      </x:c>
      <x:c r="E1393" s="41" t="n">
        <x:v>233132</x:v>
      </x:c>
      <x:c r="F1393" s="56" t="n">
        <x:v>38.257629</x:v>
      </x:c>
      <x:c r="G1393" s="56" t="n">
        <x:v>-90.54368</x:v>
      </x:c>
      <x:c r="H1393" s="44" t="n">
        <x:f>E1393/SUMIF(A:A,A1393,E:E)</x:f>
        <x:v>0.034912266330700326</x:v>
      </x:c>
    </x:row>
    <x:row r="1394" ht="21.600000381469727" hidden="0" customHeight="1">
      <x:c r="A1394" s="27" t="str">
        <x:v>SCA-19</x:v>
      </x:c>
      <x:c r="B1394" s="27" t="str">
        <x:v>17167</x:v>
      </x:c>
      <x:c r="C1394" s="27" t="str">
        <x:v>IL</x:v>
      </x:c>
      <x:c r="D1394" s="27" t="str">
        <x:v>Sangamon County</x:v>
      </x:c>
      <x:c r="E1394" s="40" t="n">
        <x:v>194170</x:v>
      </x:c>
      <x:c r="F1394" s="55" t="n">
        <x:v>39.756886</x:v>
      </x:c>
      <x:c r="G1394" s="55" t="n">
        <x:v>-89.662435</x:v>
      </x:c>
      <x:c r="H1394" s="43" t="n">
        <x:f>E1394/SUMIF(A:A,A1394,E:E)</x:f>
        <x:v>0.029077581599403265</x:v>
      </x:c>
    </x:row>
    <x:row r="1395" ht="21.600000381469727" hidden="0" customHeight="1">
      <x:c r="A1395" s="29" t="str">
        <x:v>SCA-19</x:v>
      </x:c>
      <x:c r="B1395" s="29" t="str">
        <x:v>29019</x:v>
      </x:c>
      <x:c r="C1395" s="29" t="str">
        <x:v>MO</x:v>
      </x:c>
      <x:c r="D1395" s="29" t="str">
        <x:v>Boone County</x:v>
      </x:c>
      <x:c r="E1395" s="41" t="n">
        <x:v>191746</x:v>
      </x:c>
      <x:c r="F1395" s="56" t="n">
        <x:v>38.989861</x:v>
      </x:c>
      <x:c r="G1395" s="56" t="n">
        <x:v>-92.310202</x:v>
      </x:c>
      <x:c r="H1395" s="44" t="n">
        <x:f>E1395/SUMIF(A:A,A1395,E:E)</x:f>
        <x:v>0.02871457980820507</x:v>
      </x:c>
    </x:row>
    <x:row r="1396" ht="21.600000381469727" hidden="0" customHeight="1">
      <x:c r="A1396" s="27" t="str">
        <x:v>SCA-19</x:v>
      </x:c>
      <x:c r="B1396" s="27" t="str">
        <x:v>29071</x:v>
      </x:c>
      <x:c r="C1396" s="27" t="str">
        <x:v>MO</x:v>
      </x:c>
      <x:c r="D1396" s="27" t="str">
        <x:v>Franklin County</x:v>
      </x:c>
      <x:c r="E1396" s="40" t="n">
        <x:v>108090</x:v>
      </x:c>
      <x:c r="F1396" s="55" t="n">
        <x:v>38.413003</x:v>
      </x:c>
      <x:c r="G1396" s="55" t="n">
        <x:v>-91.072832</x:v>
      </x:c>
      <x:c r="H1396" s="43" t="n">
        <x:f>E1396/SUMIF(A:A,A1396,E:E)</x:f>
        <x:v>0.016186824921870003</x:v>
      </x:c>
    </x:row>
    <x:row r="1397" ht="21.600000381469727" hidden="0" customHeight="1">
      <x:c r="A1397" s="29" t="str">
        <x:v>SCA-19</x:v>
      </x:c>
      <x:c r="B1397" s="29" t="str">
        <x:v>17115</x:v>
      </x:c>
      <x:c r="C1397" s="29" t="str">
        <x:v>IL</x:v>
      </x:c>
      <x:c r="D1397" s="29" t="str">
        <x:v>Macon County</x:v>
      </x:c>
      <x:c r="E1397" s="41" t="n">
        <x:v>99300</x:v>
      </x:c>
      <x:c r="F1397" s="56" t="n">
        <x:v>39.860237</x:v>
      </x:c>
      <x:c r="G1397" s="56" t="n">
        <x:v>-88.961529</x:v>
      </x:c>
      <x:c r="H1397" s="44" t="n">
        <x:f>E1397/SUMIF(A:A,A1397,E:E)</x:f>
        <x:v>0.014870494169133976</x:v>
      </x:c>
    </x:row>
    <x:row r="1398" ht="21.600000381469727" hidden="0" customHeight="1">
      <x:c r="A1398" s="27" t="str">
        <x:v>SCA-19</x:v>
      </x:c>
      <x:c r="B1398" s="27" t="str">
        <x:v>29043</x:v>
      </x:c>
      <x:c r="C1398" s="27" t="str">
        <x:v>MO</x:v>
      </x:c>
      <x:c r="D1398" s="27" t="str">
        <x:v>Christian County</x:v>
      </x:c>
      <x:c r="E1398" s="40" t="n">
        <x:v>96725</x:v>
      </x:c>
      <x:c r="F1398" s="55" t="n">
        <x:v>36.969739</x:v>
      </x:c>
      <x:c r="G1398" s="55" t="n">
        <x:v>-93.187614</x:v>
      </x:c>
      <x:c r="H1398" s="43" t="n">
        <x:f>E1398/SUMIF(A:A,A1398,E:E)</x:f>
        <x:v>0.014484879642592988</x:v>
      </x:c>
    </x:row>
    <x:row r="1399" ht="32.400001525878906" hidden="0" customHeight="1">
      <x:c r="A1399" s="29" t="str">
        <x:v>SCA-19</x:v>
      </x:c>
      <x:c r="B1399" s="29" t="str">
        <x:v>29031</x:v>
      </x:c>
      <x:c r="C1399" s="29" t="str">
        <x:v>MO</x:v>
      </x:c>
      <x:c r="D1399" s="29" t="str">
        <x:v>Cape Girardeau County</x:v>
      </x:c>
      <x:c r="E1399" s="41" t="n">
        <x:v>83999</x:v>
      </x:c>
      <x:c r="F1399" s="56" t="n">
        <x:v>37.384141</x:v>
      </x:c>
      <x:c r="G1399" s="56" t="n">
        <x:v>-89.685658</x:v>
      </x:c>
      <x:c r="H1399" s="44" t="n">
        <x:f>E1399/SUMIF(A:A,A1399,E:E)</x:f>
        <x:v>0.012579120238802465</x:v>
      </x:c>
    </x:row>
    <x:row r="1400" ht="15" hidden="0" customHeight="1">
      <x:c r="A1400" s="27" t="str">
        <x:v>SCA-19</x:v>
      </x:c>
      <x:c r="B1400" s="27" t="str">
        <x:v>29051</x:v>
      </x:c>
      <x:c r="C1400" s="27" t="str">
        <x:v>MO</x:v>
      </x:c>
      <x:c r="D1400" s="27" t="str">
        <x:v>Cole County</x:v>
      </x:c>
      <x:c r="E1400" s="40" t="n">
        <x:v>77908</x:v>
      </x:c>
      <x:c r="F1400" s="55" t="n">
        <x:v>38.503233</x:v>
      </x:c>
      <x:c r="G1400" s="55" t="n">
        <x:v>-92.280027</x:v>
      </x:c>
      <x:c r="H1400" s="43" t="n">
        <x:f>E1400/SUMIF(A:A,A1400,E:E)</x:f>
        <x:v>0.011666973411167068</x:v>
      </x:c>
    </x:row>
    <x:row r="1401" ht="21.600000381469727" hidden="0" customHeight="1">
      <x:c r="A1401" s="29" t="str">
        <x:v>SCA-19</x:v>
      </x:c>
      <x:c r="B1401" s="29" t="str">
        <x:v>29187</x:v>
      </x:c>
      <x:c r="C1401" s="29" t="str">
        <x:v>MO</x:v>
      </x:c>
      <x:c r="D1401" s="29" t="str">
        <x:v>St. Francois County</x:v>
      </x:c>
      <x:c r="E1401" s="41" t="n">
        <x:v>67809</x:v>
      </x:c>
      <x:c r="F1401" s="56" t="n">
        <x:v>37.810707</x:v>
      </x:c>
      <x:c r="G1401" s="56" t="n">
        <x:v>-90.473868</x:v>
      </x:c>
      <x:c r="H1401" s="44" t="n">
        <x:f>E1401/SUMIF(A:A,A1401,E:E)</x:f>
        <x:v>0.010154615701055445</x:v>
      </x:c>
    </x:row>
    <x:row r="1402" ht="21.600000381469727" hidden="0" customHeight="1">
      <x:c r="A1402" s="27" t="str">
        <x:v>SCA-19</x:v>
      </x:c>
      <x:c r="B1402" s="27" t="str">
        <x:v>17199</x:v>
      </x:c>
      <x:c r="C1402" s="27" t="str">
        <x:v>IL</x:v>
      </x:c>
      <x:c r="D1402" s="27" t="str">
        <x:v>Williamson County</x:v>
      </x:c>
      <x:c r="E1402" s="40" t="n">
        <x:v>67225</x:v>
      </x:c>
      <x:c r="F1402" s="55" t="n">
        <x:v>37.730353</x:v>
      </x:c>
      <x:c r="G1402" s="55" t="n">
        <x:v>-88.930018</x:v>
      </x:c>
      <x:c r="H1402" s="43" t="n">
        <x:f>E1402/SUMIF(A:A,A1402,E:E)</x:f>
        <x:v>0.010067159823968093</x:v>
      </x:c>
    </x:row>
    <x:row r="1403" ht="21.600000381469727" hidden="0" customHeight="1">
      <x:c r="A1403" s="29" t="str">
        <x:v>SCA-19</x:v>
      </x:c>
      <x:c r="B1403" s="29" t="str">
        <x:v>29113</x:v>
      </x:c>
      <x:c r="C1403" s="29" t="str">
        <x:v>MO</x:v>
      </x:c>
      <x:c r="D1403" s="29" t="str">
        <x:v>Lincoln County</x:v>
      </x:c>
      <x:c r="E1403" s="41" t="n">
        <x:v>66676</x:v>
      </x:c>
      <x:c r="F1403" s="56" t="n">
        <x:v>39.062255</x:v>
      </x:c>
      <x:c r="G1403" s="56" t="n">
        <x:v>-90.962916</x:v>
      </x:c>
      <x:c r="H1403" s="44" t="n">
        <x:f>E1403/SUMIF(A:A,A1403,E:E)</x:f>
        <x:v>0.009984945309377411</x:v>
      </x:c>
    </x:row>
    <x:row r="1404" ht="21.600000381469727" hidden="0" customHeight="1">
      <x:c r="A1404" s="27" t="str">
        <x:v>SCA-19</x:v>
      </x:c>
      <x:c r="B1404" s="27" t="str">
        <x:v>17001</x:v>
      </x:c>
      <x:c r="C1404" s="27" t="str">
        <x:v>IL</x:v>
      </x:c>
      <x:c r="D1404" s="27" t="str">
        <x:v>Adams County</x:v>
      </x:c>
      <x:c r="E1404" s="40" t="n">
        <x:v>64267</x:v>
      </x:c>
      <x:c r="F1404" s="55" t="n">
        <x:v>39.986052</x:v>
      </x:c>
      <x:c r="G1404" s="55" t="n">
        <x:v>-91.194961</x:v>
      </x:c>
      <x:c r="H1404" s="43" t="n">
        <x:f>E1404/SUMIF(A:A,A1404,E:E)</x:f>
        <x:v>0.009624189816392077</x:v>
      </x:c>
    </x:row>
    <x:row r="1405" ht="21.600000381469727" hidden="0" customHeight="1">
      <x:c r="A1405" s="29" t="str">
        <x:v>SCA-19</x:v>
      </x:c>
      <x:c r="B1405" s="29" t="str">
        <x:v>29213</x:v>
      </x:c>
      <x:c r="C1405" s="29" t="str">
        <x:v>MO</x:v>
      </x:c>
      <x:c r="D1405" s="29" t="str">
        <x:v>Taney County</x:v>
      </x:c>
      <x:c r="E1405" s="41" t="n">
        <x:v>57001</x:v>
      </x:c>
      <x:c r="F1405" s="56" t="n">
        <x:v>36.649827</x:v>
      </x:c>
      <x:c r="G1405" s="56" t="n">
        <x:v>-93.042819</x:v>
      </x:c>
      <x:c r="H1405" s="44" t="n">
        <x:f>E1405/SUMIF(A:A,A1405,E:E)</x:f>
        <x:v>0.008536082962082636</x:v>
      </x:c>
    </x:row>
    <x:row r="1406" ht="21.600000381469727" hidden="0" customHeight="1">
      <x:c r="A1406" s="27" t="str">
        <x:v>SCA-19</x:v>
      </x:c>
      <x:c r="B1406" s="27" t="str">
        <x:v>29101</x:v>
      </x:c>
      <x:c r="C1406" s="27" t="str">
        <x:v>MO</x:v>
      </x:c>
      <x:c r="D1406" s="27" t="str">
        <x:v>Johnson County</x:v>
      </x:c>
      <x:c r="E1406" s="40" t="n">
        <x:v>56670</x:v>
      </x:c>
      <x:c r="F1406" s="55" t="n">
        <x:v>38.74153</x:v>
      </x:c>
      <x:c r="G1406" s="55" t="n">
        <x:v>-93.811866</x:v>
      </x:c>
      <x:c r="H1406" s="43" t="n">
        <x:f>E1406/SUMIF(A:A,A1406,E:E)</x:f>
        <x:v>0.008486514648185523</x:v>
      </x:c>
    </x:row>
    <x:row r="1407" ht="21.600000381469727" hidden="0" customHeight="1">
      <x:c r="A1407" s="29" t="str">
        <x:v>SCA-19</x:v>
      </x:c>
      <x:c r="B1407" s="29" t="str">
        <x:v>29169</x:v>
      </x:c>
      <x:c r="C1407" s="29" t="str">
        <x:v>MO</x:v>
      </x:c>
      <x:c r="D1407" s="29" t="str">
        <x:v>Pulaski County</x:v>
      </x:c>
      <x:c r="E1407" s="41" t="n">
        <x:v>54442</x:v>
      </x:c>
      <x:c r="F1407" s="56" t="n">
        <x:v>37.824835</x:v>
      </x:c>
      <x:c r="G1407" s="56" t="n">
        <x:v>-92.207022</x:v>
      </x:c>
      <x:c r="H1407" s="44" t="n">
        <x:f>E1407/SUMIF(A:A,A1407,E:E)</x:f>
        <x:v>0.0081528644869687</x:v>
      </x:c>
    </x:row>
    <x:row r="1408" ht="21.600000381469727" hidden="0" customHeight="1">
      <x:c r="A1408" s="27" t="str">
        <x:v>SCA-19</x:v>
      </x:c>
      <x:c r="B1408" s="27" t="str">
        <x:v>17077</x:v>
      </x:c>
      <x:c r="C1408" s="27" t="str">
        <x:v>IL</x:v>
      </x:c>
      <x:c r="D1408" s="27" t="str">
        <x:v>Jackson County</x:v>
      </x:c>
      <x:c r="E1408" s="40" t="n">
        <x:v>52501</x:v>
      </x:c>
      <x:c r="F1408" s="55" t="n">
        <x:v>37.786096</x:v>
      </x:c>
      <x:c r="G1408" s="55" t="n">
        <x:v>-89.381212</x:v>
      </x:c>
      <x:c r="H1408" s="43" t="n">
        <x:f>E1408/SUMIF(A:A,A1408,E:E)</x:f>
        <x:v>0.0078621934982246</x:v>
      </x:c>
    </x:row>
    <x:row r="1409" ht="21.600000381469727" hidden="0" customHeight="1">
      <x:c r="A1409" s="29" t="str">
        <x:v>SCA-19</x:v>
      </x:c>
      <x:c r="B1409" s="29" t="str">
        <x:v>17029</x:v>
      </x:c>
      <x:c r="C1409" s="29" t="str">
        <x:v>IL</x:v>
      </x:c>
      <x:c r="D1409" s="29" t="str">
        <x:v>Coles County</x:v>
      </x:c>
      <x:c r="E1409" s="41" t="n">
        <x:v>46607</x:v>
      </x:c>
      <x:c r="F1409" s="56" t="n">
        <x:v>39.51368</x:v>
      </x:c>
      <x:c r="G1409" s="56" t="n">
        <x:v>-88.220782</x:v>
      </x:c>
      <x:c r="H1409" s="44" t="n">
        <x:f>E1409/SUMIF(A:A,A1409,E:E)</x:f>
        <x:v>0.006979548053784765</x:v>
      </x:c>
    </x:row>
    <x:row r="1410" ht="21.600000381469727" hidden="0" customHeight="1">
      <x:c r="A1410" s="27" t="str">
        <x:v>SCA-19</x:v>
      </x:c>
      <x:c r="B1410" s="27" t="str">
        <x:v>29027</x:v>
      </x:c>
      <x:c r="C1410" s="27" t="str">
        <x:v>MO</x:v>
      </x:c>
      <x:c r="D1410" s="27" t="str">
        <x:v>Callaway County</x:v>
      </x:c>
      <x:c r="E1410" s="40" t="n">
        <x:v>45765</x:v>
      </x:c>
      <x:c r="F1410" s="55" t="n">
        <x:v>38.835547</x:v>
      </x:c>
      <x:c r="G1410" s="55" t="n">
        <x:v>-91.923446</x:v>
      </x:c>
      <x:c r="H1410" s="43" t="n">
        <x:f>E1410/SUMIF(A:A,A1410,E:E)</x:f>
        <x:v>0.006853455847436217</x:v>
      </x:c>
    </x:row>
    <x:row r="1411" ht="21.600000381469727" hidden="0" customHeight="1">
      <x:c r="A1411" s="29" t="str">
        <x:v>SCA-19</x:v>
      </x:c>
      <x:c r="B1411" s="29" t="str">
        <x:v>29161</x:v>
      </x:c>
      <x:c r="C1411" s="29" t="str">
        <x:v>MO</x:v>
      </x:c>
      <x:c r="D1411" s="29" t="str">
        <x:v>Phelps County</x:v>
      </x:c>
      <x:c r="E1411" s="41" t="n">
        <x:v>45247</x:v>
      </x:c>
      <x:c r="F1411" s="56" t="n">
        <x:v>37.866326</x:v>
      </x:c>
      <x:c r="G1411" s="56" t="n">
        <x:v>-91.79035</x:v>
      </x:c>
      <x:c r="H1411" s="44" t="n">
        <x:f>E1411/SUMIF(A:A,A1411,E:E)</x:f>
        <x:v>0.006775883682485448</x:v>
      </x:c>
    </x:row>
    <x:row r="1412" ht="21.600000381469727" hidden="0" customHeight="1">
      <x:c r="A1412" s="27" t="str">
        <x:v>SCA-19</x:v>
      </x:c>
      <x:c r="B1412" s="27" t="str">
        <x:v>29159</x:v>
      </x:c>
      <x:c r="C1412" s="27" t="str">
        <x:v>MO</x:v>
      </x:c>
      <x:c r="D1412" s="27" t="str">
        <x:v>Pettis County</x:v>
      </x:c>
      <x:c r="E1412" s="40" t="n">
        <x:v>44254</x:v>
      </x:c>
      <x:c r="F1412" s="55" t="n">
        <x:v>38.727388</x:v>
      </x:c>
      <x:c r="G1412" s="55" t="n">
        <x:v>-93.28519</x:v>
      </x:c>
      <x:c r="H1412" s="43" t="n">
        <x:f>E1412/SUMIF(A:A,A1412,E:E)</x:f>
        <x:v>0.006627178740794108</x:v>
      </x:c>
    </x:row>
    <x:row r="1413" ht="21.600000381469727" hidden="0" customHeight="1">
      <x:c r="A1413" s="29" t="str">
        <x:v>SCA-19</x:v>
      </x:c>
      <x:c r="B1413" s="29" t="str">
        <x:v>29029</x:v>
      </x:c>
      <x:c r="C1413" s="29" t="str">
        <x:v>MO</x:v>
      </x:c>
      <x:c r="D1413" s="29" t="str">
        <x:v>Camden County</x:v>
      </x:c>
      <x:c r="E1413" s="41" t="n">
        <x:v>44047</x:v>
      </x:c>
      <x:c r="F1413" s="56" t="n">
        <x:v>38.026504</x:v>
      </x:c>
      <x:c r="G1413" s="56" t="n">
        <x:v>-92.765328</x:v>
      </x:c>
      <x:c r="H1413" s="44" t="n">
        <x:f>E1413/SUMIF(A:A,A1413,E:E)</x:f>
        <x:v>0.0065961798254566386</x:v>
      </x:c>
    </x:row>
    <x:row r="1414" ht="21.600000381469727" hidden="0" customHeight="1">
      <x:c r="A1414" s="27" t="str">
        <x:v>SCA-19</x:v>
      </x:c>
      <x:c r="B1414" s="27" t="str">
        <x:v>17117</x:v>
      </x:c>
      <x:c r="C1414" s="27" t="str">
        <x:v>IL</x:v>
      </x:c>
      <x:c r="D1414" s="27" t="str">
        <x:v>Macoupin County</x:v>
      </x:c>
      <x:c r="E1414" s="40" t="n">
        <x:v>43748</x:v>
      </x:c>
      <x:c r="F1414" s="55" t="n">
        <x:v>39.265914</x:v>
      </x:c>
      <x:c r="G1414" s="55" t="n">
        <x:v>-89.92633</x:v>
      </x:c>
      <x:c r="H1414" s="43" t="n">
        <x:f>E1414/SUMIF(A:A,A1414,E:E)</x:f>
        <x:v>0.006551403614413627</x:v>
      </x:c>
    </x:row>
    <x:row r="1415" ht="21.600000381469727" hidden="0" customHeight="1">
      <x:c r="A1415" s="29" t="str">
        <x:v>SCA-19</x:v>
      </x:c>
      <x:c r="B1415" s="29" t="str">
        <x:v>29225</x:v>
      </x:c>
      <x:c r="C1415" s="29" t="str">
        <x:v>MO</x:v>
      </x:c>
      <x:c r="D1415" s="29" t="str">
        <x:v>Webster County</x:v>
      </x:c>
      <x:c r="E1415" s="41" t="n">
        <x:v>43054</x:v>
      </x:c>
      <x:c r="F1415" s="56" t="n">
        <x:v>37.280804</x:v>
      </x:c>
      <x:c r="G1415" s="56" t="n">
        <x:v>-92.87608</x:v>
      </x:c>
      <x:c r="H1415" s="44" t="n">
        <x:f>E1415/SUMIF(A:A,A1415,E:E)</x:f>
        <x:v>0.006447474883765299</x:v>
      </x:c>
    </x:row>
    <x:row r="1416" ht="21.600000381469727" hidden="0" customHeight="1">
      <x:c r="A1416" s="27" t="str">
        <x:v>SCA-19</x:v>
      </x:c>
      <x:c r="B1416" s="27" t="str">
        <x:v>29091</x:v>
      </x:c>
      <x:c r="C1416" s="27" t="str">
        <x:v>MO</x:v>
      </x:c>
      <x:c r="D1416" s="27" t="str">
        <x:v>Howell County</x:v>
      </x:c>
      <x:c r="E1416" s="40" t="n">
        <x:v>40798</x:v>
      </x:c>
      <x:c r="F1416" s="55" t="n">
        <x:v>36.774369</x:v>
      </x:c>
      <x:c r="G1416" s="55" t="n">
        <x:v>-91.887368</x:v>
      </x:c>
      <x:c r="H1416" s="43" t="n">
        <x:f>E1416/SUMIF(A:A,A1416,E:E)</x:f>
        <x:v>0.006109631632551137</x:v>
      </x:c>
    </x:row>
    <x:row r="1417" ht="21.600000381469727" hidden="0" customHeight="1">
      <x:c r="A1417" s="29" t="str">
        <x:v>SCA-19</x:v>
      </x:c>
      <x:c r="B1417" s="29" t="str">
        <x:v>29219</x:v>
      </x:c>
      <x:c r="C1417" s="29" t="str">
        <x:v>MO</x:v>
      </x:c>
      <x:c r="D1417" s="29" t="str">
        <x:v>Warren County</x:v>
      </x:c>
      <x:c r="E1417" s="41" t="n">
        <x:v>39016</x:v>
      </x:c>
      <x:c r="F1417" s="56" t="n">
        <x:v>38.761902</x:v>
      </x:c>
      <x:c r="G1417" s="56" t="n">
        <x:v>-91.159306</x:v>
      </x:c>
      <x:c r="H1417" s="44" t="n">
        <x:f>E1417/SUMIF(A:A,A1417,E:E)</x:f>
        <x:v>0.005842771404863356</x:v>
      </x:c>
    </x:row>
    <x:row r="1418" ht="21.600000381469727" hidden="0" customHeight="1">
      <x:c r="A1418" s="27" t="str">
        <x:v>SCA-19</x:v>
      </x:c>
      <x:c r="B1418" s="27" t="str">
        <x:v>19057</x:v>
      </x:c>
      <x:c r="C1418" s="27" t="str">
        <x:v>IA</x:v>
      </x:c>
      <x:c r="D1418" s="27" t="str">
        <x:v>Des Moines County</x:v>
      </x:c>
      <x:c r="E1418" s="40" t="n">
        <x:v>38077</x:v>
      </x:c>
      <x:c r="F1418" s="55" t="n">
        <x:v>40.915339</x:v>
      </x:c>
      <x:c r="G1418" s="55" t="n">
        <x:v>-91.186925</x:v>
      </x:c>
      <x:c r="H1418" s="43" t="n">
        <x:f>E1418/SUMIF(A:A,A1418,E:E)</x:f>
        <x:v>0.005702153136738312</x:v>
      </x:c>
    </x:row>
    <x:row r="1419" ht="15" hidden="0" customHeight="1">
      <x:c r="A1419" s="29" t="str">
        <x:v>SCA-19</x:v>
      </x:c>
      <x:c r="B1419" s="29" t="str">
        <x:v>29201</x:v>
      </x:c>
      <x:c r="C1419" s="29" t="str">
        <x:v>MO</x:v>
      </x:c>
      <x:c r="D1419" s="29" t="str">
        <x:v>Scott County</x:v>
      </x:c>
      <x:c r="E1419" s="41" t="n">
        <x:v>37975</x:v>
      </x:c>
      <x:c r="F1419" s="56" t="n">
        <x:v>37.047793</x:v>
      </x:c>
      <x:c r="G1419" s="56" t="n">
        <x:v>-89.568098</x:v>
      </x:c>
      <x:c r="H1419" s="44" t="n">
        <x:f>E1419/SUMIF(A:A,A1419,E:E)</x:f>
        <x:v>0.005686878308890864</x:v>
      </x:c>
    </x:row>
    <x:row r="1420" ht="21.600000381469727" hidden="0" customHeight="1">
      <x:c r="A1420" s="27" t="str">
        <x:v>SCA-19</x:v>
      </x:c>
      <x:c r="B1420" s="27" t="str">
        <x:v>17027</x:v>
      </x:c>
      <x:c r="C1420" s="27" t="str">
        <x:v>IL</x:v>
      </x:c>
      <x:c r="D1420" s="27" t="str">
        <x:v>Clinton County</x:v>
      </x:c>
      <x:c r="E1420" s="40" t="n">
        <x:v>37128</x:v>
      </x:c>
      <x:c r="F1420" s="55" t="n">
        <x:v>38.606295</x:v>
      </x:c>
      <x:c r="G1420" s="55" t="n">
        <x:v>-89.426228</x:v>
      </x:c>
      <x:c r="H1420" s="43" t="n">
        <x:f>E1420/SUMIF(A:A,A1420,E:E)</x:f>
        <x:v>0.005560037336471362</x:v>
      </x:c>
    </x:row>
    <x:row r="1421" ht="21.600000381469727" hidden="0" customHeight="1">
      <x:c r="A1421" s="29" t="str">
        <x:v>SCA-19</x:v>
      </x:c>
      <x:c r="B1421" s="29" t="str">
        <x:v>29105</x:v>
      </x:c>
      <x:c r="C1421" s="29" t="str">
        <x:v>MO</x:v>
      </x:c>
      <x:c r="D1421" s="29" t="str">
        <x:v>Laclede County</x:v>
      </x:c>
      <x:c r="E1421" s="41" t="n">
        <x:v>36943</x:v>
      </x:c>
      <x:c r="F1421" s="56" t="n">
        <x:v>37.659698</x:v>
      </x:c>
      <x:c r="G1421" s="56" t="n">
        <x:v>-92.594843</x:v>
      </x:c>
      <x:c r="H1421" s="44" t="n">
        <x:f>E1421/SUMIF(A:A,A1421,E:E)</x:f>
        <x:v>0.005532332991846087</x:v>
      </x:c>
    </x:row>
    <x:row r="1422" ht="21.600000381469727" hidden="0" customHeight="1">
      <x:c r="A1422" s="27" t="str">
        <x:v>SCA-19</x:v>
      </x:c>
      <x:c r="B1422" s="27" t="str">
        <x:v>17055</x:v>
      </x:c>
      <x:c r="C1422" s="27" t="str">
        <x:v>IL</x:v>
      </x:c>
      <x:c r="D1422" s="27" t="str">
        <x:v>Franklin County</x:v>
      </x:c>
      <x:c r="E1422" s="40" t="n">
        <x:v>36916</x:v>
      </x:c>
      <x:c r="F1422" s="55" t="n">
        <x:v>37.991852</x:v>
      </x:c>
      <x:c r="G1422" s="55" t="n">
        <x:v>-88.926321</x:v>
      </x:c>
      <x:c r="H1422" s="43" t="n">
        <x:f>E1422/SUMIF(A:A,A1422,E:E)</x:f>
        <x:v>0.005528289655062939</x:v>
      </x:c>
    </x:row>
    <x:row r="1423" ht="21.600000381469727" hidden="0" customHeight="1">
      <x:c r="A1423" s="29" t="str">
        <x:v>SCA-19</x:v>
      </x:c>
      <x:c r="B1423" s="29" t="str">
        <x:v>17121</x:v>
      </x:c>
      <x:c r="C1423" s="29" t="str">
        <x:v>IL</x:v>
      </x:c>
      <x:c r="D1423" s="29" t="str">
        <x:v>Marion County</x:v>
      </x:c>
      <x:c r="E1423" s="41" t="n">
        <x:v>36382</x:v>
      </x:c>
      <x:c r="F1423" s="56" t="n">
        <x:v>38.648236</x:v>
      </x:c>
      <x:c r="G1423" s="56" t="n">
        <x:v>-88.920362</x:v>
      </x:c>
      <x:c r="H1423" s="44" t="n">
        <x:f>E1423/SUMIF(A:A,A1423,E:E)</x:f>
        <x:v>0.0054483214386851185</x:v>
      </x:c>
    </x:row>
    <x:row r="1424" ht="21.600000381469727" hidden="0" customHeight="1">
      <x:c r="A1424" s="27" t="str">
        <x:v>SCA-19</x:v>
      </x:c>
      <x:c r="B1424" s="27" t="str">
        <x:v>17081</x:v>
      </x:c>
      <x:c r="C1424" s="27" t="str">
        <x:v>IL</x:v>
      </x:c>
      <x:c r="D1424" s="27" t="str">
        <x:v>Jefferson County</x:v>
      </x:c>
      <x:c r="E1424" s="40" t="n">
        <x:v>36147</x:v>
      </x:c>
      <x:c r="F1424" s="55" t="n">
        <x:v>38.30078</x:v>
      </x:c>
      <x:c r="G1424" s="55" t="n">
        <x:v>-88.92421</x:v>
      </x:c>
      <x:c r="H1424" s="43" t="n">
        <x:f>E1424/SUMIF(A:A,A1424,E:E)</x:f>
        <x:v>0.0054131294333503105</x:v>
      </x:c>
    </x:row>
    <x:row r="1425" ht="21.600000381469727" hidden="0" customHeight="1">
      <x:c r="A1425" s="29" t="str">
        <x:v>SCA-19</x:v>
      </x:c>
      <x:c r="B1425" s="29" t="str">
        <x:v>19179</x:v>
      </x:c>
      <x:c r="C1425" s="29" t="str">
        <x:v>IA</x:v>
      </x:c>
      <x:c r="D1425" s="29" t="str">
        <x:v>Wapello County</x:v>
      </x:c>
      <x:c r="E1425" s="41" t="n">
        <x:v>35210</x:v>
      </x:c>
      <x:c r="F1425" s="56" t="n">
        <x:v>41.031275</x:v>
      </x:c>
      <x:c r="G1425" s="56" t="n">
        <x:v>-92.409466</x:v>
      </x:c>
      <x:c r="H1425" s="44" t="n">
        <x:f>E1425/SUMIF(A:A,A1425,E:E)</x:f>
        <x:v>0.005272810671653649</x:v>
      </x:c>
    </x:row>
    <x:row r="1426" ht="21.600000381469727" hidden="0" customHeight="1">
      <x:c r="A1426" s="27" t="str">
        <x:v>SCA-19</x:v>
      </x:c>
      <x:c r="B1426" s="27" t="str">
        <x:v>17133</x:v>
      </x:c>
      <x:c r="C1426" s="27" t="str">
        <x:v>IL</x:v>
      </x:c>
      <x:c r="D1426" s="27" t="str">
        <x:v>Monroe County</x:v>
      </x:c>
      <x:c r="E1426" s="40" t="n">
        <x:v>34840</x:v>
      </x:c>
      <x:c r="F1426" s="55" t="n">
        <x:v>38.277983</x:v>
      </x:c>
      <x:c r="G1426" s="55" t="n">
        <x:v>-90.179078</x:v>
      </x:c>
      <x:c r="H1426" s="43" t="n">
        <x:f>E1426/SUMIF(A:A,A1426,E:E)</x:f>
        <x:v>0.005217401982403099</x:v>
      </x:c>
    </x:row>
    <x:row r="1427" ht="21.600000381469727" hidden="0" customHeight="1">
      <x:c r="A1427" s="29" t="str">
        <x:v>SCA-19</x:v>
      </x:c>
      <x:c r="B1427" s="29" t="str">
        <x:v>17049</x:v>
      </x:c>
      <x:c r="C1427" s="29" t="str">
        <x:v>IL</x:v>
      </x:c>
      <x:c r="D1427" s="29" t="str">
        <x:v>Effingham County</x:v>
      </x:c>
      <x:c r="E1427" s="41" t="n">
        <x:v>34519</x:v>
      </x:c>
      <x:c r="F1427" s="56" t="n">
        <x:v>39.047945</x:v>
      </x:c>
      <x:c r="G1427" s="56" t="n">
        <x:v>-88.592849</x:v>
      </x:c>
      <x:c r="H1427" s="44" t="n">
        <x:f>E1427/SUMIF(A:A,A1427,E:E)</x:f>
        <x:v>0.0051693312006478925</x:v>
      </x:c>
    </x:row>
    <x:row r="1428" ht="21.600000381469727" hidden="0" customHeight="1">
      <x:c r="A1428" s="27" t="str">
        <x:v>SCA-19</x:v>
      </x:c>
      <x:c r="B1428" s="27" t="str">
        <x:v>19125</x:v>
      </x:c>
      <x:c r="C1428" s="27" t="str">
        <x:v>IA</x:v>
      </x:c>
      <x:c r="D1428" s="27" t="str">
        <x:v>Marion County</x:v>
      </x:c>
      <x:c r="E1428" s="40" t="n">
        <x:v>34192</x:v>
      </x:c>
      <x:c r="F1428" s="55" t="n">
        <x:v>41.331433</x:v>
      </x:c>
      <x:c r="G1428" s="55" t="n">
        <x:v>-93.093868</x:v>
      </x:c>
      <x:c r="H1428" s="43" t="n">
        <x:f>E1428/SUMIF(A:A,A1428,E:E)</x:f>
        <x:v>0.005120361899607542</x:v>
      </x:c>
    </x:row>
    <x:row r="1429" ht="15" hidden="0" customHeight="1">
      <x:c r="A1429" s="29" t="str">
        <x:v>SCA-19</x:v>
      </x:c>
      <x:c r="B1429" s="29" t="str">
        <x:v>29167</x:v>
      </x:c>
      <x:c r="C1429" s="29" t="str">
        <x:v>MO</x:v>
      </x:c>
      <x:c r="D1429" s="29" t="str">
        <x:v>Polk County</x:v>
      </x:c>
      <x:c r="E1429" s="41" t="n">
        <x:v>33604</x:v>
      </x:c>
      <x:c r="F1429" s="56" t="n">
        <x:v>37.616761</x:v>
      </x:c>
      <x:c r="G1429" s="56" t="n">
        <x:v>-93.400817</x:v>
      </x:c>
      <x:c r="H1429" s="44" t="n">
        <x:f>E1429/SUMIF(A:A,A1429,E:E)</x:f>
        <x:v>0.005032307009663425</x:v>
      </x:c>
    </x:row>
    <x:row r="1430" ht="21.600000381469727" hidden="0" customHeight="1">
      <x:c r="A1430" s="27" t="str">
        <x:v>SCA-19</x:v>
      </x:c>
      <x:c r="B1430" s="27" t="str">
        <x:v>29107</x:v>
      </x:c>
      <x:c r="C1430" s="27" t="str">
        <x:v>MO</x:v>
      </x:c>
      <x:c r="D1430" s="27" t="str">
        <x:v>Lafayette County</x:v>
      </x:c>
      <x:c r="E1430" s="40" t="n">
        <x:v>33531</x:v>
      </x:c>
      <x:c r="F1430" s="55" t="n">
        <x:v>39.068713</x:v>
      </x:c>
      <x:c r="G1430" s="55" t="n">
        <x:v>-93.802641</x:v>
      </x:c>
      <x:c r="H1430" s="43" t="n">
        <x:f>E1430/SUMIF(A:A,A1430,E:E)</x:f>
        <x:v>0.005021375025027506</x:v>
      </x:c>
    </x:row>
    <x:row r="1431" ht="21.600000381469727" hidden="0" customHeight="1">
      <x:c r="A1431" s="29" t="str">
        <x:v>SCA-19</x:v>
      </x:c>
      <x:c r="B1431" s="29" t="str">
        <x:v>17021</x:v>
      </x:c>
      <x:c r="C1431" s="29" t="str">
        <x:v>IL</x:v>
      </x:c>
      <x:c r="D1431" s="29" t="str">
        <x:v>Christian County</x:v>
      </x:c>
      <x:c r="E1431" s="41" t="n">
        <x:v>33443</x:v>
      </x:c>
      <x:c r="F1431" s="56" t="n">
        <x:v>39.545524</x:v>
      </x:c>
      <x:c r="G1431" s="56" t="n">
        <x:v>-89.279593</x:v>
      </x:c>
      <x:c r="H1431" s="44" t="n">
        <x:f>E1431/SUMIF(A:A,A1431,E:E)</x:f>
        <x:v>0.005008196742178727</x:v>
      </x:c>
    </x:row>
    <x:row r="1432" ht="21.600000381469727" hidden="0" customHeight="1">
      <x:c r="A1432" s="27" t="str">
        <x:v>SCA-19</x:v>
      </x:c>
      <x:c r="B1432" s="27" t="str">
        <x:v>17057</x:v>
      </x:c>
      <x:c r="C1432" s="27" t="str">
        <x:v>IL</x:v>
      </x:c>
      <x:c r="D1432" s="27" t="str">
        <x:v>Fulton County</x:v>
      </x:c>
      <x:c r="E1432" s="40" t="n">
        <x:v>32901</x:v>
      </x:c>
      <x:c r="F1432" s="55" t="n">
        <x:v>40.46524</x:v>
      </x:c>
      <x:c r="G1432" s="55" t="n">
        <x:v>-90.202269</x:v>
      </x:c>
      <x:c r="H1432" s="43" t="n">
        <x:f>E1432/SUMIF(A:A,A1432,E:E)</x:f>
        <x:v>0.004927030500087381</x:v>
      </x:c>
    </x:row>
    <x:row r="1433" ht="21.600000381469727" hidden="0" customHeight="1">
      <x:c r="A1433" s="29" t="str">
        <x:v>SCA-19</x:v>
      </x:c>
      <x:c r="B1433" s="29" t="str">
        <x:v>17137</x:v>
      </x:c>
      <x:c r="C1433" s="29" t="str">
        <x:v>IL</x:v>
      </x:c>
      <x:c r="D1433" s="29" t="str">
        <x:v>Morgan County</x:v>
      </x:c>
      <x:c r="E1433" s="41" t="n">
        <x:v>32515</x:v>
      </x:c>
      <x:c r="F1433" s="56" t="n">
        <x:v>39.717657</x:v>
      </x:c>
      <x:c r="G1433" s="56" t="n">
        <x:v>-90.204993</x:v>
      </x:c>
      <x:c r="H1433" s="44" t="n">
        <x:f>E1433/SUMIF(A:A,A1433,E:E)</x:f>
        <x:v>0.00486922575940978</x:v>
      </x:c>
    </x:row>
    <x:row r="1434" ht="21.600000381469727" hidden="0" customHeight="1">
      <x:c r="A1434" s="27" t="str">
        <x:v>SCA-19</x:v>
      </x:c>
      <x:c r="B1434" s="27" t="str">
        <x:v>29209</x:v>
      </x:c>
      <x:c r="C1434" s="27" t="str">
        <x:v>MO</x:v>
      </x:c>
      <x:c r="D1434" s="27" t="str">
        <x:v>Stone County</x:v>
      </x:c>
      <x:c r="E1434" s="40" t="n">
        <x:v>32503</x:v>
      </x:c>
      <x:c r="F1434" s="55" t="n">
        <x:v>36.745822</x:v>
      </x:c>
      <x:c r="G1434" s="55" t="n">
        <x:v>-93.457842</x:v>
      </x:c>
      <x:c r="H1434" s="43" t="n">
        <x:f>E1434/SUMIF(A:A,A1434,E:E)</x:f>
        <x:v>0.004867428720839492</x:v>
      </x:c>
    </x:row>
    <x:row r="1435" ht="15" hidden="0" customHeight="1">
      <x:c r="A1435" s="29" t="str">
        <x:v>SCA-19</x:v>
      </x:c>
      <x:c r="B1435" s="29" t="str">
        <x:v>19111</x:v>
      </x:c>
      <x:c r="C1435" s="29" t="str">
        <x:v>IA</x:v>
      </x:c>
      <x:c r="D1435" s="29" t="str">
        <x:v>Lee County</x:v>
      </x:c>
      <x:c r="E1435" s="41" t="n">
        <x:v>32306</x:v>
      </x:c>
      <x:c r="F1435" s="56" t="n">
        <x:v>40.647588</x:v>
      </x:c>
      <x:c r="G1435" s="56" t="n">
        <x:v>-91.477157</x:v>
      </x:c>
      <x:c r="H1435" s="44" t="n">
        <x:f>E1435/SUMIF(A:A,A1435,E:E)</x:f>
        <x:v>0.00483792733764393</x:v>
      </x:c>
    </x:row>
    <x:row r="1436" ht="21.600000381469727" hidden="0" customHeight="1">
      <x:c r="A1436" s="27" t="str">
        <x:v>SCA-19</x:v>
      </x:c>
      <x:c r="B1436" s="27" t="str">
        <x:v>17157</x:v>
      </x:c>
      <x:c r="C1436" s="27" t="str">
        <x:v>IL</x:v>
      </x:c>
      <x:c r="D1436" s="27" t="str">
        <x:v>Randolph County</x:v>
      </x:c>
      <x:c r="E1436" s="40" t="n">
        <x:v>29921</x:v>
      </x:c>
      <x:c r="F1436" s="55" t="n">
        <x:v>38.056515</x:v>
      </x:c>
      <x:c r="G1436" s="55" t="n">
        <x:v>-89.82121</x:v>
      </x:c>
      <x:c r="H1436" s="43" t="n">
        <x:f>E1436/SUMIF(A:A,A1436,E:E)</x:f>
        <x:v>0.004480765921799171</x:v>
      </x:c>
    </x:row>
    <x:row r="1437" ht="21.600000381469727" hidden="0" customHeight="1">
      <x:c r="A1437" s="29" t="str">
        <x:v>SCA-19</x:v>
      </x:c>
      <x:c r="B1437" s="29" t="str">
        <x:v>29127</x:v>
      </x:c>
      <x:c r="C1437" s="29" t="str">
        <x:v>MO</x:v>
      </x:c>
      <x:c r="D1437" s="29" t="str">
        <x:v>Marion County</x:v>
      </x:c>
      <x:c r="E1437" s="41" t="n">
        <x:v>28525</x:v>
      </x:c>
      <x:c r="F1437" s="56" t="n">
        <x:v>39.807538</x:v>
      </x:c>
      <x:c r="G1437" s="56" t="n">
        <x:v>-91.635379</x:v>
      </x:c>
      <x:c r="H1437" s="44" t="n">
        <x:f>E1437/SUMIF(A:A,A1437,E:E)</x:f>
        <x:v>0.004271710434788989</x:v>
      </x:c>
    </x:row>
    <x:row r="1438" ht="21.600000381469727" hidden="0" customHeight="1">
      <x:c r="A1438" s="27" t="str">
        <x:v>SCA-19</x:v>
      </x:c>
      <x:c r="B1438" s="27" t="str">
        <x:v>17135</x:v>
      </x:c>
      <x:c r="C1438" s="27" t="str">
        <x:v>IL</x:v>
      </x:c>
      <x:c r="D1438" s="27" t="str">
        <x:v>Montgomery County</x:v>
      </x:c>
      <x:c r="E1438" s="40" t="n">
        <x:v>28076</x:v>
      </x:c>
      <x:c r="F1438" s="55" t="n">
        <x:v>39.228068</x:v>
      </x:c>
      <x:c r="G1438" s="55" t="n">
        <x:v>-89.478141</x:v>
      </x:c>
      <x:c r="H1438" s="43" t="n">
        <x:f>E1438/SUMIF(A:A,A1438,E:E)</x:f>
        <x:v>0.004204471241617377</x:v>
      </x:c>
    </x:row>
    <x:row r="1439" ht="21.600000381469727" hidden="0" customHeight="1">
      <x:c r="A1439" s="29" t="str">
        <x:v>SCA-19</x:v>
      </x:c>
      <x:c r="B1439" s="29" t="str">
        <x:v>17107</x:v>
      </x:c>
      <x:c r="C1439" s="29" t="str">
        <x:v>IL</x:v>
      </x:c>
      <x:c r="D1439" s="29" t="str">
        <x:v>Logan County</x:v>
      </x:c>
      <x:c r="E1439" s="41" t="n">
        <x:v>27182</x:v>
      </x:c>
      <x:c r="F1439" s="56" t="n">
        <x:v>40.129277</x:v>
      </x:c>
      <x:c r="G1439" s="56" t="n">
        <x:v>-89.365309</x:v>
      </x:c>
      <x:c r="H1439" s="44" t="n">
        <x:f>E1439/SUMIF(A:A,A1439,E:E)</x:f>
        <x:v>0.004070591868130914</x:v>
      </x:c>
    </x:row>
    <x:row r="1440" ht="21.600000381469727" hidden="0" customHeight="1">
      <x:c r="A1440" s="27" t="str">
        <x:v>SCA-19</x:v>
      </x:c>
      <x:c r="B1440" s="27" t="str">
        <x:v>29215</x:v>
      </x:c>
      <x:c r="C1440" s="27" t="str">
        <x:v>MO</x:v>
      </x:c>
      <x:c r="D1440" s="27" t="str">
        <x:v>Texas County</x:v>
      </x:c>
      <x:c r="E1440" s="40" t="n">
        <x:v>25994</x:v>
      </x:c>
      <x:c r="F1440" s="55" t="n">
        <x:v>37.314257</x:v>
      </x:c>
      <x:c r="G1440" s="55" t="n">
        <x:v>-91.964478</x:v>
      </x:c>
      <x:c r="H1440" s="43" t="n">
        <x:f>E1440/SUMIF(A:A,A1440,E:E)</x:f>
        <x:v>0.0038926850496723924</x:v>
      </x:c>
    </x:row>
    <x:row r="1441" ht="21.600000381469727" hidden="0" customHeight="1">
      <x:c r="A1441" s="29" t="str">
        <x:v>SCA-19</x:v>
      </x:c>
      <x:c r="B1441" s="29" t="str">
        <x:v>17109</x:v>
      </x:c>
      <x:c r="C1441" s="29" t="str">
        <x:v>IL</x:v>
      </x:c>
      <x:c r="D1441" s="29" t="str">
        <x:v>McDonough County</x:v>
      </x:c>
      <x:c r="E1441" s="41" t="n">
        <x:v>25916</x:v>
      </x:c>
      <x:c r="F1441" s="56" t="n">
        <x:v>40.455808</x:v>
      </x:c>
      <x:c r="G1441" s="56" t="n">
        <x:v>-90.678954</x:v>
      </x:c>
      <x:c r="H1441" s="44" t="n">
        <x:f>E1441/SUMIF(A:A,A1441,E:E)</x:f>
        <x:v>0.00388100429896552</x:v>
      </x:c>
    </x:row>
    <x:row r="1442" ht="15" hidden="0" customHeight="1">
      <x:c r="A1442" s="27" t="str">
        <x:v>SCA-19</x:v>
      </x:c>
      <x:c r="B1442" s="27" t="str">
        <x:v>29131</x:v>
      </x:c>
      <x:c r="C1442" s="27" t="str">
        <x:v>MO</x:v>
      </x:c>
      <x:c r="D1442" s="27" t="str">
        <x:v>Miller County</x:v>
      </x:c>
      <x:c r="E1442" s="40" t="n">
        <x:v>25817</x:v>
      </x:c>
      <x:c r="F1442" s="55" t="n">
        <x:v>38.21668</x:v>
      </x:c>
      <x:c r="G1442" s="55" t="n">
        <x:v>-92.429876</x:v>
      </x:c>
      <x:c r="H1442" s="43" t="n">
        <x:f>E1442/SUMIF(A:A,A1442,E:E)</x:f>
        <x:v>0.003866178730760643</x:v>
      </x:c>
    </x:row>
    <x:row r="1443" ht="15" hidden="0" customHeight="1">
      <x:c r="A1443" s="29" t="str">
        <x:v>SCA-19</x:v>
      </x:c>
      <x:c r="B1443" s="29" t="str">
        <x:v>29001</x:v>
      </x:c>
      <x:c r="C1443" s="29" t="str">
        <x:v>MO</x:v>
      </x:c>
      <x:c r="D1443" s="29" t="str">
        <x:v>Adair County</x:v>
      </x:c>
      <x:c r="E1443" s="41" t="n">
        <x:v>25684</x:v>
      </x:c>
      <x:c r="F1443" s="56" t="n">
        <x:v>40.190666</x:v>
      </x:c>
      <x:c r="G1443" s="56" t="n">
        <x:v>-92.603592</x:v>
      </x:c>
      <x:c r="H1443" s="44" t="n">
        <x:f>E1443/SUMIF(A:A,A1443,E:E)</x:f>
        <x:v>0.003846261553273283</x:v>
      </x:c>
    </x:row>
    <x:row r="1444" ht="21.600000381469727" hidden="0" customHeight="1">
      <x:c r="A1444" s="27" t="str">
        <x:v>SCA-19</x:v>
      </x:c>
      <x:c r="B1444" s="27" t="str">
        <x:v>29007</x:v>
      </x:c>
      <x:c r="C1444" s="27" t="str">
        <x:v>MO</x:v>
      </x:c>
      <x:c r="D1444" s="27" t="str">
        <x:v>Audrain County</x:v>
      </x:c>
      <x:c r="E1444" s="40" t="n">
        <x:v>24528</x:v>
      </x:c>
      <x:c r="F1444" s="55" t="n">
        <x:v>39.214481</x:v>
      </x:c>
      <x:c r="G1444" s="55" t="n">
        <x:v>-91.843418</x:v>
      </x:c>
      <x:c r="H1444" s="43" t="n">
        <x:f>E1444/SUMIF(A:A,A1444,E:E)</x:f>
        <x:v>0.0036731468376688635</x:v>
      </x:c>
    </x:row>
    <x:row r="1445" ht="21.600000381469727" hidden="0" customHeight="1">
      <x:c r="A1445" s="29" t="str">
        <x:v>SCA-19</x:v>
      </x:c>
      <x:c r="B1445" s="29" t="str">
        <x:v>29175</x:v>
      </x:c>
      <x:c r="C1445" s="29" t="str">
        <x:v>MO</x:v>
      </x:c>
      <x:c r="D1445" s="29" t="str">
        <x:v>Randolph County</x:v>
      </x:c>
      <x:c r="E1445" s="41" t="n">
        <x:v>24513</x:v>
      </x:c>
      <x:c r="F1445" s="56" t="n">
        <x:v>39.439249</x:v>
      </x:c>
      <x:c r="G1445" s="56" t="n">
        <x:v>-92.492959</x:v>
      </x:c>
      <x:c r="H1445" s="44" t="n">
        <x:f>E1445/SUMIF(A:A,A1445,E:E)</x:f>
        <x:v>0.0036709005394560037</x:v>
      </x:c>
    </x:row>
    <x:row r="1446" ht="21.600000381469727" hidden="0" customHeight="1">
      <x:c r="A1446" s="27" t="str">
        <x:v>SCA-19</x:v>
      </x:c>
      <x:c r="B1446" s="27" t="str">
        <x:v>29221</x:v>
      </x:c>
      <x:c r="C1446" s="27" t="str">
        <x:v>MO</x:v>
      </x:c>
      <x:c r="D1446" s="27" t="str">
        <x:v>Washington County</x:v>
      </x:c>
      <x:c r="E1446" s="40" t="n">
        <x:v>23810</x:v>
      </x:c>
      <x:c r="F1446" s="55" t="n">
        <x:v>37.942611</x:v>
      </x:c>
      <x:c r="G1446" s="55" t="n">
        <x:v>-90.897018</x:v>
      </x:c>
      <x:c r="H1446" s="43" t="n">
        <x:f>E1446/SUMIF(A:A,A1446,E:E)</x:f>
        <x:v>0.0035656240298799595</x:v>
      </x:c>
    </x:row>
    <x:row r="1447" ht="15" hidden="0" customHeight="1">
      <x:c r="A1447" s="29" t="str">
        <x:v>SCA-19</x:v>
      </x:c>
      <x:c r="B1447" s="29" t="str">
        <x:v>29177</x:v>
      </x:c>
      <x:c r="C1447" s="29" t="str">
        <x:v>MO</x:v>
      </x:c>
      <x:c r="D1447" s="29" t="str">
        <x:v>Ray County</x:v>
      </x:c>
      <x:c r="E1447" s="41" t="n">
        <x:v>23398</x:v>
      </x:c>
      <x:c r="F1447" s="56" t="n">
        <x:v>39.308401</x:v>
      </x:c>
      <x:c r="G1447" s="56" t="n">
        <x:v>-93.995746</x:v>
      </x:c>
      <x:c r="H1447" s="44" t="n">
        <x:f>E1447/SUMIF(A:A,A1447,E:E)</x:f>
        <x:v>0.0035039257056334013</x:v>
      </x:c>
    </x:row>
    <x:row r="1448" ht="21.600000381469727" hidden="0" customHeight="1">
      <x:c r="A1448" s="27" t="str">
        <x:v>SCA-19</x:v>
      </x:c>
      <x:c r="B1448" s="27" t="str">
        <x:v>29195</x:v>
      </x:c>
      <x:c r="C1448" s="27" t="str">
        <x:v>MO</x:v>
      </x:c>
      <x:c r="D1448" s="27" t="str">
        <x:v>Saline County</x:v>
      </x:c>
      <x:c r="E1448" s="40" t="n">
        <x:v>23265</x:v>
      </x:c>
      <x:c r="F1448" s="55" t="n">
        <x:v>39.13584</x:v>
      </x:c>
      <x:c r="G1448" s="55" t="n">
        <x:v>-93.204164</x:v>
      </x:c>
      <x:c r="H1448" s="43" t="n">
        <x:f>E1448/SUMIF(A:A,A1448,E:E)</x:f>
        <x:v>0.003484008528146042</x:v>
      </x:c>
    </x:row>
    <x:row r="1449" ht="21.600000381469727" hidden="0" customHeight="1">
      <x:c r="A1449" s="29" t="str">
        <x:v>SCA-19</x:v>
      </x:c>
      <x:c r="B1449" s="29" t="str">
        <x:v>29055</x:v>
      </x:c>
      <x:c r="C1449" s="29" t="str">
        <x:v>MO</x:v>
      </x:c>
      <x:c r="D1449" s="29" t="str">
        <x:v>Crawford County</x:v>
      </x:c>
      <x:c r="E1449" s="41" t="n">
        <x:v>22929</x:v>
      </x:c>
      <x:c r="F1449" s="56" t="n">
        <x:v>37.966559</x:v>
      </x:c>
      <x:c r="G1449" s="56" t="n">
        <x:v>-91.313936</x:v>
      </x:c>
      <x:c r="H1449" s="44" t="n">
        <x:f>E1449/SUMIF(A:A,A1449,E:E)</x:f>
        <x:v>0.003433691448177975</x:v>
      </x:c>
    </x:row>
    <x:row r="1450" ht="21.600000381469727" hidden="0" customHeight="1">
      <x:c r="A1450" s="27" t="str">
        <x:v>SCA-19</x:v>
      </x:c>
      <x:c r="B1450" s="27" t="str">
        <x:v>17165</x:v>
      </x:c>
      <x:c r="C1450" s="27" t="str">
        <x:v>IL</x:v>
      </x:c>
      <x:c r="D1450" s="27" t="str">
        <x:v>Saline County</x:v>
      </x:c>
      <x:c r="E1450" s="40" t="n">
        <x:v>22772</x:v>
      </x:c>
      <x:c r="F1450" s="55" t="n">
        <x:v>37.751508</x:v>
      </x:c>
      <x:c r="G1450" s="55" t="n">
        <x:v>-88.545024</x:v>
      </x:c>
      <x:c r="H1450" s="43" t="n">
        <x:f>E1450/SUMIF(A:A,A1450,E:E)</x:f>
        <x:v>0.0034101801935500393</x:v>
      </x:c>
    </x:row>
    <x:row r="1451" ht="21.600000381469727" hidden="0" customHeight="1">
      <x:c r="A1451" s="29" t="str">
        <x:v>SCA-19</x:v>
      </x:c>
      <x:c r="B1451" s="29" t="str">
        <x:v>29083</x:v>
      </x:c>
      <x:c r="C1451" s="29" t="str">
        <x:v>MO</x:v>
      </x:c>
      <x:c r="D1451" s="29" t="str">
        <x:v>Henry County</x:v>
      </x:c>
      <x:c r="E1451" s="41" t="n">
        <x:v>22671</x:v>
      </x:c>
      <x:c r="F1451" s="56" t="n">
        <x:v>38.386491</x:v>
      </x:c>
      <x:c r="G1451" s="56" t="n">
        <x:v>-93.792628</x:v>
      </x:c>
      <x:c r="H1451" s="44" t="n">
        <x:f>E1451/SUMIF(A:A,A1451,E:E)</x:f>
        <x:v>0.003395055118916781</x:v>
      </x:c>
    </x:row>
    <x:row r="1452" ht="21.600000381469727" hidden="0" customHeight="1">
      <x:c r="A1452" s="27" t="str">
        <x:v>SCA-19</x:v>
      </x:c>
      <x:c r="B1452" s="27" t="str">
        <x:v>19183</x:v>
      </x:c>
      <x:c r="C1452" s="27" t="str">
        <x:v>IA</x:v>
      </x:c>
      <x:c r="D1452" s="27" t="str">
        <x:v>Washington County</x:v>
      </x:c>
      <x:c r="E1452" s="40" t="n">
        <x:v>22667</x:v>
      </x:c>
      <x:c r="F1452" s="55" t="n">
        <x:v>41.329401</x:v>
      </x:c>
      <x:c r="G1452" s="55" t="n">
        <x:v>-91.725052</x:v>
      </x:c>
      <x:c r="H1452" s="43" t="n">
        <x:f>E1452/SUMIF(A:A,A1452,E:E)</x:f>
        <x:v>0.0033944561060600185</x:v>
      </x:c>
    </x:row>
    <x:row r="1453" ht="21.600000381469727" hidden="0" customHeight="1">
      <x:c r="A1453" s="29" t="str">
        <x:v>SCA-19</x:v>
      </x:c>
      <x:c r="B1453" s="29" t="str">
        <x:v>29141</x:v>
      </x:c>
      <x:c r="C1453" s="29" t="str">
        <x:v>MO</x:v>
      </x:c>
      <x:c r="D1453" s="29" t="str">
        <x:v>Morgan County</x:v>
      </x:c>
      <x:c r="E1453" s="41" t="n">
        <x:v>22418</x:v>
      </x:c>
      <x:c r="F1453" s="56" t="n">
        <x:v>38.420806</x:v>
      </x:c>
      <x:c r="G1453" s="56" t="n">
        <x:v>-92.874835</x:v>
      </x:c>
      <x:c r="H1453" s="44" t="n">
        <x:f>E1453/SUMIF(A:A,A1453,E:E)</x:f>
        <x:v>0.0033571675557265406</x:v>
      </x:c>
    </x:row>
    <x:row r="1454" ht="21.600000381469727" hidden="0" customHeight="1">
      <x:c r="A1454" s="27" t="str">
        <x:v>SCA-19</x:v>
      </x:c>
      <x:c r="B1454" s="27" t="str">
        <x:v>19123</x:v>
      </x:c>
      <x:c r="C1454" s="27" t="str">
        <x:v>IA</x:v>
      </x:c>
      <x:c r="D1454" s="27" t="str">
        <x:v>Mahaska County</x:v>
      </x:c>
      <x:c r="E1454" s="40" t="n">
        <x:v>21880</x:v>
      </x:c>
      <x:c r="F1454" s="55" t="n">
        <x:v>41.330797</x:v>
      </x:c>
      <x:c r="G1454" s="55" t="n">
        <x:v>-92.636366</x:v>
      </x:c>
      <x:c r="H1454" s="43" t="n">
        <x:f>E1454/SUMIF(A:A,A1454,E:E)</x:f>
        <x:v>0.0032766003264919578</x:v>
      </x:c>
    </x:row>
    <x:row r="1455" ht="21.600000381469727" hidden="0" customHeight="1">
      <x:c r="A1455" s="29" t="str">
        <x:v>SCA-19</x:v>
      </x:c>
      <x:c r="B1455" s="29" t="str">
        <x:v>17083</x:v>
      </x:c>
      <x:c r="C1455" s="29" t="str">
        <x:v>IL</x:v>
      </x:c>
      <x:c r="D1455" s="29" t="str">
        <x:v>Jersey County</x:v>
      </x:c>
      <x:c r="E1455" s="41" t="n">
        <x:v>21160</x:v>
      </x:c>
      <x:c r="F1455" s="56" t="n">
        <x:v>39.080195</x:v>
      </x:c>
      <x:c r="G1455" s="56" t="n">
        <x:v>-90.361385</x:v>
      </x:c>
      <x:c r="H1455" s="44" t="n">
        <x:f>E1455/SUMIF(A:A,A1455,E:E)</x:f>
        <x:v>0.003168778012274672</x:v>
      </x:c>
    </x:row>
    <x:row r="1456" ht="21.600000381469727" hidden="0" customHeight="1">
      <x:c r="A1456" s="27" t="str">
        <x:v>SCA-19</x:v>
      </x:c>
      <x:c r="B1456" s="27" t="str">
        <x:v>17051</x:v>
      </x:c>
      <x:c r="C1456" s="27" t="str">
        <x:v>IL</x:v>
      </x:c>
      <x:c r="D1456" s="27" t="str">
        <x:v>Fayette County</x:v>
      </x:c>
      <x:c r="E1456" s="40" t="n">
        <x:v>20790</x:v>
      </x:c>
      <x:c r="F1456" s="55" t="n">
        <x:v>39.001125</x:v>
      </x:c>
      <x:c r="G1456" s="55" t="n">
        <x:v>-89.017923</x:v>
      </x:c>
      <x:c r="H1456" s="43" t="n">
        <x:f>E1456/SUMIF(A:A,A1456,E:E)</x:f>
        <x:v>0.0031133693230241226</x:v>
      </x:c>
    </x:row>
    <x:row r="1457" ht="21.600000381469727" hidden="0" customHeight="1">
      <x:c r="A1457" s="29" t="str">
        <x:v>SCA-19</x:v>
      </x:c>
      <x:c r="B1457" s="29" t="str">
        <x:v>17173</x:v>
      </x:c>
      <x:c r="C1457" s="29" t="str">
        <x:v>IL</x:v>
      </x:c>
      <x:c r="D1457" s="29" t="str">
        <x:v>Shelby County</x:v>
      </x:c>
      <x:c r="E1457" s="41" t="n">
        <x:v>20576</x:v>
      </x:c>
      <x:c r="F1457" s="56" t="n">
        <x:v>39.384916</x:v>
      </x:c>
      <x:c r="G1457" s="56" t="n">
        <x:v>-88.798865</x:v>
      </x:c>
      <x:c r="H1457" s="44" t="n">
        <x:f>E1457/SUMIF(A:A,A1457,E:E)</x:f>
        <x:v>0.003081322135187318</x:v>
      </x:c>
    </x:row>
    <x:row r="1458" ht="21.600000381469727" hidden="0" customHeight="1">
      <x:c r="A1458" s="27" t="str">
        <x:v>SCA-19</x:v>
      </x:c>
      <x:c r="B1458" s="27" t="str">
        <x:v>29015</x:v>
      </x:c>
      <x:c r="C1458" s="27" t="str">
        <x:v>MO</x:v>
      </x:c>
      <x:c r="D1458" s="27" t="str">
        <x:v>Benton County</x:v>
      </x:c>
      <x:c r="E1458" s="40" t="n">
        <x:v>20536</x:v>
      </x:c>
      <x:c r="F1458" s="55" t="n">
        <x:v>38.301036</x:v>
      </x:c>
      <x:c r="G1458" s="55" t="n">
        <x:v>-93.287942</x:v>
      </x:c>
      <x:c r="H1458" s="43" t="n">
        <x:f>E1458/SUMIF(A:A,A1458,E:E)</x:f>
        <x:v>0.003075332006619691</x:v>
      </x:c>
    </x:row>
    <x:row r="1459" ht="15" hidden="0" customHeight="1">
      <x:c r="A1459" s="29" t="str">
        <x:v>SCA-19</x:v>
      </x:c>
      <x:c r="B1459" s="29" t="str">
        <x:v>17145</x:v>
      </x:c>
      <x:c r="C1459" s="29" t="str">
        <x:v>IL</x:v>
      </x:c>
      <x:c r="D1459" s="29" t="str">
        <x:v>Perry County</x:v>
      </x:c>
      <x:c r="E1459" s="41" t="n">
        <x:v>20160</x:v>
      </x:c>
      <x:c r="F1459" s="56" t="n">
        <x:v>38.084381</x:v>
      </x:c>
      <x:c r="G1459" s="56" t="n">
        <x:v>-89.368525</x:v>
      </x:c>
      <x:c r="H1459" s="44" t="n">
        <x:f>E1459/SUMIF(A:A,A1459,E:E)</x:f>
        <x:v>0.0030190247980839977</x:v>
      </x:c>
    </x:row>
    <x:row r="1460" ht="21.600000381469727" hidden="0" customHeight="1">
      <x:c r="A1460" s="27" t="str">
        <x:v>SCA-19</x:v>
      </x:c>
      <x:c r="B1460" s="27" t="str">
        <x:v>17041</x:v>
      </x:c>
      <x:c r="C1460" s="27" t="str">
        <x:v>IL</x:v>
      </x:c>
      <x:c r="D1460" s="27" t="str">
        <x:v>Douglas County</x:v>
      </x:c>
      <x:c r="E1460" s="40" t="n">
        <x:v>19880</x:v>
      </x:c>
      <x:c r="F1460" s="55" t="n">
        <x:v>39.766078</x:v>
      </x:c>
      <x:c r="G1460" s="55" t="n">
        <x:v>-88.222867</x:v>
      </x:c>
      <x:c r="H1460" s="43" t="n">
        <x:f>E1460/SUMIF(A:A,A1460,E:E)</x:f>
        <x:v>0.0029770938981106086</x:v>
      </x:c>
    </x:row>
    <x:row r="1461" ht="21.600000381469727" hidden="0" customHeight="1">
      <x:c r="A1461" s="29" t="str">
        <x:v>SCA-19</x:v>
      </x:c>
      <x:c r="B1461" s="29" t="str">
        <x:v>29229</x:v>
      </x:c>
      <x:c r="C1461" s="29" t="str">
        <x:v>MO</x:v>
      </x:c>
      <x:c r="D1461" s="29" t="str">
        <x:v>Wright County</x:v>
      </x:c>
      <x:c r="E1461" s="41" t="n">
        <x:v>19671</x:v>
      </x:c>
      <x:c r="F1461" s="56" t="n">
        <x:v>37.267633</x:v>
      </x:c>
      <x:c r="G1461" s="56" t="n">
        <x:v>-92.479989</x:v>
      </x:c>
      <x:c r="H1461" s="44" t="n">
        <x:f>E1461/SUMIF(A:A,A1461,E:E)</x:f>
        <x:v>0.0029457954763447577</x:v>
      </x:c>
    </x:row>
    <x:row r="1462" ht="21.600000381469727" hidden="0" customHeight="1">
      <x:c r="A1462" s="27" t="str">
        <x:v>SCA-19</x:v>
      </x:c>
      <x:c r="B1462" s="27" t="str">
        <x:v>19087</x:v>
      </x:c>
      <x:c r="C1462" s="27" t="str">
        <x:v>IA</x:v>
      </x:c>
      <x:c r="D1462" s="27" t="str">
        <x:v>Henry County</x:v>
      </x:c>
      <x:c r="E1462" s="40" t="n">
        <x:v>19349</x:v>
      </x:c>
      <x:c r="F1462" s="55" t="n">
        <x:v>40.984802</x:v>
      </x:c>
      <x:c r="G1462" s="55" t="n">
        <x:v>-91.547259</x:v>
      </x:c>
      <x:c r="H1462" s="43" t="n">
        <x:f>E1462/SUMIF(A:A,A1462,E:E)</x:f>
        <x:v>0.0028975749413753605</x:v>
      </x:c>
    </x:row>
    <x:row r="1463" ht="15" hidden="0" customHeight="1">
      <x:c r="A1463" s="29" t="str">
        <x:v>SCA-19</x:v>
      </x:c>
      <x:c r="B1463" s="29" t="str">
        <x:v>29157</x:v>
      </x:c>
      <x:c r="C1463" s="29" t="str">
        <x:v>MO</x:v>
      </x:c>
      <x:c r="D1463" s="29" t="str">
        <x:v>Perry County</x:v>
      </x:c>
      <x:c r="E1463" s="41" t="n">
        <x:v>19093</x:v>
      </x:c>
      <x:c r="F1463" s="56" t="n">
        <x:v>37.71113</x:v>
      </x:c>
      <x:c r="G1463" s="56" t="n">
        <x:v>-89.802125</x:v>
      </x:c>
      <x:c r="H1463" s="44" t="n">
        <x:f>E1463/SUMIF(A:A,A1463,E:E)</x:f>
        <x:v>0.002859238118542548</x:v>
      </x:c>
    </x:row>
    <x:row r="1464" ht="32.400001525878906" hidden="0" customHeight="1">
      <x:c r="A1464" s="27" t="str">
        <x:v>SCA-19</x:v>
      </x:c>
      <x:c r="B1464" s="27" t="str">
        <x:v>29186</x:v>
      </x:c>
      <x:c r="C1464" s="27" t="str">
        <x:v>MO</x:v>
      </x:c>
      <x:c r="D1464" s="27" t="str">
        <x:v>Ste. Genevieve County</x:v>
      </x:c>
      <x:c r="E1464" s="40" t="n">
        <x:v>18689</x:v>
      </x:c>
      <x:c r="F1464" s="55" t="n">
        <x:v>37.885845</x:v>
      </x:c>
      <x:c r="G1464" s="55" t="n">
        <x:v>-90.161531</x:v>
      </x:c>
      <x:c r="H1464" s="43" t="n">
        <x:f>E1464/SUMIF(A:A,A1464,E:E)</x:f>
        <x:v>0.0027987378200095155</x:v>
      </x:c>
    </x:row>
    <x:row r="1465" ht="21.600000381469727" hidden="0" customHeight="1">
      <x:c r="A1465" s="29" t="str">
        <x:v>SCA-19</x:v>
      </x:c>
      <x:c r="B1465" s="29" t="str">
        <x:v>19157</x:v>
      </x:c>
      <x:c r="C1465" s="29" t="str">
        <x:v>IA</x:v>
      </x:c>
      <x:c r="D1465" s="29" t="str">
        <x:v>Poweshiek County</x:v>
      </x:c>
      <x:c r="E1465" s="41" t="n">
        <x:v>18368</x:v>
      </x:c>
      <x:c r="F1465" s="56" t="n">
        <x:v>41.684642</x:v>
      </x:c>
      <x:c r="G1465" s="56" t="n">
        <x:v>-92.522934</x:v>
      </x:c>
      <x:c r="H1465" s="44" t="n">
        <x:f>E1465/SUMIF(A:A,A1465,E:E)</x:f>
        <x:v>0.0027506670382543086</x:v>
      </x:c>
    </x:row>
    <x:row r="1466" ht="21.600000381469727" hidden="0" customHeight="1">
      <x:c r="A1466" s="27" t="str">
        <x:v>SCA-19</x:v>
      </x:c>
      <x:c r="B1466" s="27" t="str">
        <x:v>29059</x:v>
      </x:c>
      <x:c r="C1466" s="27" t="str">
        <x:v>MO</x:v>
      </x:c>
      <x:c r="D1466" s="27" t="str">
        <x:v>Dallas County</x:v>
      </x:c>
      <x:c r="E1466" s="40" t="n">
        <x:v>18025</x:v>
      </x:c>
      <x:c r="F1466" s="55" t="n">
        <x:v>37.683582</x:v>
      </x:c>
      <x:c r="G1466" s="55" t="n">
        <x:v>-93.033815</x:v>
      </x:c>
      <x:c r="H1466" s="43" t="n">
        <x:f>E1466/SUMIF(A:A,A1466,E:E)</x:f>
        <x:v>0.0026993016857869076</x:v>
      </x:c>
    </x:row>
    <x:row r="1467" ht="15" hidden="0" customHeight="1">
      <x:c r="A1467" s="29" t="str">
        <x:v>SCA-19</x:v>
      </x:c>
      <x:c r="B1467" s="29" t="str">
        <x:v>29163</x:v>
      </x:c>
      <x:c r="C1467" s="29" t="str">
        <x:v>MO</x:v>
      </x:c>
      <x:c r="D1467" s="29" t="str">
        <x:v>Pike County</x:v>
      </x:c>
      <x:c r="E1467" s="41" t="n">
        <x:v>17955</x:v>
      </x:c>
      <x:c r="F1467" s="56" t="n">
        <x:v>39.339959</x:v>
      </x:c>
      <x:c r="G1467" s="56" t="n">
        <x:v>-91.171607</x:v>
      </x:c>
      <x:c r="H1467" s="44" t="n">
        <x:f>E1467/SUMIF(A:A,A1467,E:E)</x:f>
        <x:v>0.00268881896079356</x:v>
      </x:c>
    </x:row>
    <x:row r="1468" ht="21.600000381469727" hidden="0" customHeight="1">
      <x:c r="A1468" s="27" t="str">
        <x:v>SCA-19</x:v>
      </x:c>
      <x:c r="B1468" s="27" t="str">
        <x:v>29053</x:v>
      </x:c>
      <x:c r="C1468" s="27" t="str">
        <x:v>MO</x:v>
      </x:c>
      <x:c r="D1468" s="27" t="str">
        <x:v>Cooper County</x:v>
      </x:c>
      <x:c r="E1468" s="40" t="n">
        <x:v>17136</x:v>
      </x:c>
      <x:c r="F1468" s="55" t="n">
        <x:v>38.847093</x:v>
      </x:c>
      <x:c r="G1468" s="55" t="n">
        <x:v>-92.810069</x:v>
      </x:c>
      <x:c r="H1468" s="43" t="n">
        <x:f>E1468/SUMIF(A:A,A1468,E:E)</x:f>
        <x:v>0.002566171078371398</x:v>
      </x:c>
    </x:row>
    <x:row r="1469" ht="15" hidden="0" customHeight="1">
      <x:c r="A1469" s="29" t="str">
        <x:v>SCA-19</x:v>
      </x:c>
      <x:c r="B1469" s="29" t="str">
        <x:v>17005</x:v>
      </x:c>
      <x:c r="C1469" s="29" t="str">
        <x:v>IL</x:v>
      </x:c>
      <x:c r="D1469" s="29" t="str">
        <x:v>Bond County</x:v>
      </x:c>
      <x:c r="E1469" s="41" t="n">
        <x:v>16959</x:v>
      </x:c>
      <x:c r="F1469" s="56" t="n">
        <x:v>38.885924</x:v>
      </x:c>
      <x:c r="G1469" s="56" t="n">
        <x:v>-89.436592</x:v>
      </x:c>
      <x:c r="H1469" s="44" t="n">
        <x:f>E1469/SUMIF(A:A,A1469,E:E)</x:f>
        <x:v>0.0025396647594596485</x:v>
      </x:c>
    </x:row>
    <x:row r="1470" ht="21.600000381469727" hidden="0" customHeight="1">
      <x:c r="A1470" s="27" t="str">
        <x:v>SCA-19</x:v>
      </x:c>
      <x:c r="B1470" s="27" t="str">
        <x:v>17067</x:v>
      </x:c>
      <x:c r="C1470" s="27" t="str">
        <x:v>IL</x:v>
      </x:c>
      <x:c r="D1470" s="27" t="str">
        <x:v>Hancock County</x:v>
      </x:c>
      <x:c r="E1470" s="40" t="n">
        <x:v>16803</x:v>
      </x:c>
      <x:c r="F1470" s="55" t="n">
        <x:v>40.401318</x:v>
      </x:c>
      <x:c r="G1470" s="55" t="n">
        <x:v>-91.168801</x:v>
      </x:c>
      <x:c r="H1470" s="43" t="n">
        <x:f>E1470/SUMIF(A:A,A1470,E:E)</x:f>
        <x:v>0.0025163032580459033</x:v>
      </x:c>
    </x:row>
    <x:row r="1471" ht="15" hidden="0" customHeight="1">
      <x:c r="A1471" s="29" t="str">
        <x:v>SCA-19</x:v>
      </x:c>
      <x:c r="B1471" s="29" t="str">
        <x:v>17147</x:v>
      </x:c>
      <x:c r="C1471" s="29" t="str">
        <x:v>IL</x:v>
      </x:c>
      <x:c r="D1471" s="29" t="str">
        <x:v>Piatt County</x:v>
      </x:c>
      <x:c r="E1471" s="41" t="n">
        <x:v>16791</x:v>
      </x:c>
      <x:c r="F1471" s="56" t="n">
        <x:v>40.009033</x:v>
      </x:c>
      <x:c r="G1471" s="56" t="n">
        <x:v>-88.592355</x:v>
      </x:c>
      <x:c r="H1471" s="44" t="n">
        <x:f>E1471/SUMIF(A:A,A1471,E:E)</x:f>
        <x:v>0.0025145062194756153</x:v>
      </x:c>
    </x:row>
    <x:row r="1472" ht="21.600000381469727" hidden="0" customHeight="1">
      <x:c r="A1472" s="27" t="str">
        <x:v>SCA-19</x:v>
      </x:c>
      <x:c r="B1472" s="27" t="str">
        <x:v>17181</x:v>
      </x:c>
      <x:c r="C1472" s="27" t="str">
        <x:v>IL</x:v>
      </x:c>
      <x:c r="D1472" s="27" t="str">
        <x:v>Union County</x:v>
      </x:c>
      <x:c r="E1472" s="40" t="n">
        <x:v>16656</x:v>
      </x:c>
      <x:c r="F1472" s="55" t="n">
        <x:v>37.485652</x:v>
      </x:c>
      <x:c r="G1472" s="55" t="n">
        <x:v>-89.244639</x:v>
      </x:c>
      <x:c r="H1472" s="43" t="n">
        <x:f>E1472/SUMIF(A:A,A1472,E:E)</x:f>
        <x:v>0.002494289535559874</x:v>
      </x:c>
    </x:row>
    <x:row r="1473" ht="21.600000381469727" hidden="0" customHeight="1">
      <x:c r="A1473" s="29" t="str">
        <x:v>SCA-19</x:v>
      </x:c>
      <x:c r="B1473" s="29" t="str">
        <x:v>17187</x:v>
      </x:c>
      <x:c r="C1473" s="29" t="str">
        <x:v>IL</x:v>
      </x:c>
      <x:c r="D1473" s="29" t="str">
        <x:v>Warren County</x:v>
      </x:c>
      <x:c r="E1473" s="41" t="n">
        <x:v>16222</x:v>
      </x:c>
      <x:c r="F1473" s="56" t="n">
        <x:v>40.850441</x:v>
      </x:c>
      <x:c r="G1473" s="56" t="n">
        <x:v>-90.620223</x:v>
      </x:c>
      <x:c r="H1473" s="44" t="n">
        <x:f>E1473/SUMIF(A:A,A1473,E:E)</x:f>
        <x:v>0.0024292966406011213</x:v>
      </x:c>
    </x:row>
    <x:row r="1474" ht="21.600000381469727" hidden="0" customHeight="1">
      <x:c r="A1474" s="27" t="str">
        <x:v>SCA-19</x:v>
      </x:c>
      <x:c r="B1474" s="27" t="str">
        <x:v>17191</x:v>
      </x:c>
      <x:c r="C1474" s="27" t="str">
        <x:v>IL</x:v>
      </x:c>
      <x:c r="D1474" s="27" t="str">
        <x:v>Wayne County</x:v>
      </x:c>
      <x:c r="E1474" s="40" t="n">
        <x:v>15882</x:v>
      </x:c>
      <x:c r="F1474" s="55" t="n">
        <x:v>38.431857</x:v>
      </x:c>
      <x:c r="G1474" s="55" t="n">
        <x:v>-88.43243</x:v>
      </x:c>
      <x:c r="H1474" s="43" t="n">
        <x:f>E1474/SUMIF(A:A,A1474,E:E)</x:f>
        <x:v>0.002378380547776292</x:v>
      </x:c>
    </x:row>
    <x:row r="1475" ht="21.600000381469727" hidden="0" customHeight="1">
      <x:c r="A1475" s="29" t="str">
        <x:v>SCA-19</x:v>
      </x:c>
      <x:c r="B1475" s="29" t="str">
        <x:v>29135</x:v>
      </x:c>
      <x:c r="C1475" s="29" t="str">
        <x:v>MO</x:v>
      </x:c>
      <x:c r="D1475" s="29" t="str">
        <x:v>Moniteau County</x:v>
      </x:c>
      <x:c r="E1475" s="41" t="n">
        <x:v>15428</x:v>
      </x:c>
      <x:c r="F1475" s="56" t="n">
        <x:v>38.633037</x:v>
      </x:c>
      <x:c r="G1475" s="56" t="n">
        <x:v>-92.583642</x:v>
      </x:c>
      <x:c r="H1475" s="44" t="n">
        <x:f>E1475/SUMIF(A:A,A1475,E:E)</x:f>
        <x:v>0.0023103925885337257</x:v>
      </x:c>
    </x:row>
    <x:row r="1476" ht="21.600000381469727" hidden="0" customHeight="1">
      <x:c r="A1476" s="27" t="str">
        <x:v>SCA-19</x:v>
      </x:c>
      <x:c r="B1476" s="27" t="str">
        <x:v>19101</x:v>
      </x:c>
      <x:c r="C1476" s="27" t="str">
        <x:v>IA</x:v>
      </x:c>
      <x:c r="D1476" s="27" t="str">
        <x:v>Jefferson County</x:v>
      </x:c>
      <x:c r="E1476" s="40" t="n">
        <x:v>15291</x:v>
      </x:c>
      <x:c r="F1476" s="55" t="n">
        <x:v>41.006376</x:v>
      </x:c>
      <x:c r="G1476" s="55" t="n">
        <x:v>-91.966628</x:v>
      </x:c>
      <x:c r="H1476" s="43" t="n">
        <x:f>E1476/SUMIF(A:A,A1476,E:E)</x:f>
        <x:v>0.0022898763981896034</x:v>
      </x:c>
    </x:row>
    <x:row r="1477" ht="21.600000381469727" hidden="0" customHeight="1">
      <x:c r="A1477" s="29" t="str">
        <x:v>SCA-19</x:v>
      </x:c>
      <x:c r="B1477" s="29" t="str">
        <x:v>17159</x:v>
      </x:c>
      <x:c r="C1477" s="29" t="str">
        <x:v>IL</x:v>
      </x:c>
      <x:c r="D1477" s="29" t="str">
        <x:v>Richland County</x:v>
      </x:c>
      <x:c r="E1477" s="41" t="n">
        <x:v>15219</x:v>
      </x:c>
      <x:c r="F1477" s="56" t="n">
        <x:v>38.712187</x:v>
      </x:c>
      <x:c r="G1477" s="56" t="n">
        <x:v>-88.085452</x:v>
      </x:c>
      <x:c r="H1477" s="44" t="n">
        <x:f>E1477/SUMIF(A:A,A1477,E:E)</x:f>
        <x:v>0.002279094166767875</x:v>
      </x:c>
    </x:row>
    <x:row r="1478" ht="21.600000381469727" hidden="0" customHeight="1">
      <x:c r="A1478" s="27" t="str">
        <x:v>SCA-19</x:v>
      </x:c>
      <x:c r="B1478" s="27" t="str">
        <x:v>29121</x:v>
      </x:c>
      <x:c r="C1478" s="27" t="str">
        <x:v>MO</x:v>
      </x:c>
      <x:c r="D1478" s="27" t="str">
        <x:v>Macon County</x:v>
      </x:c>
      <x:c r="E1478" s="40" t="n">
        <x:v>15190</x:v>
      </x:c>
      <x:c r="F1478" s="55" t="n">
        <x:v>39.829795</x:v>
      </x:c>
      <x:c r="G1478" s="55" t="n">
        <x:v>-92.56434</x:v>
      </x:c>
      <x:c r="H1478" s="43" t="n">
        <x:f>E1478/SUMIF(A:A,A1478,E:E)</x:f>
        <x:v>0.002274751323556345</x:v>
      </x:c>
    </x:row>
    <x:row r="1479" ht="21.600000381469727" hidden="0" customHeight="1">
      <x:c r="A1479" s="29" t="str">
        <x:v>SCA-19</x:v>
      </x:c>
      <x:c r="B1479" s="29" t="str">
        <x:v>29073</x:v>
      </x:c>
      <x:c r="C1479" s="29" t="str">
        <x:v>MO</x:v>
      </x:c>
      <x:c r="D1479" s="29" t="str">
        <x:v>Gasconade County</x:v>
      </x:c>
      <x:c r="E1479" s="41" t="n">
        <x:v>14784</x:v>
      </x:c>
      <x:c r="F1479" s="56" t="n">
        <x:v>38.441182</x:v>
      </x:c>
      <x:c r="G1479" s="56" t="n">
        <x:v>-91.505782</x:v>
      </x:c>
      <x:c r="H1479" s="44" t="n">
        <x:f>E1479/SUMIF(A:A,A1479,E:E)</x:f>
        <x:v>0.0022139515185949313</x:v>
      </x:c>
    </x:row>
    <x:row r="1480" ht="21.600000381469727" hidden="0" customHeight="1">
      <x:c r="A1480" s="27" t="str">
        <x:v>SCA-19</x:v>
      </x:c>
      <x:c r="B1480" s="27" t="str">
        <x:v>29117</x:v>
      </x:c>
      <x:c r="C1480" s="27" t="str">
        <x:v>MO</x:v>
      </x:c>
      <x:c r="D1480" s="27" t="str">
        <x:v>Livingston County</x:v>
      </x:c>
      <x:c r="E1480" s="40" t="n">
        <x:v>14708</x:v>
      </x:c>
      <x:c r="F1480" s="55" t="n">
        <x:v>39.778587</x:v>
      </x:c>
      <x:c r="G1480" s="55" t="n">
        <x:v>-93.548201</x:v>
      </x:c>
      <x:c r="H1480" s="43" t="n">
        <x:f>E1480/SUMIF(A:A,A1480,E:E)</x:f>
        <x:v>0.0022025702743164403</x:v>
      </x:c>
    </x:row>
    <x:row r="1481" ht="15" hidden="0" customHeight="1">
      <x:c r="A1481" s="29" t="str">
        <x:v>SCA-19</x:v>
      </x:c>
      <x:c r="B1481" s="29" t="str">
        <x:v>29065</x:v>
      </x:c>
      <x:c r="C1481" s="29" t="str">
        <x:v>MO</x:v>
      </x:c>
      <x:c r="D1481" s="29" t="str">
        <x:v>Dent County</x:v>
      </x:c>
      <x:c r="E1481" s="41" t="n">
        <x:v>14584</x:v>
      </x:c>
      <x:c r="F1481" s="56" t="n">
        <x:v>37.603072</x:v>
      </x:c>
      <x:c r="G1481" s="56" t="n">
        <x:v>-91.489717</x:v>
      </x:c>
      <x:c r="H1481" s="44" t="n">
        <x:f>E1481/SUMIF(A:A,A1481,E:E)</x:f>
        <x:v>0.0021840008757567967</x:v>
      </x:c>
    </x:row>
    <x:row r="1482" ht="21.600000381469727" hidden="0" customHeight="1">
      <x:c r="A1482" s="27" t="str">
        <x:v>SCA-19</x:v>
      </x:c>
      <x:c r="B1482" s="27" t="str">
        <x:v>17139</x:v>
      </x:c>
      <x:c r="C1482" s="27" t="str">
        <x:v>IL</x:v>
      </x:c>
      <x:c r="D1482" s="27" t="str">
        <x:v>Moultrie County</x:v>
      </x:c>
      <x:c r="E1482" s="40" t="n">
        <x:v>14371</x:v>
      </x:c>
      <x:c r="F1482" s="55" t="n">
        <x:v>39.636896</x:v>
      </x:c>
      <x:c r="G1482" s="55" t="n">
        <x:v>-88.625726</x:v>
      </x:c>
      <x:c r="H1482" s="43" t="n">
        <x:f>E1482/SUMIF(A:A,A1482,E:E)</x:f>
        <x:v>0.002152103441134183</x:v>
      </x:c>
    </x:row>
    <x:row r="1483" ht="15" hidden="0" customHeight="1">
      <x:c r="A1483" s="29" t="str">
        <x:v>SCA-19</x:v>
      </x:c>
      <x:c r="B1483" s="29" t="str">
        <x:v>17149</x:v>
      </x:c>
      <x:c r="C1483" s="29" t="str">
        <x:v>IL</x:v>
      </x:c>
      <x:c r="D1483" s="29" t="str">
        <x:v>Pike County</x:v>
      </x:c>
      <x:c r="E1483" s="41" t="n">
        <x:v>14231</x:v>
      </x:c>
      <x:c r="F1483" s="56" t="n">
        <x:v>39.625106</x:v>
      </x:c>
      <x:c r="G1483" s="56" t="n">
        <x:v>-90.889034</x:v>
      </x:c>
      <x:c r="H1483" s="44" t="n">
        <x:f>E1483/SUMIF(A:A,A1483,E:E)</x:f>
        <x:v>0.0021311379911474887</x:v>
      </x:c>
    </x:row>
    <x:row r="1484" ht="21.600000381469727" hidden="0" customHeight="1">
      <x:c r="A1484" s="27" t="str">
        <x:v>SCA-19</x:v>
      </x:c>
      <x:c r="B1484" s="27" t="str">
        <x:v>29151</x:v>
      </x:c>
      <x:c r="C1484" s="27" t="str">
        <x:v>MO</x:v>
      </x:c>
      <x:c r="D1484" s="27" t="str">
        <x:v>Osage County</x:v>
      </x:c>
      <x:c r="E1484" s="40" t="n">
        <x:v>13611</x:v>
      </x:c>
      <x:c r="F1484" s="55" t="n">
        <x:v>38.464252</x:v>
      </x:c>
      <x:c r="G1484" s="55" t="n">
        <x:v>-91.859504</x:v>
      </x:c>
      <x:c r="H1484" s="43" t="n">
        <x:f>E1484/SUMIF(A:A,A1484,E:E)</x:f>
        <x:v>0.0020382909983492703</x:v>
      </x:c>
    </x:row>
    <x:row r="1485" ht="21.600000381469727" hidden="0" customHeight="1">
      <x:c r="A1485" s="29" t="str">
        <x:v>SCA-19</x:v>
      </x:c>
      <x:c r="B1485" s="29" t="str">
        <x:v>17189</x:v>
      </x:c>
      <x:c r="C1485" s="29" t="str">
        <x:v>IL</x:v>
      </x:c>
      <x:c r="D1485" s="29" t="str">
        <x:v>Washington County</x:v>
      </x:c>
      <x:c r="E1485" s="41" t="n">
        <x:v>13564</x:v>
      </x:c>
      <x:c r="F1485" s="56" t="n">
        <x:v>38.35314</x:v>
      </x:c>
      <x:c r="G1485" s="56" t="n">
        <x:v>-89.417187</x:v>
      </x:c>
      <x:c r="H1485" s="44" t="n">
        <x:f>E1485/SUMIF(A:A,A1485,E:E)</x:f>
        <x:v>0.0020312525972823086</x:v>
      </x:c>
    </x:row>
    <x:row r="1486" ht="21.600000381469727" hidden="0" customHeight="1">
      <x:c r="A1486" s="27" t="str">
        <x:v>SCA-19</x:v>
      </x:c>
      <x:c r="B1486" s="27" t="str">
        <x:v>17127</x:v>
      </x:c>
      <x:c r="C1486" s="27" t="str">
        <x:v>IL</x:v>
      </x:c>
      <x:c r="D1486" s="27" t="str">
        <x:v>Massac County</x:v>
      </x:c>
      <x:c r="E1486" s="40" t="n">
        <x:v>13502</x:v>
      </x:c>
      <x:c r="F1486" s="55" t="n">
        <x:v>37.216119</x:v>
      </x:c>
      <x:c r="G1486" s="55" t="n">
        <x:v>-88.705658</x:v>
      </x:c>
      <x:c r="H1486" s="43" t="n">
        <x:f>E1486/SUMIF(A:A,A1486,E:E)</x:f>
        <x:v>0.002021967898002487</x:v>
      </x:c>
    </x:row>
    <x:row r="1487" ht="21.600000381469727" hidden="0" customHeight="1">
      <x:c r="A1487" s="29" t="str">
        <x:v>SCA-19</x:v>
      </x:c>
      <x:c r="B1487" s="29" t="str">
        <x:v>17087</x:v>
      </x:c>
      <x:c r="C1487" s="29" t="str">
        <x:v>IL</x:v>
      </x:c>
      <x:c r="D1487" s="29" t="str">
        <x:v>Johnson County</x:v>
      </x:c>
      <x:c r="E1487" s="41" t="n">
        <x:v>13363</x:v>
      </x:c>
      <x:c r="F1487" s="56" t="n">
        <x:v>37.460709</x:v>
      </x:c>
      <x:c r="G1487" s="56" t="n">
        <x:v>-88.882131</x:v>
      </x:c>
      <x:c r="H1487" s="44" t="n">
        <x:f>E1487/SUMIF(A:A,A1487,E:E)</x:f>
        <x:v>0.002001152201229983</x:v>
      </x:c>
    </x:row>
    <x:row r="1488" ht="21.600000381469727" hidden="0" customHeight="1">
      <x:c r="A1488" s="27" t="str">
        <x:v>SCA-19</x:v>
      </x:c>
      <x:c r="B1488" s="27" t="str">
        <x:v>17193</x:v>
      </x:c>
      <x:c r="C1488" s="27" t="str">
        <x:v>IL</x:v>
      </x:c>
      <x:c r="D1488" s="27" t="str">
        <x:v>White County</x:v>
      </x:c>
      <x:c r="E1488" s="40" t="n">
        <x:v>13250</x:v>
      </x:c>
      <x:c r="F1488" s="55" t="n">
        <x:v>38.087307</x:v>
      </x:c>
      <x:c r="G1488" s="55" t="n">
        <x:v>-88.17862</x:v>
      </x:c>
      <x:c r="H1488" s="43" t="n">
        <x:f>E1488/SUMIF(A:A,A1488,E:E)</x:f>
        <x:v>0.001984230088026437</x:v>
      </x:c>
    </x:row>
    <x:row r="1489" ht="21.600000381469727" hidden="0" customHeight="1">
      <x:c r="A1489" s="29" t="str">
        <x:v>SCA-19</x:v>
      </x:c>
      <x:c r="B1489" s="29" t="str">
        <x:v>29123</x:v>
      </x:c>
      <x:c r="C1489" s="29" t="str">
        <x:v>MO</x:v>
      </x:c>
      <x:c r="D1489" s="29" t="str">
        <x:v>Madison County</x:v>
      </x:c>
      <x:c r="E1489" s="41" t="n">
        <x:v>12858</x:v>
      </x:c>
      <x:c r="F1489" s="56" t="n">
        <x:v>37.474481</x:v>
      </x:c>
      <x:c r="G1489" s="56" t="n">
        <x:v>-90.343413</x:v>
      </x:c>
      <x:c r="H1489" s="44" t="n">
        <x:f>E1489/SUMIF(A:A,A1489,E:E)</x:f>
        <x:v>0.0019255268280636924</x:v>
      </x:c>
    </x:row>
    <x:row r="1490" ht="15" hidden="0" customHeight="1">
      <x:c r="A1490" s="27" t="str">
        <x:v>SCA-19</x:v>
      </x:c>
      <x:c r="B1490" s="27" t="str">
        <x:v>17025</x:v>
      </x:c>
      <x:c r="C1490" s="27" t="str">
        <x:v>IL</x:v>
      </x:c>
      <x:c r="D1490" s="27" t="str">
        <x:v>Clay County</x:v>
      </x:c>
      <x:c r="E1490" s="40" t="n">
        <x:v>12793</x:v>
      </x:c>
      <x:c r="F1490" s="55" t="n">
        <x:v>38.746819</x:v>
      </x:c>
      <x:c r="G1490" s="55" t="n">
        <x:v>-88.482325</x:v>
      </x:c>
      <x:c r="H1490" s="43" t="n">
        <x:f>E1490/SUMIF(A:A,A1490,E:E)</x:f>
        <x:v>0.0019157928691412986</x:v>
      </x:c>
    </x:row>
    <x:row r="1491" ht="15" hidden="0" customHeight="1">
      <x:c r="A1491" s="29" t="str">
        <x:v>SCA-19</x:v>
      </x:c>
      <x:c r="B1491" s="29" t="str">
        <x:v>17017</x:v>
      </x:c>
      <x:c r="C1491" s="29" t="str">
        <x:v>IL</x:v>
      </x:c>
      <x:c r="D1491" s="29" t="str">
        <x:v>Cass County</x:v>
      </x:c>
      <x:c r="E1491" s="41" t="n">
        <x:v>12463</x:v>
      </x:c>
      <x:c r="F1491" s="56" t="n">
        <x:v>39.969202</x:v>
      </x:c>
      <x:c r="G1491" s="56" t="n">
        <x:v>-90.245704</x:v>
      </x:c>
      <x:c r="H1491" s="44" t="n">
        <x:f>E1491/SUMIF(A:A,A1491,E:E)</x:f>
        <x:v>0.001866374308458376</x:v>
      </x:c>
    </x:row>
    <x:row r="1492" ht="21.600000381469727" hidden="0" customHeight="1">
      <x:c r="A1492" s="27" t="str">
        <x:v>SCA-19</x:v>
      </x:c>
      <x:c r="B1492" s="27" t="str">
        <x:v>17125</x:v>
      </x:c>
      <x:c r="C1492" s="27" t="str">
        <x:v>IL</x:v>
      </x:c>
      <x:c r="D1492" s="27" t="str">
        <x:v>Mason County</x:v>
      </x:c>
      <x:c r="E1492" s="40" t="n">
        <x:v>12411</x:v>
      </x:c>
      <x:c r="F1492" s="55" t="n">
        <x:v>40.236993</x:v>
      </x:c>
      <x:c r="G1492" s="55" t="n">
        <x:v>-89.913575</x:v>
      </x:c>
      <x:c r="H1492" s="43" t="n">
        <x:f>E1492/SUMIF(A:A,A1492,E:E)</x:f>
        <x:v>0.0018585871413204608</x:v>
      </x:c>
    </x:row>
    <x:row r="1493" ht="21.600000381469727" hidden="0" customHeight="1">
      <x:c r="A1493" s="29" t="str">
        <x:v>SCA-19</x:v>
      </x:c>
      <x:c r="B1493" s="29" t="str">
        <x:v>29067</x:v>
      </x:c>
      <x:c r="C1493" s="29" t="str">
        <x:v>MO</x:v>
      </x:c>
      <x:c r="D1493" s="29" t="str">
        <x:v>Douglas County</x:v>
      </x:c>
      <x:c r="E1493" s="41" t="n">
        <x:v>12342</x:v>
      </x:c>
      <x:c r="F1493" s="56" t="n">
        <x:v>36.946517</x:v>
      </x:c>
      <x:c r="G1493" s="56" t="n">
        <x:v>-92.515892</x:v>
      </x:c>
      <x:c r="H1493" s="44" t="n">
        <x:f>E1493/SUMIF(A:A,A1493,E:E)</x:f>
        <x:v>0.0018482541695413043</x:v>
      </x:c>
    </x:row>
    <x:row r="1494" ht="21.600000381469727" hidden="0" customHeight="1">
      <x:c r="A1494" s="27" t="str">
        <x:v>SCA-19</x:v>
      </x:c>
      <x:c r="B1494" s="27" t="str">
        <x:v>19007</x:v>
      </x:c>
      <x:c r="C1494" s="27" t="str">
        <x:v>IA</x:v>
      </x:c>
      <x:c r="D1494" s="27" t="str">
        <x:v>Appanoose County</x:v>
      </x:c>
      <x:c r="E1494" s="40" t="n">
        <x:v>12077</x:v>
      </x:c>
      <x:c r="F1494" s="55" t="n">
        <x:v>40.744249</x:v>
      </x:c>
      <x:c r="G1494" s="55" t="n">
        <x:v>-92.873062</x:v>
      </x:c>
      <x:c r="H1494" s="43" t="n">
        <x:f>E1494/SUMIF(A:A,A1494,E:E)</x:f>
        <x:v>0.0018085695677807756</x:v>
      </x:c>
    </x:row>
    <x:row r="1495" ht="21.600000381469727" hidden="0" customHeight="1">
      <x:c r="A1495" s="29" t="str">
        <x:v>SCA-19</x:v>
      </x:c>
      <x:c r="B1495" s="29" t="str">
        <x:v>17129</x:v>
      </x:c>
      <x:c r="C1495" s="29" t="str">
        <x:v>IL</x:v>
      </x:c>
      <x:c r="D1495" s="29" t="str">
        <x:v>Menard County</x:v>
      </x:c>
      <x:c r="E1495" s="41" t="n">
        <x:v>11863</x:v>
      </x:c>
      <x:c r="F1495" s="56" t="n">
        <x:v>40.022569</x:v>
      </x:c>
      <x:c r="G1495" s="56" t="n">
        <x:v>-89.794133</x:v>
      </x:c>
      <x:c r="H1495" s="44" t="n">
        <x:f>E1495/SUMIF(A:A,A1495,E:E)</x:f>
        <x:v>0.0017765223799439712</x:v>
      </x:c>
    </x:row>
    <x:row r="1496" ht="21.600000381469727" hidden="0" customHeight="1">
      <x:c r="A1496" s="27" t="str">
        <x:v>SCA-19</x:v>
      </x:c>
      <x:c r="B1496" s="27" t="str">
        <x:v>19175</x:v>
      </x:c>
      <x:c r="C1496" s="27" t="str">
        <x:v>IA</x:v>
      </x:c>
      <x:c r="D1496" s="27" t="str">
        <x:v>Union County</x:v>
      </x:c>
      <x:c r="E1496" s="40" t="n">
        <x:v>11829</x:v>
      </x:c>
      <x:c r="F1496" s="55" t="n">
        <x:v>41.02855</x:v>
      </x:c>
      <x:c r="G1496" s="55" t="n">
        <x:v>-94.245091</x:v>
      </x:c>
      <x:c r="H1496" s="43" t="n">
        <x:f>E1496/SUMIF(A:A,A1496,E:E)</x:f>
        <x:v>0.0017714307706614885</x:v>
      </x:c>
    </x:row>
    <x:row r="1497" ht="15" hidden="0" customHeight="1">
      <x:c r="A1497" s="29" t="str">
        <x:v>SCA-19</x:v>
      </x:c>
      <x:c r="B1497" s="29" t="str">
        <x:v>29115</x:v>
      </x:c>
      <x:c r="C1497" s="29" t="str">
        <x:v>MO</x:v>
      </x:c>
      <x:c r="D1497" s="29" t="str">
        <x:v>Linn County</x:v>
      </x:c>
      <x:c r="E1497" s="41" t="n">
        <x:v>11815</x:v>
      </x:c>
      <x:c r="F1497" s="56" t="n">
        <x:v>39.86444</x:v>
      </x:c>
      <x:c r="G1497" s="56" t="n">
        <x:v>-93.108019</x:v>
      </x:c>
      <x:c r="H1497" s="44" t="n">
        <x:f>E1497/SUMIF(A:A,A1497,E:E)</x:f>
        <x:v>0.001769334225662819</x:v>
      </x:c>
    </x:row>
    <x:row r="1498" ht="21.600000381469727" hidden="0" customHeight="1">
      <x:c r="A1498" s="27" t="str">
        <x:v>SCA-19</x:v>
      </x:c>
      <x:c r="B1498" s="27" t="str">
        <x:v>29139</x:v>
      </x:c>
      <x:c r="C1498" s="27" t="str">
        <x:v>MO</x:v>
      </x:c>
      <x:c r="D1498" s="27" t="str">
        <x:v>Montgomery County</x:v>
      </x:c>
      <x:c r="E1498" s="40" t="n">
        <x:v>11590</x:v>
      </x:c>
      <x:c r="F1498" s="55" t="n">
        <x:v>38.935184</x:v>
      </x:c>
      <x:c r="G1498" s="55" t="n">
        <x:v>-91.465427</x:v>
      </x:c>
      <x:c r="H1498" s="43" t="n">
        <x:f>E1498/SUMIF(A:A,A1498,E:E)</x:f>
        <x:v>0.0017356397524699173</x:v>
      </x:c>
    </x:row>
    <x:row r="1499" ht="21.600000381469727" hidden="0" customHeight="1">
      <x:c r="A1499" s="29" t="str">
        <x:v>SCA-19</x:v>
      </x:c>
      <x:c r="B1499" s="29" t="str">
        <x:v>17061</x:v>
      </x:c>
      <x:c r="C1499" s="29" t="str">
        <x:v>IL</x:v>
      </x:c>
      <x:c r="D1499" s="29" t="str">
        <x:v>Greene County</x:v>
      </x:c>
      <x:c r="E1499" s="41" t="n">
        <x:v>11313</x:v>
      </x:c>
      <x:c r="F1499" s="56" t="n">
        <x:v>39.355439</x:v>
      </x:c>
      <x:c r="G1499" s="56" t="n">
        <x:v>-90.387682</x:v>
      </x:c>
      <x:c r="H1499" s="44" t="n">
        <x:f>E1499/SUMIF(A:A,A1499,E:E)</x:f>
        <x:v>0.0016941581121391004</x:v>
      </x:c>
    </x:row>
    <x:row r="1500" ht="21.600000381469727" hidden="0" customHeight="1">
      <x:c r="A1500" s="27" t="str">
        <x:v>SCA-19</x:v>
      </x:c>
      <x:c r="B1500" s="27" t="str">
        <x:v>29223</x:v>
      </x:c>
      <x:c r="C1500" s="27" t="str">
        <x:v>MO</x:v>
      </x:c>
      <x:c r="D1500" s="27" t="str">
        <x:v>Wayne County</x:v>
      </x:c>
      <x:c r="E1500" s="40" t="n">
        <x:v>10782</x:v>
      </x:c>
      <x:c r="F1500" s="55" t="n">
        <x:v>37.111074</x:v>
      </x:c>
      <x:c r="G1500" s="55" t="n">
        <x:v>-90.453931</x:v>
      </x:c>
      <x:c r="H1500" s="43" t="n">
        <x:f>E1500/SUMIF(A:A,A1500,E:E)</x:f>
        <x:v>0.0016146391554038523</x:v>
      </x:c>
    </x:row>
    <x:row r="1501" ht="21.600000381469727" hidden="0" customHeight="1">
      <x:c r="A1501" s="29" t="str">
        <x:v>SCA-19</x:v>
      </x:c>
      <x:c r="B1501" s="29" t="str">
        <x:v>29017</x:v>
      </x:c>
      <x:c r="C1501" s="29" t="str">
        <x:v>MO</x:v>
      </x:c>
      <x:c r="D1501" s="29" t="str">
        <x:v>Bollinger County</x:v>
      </x:c>
      <x:c r="E1501" s="41" t="n">
        <x:v>10646</x:v>
      </x:c>
      <x:c r="F1501" s="56" t="n">
        <x:v>37.318427</x:v>
      </x:c>
      <x:c r="G1501" s="56" t="n">
        <x:v>-90.024645</x:v>
      </x:c>
      <x:c r="H1501" s="44" t="n">
        <x:f>E1501/SUMIF(A:A,A1501,E:E)</x:f>
        <x:v>0.0015942727182739205</x:v>
      </x:c>
    </x:row>
    <x:row r="1502" ht="15" hidden="0" customHeight="1">
      <x:c r="A1502" s="27" t="str">
        <x:v>SCA-19</x:v>
      </x:c>
      <x:c r="B1502" s="27" t="str">
        <x:v>29173</x:v>
      </x:c>
      <x:c r="C1502" s="27" t="str">
        <x:v>MO</x:v>
      </x:c>
      <x:c r="D1502" s="27" t="str">
        <x:v>Ralls County</x:v>
      </x:c>
      <x:c r="E1502" s="40" t="n">
        <x:v>10444</x:v>
      </x:c>
      <x:c r="F1502" s="55" t="n">
        <x:v>39.553455</x:v>
      </x:c>
      <x:c r="G1502" s="55" t="n">
        <x:v>-91.524787</x:v>
      </x:c>
      <x:c r="H1502" s="43" t="n">
        <x:f>E1502/SUMIF(A:A,A1502,E:E)</x:f>
        <x:v>0.0015640225690074043</x:v>
      </x:c>
    </x:row>
    <x:row r="1503" ht="21.600000381469727" hidden="0" customHeight="1">
      <x:c r="A1503" s="29" t="str">
        <x:v>SCA-19</x:v>
      </x:c>
      <x:c r="B1503" s="29" t="str">
        <x:v>17035</x:v>
      </x:c>
      <x:c r="C1503" s="29" t="str">
        <x:v>IL</x:v>
      </x:c>
      <x:c r="D1503" s="29" t="str">
        <x:v>Cumberland County</x:v>
      </x:c>
      <x:c r="E1503" s="41" t="n">
        <x:v>10208</x:v>
      </x:c>
      <x:c r="F1503" s="56" t="n">
        <x:v>39.273121</x:v>
      </x:c>
      <x:c r="G1503" s="56" t="n">
        <x:v>-88.240619</x:v>
      </x:c>
      <x:c r="H1503" s="44" t="n">
        <x:f>E1503/SUMIF(A:A,A1503,E:E)</x:f>
        <x:v>0.0015286808104584052</x:v>
      </x:c>
    </x:row>
    <x:row r="1504" ht="21.600000381469727" hidden="0" customHeight="1">
      <x:c r="A1504" s="27" t="str">
        <x:v>SCA-19</x:v>
      </x:c>
      <x:c r="B1504" s="27" t="str">
        <x:v>29089</x:v>
      </x:c>
      <x:c r="C1504" s="27" t="str">
        <x:v>MO</x:v>
      </x:c>
      <x:c r="D1504" s="27" t="str">
        <x:v>Howard County</x:v>
      </x:c>
      <x:c r="E1504" s="40" t="n">
        <x:v>10180</x:v>
      </x:c>
      <x:c r="F1504" s="55" t="n">
        <x:v>39.143365</x:v>
      </x:c>
      <x:c r="G1504" s="55" t="n">
        <x:v>-92.695926</x:v>
      </x:c>
      <x:c r="H1504" s="43" t="n">
        <x:f>E1504/SUMIF(A:A,A1504,E:E)</x:f>
        <x:v>0.0015244877204610662</x:v>
      </x:c>
    </x:row>
    <x:row r="1505" ht="21.600000381469727" hidden="0" customHeight="1">
      <x:c r="A1505" s="29" t="str">
        <x:v>SCA-19</x:v>
      </x:c>
      <x:c r="B1505" s="29" t="str">
        <x:v>29185</x:v>
      </x:c>
      <x:c r="C1505" s="29" t="str">
        <x:v>MO</x:v>
      </x:c>
      <x:c r="D1505" s="29" t="str">
        <x:v>St. Clair County</x:v>
      </x:c>
      <x:c r="E1505" s="41" t="n">
        <x:v>9976</x:v>
      </x:c>
      <x:c r="F1505" s="56" t="n">
        <x:v>38.04223</x:v>
      </x:c>
      <x:c r="G1505" s="56" t="n">
        <x:v>-93.77656</x:v>
      </x:c>
      <x:c r="H1505" s="44" t="n">
        <x:f>E1505/SUMIF(A:A,A1505,E:E)</x:f>
        <x:v>0.0014939380647661686</x:v>
      </x:c>
    </x:row>
    <x:row r="1506" ht="21.600000381469727" hidden="0" customHeight="1">
      <x:c r="A1506" s="27" t="str">
        <x:v>SCA-19</x:v>
      </x:c>
      <x:c r="B1506" s="27" t="str">
        <x:v>29111</x:v>
      </x:c>
      <x:c r="C1506" s="27" t="str">
        <x:v>MO</x:v>
      </x:c>
      <x:c r="D1506" s="27" t="str">
        <x:v>Lewis County</x:v>
      </x:c>
      <x:c r="E1506" s="40" t="n">
        <x:v>9879</x:v>
      </x:c>
      <x:c r="F1506" s="55" t="n">
        <x:v>40.084559</x:v>
      </x:c>
      <x:c r="G1506" s="55" t="n">
        <x:v>-91.728803</x:v>
      </x:c>
      <x:c r="H1506" s="43" t="n">
        <x:f>E1506/SUMIF(A:A,A1506,E:E)</x:f>
        <x:v>0.0014794120029896732</x:v>
      </x:c>
    </x:row>
    <x:row r="1507" ht="21.600000381469727" hidden="0" customHeight="1">
      <x:c r="A1507" s="29" t="str">
        <x:v>SCA-19</x:v>
      </x:c>
      <x:c r="B1507" s="29" t="str">
        <x:v>19107</x:v>
      </x:c>
      <x:c r="C1507" s="29" t="str">
        <x:v>IA</x:v>
      </x:c>
      <x:c r="D1507" s="29" t="str">
        <x:v>Keokuk County</x:v>
      </x:c>
      <x:c r="E1507" s="41" t="n">
        <x:v>9797</x:v>
      </x:c>
      <x:c r="F1507" s="56" t="n">
        <x:v>41.331182</x:v>
      </x:c>
      <x:c r="G1507" s="56" t="n">
        <x:v>-92.167721</x:v>
      </x:c>
      <x:c r="H1507" s="44" t="n">
        <x:f>E1507/SUMIF(A:A,A1507,E:E)</x:f>
        <x:v>0.001467132239426038</x:v>
      </x:c>
    </x:row>
    <x:row r="1508" ht="21.600000381469727" hidden="0" customHeight="1">
      <x:c r="A1508" s="27" t="str">
        <x:v>SCA-19</x:v>
      </x:c>
      <x:c r="B1508" s="27" t="str">
        <x:v>29063</x:v>
      </x:c>
      <x:c r="C1508" s="27" t="str">
        <x:v>MO</x:v>
      </x:c>
      <x:c r="D1508" s="27" t="str">
        <x:v>DeKalb County</x:v>
      </x:c>
      <x:c r="E1508" s="40" t="n">
        <x:v>9795</x:v>
      </x:c>
      <x:c r="F1508" s="55" t="n">
        <x:v>39.894665</x:v>
      </x:c>
      <x:c r="G1508" s="55" t="n">
        <x:v>-94.40719</x:v>
      </x:c>
      <x:c r="H1508" s="43" t="n">
        <x:f>E1508/SUMIF(A:A,A1508,E:E)</x:f>
        <x:v>0.0014668327329976564</x:v>
      </x:c>
    </x:row>
    <x:row r="1509" ht="21.600000381469727" hidden="0" customHeight="1">
      <x:c r="A1509" s="29" t="str">
        <x:v>SCA-19</x:v>
      </x:c>
      <x:c r="B1509" s="29" t="str">
        <x:v>29079</x:v>
      </x:c>
      <x:c r="C1509" s="29" t="str">
        <x:v>MO</x:v>
      </x:c>
      <x:c r="D1509" s="29" t="str">
        <x:v>Grundy County</x:v>
      </x:c>
      <x:c r="E1509" s="41" t="n">
        <x:v>9744</x:v>
      </x:c>
      <x:c r="F1509" s="56" t="n">
        <x:v>40.11254</x:v>
      </x:c>
      <x:c r="G1509" s="56" t="n">
        <x:v>-93.565054</x:v>
      </x:c>
      <x:c r="H1509" s="44" t="n">
        <x:f>E1509/SUMIF(A:A,A1509,E:E)</x:f>
        <x:v>0.0014591953190739321</x:v>
      </x:c>
    </x:row>
    <x:row r="1510" ht="21.600000381469727" hidden="0" customHeight="1">
      <x:c r="A1510" s="27" t="str">
        <x:v>SCA-19</x:v>
      </x:c>
      <x:c r="B1510" s="27" t="str">
        <x:v>19039</x:v>
      </x:c>
      <x:c r="C1510" s="27" t="str">
        <x:v>IA</x:v>
      </x:c>
      <x:c r="D1510" s="27" t="str">
        <x:v>Clarke County</x:v>
      </x:c>
      <x:c r="E1510" s="40" t="n">
        <x:v>9574</x:v>
      </x:c>
      <x:c r="F1510" s="55" t="n">
        <x:v>41.029726</x:v>
      </x:c>
      <x:c r="G1510" s="55" t="n">
        <x:v>-93.785259</x:v>
      </x:c>
      <x:c r="H1510" s="43" t="n">
        <x:f>E1510/SUMIF(A:A,A1510,E:E)</x:f>
        <x:v>0.0014337372726615175</x:v>
      </x:c>
    </x:row>
    <x:row r="1511" ht="15" hidden="0" customHeight="1">
      <x:c r="A1511" s="29" t="str">
        <x:v>SCA-19</x:v>
      </x:c>
      <x:c r="B1511" s="29" t="str">
        <x:v>29093</x:v>
      </x:c>
      <x:c r="C1511" s="29" t="str">
        <x:v>MO</x:v>
      </x:c>
      <x:c r="D1511" s="29" t="str">
        <x:v>Iron County</x:v>
      </x:c>
      <x:c r="E1511" s="41" t="n">
        <x:v>9318</x:v>
      </x:c>
      <x:c r="F1511" s="56" t="n">
        <x:v>37.625971</x:v>
      </x:c>
      <x:c r="G1511" s="56" t="n">
        <x:v>-90.699587</x:v>
      </x:c>
      <x:c r="H1511" s="44" t="n">
        <x:f>E1511/SUMIF(A:A,A1511,E:E)</x:f>
        <x:v>0.0013954004498287049</x:v>
      </x:c>
    </x:row>
    <x:row r="1512" ht="15" hidden="0" customHeight="1">
      <x:c r="A1512" s="27" t="str">
        <x:v>SCA-19</x:v>
      </x:c>
      <x:c r="B1512" s="27" t="str">
        <x:v>19051</x:v>
      </x:c>
      <x:c r="C1512" s="27" t="str">
        <x:v>IA</x:v>
      </x:c>
      <x:c r="D1512" s="27" t="str">
        <x:v>Davis County</x:v>
      </x:c>
      <x:c r="E1512" s="40" t="n">
        <x:v>9230</x:v>
      </x:c>
      <x:c r="F1512" s="55" t="n">
        <x:v>40.748089</x:v>
      </x:c>
      <x:c r="G1512" s="55" t="n">
        <x:v>-92.410345</x:v>
      </x:c>
      <x:c r="H1512" s="43" t="n">
        <x:f>E1512/SUMIF(A:A,A1512,E:E)</x:f>
        <x:v>0.0013822221669799253</x:v>
      </x:c>
    </x:row>
    <x:row r="1513" ht="21.600000381469727" hidden="0" customHeight="1">
      <x:c r="A1513" s="29" t="str">
        <x:v>SCA-19</x:v>
      </x:c>
      <x:c r="B1513" s="29" t="str">
        <x:v>29085</x:v>
      </x:c>
      <x:c r="C1513" s="29" t="str">
        <x:v>MO</x:v>
      </x:c>
      <x:c r="D1513" s="29" t="str">
        <x:v>Hickory County</x:v>
      </x:c>
      <x:c r="E1513" s="41" t="n">
        <x:v>9044</x:v>
      </x:c>
      <x:c r="F1513" s="56" t="n">
        <x:v>37.93691</x:v>
      </x:c>
      <x:c r="G1513" s="56" t="n">
        <x:v>-93.322988</x:v>
      </x:c>
      <x:c r="H1513" s="44" t="n">
        <x:f>E1513/SUMIF(A:A,A1513,E:E)</x:f>
        <x:v>0.00135436806914046</x:v>
      </x:c>
    </x:row>
    <x:row r="1514" ht="21.600000381469727" hidden="0" customHeight="1">
      <x:c r="A1514" s="27" t="str">
        <x:v>SCA-19</x:v>
      </x:c>
      <x:c r="B1514" s="27" t="str">
        <x:v>17079</x:v>
      </x:c>
      <x:c r="C1514" s="27" t="str">
        <x:v>IL</x:v>
      </x:c>
      <x:c r="D1514" s="27" t="str">
        <x:v>Jasper County</x:v>
      </x:c>
      <x:c r="E1514" s="40" t="n">
        <x:v>9032</x:v>
      </x:c>
      <x:c r="F1514" s="55" t="n">
        <x:v>39.004886</x:v>
      </x:c>
      <x:c r="G1514" s="55" t="n">
        <x:v>-88.150725</x:v>
      </x:c>
      <x:c r="H1514" s="43" t="n">
        <x:f>E1514/SUMIF(A:A,A1514,E:E)</x:f>
        <x:v>0.001352571030570172</x:v>
      </x:c>
    </x:row>
    <x:row r="1515" ht="21.600000381469727" hidden="0" customHeight="1">
      <x:c r="A1515" s="29" t="str">
        <x:v>SCA-19</x:v>
      </x:c>
      <x:c r="B1515" s="29" t="str">
        <x:v>29025</x:v>
      </x:c>
      <x:c r="C1515" s="29" t="str">
        <x:v>MO</x:v>
      </x:c>
      <x:c r="D1515" s="29" t="str">
        <x:v>Caldwell County</x:v>
      </x:c>
      <x:c r="E1515" s="41" t="n">
        <x:v>9012</x:v>
      </x:c>
      <x:c r="F1515" s="56" t="n">
        <x:v>39.658998</x:v>
      </x:c>
      <x:c r="G1515" s="56" t="n">
        <x:v>-93.979179</x:v>
      </x:c>
      <x:c r="H1515" s="44" t="n">
        <x:f>E1515/SUMIF(A:A,A1515,E:E)</x:f>
        <x:v>0.0013495759662863584</x:v>
      </x:c>
    </x:row>
    <x:row r="1516" ht="21.600000381469727" hidden="0" customHeight="1">
      <x:c r="A1516" s="27" t="str">
        <x:v>SCA-19</x:v>
      </x:c>
      <x:c r="B1516" s="27" t="str">
        <x:v>29137</x:v>
      </x:c>
      <x:c r="C1516" s="27" t="str">
        <x:v>MO</x:v>
      </x:c>
      <x:c r="D1516" s="27" t="str">
        <x:v>Monroe County</x:v>
      </x:c>
      <x:c r="E1516" s="40" t="n">
        <x:v>8959</x:v>
      </x:c>
      <x:c r="F1516" s="55" t="n">
        <x:v>39.49827</x:v>
      </x:c>
      <x:c r="G1516" s="55" t="n">
        <x:v>-92.006458</x:v>
      </x:c>
      <x:c r="H1516" s="43" t="n">
        <x:f>E1516/SUMIF(A:A,A1516,E:E)</x:f>
        <x:v>0.0013416390459342527</x:v>
      </x:c>
    </x:row>
    <x:row r="1517" ht="21.600000381469727" hidden="0" customHeight="1">
      <x:c r="A1517" s="29" t="str">
        <x:v>SCA-19</x:v>
      </x:c>
      <x:c r="B1517" s="29" t="str">
        <x:v>21139</x:v>
      </x:c>
      <x:c r="C1517" s="29" t="str">
        <x:v>KY</x:v>
      </x:c>
      <x:c r="D1517" s="29" t="str">
        <x:v>Livingston County</x:v>
      </x:c>
      <x:c r="E1517" s="41" t="n">
        <x:v>8863</x:v>
      </x:c>
      <x:c r="F1517" s="56" t="n">
        <x:v>37.209517</x:v>
      </x:c>
      <x:c r="G1517" s="56" t="n">
        <x:v>-88.363426</x:v>
      </x:c>
      <x:c r="H1517" s="44" t="n">
        <x:f>E1517/SUMIF(A:A,A1517,E:E)</x:f>
        <x:v>0.0013272627373719478</x:v>
      </x:c>
    </x:row>
    <x:row r="1518" ht="21.600000381469727" hidden="0" customHeight="1">
      <x:c r="A1518" s="27" t="str">
        <x:v>SCA-19</x:v>
      </x:c>
      <x:c r="B1518" s="27" t="str">
        <x:v>19117</x:v>
      </x:c>
      <x:c r="C1518" s="27" t="str">
        <x:v>IA</x:v>
      </x:c>
      <x:c r="D1518" s="27" t="str">
        <x:v>Lucas County</x:v>
      </x:c>
      <x:c r="E1518" s="40" t="n">
        <x:v>8847</x:v>
      </x:c>
      <x:c r="F1518" s="55" t="n">
        <x:v>41.033321</x:v>
      </x:c>
      <x:c r="G1518" s="55" t="n">
        <x:v>-93.331462</x:v>
      </x:c>
      <x:c r="H1518" s="43" t="n">
        <x:f>E1518/SUMIF(A:A,A1518,E:E)</x:f>
        <x:v>0.001324866685944897</x:v>
      </x:c>
    </x:row>
    <x:row r="1519" ht="21.600000381469727" hidden="0" customHeight="1">
      <x:c r="A1519" s="29" t="str">
        <x:v>SCA-19</x:v>
      </x:c>
      <x:c r="B1519" s="29" t="str">
        <x:v>29061</x:v>
      </x:c>
      <x:c r="C1519" s="29" t="str">
        <x:v>MO</x:v>
      </x:c>
      <x:c r="D1519" s="29" t="str">
        <x:v>Daviess County</x:v>
      </x:c>
      <x:c r="E1519" s="41" t="n">
        <x:v>8558</x:v>
      </x:c>
      <x:c r="F1519" s="56" t="n">
        <x:v>39.962839</x:v>
      </x:c>
      <x:c r="G1519" s="56" t="n">
        <x:v>-93.970053</x:v>
      </x:c>
      <x:c r="H1519" s="44" t="n">
        <x:f>E1519/SUMIF(A:A,A1519,E:E)</x:f>
        <x:v>0.0012815880070437922</x:v>
      </x:c>
    </x:row>
    <x:row r="1520" ht="21.600000381469727" hidden="0" customHeight="1">
      <x:c r="A1520" s="27" t="str">
        <x:v>SCA-19</x:v>
      </x:c>
      <x:c r="B1520" s="27" t="str">
        <x:v>29033</x:v>
      </x:c>
      <x:c r="C1520" s="27" t="str">
        <x:v>MO</x:v>
      </x:c>
      <x:c r="D1520" s="27" t="str">
        <x:v>Carroll County</x:v>
      </x:c>
      <x:c r="E1520" s="40" t="n">
        <x:v>8417</x:v>
      </x:c>
      <x:c r="F1520" s="55" t="n">
        <x:v>39.427375</x:v>
      </x:c>
      <x:c r="G1520" s="55" t="n">
        <x:v>-93.500226</x:v>
      </x:c>
      <x:c r="H1520" s="43" t="n">
        <x:f>E1520/SUMIF(A:A,A1520,E:E)</x:f>
        <x:v>0.001260472803842907</x:v>
      </x:c>
    </x:row>
    <x:row r="1521" ht="21.600000381469727" hidden="0" customHeight="1">
      <x:c r="A1521" s="29" t="str">
        <x:v>SCA-19</x:v>
      </x:c>
      <x:c r="B1521" s="29" t="str">
        <x:v>29125</x:v>
      </x:c>
      <x:c r="C1521" s="29" t="str">
        <x:v>MO</x:v>
      </x:c>
      <x:c r="D1521" s="29" t="str">
        <x:v>Maries County</x:v>
      </x:c>
      <x:c r="E1521" s="41" t="n">
        <x:v>8397</x:v>
      </x:c>
      <x:c r="F1521" s="56" t="n">
        <x:v>38.162615</x:v>
      </x:c>
      <x:c r="G1521" s="56" t="n">
        <x:v>-91.923601</x:v>
      </x:c>
      <x:c r="H1521" s="44" t="n">
        <x:f>E1521/SUMIF(A:A,A1521,E:E)</x:f>
        <x:v>0.0012574777395590936</x:v>
      </x:c>
    </x:row>
    <x:row r="1522" ht="21.600000381469727" hidden="0" customHeight="1">
      <x:c r="A1522" s="27" t="str">
        <x:v>SCA-19</x:v>
      </x:c>
      <x:c r="B1522" s="27" t="str">
        <x:v>29081</x:v>
      </x:c>
      <x:c r="C1522" s="27" t="str">
        <x:v>MO</x:v>
      </x:c>
      <x:c r="D1522" s="27" t="str">
        <x:v>Harrison County</x:v>
      </x:c>
      <x:c r="E1522" s="40" t="n">
        <x:v>8281</x:v>
      </x:c>
      <x:c r="F1522" s="55" t="n">
        <x:v>40.34562</x:v>
      </x:c>
      <x:c r="G1522" s="55" t="n">
        <x:v>-93.992582</x:v>
      </x:c>
      <x:c r="H1522" s="43" t="n">
        <x:f>E1522/SUMIF(A:A,A1522,E:E)</x:f>
        <x:v>0.0012401063667129755</x:v>
      </x:c>
    </x:row>
    <x:row r="1523" ht="21.600000381469727" hidden="0" customHeight="1">
      <x:c r="A1523" s="29" t="str">
        <x:v>SCA-19</x:v>
      </x:c>
      <x:c r="B1523" s="29" t="str">
        <x:v>17065</x:v>
      </x:c>
      <x:c r="C1523" s="29" t="str">
        <x:v>IL</x:v>
      </x:c>
      <x:c r="D1523" s="29" t="str">
        <x:v>Hamilton County</x:v>
      </x:c>
      <x:c r="E1523" s="41" t="n">
        <x:v>7859</x:v>
      </x:c>
      <x:c r="F1523" s="56" t="n">
        <x:v>38.085227</x:v>
      </x:c>
      <x:c r="G1523" s="56" t="n">
        <x:v>-88.539009</x:v>
      </x:c>
      <x:c r="H1523" s="44" t="n">
        <x:f>E1523/SUMIF(A:A,A1523,E:E)</x:f>
        <x:v>0.0011769105103245107</x:v>
      </x:c>
    </x:row>
    <x:row r="1524" ht="21.600000381469727" hidden="0" customHeight="1">
      <x:c r="A1524" s="27" t="str">
        <x:v>SCA-19</x:v>
      </x:c>
      <x:c r="B1524" s="27" t="str">
        <x:v>19053</x:v>
      </x:c>
      <x:c r="C1524" s="27" t="str">
        <x:v>IA</x:v>
      </x:c>
      <x:c r="D1524" s="27" t="str">
        <x:v>Decatur County</x:v>
      </x:c>
      <x:c r="E1524" s="40" t="n">
        <x:v>7655</x:v>
      </x:c>
      <x:c r="F1524" s="55" t="n">
        <x:v>40.736379</x:v>
      </x:c>
      <x:c r="G1524" s="55" t="n">
        <x:v>-93.78458</x:v>
      </x:c>
      <x:c r="H1524" s="43" t="n">
        <x:f>E1524/SUMIF(A:A,A1524,E:E)</x:f>
        <x:v>0.001146360854629613</x:v>
      </x:c>
    </x:row>
    <x:row r="1525" ht="21.600000381469727" hidden="0" customHeight="1">
      <x:c r="A1525" s="29" t="str">
        <x:v>SCA-19</x:v>
      </x:c>
      <x:c r="B1525" s="29" t="str">
        <x:v>21007</x:v>
      </x:c>
      <x:c r="C1525" s="29" t="str">
        <x:v>KY</x:v>
      </x:c>
      <x:c r="D1525" s="29" t="str">
        <x:v>Ballard County</x:v>
      </x:c>
      <x:c r="E1525" s="41" t="n">
        <x:v>7594</x:v>
      </x:c>
      <x:c r="F1525" s="56" t="n">
        <x:v>37.051323</x:v>
      </x:c>
      <x:c r="G1525" s="56" t="n">
        <x:v>-89.010367</x:v>
      </x:c>
      <x:c r="H1525" s="44" t="n">
        <x:f>E1525/SUMIF(A:A,A1525,E:E)</x:f>
        <x:v>0.001137225908563982</x:v>
      </x:c>
    </x:row>
    <x:row r="1526" ht="21.600000381469727" hidden="0" customHeight="1">
      <x:c r="A1526" s="27" t="str">
        <x:v>SCA-19</x:v>
      </x:c>
      <x:c r="B1526" s="27" t="str">
        <x:v>19135</x:v>
      </x:c>
      <x:c r="C1526" s="27" t="str">
        <x:v>IA</x:v>
      </x:c>
      <x:c r="D1526" s="27" t="str">
        <x:v>Monroe County</x:v>
      </x:c>
      <x:c r="E1526" s="40" t="n">
        <x:v>7406</x:v>
      </x:c>
      <x:c r="F1526" s="55" t="n">
        <x:v>41.028847</x:v>
      </x:c>
      <x:c r="G1526" s="55" t="n">
        <x:v>-92.869642</x:v>
      </x:c>
      <x:c r="H1526" s="43" t="n">
        <x:f>E1526/SUMIF(A:A,A1526,E:E)</x:f>
        <x:v>0.0011090723042961352</x:v>
      </x:c>
    </x:row>
    <x:row r="1527" ht="21.600000381469727" hidden="0" customHeight="1">
      <x:c r="A1527" s="29" t="str">
        <x:v>SCA-19</x:v>
      </x:c>
      <x:c r="B1527" s="29" t="str">
        <x:v>29041</x:v>
      </x:c>
      <x:c r="C1527" s="29" t="str">
        <x:v>MO</x:v>
      </x:c>
      <x:c r="D1527" s="29" t="str">
        <x:v>Chariton County</x:v>
      </x:c>
      <x:c r="E1527" s="41" t="n">
        <x:v>7377</x:v>
      </x:c>
      <x:c r="F1527" s="56" t="n">
        <x:v>39.517968</x:v>
      </x:c>
      <x:c r="G1527" s="56" t="n">
        <x:v>-92.96162</x:v>
      </x:c>
      <x:c r="H1527" s="44" t="n">
        <x:f>E1527/SUMIF(A:A,A1527,E:E)</x:f>
        <x:v>0.0011047294610846056</x:v>
      </x:c>
    </x:row>
    <x:row r="1528" ht="21.600000381469727" hidden="0" customHeight="1">
      <x:c r="A1528" s="27" t="str">
        <x:v>SCA-19</x:v>
      </x:c>
      <x:c r="B1528" s="27" t="str">
        <x:v>29203</x:v>
      </x:c>
      <x:c r="C1528" s="27" t="str">
        <x:v>MO</x:v>
      </x:c>
      <x:c r="D1528" s="27" t="str">
        <x:v>Shannon County</x:v>
      </x:c>
      <x:c r="E1528" s="40" t="n">
        <x:v>7285</x:v>
      </x:c>
      <x:c r="F1528" s="55" t="n">
        <x:v>37.152498</x:v>
      </x:c>
      <x:c r="G1528" s="55" t="n">
        <x:v>-91.391328</x:v>
      </x:c>
      <x:c r="H1528" s="43" t="n">
        <x:f>E1528/SUMIF(A:A,A1528,E:E)</x:f>
        <x:v>0.0010909521653790636</x:v>
      </x:c>
    </x:row>
    <x:row r="1529" ht="21.600000381469727" hidden="0" customHeight="1">
      <x:c r="A1529" s="29" t="str">
        <x:v>SCA-19</x:v>
      </x:c>
      <x:c r="B1529" s="29" t="str">
        <x:v>19177</x:v>
      </x:c>
      <x:c r="C1529" s="29" t="str">
        <x:v>IA</x:v>
      </x:c>
      <x:c r="D1529" s="29" t="str">
        <x:v>Van Buren County</x:v>
      </x:c>
      <x:c r="E1529" s="41" t="n">
        <x:v>7131</x:v>
      </x:c>
      <x:c r="F1529" s="56" t="n">
        <x:v>40.754117</x:v>
      </x:c>
      <x:c r="G1529" s="56" t="n">
        <x:v>-91.952943</x:v>
      </x:c>
      <x:c r="H1529" s="44" t="n">
        <x:f>E1529/SUMIF(A:A,A1529,E:E)</x:f>
        <x:v>0.0010678901703936997</x:v>
      </x:c>
    </x:row>
    <x:row r="1530" ht="21.600000381469727" hidden="0" customHeight="1">
      <x:c r="A1530" s="27" t="str">
        <x:v>SCA-19</x:v>
      </x:c>
      <x:c r="B1530" s="27" t="str">
        <x:v>19185</x:v>
      </x:c>
      <x:c r="C1530" s="27" t="str">
        <x:v>IA</x:v>
      </x:c>
      <x:c r="D1530" s="27" t="str">
        <x:v>Wayne County</x:v>
      </x:c>
      <x:c r="E1530" s="40" t="n">
        <x:v>6738</x:v>
      </x:c>
      <x:c r="F1530" s="55" t="n">
        <x:v>40.739983</x:v>
      </x:c>
      <x:c r="G1530" s="55" t="n">
        <x:v>-93.332613</x:v>
      </x:c>
      <x:c r="H1530" s="43" t="n">
        <x:f>E1530/SUMIF(A:A,A1530,E:E)</x:f>
        <x:v>0.0010090371572167647</x:v>
      </x:c>
    </x:row>
    <x:row r="1531" ht="21.600000381469727" hidden="0" customHeight="1">
      <x:c r="A1531" s="29" t="str">
        <x:v>SCA-19</x:v>
      </x:c>
      <x:c r="B1531" s="29" t="str">
        <x:v>17169</x:v>
      </x:c>
      <x:c r="C1531" s="29" t="str">
        <x:v>IL</x:v>
      </x:c>
      <x:c r="D1531" s="29" t="str">
        <x:v>Schuyler County</x:v>
      </x:c>
      <x:c r="E1531" s="41" t="n">
        <x:v>6657</x:v>
      </x:c>
      <x:c r="F1531" s="56" t="n">
        <x:v>40.156905</x:v>
      </x:c>
      <x:c r="G1531" s="56" t="n">
        <x:v>-90.613464</x:v>
      </x:c>
      <x:c r="H1531" s="44" t="n">
        <x:f>E1531/SUMIF(A:A,A1531,E:E)</x:f>
        <x:v>0.00099690714686732</x:v>
      </x:c>
    </x:row>
    <x:row r="1532" ht="15" hidden="0" customHeight="1">
      <x:c r="A1532" s="27" t="str">
        <x:v>SCA-19</x:v>
      </x:c>
      <x:c r="B1532" s="27" t="str">
        <x:v>29045</x:v>
      </x:c>
      <x:c r="C1532" s="27" t="str">
        <x:v>MO</x:v>
      </x:c>
      <x:c r="D1532" s="27" t="str">
        <x:v>Clark County</x:v>
      </x:c>
      <x:c r="E1532" s="40" t="n">
        <x:v>6475</x:v>
      </x:c>
      <x:c r="F1532" s="55" t="n">
        <x:v>40.407275</x:v>
      </x:c>
      <x:c r="G1532" s="55" t="n">
        <x:v>-91.729472</x:v>
      </x:c>
      <x:c r="H1532" s="43" t="n">
        <x:f>E1532/SUMIF(A:A,A1532,E:E)</x:f>
        <x:v>0.0009696520618846172</x:v>
      </x:c>
    </x:row>
    <x:row r="1533" ht="21.600000381469727" hidden="0" customHeight="1">
      <x:c r="A1533" s="29" t="str">
        <x:v>SCA-19</x:v>
      </x:c>
      <x:c r="B1533" s="29" t="str">
        <x:v>17009</x:v>
      </x:c>
      <x:c r="C1533" s="29" t="str">
        <x:v>IL</x:v>
      </x:c>
      <x:c r="D1533" s="29" t="str">
        <x:v>Brown County</x:v>
      </x:c>
      <x:c r="E1533" s="41" t="n">
        <x:v>6401</x:v>
      </x:c>
      <x:c r="F1533" s="56" t="n">
        <x:v>39.962069</x:v>
      </x:c>
      <x:c r="G1533" s="56" t="n">
        <x:v>-90.750309</x:v>
      </x:c>
      <x:c r="H1533" s="44" t="n">
        <x:f>E1533/SUMIF(A:A,A1533,E:E)</x:f>
        <x:v>0.0009585703240345073</x:v>
      </x:c>
    </x:row>
    <x:row r="1534" ht="21.600000381469727" hidden="0" customHeight="1">
      <x:c r="A1534" s="27" t="str">
        <x:v>SCA-19</x:v>
      </x:c>
      <x:c r="B1534" s="27" t="str">
        <x:v>29075</x:v>
      </x:c>
      <x:c r="C1534" s="27" t="str">
        <x:v>MO</x:v>
      </x:c>
      <x:c r="D1534" s="27" t="str">
        <x:v>Gentry County</x:v>
      </x:c>
      <x:c r="E1534" s="40" t="n">
        <x:v>6384</x:v>
      </x:c>
      <x:c r="F1534" s="55" t="n">
        <x:v>40.208127</x:v>
      </x:c>
      <x:c r="G1534" s="55" t="n">
        <x:v>-94.405321</x:v>
      </x:c>
      <x:c r="H1534" s="43" t="n">
        <x:f>E1534/SUMIF(A:A,A1534,E:E)</x:f>
        <x:v>0.0009560245193932659</x:v>
      </x:c>
    </x:row>
    <x:row r="1535" ht="21.600000381469727" hidden="0" customHeight="1">
      <x:c r="A1535" s="29" t="str">
        <x:v>SCA-19</x:v>
      </x:c>
      <x:c r="B1535" s="29" t="str">
        <x:v>29179</x:v>
      </x:c>
      <x:c r="C1535" s="29" t="str">
        <x:v>MO</x:v>
      </x:c>
      <x:c r="D1535" s="29" t="str">
        <x:v>Reynolds County</x:v>
      </x:c>
      <x:c r="E1535" s="41" t="n">
        <x:v>5992</x:v>
      </x:c>
      <x:c r="F1535" s="56" t="n">
        <x:v>37.366464</x:v>
      </x:c>
      <x:c r="G1535" s="56" t="n">
        <x:v>-90.972282</x:v>
      </x:c>
      <x:c r="H1535" s="44" t="n">
        <x:f>E1535/SUMIF(A:A,A1535,E:E)</x:f>
        <x:v>0.0008973212594305215</x:v>
      </x:c>
    </x:row>
    <x:row r="1536" ht="21.600000381469727" hidden="0" customHeight="1">
      <x:c r="A1536" s="27" t="str">
        <x:v>SCA-19</x:v>
      </x:c>
      <x:c r="B1536" s="27" t="str">
        <x:v>17071</x:v>
      </x:c>
      <x:c r="C1536" s="27" t="str">
        <x:v>IL</x:v>
      </x:c>
      <x:c r="D1536" s="27" t="str">
        <x:v>Henderson County</x:v>
      </x:c>
      <x:c r="E1536" s="40" t="n">
        <x:v>5984</x:v>
      </x:c>
      <x:c r="F1536" s="55" t="n">
        <x:v>40.814471</x:v>
      </x:c>
      <x:c r="G1536" s="55" t="n">
        <x:v>-90.941246</x:v>
      </x:c>
      <x:c r="H1536" s="43" t="n">
        <x:f>E1536/SUMIF(A:A,A1536,E:E)</x:f>
        <x:v>0.000896123233716996</x:v>
      </x:c>
    </x:row>
    <x:row r="1537" ht="21.600000381469727" hidden="0" customHeight="1">
      <x:c r="A1537" s="29" t="str">
        <x:v>SCA-19</x:v>
      </x:c>
      <x:c r="B1537" s="29" t="str">
        <x:v>29205</x:v>
      </x:c>
      <x:c r="C1537" s="29" t="str">
        <x:v>MO</x:v>
      </x:c>
      <x:c r="D1537" s="29" t="str">
        <x:v>Shelby County</x:v>
      </x:c>
      <x:c r="E1537" s="41" t="n">
        <x:v>5870</x:v>
      </x:c>
      <x:c r="F1537" s="56" t="n">
        <x:v>39.797531</x:v>
      </x:c>
      <x:c r="G1537" s="56" t="n">
        <x:v>-92.088719</x:v>
      </x:c>
      <x:c r="H1537" s="44" t="n">
        <x:f>E1537/SUMIF(A:A,A1537,E:E)</x:f>
        <x:v>0.0008790513672992592</x:v>
      </x:c>
    </x:row>
    <x:row r="1538" ht="21.600000381469727" hidden="0" customHeight="1">
      <x:c r="A1538" s="27" t="str">
        <x:v>SCA-19</x:v>
      </x:c>
      <x:c r="B1538" s="27" t="str">
        <x:v>29211</x:v>
      </x:c>
      <x:c r="C1538" s="27" t="str">
        <x:v>MO</x:v>
      </x:c>
      <x:c r="D1538" s="27" t="str">
        <x:v>Sullivan County</x:v>
      </x:c>
      <x:c r="E1538" s="40" t="n">
        <x:v>5738</x:v>
      </x:c>
      <x:c r="F1538" s="55" t="n">
        <x:v>40.209588</x:v>
      </x:c>
      <x:c r="G1538" s="55" t="n">
        <x:v>-93.109784</x:v>
      </x:c>
      <x:c r="H1538" s="43" t="n">
        <x:f>E1538/SUMIF(A:A,A1538,E:E)</x:f>
        <x:v>0.0008592839430260901</x:v>
      </x:c>
    </x:row>
    <x:row r="1539" ht="21.600000381469727" hidden="0" customHeight="1">
      <x:c r="A1539" s="29" t="str">
        <x:v>SCA-19</x:v>
      </x:c>
      <x:c r="B1539" s="29" t="str">
        <x:v>29035</x:v>
      </x:c>
      <x:c r="C1539" s="29" t="str">
        <x:v>MO</x:v>
      </x:c>
      <x:c r="D1539" s="29" t="str">
        <x:v>Carter County</x:v>
      </x:c>
      <x:c r="E1539" s="41" t="n">
        <x:v>5418</x:v>
      </x:c>
      <x:c r="F1539" s="56" t="n">
        <x:v>36.944858</x:v>
      </x:c>
      <x:c r="G1539" s="56" t="n">
        <x:v>-90.945705</x:v>
      </x:c>
      <x:c r="H1539" s="44" t="n">
        <x:f>E1539/SUMIF(A:A,A1539,E:E)</x:f>
        <x:v>0.0008113629144850743</x:v>
      </x:c>
    </x:row>
    <x:row r="1540" ht="15" hidden="0" customHeight="1">
      <x:c r="A1540" s="27" t="str">
        <x:v>SCA-19</x:v>
      </x:c>
      <x:c r="B1540" s="27" t="str">
        <x:v>17171</x:v>
      </x:c>
      <x:c r="C1540" s="27" t="str">
        <x:v>IL</x:v>
      </x:c>
      <x:c r="D1540" s="27" t="str">
        <x:v>Scott County</x:v>
      </x:c>
      <x:c r="E1540" s="40" t="n">
        <x:v>4866</x:v>
      </x:c>
      <x:c r="F1540" s="55" t="n">
        <x:v>39.637002</x:v>
      </x:c>
      <x:c r="G1540" s="55" t="n">
        <x:v>-90.477771</x:v>
      </x:c>
      <x:c r="H1540" s="43" t="n">
        <x:f>E1540/SUMIF(A:A,A1540,E:E)</x:f>
        <x:v>0.0007286991402518221</x:v>
      </x:c>
    </x:row>
    <x:row r="1541" ht="21.600000381469727" hidden="0" customHeight="1">
      <x:c r="A1541" s="29" t="str">
        <x:v>SCA-19</x:v>
      </x:c>
      <x:c r="B1541" s="29" t="str">
        <x:v>17153</x:v>
      </x:c>
      <x:c r="C1541" s="29" t="str">
        <x:v>IL</x:v>
      </x:c>
      <x:c r="D1541" s="29" t="str">
        <x:v>Pulaski County</x:v>
      </x:c>
      <x:c r="E1541" s="41" t="n">
        <x:v>4820</x:v>
      </x:c>
      <x:c r="F1541" s="56" t="n">
        <x:v>37.215615</x:v>
      </x:c>
      <x:c r="G1541" s="56" t="n">
        <x:v>-89.127755</x:v>
      </x:c>
      <x:c r="H1541" s="44" t="n">
        <x:f>E1541/SUMIF(A:A,A1541,E:E)</x:f>
        <x:v>0.000721810492399051</x:v>
      </x:c>
    </x:row>
    <x:row r="1542" ht="21.600000381469727" hidden="0" customHeight="1">
      <x:c r="A1542" s="27" t="str">
        <x:v>SCA-19</x:v>
      </x:c>
      <x:c r="B1542" s="27" t="str">
        <x:v>29199</x:v>
      </x:c>
      <x:c r="C1542" s="27" t="str">
        <x:v>MO</x:v>
      </x:c>
      <x:c r="D1542" s="27" t="str">
        <x:v>Scotland County</x:v>
      </x:c>
      <x:c r="E1542" s="40" t="n">
        <x:v>4796</x:v>
      </x:c>
      <x:c r="F1542" s="55" t="n">
        <x:v>40.447686</x:v>
      </x:c>
      <x:c r="G1542" s="55" t="n">
        <x:v>-92.142824</x:v>
      </x:c>
      <x:c r="H1542" s="43" t="n">
        <x:f>E1542/SUMIF(A:A,A1542,E:E)</x:f>
        <x:v>0.0007182164152584748</x:v>
      </x:c>
    </x:row>
    <x:row r="1543" ht="21.600000381469727" hidden="0" customHeight="1">
      <x:c r="A1543" s="29" t="str">
        <x:v>SCA-19</x:v>
      </x:c>
      <x:c r="B1543" s="29" t="str">
        <x:v>19159</x:v>
      </x:c>
      <x:c r="C1543" s="29" t="str">
        <x:v>IA</x:v>
      </x:c>
      <x:c r="D1543" s="29" t="str">
        <x:v>Ringgold County</x:v>
      </x:c>
      <x:c r="E1543" s="41" t="n">
        <x:v>4642</x:v>
      </x:c>
      <x:c r="F1543" s="56" t="n">
        <x:v>40.735334</x:v>
      </x:c>
      <x:c r="G1543" s="56" t="n">
        <x:v>-94.244251</x:v>
      </x:c>
      <x:c r="H1543" s="44" t="n">
        <x:f>E1543/SUMIF(A:A,A1543,E:E)</x:f>
        <x:v>0.0006951544202731109</x:v>
      </x:c>
    </x:row>
    <x:row r="1544" ht="21.600000381469727" hidden="0" customHeight="1">
      <x:c r="A1544" s="27" t="str">
        <x:v>SCA-19</x:v>
      </x:c>
      <x:c r="B1544" s="27" t="str">
        <x:v>17059</x:v>
      </x:c>
      <x:c r="C1544" s="27" t="str">
        <x:v>IL</x:v>
      </x:c>
      <x:c r="D1544" s="27" t="str">
        <x:v>Gallatin County</x:v>
      </x:c>
      <x:c r="E1544" s="40" t="n">
        <x:v>4616</x:v>
      </x:c>
      <x:c r="F1544" s="55" t="n">
        <x:v>37.768677</x:v>
      </x:c>
      <x:c r="G1544" s="55" t="n">
        <x:v>-88.227964</x:v>
      </x:c>
      <x:c r="H1544" s="43" t="n">
        <x:f>E1544/SUMIF(A:A,A1544,E:E)</x:f>
        <x:v>0.0006912608367041534</x:v>
      </x:c>
    </x:row>
    <x:row r="1545" ht="21.600000381469727" hidden="0" customHeight="1">
      <x:c r="A1545" s="29" t="str">
        <x:v>SCA-19</x:v>
      </x:c>
      <x:c r="B1545" s="29" t="str">
        <x:v>17003</x:v>
      </x:c>
      <x:c r="C1545" s="29" t="str">
        <x:v>IL</x:v>
      </x:c>
      <x:c r="D1545" s="29" t="str">
        <x:v>Alexander County</x:v>
      </x:c>
      <x:c r="E1545" s="41" t="n">
        <x:v>4570</x:v>
      </x:c>
      <x:c r="F1545" s="56" t="n">
        <x:v>37.183658</x:v>
      </x:c>
      <x:c r="G1545" s="56" t="n">
        <x:v>-89.349516</x:v>
      </x:c>
      <x:c r="H1545" s="44" t="n">
        <x:f>E1545/SUMIF(A:A,A1545,E:E)</x:f>
        <x:v>0.0006843721888513824</x:v>
      </x:c>
    </x:row>
    <x:row r="1546" ht="21.600000381469727" hidden="0" customHeight="1">
      <x:c r="A1546" s="27" t="str">
        <x:v>SCA-19</x:v>
      </x:c>
      <x:c r="B1546" s="27" t="str">
        <x:v>29171</x:v>
      </x:c>
      <x:c r="C1546" s="27" t="str">
        <x:v>MO</x:v>
      </x:c>
      <x:c r="D1546" s="27" t="str">
        <x:v>Putnam County</x:v>
      </x:c>
      <x:c r="E1546" s="40" t="n">
        <x:v>4546</x:v>
      </x:c>
      <x:c r="F1546" s="55" t="n">
        <x:v>40.478606</x:v>
      </x:c>
      <x:c r="G1546" s="55" t="n">
        <x:v>-93.014531</x:v>
      </x:c>
      <x:c r="H1546" s="43" t="n">
        <x:f>E1546/SUMIF(A:A,A1546,E:E)</x:f>
        <x:v>0.0006807781117108061</x:v>
      </x:c>
    </x:row>
    <x:row r="1547" ht="21.600000381469727" hidden="0" customHeight="1">
      <x:c r="A1547" s="29" t="str">
        <x:v>SCA-19</x:v>
      </x:c>
      <x:c r="B1547" s="29" t="str">
        <x:v>17013</x:v>
      </x:c>
      <x:c r="C1547" s="29" t="str">
        <x:v>IL</x:v>
      </x:c>
      <x:c r="D1547" s="29" t="str">
        <x:v>Calhoun County</x:v>
      </x:c>
      <x:c r="E1547" s="41" t="n">
        <x:v>4300</x:v>
      </x:c>
      <x:c r="F1547" s="56" t="n">
        <x:v>39.164262</x:v>
      </x:c>
      <x:c r="G1547" s="56" t="n">
        <x:v>-90.666295</x:v>
      </x:c>
      <x:c r="H1547" s="44" t="n">
        <x:f>E1547/SUMIF(A:A,A1547,E:E)</x:f>
        <x:v>0.0006439388210199002</x:v>
      </x:c>
    </x:row>
    <x:row r="1548" ht="21.600000381469727" hidden="0" customHeight="1">
      <x:c r="A1548" s="27" t="str">
        <x:v>SCA-19</x:v>
      </x:c>
      <x:c r="B1548" s="27" t="str">
        <x:v>29197</x:v>
      </x:c>
      <x:c r="C1548" s="27" t="str">
        <x:v>MO</x:v>
      </x:c>
      <x:c r="D1548" s="27" t="str">
        <x:v>Schuyler County</x:v>
      </x:c>
      <x:c r="E1548" s="40" t="n">
        <x:v>4140</x:v>
      </x:c>
      <x:c r="F1548" s="55" t="n">
        <x:v>40.469361</x:v>
      </x:c>
      <x:c r="G1548" s="55" t="n">
        <x:v>-92.519016</x:v>
      </x:c>
      <x:c r="H1548" s="43" t="n">
        <x:f>E1548/SUMIF(A:A,A1548,E:E)</x:f>
        <x:v>0.0006199783067493924</x:v>
      </x:c>
    </x:row>
    <x:row r="1549" ht="15" hidden="0" customHeight="1">
      <x:c r="A1549" s="29" t="str">
        <x:v>SCA-19</x:v>
      </x:c>
      <x:c r="B1549" s="29" t="str">
        <x:v>29103</x:v>
      </x:c>
      <x:c r="C1549" s="29" t="str">
        <x:v>MO</x:v>
      </x:c>
      <x:c r="D1549" s="29" t="str">
        <x:v>Knox County</x:v>
      </x:c>
      <x:c r="E1549" s="41" t="n">
        <x:v>3728</x:v>
      </x:c>
      <x:c r="F1549" s="56" t="n">
        <x:v>40.136856</x:v>
      </x:c>
      <x:c r="G1549" s="56" t="n">
        <x:v>-92.146835</x:v>
      </x:c>
      <x:c r="H1549" s="44" t="n">
        <x:f>E1549/SUMIF(A:A,A1549,E:E)</x:f>
        <x:v>0.0005582799825028345</x:v>
      </x:c>
    </x:row>
    <x:row r="1550" ht="15" hidden="0" customHeight="1">
      <x:c r="A1550" s="27" t="str">
        <x:v>SCA-19</x:v>
      </x:c>
      <x:c r="B1550" s="27" t="str">
        <x:v>17151</x:v>
      </x:c>
      <x:c r="C1550" s="27" t="str">
        <x:v>IL</x:v>
      </x:c>
      <x:c r="D1550" s="27" t="str">
        <x:v>Pope County</x:v>
      </x:c>
      <x:c r="E1550" s="40" t="n">
        <x:v>3672</x:v>
      </x:c>
      <x:c r="F1550" s="55" t="n">
        <x:v>37.417169</x:v>
      </x:c>
      <x:c r="G1550" s="55" t="n">
        <x:v>-88.542374</x:v>
      </x:c>
      <x:c r="H1550" s="43" t="n">
        <x:f>E1550/SUMIF(A:A,A1550,E:E)</x:f>
        <x:v>0.0005498938025081567</x:v>
      </x:c>
    </x:row>
    <x:row r="1551" ht="21.600000381469727" hidden="0" customHeight="1">
      <x:c r="A1551" s="29" t="str">
        <x:v>SCA-19</x:v>
      </x:c>
      <x:c r="B1551" s="29" t="str">
        <x:v>17069</x:v>
      </x:c>
      <x:c r="C1551" s="29" t="str">
        <x:v>IL</x:v>
      </x:c>
      <x:c r="D1551" s="29" t="str">
        <x:v>Hardin County</x:v>
      </x:c>
      <x:c r="E1551" s="41" t="n">
        <x:v>3588</x:v>
      </x:c>
      <x:c r="F1551" s="56" t="n">
        <x:v>37.517852</x:v>
      </x:c>
      <x:c r="G1551" s="56" t="n">
        <x:v>-88.266148</x:v>
      </x:c>
      <x:c r="H1551" s="44" t="n">
        <x:f>E1551/SUMIF(A:A,A1551,E:E)</x:f>
        <x:v>0.00053731453251614</x:v>
      </x:c>
    </x:row>
    <x:row r="1552" ht="21.600000381469727" hidden="0" customHeight="1">
      <x:c r="A1552" s="27" t="str">
        <x:v>SCA-19</x:v>
      </x:c>
      <x:c r="B1552" s="27" t="str">
        <x:v>29129</x:v>
      </x:c>
      <x:c r="C1552" s="27" t="str">
        <x:v>MO</x:v>
      </x:c>
      <x:c r="D1552" s="27" t="str">
        <x:v>Mercer County</x:v>
      </x:c>
      <x:c r="E1552" s="40" t="n">
        <x:v>3404</x:v>
      </x:c>
      <x:c r="F1552" s="55" t="n">
        <x:v>40.421413</x:v>
      </x:c>
      <x:c r="G1552" s="55" t="n">
        <x:v>-93.567631</x:v>
      </x:c>
      <x:c r="H1552" s="43" t="n">
        <x:f>E1552/SUMIF(A:A,A1552,E:E)</x:f>
        <x:v>0.0005097599411050559</x:v>
      </x:c>
    </x:row>
    <x:row r="1553" ht="21.600000381469727" hidden="0" customHeight="1">
      <x:c r="A1553" s="29" t="str">
        <x:v>SCA-19</x:v>
      </x:c>
      <x:c r="B1553" s="29" t="str">
        <x:v>29227</x:v>
      </x:c>
      <x:c r="C1553" s="29" t="str">
        <x:v>MO</x:v>
      </x:c>
      <x:c r="D1553" s="29" t="str">
        <x:v>Worth County</x:v>
      </x:c>
      <x:c r="E1553" s="41" t="n">
        <x:v>1914</x:v>
      </x:c>
      <x:c r="F1553" s="56" t="n">
        <x:v>40.480499</x:v>
      </x:c>
      <x:c r="G1553" s="56" t="n">
        <x:v>-94.419198</x:v>
      </x:c>
      <x:c r="H1553" s="44" t="n">
        <x:f>E1553/SUMIF(A:A,A1553,E:E)</x:f>
        <x:v>0.00028662765196095096</x:v>
      </x:c>
    </x:row>
    <x:row r="1554" ht="21.600000381469727" hidden="0" customHeight="1">
      <x:c r="A1554" s="27" t="str">
        <x:v>SCA-20</x:v>
      </x:c>
      <x:c r="B1554" s="27" t="str">
        <x:v>47157</x:v>
      </x:c>
      <x:c r="C1554" s="27" t="str">
        <x:v>TN</x:v>
      </x:c>
      <x:c r="D1554" s="27" t="str">
        <x:v>Shelby County</x:v>
      </x:c>
      <x:c r="E1554" s="40" t="n">
        <x:v>910226</x:v>
      </x:c>
      <x:c r="F1554" s="55" t="n">
        <x:v>35.184553</x:v>
      </x:c>
      <x:c r="G1554" s="55" t="n">
        <x:v>-89.894612</x:v>
      </x:c>
      <x:c r="H1554" s="43" t="n">
        <x:f>E1554/SUMIF(A:A,A1554,E:E)</x:f>
        <x:v>0.10720176982687327</x:v>
      </x:c>
    </x:row>
    <x:row r="1555" ht="21.600000381469727" hidden="0" customHeight="1">
      <x:c r="A1555" s="29" t="str">
        <x:v>SCA-20</x:v>
      </x:c>
      <x:c r="B1555" s="29" t="str">
        <x:v>05119</x:v>
      </x:c>
      <x:c r="C1555" s="29" t="str">
        <x:v>AR</x:v>
      </x:c>
      <x:c r="D1555" s="29" t="str">
        <x:v>Pulaski County</x:v>
      </x:c>
      <x:c r="E1555" s="41" t="n">
        <x:v>404611</x:v>
      </x:c>
      <x:c r="F1555" s="56" t="n">
        <x:v>34.770311</x:v>
      </x:c>
      <x:c r="G1555" s="56" t="n">
        <x:v>-92.312996</x:v>
      </x:c>
      <x:c r="H1555" s="44" t="n">
        <x:f>E1555/SUMIF(A:A,A1555,E:E)</x:f>
        <x:v>0.04765301726320828</x:v>
      </x:c>
    </x:row>
    <x:row r="1556" ht="21.600000381469727" hidden="0" customHeight="1">
      <x:c r="A1556" s="27" t="str">
        <x:v>SCA-20</x:v>
      </x:c>
      <x:c r="B1556" s="27" t="str">
        <x:v>22103</x:v>
      </x:c>
      <x:c r="C1556" s="27" t="str">
        <x:v>LA</x:v>
      </x:c>
      <x:c r="D1556" s="27" t="str">
        <x:v>St. Tammany Parish</x:v>
      </x:c>
      <x:c r="E1556" s="40" t="n">
        <x:v>279108</x:v>
      </x:c>
      <x:c r="F1556" s="55" t="n">
        <x:v>30.410022</x:v>
      </x:c>
      <x:c r="G1556" s="55" t="n">
        <x:v>-89.951962</x:v>
      </x:c>
      <x:c r="H1556" s="43" t="n">
        <x:f>E1556/SUMIF(A:A,A1556,E:E)</x:f>
        <x:v>0.0328719148572321</x:v>
      </x:c>
    </x:row>
    <x:row r="1557" ht="21.600000381469727" hidden="0" customHeight="1">
      <x:c r="A1557" s="29" t="str">
        <x:v>SCA-20</x:v>
      </x:c>
      <x:c r="B1557" s="29" t="str">
        <x:v>28047</x:v>
      </x:c>
      <x:c r="C1557" s="29" t="str">
        <x:v>MS</x:v>
      </x:c>
      <x:c r="D1557" s="29" t="str">
        <x:v>Harrison County</x:v>
      </x:c>
      <x:c r="E1557" s="41" t="n">
        <x:v>217136</x:v>
      </x:c>
      <x:c r="F1557" s="56" t="n">
        <x:v>30.416536</x:v>
      </x:c>
      <x:c r="G1557" s="56" t="n">
        <x:v>-89.083376</x:v>
      </x:c>
      <x:c r="H1557" s="44" t="n">
        <x:f>E1557/SUMIF(A:A,A1557,E:E)</x:f>
        <x:v>0.025573169183398355</x:v>
      </x:c>
    </x:row>
    <x:row r="1558" ht="21.600000381469727" hidden="0" customHeight="1">
      <x:c r="A1558" s="27" t="str">
        <x:v>SCA-20</x:v>
      </x:c>
      <x:c r="B1558" s="27" t="str">
        <x:v>28049</x:v>
      </x:c>
      <x:c r="C1558" s="27" t="str">
        <x:v>MS</x:v>
      </x:c>
      <x:c r="D1558" s="27" t="str">
        <x:v>Hinds County</x:v>
      </x:c>
      <x:c r="E1558" s="40" t="n">
        <x:v>211888</x:v>
      </x:c>
      <x:c r="F1558" s="55" t="n">
        <x:v>32.267788</x:v>
      </x:c>
      <x:c r="G1558" s="55" t="n">
        <x:v>-90.466016</x:v>
      </x:c>
      <x:c r="H1558" s="43" t="n">
        <x:f>E1558/SUMIF(A:A,A1558,E:E)</x:f>
        <x:v>0.02495508654452468</x:v>
      </x:c>
    </x:row>
    <x:row r="1559" ht="21.600000381469727" hidden="0" customHeight="1">
      <x:c r="A1559" s="29" t="str">
        <x:v>SCA-20</x:v>
      </x:c>
      <x:c r="B1559" s="29" t="str">
        <x:v>28033</x:v>
      </x:c>
      <x:c r="C1559" s="29" t="str">
        <x:v>MS</x:v>
      </x:c>
      <x:c r="D1559" s="29" t="str">
        <x:v>DeSoto County</x:v>
      </x:c>
      <x:c r="E1559" s="41" t="n">
        <x:v>197918</x:v>
      </x:c>
      <x:c r="F1559" s="56" t="n">
        <x:v>34.874922</x:v>
      </x:c>
      <x:c r="G1559" s="56" t="n">
        <x:v>-89.991211</x:v>
      </x:c>
      <x:c r="H1559" s="44" t="n">
        <x:f>E1559/SUMIF(A:A,A1559,E:E)</x:f>
        <x:v>0.023309771288224135</x:v>
      </x:c>
    </x:row>
    <x:row r="1560" ht="21.600000381469727" hidden="0" customHeight="1">
      <x:c r="A1560" s="27" t="str">
        <x:v>SCA-20</x:v>
      </x:c>
      <x:c r="B1560" s="27" t="str">
        <x:v>28121</x:v>
      </x:c>
      <x:c r="C1560" s="27" t="str">
        <x:v>MS</x:v>
      </x:c>
      <x:c r="D1560" s="27" t="str">
        <x:v>Rankin County</x:v>
      </x:c>
      <x:c r="E1560" s="40" t="n">
        <x:v>162181</x:v>
      </x:c>
      <x:c r="F1560" s="55" t="n">
        <x:v>32.267123</x:v>
      </x:c>
      <x:c r="G1560" s="55" t="n">
        <x:v>-89.946063</x:v>
      </x:c>
      <x:c r="H1560" s="43" t="n">
        <x:f>E1560/SUMIF(A:A,A1560,E:E)</x:f>
        <x:v>0.01910084993429339</x:v>
      </x:c>
    </x:row>
    <x:row r="1561" ht="21.600000381469727" hidden="0" customHeight="1">
      <x:c r="A1561" s="29" t="str">
        <x:v>SCA-20</x:v>
      </x:c>
      <x:c r="B1561" s="29" t="str">
        <x:v>22073</x:v>
      </x:c>
      <x:c r="C1561" s="29" t="str">
        <x:v>LA</x:v>
      </x:c>
      <x:c r="D1561" s="29" t="str">
        <x:v>Ouachita Parish</x:v>
      </x:c>
      <x:c r="E1561" s="41" t="n">
        <x:v>158542</x:v>
      </x:c>
      <x:c r="F1561" s="56" t="n">
        <x:v>32.480932</x:v>
      </x:c>
      <x:c r="G1561" s="56" t="n">
        <x:v>-92.151581</x:v>
      </x:c>
      <x:c r="H1561" s="44" t="n">
        <x:f>E1561/SUMIF(A:A,A1561,E:E)</x:f>
        <x:v>0.018672267098382316</x:v>
      </x:c>
    </x:row>
    <x:row r="1562" ht="21.600000381469727" hidden="0" customHeight="1">
      <x:c r="A1562" s="27" t="str">
        <x:v>SCA-20</x:v>
      </x:c>
      <x:c r="B1562" s="27" t="str">
        <x:v>28059</x:v>
      </x:c>
      <x:c r="C1562" s="27" t="str">
        <x:v>MS</x:v>
      </x:c>
      <x:c r="D1562" s="27" t="str">
        <x:v>Jackson County</x:v>
      </x:c>
      <x:c r="E1562" s="40" t="n">
        <x:v>147666</x:v>
      </x:c>
      <x:c r="F1562" s="55" t="n">
        <x:v>30.456005</x:v>
      </x:c>
      <x:c r="G1562" s="55" t="n">
        <x:v>-88.625101</x:v>
      </x:c>
      <x:c r="H1562" s="43" t="n">
        <x:f>E1562/SUMIF(A:A,A1562,E:E)</x:f>
        <x:v>0.017391347361265297</x:v>
      </x:c>
    </x:row>
    <x:row r="1563" ht="21.600000381469727" hidden="0" customHeight="1">
      <x:c r="A1563" s="29" t="str">
        <x:v>SCA-20</x:v>
      </x:c>
      <x:c r="B1563" s="29" t="str">
        <x:v>05045</x:v>
      </x:c>
      <x:c r="C1563" s="29" t="str">
        <x:v>AR</x:v>
      </x:c>
      <x:c r="D1563" s="29" t="str">
        <x:v>Faulkner County</x:v>
      </x:c>
      <x:c r="E1563" s="41" t="n">
        <x:v>133979</x:v>
      </x:c>
      <x:c r="F1563" s="56" t="n">
        <x:v>35.146548</x:v>
      </x:c>
      <x:c r="G1563" s="56" t="n">
        <x:v>-92.336928</x:v>
      </x:c>
      <x:c r="H1563" s="44" t="n">
        <x:f>E1563/SUMIF(A:A,A1563,E:E)</x:f>
        <x:v>0.015779362399705846</x:v>
      </x:c>
    </x:row>
    <x:row r="1564" ht="21.600000381469727" hidden="0" customHeight="1">
      <x:c r="A1564" s="27" t="str">
        <x:v>SCA-20</x:v>
      </x:c>
      <x:c r="B1564" s="27" t="str">
        <x:v>05125</x:v>
      </x:c>
      <x:c r="C1564" s="27" t="str">
        <x:v>AR</x:v>
      </x:c>
      <x:c r="D1564" s="27" t="str">
        <x:v>Saline County</x:v>
      </x:c>
      <x:c r="E1564" s="40" t="n">
        <x:v>133288</x:v>
      </x:c>
      <x:c r="F1564" s="55" t="n">
        <x:v>34.648525</x:v>
      </x:c>
      <x:c r="G1564" s="55" t="n">
        <x:v>-92.674463</x:v>
      </x:c>
      <x:c r="H1564" s="43" t="n">
        <x:f>E1564/SUMIF(A:A,A1564,E:E)</x:f>
        <x:v>0.015697979948588903</x:v>
      </x:c>
    </x:row>
    <x:row r="1565" ht="21.600000381469727" hidden="0" customHeight="1">
      <x:c r="A1565" s="29" t="str">
        <x:v>SCA-20</x:v>
      </x:c>
      <x:c r="B1565" s="29" t="str">
        <x:v>01083</x:v>
      </x:c>
      <x:c r="C1565" s="29" t="str">
        <x:v>AL</x:v>
      </x:c>
      <x:c r="D1565" s="29" t="str">
        <x:v>Limestone County</x:v>
      </x:c>
      <x:c r="E1565" s="41" t="n">
        <x:v>122928</x:v>
      </x:c>
      <x:c r="F1565" s="56" t="n">
        <x:v>34.810239</x:v>
      </x:c>
      <x:c r="G1565" s="56" t="n">
        <x:v>-86.981399</x:v>
      </x:c>
      <x:c r="H1565" s="44" t="n">
        <x:f>E1565/SUMIF(A:A,A1565,E:E)</x:f>
        <x:v>0.014477832056300167</x:v>
      </x:c>
    </x:row>
    <x:row r="1566" ht="21.600000381469727" hidden="0" customHeight="1">
      <x:c r="A1566" s="27" t="str">
        <x:v>SCA-20</x:v>
      </x:c>
      <x:c r="B1566" s="27" t="str">
        <x:v>47119</x:v>
      </x:c>
      <x:c r="C1566" s="27" t="str">
        <x:v>TN</x:v>
      </x:c>
      <x:c r="D1566" s="27" t="str">
        <x:v>Maury County</x:v>
      </x:c>
      <x:c r="E1566" s="40" t="n">
        <x:v>118131</x:v>
      </x:c>
      <x:c r="F1566" s="55" t="n">
        <x:v>35.615696</x:v>
      </x:c>
      <x:c r="G1566" s="55" t="n">
        <x:v>-87.077763</x:v>
      </x:c>
      <x:c r="H1566" s="43" t="n">
        <x:f>E1566/SUMIF(A:A,A1566,E:E)</x:f>
        <x:v>0.013912865894204698</x:v>
      </x:c>
    </x:row>
    <x:row r="1567" ht="21.600000381469727" hidden="0" customHeight="1">
      <x:c r="A1567" s="29" t="str">
        <x:v>SCA-20</x:v>
      </x:c>
      <x:c r="B1567" s="29" t="str">
        <x:v>05031</x:v>
      </x:c>
      <x:c r="C1567" s="29" t="str">
        <x:v>AR</x:v>
      </x:c>
      <x:c r="D1567" s="29" t="str">
        <x:v>Craighead County</x:v>
      </x:c>
      <x:c r="E1567" s="41" t="n">
        <x:v>116957</x:v>
      </x:c>
      <x:c r="F1567" s="56" t="n">
        <x:v>35.827729</x:v>
      </x:c>
      <x:c r="G1567" s="56" t="n">
        <x:v>-90.631421</x:v>
      </x:c>
      <x:c r="H1567" s="44" t="n">
        <x:f>E1567/SUMIF(A:A,A1567,E:E)</x:f>
        <x:v>0.013774598169731051</x:v>
      </x:c>
    </x:row>
    <x:row r="1568" ht="21.600000381469727" hidden="0" customHeight="1">
      <x:c r="A1568" s="27" t="str">
        <x:v>SCA-20</x:v>
      </x:c>
      <x:c r="B1568" s="27" t="str">
        <x:v>28089</x:v>
      </x:c>
      <x:c r="C1568" s="27" t="str">
        <x:v>MS</x:v>
      </x:c>
      <x:c r="D1568" s="27" t="str">
        <x:v>Madison County</x:v>
      </x:c>
      <x:c r="E1568" s="40" t="n">
        <x:v>116298</x:v>
      </x:c>
      <x:c r="F1568" s="55" t="n">
        <x:v>32.63437</x:v>
      </x:c>
      <x:c r="G1568" s="55" t="n">
        <x:v>-90.03416</x:v>
      </x:c>
      <x:c r="H1568" s="43" t="n">
        <x:f>E1568/SUMIF(A:A,A1568,E:E)</x:f>
        <x:v>0.013696984515192608</x:v>
      </x:c>
    </x:row>
    <x:row r="1569" ht="21.600000381469727" hidden="0" customHeight="1">
      <x:c r="A1569" s="29" t="str">
        <x:v>SCA-20</x:v>
      </x:c>
      <x:c r="B1569" s="29" t="str">
        <x:v>47113</x:v>
      </x:c>
      <x:c r="C1569" s="29" t="str">
        <x:v>TN</x:v>
      </x:c>
      <x:c r="D1569" s="29" t="str">
        <x:v>Madison County</x:v>
      </x:c>
      <x:c r="E1569" s="41" t="n">
        <x:v>100790</x:v>
      </x:c>
      <x:c r="F1569" s="56" t="n">
        <x:v>35.606056</x:v>
      </x:c>
      <x:c r="G1569" s="56" t="n">
        <x:v>-88.833424</x:v>
      </x:c>
      <x:c r="H1569" s="44" t="n">
        <x:f>E1569/SUMIF(A:A,A1569,E:E)</x:f>
        <x:v>0.011870531473338003</x:v>
      </x:c>
    </x:row>
    <x:row r="1570" ht="21.600000381469727" hidden="0" customHeight="1">
      <x:c r="A1570" s="27" t="str">
        <x:v>SCA-20</x:v>
      </x:c>
      <x:c r="B1570" s="27" t="str">
        <x:v>05051</x:v>
      </x:c>
      <x:c r="C1570" s="27" t="str">
        <x:v>AR</x:v>
      </x:c>
      <x:c r="D1570" s="27" t="str">
        <x:v>Garland County</x:v>
      </x:c>
      <x:c r="E1570" s="40" t="n">
        <x:v>99695</x:v>
      </x:c>
      <x:c r="F1570" s="55" t="n">
        <x:v>34.578852</x:v>
      </x:c>
      <x:c r="G1570" s="55" t="n">
        <x:v>-93.146932</x:v>
      </x:c>
      <x:c r="H1570" s="43" t="n">
        <x:f>E1570/SUMIF(A:A,A1570,E:E)</x:f>
        <x:v>0.011741567965417523</x:v>
      </x:c>
    </x:row>
    <x:row r="1571" ht="21.600000381469727" hidden="0" customHeight="1">
      <x:c r="A1571" s="29" t="str">
        <x:v>SCA-20</x:v>
      </x:c>
      <x:c r="B1571" s="29" t="str">
        <x:v>01077</x:v>
      </x:c>
      <x:c r="C1571" s="29" t="str">
        <x:v>AL</x:v>
      </x:c>
      <x:c r="D1571" s="29" t="str">
        <x:v>Lauderdale County</x:v>
      </x:c>
      <x:c r="E1571" s="41" t="n">
        <x:v>97135</x:v>
      </x:c>
      <x:c r="F1571" s="56" t="n">
        <x:v>34.904168</x:v>
      </x:c>
      <x:c r="G1571" s="56" t="n">
        <x:v>-87.651108</x:v>
      </x:c>
      <x:c r="H1571" s="44" t="n">
        <x:f>E1571/SUMIF(A:A,A1571,E:E)</x:f>
        <x:v>0.01144006423913768</x:v>
      </x:c>
    </x:row>
    <x:row r="1572" ht="15" hidden="0" customHeight="1">
      <x:c r="A1572" s="27" t="str">
        <x:v>SCA-20</x:v>
      </x:c>
      <x:c r="B1572" s="27" t="str">
        <x:v>28081</x:v>
      </x:c>
      <x:c r="C1572" s="27" t="str">
        <x:v>MS</x:v>
      </x:c>
      <x:c r="D1572" s="27" t="str">
        <x:v>Lee County</x:v>
      </x:c>
      <x:c r="E1572" s="40" t="n">
        <x:v>83731</x:v>
      </x:c>
      <x:c r="F1572" s="55" t="n">
        <x:v>34.29237</x:v>
      </x:c>
      <x:c r="G1572" s="55" t="n">
        <x:v>-88.682439</x:v>
      </x:c>
      <x:c r="H1572" s="43" t="n">
        <x:f>E1572/SUMIF(A:A,A1572,E:E)</x:f>
        <x:v>0.00986140957231932</x:v>
      </x:c>
    </x:row>
    <x:row r="1573" ht="21.600000381469727" hidden="0" customHeight="1">
      <x:c r="A1573" s="29" t="str">
        <x:v>SCA-20</x:v>
      </x:c>
      <x:c r="B1573" s="29" t="str">
        <x:v>05145</x:v>
      </x:c>
      <x:c r="C1573" s="29" t="str">
        <x:v>AR</x:v>
      </x:c>
      <x:c r="D1573" s="29" t="str">
        <x:v>White County</x:v>
      </x:c>
      <x:c r="E1573" s="41" t="n">
        <x:v>80085</x:v>
      </x:c>
      <x:c r="F1573" s="56" t="n">
        <x:v>35.255118</x:v>
      </x:c>
      <x:c r="G1573" s="56" t="n">
        <x:v>-91.753034</x:v>
      </x:c>
      <x:c r="H1573" s="44" t="n">
        <x:f>E1573/SUMIF(A:A,A1573,E:E)</x:f>
        <x:v>0.009432002312156702</x:v>
      </x:c>
    </x:row>
    <x:row r="1574" ht="21.600000381469727" hidden="0" customHeight="1">
      <x:c r="A1574" s="27" t="str">
        <x:v>SCA-20</x:v>
      </x:c>
      <x:c r="B1574" s="27" t="str">
        <x:v>28035</x:v>
      </x:c>
      <x:c r="C1574" s="27" t="str">
        <x:v>MS</x:v>
      </x:c>
      <x:c r="D1574" s="27" t="str">
        <x:v>Forrest County</x:v>
      </x:c>
      <x:c r="E1574" s="40" t="n">
        <x:v>79034</x:v>
      </x:c>
      <x:c r="F1574" s="55" t="n">
        <x:v>31.18858</x:v>
      </x:c>
      <x:c r="G1574" s="55" t="n">
        <x:v>-89.259447</x:v>
      </x:c>
      <x:c r="H1574" s="43" t="n">
        <x:f>E1574/SUMIF(A:A,A1574,E:E)</x:f>
        <x:v>0.009308220899531656</x:v>
      </x:c>
    </x:row>
    <x:row r="1575" ht="21.600000381469727" hidden="0" customHeight="1">
      <x:c r="A1575" s="29" t="str">
        <x:v>SCA-20</x:v>
      </x:c>
      <x:c r="B1575" s="29" t="str">
        <x:v>05085</x:v>
      </x:c>
      <x:c r="C1575" s="29" t="str">
        <x:v>AR</x:v>
      </x:c>
      <x:c r="D1575" s="29" t="str">
        <x:v>Lonoke County</x:v>
      </x:c>
      <x:c r="E1575" s="41" t="n">
        <x:v>76664</x:v>
      </x:c>
      <x:c r="F1575" s="56" t="n">
        <x:v>34.755114</x:v>
      </x:c>
      <x:c r="G1575" s="56" t="n">
        <x:v>-91.894132</x:v>
      </x:c>
      <x:c r="H1575" s="44" t="n">
        <x:f>E1575/SUMIF(A:A,A1575,E:E)</x:f>
        <x:v>0.009029094402936646</x:v>
      </x:c>
    </x:row>
    <x:row r="1576" ht="21.600000381469727" hidden="0" customHeight="1">
      <x:c r="A1576" s="27" t="str">
        <x:v>SCA-20</x:v>
      </x:c>
      <x:c r="B1576" s="27" t="str">
        <x:v>28075</x:v>
      </x:c>
      <x:c r="C1576" s="27" t="str">
        <x:v>MS</x:v>
      </x:c>
      <x:c r="D1576" s="27" t="str">
        <x:v>Lauderdale County</x:v>
      </x:c>
      <x:c r="E1576" s="40" t="n">
        <x:v>70317</x:v>
      </x:c>
      <x:c r="F1576" s="55" t="n">
        <x:v>32.404017</x:v>
      </x:c>
      <x:c r="G1576" s="55" t="n">
        <x:v>-88.660451</x:v>
      </x:c>
      <x:c r="H1576" s="43" t="n">
        <x:f>E1576/SUMIF(A:A,A1576,E:E)</x:f>
        <x:v>0.008281577156570179</x:v>
      </x:c>
    </x:row>
    <x:row r="1577" ht="21.600000381469727" hidden="0" customHeight="1">
      <x:c r="A1577" s="29" t="str">
        <x:v>SCA-20</x:v>
      </x:c>
      <x:c r="B1577" s="29" t="str">
        <x:v>21145</x:v>
      </x:c>
      <x:c r="C1577" s="29" t="str">
        <x:v>KY</x:v>
      </x:c>
      <x:c r="D1577" s="29" t="str">
        <x:v>McCracken County</x:v>
      </x:c>
      <x:c r="E1577" s="41" t="n">
        <x:v>67553</x:v>
      </x:c>
      <x:c r="F1577" s="56" t="n">
        <x:v>37.054111</x:v>
      </x:c>
      <x:c r="G1577" s="56" t="n">
        <x:v>-88.712454</x:v>
      </x:c>
      <x:c r="H1577" s="44" t="n">
        <x:f>E1577/SUMIF(A:A,A1577,E:E)</x:f>
        <x:v>0.00795604735210241</x:v>
      </x:c>
    </x:row>
    <x:row r="1578" ht="21.600000381469727" hidden="0" customHeight="1">
      <x:c r="A1578" s="27" t="str">
        <x:v>SCA-20</x:v>
      </x:c>
      <x:c r="B1578" s="27" t="str">
        <x:v>28073</x:v>
      </x:c>
      <x:c r="C1578" s="27" t="str">
        <x:v>MS</x:v>
      </x:c>
      <x:c r="D1578" s="27" t="str">
        <x:v>Lamar County</x:v>
      </x:c>
      <x:c r="E1578" s="40" t="n">
        <x:v>67403</x:v>
      </x:c>
      <x:c r="F1578" s="55" t="n">
        <x:v>31.197586</x:v>
      </x:c>
      <x:c r="G1578" s="55" t="n">
        <x:v>-89.506369</x:v>
      </x:c>
      <x:c r="H1578" s="43" t="n">
        <x:f>E1578/SUMIF(A:A,A1578,E:E)</x:f>
        <x:v>0.007938381118140702</x:v>
      </x:c>
    </x:row>
    <x:row r="1579" ht="21.600000381469727" hidden="0" customHeight="1">
      <x:c r="A1579" s="29" t="str">
        <x:v>SCA-20</x:v>
      </x:c>
      <x:c r="B1579" s="29" t="str">
        <x:v>28067</x:v>
      </x:c>
      <x:c r="C1579" s="29" t="str">
        <x:v>MS</x:v>
      </x:c>
      <x:c r="D1579" s="29" t="str">
        <x:v>Jones County</x:v>
      </x:c>
      <x:c r="E1579" s="41" t="n">
        <x:v>66496</x:v>
      </x:c>
      <x:c r="F1579" s="56" t="n">
        <x:v>31.616601</x:v>
      </x:c>
      <x:c r="G1579" s="56" t="n">
        <x:v>-89.168532</x:v>
      </x:c>
      <x:c r="H1579" s="44" t="n">
        <x:f>E1579/SUMIF(A:A,A1579,E:E)</x:f>
        <x:v>0.007831559290118898</x:v>
      </x:c>
    </x:row>
    <x:row r="1580" ht="15" hidden="0" customHeight="1">
      <x:c r="A1580" s="27" t="str">
        <x:v>SCA-20</x:v>
      </x:c>
      <x:c r="B1580" s="27" t="str">
        <x:v>05115</x:v>
      </x:c>
      <x:c r="C1580" s="27" t="str">
        <x:v>AR</x:v>
      </x:c>
      <x:c r="D1580" s="27" t="str">
        <x:v>Pope County</x:v>
      </x:c>
      <x:c r="E1580" s="40" t="n">
        <x:v>64976</x:v>
      </x:c>
      <x:c r="F1580" s="55" t="n">
        <x:v>35.456557</x:v>
      </x:c>
      <x:c r="G1580" s="55" t="n">
        <x:v>-93.026818</x:v>
      </x:c>
      <x:c r="H1580" s="43" t="n">
        <x:f>E1580/SUMIF(A:A,A1580,E:E)</x:f>
        <x:v>0.007652541452640242</x:v>
      </x:c>
    </x:row>
    <x:row r="1581" ht="21.600000381469727" hidden="0" customHeight="1">
      <x:c r="A1581" s="29" t="str">
        <x:v>SCA-20</x:v>
      </x:c>
      <x:c r="B1581" s="29" t="str">
        <x:v>05069</x:v>
      </x:c>
      <x:c r="C1581" s="29" t="str">
        <x:v>AR</x:v>
      </x:c>
      <x:c r="D1581" s="29" t="str">
        <x:v>Jefferson County</x:v>
      </x:c>
      <x:c r="E1581" s="41" t="n">
        <x:v>62987</x:v>
      </x:c>
      <x:c r="F1581" s="56" t="n">
        <x:v>34.277239</x:v>
      </x:c>
      <x:c r="G1581" s="56" t="n">
        <x:v>-91.929673</x:v>
      </x:c>
      <x:c r="H1581" s="44" t="n">
        <x:f>E1581/SUMIF(A:A,A1581,E:E)</x:f>
        <x:v>0.007418287190307974</x:v>
      </x:c>
    </x:row>
    <x:row r="1582" ht="21.600000381469727" hidden="0" customHeight="1">
      <x:c r="A1582" s="27" t="str">
        <x:v>SCA-20</x:v>
      </x:c>
      <x:c r="B1582" s="27" t="str">
        <x:v>47167</x:v>
      </x:c>
      <x:c r="C1582" s="27" t="str">
        <x:v>TN</x:v>
      </x:c>
      <x:c r="D1582" s="27" t="str">
        <x:v>Tipton County</x:v>
      </x:c>
      <x:c r="E1582" s="40" t="n">
        <x:v>62287</x:v>
      </x:c>
      <x:c r="F1582" s="55" t="n">
        <x:v>35.498763</x:v>
      </x:c>
      <x:c r="G1582" s="55" t="n">
        <x:v>-89.747145</x:v>
      </x:c>
      <x:c r="H1582" s="43" t="n">
        <x:f>E1582/SUMIF(A:A,A1582,E:E)</x:f>
        <x:v>0.00733584476515333</x:v>
      </x:c>
    </x:row>
    <x:row r="1583" ht="21.600000381469727" hidden="0" customHeight="1">
      <x:c r="A1583" s="29" t="str">
        <x:v>SCA-20</x:v>
      </x:c>
      <x:c r="B1583" s="29" t="str">
        <x:v>28071</x:v>
      </x:c>
      <x:c r="C1583" s="29" t="str">
        <x:v>MS</x:v>
      </x:c>
      <x:c r="D1583" s="29" t="str">
        <x:v>Lafayette County</x:v>
      </x:c>
      <x:c r="E1583" s="41" t="n">
        <x:v>59597</x:v>
      </x:c>
      <x:c r="F1583" s="56" t="n">
        <x:v>34.353078</x:v>
      </x:c>
      <x:c r="G1583" s="56" t="n">
        <x:v>-89.485385</x:v>
      </x:c>
      <x:c r="H1583" s="44" t="n">
        <x:f>E1583/SUMIF(A:A,A1583,E:E)</x:f>
        <x:v>0.007019030302773339</x:v>
      </x:c>
    </x:row>
    <x:row r="1584" ht="21.600000381469727" hidden="0" customHeight="1">
      <x:c r="A1584" s="27" t="str">
        <x:v>SCA-20</x:v>
      </x:c>
      <x:c r="B1584" s="27" t="str">
        <x:v>01033</x:v>
      </x:c>
      <x:c r="C1584" s="27" t="str">
        <x:v>AL</x:v>
      </x:c>
      <x:c r="D1584" s="27" t="str">
        <x:v>Colbert County</x:v>
      </x:c>
      <x:c r="E1584" s="40" t="n">
        <x:v>59474</x:v>
      </x:c>
      <x:c r="F1584" s="55" t="n">
        <x:v>34.703112</x:v>
      </x:c>
      <x:c r="G1584" s="55" t="n">
        <x:v>-87.801457</x:v>
      </x:c>
      <x:c r="H1584" s="43" t="n">
        <x:f>E1584/SUMIF(A:A,A1584,E:E)</x:f>
        <x:v>0.0070045439909247375</x:v>
      </x:c>
    </x:row>
    <x:row r="1585" ht="21.600000381469727" hidden="0" customHeight="1">
      <x:c r="A1585" s="29" t="str">
        <x:v>SCA-20</x:v>
      </x:c>
      <x:c r="B1585" s="29" t="str">
        <x:v>28109</x:v>
      </x:c>
      <x:c r="C1585" s="29" t="str">
        <x:v>MS</x:v>
      </x:c>
      <x:c r="D1585" s="29" t="str">
        <x:v>Pearl River County</x:v>
      </x:c>
      <x:c r="E1585" s="41" t="n">
        <x:v>59363</x:v>
      </x:c>
      <x:c r="F1585" s="56" t="n">
        <x:v>30.774793</x:v>
      </x:c>
      <x:c r="G1585" s="56" t="n">
        <x:v>-89.586904</x:v>
      </x:c>
      <x:c r="H1585" s="44" t="n">
        <x:f>E1585/SUMIF(A:A,A1585,E:E)</x:f>
        <x:v>0.006991470977793073</x:v>
      </x:c>
    </x:row>
    <x:row r="1586" ht="21.600000381469727" hidden="0" customHeight="1">
      <x:c r="A1586" s="27" t="str">
        <x:v>SCA-20</x:v>
      </x:c>
      <x:c r="B1586" s="27" t="str">
        <x:v>47043</x:v>
      </x:c>
      <x:c r="C1586" s="27" t="str">
        <x:v>TN</x:v>
      </x:c>
      <x:c r="D1586" s="27" t="str">
        <x:v>Dickson County</x:v>
      </x:c>
      <x:c r="E1586" s="40" t="n">
        <x:v>58662</x:v>
      </x:c>
      <x:c r="F1586" s="55" t="n">
        <x:v>36.145533</x:v>
      </x:c>
      <x:c r="G1586" s="55" t="n">
        <x:v>-87.364155</x:v>
      </x:c>
      <x:c r="H1586" s="43" t="n">
        <x:f>E1586/SUMIF(A:A,A1586,E:E)</x:f>
        <x:v>0.006908910777745351</x:v>
      </x:c>
    </x:row>
    <x:row r="1587" ht="21.600000381469727" hidden="0" customHeight="1">
      <x:c r="A1587" s="29" t="str">
        <x:v>SCA-20</x:v>
      </x:c>
      <x:c r="B1587" s="29" t="str">
        <x:v>28087</x:v>
      </x:c>
      <x:c r="C1587" s="29" t="str">
        <x:v>MS</x:v>
      </x:c>
      <x:c r="D1587" s="29" t="str">
        <x:v>Lowndes County</x:v>
      </x:c>
      <x:c r="E1587" s="41" t="n">
        <x:v>57346</x:v>
      </x:c>
      <x:c r="F1587" s="56" t="n">
        <x:v>33.471424</x:v>
      </x:c>
      <x:c r="G1587" s="56" t="n">
        <x:v>-88.439723</x:v>
      </x:c>
      <x:c r="H1587" s="44" t="n">
        <x:f>E1587/SUMIF(A:A,A1587,E:E)</x:f>
        <x:v>0.0067539190184546195</x:v>
      </x:c>
    </x:row>
    <x:row r="1588" ht="21.600000381469727" hidden="0" customHeight="1">
      <x:c r="A1588" s="27" t="str">
        <x:v>SCA-20</x:v>
      </x:c>
      <x:c r="B1588" s="27" t="str">
        <x:v>28105</x:v>
      </x:c>
      <x:c r="C1588" s="27" t="str">
        <x:v>MS</x:v>
      </x:c>
      <x:c r="D1588" s="27" t="str">
        <x:v>Oktibbeha County</x:v>
      </x:c>
      <x:c r="E1588" s="40" t="n">
        <x:v>51896</x:v>
      </x:c>
      <x:c r="F1588" s="55" t="n">
        <x:v>33.422354</x:v>
      </x:c>
      <x:c r="G1588" s="55" t="n">
        <x:v>-88.876159</x:v>
      </x:c>
      <x:c r="H1588" s="43" t="n">
        <x:f>E1588/SUMIF(A:A,A1588,E:E)</x:f>
        <x:v>0.006112045851179174</x:v>
      </x:c>
    </x:row>
    <x:row r="1589" ht="21.600000381469727" hidden="0" customHeight="1">
      <x:c r="A1589" s="29" t="str">
        <x:v>SCA-20</x:v>
      </x:c>
      <x:c r="B1589" s="29" t="str">
        <x:v>47053</x:v>
      </x:c>
      <x:c r="C1589" s="29" t="str">
        <x:v>TN</x:v>
      </x:c>
      <x:c r="D1589" s="29" t="str">
        <x:v>Gibson County</x:v>
      </x:c>
      <x:c r="E1589" s="41" t="n">
        <x:v>51779</x:v>
      </x:c>
      <x:c r="F1589" s="56" t="n">
        <x:v>35.991632</x:v>
      </x:c>
      <x:c r="G1589" s="56" t="n">
        <x:v>-88.933812</x:v>
      </x:c>
      <x:c r="H1589" s="44" t="n">
        <x:f>E1589/SUMIF(A:A,A1589,E:E)</x:f>
        <x:v>0.006098266188689041</x:v>
      </x:c>
    </x:row>
    <x:row r="1590" ht="21.600000381469727" hidden="0" customHeight="1">
      <x:c r="A1590" s="27" t="str">
        <x:v>SCA-20</x:v>
      </x:c>
      <x:c r="B1590" s="27" t="str">
        <x:v>05055</x:v>
      </x:c>
      <x:c r="C1590" s="27" t="str">
        <x:v>AR</x:v>
      </x:c>
      <x:c r="D1590" s="27" t="str">
        <x:v>Greene County</x:v>
      </x:c>
      <x:c r="E1590" s="40" t="n">
        <x:v>47411</x:v>
      </x:c>
      <x:c r="F1590" s="55" t="n">
        <x:v>36.120607</x:v>
      </x:c>
      <x:c r="G1590" s="55" t="n">
        <x:v>-90.566346</x:v>
      </x:c>
      <x:c r="H1590" s="43" t="n">
        <x:f>E1590/SUMIF(A:A,A1590,E:E)</x:f>
        <x:v>0.00558382545572406</x:v>
      </x:c>
    </x:row>
    <x:row r="1591" ht="21.600000381469727" hidden="0" customHeight="1">
      <x:c r="A1591" s="29" t="str">
        <x:v>SCA-20</x:v>
      </x:c>
      <x:c r="B1591" s="29" t="str">
        <x:v>47099</x:v>
      </x:c>
      <x:c r="C1591" s="29" t="str">
        <x:v>TN</x:v>
      </x:c>
      <x:c r="D1591" s="29" t="str">
        <x:v>Lawrence County</x:v>
      </x:c>
      <x:c r="E1591" s="41" t="n">
        <x:v>46914</x:v>
      </x:c>
      <x:c r="F1591" s="56" t="n">
        <x:v>35.220476</x:v>
      </x:c>
      <x:c r="G1591" s="56" t="n">
        <x:v>-87.396546</x:v>
      </x:c>
      <x:c r="H1591" s="44" t="n">
        <x:f>E1591/SUMIF(A:A,A1591,E:E)</x:f>
        <x:v>0.0055252913338642625</x:v>
      </x:c>
    </x:row>
    <x:row r="1592" ht="21.600000381469727" hidden="0" customHeight="1">
      <x:c r="A1592" s="27" t="str">
        <x:v>SCA-20</x:v>
      </x:c>
      <x:c r="B1592" s="27" t="str">
        <x:v>28045</x:v>
      </x:c>
      <x:c r="C1592" s="27" t="str">
        <x:v>MS</x:v>
      </x:c>
      <x:c r="D1592" s="27" t="str">
        <x:v>Hancock County</x:v>
      </x:c>
      <x:c r="E1592" s="40" t="n">
        <x:v>46873</x:v>
      </x:c>
      <x:c r="F1592" s="55" t="n">
        <x:v>30.391641</x:v>
      </x:c>
      <x:c r="G1592" s="55" t="n">
        <x:v>-89.482791</x:v>
      </x:c>
      <x:c r="H1592" s="43" t="n">
        <x:f>E1592/SUMIF(A:A,A1592,E:E)</x:f>
        <x:v>0.005520462563248062</x:v>
      </x:c>
    </x:row>
    <x:row r="1593" ht="21.600000381469727" hidden="0" customHeight="1">
      <x:c r="A1593" s="29" t="str">
        <x:v>SCA-20</x:v>
      </x:c>
      <x:c r="B1593" s="29" t="str">
        <x:v>05035</x:v>
      </x:c>
      <x:c r="C1593" s="29" t="str">
        <x:v>AR</x:v>
      </x:c>
      <x:c r="D1593" s="29" t="str">
        <x:v>Crittenden County</x:v>
      </x:c>
      <x:c r="E1593" s="41" t="n">
        <x:v>46210</x:v>
      </x:c>
      <x:c r="F1593" s="56" t="n">
        <x:v>35.197559</x:v>
      </x:c>
      <x:c r="G1593" s="56" t="n">
        <x:v>-90.30512</x:v>
      </x:c>
      <x:c r="H1593" s="44" t="n">
        <x:f>E1593/SUMIF(A:A,A1593,E:E)</x:f>
        <x:v>0.005442377809137306</x:v>
      </x:c>
    </x:row>
    <x:row r="1594" ht="21.600000381469727" hidden="0" customHeight="1">
      <x:c r="A1594" s="27" t="str">
        <x:v>SCA-20</x:v>
      </x:c>
      <x:c r="B1594" s="27" t="str">
        <x:v>22087</x:v>
      </x:c>
      <x:c r="C1594" s="27" t="str">
        <x:v>LA</x:v>
      </x:c>
      <x:c r="D1594" s="27" t="str">
        <x:v>St. Bernard Parish</x:v>
      </x:c>
      <x:c r="E1594" s="40" t="n">
        <x:v>45642</x:v>
      </x:c>
      <x:c r="F1594" s="55" t="n">
        <x:v>29.91811</x:v>
      </x:c>
      <x:c r="G1594" s="55" t="n">
        <x:v>-89.263494</x:v>
      </x:c>
      <x:c r="H1594" s="43" t="n">
        <x:f>E1594/SUMIF(A:A,A1594,E:E)</x:f>
        <x:v>0.005375481669868966</x:v>
      </x:c>
    </x:row>
    <x:row r="1595" ht="21.600000381469727" hidden="0" customHeight="1">
      <x:c r="A1595" s="29" t="str">
        <x:v>SCA-20</x:v>
      </x:c>
      <x:c r="B1595" s="29" t="str">
        <x:v>47047</x:v>
      </x:c>
      <x:c r="C1595" s="29" t="str">
        <x:v>TN</x:v>
      </x:c>
      <x:c r="D1595" s="29" t="str">
        <x:v>Fayette County</x:v>
      </x:c>
      <x:c r="E1595" s="41" t="n">
        <x:v>45071</x:v>
      </x:c>
      <x:c r="F1595" s="56" t="n">
        <x:v>35.196993</x:v>
      </x:c>
      <x:c r="G1595" s="56" t="n">
        <x:v>-89.413803</x:v>
      </x:c>
      <x:c r="H1595" s="44" t="n">
        <x:f>E1595/SUMIF(A:A,A1595,E:E)</x:f>
        <x:v>0.0053082322059213915</x:v>
      </x:c>
    </x:row>
    <x:row r="1596" ht="21.600000381469727" hidden="0" customHeight="1">
      <x:c r="A1596" s="27" t="str">
        <x:v>SCA-20</x:v>
      </x:c>
      <x:c r="B1596" s="27" t="str">
        <x:v>22117</x:v>
      </x:c>
      <x:c r="C1596" s="27" t="str">
        <x:v>LA</x:v>
      </x:c>
      <x:c r="D1596" s="27" t="str">
        <x:v>Washington Parish</x:v>
      </x:c>
      <x:c r="E1596" s="40" t="n">
        <x:v>44937</x:v>
      </x:c>
      <x:c r="F1596" s="55" t="n">
        <x:v>30.852144</x:v>
      </x:c>
      <x:c r="G1596" s="55" t="n">
        <x:v>-90.046253</x:v>
      </x:c>
      <x:c r="H1596" s="43" t="n">
        <x:f>E1596/SUMIF(A:A,A1596,E:E)</x:f>
        <x:v>0.005292450370248931</x:v>
      </x:c>
    </x:row>
    <x:row r="1597" ht="21.600000381469727" hidden="0" customHeight="1">
      <x:c r="A1597" s="29" t="str">
        <x:v>SCA-20</x:v>
      </x:c>
      <x:c r="B1597" s="29" t="str">
        <x:v>05005</x:v>
      </x:c>
      <x:c r="C1597" s="29" t="str">
        <x:v>AR</x:v>
      </x:c>
      <x:c r="D1597" s="29" t="str">
        <x:v>Baxter County</x:v>
      </x:c>
      <x:c r="E1597" s="41" t="n">
        <x:v>42982</x:v>
      </x:c>
      <x:c r="F1597" s="56" t="n">
        <x:v>36.28027</x:v>
      </x:c>
      <x:c r="G1597" s="56" t="n">
        <x:v>-92.32995</x:v>
      </x:c>
      <x:c r="H1597" s="44" t="n">
        <x:f>E1597/SUMIF(A:A,A1597,E:E)</x:f>
        <x:v>0.005062200454281318</x:v>
      </x:c>
    </x:row>
    <x:row r="1598" ht="21.600000381469727" hidden="0" customHeight="1">
      <x:c r="A1598" s="27" t="str">
        <x:v>SCA-20</x:v>
      </x:c>
      <x:c r="B1598" s="27" t="str">
        <x:v>29023</x:v>
      </x:c>
      <x:c r="C1598" s="27" t="str">
        <x:v>MO</x:v>
      </x:c>
      <x:c r="D1598" s="27" t="str">
        <x:v>Butler County</x:v>
      </x:c>
      <x:c r="E1598" s="40" t="n">
        <x:v>41904</x:v>
      </x:c>
      <x:c r="F1598" s="55" t="n">
        <x:v>36.71518</x:v>
      </x:c>
      <x:c r="G1598" s="55" t="n">
        <x:v>-90.40313</x:v>
      </x:c>
      <x:c r="H1598" s="43" t="n">
        <x:f>E1598/SUMIF(A:A,A1598,E:E)</x:f>
        <x:v>0.004935239119543165</x:v>
      </x:c>
    </x:row>
    <x:row r="1599" ht="21.600000381469727" hidden="0" customHeight="1">
      <x:c r="A1599" s="29" t="str">
        <x:v>SCA-20</x:v>
      </x:c>
      <x:c r="B1599" s="29" t="str">
        <x:v>28149</x:v>
      </x:c>
      <x:c r="C1599" s="29" t="str">
        <x:v>MS</x:v>
      </x:c>
      <x:c r="D1599" s="29" t="str">
        <x:v>Warren County</x:v>
      </x:c>
      <x:c r="E1599" s="41" t="n">
        <x:v>41759</x:v>
      </x:c>
      <x:c r="F1599" s="56" t="n">
        <x:v>32.356095</x:v>
      </x:c>
      <x:c r="G1599" s="56" t="n">
        <x:v>-90.852384</x:v>
      </x:c>
      <x:c r="H1599" s="44" t="n">
        <x:f>E1599/SUMIF(A:A,A1599,E:E)</x:f>
        <x:v>0.0049181617600468465</x:v>
      </x:c>
    </x:row>
    <x:row r="1600" ht="21.600000381469727" hidden="0" customHeight="1">
      <x:c r="A1600" s="27" t="str">
        <x:v>SCA-20</x:v>
      </x:c>
      <x:c r="B1600" s="27" t="str">
        <x:v>28151</x:v>
      </x:c>
      <x:c r="C1600" s="27" t="str">
        <x:v>MS</x:v>
      </x:c>
      <x:c r="D1600" s="27" t="str">
        <x:v>Washington County</x:v>
      </x:c>
      <x:c r="E1600" s="40" t="n">
        <x:v>40446</x:v>
      </x:c>
      <x:c r="F1600" s="55" t="n">
        <x:v>33.273174</x:v>
      </x:c>
      <x:c r="G1600" s="55" t="n">
        <x:v>-90.944446</x:v>
      </x:c>
      <x:c r="H1600" s="43" t="n">
        <x:f>E1600/SUMIF(A:A,A1600,E:E)</x:f>
        <x:v>0.004763523325435349</x:v>
      </x:c>
    </x:row>
    <x:row r="1601" ht="21.600000381469727" hidden="0" customHeight="1">
      <x:c r="A1601" s="29" t="str">
        <x:v>SCA-20</x:v>
      </x:c>
      <x:c r="B1601" s="29" t="str">
        <x:v>21035</x:v>
      </x:c>
      <x:c r="C1601" s="29" t="str">
        <x:v>KY</x:v>
      </x:c>
      <x:c r="D1601" s="29" t="str">
        <x:v>Calloway County</x:v>
      </x:c>
      <x:c r="E1601" s="41" t="n">
        <x:v>39421</x:v>
      </x:c>
      <x:c r="F1601" s="56" t="n">
        <x:v>36.620978</x:v>
      </x:c>
      <x:c r="G1601" s="56" t="n">
        <x:v>-88.274086</x:v>
      </x:c>
      <x:c r="H1601" s="44" t="n">
        <x:f>E1601/SUMIF(A:A,A1601,E:E)</x:f>
        <x:v>0.004642804060030334</x:v>
      </x:c>
    </x:row>
    <x:row r="1602" ht="21.600000381469727" hidden="0" customHeight="1">
      <x:c r="A1602" s="27" t="str">
        <x:v>SCA-20</x:v>
      </x:c>
      <x:c r="B1602" s="27" t="str">
        <x:v>05063</x:v>
      </x:c>
      <x:c r="C1602" s="27" t="str">
        <x:v>AR</x:v>
      </x:c>
      <x:c r="D1602" s="27" t="str">
        <x:v>Independence County</x:v>
      </x:c>
      <x:c r="E1602" s="40" t="n">
        <x:v>38785</x:v>
      </x:c>
      <x:c r="F1602" s="55" t="n">
        <x:v>35.737499</x:v>
      </x:c>
      <x:c r="G1602" s="55" t="n">
        <x:v>-91.559942</x:v>
      </x:c>
      <x:c r="H1602" s="43" t="n">
        <x:f>E1602/SUMIF(A:A,A1602,E:E)</x:f>
        <x:v>0.004567899228032686</x:v>
      </x:c>
    </x:row>
    <x:row r="1603" ht="15" hidden="0" customHeight="1">
      <x:c r="A1603" s="29" t="str">
        <x:v>SCA-20</x:v>
      </x:c>
      <x:c r="B1603" s="29" t="str">
        <x:v>28113</x:v>
      </x:c>
      <x:c r="C1603" s="29" t="str">
        <x:v>MS</x:v>
      </x:c>
      <x:c r="D1603" s="29" t="str">
        <x:v>Pike County</x:v>
      </x:c>
      <x:c r="E1603" s="41" t="n">
        <x:v>38712</x:v>
      </x:c>
      <x:c r="F1603" s="56" t="n">
        <x:v>31.177516</x:v>
      </x:c>
      <x:c r="G1603" s="56" t="n">
        <x:v>-90.397725</x:v>
      </x:c>
      <x:c r="H1603" s="44" t="n">
        <x:f>E1603/SUMIF(A:A,A1603,E:E)</x:f>
        <x:v>0.004559301660837988</x:v>
      </x:c>
    </x:row>
    <x:row r="1604" ht="21.600000381469727" hidden="0" customHeight="1">
      <x:c r="A1604" s="27" t="str">
        <x:v>SCA-20</x:v>
      </x:c>
      <x:c r="B1604" s="27" t="str">
        <x:v>05009</x:v>
      </x:c>
      <x:c r="C1604" s="27" t="str">
        <x:v>AR</x:v>
      </x:c>
      <x:c r="D1604" s="27" t="str">
        <x:v>Boone County</x:v>
      </x:c>
      <x:c r="E1604" s="40" t="n">
        <x:v>38628</x:v>
      </x:c>
      <x:c r="F1604" s="55" t="n">
        <x:v>36.304299</x:v>
      </x:c>
      <x:c r="G1604" s="55" t="n">
        <x:v>-93.079236</x:v>
      </x:c>
      <x:c r="H1604" s="43" t="n">
        <x:f>E1604/SUMIF(A:A,A1604,E:E)</x:f>
        <x:v>0.00454940856981943</x:v>
      </x:c>
    </x:row>
    <x:row r="1605" ht="21.600000381469727" hidden="0" customHeight="1">
      <x:c r="A1605" s="29" t="str">
        <x:v>SCA-20</x:v>
      </x:c>
      <x:c r="B1605" s="29" t="str">
        <x:v>47117</x:v>
      </x:c>
      <x:c r="C1605" s="29" t="str">
        <x:v>TN</x:v>
      </x:c>
      <x:c r="D1605" s="29" t="str">
        <x:v>Marshall County</x:v>
      </x:c>
      <x:c r="E1605" s="41" t="n">
        <x:v>38071</x:v>
      </x:c>
      <x:c r="F1605" s="56" t="n">
        <x:v>35.468329</x:v>
      </x:c>
      <x:c r="G1605" s="56" t="n">
        <x:v>-86.765868</x:v>
      </x:c>
      <x:c r="H1605" s="44" t="n">
        <x:f>E1605/SUMIF(A:A,A1605,E:E)</x:f>
        <x:v>0.004483807954374948</x:v>
      </x:c>
    </x:row>
    <x:row r="1606" ht="21.600000381469727" hidden="0" customHeight="1">
      <x:c r="A1606" s="27" t="str">
        <x:v>SCA-20</x:v>
      </x:c>
      <x:c r="B1606" s="27" t="str">
        <x:v>05093</x:v>
      </x:c>
      <x:c r="C1606" s="27" t="str">
        <x:v>AR</x:v>
      </x:c>
      <x:c r="D1606" s="27" t="str">
        <x:v>Mississippi County</x:v>
      </x:c>
      <x:c r="E1606" s="40" t="n">
        <x:v>37828</x:v>
      </x:c>
      <x:c r="F1606" s="55" t="n">
        <x:v>35.766944</x:v>
      </x:c>
      <x:c r="G1606" s="55" t="n">
        <x:v>-90.052207</x:v>
      </x:c>
      <x:c r="H1606" s="43" t="n">
        <x:f>E1606/SUMIF(A:A,A1606,E:E)</x:f>
        <x:v>0.004455188655356979</x:v>
      </x:c>
    </x:row>
    <x:row r="1607" ht="21.600000381469727" hidden="0" customHeight="1">
      <x:c r="A1607" s="29" t="str">
        <x:v>SCA-20</x:v>
      </x:c>
      <x:c r="B1607" s="29" t="str">
        <x:v>21083</x:v>
      </x:c>
      <x:c r="C1607" s="29" t="str">
        <x:v>KY</x:v>
      </x:c>
      <x:c r="D1607" s="29" t="str">
        <x:v>Graves County</x:v>
      </x:c>
      <x:c r="E1607" s="41" t="n">
        <x:v>37050</x:v>
      </x:c>
      <x:c r="F1607" s="56" t="n">
        <x:v>36.723344</x:v>
      </x:c>
      <x:c r="G1607" s="56" t="n">
        <x:v>-88.649897</x:v>
      </x:c>
      <x:c r="H1607" s="44" t="n">
        <x:f>E1607/SUMIF(A:A,A1607,E:E)</x:f>
        <x:v>0.004363559788542246</x:v>
      </x:c>
    </x:row>
    <x:row r="1608" ht="21.600000381469727" hidden="0" customHeight="1">
      <x:c r="A1608" s="27" t="str">
        <x:v>SCA-20</x:v>
      </x:c>
      <x:c r="B1608" s="27" t="str">
        <x:v>05139</x:v>
      </x:c>
      <x:c r="C1608" s="27" t="str">
        <x:v>AR</x:v>
      </x:c>
      <x:c r="D1608" s="27" t="str">
        <x:v>Union County</x:v>
      </x:c>
      <x:c r="E1608" s="40" t="n">
        <x:v>36926</x:v>
      </x:c>
      <x:c r="F1608" s="55" t="n">
        <x:v>33.168219</x:v>
      </x:c>
      <x:c r="G1608" s="55" t="n">
        <x:v>-92.598145</x:v>
      </x:c>
      <x:c r="H1608" s="43" t="n">
        <x:f>E1608/SUMIF(A:A,A1608,E:E)</x:f>
        <x:v>0.004348955701800566</x:v>
      </x:c>
    </x:row>
    <x:row r="1609" ht="15" hidden="0" customHeight="1">
      <x:c r="A1609" s="29" t="str">
        <x:v>SCA-20</x:v>
      </x:c>
      <x:c r="B1609" s="29" t="str">
        <x:v>47045</x:v>
      </x:c>
      <x:c r="C1609" s="29" t="str">
        <x:v>TN</x:v>
      </x:c>
      <x:c r="D1609" s="29" t="str">
        <x:v>Dyer County</x:v>
      </x:c>
      <x:c r="E1609" s="41" t="n">
        <x:v>36320</x:v>
      </x:c>
      <x:c r="F1609" s="56" t="n">
        <x:v>36.052312</x:v>
      </x:c>
      <x:c r="G1609" s="56" t="n">
        <x:v>-89.404636</x:v>
      </x:c>
      <x:c r="H1609" s="44" t="n">
        <x:f>E1609/SUMIF(A:A,A1609,E:E)</x:f>
        <x:v>0.0042775841165952596</x:v>
      </x:c>
    </x:row>
    <x:row r="1610" ht="21.600000381469727" hidden="0" customHeight="1">
      <x:c r="A1610" s="27" t="str">
        <x:v>SCA-20</x:v>
      </x:c>
      <x:c r="B1610" s="27" t="str">
        <x:v>28085</x:v>
      </x:c>
      <x:c r="C1610" s="27" t="str">
        <x:v>MS</x:v>
      </x:c>
      <x:c r="D1610" s="27" t="str">
        <x:v>Lincoln County</x:v>
      </x:c>
      <x:c r="E1610" s="40" t="n">
        <x:v>35012</x:v>
      </x:c>
      <x:c r="F1610" s="55" t="n">
        <x:v>31.535216</x:v>
      </x:c>
      <x:c r="G1610" s="55" t="n">
        <x:v>-90.453566</x:v>
      </x:c>
      <x:c r="H1610" s="43" t="n">
        <x:f>E1610/SUMIF(A:A,A1610,E:E)</x:f>
        <x:v>0.004123534556449153</x:v>
      </x:c>
    </x:row>
    <x:row r="1611" ht="21.600000381469727" hidden="0" customHeight="1">
      <x:c r="A1611" s="29" t="str">
        <x:v>SCA-20</x:v>
      </x:c>
      <x:c r="B1611" s="29" t="str">
        <x:v>28093</x:v>
      </x:c>
      <x:c r="C1611" s="29" t="str">
        <x:v>MS</x:v>
      </x:c>
      <x:c r="D1611" s="29" t="str">
        <x:v>Marshall County</x:v>
      </x:c>
      <x:c r="E1611" s="41" t="n">
        <x:v>34654</x:v>
      </x:c>
      <x:c r="F1611" s="56" t="n">
        <x:v>34.76619</x:v>
      </x:c>
      <x:c r="G1611" s="56" t="n">
        <x:v>-89.504231</x:v>
      </x:c>
      <x:c r="H1611" s="44" t="n">
        <x:f>E1611/SUMIF(A:A,A1611,E:E)</x:f>
        <x:v>0.004081371144727206</x:v>
      </x:c>
    </x:row>
    <x:row r="1612" ht="21.600000381469727" hidden="0" customHeight="1">
      <x:c r="A1612" s="27" t="str">
        <x:v>SCA-20</x:v>
      </x:c>
      <x:c r="B1612" s="27" t="str">
        <x:v>28003</x:v>
      </x:c>
      <x:c r="C1612" s="27" t="str">
        <x:v>MS</x:v>
      </x:c>
      <x:c r="D1612" s="27" t="str">
        <x:v>Alcorn County</x:v>
      </x:c>
      <x:c r="E1612" s="40" t="n">
        <x:v>34569</x:v>
      </x:c>
      <x:c r="F1612" s="55" t="n">
        <x:v>34.886569</x:v>
      </x:c>
      <x:c r="G1612" s="55" t="n">
        <x:v>-88.581109</x:v>
      </x:c>
      <x:c r="H1612" s="43" t="n">
        <x:f>E1612/SUMIF(A:A,A1612,E:E)</x:f>
        <x:v>0.004071360278815571</x:v>
      </x:c>
    </x:row>
    <x:row r="1613" ht="21.600000381469727" hidden="0" customHeight="1">
      <x:c r="A1613" s="29" t="str">
        <x:v>SCA-20</x:v>
      </x:c>
      <x:c r="B1613" s="29" t="str">
        <x:v>01079</x:v>
      </x:c>
      <x:c r="C1613" s="29" t="str">
        <x:v>AL</x:v>
      </x:c>
      <x:c r="D1613" s="29" t="str">
        <x:v>Lawrence County</x:v>
      </x:c>
      <x:c r="E1613" s="41" t="n">
        <x:v>33843</x:v>
      </x:c>
      <x:c r="F1613" s="56" t="n">
        <x:v>34.529776</x:v>
      </x:c>
      <x:c r="G1613" s="56" t="n">
        <x:v>-87.321865</x:v>
      </x:c>
      <x:c r="H1613" s="44" t="n">
        <x:f>E1613/SUMIF(A:A,A1613,E:E)</x:f>
        <x:v>0.003985855706440897</x:v>
      </x:c>
    </x:row>
    <x:row r="1614" ht="21.600000381469727" hidden="0" customHeight="1">
      <x:c r="A1614" s="27" t="str">
        <x:v>SCA-20</x:v>
      </x:c>
      <x:c r="B1614" s="27" t="str">
        <x:v>05059</x:v>
      </x:c>
      <x:c r="C1614" s="27" t="str">
        <x:v>AR</x:v>
      </x:c>
      <x:c r="D1614" s="27" t="str">
        <x:v>Hot Spring County</x:v>
      </x:c>
      <x:c r="E1614" s="40" t="n">
        <x:v>33451</x:v>
      </x:c>
      <x:c r="F1614" s="55" t="n">
        <x:v>34.315177</x:v>
      </x:c>
      <x:c r="G1614" s="55" t="n">
        <x:v>-92.944147</x:v>
      </x:c>
      <x:c r="H1614" s="43" t="n">
        <x:f>E1614/SUMIF(A:A,A1614,E:E)</x:f>
        <x:v>0.003939687948354296</x:v>
      </x:c>
    </x:row>
    <x:row r="1615" ht="21.600000381469727" hidden="0" customHeight="1">
      <x:c r="A1615" s="29" t="str">
        <x:v>SCA-20</x:v>
      </x:c>
      <x:c r="B1615" s="29" t="str">
        <x:v>28095</x:v>
      </x:c>
      <x:c r="C1615" s="29" t="str">
        <x:v>MS</x:v>
      </x:c>
      <x:c r="D1615" s="29" t="str">
        <x:v>Monroe County</x:v>
      </x:c>
      <x:c r="E1615" s="41" t="n">
        <x:v>33318</x:v>
      </x:c>
      <x:c r="F1615" s="56" t="n">
        <x:v>33.89003</x:v>
      </x:c>
      <x:c r="G1615" s="56" t="n">
        <x:v>-88.485038</x:v>
      </x:c>
      <x:c r="H1615" s="44" t="n">
        <x:f>E1615/SUMIF(A:A,A1615,E:E)</x:f>
        <x:v>0.003924023887574913</x:v>
      </x:c>
    </x:row>
    <x:row r="1616" ht="21.600000381469727" hidden="0" customHeight="1">
      <x:c r="A1616" s="27" t="str">
        <x:v>SCA-20</x:v>
      </x:c>
      <x:c r="B1616" s="27" t="str">
        <x:v>47183</x:v>
      </x:c>
      <x:c r="C1616" s="27" t="str">
        <x:v>TN</x:v>
      </x:c>
      <x:c r="D1616" s="27" t="str">
        <x:v>Weakley County</x:v>
      </x:c>
      <x:c r="E1616" s="40" t="n">
        <x:v>33261</x:v>
      </x:c>
      <x:c r="F1616" s="55" t="n">
        <x:v>36.303596</x:v>
      </x:c>
      <x:c r="G1616" s="55" t="n">
        <x:v>-88.721194</x:v>
      </x:c>
      <x:c r="H1616" s="43" t="n">
        <x:f>E1616/SUMIF(A:A,A1616,E:E)</x:f>
        <x:v>0.0039173107186694645</x:v>
      </x:c>
    </x:row>
    <x:row r="1617" ht="21.600000381469727" hidden="0" customHeight="1">
      <x:c r="A1617" s="29" t="str">
        <x:v>SCA-20</x:v>
      </x:c>
      <x:c r="B1617" s="29" t="str">
        <x:v>47079</x:v>
      </x:c>
      <x:c r="C1617" s="29" t="str">
        <x:v>TN</x:v>
      </x:c>
      <x:c r="D1617" s="29" t="str">
        <x:v>Henry County</x:v>
      </x:c>
      <x:c r="E1617" s="41" t="n">
        <x:v>32896</x:v>
      </x:c>
      <x:c r="F1617" s="56" t="n">
        <x:v>36.325295</x:v>
      </x:c>
      <x:c r="G1617" s="56" t="n">
        <x:v>-88.300288</x:v>
      </x:c>
      <x:c r="H1617" s="44" t="n">
        <x:f>E1617/SUMIF(A:A,A1617,E:E)</x:f>
        <x:v>0.003874322882695971</x:v>
      </x:c>
    </x:row>
    <x:row r="1618" ht="21.600000381469727" hidden="0" customHeight="1">
      <x:c r="A1618" s="27" t="str">
        <x:v>SCA-20</x:v>
      </x:c>
      <x:c r="B1618" s="27" t="str">
        <x:v>28107</x:v>
      </x:c>
      <x:c r="C1618" s="27" t="str">
        <x:v>MS</x:v>
      </x:c>
      <x:c r="D1618" s="27" t="str">
        <x:v>Panola County</x:v>
      </x:c>
      <x:c r="E1618" s="40" t="n">
        <x:v>32691</x:v>
      </x:c>
      <x:c r="F1618" s="55" t="n">
        <x:v>34.365205</x:v>
      </x:c>
      <x:c r="G1618" s="55" t="n">
        <x:v>-89.963065</x:v>
      </x:c>
      <x:c r="H1618" s="43" t="n">
        <x:f>E1618/SUMIF(A:A,A1618,E:E)</x:f>
        <x:v>0.003850179029614968</x:v>
      </x:c>
    </x:row>
    <x:row r="1619" ht="21.600000381469727" hidden="0" customHeight="1">
      <x:c r="A1619" s="29" t="str">
        <x:v>SCA-20</x:v>
      </x:c>
      <x:c r="B1619" s="29" t="str">
        <x:v>01059</x:v>
      </x:c>
      <x:c r="C1619" s="29" t="str">
        <x:v>AL</x:v>
      </x:c>
      <x:c r="D1619" s="29" t="str">
        <x:v>Franklin County</x:v>
      </x:c>
      <x:c r="E1619" s="41" t="n">
        <x:v>32449</x:v>
      </x:c>
      <x:c r="F1619" s="56" t="n">
        <x:v>34.441989</x:v>
      </x:c>
      <x:c r="G1619" s="56" t="n">
        <x:v>-87.842814</x:v>
      </x:c>
      <x:c r="H1619" s="44" t="n">
        <x:f>E1619/SUMIF(A:A,A1619,E:E)</x:f>
        <x:v>0.0038216775054900768</x:v>
      </x:c>
    </x:row>
    <x:row r="1620" ht="21.600000381469727" hidden="0" customHeight="1">
      <x:c r="A1620" s="27" t="str">
        <x:v>SCA-20</x:v>
      </x:c>
      <x:c r="B1620" s="27" t="str">
        <x:v>28115</x:v>
      </x:c>
      <x:c r="C1620" s="27" t="str">
        <x:v>MS</x:v>
      </x:c>
      <x:c r="D1620" s="27" t="str">
        <x:v>Pontotoc County</x:v>
      </x:c>
      <x:c r="E1620" s="40" t="n">
        <x:v>32096</x:v>
      </x:c>
      <x:c r="F1620" s="55" t="n">
        <x:v>34.227081</x:v>
      </x:c>
      <x:c r="G1620" s="55" t="n">
        <x:v>-89.037239</x:v>
      </x:c>
      <x:c r="H1620" s="43" t="n">
        <x:f>E1620/SUMIF(A:A,A1620,E:E)</x:f>
        <x:v>0.0037801029682335203</x:v>
      </x:c>
    </x:row>
    <x:row r="1621" ht="21.600000381469727" hidden="0" customHeight="1">
      <x:c r="A1621" s="29" t="str">
        <x:v>SCA-20</x:v>
      </x:c>
      <x:c r="B1621" s="29" t="str">
        <x:v>21157</x:v>
      </x:c>
      <x:c r="C1621" s="29" t="str">
        <x:v>KY</x:v>
      </x:c>
      <x:c r="D1621" s="29" t="str">
        <x:v>Marshall County</x:v>
      </x:c>
      <x:c r="E1621" s="41" t="n">
        <x:v>31659</x:v>
      </x:c>
      <x:c r="F1621" s="56" t="n">
        <x:v>36.882017</x:v>
      </x:c>
      <x:c r="G1621" s="56" t="n">
        <x:v>-88.332752</x:v>
      </x:c>
      <x:c r="H1621" s="44" t="n">
        <x:f>E1621/SUMIF(A:A,A1621,E:E)</x:f>
        <x:v>0.0037286353399584066</x:v>
      </x:c>
    </x:row>
    <x:row r="1622" ht="15" hidden="0" customHeight="1">
      <x:c r="A1622" s="27" t="str">
        <x:v>SCA-20</x:v>
      </x:c>
      <x:c r="B1622" s="27" t="str">
        <x:v>47055</x:v>
      </x:c>
      <x:c r="C1622" s="27" t="str">
        <x:v>TN</x:v>
      </x:c>
      <x:c r="D1622" s="27" t="str">
        <x:v>Giles County</x:v>
      </x:c>
      <x:c r="E1622" s="40" t="n">
        <x:v>31433</x:v>
      </x:c>
      <x:c r="F1622" s="55" t="n">
        <x:v>35.202723</x:v>
      </x:c>
      <x:c r="G1622" s="55" t="n">
        <x:v>-87.035319</x:v>
      </x:c>
      <x:c r="H1622" s="43" t="n">
        <x:f>E1622/SUMIF(A:A,A1622,E:E)</x:f>
        <x:v>0.0037020182141227643</x:v>
      </x:c>
    </x:row>
    <x:row r="1623" ht="21.600000381469727" hidden="0" customHeight="1">
      <x:c r="A1623" s="29" t="str">
        <x:v>SCA-20</x:v>
      </x:c>
      <x:c r="B1623" s="29" t="str">
        <x:v>47131</x:v>
      </x:c>
      <x:c r="C1623" s="29" t="str">
        <x:v>TN</x:v>
      </x:c>
      <x:c r="D1623" s="29" t="str">
        <x:v>Obion County</x:v>
      </x:c>
      <x:c r="E1623" s="41" t="n">
        <x:v>30067</x:v>
      </x:c>
      <x:c r="F1623" s="56" t="n">
        <x:v>36.361892</x:v>
      </x:c>
      <x:c r="G1623" s="56" t="n">
        <x:v>-89.148078</x:v>
      </x:c>
      <x:c r="H1623" s="44" t="n">
        <x:f>E1623/SUMIF(A:A,A1623,E:E)</x:f>
        <x:v>0.0035411377101781296</x:v>
      </x:c>
    </x:row>
    <x:row r="1624" ht="21.600000381469727" hidden="0" customHeight="1">
      <x:c r="A1624" s="27" t="str">
        <x:v>SCA-20</x:v>
      </x:c>
      <x:c r="B1624" s="27" t="str">
        <x:v>05015</x:v>
      </x:c>
      <x:c r="C1624" s="27" t="str">
        <x:v>AR</x:v>
      </x:c>
      <x:c r="D1624" s="27" t="str">
        <x:v>Carroll County</x:v>
      </x:c>
      <x:c r="E1624" s="40" t="n">
        <x:v>29263</x:v>
      </x:c>
      <x:c r="F1624" s="55" t="n">
        <x:v>36.33737</x:v>
      </x:c>
      <x:c r="G1624" s="55" t="n">
        <x:v>-93.540972</x:v>
      </x:c>
      <x:c r="H1624" s="43" t="n">
        <x:f>E1624/SUMIF(A:A,A1624,E:E)</x:f>
        <x:v>0.003446446696143367</x:v>
      </x:c>
    </x:row>
    <x:row r="1625" ht="21.600000381469727" hidden="0" customHeight="1">
      <x:c r="A1625" s="29" t="str">
        <x:v>SCA-20</x:v>
      </x:c>
      <x:c r="B1625" s="29" t="str">
        <x:v>47017</x:v>
      </x:c>
      <x:c r="C1625" s="29" t="str">
        <x:v>TN</x:v>
      </x:c>
      <x:c r="D1625" s="29" t="str">
        <x:v>Carroll County</x:v>
      </x:c>
      <x:c r="E1625" s="41" t="n">
        <x:v>29200</x:v>
      </x:c>
      <x:c r="F1625" s="56" t="n">
        <x:v>35.965748</x:v>
      </x:c>
      <x:c r="G1625" s="56" t="n">
        <x:v>-88.452379</x:v>
      </x:c>
      <x:c r="H1625" s="44" t="n">
        <x:f>E1625/SUMIF(A:A,A1625,E:E)</x:f>
        <x:v>0.003439026877879449</x:v>
      </x:c>
    </x:row>
    <x:row r="1626" ht="21.600000381469727" hidden="0" customHeight="1">
      <x:c r="A1626" s="27" t="str">
        <x:v>SCA-20</x:v>
      </x:c>
      <x:c r="B1626" s="27" t="str">
        <x:v>01093</x:v>
      </x:c>
      <x:c r="C1626" s="27" t="str">
        <x:v>AL</x:v>
      </x:c>
      <x:c r="D1626" s="27" t="str">
        <x:v>Marion County</x:v>
      </x:c>
      <x:c r="E1626" s="40" t="n">
        <x:v>29097</x:v>
      </x:c>
      <x:c r="F1626" s="55" t="n">
        <x:v>34.138219</x:v>
      </x:c>
      <x:c r="G1626" s="55" t="n">
        <x:v>-87.881551</x:v>
      </x:c>
      <x:c r="H1626" s="43" t="n">
        <x:f>E1626/SUMIF(A:A,A1626,E:E)</x:f>
        <x:v>0.0034268960638924083</x:v>
      </x:c>
    </x:row>
    <x:row r="1627" ht="21.600000381469727" hidden="0" customHeight="1">
      <x:c r="A1627" s="29" t="str">
        <x:v>SCA-20</x:v>
      </x:c>
      <x:c r="B1627" s="29" t="str">
        <x:v>28099</x:v>
      </x:c>
      <x:c r="C1627" s="29" t="str">
        <x:v>MS</x:v>
      </x:c>
      <x:c r="D1627" s="29" t="str">
        <x:v>Neshoba County</x:v>
      </x:c>
      <x:c r="E1627" s="41" t="n">
        <x:v>28732</x:v>
      </x:c>
      <x:c r="F1627" s="56" t="n">
        <x:v>32.752518</x:v>
      </x:c>
      <x:c r="G1627" s="56" t="n">
        <x:v>-89.119274</x:v>
      </x:c>
      <x:c r="H1627" s="44" t="n">
        <x:f>E1627/SUMIF(A:A,A1627,E:E)</x:f>
        <x:v>0.0033839082279189152</x:v>
      </x:c>
    </x:row>
    <x:row r="1628" ht="15" hidden="0" customHeight="1">
      <x:c r="A1628" s="27" t="str">
        <x:v>SCA-20</x:v>
      </x:c>
      <x:c r="B1628" s="27" t="str">
        <x:v>28137</x:v>
      </x:c>
      <x:c r="C1628" s="27" t="str">
        <x:v>MS</x:v>
      </x:c>
      <x:c r="D1628" s="27" t="str">
        <x:v>Tate County</x:v>
      </x:c>
      <x:c r="E1628" s="40" t="n">
        <x:v>28725</x:v>
      </x:c>
      <x:c r="F1628" s="55" t="n">
        <x:v>34.649553</x:v>
      </x:c>
      <x:c r="G1628" s="55" t="n">
        <x:v>-89.943105</x:v>
      </x:c>
      <x:c r="H1628" s="43" t="n">
        <x:f>E1628/SUMIF(A:A,A1628,E:E)</x:f>
        <x:v>0.003383083803667369</x:v>
      </x:c>
    </x:row>
    <x:row r="1629" ht="21.600000381469727" hidden="0" customHeight="1">
      <x:c r="A1629" s="29" t="str">
        <x:v>SCA-20</x:v>
      </x:c>
      <x:c r="B1629" s="29" t="str">
        <x:v>47077</x:v>
      </x:c>
      <x:c r="C1629" s="29" t="str">
        <x:v>TN</x:v>
      </x:c>
      <x:c r="D1629" s="29" t="str">
        <x:v>Henderson County</x:v>
      </x:c>
      <x:c r="E1629" s="41" t="n">
        <x:v>28518</x:v>
      </x:c>
      <x:c r="F1629" s="56" t="n">
        <x:v>35.653994</x:v>
      </x:c>
      <x:c r="G1629" s="56" t="n">
        <x:v>-88.387674</x:v>
      </x:c>
      <x:c r="H1629" s="44" t="n">
        <x:f>E1629/SUMIF(A:A,A1629,E:E)</x:f>
        <x:v>0.0033587044008002095</x:v>
      </x:c>
    </x:row>
    <x:row r="1630" ht="21.600000381469727" hidden="0" customHeight="1">
      <x:c r="A1630" s="27" t="str">
        <x:v>SCA-20</x:v>
      </x:c>
      <x:c r="B1630" s="27" t="str">
        <x:v>28145</x:v>
      </x:c>
      <x:c r="C1630" s="27" t="str">
        <x:v>MS</x:v>
      </x:c>
      <x:c r="D1630" s="27" t="str">
        <x:v>Union County</x:v>
      </x:c>
      <x:c r="E1630" s="40" t="n">
        <x:v>28459</x:v>
      </x:c>
      <x:c r="F1630" s="55" t="n">
        <x:v>34.489533</x:v>
      </x:c>
      <x:c r="G1630" s="55" t="n">
        <x:v>-89.002339</x:v>
      </x:c>
      <x:c r="H1630" s="43" t="n">
        <x:f>E1630/SUMIF(A:A,A1630,E:E)</x:f>
        <x:v>0.003351755682108604</x:v>
      </x:c>
    </x:row>
    <x:row r="1631" ht="21.600000381469727" hidden="0" customHeight="1">
      <x:c r="A1631" s="29" t="str">
        <x:v>SCA-20</x:v>
      </x:c>
      <x:c r="B1631" s="29" t="str">
        <x:v>29207</x:v>
      </x:c>
      <x:c r="C1631" s="29" t="str">
        <x:v>MO</x:v>
      </x:c>
      <x:c r="D1631" s="29" t="str">
        <x:v>Stoddard County</x:v>
      </x:c>
      <x:c r="E1631" s="41" t="n">
        <x:v>28284</x:v>
      </x:c>
      <x:c r="F1631" s="56" t="n">
        <x:v>36.851557</x:v>
      </x:c>
      <x:c r="G1631" s="56" t="n">
        <x:v>-89.947481</x:v>
      </x:c>
      <x:c r="H1631" s="44" t="n">
        <x:f>E1631/SUMIF(A:A,A1631,E:E)</x:f>
        <x:v>0.003331145075819943</x:v>
      </x:c>
    </x:row>
    <x:row r="1632" ht="21.600000381469727" hidden="0" customHeight="1">
      <x:c r="A1632" s="27" t="str">
        <x:v>SCA-20</x:v>
      </x:c>
      <x:c r="B1632" s="27" t="str">
        <x:v>28011</x:v>
      </x:c>
      <x:c r="C1632" s="27" t="str">
        <x:v>MS</x:v>
      </x:c>
      <x:c r="D1632" s="27" t="str">
        <x:v>Bolivar County</x:v>
      </x:c>
      <x:c r="E1632" s="40" t="n">
        <x:v>28262</x:v>
      </x:c>
      <x:c r="F1632" s="55" t="n">
        <x:v>33.799139</x:v>
      </x:c>
      <x:c r="G1632" s="55" t="n">
        <x:v>-90.88412</x:v>
      </x:c>
      <x:c r="H1632" s="43" t="n">
        <x:f>E1632/SUMIF(A:A,A1632,E:E)</x:f>
        <x:v>0.0033285540281722255</x:v>
      </x:c>
    </x:row>
    <x:row r="1633" ht="15" hidden="0" customHeight="1">
      <x:c r="A1633" s="29" t="str">
        <x:v>SCA-20</x:v>
      </x:c>
      <x:c r="B1633" s="29" t="str">
        <x:v>28123</x:v>
      </x:c>
      <x:c r="C1633" s="29" t="str">
        <x:v>MS</x:v>
      </x:c>
      <x:c r="D1633" s="29" t="str">
        <x:v>Scott County</x:v>
      </x:c>
      <x:c r="E1633" s="41" t="n">
        <x:v>28073</x:v>
      </x:c>
      <x:c r="F1633" s="56" t="n">
        <x:v>32.411959</x:v>
      </x:c>
      <x:c r="G1633" s="56" t="n">
        <x:v>-89.533486</x:v>
      </x:c>
      <x:c r="H1633" s="44" t="n">
        <x:f>E1633/SUMIF(A:A,A1633,E:E)</x:f>
        <x:v>0.0033062945733804716</x:v>
      </x:c>
    </x:row>
    <x:row r="1634" ht="21.600000381469727" hidden="0" customHeight="1">
      <x:c r="A1634" s="27" t="str">
        <x:v>SCA-20</x:v>
      </x:c>
      <x:c r="B1634" s="27" t="str">
        <x:v>47071</x:v>
      </x:c>
      <x:c r="C1634" s="27" t="str">
        <x:v>TN</x:v>
      </x:c>
      <x:c r="D1634" s="27" t="str">
        <x:v>Hardin County</x:v>
      </x:c>
      <x:c r="E1634" s="40" t="n">
        <x:v>27983</x:v>
      </x:c>
      <x:c r="F1634" s="55" t="n">
        <x:v>35.201893</x:v>
      </x:c>
      <x:c r="G1634" s="55" t="n">
        <x:v>-88.185696</x:v>
      </x:c>
      <x:c r="H1634" s="43" t="n">
        <x:f>E1634/SUMIF(A:A,A1634,E:E)</x:f>
        <x:v>0.003295694833003446</x:v>
      </x:c>
    </x:row>
    <x:row r="1635" ht="21.600000381469727" hidden="0" customHeight="1">
      <x:c r="A1635" s="29" t="str">
        <x:v>SCA-20</x:v>
      </x:c>
      <x:c r="B1635" s="29" t="str">
        <x:v>28029</x:v>
      </x:c>
      <x:c r="C1635" s="29" t="str">
        <x:v>MS</x:v>
      </x:c>
      <x:c r="D1635" s="29" t="str">
        <x:v>Copiah County</x:v>
      </x:c>
      <x:c r="E1635" s="41" t="n">
        <x:v>27497</x:v>
      </x:c>
      <x:c r="F1635" s="56" t="n">
        <x:v>31.866915</x:v>
      </x:c>
      <x:c r="G1635" s="56" t="n">
        <x:v>-90.448758</x:v>
      </x:c>
      <x:c r="H1635" s="44" t="n">
        <x:f>E1635/SUMIF(A:A,A1635,E:E)</x:f>
        <x:v>0.003238456234967507</x:v>
      </x:c>
    </x:row>
    <x:row r="1636" ht="21.600000381469727" hidden="0" customHeight="1">
      <x:c r="A1636" s="27" t="str">
        <x:v>SCA-20</x:v>
      </x:c>
      <x:c r="B1636" s="27" t="str">
        <x:v>29069</x:v>
      </x:c>
      <x:c r="C1636" s="27" t="str">
        <x:v>MO</x:v>
      </x:c>
      <x:c r="D1636" s="27" t="str">
        <x:v>Dunklin County</x:v>
      </x:c>
      <x:c r="E1636" s="40" t="n">
        <x:v>26855</x:v>
      </x:c>
      <x:c r="F1636" s="55" t="n">
        <x:v>36.153025</x:v>
      </x:c>
      <x:c r="G1636" s="55" t="n">
        <x:v>-90.062254</x:v>
      </x:c>
      <x:c r="H1636" s="43" t="n">
        <x:f>E1636/SUMIF(A:A,A1636,E:E)</x:f>
        <x:v>0.0031628447536113905</x:v>
      </x:c>
    </x:row>
    <x:row r="1637" ht="21.600000381469727" hidden="0" customHeight="1">
      <x:c r="A1637" s="29" t="str">
        <x:v>SCA-20</x:v>
      </x:c>
      <x:c r="B1637" s="29" t="str">
        <x:v>28039</x:v>
      </x:c>
      <x:c r="C1637" s="29" t="str">
        <x:v>MS</x:v>
      </x:c>
      <x:c r="D1637" s="29" t="str">
        <x:v>George County</x:v>
      </x:c>
      <x:c r="E1637" s="41" t="n">
        <x:v>26331</x:v>
      </x:c>
      <x:c r="F1637" s="56" t="n">
        <x:v>30.85543</x:v>
      </x:c>
      <x:c r="G1637" s="56" t="n">
        <x:v>-88.642268</x:v>
      </x:c>
      <x:c r="H1637" s="44" t="n">
        <x:f>E1637/SUMIF(A:A,A1637,E:E)</x:f>
        <x:v>0.0031011307096384852</x:v>
      </x:c>
    </x:row>
    <x:row r="1638" ht="21.600000381469727" hidden="0" customHeight="1">
      <x:c r="A1638" s="27" t="str">
        <x:v>SCA-20</x:v>
      </x:c>
      <x:c r="B1638" s="27" t="str">
        <x:v>47109</x:v>
      </x:c>
      <x:c r="C1638" s="27" t="str">
        <x:v>TN</x:v>
      </x:c>
      <x:c r="D1638" s="27" t="str">
        <x:v>McNairy County</x:v>
      </x:c>
      <x:c r="E1638" s="40" t="n">
        <x:v>26236</x:v>
      </x:c>
      <x:c r="F1638" s="55" t="n">
        <x:v>35.175375</x:v>
      </x:c>
      <x:c r="G1638" s="55" t="n">
        <x:v>-88.56374</x:v>
      </x:c>
      <x:c r="H1638" s="43" t="n">
        <x:f>E1638/SUMIF(A:A,A1638,E:E)</x:f>
        <x:v>0.003089942094796069</x:v>
      </x:c>
    </x:row>
    <x:row r="1639" ht="21.600000381469727" hidden="0" customHeight="1">
      <x:c r="A1639" s="29" t="str">
        <x:v>SCA-20</x:v>
      </x:c>
      <x:c r="B1639" s="29" t="str">
        <x:v>05071</x:v>
      </x:c>
      <x:c r="C1639" s="29" t="str">
        <x:v>AR</x:v>
      </x:c>
      <x:c r="D1639" s="29" t="str">
        <x:v>Johnson County</x:v>
      </x:c>
      <x:c r="E1639" s="41" t="n">
        <x:v>26225</x:v>
      </x:c>
      <x:c r="F1639" s="56" t="n">
        <x:v>35.573359</x:v>
      </x:c>
      <x:c r="G1639" s="56" t="n">
        <x:v>-93.466322</x:v>
      </x:c>
      <x:c r="H1639" s="44" t="n">
        <x:f>E1639/SUMIF(A:A,A1639,E:E)</x:f>
        <x:v>0.0030886465709722105</x:v>
      </x:c>
    </x:row>
    <x:row r="1640" ht="21.600000381469727" hidden="0" customHeight="1">
      <x:c r="A1640" s="27" t="str">
        <x:v>SCA-20</x:v>
      </x:c>
      <x:c r="B1640" s="27" t="str">
        <x:v>47081</x:v>
      </x:c>
      <x:c r="C1640" s="27" t="str">
        <x:v>TN</x:v>
      </x:c>
      <x:c r="D1640" s="27" t="str">
        <x:v>Hickman County</x:v>
      </x:c>
      <x:c r="E1640" s="40" t="n">
        <x:v>26219</x:v>
      </x:c>
      <x:c r="F1640" s="55" t="n">
        <x:v>35.802327</x:v>
      </x:c>
      <x:c r="G1640" s="55" t="n">
        <x:v>-87.467116</x:v>
      </x:c>
      <x:c r="H1640" s="43" t="n">
        <x:f>E1640/SUMIF(A:A,A1640,E:E)</x:f>
        <x:v>0.003087939921613742</x:v>
      </x:c>
    </x:row>
    <x:row r="1641" ht="21.600000381469727" hidden="0" customHeight="1">
      <x:c r="A1641" s="29" t="str">
        <x:v>SCA-20</x:v>
      </x:c>
      <x:c r="B1641" s="29" t="str">
        <x:v>28083</x:v>
      </x:c>
      <x:c r="C1641" s="29" t="str">
        <x:v>MS</x:v>
      </x:c>
      <x:c r="D1641" s="29" t="str">
        <x:v>Leflore County</x:v>
      </x:c>
      <x:c r="E1641" s="41" t="n">
        <x:v>25686</x:v>
      </x:c>
      <x:c r="F1641" s="56" t="n">
        <x:v>33.54979</x:v>
      </x:c>
      <x:c r="G1641" s="56" t="n">
        <x:v>-90.294934</x:v>
      </x:c>
      <x:c r="H1641" s="44" t="n">
        <x:f>E1641/SUMIF(A:A,A1641,E:E)</x:f>
        <x:v>0.0030251659036031344</x:v>
      </x:c>
    </x:row>
    <x:row r="1642" ht="21.600000381469727" hidden="0" customHeight="1">
      <x:c r="A1642" s="27" t="str">
        <x:v>SCA-20</x:v>
      </x:c>
      <x:c r="B1642" s="27" t="str">
        <x:v>05023</x:v>
      </x:c>
      <x:c r="C1642" s="27" t="str">
        <x:v>AR</x:v>
      </x:c>
      <x:c r="D1642" s="27" t="str">
        <x:v>Cleburne County</x:v>
      </x:c>
      <x:c r="E1642" s="40" t="n">
        <x:v>25672</x:v>
      </x:c>
      <x:c r="F1642" s="55" t="n">
        <x:v>35.593628</x:v>
      </x:c>
      <x:c r="G1642" s="55" t="n">
        <x:v>-92.008898</x:v>
      </x:c>
      <x:c r="H1642" s="43" t="n">
        <x:f>E1642/SUMIF(A:A,A1642,E:E)</x:f>
        <x:v>0.0030235170551000416</x:v>
      </x:c>
    </x:row>
    <x:row r="1643" ht="21.600000381469727" hidden="0" customHeight="1">
      <x:c r="A1643" s="29" t="str">
        <x:v>SCA-20</x:v>
      </x:c>
      <x:c r="B1643" s="29" t="str">
        <x:v>28127</x:v>
      </x:c>
      <x:c r="C1643" s="29" t="str">
        <x:v>MS</x:v>
      </x:c>
      <x:c r="D1643" s="29" t="str">
        <x:v>Simpson County</x:v>
      </x:c>
      <x:c r="E1643" s="41" t="n">
        <x:v>25498</x:v>
      </x:c>
      <x:c r="F1643" s="56" t="n">
        <x:v>31.902505</x:v>
      </x:c>
      <x:c r="G1643" s="56" t="n">
        <x:v>-89.917709</x:v>
      </x:c>
      <x:c r="H1643" s="44" t="n">
        <x:f>E1643/SUMIF(A:A,A1643,E:E)</x:f>
        <x:v>0.0030030242237044586</x:v>
      </x:c>
    </x:row>
    <x:row r="1644" ht="21.600000381469727" hidden="0" customHeight="1">
      <x:c r="A1644" s="27" t="str">
        <x:v>SCA-20</x:v>
      </x:c>
      <x:c r="B1644" s="27" t="str">
        <x:v>28117</x:v>
      </x:c>
      <x:c r="C1644" s="27" t="str">
        <x:v>MS</x:v>
      </x:c>
      <x:c r="D1644" s="27" t="str">
        <x:v>Prentiss County</x:v>
      </x:c>
      <x:c r="E1644" s="40" t="n">
        <x:v>25284</x:v>
      </x:c>
      <x:c r="F1644" s="55" t="n">
        <x:v>34.620566</x:v>
      </x:c>
      <x:c r="G1644" s="55" t="n">
        <x:v>-88.522184</x:v>
      </x:c>
      <x:c r="H1644" s="43" t="n">
        <x:f>E1644/SUMIF(A:A,A1644,E:E)</x:f>
        <x:v>0.002977820396585753</x:v>
      </x:c>
    </x:row>
    <x:row r="1645" ht="21.600000381469727" hidden="0" customHeight="1">
      <x:c r="A1645" s="29" t="str">
        <x:v>SCA-20</x:v>
      </x:c>
      <x:c r="B1645" s="29" t="str">
        <x:v>47069</x:v>
      </x:c>
      <x:c r="C1645" s="29" t="str">
        <x:v>TN</x:v>
      </x:c>
      <x:c r="D1645" s="29" t="str">
        <x:v>Hardeman County</x:v>
      </x:c>
      <x:c r="E1645" s="41" t="n">
        <x:v>25274</x:v>
      </x:c>
      <x:c r="F1645" s="56" t="n">
        <x:v>35.218785</x:v>
      </x:c>
      <x:c r="G1645" s="56" t="n">
        <x:v>-88.988697</x:v>
      </x:c>
      <x:c r="H1645" s="44" t="n">
        <x:f>E1645/SUMIF(A:A,A1645,E:E)</x:f>
        <x:v>0.0029766426476549725</x:v>
      </x:c>
    </x:row>
    <x:row r="1646" ht="21.600000381469727" hidden="0" customHeight="1">
      <x:c r="A1646" s="27" t="str">
        <x:v>SCA-20</x:v>
      </x:c>
      <x:c r="B1646" s="27" t="str">
        <x:v>47097</x:v>
      </x:c>
      <x:c r="C1646" s="27" t="str">
        <x:v>TN</x:v>
      </x:c>
      <x:c r="D1646" s="27" t="str">
        <x:v>Lauderdale County</x:v>
      </x:c>
      <x:c r="E1646" s="40" t="n">
        <x:v>24617</x:v>
      </x:c>
      <x:c r="F1646" s="55" t="n">
        <x:v>35.762951</x:v>
      </x:c>
      <x:c r="G1646" s="55" t="n">
        <x:v>-89.627732</x:v>
      </x:c>
      <x:c r="H1646" s="43" t="n">
        <x:f>E1646/SUMIF(A:A,A1646,E:E)</x:f>
        <x:v>0.0028992645429026845</x:v>
      </x:c>
    </x:row>
    <x:row r="1647" ht="21.600000381469727" hidden="0" customHeight="1">
      <x:c r="A1647" s="29" t="str">
        <x:v>SCA-20</x:v>
      </x:c>
      <x:c r="B1647" s="29" t="str">
        <x:v>28057</x:v>
      </x:c>
      <x:c r="C1647" s="29" t="str">
        <x:v>MS</x:v>
      </x:c>
      <x:c r="D1647" s="29" t="str">
        <x:v>Itawamba County</x:v>
      </x:c>
      <x:c r="E1647" s="41" t="n">
        <x:v>24152</x:v>
      </x:c>
      <x:c r="F1647" s="56" t="n">
        <x:v>34.281075</x:v>
      </x:c>
      <x:c r="G1647" s="56" t="n">
        <x:v>-88.363127</x:v>
      </x:c>
      <x:c r="H1647" s="44" t="n">
        <x:f>E1647/SUMIF(A:A,A1647,E:E)</x:f>
        <x:v>0.0028444992176213852</x:v>
      </x:c>
    </x:row>
    <x:row r="1648" ht="21.600000381469727" hidden="0" customHeight="1">
      <x:c r="A1648" s="27" t="str">
        <x:v>SCA-20</x:v>
      </x:c>
      <x:c r="B1648" s="27" t="str">
        <x:v>28091</x:v>
      </x:c>
      <x:c r="C1648" s="27" t="str">
        <x:v>MS</x:v>
      </x:c>
      <x:c r="D1648" s="27" t="str">
        <x:v>Marion County</x:v>
      </x:c>
      <x:c r="E1648" s="40" t="n">
        <x:v>24001</x:v>
      </x:c>
      <x:c r="F1648" s="55" t="n">
        <x:v>31.23151</x:v>
      </x:c>
      <x:c r="G1648" s="55" t="n">
        <x:v>-89.822307</x:v>
      </x:c>
      <x:c r="H1648" s="43" t="n">
        <x:f>E1648/SUMIF(A:A,A1648,E:E)</x:f>
        <x:v>0.002826715208766598</x:v>
      </x:c>
    </x:row>
    <x:row r="1649" ht="21.600000381469727" hidden="0" customHeight="1">
      <x:c r="A1649" s="29" t="str">
        <x:v>SCA-20</x:v>
      </x:c>
      <x:c r="B1649" s="29" t="str">
        <x:v>01133</x:v>
      </x:c>
      <x:c r="C1649" s="29" t="str">
        <x:v>AL</x:v>
      </x:c>
      <x:c r="D1649" s="29" t="str">
        <x:v>Winston County</x:v>
      </x:c>
      <x:c r="E1649" s="41" t="n">
        <x:v>23829</x:v>
      </x:c>
      <x:c r="F1649" s="56" t="n">
        <x:v>34.154566</x:v>
      </x:c>
      <x:c r="G1649" s="56" t="n">
        <x:v>-87.365346</x:v>
      </x:c>
      <x:c r="H1649" s="44" t="n">
        <x:f>E1649/SUMIF(A:A,A1649,E:E)</x:f>
        <x:v>0.002806457927157171</x:v>
      </x:c>
    </x:row>
    <x:row r="1650" ht="21.600000381469727" hidden="0" customHeight="1">
      <x:c r="A1650" s="27" t="str">
        <x:v>SCA-20</x:v>
      </x:c>
      <x:c r="B1650" s="27" t="str">
        <x:v>22067</x:v>
      </x:c>
      <x:c r="C1650" s="27" t="str">
        <x:v>LA</x:v>
      </x:c>
      <x:c r="D1650" s="27" t="str">
        <x:v>Morehouse Parish</x:v>
      </x:c>
      <x:c r="E1650" s="40" t="n">
        <x:v>23705</x:v>
      </x:c>
      <x:c r="F1650" s="55" t="n">
        <x:v>32.820008</x:v>
      </x:c>
      <x:c r="G1650" s="55" t="n">
        <x:v>-91.800399</x:v>
      </x:c>
      <x:c r="H1650" s="43" t="n">
        <x:f>E1650/SUMIF(A:A,A1650,E:E)</x:f>
        <x:v>0.002791853840415491</x:v>
      </x:c>
    </x:row>
    <x:row r="1651" ht="21.600000381469727" hidden="0" customHeight="1">
      <x:c r="A1651" s="29" t="str">
        <x:v>SCA-20</x:v>
      </x:c>
      <x:c r="B1651" s="29" t="str">
        <x:v>28163</x:v>
      </x:c>
      <x:c r="C1651" s="29" t="str">
        <x:v>MS</x:v>
      </x:c>
      <x:c r="D1651" s="29" t="str">
        <x:v>Yazoo County</x:v>
      </x:c>
      <x:c r="E1651" s="41" t="n">
        <x:v>22947</x:v>
      </x:c>
      <x:c r="F1651" s="56" t="n">
        <x:v>32.765675</x:v>
      </x:c>
      <x:c r="G1651" s="56" t="n">
        <x:v>-90.387928</x:v>
      </x:c>
      <x:c r="H1651" s="44" t="n">
        <x:f>E1651/SUMIF(A:A,A1651,E:E)</x:f>
        <x:v>0.002702580471462319</x:v>
      </x:c>
    </x:row>
    <x:row r="1652" ht="21.600000381469727" hidden="0" customHeight="1">
      <x:c r="A1652" s="27" t="str">
        <x:v>SCA-20</x:v>
      </x:c>
      <x:c r="B1652" s="27" t="str">
        <x:v>28133</x:v>
      </x:c>
      <x:c r="C1652" s="27" t="str">
        <x:v>MS</x:v>
      </x:c>
      <x:c r="D1652" s="27" t="str">
        <x:v>Sunflower County</x:v>
      </x:c>
      <x:c r="E1652" s="40" t="n">
        <x:v>22893</x:v>
      </x:c>
      <x:c r="F1652" s="55" t="n">
        <x:v>33.605529</x:v>
      </x:c>
      <x:c r="G1652" s="55" t="n">
        <x:v>-90.59509</x:v>
      </x:c>
      <x:c r="H1652" s="43" t="n">
        <x:f>E1652/SUMIF(A:A,A1652,E:E)</x:f>
        <x:v>0.0026962206272361034</x:v>
      </x:c>
    </x:row>
    <x:row r="1653" ht="21.600000381469727" hidden="0" customHeight="1">
      <x:c r="A1653" s="29" t="str">
        <x:v>SCA-20</x:v>
      </x:c>
      <x:c r="B1653" s="29" t="str">
        <x:v>05111</x:v>
      </x:c>
      <x:c r="C1653" s="29" t="str">
        <x:v>AR</x:v>
      </x:c>
      <x:c r="D1653" s="29" t="str">
        <x:v>Poinsett County</x:v>
      </x:c>
      <x:c r="E1653" s="41" t="n">
        <x:v>22483</x:v>
      </x:c>
      <x:c r="F1653" s="56" t="n">
        <x:v>35.56887</x:v>
      </x:c>
      <x:c r="G1653" s="56" t="n">
        <x:v>-90.681104</x:v>
      </x:c>
      <x:c r="H1653" s="44" t="n">
        <x:f>E1653/SUMIF(A:A,A1653,E:E)</x:f>
        <x:v>0.0026479329210740976</x:v>
      </x:c>
    </x:row>
    <x:row r="1654" ht="21.600000381469727" hidden="0" customHeight="1">
      <x:c r="A1654" s="27" t="str">
        <x:v>SCA-20</x:v>
      </x:c>
      <x:c r="B1654" s="27" t="str">
        <x:v>05123</x:v>
      </x:c>
      <x:c r="C1654" s="27" t="str">
        <x:v>AR</x:v>
      </x:c>
      <x:c r="D1654" s="27" t="str">
        <x:v>St. Francis County</x:v>
      </x:c>
      <x:c r="E1654" s="40" t="n">
        <x:v>21800</x:v>
      </x:c>
      <x:c r="F1654" s="55" t="n">
        <x:v>35.022838</x:v>
      </x:c>
      <x:c r="G1654" s="55" t="n">
        <x:v>-90.751506</x:v>
      </x:c>
      <x:c r="H1654" s="43" t="n">
        <x:f>E1654/SUMIF(A:A,A1654,E:E)</x:f>
        <x:v>0.0025674926691017803</x:v>
      </x:c>
    </x:row>
    <x:row r="1655" ht="21.600000381469727" hidden="0" customHeight="1">
      <x:c r="A1655" s="29" t="str">
        <x:v>SCA-20</x:v>
      </x:c>
      <x:c r="B1655" s="29" t="str">
        <x:v>05103</x:v>
      </x:c>
      <x:c r="C1655" s="29" t="str">
        <x:v>AR</x:v>
      </x:c>
      <x:c r="D1655" s="29" t="str">
        <x:v>Ouachita County</x:v>
      </x:c>
      <x:c r="E1655" s="41" t="n">
        <x:v>21731</x:v>
      </x:c>
      <x:c r="F1655" s="56" t="n">
        <x:v>33.591168</x:v>
      </x:c>
      <x:c r="G1655" s="56" t="n">
        <x:v>-92.878413</x:v>
      </x:c>
      <x:c r="H1655" s="44" t="n">
        <x:f>E1655/SUMIF(A:A,A1655,E:E)</x:f>
        <x:v>0.002559366201479394</x:v>
      </x:c>
    </x:row>
    <x:row r="1656" ht="21.600000381469727" hidden="0" customHeight="1">
      <x:c r="A1656" s="27" t="str">
        <x:v>SCA-20</x:v>
      </x:c>
      <x:c r="B1656" s="27" t="str">
        <x:v>28079</x:v>
      </x:c>
      <x:c r="C1656" s="27" t="str">
        <x:v>MS</x:v>
      </x:c>
      <x:c r="D1656" s="27" t="str">
        <x:v>Leake County</x:v>
      </x:c>
      <x:c r="E1656" s="40" t="n">
        <x:v>21662</x:v>
      </x:c>
      <x:c r="F1656" s="55" t="n">
        <x:v>32.76063</x:v>
      </x:c>
      <x:c r="G1656" s="55" t="n">
        <x:v>-89.52225</x:v>
      </x:c>
      <x:c r="H1656" s="43" t="n">
        <x:f>E1656/SUMIF(A:A,A1656,E:E)</x:f>
        <x:v>0.0025512397338570076</x:v>
      </x:c>
    </x:row>
    <x:row r="1657" ht="21.600000381469727" hidden="0" customHeight="1">
      <x:c r="A1657" s="29" t="str">
        <x:v>SCA-20</x:v>
      </x:c>
      <x:c r="B1657" s="29" t="str">
        <x:v>05083</x:v>
      </x:c>
      <x:c r="C1657" s="29" t="str">
        <x:v>AR</x:v>
      </x:c>
      <x:c r="D1657" s="29" t="str">
        <x:v>Logan County</x:v>
      </x:c>
      <x:c r="E1657" s="41" t="n">
        <x:v>21633</x:v>
      </x:c>
      <x:c r="F1657" s="56" t="n">
        <x:v>35.218654</x:v>
      </x:c>
      <x:c r="G1657" s="56" t="n">
        <x:v>-93.72091</x:v>
      </x:c>
      <x:c r="H1657" s="44" t="n">
        <x:f>E1657/SUMIF(A:A,A1657,E:E)</x:f>
        <x:v>0.002547824261957744</x:v>
      </x:c>
    </x:row>
    <x:row r="1658" ht="21.600000381469727" hidden="0" customHeight="1">
      <x:c r="A1658" s="27" t="str">
        <x:v>SCA-20</x:v>
      </x:c>
      <x:c r="B1658" s="27" t="str">
        <x:v>05029</x:v>
      </x:c>
      <x:c r="C1658" s="27" t="str">
        <x:v>AR</x:v>
      </x:c>
      <x:c r="D1658" s="27" t="str">
        <x:v>Conway County</x:v>
      </x:c>
      <x:c r="E1658" s="40" t="n">
        <x:v>21393</x:v>
      </x:c>
      <x:c r="F1658" s="55" t="n">
        <x:v>35.26569</x:v>
      </x:c>
      <x:c r="G1658" s="55" t="n">
        <x:v>-92.689249</x:v>
      </x:c>
      <x:c r="H1658" s="43" t="n">
        <x:f>E1658/SUMIF(A:A,A1658,E:E)</x:f>
        <x:v>0.0025195582876190088</x:v>
      </x:c>
    </x:row>
    <x:row r="1659" ht="21.600000381469727" hidden="0" customHeight="1">
      <x:c r="A1659" s="29" t="str">
        <x:v>SCA-20</x:v>
      </x:c>
      <x:c r="B1659" s="29" t="str">
        <x:v>28139</x:v>
      </x:c>
      <x:c r="C1659" s="29" t="str">
        <x:v>MS</x:v>
      </x:c>
      <x:c r="D1659" s="29" t="str">
        <x:v>Tippah County</x:v>
      </x:c>
      <x:c r="E1659" s="41" t="n">
        <x:v>21389</x:v>
      </x:c>
      <x:c r="F1659" s="56" t="n">
        <x:v>34.763618</x:v>
      </x:c>
      <x:c r="G1659" s="56" t="n">
        <x:v>-88.918819</x:v>
      </x:c>
      <x:c r="H1659" s="44" t="n">
        <x:f>E1659/SUMIF(A:A,A1659,E:E)</x:f>
        <x:v>0.0025190871880466964</x:v>
      </x:c>
    </x:row>
    <x:row r="1660" ht="21.600000381469727" hidden="0" customHeight="1">
      <x:c r="A1660" s="27" t="str">
        <x:v>SCA-20</x:v>
      </x:c>
      <x:c r="B1660" s="27" t="str">
        <x:v>28101</x:v>
      </x:c>
      <x:c r="C1660" s="27" t="str">
        <x:v>MS</x:v>
      </x:c>
      <x:c r="D1660" s="27" t="str">
        <x:v>Newton County</x:v>
      </x:c>
      <x:c r="E1660" s="40" t="n">
        <x:v>20960</x:v>
      </x:c>
      <x:c r="F1660" s="55" t="n">
        <x:v>32.40197</x:v>
      </x:c>
      <x:c r="G1660" s="55" t="n">
        <x:v>-89.118412</x:v>
      </x:c>
      <x:c r="H1660" s="43" t="n">
        <x:f>E1660/SUMIF(A:A,A1660,E:E)</x:f>
        <x:v>0.002468561758916207</x:v>
      </x:c>
    </x:row>
    <x:row r="1661" ht="15" hidden="0" customHeight="1">
      <x:c r="A1661" s="29" t="str">
        <x:v>SCA-20</x:v>
      </x:c>
      <x:c r="B1661" s="29" t="str">
        <x:v>05019</x:v>
      </x:c>
      <x:c r="C1661" s="29" t="str">
        <x:v>AR</x:v>
      </x:c>
      <x:c r="D1661" s="29" t="str">
        <x:v>Clark County</x:v>
      </x:c>
      <x:c r="E1661" s="41" t="n">
        <x:v>20938</x:v>
      </x:c>
      <x:c r="F1661" s="56" t="n">
        <x:v>34.053316</x:v>
      </x:c>
      <x:c r="G1661" s="56" t="n">
        <x:v>-93.176208</x:v>
      </x:c>
      <x:c r="H1661" s="44" t="n">
        <x:f>E1661/SUMIF(A:A,A1661,E:E)</x:f>
        <x:v>0.00246597071126849</x:v>
      </x:c>
    </x:row>
    <x:row r="1662" ht="21.600000381469727" hidden="0" customHeight="1">
      <x:c r="A1662" s="27" t="str">
        <x:v>SCA-20</x:v>
      </x:c>
      <x:c r="B1662" s="27" t="str">
        <x:v>28043</x:v>
      </x:c>
      <x:c r="C1662" s="27" t="str">
        <x:v>MS</x:v>
      </x:c>
      <x:c r="D1662" s="27" t="str">
        <x:v>Grenada County</x:v>
      </x:c>
      <x:c r="E1662" s="40" t="n">
        <x:v>20868</x:v>
      </x:c>
      <x:c r="F1662" s="55" t="n">
        <x:v>33.770031</x:v>
      </x:c>
      <x:c r="G1662" s="55" t="n">
        <x:v>-89.80274</x:v>
      </x:c>
      <x:c r="H1662" s="43" t="n">
        <x:f>E1662/SUMIF(A:A,A1662,E:E)</x:f>
        <x:v>0.0024577264687530255</x:v>
      </x:c>
    </x:row>
    <x:row r="1663" ht="15" hidden="0" customHeight="1">
      <x:c r="A1663" s="29" t="str">
        <x:v>SCA-20</x:v>
      </x:c>
      <x:c r="B1663" s="29" t="str">
        <x:v>22111</x:v>
      </x:c>
      <x:c r="C1663" s="29" t="str">
        <x:v>LA</x:v>
      </x:c>
      <x:c r="D1663" s="29" t="str">
        <x:v>Union Parish</x:v>
      </x:c>
      <x:c r="E1663" s="41" t="n">
        <x:v>20561</x:v>
      </x:c>
      <x:c r="F1663" s="56" t="n">
        <x:v>32.829349</x:v>
      </x:c>
      <x:c r="G1663" s="56" t="n">
        <x:v>-92.37565</x:v>
      </x:c>
      <x:c r="H1663" s="44" t="n">
        <x:f>E1663/SUMIF(A:A,A1663,E:E)</x:f>
        <x:v>0.0024215695765780598</x:v>
      </x:c>
    </x:row>
    <x:row r="1664" ht="15" hidden="0" customHeight="1">
      <x:c r="A1664" s="27" t="str">
        <x:v>SCA-20</x:v>
      </x:c>
      <x:c r="B1664" s="27" t="str">
        <x:v>05149</x:v>
      </x:c>
      <x:c r="C1664" s="27" t="str">
        <x:v>AR</x:v>
      </x:c>
      <x:c r="D1664" s="27" t="str">
        <x:v>Yell County</x:v>
      </x:c>
      <x:c r="E1664" s="40" t="n">
        <x:v>19956</x:v>
      </x:c>
      <x:c r="F1664" s="55" t="n">
        <x:v>34.997713</x:v>
      </x:c>
      <x:c r="G1664" s="55" t="n">
        <x:v>-93.408303</x:v>
      </x:c>
      <x:c r="H1664" s="43" t="n">
        <x:f>E1664/SUMIF(A:A,A1664,E:E)</x:f>
        <x:v>0.0023503157662658316</x:v>
      </x:c>
    </x:row>
    <x:row r="1665" ht="21.600000381469727" hidden="0" customHeight="1">
      <x:c r="A1665" s="29" t="str">
        <x:v>SCA-20</x:v>
      </x:c>
      <x:c r="B1665" s="29" t="str">
        <x:v>28027</x:v>
      </x:c>
      <x:c r="C1665" s="29" t="str">
        <x:v>MS</x:v>
      </x:c>
      <x:c r="D1665" s="29" t="str">
        <x:v>Coahoma County</x:v>
      </x:c>
      <x:c r="E1665" s="41" t="n">
        <x:v>19849</x:v>
      </x:c>
      <x:c r="F1665" s="56" t="n">
        <x:v>34.230316</x:v>
      </x:c>
      <x:c r="G1665" s="56" t="n">
        <x:v>-90.60401</x:v>
      </x:c>
      <x:c r="H1665" s="44" t="n">
        <x:f>E1665/SUMIF(A:A,A1665,E:E)</x:f>
        <x:v>0.0023377138527064787</x:v>
      </x:c>
    </x:row>
    <x:row r="1666" ht="21.600000381469727" hidden="0" customHeight="1">
      <x:c r="A1666" s="27" t="str">
        <x:v>SCA-20</x:v>
      </x:c>
      <x:c r="B1666" s="27" t="str">
        <x:v>28153</x:v>
      </x:c>
      <x:c r="C1666" s="27" t="str">
        <x:v>MS</x:v>
      </x:c>
      <x:c r="D1666" s="27" t="str">
        <x:v>Wayne County</x:v>
      </x:c>
      <x:c r="E1666" s="40" t="n">
        <x:v>19807</x:v>
      </x:c>
      <x:c r="F1666" s="55" t="n">
        <x:v>31.642503</x:v>
      </x:c>
      <x:c r="G1666" s="55" t="n">
        <x:v>-88.678214</x:v>
      </x:c>
      <x:c r="H1666" s="43" t="n">
        <x:f>E1666/SUMIF(A:A,A1666,E:E)</x:f>
        <x:v>0.0023327673071972003</x:v>
      </x:c>
    </x:row>
    <x:row r="1667" ht="21.600000381469727" hidden="0" customHeight="1">
      <x:c r="A1667" s="29" t="str">
        <x:v>SCA-20</x:v>
      </x:c>
      <x:c r="B1667" s="29" t="str">
        <x:v>28131</x:v>
      </x:c>
      <x:c r="C1667" s="29" t="str">
        <x:v>MS</x:v>
      </x:c>
      <x:c r="D1667" s="29" t="str">
        <x:v>Stone County</x:v>
      </x:c>
      <x:c r="E1667" s="41" t="n">
        <x:v>19654</x:v>
      </x:c>
      <x:c r="F1667" s="56" t="n">
        <x:v>30.790184</x:v>
      </x:c>
      <x:c r="G1667" s="56" t="n">
        <x:v>-89.112297</x:v>
      </x:c>
      <x:c r="H1667" s="44" t="n">
        <x:f>E1667/SUMIF(A:A,A1667,E:E)</x:f>
        <x:v>0.0023147477485562563</x:v>
      </x:c>
    </x:row>
    <x:row r="1668" ht="21.600000381469727" hidden="0" customHeight="1">
      <x:c r="A1668" s="27" t="str">
        <x:v>SCA-20</x:v>
      </x:c>
      <x:c r="B1668" s="27" t="str">
        <x:v>47085</x:v>
      </x:c>
      <x:c r="C1668" s="27" t="str">
        <x:v>TN</x:v>
      </x:c>
      <x:c r="D1668" s="27" t="str">
        <x:v>Humphreys County</x:v>
      </x:c>
      <x:c r="E1668" s="40" t="n">
        <x:v>19646</x:v>
      </x:c>
      <x:c r="F1668" s="55" t="n">
        <x:v>36.040822</x:v>
      </x:c>
      <x:c r="G1668" s="55" t="n">
        <x:v>-87.790453</x:v>
      </x:c>
      <x:c r="H1668" s="43" t="n">
        <x:f>E1668/SUMIF(A:A,A1668,E:E)</x:f>
        <x:v>0.002313805549411632</x:v>
      </x:c>
    </x:row>
    <x:row r="1669" ht="21.600000381469727" hidden="0" customHeight="1">
      <x:c r="A1669" s="29" t="str">
        <x:v>SCA-20</x:v>
      </x:c>
      <x:c r="B1669" s="29" t="str">
        <x:v>22083</x:v>
      </x:c>
      <x:c r="C1669" s="29" t="str">
        <x:v>LA</x:v>
      </x:c>
      <x:c r="D1669" s="29" t="str">
        <x:v>Richland Parish</x:v>
      </x:c>
      <x:c r="E1669" s="41" t="n">
        <x:v>19582</x:v>
      </x:c>
      <x:c r="F1669" s="56" t="n">
        <x:v>32.413158</x:v>
      </x:c>
      <x:c r="G1669" s="56" t="n">
        <x:v>-91.748353</x:v>
      </x:c>
      <x:c r="H1669" s="44" t="n">
        <x:f>E1669/SUMIF(A:A,A1669,E:E)</x:f>
        <x:v>0.002306267956254636</x:v>
      </x:c>
    </x:row>
    <x:row r="1670" ht="21.600000381469727" hidden="0" customHeight="1">
      <x:c r="A1670" s="27" t="str">
        <x:v>SCA-20</x:v>
      </x:c>
      <x:c r="B1670" s="27" t="str">
        <x:v>22041</x:v>
      </x:c>
      <x:c r="C1670" s="27" t="str">
        <x:v>LA</x:v>
      </x:c>
      <x:c r="D1670" s="27" t="str">
        <x:v>Franklin Parish</x:v>
      </x:c>
      <x:c r="E1670" s="40" t="n">
        <x:v>19002</x:v>
      </x:c>
      <x:c r="F1670" s="55" t="n">
        <x:v>32.139076</x:v>
      </x:c>
      <x:c r="G1670" s="55" t="n">
        <x:v>-91.672371</x:v>
      </x:c>
      <x:c r="H1670" s="43" t="n">
        <x:f>E1670/SUMIF(A:A,A1670,E:E)</x:f>
        <x:v>0.0022379585182693592</x:v>
      </x:c>
    </x:row>
    <x:row r="1671" ht="21.600000381469727" hidden="0" customHeight="1">
      <x:c r="A1671" s="29" t="str">
        <x:v>SCA-20</x:v>
      </x:c>
      <x:c r="B1671" s="29" t="str">
        <x:v>05121</x:v>
      </x:c>
      <x:c r="C1671" s="29" t="str">
        <x:v>AR</x:v>
      </x:c>
      <x:c r="D1671" s="29" t="str">
        <x:v>Randolph County</x:v>
      </x:c>
      <x:c r="E1671" s="41" t="n">
        <x:v>18876</x:v>
      </x:c>
      <x:c r="F1671" s="56" t="n">
        <x:v>36.341298</x:v>
      </x:c>
      <x:c r="G1671" s="56" t="n">
        <x:v>-91.028441</x:v>
      </x:c>
      <x:c r="H1671" s="44" t="n">
        <x:f>E1671/SUMIF(A:A,A1671,E:E)</x:f>
        <x:v>0.002223118881741523</x:v>
      </x:c>
    </x:row>
    <x:row r="1672" ht="21.600000381469727" hidden="0" customHeight="1">
      <x:c r="A1672" s="27" t="str">
        <x:v>SCA-20</x:v>
      </x:c>
      <x:c r="B1672" s="27" t="str">
        <x:v>05053</x:v>
      </x:c>
      <x:c r="C1672" s="27" t="str">
        <x:v>AR</x:v>
      </x:c>
      <x:c r="D1672" s="27" t="str">
        <x:v>Grant County</x:v>
      </x:c>
      <x:c r="E1672" s="40" t="n">
        <x:v>18756</x:v>
      </x:c>
      <x:c r="F1672" s="55" t="n">
        <x:v>34.285568</x:v>
      </x:c>
      <x:c r="G1672" s="55" t="n">
        <x:v>-92.422979</x:v>
      </x:c>
      <x:c r="H1672" s="43" t="n">
        <x:f>E1672/SUMIF(A:A,A1672,E:E)</x:f>
        <x:v>0.0022089858945721556</x:v>
      </x:c>
    </x:row>
    <x:row r="1673" ht="21.600000381469727" hidden="0" customHeight="1">
      <x:c r="A1673" s="29" t="str">
        <x:v>SCA-20</x:v>
      </x:c>
      <x:c r="B1673" s="29" t="str">
        <x:v>28141</x:v>
      </x:c>
      <x:c r="C1673" s="29" t="str">
        <x:v>MS</x:v>
      </x:c>
      <x:c r="D1673" s="29" t="str">
        <x:v>Tishomingo County</x:v>
      </x:c>
      <x:c r="E1673" s="41" t="n">
        <x:v>18639</x:v>
      </x:c>
      <x:c r="F1673" s="56" t="n">
        <x:v>34.738835</x:v>
      </x:c>
      <x:c r="G1673" s="56" t="n">
        <x:v>-88.234827</x:v>
      </x:c>
      <x:c r="H1673" s="44" t="n">
        <x:f>E1673/SUMIF(A:A,A1673,E:E)</x:f>
        <x:v>0.0021952062320820223</x:v>
      </x:c>
    </x:row>
    <x:row r="1674" ht="21.600000381469727" hidden="0" customHeight="1">
      <x:c r="A1674" s="27" t="str">
        <x:v>SCA-20</x:v>
      </x:c>
      <x:c r="B1674" s="27" t="str">
        <x:v>05087</x:v>
      </x:c>
      <x:c r="C1674" s="27" t="str">
        <x:v>AR</x:v>
      </x:c>
      <x:c r="D1674" s="27" t="str">
        <x:v>Madison County</x:v>
      </x:c>
      <x:c r="E1674" s="40" t="n">
        <x:v>18410</x:v>
      </x:c>
      <x:c r="F1674" s="55" t="n">
        <x:v>36.012545</x:v>
      </x:c>
      <x:c r="G1674" s="55" t="n">
        <x:v>-93.724053</x:v>
      </x:c>
      <x:c r="H1674" s="43" t="n">
        <x:f>E1674/SUMIF(A:A,A1674,E:E)</x:f>
        <x:v>0.0021682357815671458</x:v>
      </x:c>
    </x:row>
    <x:row r="1675" ht="15" hidden="0" customHeight="1">
      <x:c r="A1675" s="29" t="str">
        <x:v>SCA-20</x:v>
      </x:c>
      <x:c r="B1675" s="29" t="str">
        <x:v>28025</x:v>
      </x:c>
      <x:c r="C1675" s="29" t="str">
        <x:v>MS</x:v>
      </x:c>
      <x:c r="D1675" s="29" t="str">
        <x:v>Clay County</x:v>
      </x:c>
      <x:c r="E1675" s="41" t="n">
        <x:v>18238</x:v>
      </x:c>
      <x:c r="F1675" s="56" t="n">
        <x:v>33.65967</x:v>
      </x:c>
      <x:c r="G1675" s="56" t="n">
        <x:v>-88.782468</x:v>
      </x:c>
      <x:c r="H1675" s="44" t="n">
        <x:f>E1675/SUMIF(A:A,A1675,E:E)</x:f>
        <x:v>0.002147978499957719</x:v>
      </x:c>
    </x:row>
    <x:row r="1676" ht="21.600000381469727" hidden="0" customHeight="1">
      <x:c r="A1676" s="27" t="str">
        <x:v>SCA-20</x:v>
      </x:c>
      <x:c r="B1676" s="27" t="str">
        <x:v>01107</x:v>
      </x:c>
      <x:c r="C1676" s="27" t="str">
        <x:v>AL</x:v>
      </x:c>
      <x:c r="D1676" s="27" t="str">
        <x:v>Pickens County</x:v>
      </x:c>
      <x:c r="E1676" s="40" t="n">
        <x:v>18221</x:v>
      </x:c>
      <x:c r="F1676" s="55" t="n">
        <x:v>33.2968</x:v>
      </x:c>
      <x:c r="G1676" s="55" t="n">
        <x:v>-88.096864</x:v>
      </x:c>
      <x:c r="H1676" s="43" t="n">
        <x:f>E1676/SUMIF(A:A,A1676,E:E)</x:f>
        <x:v>0.002145976326775392</x:v>
      </x:c>
    </x:row>
    <x:row r="1677" ht="21.600000381469727" hidden="0" customHeight="1">
      <x:c r="A1677" s="29" t="str">
        <x:v>SCA-20</x:v>
      </x:c>
      <x:c r="B1677" s="29" t="str">
        <x:v>05135</x:v>
      </x:c>
      <x:c r="C1677" s="29" t="str">
        <x:v>AR</x:v>
      </x:c>
      <x:c r="D1677" s="29" t="str">
        <x:v>Sharp County</x:v>
      </x:c>
      <x:c r="E1677" s="41" t="n">
        <x:v>18122</x:v>
      </x:c>
      <x:c r="F1677" s="56" t="n">
        <x:v>36.173399</x:v>
      </x:c>
      <x:c r="G1677" s="56" t="n">
        <x:v>-91.471069</x:v>
      </x:c>
      <x:c r="H1677" s="44" t="n">
        <x:f>E1677/SUMIF(A:A,A1677,E:E)</x:f>
        <x:v>0.0021343166123606633</x:v>
      </x:c>
    </x:row>
    <x:row r="1678" ht="21.600000381469727" hidden="0" customHeight="1">
      <x:c r="A1678" s="27" t="str">
        <x:v>SCA-20</x:v>
      </x:c>
      <x:c r="B1678" s="27" t="str">
        <x:v>47023</x:v>
      </x:c>
      <x:c r="C1678" s="27" t="str">
        <x:v>TN</x:v>
      </x:c>
      <x:c r="D1678" s="27" t="str">
        <x:v>Chester County</x:v>
      </x:c>
      <x:c r="E1678" s="40" t="n">
        <x:v>17994</x:v>
      </x:c>
      <x:c r="F1678" s="55" t="n">
        <x:v>35.420253</x:v>
      </x:c>
      <x:c r="G1678" s="55" t="n">
        <x:v>-88.611353</x:v>
      </x:c>
      <x:c r="H1678" s="43" t="n">
        <x:f>E1678/SUMIF(A:A,A1678,E:E)</x:f>
        <x:v>0.0021192414260466715</x:v>
      </x:c>
    </x:row>
    <x:row r="1679" ht="21.600000381469727" hidden="0" customHeight="1">
      <x:c r="A1679" s="29" t="str">
        <x:v>SCA-20</x:v>
      </x:c>
      <x:c r="B1679" s="29" t="str">
        <x:v>28031</x:v>
      </x:c>
      <x:c r="C1679" s="29" t="str">
        <x:v>MS</x:v>
      </x:c>
      <x:c r="D1679" s="29" t="str">
        <x:v>Covington County</x:v>
      </x:c>
      <x:c r="E1679" s="41" t="n">
        <x:v>17898</x:v>
      </x:c>
      <x:c r="F1679" s="56" t="n">
        <x:v>31.633331</x:v>
      </x:c>
      <x:c r="G1679" s="56" t="n">
        <x:v>-89.548897</x:v>
      </x:c>
      <x:c r="H1679" s="44" t="n">
        <x:f>E1679/SUMIF(A:A,A1679,E:E)</x:f>
        <x:v>0.002107935036311177</x:v>
      </x:c>
    </x:row>
    <x:row r="1680" ht="21.600000381469727" hidden="0" customHeight="1">
      <x:c r="A1680" s="27" t="str">
        <x:v>SCA-20</x:v>
      </x:c>
      <x:c r="B1680" s="27" t="str">
        <x:v>05003</x:v>
      </x:c>
      <x:c r="C1680" s="27" t="str">
        <x:v>AR</x:v>
      </x:c>
      <x:c r="D1680" s="27" t="str">
        <x:v>Ashley County</x:v>
      </x:c>
      <x:c r="E1680" s="40" t="n">
        <x:v>17831</x:v>
      </x:c>
      <x:c r="F1680" s="55" t="n">
        <x:v>33.190835</x:v>
      </x:c>
      <x:c r="G1680" s="55" t="n">
        <x:v>-91.772267</x:v>
      </x:c>
      <x:c r="H1680" s="43" t="n">
        <x:f>E1680/SUMIF(A:A,A1680,E:E)</x:f>
        <x:v>0.002100044118474947</x:v>
      </x:c>
    </x:row>
    <x:row r="1681" ht="21.600000381469727" hidden="0" customHeight="1">
      <x:c r="A1681" s="29" t="str">
        <x:v>SCA-20</x:v>
      </x:c>
      <x:c r="B1681" s="29" t="str">
        <x:v>05047</x:v>
      </x:c>
      <x:c r="C1681" s="29" t="str">
        <x:v>AR</x:v>
      </x:c>
      <x:c r="D1681" s="29" t="str">
        <x:v>Franklin County</x:v>
      </x:c>
      <x:c r="E1681" s="41" t="n">
        <x:v>17725</x:v>
      </x:c>
      <x:c r="F1681" s="56" t="n">
        <x:v>35.508558</x:v>
      </x:c>
      <x:c r="G1681" s="56" t="n">
        <x:v>-93.887665</x:v>
      </x:c>
      <x:c r="H1681" s="44" t="n">
        <x:f>E1681/SUMIF(A:A,A1681,E:E)</x:f>
        <x:v>0.0020875599798086722</x:v>
      </x:c>
    </x:row>
    <x:row r="1682" ht="21.600000381469727" hidden="0" customHeight="1">
      <x:c r="A1682" s="27" t="str">
        <x:v>SCA-20</x:v>
      </x:c>
      <x:c r="B1682" s="27" t="str">
        <x:v>05089</x:v>
      </x:c>
      <x:c r="C1682" s="27" t="str">
        <x:v>AR</x:v>
      </x:c>
      <x:c r="D1682" s="27" t="str">
        <x:v>Marion County</x:v>
      </x:c>
      <x:c r="E1682" s="40" t="n">
        <x:v>17593</x:v>
      </x:c>
      <x:c r="F1682" s="55" t="n">
        <x:v>36.266664</x:v>
      </x:c>
      <x:c r="G1682" s="55" t="n">
        <x:v>-92.678577</x:v>
      </x:c>
      <x:c r="H1682" s="43" t="n">
        <x:f>E1682/SUMIF(A:A,A1682,E:E)</x:f>
        <x:v>0.002072013693922368</x:v>
      </x:c>
    </x:row>
    <x:row r="1683" ht="21.600000381469727" hidden="0" customHeight="1">
      <x:c r="A1683" s="29" t="str">
        <x:v>SCA-20</x:v>
      </x:c>
      <x:c r="B1683" s="29" t="str">
        <x:v>28159</x:v>
      </x:c>
      <x:c r="C1683" s="29" t="str">
        <x:v>MS</x:v>
      </x:c>
      <x:c r="D1683" s="29" t="str">
        <x:v>Winston County</x:v>
      </x:c>
      <x:c r="E1683" s="41" t="n">
        <x:v>17473</x:v>
      </x:c>
      <x:c r="F1683" s="56" t="n">
        <x:v>33.078724</x:v>
      </x:c>
      <x:c r="G1683" s="56" t="n">
        <x:v>-89.037391</x:v>
      </x:c>
      <x:c r="H1683" s="44" t="n">
        <x:f>E1683/SUMIF(A:A,A1683,E:E)</x:f>
        <x:v>0.0020578807067530005</x:v>
      </x:c>
    </x:row>
    <x:row r="1684" ht="21.600000381469727" hidden="0" customHeight="1">
      <x:c r="A1684" s="27" t="str">
        <x:v>SCA-20</x:v>
      </x:c>
      <x:c r="B1684" s="27" t="str">
        <x:v>28007</x:v>
      </x:c>
      <x:c r="C1684" s="27" t="str">
        <x:v>MS</x:v>
      </x:c>
      <x:c r="D1684" s="27" t="str">
        <x:v>Attala County</x:v>
      </x:c>
      <x:c r="E1684" s="40" t="n">
        <x:v>17100</x:v>
      </x:c>
      <x:c r="F1684" s="55" t="n">
        <x:v>33.090468</x:v>
      </x:c>
      <x:c r="G1684" s="55" t="n">
        <x:v>-89.588622</x:v>
      </x:c>
      <x:c r="H1684" s="43" t="n">
        <x:f>E1684/SUMIF(A:A,A1684,E:E)</x:f>
        <x:v>0.0020139506716348827</x:v>
      </x:c>
    </x:row>
    <x:row r="1685" ht="15" hidden="0" customHeight="1">
      <x:c r="A1685" s="29" t="str">
        <x:v>SCA-20</x:v>
      </x:c>
      <x:c r="B1685" s="29" t="str">
        <x:v>05043</x:v>
      </x:c>
      <x:c r="C1685" s="29" t="str">
        <x:v>AR</x:v>
      </x:c>
      <x:c r="D1685" s="29" t="str">
        <x:v>Drew County</x:v>
      </x:c>
      <x:c r="E1685" s="41" t="n">
        <x:v>17054</x:v>
      </x:c>
      <x:c r="F1685" s="56" t="n">
        <x:v>33.587242</x:v>
      </x:c>
      <x:c r="G1685" s="56" t="n">
        <x:v>-91.722778</x:v>
      </x:c>
      <x:c r="H1685" s="44" t="n">
        <x:f>E1685/SUMIF(A:A,A1685,E:E)</x:f>
        <x:v>0.002008533026553292</x:v>
      </x:c>
    </x:row>
    <x:row r="1686" ht="21.600000381469727" hidden="0" customHeight="1">
      <x:c r="A1686" s="27" t="str">
        <x:v>SCA-20</x:v>
      </x:c>
      <x:c r="B1686" s="27" t="str">
        <x:v>47075</x:v>
      </x:c>
      <x:c r="C1686" s="27" t="str">
        <x:v>TN</x:v>
      </x:c>
      <x:c r="D1686" s="27" t="str">
        <x:v>Haywood County</x:v>
      </x:c>
      <x:c r="E1686" s="40" t="n">
        <x:v>17042</x:v>
      </x:c>
      <x:c r="F1686" s="55" t="n">
        <x:v>35.586678</x:v>
      </x:c>
      <x:c r="G1686" s="55" t="n">
        <x:v>-89.282691</x:v>
      </x:c>
      <x:c r="H1686" s="43" t="n">
        <x:f>E1686/SUMIF(A:A,A1686,E:E)</x:f>
        <x:v>0.002007119727836355</x:v>
      </x:c>
    </x:row>
    <x:row r="1687" ht="21.600000381469727" hidden="0" customHeight="1">
      <x:c r="A1687" s="29" t="str">
        <x:v>SCA-20</x:v>
      </x:c>
      <x:c r="B1687" s="29" t="str">
        <x:v>05067</x:v>
      </x:c>
      <x:c r="C1687" s="29" t="str">
        <x:v>AR</x:v>
      </x:c>
      <x:c r="D1687" s="29" t="str">
        <x:v>Jackson County</x:v>
      </x:c>
      <x:c r="E1687" s="41" t="n">
        <x:v>16741</x:v>
      </x:c>
      <x:c r="F1687" s="56" t="n">
        <x:v>35.596467</x:v>
      </x:c>
      <x:c r="G1687" s="56" t="n">
        <x:v>-91.223205</x:v>
      </x:c>
      <x:c r="H1687" s="44" t="n">
        <x:f>E1687/SUMIF(A:A,A1687,E:E)</x:f>
        <x:v>0.001971669485019858</x:v>
      </x:c>
    </x:row>
    <x:row r="1688" ht="21.600000381469727" hidden="0" customHeight="1">
      <x:c r="A1688" s="27" t="str">
        <x:v>SCA-20</x:v>
      </x:c>
      <x:c r="B1688" s="27" t="str">
        <x:v>28017</x:v>
      </x:c>
      <x:c r="C1688" s="27" t="str">
        <x:v>MS</x:v>
      </x:c>
      <x:c r="D1688" s="27" t="str">
        <x:v>Chickasaw County</x:v>
      </x:c>
      <x:c r="E1688" s="40" t="n">
        <x:v>16730</x:v>
      </x:c>
      <x:c r="F1688" s="55" t="n">
        <x:v>33.933277</x:v>
      </x:c>
      <x:c r="G1688" s="55" t="n">
        <x:v>-88.947558</x:v>
      </x:c>
      <x:c r="H1688" s="43" t="n">
        <x:f>E1688/SUMIF(A:A,A1688,E:E)</x:f>
        <x:v>0.001970373961195999</x:v>
      </x:c>
    </x:row>
    <x:row r="1689" ht="21.600000381469727" hidden="0" customHeight="1">
      <x:c r="A1689" s="29" t="str">
        <x:v>SCA-20</x:v>
      </x:c>
      <x:c r="B1689" s="29" t="str">
        <x:v>47181</x:v>
      </x:c>
      <x:c r="C1689" s="29" t="str">
        <x:v>TN</x:v>
      </x:c>
      <x:c r="D1689" s="29" t="str">
        <x:v>Wayne County</x:v>
      </x:c>
      <x:c r="E1689" s="41" t="n">
        <x:v>16416</x:v>
      </x:c>
      <x:c r="F1689" s="56" t="n">
        <x:v>35.242847</x:v>
      </x:c>
      <x:c r="G1689" s="56" t="n">
        <x:v>-87.819843</x:v>
      </x:c>
      <x:c r="H1689" s="44" t="n">
        <x:f>E1689/SUMIF(A:A,A1689,E:E)</x:f>
        <x:v>0.0019333926447694875</x:v>
      </x:c>
    </x:row>
    <x:row r="1690" ht="21.600000381469727" hidden="0" customHeight="1">
      <x:c r="A1690" s="27" t="str">
        <x:v>SCA-20</x:v>
      </x:c>
      <x:c r="B1690" s="27" t="str">
        <x:v>05075</x:v>
      </x:c>
      <x:c r="C1690" s="27" t="str">
        <x:v>AR</x:v>
      </x:c>
      <x:c r="D1690" s="27" t="str">
        <x:v>Lawrence County</x:v>
      </x:c>
      <x:c r="E1690" s="40" t="n">
        <x:v>16273</x:v>
      </x:c>
      <x:c r="F1690" s="55" t="n">
        <x:v>36.041098</x:v>
      </x:c>
      <x:c r="G1690" s="55" t="n">
        <x:v>-91.101153</x:v>
      </x:c>
      <x:c r="H1690" s="43" t="n">
        <x:f>E1690/SUMIF(A:A,A1690,E:E)</x:f>
        <x:v>0.0019165508350593244</x:v>
      </x:c>
    </x:row>
    <x:row r="1691" ht="21.600000381469727" hidden="0" customHeight="1">
      <x:c r="A1691" s="29" t="str">
        <x:v>SCA-20</x:v>
      </x:c>
      <x:c r="B1691" s="29" t="str">
        <x:v>05141</x:v>
      </x:c>
      <x:c r="C1691" s="29" t="str">
        <x:v>AR</x:v>
      </x:c>
      <x:c r="D1691" s="29" t="str">
        <x:v>Van Buren County</x:v>
      </x:c>
      <x:c r="E1691" s="41" t="n">
        <x:v>16238</x:v>
      </x:c>
      <x:c r="F1691" s="56" t="n">
        <x:v>35.582953</x:v>
      </x:c>
      <x:c r="G1691" s="56" t="n">
        <x:v>-92.515976</x:v>
      </x:c>
      <x:c r="H1691" s="44" t="n">
        <x:f>E1691/SUMIF(A:A,A1691,E:E)</x:f>
        <x:v>0.0019124287138015921</x:v>
      </x:c>
    </x:row>
    <x:row r="1692" ht="21.600000381469727" hidden="0" customHeight="1">
      <x:c r="A1692" s="27" t="str">
        <x:v>SCA-20</x:v>
      </x:c>
      <x:c r="B1692" s="27" t="str">
        <x:v>05037</x:v>
      </x:c>
      <x:c r="C1692" s="27" t="str">
        <x:v>AR</x:v>
      </x:c>
      <x:c r="D1692" s="27" t="str">
        <x:v>Cross County</x:v>
      </x:c>
      <x:c r="E1692" s="40" t="n">
        <x:v>16186</x:v>
      </x:c>
      <x:c r="F1692" s="55" t="n">
        <x:v>35.285692</x:v>
      </x:c>
      <x:c r="G1692" s="55" t="n">
        <x:v>-90.763984</x:v>
      </x:c>
      <x:c r="H1692" s="43" t="n">
        <x:f>E1692/SUMIF(A:A,A1692,E:E)</x:f>
        <x:v>0.0019063044193615329</x:v>
      </x:c>
    </x:row>
    <x:row r="1693" ht="21.600000381469727" hidden="0" customHeight="1">
      <x:c r="A1693" s="29" t="str">
        <x:v>SCA-20</x:v>
      </x:c>
      <x:c r="B1693" s="29" t="str">
        <x:v>47005</x:v>
      </x:c>
      <x:c r="C1693" s="29" t="str">
        <x:v>TN</x:v>
      </x:c>
      <x:c r="D1693" s="29" t="str">
        <x:v>Benton County</x:v>
      </x:c>
      <x:c r="E1693" s="41" t="n">
        <x:v>16183</x:v>
      </x:c>
      <x:c r="F1693" s="56" t="n">
        <x:v>36.070948</x:v>
      </x:c>
      <x:c r="G1693" s="56" t="n">
        <x:v>-88.071232</x:v>
      </x:c>
      <x:c r="H1693" s="44" t="n">
        <x:f>E1693/SUMIF(A:A,A1693,E:E)</x:f>
        <x:v>0.0019059510946822986</x:v>
      </x:c>
    </x:row>
    <x:row r="1694" ht="21.600000381469727" hidden="0" customHeight="1">
      <x:c r="A1694" s="27" t="str">
        <x:v>SCA-20</x:v>
      </x:c>
      <x:c r="B1694" s="27" t="str">
        <x:v>01057</x:v>
      </x:c>
      <x:c r="C1694" s="27" t="str">
        <x:v>AL</x:v>
      </x:c>
      <x:c r="D1694" s="27" t="str">
        <x:v>Fayette County</x:v>
      </x:c>
      <x:c r="E1694" s="40" t="n">
        <x:v>15872</x:v>
      </x:c>
      <x:c r="F1694" s="55" t="n">
        <x:v>33.716157</x:v>
      </x:c>
      <x:c r="G1694" s="55" t="n">
        <x:v>-87.764292</x:v>
      </x:c>
      <x:c r="H1694" s="43" t="n">
        <x:f>E1694/SUMIF(A:A,A1694,E:E)</x:f>
        <x:v>0.001869323102935021</x:v>
      </x:c>
    </x:row>
    <x:row r="1695" ht="21.600000381469727" hidden="0" customHeight="1">
      <x:c r="A1695" s="29" t="str">
        <x:v>SCA-20</x:v>
      </x:c>
      <x:c r="B1695" s="29" t="str">
        <x:v>05001</x:v>
      </x:c>
      <x:c r="C1695" s="29" t="str">
        <x:v>AR</x:v>
      </x:c>
      <x:c r="D1695" s="29" t="str">
        <x:v>Arkansas County</x:v>
      </x:c>
      <x:c r="E1695" s="41" t="n">
        <x:v>15836</x:v>
      </x:c>
      <x:c r="F1695" s="56" t="n">
        <x:v>34.28957</x:v>
      </x:c>
      <x:c r="G1695" s="56" t="n">
        <x:v>-91.376547</x:v>
      </x:c>
      <x:c r="H1695" s="44" t="n">
        <x:f>E1695/SUMIF(A:A,A1695,E:E)</x:f>
        <x:v>0.0018650832067842106</x:v>
      </x:c>
    </x:row>
    <x:row r="1696" ht="21.600000381469727" hidden="0" customHeight="1">
      <x:c r="A1696" s="27" t="str">
        <x:v>SCA-20</x:v>
      </x:c>
      <x:c r="B1696" s="27" t="str">
        <x:v>28061</x:v>
      </x:c>
      <x:c r="C1696" s="27" t="str">
        <x:v>MS</x:v>
      </x:c>
      <x:c r="D1696" s="27" t="str">
        <x:v>Jasper County</x:v>
      </x:c>
      <x:c r="E1696" s="40" t="n">
        <x:v>15785</x:v>
      </x:c>
      <x:c r="F1696" s="55" t="n">
        <x:v>32.016748</x:v>
      </x:c>
      <x:c r="G1696" s="55" t="n">
        <x:v>-89.119176</x:v>
      </x:c>
      <x:c r="H1696" s="43" t="n">
        <x:f>E1696/SUMIF(A:A,A1696,E:E)</x:f>
        <x:v>0.0018590766872372295</x:v>
      </x:c>
    </x:row>
    <x:row r="1697" ht="21.600000381469727" hidden="0" customHeight="1">
      <x:c r="A1697" s="29" t="str">
        <x:v>SCA-20</x:v>
      </x:c>
      <x:c r="B1697" s="29" t="str">
        <x:v>28051</x:v>
      </x:c>
      <x:c r="C1697" s="29" t="str">
        <x:v>MS</x:v>
      </x:c>
      <x:c r="D1697" s="29" t="str">
        <x:v>Holmes County</x:v>
      </x:c>
      <x:c r="E1697" s="41" t="n">
        <x:v>15465</x:v>
      </x:c>
      <x:c r="F1697" s="56" t="n">
        <x:v>33.125942</x:v>
      </x:c>
      <x:c r="G1697" s="56" t="n">
        <x:v>-90.091197</x:v>
      </x:c>
      <x:c r="H1697" s="44" t="n">
        <x:f>E1697/SUMIF(A:A,A1697,E:E)</x:f>
        <x:v>0.0018213887214522492</x:v>
      </x:c>
    </x:row>
    <x:row r="1698" ht="21.600000381469727" hidden="0" customHeight="1">
      <x:c r="A1698" s="27" t="str">
        <x:v>SCA-20</x:v>
      </x:c>
      <x:c r="B1698" s="27" t="str">
        <x:v>28023</x:v>
      </x:c>
      <x:c r="C1698" s="27" t="str">
        <x:v>MS</x:v>
      </x:c>
      <x:c r="D1698" s="27" t="str">
        <x:v>Clarke County</x:v>
      </x:c>
      <x:c r="E1698" s="40" t="n">
        <x:v>15102</x:v>
      </x:c>
      <x:c r="F1698" s="55" t="n">
        <x:v>32.045374</x:v>
      </x:c>
      <x:c r="G1698" s="55" t="n">
        <x:v>-88.687976</x:v>
      </x:c>
      <x:c r="H1698" s="43" t="n">
        <x:f>E1698/SUMIF(A:A,A1698,E:E)</x:f>
        <x:v>0.0017786364352649123</x:v>
      </x:c>
    </x:row>
    <x:row r="1699" ht="21.600000381469727" hidden="0" customHeight="1">
      <x:c r="A1699" s="29" t="str">
        <x:v>SCA-20</x:v>
      </x:c>
      <x:c r="B1699" s="29" t="str">
        <x:v>29143</x:v>
      </x:c>
      <x:c r="C1699" s="29" t="str">
        <x:v>MO</x:v>
      </x:c>
      <x:c r="D1699" s="29" t="str">
        <x:v>New Madrid County</x:v>
      </x:c>
      <x:c r="E1699" s="41" t="n">
        <x:v>15086</x:v>
      </x:c>
      <x:c r="F1699" s="56" t="n">
        <x:v>36.594261</x:v>
      </x:c>
      <x:c r="G1699" s="56" t="n">
        <x:v>-89.655948</x:v>
      </x:c>
      <x:c r="H1699" s="44" t="n">
        <x:f>E1699/SUMIF(A:A,A1699,E:E)</x:f>
        <x:v>0.0017767520369756631</x:v>
      </x:c>
    </x:row>
    <x:row r="1700" ht="21.600000381469727" hidden="0" customHeight="1">
      <x:c r="A1700" s="27" t="str">
        <x:v>SCA-20</x:v>
      </x:c>
      <x:c r="B1700" s="27" t="str">
        <x:v>29155</x:v>
      </x:c>
      <x:c r="C1700" s="27" t="str">
        <x:v>MO</x:v>
      </x:c>
      <x:c r="D1700" s="27" t="str">
        <x:v>Pemiscot County</x:v>
      </x:c>
      <x:c r="E1700" s="40" t="n">
        <x:v>14465</x:v>
      </x:c>
      <x:c r="F1700" s="55" t="n">
        <x:v>36.209916</x:v>
      </x:c>
      <x:c r="G1700" s="55" t="n">
        <x:v>-89.785942</x:v>
      </x:c>
      <x:c r="H1700" s="43" t="n">
        <x:f>E1700/SUMIF(A:A,A1700,E:E)</x:f>
        <x:v>0.001703613828374186</x:v>
      </x:c>
    </x:row>
    <x:row r="1701" ht="21.600000381469727" hidden="0" customHeight="1">
      <x:c r="A1701" s="29" t="str">
        <x:v>SCA-20</x:v>
      </x:c>
      <x:c r="B1701" s="29" t="str">
        <x:v>47161</x:v>
      </x:c>
      <x:c r="C1701" s="29" t="str">
        <x:v>TN</x:v>
      </x:c>
      <x:c r="D1701" s="29" t="str">
        <x:v>Stewart County</x:v>
      </x:c>
      <x:c r="E1701" s="41" t="n">
        <x:v>14439</x:v>
      </x:c>
      <x:c r="F1701" s="56" t="n">
        <x:v>36.449545</x:v>
      </x:c>
      <x:c r="G1701" s="56" t="n">
        <x:v>-87.806244</x:v>
      </x:c>
      <x:c r="H1701" s="44" t="n">
        <x:f>E1701/SUMIF(A:A,A1701,E:E)</x:f>
        <x:v>0.0017005516811541563</x:v>
      </x:c>
    </x:row>
    <x:row r="1702" ht="15" hidden="0" customHeight="1">
      <x:c r="A1702" s="27" t="str">
        <x:v>SCA-20</x:v>
      </x:c>
      <x:c r="B1702" s="27" t="str">
        <x:v>05065</x:v>
      </x:c>
      <x:c r="C1702" s="27" t="str">
        <x:v>AR</x:v>
      </x:c>
      <x:c r="D1702" s="27" t="str">
        <x:v>Izard County</x:v>
      </x:c>
      <x:c r="E1702" s="40" t="n">
        <x:v>14405</x:v>
      </x:c>
      <x:c r="F1702" s="55" t="n">
        <x:v>36.094879</x:v>
      </x:c>
      <x:c r="G1702" s="55" t="n">
        <x:v>-91.913625</x:v>
      </x:c>
      <x:c r="H1702" s="43" t="n">
        <x:f>E1702/SUMIF(A:A,A1702,E:E)</x:f>
        <x:v>0.0016965473347895022</x:v>
      </x:c>
    </x:row>
    <x:row r="1703" ht="21.600000381469727" hidden="0" customHeight="1">
      <x:c r="A1703" s="29" t="str">
        <x:v>SCA-20</x:v>
      </x:c>
      <x:c r="B1703" s="29" t="str">
        <x:v>05107</x:v>
      </x:c>
      <x:c r="C1703" s="29" t="str">
        <x:v>AR</x:v>
      </x:c>
      <x:c r="D1703" s="29" t="str">
        <x:v>Phillips County</x:v>
      </x:c>
      <x:c r="E1703" s="41" t="n">
        <x:v>14255</x:v>
      </x:c>
      <x:c r="F1703" s="56" t="n">
        <x:v>34.423687</x:v>
      </x:c>
      <x:c r="G1703" s="56" t="n">
        <x:v>-90.855593</x:v>
      </x:c>
      <x:c r="H1703" s="44" t="n">
        <x:f>E1703/SUMIF(A:A,A1703,E:E)</x:f>
        <x:v>0.0016788811008277926</x:v>
      </x:c>
    </x:row>
    <x:row r="1704" ht="15" hidden="0" customHeight="1">
      <x:c r="A1704" s="27" t="str">
        <x:v>SCA-20</x:v>
      </x:c>
      <x:c r="B1704" s="27" t="str">
        <x:v>05021</x:v>
      </x:c>
      <x:c r="C1704" s="27" t="str">
        <x:v>AR</x:v>
      </x:c>
      <x:c r="D1704" s="27" t="str">
        <x:v>Clay County</x:v>
      </x:c>
      <x:c r="E1704" s="40" t="n">
        <x:v>14052</x:v>
      </x:c>
      <x:c r="F1704" s="55" t="n">
        <x:v>36.367302</x:v>
      </x:c>
      <x:c r="G1704" s="55" t="n">
        <x:v>-90.418704</x:v>
      </x:c>
      <x:c r="H1704" s="43" t="n">
        <x:f>E1704/SUMIF(A:A,A1704,E:E)</x:f>
        <x:v>0.0016549727975329457</x:v>
      </x:c>
    </x:row>
    <x:row r="1705" ht="21.600000381469727" hidden="0" customHeight="1">
      <x:c r="A1705" s="29" t="str">
        <x:v>SCA-20</x:v>
      </x:c>
      <x:c r="B1705" s="29" t="str">
        <x:v>47033</x:v>
      </x:c>
      <x:c r="C1705" s="29" t="str">
        <x:v>TN</x:v>
      </x:c>
      <x:c r="D1705" s="29" t="str">
        <x:v>Crockett County</x:v>
      </x:c>
      <x:c r="E1705" s="41" t="n">
        <x:v>14006</x:v>
      </x:c>
      <x:c r="F1705" s="56" t="n">
        <x:v>35.818795</x:v>
      </x:c>
      <x:c r="G1705" s="56" t="n">
        <x:v>-89.132494</x:v>
      </x:c>
      <x:c r="H1705" s="44" t="n">
        <x:f>E1705/SUMIF(A:A,A1705,E:E)</x:f>
        <x:v>0.0016495551524513547</x:v>
      </x:c>
    </x:row>
    <x:row r="1706" ht="21.600000381469727" hidden="0" customHeight="1">
      <x:c r="A1706" s="27" t="str">
        <x:v>SCA-20</x:v>
      </x:c>
      <x:c r="B1706" s="27" t="str">
        <x:v>28129</x:v>
      </x:c>
      <x:c r="C1706" s="27" t="str">
        <x:v>MS</x:v>
      </x:c>
      <x:c r="D1706" s="27" t="str">
        <x:v>Smith County</x:v>
      </x:c>
      <x:c r="E1706" s="40" t="n">
        <x:v>13991</x:v>
      </x:c>
      <x:c r="F1706" s="55" t="n">
        <x:v>32.019029</x:v>
      </x:c>
      <x:c r="G1706" s="55" t="n">
        <x:v>-89.494876</x:v>
      </x:c>
      <x:c r="H1706" s="43" t="n">
        <x:f>E1706/SUMIF(A:A,A1706,E:E)</x:f>
        <x:v>0.0016477885290551839</x:v>
      </x:c>
    </x:row>
    <x:row r="1707" ht="21.600000381469727" hidden="0" customHeight="1">
      <x:c r="A1707" s="29" t="str">
        <x:v>SCA-20</x:v>
      </x:c>
      <x:c r="B1707" s="29" t="str">
        <x:v>28147</x:v>
      </x:c>
      <x:c r="C1707" s="29" t="str">
        <x:v>MS</x:v>
      </x:c>
      <x:c r="D1707" s="29" t="str">
        <x:v>Walthall County</x:v>
      </x:c>
      <x:c r="E1707" s="41" t="n">
        <x:v>13928</x:v>
      </x:c>
      <x:c r="F1707" s="56" t="n">
        <x:v>31.164492</x:v>
      </x:c>
      <x:c r="G1707" s="56" t="n">
        <x:v>-90.103431</x:v>
      </x:c>
      <x:c r="H1707" s="44" t="n">
        <x:f>E1707/SUMIF(A:A,A1707,E:E)</x:f>
        <x:v>0.0016403687107912658</x:v>
      </x:c>
    </x:row>
    <x:row r="1708" ht="21.600000381469727" hidden="0" customHeight="1">
      <x:c r="A1708" s="27" t="str">
        <x:v>SCA-20</x:v>
      </x:c>
      <x:c r="B1708" s="27" t="str">
        <x:v>28041</x:v>
      </x:c>
      <x:c r="C1708" s="27" t="str">
        <x:v>MS</x:v>
      </x:c>
      <x:c r="D1708" s="27" t="str">
        <x:v>Greene County</x:v>
      </x:c>
      <x:c r="E1708" s="40" t="n">
        <x:v>13707</x:v>
      </x:c>
      <x:c r="F1708" s="55" t="n">
        <x:v>31.212845</x:v>
      </x:c>
      <x:c r="G1708" s="55" t="n">
        <x:v>-88.634811</x:v>
      </x:c>
      <x:c r="H1708" s="43" t="n">
        <x:f>E1708/SUMIF(A:A,A1708,E:E)</x:f>
        <x:v>0.001614340459421014</x:v>
      </x:c>
    </x:row>
    <x:row r="1709" ht="21.600000381469727" hidden="0" customHeight="1">
      <x:c r="A1709" s="29" t="str">
        <x:v>SCA-20</x:v>
      </x:c>
      <x:c r="B1709" s="29" t="str">
        <x:v>01075</x:v>
      </x:c>
      <x:c r="C1709" s="29" t="str">
        <x:v>AL</x:v>
      </x:c>
      <x:c r="D1709" s="29" t="str">
        <x:v>Lamar County</x:v>
      </x:c>
      <x:c r="E1709" s="41" t="n">
        <x:v>13587</x:v>
      </x:c>
      <x:c r="F1709" s="56" t="n">
        <x:v>33.787085</x:v>
      </x:c>
      <x:c r="G1709" s="56" t="n">
        <x:v>-88.087431</x:v>
      </x:c>
      <x:c r="H1709" s="44" t="n">
        <x:f>E1709/SUMIF(A:A,A1709,E:E)</x:f>
        <x:v>0.0016002074722516464</x:v>
      </x:c>
    </x:row>
    <x:row r="1710" ht="21.600000381469727" hidden="0" customHeight="1">
      <x:c r="A1710" s="27" t="str">
        <x:v>SCA-20</x:v>
      </x:c>
      <x:c r="B1710" s="27" t="str">
        <x:v>47101</x:v>
      </x:c>
      <x:c r="C1710" s="27" t="str">
        <x:v>TN</x:v>
      </x:c>
      <x:c r="D1710" s="27" t="str">
        <x:v>Lewis County</x:v>
      </x:c>
      <x:c r="E1710" s="40" t="n">
        <x:v>13487</x:v>
      </x:c>
      <x:c r="F1710" s="55" t="n">
        <x:v>35.523245</x:v>
      </x:c>
      <x:c r="G1710" s="55" t="n">
        <x:v>-87.496984</x:v>
      </x:c>
      <x:c r="H1710" s="43" t="n">
        <x:f>E1710/SUMIF(A:A,A1710,E:E)</x:f>
        <x:v>0.00158842998294384</x:v>
      </x:c>
    </x:row>
    <x:row r="1711" ht="21.600000381469727" hidden="0" customHeight="1">
      <x:c r="A1711" s="29" t="str">
        <x:v>SCA-20</x:v>
      </x:c>
      <x:c r="B1711" s="29" t="str">
        <x:v>05079</x:v>
      </x:c>
      <x:c r="C1711" s="29" t="str">
        <x:v>AR</x:v>
      </x:c>
      <x:c r="D1711" s="29" t="str">
        <x:v>Lincoln County</x:v>
      </x:c>
      <x:c r="E1711" s="41" t="n">
        <x:v>12764</x:v>
      </x:c>
      <x:c r="F1711" s="56" t="n">
        <x:v>33.956385</x:v>
      </x:c>
      <x:c r="G1711" s="56" t="n">
        <x:v>-91.742355</x:v>
      </x:c>
      <x:c r="H1711" s="44" t="n">
        <x:f>E1711/SUMIF(A:A,A1711,E:E)</x:f>
        <x:v>0.0015032787352484002</x:v>
      </x:c>
    </x:row>
    <x:row r="1712" ht="21.600000381469727" hidden="0" customHeight="1">
      <x:c r="A1712" s="27" t="str">
        <x:v>SCA-20</x:v>
      </x:c>
      <x:c r="B1712" s="27" t="str">
        <x:v>05137</x:v>
      </x:c>
      <x:c r="C1712" s="27" t="str">
        <x:v>AR</x:v>
      </x:c>
      <x:c r="D1712" s="27" t="str">
        <x:v>Stone County</x:v>
      </x:c>
      <x:c r="E1712" s="40" t="n">
        <x:v>12703</x:v>
      </x:c>
      <x:c r="F1712" s="55" t="n">
        <x:v>35.857001</x:v>
      </x:c>
      <x:c r="G1712" s="55" t="n">
        <x:v>-92.140482</x:v>
      </x:c>
      <x:c r="H1712" s="43" t="n">
        <x:f>E1712/SUMIF(A:A,A1712,E:E)</x:f>
        <x:v>0.0014960944667706383</x:v>
      </x:c>
    </x:row>
    <x:row r="1713" ht="21.600000381469727" hidden="0" customHeight="1">
      <x:c r="A1713" s="29" t="str">
        <x:v>SCA-20</x:v>
      </x:c>
      <x:c r="B1713" s="29" t="str">
        <x:v>28013</x:v>
      </x:c>
      <x:c r="C1713" s="29" t="str">
        <x:v>MS</x:v>
      </x:c>
      <x:c r="D1713" s="29" t="str">
        <x:v>Calhoun County</x:v>
      </x:c>
      <x:c r="E1713" s="41" t="n">
        <x:v>12643</x:v>
      </x:c>
      <x:c r="F1713" s="56" t="n">
        <x:v>33.936634</x:v>
      </x:c>
      <x:c r="G1713" s="56" t="n">
        <x:v>-89.337114</x:v>
      </x:c>
      <x:c r="H1713" s="44" t="n">
        <x:f>E1713/SUMIF(A:A,A1713,E:E)</x:f>
        <x:v>0.0014890279731859545</x:v>
      </x:c>
    </x:row>
    <x:row r="1714" ht="21.600000381469727" hidden="0" customHeight="1">
      <x:c r="A1714" s="27" t="str">
        <x:v>SCA-20</x:v>
      </x:c>
      <x:c r="B1714" s="27" t="str">
        <x:v>05049</x:v>
      </x:c>
      <x:c r="C1714" s="27" t="str">
        <x:v>AR</x:v>
      </x:c>
      <x:c r="D1714" s="27" t="str">
        <x:v>Fulton County</x:v>
      </x:c>
      <x:c r="E1714" s="40" t="n">
        <x:v>12492</x:v>
      </x:c>
      <x:c r="F1714" s="55" t="n">
        <x:v>36.381322</x:v>
      </x:c>
      <x:c r="G1714" s="55" t="n">
        <x:v>-91.819285</x:v>
      </x:c>
      <x:c r="H1714" s="43" t="n">
        <x:f>E1714/SUMIF(A:A,A1714,E:E)</x:f>
        <x:v>0.001471243964331167</x:v>
      </x:c>
    </x:row>
    <x:row r="1715" ht="21.600000381469727" hidden="0" customHeight="1">
      <x:c r="A1715" s="29" t="str">
        <x:v>SCA-20</x:v>
      </x:c>
      <x:c r="B1715" s="29" t="str">
        <x:v>28005</x:v>
      </x:c>
      <x:c r="C1715" s="29" t="str">
        <x:v>MS</x:v>
      </x:c>
      <x:c r="D1715" s="29" t="str">
        <x:v>Amite County</x:v>
      </x:c>
      <x:c r="E1715" s="41" t="n">
        <x:v>12487</x:v>
      </x:c>
      <x:c r="F1715" s="56" t="n">
        <x:v>31.203933</x:v>
      </x:c>
      <x:c r="G1715" s="56" t="n">
        <x:v>-90.795542</x:v>
      </x:c>
      <x:c r="H1715" s="44" t="n">
        <x:f>E1715/SUMIF(A:A,A1715,E:E)</x:f>
        <x:v>0.0014706550898657767</x:v>
      </x:c>
    </x:row>
    <x:row r="1716" ht="21.600000381469727" hidden="0" customHeight="1">
      <x:c r="A1716" s="27" t="str">
        <x:v>SCA-20</x:v>
      </x:c>
      <x:c r="B1716" s="27" t="str">
        <x:v>28161</x:v>
      </x:c>
      <x:c r="C1716" s="27" t="str">
        <x:v>MS</x:v>
      </x:c>
      <x:c r="D1716" s="27" t="str">
        <x:v>Yalobusha County</x:v>
      </x:c>
      <x:c r="E1716" s="40" t="n">
        <x:v>12375</x:v>
      </x:c>
      <x:c r="F1716" s="55" t="n">
        <x:v>34.030666</x:v>
      </x:c>
      <x:c r="G1716" s="55" t="n">
        <x:v>-89.703807</x:v>
      </x:c>
      <x:c r="H1716" s="43" t="n">
        <x:f>E1716/SUMIF(A:A,A1716,E:E)</x:f>
        <x:v>0.0014574643018410336</x:v>
      </x:c>
    </x:row>
    <x:row r="1717" ht="21.600000381469727" hidden="0" customHeight="1">
      <x:c r="A1717" s="29" t="str">
        <x:v>SCA-20</x:v>
      </x:c>
      <x:c r="B1717" s="29" t="str">
        <x:v>29133</x:v>
      </x:c>
      <x:c r="C1717" s="29" t="str">
        <x:v>MO</x:v>
      </x:c>
      <x:c r="D1717" s="29" t="str">
        <x:v>Mississippi County</x:v>
      </x:c>
      <x:c r="E1717" s="41" t="n">
        <x:v>12003</x:v>
      </x:c>
      <x:c r="F1717" s="56" t="n">
        <x:v>36.826264</x:v>
      </x:c>
      <x:c r="G1717" s="56" t="n">
        <x:v>-89.295929</x:v>
      </x:c>
      <x:c r="H1717" s="44" t="n">
        <x:f>E1717/SUMIF(A:A,A1717,E:E)</x:f>
        <x:v>0.0014136520416159941</x:v>
      </x:c>
    </x:row>
    <x:row r="1718" ht="21.600000381469727" hidden="0" customHeight="1">
      <x:c r="A1718" s="27" t="str">
        <x:v>SCA-20</x:v>
      </x:c>
      <x:c r="B1718" s="27" t="str">
        <x:v>01023</x:v>
      </x:c>
      <x:c r="C1718" s="27" t="str">
        <x:v>AL</x:v>
      </x:c>
      <x:c r="D1718" s="27" t="str">
        <x:v>Choctaw County</x:v>
      </x:c>
      <x:c r="E1718" s="40" t="n">
        <x:v>11904</x:v>
      </x:c>
      <x:c r="F1718" s="55" t="n">
        <x:v>31.990954</x:v>
      </x:c>
      <x:c r="G1718" s="55" t="n">
        <x:v>-88.248889</x:v>
      </x:c>
      <x:c r="H1718" s="43" t="n">
        <x:f>E1718/SUMIF(A:A,A1718,E:E)</x:f>
        <x:v>0.0014019923272012658</x:v>
      </x:c>
    </x:row>
    <x:row r="1719" ht="21.600000381469727" hidden="0" customHeight="1">
      <x:c r="A1719" s="29" t="str">
        <x:v>SCA-20</x:v>
      </x:c>
      <x:c r="B1719" s="29" t="str">
        <x:v>47039</x:v>
      </x:c>
      <x:c r="C1719" s="29" t="str">
        <x:v>TN</x:v>
      </x:c>
      <x:c r="D1719" s="29" t="str">
        <x:v>Decatur County</x:v>
      </x:c>
      <x:c r="E1719" s="41" t="n">
        <x:v>11820</x:v>
      </x:c>
      <x:c r="F1719" s="56" t="n">
        <x:v>35.603136</x:v>
      </x:c>
      <x:c r="G1719" s="56" t="n">
        <x:v>-88.110292</x:v>
      </x:c>
      <x:c r="H1719" s="44" t="n">
        <x:f>E1719/SUMIF(A:A,A1719,E:E)</x:f>
        <x:v>0.0013920992361827085</x:v>
      </x:c>
    </x:row>
    <x:row r="1720" ht="21.600000381469727" hidden="0" customHeight="1">
      <x:c r="A1720" s="27" t="str">
        <x:v>SCA-20</x:v>
      </x:c>
      <x:c r="B1720" s="27" t="str">
        <x:v>28077</x:v>
      </x:c>
      <x:c r="C1720" s="27" t="str">
        <x:v>MS</x:v>
      </x:c>
      <x:c r="D1720" s="27" t="str">
        <x:v>Lawrence County</x:v>
      </x:c>
      <x:c r="E1720" s="40" t="n">
        <x:v>11819</x:v>
      </x:c>
      <x:c r="F1720" s="55" t="n">
        <x:v>31.550009</x:v>
      </x:c>
      <x:c r="G1720" s="55" t="n">
        <x:v>-90.10753</x:v>
      </x:c>
      <x:c r="H1720" s="43" t="n">
        <x:f>E1720/SUMIF(A:A,A1720,E:E)</x:f>
        <x:v>0.0013919814612896304</x:v>
      </x:c>
    </x:row>
    <x:row r="1721" ht="21.600000381469727" hidden="0" customHeight="1">
      <x:c r="A1721" s="29" t="str">
        <x:v>SCA-20</x:v>
      </x:c>
      <x:c r="B1721" s="29" t="str">
        <x:v>01119</x:v>
      </x:c>
      <x:c r="C1721" s="29" t="str">
        <x:v>AL</x:v>
      </x:c>
      <x:c r="D1721" s="29" t="str">
        <x:v>Sumter County</x:v>
      </x:c>
      <x:c r="E1721" s="41" t="n">
        <x:v>11588</x:v>
      </x:c>
      <x:c r="F1721" s="56" t="n">
        <x:v>32.597481</x:v>
      </x:c>
      <x:c r="G1721" s="56" t="n">
        <x:v>-88.200057</x:v>
      </x:c>
      <x:c r="H1721" s="44" t="n">
        <x:f>E1721/SUMIF(A:A,A1721,E:E)</x:f>
        <x:v>0.0013647754609885977</x:v>
      </x:c>
    </x:row>
    <x:row r="1722" ht="15" hidden="0" customHeight="1">
      <x:c r="A1722" s="27" t="str">
        <x:v>SCA-20</x:v>
      </x:c>
      <x:c r="B1722" s="27" t="str">
        <x:v>28111</x:v>
      </x:c>
      <x:c r="C1722" s="27" t="str">
        <x:v>MS</x:v>
      </x:c>
      <x:c r="D1722" s="27" t="str">
        <x:v>Perry County</x:v>
      </x:c>
      <x:c r="E1722" s="40" t="n">
        <x:v>11577</x:v>
      </x:c>
      <x:c r="F1722" s="55" t="n">
        <x:v>31.169307</x:v>
      </x:c>
      <x:c r="G1722" s="55" t="n">
        <x:v>-88.988755</x:v>
      </x:c>
      <x:c r="H1722" s="43" t="n">
        <x:f>E1722/SUMIF(A:A,A1722,E:E)</x:f>
        <x:v>0.001363479937164739</x:v>
      </x:c>
    </x:row>
    <x:row r="1723" ht="21.600000381469727" hidden="0" customHeight="1">
      <x:c r="A1723" s="29" t="str">
        <x:v>SCA-20</x:v>
      </x:c>
      <x:c r="B1723" s="29" t="str">
        <x:v>28065</x:v>
      </x:c>
      <x:c r="C1723" s="29" t="str">
        <x:v>MS</x:v>
      </x:c>
      <x:c r="D1723" s="29" t="str">
        <x:v>Jefferson Davis County</x:v>
      </x:c>
      <x:c r="E1723" s="41" t="n">
        <x:v>10941</x:v>
      </x:c>
      <x:c r="F1723" s="56" t="n">
        <x:v>31.564808</x:v>
      </x:c>
      <x:c r="G1723" s="56" t="n">
        <x:v>-89.827086</x:v>
      </x:c>
      <x:c r="H1723" s="44" t="n">
        <x:f>E1723/SUMIF(A:A,A1723,E:E)</x:f>
        <x:v>0.0012885751051670907</x:v>
      </x:c>
    </x:row>
    <x:row r="1724" ht="21.600000381469727" hidden="0" customHeight="1">
      <x:c r="A1724" s="27" t="str">
        <x:v>SCA-20</x:v>
      </x:c>
      <x:c r="B1724" s="27" t="str">
        <x:v>28135</x:v>
      </x:c>
      <x:c r="C1724" s="27" t="str">
        <x:v>MS</x:v>
      </x:c>
      <x:c r="D1724" s="27" t="str">
        <x:v>Tallahatchie County</x:v>
      </x:c>
      <x:c r="E1724" s="40" t="n">
        <x:v>10877</x:v>
      </x:c>
      <x:c r="F1724" s="55" t="n">
        <x:v>33.954529</x:v>
      </x:c>
      <x:c r="G1724" s="55" t="n">
        <x:v>-90.172243</x:v>
      </x:c>
      <x:c r="H1724" s="43" t="n">
        <x:f>E1724/SUMIF(A:A,A1724,E:E)</x:f>
        <x:v>0.0012810375120100948</x:v>
      </x:c>
    </x:row>
    <x:row r="1725" ht="21.600000381469727" hidden="0" customHeight="1">
      <x:c r="A1725" s="29" t="str">
        <x:v>SCA-20</x:v>
      </x:c>
      <x:c r="B1725" s="29" t="str">
        <x:v>29181</x:v>
      </x:c>
      <x:c r="C1725" s="29" t="str">
        <x:v>MO</x:v>
      </x:c>
      <x:c r="D1725" s="29" t="str">
        <x:v>Ripley County</x:v>
      </x:c>
      <x:c r="E1725" s="41" t="n">
        <x:v>10717</x:v>
      </x:c>
      <x:c r="F1725" s="56" t="n">
        <x:v>36.65017</x:v>
      </x:c>
      <x:c r="G1725" s="56" t="n">
        <x:v>-90.874834</x:v>
      </x:c>
      <x:c r="H1725" s="44" t="n">
        <x:f>E1725/SUMIF(A:A,A1725,E:E)</x:f>
        <x:v>0.0012621935291176045</x:v>
      </x:c>
    </x:row>
    <x:row r="1726" ht="15" hidden="0" customHeight="1">
      <x:c r="A1726" s="27" t="str">
        <x:v>SCA-20</x:v>
      </x:c>
      <x:c r="B1726" s="27" t="str">
        <x:v>05105</x:v>
      </x:c>
      <x:c r="C1726" s="27" t="str">
        <x:v>AR</x:v>
      </x:c>
      <x:c r="D1726" s="27" t="str">
        <x:v>Perry County</x:v>
      </x:c>
      <x:c r="E1726" s="40" t="n">
        <x:v>10309</x:v>
      </x:c>
      <x:c r="F1726" s="55" t="n">
        <x:v>34.946363</x:v>
      </x:c>
      <x:c r="G1726" s="55" t="n">
        <x:v>-92.926877</x:v>
      </x:c>
      <x:c r="H1726" s="43" t="n">
        <x:f>E1726/SUMIF(A:A,A1726,E:E)</x:f>
        <x:v>0.0012141413727417547</x:v>
      </x:c>
    </x:row>
    <x:row r="1727" ht="21.600000381469727" hidden="0" customHeight="1">
      <x:c r="A1727" s="29" t="str">
        <x:v>SCA-20</x:v>
      </x:c>
      <x:c r="B1727" s="29" t="str">
        <x:v>28155</x:v>
      </x:c>
      <x:c r="C1727" s="29" t="str">
        <x:v>MS</x:v>
      </x:c>
      <x:c r="D1727" s="29" t="str">
        <x:v>Webster County</x:v>
      </x:c>
      <x:c r="E1727" s="41" t="n">
        <x:v>10167</x:v>
      </x:c>
      <x:c r="F1727" s="56" t="n">
        <x:v>33.612061</x:v>
      </x:c>
      <x:c r="G1727" s="56" t="n">
        <x:v>-89.283961</x:v>
      </x:c>
      <x:c r="H1727" s="44" t="n">
        <x:f>E1727/SUMIF(A:A,A1727,E:E)</x:f>
        <x:v>0.0011974173379246697</x:v>
      </x:c>
    </x:row>
    <x:row r="1728" ht="21.600000381469727" hidden="0" customHeight="1">
      <x:c r="A1728" s="27" t="str">
        <x:v>SCA-20</x:v>
      </x:c>
      <x:c r="B1728" s="27" t="str">
        <x:v>05041</x:v>
      </x:c>
      <x:c r="C1728" s="27" t="str">
        <x:v>AR</x:v>
      </x:c>
      <x:c r="D1728" s="27" t="str">
        <x:v>Desha County</x:v>
      </x:c>
      <x:c r="E1728" s="40" t="n">
        <x:v>9984</x:v>
      </x:c>
      <x:c r="F1728" s="55" t="n">
        <x:v>33.828752</x:v>
      </x:c>
      <x:c r="G1728" s="55" t="n">
        <x:v>-91.244103</x:v>
      </x:c>
      <x:c r="H1728" s="43" t="n">
        <x:f>E1728/SUMIF(A:A,A1728,E:E)</x:f>
        <x:v>0.001175864532491384</x:v>
      </x:c>
    </x:row>
    <x:row r="1729" ht="21.600000381469727" hidden="0" customHeight="1">
      <x:c r="A1729" s="29" t="str">
        <x:v>SCA-20</x:v>
      </x:c>
      <x:c r="B1729" s="29" t="str">
        <x:v>05011</x:v>
      </x:c>
      <x:c r="C1729" s="29" t="str">
        <x:v>AR</x:v>
      </x:c>
      <x:c r="D1729" s="29" t="str">
        <x:v>Bradley County</x:v>
      </x:c>
      <x:c r="E1729" s="41" t="n">
        <x:v>9828</x:v>
      </x:c>
      <x:c r="F1729" s="56" t="n">
        <x:v>33.466549</x:v>
      </x:c>
      <x:c r="G1729" s="56" t="n">
        <x:v>-92.169156</x:v>
      </x:c>
      <x:c r="H1729" s="44" t="n">
        <x:f>E1729/SUMIF(A:A,A1729,E:E)</x:f>
        <x:v>0.0011574916491712062</x:v>
      </x:c>
    </x:row>
    <x:row r="1730" ht="21.600000381469727" hidden="0" customHeight="1">
      <x:c r="A1730" s="27" t="str">
        <x:v>SCA-20</x:v>
      </x:c>
      <x:c r="B1730" s="27" t="str">
        <x:v>28103</x:v>
      </x:c>
      <x:c r="C1730" s="27" t="str">
        <x:v>MS</x:v>
      </x:c>
      <x:c r="D1730" s="27" t="str">
        <x:v>Noxubee County</x:v>
      </x:c>
      <x:c r="E1730" s="40" t="n">
        <x:v>9798</x:v>
      </x:c>
      <x:c r="F1730" s="55" t="n">
        <x:v>33.106606</x:v>
      </x:c>
      <x:c r="G1730" s="55" t="n">
        <x:v>-88.566152</x:v>
      </x:c>
      <x:c r="H1730" s="43" t="n">
        <x:f>E1730/SUMIF(A:A,A1730,E:E)</x:f>
        <x:v>0.0011539584023788645</x:v>
      </x:c>
    </x:row>
    <x:row r="1731" ht="21.600000381469727" hidden="0" customHeight="1">
      <x:c r="A1731" s="29" t="str">
        <x:v>SCA-20</x:v>
      </x:c>
      <x:c r="B1731" s="29" t="str">
        <x:v>28097</x:v>
      </x:c>
      <x:c r="C1731" s="29" t="str">
        <x:v>MS</x:v>
      </x:c>
      <x:c r="D1731" s="29" t="str">
        <x:v>Montgomery County</x:v>
      </x:c>
      <x:c r="E1731" s="41" t="n">
        <x:v>9354</x:v>
      </x:c>
      <x:c r="F1731" s="56" t="n">
        <x:v>33.500714</x:v>
      </x:c>
      <x:c r="G1731" s="56" t="n">
        <x:v>-89.639625</x:v>
      </x:c>
      <x:c r="H1731" s="44" t="n">
        <x:f>E1731/SUMIF(A:A,A1731,E:E)</x:f>
        <x:v>0.0011016663498522043</x:v>
      </x:c>
    </x:row>
    <x:row r="1732" ht="21.600000381469727" hidden="0" customHeight="1">
      <x:c r="A1732" s="27" t="str">
        <x:v>SCA-20</x:v>
      </x:c>
      <x:c r="B1732" s="27" t="str">
        <x:v>22021</x:v>
      </x:c>
      <x:c r="C1732" s="27" t="str">
        <x:v>LA</x:v>
      </x:c>
      <x:c r="D1732" s="27" t="str">
        <x:v>Caldwell Parish</x:v>
      </x:c>
      <x:c r="E1732" s="40" t="n">
        <x:v>9344</x:v>
      </x:c>
      <x:c r="F1732" s="55" t="n">
        <x:v>32.101219</x:v>
      </x:c>
      <x:c r="G1732" s="55" t="n">
        <x:v>-92.114231</x:v>
      </x:c>
      <x:c r="H1732" s="43" t="n">
        <x:f>E1732/SUMIF(A:A,A1732,E:E)</x:f>
        <x:v>0.0011004886009214237</x:v>
      </x:c>
    </x:row>
    <x:row r="1733" ht="21.600000381469727" hidden="0" customHeight="1">
      <x:c r="A1733" s="29" t="str">
        <x:v>SCA-20</x:v>
      </x:c>
      <x:c r="B1733" s="29" t="str">
        <x:v>28015</x:v>
      </x:c>
      <x:c r="C1733" s="29" t="str">
        <x:v>MS</x:v>
      </x:c>
      <x:c r="D1733" s="29" t="str">
        <x:v>Carroll County</x:v>
      </x:c>
      <x:c r="E1733" s="41" t="n">
        <x:v>9226</x:v>
      </x:c>
      <x:c r="F1733" s="56" t="n">
        <x:v>33.440795</x:v>
      </x:c>
      <x:c r="G1733" s="56" t="n">
        <x:v>-89.918887</x:v>
      </x:c>
      <x:c r="H1733" s="44" t="n">
        <x:f>E1733/SUMIF(A:A,A1733,E:E)</x:f>
        <x:v>0.001086591163538212</x:v>
      </x:c>
    </x:row>
    <x:row r="1734" ht="21.600000381469727" hidden="0" customHeight="1">
      <x:c r="A1734" s="27" t="str">
        <x:v>SCA-20</x:v>
      </x:c>
      <x:c r="B1734" s="27" t="str">
        <x:v>29153</x:v>
      </x:c>
      <x:c r="C1734" s="27" t="str">
        <x:v>MO</x:v>
      </x:c>
      <x:c r="D1734" s="27" t="str">
        <x:v>Ozark County</x:v>
      </x:c>
      <x:c r="E1734" s="40" t="n">
        <x:v>9172</x:v>
      </x:c>
      <x:c r="F1734" s="55" t="n">
        <x:v>36.64959</x:v>
      </x:c>
      <x:c r="G1734" s="55" t="n">
        <x:v>-92.458549</x:v>
      </x:c>
      <x:c r="H1734" s="43" t="n">
        <x:f>E1734/SUMIF(A:A,A1734,E:E)</x:f>
        <x:v>0.0010802313193119968</x:v>
      </x:c>
    </x:row>
    <x:row r="1735" ht="21.600000381469727" hidden="0" customHeight="1">
      <x:c r="A1735" s="29" t="str">
        <x:v>SCA-20</x:v>
      </x:c>
      <x:c r="B1735" s="29" t="str">
        <x:v>22123</x:v>
      </x:c>
      <x:c r="C1735" s="29" t="str">
        <x:v>LA</x:v>
      </x:c>
      <x:c r="D1735" s="29" t="str">
        <x:v>West Carroll Parish</x:v>
      </x:c>
      <x:c r="E1735" s="41" t="n">
        <x:v>9156</x:v>
      </x:c>
      <x:c r="F1735" s="56" t="n">
        <x:v>32.79248</x:v>
      </x:c>
      <x:c r="G1735" s="56" t="n">
        <x:v>-91.451998</x:v>
      </x:c>
      <x:c r="H1735" s="44" t="n">
        <x:f>E1735/SUMIF(A:A,A1735,E:E)</x:f>
        <x:v>0.0010783469210227476</x:v>
      </x:c>
    </x:row>
    <x:row r="1736" ht="15" hidden="0" customHeight="1">
      <x:c r="A1736" s="27" t="str">
        <x:v>SCA-20</x:v>
      </x:c>
      <x:c r="B1736" s="27" t="str">
        <x:v>47135</x:v>
      </x:c>
      <x:c r="C1736" s="27" t="str">
        <x:v>TN</x:v>
      </x:c>
      <x:c r="D1736" s="27" t="str">
        <x:v>Perry County</x:v>
      </x:c>
      <x:c r="E1736" s="40" t="n">
        <x:v>9126</x:v>
      </x:c>
      <x:c r="F1736" s="55" t="n">
        <x:v>35.663752</x:v>
      </x:c>
      <x:c r="G1736" s="55" t="n">
        <x:v>-87.869326</x:v>
      </x:c>
      <x:c r="H1736" s="43" t="n">
        <x:f>E1736/SUMIF(A:A,A1736,E:E)</x:f>
        <x:v>0.0010748136742304059</x:v>
      </x:c>
    </x:row>
    <x:row r="1737" ht="21.600000381469727" hidden="0" customHeight="1">
      <x:c r="A1737" s="29" t="str">
        <x:v>SCA-20</x:v>
      </x:c>
      <x:c r="B1737" s="29" t="str">
        <x:v>05017</x:v>
      </x:c>
      <x:c r="C1737" s="29" t="str">
        <x:v>AR</x:v>
      </x:c>
      <x:c r="D1737" s="29" t="str">
        <x:v>Chicot County</x:v>
      </x:c>
      <x:c r="E1737" s="41" t="n">
        <x:v>9107</x:v>
      </x:c>
      <x:c r="F1737" s="56" t="n">
        <x:v>33.267139</x:v>
      </x:c>
      <x:c r="G1737" s="56" t="n">
        <x:v>-91.297158</x:v>
      </x:c>
      <x:c r="H1737" s="44" t="n">
        <x:f>E1737/SUMIF(A:A,A1737,E:E)</x:f>
        <x:v>0.0010725759512619226</x:v>
      </x:c>
    </x:row>
    <x:row r="1738" ht="21.600000381469727" hidden="0" customHeight="1">
      <x:c r="A1738" s="27" t="str">
        <x:v>SCA-20</x:v>
      </x:c>
      <x:c r="B1738" s="27" t="str">
        <x:v>22065</x:v>
      </x:c>
      <x:c r="C1738" s="27" t="str">
        <x:v>LA</x:v>
      </x:c>
      <x:c r="D1738" s="27" t="str">
        <x:v>Madison Parish</x:v>
      </x:c>
      <x:c r="E1738" s="40" t="n">
        <x:v>8844</x:v>
      </x:c>
      <x:c r="F1738" s="55" t="n">
        <x:v>32.346878</x:v>
      </x:c>
      <x:c r="G1738" s="55" t="n">
        <x:v>-91.231932</x:v>
      </x:c>
      <x:c r="H1738" s="43" t="n">
        <x:f>E1738/SUMIF(A:A,A1738,E:E)</x:f>
        <x:v>0.001041601154382392</x:v>
      </x:c>
    </x:row>
    <x:row r="1739" ht="21.600000381469727" hidden="0" customHeight="1">
      <x:c r="A1739" s="29" t="str">
        <x:v>SCA-20</x:v>
      </x:c>
      <x:c r="B1739" s="29" t="str">
        <x:v>28143</x:v>
      </x:c>
      <x:c r="C1739" s="29" t="str">
        <x:v>MS</x:v>
      </x:c>
      <x:c r="D1739" s="29" t="str">
        <x:v>Tunica County</x:v>
      </x:c>
      <x:c r="E1739" s="41" t="n">
        <x:v>8819</x:v>
      </x:c>
      <x:c r="F1739" s="56" t="n">
        <x:v>34.652201</x:v>
      </x:c>
      <x:c r="G1739" s="56" t="n">
        <x:v>-90.37177</x:v>
      </x:c>
      <x:c r="H1739" s="44" t="n">
        <x:f>E1739/SUMIF(A:A,A1739,E:E)</x:f>
        <x:v>0.0010386567820554404</x:v>
      </x:c>
    </x:row>
    <x:row r="1740" ht="21.600000381469727" hidden="0" customHeight="1">
      <x:c r="A1740" s="27" t="str">
        <x:v>SCA-20</x:v>
      </x:c>
      <x:c r="B1740" s="27" t="str">
        <x:v>29149</x:v>
      </x:c>
      <x:c r="C1740" s="27" t="str">
        <x:v>MO</x:v>
      </x:c>
      <x:c r="D1740" s="27" t="str">
        <x:v>Oregon County</x:v>
      </x:c>
      <x:c r="E1740" s="40" t="n">
        <x:v>8709</x:v>
      </x:c>
      <x:c r="F1740" s="55" t="n">
        <x:v>36.68531</x:v>
      </x:c>
      <x:c r="G1740" s="55" t="n">
        <x:v>-91.401827</x:v>
      </x:c>
      <x:c r="H1740" s="43" t="n">
        <x:f>E1740/SUMIF(A:A,A1740,E:E)</x:f>
        <x:v>0.0010257015438168535</x:v>
      </x:c>
    </x:row>
    <x:row r="1741" ht="21.600000381469727" hidden="0" customHeight="1">
      <x:c r="A1741" s="29" t="str">
        <x:v>SCA-20</x:v>
      </x:c>
      <x:c r="B1741" s="29" t="str">
        <x:v>28069</x:v>
      </x:c>
      <x:c r="C1741" s="29" t="str">
        <x:v>MS</x:v>
      </x:c>
      <x:c r="D1741" s="29" t="str">
        <x:v>Kemper County</x:v>
      </x:c>
      <x:c r="E1741" s="41" t="n">
        <x:v>8600</x:v>
      </x:c>
      <x:c r="F1741" s="56" t="n">
        <x:v>32.750136</x:v>
      </x:c>
      <x:c r="G1741" s="56" t="n">
        <x:v>-88.625631</x:v>
      </x:c>
      <x:c r="H1741" s="44" t="n">
        <x:f>E1741/SUMIF(A:A,A1741,E:E)</x:f>
        <x:v>0.0010128640804713445</x:v>
      </x:c>
    </x:row>
    <x:row r="1742" ht="21.600000381469727" hidden="0" customHeight="1">
      <x:c r="A1742" s="27" t="str">
        <x:v>SCA-20</x:v>
      </x:c>
      <x:c r="B1742" s="27" t="str">
        <x:v>05097</x:v>
      </x:c>
      <x:c r="C1742" s="27" t="str">
        <x:v>AR</x:v>
      </x:c>
      <x:c r="D1742" s="27" t="str">
        <x:v>Montgomery County</x:v>
      </x:c>
      <x:c r="E1742" s="40" t="n">
        <x:v>8579</x:v>
      </x:c>
      <x:c r="F1742" s="55" t="n">
        <x:v>34.545656</x:v>
      </x:c>
      <x:c r="G1742" s="55" t="n">
        <x:v>-93.664153</x:v>
      </x:c>
      <x:c r="H1742" s="43" t="n">
        <x:f>E1742/SUMIF(A:A,A1742,E:E)</x:f>
        <x:v>0.0010103908077167053</x:v>
      </x:c>
    </x:row>
    <x:row r="1743" ht="21.600000381469727" hidden="0" customHeight="1">
      <x:c r="A1743" s="29" t="str">
        <x:v>SCA-20</x:v>
      </x:c>
      <x:c r="B1743" s="29" t="str">
        <x:v>47083</x:v>
      </x:c>
      <x:c r="C1743" s="29" t="str">
        <x:v>TN</x:v>
      </x:c>
      <x:c r="D1743" s="29" t="str">
        <x:v>Houston County</x:v>
      </x:c>
      <x:c r="E1743" s="41" t="n">
        <x:v>8479</x:v>
      </x:c>
      <x:c r="F1743" s="56" t="n">
        <x:v>36.285782</x:v>
      </x:c>
      <x:c r="G1743" s="56" t="n">
        <x:v>-87.705598</x:v>
      </x:c>
      <x:c r="H1743" s="44" t="n">
        <x:f>E1743/SUMIF(A:A,A1743,E:E)</x:f>
        <x:v>0.0009986133184088988</x:v>
      </x:c>
    </x:row>
    <x:row r="1744" ht="21.600000381469727" hidden="0" customHeight="1">
      <x:c r="A1744" s="27" t="str">
        <x:v>SCA-20</x:v>
      </x:c>
      <x:c r="B1744" s="27" t="str">
        <x:v>28021</x:v>
      </x:c>
      <x:c r="C1744" s="27" t="str">
        <x:v>MS</x:v>
      </x:c>
      <x:c r="D1744" s="27" t="str">
        <x:v>Claiborne County</x:v>
      </x:c>
      <x:c r="E1744" s="40" t="n">
        <x:v>8058</x:v>
      </x:c>
      <x:c r="F1744" s="55" t="n">
        <x:v>31.97281</x:v>
      </x:c>
      <x:c r="G1744" s="55" t="n">
        <x:v>-90.915424</x:v>
      </x:c>
      <x:c r="H1744" s="43" t="n">
        <x:f>E1744/SUMIF(A:A,A1744,E:E)</x:f>
        <x:v>0.0009490300884230342</x:v>
      </x:c>
    </x:row>
    <x:row r="1745" ht="21.600000381469727" hidden="0" customHeight="1">
      <x:c r="A1745" s="29" t="str">
        <x:v>SCA-20</x:v>
      </x:c>
      <x:c r="B1745" s="29" t="str">
        <x:v>28019</x:v>
      </x:c>
      <x:c r="C1745" s="29" t="str">
        <x:v>MS</x:v>
      </x:c>
      <x:c r="D1745" s="29" t="str">
        <x:v>Choctaw County</x:v>
      </x:c>
      <x:c r="E1745" s="41" t="n">
        <x:v>8048</x:v>
      </x:c>
      <x:c r="F1745" s="56" t="n">
        <x:v>33.345964</x:v>
      </x:c>
      <x:c r="G1745" s="56" t="n">
        <x:v>-89.251332</x:v>
      </x:c>
      <x:c r="H1745" s="44" t="n">
        <x:f>E1745/SUMIF(A:A,A1745,E:E)</x:f>
        <x:v>0.0009478523394922535</x:v>
      </x:c>
    </x:row>
    <x:row r="1746" ht="15" hidden="0" customHeight="1">
      <x:c r="A1746" s="27" t="str">
        <x:v>SCA-20</x:v>
      </x:c>
      <x:c r="B1746" s="27" t="str">
        <x:v>05077</x:v>
      </x:c>
      <x:c r="C1746" s="27" t="str">
        <x:v>AR</x:v>
      </x:c>
      <x:c r="D1746" s="27" t="str">
        <x:v>Lee County</x:v>
      </x:c>
      <x:c r="E1746" s="40" t="n">
        <x:v>8029</x:v>
      </x:c>
      <x:c r="F1746" s="55" t="n">
        <x:v>34.779505</x:v>
      </x:c>
      <x:c r="G1746" s="55" t="n">
        <x:v>-90.779717</x:v>
      </x:c>
      <x:c r="H1746" s="43" t="n">
        <x:f>E1746/SUMIF(A:A,A1746,E:E)</x:f>
        <x:v>0.0009456146165237704</x:v>
      </x:c>
    </x:row>
    <x:row r="1747" ht="21.600000381469727" hidden="0" customHeight="1">
      <x:c r="A1747" s="29" t="str">
        <x:v>SCA-20</x:v>
      </x:c>
      <x:c r="B1747" s="29" t="str">
        <x:v>05117</x:v>
      </x:c>
      <x:c r="C1747" s="29" t="str">
        <x:v>AR</x:v>
      </x:c>
      <x:c r="D1747" s="29" t="str">
        <x:v>Prairie County</x:v>
      </x:c>
      <x:c r="E1747" s="41" t="n">
        <x:v>7923</x:v>
      </x:c>
      <x:c r="F1747" s="56" t="n">
        <x:v>34.831116</x:v>
      </x:c>
      <x:c r="G1747" s="56" t="n">
        <x:v>-91.55362</x:v>
      </x:c>
      <x:c r="H1747" s="44" t="n">
        <x:f>E1747/SUMIF(A:A,A1747,E:E)</x:f>
        <x:v>0.0009331304778574957</x:v>
      </x:c>
    </x:row>
    <x:row r="1748" ht="21.600000381469727" hidden="0" customHeight="1">
      <x:c r="A1748" s="27" t="str">
        <x:v>SCA-20</x:v>
      </x:c>
      <x:c r="B1748" s="27" t="str">
        <x:v>05129</x:v>
      </x:c>
      <x:c r="C1748" s="27" t="str">
        <x:v>AR</x:v>
      </x:c>
      <x:c r="D1748" s="27" t="str">
        <x:v>Searcy County</x:v>
      </x:c>
      <x:c r="E1748" s="40" t="n">
        <x:v>7848</x:v>
      </x:c>
      <x:c r="F1748" s="55" t="n">
        <x:v>35.896387</x:v>
      </x:c>
      <x:c r="G1748" s="55" t="n">
        <x:v>-92.695888</x:v>
      </x:c>
      <x:c r="H1748" s="43" t="n">
        <x:f>E1748/SUMIF(A:A,A1748,E:E)</x:f>
        <x:v>0.0009242973608766409</x:v>
      </x:c>
    </x:row>
    <x:row r="1749" ht="21.600000381469727" hidden="0" customHeight="1">
      <x:c r="A1749" s="29" t="str">
        <x:v>SCA-20</x:v>
      </x:c>
      <x:c r="B1749" s="29" t="str">
        <x:v>28009</x:v>
      </x:c>
      <x:c r="C1749" s="29" t="str">
        <x:v>MS</x:v>
      </x:c>
      <x:c r="D1749" s="29" t="str">
        <x:v>Benton County</x:v>
      </x:c>
      <x:c r="E1749" s="41" t="n">
        <x:v>7502</x:v>
      </x:c>
      <x:c r="F1749" s="56" t="n">
        <x:v>34.809593</x:v>
      </x:c>
      <x:c r="G1749" s="56" t="n">
        <x:v>-89.200213</x:v>
      </x:c>
      <x:c r="H1749" s="44" t="n">
        <x:f>E1749/SUMIF(A:A,A1749,E:E)</x:f>
        <x:v>0.000883547247871631</x:v>
      </x:c>
    </x:row>
    <x:row r="1750" ht="21.600000381469727" hidden="0" customHeight="1">
      <x:c r="A1750" s="27" t="str">
        <x:v>SCA-20</x:v>
      </x:c>
      <x:c r="B1750" s="27" t="str">
        <x:v>28037</x:v>
      </x:c>
      <x:c r="C1750" s="27" t="str">
        <x:v>MS</x:v>
      </x:c>
      <x:c r="D1750" s="27" t="str">
        <x:v>Franklin County</x:v>
      </x:c>
      <x:c r="E1750" s="40" t="n">
        <x:v>7491</x:v>
      </x:c>
      <x:c r="F1750" s="55" t="n">
        <x:v>31.477773</x:v>
      </x:c>
      <x:c r="G1750" s="55" t="n">
        <x:v>-90.895457</x:v>
      </x:c>
      <x:c r="H1750" s="43" t="n">
        <x:f>E1750/SUMIF(A:A,A1750,E:E)</x:f>
        <x:v>0.0008822517240477723</x:v>
      </x:c>
    </x:row>
    <x:row r="1751" ht="21.600000381469727" hidden="0" customHeight="1">
      <x:c r="A1751" s="29" t="str">
        <x:v>SCA-20</x:v>
      </x:c>
      <x:c r="B1751" s="29" t="str">
        <x:v>05025</x:v>
      </x:c>
      <x:c r="C1751" s="29" t="str">
        <x:v>AR</x:v>
      </x:c>
      <x:c r="D1751" s="29" t="str">
        <x:v>Cleveland County</x:v>
      </x:c>
      <x:c r="E1751" s="41" t="n">
        <x:v>7224</x:v>
      </x:c>
      <x:c r="F1751" s="56" t="n">
        <x:v>33.893201</x:v>
      </x:c>
      <x:c r="G1751" s="56" t="n">
        <x:v>-92.188714</x:v>
      </x:c>
      <x:c r="H1751" s="44" t="n">
        <x:f>E1751/SUMIF(A:A,A1751,E:E)</x:f>
        <x:v>0.0008508058275959294</x:v>
      </x:c>
    </x:row>
    <x:row r="1752" ht="21.600000381469727" hidden="0" customHeight="1">
      <x:c r="A1752" s="27" t="str">
        <x:v>SCA-20</x:v>
      </x:c>
      <x:c r="B1752" s="27" t="str">
        <x:v>01063</x:v>
      </x:c>
      <x:c r="C1752" s="27" t="str">
        <x:v>AL</x:v>
      </x:c>
      <x:c r="D1752" s="27" t="str">
        <x:v>Greene County</x:v>
      </x:c>
      <x:c r="E1752" s="40" t="n">
        <x:v>7067</x:v>
      </x:c>
      <x:c r="F1752" s="55" t="n">
        <x:v>32.844497</x:v>
      </x:c>
      <x:c r="G1752" s="55" t="n">
        <x:v>-87.9642</x:v>
      </x:c>
      <x:c r="H1752" s="43" t="n">
        <x:f>E1752/SUMIF(A:A,A1752,E:E)</x:f>
        <x:v>0.0008323151693826735</x:v>
      </x:c>
    </x:row>
    <x:row r="1753" ht="21.600000381469727" hidden="0" customHeight="1">
      <x:c r="A1753" s="29" t="str">
        <x:v>SCA-20</x:v>
      </x:c>
      <x:c r="B1753" s="29" t="str">
        <x:v>05101</x:v>
      </x:c>
      <x:c r="C1753" s="29" t="str">
        <x:v>AR</x:v>
      </x:c>
      <x:c r="D1753" s="29" t="str">
        <x:v>Newton County</x:v>
      </x:c>
      <x:c r="E1753" s="41" t="n">
        <x:v>7026</x:v>
      </x:c>
      <x:c r="F1753" s="56" t="n">
        <x:v>35.910742</x:v>
      </x:c>
      <x:c r="G1753" s="56" t="n">
        <x:v>-93.215898</x:v>
      </x:c>
      <x:c r="H1753" s="44" t="n">
        <x:f>E1753/SUMIF(A:A,A1753,E:E)</x:f>
        <x:v>0.0008274863987664729</x:v>
      </x:c>
    </x:row>
    <x:row r="1754" ht="21.600000381469727" hidden="0" customHeight="1">
      <x:c r="A1754" s="27" t="str">
        <x:v>SCA-20</x:v>
      </x:c>
      <x:c r="B1754" s="27" t="str">
        <x:v>28053</x:v>
      </x:c>
      <x:c r="C1754" s="27" t="str">
        <x:v>MS</x:v>
      </x:c>
      <x:c r="D1754" s="27" t="str">
        <x:v>Humphreys County</x:v>
      </x:c>
      <x:c r="E1754" s="40" t="n">
        <x:v>7001</x:v>
      </x:c>
      <x:c r="F1754" s="55" t="n">
        <x:v>33.130996</x:v>
      </x:c>
      <x:c r="G1754" s="55" t="n">
        <x:v>-90.523421</x:v>
      </x:c>
      <x:c r="H1754" s="43" t="n">
        <x:f>E1754/SUMIF(A:A,A1754,E:E)</x:f>
        <x:v>0.0008245420264395213</x:v>
      </x:c>
    </x:row>
    <x:row r="1755" ht="21.600000381469727" hidden="0" customHeight="1">
      <x:c r="A1755" s="29" t="str">
        <x:v>SCA-20</x:v>
      </x:c>
      <x:c r="B1755" s="29" t="str">
        <x:v>28063</x:v>
      </x:c>
      <x:c r="C1755" s="29" t="str">
        <x:v>MS</x:v>
      </x:c>
      <x:c r="D1755" s="29" t="str">
        <x:v>Jefferson County</x:v>
      </x:c>
      <x:c r="E1755" s="41" t="n">
        <x:v>6825</x:v>
      </x:c>
      <x:c r="F1755" s="56" t="n">
        <x:v>31.733633</x:v>
      </x:c>
      <x:c r="G1755" s="56" t="n">
        <x:v>-91.043878</x:v>
      </x:c>
      <x:c r="H1755" s="44" t="n">
        <x:f>E1755/SUMIF(A:A,A1755,E:E)</x:f>
        <x:v>0.0008038136452577821</x:v>
      </x:c>
    </x:row>
    <x:row r="1756" ht="21.600000381469727" hidden="0" customHeight="1">
      <x:c r="A1756" s="27" t="str">
        <x:v>SCA-20</x:v>
      </x:c>
      <x:c r="B1756" s="27" t="str">
        <x:v>22035</x:v>
      </x:c>
      <x:c r="C1756" s="27" t="str">
        <x:v>LA</x:v>
      </x:c>
      <x:c r="D1756" s="27" t="str">
        <x:v>East Carroll Parish</x:v>
      </x:c>
      <x:c r="E1756" s="40" t="n">
        <x:v>6760</x:v>
      </x:c>
      <x:c r="F1756" s="55" t="n">
        <x:v>32.73017</x:v>
      </x:c>
      <x:c r="G1756" s="55" t="n">
        <x:v>-91.234141</x:v>
      </x:c>
      <x:c r="H1756" s="43" t="n">
        <x:f>E1756/SUMIF(A:A,A1756,E:E)</x:f>
        <x:v>0.000796158277207708</x:v>
      </x:c>
    </x:row>
    <x:row r="1757" ht="15" hidden="0" customHeight="1">
      <x:c r="A1757" s="29" t="str">
        <x:v>SCA-20</x:v>
      </x:c>
      <x:c r="B1757" s="29" t="str">
        <x:v>47095</x:v>
      </x:c>
      <x:c r="C1757" s="29" t="str">
        <x:v>TN</x:v>
      </x:c>
      <x:c r="D1757" s="29" t="str">
        <x:v>Lake County</x:v>
      </x:c>
      <x:c r="E1757" s="41" t="n">
        <x:v>6249</x:v>
      </x:c>
      <x:c r="F1757" s="56" t="n">
        <x:v>36.333905</x:v>
      </x:c>
      <x:c r="G1757" s="56" t="n">
        <x:v>-89.485536</x:v>
      </x:c>
      <x:c r="H1757" s="44" t="n">
        <x:f>E1757/SUMIF(A:A,A1757,E:E)</x:f>
        <x:v>0.0007359753068448177</x:v>
      </x:c>
    </x:row>
    <x:row r="1758" ht="21.600000381469727" hidden="0" customHeight="1">
      <x:c r="A1758" s="27" t="str">
        <x:v>SCA-20</x:v>
      </x:c>
      <x:c r="B1758" s="27" t="str">
        <x:v>05095</x:v>
      </x:c>
      <x:c r="C1758" s="27" t="str">
        <x:v>AR</x:v>
      </x:c>
      <x:c r="D1758" s="27" t="str">
        <x:v>Monroe County</x:v>
      </x:c>
      <x:c r="E1758" s="40" t="n">
        <x:v>6244</x:v>
      </x:c>
      <x:c r="F1758" s="55" t="n">
        <x:v>34.679512</x:v>
      </x:c>
      <x:c r="G1758" s="55" t="n">
        <x:v>-91.20331</x:v>
      </x:c>
      <x:c r="H1758" s="43" t="n">
        <x:f>E1758/SUMIF(A:A,A1758,E:E)</x:f>
        <x:v>0.0007353864323794274</x:v>
      </x:c>
    </x:row>
    <x:row r="1759" ht="21.600000381469727" hidden="0" customHeight="1">
      <x:c r="A1759" s="29" t="str">
        <x:v>SCA-20</x:v>
      </x:c>
      <x:c r="B1759" s="29" t="str">
        <x:v>21075</x:v>
      </x:c>
      <x:c r="C1759" s="29" t="str">
        <x:v>KY</x:v>
      </x:c>
      <x:c r="D1759" s="29" t="str">
        <x:v>Fulton County</x:v>
      </x:c>
      <x:c r="E1759" s="41" t="n">
        <x:v>6218</x:v>
      </x:c>
      <x:c r="F1759" s="56" t="n">
        <x:v>36.552511</x:v>
      </x:c>
      <x:c r="G1759" s="56" t="n">
        <x:v>-89.187659</x:v>
      </x:c>
      <x:c r="H1759" s="44" t="n">
        <x:f>E1759/SUMIF(A:A,A1759,E:E)</x:f>
        <x:v>0.0007323242851593977</x:v>
      </x:c>
    </x:row>
    <x:row r="1760" ht="21.600000381469727" hidden="0" customHeight="1">
      <x:c r="A1760" s="27" t="str">
        <x:v>SCA-20</x:v>
      </x:c>
      <x:c r="B1760" s="27" t="str">
        <x:v>05039</x:v>
      </x:c>
      <x:c r="C1760" s="27" t="str">
        <x:v>AR</x:v>
      </x:c>
      <x:c r="D1760" s="27" t="str">
        <x:v>Dallas County</x:v>
      </x:c>
      <x:c r="E1760" s="40" t="n">
        <x:v>6011</x:v>
      </x:c>
      <x:c r="F1760" s="55" t="n">
        <x:v>33.967823</x:v>
      </x:c>
      <x:c r="G1760" s="55" t="n">
        <x:v>-92.653999</x:v>
      </x:c>
      <x:c r="H1760" s="43" t="n">
        <x:f>E1760/SUMIF(A:A,A1760,E:E)</x:f>
        <x:v>0.0007079448822922386</x:v>
      </x:c>
    </x:row>
    <x:row r="1761" ht="21.600000381469727" hidden="0" customHeight="1">
      <x:c r="A1761" s="29" t="str">
        <x:v>SCA-20</x:v>
      </x:c>
      <x:c r="B1761" s="29" t="str">
        <x:v>05147</x:v>
      </x:c>
      <x:c r="C1761" s="29" t="str">
        <x:v>AR</x:v>
      </x:c>
      <x:c r="D1761" s="29" t="str">
        <x:v>Woodruff County</x:v>
      </x:c>
      <x:c r="E1761" s="41" t="n">
        <x:v>5710</x:v>
      </x:c>
      <x:c r="F1761" s="56" t="n">
        <x:v>35.192777</x:v>
      </x:c>
      <x:c r="G1761" s="56" t="n">
        <x:v>-91.244535</x:v>
      </x:c>
      <x:c r="H1761" s="44" t="n">
        <x:f>E1761/SUMIF(A:A,A1761,E:E)</x:f>
        <x:v>0.0006724946394757415</x:v>
      </x:c>
    </x:row>
    <x:row r="1762" ht="21.600000381469727" hidden="0" customHeight="1">
      <x:c r="A1762" s="27" t="str">
        <x:v>SCA-20</x:v>
      </x:c>
      <x:c r="B1762" s="27" t="str">
        <x:v>28119</x:v>
      </x:c>
      <x:c r="C1762" s="27" t="str">
        <x:v>MS</x:v>
      </x:c>
      <x:c r="D1762" s="27" t="str">
        <x:v>Quitman County</x:v>
      </x:c>
      <x:c r="E1762" s="40" t="n">
        <x:v>5364</x:v>
      </x:c>
      <x:c r="F1762" s="55" t="n">
        <x:v>34.252833</x:v>
      </x:c>
      <x:c r="G1762" s="55" t="n">
        <x:v>-90.290171</x:v>
      </x:c>
      <x:c r="H1762" s="43" t="n">
        <x:f>E1762/SUMIF(A:A,A1762,E:E)</x:f>
        <x:v>0.0006317445264707316</x:v>
      </x:c>
    </x:row>
    <x:row r="1763" ht="21.600000381469727" hidden="0" customHeight="1">
      <x:c r="A1763" s="29" t="str">
        <x:v>SCA-20</x:v>
      </x:c>
      <x:c r="B1763" s="29" t="str">
        <x:v>21039</x:v>
      </x:c>
      <x:c r="C1763" s="29" t="str">
        <x:v>KY</x:v>
      </x:c>
      <x:c r="D1763" s="29" t="str">
        <x:v>Carlisle County</x:v>
      </x:c>
      <x:c r="E1763" s="41" t="n">
        <x:v>4747</x:v>
      </x:c>
      <x:c r="F1763" s="56" t="n">
        <x:v>36.85718</x:v>
      </x:c>
      <x:c r="G1763" s="56" t="n">
        <x:v>-88.976614</x:v>
      </x:c>
      <x:c r="H1763" s="44" t="n">
        <x:f>E1763/SUMIF(A:A,A1763,E:E)</x:f>
        <x:v>0.0005590774174415666</x:v>
      </x:c>
    </x:row>
    <x:row r="1764" ht="21.600000381469727" hidden="0" customHeight="1">
      <x:c r="A1764" s="27" t="str">
        <x:v>SCA-20</x:v>
      </x:c>
      <x:c r="B1764" s="27" t="str">
        <x:v>05013</x:v>
      </x:c>
      <x:c r="C1764" s="27" t="str">
        <x:v>AR</x:v>
      </x:c>
      <x:c r="D1764" s="27" t="str">
        <x:v>Calhoun County</x:v>
      </x:c>
      <x:c r="E1764" s="40" t="n">
        <x:v>4632</x:v>
      </x:c>
      <x:c r="F1764" s="55" t="n">
        <x:v>33.56046</x:v>
      </x:c>
      <x:c r="G1764" s="55" t="n">
        <x:v>-92.513879</x:v>
      </x:c>
      <x:c r="H1764" s="43" t="n">
        <x:f>E1764/SUMIF(A:A,A1764,E:E)</x:f>
        <x:v>0.0005455333047375893</x:v>
      </x:c>
    </x:row>
    <x:row r="1765" ht="21.600000381469727" hidden="0" customHeight="1">
      <x:c r="A1765" s="29" t="str">
        <x:v>SCA-20</x:v>
      </x:c>
      <x:c r="B1765" s="29" t="str">
        <x:v>21105</x:v>
      </x:c>
      <x:c r="C1765" s="29" t="str">
        <x:v>KY</x:v>
      </x:c>
      <x:c r="D1765" s="29" t="str">
        <x:v>Hickman County</x:v>
      </x:c>
      <x:c r="E1765" s="41" t="n">
        <x:v>4372</x:v>
      </x:c>
      <x:c r="F1765" s="56" t="n">
        <x:v>36.675896</x:v>
      </x:c>
      <x:c r="G1765" s="56" t="n">
        <x:v>-88.972084</x:v>
      </x:c>
      <x:c r="H1765" s="44" t="n">
        <x:f>E1765/SUMIF(A:A,A1765,E:E)</x:f>
        <x:v>0.0005149118325372929</x:v>
      </x:c>
    </x:row>
    <x:row r="1766" ht="21.600000381469727" hidden="0" customHeight="1">
      <x:c r="A1766" s="27" t="str">
        <x:v>SCA-20</x:v>
      </x:c>
      <x:c r="B1766" s="27" t="str">
        <x:v>22107</x:v>
      </x:c>
      <x:c r="C1766" s="27" t="str">
        <x:v>LA</x:v>
      </x:c>
      <x:c r="D1766" s="27" t="str">
        <x:v>Tensas Parish</x:v>
      </x:c>
      <x:c r="E1766" s="40" t="n">
        <x:v>3700</x:v>
      </x:c>
      <x:c r="F1766" s="55" t="n">
        <x:v>32.001489</x:v>
      </x:c>
      <x:c r="G1766" s="55" t="n">
        <x:v>-91.342576</x:v>
      </x:c>
      <x:c r="H1766" s="43" t="n">
        <x:f>E1766/SUMIF(A:A,A1766,E:E)</x:f>
        <x:v>0.00043576710438883426</x:v>
      </x:c>
    </x:row>
    <x:row r="1767" ht="21.600000381469727" hidden="0" customHeight="1">
      <x:c r="A1767" s="29" t="str">
        <x:v>SCA-20</x:v>
      </x:c>
      <x:c r="B1767" s="29" t="str">
        <x:v>28125</x:v>
      </x:c>
      <x:c r="C1767" s="29" t="str">
        <x:v>MS</x:v>
      </x:c>
      <x:c r="D1767" s="29" t="str">
        <x:v>Sharkey County</x:v>
      </x:c>
      <x:c r="E1767" s="41" t="n">
        <x:v>3097</x:v>
      </x:c>
      <x:c r="F1767" s="56" t="n">
        <x:v>32.892395</x:v>
      </x:c>
      <x:c r="G1767" s="56" t="n">
        <x:v>-90.827613</x:v>
      </x:c>
      <x:c r="H1767" s="44" t="n">
        <x:f>E1767/SUMIF(A:A,A1767,E:E)</x:f>
        <x:v>0.0003647488438627621</x:v>
      </x:c>
    </x:row>
    <x:row r="1768" ht="21.600000381469727" hidden="0" customHeight="1">
      <x:c r="A1768" s="27" t="str">
        <x:v>SCA-20</x:v>
      </x:c>
      <x:c r="B1768" s="27" t="str">
        <x:v>28055</x:v>
      </x:c>
      <x:c r="C1768" s="27" t="str">
        <x:v>MS</x:v>
      </x:c>
      <x:c r="D1768" s="27" t="str">
        <x:v>Issaquena County</x:v>
      </x:c>
      <x:c r="E1768" s="40" t="n">
        <x:v>1263</x:v>
      </x:c>
      <x:c r="F1768" s="55" t="n">
        <x:v>32.755539</x:v>
      </x:c>
      <x:c r="G1768" s="55" t="n">
        <x:v>-91.003535</x:v>
      </x:c>
      <x:c r="H1768" s="43" t="n">
        <x:f>E1768/SUMIF(A:A,A1768,E:E)</x:f>
        <x:v>0.00014874968995759398</x:v>
      </x:c>
    </x:row>
    <x:row r="1769" ht="15" hidden="0" customHeight="1">
      <x:c r="A1769" s="29" t="str">
        <x:v>SCA-21</x:v>
      </x:c>
      <x:c r="B1769" s="29" t="str">
        <x:v>17031</x:v>
      </x:c>
      <x:c r="C1769" s="29" t="str">
        <x:v>IL</x:v>
      </x:c>
      <x:c r="D1769" s="29" t="str">
        <x:v>Cook County</x:v>
      </x:c>
      <x:c r="E1769" s="41" t="n">
        <x:v>5194625</x:v>
      </x:c>
      <x:c r="F1769" s="56" t="n">
        <x:v>41.894294</x:v>
      </x:c>
      <x:c r="G1769" s="56" t="n">
        <x:v>-87.645455</x:v>
      </x:c>
      <x:c r="H1769" s="44" t="n">
        <x:f>E1769/SUMIF(A:A,A1769,E:E)</x:f>
        <x:v>0.265118727664878</x:v>
      </x:c>
    </x:row>
    <x:row r="1770" ht="21.600000381469727" hidden="0" customHeight="1">
      <x:c r="A1770" s="27" t="str">
        <x:v>SCA-21</x:v>
      </x:c>
      <x:c r="B1770" s="27" t="str">
        <x:v>17043</x:v>
      </x:c>
      <x:c r="C1770" s="27" t="str">
        <x:v>IL</x:v>
      </x:c>
      <x:c r="D1770" s="27" t="str">
        <x:v>DuPage County</x:v>
      </x:c>
      <x:c r="E1770" s="40" t="n">
        <x:v>934298</x:v>
      </x:c>
      <x:c r="F1770" s="55" t="n">
        <x:v>41.852058</x:v>
      </x:c>
      <x:c r="G1770" s="55" t="n">
        <x:v>-88.086039</x:v>
      </x:c>
      <x:c r="H1770" s="43" t="n">
        <x:f>E1770/SUMIF(A:A,A1770,E:E)</x:f>
        <x:v>0.0476838842110528</x:v>
      </x:c>
    </x:row>
    <x:row r="1771" ht="21.600000381469727" hidden="0" customHeight="1">
      <x:c r="A1771" s="29" t="str">
        <x:v>SCA-21</x:v>
      </x:c>
      <x:c r="B1771" s="29" t="str">
        <x:v>55079</x:v>
      </x:c>
      <x:c r="C1771" s="29" t="str">
        <x:v>WI</x:v>
      </x:c>
      <x:c r="D1771" s="29" t="str">
        <x:v>Milwaukee County</x:v>
      </x:c>
      <x:c r="E1771" s="41" t="n">
        <x:v>924216</x:v>
      </x:c>
      <x:c r="F1771" s="56" t="n">
        <x:v>42.912643</x:v>
      </x:c>
      <x:c r="G1771" s="56" t="n">
        <x:v>-87.862312</x:v>
      </x:c>
      <x:c r="H1771" s="44" t="n">
        <x:f>E1771/SUMIF(A:A,A1771,E:E)</x:f>
        <x:v>0.04716932791251012</x:v>
      </x:c>
    </x:row>
    <x:row r="1772" ht="15" hidden="0" customHeight="1">
      <x:c r="A1772" s="27" t="str">
        <x:v>SCA-21</x:v>
      </x:c>
      <x:c r="B1772" s="27" t="str">
        <x:v>17097</x:v>
      </x:c>
      <x:c r="C1772" s="27" t="str">
        <x:v>IL</x:v>
      </x:c>
      <x:c r="D1772" s="27" t="str">
        <x:v>Lake County</x:v>
      </x:c>
      <x:c r="E1772" s="40" t="n">
        <x:v>719339</x:v>
      </x:c>
      <x:c r="F1772" s="55" t="n">
        <x:v>42.185968</x:v>
      </x:c>
      <x:c r="G1772" s="55" t="n">
        <x:v>-87.805939</x:v>
      </x:c>
      <x:c r="H1772" s="43" t="n">
        <x:f>E1772/SUMIF(A:A,A1772,E:E)</x:f>
        <x:v>0.036712994766653156</x:v>
      </x:c>
    </x:row>
    <x:row r="1773" ht="15" hidden="0" customHeight="1">
      <x:c r="A1773" s="29" t="str">
        <x:v>SCA-21</x:v>
      </x:c>
      <x:c r="B1773" s="29" t="str">
        <x:v>17197</x:v>
      </x:c>
      <x:c r="C1773" s="29" t="str">
        <x:v>IL</x:v>
      </x:c>
      <x:c r="D1773" s="29" t="str">
        <x:v>Will County</x:v>
      </x:c>
      <x:c r="E1773" s="41" t="n">
        <x:v>712253</x:v>
      </x:c>
      <x:c r="F1773" s="56" t="n">
        <x:v>41.448474</x:v>
      </x:c>
      <x:c r="G1773" s="56" t="n">
        <x:v>-87.978456</x:v>
      </x:c>
      <x:c r="H1773" s="44" t="n">
        <x:f>E1773/SUMIF(A:A,A1773,E:E)</x:f>
        <x:v>0.0363513456958861</x:v>
      </x:c>
    </x:row>
    <x:row r="1774" ht="15" hidden="0" customHeight="1">
      <x:c r="A1774" s="27" t="str">
        <x:v>SCA-21</x:v>
      </x:c>
      <x:c r="B1774" s="27" t="str">
        <x:v>55025</x:v>
      </x:c>
      <x:c r="C1774" s="27" t="str">
        <x:v>WI</x:v>
      </x:c>
      <x:c r="D1774" s="27" t="str">
        <x:v>Dane County</x:v>
      </x:c>
      <x:c r="E1774" s="40" t="n">
        <x:v>590375</x:v>
      </x:c>
      <x:c r="F1774" s="55" t="n">
        <x:v>43.067468</x:v>
      </x:c>
      <x:c r="G1774" s="55" t="n">
        <x:v>-89.417852</x:v>
      </x:c>
      <x:c r="H1774" s="43" t="n">
        <x:f>E1774/SUMIF(A:A,A1774,E:E)</x:f>
        <x:v>0.030131042923243225</x:v>
      </x:c>
    </x:row>
    <x:row r="1775" ht="15" hidden="0" customHeight="1">
      <x:c r="A1775" s="29" t="str">
        <x:v>SCA-21</x:v>
      </x:c>
      <x:c r="B1775" s="29" t="str">
        <x:v>17089</x:v>
      </x:c>
      <x:c r="C1775" s="29" t="str">
        <x:v>IL</x:v>
      </x:c>
      <x:c r="D1775" s="29" t="str">
        <x:v>Kane County</x:v>
      </x:c>
      <x:c r="E1775" s="41" t="n">
        <x:v>525757</x:v>
      </x:c>
      <x:c r="F1775" s="56" t="n">
        <x:v>41.939594</x:v>
      </x:c>
      <x:c r="G1775" s="56" t="n">
        <x:v>-88.42804</x:v>
      </x:c>
      <x:c r="H1775" s="44" t="n">
        <x:f>E1775/SUMIF(A:A,A1775,E:E)</x:f>
        <x:v>0.026833125952480354</x:v>
      </x:c>
    </x:row>
    <x:row r="1776" ht="15" hidden="0" customHeight="1">
      <x:c r="A1776" s="27" t="str">
        <x:v>SCA-21</x:v>
      </x:c>
      <x:c r="B1776" s="27" t="str">
        <x:v>18089</x:v>
      </x:c>
      <x:c r="C1776" s="27" t="str">
        <x:v>IN</x:v>
      </x:c>
      <x:c r="D1776" s="27" t="str">
        <x:v>Lake County</x:v>
      </x:c>
      <x:c r="E1776" s="40" t="n">
        <x:v>504612</x:v>
      </x:c>
      <x:c r="F1776" s="55" t="n">
        <x:v>41.472247</x:v>
      </x:c>
      <x:c r="G1776" s="55" t="n">
        <x:v>-87.374337</x:v>
      </x:c>
      <x:c r="H1776" s="43" t="n">
        <x:f>E1776/SUMIF(A:A,A1776,E:E)</x:f>
        <x:v>0.025753945935352292</x:v>
      </x:c>
    </x:row>
    <x:row r="1777" ht="21.600000381469727" hidden="0" customHeight="1">
      <x:c r="A1777" s="29" t="str">
        <x:v>SCA-21</x:v>
      </x:c>
      <x:c r="B1777" s="29" t="str">
        <x:v>55133</x:v>
      </x:c>
      <x:c r="C1777" s="29" t="str">
        <x:v>WI</x:v>
      </x:c>
      <x:c r="D1777" s="29" t="str">
        <x:v>Waukesha County</x:v>
      </x:c>
      <x:c r="E1777" s="41" t="n">
        <x:v>417210</x:v>
      </x:c>
      <x:c r="F1777" s="56" t="n">
        <x:v>43.018368</x:v>
      </x:c>
      <x:c r="G1777" s="56" t="n">
        <x:v>-88.30424</x:v>
      </x:c>
      <x:c r="H1777" s="44" t="n">
        <x:f>E1777/SUMIF(A:A,A1777,E:E)</x:f>
        <x:v>0.021293199098888514</x:v>
      </x:c>
    </x:row>
    <x:row r="1778" ht="21.600000381469727" hidden="0" customHeight="1">
      <x:c r="A1778" s="27" t="str">
        <x:v>SCA-21</x:v>
      </x:c>
      <x:c r="B1778" s="27" t="str">
        <x:v>17111</x:v>
      </x:c>
      <x:c r="C1778" s="27" t="str">
        <x:v>IL</x:v>
      </x:c>
      <x:c r="D1778" s="27" t="str">
        <x:v>McHenry County</x:v>
      </x:c>
      <x:c r="E1778" s="40" t="n">
        <x:v>317751</x:v>
      </x:c>
      <x:c r="F1778" s="55" t="n">
        <x:v>42.324298</x:v>
      </x:c>
      <x:c r="G1778" s="55" t="n">
        <x:v>-88.452245</x:v>
      </x:c>
      <x:c r="H1778" s="43" t="n">
        <x:f>E1778/SUMIF(A:A,A1778,E:E)</x:f>
        <x:v>0.016217097641166137</x:v>
      </x:c>
    </x:row>
    <x:row r="1779" ht="21.600000381469727" hidden="0" customHeight="1">
      <x:c r="A1779" s="29" t="str">
        <x:v>SCA-21</x:v>
      </x:c>
      <x:c r="B1779" s="29" t="str">
        <x:v>26139</x:v>
      </x:c>
      <x:c r="C1779" s="29" t="str">
        <x:v>MI</x:v>
      </x:c>
      <x:c r="D1779" s="29" t="str">
        <x:v>Ottawa County</x:v>
      </x:c>
      <x:c r="E1779" s="41" t="n">
        <x:v>308459</x:v>
      </x:c>
      <x:c r="F1779" s="56" t="n">
        <x:v>43.054969</x:v>
      </x:c>
      <x:c r="G1779" s="56" t="n">
        <x:v>-86.219349</x:v>
      </x:c>
      <x:c r="H1779" s="44" t="n">
        <x:f>E1779/SUMIF(A:A,A1779,E:E)</x:f>
        <x:v>0.015742860671709814</x:v>
      </x:c>
    </x:row>
    <x:row r="1780" ht="21.600000381469727" hidden="0" customHeight="1">
      <x:c r="A1780" s="27" t="str">
        <x:v>SCA-21</x:v>
      </x:c>
      <x:c r="B1780" s="27" t="str">
        <x:v>17201</x:v>
      </x:c>
      <x:c r="C1780" s="27" t="str">
        <x:v>IL</x:v>
      </x:c>
      <x:c r="D1780" s="27" t="str">
        <x:v>Winnebago County</x:v>
      </x:c>
      <x:c r="E1780" s="40" t="n">
        <x:v>283674</x:v>
      </x:c>
      <x:c r="F1780" s="55" t="n">
        <x:v>42.337396</x:v>
      </x:c>
      <x:c r="G1780" s="55" t="n">
        <x:v>-89.161205</x:v>
      </x:c>
      <x:c r="H1780" s="43" t="n">
        <x:f>E1780/SUMIF(A:A,A1780,E:E)</x:f>
        <x:v>0.014477905518031927</x:v>
      </x:c>
    </x:row>
    <x:row r="1781" ht="21.600000381469727" hidden="0" customHeight="1">
      <x:c r="A1781" s="29" t="str">
        <x:v>SCA-21</x:v>
      </x:c>
      <x:c r="B1781" s="29" t="str">
        <x:v>55009</x:v>
      </x:c>
      <x:c r="C1781" s="29" t="str">
        <x:v>WI</x:v>
      </x:c>
      <x:c r="D1781" s="29" t="str">
        <x:v>Brown County</x:v>
      </x:c>
      <x:c r="E1781" s="41" t="n">
        <x:v>275803</x:v>
      </x:c>
      <x:c r="F1781" s="56" t="n">
        <x:v>44.474024</x:v>
      </x:c>
      <x:c r="G1781" s="56" t="n">
        <x:v>-87.99613</x:v>
      </x:c>
      <x:c r="H1781" s="44" t="n">
        <x:f>E1781/SUMIF(A:A,A1781,E:E)</x:f>
        <x:v>0.014076192303805635</x:v>
      </x:c>
    </x:row>
    <x:row r="1782" ht="21.600000381469727" hidden="0" customHeight="1">
      <x:c r="A1782" s="27" t="str">
        <x:v>SCA-21</x:v>
      </x:c>
      <x:c r="B1782" s="27" t="str">
        <x:v>18141</x:v>
      </x:c>
      <x:c r="C1782" s="27" t="str">
        <x:v>IN</x:v>
      </x:c>
      <x:c r="D1782" s="27" t="str">
        <x:v>St. Joseph County</x:v>
      </x:c>
      <x:c r="E1782" s="40" t="n">
        <x:v>272861</x:v>
      </x:c>
      <x:c r="F1782" s="55" t="n">
        <x:v>41.617723</x:v>
      </x:c>
      <x:c r="G1782" s="55" t="n">
        <x:v>-86.288048</x:v>
      </x:c>
      <x:c r="H1782" s="43" t="n">
        <x:f>E1782/SUMIF(A:A,A1782,E:E)</x:f>
        <x:v>0.013926041080802998</x:v>
      </x:c>
    </x:row>
    <x:row r="1783" ht="15" hidden="0" customHeight="1">
      <x:c r="A1783" s="29" t="str">
        <x:v>SCA-21</x:v>
      </x:c>
      <x:c r="B1783" s="29" t="str">
        <x:v>19113</x:v>
      </x:c>
      <x:c r="C1783" s="29" t="str">
        <x:v>IA</x:v>
      </x:c>
      <x:c r="D1783" s="29" t="str">
        <x:v>Linn County</x:v>
      </x:c>
      <x:c r="E1783" s="41" t="n">
        <x:v>232028</x:v>
      </x:c>
      <x:c r="F1783" s="56" t="n">
        <x:v>42.077951</x:v>
      </x:c>
      <x:c r="G1783" s="56" t="n">
        <x:v>-91.597674</x:v>
      </x:c>
      <x:c r="H1783" s="44" t="n">
        <x:f>E1783/SUMIF(A:A,A1783,E:E)</x:f>
        <x:v>0.011842042138292236</x:v>
      </x:c>
    </x:row>
    <x:row r="1784" ht="21.600000381469727" hidden="0" customHeight="1">
      <x:c r="A1784" s="27" t="str">
        <x:v>SCA-21</x:v>
      </x:c>
      <x:c r="B1784" s="27" t="str">
        <x:v>17019</x:v>
      </x:c>
      <x:c r="C1784" s="27" t="str">
        <x:v>IL</x:v>
      </x:c>
      <x:c r="D1784" s="27" t="str">
        <x:v>Champaign County</x:v>
      </x:c>
      <x:c r="E1784" s="40" t="n">
        <x:v>209972</x:v>
      </x:c>
      <x:c r="F1784" s="55" t="n">
        <x:v>40.138985</x:v>
      </x:c>
      <x:c r="G1784" s="55" t="n">
        <x:v>-88.196975</x:v>
      </x:c>
      <x:c r="H1784" s="43" t="n">
        <x:f>E1784/SUMIF(A:A,A1784,E:E)</x:f>
        <x:v>0.010716367299901294</x:v>
      </x:c>
    </x:row>
    <x:row r="1785" ht="21.600000381469727" hidden="0" customHeight="1">
      <x:c r="A1785" s="29" t="str">
        <x:v>SCA-21</x:v>
      </x:c>
      <x:c r="B1785" s="29" t="str">
        <x:v>18039</x:v>
      </x:c>
      <x:c r="C1785" s="29" t="str">
        <x:v>IN</x:v>
      </x:c>
      <x:c r="D1785" s="29" t="str">
        <x:v>Elkhart County</x:v>
      </x:c>
      <x:c r="E1785" s="41" t="n">
        <x:v>208774</x:v>
      </x:c>
      <x:c r="F1785" s="56" t="n">
        <x:v>41.600693</x:v>
      </x:c>
      <x:c r="G1785" s="56" t="n">
        <x:v>-85.863986</x:v>
      </x:c>
      <x:c r="H1785" s="44" t="n">
        <x:f>E1785/SUMIF(A:A,A1785,E:E)</x:f>
        <x:v>0.010655224823641214</x:v>
      </x:c>
    </x:row>
    <x:row r="1786" ht="21.600000381469727" hidden="0" customHeight="1">
      <x:c r="A1786" s="27" t="str">
        <x:v>SCA-21</x:v>
      </x:c>
      <x:c r="B1786" s="27" t="str">
        <x:v>55101</x:v>
      </x:c>
      <x:c r="C1786" s="27" t="str">
        <x:v>WI</x:v>
      </x:c>
      <x:c r="D1786" s="27" t="str">
        <x:v>Racine County</x:v>
      </x:c>
      <x:c r="E1786" s="40" t="n">
        <x:v>198919</x:v>
      </x:c>
      <x:c r="F1786" s="55" t="n">
        <x:v>42.780392</x:v>
      </x:c>
      <x:c r="G1786" s="55" t="n">
        <x:v>-87.771599</x:v>
      </x:c>
      <x:c r="H1786" s="43" t="n">
        <x:f>E1786/SUMIF(A:A,A1786,E:E)</x:f>
        <x:v>0.010152253952570179</x:v>
      </x:c>
    </x:row>
    <x:row r="1787" ht="21.600000381469727" hidden="0" customHeight="1">
      <x:c r="A1787" s="29" t="str">
        <x:v>SCA-21</x:v>
      </x:c>
      <x:c r="B1787" s="29" t="str">
        <x:v>55087</x:v>
      </x:c>
      <x:c r="C1787" s="29" t="str">
        <x:v>WI</x:v>
      </x:c>
      <x:c r="D1787" s="29" t="str">
        <x:v>Outagamie County</x:v>
      </x:c>
      <x:c r="E1787" s="41" t="n">
        <x:v>195894</x:v>
      </x:c>
      <x:c r="F1787" s="56" t="n">
        <x:v>44.418226</x:v>
      </x:c>
      <x:c r="G1787" s="56" t="n">
        <x:v>-88.464988</x:v>
      </x:c>
      <x:c r="H1787" s="44" t="n">
        <x:f>E1787/SUMIF(A:A,A1787,E:E)</x:f>
        <x:v>0.009997866648157203</x:v>
      </x:c>
    </x:row>
    <x:row r="1788" ht="21.600000381469727" hidden="0" customHeight="1">
      <x:c r="A1788" s="27" t="str">
        <x:v>SCA-21</x:v>
      </x:c>
      <x:c r="B1788" s="27" t="str">
        <x:v>18157</x:v>
      </x:c>
      <x:c r="C1788" s="27" t="str">
        <x:v>IN</x:v>
      </x:c>
      <x:c r="D1788" s="27" t="str">
        <x:v>Tippecanoe County</x:v>
      </x:c>
      <x:c r="E1788" s="40" t="n">
        <x:v>190456</x:v>
      </x:c>
      <x:c r="F1788" s="55" t="n">
        <x:v>40.389133</x:v>
      </x:c>
      <x:c r="G1788" s="55" t="n">
        <x:v>-86.893554</x:v>
      </x:c>
      <x:c r="H1788" s="43" t="n">
        <x:f>E1788/SUMIF(A:A,A1788,E:E)</x:f>
        <x:v>0.009720326760091826</x:v>
      </x:c>
    </x:row>
    <x:row r="1789" ht="21.600000381469727" hidden="0" customHeight="1">
      <x:c r="A1789" s="29" t="str">
        <x:v>SCA-21</x:v>
      </x:c>
      <x:c r="B1789" s="29" t="str">
        <x:v>17143</x:v>
      </x:c>
      <x:c r="C1789" s="29" t="str">
        <x:v>IL</x:v>
      </x:c>
      <x:c r="D1789" s="29" t="str">
        <x:v>Peoria County</x:v>
      </x:c>
      <x:c r="E1789" s="41" t="n">
        <x:v>178553</x:v>
      </x:c>
      <x:c r="F1789" s="56" t="n">
        <x:v>40.785972</x:v>
      </x:c>
      <x:c r="G1789" s="56" t="n">
        <x:v>-89.766993</x:v>
      </x:c>
      <x:c r="H1789" s="44" t="n">
        <x:f>E1789/SUMIF(A:A,A1789,E:E)</x:f>
        <x:v>0.0091128318561488</x:v>
      </x:c>
    </x:row>
    <x:row r="1790" ht="21.600000381469727" hidden="0" customHeight="1">
      <x:c r="A1790" s="27" t="str">
        <x:v>SCA-21</x:v>
      </x:c>
      <x:c r="B1790" s="27" t="str">
        <x:v>26121</x:v>
      </x:c>
      <x:c r="C1790" s="27" t="str">
        <x:v>MI</x:v>
      </x:c>
      <x:c r="D1790" s="27" t="str">
        <x:v>Muskegon County</x:v>
      </x:c>
      <x:c r="E1790" s="40" t="n">
        <x:v>177901</x:v>
      </x:c>
      <x:c r="F1790" s="55" t="n">
        <x:v>43.428739</x:v>
      </x:c>
      <x:c r="G1790" s="55" t="n">
        <x:v>-86.420908</x:v>
      </x:c>
      <x:c r="H1790" s="43" t="n">
        <x:f>E1790/SUMIF(A:A,A1790,E:E)</x:f>
        <x:v>0.009079555650371192</x:v>
      </x:c>
    </x:row>
    <x:row r="1791" ht="21.600000381469727" hidden="0" customHeight="1">
      <x:c r="A1791" s="29" t="str">
        <x:v>SCA-21</x:v>
      </x:c>
      <x:c r="B1791" s="29" t="str">
        <x:v>18127</x:v>
      </x:c>
      <x:c r="C1791" s="29" t="str">
        <x:v>IN</x:v>
      </x:c>
      <x:c r="D1791" s="29" t="str">
        <x:v>Porter County</x:v>
      </x:c>
      <x:c r="E1791" s="41" t="n">
        <x:v>176049</x:v>
      </x:c>
      <x:c r="F1791" s="56" t="n">
        <x:v>41.509914</x:v>
      </x:c>
      <x:c r="G1791" s="56" t="n">
        <x:v>-87.071313</x:v>
      </x:c>
      <x:c r="H1791" s="44" t="n">
        <x:f>E1791/SUMIF(A:A,A1791,E:E)</x:f>
        <x:v>0.008985034894082653</x:v>
      </x:c>
    </x:row>
    <x:row r="1792" ht="15" hidden="0" customHeight="1">
      <x:c r="A1792" s="27" t="str">
        <x:v>SCA-21</x:v>
      </x:c>
      <x:c r="B1792" s="27" t="str">
        <x:v>19163</x:v>
      </x:c>
      <x:c r="C1792" s="27" t="str">
        <x:v>IA</x:v>
      </x:c>
      <x:c r="D1792" s="27" t="str">
        <x:v>Scott County</x:v>
      </x:c>
      <x:c r="E1792" s="40" t="n">
        <x:v>175259</x:v>
      </x:c>
      <x:c r="F1792" s="55" t="n">
        <x:v>41.642079</x:v>
      </x:c>
      <x:c r="G1792" s="55" t="n">
        <x:v>-90.622289</x:v>
      </x:c>
      <x:c r="H1792" s="43" t="n">
        <x:f>E1792/SUMIF(A:A,A1792,E:E)</x:f>
        <x:v>0.00894471556499629</x:v>
      </x:c>
    </x:row>
    <x:row r="1793" ht="21.600000381469727" hidden="0" customHeight="1">
      <x:c r="A1793" s="29" t="str">
        <x:v>SCA-21</x:v>
      </x:c>
      <x:c r="B1793" s="29" t="str">
        <x:v>55139</x:v>
      </x:c>
      <x:c r="C1793" s="29" t="str">
        <x:v>WI</x:v>
      </x:c>
      <x:c r="D1793" s="29" t="str">
        <x:v>Winnebago County</x:v>
      </x:c>
      <x:c r="E1793" s="41" t="n">
        <x:v>174218</x:v>
      </x:c>
      <x:c r="F1793" s="56" t="n">
        <x:v>44.085707</x:v>
      </x:c>
      <x:c r="G1793" s="56" t="n">
        <x:v>-88.668149</x:v>
      </x:c>
      <x:c r="H1793" s="44" t="n">
        <x:f>E1793/SUMIF(A:A,A1793,E:E)</x:f>
        <x:v>0.008891585917428056</x:v>
      </x:c>
    </x:row>
    <x:row r="1794" ht="21.600000381469727" hidden="0" customHeight="1">
      <x:c r="A1794" s="27" t="str">
        <x:v>SCA-21</x:v>
      </x:c>
      <x:c r="B1794" s="27" t="str">
        <x:v>17113</x:v>
      </x:c>
      <x:c r="C1794" s="27" t="str">
        <x:v>IL</x:v>
      </x:c>
      <x:c r="D1794" s="27" t="str">
        <x:v>McLean County</x:v>
      </x:c>
      <x:c r="E1794" s="40" t="n">
        <x:v>171419</x:v>
      </x:c>
      <x:c r="F1794" s="55" t="n">
        <x:v>40.494559</x:v>
      </x:c>
      <x:c r="G1794" s="55" t="n">
        <x:v>-88.844539</x:v>
      </x:c>
      <x:c r="H1794" s="43" t="n">
        <x:f>E1794/SUMIF(A:A,A1794,E:E)</x:f>
        <x:v>0.008748733003361306</x:v>
      </x:c>
    </x:row>
    <x:row r="1795" ht="21.600000381469727" hidden="0" customHeight="1">
      <x:c r="A1795" s="29" t="str">
        <x:v>SCA-21</x:v>
      </x:c>
      <x:c r="B1795" s="29" t="str">
        <x:v>55059</x:v>
      </x:c>
      <x:c r="C1795" s="29" t="str">
        <x:v>WI</x:v>
      </x:c>
      <x:c r="D1795" s="29" t="str">
        <x:v>Kenosha County</x:v>
      </x:c>
      <x:c r="E1795" s="41" t="n">
        <x:v>168448</x:v>
      </x:c>
      <x:c r="F1795" s="56" t="n">
        <x:v>42.587526</x:v>
      </x:c>
      <x:c r="G1795" s="56" t="n">
        <x:v>-87.879996</x:v>
      </x:c>
      <x:c r="H1795" s="44" t="n">
        <x:f>E1795/SUMIF(A:A,A1795,E:E)</x:f>
        <x:v>0.00859710170372132</x:v>
      </x:c>
    </x:row>
    <x:row r="1796" ht="15" hidden="0" customHeight="1">
      <x:c r="A1796" s="27" t="str">
        <x:v>SCA-21</x:v>
      </x:c>
      <x:c r="B1796" s="27" t="str">
        <x:v>55105</x:v>
      </x:c>
      <x:c r="C1796" s="27" t="str">
        <x:v>WI</x:v>
      </x:c>
      <x:c r="D1796" s="27" t="str">
        <x:v>Rock County</x:v>
      </x:c>
      <x:c r="E1796" s="40" t="n">
        <x:v>166472</x:v>
      </x:c>
      <x:c r="F1796" s="55" t="n">
        <x:v>42.66988</x:v>
      </x:c>
      <x:c r="G1796" s="55" t="n">
        <x:v>-89.075284</x:v>
      </x:c>
      <x:c r="H1796" s="43" t="n">
        <x:f>E1796/SUMIF(A:A,A1796,E:E)</x:f>
        <x:v>0.008496252343879985</x:v>
      </x:c>
    </x:row>
    <x:row r="1797" ht="21.600000381469727" hidden="0" customHeight="1">
      <x:c r="A1797" s="29" t="str">
        <x:v>SCA-21</x:v>
      </x:c>
      <x:c r="B1797" s="29" t="str">
        <x:v>19103</x:v>
      </x:c>
      <x:c r="C1797" s="29" t="str">
        <x:v>IA</x:v>
      </x:c>
      <x:c r="D1797" s="29" t="str">
        <x:v>Johnson County</x:v>
      </x:c>
      <x:c r="E1797" s="41" t="n">
        <x:v>160044</x:v>
      </x:c>
      <x:c r="F1797" s="56" t="n">
        <x:v>41.670668</x:v>
      </x:c>
      <x:c r="G1797" s="56" t="n">
        <x:v>-91.590529</x:v>
      </x:c>
      <x:c r="H1797" s="44" t="n">
        <x:f>E1797/SUMIF(A:A,A1797,E:E)</x:f>
        <x:v>0.008168185701643089</x:v>
      </x:c>
    </x:row>
    <x:row r="1798" ht="21.600000381469727" hidden="0" customHeight="1">
      <x:c r="A1798" s="27" t="str">
        <x:v>SCA-21</x:v>
      </x:c>
      <x:c r="B1798" s="27" t="str">
        <x:v>26021</x:v>
      </x:c>
      <x:c r="C1798" s="27" t="str">
        <x:v>MI</x:v>
      </x:c>
      <x:c r="D1798" s="27" t="str">
        <x:v>Berrien County</x:v>
      </x:c>
      <x:c r="E1798" s="40" t="n">
        <x:v>152444</x:v>
      </x:c>
      <x:c r="F1798" s="55" t="n">
        <x:v>41.791382</x:v>
      </x:c>
      <x:c r="G1798" s="55" t="n">
        <x:v>-86.742543</x:v>
      </x:c>
      <x:c r="H1798" s="43" t="n">
        <x:f>E1798/SUMIF(A:A,A1798,E:E)</x:f>
        <x:v>0.007780303548407182</x:v>
      </x:c>
    </x:row>
    <x:row r="1799" ht="21.600000381469727" hidden="0" customHeight="1">
      <x:c r="A1799" s="29" t="str">
        <x:v>SCA-21</x:v>
      </x:c>
      <x:c r="B1799" s="29" t="str">
        <x:v>17093</x:v>
      </x:c>
      <x:c r="C1799" s="29" t="str">
        <x:v>IL</x:v>
      </x:c>
      <x:c r="D1799" s="29" t="str">
        <x:v>Kendall County</x:v>
      </x:c>
      <x:c r="E1799" s="41" t="n">
        <x:v>145470</x:v>
      </x:c>
      <x:c r="F1799" s="56" t="n">
        <x:v>41.58814</x:v>
      </x:c>
      <x:c r="G1799" s="56" t="n">
        <x:v>-88.430626</x:v>
      </x:c>
      <x:c r="H1799" s="44" t="n">
        <x:f>E1799/SUMIF(A:A,A1799,E:E)</x:f>
        <x:v>0.007424370635687812</x:v>
      </x:c>
    </x:row>
    <x:row r="1800" ht="21.600000381469727" hidden="0" customHeight="1">
      <x:c r="A1800" s="27" t="str">
        <x:v>SCA-21</x:v>
      </x:c>
      <x:c r="B1800" s="27" t="str">
        <x:v>17161</x:v>
      </x:c>
      <x:c r="C1800" s="27" t="str">
        <x:v>IL</x:v>
      </x:c>
      <x:c r="D1800" s="27" t="str">
        <x:v>Rock Island County</x:v>
      </x:c>
      <x:c r="E1800" s="40" t="n">
        <x:v>141869</x:v>
      </x:c>
      <x:c r="F1800" s="55" t="n">
        <x:v>41.468421</x:v>
      </x:c>
      <x:c r="G1800" s="55" t="n">
        <x:v>-90.572125</x:v>
      </x:c>
      <x:c r="H1800" s="43" t="n">
        <x:f>E1800/SUMIF(A:A,A1800,E:E)</x:f>
        <x:v>0.007240585947029588</x:v>
      </x:c>
    </x:row>
    <x:row r="1801" ht="21.600000381469727" hidden="0" customHeight="1">
      <x:c r="A1801" s="29" t="str">
        <x:v>SCA-21</x:v>
      </x:c>
      <x:c r="B1801" s="29" t="str">
        <x:v>55131</x:v>
      </x:c>
      <x:c r="C1801" s="29" t="str">
        <x:v>WI</x:v>
      </x:c>
      <x:c r="D1801" s="29" t="str">
        <x:v>Washington County</x:v>
      </x:c>
      <x:c r="E1801" s="41" t="n">
        <x:v>139238</x:v>
      </x:c>
      <x:c r="F1801" s="56" t="n">
        <x:v>43.391156</x:v>
      </x:c>
      <x:c r="G1801" s="56" t="n">
        <x:v>-88.232917</x:v>
      </x:c>
      <x:c r="H1801" s="44" t="n">
        <x:f>E1801/SUMIF(A:A,A1801,E:E)</x:f>
        <x:v>0.007106307270034368</x:v>
      </x:c>
    </x:row>
    <x:row r="1802" ht="21.600000381469727" hidden="0" customHeight="1">
      <x:c r="A1802" s="27" t="str">
        <x:v>SCA-21</x:v>
      </x:c>
      <x:c r="B1802" s="27" t="str">
        <x:v>17179</x:v>
      </x:c>
      <x:c r="C1802" s="27" t="str">
        <x:v>IL</x:v>
      </x:c>
      <x:c r="D1802" s="27" t="str">
        <x:v>Tazewell County</x:v>
      </x:c>
      <x:c r="E1802" s="40" t="n">
        <x:v>130049</x:v>
      </x:c>
      <x:c r="F1802" s="55" t="n">
        <x:v>40.508074</x:v>
      </x:c>
      <x:c r="G1802" s="55" t="n">
        <x:v>-89.51626</x:v>
      </x:c>
      <x:c r="H1802" s="43" t="n">
        <x:f>E1802/SUMIF(A:A,A1802,E:E)</x:f>
        <x:v>0.006637327124496902</x:v>
      </x:c>
    </x:row>
    <x:row r="1803" ht="21.600000381469727" hidden="0" customHeight="1">
      <x:c r="A1803" s="29" t="str">
        <x:v>SCA-21</x:v>
      </x:c>
      <x:c r="B1803" s="29" t="str">
        <x:v>26005</x:v>
      </x:c>
      <x:c r="C1803" s="29" t="str">
        <x:v>MI</x:v>
      </x:c>
      <x:c r="D1803" s="29" t="str">
        <x:v>Allegan County</x:v>
      </x:c>
      <x:c r="E1803" s="41" t="n">
        <x:v>123188</x:v>
      </x:c>
      <x:c r="F1803" s="56" t="n">
        <x:v>42.421251</x:v>
      </x:c>
      <x:c r="G1803" s="56" t="n">
        <x:v>-86.261403</x:v>
      </x:c>
      <x:c r="H1803" s="44" t="n">
        <x:f>E1803/SUMIF(A:A,A1803,E:E)</x:f>
        <x:v>0.006287161406950644</x:v>
      </x:c>
    </x:row>
    <x:row r="1804" ht="21.600000381469727" hidden="0" customHeight="1">
      <x:c r="A1804" s="27" t="str">
        <x:v>SCA-21</x:v>
      </x:c>
      <x:c r="B1804" s="27" t="str">
        <x:v>55117</x:v>
      </x:c>
      <x:c r="C1804" s="27" t="str">
        <x:v>WI</x:v>
      </x:c>
      <x:c r="D1804" s="27" t="str">
        <x:v>Sheboygan County</x:v>
      </x:c>
      <x:c r="E1804" s="40" t="n">
        <x:v>118047</x:v>
      </x:c>
      <x:c r="F1804" s="55" t="n">
        <x:v>43.738713</x:v>
      </x:c>
      <x:c r="G1804" s="55" t="n">
        <x:v>-87.731531</x:v>
      </x:c>
      <x:c r="H1804" s="43" t="n">
        <x:f>E1804/SUMIF(A:A,A1804,E:E)</x:f>
        <x:v>0.006024779545136723</x:v>
      </x:c>
    </x:row>
    <x:row r="1805" ht="21.600000381469727" hidden="0" customHeight="1">
      <x:c r="A1805" s="29" t="str">
        <x:v>SCA-21</x:v>
      </x:c>
      <x:c r="B1805" s="29" t="str">
        <x:v>18091</x:v>
      </x:c>
      <x:c r="C1805" s="29" t="str">
        <x:v>IN</x:v>
      </x:c>
      <x:c r="D1805" s="29" t="str">
        <x:v>LaPorte County</x:v>
      </x:c>
      <x:c r="E1805" s="41" t="n">
        <x:v>111294</x:v>
      </x:c>
      <x:c r="F1805" s="56" t="n">
        <x:v>41.549013</x:v>
      </x:c>
      <x:c r="G1805" s="56" t="n">
        <x:v>-86.744739</x:v>
      </x:c>
      <x:c r="H1805" s="44" t="n">
        <x:f>E1805/SUMIF(A:A,A1805,E:E)</x:f>
        <x:v>0.00568012583713645</x:v>
      </x:c>
    </x:row>
    <x:row r="1806" ht="21.600000381469727" hidden="0" customHeight="1">
      <x:c r="A1806" s="27" t="str">
        <x:v>SCA-21</x:v>
      </x:c>
      <x:c r="B1806" s="27" t="str">
        <x:v>17099</x:v>
      </x:c>
      <x:c r="C1806" s="27" t="str">
        <x:v>IL</x:v>
      </x:c>
      <x:c r="D1806" s="27" t="str">
        <x:v>LaSalle County</x:v>
      </x:c>
      <x:c r="E1806" s="40" t="n">
        <x:v>107773</x:v>
      </x:c>
      <x:c r="F1806" s="55" t="n">
        <x:v>41.343341</x:v>
      </x:c>
      <x:c r="G1806" s="55" t="n">
        <x:v>-88.885931</x:v>
      </x:c>
      <x:c r="H1806" s="43" t="n">
        <x:f>E1806/SUMIF(A:A,A1806,E:E)</x:f>
        <x:v>0.005500424118512288</x:v>
      </x:c>
    </x:row>
    <x:row r="1807" ht="21.600000381469727" hidden="0" customHeight="1">
      <x:c r="A1807" s="29" t="str">
        <x:v>SCA-21</x:v>
      </x:c>
      <x:c r="B1807" s="29" t="str">
        <x:v>55127</x:v>
      </x:c>
      <x:c r="C1807" s="29" t="str">
        <x:v>WI</x:v>
      </x:c>
      <x:c r="D1807" s="29" t="str">
        <x:v>Walworth County</x:v>
      </x:c>
      <x:c r="E1807" s="41" t="n">
        <x:v>106127</x:v>
      </x:c>
      <x:c r="F1807" s="56" t="n">
        <x:v>42.66811</x:v>
      </x:c>
      <x:c r="G1807" s="56" t="n">
        <x:v>-88.541731</x:v>
      </x:c>
      <x:c r="H1807" s="44" t="n">
        <x:f>E1807/SUMIF(A:A,A1807,E:E)</x:f>
        <x:v>0.005416417010061459</x:v>
      </x:c>
    </x:row>
    <x:row r="1808" ht="21.600000381469727" hidden="0" customHeight="1">
      <x:c r="A1808" s="27" t="str">
        <x:v>SCA-21</x:v>
      </x:c>
      <x:c r="B1808" s="27" t="str">
        <x:v>17091</x:v>
      </x:c>
      <x:c r="C1808" s="27" t="str">
        <x:v>IL</x:v>
      </x:c>
      <x:c r="D1808" s="27" t="str">
        <x:v>Kankakee County</x:v>
      </x:c>
      <x:c r="E1808" s="40" t="n">
        <x:v>105525</x:v>
      </x:c>
      <x:c r="F1808" s="55" t="n">
        <x:v>41.13951</x:v>
      </x:c>
      <x:c r="G1808" s="55" t="n">
        <x:v>-87.861117</x:v>
      </x:c>
      <x:c r="H1808" s="43" t="n">
        <x:f>E1808/SUMIF(A:A,A1808,E:E)</x:f>
        <x:v>0.005385692660555141</x:v>
      </x:c>
    </x:row>
    <x:row r="1809" ht="21.600000381469727" hidden="0" customHeight="1">
      <x:c r="A1809" s="29" t="str">
        <x:v>SCA-21</x:v>
      </x:c>
      <x:c r="B1809" s="29" t="str">
        <x:v>55039</x:v>
      </x:c>
      <x:c r="C1809" s="29" t="str">
        <x:v>WI</x:v>
      </x:c>
      <x:c r="D1809" s="29" t="str">
        <x:v>Fond du Lac County</x:v>
      </x:c>
      <x:c r="E1809" s="41" t="n">
        <x:v>104669</x:v>
      </x:c>
      <x:c r="F1809" s="56" t="n">
        <x:v>43.754722</x:v>
      </x:c>
      <x:c r="G1809" s="56" t="n">
        <x:v>-88.493284</x:v>
      </x:c>
      <x:c r="H1809" s="44" t="n">
        <x:f>E1809/SUMIF(A:A,A1809,E:E)</x:f>
        <x:v>0.005342004881190676</x:v>
      </x:c>
    </x:row>
    <x:row r="1810" ht="21.600000381469727" hidden="0" customHeight="1">
      <x:c r="A1810" s="27" t="str">
        <x:v>SCA-21</x:v>
      </x:c>
      <x:c r="B1810" s="27" t="str">
        <x:v>17037</x:v>
      </x:c>
      <x:c r="C1810" s="27" t="str">
        <x:v>IL</x:v>
      </x:c>
      <x:c r="D1810" s="27" t="str">
        <x:v>DeKalb County</x:v>
      </x:c>
      <x:c r="E1810" s="40" t="n">
        <x:v>101835</x:v>
      </x:c>
      <x:c r="F1810" s="55" t="n">
        <x:v>41.894615</x:v>
      </x:c>
      <x:c r="G1810" s="55" t="n">
        <x:v>-88.768922</x:v>
      </x:c>
      <x:c r="H1810" s="43" t="n">
        <x:f>E1810/SUMIF(A:A,A1810,E:E)</x:f>
        <x:v>0.005197365667734023</x:v>
      </x:c>
    </x:row>
    <x:row r="1811" ht="21.600000381469727" hidden="0" customHeight="1">
      <x:c r="A1811" s="29" t="str">
        <x:v>SCA-21</x:v>
      </x:c>
      <x:c r="B1811" s="29" t="str">
        <x:v>19061</x:v>
      </x:c>
      <x:c r="C1811" s="29" t="str">
        <x:v>IA</x:v>
      </x:c>
      <x:c r="D1811" s="29" t="str">
        <x:v>Dubuque County</x:v>
      </x:c>
      <x:c r="E1811" s="41" t="n">
        <x:v>99381</x:v>
      </x:c>
      <x:c r="F1811" s="56" t="n">
        <x:v>42.463481</x:v>
      </x:c>
      <x:c r="G1811" s="56" t="n">
        <x:v>-90.878771</x:v>
      </x:c>
      <x:c r="H1811" s="44" t="n">
        <x:f>E1811/SUMIF(A:A,A1811,E:E)</x:f>
        <x:v>0.005072120561939166</x:v>
      </x:c>
    </x:row>
    <x:row r="1812" ht="21.600000381469727" hidden="0" customHeight="1">
      <x:c r="A1812" s="27" t="str">
        <x:v>SCA-21</x:v>
      </x:c>
      <x:c r="B1812" s="27" t="str">
        <x:v>55089</x:v>
      </x:c>
      <x:c r="C1812" s="27" t="str">
        <x:v>WI</x:v>
      </x:c>
      <x:c r="D1812" s="27" t="str">
        <x:v>Ozaukee County</x:v>
      </x:c>
      <x:c r="E1812" s="40" t="n">
        <x:v>94346</x:v>
      </x:c>
      <x:c r="F1812" s="55" t="n">
        <x:v>43.501807</x:v>
      </x:c>
      <x:c r="G1812" s="55" t="n">
        <x:v>-87.847551</x:v>
      </x:c>
      <x:c r="H1812" s="43" t="n">
        <x:f>E1812/SUMIF(A:A,A1812,E:E)</x:f>
        <x:v>0.004815148635420378</x:v>
      </x:c>
    </x:row>
    <x:row r="1813" ht="21.600000381469727" hidden="0" customHeight="1">
      <x:c r="A1813" s="29" t="str">
        <x:v>SCA-21</x:v>
      </x:c>
      <x:c r="B1813" s="29" t="str">
        <x:v>55027</x:v>
      </x:c>
      <x:c r="C1813" s="29" t="str">
        <x:v>WI</x:v>
      </x:c>
      <x:c r="D1813" s="29" t="str">
        <x:v>Dodge County</x:v>
      </x:c>
      <x:c r="E1813" s="41" t="n">
        <x:v>89097</x:v>
      </x:c>
      <x:c r="F1813" s="56" t="n">
        <x:v>43.429628</x:v>
      </x:c>
      <x:c r="G1813" s="56" t="n">
        <x:v>-88.701939</x:v>
      </x:c>
      <x:c r="H1813" s="44" t="n">
        <x:f>E1813/SUMIF(A:A,A1813,E:E)</x:f>
        <x:v>0.004547254764060473</x:v>
      </x:c>
    </x:row>
    <x:row r="1814" ht="21.600000381469727" hidden="0" customHeight="1">
      <x:c r="A1814" s="27" t="str">
        <x:v>SCA-21</x:v>
      </x:c>
      <x:c r="B1814" s="27" t="str">
        <x:v>55055</x:v>
      </x:c>
      <x:c r="C1814" s="27" t="str">
        <x:v>WI</x:v>
      </x:c>
      <x:c r="D1814" s="27" t="str">
        <x:v>Jefferson County</x:v>
      </x:c>
      <x:c r="E1814" s="40" t="n">
        <x:v>86505</x:v>
      </x:c>
      <x:c r="F1814" s="55" t="n">
        <x:v>43.013804</x:v>
      </x:c>
      <x:c r="G1814" s="55" t="n">
        <x:v>-88.773985</x:v>
      </x:c>
      <x:c r="H1814" s="43" t="n">
        <x:f>E1814/SUMIF(A:A,A1814,E:E)</x:f>
        <x:v>0.0044149665349568585</x:v>
      </x:c>
    </x:row>
    <x:row r="1815" ht="21.600000381469727" hidden="0" customHeight="1">
      <x:c r="A1815" s="29" t="str">
        <x:v>SCA-21</x:v>
      </x:c>
      <x:c r="B1815" s="29" t="str">
        <x:v>18067</x:v>
      </x:c>
      <x:c r="C1815" s="29" t="str">
        <x:v>IN</x:v>
      </x:c>
      <x:c r="D1815" s="29" t="str">
        <x:v>Howard County</x:v>
      </x:c>
      <x:c r="E1815" s="41" t="n">
        <x:v>83904</x:v>
      </x:c>
      <x:c r="F1815" s="56" t="n">
        <x:v>40.483537</x:v>
      </x:c>
      <x:c r="G1815" s="56" t="n">
        <x:v>-86.114118</x:v>
      </x:c>
      <x:c r="H1815" s="44" t="n">
        <x:f>E1815/SUMIF(A:A,A1815,E:E)</x:f>
        <x:v>0.004282218971724412</x:v>
      </x:c>
    </x:row>
    <x:row r="1816" ht="21.600000381469727" hidden="0" customHeight="1">
      <x:c r="A1816" s="27" t="str">
        <x:v>SCA-21</x:v>
      </x:c>
      <x:c r="B1816" s="27" t="str">
        <x:v>55071</x:v>
      </x:c>
      <x:c r="C1816" s="27" t="str">
        <x:v>WI</x:v>
      </x:c>
      <x:c r="D1816" s="27" t="str">
        <x:v>Manitowoc County</x:v>
      </x:c>
      <x:c r="E1816" s="40" t="n">
        <x:v>81710</x:v>
      </x:c>
      <x:c r="F1816" s="55" t="n">
        <x:v>44.156137</x:v>
      </x:c>
      <x:c r="G1816" s="55" t="n">
        <x:v>-87.577352</x:v>
      </x:c>
      <x:c r="H1816" s="43" t="n">
        <x:f>E1816/SUMIF(A:A,A1816,E:E)</x:f>
        <x:v>0.004170243518540256</x:v>
      </x:c>
    </x:row>
    <x:row r="1817" ht="21.600000381469727" hidden="0" customHeight="1">
      <x:c r="A1817" s="29" t="str">
        <x:v>SCA-21</x:v>
      </x:c>
      <x:c r="B1817" s="29" t="str">
        <x:v>18085</x:v>
      </x:c>
      <x:c r="C1817" s="29" t="str">
        <x:v>IN</x:v>
      </x:c>
      <x:c r="D1817" s="29" t="str">
        <x:v>Kosciusko County</x:v>
      </x:c>
      <x:c r="E1817" s="41" t="n">
        <x:v>80892</x:v>
      </x:c>
      <x:c r="F1817" s="56" t="n">
        <x:v>41.244293</x:v>
      </x:c>
      <x:c r="G1817" s="56" t="n">
        <x:v>-85.861575</x:v>
      </x:c>
      <x:c r="H1817" s="44" t="n">
        <x:f>E1817/SUMIF(A:A,A1817,E:E)</x:f>
        <x:v>0.0041284951499419706</x:v>
      </x:c>
    </x:row>
    <x:row r="1818" ht="21.600000381469727" hidden="0" customHeight="1">
      <x:c r="A1818" s="27" t="str">
        <x:v>SCA-21</x:v>
      </x:c>
      <x:c r="B1818" s="27" t="str">
        <x:v>26159</x:v>
      </x:c>
      <x:c r="C1818" s="27" t="str">
        <x:v>MI</x:v>
      </x:c>
      <x:c r="D1818" s="27" t="str">
        <x:v>Van Buren County</x:v>
      </x:c>
      <x:c r="E1818" s="40" t="n">
        <x:v>76071</x:v>
      </x:c>
      <x:c r="F1818" s="55" t="n">
        <x:v>42.28215</x:v>
      </x:c>
      <x:c r="G1818" s="55" t="n">
        <x:v>-86.306076</x:v>
      </x:c>
      <x:c r="H1818" s="43" t="n">
        <x:f>E1818/SUMIF(A:A,A1818,E:E)</x:f>
        <x:v>0.0038824451682642988</x:v>
      </x:c>
    </x:row>
    <x:row r="1819" ht="21.600000381469727" hidden="0" customHeight="1">
      <x:c r="A1819" s="29" t="str">
        <x:v>SCA-21</x:v>
      </x:c>
      <x:c r="B1819" s="29" t="str">
        <x:v>17183</x:v>
      </x:c>
      <x:c r="C1819" s="29" t="str">
        <x:v>IL</x:v>
      </x:c>
      <x:c r="D1819" s="29" t="str">
        <x:v>Vermilion County</x:v>
      </x:c>
      <x:c r="E1819" s="41" t="n">
        <x:v>71259</x:v>
      </x:c>
      <x:c r="F1819" s="56" t="n">
        <x:v>40.186755</x:v>
      </x:c>
      <x:c r="G1819" s="56" t="n">
        <x:v>-87.726778</x:v>
      </x:c>
      <x:c r="H1819" s="44" t="n">
        <x:f>E1819/SUMIF(A:A,A1819,E:E)</x:f>
        <x:v>0.0036368545207154587</x:v>
      </x:c>
    </x:row>
    <x:row r="1820" ht="15" hidden="0" customHeight="1">
      <x:c r="A1820" s="27" t="str">
        <x:v>SCA-21</x:v>
      </x:c>
      <x:c r="B1820" s="27" t="str">
        <x:v>55111</x:v>
      </x:c>
      <x:c r="C1820" s="27" t="str">
        <x:v>WI</x:v>
      </x:c>
      <x:c r="D1820" s="27" t="str">
        <x:v>Sauk County</x:v>
      </x:c>
      <x:c r="E1820" s="40" t="n">
        <x:v>66652</x:v>
      </x:c>
      <x:c r="F1820" s="55" t="n">
        <x:v>43.428001</x:v>
      </x:c>
      <x:c r="G1820" s="55" t="n">
        <x:v>-89.943318</x:v>
      </x:c>
      <x:c r="H1820" s="43" t="n">
        <x:f>E1820/SUMIF(A:A,A1820,E:E)</x:f>
        <x:v>0.0034017264838789034</x:v>
      </x:c>
    </x:row>
    <x:row r="1821" ht="21.600000381469727" hidden="0" customHeight="1">
      <x:c r="A1821" s="29" t="str">
        <x:v>SCA-21</x:v>
      </x:c>
      <x:c r="B1821" s="29" t="str">
        <x:v>18053</x:v>
      </x:c>
      <x:c r="C1821" s="29" t="str">
        <x:v>IN</x:v>
      </x:c>
      <x:c r="D1821" s="29" t="str">
        <x:v>Grant County</x:v>
      </x:c>
      <x:c r="E1821" s="41" t="n">
        <x:v>66524</x:v>
      </x:c>
      <x:c r="F1821" s="56" t="n">
        <x:v>40.515758</x:v>
      </x:c>
      <x:c r="G1821" s="56" t="n">
        <x:v>-85.654946</x:v>
      </x:c>
      <x:c r="H1821" s="44" t="n">
        <x:f>E1821/SUMIF(A:A,A1821,E:E)</x:f>
        <x:v>0.0033951937318244035</x:v>
      </x:c>
    </x:row>
    <x:row r="1822" ht="21.600000381469727" hidden="0" customHeight="1">
      <x:c r="A1822" s="27" t="str">
        <x:v>SCA-21</x:v>
      </x:c>
      <x:c r="B1822" s="27" t="str">
        <x:v>26149</x:v>
      </x:c>
      <x:c r="C1822" s="27" t="str">
        <x:v>MI</x:v>
      </x:c>
      <x:c r="D1822" s="27" t="str">
        <x:v>St. Joseph County</x:v>
      </x:c>
      <x:c r="E1822" s="40" t="n">
        <x:v>60968</x:v>
      </x:c>
      <x:c r="F1822" s="55" t="n">
        <x:v>41.911488</x:v>
      </x:c>
      <x:c r="G1822" s="55" t="n">
        <x:v>-85.52287</x:v>
      </x:c>
      <x:c r="H1822" s="43" t="n">
        <x:f>E1822/SUMIF(A:A,A1822,E:E)</x:f>
        <x:v>0.0031116314629587856</x:v>
      </x:c>
    </x:row>
    <x:row r="1823" ht="21.600000381469727" hidden="0" customHeight="1">
      <x:c r="A1823" s="29" t="str">
        <x:v>SCA-21</x:v>
      </x:c>
      <x:c r="B1823" s="29" t="str">
        <x:v>55021</x:v>
      </x:c>
      <x:c r="C1823" s="29" t="str">
        <x:v>WI</x:v>
      </x:c>
      <x:c r="D1823" s="29" t="str">
        <x:v>Columbia County</x:v>
      </x:c>
      <x:c r="E1823" s="41" t="n">
        <x:v>58132</x:v>
      </x:c>
      <x:c r="F1823" s="56" t="n">
        <x:v>43.471882</x:v>
      </x:c>
      <x:c r="G1823" s="56" t="n">
        <x:v>-89.330472</x:v>
      </x:c>
      <x:c r="H1823" s="44" t="n">
        <x:f>E1823/SUMIF(A:A,A1823,E:E)</x:f>
        <x:v>0.002966890175251281</x:v>
      </x:c>
    </x:row>
    <x:row r="1824" ht="21.600000381469727" hidden="0" customHeight="1">
      <x:c r="A1824" s="27" t="str">
        <x:v>SCA-21</x:v>
      </x:c>
      <x:c r="B1824" s="27" t="str">
        <x:v>17195</x:v>
      </x:c>
      <x:c r="C1824" s="27" t="str">
        <x:v>IL</x:v>
      </x:c>
      <x:c r="D1824" s="27" t="str">
        <x:v>Whiteside County</x:v>
      </x:c>
      <x:c r="E1824" s="40" t="n">
        <x:v>54121</x:v>
      </x:c>
      <x:c r="F1824" s="55" t="n">
        <x:v>41.750675</x:v>
      </x:c>
      <x:c r="G1824" s="55" t="n">
        <x:v>-89.911005</x:v>
      </x:c>
      <x:c r="H1824" s="43" t="n">
        <x:f>E1824/SUMIF(A:A,A1824,E:E)</x:f>
        <x:v>0.0027621802651684887</x:v>
      </x:c>
    </x:row>
    <x:row r="1825" ht="21.600000381469727" hidden="0" customHeight="1">
      <x:c r="A1825" s="29" t="str">
        <x:v>SCA-21</x:v>
      </x:c>
      <x:c r="B1825" s="29" t="str">
        <x:v>17063</x:v>
      </x:c>
      <x:c r="C1825" s="29" t="str">
        <x:v>IL</x:v>
      </x:c>
      <x:c r="D1825" s="29" t="str">
        <x:v>Grundy County</x:v>
      </x:c>
      <x:c r="E1825" s="41" t="n">
        <x:v>54052</x:v>
      </x:c>
      <x:c r="F1825" s="56" t="n">
        <x:v>41.29241</x:v>
      </x:c>
      <x:c r="G1825" s="56" t="n">
        <x:v>-88.401054</x:v>
      </x:c>
      <x:c r="H1825" s="44" t="n">
        <x:f>E1825/SUMIF(A:A,A1825,E:E)</x:f>
        <x:v>0.00275865870351411</x:v>
      </x:c>
    </x:row>
    <x:row r="1826" ht="21.600000381469727" hidden="0" customHeight="1">
      <x:c r="A1826" s="27" t="str">
        <x:v>SCA-21</x:v>
      </x:c>
      <x:c r="B1826" s="27" t="str">
        <x:v>55015</x:v>
      </x:c>
      <x:c r="C1826" s="27" t="str">
        <x:v>WI</x:v>
      </x:c>
      <x:c r="D1826" s="27" t="str">
        <x:v>Calumet County</x:v>
      </x:c>
      <x:c r="E1826" s="40" t="n">
        <x:v>53982</x:v>
      </x:c>
      <x:c r="F1826" s="55" t="n">
        <x:v>44.07841</x:v>
      </x:c>
      <x:c r="G1826" s="55" t="n">
        <x:v>-88.212132</x:v>
      </x:c>
      <x:c r="H1826" s="43" t="n">
        <x:f>E1826/SUMIF(A:A,A1826,E:E)</x:f>
        <x:v>0.0027550861047343058</x:v>
      </x:c>
    </x:row>
    <x:row r="1827" ht="21.600000381469727" hidden="0" customHeight="1">
      <x:c r="A1827" s="29" t="str">
        <x:v>SCA-21</x:v>
      </x:c>
      <x:c r="B1827" s="29" t="str">
        <x:v>17007</x:v>
      </x:c>
      <x:c r="C1827" s="29" t="str">
        <x:v>IL</x:v>
      </x:c>
      <x:c r="D1827" s="29" t="str">
        <x:v>Boone County</x:v>
      </x:c>
      <x:c r="E1827" s="41" t="n">
        <x:v>53568</x:v>
      </x:c>
      <x:c r="F1827" s="56" t="n">
        <x:v>42.318983</x:v>
      </x:c>
      <x:c r="G1827" s="56" t="n">
        <x:v>-88.824295</x:v>
      </x:c>
      <x:c r="H1827" s="44" t="n">
        <x:f>E1827/SUMIF(A:A,A1827,E:E)</x:f>
        <x:v>0.002733956734808034</x:v>
      </x:c>
    </x:row>
    <x:row r="1828" ht="21.600000381469727" hidden="0" customHeight="1">
      <x:c r="A1828" s="27" t="str">
        <x:v>SCA-21</x:v>
      </x:c>
      <x:c r="B1828" s="27" t="str">
        <x:v>55043</x:v>
      </x:c>
      <x:c r="C1828" s="27" t="str">
        <x:v>WI</x:v>
      </x:c>
      <x:c r="D1828" s="27" t="str">
        <x:v>Grant County</x:v>
      </x:c>
      <x:c r="E1828" s="40" t="n">
        <x:v>52446</x:v>
      </x:c>
      <x:c r="F1828" s="55" t="n">
        <x:v>42.870028</x:v>
      </x:c>
      <x:c r="G1828" s="55" t="n">
        <x:v>-90.694229</x:v>
      </x:c>
      <x:c r="H1828" s="43" t="n">
        <x:f>E1828/SUMIF(A:A,A1828,E:E)</x:f>
        <x:v>0.002676693080080312</x:v>
      </x:c>
    </x:row>
    <x:row r="1829" ht="15" hidden="0" customHeight="1">
      <x:c r="A1829" s="29" t="str">
        <x:v>SCA-21</x:v>
      </x:c>
      <x:c r="B1829" s="29" t="str">
        <x:v>26027</x:v>
      </x:c>
      <x:c r="C1829" s="29" t="str">
        <x:v>MI</x:v>
      </x:c>
      <x:c r="D1829" s="29" t="str">
        <x:v>Cass County</x:v>
      </x:c>
      <x:c r="E1829" s="41" t="n">
        <x:v>51677</x:v>
      </x:c>
      <x:c r="F1829" s="56" t="n">
        <x:v>41.917243</x:v>
      </x:c>
      <x:c r="G1829" s="56" t="n">
        <x:v>-86.000142</x:v>
      </x:c>
      <x:c r="H1829" s="44" t="n">
        <x:f>E1829/SUMIF(A:A,A1829,E:E)</x:f>
        <x:v>0.0026374455306278893</x:v>
      </x:c>
    </x:row>
    <x:row r="1830" ht="21.600000381469727" hidden="0" customHeight="1">
      <x:c r="A1830" s="27" t="str">
        <x:v>SCA-21</x:v>
      </x:c>
      <x:c r="B1830" s="27" t="str">
        <x:v>55135</x:v>
      </x:c>
      <x:c r="C1830" s="27" t="str">
        <x:v>WI</x:v>
      </x:c>
      <x:c r="D1830" s="27" t="str">
        <x:v>Waupaca County</x:v>
      </x:c>
      <x:c r="E1830" s="40" t="n">
        <x:v>51461</x:v>
      </x:c>
      <x:c r="F1830" s="55" t="n">
        <x:v>44.478004</x:v>
      </x:c>
      <x:c r="G1830" s="55" t="n">
        <x:v>-88.967005</x:v>
      </x:c>
      <x:c r="H1830" s="43" t="n">
        <x:f>E1830/SUMIF(A:A,A1830,E:E)</x:f>
        <x:v>0.0026264215115359216</x:v>
      </x:c>
    </x:row>
    <x:row r="1831" ht="15" hidden="0" customHeight="1">
      <x:c r="A1831" s="29" t="str">
        <x:v>SCA-21</x:v>
      </x:c>
      <x:c r="B1831" s="29" t="str">
        <x:v>17141</x:v>
      </x:c>
      <x:c r="C1831" s="29" t="str">
        <x:v>IL</x:v>
      </x:c>
      <x:c r="D1831" s="29" t="str">
        <x:v>Ogle County</x:v>
      </x:c>
      <x:c r="E1831" s="41" t="n">
        <x:v>51399</x:v>
      </x:c>
      <x:c r="F1831" s="56" t="n">
        <x:v>42.041884</x:v>
      </x:c>
      <x:c r="G1831" s="56" t="n">
        <x:v>-89.320176</x:v>
      </x:c>
      <x:c r="H1831" s="44" t="n">
        <x:f>E1831/SUMIF(A:A,A1831,E:E)</x:f>
        <x:v>0.0026232572097595235</x:v>
      </x:c>
    </x:row>
    <x:row r="1832" ht="21.600000381469727" hidden="0" customHeight="1">
      <x:c r="A1832" s="27" t="str">
        <x:v>SCA-21</x:v>
      </x:c>
      <x:c r="B1832" s="27" t="str">
        <x:v>17073</x:v>
      </x:c>
      <x:c r="C1832" s="27" t="str">
        <x:v>IL</x:v>
      </x:c>
      <x:c r="D1832" s="27" t="str">
        <x:v>Henry County</x:v>
      </x:c>
      <x:c r="E1832" s="40" t="n">
        <x:v>48095</x:v>
      </x:c>
      <x:c r="F1832" s="55" t="n">
        <x:v>41.350021</x:v>
      </x:c>
      <x:c r="G1832" s="55" t="n">
        <x:v>-90.130838</x:v>
      </x:c>
      <x:c r="H1832" s="43" t="n">
        <x:f>E1832/SUMIF(A:A,A1832,E:E)</x:f>
        <x:v>0.0024546305473527553</x:v>
      </x:c>
    </x:row>
    <x:row r="1833" ht="21.600000381469727" hidden="0" customHeight="1">
      <x:c r="A1833" s="29" t="str">
        <x:v>SCA-21</x:v>
      </x:c>
      <x:c r="B1833" s="29" t="str">
        <x:v>18113</x:v>
      </x:c>
      <x:c r="C1833" s="29" t="str">
        <x:v>IN</x:v>
      </x:c>
      <x:c r="D1833" s="29" t="str">
        <x:v>Noble County</x:v>
      </x:c>
      <x:c r="E1833" s="41" t="n">
        <x:v>47937</x:v>
      </x:c>
      <x:c r="F1833" s="56" t="n">
        <x:v>41.404679</x:v>
      </x:c>
      <x:c r="G1833" s="56" t="n">
        <x:v>-85.417271</x:v>
      </x:c>
      <x:c r="H1833" s="44" t="n">
        <x:f>E1833/SUMIF(A:A,A1833,E:E)</x:f>
        <x:v>0.0024465666815354824</x:v>
      </x:c>
    </x:row>
    <x:row r="1834" ht="15" hidden="0" customHeight="1">
      <x:c r="A1834" s="27" t="str">
        <x:v>SCA-21</x:v>
      </x:c>
      <x:c r="B1834" s="27" t="str">
        <x:v>17095</x:v>
      </x:c>
      <x:c r="C1834" s="27" t="str">
        <x:v>IL</x:v>
      </x:c>
      <x:c r="D1834" s="27" t="str">
        <x:v>Knox County</x:v>
      </x:c>
      <x:c r="E1834" s="40" t="n">
        <x:v>47767</x:v>
      </x:c>
      <x:c r="F1834" s="55" t="n">
        <x:v>40.930945</x:v>
      </x:c>
      <x:c r="G1834" s="55" t="n">
        <x:v>-90.213792</x:v>
      </x:c>
      <x:c r="H1834" s="43" t="n">
        <x:f>E1834/SUMIF(A:A,A1834,E:E)</x:f>
        <x:v>0.0024378903702131005</x:v>
      </x:c>
    </x:row>
    <x:row r="1835" ht="21.600000381469727" hidden="0" customHeight="1">
      <x:c r="A1835" s="29" t="str">
        <x:v>SCA-21</x:v>
      </x:c>
      <x:c r="B1835" s="29" t="str">
        <x:v>18099</x:v>
      </x:c>
      <x:c r="C1835" s="29" t="str">
        <x:v>IN</x:v>
      </x:c>
      <x:c r="D1835" s="29" t="str">
        <x:v>Marshall County</x:v>
      </x:c>
      <x:c r="E1835" s="41" t="n">
        <x:v>46599</x:v>
      </x:c>
      <x:c r="F1835" s="56" t="n">
        <x:v>41.325003</x:v>
      </x:c>
      <x:c r="G1835" s="56" t="n">
        <x:v>-86.269036</x:v>
      </x:c>
      <x:c r="H1835" s="44" t="n">
        <x:f>E1835/SUMIF(A:A,A1835,E:E)</x:f>
        <x:v>0.0023782790077157925</x:v>
      </x:c>
    </x:row>
    <x:row r="1836" ht="21.600000381469727" hidden="0" customHeight="1">
      <x:c r="A1836" s="27" t="str">
        <x:v>SCA-21</x:v>
      </x:c>
      <x:c r="B1836" s="27" t="str">
        <x:v>19045</x:v>
      </x:c>
      <x:c r="C1836" s="27" t="str">
        <x:v>IA</x:v>
      </x:c>
      <x:c r="D1836" s="27" t="str">
        <x:v>Clinton County</x:v>
      </x:c>
      <x:c r="E1836" s="40" t="n">
        <x:v>46002</x:v>
      </x:c>
      <x:c r="F1836" s="55" t="n">
        <x:v>41.898073</x:v>
      </x:c>
      <x:c r="G1836" s="55" t="n">
        <x:v>-90.534243</x:v>
      </x:c>
      <x:c r="H1836" s="43" t="n">
        <x:f>E1836/SUMIF(A:A,A1836,E:E)</x:f>
        <x:v>0.0023478098438366036</x:v>
      </x:c>
    </x:row>
    <x:row r="1837" ht="21.600000381469727" hidden="0" customHeight="1">
      <x:c r="A1837" s="29" t="str">
        <x:v>SCA-21</x:v>
      </x:c>
      <x:c r="B1837" s="29" t="str">
        <x:v>17177</x:v>
      </x:c>
      <x:c r="C1837" s="29" t="str">
        <x:v>IL</x:v>
      </x:c>
      <x:c r="D1837" s="29" t="str">
        <x:v>Stephenson County</x:v>
      </x:c>
      <x:c r="E1837" s="41" t="n">
        <x:v>43220</x:v>
      </x:c>
      <x:c r="F1837" s="56" t="n">
        <x:v>42.349726</x:v>
      </x:c>
      <x:c r="G1837" s="56" t="n">
        <x:v>-89.665994</x:v>
      </x:c>
      <x:c r="H1837" s="44" t="n">
        <x:f>E1837/SUMIF(A:A,A1837,E:E)</x:f>
        <x:v>0.0022058245609020916</x:v>
      </x:c>
    </x:row>
    <x:row r="1838" ht="21.600000381469727" hidden="0" customHeight="1">
      <x:c r="A1838" s="27" t="str">
        <x:v>SCA-21</x:v>
      </x:c>
      <x:c r="B1838" s="27" t="str">
        <x:v>55075</x:v>
      </x:c>
      <x:c r="C1838" s="27" t="str">
        <x:v>WI</x:v>
      </x:c>
      <x:c r="D1838" s="27" t="str">
        <x:v>Marinette County</x:v>
      </x:c>
      <x:c r="E1838" s="40" t="n">
        <x:v>42574</x:v>
      </x:c>
      <x:c r="F1838" s="55" t="n">
        <x:v>45.346899</x:v>
      </x:c>
      <x:c r="G1838" s="55" t="n">
        <x:v>-87.991198</x:v>
      </x:c>
      <x:c r="H1838" s="43" t="n">
        <x:f>E1838/SUMIF(A:A,A1838,E:E)</x:f>
        <x:v>0.0021728545778770393</x:v>
      </x:c>
    </x:row>
    <x:row r="1839" ht="21.600000381469727" hidden="0" customHeight="1">
      <x:c r="A1839" s="29" t="str">
        <x:v>SCA-21</x:v>
      </x:c>
      <x:c r="B1839" s="29" t="str">
        <x:v>19139</x:v>
      </x:c>
      <x:c r="C1839" s="29" t="str">
        <x:v>IA</x:v>
      </x:c>
      <x:c r="D1839" s="29" t="str">
        <x:v>Muscatine County</x:v>
      </x:c>
      <x:c r="E1839" s="41" t="n">
        <x:v>41853</x:v>
      </x:c>
      <x:c r="F1839" s="56" t="n">
        <x:v>41.483776</x:v>
      </x:c>
      <x:c r="G1839" s="56" t="n">
        <x:v>-91.118699</x:v>
      </x:c>
      <x:c r="H1839" s="44" t="n">
        <x:f>E1839/SUMIF(A:A,A1839,E:E)</x:f>
        <x:v>0.002136056810445054</x:v>
      </x:c>
    </x:row>
    <x:row r="1840" ht="21.600000381469727" hidden="0" customHeight="1">
      <x:c r="A1840" s="27" t="str">
        <x:v>SCA-21</x:v>
      </x:c>
      <x:c r="B1840" s="27" t="str">
        <x:v>55115</x:v>
      </x:c>
      <x:c r="C1840" s="27" t="str">
        <x:v>WI</x:v>
      </x:c>
      <x:c r="D1840" s="27" t="str">
        <x:v>Shawano County</x:v>
      </x:c>
      <x:c r="E1840" s="40" t="n">
        <x:v>41560</x:v>
      </x:c>
      <x:c r="F1840" s="55" t="n">
        <x:v>44.789641</x:v>
      </x:c>
      <x:c r="G1840" s="55" t="n">
        <x:v>-88.755813</x:v>
      </x:c>
      <x:c r="H1840" s="43" t="n">
        <x:f>E1840/SUMIF(A:A,A1840,E:E)</x:f>
        <x:v>0.0021211029326953013</x:v>
      </x:c>
    </x:row>
    <x:row r="1841" ht="21.600000381469727" hidden="0" customHeight="1">
      <x:c r="A1841" s="29" t="str">
        <x:v>SCA-21</x:v>
      </x:c>
      <x:c r="B1841" s="29" t="str">
        <x:v>18087</x:v>
      </x:c>
      <x:c r="C1841" s="29" t="str">
        <x:v>IN</x:v>
      </x:c>
      <x:c r="D1841" s="29" t="str">
        <x:v>LaGrange County</x:v>
      </x:c>
      <x:c r="E1841" s="41" t="n">
        <x:v>41305</x:v>
      </x:c>
      <x:c r="F1841" s="56" t="n">
        <x:v>41.642462</x:v>
      </x:c>
      <x:c r="G1841" s="56" t="n">
        <x:v>-85.427845</x:v>
      </x:c>
      <x:c r="H1841" s="44" t="n">
        <x:f>E1841/SUMIF(A:A,A1841,E:E)</x:f>
        <x:v>0.002108088465711728</x:v>
      </x:c>
    </x:row>
    <x:row r="1842" ht="21.600000381469727" hidden="0" customHeight="1">
      <x:c r="A1842" s="27" t="str">
        <x:v>SCA-21</x:v>
      </x:c>
      <x:c r="B1842" s="27" t="str">
        <x:v>55083</x:v>
      </x:c>
      <x:c r="C1842" s="27" t="str">
        <x:v>WI</x:v>
      </x:c>
      <x:c r="D1842" s="27" t="str">
        <x:v>Oconto County</x:v>
      </x:c>
      <x:c r="E1842" s="40" t="n">
        <x:v>40195</x:v>
      </x:c>
      <x:c r="F1842" s="55" t="n">
        <x:v>44.996575</x:v>
      </x:c>
      <x:c r="G1842" s="55" t="n">
        <x:v>-88.206516</x:v>
      </x:c>
      <x:c r="H1842" s="43" t="n">
        <x:f>E1842/SUMIF(A:A,A1842,E:E)</x:f>
        <x:v>0.0020514372564891152</x:v>
      </x:c>
    </x:row>
    <x:row r="1843" ht="21.600000381469727" hidden="0" customHeight="1">
      <x:c r="A1843" s="29" t="str">
        <x:v>SCA-21</x:v>
      </x:c>
      <x:c r="B1843" s="29" t="str">
        <x:v>18107</x:v>
      </x:c>
      <x:c r="C1843" s="29" t="str">
        <x:v>IN</x:v>
      </x:c>
      <x:c r="D1843" s="29" t="str">
        <x:v>Montgomery County</x:v>
      </x:c>
      <x:c r="E1843" s="41" t="n">
        <x:v>38954</x:v>
      </x:c>
      <x:c r="F1843" s="56" t="n">
        <x:v>40.040296</x:v>
      </x:c>
      <x:c r="G1843" s="56" t="n">
        <x:v>-86.892715</x:v>
      </x:c>
      <x:c r="H1843" s="44" t="n">
        <x:f>E1843/SUMIF(A:A,A1843,E:E)</x:f>
        <x:v>0.0019881001838357257</x:v>
      </x:c>
    </x:row>
    <x:row r="1844" ht="21.600000381469727" hidden="0" customHeight="1">
      <x:c r="A1844" s="27" t="str">
        <x:v>SCA-21</x:v>
      </x:c>
      <x:c r="B1844" s="27" t="str">
        <x:v>17203</x:v>
      </x:c>
      <x:c r="C1844" s="27" t="str">
        <x:v>IL</x:v>
      </x:c>
      <x:c r="D1844" s="27" t="str">
        <x:v>Woodford County</x:v>
      </x:c>
      <x:c r="E1844" s="40" t="n">
        <x:v>38111</x:v>
      </x:c>
      <x:c r="F1844" s="55" t="n">
        <x:v>40.789789</x:v>
      </x:c>
      <x:c r="G1844" s="55" t="n">
        <x:v>-89.210588</x:v>
      </x:c>
      <x:c r="H1844" s="43" t="n">
        <x:f>E1844/SUMIF(A:A,A1844,E:E)</x:f>
        <x:v>0.0019450758871017956</x:v>
      </x:c>
    </x:row>
    <x:row r="1845" ht="15" hidden="0" customHeight="1">
      <x:c r="A1845" s="29" t="str">
        <x:v>SCA-21</x:v>
      </x:c>
      <x:c r="B1845" s="29" t="str">
        <x:v>18017</x:v>
      </x:c>
      <x:c r="C1845" s="29" t="str">
        <x:v>IN</x:v>
      </x:c>
      <x:c r="D1845" s="29" t="str">
        <x:v>Cass County</x:v>
      </x:c>
      <x:c r="E1845" s="41" t="n">
        <x:v>37836</x:v>
      </x:c>
      <x:c r="F1845" s="56" t="n">
        <x:v>40.753799</x:v>
      </x:c>
      <x:c r="G1845" s="56" t="n">
        <x:v>-86.355168</x:v>
      </x:c>
      <x:c r="H1845" s="44" t="n">
        <x:f>E1845/SUMIF(A:A,A1845,E:E)</x:f>
        <x:v>0.0019310406776097068</x:v>
      </x:c>
    </x:row>
    <x:row r="1846" ht="21.600000381469727" hidden="0" customHeight="1">
      <x:c r="A1846" s="27" t="str">
        <x:v>SCA-21</x:v>
      </x:c>
      <x:c r="B1846" s="27" t="str">
        <x:v>55045</x:v>
      </x:c>
      <x:c r="C1846" s="27" t="str">
        <x:v>WI</x:v>
      </x:c>
      <x:c r="D1846" s="27" t="str">
        <x:v>Green County</x:v>
      </x:c>
      <x:c r="E1846" s="40" t="n">
        <x:v>37227</x:v>
      </x:c>
      <x:c r="F1846" s="55" t="n">
        <x:v>42.675522</x:v>
      </x:c>
      <x:c r="G1846" s="55" t="n">
        <x:v>-89.605074</x:v>
      </x:c>
      <x:c r="H1846" s="43" t="n">
        <x:f>E1846/SUMIF(A:A,A1846,E:E)</x:f>
        <x:v>0.0018999590682254085</x:v>
      </x:c>
    </x:row>
    <x:row r="1847" ht="21.600000381469727" hidden="0" customHeight="1">
      <x:c r="A1847" s="29" t="str">
        <x:v>SCA-21</x:v>
      </x:c>
      <x:c r="B1847" s="29" t="str">
        <x:v>18069</x:v>
      </x:c>
      <x:c r="C1847" s="29" t="str">
        <x:v>IN</x:v>
      </x:c>
      <x:c r="D1847" s="29" t="str">
        <x:v>Huntington County</x:v>
      </x:c>
      <x:c r="E1847" s="41" t="n">
        <x:v>37224</x:v>
      </x:c>
      <x:c r="F1847" s="56" t="n">
        <x:v>40.826394</x:v>
      </x:c>
      <x:c r="G1847" s="56" t="n">
        <x:v>-85.478597</x:v>
      </x:c>
      <x:c r="H1847" s="44" t="n">
        <x:f>E1847/SUMIF(A:A,A1847,E:E)</x:f>
        <x:v>0.0018998059568491312</x:v>
      </x:c>
    </x:row>
    <x:row r="1848" ht="15" hidden="0" customHeight="1">
      <x:c r="A1848" s="27" t="str">
        <x:v>SCA-21</x:v>
      </x:c>
      <x:c r="B1848" s="27" t="str">
        <x:v>26041</x:v>
      </x:c>
      <x:c r="C1848" s="27" t="str">
        <x:v>MI</x:v>
      </x:c>
      <x:c r="D1848" s="27" t="str">
        <x:v>Delta County</x:v>
      </x:c>
      <x:c r="E1848" s="40" t="n">
        <x:v>36582</x:v>
      </x:c>
      <x:c r="F1848" s="55" t="n">
        <x:v>45.805229</x:v>
      </x:c>
      <x:c r="G1848" s="55" t="n">
        <x:v>-86.901938</x:v>
      </x:c>
      <x:c r="H1848" s="43" t="n">
        <x:f>E1848/SUMIF(A:A,A1848,E:E)</x:f>
        <x:v>0.0018670401223257822</x:v>
      </x:c>
    </x:row>
    <x:row r="1849" ht="21.600000381469727" hidden="0" customHeight="1">
      <x:c r="A1849" s="29" t="str">
        <x:v>SCA-21</x:v>
      </x:c>
      <x:c r="B1849" s="29" t="str">
        <x:v>17105</x:v>
      </x:c>
      <x:c r="C1849" s="29" t="str">
        <x:v>IL</x:v>
      </x:c>
      <x:c r="D1849" s="29" t="str">
        <x:v>Livingston County</x:v>
      </x:c>
      <x:c r="E1849" s="41" t="n">
        <x:v>35057</x:v>
      </x:c>
      <x:c r="F1849" s="56" t="n">
        <x:v>40.894376</x:v>
      </x:c>
      <x:c r="G1849" s="56" t="n">
        <x:v>-88.552852</x:v>
      </x:c>
      <x:c r="H1849" s="44" t="n">
        <x:f>E1849/SUMIF(A:A,A1849,E:E)</x:f>
        <x:v>0.001789208506051472</x:v>
      </x:c>
    </x:row>
    <x:row r="1850" ht="21.600000381469727" hidden="0" customHeight="1">
      <x:c r="A1850" s="27" t="str">
        <x:v>SCA-21</x:v>
      </x:c>
      <x:c r="B1850" s="27" t="str">
        <x:v>18183</x:v>
      </x:c>
      <x:c r="C1850" s="27" t="str">
        <x:v>IN</x:v>
      </x:c>
      <x:c r="D1850" s="27" t="str">
        <x:v>Whitley County</x:v>
      </x:c>
      <x:c r="E1850" s="40" t="n">
        <x:v>35046</x:v>
      </x:c>
      <x:c r="F1850" s="55" t="n">
        <x:v>41.136426</x:v>
      </x:c>
      <x:c r="G1850" s="55" t="n">
        <x:v>-85.501892</x:v>
      </x:c>
      <x:c r="H1850" s="43" t="n">
        <x:f>E1850/SUMIF(A:A,A1850,E:E)</x:f>
        <x:v>0.0017886470976717884</x:v>
      </x:c>
    </x:row>
    <x:row r="1851" ht="21.600000381469727" hidden="0" customHeight="1">
      <x:c r="A1851" s="29" t="str">
        <x:v>SCA-21</x:v>
      </x:c>
      <x:c r="B1851" s="29" t="str">
        <x:v>18103</x:v>
      </x:c>
      <x:c r="C1851" s="29" t="str">
        <x:v>IN</x:v>
      </x:c>
      <x:c r="D1851" s="29" t="str">
        <x:v>Miami County</x:v>
      </x:c>
      <x:c r="E1851" s="41" t="n">
        <x:v>34487</x:v>
      </x:c>
      <x:c r="F1851" s="56" t="n">
        <x:v>40.772805</x:v>
      </x:c>
      <x:c r="G1851" s="56" t="n">
        <x:v>-86.044244</x:v>
      </x:c>
      <x:c r="H1851" s="44" t="n">
        <x:f>E1851/SUMIF(A:A,A1851,E:E)</x:f>
        <x:v>0.001760117344558779</x:v>
      </x:c>
    </x:row>
    <x:row r="1852" ht="21.600000381469727" hidden="0" customHeight="1">
      <x:c r="A1852" s="27" t="str">
        <x:v>SCA-21</x:v>
      </x:c>
      <x:c r="B1852" s="27" t="str">
        <x:v>18073</x:v>
      </x:c>
      <x:c r="C1852" s="27" t="str">
        <x:v>IN</x:v>
      </x:c>
      <x:c r="D1852" s="27" t="str">
        <x:v>Jasper County</x:v>
      </x:c>
      <x:c r="E1852" s="40" t="n">
        <x:v>33894</x:v>
      </x:c>
      <x:c r="F1852" s="55" t="n">
        <x:v>41.017688</x:v>
      </x:c>
      <x:c r="G1852" s="55" t="n">
        <x:v>-87.118814</x:v>
      </x:c>
      <x:c r="H1852" s="43" t="n">
        <x:f>E1852/SUMIF(A:A,A1852,E:E)</x:f>
        <x:v>0.0017298523291812932</x:v>
      </x:c>
    </x:row>
    <x:row r="1853" ht="21.600000381469727" hidden="0" customHeight="1">
      <x:c r="A1853" s="29" t="str">
        <x:v>SCA-21</x:v>
      </x:c>
      <x:c r="B1853" s="29" t="str">
        <x:v>18023</x:v>
      </x:c>
      <x:c r="C1853" s="29" t="str">
        <x:v>IN</x:v>
      </x:c>
      <x:c r="D1853" s="29" t="str">
        <x:v>Clinton County</x:v>
      </x:c>
      <x:c r="E1853" s="41" t="n">
        <x:v>33322</x:v>
      </x:c>
      <x:c r="F1853" s="56" t="n">
        <x:v>40.305944</x:v>
      </x:c>
      <x:c r="G1853" s="56" t="n">
        <x:v>-86.477567</x:v>
      </x:c>
      <x:c r="H1853" s="44" t="n">
        <x:f>E1853/SUMIF(A:A,A1853,E:E)</x:f>
        <x:v>0.0017006590934377484</x:v>
      </x:c>
    </x:row>
    <x:row r="1854" ht="15" hidden="0" customHeight="1">
      <x:c r="A1854" s="27" t="str">
        <x:v>SCA-21</x:v>
      </x:c>
      <x:c r="B1854" s="27" t="str">
        <x:v>17103</x:v>
      </x:c>
      <x:c r="C1854" s="27" t="str">
        <x:v>IL</x:v>
      </x:c>
      <x:c r="D1854" s="27" t="str">
        <x:v>Lee County</x:v>
      </x:c>
      <x:c r="E1854" s="40" t="n">
        <x:v>32914</x:v>
      </x:c>
      <x:c r="F1854" s="55" t="n">
        <x:v>41.747447</x:v>
      </x:c>
      <x:c r="G1854" s="55" t="n">
        <x:v>-89.299362</x:v>
      </x:c>
      <x:c r="H1854" s="43" t="n">
        <x:f>E1854/SUMIF(A:A,A1854,E:E)</x:f>
        <x:v>0.0016798359462640313</x:v>
      </x:c>
    </x:row>
    <x:row r="1855" ht="21.600000381469727" hidden="0" customHeight="1">
      <x:c r="A1855" s="29" t="str">
        <x:v>SCA-21</x:v>
      </x:c>
      <x:c r="B1855" s="29" t="str">
        <x:v>17011</x:v>
      </x:c>
      <x:c r="C1855" s="29" t="str">
        <x:v>IL</x:v>
      </x:c>
      <x:c r="D1855" s="29" t="str">
        <x:v>Bureau County</x:v>
      </x:c>
      <x:c r="E1855" s="41" t="n">
        <x:v>32510</x:v>
      </x:c>
      <x:c r="F1855" s="56" t="n">
        <x:v>41.401304</x:v>
      </x:c>
      <x:c r="G1855" s="56" t="n">
        <x:v>-89.528377</x:v>
      </x:c>
      <x:c r="H1855" s="44" t="n">
        <x:f>E1855/SUMIF(A:A,A1855,E:E)</x:f>
        <x:v>0.0016592169475920175</x:v>
      </x:c>
    </x:row>
    <x:row r="1856" ht="21.600000381469727" hidden="0" customHeight="1">
      <x:c r="A1856" s="27" t="str">
        <x:v>SCA-21</x:v>
      </x:c>
      <x:c r="B1856" s="27" t="str">
        <x:v>18169</x:v>
      </x:c>
      <x:c r="C1856" s="27" t="str">
        <x:v>IN</x:v>
      </x:c>
      <x:c r="D1856" s="27" t="str">
        <x:v>Wabash County</x:v>
      </x:c>
      <x:c r="E1856" s="40" t="n">
        <x:v>30713</x:v>
      </x:c>
      <x:c r="F1856" s="55" t="n">
        <x:v>40.843747</x:v>
      </x:c>
      <x:c r="G1856" s="55" t="n">
        <x:v>-85.795192</x:v>
      </x:c>
      <x:c r="H1856" s="43" t="n">
        <x:f>E1856/SUMIF(A:A,A1856,E:E)</x:f>
        <x:v>0.0015675032332018958</x:v>
      </x:c>
    </x:row>
    <x:row r="1857" ht="15" hidden="0" customHeight="1">
      <x:c r="A1857" s="29" t="str">
        <x:v>SCA-21</x:v>
      </x:c>
      <x:c r="B1857" s="29" t="str">
        <x:v>55029</x:v>
      </x:c>
      <x:c r="C1857" s="29" t="str">
        <x:v>WI</x:v>
      </x:c>
      <x:c r="D1857" s="29" t="str">
        <x:v>Door County</x:v>
      </x:c>
      <x:c r="E1857" s="41" t="n">
        <x:v>30616</x:v>
      </x:c>
      <x:c r="F1857" s="56" t="n">
        <x:v>45.093417</x:v>
      </x:c>
      <x:c r="G1857" s="56" t="n">
        <x:v>-87.048683</x:v>
      </x:c>
      <x:c r="H1857" s="44" t="n">
        <x:f>E1857/SUMIF(A:A,A1857,E:E)</x:f>
        <x:v>0.0015625526320355953</x:v>
      </x:c>
    </x:row>
    <x:row r="1858" ht="21.600000381469727" hidden="0" customHeight="1">
      <x:c r="A1858" s="27" t="str">
        <x:v>SCA-21</x:v>
      </x:c>
      <x:c r="B1858" s="27" t="str">
        <x:v>26105</x:v>
      </x:c>
      <x:c r="C1858" s="27" t="str">
        <x:v>MI</x:v>
      </x:c>
      <x:c r="D1858" s="27" t="str">
        <x:v>Mason County</x:v>
      </x:c>
      <x:c r="E1858" s="40" t="n">
        <x:v>29040</x:v>
      </x:c>
      <x:c r="F1858" s="55" t="n">
        <x:v>43.957196</x:v>
      </x:c>
      <x:c r="G1858" s="55" t="n">
        <x:v>-86.442937</x:v>
      </x:c>
      <x:c r="H1858" s="43" t="n">
        <x:f>E1858/SUMIF(A:A,A1858,E:E)</x:f>
        <x:v>0.0014821181223645704</x:v>
      </x:c>
    </x:row>
    <x:row r="1859" ht="15" hidden="0" customHeight="1">
      <x:c r="A1859" s="29" t="str">
        <x:v>SCA-21</x:v>
      </x:c>
      <x:c r="B1859" s="29" t="str">
        <x:v>18179</x:v>
      </x:c>
      <x:c r="C1859" s="29" t="str">
        <x:v>IN</x:v>
      </x:c>
      <x:c r="D1859" s="29" t="str">
        <x:v>Wells County</x:v>
      </x:c>
      <x:c r="E1859" s="41" t="n">
        <x:v>28883</x:v>
      </x:c>
      <x:c r="F1859" s="56" t="n">
        <x:v>40.735547</x:v>
      </x:c>
      <x:c r="G1859" s="56" t="n">
        <x:v>-85.213349</x:v>
      </x:c>
      <x:c r="H1859" s="44" t="n">
        <x:f>E1859/SUMIF(A:A,A1859,E:E)</x:f>
        <x:v>0.0014741052936727234</x:v>
      </x:c>
    </x:row>
    <x:row r="1860" ht="21.600000381469727" hidden="0" customHeight="1">
      <x:c r="A1860" s="27" t="str">
        <x:v>SCA-21</x:v>
      </x:c>
      <x:c r="B1860" s="27" t="str">
        <x:v>26127</x:v>
      </x:c>
      <x:c r="C1860" s="27" t="str">
        <x:v>MI</x:v>
      </x:c>
      <x:c r="D1860" s="27" t="str">
        <x:v>Oceana County</x:v>
      </x:c>
      <x:c r="E1860" s="40" t="n">
        <x:v>27177</x:v>
      </x:c>
      <x:c r="F1860" s="55" t="n">
        <x:v>43.603954</x:v>
      </x:c>
      <x:c r="G1860" s="55" t="n">
        <x:v>-86.467177</x:v>
      </x:c>
      <x:c r="H1860" s="43" t="n">
        <x:f>E1860/SUMIF(A:A,A1860,E:E)</x:f>
        <x:v>0.0013870359576963476</x:v>
      </x:c>
    </x:row>
    <x:row r="1861" ht="21.600000381469727" hidden="0" customHeight="1">
      <x:c r="A1861" s="29" t="str">
        <x:v>SCA-21</x:v>
      </x:c>
      <x:c r="B1861" s="29" t="str">
        <x:v>17075</x:v>
      </x:c>
      <x:c r="C1861" s="29" t="str">
        <x:v>IL</x:v>
      </x:c>
      <x:c r="D1861" s="29" t="str">
        <x:v>Iroquois County</x:v>
      </x:c>
      <x:c r="E1861" s="41" t="n">
        <x:v>26150</x:v>
      </x:c>
      <x:c r="F1861" s="56" t="n">
        <x:v>40.748867</x:v>
      </x:c>
      <x:c r="G1861" s="56" t="n">
        <x:v>-87.833601</x:v>
      </x:c>
      <x:c r="H1861" s="44" t="n">
        <x:f>E1861/SUMIF(A:A,A1861,E:E)</x:f>
        <x:v>0.0013346208298840743</x:v>
      </x:c>
    </x:row>
    <x:row r="1862" ht="21.600000381469727" hidden="0" customHeight="1">
      <x:c r="A1862" s="27" t="str">
        <x:v>SCA-21</x:v>
      </x:c>
      <x:c r="B1862" s="27" t="str">
        <x:v>26043</x:v>
      </x:c>
      <x:c r="C1862" s="27" t="str">
        <x:v>MI</x:v>
      </x:c>
      <x:c r="D1862" s="27" t="str">
        <x:v>Dickinson County</x:v>
      </x:c>
      <x:c r="E1862" s="40" t="n">
        <x:v>25827</x:v>
      </x:c>
      <x:c r="F1862" s="55" t="n">
        <x:v>46.012833</x:v>
      </x:c>
      <x:c r="G1862" s="55" t="n">
        <x:v>-87.866139</x:v>
      </x:c>
      <x:c r="H1862" s="43" t="n">
        <x:f>E1862/SUMIF(A:A,A1862,E:E)</x:f>
        <x:v>0.0013181358383715482</x:v>
      </x:c>
    </x:row>
    <x:row r="1863" ht="21.600000381469727" hidden="0" customHeight="1">
      <x:c r="A1863" s="29" t="str">
        <x:v>SCA-21</x:v>
      </x:c>
      <x:c r="B1863" s="29" t="str">
        <x:v>26101</x:v>
      </x:c>
      <x:c r="C1863" s="29" t="str">
        <x:v>MI</x:v>
      </x:c>
      <x:c r="D1863" s="29" t="str">
        <x:v>Manistee County</x:v>
      </x:c>
      <x:c r="E1863" s="41" t="n">
        <x:v>25656</x:v>
      </x:c>
      <x:c r="F1863" s="56" t="n">
        <x:v>44.245268</x:v>
      </x:c>
      <x:c r="G1863" s="56" t="n">
        <x:v>-86.327537</x:v>
      </x:c>
      <x:c r="H1863" s="44" t="n">
        <x:f>E1863/SUMIF(A:A,A1863,E:E)</x:f>
        <x:v>0.0013094084899237404</x:v>
      </x:c>
    </x:row>
    <x:row r="1864" ht="21.600000381469727" hidden="0" customHeight="1">
      <x:c r="A1864" s="27" t="str">
        <x:v>SCA-21</x:v>
      </x:c>
      <x:c r="B1864" s="27" t="str">
        <x:v>55137</x:v>
      </x:c>
      <x:c r="C1864" s="27" t="str">
        <x:v>WI</x:v>
      </x:c>
      <x:c r="D1864" s="27" t="str">
        <x:v>Waushara County</x:v>
      </x:c>
      <x:c r="E1864" s="40" t="n">
        <x:v>25223</x:v>
      </x:c>
      <x:c r="F1864" s="55" t="n">
        <x:v>44.112823</x:v>
      </x:c>
      <x:c r="G1864" s="55" t="n">
        <x:v>-89.239786</x:v>
      </x:c>
      <x:c r="H1864" s="43" t="n">
        <x:f>E1864/SUMIF(A:A,A1864,E:E)</x:f>
        <x:v>0.0012873094146143788</x:v>
      </x:c>
    </x:row>
    <x:row r="1865" ht="21.600000381469727" hidden="0" customHeight="1">
      <x:c r="A1865" s="29" t="str">
        <x:v>SCA-21</x:v>
      </x:c>
      <x:c r="B1865" s="29" t="str">
        <x:v>18181</x:v>
      </x:c>
      <x:c r="C1865" s="29" t="str">
        <x:v>IN</x:v>
      </x:c>
      <x:c r="D1865" s="29" t="str">
        <x:v>White County</x:v>
      </x:c>
      <x:c r="E1865" s="41" t="n">
        <x:v>25164</x:v>
      </x:c>
      <x:c r="F1865" s="56" t="n">
        <x:v>40.75095</x:v>
      </x:c>
      <x:c r="G1865" s="56" t="n">
        <x:v>-86.864293</x:v>
      </x:c>
      <x:c r="H1865" s="44" t="n">
        <x:f>E1865/SUMIF(A:A,A1865,E:E)</x:f>
        <x:v>0.001284298224214258</x:v>
      </x:c>
    </x:row>
    <x:row r="1866" ht="15" hidden="0" customHeight="1">
      <x:c r="A1866" s="27" t="str">
        <x:v>SCA-21</x:v>
      </x:c>
      <x:c r="B1866" s="27" t="str">
        <x:v>55049</x:v>
      </x:c>
      <x:c r="C1866" s="27" t="str">
        <x:v>WI</x:v>
      </x:c>
      <x:c r="D1866" s="27" t="str">
        <x:v>Iowa County</x:v>
      </x:c>
      <x:c r="E1866" s="40" t="n">
        <x:v>23951</x:v>
      </x:c>
      <x:c r="F1866" s="55" t="n">
        <x:v>43.001021</x:v>
      </x:c>
      <x:c r="G1866" s="55" t="n">
        <x:v>-90.133691</x:v>
      </x:c>
      <x:c r="H1866" s="43" t="n">
        <x:f>E1866/SUMIF(A:A,A1866,E:E)</x:f>
        <x:v>0.0012223901910727903</x:v>
      </x:c>
    </x:row>
    <x:row r="1867" ht="21.600000381469727" hidden="0" customHeight="1">
      <x:c r="A1867" s="29" t="str">
        <x:v>SCA-21</x:v>
      </x:c>
      <x:c r="B1867" s="29" t="str">
        <x:v>18149</x:v>
      </x:c>
      <x:c r="C1867" s="29" t="str">
        <x:v>IN</x:v>
      </x:c>
      <x:c r="D1867" s="29" t="str">
        <x:v>Starke County</x:v>
      </x:c>
      <x:c r="E1867" s="41" t="n">
        <x:v>23425</x:v>
      </x:c>
      <x:c r="F1867" s="56" t="n">
        <x:v>41.284478</x:v>
      </x:c>
      <x:c r="G1867" s="56" t="n">
        <x:v>-86.644636</x:v>
      </x:c>
      <x:c r="H1867" s="44" t="n">
        <x:f>E1867/SUMIF(A:A,A1867,E:E)</x:f>
        <x:v>0.0011955446630988313</x:v>
      </x:c>
    </x:row>
    <x:row r="1868" ht="21.600000381469727" hidden="0" customHeight="1">
      <x:c r="A1868" s="27" t="str">
        <x:v>SCA-21</x:v>
      </x:c>
      <x:c r="B1868" s="27" t="str">
        <x:v>26109</x:v>
      </x:c>
      <x:c r="C1868" s="27" t="str">
        <x:v>MI</x:v>
      </x:c>
      <x:c r="D1868" s="27" t="str">
        <x:v>Menominee County</x:v>
      </x:c>
      <x:c r="E1868" s="40" t="n">
        <x:v>22941</x:v>
      </x:c>
      <x:c r="F1868" s="55" t="n">
        <x:v>45.535568</x:v>
      </x:c>
      <x:c r="G1868" s="55" t="n">
        <x:v>-87.501457</x:v>
      </x:c>
      <x:c r="H1868" s="43" t="n">
        <x:f>E1868/SUMIF(A:A,A1868,E:E)</x:f>
        <x:v>0.0011708426943927552</x:v>
      </x:c>
    </x:row>
    <x:row r="1869" ht="21.600000381469727" hidden="0" customHeight="1">
      <x:c r="A1869" s="29" t="str">
        <x:v>SCA-21</x:v>
      </x:c>
      <x:c r="B1869" s="29" t="str">
        <x:v>55001</x:v>
      </x:c>
      <x:c r="C1869" s="29" t="str">
        <x:v>WI</x:v>
      </x:c>
      <x:c r="D1869" s="29" t="str">
        <x:v>Adams County</x:v>
      </x:c>
      <x:c r="E1869" s="41" t="n">
        <x:v>21752</x:v>
      </x:c>
      <x:c r="F1869" s="56" t="n">
        <x:v>43.973757</x:v>
      </x:c>
      <x:c r="G1869" s="56" t="n">
        <x:v>-89.767228</x:v>
      </x:c>
      <x:c r="H1869" s="44" t="n">
        <x:f>E1869/SUMIF(A:A,A1869,E:E)</x:f>
        <x:v>0.0011101595522615062</x:v>
      </x:c>
    </x:row>
    <x:row r="1870" ht="21.600000381469727" hidden="0" customHeight="1">
      <x:c r="A1870" s="27" t="str">
        <x:v>SCA-21</x:v>
      </x:c>
      <x:c r="B1870" s="27" t="str">
        <x:v>17085</x:v>
      </x:c>
      <x:c r="C1870" s="27" t="str">
        <x:v>IL</x:v>
      </x:c>
      <x:c r="D1870" s="27" t="str">
        <x:v>Jo Daviess County</x:v>
      </x:c>
      <x:c r="E1870" s="40" t="n">
        <x:v>21594</x:v>
      </x:c>
      <x:c r="F1870" s="55" t="n">
        <x:v>42.362391</x:v>
      </x:c>
      <x:c r="G1870" s="55" t="n">
        <x:v>-90.21147</x:v>
      </x:c>
      <x:c r="H1870" s="43" t="n">
        <x:f>E1870/SUMIF(A:A,A1870,E:E)</x:f>
        <x:v>0.0011020956864442333</x:v>
      </x:c>
    </x:row>
    <x:row r="1871" ht="21.600000381469727" hidden="0" customHeight="1">
      <x:c r="A1871" s="29" t="str">
        <x:v>SCA-21</x:v>
      </x:c>
      <x:c r="B1871" s="29" t="str">
        <x:v>19105</x:v>
      </x:c>
      <x:c r="C1871" s="29" t="str">
        <x:v>IA</x:v>
      </x:c>
      <x:c r="D1871" s="29" t="str">
        <x:v>Jones County</x:v>
      </x:c>
      <x:c r="E1871" s="41" t="n">
        <x:v>21253</x:v>
      </x:c>
      <x:c r="F1871" s="56" t="n">
        <x:v>42.125117</x:v>
      </x:c>
      <x:c r="G1871" s="56" t="n">
        <x:v>-91.116914</x:v>
      </x:c>
      <x:c r="H1871" s="44" t="n">
        <x:f>E1871/SUMIF(A:A,A1871,E:E)</x:f>
        <x:v>0.0010846920266740431</x:v>
      </x:c>
    </x:row>
    <x:row r="1872" ht="21.600000381469727" hidden="0" customHeight="1">
      <x:c r="A1872" s="27" t="str">
        <x:v>SCA-21</x:v>
      </x:c>
      <x:c r="B1872" s="27" t="str">
        <x:v>55061</x:v>
      </x:c>
      <x:c r="C1872" s="27" t="str">
        <x:v>WI</x:v>
      </x:c>
      <x:c r="D1872" s="27" t="str">
        <x:v>Kewaunee County</x:v>
      </x:c>
      <x:c r="E1872" s="40" t="n">
        <x:v>20758</x:v>
      </x:c>
      <x:c r="F1872" s="55" t="n">
        <x:v>44.605677</x:v>
      </x:c>
      <x:c r="G1872" s="55" t="n">
        <x:v>-87.448008</x:v>
      </x:c>
      <x:c r="H1872" s="43" t="n">
        <x:f>E1872/SUMIF(A:A,A1872,E:E)</x:f>
        <x:v>0.0010594286495882836</x:v>
      </x:c>
    </x:row>
    <x:row r="1873" ht="21.600000381469727" hidden="0" customHeight="1">
      <x:c r="A1873" s="29" t="str">
        <x:v>SCA-21</x:v>
      </x:c>
      <x:c r="B1873" s="29" t="str">
        <x:v>18015</x:v>
      </x:c>
      <x:c r="C1873" s="29" t="str">
        <x:v>IN</x:v>
      </x:c>
      <x:c r="D1873" s="29" t="str">
        <x:v>Carroll County</x:v>
      </x:c>
      <x:c r="E1873" s="41" t="n">
        <x:v>20655</x:v>
      </x:c>
      <x:c r="F1873" s="56" t="n">
        <x:v>40.58498</x:v>
      </x:c>
      <x:c r="G1873" s="56" t="n">
        <x:v>-86.565141</x:v>
      </x:c>
      <x:c r="H1873" s="44" t="n">
        <x:f>E1873/SUMIF(A:A,A1873,E:E)</x:f>
        <x:v>0.0010541718256694285</x:v>
      </x:c>
    </x:row>
    <x:row r="1874" ht="21.600000381469727" hidden="0" customHeight="1">
      <x:c r="A1874" s="27" t="str">
        <x:v>SCA-21</x:v>
      </x:c>
      <x:c r="B1874" s="27" t="str">
        <x:v>18049</x:v>
      </x:c>
      <x:c r="C1874" s="27" t="str">
        <x:v>IN</x:v>
      </x:c>
      <x:c r="D1874" s="27" t="str">
        <x:v>Fulton County</x:v>
      </x:c>
      <x:c r="E1874" s="40" t="n">
        <x:v>20091</x:v>
      </x:c>
      <x:c r="F1874" s="55" t="n">
        <x:v>41.050384</x:v>
      </x:c>
      <x:c r="G1874" s="55" t="n">
        <x:v>-86.265006</x:v>
      </x:c>
      <x:c r="H1874" s="43" t="n">
        <x:f>E1874/SUMIF(A:A,A1874,E:E)</x:f>
        <x:v>0.00102538688692929</x:v>
      </x:c>
    </x:row>
    <x:row r="1875" ht="21.600000381469727" hidden="0" customHeight="1">
      <x:c r="A1875" s="29" t="str">
        <x:v>SCA-21</x:v>
      </x:c>
      <x:c r="B1875" s="29" t="str">
        <x:v>55047</x:v>
      </x:c>
      <x:c r="C1875" s="29" t="str">
        <x:v>WI</x:v>
      </x:c>
      <x:c r="D1875" s="29" t="str">
        <x:v>Green Lake County</x:v>
      </x:c>
      <x:c r="E1875" s="41" t="n">
        <x:v>19305</x:v>
      </x:c>
      <x:c r="F1875" s="56" t="n">
        <x:v>43.780247</x:v>
      </x:c>
      <x:c r="G1875" s="56" t="n">
        <x:v>-88.97038</x:v>
      </x:c>
      <x:c r="H1875" s="44" t="n">
        <x:f>E1875/SUMIF(A:A,A1875,E:E)</x:f>
        <x:v>0.0009852717063446293</x:v>
      </x:c>
    </x:row>
    <x:row r="1876" ht="21.600000381469727" hidden="0" customHeight="1">
      <x:c r="A1876" s="27" t="str">
        <x:v>SCA-21</x:v>
      </x:c>
      <x:c r="B1876" s="27" t="str">
        <x:v>19097</x:v>
      </x:c>
      <x:c r="C1876" s="27" t="str">
        <x:v>IA</x:v>
      </x:c>
      <x:c r="D1876" s="27" t="str">
        <x:v>Jackson County</x:v>
      </x:c>
      <x:c r="E1876" s="40" t="n">
        <x:v>19288</x:v>
      </x:c>
      <x:c r="F1876" s="55" t="n">
        <x:v>42.164226</x:v>
      </x:c>
      <x:c r="G1876" s="55" t="n">
        <x:v>-90.574582</x:v>
      </x:c>
      <x:c r="H1876" s="43" t="n">
        <x:f>E1876/SUMIF(A:A,A1876,E:E)</x:f>
        <x:v>0.000984404075212391</x:v>
      </x:c>
    </x:row>
    <x:row r="1877" ht="21.600000381469727" hidden="0" customHeight="1">
      <x:c r="A1877" s="29" t="str">
        <x:v>SCA-21</x:v>
      </x:c>
      <x:c r="B1877" s="29" t="str">
        <x:v>26019</x:v>
      </x:c>
      <x:c r="C1877" s="29" t="str">
        <x:v>MI</x:v>
      </x:c>
      <x:c r="D1877" s="29" t="str">
        <x:v>Benzie County</x:v>
      </x:c>
      <x:c r="E1877" s="41" t="n">
        <x:v>18568</x:v>
      </x:c>
      <x:c r="F1877" s="56" t="n">
        <x:v>44.636844</x:v>
      </x:c>
      <x:c r="G1877" s="56" t="n">
        <x:v>-86.231999</x:v>
      </x:c>
      <x:c r="H1877" s="44" t="n">
        <x:f>E1877/SUMIF(A:A,A1877,E:E)</x:f>
        <x:v>0.0009476573449058314</x:v>
      </x:c>
    </x:row>
    <x:row r="1878" ht="21.600000381469727" hidden="0" customHeight="1">
      <x:c r="A1878" s="27" t="str">
        <x:v>SCA-21</x:v>
      </x:c>
      <x:c r="B1878" s="27" t="str">
        <x:v>19031</x:v>
      </x:c>
      <x:c r="C1878" s="27" t="str">
        <x:v>IA</x:v>
      </x:c>
      <x:c r="D1878" s="27" t="str">
        <x:v>Cedar County</x:v>
      </x:c>
      <x:c r="E1878" s="40" t="n">
        <x:v>18359</x:v>
      </x:c>
      <x:c r="F1878" s="55" t="n">
        <x:v>41.77236</x:v>
      </x:c>
      <x:c r="G1878" s="55" t="n">
        <x:v>-91.132611</x:v>
      </x:c>
      <x:c r="H1878" s="43" t="n">
        <x:f>E1878/SUMIF(A:A,A1878,E:E)</x:f>
        <x:v>0.0009369905856918439</x:v>
      </x:c>
    </x:row>
    <x:row r="1879" ht="21.600000381469727" hidden="0" customHeight="1">
      <x:c r="A1879" s="29" t="str">
        <x:v>SCA-21</x:v>
      </x:c>
      <x:c r="B1879" s="29" t="str">
        <x:v>19055</x:v>
      </x:c>
      <x:c r="C1879" s="29" t="str">
        <x:v>IA</x:v>
      </x:c>
      <x:c r="D1879" s="29" t="str">
        <x:v>Delaware County</x:v>
      </x:c>
      <x:c r="E1879" s="41" t="n">
        <x:v>17674</x:v>
      </x:c>
      <x:c r="F1879" s="56" t="n">
        <x:v>42.473014</x:v>
      </x:c>
      <x:c r="G1879" s="56" t="n">
        <x:v>-91.366767</x:v>
      </x:c>
      <x:c r="H1879" s="44" t="n">
        <x:f>E1879/SUMIF(A:A,A1879,E:E)</x:f>
        <x:v>0.0009020301547751865</x:v>
      </x:c>
    </x:row>
    <x:row r="1880" ht="21.600000381469727" hidden="0" customHeight="1">
      <x:c r="A1880" s="27" t="str">
        <x:v>SCA-21</x:v>
      </x:c>
      <x:c r="B1880" s="27" t="str">
        <x:v>55065</x:v>
      </x:c>
      <x:c r="C1880" s="27" t="str">
        <x:v>WI</x:v>
      </x:c>
      <x:c r="D1880" s="27" t="str">
        <x:v>Lafayette County</x:v>
      </x:c>
      <x:c r="E1880" s="40" t="n">
        <x:v>17478</x:v>
      </x:c>
      <x:c r="F1880" s="55" t="n">
        <x:v>42.655578</x:v>
      </x:c>
      <x:c r="G1880" s="55" t="n">
        <x:v>-90.130292</x:v>
      </x:c>
      <x:c r="H1880" s="43" t="n">
        <x:f>E1880/SUMIF(A:A,A1880,E:E)</x:f>
        <x:v>0.0008920268781917343</x:v>
      </x:c>
    </x:row>
    <x:row r="1881" ht="21.600000381469727" hidden="0" customHeight="1">
      <x:c r="A1881" s="29" t="str">
        <x:v>SCA-21</x:v>
      </x:c>
      <x:c r="B1881" s="29" t="str">
        <x:v>55103</x:v>
      </x:c>
      <x:c r="C1881" s="29" t="str">
        <x:v>WI</x:v>
      </x:c>
      <x:c r="D1881" s="29" t="str">
        <x:v>Richland County</x:v>
      </x:c>
      <x:c r="E1881" s="41" t="n">
        <x:v>17036</x:v>
      </x:c>
      <x:c r="F1881" s="56" t="n">
        <x:v>43.376199</x:v>
      </x:c>
      <x:c r="G1881" s="56" t="n">
        <x:v>-90.435693</x:v>
      </x:c>
      <x:c r="H1881" s="44" t="n">
        <x:f>E1881/SUMIF(A:A,A1881,E:E)</x:f>
        <x:v>0.0008694684687535407</x:v>
      </x:c>
    </x:row>
    <x:row r="1882" ht="21.600000381469727" hidden="0" customHeight="1">
      <x:c r="A1882" s="27" t="str">
        <x:v>SCA-21</x:v>
      </x:c>
      <x:c r="B1882" s="27" t="str">
        <x:v>18045</x:v>
      </x:c>
      <x:c r="C1882" s="27" t="str">
        <x:v>IN</x:v>
      </x:c>
      <x:c r="D1882" s="27" t="str">
        <x:v>Fountain County</x:v>
      </x:c>
      <x:c r="E1882" s="40" t="n">
        <x:v>17013</x:v>
      </x:c>
      <x:c r="F1882" s="55" t="n">
        <x:v>40.121237</x:v>
      </x:c>
      <x:c r="G1882" s="55" t="n">
        <x:v>-87.234872</x:v>
      </x:c>
      <x:c r="H1882" s="43" t="n">
        <x:f>E1882/SUMIF(A:A,A1882,E:E)</x:f>
        <x:v>0.0008682946148687479</x:v>
      </x:c>
    </x:row>
    <x:row r="1883" ht="15" hidden="0" customHeight="1">
      <x:c r="A1883" s="29" t="str">
        <x:v>SCA-21</x:v>
      </x:c>
      <x:c r="B1883" s="29" t="str">
        <x:v>19095</x:v>
      </x:c>
      <x:c r="C1883" s="29" t="str">
        <x:v>IA</x:v>
      </x:c>
      <x:c r="D1883" s="29" t="str">
        <x:v>Iowa County</x:v>
      </x:c>
      <x:c r="E1883" s="41" t="n">
        <x:v>16504</x:v>
      </x:c>
      <x:c r="F1883" s="56" t="n">
        <x:v>41.683918</x:v>
      </x:c>
      <x:c r="G1883" s="56" t="n">
        <x:v>-92.059123</x:v>
      </x:c>
      <x:c r="H1883" s="44" t="n">
        <x:f>E1883/SUMIF(A:A,A1883,E:E)</x:f>
        <x:v>0.0008423167180270272</x:v>
      </x:c>
    </x:row>
    <x:row r="1884" ht="21.600000381469727" hidden="0" customHeight="1">
      <x:c r="A1884" s="27" t="str">
        <x:v>SCA-21</x:v>
      </x:c>
      <x:c r="B1884" s="27" t="str">
        <x:v>17045</x:v>
      </x:c>
      <x:c r="C1884" s="27" t="str">
        <x:v>IL</x:v>
      </x:c>
      <x:c r="D1884" s="27" t="str">
        <x:v>Edgar County</x:v>
      </x:c>
      <x:c r="E1884" s="40" t="n">
        <x:v>16323</x:v>
      </x:c>
      <x:c r="F1884" s="55" t="n">
        <x:v>39.679037</x:v>
      </x:c>
      <x:c r="G1884" s="55" t="n">
        <x:v>-87.74711</x:v>
      </x:c>
      <x:c r="H1884" s="43" t="n">
        <x:f>E1884/SUMIF(A:A,A1884,E:E)</x:f>
        <x:v>0.0008330789983249616</x:v>
      </x:c>
    </x:row>
    <x:row r="1885" ht="21.600000381469727" hidden="0" customHeight="1">
      <x:c r="A1885" s="29" t="str">
        <x:v>SCA-21</x:v>
      </x:c>
      <x:c r="B1885" s="29" t="str">
        <x:v>55077</x:v>
      </x:c>
      <x:c r="C1885" s="29" t="str">
        <x:v>WI</x:v>
      </x:c>
      <x:c r="D1885" s="29" t="str">
        <x:v>Marquette County</x:v>
      </x:c>
      <x:c r="E1885" s="41" t="n">
        <x:v>15927</x:v>
      </x:c>
      <x:c r="F1885" s="56" t="n">
        <x:v>43.826053</x:v>
      </x:c>
      <x:c r="G1885" s="56" t="n">
        <x:v>-89.409095</x:v>
      </x:c>
      <x:c r="H1885" s="44" t="n">
        <x:f>E1885/SUMIF(A:A,A1885,E:E)</x:f>
        <x:v>0.0008128682966563538</x:v>
      </x:c>
    </x:row>
    <x:row r="1886" ht="21.600000381469727" hidden="0" customHeight="1">
      <x:c r="A1886" s="27" t="str">
        <x:v>SCA-21</x:v>
      </x:c>
      <x:c r="B1886" s="27" t="str">
        <x:v>18165</x:v>
      </x:c>
      <x:c r="C1886" s="27" t="str">
        <x:v>IN</x:v>
      </x:c>
      <x:c r="D1886" s="27" t="str">
        <x:v>Vermillion County</x:v>
      </x:c>
      <x:c r="E1886" s="40" t="n">
        <x:v>15488</x:v>
      </x:c>
      <x:c r="F1886" s="55" t="n">
        <x:v>39.854045</x:v>
      </x:c>
      <x:c r="G1886" s="55" t="n">
        <x:v>-87.462071</x:v>
      </x:c>
      <x:c r="H1886" s="43" t="n">
        <x:f>E1886/SUMIF(A:A,A1886,E:E)</x:f>
        <x:v>0.0007904629985944375</x:v>
      </x:c>
    </x:row>
    <x:row r="1887" ht="21.600000381469727" hidden="0" customHeight="1">
      <x:c r="A1887" s="29" t="str">
        <x:v>SCA-21</x:v>
      </x:c>
      <x:c r="B1887" s="29" t="str">
        <x:v>17015</x:v>
      </x:c>
      <x:c r="C1887" s="29" t="str">
        <x:v>IL</x:v>
      </x:c>
      <x:c r="D1887" s="29" t="str">
        <x:v>Carroll County</x:v>
      </x:c>
      <x:c r="E1887" s="41" t="n">
        <x:v>15419</x:v>
      </x:c>
      <x:c r="F1887" s="56" t="n">
        <x:v>42.0709</x:v>
      </x:c>
      <x:c r="G1887" s="56" t="n">
        <x:v>-89.92419</x:v>
      </x:c>
      <x:c r="H1887" s="44" t="n">
        <x:f>E1887/SUMIF(A:A,A1887,E:E)</x:f>
        <x:v>0.000786941436940059</x:v>
      </x:c>
    </x:row>
    <x:row r="1888" ht="21.600000381469727" hidden="0" customHeight="1">
      <x:c r="A1888" s="27" t="str">
        <x:v>SCA-21</x:v>
      </x:c>
      <x:c r="B1888" s="27" t="str">
        <x:v>18159</x:v>
      </x:c>
      <x:c r="C1888" s="27" t="str">
        <x:v>IN</x:v>
      </x:c>
      <x:c r="D1888" s="27" t="str">
        <x:v>Tipton County</x:v>
      </x:c>
      <x:c r="E1888" s="40" t="n">
        <x:v>15319</x:v>
      </x:c>
      <x:c r="F1888" s="55" t="n">
        <x:v>40.310229</x:v>
      </x:c>
      <x:c r="G1888" s="55" t="n">
        <x:v>-86.056207</x:v>
      </x:c>
      <x:c r="H1888" s="43" t="n">
        <x:f>E1888/SUMIF(A:A,A1888,E:E)</x:f>
        <x:v>0.0007818377243974812</x:v>
      </x:c>
    </x:row>
    <x:row r="1889" ht="21.600000381469727" hidden="0" customHeight="1">
      <x:c r="A1889" s="29" t="str">
        <x:v>SCA-21</x:v>
      </x:c>
      <x:c r="B1889" s="29" t="str">
        <x:v>17131</x:v>
      </x:c>
      <x:c r="C1889" s="29" t="str">
        <x:v>IL</x:v>
      </x:c>
      <x:c r="D1889" s="29" t="str">
        <x:v>Mercer County</x:v>
      </x:c>
      <x:c r="E1889" s="41" t="n">
        <x:v>15229</x:v>
      </x:c>
      <x:c r="F1889" s="56" t="n">
        <x:v>41.205605</x:v>
      </x:c>
      <x:c r="G1889" s="56" t="n">
        <x:v>-90.74177</x:v>
      </x:c>
      <x:c r="H1889" s="44" t="n">
        <x:f>E1889/SUMIF(A:A,A1889,E:E)</x:f>
        <x:v>0.0007772443831091612</x:v>
      </x:c>
    </x:row>
    <x:row r="1890" ht="21.600000381469727" hidden="0" customHeight="1">
      <x:c r="A1890" s="27" t="str">
        <x:v>SCA-21</x:v>
      </x:c>
      <x:c r="B1890" s="27" t="str">
        <x:v>17039</x:v>
      </x:c>
      <x:c r="C1890" s="27" t="str">
        <x:v>IL</x:v>
      </x:c>
      <x:c r="D1890" s="27" t="str">
        <x:v>De Witt County</x:v>
      </x:c>
      <x:c r="E1890" s="40" t="n">
        <x:v>15118</x:v>
      </x:c>
      <x:c r="F1890" s="55" t="n">
        <x:v>40.181499</x:v>
      </x:c>
      <x:c r="G1890" s="55" t="n">
        <x:v>-88.901853</x:v>
      </x:c>
      <x:c r="H1890" s="43" t="n">
        <x:f>E1890/SUMIF(A:A,A1890,E:E)</x:f>
        <x:v>0.0007715792621869</x:v>
      </x:c>
    </x:row>
    <x:row r="1891" ht="21.600000381469727" hidden="0" customHeight="1">
      <x:c r="A1891" s="29" t="str">
        <x:v>SCA-21</x:v>
      </x:c>
      <x:c r="B1891" s="29" t="str">
        <x:v>18111</x:v>
      </x:c>
      <x:c r="C1891" s="29" t="str">
        <x:v>IN</x:v>
      </x:c>
      <x:c r="D1891" s="29" t="str">
        <x:v>Newton County</x:v>
      </x:c>
      <x:c r="E1891" s="41" t="n">
        <x:v>14188</x:v>
      </x:c>
      <x:c r="F1891" s="56" t="n">
        <x:v>40.962399</x:v>
      </x:c>
      <x:c r="G1891" s="56" t="n">
        <x:v>-87.402172</x:v>
      </x:c>
      <x:c r="H1891" s="44" t="n">
        <x:f>E1891/SUMIF(A:A,A1891,E:E)</x:f>
        <x:v>0.0007241147355409272</x:v>
      </x:c>
    </x:row>
    <x:row r="1892" ht="15" hidden="0" customHeight="1">
      <x:c r="A1892" s="27" t="str">
        <x:v>SCA-21</x:v>
      </x:c>
      <x:c r="B1892" s="27" t="str">
        <x:v>17053</x:v>
      </x:c>
      <x:c r="C1892" s="27" t="str">
        <x:v>IL</x:v>
      </x:c>
      <x:c r="D1892" s="27" t="str">
        <x:v>Ford County</x:v>
      </x:c>
      <x:c r="E1892" s="40" t="n">
        <x:v>13216</x:v>
      </x:c>
      <x:c r="F1892" s="55" t="n">
        <x:v>40.596539</x:v>
      </x:c>
      <x:c r="G1892" s="55" t="n">
        <x:v>-88.224588</x:v>
      </x:c>
      <x:c r="H1892" s="43" t="n">
        <x:f>E1892/SUMIF(A:A,A1892,E:E)</x:f>
        <x:v>0.0006745066496270717</x:v>
      </x:c>
    </x:row>
    <x:row r="1893" ht="21.600000381469727" hidden="0" customHeight="1">
      <x:c r="A1893" s="29" t="str">
        <x:v>SCA-21</x:v>
      </x:c>
      <x:c r="B1893" s="29" t="str">
        <x:v>18131</x:v>
      </x:c>
      <x:c r="C1893" s="29" t="str">
        <x:v>IN</x:v>
      </x:c>
      <x:c r="D1893" s="29" t="str">
        <x:v>Pulaski County</x:v>
      </x:c>
      <x:c r="E1893" s="41" t="n">
        <x:v>12463</x:v>
      </x:c>
      <x:c r="F1893" s="56" t="n">
        <x:v>41.045272</x:v>
      </x:c>
      <x:c r="G1893" s="56" t="n">
        <x:v>-86.692538</x:v>
      </x:c>
      <x:c r="H1893" s="44" t="n">
        <x:f>E1893/SUMIF(A:A,A1893,E:E)</x:f>
        <x:v>0.0006360756941814615</x:v>
      </x:c>
    </x:row>
    <x:row r="1894" ht="21.600000381469727" hidden="0" customHeight="1">
      <x:c r="A1894" s="27" t="str">
        <x:v>SCA-21</x:v>
      </x:c>
      <x:c r="B1894" s="27" t="str">
        <x:v>17123</x:v>
      </x:c>
      <x:c r="C1894" s="27" t="str">
        <x:v>IL</x:v>
      </x:c>
      <x:c r="D1894" s="27" t="str">
        <x:v>Marshall County</x:v>
      </x:c>
      <x:c r="E1894" s="40" t="n">
        <x:v>11473</x:v>
      </x:c>
      <x:c r="F1894" s="55" t="n">
        <x:v>41.031119</x:v>
      </x:c>
      <x:c r="G1894" s="55" t="n">
        <x:v>-89.342371</x:v>
      </x:c>
      <x:c r="H1894" s="43" t="n">
        <x:f>E1894/SUMIF(A:A,A1894,E:E)</x:f>
        <x:v>0.000585548940009942</x:v>
      </x:c>
    </x:row>
    <x:row r="1895" ht="21.600000381469727" hidden="0" customHeight="1">
      <x:c r="A1895" s="29" t="str">
        <x:v>SCA-21</x:v>
      </x:c>
      <x:c r="B1895" s="29" t="str">
        <x:v>19115</x:v>
      </x:c>
      <x:c r="C1895" s="29" t="str">
        <x:v>IA</x:v>
      </x:c>
      <x:c r="D1895" s="29" t="str">
        <x:v>Louisa County</x:v>
      </x:c>
      <x:c r="E1895" s="41" t="n">
        <x:v>10416</x:v>
      </x:c>
      <x:c r="F1895" s="56" t="n">
        <x:v>41.218211</x:v>
      </x:c>
      <x:c r="G1895" s="56" t="n">
        <x:v>-91.256994</x:v>
      </x:c>
      <x:c r="H1895" s="44" t="n">
        <x:f>E1895/SUMIF(A:A,A1895,E:E)</x:f>
        <x:v>0.0005316026984348955</x:v>
      </x:c>
    </x:row>
    <x:row r="1896" ht="21.600000381469727" hidden="0" customHeight="1">
      <x:c r="A1896" s="27" t="str">
        <x:v>SCA-21</x:v>
      </x:c>
      <x:c r="B1896" s="27" t="str">
        <x:v>18007</x:v>
      </x:c>
      <x:c r="C1896" s="27" t="str">
        <x:v>IN</x:v>
      </x:c>
      <x:c r="D1896" s="27" t="str">
        <x:v>Benton County</x:v>
      </x:c>
      <x:c r="E1896" s="40" t="n">
        <x:v>8883</x:v>
      </x:c>
      <x:c r="F1896" s="55" t="n">
        <x:v>40.600939</x:v>
      </x:c>
      <x:c r="G1896" s="55" t="n">
        <x:v>-87.314786</x:v>
      </x:c>
      <x:c r="H1896" s="43" t="n">
        <x:f>E1896/SUMIF(A:A,A1896,E:E)</x:f>
        <x:v>0.00045336278515717903</x:v>
      </x:c>
    </x:row>
    <x:row r="1897" ht="15" hidden="0" customHeight="1">
      <x:c r="A1897" s="29" t="str">
        <x:v>SCA-21</x:v>
      </x:c>
      <x:c r="B1897" s="29" t="str">
        <x:v>26003</x:v>
      </x:c>
      <x:c r="C1897" s="29" t="str">
        <x:v>MI</x:v>
      </x:c>
      <x:c r="D1897" s="29" t="str">
        <x:v>Alger County</x:v>
      </x:c>
      <x:c r="E1897" s="41" t="n">
        <x:v>8641</x:v>
      </x:c>
      <x:c r="F1897" s="56" t="n">
        <x:v>46.521736</x:v>
      </x:c>
      <x:c r="G1897" s="56" t="n">
        <x:v>-86.657119</x:v>
      </x:c>
      <x:c r="H1897" s="44" t="n">
        <x:f>E1897/SUMIF(A:A,A1897,E:E)</x:f>
        <x:v>0.00044101180080414093</x:v>
      </x:c>
    </x:row>
    <x:row r="1898" ht="21.600000381469727" hidden="0" customHeight="1">
      <x:c r="A1898" s="27" t="str">
        <x:v>SCA-21</x:v>
      </x:c>
      <x:c r="B1898" s="27" t="str">
        <x:v>18171</x:v>
      </x:c>
      <x:c r="C1898" s="27" t="str">
        <x:v>IN</x:v>
      </x:c>
      <x:c r="D1898" s="27" t="str">
        <x:v>Warren County</x:v>
      </x:c>
      <x:c r="E1898" s="40" t="n">
        <x:v>8474</x:v>
      </x:c>
      <x:c r="F1898" s="55" t="n">
        <x:v>40.352498</x:v>
      </x:c>
      <x:c r="G1898" s="55" t="n">
        <x:v>-87.375163</x:v>
      </x:c>
      <x:c r="H1898" s="43" t="n">
        <x:f>E1898/SUMIF(A:A,A1898,E:E)</x:f>
        <x:v>0.00043248860085803615</x:v>
      </x:c>
    </x:row>
    <x:row r="1899" ht="21.600000381469727" hidden="0" customHeight="1">
      <x:c r="A1899" s="29" t="str">
        <x:v>SCA-21</x:v>
      </x:c>
      <x:c r="B1899" s="29" t="str">
        <x:v>26153</x:v>
      </x:c>
      <x:c r="C1899" s="29" t="str">
        <x:v>MI</x:v>
      </x:c>
      <x:c r="D1899" s="29" t="str">
        <x:v>Schoolcraft County</x:v>
      </x:c>
      <x:c r="E1899" s="41" t="n">
        <x:v>8187</x:v>
      </x:c>
      <x:c r="F1899" s="56" t="n">
        <x:v>46.021122</x:v>
      </x:c>
      <x:c r="G1899" s="56" t="n">
        <x:v>-86.197029</x:v>
      </x:c>
      <x:c r="H1899" s="44" t="n">
        <x:f>E1899/SUMIF(A:A,A1899,E:E)</x:f>
        <x:v>0.0004178409458608381</x:v>
      </x:c>
    </x:row>
    <x:row r="1900" ht="21.600000381469727" hidden="0" customHeight="1">
      <x:c r="A1900" s="27" t="str">
        <x:v>SCA-21</x:v>
      </x:c>
      <x:c r="B1900" s="27" t="str">
        <x:v>17155</x:v>
      </x:c>
      <x:c r="C1900" s="27" t="str">
        <x:v>IL</x:v>
      </x:c>
      <x:c r="D1900" s="27" t="str">
        <x:v>Putnam County</x:v>
      </x:c>
      <x:c r="E1900" s="40" t="n">
        <x:v>5619</x:v>
      </x:c>
      <x:c r="F1900" s="55" t="n">
        <x:v>41.198961</x:v>
      </x:c>
      <x:c r="G1900" s="55" t="n">
        <x:v>-89.298347</x:v>
      </x:c>
      <x:c r="H1900" s="43" t="n">
        <x:f>E1900/SUMIF(A:A,A1900,E:E)</x:f>
        <x:v>0.0002867776077674422</x:v>
      </x:c>
    </x:row>
    <x:row r="1901" ht="15" hidden="0" customHeight="1">
      <x:c r="A1901" s="29" t="str">
        <x:v>SCA-21</x:v>
      </x:c>
      <x:c r="B1901" s="29" t="str">
        <x:v>17175</x:v>
      </x:c>
      <x:c r="C1901" s="29" t="str">
        <x:v>IL</x:v>
      </x:c>
      <x:c r="D1901" s="29" t="str">
        <x:v>Stark County</x:v>
      </x:c>
      <x:c r="E1901" s="41" t="n">
        <x:v>5319</x:v>
      </x:c>
      <x:c r="F1901" s="56" t="n">
        <x:v>41.096908</x:v>
      </x:c>
      <x:c r="G1901" s="56" t="n">
        <x:v>-89.797411</x:v>
      </x:c>
      <x:c r="H1901" s="44" t="n">
        <x:f>E1901/SUMIF(A:A,A1901,E:E)</x:f>
        <x:v>0.000271466470139709</x:v>
      </x:c>
    </x:row>
    <x:row r="1902" ht="21.600000381469727" hidden="0" customHeight="1">
      <x:c r="A1902" s="27" t="str">
        <x:v>SCA-21</x:v>
      </x:c>
      <x:c r="B1902" s="27" t="str">
        <x:v>55078</x:v>
      </x:c>
      <x:c r="C1902" s="27" t="str">
        <x:v>WI</x:v>
      </x:c>
      <x:c r="D1902" s="27" t="str">
        <x:v>Menominee County</x:v>
      </x:c>
      <x:c r="E1902" s="40" t="n">
        <x:v>4199</x:v>
      </x:c>
      <x:c r="F1902" s="55" t="n">
        <x:v>44.991304</x:v>
      </x:c>
      <x:c r="G1902" s="55" t="n">
        <x:v>-88.669251</x:v>
      </x:c>
      <x:c r="H1902" s="43" t="n">
        <x:f>E1902/SUMIF(A:A,A1902,E:E)</x:f>
        <x:v>0.00021430488966283853</x:v>
      </x:c>
    </x:row>
    <x:row r="1903" ht="21.600000381469727" hidden="0" customHeight="1">
      <x:c r="A1903" s="29" t="str">
        <x:v>SCA-22</x:v>
      </x:c>
      <x:c r="B1903" s="29" t="str">
        <x:v>18097</x:v>
      </x:c>
      <x:c r="C1903" s="29" t="str">
        <x:v>IN</x:v>
      </x:c>
      <x:c r="D1903" s="29" t="str">
        <x:v>Marion County</x:v>
      </x:c>
      <x:c r="E1903" s="41" t="n">
        <x:v>992196</x:v>
      </x:c>
      <x:c r="F1903" s="56" t="n">
        <x:v>39.782976</x:v>
      </x:c>
      <x:c r="G1903" s="56" t="n">
        <x:v>-86.135794</x:v>
      </x:c>
      <x:c r="H1903" s="44" t="n">
        <x:f>E1903/SUMIF(A:A,A1903,E:E)</x:f>
        <x:v>0.06734968747636948</x:v>
      </x:c>
    </x:row>
    <x:row r="1904" ht="21.600000381469727" hidden="0" customHeight="1">
      <x:c r="A1904" s="27" t="str">
        <x:v>SCA-22</x:v>
      </x:c>
      <x:c r="B1904" s="27" t="str">
        <x:v>39061</x:v>
      </x:c>
      <x:c r="C1904" s="27" t="str">
        <x:v>OH</x:v>
      </x:c>
      <x:c r="D1904" s="27" t="str">
        <x:v>Hamilton County</x:v>
      </x:c>
      <x:c r="E1904" s="40" t="n">
        <x:v>838418</x:v>
      </x:c>
      <x:c r="F1904" s="55" t="n">
        <x:v>39.196927</x:v>
      </x:c>
      <x:c r="G1904" s="55" t="n">
        <x:v>-84.544187</x:v>
      </x:c>
      <x:c r="H1904" s="43" t="n">
        <x:f>E1904/SUMIF(A:A,A1904,E:E)</x:f>
        <x:v>0.05691132626473272</x:v>
      </x:c>
    </x:row>
    <x:row r="1905" ht="21.600000381469727" hidden="0" customHeight="1">
      <x:c r="A1905" s="29" t="str">
        <x:v>SCA-22</x:v>
      </x:c>
      <x:c r="B1905" s="29" t="str">
        <x:v>21111</x:v>
      </x:c>
      <x:c r="C1905" s="29" t="str">
        <x:v>KY</x:v>
      </x:c>
      <x:c r="D1905" s="29" t="str">
        <x:v>Jefferson County</x:v>
      </x:c>
      <x:c r="E1905" s="41" t="n">
        <x:v>795222</x:v>
      </x:c>
      <x:c r="F1905" s="56" t="n">
        <x:v>38.189532</x:v>
      </x:c>
      <x:c r="G1905" s="56" t="n">
        <x:v>-85.657624</x:v>
      </x:c>
      <x:c r="H1905" s="44" t="n">
        <x:f>E1905/SUMIF(A:A,A1905,E:E)</x:f>
        <x:v>0.05397920690502027</x:v>
      </x:c>
    </x:row>
    <x:row r="1906" ht="21.600000381469727" hidden="0" customHeight="1">
      <x:c r="A1906" s="27" t="str">
        <x:v>SCA-22</x:v>
      </x:c>
      <x:c r="B1906" s="27" t="str">
        <x:v>47037</x:v>
      </x:c>
      <x:c r="C1906" s="27" t="str">
        <x:v>TN</x:v>
      </x:c>
      <x:c r="D1906" s="27" t="str">
        <x:v>Davidson County</x:v>
      </x:c>
      <x:c r="E1906" s="40" t="n">
        <x:v>745904</x:v>
      </x:c>
      <x:c r="F1906" s="55" t="n">
        <x:v>36.169129</x:v>
      </x:c>
      <x:c r="G1906" s="55" t="n">
        <x:v>-86.78479</x:v>
      </x:c>
      <x:c r="H1906" s="43" t="n">
        <x:f>E1906/SUMIF(A:A,A1906,E:E)</x:f>
        <x:v>0.050631529745507844</x:v>
      </x:c>
    </x:row>
    <x:row r="1907" ht="21.600000381469727" hidden="0" customHeight="1">
      <x:c r="A1907" s="29" t="str">
        <x:v>SCA-22</x:v>
      </x:c>
      <x:c r="B1907" s="29" t="str">
        <x:v>39113</x:v>
      </x:c>
      <x:c r="C1907" s="29" t="str">
        <x:v>OH</x:v>
      </x:c>
      <x:c r="D1907" s="29" t="str">
        <x:v>Montgomery County</x:v>
      </x:c>
      <x:c r="E1907" s="41" t="n">
        <x:v>539598</x:v>
      </x:c>
      <x:c r="F1907" s="56" t="n">
        <x:v>39.753736</x:v>
      </x:c>
      <x:c r="G1907" s="56" t="n">
        <x:v>-84.290591</x:v>
      </x:c>
      <x:c r="H1907" s="44" t="n">
        <x:f>E1907/SUMIF(A:A,A1907,E:E)</x:f>
        <x:v>0.036627598441108425</x:v>
      </x:c>
    </x:row>
    <x:row r="1908" ht="21.600000381469727" hidden="0" customHeight="1">
      <x:c r="A1908" s="27" t="str">
        <x:v>SCA-22</x:v>
      </x:c>
      <x:c r="B1908" s="27" t="str">
        <x:v>39017</x:v>
      </x:c>
      <x:c r="C1908" s="27" t="str">
        <x:v>OH</x:v>
      </x:c>
      <x:c r="D1908" s="27" t="str">
        <x:v>Butler County</x:v>
      </x:c>
      <x:c r="E1908" s="40" t="n">
        <x:v>400128</x:v>
      </x:c>
      <x:c r="F1908" s="55" t="n">
        <x:v>39.439747</x:v>
      </x:c>
      <x:c r="G1908" s="55" t="n">
        <x:v>-84.565734</x:v>
      </x:c>
      <x:c r="H1908" s="43" t="n">
        <x:f>E1908/SUMIF(A:A,A1908,E:E)</x:f>
        <x:v>0.02716045594876896</x:v>
      </x:c>
    </x:row>
    <x:row r="1909" ht="21.600000381469727" hidden="0" customHeight="1">
      <x:c r="A1909" s="29" t="str">
        <x:v>SCA-22</x:v>
      </x:c>
      <x:c r="B1909" s="29" t="str">
        <x:v>18057</x:v>
      </x:c>
      <x:c r="C1909" s="29" t="str">
        <x:v>IN</x:v>
      </x:c>
      <x:c r="D1909" s="29" t="str">
        <x:v>Hamilton County</x:v>
      </x:c>
      <x:c r="E1909" s="41" t="n">
        <x:v>387036</x:v>
      </x:c>
      <x:c r="F1909" s="56" t="n">
        <x:v>40.053513</x:v>
      </x:c>
      <x:c r="G1909" s="56" t="n">
        <x:v>-86.021709</x:v>
      </x:c>
      <x:c r="H1909" s="44" t="n">
        <x:f>E1909/SUMIF(A:A,A1909,E:E)</x:f>
        <x:v>0.026271778602316616</x:v>
      </x:c>
    </x:row>
    <x:row r="1910" ht="21.600000381469727" hidden="0" customHeight="1">
      <x:c r="A1910" s="27" t="str">
        <x:v>SCA-22</x:v>
      </x:c>
      <x:c r="B1910" s="27" t="str">
        <x:v>47149</x:v>
      </x:c>
      <x:c r="C1910" s="27" t="str">
        <x:v>TN</x:v>
      </x:c>
      <x:c r="D1910" s="27" t="str">
        <x:v>Rutherford County</x:v>
      </x:c>
      <x:c r="E1910" s="40" t="n">
        <x:v>386352</x:v>
      </x:c>
      <x:c r="F1910" s="55" t="n">
        <x:v>35.843369</x:v>
      </x:c>
      <x:c r="G1910" s="55" t="n">
        <x:v>-86.417213</x:v>
      </x:c>
      <x:c r="H1910" s="43" t="n">
        <x:f>E1910/SUMIF(A:A,A1910,E:E)</x:f>
        <x:v>0.026225349080091335</x:v>
      </x:c>
    </x:row>
    <x:row r="1911" ht="21.600000381469727" hidden="0" customHeight="1">
      <x:c r="A1911" s="29" t="str">
        <x:v>SCA-22</x:v>
      </x:c>
      <x:c r="B1911" s="29" t="str">
        <x:v>21067</x:v>
      </x:c>
      <x:c r="C1911" s="29" t="str">
        <x:v>KY</x:v>
      </x:c>
      <x:c r="D1911" s="29" t="str">
        <x:v>Fayette County</x:v>
      </x:c>
      <x:c r="E1911" s="41" t="n">
        <x:v>329751</x:v>
      </x:c>
      <x:c r="F1911" s="56" t="n">
        <x:v>38.040678</x:v>
      </x:c>
      <x:c r="G1911" s="56" t="n">
        <x:v>-84.458272</x:v>
      </x:c>
      <x:c r="H1911" s="44" t="n">
        <x:f>E1911/SUMIF(A:A,A1911,E:E)</x:f>
        <x:v>0.02238330611594918</x:v>
      </x:c>
    </x:row>
    <x:row r="1912" ht="21.600000381469727" hidden="0" customHeight="1">
      <x:c r="A1912" s="27" t="str">
        <x:v>SCA-22</x:v>
      </x:c>
      <x:c r="B1912" s="27" t="str">
        <x:v>47187</x:v>
      </x:c>
      <x:c r="C1912" s="27" t="str">
        <x:v>TN</x:v>
      </x:c>
      <x:c r="D1912" s="27" t="str">
        <x:v>Williamson County</x:v>
      </x:c>
      <x:c r="E1912" s="40" t="n">
        <x:v>272061</x:v>
      </x:c>
      <x:c r="F1912" s="55" t="n">
        <x:v>35.894845</x:v>
      </x:c>
      <x:c r="G1912" s="55" t="n">
        <x:v>-86.897888</x:v>
      </x:c>
      <x:c r="H1912" s="43" t="n">
        <x:f>E1912/SUMIF(A:A,A1912,E:E)</x:f>
        <x:v>0.018467342465106246</x:v>
      </x:c>
    </x:row>
    <x:row r="1913" ht="21.600000381469727" hidden="0" customHeight="1">
      <x:c r="A1913" s="29" t="str">
        <x:v>SCA-22</x:v>
      </x:c>
      <x:c r="B1913" s="29" t="str">
        <x:v>39165</x:v>
      </x:c>
      <x:c r="C1913" s="29" t="str">
        <x:v>OH</x:v>
      </x:c>
      <x:c r="D1913" s="29" t="str">
        <x:v>Warren County</x:v>
      </x:c>
      <x:c r="E1913" s="41" t="n">
        <x:v>257181</x:v>
      </x:c>
      <x:c r="F1913" s="56" t="n">
        <x:v>39.425663</x:v>
      </x:c>
      <x:c r="G1913" s="56" t="n">
        <x:v>-84.16994</x:v>
      </x:c>
      <x:c r="H1913" s="44" t="n">
        <x:f>E1913/SUMIF(A:A,A1913,E:E)</x:f>
        <x:v>0.01745729671845097</x:v>
      </x:c>
    </x:row>
    <x:row r="1914" ht="21.600000381469727" hidden="0" customHeight="1">
      <x:c r="A1914" s="27" t="str">
        <x:v>SCA-22</x:v>
      </x:c>
      <x:c r="B1914" s="27" t="str">
        <x:v>47125</x:v>
      </x:c>
      <x:c r="C1914" s="27" t="str">
        <x:v>TN</x:v>
      </x:c>
      <x:c r="D1914" s="27" t="str">
        <x:v>Montgomery County</x:v>
      </x:c>
      <x:c r="E1914" s="40" t="n">
        <x:v>249935</x:v>
      </x:c>
      <x:c r="F1914" s="55" t="n">
        <x:v>36.500354</x:v>
      </x:c>
      <x:c r="G1914" s="55" t="n">
        <x:v>-87.380887</x:v>
      </x:c>
      <x:c r="H1914" s="43" t="n">
        <x:f>E1914/SUMIF(A:A,A1914,E:E)</x:f>
        <x:v>0.016965442452304188</x:v>
      </x:c>
    </x:row>
    <x:row r="1915" ht="21.600000381469727" hidden="0" customHeight="1">
      <x:c r="A1915" s="29" t="str">
        <x:v>SCA-22</x:v>
      </x:c>
      <x:c r="B1915" s="29" t="str">
        <x:v>39025</x:v>
      </x:c>
      <x:c r="C1915" s="29" t="str">
        <x:v>OH</x:v>
      </x:c>
      <x:c r="D1915" s="29" t="str">
        <x:v>Clermont County</x:v>
      </x:c>
      <x:c r="E1915" s="41" t="n">
        <x:v>216977</x:v>
      </x:c>
      <x:c r="F1915" s="56" t="n">
        <x:v>39.052054</x:v>
      </x:c>
      <x:c r="G1915" s="56" t="n">
        <x:v>-84.149485</x:v>
      </x:c>
      <x:c r="H1915" s="44" t="n">
        <x:f>E1915/SUMIF(A:A,A1915,E:E)</x:f>
        <x:v>0.014728272578764901</x:v>
      </x:c>
    </x:row>
    <x:row r="1916" ht="21.600000381469727" hidden="0" customHeight="1">
      <x:c r="A1916" s="27" t="str">
        <x:v>SCA-22</x:v>
      </x:c>
      <x:c r="B1916" s="27" t="str">
        <x:v>47165</x:v>
      </x:c>
      <x:c r="C1916" s="27" t="str">
        <x:v>TN</x:v>
      </x:c>
      <x:c r="D1916" s="27" t="str">
        <x:v>Sumner County</x:v>
      </x:c>
      <x:c r="E1916" s="40" t="n">
        <x:v>215538</x:v>
      </x:c>
      <x:c r="F1916" s="55" t="n">
        <x:v>36.472423</x:v>
      </x:c>
      <x:c r="G1916" s="55" t="n">
        <x:v>-86.458405</x:v>
      </x:c>
      <x:c r="H1916" s="43" t="n">
        <x:f>E1916/SUMIF(A:A,A1916,E:E)</x:f>
        <x:v>0.014630594095603817</x:v>
      </x:c>
    </x:row>
    <x:row r="1917" ht="21.600000381469727" hidden="0" customHeight="1">
      <x:c r="A1917" s="29" t="str">
        <x:v>SCA-22</x:v>
      </x:c>
      <x:c r="B1917" s="29" t="str">
        <x:v>18063</x:v>
      </x:c>
      <x:c r="C1917" s="29" t="str">
        <x:v>IN</x:v>
      </x:c>
      <x:c r="D1917" s="29" t="str">
        <x:v>Hendricks County</x:v>
      </x:c>
      <x:c r="E1917" s="41" t="n">
        <x:v>193510</x:v>
      </x:c>
      <x:c r="F1917" s="56" t="n">
        <x:v>39.768963</x:v>
      </x:c>
      <x:c r="G1917" s="56" t="n">
        <x:v>-86.509908</x:v>
      </x:c>
      <x:c r="H1917" s="44" t="n">
        <x:f>E1917/SUMIF(A:A,A1917,E:E)</x:f>
        <x:v>0.013135346265810643</x:v>
      </x:c>
    </x:row>
    <x:row r="1918" ht="21.600000381469727" hidden="0" customHeight="1">
      <x:c r="A1918" s="27" t="str">
        <x:v>SCA-22</x:v>
      </x:c>
      <x:c r="B1918" s="27" t="str">
        <x:v>18163</x:v>
      </x:c>
      <x:c r="C1918" s="27" t="str">
        <x:v>IN</x:v>
      </x:c>
      <x:c r="D1918" s="27" t="str">
        <x:v>Vanderburgh County</x:v>
      </x:c>
      <x:c r="E1918" s="40" t="n">
        <x:v>181995</x:v>
      </x:c>
      <x:c r="F1918" s="55" t="n">
        <x:v>38.02007</x:v>
      </x:c>
      <x:c r="G1918" s="55" t="n">
        <x:v>-87.586166</x:v>
      </x:c>
      <x:c r="H1918" s="43" t="n">
        <x:f>E1918/SUMIF(A:A,A1918,E:E)</x:f>
        <x:v>0.012353714762266592</x:v>
      </x:c>
    </x:row>
    <x:row r="1919" ht="21.600000381469727" hidden="0" customHeight="1">
      <x:c r="A1919" s="29" t="str">
        <x:v>SCA-22</x:v>
      </x:c>
      <x:c r="B1919" s="29" t="str">
        <x:v>21117</x:v>
      </x:c>
      <x:c r="C1919" s="29" t="str">
        <x:v>KY</x:v>
      </x:c>
      <x:c r="D1919" s="29" t="str">
        <x:v>Kenton County</x:v>
      </x:c>
      <x:c r="E1919" s="41" t="n">
        <x:v>175779</x:v>
      </x:c>
      <x:c r="F1919" s="56" t="n">
        <x:v>38.930503</x:v>
      </x:c>
      <x:c r="G1919" s="56" t="n">
        <x:v>-84.533438</x:v>
      </x:c>
      <x:c r="H1919" s="44" t="n">
        <x:f>E1919/SUMIF(A:A,A1919,E:E)</x:f>
        <x:v>0.011931776297131566</x:v>
      </x:c>
    </x:row>
    <x:row r="1920" ht="21.600000381469727" hidden="0" customHeight="1">
      <x:c r="A1920" s="27" t="str">
        <x:v>SCA-22</x:v>
      </x:c>
      <x:c r="B1920" s="27" t="str">
        <x:v>47189</x:v>
      </x:c>
      <x:c r="C1920" s="27" t="str">
        <x:v>TN</x:v>
      </x:c>
      <x:c r="D1920" s="27" t="str">
        <x:v>Wilson County</x:v>
      </x:c>
      <x:c r="E1920" s="40" t="n">
        <x:v>175033</x:v>
      </x:c>
      <x:c r="F1920" s="55" t="n">
        <x:v>36.149431</x:v>
      </x:c>
      <x:c r="G1920" s="55" t="n">
        <x:v>-86.291181</x:v>
      </x:c>
      <x:c r="H1920" s="43" t="n">
        <x:f>E1920/SUMIF(A:A,A1920,E:E)</x:f>
        <x:v>0.011881138250961886</x:v>
      </x:c>
    </x:row>
    <x:row r="1921" ht="21.600000381469727" hidden="0" customHeight="1">
      <x:c r="A1921" s="29" t="str">
        <x:v>SCA-22</x:v>
      </x:c>
      <x:c r="B1921" s="29" t="str">
        <x:v>39057</x:v>
      </x:c>
      <x:c r="C1921" s="29" t="str">
        <x:v>OH</x:v>
      </x:c>
      <x:c r="D1921" s="29" t="str">
        <x:v>Greene County</x:v>
      </x:c>
      <x:c r="E1921" s="41" t="n">
        <x:v>174322</x:v>
      </x:c>
      <x:c r="F1921" s="56" t="n">
        <x:v>39.687479</x:v>
      </x:c>
      <x:c r="G1921" s="56" t="n">
        <x:v>-83.894894</x:v>
      </x:c>
      <x:c r="H1921" s="44" t="n">
        <x:f>E1921/SUMIF(A:A,A1921,E:E)</x:f>
        <x:v>0.011832875984438235</x:v>
      </x:c>
    </x:row>
    <x:row r="1922" ht="21.600000381469727" hidden="0" customHeight="1">
      <x:c r="A1922" s="27" t="str">
        <x:v>SCA-22</x:v>
      </x:c>
      <x:c r="B1922" s="27" t="str">
        <x:v>18081</x:v>
      </x:c>
      <x:c r="C1922" s="27" t="str">
        <x:v>IN</x:v>
      </x:c>
      <x:c r="D1922" s="27" t="str">
        <x:v>Johnson County</x:v>
      </x:c>
      <x:c r="E1922" s="40" t="n">
        <x:v>174262</x:v>
      </x:c>
      <x:c r="F1922" s="55" t="n">
        <x:v>39.496092</x:v>
      </x:c>
      <x:c r="G1922" s="55" t="n">
        <x:v>-86.094264</x:v>
      </x:c>
      <x:c r="H1922" s="43" t="n">
        <x:f>E1922/SUMIF(A:A,A1922,E:E)</x:f>
        <x:v>0.011828803219330756</x:v>
      </x:c>
    </x:row>
    <x:row r="1923" ht="21.600000381469727" hidden="0" customHeight="1">
      <x:c r="A1923" s="29" t="str">
        <x:v>SCA-22</x:v>
      </x:c>
      <x:c r="B1923" s="29" t="str">
        <x:v>21227</x:v>
      </x:c>
      <x:c r="C1923" s="29" t="str">
        <x:v>KY</x:v>
      </x:c>
      <x:c r="D1923" s="29" t="str">
        <x:v>Warren County</x:v>
      </x:c>
      <x:c r="E1923" s="41" t="n">
        <x:v>149375</x:v>
      </x:c>
      <x:c r="F1923" s="56" t="n">
        <x:v>36.995634</x:v>
      </x:c>
      <x:c r="G1923" s="56" t="n">
        <x:v>-86.423579</x:v>
      </x:c>
      <x:c r="H1923" s="44" t="n">
        <x:f>E1923/SUMIF(A:A,A1923,E:E)</x:f>
        <x:v>0.010139488132166115</x:v>
      </x:c>
    </x:row>
    <x:row r="1924" ht="21.600000381469727" hidden="0" customHeight="1">
      <x:c r="A1924" s="27" t="str">
        <x:v>SCA-22</x:v>
      </x:c>
      <x:c r="B1924" s="27" t="str">
        <x:v>21015</x:v>
      </x:c>
      <x:c r="C1924" s="27" t="str">
        <x:v>KY</x:v>
      </x:c>
      <x:c r="D1924" s="27" t="str">
        <x:v>Boone County</x:v>
      </x:c>
      <x:c r="E1924" s="40" t="n">
        <x:v>145316</x:v>
      </x:c>
      <x:c r="F1924" s="55" t="n">
        <x:v>38.9589</x:v>
      </x:c>
      <x:c r="G1924" s="55" t="n">
        <x:v>-84.736371</x:v>
      </x:c>
      <x:c r="H1924" s="43" t="n">
        <x:f>E1924/SUMIF(A:A,A1924,E:E)</x:f>
        <x:v>0.00986396557264503</x:v>
      </x:c>
    </x:row>
    <x:row r="1925" ht="21.600000381469727" hidden="0" customHeight="1">
      <x:c r="A1925" s="29" t="str">
        <x:v>SCA-22</x:v>
      </x:c>
      <x:c r="B1925" s="29" t="str">
        <x:v>18105</x:v>
      </x:c>
      <x:c r="C1925" s="29" t="str">
        <x:v>IN</x:v>
      </x:c>
      <x:c r="D1925" s="29" t="str">
        <x:v>Monroe County</x:v>
      </x:c>
      <x:c r="E1925" s="41" t="n">
        <x:v>143345</x:v>
      </x:c>
      <x:c r="F1925" s="56" t="n">
        <x:v>39.160729</x:v>
      </x:c>
      <x:c r="G1925" s="56" t="n">
        <x:v>-86.52331</x:v>
      </x:c>
      <x:c r="H1925" s="44" t="n">
        <x:f>E1925/SUMIF(A:A,A1925,E:E)</x:f>
        <x:v>0.00973017523886428</x:v>
      </x:c>
    </x:row>
    <x:row r="1926" ht="15" hidden="0" customHeight="1">
      <x:c r="A1926" s="27" t="str">
        <x:v>SCA-22</x:v>
      </x:c>
      <x:c r="B1926" s="27" t="str">
        <x:v>39023</x:v>
      </x:c>
      <x:c r="C1926" s="27" t="str">
        <x:v>OH</x:v>
      </x:c>
      <x:c r="D1926" s="27" t="str">
        <x:v>Clark County</x:v>
      </x:c>
      <x:c r="E1926" s="40" t="n">
        <x:v>135340</x:v>
      </x:c>
      <x:c r="F1926" s="55" t="n">
        <x:v>39.917032</x:v>
      </x:c>
      <x:c r="G1926" s="55" t="n">
        <x:v>-83.783676</x:v>
      </x:c>
      <x:c r="H1926" s="43" t="n">
        <x:f>E1926/SUMIF(A:A,A1926,E:E)</x:f>
        <x:v>0.009186800494107862</x:v>
      </x:c>
    </x:row>
    <x:row r="1927" ht="21.600000381469727" hidden="0" customHeight="1">
      <x:c r="A1927" s="29" t="str">
        <x:v>SCA-22</x:v>
      </x:c>
      <x:c r="B1927" s="29" t="str">
        <x:v>18095</x:v>
      </x:c>
      <x:c r="C1927" s="29" t="str">
        <x:v>IN</x:v>
      </x:c>
      <x:c r="D1927" s="29" t="str">
        <x:v>Madison County</x:v>
      </x:c>
      <x:c r="E1927" s="41" t="n">
        <x:v>135088</x:v>
      </x:c>
      <x:c r="F1927" s="56" t="n">
        <x:v>40.166203</x:v>
      </x:c>
      <x:c r="G1927" s="56" t="n">
        <x:v>-85.722454</x:v>
      </x:c>
      <x:c r="H1927" s="44" t="n">
        <x:f>E1927/SUMIF(A:A,A1927,E:E)</x:f>
        <x:v>0.009169694880656443</x:v>
      </x:c>
    </x:row>
    <x:row r="1928" ht="15" hidden="0" customHeight="1">
      <x:c r="A1928" s="27" t="str">
        <x:v>SCA-22</x:v>
      </x:c>
      <x:c r="B1928" s="27" t="str">
        <x:v>18019</x:v>
      </x:c>
      <x:c r="C1928" s="27" t="str">
        <x:v>IN</x:v>
      </x:c>
      <x:c r="D1928" s="27" t="str">
        <x:v>Clark County</x:v>
      </x:c>
      <x:c r="E1928" s="40" t="n">
        <x:v>130451</x:v>
      </x:c>
      <x:c r="F1928" s="55" t="n">
        <x:v>38.476217</x:v>
      </x:c>
      <x:c r="G1928" s="55" t="n">
        <x:v>-85.711122</x:v>
      </x:c>
      <x:c r="H1928" s="43" t="n">
        <x:f>E1928/SUMIF(A:A,A1928,E:E)</x:f>
        <x:v>0.008854938017266624</x:v>
      </x:c>
    </x:row>
    <x:row r="1929" ht="21.600000381469727" hidden="0" customHeight="1">
      <x:c r="A1929" s="29" t="str">
        <x:v>SCA-22</x:v>
      </x:c>
      <x:c r="B1929" s="29" t="str">
        <x:v>21093</x:v>
      </x:c>
      <x:c r="C1929" s="29" t="str">
        <x:v>KY</x:v>
      </x:c>
      <x:c r="D1929" s="29" t="str">
        <x:v>Hardin County</x:v>
      </x:c>
      <x:c r="E1929" s="41" t="n">
        <x:v>113482</x:v>
      </x:c>
      <x:c r="F1929" s="56" t="n">
        <x:v>37.695836</x:v>
      </x:c>
      <x:c r="G1929" s="56" t="n">
        <x:v>-85.963183</x:v>
      </x:c>
      <x:c r="H1929" s="44" t="n">
        <x:f>E1929/SUMIF(A:A,A1929,E:E)</x:f>
        <x:v>0.007703092165452553</x:v>
      </x:c>
    </x:row>
    <x:row r="1930" ht="21.600000381469727" hidden="0" customHeight="1">
      <x:c r="A1930" s="27" t="str">
        <x:v>SCA-22</x:v>
      </x:c>
      <x:c r="B1930" s="27" t="str">
        <x:v>18035</x:v>
      </x:c>
      <x:c r="C1930" s="27" t="str">
        <x:v>IN</x:v>
      </x:c>
      <x:c r="D1930" s="27" t="str">
        <x:v>Delaware County</x:v>
      </x:c>
      <x:c r="E1930" s="40" t="n">
        <x:v>113106</x:v>
      </x:c>
      <x:c r="F1930" s="55" t="n">
        <x:v>40.227543</x:v>
      </x:c>
      <x:c r="G1930" s="55" t="n">
        <x:v>-85.399262</x:v>
      </x:c>
      <x:c r="H1930" s="43" t="n">
        <x:f>E1930/SUMIF(A:A,A1930,E:E)</x:f>
        <x:v>0.007677569504112339</x:v>
      </x:c>
    </x:row>
    <x:row r="1931" ht="21.600000381469727" hidden="0" customHeight="1">
      <x:c r="A1931" s="29" t="str">
        <x:v>SCA-22</x:v>
      </x:c>
      <x:c r="B1931" s="29" t="str">
        <x:v>39109</x:v>
      </x:c>
      <x:c r="C1931" s="29" t="str">
        <x:v>OH</x:v>
      </x:c>
      <x:c r="D1931" s="29" t="str">
        <x:v>Miami County</x:v>
      </x:c>
      <x:c r="E1931" s="41" t="n">
        <x:v>112634</x:v>
      </x:c>
      <x:c r="F1931" s="56" t="n">
        <x:v>40.053326</x:v>
      </x:c>
      <x:c r="G1931" s="56" t="n">
        <x:v>-84.228413</x:v>
      </x:c>
      <x:c r="H1931" s="44" t="n">
        <x:f>E1931/SUMIF(A:A,A1931,E:E)</x:f>
        <x:v>0.007645530418600156</x:v>
      </x:c>
    </x:row>
    <x:row r="1932" ht="15" hidden="0" customHeight="1">
      <x:c r="A1932" s="27" t="str">
        <x:v>SCA-22</x:v>
      </x:c>
      <x:c r="B1932" s="27" t="str">
        <x:v>18167</x:v>
      </x:c>
      <x:c r="C1932" s="27" t="str">
        <x:v>IN</x:v>
      </x:c>
      <x:c r="D1932" s="27" t="str">
        <x:v>Vigo County</x:v>
      </x:c>
      <x:c r="E1932" s="40" t="n">
        <x:v>106512</x:v>
      </x:c>
      <x:c r="F1932" s="55" t="n">
        <x:v>39.430874</x:v>
      </x:c>
      <x:c r="G1932" s="55" t="n">
        <x:v>-87.390989</x:v>
      </x:c>
      <x:c r="H1932" s="43" t="n">
        <x:f>E1932/SUMIF(A:A,A1932,E:E)</x:f>
        <x:v>0.007229972618800182</x:v>
      </x:c>
    </x:row>
    <x:row r="1933" ht="21.600000381469727" hidden="0" customHeight="1">
      <x:c r="A1933" s="29" t="str">
        <x:v>SCA-22</x:v>
      </x:c>
      <x:c r="B1933" s="29" t="str">
        <x:v>21059</x:v>
      </x:c>
      <x:c r="C1933" s="29" t="str">
        <x:v>KY</x:v>
      </x:c>
      <x:c r="D1933" s="29" t="str">
        <x:v>Daviess County</x:v>
      </x:c>
      <x:c r="E1933" s="41" t="n">
        <x:v>104898</x:v>
      </x:c>
      <x:c r="F1933" s="56" t="n">
        <x:v>37.731671</x:v>
      </x:c>
      <x:c r="G1933" s="56" t="n">
        <x:v>-87.087139</x:v>
      </x:c>
      <x:c r="H1933" s="44" t="n">
        <x:f>E1933/SUMIF(A:A,A1933,E:E)</x:f>
        <x:v>0.007120415237408945</x:v>
      </x:c>
    </x:row>
    <x:row r="1934" ht="21.600000381469727" hidden="0" customHeight="1">
      <x:c r="A1934" s="27" t="str">
        <x:v>SCA-22</x:v>
      </x:c>
      <x:c r="B1934" s="27" t="str">
        <x:v>21151</x:v>
      </x:c>
      <x:c r="C1934" s="27" t="str">
        <x:v>KY</x:v>
      </x:c>
      <x:c r="D1934" s="27" t="str">
        <x:v>Madison County</x:v>
      </x:c>
      <x:c r="E1934" s="40" t="n">
        <x:v>101696</x:v>
      </x:c>
      <x:c r="F1934" s="55" t="n">
        <x:v>37.725511</x:v>
      </x:c>
      <x:c r="G1934" s="55" t="n">
        <x:v>-84.278362</x:v>
      </x:c>
      <x:c r="H1934" s="43" t="n">
        <x:f>E1934/SUMIF(A:A,A1934,E:E)</x:f>
        <x:v>0.006903065339506378</x:v>
      </x:c>
    </x:row>
    <x:row r="1935" ht="21.600000381469727" hidden="0" customHeight="1">
      <x:c r="A1935" s="29" t="str">
        <x:v>SCA-22</x:v>
      </x:c>
      <x:c r="B1935" s="29" t="str">
        <x:v>21037</x:v>
      </x:c>
      <x:c r="C1935" s="29" t="str">
        <x:v>KY</x:v>
      </x:c>
      <x:c r="D1935" s="29" t="str">
        <x:v>Campbell County</x:v>
      </x:c>
      <x:c r="E1935" s="41" t="n">
        <x:v>95441</x:v>
      </x:c>
      <x:c r="F1935" s="56" t="n">
        <x:v>38.946981</x:v>
      </x:c>
      <x:c r="G1935" s="56" t="n">
        <x:v>-84.379583</x:v>
      </x:c>
      <x:c r="H1935" s="44" t="n">
        <x:f>E1935/SUMIF(A:A,A1935,E:E)</x:f>
        <x:v>0.006478479577051489</x:v>
      </x:c>
    </x:row>
    <x:row r="1936" ht="21.600000381469727" hidden="0" customHeight="1">
      <x:c r="A1936" s="27" t="str">
        <x:v>SCA-22</x:v>
      </x:c>
      <x:c r="B1936" s="27" t="str">
        <x:v>54011</x:v>
      </x:c>
      <x:c r="C1936" s="27" t="str">
        <x:v>WV</x:v>
      </x:c>
      <x:c r="D1936" s="27" t="str">
        <x:v>Cabell County</x:v>
      </x:c>
      <x:c r="E1936" s="40" t="n">
        <x:v>91183</x:v>
      </x:c>
      <x:c r="F1936" s="55" t="n">
        <x:v>38.419578</x:v>
      </x:c>
      <x:c r="G1936" s="55" t="n">
        <x:v>-82.243397</x:v>
      </x:c>
      <x:c r="H1936" s="43" t="n">
        <x:f>E1936/SUMIF(A:A,A1936,E:E)</x:f>
        <x:v>0.006189449013257258</x:v>
      </x:c>
    </x:row>
    <x:row r="1937" ht="21.600000381469727" hidden="0" customHeight="1">
      <x:c r="A1937" s="29" t="str">
        <x:v>SCA-22</x:v>
      </x:c>
      <x:c r="B1937" s="29" t="str">
        <x:v>18059</x:v>
      </x:c>
      <x:c r="C1937" s="29" t="str">
        <x:v>IN</x:v>
      </x:c>
      <x:c r="D1937" s="29" t="str">
        <x:v>Hancock County</x:v>
      </x:c>
      <x:c r="E1937" s="41" t="n">
        <x:v>90969</x:v>
      </x:c>
      <x:c r="F1937" s="56" t="n">
        <x:v>39.822529</x:v>
      </x:c>
      <x:c r="G1937" s="56" t="n">
        <x:v>-85.77315</x:v>
      </x:c>
      <x:c r="H1937" s="44" t="n">
        <x:f>E1937/SUMIF(A:A,A1937,E:E)</x:f>
        <x:v>0.006174922817707242</x:v>
      </x:c>
    </x:row>
    <x:row r="1938" ht="21.600000381469727" hidden="0" customHeight="1">
      <x:c r="A1938" s="27" t="str">
        <x:v>SCA-22</x:v>
      </x:c>
      <x:c r="B1938" s="27" t="str">
        <x:v>47141</x:v>
      </x:c>
      <x:c r="C1938" s="27" t="str">
        <x:v>TN</x:v>
      </x:c>
      <x:c r="D1938" s="27" t="str">
        <x:v>Putnam County</x:v>
      </x:c>
      <x:c r="E1938" s="40" t="n">
        <x:v>86612</x:v>
      </x:c>
      <x:c r="F1938" s="55" t="n">
        <x:v>36.14094</x:v>
      </x:c>
      <x:c r="G1938" s="55" t="n">
        <x:v>-85.49618</x:v>
      </x:c>
      <x:c r="H1938" s="43" t="n">
        <x:f>E1938/SUMIF(A:A,A1938,E:E)</x:f>
        <x:v>0.005879172191485667</x:v>
      </x:c>
    </x:row>
    <x:row r="1939" ht="21.600000381469727" hidden="0" customHeight="1">
      <x:c r="A1939" s="29" t="str">
        <x:v>SCA-22</x:v>
      </x:c>
      <x:c r="B1939" s="29" t="str">
        <x:v>21029</x:v>
      </x:c>
      <x:c r="C1939" s="29" t="str">
        <x:v>KY</x:v>
      </x:c>
      <x:c r="D1939" s="29" t="str">
        <x:v>Bullitt County</x:v>
      </x:c>
      <x:c r="E1939" s="41" t="n">
        <x:v>86454</x:v>
      </x:c>
      <x:c r="F1939" s="56" t="n">
        <x:v>37.969945</x:v>
      </x:c>
      <x:c r="G1939" s="56" t="n">
        <x:v>-85.702635</x:v>
      </x:c>
      <x:c r="H1939" s="44" t="n">
        <x:f>E1939/SUMIF(A:A,A1939,E:E)</x:f>
        <x:v>0.005868447243369301</x:v>
      </x:c>
    </x:row>
    <x:row r="1940" ht="21.600000381469727" hidden="0" customHeight="1">
      <x:c r="A1940" s="27" t="str">
        <x:v>SCA-22</x:v>
      </x:c>
      <x:c r="B1940" s="27" t="str">
        <x:v>18005</x:v>
      </x:c>
      <x:c r="C1940" s="27" t="str">
        <x:v>IN</x:v>
      </x:c>
      <x:c r="D1940" s="27" t="str">
        <x:v>Bartholomew County</x:v>
      </x:c>
      <x:c r="E1940" s="40" t="n">
        <x:v>85729</x:v>
      </x:c>
      <x:c r="F1940" s="55" t="n">
        <x:v>39.205843</x:v>
      </x:c>
      <x:c r="G1940" s="55" t="n">
        <x:v>-85.897999</x:v>
      </x:c>
      <x:c r="H1940" s="43" t="n">
        <x:f>E1940/SUMIF(A:A,A1940,E:E)</x:f>
        <x:v>0.005819234664987239</x:v>
      </x:c>
    </x:row>
    <x:row r="1941" ht="15" hidden="0" customHeight="1">
      <x:c r="A1941" s="29" t="str">
        <x:v>SCA-22</x:v>
      </x:c>
      <x:c r="B1941" s="29" t="str">
        <x:v>18043</x:v>
      </x:c>
      <x:c r="C1941" s="29" t="str">
        <x:v>IN</x:v>
      </x:c>
      <x:c r="D1941" s="29" t="str">
        <x:v>Floyd County</x:v>
      </x:c>
      <x:c r="E1941" s="41" t="n">
        <x:v>82153</x:v>
      </x:c>
      <x:c r="F1941" s="56" t="n">
        <x:v>38.318081</x:v>
      </x:c>
      <x:c r="G1941" s="56" t="n">
        <x:v>-85.911847</x:v>
      </x:c>
      <x:c r="H1941" s="44" t="n">
        <x:f>E1941/SUMIF(A:A,A1941,E:E)</x:f>
        <x:v>0.005576497864581375</x:v>
      </x:c>
    </x:row>
    <x:row r="1942" ht="21.600000381469727" hidden="0" customHeight="1">
      <x:c r="A1942" s="27" t="str">
        <x:v>SCA-22</x:v>
      </x:c>
      <x:c r="B1942" s="27" t="str">
        <x:v>18011</x:v>
      </x:c>
      <x:c r="C1942" s="27" t="str">
        <x:v>IN</x:v>
      </x:c>
      <x:c r="D1942" s="27" t="str">
        <x:v>Boone County</x:v>
      </x:c>
      <x:c r="E1942" s="40" t="n">
        <x:v>80689</x:v>
      </x:c>
      <x:c r="F1942" s="55" t="n">
        <x:v>40.050892</x:v>
      </x:c>
      <x:c r="G1942" s="55" t="n">
        <x:v>-86.469014</x:v>
      </x:c>
      <x:c r="H1942" s="43" t="n">
        <x:f>E1942/SUMIF(A:A,A1942,E:E)</x:f>
        <x:v>0.00547712239595884</x:v>
      </x:c>
    </x:row>
    <x:row r="1943" ht="21.600000381469727" hidden="0" customHeight="1">
      <x:c r="A1943" s="29" t="str">
        <x:v>SCA-22</x:v>
      </x:c>
      <x:c r="B1943" s="29" t="str">
        <x:v>47147</x:v>
      </x:c>
      <x:c r="C1943" s="29" t="str">
        <x:v>TN</x:v>
      </x:c>
      <x:c r="D1943" s="29" t="str">
        <x:v>Robertson County</x:v>
      </x:c>
      <x:c r="E1943" s="41" t="n">
        <x:v>80175</x:v>
      </x:c>
      <x:c r="F1943" s="56" t="n">
        <x:v>36.524385</x:v>
      </x:c>
      <x:c r="G1943" s="56" t="n">
        <x:v>-86.872594</x:v>
      </x:c>
      <x:c r="H1943" s="44" t="n">
        <x:f>E1943/SUMIF(A:A,A1943,E:E)</x:f>
        <x:v>0.0054422323748714195</x:v>
      </x:c>
    </x:row>
    <x:row r="1944" ht="15" hidden="0" customHeight="1">
      <x:c r="A1944" s="27" t="str">
        <x:v>SCA-22</x:v>
      </x:c>
      <x:c r="B1944" s="27" t="str">
        <x:v>39141</x:v>
      </x:c>
      <x:c r="C1944" s="27" t="str">
        <x:v>OH</x:v>
      </x:c>
      <x:c r="D1944" s="27" t="str">
        <x:v>Ross County</x:v>
      </x:c>
      <x:c r="E1944" s="40" t="n">
        <x:v>76429</x:v>
      </x:c>
      <x:c r="F1944" s="55" t="n">
        <x:v>39.323895</x:v>
      </x:c>
      <x:c r="G1944" s="55" t="n">
        <x:v>-83.059538</x:v>
      </x:c>
      <x:c r="H1944" s="43" t="n">
        <x:f>E1944/SUMIF(A:A,A1944,E:E)</x:f>
        <x:v>0.0051879560733276925</x:v>
      </x:c>
    </x:row>
    <x:row r="1945" ht="21.600000381469727" hidden="0" customHeight="1">
      <x:c r="A1945" s="29" t="str">
        <x:v>SCA-22</x:v>
      </x:c>
      <x:c r="B1945" s="29" t="str">
        <x:v>18109</x:v>
      </x:c>
      <x:c r="C1945" s="29" t="str">
        <x:v>IN</x:v>
      </x:c>
      <x:c r="D1945" s="29" t="str">
        <x:v>Morgan County</x:v>
      </x:c>
      <x:c r="E1945" s="41" t="n">
        <x:v>74967</x:v>
      </x:c>
      <x:c r="F1945" s="56" t="n">
        <x:v>39.482646</x:v>
      </x:c>
      <x:c r="G1945" s="56" t="n">
        <x:v>-86.447457</x:v>
      </x:c>
      <x:c r="H1945" s="44" t="n">
        <x:f>E1945/SUMIF(A:A,A1945,E:E)</x:f>
        <x:v>0.005088716363542073</x:v>
      </x:c>
    </x:row>
    <x:row r="1946" ht="21.600000381469727" hidden="0" customHeight="1">
      <x:c r="A1946" s="27" t="str">
        <x:v>SCA-22</x:v>
      </x:c>
      <x:c r="B1946" s="27" t="str">
        <x:v>39145</x:v>
      </x:c>
      <x:c r="C1946" s="27" t="str">
        <x:v>OH</x:v>
      </x:c>
      <x:c r="D1946" s="27" t="str">
        <x:v>Scioto County</x:v>
      </x:c>
      <x:c r="E1946" s="40" t="n">
        <x:v>71365</x:v>
      </x:c>
      <x:c r="F1946" s="55" t="n">
        <x:v>38.814889</x:v>
      </x:c>
      <x:c r="G1946" s="55" t="n">
        <x:v>-82.998675</x:v>
      </x:c>
      <x:c r="H1946" s="43" t="n">
        <x:f>E1946/SUMIF(A:A,A1946,E:E)</x:f>
        <x:v>0.0048442146982563</x:v>
      </x:c>
    </x:row>
    <x:row r="1947" ht="21.600000381469727" hidden="0" customHeight="1">
      <x:c r="A1947" s="29" t="str">
        <x:v>SCA-22</x:v>
      </x:c>
      <x:c r="B1947" s="29" t="str">
        <x:v>21185</x:v>
      </x:c>
      <x:c r="C1947" s="29" t="str">
        <x:v>KY</x:v>
      </x:c>
      <x:c r="D1947" s="29" t="str">
        <x:v>Oldham County</x:v>
      </x:c>
      <x:c r="E1947" s="41" t="n">
        <x:v>70986</x:v>
      </x:c>
      <x:c r="F1947" s="56" t="n">
        <x:v>38.400127</x:v>
      </x:c>
      <x:c r="G1947" s="56" t="n">
        <x:v>-85.45615</x:v>
      </x:c>
      <x:c r="H1947" s="44" t="n">
        <x:f>E1947/SUMIF(A:A,A1947,E:E)</x:f>
        <x:v>0.004818488398660712</x:v>
      </x:c>
    </x:row>
    <x:row r="1948" ht="21.600000381469727" hidden="0" customHeight="1">
      <x:c r="A1948" s="27" t="str">
        <x:v>SCA-22</x:v>
      </x:c>
      <x:c r="B1948" s="27" t="str">
        <x:v>21047</x:v>
      </x:c>
      <x:c r="C1948" s="27" t="str">
        <x:v>KY</x:v>
      </x:c>
      <x:c r="D1948" s="27" t="str">
        <x:v>Christian County</x:v>
      </x:c>
      <x:c r="E1948" s="40" t="n">
        <x:v>70115</x:v>
      </x:c>
      <x:c r="F1948" s="55" t="n">
        <x:v>36.892059</x:v>
      </x:c>
      <x:c r="G1948" s="55" t="n">
        <x:v>-87.492986</x:v>
      </x:c>
      <x:c r="H1948" s="43" t="n">
        <x:f>E1948/SUMIF(A:A,A1948,E:E)</x:f>
        <x:v>0.00475936542518378</x:v>
      </x:c>
    </x:row>
    <x:row r="1949" ht="21.600000381469727" hidden="0" customHeight="1">
      <x:c r="A1949" s="29" t="str">
        <x:v>SCA-22</x:v>
      </x:c>
      <x:c r="B1949" s="29" t="str">
        <x:v>21199</x:v>
      </x:c>
      <x:c r="C1949" s="29" t="str">
        <x:v>KY</x:v>
      </x:c>
      <x:c r="D1949" s="29" t="str">
        <x:v>Pulaski County</x:v>
      </x:c>
      <x:c r="E1949" s="41" t="n">
        <x:v>67384</x:v>
      </x:c>
      <x:c r="F1949" s="56" t="n">
        <x:v>37.107428</x:v>
      </x:c>
      <x:c r="G1949" s="56" t="n">
        <x:v>-84.576969</x:v>
      </x:c>
      <x:c r="H1949" s="44" t="n">
        <x:f>E1949/SUMIF(A:A,A1949,E:E)</x:f>
        <x:v>0.004573986733374939</x:v>
      </x:c>
    </x:row>
    <x:row r="1950" ht="21.600000381469727" hidden="0" customHeight="1">
      <x:c r="A1950" s="27" t="str">
        <x:v>SCA-22</x:v>
      </x:c>
      <x:c r="B1950" s="27" t="str">
        <x:v>18173</x:v>
      </x:c>
      <x:c r="C1950" s="27" t="str">
        <x:v>IN</x:v>
      </x:c>
      <x:c r="D1950" s="27" t="str">
        <x:v>Warrick County</x:v>
      </x:c>
      <x:c r="E1950" s="40" t="n">
        <x:v>66803</x:v>
      </x:c>
      <x:c r="F1950" s="55" t="n">
        <x:v>38.097728</x:v>
      </x:c>
      <x:c r="G1950" s="55" t="n">
        <x:v>-87.272049</x:v>
      </x:c>
      <x:c r="H1950" s="43" t="n">
        <x:f>E1950/SUMIF(A:A,A1950,E:E)</x:f>
        <x:v>0.004534548791250832</x:v>
      </x:c>
    </x:row>
    <x:row r="1951" ht="21.600000381469727" hidden="0" customHeight="1">
      <x:c r="A1951" s="29" t="str">
        <x:v>SCA-22</x:v>
      </x:c>
      <x:c r="B1951" s="29" t="str">
        <x:v>18177</x:v>
      </x:c>
      <x:c r="C1951" s="29" t="str">
        <x:v>IN</x:v>
      </x:c>
      <x:c r="D1951" s="29" t="str">
        <x:v>Wayne County</x:v>
      </x:c>
      <x:c r="E1951" s="41" t="n">
        <x:v>66169</x:v>
      </x:c>
      <x:c r="F1951" s="56" t="n">
        <x:v>39.863091</x:v>
      </x:c>
      <x:c r="G1951" s="56" t="n">
        <x:v>-85.006735</x:v>
      </x:c>
      <x:c r="H1951" s="44" t="n">
        <x:f>E1951/SUMIF(A:A,A1951,E:E)</x:f>
        <x:v>0.00449151323994845</x:v>
      </x:c>
    </x:row>
    <x:row r="1952" ht="21.600000381469727" hidden="0" customHeight="1">
      <x:c r="A1952" s="27" t="str">
        <x:v>SCA-22</x:v>
      </x:c>
      <x:c r="B1952" s="27" t="str">
        <x:v>21125</x:v>
      </x:c>
      <x:c r="C1952" s="27" t="str">
        <x:v>KY</x:v>
      </x:c>
      <x:c r="D1952" s="27" t="str">
        <x:v>Laurel County</x:v>
      </x:c>
      <x:c r="E1952" s="40" t="n">
        <x:v>63746</x:v>
      </x:c>
      <x:c r="F1952" s="55" t="n">
        <x:v>37.113268</x:v>
      </x:c>
      <x:c r="G1952" s="55" t="n">
        <x:v>-84.119395</x:v>
      </x:c>
      <x:c r="H1952" s="43" t="n">
        <x:f>E1952/SUMIF(A:A,A1952,E:E)</x:f>
        <x:v>0.004327041409024677</x:v>
      </x:c>
    </x:row>
    <x:row r="1953" ht="15" hidden="0" customHeight="1">
      <x:c r="A1953" s="29" t="str">
        <x:v>SCA-22</x:v>
      </x:c>
      <x:c r="B1953" s="29" t="str">
        <x:v>21209</x:v>
      </x:c>
      <x:c r="C1953" s="29" t="str">
        <x:v>KY</x:v>
      </x:c>
      <x:c r="D1953" s="29" t="str">
        <x:v>Scott County</x:v>
      </x:c>
      <x:c r="E1953" s="41" t="n">
        <x:v>62262</x:v>
      </x:c>
      <x:c r="F1953" s="56" t="n">
        <x:v>38.28571</x:v>
      </x:c>
      <x:c r="G1953" s="56" t="n">
        <x:v>-84.57834</x:v>
      </x:c>
      <x:c r="H1953" s="44" t="n">
        <x:f>E1953/SUMIF(A:A,A1953,E:E)</x:f>
        <x:v>0.0042263083520329816</x:v>
      </x:c>
    </x:row>
    <x:row r="1954" ht="21.600000381469727" hidden="0" customHeight="1">
      <x:c r="A1954" s="27" t="str">
        <x:v>SCA-22</x:v>
      </x:c>
      <x:c r="B1954" s="27" t="str">
        <x:v>47073</x:v>
      </x:c>
      <x:c r="C1954" s="27" t="str">
        <x:v>TN</x:v>
      </x:c>
      <x:c r="D1954" s="27" t="str">
        <x:v>Hawkins County</x:v>
      </x:c>
      <x:c r="E1954" s="40" t="n">
        <x:v>59559</x:v>
      </x:c>
      <x:c r="F1954" s="55" t="n">
        <x:v>36.452089</x:v>
      </x:c>
      <x:c r="G1954" s="55" t="n">
        <x:v>-82.931485</x:v>
      </x:c>
      <x:c r="H1954" s="43" t="n">
        <x:f>E1954/SUMIF(A:A,A1954,E:E)</x:f>
        <x:v>0.004042830283940965</x:v>
      </x:c>
    </x:row>
    <x:row r="1955" ht="21.600000381469727" hidden="0" customHeight="1">
      <x:c r="A1955" s="29" t="str">
        <x:v>SCA-22</x:v>
      </x:c>
      <x:c r="B1955" s="29" t="str">
        <x:v>21113</x:v>
      </x:c>
      <x:c r="C1955" s="29" t="str">
        <x:v>KY</x:v>
      </x:c>
      <x:c r="D1955" s="29" t="str">
        <x:v>Jessamine County</x:v>
      </x:c>
      <x:c r="E1955" s="41" t="n">
        <x:v>57147</x:v>
      </x:c>
      <x:c r="F1955" s="56" t="n">
        <x:v>37.873291</x:v>
      </x:c>
      <x:c r="G1955" s="56" t="n">
        <x:v>-84.58396</x:v>
      </x:c>
      <x:c r="H1955" s="44" t="n">
        <x:f>E1955/SUMIF(A:A,A1955,E:E)</x:f>
        <x:v>0.0038791051266202307</x:v>
      </x:c>
    </x:row>
    <x:row r="1956" ht="21.600000381469727" hidden="0" customHeight="1">
      <x:c r="A1956" s="27" t="str">
        <x:v>SCA-22</x:v>
      </x:c>
      <x:c r="B1956" s="27" t="str">
        <x:v>39087</x:v>
      </x:c>
      <x:c r="C1956" s="27" t="str">
        <x:v>OH</x:v>
      </x:c>
      <x:c r="D1956" s="27" t="str">
        <x:v>Lawrence County</x:v>
      </x:c>
      <x:c r="E1956" s="40" t="n">
        <x:v>55710</x:v>
      </x:c>
      <x:c r="F1956" s="55" t="n">
        <x:v>38.603866</x:v>
      </x:c>
      <x:c r="G1956" s="55" t="n">
        <x:v>-82.517186</x:v>
      </x:c>
      <x:c r="H1956" s="43" t="n">
        <x:f>E1956/SUMIF(A:A,A1956,E:E)</x:f>
        <x:v>0.003781562402296062</x:v>
      </x:c>
    </x:row>
    <x:row r="1957" ht="15" hidden="0" customHeight="1">
      <x:c r="A1957" s="29" t="str">
        <x:v>SCA-22</x:v>
      </x:c>
      <x:c r="B1957" s="29" t="str">
        <x:v>21195</x:v>
      </x:c>
      <x:c r="C1957" s="29" t="str">
        <x:v>KY</x:v>
      </x:c>
      <x:c r="D1957" s="29" t="str">
        <x:v>Pike County</x:v>
      </x:c>
      <x:c r="E1957" s="41" t="n">
        <x:v>54721</x:v>
      </x:c>
      <x:c r="F1957" s="56" t="n">
        <x:v>37.486031</x:v>
      </x:c>
      <x:c r="G1957" s="56" t="n">
        <x:v>-82.410912</x:v>
      </x:c>
      <x:c r="H1957" s="44" t="n">
        <x:f>E1957/SUMIF(A:A,A1957,E:E)</x:f>
        <x:v>0.003714429657441084</x:v>
      </x:c>
    </x:row>
    <x:row r="1958" ht="21.600000381469727" hidden="0" customHeight="1">
      <x:c r="A1958" s="27" t="str">
        <x:v>SCA-22</x:v>
      </x:c>
      <x:c r="B1958" s="27" t="str">
        <x:v>21073</x:v>
      </x:c>
      <x:c r="C1958" s="27" t="str">
        <x:v>KY</x:v>
      </x:c>
      <x:c r="D1958" s="27" t="str">
        <x:v>Franklin County</x:v>
      </x:c>
      <x:c r="E1958" s="40" t="n">
        <x:v>52649</x:v>
      </x:c>
      <x:c r="F1958" s="55" t="n">
        <x:v>38.234919</x:v>
      </x:c>
      <x:c r="G1958" s="55" t="n">
        <x:v>-84.868786</x:v>
      </x:c>
      <x:c r="H1958" s="43" t="n">
        <x:f>E1958/SUMIF(A:A,A1958,E:E)</x:f>
        <x:v>0.0035737835023960758</x:v>
      </x:c>
    </x:row>
    <x:row r="1959" ht="21.600000381469727" hidden="0" customHeight="1">
      <x:c r="A1959" s="29" t="str">
        <x:v>SCA-22</x:v>
      </x:c>
      <x:c r="B1959" s="29" t="str">
        <x:v>18029</x:v>
      </x:c>
      <x:c r="C1959" s="29" t="str">
        <x:v>IN</x:v>
      </x:c>
      <x:c r="D1959" s="29" t="str">
        <x:v>Dearborn County</x:v>
      </x:c>
      <x:c r="E1959" s="41" t="n">
        <x:v>51609</x:v>
      </x:c>
      <x:c r="F1959" s="56" t="n">
        <x:v>39.140897</x:v>
      </x:c>
      <x:c r="G1959" s="56" t="n">
        <x:v>-84.975868</x:v>
      </x:c>
      <x:c r="H1959" s="44" t="n">
        <x:f>E1959/SUMIF(A:A,A1959,E:E)</x:f>
        <x:v>0.0035031889071997393</x:v>
      </x:c>
    </x:row>
    <x:row r="1960" ht="21.600000381469727" hidden="0" customHeight="1">
      <x:c r="A1960" s="27" t="str">
        <x:v>SCA-22</x:v>
      </x:c>
      <x:c r="B1960" s="27" t="str">
        <x:v>39037</x:v>
      </x:c>
      <x:c r="C1960" s="27" t="str">
        <x:v>OH</x:v>
      </x:c>
      <x:c r="D1960" s="27" t="str">
        <x:v>Darke County</x:v>
      </x:c>
      <x:c r="E1960" s="40" t="n">
        <x:v>51520</x:v>
      </x:c>
      <x:c r="F1960" s="55" t="n">
        <x:v>40.131319</x:v>
      </x:c>
      <x:c r="G1960" s="55" t="n">
        <x:v>-84.621287</x:v>
      </x:c>
      <x:c r="H1960" s="43" t="n">
        <x:f>E1960/SUMIF(A:A,A1960,E:E)</x:f>
        <x:v>0.003497147638956976</x:v>
      </x:c>
    </x:row>
    <x:row r="1961" ht="21.600000381469727" hidden="0" customHeight="1">
      <x:c r="A1961" s="29" t="str">
        <x:v>SCA-22</x:v>
      </x:c>
      <x:c r="B1961" s="29" t="str">
        <x:v>21211</x:v>
      </x:c>
      <x:c r="C1961" s="29" t="str">
        <x:v>KY</x:v>
      </x:c>
      <x:c r="D1961" s="29" t="str">
        <x:v>Shelby County</x:v>
      </x:c>
      <x:c r="E1961" s="41" t="n">
        <x:v>51243</x:v>
      </x:c>
      <x:c r="F1961" s="56" t="n">
        <x:v>38.239011</x:v>
      </x:c>
      <x:c r="G1961" s="56" t="n">
        <x:v>-85.228247</x:v>
      </x:c>
      <x:c r="H1961" s="44" t="n">
        <x:f>E1961/SUMIF(A:A,A1961,E:E)</x:f>
        <x:v>0.0034783450400441055</x:v>
      </x:c>
    </x:row>
    <x:row r="1962" ht="21.600000381469727" hidden="0" customHeight="1">
      <x:c r="A1962" s="27" t="str">
        <x:v>SCA-22</x:v>
      </x:c>
      <x:c r="B1962" s="27" t="str">
        <x:v>18065</x:v>
      </x:c>
      <x:c r="C1962" s="27" t="str">
        <x:v>IN</x:v>
      </x:c>
      <x:c r="D1962" s="27" t="str">
        <x:v>Henry County</x:v>
      </x:c>
      <x:c r="E1962" s="40" t="n">
        <x:v>49137</x:v>
      </x:c>
      <x:c r="F1962" s="55" t="n">
        <x:v>39.929591</x:v>
      </x:c>
      <x:c r="G1962" s="55" t="n">
        <x:v>-85.397363</x:v>
      </x:c>
      <x:c r="H1962" s="43" t="n">
        <x:f>E1962/SUMIF(A:A,A1962,E:E)</x:f>
        <x:v>0.003335390984771524</x:v>
      </x:c>
    </x:row>
    <x:row r="1963" ht="21.600000381469727" hidden="0" customHeight="1">
      <x:c r="A1963" s="29" t="str">
        <x:v>SCA-22</x:v>
      </x:c>
      <x:c r="B1963" s="29" t="str">
        <x:v>21179</x:v>
      </x:c>
      <x:c r="C1963" s="29" t="str">
        <x:v>KY</x:v>
      </x:c>
      <x:c r="D1963" s="29" t="str">
        <x:v>Nelson County</x:v>
      </x:c>
      <x:c r="E1963" s="41" t="n">
        <x:v>49036</x:v>
      </x:c>
      <x:c r="F1963" s="56" t="n">
        <x:v>37.80312</x:v>
      </x:c>
      <x:c r="G1963" s="56" t="n">
        <x:v>-85.465931</x:v>
      </x:c>
      <x:c r="H1963" s="44" t="n">
        <x:f>E1963/SUMIF(A:A,A1963,E:E)</x:f>
        <x:v>0.0033285351635072642</x:v>
      </x:c>
    </x:row>
    <x:row r="1964" ht="15" hidden="0" customHeight="1">
      <x:c r="A1964" s="27" t="str">
        <x:v>SCA-22</x:v>
      </x:c>
      <x:c r="B1964" s="27" t="str">
        <x:v>21019</x:v>
      </x:c>
      <x:c r="C1964" s="27" t="str">
        <x:v>KY</x:v>
      </x:c>
      <x:c r="D1964" s="27" t="str">
        <x:v>Boyd County</x:v>
      </x:c>
      <x:c r="E1964" s="40" t="n">
        <x:v>47751</x:v>
      </x:c>
      <x:c r="F1964" s="55" t="n">
        <x:v>38.360003</x:v>
      </x:c>
      <x:c r="G1964" s="55" t="n">
        <x:v>-82.681406</x:v>
      </x:c>
      <x:c r="H1964" s="43" t="n">
        <x:f>E1964/SUMIF(A:A,A1964,E:E)</x:f>
        <x:v>0.003241310110788714</x:v>
      </x:c>
    </x:row>
    <x:row r="1965" ht="21.600000381469727" hidden="0" customHeight="1">
      <x:c r="A1965" s="29" t="str">
        <x:v>SCA-22</x:v>
      </x:c>
      <x:c r="B1965" s="29" t="str">
        <x:v>18071</x:v>
      </x:c>
      <x:c r="C1965" s="29" t="str">
        <x:v>IN</x:v>
      </x:c>
      <x:c r="D1965" s="29" t="str">
        <x:v>Jackson County</x:v>
      </x:c>
      <x:c r="E1965" s="41" t="n">
        <x:v>47370</x:v>
      </x:c>
      <x:c r="F1965" s="56" t="n">
        <x:v>38.911957</x:v>
      </x:c>
      <x:c r="G1965" s="56" t="n">
        <x:v>-86.042516</x:v>
      </x:c>
      <x:c r="H1965" s="44" t="n">
        <x:f>E1965/SUMIF(A:A,A1965,E:E)</x:f>
        <x:v>0.00321544805235621</x:v>
      </x:c>
    </x:row>
    <x:row r="1966" ht="21.600000381469727" hidden="0" customHeight="1">
      <x:c r="A1966" s="27" t="str">
        <x:v>SCA-22</x:v>
      </x:c>
      <x:c r="B1966" s="27" t="str">
        <x:v>18145</x:v>
      </x:c>
      <x:c r="C1966" s="27" t="str">
        <x:v>IN</x:v>
      </x:c>
      <x:c r="D1966" s="27" t="str">
        <x:v>Shelby County</x:v>
      </x:c>
      <x:c r="E1966" s="40" t="n">
        <x:v>45882</x:v>
      </x:c>
      <x:c r="F1966" s="55" t="n">
        <x:v>39.524135</x:v>
      </x:c>
      <x:c r="G1966" s="55" t="n">
        <x:v>-85.792174</x:v>
      </x:c>
      <x:c r="H1966" s="43" t="n">
        <x:f>E1966/SUMIF(A:A,A1966,E:E)</x:f>
        <x:v>0.0031144434776906823</x:v>
      </x:c>
    </x:row>
    <x:row r="1967" ht="21.600000381469727" hidden="0" customHeight="1">
      <x:c r="A1967" s="29" t="str">
        <x:v>SCA-22</x:v>
      </x:c>
      <x:c r="B1967" s="29" t="str">
        <x:v>21009</x:v>
      </x:c>
      <x:c r="C1967" s="29" t="str">
        <x:v>KY</x:v>
      </x:c>
      <x:c r="D1967" s="29" t="str">
        <x:v>Barren County</x:v>
      </x:c>
      <x:c r="E1967" s="41" t="n">
        <x:v>45641</x:v>
      </x:c>
      <x:c r="F1967" s="56" t="n">
        <x:v>36.962805</x:v>
      </x:c>
      <x:c r="G1967" s="56" t="n">
        <x:v>-85.932108</x:v>
      </x:c>
      <x:c r="H1967" s="44" t="n">
        <x:f>E1967/SUMIF(A:A,A1967,E:E)</x:f>
        <x:v>0.0030980845378423007</x:v>
      </x:c>
    </x:row>
    <x:row r="1968" ht="21.600000381469727" hidden="0" customHeight="1">
      <x:c r="A1968" s="27" t="str">
        <x:v>SCA-22</x:v>
      </x:c>
      <x:c r="B1968" s="27" t="str">
        <x:v>18093</x:v>
      </x:c>
      <x:c r="C1968" s="27" t="str">
        <x:v>IN</x:v>
      </x:c>
      <x:c r="D1968" s="27" t="str">
        <x:v>Lawrence County</x:v>
      </x:c>
      <x:c r="E1968" s="40" t="n">
        <x:v>45568</x:v>
      </x:c>
      <x:c r="F1968" s="55" t="n">
        <x:v>38.839815</x:v>
      </x:c>
      <x:c r="G1968" s="55" t="n">
        <x:v>-86.48782</x:v>
      </x:c>
      <x:c r="H1968" s="43" t="n">
        <x:f>E1968/SUMIF(A:A,A1968,E:E)</x:f>
        <x:v>0.0030931293402948657</x:v>
      </x:c>
    </x:row>
    <x:row r="1969" ht="21.600000381469727" hidden="0" customHeight="1">
      <x:c r="A1969" s="29" t="str">
        <x:v>SCA-22</x:v>
      </x:c>
      <x:c r="B1969" s="29" t="str">
        <x:v>21107</x:v>
      </x:c>
      <x:c r="C1969" s="29" t="str">
        <x:v>KY</x:v>
      </x:c>
      <x:c r="D1969" s="29" t="str">
        <x:v>Hopkins County</x:v>
      </x:c>
      <x:c r="E1969" s="41" t="n">
        <x:v>45127</x:v>
      </x:c>
      <x:c r="F1969" s="56" t="n">
        <x:v>37.31107</x:v>
      </x:c>
      <x:c r="G1969" s="56" t="n">
        <x:v>-87.542196</x:v>
      </x:c>
      <x:c r="H1969" s="44" t="n">
        <x:f>E1969/SUMIF(A:A,A1969,E:E)</x:f>
        <x:v>0.0030631945167548806</x:v>
      </x:c>
    </x:row>
    <x:row r="1970" ht="21.600000381469727" hidden="0" customHeight="1">
      <x:c r="A1970" s="27" t="str">
        <x:v>SCA-22</x:v>
      </x:c>
      <x:c r="B1970" s="27" t="str">
        <x:v>39015</x:v>
      </x:c>
      <x:c r="C1970" s="27" t="str">
        <x:v>OH</x:v>
      </x:c>
      <x:c r="D1970" s="27" t="str">
        <x:v>Brown County</x:v>
      </x:c>
      <x:c r="E1970" s="40" t="n">
        <x:v>44397</x:v>
      </x:c>
      <x:c r="F1970" s="55" t="n">
        <x:v>38.931377</x:v>
      </x:c>
      <x:c r="G1970" s="55" t="n">
        <x:v>-83.866772</x:v>
      </x:c>
      <x:c r="H1970" s="43" t="n">
        <x:f>E1970/SUMIF(A:A,A1970,E:E)</x:f>
        <x:v>0.003013642541280529</x:v>
      </x:c>
    </x:row>
    <x:row r="1971" ht="21.600000381469727" hidden="0" customHeight="1">
      <x:c r="A1971" s="29" t="str">
        <x:v>SCA-22</x:v>
      </x:c>
      <x:c r="B1971" s="29" t="str">
        <x:v>21101</x:v>
      </x:c>
      <x:c r="C1971" s="29" t="str">
        <x:v>KY</x:v>
      </x:c>
      <x:c r="D1971" s="29" t="str">
        <x:v>Henderson County</x:v>
      </x:c>
      <x:c r="E1971" s="41" t="n">
        <x:v>44255</x:v>
      </x:c>
      <x:c r="F1971" s="56" t="n">
        <x:v>37.792542</x:v>
      </x:c>
      <x:c r="G1971" s="56" t="n">
        <x:v>-87.572577</x:v>
      </x:c>
      <x:c r="H1971" s="44" t="n">
        <x:f>E1971/SUMIF(A:A,A1971,E:E)</x:f>
        <x:v>0.0030040036638594907</x:v>
      </x:c>
    </x:row>
    <x:row r="1972" ht="21.600000381469727" hidden="0" customHeight="1">
      <x:c r="A1972" s="27" t="str">
        <x:v>SCA-22</x:v>
      </x:c>
      <x:c r="B1972" s="27" t="str">
        <x:v>18037</x:v>
      </x:c>
      <x:c r="C1972" s="27" t="str">
        <x:v>IN</x:v>
      </x:c>
      <x:c r="D1972" s="27" t="str">
        <x:v>Dubois County</x:v>
      </x:c>
      <x:c r="E1972" s="40" t="n">
        <x:v>44016</x:v>
      </x:c>
      <x:c r="F1972" s="55" t="n">
        <x:v>38.373344</x:v>
      </x:c>
      <x:c r="G1972" s="55" t="n">
        <x:v>-86.873385</x:v>
      </x:c>
      <x:c r="H1972" s="43" t="n">
        <x:f>E1972/SUMIF(A:A,A1972,E:E)</x:f>
        <x:v>0.002987780482848025</x:v>
      </x:c>
    </x:row>
    <x:row r="1973" ht="21.600000381469727" hidden="0" customHeight="1">
      <x:c r="A1973" s="29" t="str">
        <x:v>SCA-22</x:v>
      </x:c>
      <x:c r="B1973" s="29" t="str">
        <x:v>39071</x:v>
      </x:c>
      <x:c r="C1973" s="29" t="str">
        <x:v>OH</x:v>
      </x:c>
      <x:c r="D1973" s="29" t="str">
        <x:v>Highland County</x:v>
      </x:c>
      <x:c r="E1973" s="41" t="n">
        <x:v>43823</x:v>
      </x:c>
      <x:c r="F1973" s="56" t="n">
        <x:v>39.184422</x:v>
      </x:c>
      <x:c r="G1973" s="56" t="n">
        <x:v>-83.601359</x:v>
      </x:c>
      <x:c r="H1973" s="44" t="n">
        <x:f>E1973/SUMIF(A:A,A1973,E:E)</x:f>
        <x:v>0.0029746797550856277</x:v>
      </x:c>
    </x:row>
    <x:row r="1974" ht="21.600000381469727" hidden="0" customHeight="1">
      <x:c r="A1974" s="27" t="str">
        <x:v>SCA-22</x:v>
      </x:c>
      <x:c r="B1974" s="27" t="str">
        <x:v>47021</x:v>
      </x:c>
      <x:c r="C1974" s="27" t="str">
        <x:v>TN</x:v>
      </x:c>
      <x:c r="D1974" s="27" t="str">
        <x:v>Cheatham County</x:v>
      </x:c>
      <x:c r="E1974" s="40" t="n">
        <x:v>42778</x:v>
      </x:c>
      <x:c r="F1974" s="55" t="n">
        <x:v>36.255169</x:v>
      </x:c>
      <x:c r="G1974" s="55" t="n">
        <x:v>-87.100808</x:v>
      </x:c>
      <x:c r="H1974" s="43" t="n">
        <x:f>E1974/SUMIF(A:A,A1974,E:E)</x:f>
        <x:v>0.0029037457627970015</x:v>
      </x:c>
    </x:row>
    <x:row r="1975" ht="21.600000381469727" hidden="0" customHeight="1">
      <x:c r="A1975" s="29" t="str">
        <x:v>SCA-22</x:v>
      </x:c>
      <x:c r="B1975" s="29" t="str">
        <x:v>39027</x:v>
      </x:c>
      <x:c r="C1975" s="29" t="str">
        <x:v>OH</x:v>
      </x:c>
      <x:c r="D1975" s="29" t="str">
        <x:v>Clinton County</x:v>
      </x:c>
      <x:c r="E1975" s="41" t="n">
        <x:v>42301</x:v>
      </x:c>
      <x:c r="F1975" s="56" t="n">
        <x:v>39.416681</x:v>
      </x:c>
      <x:c r="G1975" s="56" t="n">
        <x:v>-83.804583</x:v>
      </x:c>
      <x:c r="H1975" s="44" t="n">
        <x:f>E1975/SUMIF(A:A,A1975,E:E)</x:f>
        <x:v>0.0028713672801925277</x:v>
      </x:c>
    </x:row>
    <x:row r="1976" ht="21.600000381469727" hidden="0" customHeight="1">
      <x:c r="A1976" s="27" t="str">
        <x:v>SCA-22</x:v>
      </x:c>
      <x:c r="B1976" s="27" t="str">
        <x:v>39135</x:v>
      </x:c>
      <x:c r="C1976" s="27" t="str">
        <x:v>OH</x:v>
      </x:c>
      <x:c r="D1976" s="27" t="str">
        <x:v>Preble County</x:v>
      </x:c>
      <x:c r="E1976" s="40" t="n">
        <x:v>40664</x:v>
      </x:c>
      <x:c r="F1976" s="55" t="n">
        <x:v>39.73881</x:v>
      </x:c>
      <x:c r="G1976" s="55" t="n">
        <x:v>-84.644758</x:v>
      </x:c>
      <x:c r="H1976" s="43" t="n">
        <x:f>E1976/SUMIF(A:A,A1976,E:E)</x:f>
        <x:v>0.002760248672176756</x:v>
      </x:c>
    </x:row>
    <x:row r="1977" ht="21.600000381469727" hidden="0" customHeight="1">
      <x:c r="A1977" s="29" t="str">
        <x:v>SCA-22</x:v>
      </x:c>
      <x:c r="B1977" s="29" t="str">
        <x:v>18061</x:v>
      </x:c>
      <x:c r="C1977" s="29" t="str">
        <x:v>IN</x:v>
      </x:c>
      <x:c r="D1977" s="29" t="str">
        <x:v>Harrison County</x:v>
      </x:c>
      <x:c r="E1977" s="41" t="n">
        <x:v>40437</x:v>
      </x:c>
      <x:c r="F1977" s="56" t="n">
        <x:v>38.186454</x:v>
      </x:c>
      <x:c r="G1977" s="56" t="n">
        <x:v>-86.103766</x:v>
      </x:c>
      <x:c r="H1977" s="44" t="n">
        <x:f>E1977/SUMIF(A:A,A1977,E:E)</x:f>
        <x:v>0.0027448400441867863</x:v>
      </x:c>
    </x:row>
    <x:row r="1978" ht="21.600000381469727" hidden="0" customHeight="1">
      <x:c r="A1978" s="27" t="str">
        <x:v>SCA-22</x:v>
      </x:c>
      <x:c r="B1978" s="27" t="str">
        <x:v>47013</x:v>
      </x:c>
      <x:c r="C1978" s="27" t="str">
        <x:v>TN</x:v>
      </x:c>
      <x:c r="D1978" s="27" t="str">
        <x:v>Campbell County</x:v>
      </x:c>
      <x:c r="E1978" s="40" t="n">
        <x:v>40290</x:v>
      </x:c>
      <x:c r="F1978" s="55" t="n">
        <x:v>36.401592</x:v>
      </x:c>
      <x:c r="G1978" s="55" t="n">
        <x:v>-84.159249</x:v>
      </x:c>
      <x:c r="H1978" s="43" t="n">
        <x:f>E1978/SUMIF(A:A,A1978,E:E)</x:f>
        <x:v>0.002734861769673458</x:v>
      </x:c>
    </x:row>
    <x:row r="1979" ht="15" hidden="0" customHeight="1">
      <x:c r="A1979" s="29" t="str">
        <x:v>SCA-22</x:v>
      </x:c>
      <x:c r="B1979" s="29" t="str">
        <x:v>21049</x:v>
      </x:c>
      <x:c r="C1979" s="29" t="str">
        <x:v>KY</x:v>
      </x:c>
      <x:c r="D1979" s="29" t="str">
        <x:v>Clark County</x:v>
      </x:c>
      <x:c r="E1979" s="41" t="n">
        <x:v>37888</x:v>
      </x:c>
      <x:c r="F1979" s="56" t="n">
        <x:v>37.970314</x:v>
      </x:c>
      <x:c r="G1979" s="56" t="n">
        <x:v>-84.145115</x:v>
      </x:c>
      <x:c r="H1979" s="44" t="n">
        <x:f>E1979/SUMIF(A:A,A1979,E:E)</x:f>
        <x:v>0.0025718154065373037</x:v>
      </x:c>
    </x:row>
    <x:row r="1980" ht="21.600000381469727" hidden="0" customHeight="1">
      <x:c r="A1980" s="27" t="str">
        <x:v>SCA-22</x:v>
      </x:c>
      <x:c r="B1980" s="27" t="str">
        <x:v>18133</x:v>
      </x:c>
      <x:c r="C1980" s="27" t="str">
        <x:v>IN</x:v>
      </x:c>
      <x:c r="D1980" s="27" t="str">
        <x:v>Putnam County</x:v>
      </x:c>
      <x:c r="E1980" s="40" t="n">
        <x:v>37876</x:v>
      </x:c>
      <x:c r="F1980" s="55" t="n">
        <x:v>39.665548</x:v>
      </x:c>
      <x:c r="G1980" s="55" t="n">
        <x:v>-86.853373</x:v>
      </x:c>
      <x:c r="H1980" s="43" t="n">
        <x:f>E1980/SUMIF(A:A,A1980,E:E)</x:f>
        <x:v>0.002571000853515808</x:v>
      </x:c>
    </x:row>
    <x:row r="1981" ht="21.600000381469727" hidden="0" customHeight="1">
      <x:c r="A1981" s="29" t="str">
        <x:v>SCA-22</x:v>
      </x:c>
      <x:c r="B1981" s="29" t="str">
        <x:v>54099</x:v>
      </x:c>
      <x:c r="C1981" s="29" t="str">
        <x:v>WV</x:v>
      </x:c>
      <x:c r="D1981" s="29" t="str">
        <x:v>Wayne County</x:v>
      </x:c>
      <x:c r="E1981" s="41" t="n">
        <x:v>37309</x:v>
      </x:c>
      <x:c r="F1981" s="56" t="n">
        <x:v>38.143642</x:v>
      </x:c>
      <x:c r="G1981" s="56" t="n">
        <x:v>-82.422666</x:v>
      </x:c>
      <x:c r="H1981" s="44" t="n">
        <x:f>E1981/SUMIF(A:A,A1981,E:E)</x:f>
        <x:v>0.0025325132232501125</x:v>
      </x:c>
    </x:row>
    <x:row r="1982" ht="21.600000381469727" hidden="0" customHeight="1">
      <x:c r="A1982" s="27" t="str">
        <x:v>SCA-22</x:v>
      </x:c>
      <x:c r="B1982" s="27" t="str">
        <x:v>21235</x:v>
      </x:c>
      <x:c r="C1982" s="27" t="str">
        <x:v>KY</x:v>
      </x:c>
      <x:c r="D1982" s="27" t="str">
        <x:v>Whitley County</x:v>
      </x:c>
      <x:c r="E1982" s="40" t="n">
        <x:v>37297</x:v>
      </x:c>
      <x:c r="F1982" s="55" t="n">
        <x:v>36.758024</x:v>
      </x:c>
      <x:c r="G1982" s="55" t="n">
        <x:v>-84.144648</x:v>
      </x:c>
      <x:c r="H1982" s="43" t="n">
        <x:f>E1982/SUMIF(A:A,A1982,E:E)</x:f>
        <x:v>0.0025316986702286167</x:v>
      </x:c>
    </x:row>
    <x:row r="1983" ht="15" hidden="0" customHeight="1">
      <x:c r="A1983" s="29" t="str">
        <x:v>SCA-22</x:v>
      </x:c>
      <x:c r="B1983" s="29" t="str">
        <x:v>18083</x:v>
      </x:c>
      <x:c r="C1983" s="29" t="str">
        <x:v>IN</x:v>
      </x:c>
      <x:c r="D1983" s="29" t="str">
        <x:v>Knox County</x:v>
      </x:c>
      <x:c r="E1983" s="41" t="n">
        <x:v>35652</x:v>
      </x:c>
      <x:c r="F1983" s="56" t="n">
        <x:v>38.688381</x:v>
      </x:c>
      <x:c r="G1983" s="56" t="n">
        <x:v>-87.420358</x:v>
      </x:c>
      <x:c r="H1983" s="44" t="n">
        <x:f>E1983/SUMIF(A:A,A1983,E:E)</x:f>
        <x:v>0.0024200370268651805</x:v>
      </x:c>
    </x:row>
    <x:row r="1984" ht="21.600000381469727" hidden="0" customHeight="1">
      <x:c r="A1984" s="27" t="str">
        <x:v>SCA-22</x:v>
      </x:c>
      <x:c r="B1984" s="27" t="str">
        <x:v>21089</x:v>
      </x:c>
      <x:c r="C1984" s="27" t="str">
        <x:v>KY</x:v>
      </x:c>
      <x:c r="D1984" s="27" t="str">
        <x:v>Greenup County</x:v>
      </x:c>
      <x:c r="E1984" s="40" t="n">
        <x:v>35213</x:v>
      </x:c>
      <x:c r="F1984" s="55" t="n">
        <x:v>38.563562</x:v>
      </x:c>
      <x:c r="G1984" s="55" t="n">
        <x:v>-82.93382</x:v>
      </x:c>
      <x:c r="H1984" s="43" t="n">
        <x:f>E1984/SUMIF(A:A,A1984,E:E)</x:f>
        <x:v>0.0023902379621621116</x:v>
      </x:c>
    </x:row>
    <x:row r="1985" ht="15" hidden="0" customHeight="1">
      <x:c r="A1985" s="29" t="str">
        <x:v>SCA-22</x:v>
      </x:c>
      <x:c r="B1985" s="29" t="str">
        <x:v>51195</x:v>
      </x:c>
      <x:c r="C1985" s="29" t="str">
        <x:v>VA</x:v>
      </x:c>
      <x:c r="D1985" s="29" t="str">
        <x:v>Wise County</x:v>
      </x:c>
      <x:c r="E1985" s="41" t="n">
        <x:v>34824</x:v>
      </x:c>
      <x:c r="F1985" s="56" t="n">
        <x:v>36.974561</x:v>
      </x:c>
      <x:c r="G1985" s="56" t="n">
        <x:v>-82.62156</x:v>
      </x:c>
      <x:c r="H1985" s="44" t="n">
        <x:f>E1985/SUMIF(A:A,A1985,E:E)</x:f>
        <x:v>0.0023638328683819433</x:v>
      </x:c>
    </x:row>
    <x:row r="1986" ht="15" hidden="0" customHeight="1">
      <x:c r="A1986" s="27" t="str">
        <x:v>SCA-22</x:v>
      </x:c>
      <x:c r="B1986" s="27" t="str">
        <x:v>21071</x:v>
      </x:c>
      <x:c r="C1986" s="27" t="str">
        <x:v>KY</x:v>
      </x:c>
      <x:c r="D1986" s="27" t="str">
        <x:v>Floyd County</x:v>
      </x:c>
      <x:c r="E1986" s="40" t="n">
        <x:v>34401</x:v>
      </x:c>
      <x:c r="F1986" s="55" t="n">
        <x:v>37.552456</x:v>
      </x:c>
      <x:c r="G1986" s="55" t="n">
        <x:v>-82.739724</x:v>
      </x:c>
      <x:c r="H1986" s="43" t="n">
        <x:f>E1986/SUMIF(A:A,A1986,E:E)</x:f>
        <x:v>0.0023351198743742025</x:v>
      </x:c>
    </x:row>
    <x:row r="1987" ht="21.600000381469727" hidden="0" customHeight="1">
      <x:c r="A1987" s="29" t="str">
        <x:v>SCA-22</x:v>
      </x:c>
      <x:c r="B1987" s="29" t="str">
        <x:v>18027</x:v>
      </x:c>
      <x:c r="C1987" s="29" t="str">
        <x:v>IN</x:v>
      </x:c>
      <x:c r="D1987" s="29" t="str">
        <x:v>Daviess County</x:v>
      </x:c>
      <x:c r="E1987" s="41" t="n">
        <x:v>34209</x:v>
      </x:c>
      <x:c r="F1987" s="56" t="n">
        <x:v>38.69609</x:v>
      </x:c>
      <x:c r="G1987" s="56" t="n">
        <x:v>-87.076943</x:v>
      </x:c>
      <x:c r="H1987" s="44" t="n">
        <x:f>E1987/SUMIF(A:A,A1987,E:E)</x:f>
        <x:v>0.0023220870260302635</x:v>
      </x:c>
    </x:row>
    <x:row r="1988" ht="21.600000381469727" hidden="0" customHeight="1">
      <x:c r="A1988" s="27" t="str">
        <x:v>SCA-22</x:v>
      </x:c>
      <x:c r="B1988" s="27" t="str">
        <x:v>18077</x:v>
      </x:c>
      <x:c r="C1988" s="27" t="str">
        <x:v>IN</x:v>
      </x:c>
      <x:c r="D1988" s="27" t="str">
        <x:v>Jefferson County</x:v>
      </x:c>
      <x:c r="E1988" s="40" t="n">
        <x:v>33279</x:v>
      </x:c>
      <x:c r="F1988" s="55" t="n">
        <x:v>38.783604</x:v>
      </x:c>
      <x:c r="G1988" s="55" t="n">
        <x:v>-85.44009</x:v>
      </x:c>
      <x:c r="H1988" s="43" t="n">
        <x:f>E1988/SUMIF(A:A,A1988,E:E)</x:f>
        <x:v>0.002258959166864309</x:v>
      </x:c>
    </x:row>
    <x:row r="1989" ht="21.600000381469727" hidden="0" customHeight="1">
      <x:c r="A1989" s="29" t="str">
        <x:v>SCA-22</x:v>
      </x:c>
      <x:c r="B1989" s="29" t="str">
        <x:v>47025</x:v>
      </x:c>
      <x:c r="C1989" s="29" t="str">
        <x:v>TN</x:v>
      </x:c>
      <x:c r="D1989" s="29" t="str">
        <x:v>Claiborne County</x:v>
      </x:c>
      <x:c r="E1989" s="41" t="n">
        <x:v>33229</x:v>
      </x:c>
      <x:c r="F1989" s="56" t="n">
        <x:v>36.501572</x:v>
      </x:c>
      <x:c r="G1989" s="56" t="n">
        <x:v>-83.660698</x:v>
      </x:c>
      <x:c r="H1989" s="44" t="n">
        <x:f>E1989/SUMIF(A:A,A1989,E:E)</x:f>
        <x:v>0.0022555651959414082</x:v>
      </x:c>
    </x:row>
    <x:row r="1990" ht="21.600000381469727" hidden="0" customHeight="1">
      <x:c r="A1990" s="27" t="str">
        <x:v>SCA-22</x:v>
      </x:c>
      <x:c r="B1990" s="27" t="str">
        <x:v>18051</x:v>
      </x:c>
      <x:c r="C1990" s="27" t="str">
        <x:v>IN</x:v>
      </x:c>
      <x:c r="D1990" s="27" t="str">
        <x:v>Gibson County</x:v>
      </x:c>
      <x:c r="E1990" s="40" t="n">
        <x:v>33091</x:v>
      </x:c>
      <x:c r="F1990" s="55" t="n">
        <x:v>38.317398</x:v>
      </x:c>
      <x:c r="G1990" s="55" t="n">
        <x:v>-87.580523</x:v>
      </x:c>
      <x:c r="H1990" s="43" t="n">
        <x:f>E1990/SUMIF(A:A,A1990,E:E)</x:f>
        <x:v>0.002246197836194202</x:v>
      </x:c>
    </x:row>
    <x:row r="1991" ht="21.600000381469727" hidden="0" customHeight="1">
      <x:c r="A1991" s="29" t="str">
        <x:v>SCA-22</x:v>
      </x:c>
      <x:c r="B1991" s="29" t="str">
        <x:v>21021</x:v>
      </x:c>
      <x:c r="C1991" s="29" t="str">
        <x:v>KY</x:v>
      </x:c>
      <x:c r="D1991" s="29" t="str">
        <x:v>Boyle County</x:v>
      </x:c>
      <x:c r="E1991" s="41" t="n">
        <x:v>31632</x:v>
      </x:c>
      <x:c r="F1991" s="56" t="n">
        <x:v>37.618104</x:v>
      </x:c>
      <x:c r="G1991" s="56" t="n">
        <x:v>-84.868352</x:v>
      </x:c>
      <x:c r="H1991" s="44" t="n">
        <x:f>E1991/SUMIF(A:A,A1991,E:E)</x:f>
        <x:v>0.002147161764663957</x:v>
      </x:c>
    </x:row>
    <x:row r="1992" ht="21.600000381469727" hidden="0" customHeight="1">
      <x:c r="A1992" s="27" t="str">
        <x:v>SCA-22</x:v>
      </x:c>
      <x:c r="B1992" s="27" t="str">
        <x:v>18055</x:v>
      </x:c>
      <x:c r="C1992" s="27" t="str">
        <x:v>IN</x:v>
      </x:c>
      <x:c r="D1992" s="27" t="str">
        <x:v>Greene County</x:v>
      </x:c>
      <x:c r="E1992" s="40" t="n">
        <x:v>31165</x:v>
      </x:c>
      <x:c r="F1992" s="55" t="n">
        <x:v>39.047147</x:v>
      </x:c>
      <x:c r="G1992" s="55" t="n">
        <x:v>-87.004771</x:v>
      </x:c>
      <x:c r="H1992" s="43" t="n">
        <x:f>E1992/SUMIF(A:A,A1992,E:E)</x:f>
        <x:v>0.0021154620762440634</x:v>
      </x:c>
    </x:row>
    <x:row r="1993" ht="21.600000381469727" hidden="0" customHeight="1">
      <x:c r="A1993" s="29" t="str">
        <x:v>SCA-22</x:v>
      </x:c>
      <x:c r="B1993" s="29" t="str">
        <x:v>21163</x:v>
      </x:c>
      <x:c r="C1993" s="29" t="str">
        <x:v>KY</x:v>
      </x:c>
      <x:c r="D1993" s="29" t="str">
        <x:v>Meade County</x:v>
      </x:c>
      <x:c r="E1993" s="41" t="n">
        <x:v>30699</x:v>
      </x:c>
      <x:c r="F1993" s="56" t="n">
        <x:v>37.967476</x:v>
      </x:c>
      <x:c r="G1993" s="56" t="n">
        <x:v>-86.200863</x:v>
      </x:c>
      <x:c r="H1993" s="44" t="n">
        <x:f>E1993/SUMIF(A:A,A1993,E:E)</x:f>
        <x:v>0.0020838302672426283</x:v>
      </x:c>
    </x:row>
    <x:row r="1994" ht="21.600000381469727" hidden="0" customHeight="1">
      <x:c r="A1994" s="27" t="str">
        <x:v>SCA-22</x:v>
      </x:c>
      <x:c r="B1994" s="27" t="str">
        <x:v>21177</x:v>
      </x:c>
      <x:c r="C1994" s="27" t="str">
        <x:v>KY</x:v>
      </x:c>
      <x:c r="D1994" s="27" t="str">
        <x:v>Muhlenberg County</x:v>
      </x:c>
      <x:c r="E1994" s="40" t="n">
        <x:v>30634</x:v>
      </x:c>
      <x:c r="F1994" s="55" t="n">
        <x:v>37.213816</x:v>
      </x:c>
      <x:c r="G1994" s="55" t="n">
        <x:v>-87.134092</x:v>
      </x:c>
      <x:c r="H1994" s="43" t="n">
        <x:f>E1994/SUMIF(A:A,A1994,E:E)</x:f>
        <x:v>0.002079418105042857</x:v>
      </x:c>
    </x:row>
    <x:row r="1995" ht="21.600000381469727" hidden="0" customHeight="1">
      <x:c r="A1995" s="29" t="str">
        <x:v>SCA-22</x:v>
      </x:c>
      <x:c r="B1995" s="29" t="str">
        <x:v>54045</x:v>
      </x:c>
      <x:c r="C1995" s="29" t="str">
        <x:v>WV</x:v>
      </x:c>
      <x:c r="D1995" s="29" t="str">
        <x:v>Logan County</x:v>
      </x:c>
      <x:c r="E1995" s="41" t="n">
        <x:v>30375</x:v>
      </x:c>
      <x:c r="F1995" s="56" t="n">
        <x:v>37.830591</x:v>
      </x:c>
      <x:c r="G1995" s="56" t="n">
        <x:v>-81.940853</x:v>
      </x:c>
      <x:c r="H1995" s="44" t="n">
        <x:f>E1995/SUMIF(A:A,A1995,E:E)</x:f>
        <x:v>0.002061837335662231</x:v>
      </x:c>
    </x:row>
    <x:row r="1996" ht="15" hidden="0" customHeight="1">
      <x:c r="A1996" s="27" t="str">
        <x:v>SCA-22</x:v>
      </x:c>
      <x:c r="B1996" s="27" t="str">
        <x:v>21121</x:v>
      </x:c>
      <x:c r="C1996" s="27" t="str">
        <x:v>KY</x:v>
      </x:c>
      <x:c r="D1996" s="27" t="str">
        <x:v>Knox County</x:v>
      </x:c>
      <x:c r="E1996" s="40" t="n">
        <x:v>29532</x:v>
      </x:c>
      <x:c r="F1996" s="55" t="n">
        <x:v>36.8885</x:v>
      </x:c>
      <x:c r="G1996" s="55" t="n">
        <x:v>-83.855551</x:v>
      </x:c>
      <x:c r="H1996" s="43" t="n">
        <x:f>E1996/SUMIF(A:A,A1996,E:E)</x:f>
        <x:v>0.0020046149859021234</x:v>
      </x:c>
    </x:row>
    <x:row r="1997" ht="21.600000381469727" hidden="0" customHeight="1">
      <x:c r="A1997" s="29" t="str">
        <x:v>SCA-22</x:v>
      </x:c>
      <x:c r="B1997" s="29" t="str">
        <x:v>18137</x:v>
      </x:c>
      <x:c r="C1997" s="29" t="str">
        <x:v>IN</x:v>
      </x:c>
      <x:c r="D1997" s="29" t="str">
        <x:v>Ripley County</x:v>
      </x:c>
      <x:c r="E1997" s="41" t="n">
        <x:v>29434</x:v>
      </x:c>
      <x:c r="F1997" s="56" t="n">
        <x:v>39.100226</x:v>
      </x:c>
      <x:c r="G1997" s="56" t="n">
        <x:v>-85.260494</x:v>
      </x:c>
      <x:c r="H1997" s="44" t="n">
        <x:f>E1997/SUMIF(A:A,A1997,E:E)</x:f>
        <x:v>0.001997962802893238</x:v>
      </x:c>
    </x:row>
    <x:row r="1998" ht="21.600000381469727" hidden="0" customHeight="1">
      <x:c r="A1998" s="27" t="str">
        <x:v>SCA-22</x:v>
      </x:c>
      <x:c r="B1998" s="27" t="str">
        <x:v>21173</x:v>
      </x:c>
      <x:c r="C1998" s="27" t="str">
        <x:v>KY</x:v>
      </x:c>
      <x:c r="D1998" s="27" t="str">
        <x:v>Montgomery County</x:v>
      </x:c>
      <x:c r="E1998" s="40" t="n">
        <x:v>28822</x:v>
      </x:c>
      <x:c r="F1998" s="55" t="n">
        <x:v>38.038109</x:v>
      </x:c>
      <x:c r="G1998" s="55" t="n">
        <x:v>-83.912416</x:v>
      </x:c>
      <x:c r="H1998" s="43" t="n">
        <x:f>E1998/SUMIF(A:A,A1998,E:E)</x:f>
        <x:v>0.001956420598796932</x:v>
      </x:c>
    </x:row>
    <x:row r="1999" ht="21.600000381469727" hidden="0" customHeight="1">
      <x:c r="A1999" s="29" t="str">
        <x:v>SCA-22</x:v>
      </x:c>
      <x:c r="B1999" s="29" t="str">
        <x:v>21141</x:v>
      </x:c>
      <x:c r="C1999" s="29" t="str">
        <x:v>KY</x:v>
      </x:c>
      <x:c r="D1999" s="29" t="str">
        <x:v>Logan County</x:v>
      </x:c>
      <x:c r="E1999" s="41" t="n">
        <x:v>28669</x:v>
      </x:c>
      <x:c r="F1999" s="56" t="n">
        <x:v>36.859607</x:v>
      </x:c>
      <x:c r="G1999" s="56" t="n">
        <x:v>-86.881288</x:v>
      </x:c>
      <x:c r="H1999" s="44" t="n">
        <x:f>E1999/SUMIF(A:A,A1999,E:E)</x:f>
        <x:v>0.001946035047772856</x:v>
      </x:c>
    </x:row>
    <x:row r="2000" ht="21.600000381469727" hidden="0" customHeight="1">
      <x:c r="A2000" s="27" t="str">
        <x:v>SCA-22</x:v>
      </x:c>
      <x:c r="B2000" s="27" t="str">
        <x:v>39047</x:v>
      </x:c>
      <x:c r="C2000" s="27" t="str">
        <x:v>OH</x:v>
      </x:c>
      <x:c r="D2000" s="27" t="str">
        <x:v>Fayette County</x:v>
      </x:c>
      <x:c r="E2000" s="40" t="n">
        <x:v>28552</x:v>
      </x:c>
      <x:c r="F2000" s="55" t="n">
        <x:v>39.555246</x:v>
      </x:c>
      <x:c r="G2000" s="55" t="n">
        <x:v>-83.461893</x:v>
      </x:c>
      <x:c r="H2000" s="43" t="n">
        <x:f>E2000/SUMIF(A:A,A2000,E:E)</x:f>
        <x:v>0.001938093155813268</x:v>
      </x:c>
    </x:row>
    <x:row r="2001" ht="21.600000381469727" hidden="0" customHeight="1">
      <x:c r="A2001" s="29" t="str">
        <x:v>SCA-22</x:v>
      </x:c>
      <x:c r="B2001" s="29" t="str">
        <x:v>18175</x:v>
      </x:c>
      <x:c r="C2001" s="29" t="str">
        <x:v>IN</x:v>
      </x:c>
      <x:c r="D2001" s="29" t="str">
        <x:v>Washington County</x:v>
      </x:c>
      <x:c r="E2001" s="41" t="n">
        <x:v>28383</x:v>
      </x:c>
      <x:c r="F2001" s="56" t="n">
        <x:v>38.600992</x:v>
      </x:c>
      <x:c r="G2001" s="56" t="n">
        <x:v>-86.105496</x:v>
      </x:c>
      <x:c r="H2001" s="44" t="n">
        <x:f>E2001/SUMIF(A:A,A2001,E:E)</x:f>
        <x:v>0.0019266215340938634</x:v>
      </x:c>
    </x:row>
    <x:row r="2002" ht="21.600000381469727" hidden="0" customHeight="1">
      <x:c r="A2002" s="27" t="str">
        <x:v>SCA-22</x:v>
      </x:c>
      <x:c r="B2002" s="27" t="str">
        <x:v>21239</x:v>
      </x:c>
      <x:c r="C2002" s="27" t="str">
        <x:v>KY</x:v>
      </x:c>
      <x:c r="D2002" s="27" t="str">
        <x:v>Woodford County</x:v>
      </x:c>
      <x:c r="E2002" s="40" t="n">
        <x:v>27883</x:v>
      </x:c>
      <x:c r="F2002" s="55" t="n">
        <x:v>38.043103</x:v>
      </x:c>
      <x:c r="G2002" s="55" t="n">
        <x:v>-84.748855</x:v>
      </x:c>
      <x:c r="H2002" s="43" t="n">
        <x:f>E2002/SUMIF(A:A,A2002,E:E)</x:f>
        <x:v>0.0018926818248648555</x:v>
      </x:c>
    </x:row>
    <x:row r="2003" ht="21.600000381469727" hidden="0" customHeight="1">
      <x:c r="A2003" s="29" t="str">
        <x:v>SCA-22</x:v>
      </x:c>
      <x:c r="B2003" s="29" t="str">
        <x:v>39001</x:v>
      </x:c>
      <x:c r="C2003" s="29" t="str">
        <x:v>OH</x:v>
      </x:c>
      <x:c r="D2003" s="29" t="str">
        <x:v>Adams County</x:v>
      </x:c>
      <x:c r="E2003" s="41" t="n">
        <x:v>27865</x:v>
      </x:c>
      <x:c r="F2003" s="56" t="n">
        <x:v>38.834468</x:v>
      </x:c>
      <x:c r="G2003" s="56" t="n">
        <x:v>-83.478082</x:v>
      </x:c>
      <x:c r="H2003" s="44" t="n">
        <x:f>E2003/SUMIF(A:A,A2003,E:E)</x:f>
        <x:v>0.001891459995332611</x:v>
      </x:c>
    </x:row>
    <x:row r="2004" ht="21.600000381469727" hidden="0" customHeight="1">
      <x:c r="A2004" s="27" t="str">
        <x:v>SCA-22</x:v>
      </x:c>
      <x:c r="B2004" s="27" t="str">
        <x:v>47111</x:v>
      </x:c>
      <x:c r="C2004" s="27" t="str">
        <x:v>TN</x:v>
      </x:c>
      <x:c r="D2004" s="27" t="str">
        <x:v>Macon County</x:v>
      </x:c>
      <x:c r="E2004" s="40" t="n">
        <x:v>27663</x:v>
      </x:c>
      <x:c r="F2004" s="55" t="n">
        <x:v>36.537757</x:v>
      </x:c>
      <x:c r="G2004" s="55" t="n">
        <x:v>-86.00096</x:v>
      </x:c>
      <x:c r="H2004" s="43" t="n">
        <x:f>E2004/SUMIF(A:A,A2004,E:E)</x:f>
        <x:v>0.001877748352804092</x:v>
      </x:c>
    </x:row>
    <x:row r="2005" ht="21.600000381469727" hidden="0" customHeight="1">
      <x:c r="A2005" s="29" t="str">
        <x:v>SCA-22</x:v>
      </x:c>
      <x:c r="B2005" s="29" t="str">
        <x:v>18079</x:v>
      </x:c>
      <x:c r="C2005" s="29" t="str">
        <x:v>IN</x:v>
      </x:c>
      <x:c r="D2005" s="29" t="str">
        <x:v>Jennings County</x:v>
      </x:c>
      <x:c r="E2005" s="41" t="n">
        <x:v>27622</x:v>
      </x:c>
      <x:c r="F2005" s="56" t="n">
        <x:v>38.996229</x:v>
      </x:c>
      <x:c r="G2005" s="56" t="n">
        <x:v>-85.628103</x:v>
      </x:c>
      <x:c r="H2005" s="44" t="n">
        <x:f>E2005/SUMIF(A:A,A2005,E:E)</x:f>
        <x:v>0.0018749652966473134</x:v>
      </x:c>
    </x:row>
    <x:row r="2006" ht="21.600000381469727" hidden="0" customHeight="1">
      <x:c r="A2006" s="27" t="str">
        <x:v>SCA-22</x:v>
      </x:c>
      <x:c r="B2006" s="27" t="str">
        <x:v>21085</x:v>
      </x:c>
      <x:c r="C2006" s="27" t="str">
        <x:v>KY</x:v>
      </x:c>
      <x:c r="D2006" s="27" t="str">
        <x:v>Grayson County</x:v>
      </x:c>
      <x:c r="E2006" s="40" t="n">
        <x:v>27406</x:v>
      </x:c>
      <x:c r="F2006" s="55" t="n">
        <x:v>37.458577</x:v>
      </x:c>
      <x:c r="G2006" s="55" t="n">
        <x:v>-86.344011</x:v>
      </x:c>
      <x:c r="H2006" s="43" t="n">
        <x:f>E2006/SUMIF(A:A,A2006,E:E)</x:f>
        <x:v>0.001860303342260382</x:v>
      </x:c>
    </x:row>
    <x:row r="2007" ht="15" hidden="0" customHeight="1">
      <x:c r="A2007" s="29" t="str">
        <x:v>SCA-22</x:v>
      </x:c>
      <x:c r="B2007" s="29" t="str">
        <x:v>39131</x:v>
      </x:c>
      <x:c r="C2007" s="29" t="str">
        <x:v>OH</x:v>
      </x:c>
      <x:c r="D2007" s="29" t="str">
        <x:v>Pike County</x:v>
      </x:c>
      <x:c r="E2007" s="41" t="n">
        <x:v>27061</x:v>
      </x:c>
      <x:c r="F2007" s="56" t="n">
        <x:v>39.071341</x:v>
      </x:c>
      <x:c r="G2007" s="56" t="n">
        <x:v>-83.052911</x:v>
      </x:c>
      <x:c r="H2007" s="44" t="n">
        <x:f>E2007/SUMIF(A:A,A2007,E:E)</x:f>
        <x:v>0.0018368849428923664</x:v>
      </x:c>
    </x:row>
    <x:row r="2008" ht="21.600000381469727" hidden="0" customHeight="1">
      <x:c r="A2008" s="27" t="str">
        <x:v>SCA-22</x:v>
      </x:c>
      <x:c r="B2008" s="27" t="str">
        <x:v>21217</x:v>
      </x:c>
      <x:c r="C2008" s="27" t="str">
        <x:v>KY</x:v>
      </x:c>
      <x:c r="D2008" s="27" t="str">
        <x:v>Taylor County</x:v>
      </x:c>
      <x:c r="E2008" s="40" t="n">
        <x:v>26763</x:v>
      </x:c>
      <x:c r="F2008" s="55" t="n">
        <x:v>37.36621</x:v>
      </x:c>
      <x:c r="G2008" s="55" t="n">
        <x:v>-85.328059</x:v>
      </x:c>
      <x:c r="H2008" s="43" t="n">
        <x:f>E2008/SUMIF(A:A,A2008,E:E)</x:f>
        <x:v>0.0018166568761918778</x:v>
      </x:c>
    </x:row>
    <x:row r="2009" ht="21.600000381469727" hidden="0" customHeight="1">
      <x:c r="A2009" s="29" t="str">
        <x:v>SCA-22</x:v>
      </x:c>
      <x:c r="B2009" s="29" t="str">
        <x:v>18031</x:v>
      </x:c>
      <x:c r="C2009" s="29" t="str">
        <x:v>IN</x:v>
      </x:c>
      <x:c r="D2009" s="29" t="str">
        <x:v>Decatur County</x:v>
      </x:c>
      <x:c r="E2009" s="41" t="n">
        <x:v>26576</x:v>
      </x:c>
      <x:c r="F2009" s="56" t="n">
        <x:v>39.30598</x:v>
      </x:c>
      <x:c r="G2009" s="56" t="n">
        <x:v>-85.499831</x:v>
      </x:c>
      <x:c r="H2009" s="44" t="n">
        <x:f>E2009/SUMIF(A:A,A2009,E:E)</x:f>
        <x:v>0.0018039634249402288</x:v>
      </x:c>
    </x:row>
    <x:row r="2010" ht="15" hidden="0" customHeight="1">
      <x:c r="A2010" s="27" t="str">
        <x:v>SCA-22</x:v>
      </x:c>
      <x:c r="B2010" s="27" t="str">
        <x:v>21193</x:v>
      </x:c>
      <x:c r="C2010" s="27" t="str">
        <x:v>KY</x:v>
      </x:c>
      <x:c r="D2010" s="27" t="str">
        <x:v>Perry County</x:v>
      </x:c>
      <x:c r="E2010" s="40" t="n">
        <x:v>26555</x:v>
      </x:c>
      <x:c r="F2010" s="55" t="n">
        <x:v>37.241282</x:v>
      </x:c>
      <x:c r="G2010" s="55" t="n">
        <x:v>-83.217772</x:v>
      </x:c>
      <x:c r="H2010" s="43" t="n">
        <x:f>E2010/SUMIF(A:A,A2010,E:E)</x:f>
        <x:v>0.0018025379571526105</x:v>
      </x:c>
    </x:row>
    <x:row r="2011" ht="15" hidden="0" customHeight="1">
      <x:c r="A2011" s="29" t="str">
        <x:v>SCA-22</x:v>
      </x:c>
      <x:c r="B2011" s="29" t="str">
        <x:v>18021</x:v>
      </x:c>
      <x:c r="C2011" s="29" t="str">
        <x:v>IN</x:v>
      </x:c>
      <x:c r="D2011" s="29" t="str">
        <x:v>Clay County</x:v>
      </x:c>
      <x:c r="E2011" s="41" t="n">
        <x:v>26410</x:v>
      </x:c>
      <x:c r="F2011" s="56" t="n">
        <x:v>39.393928</x:v>
      </x:c>
      <x:c r="G2011" s="56" t="n">
        <x:v>-87.115858</x:v>
      </x:c>
      <x:c r="H2011" s="44" t="n">
        <x:f>E2011/SUMIF(A:A,A2011,E:E)</x:f>
        <x:v>0.0017926954414761982</x:v>
      </x:c>
    </x:row>
    <x:row r="2012" ht="21.600000381469727" hidden="0" customHeight="1">
      <x:c r="A2012" s="27" t="str">
        <x:v>SCA-22</x:v>
      </x:c>
      <x:c r="B2012" s="27" t="str">
        <x:v>21081</x:v>
      </x:c>
      <x:c r="C2012" s="27" t="str">
        <x:v>KY</x:v>
      </x:c>
      <x:c r="D2012" s="27" t="str">
        <x:v>Grant County</x:v>
      </x:c>
      <x:c r="E2012" s="40" t="n">
        <x:v>26181</x:v>
      </x:c>
      <x:c r="F2012" s="55" t="n">
        <x:v>38.649167</x:v>
      </x:c>
      <x:c r="G2012" s="55" t="n">
        <x:v>-84.625924</x:v>
      </x:c>
      <x:c r="H2012" s="43" t="n">
        <x:f>E2012/SUMIF(A:A,A2012,E:E)</x:f>
        <x:v>0.0017771510546493125</x:v>
      </x:c>
    </x:row>
    <x:row r="2013" ht="21.600000381469727" hidden="0" customHeight="1">
      <x:c r="A2013" s="29" t="str">
        <x:v>SCA-22</x:v>
      </x:c>
      <x:c r="B2013" s="29" t="str">
        <x:v>21043</x:v>
      </x:c>
      <x:c r="C2013" s="29" t="str">
        <x:v>KY</x:v>
      </x:c>
      <x:c r="D2013" s="29" t="str">
        <x:v>Carter County</x:v>
      </x:c>
      <x:c r="E2013" s="41" t="n">
        <x:v>26149</x:v>
      </x:c>
      <x:c r="F2013" s="56" t="n">
        <x:v>38.314094</x:v>
      </x:c>
      <x:c r="G2013" s="56" t="n">
        <x:v>-83.038988</x:v>
      </x:c>
      <x:c r="H2013" s="44" t="n">
        <x:f>E2013/SUMIF(A:A,A2013,E:E)</x:f>
        <x:v>0.001774978913258656</x:v>
      </x:c>
    </x:row>
    <x:row r="2014" ht="21.600000381469727" hidden="0" customHeight="1">
      <x:c r="A2014" s="27" t="str">
        <x:v>SCA-22</x:v>
      </x:c>
      <x:c r="B2014" s="27" t="str">
        <x:v>47057</x:v>
      </x:c>
      <x:c r="C2014" s="27" t="str">
        <x:v>TN</x:v>
      </x:c>
      <x:c r="D2014" s="27" t="str">
        <x:v>Grainger County</x:v>
      </x:c>
      <x:c r="E2014" s="40" t="n">
        <x:v>25739</x:v>
      </x:c>
      <x:c r="F2014" s="55" t="n">
        <x:v>36.277509</x:v>
      </x:c>
      <x:c r="G2014" s="55" t="n">
        <x:v>-83.509546</x:v>
      </x:c>
      <x:c r="H2014" s="43" t="n">
        <x:f>E2014/SUMIF(A:A,A2014,E:E)</x:f>
        <x:v>0.0017471483516908696</x:v>
      </x:c>
    </x:row>
    <x:row r="2015" ht="21.600000381469727" hidden="0" customHeight="1">
      <x:c r="A2015" s="29" t="str">
        <x:v>SCA-22</x:v>
      </x:c>
      <x:c r="B2015" s="29" t="str">
        <x:v>21137</x:v>
      </x:c>
      <x:c r="C2015" s="29" t="str">
        <x:v>KY</x:v>
      </x:c>
      <x:c r="D2015" s="29" t="str">
        <x:v>Lincoln County</x:v>
      </x:c>
      <x:c r="E2015" s="41" t="n">
        <x:v>25353</x:v>
      </x:c>
      <x:c r="F2015" s="56" t="n">
        <x:v>37.457174</x:v>
      </x:c>
      <x:c r="G2015" s="56" t="n">
        <x:v>-84.658335</x:v>
      </x:c>
      <x:c r="H2015" s="44" t="n">
        <x:f>E2015/SUMIF(A:A,A2015,E:E)</x:f>
        <x:v>0.0017209468961660755</x:v>
      </x:c>
    </x:row>
    <x:row r="2016" ht="21.600000381469727" hidden="0" customHeight="1">
      <x:c r="A2016" s="27" t="str">
        <x:v>SCA-22</x:v>
      </x:c>
      <x:c r="B2016" s="27" t="str">
        <x:v>21005</x:v>
      </x:c>
      <x:c r="C2016" s="27" t="str">
        <x:v>KY</x:v>
      </x:c>
      <x:c r="D2016" s="27" t="str">
        <x:v>Anderson County</x:v>
      </x:c>
      <x:c r="E2016" s="40" t="n">
        <x:v>25225</x:v>
      </x:c>
      <x:c r="F2016" s="55" t="n">
        <x:v>38.005396</x:v>
      </x:c>
      <x:c r="G2016" s="55" t="n">
        <x:v>-84.986417</x:v>
      </x:c>
      <x:c r="H2016" s="43" t="n">
        <x:f>E2016/SUMIF(A:A,A2016,E:E)</x:f>
        <x:v>0.0017122583306034495</x:v>
      </x:c>
    </x:row>
    <x:row r="2017" ht="15" hidden="0" customHeight="1">
      <x:c r="A2017" s="29" t="str">
        <x:v>SCA-22</x:v>
      </x:c>
      <x:c r="B2017" s="29" t="str">
        <x:v>18143</x:v>
      </x:c>
      <x:c r="C2017" s="29" t="str">
        <x:v>IN</x:v>
      </x:c>
      <x:c r="D2017" s="29" t="str">
        <x:v>Scott County</x:v>
      </x:c>
      <x:c r="E2017" s="41" t="n">
        <x:v>25053</x:v>
      </x:c>
      <x:c r="F2017" s="56" t="n">
        <x:v>38.679431</x:v>
      </x:c>
      <x:c r="G2017" s="56" t="n">
        <x:v>-85.751898</x:v>
      </x:c>
      <x:c r="H2017" s="44" t="n">
        <x:f>E2017/SUMIF(A:A,A2017,E:E)</x:f>
        <x:v>0.0017005830706286707</x:v>
      </x:c>
    </x:row>
    <x:row r="2018" ht="21.600000381469727" hidden="0" customHeight="1">
      <x:c r="A2018" s="27" t="str">
        <x:v>SCA-22</x:v>
      </x:c>
      <x:c r="B2018" s="27" t="str">
        <x:v>18129</x:v>
      </x:c>
      <x:c r="C2018" s="27" t="str">
        <x:v>IN</x:v>
      </x:c>
      <x:c r="D2018" s="27" t="str">
        <x:v>Posey County</x:v>
      </x:c>
      <x:c r="E2018" s="40" t="n">
        <x:v>24988</x:v>
      </x:c>
      <x:c r="F2018" s="55" t="n">
        <x:v>38.027614</x:v>
      </x:c>
      <x:c r="G2018" s="55" t="n">
        <x:v>-87.868653</x:v>
      </x:c>
      <x:c r="H2018" s="43" t="n">
        <x:f>E2018/SUMIF(A:A,A2018,E:E)</x:f>
        <x:v>0.0016961709084288997</x:v>
      </x:c>
    </x:row>
    <x:row r="2019" ht="21.600000381469727" hidden="0" customHeight="1">
      <x:c r="A2019" s="29" t="str">
        <x:v>SCA-22</x:v>
      </x:c>
      <x:c r="B2019" s="29" t="str">
        <x:v>21095</x:v>
      </x:c>
      <x:c r="C2019" s="29" t="str">
        <x:v>KY</x:v>
      </x:c>
      <x:c r="D2019" s="29" t="str">
        <x:v>Harlan County</x:v>
      </x:c>
      <x:c r="E2019" s="41" t="n">
        <x:v>24725</x:v>
      </x:c>
      <x:c r="F2019" s="56" t="n">
        <x:v>36.859223</x:v>
      </x:c>
      <x:c r="G2019" s="56" t="n">
        <x:v>-83.221497</x:v>
      </x:c>
      <x:c r="H2019" s="44" t="n">
        <x:f>E2019/SUMIF(A:A,A2019,E:E)</x:f>
        <x:v>0.0016783186213744415</x:v>
      </x:c>
    </x:row>
    <x:row r="2020" ht="21.600000381469727" hidden="0" customHeight="1">
      <x:c r="A2020" s="27" t="str">
        <x:v>SCA-22</x:v>
      </x:c>
      <x:c r="B2020" s="27" t="str">
        <x:v>21205</x:v>
      </x:c>
      <x:c r="C2020" s="27" t="str">
        <x:v>KY</x:v>
      </x:c>
      <x:c r="D2020" s="27" t="str">
        <x:v>Rowan County</x:v>
      </x:c>
      <x:c r="E2020" s="40" t="n">
        <x:v>24476</x:v>
      </x:c>
      <x:c r="F2020" s="55" t="n">
        <x:v>38.204266</x:v>
      </x:c>
      <x:c r="G2020" s="55" t="n">
        <x:v>-83.428079</x:v>
      </x:c>
      <x:c r="H2020" s="43" t="n">
        <x:f>E2020/SUMIF(A:A,A2020,E:E)</x:f>
        <x:v>0.0016614166461783955</x:v>
      </x:c>
    </x:row>
    <x:row r="2021" ht="21.600000381469727" hidden="0" customHeight="1">
      <x:c r="A2021" s="29" t="str">
        <x:v>SCA-22</x:v>
      </x:c>
      <x:c r="B2021" s="29" t="str">
        <x:v>18135</x:v>
      </x:c>
      <x:c r="C2021" s="29" t="str">
        <x:v>IN</x:v>
      </x:c>
      <x:c r="D2021" s="29" t="str">
        <x:v>Randolph County</x:v>
      </x:c>
      <x:c r="E2021" s="41" t="n">
        <x:v>24438</x:v>
      </x:c>
      <x:c r="F2021" s="56" t="n">
        <x:v>40.164079</x:v>
      </x:c>
      <x:c r="G2021" s="56" t="n">
        <x:v>-85.00579</x:v>
      </x:c>
      <x:c r="H2021" s="44" t="n">
        <x:f>E2021/SUMIF(A:A,A2021,E:E)</x:f>
        <x:v>0.0016588372282769909</x:v>
      </x:c>
    </x:row>
    <x:row r="2022" ht="15" hidden="0" customHeight="1">
      <x:c r="A2022" s="27" t="str">
        <x:v>SCA-22</x:v>
      </x:c>
      <x:c r="B2022" s="27" t="str">
        <x:v>21183</x:v>
      </x:c>
      <x:c r="C2022" s="27" t="str">
        <x:v>KY</x:v>
      </x:c>
      <x:c r="D2022" s="27" t="str">
        <x:v>Ohio County</x:v>
      </x:c>
      <x:c r="E2022" s="40" t="n">
        <x:v>23934</x:v>
      </x:c>
      <x:c r="F2022" s="55" t="n">
        <x:v>37.477859</x:v>
      </x:c>
      <x:c r="G2022" s="55" t="n">
        <x:v>-86.844871</x:v>
      </x:c>
      <x:c r="H2022" s="43" t="n">
        <x:f>E2022/SUMIF(A:A,A2022,E:E)</x:f>
        <x:v>0.001624626001374151</x:v>
      </x:c>
    </x:row>
    <x:row r="2023" ht="21.600000381469727" hidden="0" customHeight="1">
      <x:c r="A2023" s="29" t="str">
        <x:v>SCA-22</x:v>
      </x:c>
      <x:c r="B2023" s="29" t="str">
        <x:v>47133</x:v>
      </x:c>
      <x:c r="C2023" s="29" t="str">
        <x:v>TN</x:v>
      </x:c>
      <x:c r="D2023" s="29" t="str">
        <x:v>Overton County</x:v>
      </x:c>
      <x:c r="E2023" s="41" t="n">
        <x:v>23787</x:v>
      </x:c>
      <x:c r="F2023" s="56" t="n">
        <x:v>36.34485</x:v>
      </x:c>
      <x:c r="G2023" s="56" t="n">
        <x:v>-85.283076</x:v>
      </x:c>
      <x:c r="H2023" s="44" t="n">
        <x:f>E2023/SUMIF(A:A,A2023,E:E)</x:f>
        <x:v>0.0016146477268608227</x:v>
      </x:c>
    </x:row>
    <x:row r="2024" ht="21.600000381469727" hidden="0" customHeight="1">
      <x:c r="A2024" s="27" t="str">
        <x:v>SCA-22</x:v>
      </x:c>
      <x:c r="B2024" s="27" t="str">
        <x:v>21167</x:v>
      </x:c>
      <x:c r="C2024" s="27" t="str">
        <x:v>KY</x:v>
      </x:c>
      <x:c r="D2024" s="27" t="str">
        <x:v>Mercer County</x:v>
      </x:c>
      <x:c r="E2024" s="40" t="n">
        <x:v>23733</x:v>
      </x:c>
      <x:c r="F2024" s="55" t="n">
        <x:v>37.812085</x:v>
      </x:c>
      <x:c r="G2024" s="55" t="n">
        <x:v>-84.879695</x:v>
      </x:c>
      <x:c r="H2024" s="43" t="n">
        <x:f>E2024/SUMIF(A:A,A2024,E:E)</x:f>
        <x:v>0.0016109822382640898</x:v>
      </x:c>
    </x:row>
    <x:row r="2025" ht="21.600000381469727" hidden="0" customHeight="1">
      <x:c r="A2025" s="29" t="str">
        <x:v>SCA-22</x:v>
      </x:c>
      <x:c r="B2025" s="29" t="str">
        <x:v>18041</x:v>
      </x:c>
      <x:c r="C2025" s="29" t="str">
        <x:v>IN</x:v>
      </x:c>
      <x:c r="D2025" s="29" t="str">
        <x:v>Fayette County</x:v>
      </x:c>
      <x:c r="E2025" s="41" t="n">
        <x:v>23533</x:v>
      </x:c>
      <x:c r="F2025" s="56" t="n">
        <x:v>39.639654</x:v>
      </x:c>
      <x:c r="G2025" s="56" t="n">
        <x:v>-85.185034</x:v>
      </x:c>
      <x:c r="H2025" s="44" t="n">
        <x:f>E2025/SUMIF(A:A,A2025,E:E)</x:f>
        <x:v>0.0015974063545724866</x:v>
      </x:c>
    </x:row>
    <x:row r="2026" ht="21.600000381469727" hidden="0" customHeight="1">
      <x:c r="A2026" s="27" t="str">
        <x:v>SCA-22</x:v>
      </x:c>
      <x:c r="B2026" s="27" t="str">
        <x:v>18047</x:v>
      </x:c>
      <x:c r="C2026" s="27" t="str">
        <x:v>IN</x:v>
      </x:c>
      <x:c r="D2026" s="27" t="str">
        <x:v>Franklin County</x:v>
      </x:c>
      <x:c r="E2026" s="40" t="n">
        <x:v>23286</x:v>
      </x:c>
      <x:c r="F2026" s="55" t="n">
        <x:v>39.409762</x:v>
      </x:c>
      <x:c r="G2026" s="55" t="n">
        <x:v>-85.066964</x:v>
      </x:c>
      <x:c r="H2026" s="43" t="n">
        <x:f>E2026/SUMIF(A:A,A2026,E:E)</x:f>
        <x:v>0.0015806401382133567</x:v>
      </x:c>
    </x:row>
    <x:row r="2027" ht="15" hidden="0" customHeight="1">
      <x:c r="A2027" s="29" t="str">
        <x:v>SCA-22</x:v>
      </x:c>
      <x:c r="B2027" s="29" t="str">
        <x:v>21013</x:v>
      </x:c>
      <x:c r="C2027" s="29" t="str">
        <x:v>KY</x:v>
      </x:c>
      <x:c r="D2027" s="29" t="str">
        <x:v>Bell County</x:v>
      </x:c>
      <x:c r="E2027" s="41" t="n">
        <x:v>22829</x:v>
      </x:c>
      <x:c r="F2027" s="56" t="n">
        <x:v>36.728928</x:v>
      </x:c>
      <x:c r="G2027" s="56" t="n">
        <x:v>-83.680718</x:v>
      </x:c>
      <x:c r="H2027" s="44" t="n">
        <x:f>E2027/SUMIF(A:A,A2027,E:E)</x:f>
        <x:v>0.0015496192439780434</x:v>
      </x:c>
    </x:row>
    <x:row r="2028" ht="15" hidden="0" customHeight="1">
      <x:c r="A2028" s="27" t="str">
        <x:v>SCA-22</x:v>
      </x:c>
      <x:c r="B2028" s="27" t="str">
        <x:v>47151</x:v>
      </x:c>
      <x:c r="C2028" s="27" t="str">
        <x:v>TN</x:v>
      </x:c>
      <x:c r="D2028" s="27" t="str">
        <x:v>Scott County</x:v>
      </x:c>
      <x:c r="E2028" s="40" t="n">
        <x:v>22671</x:v>
      </x:c>
      <x:c r="F2028" s="55" t="n">
        <x:v>36.430592</x:v>
      </x:c>
      <x:c r="G2028" s="55" t="n">
        <x:v>-84.504091</x:v>
      </x:c>
      <x:c r="H2028" s="43" t="n">
        <x:f>E2028/SUMIF(A:A,A2028,E:E)</x:f>
        <x:v>0.001538894295861677</x:v>
      </x:c>
    </x:row>
    <x:row r="2029" ht="15" hidden="0" customHeight="1">
      <x:c r="A2029" s="29" t="str">
        <x:v>SCA-22</x:v>
      </x:c>
      <x:c r="B2029" s="29" t="str">
        <x:v>21003</x:v>
      </x:c>
      <x:c r="C2029" s="29" t="str">
        <x:v>KY</x:v>
      </x:c>
      <x:c r="D2029" s="29" t="str">
        <x:v>Allen County</x:v>
      </x:c>
      <x:c r="E2029" s="41" t="n">
        <x:v>22536</x:v>
      </x:c>
      <x:c r="F2029" s="56" t="n">
        <x:v>36.75077</x:v>
      </x:c>
      <x:c r="G2029" s="56" t="n">
        <x:v>-86.192458</x:v>
      </x:c>
      <x:c r="H2029" s="44" t="n">
        <x:f>E2029/SUMIF(A:A,A2029,E:E)</x:f>
        <x:v>0.0015297305743698449</x:v>
      </x:c>
    </x:row>
    <x:row r="2030" ht="21.600000381469727" hidden="0" customHeight="1">
      <x:c r="A2030" s="27" t="str">
        <x:v>SCA-22</x:v>
      </x:c>
      <x:c r="B2030" s="27" t="str">
        <x:v>47129</x:v>
      </x:c>
      <x:c r="C2030" s="27" t="str">
        <x:v>TN</x:v>
      </x:c>
      <x:c r="D2030" s="27" t="str">
        <x:v>Morgan County</x:v>
      </x:c>
      <x:c r="E2030" s="40" t="n">
        <x:v>22160</x:v>
      </x:c>
      <x:c r="F2030" s="55" t="n">
        <x:v>36.138697</x:v>
      </x:c>
      <x:c r="G2030" s="55" t="n">
        <x:v>-84.639262</x:v>
      </x:c>
      <x:c r="H2030" s="43" t="n">
        <x:f>E2030/SUMIF(A:A,A2030,E:E)</x:f>
        <x:v>0.0015042079130296309</x:v>
      </x:c>
    </x:row>
    <x:row r="2031" ht="21.600000381469727" hidden="0" customHeight="1">
      <x:c r="A2031" s="29" t="str">
        <x:v>SCA-22</x:v>
      </x:c>
      <x:c r="B2031" s="29" t="str">
        <x:v>21115</x:v>
      </x:c>
      <x:c r="C2031" s="29" t="str">
        <x:v>KY</x:v>
      </x:c>
      <x:c r="D2031" s="29" t="str">
        <x:v>Johnson County</x:v>
      </x:c>
      <x:c r="E2031" s="41" t="n">
        <x:v>22051</x:v>
      </x:c>
      <x:c r="F2031" s="56" t="n">
        <x:v>37.847756</x:v>
      </x:c>
      <x:c r="G2031" s="56" t="n">
        <x:v>-82.830121</x:v>
      </x:c>
      <x:c r="H2031" s="44" t="n">
        <x:f>E2031/SUMIF(A:A,A2031,E:E)</x:f>
        <x:v>0.001496809056417707</x:v>
      </x:c>
    </x:row>
    <x:row r="2032" ht="21.600000381469727" hidden="0" customHeight="1">
      <x:c r="A2032" s="27" t="str">
        <x:v>SCA-22</x:v>
      </x:c>
      <x:c r="B2032" s="27" t="str">
        <x:v>18119</x:v>
      </x:c>
      <x:c r="C2032" s="27" t="str">
        <x:v>IN</x:v>
      </x:c>
      <x:c r="D2032" s="27" t="str">
        <x:v>Owen County</x:v>
      </x:c>
      <x:c r="E2032" s="40" t="n">
        <x:v>21886</x:v>
      </x:c>
      <x:c r="F2032" s="55" t="n">
        <x:v>39.317339</x:v>
      </x:c>
      <x:c r="G2032" s="55" t="n">
        <x:v>-86.838845</x:v>
      </x:c>
      <x:c r="H2032" s="43" t="n">
        <x:f>E2032/SUMIF(A:A,A2032,E:E)</x:f>
        <x:v>0.0014856089523721345</x:v>
      </x:c>
    </x:row>
    <x:row r="2033" ht="21.600000381469727" hidden="0" customHeight="1">
      <x:c r="A2033" s="29" t="str">
        <x:v>SCA-22</x:v>
      </x:c>
      <x:c r="B2033" s="29" t="str">
        <x:v>47041</x:v>
      </x:c>
      <x:c r="C2033" s="29" t="str">
        <x:v>TN</x:v>
      </x:c>
      <x:c r="D2033" s="29" t="str">
        <x:v>DeKalb County</x:v>
      </x:c>
      <x:c r="E2033" s="41" t="n">
        <x:v>21873</x:v>
      </x:c>
      <x:c r="F2033" s="56" t="n">
        <x:v>35.982219</x:v>
      </x:c>
      <x:c r="G2033" s="56" t="n">
        <x:v>-85.833596</x:v>
      </x:c>
      <x:c r="H2033" s="44" t="n">
        <x:f>E2033/SUMIF(A:A,A2033,E:E)</x:f>
        <x:v>0.0014847265199321802</x:v>
      </x:c>
    </x:row>
    <x:row r="2034" ht="15" hidden="0" customHeight="1">
      <x:c r="A2034" s="27" t="str">
        <x:v>SCA-22</x:v>
      </x:c>
      <x:c r="B2034" s="27" t="str">
        <x:v>51105</x:v>
      </x:c>
      <x:c r="C2034" s="27" t="str">
        <x:v>VA</x:v>
      </x:c>
      <x:c r="D2034" s="27" t="str">
        <x:v>Lee County</x:v>
      </x:c>
      <x:c r="E2034" s="40" t="n">
        <x:v>21642</x:v>
      </x:c>
      <x:c r="F2034" s="55" t="n">
        <x:v>36.701721</x:v>
      </x:c>
      <x:c r="G2034" s="55" t="n">
        <x:v>-83.130112</x:v>
      </x:c>
      <x:c r="H2034" s="43" t="n">
        <x:f>E2034/SUMIF(A:A,A2034,E:E)</x:f>
        <x:v>0.0014690463742683786</x:v>
      </x:c>
    </x:row>
    <x:row r="2035" ht="21.600000381469727" hidden="0" customHeight="1">
      <x:c r="A2035" s="29" t="str">
        <x:v>SCA-22</x:v>
      </x:c>
      <x:c r="B2035" s="29" t="str">
        <x:v>21027</x:v>
      </x:c>
      <x:c r="C2035" s="29" t="str">
        <x:v>KY</x:v>
      </x:c>
      <x:c r="D2035" s="29" t="str">
        <x:v>Breckinridge County</x:v>
      </x:c>
      <x:c r="E2035" s="41" t="n">
        <x:v>21503</x:v>
      </x:c>
      <x:c r="F2035" s="56" t="n">
        <x:v>37.777988</x:v>
      </x:c>
      <x:c r="G2035" s="56" t="n">
        <x:v>-86.432919</x:v>
      </x:c>
      <x:c r="H2035" s="44" t="n">
        <x:f>E2035/SUMIF(A:A,A2035,E:E)</x:f>
        <x:v>0.0014596111351027144</x:v>
      </x:c>
    </x:row>
    <x:row r="2036" ht="21.600000381469727" hidden="0" customHeight="1">
      <x:c r="A2036" s="27" t="str">
        <x:v>SCA-22</x:v>
      </x:c>
      <x:c r="B2036" s="27" t="str">
        <x:v>54059</x:v>
      </x:c>
      <x:c r="C2036" s="27" t="str">
        <x:v>WV</x:v>
      </x:c>
      <x:c r="D2036" s="27" t="str">
        <x:v>Mingo County</x:v>
      </x:c>
      <x:c r="E2036" s="40" t="n">
        <x:v>21455</x:v>
      </x:c>
      <x:c r="F2036" s="55" t="n">
        <x:v>37.721161</x:v>
      </x:c>
      <x:c r="G2036" s="55" t="n">
        <x:v>-82.158989</x:v>
      </x:c>
      <x:c r="H2036" s="43" t="n">
        <x:f>E2036/SUMIF(A:A,A2036,E:E)</x:f>
        <x:v>0.0014563529230167296</x:v>
      </x:c>
    </x:row>
    <x:row r="2037" ht="21.600000381469727" hidden="0" customHeight="1">
      <x:c r="A2037" s="29" t="str">
        <x:v>SCA-22</x:v>
      </x:c>
      <x:c r="B2037" s="29" t="str">
        <x:v>47173</x:v>
      </x:c>
      <x:c r="C2037" s="29" t="str">
        <x:v>TN</x:v>
      </x:c>
      <x:c r="D2037" s="29" t="str">
        <x:v>Union County</x:v>
      </x:c>
      <x:c r="E2037" s="41" t="n">
        <x:v>21450</x:v>
      </x:c>
      <x:c r="F2037" s="56" t="n">
        <x:v>36.28414</x:v>
      </x:c>
      <x:c r="G2037" s="56" t="n">
        <x:v>-83.836088</x:v>
      </x:c>
      <x:c r="H2037" s="44" t="n">
        <x:f>E2037/SUMIF(A:A,A2037,E:E)</x:f>
        <x:v>0.0014560135259244396</x:v>
      </x:c>
    </x:row>
    <x:row r="2038" ht="15" hidden="0" customHeight="1">
      <x:c r="A2038" s="27" t="str">
        <x:v>SCA-22</x:v>
      </x:c>
      <x:c r="B2038" s="27" t="str">
        <x:v>51169</x:v>
      </x:c>
      <x:c r="C2038" s="27" t="str">
        <x:v>VA</x:v>
      </x:c>
      <x:c r="D2038" s="27" t="str">
        <x:v>Scott County</x:v>
      </x:c>
      <x:c r="E2038" s="40" t="n">
        <x:v>21200</x:v>
      </x:c>
      <x:c r="F2038" s="55" t="n">
        <x:v>36.712776</x:v>
      </x:c>
      <x:c r="G2038" s="55" t="n">
        <x:v>-82.613624</x:v>
      </x:c>
      <x:c r="H2038" s="43" t="n">
        <x:f>E2038/SUMIF(A:A,A2038,E:E)</x:f>
        <x:v>0.0014390436713099357</x:v>
      </x:c>
    </x:row>
    <x:row r="2039" ht="21.600000381469727" hidden="0" customHeight="1">
      <x:c r="A2039" s="29" t="str">
        <x:v>SCA-22</x:v>
      </x:c>
      <x:c r="B2039" s="29" t="str">
        <x:v>21215</x:v>
      </x:c>
      <x:c r="C2039" s="29" t="str">
        <x:v>KY</x:v>
      </x:c>
      <x:c r="D2039" s="29" t="str">
        <x:v>Spencer County</x:v>
      </x:c>
      <x:c r="E2039" s="41" t="n">
        <x:v>20998</x:v>
      </x:c>
      <x:c r="F2039" s="56" t="n">
        <x:v>38.025313</x:v>
      </x:c>
      <x:c r="G2039" s="56" t="n">
        <x:v>-85.317312</x:v>
      </x:c>
      <x:c r="H2039" s="44" t="n">
        <x:f>E2039/SUMIF(A:A,A2039,E:E)</x:f>
        <x:v>0.0014253320287814166</x:v>
      </x:c>
    </x:row>
    <x:row r="2040" ht="21.600000381469727" hidden="0" customHeight="1">
      <x:c r="A2040" s="27" t="str">
        <x:v>SCA-22</x:v>
      </x:c>
      <x:c r="B2040" s="27" t="str">
        <x:v>47159</x:v>
      </x:c>
      <x:c r="C2040" s="27" t="str">
        <x:v>TN</x:v>
      </x:c>
      <x:c r="D2040" s="27" t="str">
        <x:v>Smith County</x:v>
      </x:c>
      <x:c r="E2040" s="40" t="n">
        <x:v>20981</x:v>
      </x:c>
      <x:c r="F2040" s="55" t="n">
        <x:v>36.271671</x:v>
      </x:c>
      <x:c r="G2040" s="55" t="n">
        <x:v>-85.942372</x:v>
      </x:c>
      <x:c r="H2040" s="43" t="n">
        <x:f>E2040/SUMIF(A:A,A2040,E:E)</x:f>
        <x:v>0.0014241780786676303</x:v>
      </x:c>
    </x:row>
    <x:row r="2041" ht="21.600000381469727" hidden="0" customHeight="1">
      <x:c r="A2041" s="29" t="str">
        <x:v>SCA-22</x:v>
      </x:c>
      <x:c r="B2041" s="29" t="str">
        <x:v>18153</x:v>
      </x:c>
      <x:c r="C2041" s="29" t="str">
        <x:v>IN</x:v>
      </x:c>
      <x:c r="D2041" s="29" t="str">
        <x:v>Sullivan County</x:v>
      </x:c>
      <x:c r="E2041" s="41" t="n">
        <x:v>20831</x:v>
      </x:c>
      <x:c r="F2041" s="56" t="n">
        <x:v>39.089225</x:v>
      </x:c>
      <x:c r="G2041" s="56" t="n">
        <x:v>-87.415843</x:v>
      </x:c>
      <x:c r="H2041" s="44" t="n">
        <x:f>E2041/SUMIF(A:A,A2041,E:E)</x:f>
        <x:v>0.0014139961658989279</x:v>
      </x:c>
    </x:row>
    <x:row r="2042" ht="21.600000381469727" hidden="0" customHeight="1">
      <x:c r="A2042" s="27" t="str">
        <x:v>SCA-22</x:v>
      </x:c>
      <x:c r="B2042" s="27" t="str">
        <x:v>21213</x:v>
      </x:c>
      <x:c r="C2042" s="27" t="str">
        <x:v>KY</x:v>
      </x:c>
      <x:c r="D2042" s="27" t="str">
        <x:v>Simpson County</x:v>
      </x:c>
      <x:c r="E2042" s="40" t="n">
        <x:v>20788</x:v>
      </x:c>
      <x:c r="F2042" s="55" t="n">
        <x:v>36.740929</x:v>
      </x:c>
      <x:c r="G2042" s="55" t="n">
        <x:v>-86.581787</x:v>
      </x:c>
      <x:c r="H2042" s="43" t="n">
        <x:f>E2042/SUMIF(A:A,A2042,E:E)</x:f>
        <x:v>0.0014110773509052332</x:v>
      </x:c>
    </x:row>
    <x:row r="2043" ht="21.600000381469727" hidden="0" customHeight="1">
      <x:c r="A2043" s="29" t="str">
        <x:v>SCA-22</x:v>
      </x:c>
      <x:c r="B2043" s="29" t="str">
        <x:v>47049</x:v>
      </x:c>
      <x:c r="C2043" s="29" t="str">
        <x:v>TN</x:v>
      </x:c>
      <x:c r="D2043" s="29" t="str">
        <x:v>Fentress County</x:v>
      </x:c>
      <x:c r="E2043" s="41" t="n">
        <x:v>20322</x:v>
      </x:c>
      <x:c r="F2043" s="56" t="n">
        <x:v>36.369892</x:v>
      </x:c>
      <x:c r="G2043" s="56" t="n">
        <x:v>-84.937764</x:v>
      </x:c>
      <x:c r="H2043" s="44" t="n">
        <x:f>E2043/SUMIF(A:A,A2043,E:E)</x:f>
        <x:v>0.0013794455419037979</x:v>
      </x:c>
    </x:row>
    <x:row r="2044" ht="21.600000381469727" hidden="0" customHeight="1">
      <x:c r="A2044" s="27" t="str">
        <x:v>SCA-22</x:v>
      </x:c>
      <x:c r="B2044" s="27" t="str">
        <x:v>21017</x:v>
      </x:c>
      <x:c r="C2044" s="27" t="str">
        <x:v>KY</x:v>
      </x:c>
      <x:c r="D2044" s="27" t="str">
        <x:v>Bourbon County</x:v>
      </x:c>
      <x:c r="E2044" s="40" t="n">
        <x:v>20243</x:v>
      </x:c>
      <x:c r="F2044" s="55" t="n">
        <x:v>38.202562</x:v>
      </x:c>
      <x:c r="G2044" s="55" t="n">
        <x:v>-84.20986</x:v>
      </x:c>
      <x:c r="H2044" s="43" t="n">
        <x:f>E2044/SUMIF(A:A,A2044,E:E)</x:f>
        <x:v>0.0013740830678456144</x:v>
      </x:c>
    </x:row>
    <x:row r="2045" ht="15" hidden="0" customHeight="1">
      <x:c r="A2045" s="29" t="str">
        <x:v>SCA-22</x:v>
      </x:c>
      <x:c r="B2045" s="29" t="str">
        <x:v>18075</x:v>
      </x:c>
      <x:c r="C2045" s="29" t="str">
        <x:v>IN</x:v>
      </x:c>
      <x:c r="D2045" s="29" t="str">
        <x:v>Jay County</x:v>
      </x:c>
      <x:c r="E2045" s="41" t="n">
        <x:v>20118</x:v>
      </x:c>
      <x:c r="F2045" s="56" t="n">
        <x:v>40.434956</x:v>
      </x:c>
      <x:c r="G2045" s="56" t="n">
        <x:v>-85.002331</x:v>
      </x:c>
      <x:c r="H2045" s="44" t="n">
        <x:f>E2045/SUMIF(A:A,A2045,E:E)</x:f>
        <x:v>0.0013655981405383626</x:v>
      </x:c>
    </x:row>
    <x:row r="2046" ht="15" hidden="0" customHeight="1">
      <x:c r="A2046" s="27" t="str">
        <x:v>SCA-22</x:v>
      </x:c>
      <x:c r="B2046" s="27" t="str">
        <x:v>21099</x:v>
      </x:c>
      <x:c r="C2046" s="27" t="str">
        <x:v>KY</x:v>
      </x:c>
      <x:c r="D2046" s="27" t="str">
        <x:v>Hart County</x:v>
      </x:c>
      <x:c r="E2046" s="40" t="n">
        <x:v>20117</x:v>
      </x:c>
      <x:c r="F2046" s="55" t="n">
        <x:v>37.305827</x:v>
      </x:c>
      <x:c r="G2046" s="55" t="n">
        <x:v>-85.878443</x:v>
      </x:c>
      <x:c r="H2046" s="43" t="n">
        <x:f>E2046/SUMIF(A:A,A2046,E:E)</x:f>
        <x:v>0.0013655302611199046</x:v>
      </x:c>
    </x:row>
    <x:row r="2047" ht="21.600000381469727" hidden="0" customHeight="1">
      <x:c r="A2047" s="29" t="str">
        <x:v>SCA-22</x:v>
      </x:c>
      <x:c r="B2047" s="29" t="str">
        <x:v>21155</x:v>
      </x:c>
      <x:c r="C2047" s="29" t="str">
        <x:v>KY</x:v>
      </x:c>
      <x:c r="D2047" s="29" t="str">
        <x:v>Marion County</x:v>
      </x:c>
      <x:c r="E2047" s="41" t="n">
        <x:v>20115</x:v>
      </x:c>
      <x:c r="F2047" s="56" t="n">
        <x:v>37.552604</x:v>
      </x:c>
      <x:c r="G2047" s="56" t="n">
        <x:v>-85.268959</x:v>
      </x:c>
      <x:c r="H2047" s="44" t="n">
        <x:f>E2047/SUMIF(A:A,A2047,E:E)</x:f>
        <x:v>0.0013653945022829884</x:v>
      </x:c>
    </x:row>
    <x:row r="2048" ht="21.600000381469727" hidden="0" customHeight="1">
      <x:c r="A2048" s="27" t="str">
        <x:v>SCA-22</x:v>
      </x:c>
      <x:c r="B2048" s="27" t="str">
        <x:v>18147</x:v>
      </x:c>
      <x:c r="C2048" s="27" t="str">
        <x:v>IN</x:v>
      </x:c>
      <x:c r="D2048" s="27" t="str">
        <x:v>Spencer County</x:v>
      </x:c>
      <x:c r="E2048" s="40" t="n">
        <x:v>20061</x:v>
      </x:c>
      <x:c r="F2048" s="55" t="n">
        <x:v>38.009697</x:v>
      </x:c>
      <x:c r="G2048" s="55" t="n">
        <x:v>-87.010375</x:v>
      </x:c>
      <x:c r="H2048" s="43" t="n">
        <x:f>E2048/SUMIF(A:A,A2048,E:E)</x:f>
        <x:v>0.0013617290136862556</x:v>
      </x:c>
    </x:row>
    <x:row r="2049" ht="21.600000381469727" hidden="0" customHeight="1">
      <x:c r="A2049" s="29" t="str">
        <x:v>SCA-22</x:v>
      </x:c>
      <x:c r="B2049" s="29" t="str">
        <x:v>21133</x:v>
      </x:c>
      <x:c r="C2049" s="29" t="str">
        <x:v>KY</x:v>
      </x:c>
      <x:c r="D2049" s="29" t="str">
        <x:v>Letcher County</x:v>
      </x:c>
      <x:c r="E2049" s="41" t="n">
        <x:v>19952</x:v>
      </x:c>
      <x:c r="F2049" s="56" t="n">
        <x:v>37.118536</x:v>
      </x:c>
      <x:c r="G2049" s="56" t="n">
        <x:v>-82.861251</x:v>
      </x:c>
      <x:c r="H2049" s="44" t="n">
        <x:f>E2049/SUMIF(A:A,A2049,E:E)</x:f>
        <x:v>0.001354330157074332</x:v>
      </x:c>
    </x:row>
    <x:row r="2050" ht="21.600000381469727" hidden="0" customHeight="1">
      <x:c r="A2050" s="27" t="str">
        <x:v>SCA-22</x:v>
      </x:c>
      <x:c r="B2050" s="27" t="str">
        <x:v>18117</x:v>
      </x:c>
      <x:c r="C2050" s="27" t="str">
        <x:v>IN</x:v>
      </x:c>
      <x:c r="D2050" s="27" t="str">
        <x:v>Orange County</x:v>
      </x:c>
      <x:c r="E2050" s="40" t="n">
        <x:v>19834</x:v>
      </x:c>
      <x:c r="F2050" s="55" t="n">
        <x:v>38.547381</x:v>
      </x:c>
      <x:c r="G2050" s="55" t="n">
        <x:v>-86.489257</x:v>
      </x:c>
      <x:c r="H2050" s="43" t="n">
        <x:f>E2050/SUMIF(A:A,A2050,E:E)</x:f>
        <x:v>0.0013463203856962861</x:v>
      </x:c>
    </x:row>
    <x:row r="2051" ht="21.600000381469727" hidden="0" customHeight="1">
      <x:c r="A2051" s="29" t="str">
        <x:v>SCA-22</x:v>
      </x:c>
      <x:c r="B2051" s="29" t="str">
        <x:v>21097</x:v>
      </x:c>
      <x:c r="C2051" s="29" t="str">
        <x:v>KY</x:v>
      </x:c>
      <x:c r="D2051" s="29" t="str">
        <x:v>Harrison County</x:v>
      </x:c>
      <x:c r="E2051" s="41" t="n">
        <x:v>19627</x:v>
      </x:c>
      <x:c r="F2051" s="56" t="n">
        <x:v>38.444578</x:v>
      </x:c>
      <x:c r="G2051" s="56" t="n">
        <x:v>-84.334131</x:v>
      </x:c>
      <x:c r="H2051" s="44" t="n">
        <x:f>E2051/SUMIF(A:A,A2051,E:E)</x:f>
        <x:v>0.0013322693460754767</x:v>
      </x:c>
    </x:row>
    <x:row r="2052" ht="21.600000381469727" hidden="0" customHeight="1">
      <x:c r="A2052" s="27" t="str">
        <x:v>SCA-22</x:v>
      </x:c>
      <x:c r="B2052" s="27" t="str">
        <x:v>21231</x:v>
      </x:c>
      <x:c r="C2052" s="27" t="str">
        <x:v>KY</x:v>
      </x:c>
      <x:c r="D2052" s="27" t="str">
        <x:v>Wayne County</x:v>
      </x:c>
      <x:c r="E2052" s="40" t="n">
        <x:v>19597</x:v>
      </x:c>
      <x:c r="F2052" s="55" t="n">
        <x:v>36.800772</x:v>
      </x:c>
      <x:c r="G2052" s="55" t="n">
        <x:v>-84.82659</x:v>
      </x:c>
      <x:c r="H2052" s="43" t="n">
        <x:f>E2052/SUMIF(A:A,A2052,E:E)</x:f>
        <x:v>0.0013302329635217363</x:v>
      </x:c>
    </x:row>
    <x:row r="2053" ht="15" hidden="0" customHeight="1">
      <x:c r="A2053" s="29" t="str">
        <x:v>SCA-22</x:v>
      </x:c>
      <x:c r="B2053" s="29" t="str">
        <x:v>21051</x:v>
      </x:c>
      <x:c r="C2053" s="29" t="str">
        <x:v>KY</x:v>
      </x:c>
      <x:c r="D2053" s="29" t="str">
        <x:v>Clay County</x:v>
      </x:c>
      <x:c r="E2053" s="41" t="n">
        <x:v>19465</x:v>
      </x:c>
      <x:c r="F2053" s="56" t="n">
        <x:v>37.164273</x:v>
      </x:c>
      <x:c r="G2053" s="56" t="n">
        <x:v>-83.715454</x:v>
      </x:c>
      <x:c r="H2053" s="44" t="n">
        <x:f>E2053/SUMIF(A:A,A2053,E:E)</x:f>
        <x:v>0.0013212728802852781</x:v>
      </x:c>
    </x:row>
    <x:row r="2054" ht="15" hidden="0" customHeight="1">
      <x:c r="A2054" s="27" t="str">
        <x:v>SCA-22</x:v>
      </x:c>
      <x:c r="B2054" s="27" t="str">
        <x:v>21001</x:v>
      </x:c>
      <x:c r="C2054" s="27" t="str">
        <x:v>KY</x:v>
      </x:c>
      <x:c r="D2054" s="27" t="str">
        <x:v>Adair County</x:v>
      </x:c>
      <x:c r="E2054" s="40" t="n">
        <x:v>19423</x:v>
      </x:c>
      <x:c r="F2054" s="55" t="n">
        <x:v>37.105559</x:v>
      </x:c>
      <x:c r="G2054" s="55" t="n">
        <x:v>-85.28138</x:v>
      </x:c>
      <x:c r="H2054" s="43" t="n">
        <x:f>E2054/SUMIF(A:A,A2054,E:E)</x:f>
        <x:v>0.0013184219447100415</x:v>
      </x:c>
    </x:row>
    <x:row r="2055" ht="15" hidden="0" customHeight="1">
      <x:c r="A2055" s="29" t="str">
        <x:v>SCA-22</x:v>
      </x:c>
      <x:c r="B2055" s="29" t="str">
        <x:v>18123</x:v>
      </x:c>
      <x:c r="C2055" s="29" t="str">
        <x:v>IN</x:v>
      </x:c>
      <x:c r="D2055" s="29" t="str">
        <x:v>Perry County</x:v>
      </x:c>
      <x:c r="E2055" s="41" t="n">
        <x:v>19389</x:v>
      </x:c>
      <x:c r="F2055" s="56" t="n">
        <x:v>38.081436</x:v>
      </x:c>
      <x:c r="G2055" s="56" t="n">
        <x:v>-86.62654</x:v>
      </x:c>
      <x:c r="H2055" s="44" t="n">
        <x:f>E2055/SUMIF(A:A,A2055,E:E)</x:f>
        <x:v>0.0013161140444824689</x:v>
      </x:c>
    </x:row>
    <x:row r="2056" ht="21.600000381469727" hidden="0" customHeight="1">
      <x:c r="A2056" s="27" t="str">
        <x:v>SCA-22</x:v>
      </x:c>
      <x:c r="B2056" s="27" t="str">
        <x:v>54043</x:v>
      </x:c>
      <x:c r="C2056" s="27" t="str">
        <x:v>WV</x:v>
      </x:c>
      <x:c r="D2056" s="27" t="str">
        <x:v>Lincoln County</x:v>
      </x:c>
      <x:c r="E2056" s="40" t="n">
        <x:v>19177</x:v>
      </x:c>
      <x:c r="F2056" s="55" t="n">
        <x:v>38.17177</x:v>
      </x:c>
      <x:c r="G2056" s="55" t="n">
        <x:v>-82.077623</x:v>
      </x:c>
      <x:c r="H2056" s="43" t="n">
        <x:f>E2056/SUMIF(A:A,A2056,E:E)</x:f>
        <x:v>0.0013017236077693696</x:v>
      </x:c>
    </x:row>
    <x:row r="2057" ht="21.600000381469727" hidden="0" customHeight="1">
      <x:c r="A2057" s="29" t="str">
        <x:v>SCA-22</x:v>
      </x:c>
      <x:c r="B2057" s="29" t="str">
        <x:v>17033</x:v>
      </x:c>
      <x:c r="C2057" s="29" t="str">
        <x:v>IL</x:v>
      </x:c>
      <x:c r="D2057" s="29" t="str">
        <x:v>Crawford County</x:v>
      </x:c>
      <x:c r="E2057" s="41" t="n">
        <x:v>18648</x:v>
      </x:c>
      <x:c r="F2057" s="56" t="n">
        <x:v>39.002787</x:v>
      </x:c>
      <x:c r="G2057" s="56" t="n">
        <x:v>-87.760619</x:v>
      </x:c>
      <x:c r="H2057" s="44" t="n">
        <x:f>E2057/SUMIF(A:A,A2057,E:E)</x:f>
        <x:v>0.0012658153954050793</x:v>
      </x:c>
    </x:row>
    <x:row r="2058" ht="21.600000381469727" hidden="0" customHeight="1">
      <x:c r="A2058" s="27" t="str">
        <x:v>SCA-22</x:v>
      </x:c>
      <x:c r="B2058" s="27" t="str">
        <x:v>21207</x:v>
      </x:c>
      <x:c r="C2058" s="27" t="str">
        <x:v>KY</x:v>
      </x:c>
      <x:c r="D2058" s="27" t="str">
        <x:v>Russell County</x:v>
      </x:c>
      <x:c r="E2058" s="40" t="n">
        <x:v>18608</x:v>
      </x:c>
      <x:c r="F2058" s="55" t="n">
        <x:v>36.990587</x:v>
      </x:c>
      <x:c r="G2058" s="55" t="n">
        <x:v>-85.05495</x:v>
      </x:c>
      <x:c r="H2058" s="43" t="n">
        <x:f>E2058/SUMIF(A:A,A2058,E:E)</x:f>
        <x:v>0.0012631002186667586</x:v>
      </x:c>
    </x:row>
    <x:row r="2059" ht="21.600000381469727" hidden="0" customHeight="1">
      <x:c r="A2059" s="29" t="str">
        <x:v>SCA-22</x:v>
      </x:c>
      <x:c r="B2059" s="29" t="str">
        <x:v>51027</x:v>
      </x:c>
      <x:c r="C2059" s="29" t="str">
        <x:v>VA</x:v>
      </x:c>
      <x:c r="D2059" s="29" t="str">
        <x:v>Buchanan County</x:v>
      </x:c>
      <x:c r="E2059" s="41" t="n">
        <x:v>18492</x:v>
      </x:c>
      <x:c r="F2059" s="56" t="n">
        <x:v>37.26812</x:v>
      </x:c>
      <x:c r="G2059" s="56" t="n">
        <x:v>-82.038151</x:v>
      </x:c>
      <x:c r="H2059" s="44" t="n">
        <x:f>E2059/SUMIF(A:A,A2059,E:E)</x:f>
        <x:v>0.0012552262061256288</x:v>
      </x:c>
    </x:row>
    <x:row r="2060" ht="21.600000381469727" hidden="0" customHeight="1">
      <x:c r="A2060" s="27" t="str">
        <x:v>SCA-22</x:v>
      </x:c>
      <x:c r="B2060" s="27" t="str">
        <x:v>21079</x:v>
      </x:c>
      <x:c r="C2060" s="27" t="str">
        <x:v>KY</x:v>
      </x:c>
      <x:c r="D2060" s="27" t="str">
        <x:v>Garrard County</x:v>
      </x:c>
      <x:c r="E2060" s="40" t="n">
        <x:v>18207</x:v>
      </x:c>
      <x:c r="F2060" s="55" t="n">
        <x:v>37.630162</x:v>
      </x:c>
      <x:c r="G2060" s="55" t="n">
        <x:v>-84.545856</x:v>
      </x:c>
      <x:c r="H2060" s="43" t="n">
        <x:f>E2060/SUMIF(A:A,A2060,E:E)</x:f>
        <x:v>0.0012358805718650943</x:v>
      </x:c>
    </x:row>
    <x:row r="2061" ht="21.600000381469727" hidden="0" customHeight="1">
      <x:c r="A2061" s="29" t="str">
        <x:v>SCA-22</x:v>
      </x:c>
      <x:c r="B2061" s="29" t="str">
        <x:v>21147</x:v>
      </x:c>
      <x:c r="C2061" s="29" t="str">
        <x:v>KY</x:v>
      </x:c>
      <x:c r="D2061" s="29" t="str">
        <x:v>McCreary County</x:v>
      </x:c>
      <x:c r="E2061" s="41" t="n">
        <x:v>17124</x:v>
      </x:c>
      <x:c r="F2061" s="56" t="n">
        <x:v>36.731136</x:v>
      </x:c>
      <x:c r="G2061" s="56" t="n">
        <x:v>-84.491052</x:v>
      </x:c>
      <x:c r="H2061" s="44" t="n">
        <x:f>E2061/SUMIF(A:A,A2061,E:E)</x:f>
        <x:v>0.0011623671616750632</x:v>
      </x:c>
    </x:row>
    <x:row r="2062" ht="21.600000381469727" hidden="0" customHeight="1">
      <x:c r="A2062" s="27" t="str">
        <x:v>SCA-22</x:v>
      </x:c>
      <x:c r="B2062" s="27" t="str">
        <x:v>21161</x:v>
      </x:c>
      <x:c r="C2062" s="27" t="str">
        <x:v>KY</x:v>
      </x:c>
      <x:c r="D2062" s="27" t="str">
        <x:v>Mason County</x:v>
      </x:c>
      <x:c r="E2062" s="40" t="n">
        <x:v>16936</x:v>
      </x:c>
      <x:c r="F2062" s="55" t="n">
        <x:v>38.594137</x:v>
      </x:c>
      <x:c r="G2062" s="55" t="n">
        <x:v>-83.828125</x:v>
      </x:c>
      <x:c r="H2062" s="43" t="n">
        <x:f>E2062/SUMIF(A:A,A2062,E:E)</x:f>
        <x:v>0.0011496058310049562</x:v>
      </x:c>
    </x:row>
    <x:row r="2063" ht="15" hidden="0" customHeight="1">
      <x:c r="A2063" s="29" t="str">
        <x:v>SCA-22</x:v>
      </x:c>
      <x:c r="B2063" s="29" t="str">
        <x:v>18139</x:v>
      </x:c>
      <x:c r="C2063" s="29" t="str">
        <x:v>IN</x:v>
      </x:c>
      <x:c r="D2063" s="29" t="str">
        <x:v>Rush County</x:v>
      </x:c>
      <x:c r="E2063" s="41" t="n">
        <x:v>16767</x:v>
      </x:c>
      <x:c r="F2063" s="56" t="n">
        <x:v>39.622365</x:v>
      </x:c>
      <x:c r="G2063" s="56" t="n">
        <x:v>-85.466536</x:v>
      </x:c>
      <x:c r="H2063" s="44" t="n">
        <x:f>E2063/SUMIF(A:A,A2063,E:E)</x:f>
        <x:v>0.0011381342092855514</x:v>
      </x:c>
    </x:row>
    <x:row r="2064" ht="21.600000381469727" hidden="0" customHeight="1">
      <x:c r="A2064" s="27" t="str">
        <x:v>SCA-22</x:v>
      </x:c>
      <x:c r="B2064" s="27" t="str">
        <x:v>18121</x:v>
      </x:c>
      <x:c r="C2064" s="27" t="str">
        <x:v>IN</x:v>
      </x:c>
      <x:c r="D2064" s="27" t="str">
        <x:v>Parke County</x:v>
      </x:c>
      <x:c r="E2064" s="40" t="n">
        <x:v>16642</x:v>
      </x:c>
      <x:c r="F2064" s="55" t="n">
        <x:v>39.77425</x:v>
      </x:c>
      <x:c r="G2064" s="55" t="n">
        <x:v>-87.19695</x:v>
      </x:c>
      <x:c r="H2064" s="43" t="n">
        <x:f>E2064/SUMIF(A:A,A2064,E:E)</x:f>
        <x:v>0.0011296492819782996</x:v>
      </x:c>
    </x:row>
    <x:row r="2065" ht="21.600000381469727" hidden="0" customHeight="1">
      <x:c r="A2065" s="29" t="str">
        <x:v>SCA-22</x:v>
      </x:c>
      <x:c r="B2065" s="29" t="str">
        <x:v>21103</x:v>
      </x:c>
      <x:c r="C2065" s="29" t="str">
        <x:v>KY</x:v>
      </x:c>
      <x:c r="D2065" s="29" t="str">
        <x:v>Henry County</x:v>
      </x:c>
      <x:c r="E2065" s="41" t="n">
        <x:v>16447</x:v>
      </x:c>
      <x:c r="F2065" s="56" t="n">
        <x:v>38.451383</x:v>
      </x:c>
      <x:c r="G2065" s="56" t="n">
        <x:v>-85.119647</x:v>
      </x:c>
      <x:c r="H2065" s="44" t="n">
        <x:f>E2065/SUMIF(A:A,A2065,E:E)</x:f>
        <x:v>0.0011164127953789864</x:v>
      </x:c>
    </x:row>
    <x:row r="2066" ht="21.600000381469727" hidden="0" customHeight="1">
      <x:c r="A2066" s="27" t="str">
        <x:v>SCA-22</x:v>
      </x:c>
      <x:c r="B2066" s="27" t="str">
        <x:v>21045</x:v>
      </x:c>
      <x:c r="C2066" s="27" t="str">
        <x:v>KY</x:v>
      </x:c>
      <x:c r="D2066" s="27" t="str">
        <x:v>Casey County</x:v>
      </x:c>
      <x:c r="E2066" s="40" t="n">
        <x:v>16205</x:v>
      </x:c>
      <x:c r="F2066" s="55" t="n">
        <x:v>37.321962</x:v>
      </x:c>
      <x:c r="G2066" s="55" t="n">
        <x:v>-84.92822</x:v>
      </x:c>
      <x:c r="H2066" s="43" t="n">
        <x:f>E2066/SUMIF(A:A,A2066,E:E)</x:f>
        <x:v>0.0010999859761121466</x:v>
      </x:c>
    </x:row>
    <x:row r="2067" ht="21.600000381469727" hidden="0" customHeight="1">
      <x:c r="A2067" s="29" t="str">
        <x:v>SCA-22</x:v>
      </x:c>
      <x:c r="B2067" s="29" t="str">
        <x:v>21203</x:v>
      </x:c>
      <x:c r="C2067" s="29" t="str">
        <x:v>KY</x:v>
      </x:c>
      <x:c r="D2067" s="29" t="str">
        <x:v>Rockcastle County</x:v>
      </x:c>
      <x:c r="E2067" s="41" t="n">
        <x:v>16148</x:v>
      </x:c>
      <x:c r="F2067" s="56" t="n">
        <x:v>37.36105</x:v>
      </x:c>
      <x:c r="G2067" s="56" t="n">
        <x:v>-84.314368</x:v>
      </x:c>
      <x:c r="H2067" s="44" t="n">
        <x:f>E2067/SUMIF(A:A,A2067,E:E)</x:f>
        <x:v>0.0010961168492600397</x:v>
      </x:c>
    </x:row>
    <x:row r="2068" ht="21.600000381469727" hidden="0" customHeight="1">
      <x:c r="A2068" s="27" t="str">
        <x:v>SCA-22</x:v>
      </x:c>
      <x:c r="B2068" s="27" t="str">
        <x:v>21069</x:v>
      </x:c>
      <x:c r="C2068" s="27" t="str">
        <x:v>KY</x:v>
      </x:c>
      <x:c r="D2068" s="27" t="str">
        <x:v>Fleming County</x:v>
      </x:c>
      <x:c r="E2068" s="40" t="n">
        <x:v>15787</x:v>
      </x:c>
      <x:c r="F2068" s="55" t="n">
        <x:v>38.367848</x:v>
      </x:c>
      <x:c r="G2068" s="55" t="n">
        <x:v>-83.699205</x:v>
      </x:c>
      <x:c r="H2068" s="43" t="n">
        <x:f>E2068/SUMIF(A:A,A2068,E:E)</x:f>
        <x:v>0.001071612379196696</x:v>
      </x:c>
    </x:row>
    <x:row r="2069" ht="21.600000381469727" hidden="0" customHeight="1">
      <x:c r="A2069" s="29" t="str">
        <x:v>SCA-22</x:v>
      </x:c>
      <x:c r="B2069" s="29" t="str">
        <x:v>18013</x:v>
      </x:c>
      <x:c r="C2069" s="29" t="str">
        <x:v>IN</x:v>
      </x:c>
      <x:c r="D2069" s="29" t="str">
        <x:v>Brown County</x:v>
      </x:c>
      <x:c r="E2069" s="41" t="n">
        <x:v>15777</x:v>
      </x:c>
      <x:c r="F2069" s="56" t="n">
        <x:v>39.195113</x:v>
      </x:c>
      <x:c r="G2069" s="56" t="n">
        <x:v>-86.230121</x:v>
      </x:c>
      <x:c r="H2069" s="44" t="n">
        <x:f>E2069/SUMIF(A:A,A2069,E:E)</x:f>
        <x:v>0.0010709335850121158</x:v>
      </x:c>
    </x:row>
    <x:row r="2070" ht="21.600000381469727" hidden="0" customHeight="1">
      <x:c r="A2070" s="27" t="str">
        <x:v>SCA-22</x:v>
      </x:c>
      <x:c r="B2070" s="27" t="str">
        <x:v>21127</x:v>
      </x:c>
      <x:c r="C2070" s="27" t="str">
        <x:v>KY</x:v>
      </x:c>
      <x:c r="D2070" s="27" t="str">
        <x:v>Lawrence County</x:v>
      </x:c>
      <x:c r="E2070" s="40" t="n">
        <x:v>15765</x:v>
      </x:c>
      <x:c r="F2070" s="55" t="n">
        <x:v>38.074453</x:v>
      </x:c>
      <x:c r="G2070" s="55" t="n">
        <x:v>-82.73829</x:v>
      </x:c>
      <x:c r="H2070" s="43" t="n">
        <x:f>E2070/SUMIF(A:A,A2070,E:E)</x:f>
        <x:v>0.0010701190319906196</x:v>
      </x:c>
    </x:row>
    <x:row r="2071" ht="21.600000381469727" hidden="0" customHeight="1">
      <x:c r="A2071" s="29" t="str">
        <x:v>SCA-22</x:v>
      </x:c>
      <x:c r="B2071" s="29" t="str">
        <x:v>21123</x:v>
      </x:c>
      <x:c r="C2071" s="29" t="str">
        <x:v>KY</x:v>
      </x:c>
      <x:c r="D2071" s="29" t="str">
        <x:v>Larue County</x:v>
      </x:c>
      <x:c r="E2071" s="41" t="n">
        <x:v>15184</x:v>
      </x:c>
      <x:c r="F2071" s="56" t="n">
        <x:v>37.544462</x:v>
      </x:c>
      <x:c r="G2071" s="56" t="n">
        <x:v>-85.696841</x:v>
      </x:c>
      <x:c r="H2071" s="44" t="n">
        <x:f>E2071/SUMIF(A:A,A2071,E:E)</x:f>
        <x:v>0.0010306810898665123</x:v>
      </x:c>
    </x:row>
    <x:row r="2072" ht="15" hidden="0" customHeight="1">
      <x:c r="A2072" s="27" t="str">
        <x:v>SCA-22</x:v>
      </x:c>
      <x:c r="B2072" s="27" t="str">
        <x:v>17023</x:v>
      </x:c>
      <x:c r="C2072" s="27" t="str">
        <x:v>IL</x:v>
      </x:c>
      <x:c r="D2072" s="27" t="str">
        <x:v>Clark County</x:v>
      </x:c>
      <x:c r="E2072" s="40" t="n">
        <x:v>15114</x:v>
      </x:c>
      <x:c r="F2072" s="55" t="n">
        <x:v>39.332334</x:v>
      </x:c>
      <x:c r="G2072" s="55" t="n">
        <x:v>-87.791683</x:v>
      </x:c>
      <x:c r="H2072" s="43" t="n">
        <x:f>E2072/SUMIF(A:A,A2072,E:E)</x:f>
        <x:v>0.0010259295305744512</x:v>
      </x:c>
    </x:row>
    <x:row r="2073" ht="21.600000381469727" hidden="0" customHeight="1">
      <x:c r="A2073" s="29" t="str">
        <x:v>SCA-22</x:v>
      </x:c>
      <x:c r="B2073" s="29" t="str">
        <x:v>21191</x:v>
      </x:c>
      <x:c r="C2073" s="29" t="str">
        <x:v>KY</x:v>
      </x:c>
      <x:c r="D2073" s="29" t="str">
        <x:v>Pendleton County</x:v>
      </x:c>
      <x:c r="E2073" s="41" t="n">
        <x:v>14800</x:v>
      </x:c>
      <x:c r="F2073" s="56" t="n">
        <x:v>38.696284</x:v>
      </x:c>
      <x:c r="G2073" s="56" t="n">
        <x:v>-84.351943</x:v>
      </x:c>
      <x:c r="H2073" s="44" t="n">
        <x:f>E2073/SUMIF(A:A,A2073,E:E)</x:f>
        <x:v>0.0010046153931786343</x:v>
      </x:c>
    </x:row>
    <x:row r="2074" ht="15" hidden="0" customHeight="1">
      <x:c r="A2074" s="27" t="str">
        <x:v>SCA-22</x:v>
      </x:c>
      <x:c r="B2074" s="27" t="str">
        <x:v>21221</x:v>
      </x:c>
      <x:c r="C2074" s="27" t="str">
        <x:v>KY</x:v>
      </x:c>
      <x:c r="D2074" s="27" t="str">
        <x:v>Trigg County</x:v>
      </x:c>
      <x:c r="E2074" s="40" t="n">
        <x:v>14512</x:v>
      </x:c>
      <x:c r="F2074" s="55" t="n">
        <x:v>36.807681</x:v>
      </x:c>
      <x:c r="G2074" s="55" t="n">
        <x:v>-87.858652</x:v>
      </x:c>
      <x:c r="H2074" s="43" t="n">
        <x:f>E2074/SUMIF(A:A,A2074,E:E)</x:f>
        <x:v>0.0009850661206627258</x:v>
      </x:c>
    </x:row>
    <x:row r="2075" ht="21.600000381469727" hidden="0" customHeight="1">
      <x:c r="A2075" s="29" t="str">
        <x:v>SCA-22</x:v>
      </x:c>
      <x:c r="B2075" s="29" t="str">
        <x:v>21175</x:v>
      </x:c>
      <x:c r="C2075" s="29" t="str">
        <x:v>KY</x:v>
      </x:c>
      <x:c r="D2075" s="29" t="str">
        <x:v>Morgan County</x:v>
      </x:c>
      <x:c r="E2075" s="41" t="n">
        <x:v>14415</x:v>
      </x:c>
      <x:c r="F2075" s="56" t="n">
        <x:v>37.92294</x:v>
      </x:c>
      <x:c r="G2075" s="56" t="n">
        <x:v>-83.258944</x:v>
      </x:c>
      <x:c r="H2075" s="44" t="n">
        <x:f>E2075/SUMIF(A:A,A2075,E:E)</x:f>
        <x:v>0.0009784818170722983</x:v>
      </x:c>
    </x:row>
    <x:row r="2076" ht="15" hidden="0" customHeight="1">
      <x:c r="A2076" s="27" t="str">
        <x:v>SCA-22</x:v>
      </x:c>
      <x:c r="B2076" s="27" t="str">
        <x:v>21065</x:v>
      </x:c>
      <x:c r="C2076" s="27" t="str">
        <x:v>KY</x:v>
      </x:c>
      <x:c r="D2076" s="27" t="str">
        <x:v>Estill County</x:v>
      </x:c>
      <x:c r="E2076" s="40" t="n">
        <x:v>13962</x:v>
      </x:c>
      <x:c r="F2076" s="55" t="n">
        <x:v>37.692449</x:v>
      </x:c>
      <x:c r="G2076" s="55" t="n">
        <x:v>-83.963983</x:v>
      </x:c>
      <x:c r="H2076" s="43" t="n">
        <x:f>E2076/SUMIF(A:A,A2076,E:E)</x:f>
        <x:v>0.000947732440510817</x:v>
      </x:c>
    </x:row>
    <x:row r="2077" ht="21.600000381469727" hidden="0" customHeight="1">
      <x:c r="A2077" s="29" t="str">
        <x:v>SCA-22</x:v>
      </x:c>
      <x:c r="B2077" s="29" t="str">
        <x:v>17101</x:v>
      </x:c>
      <x:c r="C2077" s="29" t="str">
        <x:v>IL</x:v>
      </x:c>
      <x:c r="D2077" s="29" t="str">
        <x:v>Lawrence County</x:v>
      </x:c>
      <x:c r="E2077" s="41" t="n">
        <x:v>13790</x:v>
      </x:c>
      <x:c r="F2077" s="56" t="n">
        <x:v>38.718954</x:v>
      </x:c>
      <x:c r="G2077" s="56" t="n">
        <x:v>-87.730221</x:v>
      </x:c>
      <x:c r="H2077" s="44" t="n">
        <x:f>E2077/SUMIF(A:A,A2077,E:E)</x:f>
        <x:v>0.0009360571805360384</x:v>
      </x:c>
    </x:row>
    <x:row r="2078" ht="21.600000381469727" hidden="0" customHeight="1">
      <x:c r="A2078" s="27" t="str">
        <x:v>SCA-22</x:v>
      </x:c>
      <x:c r="B2078" s="27" t="str">
        <x:v>21109</x:v>
      </x:c>
      <x:c r="C2078" s="27" t="str">
        <x:v>KY</x:v>
      </x:c>
      <x:c r="D2078" s="27" t="str">
        <x:v>Jackson County</x:v>
      </x:c>
      <x:c r="E2078" s="40" t="n">
        <x:v>13325</x:v>
      </x:c>
      <x:c r="F2078" s="55" t="n">
        <x:v>37.403458</x:v>
      </x:c>
      <x:c r="G2078" s="55" t="n">
        <x:v>-84.020576</x:v>
      </x:c>
      <x:c r="H2078" s="43" t="n">
        <x:f>E2078/SUMIF(A:A,A2078,E:E)</x:f>
        <x:v>0.000904493250953061</x:v>
      </x:c>
    </x:row>
    <x:row r="2079" ht="15" hidden="0" customHeight="1">
      <x:c r="A2079" s="29" t="str">
        <x:v>SCA-22</x:v>
      </x:c>
      <x:c r="B2079" s="29" t="str">
        <x:v>21119</x:v>
      </x:c>
      <x:c r="C2079" s="29" t="str">
        <x:v>KY</x:v>
      </x:c>
      <x:c r="D2079" s="29" t="str">
        <x:v>Knott County</x:v>
      </x:c>
      <x:c r="E2079" s="41" t="n">
        <x:v>13321</x:v>
      </x:c>
      <x:c r="F2079" s="56" t="n">
        <x:v>37.354368</x:v>
      </x:c>
      <x:c r="G2079" s="56" t="n">
        <x:v>-82.952546</x:v>
      </x:c>
      <x:c r="H2079" s="44" t="n">
        <x:f>E2079/SUMIF(A:A,A2079,E:E)</x:f>
        <x:v>0.0009042217332792289</x:v>
      </x:c>
    </x:row>
    <x:row r="2080" ht="21.600000381469727" hidden="0" customHeight="1">
      <x:c r="A2080" s="27" t="str">
        <x:v>SCA-22</x:v>
      </x:c>
      <x:c r="B2080" s="27" t="str">
        <x:v>51051</x:v>
      </x:c>
      <x:c r="C2080" s="27" t="str">
        <x:v>VA</x:v>
      </x:c>
      <x:c r="D2080" s="27" t="str">
        <x:v>Dickenson County</x:v>
      </x:c>
      <x:c r="E2080" s="40" t="n">
        <x:v>13236</x:v>
      </x:c>
      <x:c r="F2080" s="55" t="n">
        <x:v>37.136701</x:v>
      </x:c>
      <x:c r="G2080" s="55" t="n">
        <x:v>-82.34922</x:v>
      </x:c>
      <x:c r="H2080" s="43" t="n">
        <x:f>E2080/SUMIF(A:A,A2080,E:E)</x:f>
        <x:v>0.0008984519827102976</x:v>
      </x:c>
    </x:row>
    <x:row r="2081" ht="15" hidden="0" customHeight="1">
      <x:c r="A2081" s="29" t="str">
        <x:v>SCA-22</x:v>
      </x:c>
      <x:c r="B2081" s="29" t="str">
        <x:v>21011</x:v>
      </x:c>
      <x:c r="C2081" s="29" t="str">
        <x:v>KY</x:v>
      </x:c>
      <x:c r="D2081" s="29" t="str">
        <x:v>Bath County</x:v>
      </x:c>
      <x:c r="E2081" s="41" t="n">
        <x:v>13176</x:v>
      </x:c>
      <x:c r="F2081" s="56" t="n">
        <x:v>38.152249</x:v>
      </x:c>
      <x:c r="G2081" s="56" t="n">
        <x:v>-83.737641</x:v>
      </x:c>
      <x:c r="H2081" s="44" t="n">
        <x:f>E2081/SUMIF(A:A,A2081,E:E)</x:f>
        <x:v>0.0008943792176028166</x:v>
      </x:c>
    </x:row>
    <x:row r="2082" ht="15" hidden="0" customHeight="1">
      <x:c r="A2082" s="27" t="str">
        <x:v>SCA-22</x:v>
      </x:c>
      <x:c r="B2082" s="27" t="str">
        <x:v>21219</x:v>
      </x:c>
      <x:c r="C2082" s="27" t="str">
        <x:v>KY</x:v>
      </x:c>
      <x:c r="D2082" s="27" t="str">
        <x:v>Todd County</x:v>
      </x:c>
      <x:c r="E2082" s="40" t="n">
        <x:v>12972</x:v>
      </x:c>
      <x:c r="F2082" s="55" t="n">
        <x:v>36.840338</x:v>
      </x:c>
      <x:c r="G2082" s="55" t="n">
        <x:v>-87.183642</x:v>
      </x:c>
      <x:c r="H2082" s="43" t="n">
        <x:f>E2082/SUMIF(A:A,A2082,E:E)</x:f>
        <x:v>0.0008805318162373814</x:v>
      </x:c>
    </x:row>
    <x:row r="2083" ht="21.600000381469727" hidden="0" customHeight="1">
      <x:c r="A2083" s="29" t="str">
        <x:v>SCA-22</x:v>
      </x:c>
      <x:c r="B2083" s="29" t="str">
        <x:v>21233</x:v>
      </x:c>
      <x:c r="C2083" s="29" t="str">
        <x:v>KY</x:v>
      </x:c>
      <x:c r="D2083" s="29" t="str">
        <x:v>Webster County</x:v>
      </x:c>
      <x:c r="E2083" s="41" t="n">
        <x:v>12929</x:v>
      </x:c>
      <x:c r="F2083" s="56" t="n">
        <x:v>37.520375</x:v>
      </x:c>
      <x:c r="G2083" s="56" t="n">
        <x:v>-87.685206</x:v>
      </x:c>
      <x:c r="H2083" s="44" t="n">
        <x:f>E2083/SUMIF(A:A,A2083,E:E)</x:f>
        <x:v>0.0008776130012436868</x:v>
      </x:c>
    </x:row>
    <x:row r="2084" ht="21.600000381469727" hidden="0" customHeight="1">
      <x:c r="A2084" s="27" t="str">
        <x:v>SCA-22</x:v>
      </x:c>
      <x:c r="B2084" s="27" t="str">
        <x:v>21135</x:v>
      </x:c>
      <x:c r="C2084" s="27" t="str">
        <x:v>KY</x:v>
      </x:c>
      <x:c r="D2084" s="27" t="str">
        <x:v>Lewis County</x:v>
      </x:c>
      <x:c r="E2084" s="40" t="n">
        <x:v>12901</x:v>
      </x:c>
      <x:c r="F2084" s="55" t="n">
        <x:v>38.535047</x:v>
      </x:c>
      <x:c r="G2084" s="55" t="n">
        <x:v>-83.370143</x:v>
      </x:c>
      <x:c r="H2084" s="43" t="n">
        <x:f>E2084/SUMIF(A:A,A2084,E:E)</x:f>
        <x:v>0.0008757123775268623</x:v>
      </x:c>
    </x:row>
    <x:row r="2085" ht="21.600000381469727" hidden="0" customHeight="1">
      <x:c r="A2085" s="29" t="str">
        <x:v>SCA-22</x:v>
      </x:c>
      <x:c r="B2085" s="29" t="str">
        <x:v>21225</x:v>
      </x:c>
      <x:c r="C2085" s="29" t="str">
        <x:v>KY</x:v>
      </x:c>
      <x:c r="D2085" s="29" t="str">
        <x:v>Union County</x:v>
      </x:c>
      <x:c r="E2085" s="41" t="n">
        <x:v>12839</x:v>
      </x:c>
      <x:c r="F2085" s="56" t="n">
        <x:v>37.658029</x:v>
      </x:c>
      <x:c r="G2085" s="56" t="n">
        <x:v>-87.95165</x:v>
      </x:c>
      <x:c r="H2085" s="44" t="n">
        <x:f>E2085/SUMIF(A:A,A2085,E:E)</x:f>
        <x:v>0.0008715038535824653</x:v>
      </x:c>
    </x:row>
    <x:row r="2086" ht="21.600000381469727" hidden="0" customHeight="1">
      <x:c r="A2086" s="27" t="str">
        <x:v>SCA-22</x:v>
      </x:c>
      <x:c r="B2086" s="27" t="str">
        <x:v>21197</x:v>
      </x:c>
      <x:c r="C2086" s="27" t="str">
        <x:v>KY</x:v>
      </x:c>
      <x:c r="D2086" s="27" t="str">
        <x:v>Powell County</x:v>
      </x:c>
      <x:c r="E2086" s="40" t="n">
        <x:v>12812</x:v>
      </x:c>
      <x:c r="F2086" s="55" t="n">
        <x:v>37.809567</x:v>
      </x:c>
      <x:c r="G2086" s="55" t="n">
        <x:v>-83.831235</x:v>
      </x:c>
      <x:c r="H2086" s="43" t="n">
        <x:f>E2086/SUMIF(A:A,A2086,E:E)</x:f>
        <x:v>0.0008696711092840988</x:v>
      </x:c>
    </x:row>
    <x:row r="2087" ht="21.600000381469727" hidden="0" customHeight="1">
      <x:c r="A2087" s="29" t="str">
        <x:v>SCA-22</x:v>
      </x:c>
      <x:c r="B2087" s="29" t="str">
        <x:v>21061</x:v>
      </x:c>
      <x:c r="C2087" s="29" t="str">
        <x:v>KY</x:v>
      </x:c>
      <x:c r="D2087" s="29" t="str">
        <x:v>Edmonson County</x:v>
      </x:c>
      <x:c r="E2087" s="41" t="n">
        <x:v>12749</x:v>
      </x:c>
      <x:c r="F2087" s="56" t="n">
        <x:v>37.227514</x:v>
      </x:c>
      <x:c r="G2087" s="56" t="n">
        <x:v>-86.218015</x:v>
      </x:c>
      <x:c r="H2087" s="44" t="n">
        <x:f>E2087/SUMIF(A:A,A2087,E:E)</x:f>
        <x:v>0.0008653947059212439</x:v>
      </x:c>
    </x:row>
    <x:row r="2088" ht="21.600000381469727" hidden="0" customHeight="1">
      <x:c r="A2088" s="27" t="str">
        <x:v>SCA-22</x:v>
      </x:c>
      <x:c r="B2088" s="27" t="str">
        <x:v>47169</x:v>
      </x:c>
      <x:c r="C2088" s="27" t="str">
        <x:v>TN</x:v>
      </x:c>
      <x:c r="D2088" s="27" t="str">
        <x:v>Trousdale County</x:v>
      </x:c>
      <x:c r="E2088" s="40" t="n">
        <x:v>12623</x:v>
      </x:c>
      <x:c r="F2088" s="55" t="n">
        <x:v>36.39303</x:v>
      </x:c>
      <x:c r="G2088" s="55" t="n">
        <x:v>-86.156691</x:v>
      </x:c>
      <x:c r="H2088" s="43" t="n">
        <x:f>E2088/SUMIF(A:A,A2088,E:E)</x:f>
        <x:v>0.0008568418991955339</x:v>
      </x:c>
    </x:row>
    <x:row r="2089" ht="21.600000381469727" hidden="0" customHeight="1">
      <x:c r="A2089" s="29" t="str">
        <x:v>SCA-22</x:v>
      </x:c>
      <x:c r="B2089" s="29" t="str">
        <x:v>21033</x:v>
      </x:c>
      <x:c r="C2089" s="29" t="str">
        <x:v>KY</x:v>
      </x:c>
      <x:c r="D2089" s="29" t="str">
        <x:v>Caldwell County</x:v>
      </x:c>
      <x:c r="E2089" s="41" t="n">
        <x:v>12609</x:v>
      </x:c>
      <x:c r="F2089" s="56" t="n">
        <x:v>37.148642</x:v>
      </x:c>
      <x:c r="G2089" s="56" t="n">
        <x:v>-87.870509</x:v>
      </x:c>
      <x:c r="H2089" s="44" t="n">
        <x:f>E2089/SUMIF(A:A,A2089,E:E)</x:f>
        <x:v>0.0008558915873371217</x:v>
      </x:c>
    </x:row>
    <x:row r="2090" ht="21.600000381469727" hidden="0" customHeight="1">
      <x:c r="A2090" s="27" t="str">
        <x:v>SCA-22</x:v>
      </x:c>
      <x:c r="B2090" s="27" t="str">
        <x:v>21025</x:v>
      </x:c>
      <x:c r="C2090" s="27" t="str">
        <x:v>KY</x:v>
      </x:c>
      <x:c r="D2090" s="27" t="str">
        <x:v>Breathitt County</x:v>
      </x:c>
      <x:c r="E2090" s="40" t="n">
        <x:v>12558</x:v>
      </x:c>
      <x:c r="F2090" s="55" t="n">
        <x:v>37.517807</x:v>
      </x:c>
      <x:c r="G2090" s="55" t="n">
        <x:v>-83.317158</x:v>
      </x:c>
      <x:c r="H2090" s="43" t="n">
        <x:f>E2090/SUMIF(A:A,A2090,E:E)</x:f>
        <x:v>0.0008524297369957628</x:v>
      </x:c>
    </x:row>
    <x:row r="2091" ht="21.600000381469727" hidden="0" customHeight="1">
      <x:c r="A2091" s="29" t="str">
        <x:v>SCA-22</x:v>
      </x:c>
      <x:c r="B2091" s="29" t="str">
        <x:v>21031</x:v>
      </x:c>
      <x:c r="C2091" s="29" t="str">
        <x:v>KY</x:v>
      </x:c>
      <x:c r="D2091" s="29" t="str">
        <x:v>Butler County</x:v>
      </x:c>
      <x:c r="E2091" s="41" t="n">
        <x:v>12520</x:v>
      </x:c>
      <x:c r="F2091" s="56" t="n">
        <x:v>37.207013</x:v>
      </x:c>
      <x:c r="G2091" s="56" t="n">
        <x:v>-86.682471</x:v>
      </x:c>
      <x:c r="H2091" s="44" t="n">
        <x:f>E2091/SUMIF(A:A,A2091,E:E)</x:f>
        <x:v>0.0008498503190943582</x:v>
      </x:c>
    </x:row>
    <x:row r="2092" ht="21.600000381469727" hidden="0" customHeight="1">
      <x:c r="A2092" s="27" t="str">
        <x:v>SCA-22</x:v>
      </x:c>
      <x:c r="B2092" s="27" t="str">
        <x:v>47087</x:v>
      </x:c>
      <x:c r="C2092" s="27" t="str">
        <x:v>TN</x:v>
      </x:c>
      <x:c r="D2092" s="27" t="str">
        <x:v>Jackson County</x:v>
      </x:c>
      <x:c r="E2092" s="40" t="n">
        <x:v>12466</x:v>
      </x:c>
      <x:c r="F2092" s="55" t="n">
        <x:v>36.35425</x:v>
      </x:c>
      <x:c r="G2092" s="55" t="n">
        <x:v>-85.674128</x:v>
      </x:c>
      <x:c r="H2092" s="43" t="n">
        <x:f>E2092/SUMIF(A:A,A2092,E:E)</x:f>
        <x:v>0.0008461848304976254</x:v>
      </x:c>
    </x:row>
    <x:row r="2093" ht="21.600000381469727" hidden="0" customHeight="1">
      <x:c r="A2093" s="29" t="str">
        <x:v>SCA-22</x:v>
      </x:c>
      <x:c r="B2093" s="29" t="str">
        <x:v>21229</x:v>
      </x:c>
      <x:c r="C2093" s="29" t="str">
        <x:v>KY</x:v>
      </x:c>
      <x:c r="D2093" s="29" t="str">
        <x:v>Washington County</x:v>
      </x:c>
      <x:c r="E2093" s="41" t="n">
        <x:v>12368</x:v>
      </x:c>
      <x:c r="F2093" s="56" t="n">
        <x:v>37.754209</x:v>
      </x:c>
      <x:c r="G2093" s="56" t="n">
        <x:v>-85.175416</x:v>
      </x:c>
      <x:c r="H2093" s="44" t="n">
        <x:f>E2093/SUMIF(A:A,A2093,E:E)</x:f>
        <x:v>0.0008395326474887399</x:v>
      </x:c>
    </x:row>
    <x:row r="2094" ht="15" hidden="0" customHeight="1">
      <x:c r="A2094" s="27" t="str">
        <x:v>SCA-22</x:v>
      </x:c>
      <x:c r="B2094" s="27" t="str">
        <x:v>18125</x:v>
      </x:c>
      <x:c r="C2094" s="27" t="str">
        <x:v>IN</x:v>
      </x:c>
      <x:c r="D2094" s="27" t="str">
        <x:v>Pike County</x:v>
      </x:c>
      <x:c r="E2094" s="40" t="n">
        <x:v>12003</x:v>
      </x:c>
      <x:c r="F2094" s="55" t="n">
        <x:v>38.397961</x:v>
      </x:c>
      <x:c r="G2094" s="55" t="n">
        <x:v>-87.232547</x:v>
      </x:c>
      <x:c r="H2094" s="43" t="n">
        <x:f>E2094/SUMIF(A:A,A2094,E:E)</x:f>
        <x:v>0.0008147566597515641</x:v>
      </x:c>
    </x:row>
    <x:row r="2095" ht="21.600000381469727" hidden="0" customHeight="1">
      <x:c r="A2095" s="29" t="str">
        <x:v>SCA-22</x:v>
      </x:c>
      <x:c r="B2095" s="29" t="str">
        <x:v>18009</x:v>
      </x:c>
      <x:c r="C2095" s="29" t="str">
        <x:v>IN</x:v>
      </x:c>
      <x:c r="D2095" s="29" t="str">
        <x:v>Blackford County</x:v>
      </x:c>
      <x:c r="E2095" s="41" t="n">
        <x:v>11730</x:v>
      </x:c>
      <x:c r="F2095" s="56" t="n">
        <x:v>40.472672</x:v>
      </x:c>
      <x:c r="G2095" s="56" t="n">
        <x:v>-85.32373</x:v>
      </x:c>
      <x:c r="H2095" s="44" t="n">
        <x:f>E2095/SUMIF(A:A,A2095,E:E)</x:f>
        <x:v>0.0007962255785125258</x:v>
      </x:c>
    </x:row>
    <x:row r="2096" ht="21.600000381469727" hidden="0" customHeight="1">
      <x:c r="A2096" s="27" t="str">
        <x:v>SCA-22</x:v>
      </x:c>
      <x:c r="B2096" s="27" t="str">
        <x:v>21087</x:v>
      </x:c>
      <x:c r="C2096" s="27" t="str">
        <x:v>KY</x:v>
      </x:c>
      <x:c r="D2096" s="27" t="str">
        <x:v>Green County</x:v>
      </x:c>
      <x:c r="E2096" s="40" t="n">
        <x:v>11644</x:v>
      </x:c>
      <x:c r="F2096" s="55" t="n">
        <x:v>37.278065</x:v>
      </x:c>
      <x:c r="G2096" s="55" t="n">
        <x:v>-85.537925</x:v>
      </x:c>
      <x:c r="H2096" s="43" t="n">
        <x:f>E2096/SUMIF(A:A,A2096,E:E)</x:f>
        <x:v>0.0007903879485251364</x:v>
      </x:c>
    </x:row>
    <x:row r="2097" ht="21.600000381469727" hidden="0" customHeight="1">
      <x:c r="A2097" s="29" t="str">
        <x:v>SCA-22</x:v>
      </x:c>
      <x:c r="B2097" s="29" t="str">
        <x:v>21187</x:v>
      </x:c>
      <x:c r="C2097" s="29" t="str">
        <x:v>KY</x:v>
      </x:c>
      <x:c r="D2097" s="29" t="str">
        <x:v>Owen County</x:v>
      </x:c>
      <x:c r="E2097" s="41" t="n">
        <x:v>11601</x:v>
      </x:c>
      <x:c r="F2097" s="56" t="n">
        <x:v>38.499395</x:v>
      </x:c>
      <x:c r="G2097" s="56" t="n">
        <x:v>-84.84159</x:v>
      </x:c>
      <x:c r="H2097" s="44" t="n">
        <x:f>E2097/SUMIF(A:A,A2097,E:E)</x:f>
        <x:v>0.0007874691335314417</x:v>
      </x:c>
    </x:row>
    <x:row r="2098" ht="21.600000381469727" hidden="0" customHeight="1">
      <x:c r="A2098" s="27" t="str">
        <x:v>SCA-22</x:v>
      </x:c>
      <x:c r="B2098" s="27" t="str">
        <x:v>21171</x:v>
      </x:c>
      <x:c r="C2098" s="27" t="str">
        <x:v>KY</x:v>
      </x:c>
      <x:c r="D2098" s="27" t="str">
        <x:v>Monroe County</x:v>
      </x:c>
      <x:c r="E2098" s="40" t="n">
        <x:v>11191</x:v>
      </x:c>
      <x:c r="F2098" s="55" t="n">
        <x:v>36.714077</x:v>
      </x:c>
      <x:c r="G2098" s="55" t="n">
        <x:v>-85.713508</x:v>
      </x:c>
      <x:c r="H2098" s="43" t="n">
        <x:f>E2098/SUMIF(A:A,A2098,E:E)</x:f>
        <x:v>0.0007596385719636552</x:v>
      </x:c>
    </x:row>
    <x:row r="2099" ht="21.600000381469727" hidden="0" customHeight="1">
      <x:c r="A2099" s="29" t="str">
        <x:v>SCA-22</x:v>
      </x:c>
      <x:c r="B2099" s="29" t="str">
        <x:v>21041</x:v>
      </x:c>
      <x:c r="C2099" s="29" t="str">
        <x:v>KY</x:v>
      </x:c>
      <x:c r="D2099" s="29" t="str">
        <x:v>Carroll County</x:v>
      </x:c>
      <x:c r="E2099" s="41" t="n">
        <x:v>11141</x:v>
      </x:c>
      <x:c r="F2099" s="56" t="n">
        <x:v>38.668394</x:v>
      </x:c>
      <x:c r="G2099" s="56" t="n">
        <x:v>-85.124024</x:v>
      </x:c>
      <x:c r="H2099" s="44" t="n">
        <x:f>E2099/SUMIF(A:A,A2099,E:E)</x:f>
        <x:v>0.0007562446010407544</x:v>
      </x:c>
    </x:row>
    <x:row r="2100" ht="21.600000381469727" hidden="0" customHeight="1">
      <x:c r="A2100" s="27" t="str">
        <x:v>SCA-22</x:v>
      </x:c>
      <x:c r="B2100" s="27" t="str">
        <x:v>21153</x:v>
      </x:c>
      <x:c r="C2100" s="27" t="str">
        <x:v>KY</x:v>
      </x:c>
      <x:c r="D2100" s="27" t="str">
        <x:v>Magoffin County</x:v>
      </x:c>
      <x:c r="E2100" s="40" t="n">
        <x:v>11110</x:v>
      </x:c>
      <x:c r="F2100" s="55" t="n">
        <x:v>37.698983</x:v>
      </x:c>
      <x:c r="G2100" s="55" t="n">
        <x:v>-83.069721</x:v>
      </x:c>
      <x:c r="H2100" s="43" t="n">
        <x:f>E2100/SUMIF(A:A,A2100,E:E)</x:f>
        <x:v>0.0007541403390685559</x:v>
      </x:c>
    </x:row>
    <x:row r="2101" ht="21.600000381469727" hidden="0" customHeight="1">
      <x:c r="A2101" s="29" t="str">
        <x:v>SCA-22</x:v>
      </x:c>
      <x:c r="B2101" s="29" t="str">
        <x:v>17185</x:v>
      </x:c>
      <x:c r="C2101" s="29" t="str">
        <x:v>IL</x:v>
      </x:c>
      <x:c r="D2101" s="29" t="str">
        <x:v>Wabash County</x:v>
      </x:c>
      <x:c r="E2101" s="41" t="n">
        <x:v>10907</x:v>
      </x:c>
      <x:c r="F2101" s="56" t="n">
        <x:v>38.445821</x:v>
      </x:c>
      <x:c r="G2101" s="56" t="n">
        <x:v>-87.839167</x:v>
      </x:c>
      <x:c r="H2101" s="44" t="n">
        <x:f>E2101/SUMIF(A:A,A2101,E:E)</x:f>
        <x:v>0.0007403608171215786</x:v>
      </x:c>
    </x:row>
    <x:row r="2102" ht="21.600000381469727" hidden="0" customHeight="1">
      <x:c r="A2102" s="27" t="str">
        <x:v>SCA-22</x:v>
      </x:c>
      <x:c r="B2102" s="27" t="str">
        <x:v>21159</x:v>
      </x:c>
      <x:c r="C2102" s="27" t="str">
        <x:v>KY</x:v>
      </x:c>
      <x:c r="D2102" s="27" t="str">
        <x:v>Martin County</x:v>
      </x:c>
      <x:c r="E2102" s="40" t="n">
        <x:v>10697</x:v>
      </x:c>
      <x:c r="F2102" s="55" t="n">
        <x:v>37.796774</x:v>
      </x:c>
      <x:c r="G2102" s="55" t="n">
        <x:v>-82.506623</x:v>
      </x:c>
      <x:c r="H2102" s="43" t="n">
        <x:f>E2102/SUMIF(A:A,A2102,E:E)</x:f>
        <x:v>0.0007261061392453954</x:v>
      </x:c>
    </x:row>
    <x:row r="2103" ht="21.600000381469727" hidden="0" customHeight="1">
      <x:c r="A2103" s="29" t="str">
        <x:v>SCA-22</x:v>
      </x:c>
      <x:c r="B2103" s="29" t="str">
        <x:v>21169</x:v>
      </x:c>
      <x:c r="C2103" s="29" t="str">
        <x:v>KY</x:v>
      </x:c>
      <x:c r="D2103" s="29" t="str">
        <x:v>Metcalfe County</x:v>
      </x:c>
      <x:c r="E2103" s="41" t="n">
        <x:v>10583</x:v>
      </x:c>
      <x:c r="F2103" s="56" t="n">
        <x:v>36.99243</x:v>
      </x:c>
      <x:c r="G2103" s="56" t="n">
        <x:v>-85.633456</x:v>
      </x:c>
      <x:c r="H2103" s="44" t="n">
        <x:f>E2103/SUMIF(A:A,A2103,E:E)</x:f>
        <x:v>0.0007183678855411815</x:v>
      </x:c>
    </x:row>
    <x:row r="2104" ht="21.600000381469727" hidden="0" customHeight="1">
      <x:c r="A2104" s="27" t="str">
        <x:v>SCA-22</x:v>
      </x:c>
      <x:c r="B2104" s="27" t="str">
        <x:v>18025</x:v>
      </x:c>
      <x:c r="C2104" s="27" t="str">
        <x:v>IN</x:v>
      </x:c>
      <x:c r="D2104" s="27" t="str">
        <x:v>Crawford County</x:v>
      </x:c>
      <x:c r="E2104" s="40" t="n">
        <x:v>10509</x:v>
      </x:c>
      <x:c r="F2104" s="55" t="n">
        <x:v>38.289433</x:v>
      </x:c>
      <x:c r="G2104" s="55" t="n">
        <x:v>-86.440871</x:v>
      </x:c>
      <x:c r="H2104" s="43" t="n">
        <x:f>E2104/SUMIF(A:A,A2104,E:E)</x:f>
        <x:v>0.0007133448085752884</x:v>
      </x:c>
    </x:row>
    <x:row r="2105" ht="21.600000381469727" hidden="0" customHeight="1">
      <x:c r="A2105" s="29" t="str">
        <x:v>SCA-22</x:v>
      </x:c>
      <x:c r="B2105" s="29" t="str">
        <x:v>18155</x:v>
      </x:c>
      <x:c r="C2105" s="29" t="str">
        <x:v>IN</x:v>
      </x:c>
      <x:c r="D2105" s="29" t="str">
        <x:v>Switzerland County</x:v>
      </x:c>
      <x:c r="E2105" s="41" t="n">
        <x:v>10037</x:v>
      </x:c>
      <x:c r="F2105" s="56" t="n">
        <x:v>38.825854</x:v>
      </x:c>
      <x:c r="G2105" s="56" t="n">
        <x:v>-85.029681</x:v>
      </x:c>
      <x:c r="H2105" s="44" t="n">
        <x:f>E2105/SUMIF(A:A,A2105,E:E)</x:f>
        <x:v>0.0006813057230631049</x:v>
      </x:c>
    </x:row>
    <x:row r="2106" ht="21.600000381469727" hidden="0" customHeight="1">
      <x:c r="A2106" s="27" t="str">
        <x:v>SCA-22</x:v>
      </x:c>
      <x:c r="B2106" s="27" t="str">
        <x:v>18101</x:v>
      </x:c>
      <x:c r="C2106" s="27" t="str">
        <x:v>IN</x:v>
      </x:c>
      <x:c r="D2106" s="27" t="str">
        <x:v>Martin County</x:v>
      </x:c>
      <x:c r="E2106" s="40" t="n">
        <x:v>9856</x:v>
      </x:c>
      <x:c r="F2106" s="55" t="n">
        <x:v>38.705322</x:v>
      </x:c>
      <x:c r="G2106" s="55" t="n">
        <x:v>-86.801847</x:v>
      </x:c>
      <x:c r="H2106" s="43" t="n">
        <x:f>E2106/SUMIF(A:A,A2106,E:E)</x:f>
        <x:v>0.000669019548322204</x:v>
      </x:c>
    </x:row>
    <x:row r="2107" ht="21.600000381469727" hidden="0" customHeight="1">
      <x:c r="A2107" s="29" t="str">
        <x:v>SCA-22</x:v>
      </x:c>
      <x:c r="B2107" s="29" t="str">
        <x:v>21131</x:v>
      </x:c>
      <x:c r="C2107" s="29" t="str">
        <x:v>KY</x:v>
      </x:c>
      <x:c r="D2107" s="29" t="str">
        <x:v>Leslie County</x:v>
      </x:c>
      <x:c r="E2107" s="41" t="n">
        <x:v>9627</x:v>
      </x:c>
      <x:c r="F2107" s="56" t="n">
        <x:v>37.087846</x:v>
      </x:c>
      <x:c r="G2107" s="56" t="n">
        <x:v>-83.388617</x:v>
      </x:c>
      <x:c r="H2107" s="44" t="n">
        <x:f>E2107/SUMIF(A:A,A2107,E:E)</x:f>
        <x:v>0.0006534751614953185</x:v>
      </x:c>
    </x:row>
    <x:row r="2108" ht="21.600000381469727" hidden="0" customHeight="1">
      <x:c r="A2108" s="27" t="str">
        <x:v>SCA-22</x:v>
      </x:c>
      <x:c r="B2108" s="27" t="str">
        <x:v>21053</x:v>
      </x:c>
      <x:c r="C2108" s="27" t="str">
        <x:v>KY</x:v>
      </x:c>
      <x:c r="D2108" s="27" t="str">
        <x:v>Clinton County</x:v>
      </x:c>
      <x:c r="E2108" s="40" t="n">
        <x:v>9139</x:v>
      </x:c>
      <x:c r="F2108" s="55" t="n">
        <x:v>36.727258</x:v>
      </x:c>
      <x:c r="G2108" s="55" t="n">
        <x:v>-85.136098</x:v>
      </x:c>
      <x:c r="H2108" s="43" t="n">
        <x:f>E2108/SUMIF(A:A,A2108,E:E)</x:f>
        <x:v>0.0006203500052878067</x:v>
      </x:c>
    </x:row>
    <x:row r="2109" ht="15" hidden="0" customHeight="1">
      <x:c r="A2109" s="29" t="str">
        <x:v>SCA-22</x:v>
      </x:c>
      <x:c r="B2109" s="29" t="str">
        <x:v>21143</x:v>
      </x:c>
      <x:c r="C2109" s="29" t="str">
        <x:v>KY</x:v>
      </x:c>
      <x:c r="D2109" s="29" t="str">
        <x:v>Lyon County</x:v>
      </x:c>
      <x:c r="E2109" s="41" t="n">
        <x:v>9123</x:v>
      </x:c>
      <x:c r="F2109" s="56" t="n">
        <x:v>37.023976</x:v>
      </x:c>
      <x:c r="G2109" s="56" t="n">
        <x:v>-88.083391</x:v>
      </x:c>
      <x:c r="H2109" s="44" t="n">
        <x:f>E2109/SUMIF(A:A,A2109,E:E)</x:f>
        <x:v>0.0006192639345924785</x:v>
      </x:c>
    </x:row>
    <x:row r="2110" ht="21.600000381469727" hidden="0" customHeight="1">
      <x:c r="A2110" s="27" t="str">
        <x:v>SCA-22</x:v>
      </x:c>
      <x:c r="B2110" s="27" t="str">
        <x:v>21149</x:v>
      </x:c>
      <x:c r="C2110" s="27" t="str">
        <x:v>KY</x:v>
      </x:c>
      <x:c r="D2110" s="27" t="str">
        <x:v>McLean County</x:v>
      </x:c>
      <x:c r="E2110" s="40" t="n">
        <x:v>9064</x:v>
      </x:c>
      <x:c r="F2110" s="55" t="n">
        <x:v>37.526707</x:v>
      </x:c>
      <x:c r="G2110" s="55" t="n">
        <x:v>-87.265597</x:v>
      </x:c>
      <x:c r="H2110" s="43" t="n">
        <x:f>E2110/SUMIF(A:A,A2110,E:E)</x:f>
        <x:v>0.0006152590489034556</x:v>
      </x:c>
    </x:row>
    <x:row r="2111" ht="21.600000381469727" hidden="0" customHeight="1">
      <x:c r="A2111" s="29" t="str">
        <x:v>SCA-22</x:v>
      </x:c>
      <x:c r="B2111" s="29" t="str">
        <x:v>21091</x:v>
      </x:c>
      <x:c r="C2111" s="29" t="str">
        <x:v>KY</x:v>
      </x:c>
      <x:c r="D2111" s="29" t="str">
        <x:v>Hancock County</x:v>
      </x:c>
      <x:c r="E2111" s="41" t="n">
        <x:v>9050</x:v>
      </x:c>
      <x:c r="F2111" s="56" t="n">
        <x:v>37.843325</x:v>
      </x:c>
      <x:c r="G2111" s="56" t="n">
        <x:v>-86.792761</x:v>
      </x:c>
      <x:c r="H2111" s="44" t="n">
        <x:f>E2111/SUMIF(A:A,A2111,E:E)</x:f>
        <x:v>0.0006143087370450433</x:v>
      </x:c>
    </x:row>
    <x:row r="2112" ht="21.600000381469727" hidden="0" customHeight="1">
      <x:c r="A2112" s="27" t="str">
        <x:v>SCA-22</x:v>
      </x:c>
      <x:c r="B2112" s="27" t="str">
        <x:v>21077</x:v>
      </x:c>
      <x:c r="C2112" s="27" t="str">
        <x:v>KY</x:v>
      </x:c>
      <x:c r="D2112" s="27" t="str">
        <x:v>Gallatin County</x:v>
      </x:c>
      <x:c r="E2112" s="40" t="n">
        <x:v>8840</x:v>
      </x:c>
      <x:c r="F2112" s="55" t="n">
        <x:v>38.755663</x:v>
      </x:c>
      <x:c r="G2112" s="55" t="n">
        <x:v>-84.865143</x:v>
      </x:c>
      <x:c r="H2112" s="43" t="n">
        <x:f>E2112/SUMIF(A:A,A2112,E:E)</x:f>
        <x:v>0.00060005405916886</x:v>
      </x:c>
    </x:row>
    <x:row r="2113" ht="21.600000381469727" hidden="0" customHeight="1">
      <x:c r="A2113" s="29" t="str">
        <x:v>SCA-22</x:v>
      </x:c>
      <x:c r="B2113" s="29" t="str">
        <x:v>21055</x:v>
      </x:c>
      <x:c r="C2113" s="29" t="str">
        <x:v>KY</x:v>
      </x:c>
      <x:c r="D2113" s="29" t="str">
        <x:v>Crittenden County</x:v>
      </x:c>
      <x:c r="E2113" s="41" t="n">
        <x:v>8807</x:v>
      </x:c>
      <x:c r="F2113" s="56" t="n">
        <x:v>37.358149</x:v>
      </x:c>
      <x:c r="G2113" s="56" t="n">
        <x:v>-88.10501</x:v>
      </x:c>
      <x:c r="H2113" s="44" t="n">
        <x:f>E2113/SUMIF(A:A,A2113,E:E)</x:f>
        <x:v>0.0005978140383597454</x:v>
      </x:c>
    </x:row>
    <x:row r="2114" ht="21.600000381469727" hidden="0" customHeight="1">
      <x:c r="A2114" s="27" t="str">
        <x:v>SCA-22</x:v>
      </x:c>
      <x:c r="B2114" s="27" t="str">
        <x:v>21223</x:v>
      </x:c>
      <x:c r="C2114" s="27" t="str">
        <x:v>KY</x:v>
      </x:c>
      <x:c r="D2114" s="27" t="str">
        <x:v>Trimble County</x:v>
      </x:c>
      <x:c r="E2114" s="40" t="n">
        <x:v>8701</x:v>
      </x:c>
      <x:c r="F2114" s="55" t="n">
        <x:v>38.62004</x:v>
      </x:c>
      <x:c r="G2114" s="55" t="n">
        <x:v>-85.351208</x:v>
      </x:c>
      <x:c r="H2114" s="43" t="n">
        <x:f>E2114/SUMIF(A:A,A2114,E:E)</x:f>
        <x:v>0.0005906188200031958</x:v>
      </x:c>
    </x:row>
    <x:row r="2115" ht="21.600000381469727" hidden="0" customHeight="1">
      <x:c r="A2115" s="29" t="str">
        <x:v>SCA-22</x:v>
      </x:c>
      <x:c r="B2115" s="29" t="str">
        <x:v>21023</x:v>
      </x:c>
      <x:c r="C2115" s="29" t="str">
        <x:v>KY</x:v>
      </x:c>
      <x:c r="D2115" s="29" t="str">
        <x:v>Bracken County</x:v>
      </x:c>
      <x:c r="E2115" s="41" t="n">
        <x:v>8511</x:v>
      </x:c>
      <x:c r="F2115" s="56" t="n">
        <x:v>38.680365</x:v>
      </x:c>
      <x:c r="G2115" s="56" t="n">
        <x:v>-84.115235</x:v>
      </x:c>
      <x:c r="H2115" s="44" t="n">
        <x:f>E2115/SUMIF(A:A,A2115,E:E)</x:f>
        <x:v>0.0005777217304961728</x:v>
      </x:c>
    </x:row>
    <x:row r="2116" ht="21.600000381469727" hidden="0" customHeight="1">
      <x:c r="A2116" s="27" t="str">
        <x:v>SCA-22</x:v>
      </x:c>
      <x:c r="B2116" s="27" t="str">
        <x:v>21181</x:v>
      </x:c>
      <x:c r="C2116" s="27" t="str">
        <x:v>KY</x:v>
      </x:c>
      <x:c r="D2116" s="27" t="str">
        <x:v>Nicholas County</x:v>
      </x:c>
      <x:c r="E2116" s="40" t="n">
        <x:v>7949</x:v>
      </x:c>
      <x:c r="F2116" s="55" t="n">
        <x:v>38.338031</x:v>
      </x:c>
      <x:c r="G2116" s="55" t="n">
        <x:v>-84.026223</x:v>
      </x:c>
      <x:c r="H2116" s="43" t="n">
        <x:f>E2116/SUMIF(A:A,A2116,E:E)</x:f>
        <x:v>0.0005395734973227678</x:v>
      </x:c>
    </x:row>
    <x:row r="2117" ht="15" hidden="0" customHeight="1">
      <x:c r="A2117" s="29" t="str">
        <x:v>SCA-22</x:v>
      </x:c>
      <x:c r="B2117" s="29" t="str">
        <x:v>47027</x:v>
      </x:c>
      <x:c r="C2117" s="29" t="str">
        <x:v>TN</x:v>
      </x:c>
      <x:c r="D2117" s="29" t="str">
        <x:v>Clay County</x:v>
      </x:c>
      <x:c r="E2117" s="41" t="n">
        <x:v>7821</x:v>
      </x:c>
      <x:c r="F2117" s="56" t="n">
        <x:v>36.545749</x:v>
      </x:c>
      <x:c r="G2117" s="56" t="n">
        <x:v>-85.545717</x:v>
      </x:c>
      <x:c r="H2117" s="44" t="n">
        <x:f>E2117/SUMIF(A:A,A2117,E:E)</x:f>
        <x:v>0.0005308849317601418</x:v>
      </x:c>
    </x:row>
    <x:row r="2118" ht="15" hidden="0" customHeight="1">
      <x:c r="A2118" s="27" t="str">
        <x:v>SCA-22</x:v>
      </x:c>
      <x:c r="B2118" s="27" t="str">
        <x:v>21129</x:v>
      </x:c>
      <x:c r="C2118" s="27" t="str">
        <x:v>KY</x:v>
      </x:c>
      <x:c r="D2118" s="27" t="str">
        <x:v>Lee County</x:v>
      </x:c>
      <x:c r="E2118" s="40" t="n">
        <x:v>7297</x:v>
      </x:c>
      <x:c r="F2118" s="55" t="n">
        <x:v>37.608116</x:v>
      </x:c>
      <x:c r="G2118" s="55" t="n">
        <x:v>-83.719248</x:v>
      </x:c>
      <x:c r="H2118" s="43" t="n">
        <x:f>E2118/SUMIF(A:A,A2118,E:E)</x:f>
        <x:v>0.0004953161164881415</x:v>
      </x:c>
    </x:row>
    <x:row r="2119" ht="15" hidden="0" customHeight="1">
      <x:c r="A2119" s="29" t="str">
        <x:v>SCA-22</x:v>
      </x:c>
      <x:c r="B2119" s="29" t="str">
        <x:v>21063</x:v>
      </x:c>
      <x:c r="C2119" s="29" t="str">
        <x:v>KY</x:v>
      </x:c>
      <x:c r="D2119" s="29" t="str">
        <x:v>Elliott County</x:v>
      </x:c>
      <x:c r="E2119" s="41" t="n">
        <x:v>7265</x:v>
      </x:c>
      <x:c r="F2119" s="56" t="n">
        <x:v>38.116883</x:v>
      </x:c>
      <x:c r="G2119" s="56" t="n">
        <x:v>-83.096116</x:v>
      </x:c>
      <x:c r="H2119" s="44" t="n">
        <x:f>E2119/SUMIF(A:A,A2119,E:E)</x:f>
        <x:v>0.000493143975097485</x:v>
      </x:c>
    </x:row>
    <x:row r="2120" ht="21.600000381469727" hidden="0" customHeight="1">
      <x:c r="A2120" s="27" t="str">
        <x:v>SCA-22</x:v>
      </x:c>
      <x:c r="B2120" s="27" t="str">
        <x:v>47067</x:v>
      </x:c>
      <x:c r="C2120" s="27" t="str">
        <x:v>TN</x:v>
      </x:c>
      <x:c r="D2120" s="27" t="str">
        <x:v>Hancock County</x:v>
      </x:c>
      <x:c r="E2120" s="40" t="n">
        <x:v>7075</x:v>
      </x:c>
      <x:c r="F2120" s="55" t="n">
        <x:v>36.521353</x:v>
      </x:c>
      <x:c r="G2120" s="55" t="n">
        <x:v>-83.227493</x:v>
      </x:c>
      <x:c r="H2120" s="43" t="n">
        <x:f>E2120/SUMIF(A:A,A2120,E:E)</x:f>
        <x:v>0.000480246885590462</x:v>
      </x:c>
    </x:row>
    <x:row r="2121" ht="21.600000381469727" hidden="0" customHeight="1">
      <x:c r="A2121" s="29" t="str">
        <x:v>SCA-22</x:v>
      </x:c>
      <x:c r="B2121" s="29" t="str">
        <x:v>18161</x:v>
      </x:c>
      <x:c r="C2121" s="29" t="str">
        <x:v>IN</x:v>
      </x:c>
      <x:c r="D2121" s="29" t="str">
        <x:v>Union County</x:v>
      </x:c>
      <x:c r="E2121" s="41" t="n">
        <x:v>6863</x:v>
      </x:c>
      <x:c r="F2121" s="56" t="n">
        <x:v>39.623094</x:v>
      </x:c>
      <x:c r="G2121" s="56" t="n">
        <x:v>-84.925145</x:v>
      </x:c>
      <x:c r="H2121" s="44" t="n">
        <x:f>E2121/SUMIF(A:A,A2121,E:E)</x:f>
        <x:v>0.00046585644887736264</x:v>
      </x:c>
    </x:row>
    <x:row r="2122" ht="21.600000381469727" hidden="0" customHeight="1">
      <x:c r="A2122" s="27" t="str">
        <x:v>SCA-22</x:v>
      </x:c>
      <x:c r="B2122" s="27" t="str">
        <x:v>21165</x:v>
      </x:c>
      <x:c r="C2122" s="27" t="str">
        <x:v>KY</x:v>
      </x:c>
      <x:c r="D2122" s="27" t="str">
        <x:v>Menifee County</x:v>
      </x:c>
      <x:c r="E2122" s="40" t="n">
        <x:v>6430</x:v>
      </x:c>
      <x:c r="F2122" s="55" t="n">
        <x:v>37.935485</x:v>
      </x:c>
      <x:c r="G2122" s="55" t="n">
        <x:v>-83.589355</x:v>
      </x:c>
      <x:c r="H2122" s="43" t="n">
        <x:f>E2122/SUMIF(A:A,A2122,E:E)</x:f>
        <x:v>0.0004364646606850418</x:v>
      </x:c>
    </x:row>
    <x:row r="2123" ht="21.600000381469727" hidden="0" customHeight="1">
      <x:c r="A2123" s="29" t="str">
        <x:v>SCA-22</x:v>
      </x:c>
      <x:c r="B2123" s="29" t="str">
        <x:v>21237</x:v>
      </x:c>
      <x:c r="C2123" s="29" t="str">
        <x:v>KY</x:v>
      </x:c>
      <x:c r="D2123" s="29" t="str">
        <x:v>Wolfe County</x:v>
      </x:c>
      <x:c r="E2123" s="41" t="n">
        <x:v>6298</x:v>
      </x:c>
      <x:c r="F2123" s="56" t="n">
        <x:v>37.743893</x:v>
      </x:c>
      <x:c r="G2123" s="56" t="n">
        <x:v>-83.49511</x:v>
      </x:c>
      <x:c r="H2123" s="44" t="n">
        <x:f>E2123/SUMIF(A:A,A2123,E:E)</x:f>
        <x:v>0.00042750457744858373</x:v>
      </x:c>
    </x:row>
    <x:row r="2124" ht="15" hidden="0" customHeight="1">
      <x:c r="A2124" s="27" t="str">
        <x:v>SCA-22</x:v>
      </x:c>
      <x:c r="B2124" s="27" t="str">
        <x:v>18115</x:v>
      </x:c>
      <x:c r="C2124" s="27" t="str">
        <x:v>IN</x:v>
      </x:c>
      <x:c r="D2124" s="27" t="str">
        <x:v>Ohio County</x:v>
      </x:c>
      <x:c r="E2124" s="40" t="n">
        <x:v>5994</x:v>
      </x:c>
      <x:c r="F2124" s="55" t="n">
        <x:v>38.940527</x:v>
      </x:c>
      <x:c r="G2124" s="55" t="n">
        <x:v>-84.964299</x:v>
      </x:c>
      <x:c r="H2124" s="43" t="n">
        <x:f>E2124/SUMIF(A:A,A2124,E:E)</x:f>
        <x:v>0.0004068692342373469</x:v>
      </x:c>
    </x:row>
    <x:row r="2125" ht="21.600000381469727" hidden="0" customHeight="1">
      <x:c r="A2125" s="29" t="str">
        <x:v>SCA-22</x:v>
      </x:c>
      <x:c r="B2125" s="29" t="str">
        <x:v>21057</x:v>
      </x:c>
      <x:c r="C2125" s="29" t="str">
        <x:v>KY</x:v>
      </x:c>
      <x:c r="D2125" s="29" t="str">
        <x:v>Cumberland County</x:v>
      </x:c>
      <x:c r="E2125" s="41" t="n">
        <x:v>5992</x:v>
      </x:c>
      <x:c r="F2125" s="56" t="n">
        <x:v>36.782372</x:v>
      </x:c>
      <x:c r="G2125" s="56" t="n">
        <x:v>-85.388484</x:v>
      </x:c>
      <x:c r="H2125" s="44" t="n">
        <x:f>E2125/SUMIF(A:A,A2125,E:E)</x:f>
        <x:v>0.0004067334754004309</x:v>
      </x:c>
    </x:row>
    <x:row r="2126" ht="21.600000381469727" hidden="0" customHeight="1">
      <x:c r="A2126" s="27" t="str">
        <x:v>SCA-22</x:v>
      </x:c>
      <x:c r="B2126" s="27" t="str">
        <x:v>17047</x:v>
      </x:c>
      <x:c r="C2126" s="27" t="str">
        <x:v>IL</x:v>
      </x:c>
      <x:c r="D2126" s="27" t="str">
        <x:v>Edwards County</x:v>
      </x:c>
      <x:c r="E2126" s="40" t="n">
        <x:v>5898</x:v>
      </x:c>
      <x:c r="F2126" s="55" t="n">
        <x:v>38.417095</x:v>
      </x:c>
      <x:c r="G2126" s="55" t="n">
        <x:v>-88.047941</x:v>
      </x:c>
      <x:c r="H2126" s="43" t="n">
        <x:f>E2126/SUMIF(A:A,A2126,E:E)</x:f>
        <x:v>0.0004003528100653774</x:v>
      </x:c>
    </x:row>
    <x:row r="2127" ht="21.600000381469727" hidden="0" customHeight="1">
      <x:c r="A2127" s="29" t="str">
        <x:v>SCA-22</x:v>
      </x:c>
      <x:c r="B2127" s="29" t="str">
        <x:v>47137</x:v>
      </x:c>
      <x:c r="C2127" s="29" t="str">
        <x:v>TN</x:v>
      </x:c>
      <x:c r="D2127" s="29" t="str">
        <x:v>Pickett County</x:v>
      </x:c>
      <x:c r="E2127" s="41" t="n">
        <x:v>5219</x:v>
      </x:c>
      <x:c r="F2127" s="56" t="n">
        <x:v>36.559364</x:v>
      </x:c>
      <x:c r="G2127" s="56" t="n">
        <x:v>-85.075741</x:v>
      </x:c>
      <x:c r="H2127" s="44" t="n">
        <x:f>E2127/SUMIF(A:A,A2127,E:E)</x:f>
        <x:v>0.0003542626849323846</x:v>
      </x:c>
    </x:row>
    <x:row r="2128" ht="21.600000381469727" hidden="0" customHeight="1">
      <x:c r="A2128" s="27" t="str">
        <x:v>SCA-22</x:v>
      </x:c>
      <x:c r="B2128" s="27" t="str">
        <x:v>21189</x:v>
      </x:c>
      <x:c r="C2128" s="27" t="str">
        <x:v>KY</x:v>
      </x:c>
      <x:c r="D2128" s="27" t="str">
        <x:v>Owsley County</x:v>
      </x:c>
      <x:c r="E2128" s="40" t="n">
        <x:v>3932</x:v>
      </x:c>
      <x:c r="F2128" s="55" t="n">
        <x:v>37.423622</x:v>
      </x:c>
      <x:c r="G2128" s="55" t="n">
        <x:v>-83.691637</x:v>
      </x:c>
      <x:c r="H2128" s="43" t="n">
        <x:f>E2128/SUMIF(A:A,A2128,E:E)</x:f>
        <x:v>0.00026690187337691826</x:v>
      </x:c>
    </x:row>
    <x:row r="2129" ht="15" hidden="0" customHeight="1">
      <x:c r="A2129" s="29" t="str">
        <x:v>SCA-22</x:v>
      </x:c>
      <x:c r="B2129" s="29" t="str">
        <x:v>51720</x:v>
      </x:c>
      <x:c r="C2129" s="29" t="str">
        <x:v>VA</x:v>
      </x:c>
      <x:c r="D2129" s="29" t="str">
        <x:v>Norton city</x:v>
      </x:c>
      <x:c r="E2129" s="41" t="n">
        <x:v>3477</x:v>
      </x:c>
      <x:c r="F2129" s="56" t="n">
        <x:v>36.931549</x:v>
      </x:c>
      <x:c r="G2129" s="56" t="n">
        <x:v>-82.625996</x:v>
      </x:c>
      <x:c r="H2129" s="44" t="n">
        <x:f>E2129/SUMIF(A:A,A2129,E:E)</x:f>
        <x:v>0.00023601673797852106</x:v>
      </x:c>
    </x:row>
    <x:row r="2130" ht="21.600000381469727" hidden="0" customHeight="1">
      <x:c r="A2130" s="27" t="str">
        <x:v>SCA-22</x:v>
      </x:c>
      <x:c r="B2130" s="27" t="str">
        <x:v>21201</x:v>
      </x:c>
      <x:c r="C2130" s="27" t="str">
        <x:v>KY</x:v>
      </x:c>
      <x:c r="D2130" s="27" t="str">
        <x:v>Robertson County</x:v>
      </x:c>
      <x:c r="E2130" s="40" t="n">
        <x:v>2325</x:v>
      </x:c>
      <x:c r="F2130" s="55" t="n">
        <x:v>38.513473</x:v>
      </x:c>
      <x:c r="G2130" s="55" t="n">
        <x:v>-84.06423</x:v>
      </x:c>
      <x:c r="H2130" s="43" t="n">
        <x:f>E2130/SUMIF(A:A,A2130,E:E)</x:f>
        <x:v>0.00015781964791488682</x:v>
      </x:c>
    </x:row>
    <x:row r="2131" ht="21.600000381469727" hidden="0" customHeight="1">
      <x:c r="A2131" s="29" t="str">
        <x:v>SCA-23</x:v>
      </x:c>
      <x:c r="B2131" s="29" t="str">
        <x:v>13121</x:v>
      </x:c>
      <x:c r="C2131" s="29" t="str">
        <x:v>GA</x:v>
      </x:c>
      <x:c r="D2131" s="29" t="str">
        <x:v>Fulton County</x:v>
      </x:c>
      <x:c r="E2131" s="41" t="n">
        <x:v>1098791</x:v>
      </x:c>
      <x:c r="F2131" s="56" t="n">
        <x:v>33.790034</x:v>
      </x:c>
      <x:c r="G2131" s="56" t="n">
        <x:v>-84.468182</x:v>
      </x:c>
      <x:c r="H2131" s="44" t="n">
        <x:f>E2131/SUMIF(A:A,A2131,E:E)</x:f>
        <x:v>0.052651045961749576</x:v>
      </x:c>
    </x:row>
    <x:row r="2132" ht="21.600000381469727" hidden="0" customHeight="1">
      <x:c r="A2132" s="27" t="str">
        <x:v>SCA-23</x:v>
      </x:c>
      <x:c r="B2132" s="27" t="str">
        <x:v>13135</x:v>
      </x:c>
      <x:c r="C2132" s="27" t="str">
        <x:v>GA</x:v>
      </x:c>
      <x:c r="D2132" s="27" t="str">
        <x:v>Gwinnett County</x:v>
      </x:c>
      <x:c r="E2132" s="40" t="n">
        <x:v>1018099</x:v>
      </x:c>
      <x:c r="F2132" s="55" t="n">
        <x:v>33.958756</x:v>
      </x:c>
      <x:c r="G2132" s="55" t="n">
        <x:v>-84.025735</x:v>
      </x:c>
      <x:c r="H2132" s="43" t="n">
        <x:f>E2132/SUMIF(A:A,A2132,E:E)</x:f>
        <x:v>0.04878450701053365</x:v>
      </x:c>
    </x:row>
    <x:row r="2133" ht="15" hidden="0" customHeight="1">
      <x:c r="A2133" s="29" t="str">
        <x:v>SCA-23</x:v>
      </x:c>
      <x:c r="B2133" s="29" t="str">
        <x:v>13067</x:v>
      </x:c>
      <x:c r="C2133" s="29" t="str">
        <x:v>GA</x:v>
      </x:c>
      <x:c r="D2133" s="29" t="str">
        <x:v>Cobb County</x:v>
      </x:c>
      <x:c r="E2133" s="41" t="n">
        <x:v>793345</x:v>
      </x:c>
      <x:c r="F2133" s="56" t="n">
        <x:v>33.939926</x:v>
      </x:c>
      <x:c r="G2133" s="56" t="n">
        <x:v>-84.57411</x:v>
      </x:c>
      <x:c r="H2133" s="44" t="n">
        <x:f>E2133/SUMIF(A:A,A2133,E:E)</x:f>
        <x:v>0.03801491280737121</x:v>
      </x:c>
    </x:row>
    <x:row r="2134" ht="21.600000381469727" hidden="0" customHeight="1">
      <x:c r="A2134" s="27" t="str">
        <x:v>SCA-23</x:v>
      </x:c>
      <x:c r="B2134" s="27" t="str">
        <x:v>13089</x:v>
      </x:c>
      <x:c r="C2134" s="27" t="str">
        <x:v>GA</x:v>
      </x:c>
      <x:c r="D2134" s="27" t="str">
        <x:v>DeKalb County</x:v>
      </x:c>
      <x:c r="E2134" s="40" t="n">
        <x:v>774394</x:v>
      </x:c>
      <x:c r="F2134" s="55" t="n">
        <x:v>33.770661</x:v>
      </x:c>
      <x:c r="G2134" s="55" t="n">
        <x:v>-84.226343</x:v>
      </x:c>
      <x:c r="H2134" s="43" t="n">
        <x:f>E2134/SUMIF(A:A,A2134,E:E)</x:f>
        <x:v>0.03710683295231131</x:v>
      </x:c>
    </x:row>
    <x:row r="2135" ht="21.600000381469727" hidden="0" customHeight="1">
      <x:c r="A2135" s="29" t="str">
        <x:v>SCA-23</x:v>
      </x:c>
      <x:c r="B2135" s="29" t="str">
        <x:v>01073</x:v>
      </x:c>
      <x:c r="C2135" s="29" t="str">
        <x:v>AL</x:v>
      </x:c>
      <x:c r="D2135" s="29" t="str">
        <x:v>Jefferson County</x:v>
      </x:c>
      <x:c r="E2135" s="41" t="n">
        <x:v>665742</x:v>
      </x:c>
      <x:c r="F2135" s="56" t="n">
        <x:v>33.553444</x:v>
      </x:c>
      <x:c r="G2135" s="56" t="n">
        <x:v>-86.896536</x:v>
      </x:c>
      <x:c r="H2135" s="44" t="n">
        <x:f>E2135/SUMIF(A:A,A2135,E:E)</x:f>
        <x:v>0.031900527616868984</x:v>
      </x:c>
    </x:row>
    <x:row r="2136" ht="21.600000381469727" hidden="0" customHeight="1">
      <x:c r="A2136" s="27" t="str">
        <x:v>SCA-23</x:v>
      </x:c>
      <x:c r="B2136" s="27" t="str">
        <x:v>45045</x:v>
      </x:c>
      <x:c r="C2136" s="27" t="str">
        <x:v>SC</x:v>
      </x:c>
      <x:c r="D2136" s="27" t="str">
        <x:v>Greenville County</x:v>
      </x:c>
      <x:c r="E2136" s="40" t="n">
        <x:v>583125</x:v>
      </x:c>
      <x:c r="F2136" s="55" t="n">
        <x:v>34.892645</x:v>
      </x:c>
      <x:c r="G2136" s="55" t="n">
        <x:v>-82.372077</x:v>
      </x:c>
      <x:c r="H2136" s="43" t="n">
        <x:f>E2136/SUMIF(A:A,A2136,E:E)</x:f>
        <x:v>0.02794174795429269</x:v>
      </x:c>
    </x:row>
    <x:row r="2137" ht="15" hidden="0" customHeight="1">
      <x:c r="A2137" s="29" t="str">
        <x:v>SCA-23</x:v>
      </x:c>
      <x:c r="B2137" s="29" t="str">
        <x:v>47093</x:v>
      </x:c>
      <x:c r="C2137" s="29" t="str">
        <x:v>TN</x:v>
      </x:c>
      <x:c r="D2137" s="29" t="str">
        <x:v>Knox County</x:v>
      </x:c>
      <x:c r="E2137" s="41" t="n">
        <x:v>511453</x:v>
      </x:c>
      <x:c r="F2137" s="56" t="n">
        <x:v>35.992726</x:v>
      </x:c>
      <x:c r="G2137" s="56" t="n">
        <x:v>-83.937721</x:v>
      </x:c>
      <x:c r="H2137" s="44" t="n">
        <x:f>E2137/SUMIF(A:A,A2137,E:E)</x:f>
        <x:v>0.024507422622022483</x:v>
      </x:c>
    </x:row>
    <x:row r="2138" ht="21.600000381469727" hidden="0" customHeight="1">
      <x:c r="A2138" s="27" t="str">
        <x:v>SCA-23</x:v>
      </x:c>
      <x:c r="B2138" s="27" t="str">
        <x:v>01089</x:v>
      </x:c>
      <x:c r="C2138" s="27" t="str">
        <x:v>AL</x:v>
      </x:c>
      <x:c r="D2138" s="27" t="str">
        <x:v>Madison County</x:v>
      </x:c>
      <x:c r="E2138" s="40" t="n">
        <x:v>433516</x:v>
      </x:c>
      <x:c r="F2138" s="55" t="n">
        <x:v>34.764238</x:v>
      </x:c>
      <x:c r="G2138" s="55" t="n">
        <x:v>-86.55108</x:v>
      </x:c>
      <x:c r="H2138" s="43" t="n">
        <x:f>E2138/SUMIF(A:A,A2138,E:E)</x:f>
        <x:v>0.020772895701870353</x:v>
      </x:c>
    </x:row>
    <x:row r="2139" ht="21.600000381469727" hidden="0" customHeight="1">
      <x:c r="A2139" s="29" t="str">
        <x:v>SCA-23</x:v>
      </x:c>
      <x:c r="B2139" s="29" t="str">
        <x:v>01097</x:v>
      </x:c>
      <x:c r="C2139" s="29" t="str">
        <x:v>AL</x:v>
      </x:c>
      <x:c r="D2139" s="29" t="str">
        <x:v>Mobile County</x:v>
      </x:c>
      <x:c r="E2139" s="41" t="n">
        <x:v>411658</x:v>
      </x:c>
      <x:c r="F2139" s="56" t="n">
        <x:v>30.684572</x:v>
      </x:c>
      <x:c r="G2139" s="56" t="n">
        <x:v>-88.196568</x:v>
      </x:c>
      <x:c r="H2139" s="44" t="n">
        <x:f>E2139/SUMIF(A:A,A2139,E:E)</x:f>
        <x:v>0.019725520393343143</x:v>
      </x:c>
    </x:row>
    <x:row r="2140" ht="21.600000381469727" hidden="0" customHeight="1">
      <x:c r="A2140" s="27" t="str">
        <x:v>SCA-23</x:v>
      </x:c>
      <x:c r="B2140" s="27" t="str">
        <x:v>47065</x:v>
      </x:c>
      <x:c r="C2140" s="27" t="str">
        <x:v>TN</x:v>
      </x:c>
      <x:c r="D2140" s="27" t="str">
        <x:v>Hamilton County</x:v>
      </x:c>
      <x:c r="E2140" s="40" t="n">
        <x:v>390833</x:v>
      </x:c>
      <x:c r="F2140" s="55" t="n">
        <x:v>35.159186</x:v>
      </x:c>
      <x:c r="G2140" s="55" t="n">
        <x:v>-85.202296</x:v>
      </x:c>
      <x:c r="H2140" s="43" t="n">
        <x:f>E2140/SUMIF(A:A,A2140,E:E)</x:f>
        <x:v>0.018727643606808276</x:v>
      </x:c>
    </x:row>
    <x:row r="2141" ht="21.600000381469727" hidden="0" customHeight="1">
      <x:c r="A2141" s="29" t="str">
        <x:v>SCA-23</x:v>
      </x:c>
      <x:c r="B2141" s="29" t="str">
        <x:v>45083</x:v>
      </x:c>
      <x:c r="C2141" s="29" t="str">
        <x:v>SC</x:v>
      </x:c>
      <x:c r="D2141" s="29" t="str">
        <x:v>Spartanburg County</x:v>
      </x:c>
      <x:c r="E2141" s="41" t="n">
        <x:v>380857</x:v>
      </x:c>
      <x:c r="F2141" s="56" t="n">
        <x:v>34.932014</x:v>
      </x:c>
      <x:c r="G2141" s="56" t="n">
        <x:v>-81.991624</x:v>
      </x:c>
      <x:c r="H2141" s="44" t="n">
        <x:f>E2141/SUMIF(A:A,A2141,E:E)</x:f>
        <x:v>0.018249621094324632</x:v>
      </x:c>
    </x:row>
    <x:row r="2142" ht="21.600000381469727" hidden="0" customHeight="1">
      <x:c r="A2142" s="27" t="str">
        <x:v>SCA-23</x:v>
      </x:c>
      <x:c r="B2142" s="27" t="str">
        <x:v>12033</x:v>
      </x:c>
      <x:c r="C2142" s="27" t="str">
        <x:v>FL</x:v>
      </x:c>
      <x:c r="D2142" s="27" t="str">
        <x:v>Escambia County</x:v>
      </x:c>
      <x:c r="E2142" s="40" t="n">
        <x:v>333834</x:v>
      </x:c>
      <x:c r="F2142" s="55" t="n">
        <x:v>30.529998</x:v>
      </x:c>
      <x:c r="G2142" s="55" t="n">
        <x:v>-87.320322</x:v>
      </x:c>
      <x:c r="H2142" s="43" t="n">
        <x:f>E2142/SUMIF(A:A,A2142,E:E)</x:f>
        <x:v>0.015996408122741</x:v>
      </x:c>
    </x:row>
    <x:row r="2143" ht="21.600000381469727" hidden="0" customHeight="1">
      <x:c r="A2143" s="29" t="str">
        <x:v>SCA-23</x:v>
      </x:c>
      <x:c r="B2143" s="29" t="str">
        <x:v>45063</x:v>
      </x:c>
      <x:c r="C2143" s="29" t="str">
        <x:v>SC</x:v>
      </x:c>
      <x:c r="D2143" s="29" t="str">
        <x:v>Lexington County</x:v>
      </x:c>
      <x:c r="E2143" s="41" t="n">
        <x:v>317588</x:v>
      </x:c>
      <x:c r="F2143" s="56" t="n">
        <x:v>33.892309</x:v>
      </x:c>
      <x:c r="G2143" s="56" t="n">
        <x:v>-81.272974</x:v>
      </x:c>
      <x:c r="H2143" s="44" t="n">
        <x:f>E2143/SUMIF(A:A,A2143,E:E)</x:f>
        <x:v>0.015217944436112166</x:v>
      </x:c>
    </x:row>
    <x:row r="2144" ht="21.600000381469727" hidden="0" customHeight="1">
      <x:c r="A2144" s="27" t="str">
        <x:v>SCA-23</x:v>
      </x:c>
      <x:c r="B2144" s="27" t="str">
        <x:v>13057</x:v>
      </x:c>
      <x:c r="C2144" s="27" t="str">
        <x:v>GA</x:v>
      </x:c>
      <x:c r="D2144" s="27" t="str">
        <x:v>Cherokee County</x:v>
      </x:c>
      <x:c r="E2144" s="40" t="n">
        <x:v>299273</x:v>
      </x:c>
      <x:c r="F2144" s="55" t="n">
        <x:v>34.244317</x:v>
      </x:c>
      <x:c r="G2144" s="55" t="n">
        <x:v>-84.475057</x:v>
      </x:c>
      <x:c r="H2144" s="43" t="n">
        <x:f>E2144/SUMIF(A:A,A2144,E:E)</x:f>
        <x:v>0.014340339953740684</x:v>
      </x:c>
    </x:row>
    <x:row r="2145" ht="21.600000381469727" hidden="0" customHeight="1">
      <x:c r="A2145" s="29" t="str">
        <x:v>SCA-23</x:v>
      </x:c>
      <x:c r="B2145" s="29" t="str">
        <x:v>13063</x:v>
      </x:c>
      <x:c r="C2145" s="29" t="str">
        <x:v>GA</x:v>
      </x:c>
      <x:c r="D2145" s="29" t="str">
        <x:v>Clayton County</x:v>
      </x:c>
      <x:c r="E2145" s="41" t="n">
        <x:v>297471</x:v>
      </x:c>
      <x:c r="F2145" s="56" t="n">
        <x:v>33.552242</x:v>
      </x:c>
      <x:c r="G2145" s="56" t="n">
        <x:v>-84.412973</x:v>
      </x:c>
      <x:c r="H2145" s="44" t="n">
        <x:f>E2145/SUMIF(A:A,A2145,E:E)</x:f>
        <x:v>0.01425399306445685</x:v>
      </x:c>
    </x:row>
    <x:row r="2146" ht="21.600000381469727" hidden="0" customHeight="1">
      <x:c r="A2146" s="27" t="str">
        <x:v>SCA-23</x:v>
      </x:c>
      <x:c r="B2146" s="27" t="str">
        <x:v>13117</x:v>
      </x:c>
      <x:c r="C2146" s="27" t="str">
        <x:v>GA</x:v>
      </x:c>
      <x:c r="D2146" s="27" t="str">
        <x:v>Forsyth County</x:v>
      </x:c>
      <x:c r="E2146" s="40" t="n">
        <x:v>282805</x:v>
      </x:c>
      <x:c r="F2146" s="55" t="n">
        <x:v>34.225143</x:v>
      </x:c>
      <x:c r="G2146" s="55" t="n">
        <x:v>-84.127408</x:v>
      </x:c>
      <x:c r="H2146" s="43" t="n">
        <x:f>E2146/SUMIF(A:A,A2146,E:E)</x:f>
        <x:v>0.0135512386370225</x:v>
      </x:c>
    </x:row>
    <x:row r="2147" ht="21.600000381469727" hidden="0" customHeight="1">
      <x:c r="A2147" s="29" t="str">
        <x:v>SCA-23</x:v>
      </x:c>
      <x:c r="B2147" s="29" t="str">
        <x:v>37021</x:v>
      </x:c>
      <x:c r="C2147" s="29" t="str">
        <x:v>NC</x:v>
      </x:c>
      <x:c r="D2147" s="29" t="str">
        <x:v>Buncombe County</x:v>
      </x:c>
      <x:c r="E2147" s="41" t="n">
        <x:v>277417</x:v>
      </x:c>
      <x:c r="F2147" s="56" t="n">
        <x:v>35.609371</x:v>
      </x:c>
      <x:c r="G2147" s="56" t="n">
        <x:v>-82.530423</x:v>
      </x:c>
      <x:c r="H2147" s="44" t="n">
        <x:f>E2147/SUMIF(A:A,A2147,E:E)</x:f>
        <x:v>0.013293060479718783</x:v>
      </x:c>
    </x:row>
    <x:row r="2148" ht="21.600000381469727" hidden="0" customHeight="1">
      <x:c r="A2148" s="27" t="str">
        <x:v>SCA-23</x:v>
      </x:c>
      <x:c r="B2148" s="27" t="str">
        <x:v>01003</x:v>
      </x:c>
      <x:c r="C2148" s="27" t="str">
        <x:v>AL</x:v>
      </x:c>
      <x:c r="D2148" s="27" t="str">
        <x:v>Baldwin County</x:v>
      </x:c>
      <x:c r="E2148" s="40" t="n">
        <x:v>267761</x:v>
      </x:c>
      <x:c r="F2148" s="55" t="n">
        <x:v>30.659218</x:v>
      </x:c>
      <x:c r="G2148" s="55" t="n">
        <x:v>-87.746067</x:v>
      </x:c>
      <x:c r="H2148" s="43" t="n">
        <x:f>E2148/SUMIF(A:A,A2148,E:E)</x:f>
        <x:v>0.012830371488084656</x:v>
      </x:c>
    </x:row>
    <x:row r="2149" ht="21.600000381469727" hidden="0" customHeight="1">
      <x:c r="A2149" s="29" t="str">
        <x:v>SCA-23</x:v>
      </x:c>
      <x:c r="B2149" s="29" t="str">
        <x:v>13151</x:v>
      </x:c>
      <x:c r="C2149" s="29" t="str">
        <x:v>GA</x:v>
      </x:c>
      <x:c r="D2149" s="29" t="str">
        <x:v>Henry County</x:v>
      </x:c>
      <x:c r="E2149" s="41" t="n">
        <x:v>264922</x:v>
      </x:c>
      <x:c r="F2149" s="56" t="n">
        <x:v>33.452947</x:v>
      </x:c>
      <x:c r="G2149" s="56" t="n">
        <x:v>-84.154021</x:v>
      </x:c>
      <x:c r="H2149" s="44" t="n">
        <x:f>E2149/SUMIF(A:A,A2149,E:E)</x:f>
        <x:v>0.012694334407797861</x:v>
      </x:c>
    </x:row>
    <x:row r="2150" ht="21.600000381469727" hidden="0" customHeight="1">
      <x:c r="A2150" s="27" t="str">
        <x:v>SCA-23</x:v>
      </x:c>
      <x:c r="B2150" s="27" t="str">
        <x:v>01125</x:v>
      </x:c>
      <x:c r="C2150" s="27" t="str">
        <x:v>AL</x:v>
      </x:c>
      <x:c r="D2150" s="27" t="str">
        <x:v>Tuscaloosa County</x:v>
      </x:c>
      <x:c r="E2150" s="40" t="n">
        <x:v>241368</x:v>
      </x:c>
      <x:c r="F2150" s="55" t="n">
        <x:v>33.29022</x:v>
      </x:c>
      <x:c r="G2150" s="55" t="n">
        <x:v>-87.522783</x:v>
      </x:c>
      <x:c r="H2150" s="43" t="n">
        <x:f>E2150/SUMIF(A:A,A2150,E:E)</x:f>
        <x:v>0.01156569143876822</x:v>
      </x:c>
    </x:row>
    <x:row r="2151" ht="21.600000381469727" hidden="0" customHeight="1">
      <x:c r="A2151" s="29" t="str">
        <x:v>SCA-23</x:v>
      </x:c>
      <x:c r="B2151" s="29" t="str">
        <x:v>01117</x:v>
      </x:c>
      <x:c r="C2151" s="29" t="str">
        <x:v>AL</x:v>
      </x:c>
      <x:c r="D2151" s="29" t="str">
        <x:v>Shelby County</x:v>
      </x:c>
      <x:c r="E2151" s="41" t="n">
        <x:v>238552</x:v>
      </x:c>
      <x:c r="F2151" s="56" t="n">
        <x:v>33.266893</x:v>
      </x:c>
      <x:c r="G2151" s="56" t="n">
        <x:v>-86.661007</x:v>
      </x:c>
      <x:c r="H2151" s="44" t="n">
        <x:f>E2151/SUMIF(A:A,A2151,E:E)</x:f>
        <x:v>0.011430756455292485</x:v>
      </x:c>
    </x:row>
    <x:row r="2152" ht="15" hidden="0" customHeight="1">
      <x:c r="A2152" s="27" t="str">
        <x:v>SCA-23</x:v>
      </x:c>
      <x:c r="B2152" s="27" t="str">
        <x:v>13139</x:v>
      </x:c>
      <x:c r="C2152" s="27" t="str">
        <x:v>GA</x:v>
      </x:c>
      <x:c r="D2152" s="27" t="str">
        <x:v>Hall County</x:v>
      </x:c>
      <x:c r="E2152" s="40" t="n">
        <x:v>226568</x:v>
      </x:c>
      <x:c r="F2152" s="55" t="n">
        <x:v>34.317569</x:v>
      </x:c>
      <x:c r="G2152" s="55" t="n">
        <x:v>-83.8185</x:v>
      </x:c>
      <x:c r="H2152" s="43" t="n">
        <x:f>E2152/SUMIF(A:A,A2152,E:E)</x:f>
        <x:v>0.010856516099478132</x:v>
      </x:c>
    </x:row>
    <x:row r="2153" ht="21.600000381469727" hidden="0" customHeight="1">
      <x:c r="A2153" s="29" t="str">
        <x:v>SCA-23</x:v>
      </x:c>
      <x:c r="B2153" s="29" t="str">
        <x:v>01101</x:v>
      </x:c>
      <x:c r="C2153" s="29" t="str">
        <x:v>AL</x:v>
      </x:c>
      <x:c r="D2153" s="29" t="str">
        <x:v>Montgomery County</x:v>
      </x:c>
      <x:c r="E2153" s="41" t="n">
        <x:v>225891</x:v>
      </x:c>
      <x:c r="F2153" s="56" t="n">
        <x:v>32.202881</x:v>
      </x:c>
      <x:c r="G2153" s="56" t="n">
        <x:v>-86.204461</x:v>
      </x:c>
      <x:c r="H2153" s="44" t="n">
        <x:f>E2153/SUMIF(A:A,A2153,E:E)</x:f>
        <x:v>0.010824076119430877</x:v>
      </x:c>
    </x:row>
    <x:row r="2154" ht="21.600000381469727" hidden="0" customHeight="1">
      <x:c r="A2154" s="27" t="str">
        <x:v>SCA-23</x:v>
      </x:c>
      <x:c r="B2154" s="27" t="str">
        <x:v>12091</x:v>
      </x:c>
      <x:c r="C2154" s="27" t="str">
        <x:v>FL</x:v>
      </x:c>
      <x:c r="D2154" s="27" t="str">
        <x:v>Okaloosa County</x:v>
      </x:c>
      <x:c r="E2154" s="40" t="n">
        <x:v>221810</x:v>
      </x:c>
      <x:c r="F2154" s="55" t="n">
        <x:v>30.614325</x:v>
      </x:c>
      <x:c r="G2154" s="55" t="n">
        <x:v>-86.59108</x:v>
      </x:c>
      <x:c r="H2154" s="43" t="n">
        <x:f>E2154/SUMIF(A:A,A2154,E:E)</x:f>
        <x:v>0.010628525811346901</x:v>
      </x:c>
    </x:row>
    <x:row r="2155" ht="21.600000381469727" hidden="0" customHeight="1">
      <x:c r="A2155" s="29" t="str">
        <x:v>SCA-23</x:v>
      </x:c>
      <x:c r="B2155" s="29" t="str">
        <x:v>45007</x:v>
      </x:c>
      <x:c r="C2155" s="29" t="str">
        <x:v>SC</x:v>
      </x:c>
      <x:c r="D2155" s="29" t="str">
        <x:v>Anderson County</x:v>
      </x:c>
      <x:c r="E2155" s="41" t="n">
        <x:v>219930</x:v>
      </x:c>
      <x:c r="F2155" s="56" t="n">
        <x:v>34.521235</x:v>
      </x:c>
      <x:c r="G2155" s="56" t="n">
        <x:v>-82.638603</x:v>
      </x:c>
      <x:c r="H2155" s="44" t="n">
        <x:f>E2155/SUMIF(A:A,A2155,E:E)</x:f>
        <x:v>0.010538441376355998</x:v>
      </x:c>
    </x:row>
    <x:row r="2156" ht="21.600000381469727" hidden="0" customHeight="1">
      <x:c r="A2156" s="27" t="str">
        <x:v>SCA-23</x:v>
      </x:c>
      <x:c r="B2156" s="27" t="str">
        <x:v>12113</x:v>
      </x:c>
      <x:c r="C2156" s="27" t="str">
        <x:v>FL</x:v>
      </x:c>
      <x:c r="D2156" s="27" t="str">
        <x:v>Santa Rosa County</x:v>
      </x:c>
      <x:c r="E2156" s="40" t="n">
        <x:v>211115</x:v>
      </x:c>
      <x:c r="F2156" s="55" t="n">
        <x:v>30.675348</x:v>
      </x:c>
      <x:c r="G2156" s="55" t="n">
        <x:v>-87.018919</x:v>
      </x:c>
      <x:c r="H2156" s="43" t="n">
        <x:f>E2156/SUMIF(A:A,A2156,E:E)</x:f>
        <x:v>0.010116050794204504</x:v>
      </x:c>
    </x:row>
    <x:row r="2157" ht="21.600000381469727" hidden="0" customHeight="1">
      <x:c r="A2157" s="29" t="str">
        <x:v>SCA-23</x:v>
      </x:c>
      <x:c r="B2157" s="29" t="str">
        <x:v>13245</x:v>
      </x:c>
      <x:c r="C2157" s="29" t="str">
        <x:v>GA</x:v>
      </x:c>
      <x:c r="D2157" s="29" t="str">
        <x:v>Richmond County</x:v>
      </x:c>
      <x:c r="E2157" s="41" t="n">
        <x:v>206559</x:v>
      </x:c>
      <x:c r="F2157" s="56" t="n">
        <x:v>33.361486</x:v>
      </x:c>
      <x:c r="G2157" s="56" t="n">
        <x:v>-82.074998</x:v>
      </x:c>
      <x:c r="H2157" s="44" t="n">
        <x:f>E2157/SUMIF(A:A,A2157,E:E)</x:f>
        <x:v>0.00989773979110953</x:v>
      </x:c>
    </x:row>
    <x:row r="2158" ht="21.600000381469727" hidden="0" customHeight="1">
      <x:c r="A2158" s="27" t="str">
        <x:v>SCA-23</x:v>
      </x:c>
      <x:c r="B2158" s="27" t="str">
        <x:v>13215</x:v>
      </x:c>
      <x:c r="C2158" s="27" t="str">
        <x:v>GA</x:v>
      </x:c>
      <x:c r="D2158" s="27" t="str">
        <x:v>Muscogee County</x:v>
      </x:c>
      <x:c r="E2158" s="40" t="n">
        <x:v>202171</x:v>
      </x:c>
      <x:c r="F2158" s="55" t="n">
        <x:v>32.510191</x:v>
      </x:c>
      <x:c r="G2158" s="55" t="n">
        <x:v>-84.874946</x:v>
      </x:c>
      <x:c r="H2158" s="43" t="n">
        <x:f>E2158/SUMIF(A:A,A2158,E:E)</x:f>
        <x:v>0.009687478886460548</x:v>
      </x:c>
    </x:row>
    <x:row r="2159" ht="21.600000381469727" hidden="0" customHeight="1">
      <x:c r="A2159" s="29" t="str">
        <x:v>SCA-23</x:v>
      </x:c>
      <x:c r="B2159" s="29" t="str">
        <x:v>13223</x:v>
      </x:c>
      <x:c r="C2159" s="29" t="str">
        <x:v>GA</x:v>
      </x:c>
      <x:c r="D2159" s="29" t="str">
        <x:v>Paulding County</x:v>
      </x:c>
      <x:c r="E2159" s="41" t="n">
        <x:v>190996</x:v>
      </x:c>
      <x:c r="F2159" s="56" t="n">
        <x:v>33.92103</x:v>
      </x:c>
      <x:c r="G2159" s="56" t="n">
        <x:v>-84.867169</x:v>
      </x:c>
      <x:c r="H2159" s="44" t="n">
        <x:f>E2159/SUMIF(A:A,A2159,E:E)</x:f>
        <x:v>0.009152003588043878</x:v>
      </x:c>
    </x:row>
    <x:row r="2160" ht="15" hidden="0" customHeight="1">
      <x:c r="A2160" s="27" t="str">
        <x:v>SCA-23</x:v>
      </x:c>
      <x:c r="B2160" s="27" t="str">
        <x:v>01081</x:v>
      </x:c>
      <x:c r="C2160" s="27" t="str">
        <x:v>AL</x:v>
      </x:c>
      <x:c r="D2160" s="27" t="str">
        <x:v>Lee County</x:v>
      </x:c>
      <x:c r="E2160" s="40" t="n">
        <x:v>189881</x:v>
      </x:c>
      <x:c r="F2160" s="55" t="n">
        <x:v>32.604064</x:v>
      </x:c>
      <x:c r="G2160" s="55" t="n">
        <x:v>-85.353048</x:v>
      </x:c>
      <x:c r="H2160" s="43" t="n">
        <x:f>E2160/SUMIF(A:A,A2160,E:E)</x:f>
        <x:v>0.009098575851333848</x:v>
      </x:c>
    </x:row>
    <x:row r="2161" ht="15" hidden="0" customHeight="1">
      <x:c r="A2161" s="29" t="str">
        <x:v>SCA-23</x:v>
      </x:c>
      <x:c r="B2161" s="29" t="str">
        <x:v>45003</x:v>
      </x:c>
      <x:c r="C2161" s="29" t="str">
        <x:v>SC</x:v>
      </x:c>
      <x:c r="D2161" s="29" t="str">
        <x:v>Aiken County</x:v>
      </x:c>
      <x:c r="E2161" s="41" t="n">
        <x:v>181515</x:v>
      </x:c>
      <x:c r="F2161" s="56" t="n">
        <x:v>33.550013</x:v>
      </x:c>
      <x:c r="G2161" s="56" t="n">
        <x:v>-81.632983</x:v>
      </x:c>
      <x:c r="H2161" s="44" t="n">
        <x:f>E2161/SUMIF(A:A,A2161,E:E)</x:f>
        <x:v>0.00869770011562433</x:v>
      </x:c>
    </x:row>
    <x:row r="2162" ht="21.600000381469727" hidden="0" customHeight="1">
      <x:c r="A2162" s="27" t="str">
        <x:v>SCA-23</x:v>
      </x:c>
      <x:c r="B2162" s="27" t="str">
        <x:v>13153</x:v>
      </x:c>
      <x:c r="C2162" s="27" t="str">
        <x:v>GA</x:v>
      </x:c>
      <x:c r="D2162" s="27" t="str">
        <x:v>Houston County</x:v>
      </x:c>
      <x:c r="E2162" s="40" t="n">
        <x:v>178214</x:v>
      </x:c>
      <x:c r="F2162" s="55" t="n">
        <x:v>32.458147</x:v>
      </x:c>
      <x:c r="G2162" s="55" t="n">
        <x:v>-83.662309</x:v>
      </x:c>
      <x:c r="H2162" s="43" t="n">
        <x:f>E2162/SUMIF(A:A,A2162,E:E)</x:f>
        <x:v>0.00853952526461105</x:v>
      </x:c>
    </x:row>
    <x:row r="2163" ht="21.600000381469727" hidden="0" customHeight="1">
      <x:c r="A2163" s="29" t="str">
        <x:v>SCA-23</x:v>
      </x:c>
      <x:c r="B2163" s="29" t="str">
        <x:v>13073</x:v>
      </x:c>
      <x:c r="C2163" s="29" t="str">
        <x:v>GA</x:v>
      </x:c>
      <x:c r="D2163" s="29" t="str">
        <x:v>Columbia County</x:v>
      </x:c>
      <x:c r="E2163" s="41" t="n">
        <x:v>169189</x:v>
      </x:c>
      <x:c r="F2163" s="56" t="n">
        <x:v>33.552075</x:v>
      </x:c>
      <x:c r="G2163" s="56" t="n">
        <x:v>-82.249608</x:v>
      </x:c>
      <x:c r="H2163" s="44" t="n">
        <x:f>E2163/SUMIF(A:A,A2163,E:E)</x:f>
        <x:v>0.00810707205940206</x:v>
      </x:c>
    </x:row>
    <x:row r="2164" ht="21.600000381469727" hidden="0" customHeight="1">
      <x:c r="A2164" s="27" t="str">
        <x:v>SCA-23</x:v>
      </x:c>
      <x:c r="B2164" s="27" t="str">
        <x:v>13077</x:v>
      </x:c>
      <x:c r="C2164" s="27" t="str">
        <x:v>GA</x:v>
      </x:c>
      <x:c r="D2164" s="27" t="str">
        <x:v>Coweta County</x:v>
      </x:c>
      <x:c r="E2164" s="40" t="n">
        <x:v>160240</x:v>
      </x:c>
      <x:c r="F2164" s="55" t="n">
        <x:v>33.352897</x:v>
      </x:c>
      <x:c r="G2164" s="55" t="n">
        <x:v>-84.762138</x:v>
      </x:c>
      <x:c r="H2164" s="43" t="n">
        <x:f>E2164/SUMIF(A:A,A2164,E:E)</x:f>
        <x:v>0.007678260565394831</x:v>
      </x:c>
    </x:row>
    <x:row r="2165" ht="15" hidden="0" customHeight="1">
      <x:c r="A2165" s="29" t="str">
        <x:v>SCA-23</x:v>
      </x:c>
      <x:c r="B2165" s="29" t="str">
        <x:v>13021</x:v>
      </x:c>
      <x:c r="C2165" s="29" t="str">
        <x:v>GA</x:v>
      </x:c>
      <x:c r="D2165" s="29" t="str">
        <x:v>Bibb County</x:v>
      </x:c>
      <x:c r="E2165" s="41" t="n">
        <x:v>157556</x:v>
      </x:c>
      <x:c r="F2165" s="56" t="n">
        <x:v>32.80899</x:v>
      </x:c>
      <x:c r="G2165" s="56" t="n">
        <x:v>-83.69406</x:v>
      </x:c>
      <x:c r="H2165" s="44" t="n">
        <x:f>E2165/SUMIF(A:A,A2165,E:E)</x:f>
        <x:v>0.007549650659269521</x:v>
      </x:c>
    </x:row>
    <x:row r="2166" ht="21.600000381469727" hidden="0" customHeight="1">
      <x:c r="A2166" s="27" t="str">
        <x:v>SCA-23</x:v>
      </x:c>
      <x:c r="B2166" s="27" t="str">
        <x:v>13097</x:v>
      </x:c>
      <x:c r="C2166" s="27" t="str">
        <x:v>GA</x:v>
      </x:c>
      <x:c r="D2166" s="27" t="str">
        <x:v>Douglas County</x:v>
      </x:c>
      <x:c r="E2166" s="40" t="n">
        <x:v>154293</x:v>
      </x:c>
      <x:c r="F2166" s="55" t="n">
        <x:v>33.701242</x:v>
      </x:c>
      <x:c r="G2166" s="55" t="n">
        <x:v>-84.767314</x:v>
      </x:c>
      <x:c r="H2166" s="43" t="n">
        <x:f>E2166/SUMIF(A:A,A2166,E:E)</x:f>
        <x:v>0.007393296663857118</x:v>
      </x:c>
    </x:row>
    <x:row r="2167" ht="21.600000381469727" hidden="0" customHeight="1">
      <x:c r="A2167" s="29" t="str">
        <x:v>SCA-23</x:v>
      </x:c>
      <x:c r="B2167" s="29" t="str">
        <x:v>47009</x:v>
      </x:c>
      <x:c r="C2167" s="29" t="str">
        <x:v>TN</x:v>
      </x:c>
      <x:c r="D2167" s="29" t="str">
        <x:v>Blount County</x:v>
      </x:c>
      <x:c r="E2167" s="41" t="n">
        <x:v>143820</x:v>
      </x:c>
      <x:c r="F2167" s="56" t="n">
        <x:v>35.688185</x:v>
      </x:c>
      <x:c r="G2167" s="56" t="n">
        <x:v>-83.922973</x:v>
      </x:c>
      <x:c r="H2167" s="44" t="n">
        <x:f>E2167/SUMIF(A:A,A2167,E:E)</x:f>
        <x:v>0.006891459276804073</x:v>
      </x:c>
    </x:row>
    <x:row r="2168" ht="21.600000381469727" hidden="0" customHeight="1">
      <x:c r="A2168" s="27" t="str">
        <x:v>SCA-23</x:v>
      </x:c>
      <x:c r="B2168" s="27" t="str">
        <x:v>47179</x:v>
      </x:c>
      <x:c r="C2168" s="27" t="str">
        <x:v>TN</x:v>
      </x:c>
      <x:c r="D2168" s="27" t="str">
        <x:v>Washington County</x:v>
      </x:c>
      <x:c r="E2168" s="40" t="n">
        <x:v>141199</x:v>
      </x:c>
      <x:c r="F2168" s="55" t="n">
        <x:v>36.295665</x:v>
      </x:c>
      <x:c r="G2168" s="55" t="n">
        <x:v>-82.495037</x:v>
      </x:c>
      <x:c r="H2168" s="43" t="n">
        <x:f>E2168/SUMIF(A:A,A2168,E:E)</x:f>
        <x:v>0.00676586815759601</x:v>
      </x:c>
    </x:row>
    <x:row r="2169" ht="21.600000381469727" hidden="0" customHeight="1">
      <x:c r="A2169" s="29" t="str">
        <x:v>SCA-23</x:v>
      </x:c>
      <x:c r="B2169" s="29" t="str">
        <x:v>45077</x:v>
      </x:c>
      <x:c r="C2169" s="29" t="str">
        <x:v>SC</x:v>
      </x:c>
      <x:c r="D2169" s="29" t="str">
        <x:v>Pickens County</x:v>
      </x:c>
      <x:c r="E2169" s="41" t="n">
        <x:v>139198</x:v>
      </x:c>
      <x:c r="F2169" s="56" t="n">
        <x:v>34.885368</x:v>
      </x:c>
      <x:c r="G2169" s="56" t="n">
        <x:v>-82.723377</x:v>
      </x:c>
      <x:c r="H2169" s="44" t="n">
        <x:f>E2169/SUMIF(A:A,A2169,E:E)</x:f>
        <x:v>0.006669985735033884</x:v>
      </x:c>
    </x:row>
    <x:row r="2170" ht="21.600000381469727" hidden="0" customHeight="1">
      <x:c r="A2170" s="27" t="str">
        <x:v>SCA-23</x:v>
      </x:c>
      <x:c r="B2170" s="27" t="str">
        <x:v>13045</x:v>
      </x:c>
      <x:c r="C2170" s="27" t="str">
        <x:v>GA</x:v>
      </x:c>
      <x:c r="D2170" s="27" t="str">
        <x:v>Carroll County</x:v>
      </x:c>
      <x:c r="E2170" s="40" t="n">
        <x:v>131036</x:v>
      </x:c>
      <x:c r="F2170" s="55" t="n">
        <x:v>33.582237</x:v>
      </x:c>
      <x:c r="G2170" s="55" t="n">
        <x:v>-85.080527</x:v>
      </x:c>
      <x:c r="H2170" s="43" t="n">
        <x:f>E2170/SUMIF(A:A,A2170,E:E)</x:f>
        <x:v>0.006278885118865932</x:v>
      </x:c>
    </x:row>
    <x:row r="2171" ht="21.600000381469727" hidden="0" customHeight="1">
      <x:c r="A2171" s="29" t="str">
        <x:v>SCA-23</x:v>
      </x:c>
      <x:c r="B2171" s="29" t="str">
        <x:v>13059</x:v>
      </x:c>
      <x:c r="C2171" s="29" t="str">
        <x:v>GA</x:v>
      </x:c>
      <x:c r="D2171" s="29" t="str">
        <x:v>Clarke County</x:v>
      </x:c>
      <x:c r="E2171" s="41" t="n">
        <x:v>129921</x:v>
      </x:c>
      <x:c r="F2171" s="56" t="n">
        <x:v>33.952185</x:v>
      </x:c>
      <x:c r="G2171" s="56" t="n">
        <x:v>-83.367152</x:v>
      </x:c>
      <x:c r="H2171" s="44" t="n">
        <x:f>E2171/SUMIF(A:A,A2171,E:E)</x:f>
        <x:v>0.006225457382155903</x:v>
      </x:c>
    </x:row>
    <x:row r="2172" ht="21.600000381469727" hidden="0" customHeight="1">
      <x:c r="A2172" s="27" t="str">
        <x:v>SCA-23</x:v>
      </x:c>
      <x:c r="B2172" s="27" t="str">
        <x:v>01103</x:v>
      </x:c>
      <x:c r="C2172" s="27" t="str">
        <x:v>AL</x:v>
      </x:c>
      <x:c r="D2172" s="27" t="str">
        <x:v>Morgan County</x:v>
      </x:c>
      <x:c r="E2172" s="40" t="n">
        <x:v>126483</x:v>
      </x:c>
      <x:c r="F2172" s="55" t="n">
        <x:v>34.454484</x:v>
      </x:c>
      <x:c r="G2172" s="55" t="n">
        <x:v>-86.846402</x:v>
      </x:c>
      <x:c r="H2172" s="43" t="n">
        <x:f>E2172/SUMIF(A:A,A2172,E:E)</x:f>
        <x:v>0.006060717867528921</x:v>
      </x:c>
    </x:row>
    <x:row r="2173" ht="21.600000381469727" hidden="0" customHeight="1">
      <x:c r="A2173" s="29" t="str">
        <x:v>SCA-23</x:v>
      </x:c>
      <x:c r="B2173" s="29" t="str">
        <x:v>13217</x:v>
      </x:c>
      <x:c r="C2173" s="29" t="str">
        <x:v>GA</x:v>
      </x:c>
      <x:c r="D2173" s="29" t="str">
        <x:v>Newton County</x:v>
      </x:c>
      <x:c r="E2173" s="41" t="n">
        <x:v>125583</x:v>
      </x:c>
      <x:c r="F2173" s="56" t="n">
        <x:v>33.552751</x:v>
      </x:c>
      <x:c r="G2173" s="56" t="n">
        <x:v>-83.85136</x:v>
      </x:c>
      <x:c r="H2173" s="44" t="n">
        <x:f>E2173/SUMIF(A:A,A2173,E:E)</x:f>
        <x:v>0.00601759234013966</x:v>
      </x:c>
    </x:row>
    <x:row r="2174" ht="21.600000381469727" hidden="0" customHeight="1">
      <x:c r="A2174" s="27" t="str">
        <x:v>SCA-23</x:v>
      </x:c>
      <x:c r="B2174" s="27" t="str">
        <x:v>13113</x:v>
      </x:c>
      <x:c r="C2174" s="27" t="str">
        <x:v>GA</x:v>
      </x:c>
      <x:c r="D2174" s="27" t="str">
        <x:v>Fayette County</x:v>
      </x:c>
      <x:c r="E2174" s="40" t="n">
        <x:v>125156</x:v>
      </x:c>
      <x:c r="F2174" s="55" t="n">
        <x:v>33.412717</x:v>
      </x:c>
      <x:c r="G2174" s="55" t="n">
        <x:v>-84.493941</x:v>
      </x:c>
      <x:c r="H2174" s="43" t="n">
        <x:f>E2174/SUMIF(A:A,A2174,E:E)</x:f>
        <x:v>0.005997131673256087</x:v>
      </x:c>
    </x:row>
    <x:row r="2175" ht="21.600000381469727" hidden="0" customHeight="1">
      <x:c r="A2175" s="29" t="str">
        <x:v>SCA-23</x:v>
      </x:c>
      <x:c r="B2175" s="29" t="str">
        <x:v>37089</x:v>
      </x:c>
      <x:c r="C2175" s="29" t="str">
        <x:v>NC</x:v>
      </x:c>
      <x:c r="D2175" s="29" t="str">
        <x:v>Henderson County</x:v>
      </x:c>
      <x:c r="E2175" s="41" t="n">
        <x:v>122375</x:v>
      </x:c>
      <x:c r="F2175" s="56" t="n">
        <x:v>35.336427</x:v>
      </x:c>
      <x:c r="G2175" s="56" t="n">
        <x:v>-82.479583</x:v>
      </x:c>
      <x:c r="H2175" s="44" t="n">
        <x:f>E2175/SUMIF(A:A,A2175,E:E)</x:f>
        <x:v>0.005863873793623268</x:v>
      </x:c>
    </x:row>
    <x:row r="2176" ht="21.600000381469727" hidden="0" customHeight="1">
      <x:c r="A2176" s="27" t="str">
        <x:v>SCA-23</x:v>
      </x:c>
      <x:c r="B2176" s="27" t="str">
        <x:v>13015</x:v>
      </x:c>
      <x:c r="C2176" s="27" t="str">
        <x:v>GA</x:v>
      </x:c>
      <x:c r="D2176" s="27" t="str">
        <x:v>Bartow County</x:v>
      </x:c>
      <x:c r="E2176" s="40" t="n">
        <x:v>120800</x:v>
      </x:c>
      <x:c r="F2176" s="55" t="n">
        <x:v>34.240917</x:v>
      </x:c>
      <x:c r="G2176" s="55" t="n">
        <x:v>-84.838188</x:v>
      </x:c>
      <x:c r="H2176" s="43" t="n">
        <x:f>E2176/SUMIF(A:A,A2176,E:E)</x:f>
        <x:v>0.005788404120692059</x:v>
      </x:c>
    </x:row>
    <x:row r="2177" ht="21.600000381469727" hidden="0" customHeight="1">
      <x:c r="A2177" s="29" t="str">
        <x:v>SCA-23</x:v>
      </x:c>
      <x:c r="B2177" s="29" t="str">
        <x:v>01015</x:v>
      </x:c>
      <x:c r="C2177" s="29" t="str">
        <x:v>AL</x:v>
      </x:c>
      <x:c r="D2177" s="29" t="str">
        <x:v>Calhoun County</x:v>
      </x:c>
      <x:c r="E2177" s="41" t="n">
        <x:v>115834</x:v>
      </x:c>
      <x:c r="F2177" s="56" t="n">
        <x:v>33.770516</x:v>
      </x:c>
      <x:c r="G2177" s="56" t="n">
        <x:v>-85.827909</x:v>
      </x:c>
      <x:c r="H2177" s="44" t="n">
        <x:f>E2177/SUMIF(A:A,A2177,E:E)</x:f>
        <x:v>0.005550447044008642</x:v>
      </x:c>
    </x:row>
    <x:row r="2178" ht="21.600000381469727" hidden="0" customHeight="1">
      <x:c r="A2178" s="27" t="str">
        <x:v>SCA-23</x:v>
      </x:c>
      <x:c r="B2178" s="27" t="str">
        <x:v>47011</x:v>
      </x:c>
      <x:c r="C2178" s="27" t="str">
        <x:v>TN</x:v>
      </x:c>
      <x:c r="D2178" s="27" t="str">
        <x:v>Bradley County</x:v>
      </x:c>
      <x:c r="E2178" s="40" t="n">
        <x:v>115465</x:v>
      </x:c>
      <x:c r="F2178" s="55" t="n">
        <x:v>35.153914</x:v>
      </x:c>
      <x:c r="G2178" s="55" t="n">
        <x:v>-84.859414</x:v>
      </x:c>
      <x:c r="H2178" s="43" t="n">
        <x:f>E2178/SUMIF(A:A,A2178,E:E)</x:f>
        <x:v>0.005532765577779045</x:v>
      </x:c>
    </x:row>
    <x:row r="2179" ht="21.600000381469727" hidden="0" customHeight="1">
      <x:c r="A2179" s="29" t="str">
        <x:v>SCA-23</x:v>
      </x:c>
      <x:c r="B2179" s="29" t="str">
        <x:v>13297</x:v>
      </x:c>
      <x:c r="C2179" s="29" t="str">
        <x:v>GA</x:v>
      </x:c>
      <x:c r="D2179" s="29" t="str">
        <x:v>Walton County</x:v>
      </x:c>
      <x:c r="E2179" s="41" t="n">
        <x:v>112696</x:v>
      </x:c>
      <x:c r="F2179" s="56" t="n">
        <x:v>33.783887</x:v>
      </x:c>
      <x:c r="G2179" s="56" t="n">
        <x:v>-83.731829</x:v>
      </x:c>
      <x:c r="H2179" s="44" t="n">
        <x:f>E2179/SUMIF(A:A,A2179,E:E)</x:f>
        <x:v>0.005400082705178082</x:v>
      </x:c>
    </x:row>
    <x:row r="2180" ht="21.600000381469727" hidden="0" customHeight="1">
      <x:c r="A2180" s="27" t="str">
        <x:v>SCA-23</x:v>
      </x:c>
      <x:c r="B2180" s="27" t="str">
        <x:v>01069</x:v>
      </x:c>
      <x:c r="C2180" s="27" t="str">
        <x:v>AL</x:v>
      </x:c>
      <x:c r="D2180" s="27" t="str">
        <x:v>Houston County</x:v>
      </x:c>
      <x:c r="E2180" s="40" t="n">
        <x:v>110318</x:v>
      </x:c>
      <x:c r="F2180" s="55" t="n">
        <x:v>31.158183</x:v>
      </x:c>
      <x:c r="G2180" s="55" t="n">
        <x:v>-85.296411</x:v>
      </x:c>
      <x:c r="H2180" s="43" t="n">
        <x:f>E2180/SUMIF(A:A,A2180,E:E)</x:f>
        <x:v>0.005286135478365121</x:v>
      </x:c>
    </x:row>
    <x:row r="2181" ht="21.600000381469727" hidden="0" customHeight="1">
      <x:c r="A2181" s="29" t="str">
        <x:v>SCA-23</x:v>
      </x:c>
      <x:c r="B2181" s="29" t="str">
        <x:v>13313</x:v>
      </x:c>
      <x:c r="C2181" s="29" t="str">
        <x:v>GA</x:v>
      </x:c>
      <x:c r="D2181" s="29" t="str">
        <x:v>Whitfield County</x:v>
      </x:c>
      <x:c r="E2181" s="41" t="n">
        <x:v>106212</x:v>
      </x:c>
      <x:c r="F2181" s="56" t="n">
        <x:v>34.801726</x:v>
      </x:c>
      <x:c r="G2181" s="56" t="n">
        <x:v>-84.968541</x:v>
      </x:c>
      <x:c r="H2181" s="44" t="n">
        <x:f>E2181/SUMIF(A:A,A2181,E:E)</x:f>
        <x:v>0.005089387238964777</x:v>
      </x:c>
    </x:row>
    <x:row r="2182" ht="21.600000381469727" hidden="0" customHeight="1">
      <x:c r="A2182" s="27" t="str">
        <x:v>SCA-23</x:v>
      </x:c>
      <x:c r="B2182" s="27" t="str">
        <x:v>01055</x:v>
      </x:c>
      <x:c r="C2182" s="27" t="str">
        <x:v>AL</x:v>
      </x:c>
      <x:c r="D2182" s="27" t="str">
        <x:v>Etowah County</x:v>
      </x:c>
      <x:c r="E2182" s="40" t="n">
        <x:v>103886</x:v>
      </x:c>
      <x:c r="F2182" s="55" t="n">
        <x:v>34.047641</x:v>
      </x:c>
      <x:c r="G2182" s="55" t="n">
        <x:v>-86.034263</x:v>
      </x:c>
      <x:c r="H2182" s="43" t="n">
        <x:f>E2182/SUMIF(A:A,A2182,E:E)</x:f>
        <x:v>0.004977931709289862</x:v>
      </x:c>
    </x:row>
    <x:row r="2183" ht="21.600000381469727" hidden="0" customHeight="1">
      <x:c r="A2183" s="29" t="str">
        <x:v>SCA-23</x:v>
      </x:c>
      <x:c r="B2183" s="29" t="str">
        <x:v>01095</x:v>
      </x:c>
      <x:c r="C2183" s="29" t="str">
        <x:v>AL</x:v>
      </x:c>
      <x:c r="D2183" s="29" t="str">
        <x:v>Marshall County</x:v>
      </x:c>
      <x:c r="E2183" s="41" t="n">
        <x:v>103537</x:v>
      </x:c>
      <x:c r="F2183" s="56" t="n">
        <x:v>34.309564</x:v>
      </x:c>
      <x:c r="G2183" s="56" t="n">
        <x:v>-86.321668</x:v>
      </x:c>
      <x:c r="H2183" s="44" t="n">
        <x:f>E2183/SUMIF(A:A,A2183,E:E)</x:f>
        <x:v>0.004961208588113359</x:v>
      </x:c>
    </x:row>
    <x:row r="2184" ht="15" hidden="0" customHeight="1">
      <x:c r="A2184" s="27" t="str">
        <x:v>SCA-23</x:v>
      </x:c>
      <x:c r="B2184" s="27" t="str">
        <x:v>13115</x:v>
      </x:c>
      <x:c r="C2184" s="27" t="str">
        <x:v>GA</x:v>
      </x:c>
      <x:c r="D2184" s="27" t="str">
        <x:v>Floyd County</x:v>
      </x:c>
      <x:c r="E2184" s="40" t="n">
        <x:v>101378</x:v>
      </x:c>
      <x:c r="F2184" s="55" t="n">
        <x:v>34.26369</x:v>
      </x:c>
      <x:c r="G2184" s="55" t="n">
        <x:v>-85.213685</x:v>
      </x:c>
      <x:c r="H2184" s="43" t="n">
        <x:f>E2184/SUMIF(A:A,A2184,E:E)</x:f>
        <x:v>0.004857755239631785</x:v>
      </x:c>
    </x:row>
    <x:row r="2185" ht="21.600000381469727" hidden="0" customHeight="1">
      <x:c r="A2185" s="29" t="str">
        <x:v>SCA-23</x:v>
      </x:c>
      <x:c r="B2185" s="29" t="str">
        <x:v>47155</x:v>
      </x:c>
      <x:c r="C2185" s="29" t="str">
        <x:v>TN</x:v>
      </x:c>
      <x:c r="D2185" s="29" t="str">
        <x:v>Sevier County</x:v>
      </x:c>
      <x:c r="E2185" s="41" t="n">
        <x:v>101342</x:v>
      </x:c>
      <x:c r="F2185" s="56" t="n">
        <x:v>35.787822</x:v>
      </x:c>
      <x:c r="G2185" s="56" t="n">
        <x:v>-83.5249</x:v>
      </x:c>
      <x:c r="H2185" s="44" t="n">
        <x:f>E2185/SUMIF(A:A,A2185,E:E)</x:f>
        <x:v>0.004856030218536214</x:v>
      </x:c>
    </x:row>
    <x:row r="2186" ht="21.600000381469727" hidden="0" customHeight="1">
      <x:c r="A2186" s="27" t="str">
        <x:v>SCA-23</x:v>
      </x:c>
      <x:c r="B2186" s="27" t="str">
        <x:v>13013</x:v>
      </x:c>
      <x:c r="C2186" s="27" t="str">
        <x:v>GA</x:v>
      </x:c>
      <x:c r="D2186" s="27" t="str">
        <x:v>Barrow County</x:v>
      </x:c>
      <x:c r="E2186" s="40" t="n">
        <x:v>99773</x:v>
      </x:c>
      <x:c r="F2186" s="55" t="n">
        <x:v>33.992009</x:v>
      </x:c>
      <x:c r="G2186" s="55" t="n">
        <x:v>-83.712303</x:v>
      </x:c>
      <x:c r="H2186" s="43" t="n">
        <x:f>E2186/SUMIF(A:A,A2186,E:E)</x:f>
        <x:v>0.004780848049120934</x:v>
      </x:c>
    </x:row>
    <x:row r="2187" ht="21.600000381469727" hidden="0" customHeight="1">
      <x:c r="A2187" s="29" t="str">
        <x:v>SCA-23</x:v>
      </x:c>
      <x:c r="B2187" s="29" t="str">
        <x:v>13157</x:v>
      </x:c>
      <x:c r="C2187" s="29" t="str">
        <x:v>GA</x:v>
      </x:c>
      <x:c r="D2187" s="29" t="str">
        <x:v>Jackson County</x:v>
      </x:c>
      <x:c r="E2187" s="41" t="n">
        <x:v>99265</x:v>
      </x:c>
      <x:c r="F2187" s="56" t="n">
        <x:v>34.130905</x:v>
      </x:c>
      <x:c r="G2187" s="56" t="n">
        <x:v>-83.562557</x:v>
      </x:c>
      <x:c r="H2187" s="44" t="n">
        <x:f>E2187/SUMIF(A:A,A2187,E:E)</x:f>
        <x:v>0.004756506084772329</x:v>
      </x:c>
    </x:row>
    <x:row r="2188" ht="21.600000381469727" hidden="0" customHeight="1">
      <x:c r="A2188" s="27" t="str">
        <x:v>SCA-23</x:v>
      </x:c>
      <x:c r="B2188" s="27" t="str">
        <x:v>13247</x:v>
      </x:c>
      <x:c r="C2188" s="27" t="str">
        <x:v>GA</x:v>
      </x:c>
      <x:c r="D2188" s="27" t="str">
        <x:v>Rockdale County</x:v>
      </x:c>
      <x:c r="E2188" s="40" t="n">
        <x:v>98416</x:v>
      </x:c>
      <x:c r="F2188" s="55" t="n">
        <x:v>33.652081</x:v>
      </x:c>
      <x:c r="G2188" s="55" t="n">
        <x:v>-84.02637</x:v>
      </x:c>
      <x:c r="H2188" s="43" t="n">
        <x:f>E2188/SUMIF(A:A,A2188,E:E)</x:f>
        <x:v>0.0047158243372684575</x:v>
      </x:c>
    </x:row>
    <x:row r="2189" ht="21.600000381469727" hidden="0" customHeight="1">
      <x:c r="A2189" s="29" t="str">
        <x:v>SCA-23</x:v>
      </x:c>
      <x:c r="B2189" s="29" t="str">
        <x:v>01115</x:v>
      </x:c>
      <x:c r="C2189" s="29" t="str">
        <x:v>AL</x:v>
      </x:c>
      <x:c r="D2189" s="29" t="str">
        <x:v>St. Clair County</x:v>
      </x:c>
      <x:c r="E2189" s="41" t="n">
        <x:v>98206</x:v>
      </x:c>
      <x:c r="F2189" s="56" t="n">
        <x:v>33.719491</x:v>
      </x:c>
      <x:c r="G2189" s="56" t="n">
        <x:v>-86.311327</x:v>
      </x:c>
      <x:c r="H2189" s="44" t="n">
        <x:f>E2189/SUMIF(A:A,A2189,E:E)</x:f>
        <x:v>0.004705761714210963</x:v>
      </x:c>
    </x:row>
    <x:row r="2190" ht="21.600000381469727" hidden="0" customHeight="1">
      <x:c r="A2190" s="27" t="str">
        <x:v>SCA-23</x:v>
      </x:c>
      <x:c r="B2190" s="27" t="str">
        <x:v>01043</x:v>
      </x:c>
      <x:c r="C2190" s="27" t="str">
        <x:v>AL</x:v>
      </x:c>
      <x:c r="D2190" s="27" t="str">
        <x:v>Cullman County</x:v>
      </x:c>
      <x:c r="E2190" s="40" t="n">
        <x:v>94009</x:v>
      </x:c>
      <x:c r="F2190" s="55" t="n">
        <x:v>34.131923</x:v>
      </x:c>
      <x:c r="G2190" s="55" t="n">
        <x:v>-86.869267</x:v>
      </x:c>
      <x:c r="H2190" s="43" t="n">
        <x:f>E2190/SUMIF(A:A,A2190,E:E)</x:f>
        <x:v>0.004504653004819038</x:v>
      </x:c>
    </x:row>
    <x:row r="2191" ht="21.600000381469727" hidden="0" customHeight="1">
      <x:c r="A2191" s="29" t="str">
        <x:v>SCA-23</x:v>
      </x:c>
      <x:c r="B2191" s="29" t="str">
        <x:v>12131</x:v>
      </x:c>
      <x:c r="C2191" s="29" t="str">
        <x:v>FL</x:v>
      </x:c>
      <x:c r="D2191" s="29" t="str">
        <x:v>Walton County</x:v>
      </x:c>
      <x:c r="E2191" s="41" t="n">
        <x:v>93288</x:v>
      </x:c>
      <x:c r="F2191" s="56" t="n">
        <x:v>30.571247</x:v>
      </x:c>
      <x:c r="G2191" s="56" t="n">
        <x:v>-86.162798</x:v>
      </x:c>
      <x:c r="H2191" s="44" t="n">
        <x:f>E2191/SUMIF(A:A,A2191,E:E)</x:f>
        <x:v>0.004470104665654974</x:v>
      </x:c>
    </x:row>
    <x:row r="2192" ht="21.600000381469727" hidden="0" customHeight="1">
      <x:c r="A2192" s="27" t="str">
        <x:v>SCA-23</x:v>
      </x:c>
      <x:c r="B2192" s="27" t="str">
        <x:v>01051</x:v>
      </x:c>
      <x:c r="C2192" s="27" t="str">
        <x:v>AL</x:v>
      </x:c>
      <x:c r="D2192" s="27" t="str">
        <x:v>Elmore County</x:v>
      </x:c>
      <x:c r="E2192" s="40" t="n">
        <x:v>91577</x:v>
      </x:c>
      <x:c r="F2192" s="55" t="n">
        <x:v>32.597229</x:v>
      </x:c>
      <x:c r="G2192" s="55" t="n">
        <x:v>-86.142735</x:v>
      </x:c>
      <x:c r="H2192" s="43" t="n">
        <x:f>E2192/SUMIF(A:A,A2192,E:E)</x:f>
        <x:v>0.004388118246362721</x:v>
      </x:c>
    </x:row>
    <x:row r="2193" ht="21.600000381469727" hidden="0" customHeight="1">
      <x:c r="A2193" s="29" t="str">
        <x:v>SCA-23</x:v>
      </x:c>
      <x:c r="B2193" s="29" t="str">
        <x:v>45073</x:v>
      </x:c>
      <x:c r="C2193" s="29" t="str">
        <x:v>SC</x:v>
      </x:c>
      <x:c r="D2193" s="29" t="str">
        <x:v>Oconee County</x:v>
      </x:c>
      <x:c r="E2193" s="41" t="n">
        <x:v>83775</x:v>
      </x:c>
      <x:c r="F2193" s="56" t="n">
        <x:v>34.748766</x:v>
      </x:c>
      <x:c r="G2193" s="56" t="n">
        <x:v>-83.06154</x:v>
      </x:c>
      <x:c r="H2193" s="44" t="n">
        <x:f>E2193/SUMIF(A:A,A2193,E:E)</x:f>
        <x:v>0.004014267841150474</x:v>
      </x:c>
    </x:row>
    <x:row r="2194" ht="21.600000381469727" hidden="0" customHeight="1">
      <x:c r="A2194" s="27" t="str">
        <x:v>SCA-23</x:v>
      </x:c>
      <x:c r="B2194" s="27" t="str">
        <x:v>13095</x:v>
      </x:c>
      <x:c r="C2194" s="27" t="str">
        <x:v>GA</x:v>
      </x:c>
      <x:c r="D2194" s="27" t="str">
        <x:v>Dougherty County</x:v>
      </x:c>
      <x:c r="E2194" s="40" t="n">
        <x:v>82616</x:v>
      </x:c>
      <x:c r="F2194" s="55" t="n">
        <x:v>31.532588</x:v>
      </x:c>
      <x:c r="G2194" s="55" t="n">
        <x:v>-84.20904</x:v>
      </x:c>
      <x:c r="H2194" s="43" t="n">
        <x:f>E2194/SUMIF(A:A,A2194,E:E)</x:f>
        <x:v>0.003958731745323635</x:v>
      </x:c>
    </x:row>
    <x:row r="2195" ht="21.600000381469727" hidden="0" customHeight="1">
      <x:c r="A2195" s="29" t="str">
        <x:v>SCA-23</x:v>
      </x:c>
      <x:c r="B2195" s="29" t="str">
        <x:v>47001</x:v>
      </x:c>
      <x:c r="C2195" s="29" t="str">
        <x:v>TN</x:v>
      </x:c>
      <x:c r="D2195" s="29" t="str">
        <x:v>Anderson County</x:v>
      </x:c>
      <x:c r="E2195" s="41" t="n">
        <x:v>82066</x:v>
      </x:c>
      <x:c r="F2195" s="56" t="n">
        <x:v>36.116731</x:v>
      </x:c>
      <x:c r="G2195" s="56" t="n">
        <x:v>-84.195418</x:v>
      </x:c>
      <x:c r="H2195" s="44" t="n">
        <x:f>E2195/SUMIF(A:A,A2195,E:E)</x:f>
        <x:v>0.003932377256363531</x:v>
      </x:c>
    </x:row>
    <x:row r="2196" ht="21.600000381469727" hidden="0" customHeight="1">
      <x:c r="A2196" s="27" t="str">
        <x:v>SCA-23</x:v>
      </x:c>
      <x:c r="B2196" s="27" t="str">
        <x:v>01121</x:v>
      </x:c>
      <x:c r="C2196" s="27" t="str">
        <x:v>AL</x:v>
      </x:c>
      <x:c r="D2196" s="27" t="str">
        <x:v>Talladega County</x:v>
      </x:c>
      <x:c r="E2196" s="40" t="n">
        <x:v>81603</x:v>
      </x:c>
      <x:c r="F2196" s="55" t="n">
        <x:v>33.369314</x:v>
      </x:c>
      <x:c r="G2196" s="55" t="n">
        <x:v>-86.17593</x:v>
      </x:c>
      <x:c r="H2196" s="43" t="n">
        <x:f>E2196/SUMIF(A:A,A2196,E:E)</x:f>
        <x:v>0.0039101915683843885</x:v>
      </x:c>
    </x:row>
    <x:row r="2197" ht="21.600000381469727" hidden="0" customHeight="1">
      <x:c r="A2197" s="29" t="str">
        <x:v>SCA-23</x:v>
      </x:c>
      <x:c r="B2197" s="29" t="str">
        <x:v>01049</x:v>
      </x:c>
      <x:c r="C2197" s="29" t="str">
        <x:v>AL</x:v>
      </x:c>
      <x:c r="D2197" s="29" t="str">
        <x:v>DeKalb County</x:v>
      </x:c>
      <x:c r="E2197" s="41" t="n">
        <x:v>74085</x:v>
      </x:c>
      <x:c r="F2197" s="56" t="n">
        <x:v>34.460915</x:v>
      </x:c>
      <x:c r="G2197" s="56" t="n">
        <x:v>-85.804021</x:v>
      </x:c>
      <x:c r="H2197" s="44" t="n">
        <x:f>E2197/SUMIF(A:A,A2197,E:E)</x:f>
        <x:v>0.003549949662926086</x:v>
      </x:c>
    </x:row>
    <x:row r="2198" ht="21.600000381469727" hidden="0" customHeight="1">
      <x:c r="A2198" s="27" t="str">
        <x:v>SCA-23</x:v>
      </x:c>
      <x:c r="B2198" s="27" t="str">
        <x:v>47059</x:v>
      </x:c>
      <x:c r="C2198" s="27" t="str">
        <x:v>TN</x:v>
      </x:c>
      <x:c r="D2198" s="27" t="str">
        <x:v>Greene County</x:v>
      </x:c>
      <x:c r="E2198" s="40" t="n">
        <x:v>73831</x:v>
      </x:c>
      <x:c r="F2198" s="55" t="n">
        <x:v>36.179487</x:v>
      </x:c>
      <x:c r="G2198" s="55" t="n">
        <x:v>-82.847523</x:v>
      </x:c>
      <x:c r="H2198" s="43" t="n">
        <x:f>E2198/SUMIF(A:A,A2198,E:E)</x:f>
        <x:v>0.003537778680751783</x:v>
      </x:c>
    </x:row>
    <x:row r="2199" ht="21.600000381469727" hidden="0" customHeight="1">
      <x:c r="A2199" s="29" t="str">
        <x:v>SCA-23</x:v>
      </x:c>
      <x:c r="B2199" s="29" t="str">
        <x:v>13285</x:v>
      </x:c>
      <x:c r="C2199" s="29" t="str">
        <x:v>GA</x:v>
      </x:c>
      <x:c r="D2199" s="29" t="str">
        <x:v>Troup County</x:v>
      </x:c>
      <x:c r="E2199" s="41" t="n">
        <x:v>72844</x:v>
      </x:c>
      <x:c r="F2199" s="56" t="n">
        <x:v>33.034482</x:v>
      </x:c>
      <x:c r="G2199" s="56" t="n">
        <x:v>-85.02836</x:v>
      </x:c>
      <x:c r="H2199" s="44" t="n">
        <x:f>E2199/SUMIF(A:A,A2199,E:E)</x:f>
        <x:v>0.003490484352381559</x:v>
      </x:c>
    </x:row>
    <x:row r="2200" ht="21.600000381469727" hidden="0" customHeight="1">
      <x:c r="A2200" s="27" t="str">
        <x:v>SCA-23</x:v>
      </x:c>
      <x:c r="B2200" s="27" t="str">
        <x:v>45059</x:v>
      </x:c>
      <x:c r="C2200" s="27" t="str">
        <x:v>SC</x:v>
      </x:c>
      <x:c r="D2200" s="27" t="str">
        <x:v>Laurens County</x:v>
      </x:c>
      <x:c r="E2200" s="40" t="n">
        <x:v>71848</x:v>
      </x:c>
      <x:c r="F2200" s="55" t="n">
        <x:v>34.483676</x:v>
      </x:c>
      <x:c r="G2200" s="55" t="n">
        <x:v>-82.005498</x:v>
      </x:c>
      <x:c r="H2200" s="43" t="n">
        <x:f>E2200/SUMIF(A:A,A2200,E:E)</x:f>
        <x:v>0.003442758768737443</x:v>
      </x:c>
    </x:row>
    <x:row r="2201" ht="21.600000381469727" hidden="0" customHeight="1">
      <x:c r="A2201" s="29" t="str">
        <x:v>SCA-23</x:v>
      </x:c>
      <x:c r="B2201" s="29" t="str">
        <x:v>13255</x:v>
      </x:c>
      <x:c r="C2201" s="29" t="str">
        <x:v>GA</x:v>
      </x:c>
      <x:c r="D2201" s="29" t="str">
        <x:v>Spalding County</x:v>
      </x:c>
      <x:c r="E2201" s="41" t="n">
        <x:v>70775</x:v>
      </x:c>
      <x:c r="F2201" s="56" t="n">
        <x:v>33.262348</x:v>
      </x:c>
      <x:c r="G2201" s="56" t="n">
        <x:v>-84.284905</x:v>
      </x:c>
      <x:c r="H2201" s="44" t="n">
        <x:f>E2201/SUMIF(A:A,A2201,E:E)</x:f>
        <x:v>0.0033913435566389114</x:v>
      </x:c>
    </x:row>
    <x:row r="2202" ht="21.600000381469727" hidden="0" customHeight="1">
      <x:c r="A2202" s="27" t="str">
        <x:v>SCA-23</x:v>
      </x:c>
      <x:c r="B2202" s="27" t="str">
        <x:v>45047</x:v>
      </x:c>
      <x:c r="C2202" s="27" t="str">
        <x:v>SC</x:v>
      </x:c>
      <x:c r="D2202" s="27" t="str">
        <x:v>Greenwood County</x:v>
      </x:c>
      <x:c r="E2202" s="40" t="n">
        <x:v>70379</x:v>
      </x:c>
      <x:c r="F2202" s="55" t="n">
        <x:v>34.155796</x:v>
      </x:c>
      <x:c r="G2202" s="55" t="n">
        <x:v>-82.127876</x:v>
      </x:c>
      <x:c r="H2202" s="43" t="n">
        <x:f>E2202/SUMIF(A:A,A2202,E:E)</x:f>
        <x:v>0.003372368324587636</x:v>
      </x:c>
    </x:row>
    <x:row r="2203" ht="21.600000381469727" hidden="0" customHeight="1">
      <x:c r="A2203" s="29" t="str">
        <x:v>SCA-23</x:v>
      </x:c>
      <x:c r="B2203" s="29" t="str">
        <x:v>13295</x:v>
      </x:c>
      <x:c r="C2203" s="29" t="str">
        <x:v>GA</x:v>
      </x:c>
      <x:c r="D2203" s="29" t="str">
        <x:v>Walker County</x:v>
      </x:c>
      <x:c r="E2203" s="41" t="n">
        <x:v>70250</x:v>
      </x:c>
      <x:c r="F2203" s="56" t="n">
        <x:v>34.735802</x:v>
      </x:c>
      <x:c r="G2203" s="56" t="n">
        <x:v>-85.305456</x:v>
      </x:c>
      <x:c r="H2203" s="44" t="n">
        <x:f>E2203/SUMIF(A:A,A2203,E:E)</x:f>
        <x:v>0.0033661869989951754</x:v>
      </x:c>
    </x:row>
    <x:row r="2204" ht="21.600000381469727" hidden="0" customHeight="1">
      <x:c r="A2204" s="27" t="str">
        <x:v>SCA-23</x:v>
      </x:c>
      <x:c r="B2204" s="27" t="str">
        <x:v>13047</x:v>
      </x:c>
      <x:c r="C2204" s="27" t="str">
        <x:v>GA</x:v>
      </x:c>
      <x:c r="D2204" s="27" t="str">
        <x:v>Catoosa County</x:v>
      </x:c>
      <x:c r="E2204" s="40" t="n">
        <x:v>69628</x:v>
      </x:c>
      <x:c r="F2204" s="55" t="n">
        <x:v>34.900212</x:v>
      </x:c>
      <x:c r="G2204" s="55" t="n">
        <x:v>-85.139385</x:v>
      </x:c>
      <x:c r="H2204" s="43" t="n">
        <x:f>E2204/SUMIF(A:A,A2204,E:E)</x:f>
        <x:v>0.0033363824678439295</x:v>
      </x:c>
    </x:row>
    <x:row r="2205" ht="21.600000381469727" hidden="0" customHeight="1">
      <x:c r="A2205" s="29" t="str">
        <x:v>SCA-23</x:v>
      </x:c>
      <x:c r="B2205" s="29" t="str">
        <x:v>47063</x:v>
      </x:c>
      <x:c r="C2205" s="29" t="str">
        <x:v>TN</x:v>
      </x:c>
      <x:c r="D2205" s="29" t="str">
        <x:v>Hamblen County</x:v>
      </x:c>
      <x:c r="E2205" s="41" t="n">
        <x:v>68843</x:v>
      </x:c>
      <x:c r="F2205" s="56" t="n">
        <x:v>36.218397</x:v>
      </x:c>
      <x:c r="G2205" s="56" t="n">
        <x:v>-83.266071</x:v>
      </x:c>
      <x:c r="H2205" s="44" t="n">
        <x:f>E2205/SUMIF(A:A,A2205,E:E)</x:f>
        <x:v>0.003298767424509962</x:v>
      </x:c>
    </x:row>
    <x:row r="2206" ht="21.600000381469727" hidden="0" customHeight="1">
      <x:c r="A2206" s="27" t="str">
        <x:v>SCA-23</x:v>
      </x:c>
      <x:c r="B2206" s="27" t="str">
        <x:v>47035</x:v>
      </x:c>
      <x:c r="C2206" s="27" t="str">
        <x:v>TN</x:v>
      </x:c>
      <x:c r="D2206" s="27" t="str">
        <x:v>Cumberland County</x:v>
      </x:c>
      <x:c r="E2206" s="40" t="n">
        <x:v>66300</x:v>
      </x:c>
      <x:c r="F2206" s="55" t="n">
        <x:v>35.952398</x:v>
      </x:c>
      <x:c r="G2206" s="55" t="n">
        <x:v>-84.994761</x:v>
      </x:c>
      <x:c r="H2206" s="43" t="n">
        <x:f>E2206/SUMIF(A:A,A2206,E:E)</x:f>
        <x:v>0.0031769138510089694</x:v>
      </x:c>
    </x:row>
    <x:row r="2207" ht="21.600000381469727" hidden="0" customHeight="1">
      <x:c r="A2207" s="29" t="str">
        <x:v>SCA-23</x:v>
      </x:c>
      <x:c r="B2207" s="29" t="str">
        <x:v>37161</x:v>
      </x:c>
      <x:c r="C2207" s="29" t="str">
        <x:v>NC</x:v>
      </x:c>
      <x:c r="D2207" s="29" t="str">
        <x:v>Rutherford County</x:v>
      </x:c>
      <x:c r="E2207" s="41" t="n">
        <x:v>65745</x:v>
      </x:c>
      <x:c r="F2207" s="56" t="n">
        <x:v>35.402747</x:v>
      </x:c>
      <x:c r="G2207" s="56" t="n">
        <x:v>-81.919582</x:v>
      </x:c>
      <x:c r="H2207" s="44" t="n">
        <x:f>E2207/SUMIF(A:A,A2207,E:E)</x:f>
        <x:v>0.0031503197757855915</x:v>
      </x:c>
    </x:row>
    <x:row r="2208" ht="21.600000381469727" hidden="0" customHeight="1">
      <x:c r="A2208" s="27" t="str">
        <x:v>SCA-23</x:v>
      </x:c>
      <x:c r="B2208" s="27" t="str">
        <x:v>01127</x:v>
      </x:c>
      <x:c r="C2208" s="27" t="str">
        <x:v>AL</x:v>
      </x:c>
      <x:c r="D2208" s="27" t="str">
        <x:v>Walker County</x:v>
      </x:c>
      <x:c r="E2208" s="40" t="n">
        <x:v>65140</x:v>
      </x:c>
      <x:c r="F2208" s="55" t="n">
        <x:v>33.791558</x:v>
      </x:c>
      <x:c r="G2208" s="55" t="n">
        <x:v>-87.301094</x:v>
      </x:c>
      <x:c r="H2208" s="43" t="n">
        <x:f>E2208/SUMIF(A:A,A2208,E:E)</x:f>
        <x:v>0.003121329837929476</x:v>
      </x:c>
    </x:row>
    <x:row r="2209" ht="21.600000381469727" hidden="0" customHeight="1">
      <x:c r="A2209" s="29" t="str">
        <x:v>SCA-23</x:v>
      </x:c>
      <x:c r="B2209" s="29" t="str">
        <x:v>47105</x:v>
      </x:c>
      <x:c r="C2209" s="29" t="str">
        <x:v>TN</x:v>
      </x:c>
      <x:c r="D2209" s="29" t="str">
        <x:v>Loudon County</x:v>
      </x:c>
      <x:c r="E2209" s="41" t="n">
        <x:v>63764</x:v>
      </x:c>
      <x:c r="F2209" s="56" t="n">
        <x:v>35.735085</x:v>
      </x:c>
      <x:c r="G2209" s="56" t="n">
        <x:v>-84.314085</x:v>
      </x:c>
      <x:c r="H2209" s="44" t="n">
        <x:f>E2209/SUMIF(A:A,A2209,E:E)</x:f>
        <x:v>0.00305539569827656</x:v>
      </x:c>
    </x:row>
    <x:row r="2210" ht="21.600000381469727" hidden="0" customHeight="1">
      <x:c r="A2210" s="27" t="str">
        <x:v>SCA-23</x:v>
      </x:c>
      <x:c r="B2210" s="27" t="str">
        <x:v>37087</x:v>
      </x:c>
      <x:c r="C2210" s="27" t="str">
        <x:v>NC</x:v>
      </x:c>
      <x:c r="D2210" s="27" t="str">
        <x:v>Haywood County</x:v>
      </x:c>
      <x:c r="E2210" s="40" t="n">
        <x:v>63369</x:v>
      </x:c>
      <x:c r="F2210" s="55" t="n">
        <x:v>35.558882</x:v>
      </x:c>
      <x:c r="G2210" s="55" t="n">
        <x:v>-82.981307</x:v>
      </x:c>
      <x:c r="H2210" s="43" t="n">
        <x:f>E2210/SUMIF(A:A,A2210,E:E)</x:f>
        <x:v>0.0030364683834779396</x:v>
      </x:c>
    </x:row>
    <x:row r="2211" ht="21.600000381469727" hidden="0" customHeight="1">
      <x:c r="A2211" s="29" t="str">
        <x:v>SCA-23</x:v>
      </x:c>
      <x:c r="B2211" s="29" t="str">
        <x:v>47031</x:v>
      </x:c>
      <x:c r="C2211" s="29" t="str">
        <x:v>TN</x:v>
      </x:c>
      <x:c r="D2211" s="29" t="str">
        <x:v>Coffee County</x:v>
      </x:c>
      <x:c r="E2211" s="41" t="n">
        <x:v>62419</x:v>
      </x:c>
      <x:c r="F2211" s="56" t="n">
        <x:v>35.488765</x:v>
      </x:c>
      <x:c r="G2211" s="56" t="n">
        <x:v>-86.078202</x:v>
      </x:c>
      <x:c r="H2211" s="44" t="n">
        <x:f>E2211/SUMIF(A:A,A2211,E:E)</x:f>
        <x:v>0.0029909469934559407</x:v>
      </x:c>
    </x:row>
    <x:row r="2212" ht="21.600000381469727" hidden="0" customHeight="1">
      <x:c r="A2212" s="27" t="str">
        <x:v>SCA-23</x:v>
      </x:c>
      <x:c r="B2212" s="27" t="str">
        <x:v>01001</x:v>
      </x:c>
      <x:c r="C2212" s="27" t="str">
        <x:v>AL</x:v>
      </x:c>
      <x:c r="D2212" s="27" t="str">
        <x:v>Autauga County</x:v>
      </x:c>
      <x:c r="E2212" s="40" t="n">
        <x:v>61920</x:v>
      </x:c>
      <x:c r="F2212" s="55" t="n">
        <x:v>32.532237</x:v>
      </x:c>
      <x:c r="G2212" s="55" t="n">
        <x:v>-86.64644</x:v>
      </x:c>
      <x:c r="H2212" s="43" t="n">
        <x:f>E2212/SUMIF(A:A,A2212,E:E)</x:f>
        <x:v>0.002967036284381228</x:v>
      </x:c>
    </x:row>
    <x:row r="2213" ht="21.600000381469727" hidden="0" customHeight="1">
      <x:c r="A2213" s="29" t="str">
        <x:v>SCA-23</x:v>
      </x:c>
      <x:c r="B2213" s="29" t="str">
        <x:v>13129</x:v>
      </x:c>
      <x:c r="C2213" s="29" t="str">
        <x:v>GA</x:v>
      </x:c>
      <x:c r="D2213" s="29" t="str">
        <x:v>Gordon County</x:v>
      </x:c>
      <x:c r="E2213" s="41" t="n">
        <x:v>61701</x:v>
      </x:c>
      <x:c r="F2213" s="56" t="n">
        <x:v>34.509667</x:v>
      </x:c>
      <x:c r="G2213" s="56" t="n">
        <x:v>-84.873862</x:v>
      </x:c>
      <x:c r="H2213" s="44" t="n">
        <x:f>E2213/SUMIF(A:A,A2213,E:E)</x:f>
        <x:v>0.002956542406049841</x:v>
      </x:c>
    </x:row>
    <x:row r="2214" ht="21.600000381469727" hidden="0" customHeight="1">
      <x:c r="A2214" s="27" t="str">
        <x:v>SCA-23</x:v>
      </x:c>
      <x:c r="B2214" s="27" t="str">
        <x:v>01009</x:v>
      </x:c>
      <x:c r="C2214" s="27" t="str">
        <x:v>AL</x:v>
      </x:c>
      <x:c r="D2214" s="27" t="str">
        <x:v>Blount County</x:v>
      </x:c>
      <x:c r="E2214" s="40" t="n">
        <x:v>60156</x:v>
      </x:c>
      <x:c r="F2214" s="55" t="n">
        <x:v>33.977358</x:v>
      </x:c>
      <x:c r="G2214" s="55" t="n">
        <x:v>-86.56644</x:v>
      </x:c>
      <x:c r="H2214" s="43" t="n">
        <x:f>E2214/SUMIF(A:A,A2214,E:E)</x:f>
        <x:v>0.0028825102506982742</x:v>
      </x:c>
    </x:row>
    <x:row r="2215" ht="21.600000381469727" hidden="0" customHeight="1">
      <x:c r="A2215" s="29" t="str">
        <x:v>SCA-23</x:v>
      </x:c>
      <x:c r="B2215" s="29" t="str">
        <x:v>47089</x:v>
      </x:c>
      <x:c r="C2215" s="29" t="str">
        <x:v>TN</x:v>
      </x:c>
      <x:c r="D2215" s="29" t="str">
        <x:v>Jefferson County</x:v>
      </x:c>
      <x:c r="E2215" s="41" t="n">
        <x:v>60024</x:v>
      </x:c>
      <x:c r="F2215" s="56" t="n">
        <x:v>36.048452</x:v>
      </x:c>
      <x:c r="G2215" s="56" t="n">
        <x:v>-83.441216</x:v>
      </x:c>
      <x:c r="H2215" s="44" t="n">
        <x:f>E2215/SUMIF(A:A,A2215,E:E)</x:f>
        <x:v>0.002876185173347849</x:v>
      </x:c>
    </x:row>
    <x:row r="2216" ht="21.600000381469727" hidden="0" customHeight="1">
      <x:c r="A2216" s="27" t="str">
        <x:v>SCA-23</x:v>
      </x:c>
      <x:c r="B2216" s="27" t="str">
        <x:v>01113</x:v>
      </x:c>
      <x:c r="C2216" s="27" t="str">
        <x:v>AL</x:v>
      </x:c>
      <x:c r="D2216" s="27" t="str">
        <x:v>Russell County</x:v>
      </x:c>
      <x:c r="E2216" s="40" t="n">
        <x:v>58898</x:v>
      </x:c>
      <x:c r="F2216" s="55" t="n">
        <x:v>32.289811</x:v>
      </x:c>
      <x:c r="G2216" s="55" t="n">
        <x:v>-85.18698</x:v>
      </x:c>
      <x:c r="H2216" s="43" t="n">
        <x:f>E2216/SUMIF(A:A,A2216,E:E)</x:f>
        <x:v>0.0028222303468586167</x:v>
      </x:c>
    </x:row>
    <x:row r="2217" ht="21.600000381469727" hidden="0" customHeight="1">
      <x:c r="A2217" s="29" t="str">
        <x:v>SCA-23</x:v>
      </x:c>
      <x:c r="B2217" s="29" t="str">
        <x:v>45021</x:v>
      </x:c>
      <x:c r="C2217" s="29" t="str">
        <x:v>SC</x:v>
      </x:c>
      <x:c r="D2217" s="29" t="str">
        <x:v>Cherokee County</x:v>
      </x:c>
      <x:c r="E2217" s="41" t="n">
        <x:v>58275</x:v>
      </x:c>
      <x:c r="F2217" s="56" t="n">
        <x:v>35.049796</x:v>
      </x:c>
      <x:c r="G2217" s="56" t="n">
        <x:v>-81.607647</x:v>
      </x:c>
      <x:c r="H2217" s="44" t="n">
        <x:f>E2217/SUMIF(A:A,A2217,E:E)</x:f>
        <x:v>0.0027923778984547164</x:v>
      </x:c>
    </x:row>
    <x:row r="2218" ht="21.600000381469727" hidden="0" customHeight="1">
      <x:c r="A2218" s="27" t="str">
        <x:v>SCA-23</x:v>
      </x:c>
      <x:c r="B2218" s="27" t="str">
        <x:v>47107</x:v>
      </x:c>
      <x:c r="C2218" s="27" t="str">
        <x:v>TN</x:v>
      </x:c>
      <x:c r="D2218" s="27" t="str">
        <x:v>McMinn County</x:v>
      </x:c>
      <x:c r="E2218" s="40" t="n">
        <x:v>57404</x:v>
      </x:c>
      <x:c r="F2218" s="55" t="n">
        <x:v>35.424472</x:v>
      </x:c>
      <x:c r="G2218" s="55" t="n">
        <x:v>-84.619949</x:v>
      </x:c>
      <x:c r="H2218" s="43" t="n">
        <x:f>E2218/SUMIF(A:A,A2218,E:E)</x:f>
        <x:v>0.002750641971392442</x:v>
      </x:c>
    </x:row>
    <x:row r="2219" ht="21.600000381469727" hidden="0" customHeight="1">
      <x:c r="A2219" s="29" t="str">
        <x:v>SCA-23</x:v>
      </x:c>
      <x:c r="B2219" s="29" t="str">
        <x:v>47145</x:v>
      </x:c>
      <x:c r="C2219" s="29" t="str">
        <x:v>TN</x:v>
      </x:c>
      <x:c r="D2219" s="29" t="str">
        <x:v>Roane County</x:v>
      </x:c>
      <x:c r="E2219" s="41" t="n">
        <x:v>57395</x:v>
      </x:c>
      <x:c r="F2219" s="56" t="n">
        <x:v>35.84725</x:v>
      </x:c>
      <x:c r="G2219" s="56" t="n">
        <x:v>-84.523929</x:v>
      </x:c>
      <x:c r="H2219" s="44" t="n">
        <x:f>E2219/SUMIF(A:A,A2219,E:E)</x:f>
        <x:v>0.0027502107161185493</x:v>
      </x:c>
    </x:row>
    <x:row r="2220" ht="21.600000381469727" hidden="0" customHeight="1">
      <x:c r="A2220" s="27" t="str">
        <x:v>SCA-23</x:v>
      </x:c>
      <x:c r="B2220" s="27" t="str">
        <x:v>01031</x:v>
      </x:c>
      <x:c r="C2220" s="27" t="str">
        <x:v>AL</x:v>
      </x:c>
      <x:c r="D2220" s="27" t="str">
        <x:v>Coffee County</x:v>
      </x:c>
      <x:c r="E2220" s="40" t="n">
        <x:v>56953</x:v>
      </x:c>
      <x:c r="F2220" s="55" t="n">
        <x:v>31.402258</x:v>
      </x:c>
      <x:c r="G2220" s="55" t="n">
        <x:v>-85.989602</x:v>
      </x:c>
      <x:c r="H2220" s="43" t="n">
        <x:f>E2220/SUMIF(A:A,A2220,E:E)</x:f>
        <x:v>0.002729031290445156</x:v>
      </x:c>
    </x:row>
    <x:row r="2221" ht="21.600000381469727" hidden="0" customHeight="1">
      <x:c r="A2221" s="29" t="str">
        <x:v>SCA-23</x:v>
      </x:c>
      <x:c r="B2221" s="29" t="str">
        <x:v>47003</x:v>
      </x:c>
      <x:c r="C2221" s="29" t="str">
        <x:v>TN</x:v>
      </x:c>
      <x:c r="D2221" s="29" t="str">
        <x:v>Bedford County</x:v>
      </x:c>
      <x:c r="E2221" s="41" t="n">
        <x:v>55273</x:v>
      </x:c>
      <x:c r="F2221" s="56" t="n">
        <x:v>35.51366</x:v>
      </x:c>
      <x:c r="G2221" s="56" t="n">
        <x:v>-86.458294</x:v>
      </x:c>
      <x:c r="H2221" s="44" t="n">
        <x:f>E2221/SUMIF(A:A,A2221,E:E)</x:f>
        <x:v>0.0026485303059852004</x:v>
      </x:c>
    </x:row>
    <x:row r="2222" ht="21.600000381469727" hidden="0" customHeight="1">
      <x:c r="A2222" s="27" t="str">
        <x:v>SCA-23</x:v>
      </x:c>
      <x:c r="B2222" s="27" t="str">
        <x:v>01071</x:v>
      </x:c>
      <x:c r="C2222" s="27" t="str">
        <x:v>AL</x:v>
      </x:c>
      <x:c r="D2222" s="27" t="str">
        <x:v>Jackson County</x:v>
      </x:c>
      <x:c r="E2222" s="40" t="n">
        <x:v>54281</x:v>
      </x:c>
      <x:c r="F2222" s="55" t="n">
        <x:v>34.764114</x:v>
      </x:c>
      <x:c r="G2222" s="55" t="n">
        <x:v>-85.980056</x:v>
      </x:c>
      <x:c r="H2222" s="43" t="n">
        <x:f>E2222/SUMIF(A:A,A2222,E:E)</x:f>
        <x:v>0.0026009963913517027</x:v>
      </x:c>
    </x:row>
    <x:row r="2223" ht="21.600000381469727" hidden="0" customHeight="1">
      <x:c r="A2223" s="29" t="str">
        <x:v>SCA-23</x:v>
      </x:c>
      <x:c r="B2223" s="29" t="str">
        <x:v>13175</x:v>
      </x:c>
      <x:c r="C2223" s="29" t="str">
        <x:v>GA</x:v>
      </x:c>
      <x:c r="D2223" s="29" t="str">
        <x:v>Laurens County</x:v>
      </x:c>
      <x:c r="E2223" s="41" t="n">
        <x:v>51041</x:v>
      </x:c>
      <x:c r="F2223" s="56" t="n">
        <x:v>32.39322</x:v>
      </x:c>
      <x:c r="G2223" s="56" t="n">
        <x:v>-82.926317</x:v>
      </x:c>
      <x:c r="H2223" s="44" t="n">
        <x:f>E2223/SUMIF(A:A,A2223,E:E)</x:f>
        <x:v>0.0024457444927503593</x:v>
      </x:c>
    </x:row>
    <x:row r="2224" ht="21.600000381469727" hidden="0" customHeight="1">
      <x:c r="A2224" s="27" t="str">
        <x:v>SCA-23</x:v>
      </x:c>
      <x:c r="B2224" s="27" t="str">
        <x:v>13137</x:v>
      </x:c>
      <x:c r="C2224" s="27" t="str">
        <x:v>GA</x:v>
      </x:c>
      <x:c r="D2224" s="27" t="str">
        <x:v>Habersham County</x:v>
      </x:c>
      <x:c r="E2224" s="40" t="n">
        <x:v>50416</x:v>
      </x:c>
      <x:c r="F2224" s="55" t="n">
        <x:v>34.634392</x:v>
      </x:c>
      <x:c r="G2224" s="55" t="n">
        <x:v>-83.525875</x:v>
      </x:c>
      <x:c r="H2224" s="43" t="n">
        <x:f>E2224/SUMIF(A:A,A2224,E:E)</x:f>
        <x:v>0.0024157962098411497</x:v>
      </x:c>
    </x:row>
    <x:row r="2225" ht="15" hidden="0" customHeight="1">
      <x:c r="A2225" s="29" t="str">
        <x:v>SCA-23</x:v>
      </x:c>
      <x:c r="B2225" s="29" t="str">
        <x:v>01045</x:v>
      </x:c>
      <x:c r="C2225" s="29" t="str">
        <x:v>AL</x:v>
      </x:c>
      <x:c r="D2225" s="29" t="str">
        <x:v>Dale County</x:v>
      </x:c>
      <x:c r="E2225" s="41" t="n">
        <x:v>49912</x:v>
      </x:c>
      <x:c r="F2225" s="56" t="n">
        <x:v>31.430654</x:v>
      </x:c>
      <x:c r="G2225" s="56" t="n">
        <x:v>-85.609476</x:v>
      </x:c>
      <x:c r="H2225" s="44" t="n">
        <x:f>E2225/SUMIF(A:A,A2225,E:E)</x:f>
        <x:v>0.002391645914503163</x:v>
      </x:c>
    </x:row>
    <x:row r="2226" ht="21.600000381469727" hidden="0" customHeight="1">
      <x:c r="A2226" s="27" t="str">
        <x:v>SCA-23</x:v>
      </x:c>
      <x:c r="B2226" s="27" t="str">
        <x:v>47123</x:v>
      </x:c>
      <x:c r="C2226" s="27" t="str">
        <x:v>TN</x:v>
      </x:c>
      <x:c r="D2226" s="27" t="str">
        <x:v>Monroe County</x:v>
      </x:c>
      <x:c r="E2226" s="40" t="n">
        <x:v>49730</x:v>
      </x:c>
      <x:c r="F2226" s="55" t="n">
        <x:v>35.447818</x:v>
      </x:c>
      <x:c r="G2226" s="55" t="n">
        <x:v>-84.249705</x:v>
      </x:c>
      <x:c r="H2226" s="43" t="n">
        <x:f>E2226/SUMIF(A:A,A2226,E:E)</x:f>
        <x:v>0.002382924974520001</x:v>
      </x:c>
    </x:row>
    <x:row r="2227" ht="21.600000381469727" hidden="0" customHeight="1">
      <x:c r="A2227" s="29" t="str">
        <x:v>SCA-23</x:v>
      </x:c>
      <x:c r="B2227" s="29" t="str">
        <x:v>01021</x:v>
      </x:c>
      <x:c r="C2227" s="29" t="str">
        <x:v>AL</x:v>
      </x:c>
      <x:c r="D2227" s="29" t="str">
        <x:v>Chilton County</x:v>
      </x:c>
      <x:c r="E2227" s="41" t="n">
        <x:v>47708</x:v>
      </x:c>
      <x:c r="F2227" s="56" t="n">
        <x:v>32.854051</x:v>
      </x:c>
      <x:c r="G2227" s="56" t="n">
        <x:v>-86.726607</x:v>
      </x:c>
      <x:c r="H2227" s="44" t="n">
        <x:f>E2227/SUMIF(A:A,A2227,E:E)</x:f>
        <x:v>0.0022860362896521256</x:v>
      </x:c>
    </x:row>
    <x:row r="2228" ht="21.600000381469727" hidden="0" customHeight="1">
      <x:c r="A2228" s="27" t="str">
        <x:v>SCA-23</x:v>
      </x:c>
      <x:c r="B2228" s="27" t="str">
        <x:v>47051</x:v>
      </x:c>
      <x:c r="C2228" s="27" t="str">
        <x:v>TN</x:v>
      </x:c>
      <x:c r="D2228" s="27" t="str">
        <x:v>Franklin County</x:v>
      </x:c>
      <x:c r="E2228" s="40" t="n">
        <x:v>45579</x:v>
      </x:c>
      <x:c r="F2228" s="55" t="n">
        <x:v>35.155926</x:v>
      </x:c>
      <x:c r="G2228" s="55" t="n">
        <x:v>-86.099203</x:v>
      </x:c>
      <x:c r="H2228" s="43" t="n">
        <x:f>E2228/SUMIF(A:A,A2228,E:E)</x:f>
        <x:v>0.0021840204587501933</x:v>
      </x:c>
    </x:row>
    <x:row r="2229" ht="15" hidden="0" customHeight="1">
      <x:c r="A2229" s="29" t="str">
        <x:v>SCA-23</x:v>
      </x:c>
      <x:c r="B2229" s="29" t="str">
        <x:v>13233</x:v>
      </x:c>
      <x:c r="C2229" s="29" t="str">
        <x:v>GA</x:v>
      </x:c>
      <x:c r="D2229" s="29" t="str">
        <x:v>Polk County</x:v>
      </x:c>
      <x:c r="E2229" s="41" t="n">
        <x:v>45514</x:v>
      </x:c>
      <x:c r="F2229" s="56" t="n">
        <x:v>33.996015</x:v>
      </x:c>
      <x:c r="G2229" s="56" t="n">
        <x:v>-85.188338</x:v>
      </x:c>
      <x:c r="H2229" s="44" t="n">
        <x:f>E2229/SUMIF(A:A,A2229,E:E)</x:f>
        <x:v>0.0021809058373276355</x:v>
      </x:c>
    </x:row>
    <x:row r="2230" ht="21.600000381469727" hidden="0" customHeight="1">
      <x:c r="A2230" s="27" t="str">
        <x:v>SCA-23</x:v>
      </x:c>
      <x:c r="B2230" s="27" t="str">
        <x:v>37099</x:v>
      </x:c>
      <x:c r="C2230" s="27" t="str">
        <x:v>NC</x:v>
      </x:c>
      <x:c r="D2230" s="27" t="str">
        <x:v>Jackson County</x:v>
      </x:c>
      <x:c r="E2230" s="40" t="n">
        <x:v>45039</x:v>
      </x:c>
      <x:c r="F2230" s="55" t="n">
        <x:v>35.285454</x:v>
      </x:c>
      <x:c r="G2230" s="55" t="n">
        <x:v>-83.123966</x:v>
      </x:c>
      <x:c r="H2230" s="43" t="n">
        <x:f>E2230/SUMIF(A:A,A2230,E:E)</x:f>
        <x:v>0.002158145142316636</x:v>
      </x:c>
    </x:row>
    <x:row r="2231" ht="21.600000381469727" hidden="0" customHeight="1">
      <x:c r="A2231" s="29" t="str">
        <x:v>SCA-23</x:v>
      </x:c>
      <x:c r="B2231" s="29" t="str">
        <x:v>13219</x:v>
      </x:c>
      <x:c r="C2231" s="29" t="str">
        <x:v>GA</x:v>
      </x:c>
      <x:c r="D2231" s="29" t="str">
        <x:v>Oconee County</x:v>
      </x:c>
      <x:c r="E2231" s="41" t="n">
        <x:v>44893</x:v>
      </x:c>
      <x:c r="F2231" s="56" t="n">
        <x:v>33.834125</x:v>
      </x:c>
      <x:c r="G2231" s="56" t="n">
        <x:v>-83.437728</x:v>
      </x:c>
      <x:c r="H2231" s="44" t="n">
        <x:f>E2231/SUMIF(A:A,A2231,E:E)</x:f>
        <x:v>0.002151149223429045</x:v>
      </x:c>
    </x:row>
    <x:row r="2232" ht="21.600000381469727" hidden="0" customHeight="1">
      <x:c r="A2232" s="27" t="str">
        <x:v>SCA-23</x:v>
      </x:c>
      <x:c r="B2232" s="27" t="str">
        <x:v>13009</x:v>
      </x:c>
      <x:c r="C2232" s="27" t="str">
        <x:v>GA</x:v>
      </x:c>
      <x:c r="D2232" s="27" t="str">
        <x:v>Baldwin County</x:v>
      </x:c>
      <x:c r="E2232" s="40" t="n">
        <x:v>44029</x:v>
      </x:c>
      <x:c r="F2232" s="55" t="n">
        <x:v>33.05949</x:v>
      </x:c>
      <x:c r="G2232" s="55" t="n">
        <x:v>-83.255457</x:v>
      </x:c>
      <x:c r="H2232" s="43" t="n">
        <x:f>E2232/SUMIF(A:A,A2232,E:E)</x:f>
        <x:v>0.002109748717135353</x:v>
      </x:c>
    </x:row>
    <x:row r="2233" ht="21.600000381469727" hidden="0" customHeight="1">
      <x:c r="A2233" s="29" t="str">
        <x:v>SCA-23</x:v>
      </x:c>
      <x:c r="B2233" s="29" t="str">
        <x:v>47177</x:v>
      </x:c>
      <x:c r="C2233" s="29" t="str">
        <x:v>TN</x:v>
      </x:c>
      <x:c r="D2233" s="29" t="str">
        <x:v>Warren County</x:v>
      </x:c>
      <x:c r="E2233" s="41" t="n">
        <x:v>43717</x:v>
      </x:c>
      <x:c r="F2233" s="56" t="n">
        <x:v>35.67825</x:v>
      </x:c>
      <x:c r="G2233" s="56" t="n">
        <x:v>-85.777343</x:v>
      </x:c>
      <x:c r="H2233" s="44" t="n">
        <x:f>E2233/SUMIF(A:A,A2233,E:E)</x:f>
        <x:v>0.0020947985343070757</x:v>
      </x:c>
    </x:row>
    <x:row r="2234" ht="21.600000381469727" hidden="0" customHeight="1">
      <x:c r="A2234" s="27" t="str">
        <x:v>SCA-23</x:v>
      </x:c>
      <x:c r="B2234" s="27" t="str">
        <x:v>13213</x:v>
      </x:c>
      <x:c r="C2234" s="27" t="str">
        <x:v>GA</x:v>
      </x:c>
      <x:c r="D2234" s="27" t="str">
        <x:v>Murray County</x:v>
      </x:c>
      <x:c r="E2234" s="40" t="n">
        <x:v>41607</x:v>
      </x:c>
      <x:c r="F2234" s="55" t="n">
        <x:v>34.797097</x:v>
      </x:c>
      <x:c r="G2234" s="55" t="n">
        <x:v>-84.73799</x:v>
      </x:c>
      <x:c r="H2234" s="43" t="n">
        <x:f>E2234/SUMIF(A:A,A2234,E:E)</x:f>
        <x:v>0.0019936931312055837</x:v>
      </x:c>
    </x:row>
    <x:row r="2235" ht="21.600000381469727" hidden="0" customHeight="1">
      <x:c r="A2235" s="29" t="str">
        <x:v>SCA-23</x:v>
      </x:c>
      <x:c r="B2235" s="29" t="str">
        <x:v>01123</x:v>
      </x:c>
      <x:c r="C2235" s="29" t="str">
        <x:v>AL</x:v>
      </x:c>
      <x:c r="D2235" s="29" t="str">
        <x:v>Tallapoosa County</x:v>
      </x:c>
      <x:c r="E2235" s="41" t="n">
        <x:v>40953</x:v>
      </x:c>
      <x:c r="F2235" s="56" t="n">
        <x:v>32.863308</x:v>
      </x:c>
      <x:c r="G2235" s="56" t="n">
        <x:v>-85.799618</x:v>
      </x:c>
      <x:c r="H2235" s="44" t="n">
        <x:f>E2235/SUMIF(A:A,A2235,E:E)</x:f>
        <x:v>0.0019623552479693866</x:v>
      </x:c>
    </x:row>
    <x:row r="2236" ht="21.600000381469727" hidden="0" customHeight="1">
      <x:c r="A2236" s="27" t="str">
        <x:v>SCA-23</x:v>
      </x:c>
      <x:c r="B2236" s="27" t="str">
        <x:v>45071</x:v>
      </x:c>
      <x:c r="C2236" s="27" t="str">
        <x:v>SC</x:v>
      </x:c>
      <x:c r="D2236" s="27" t="str">
        <x:v>Newberry County</x:v>
      </x:c>
      <x:c r="E2236" s="40" t="n">
        <x:v>39561</x:v>
      </x:c>
      <x:c r="F2236" s="55" t="n">
        <x:v>34.289881</x:v>
      </x:c>
      <x:c r="G2236" s="55" t="n">
        <x:v>-81.599676</x:v>
      </x:c>
      <x:c r="H2236" s="43" t="n">
        <x:f>E2236/SUMIF(A:A,A2236,E:E)</x:f>
        <x:v>0.0018956544322739947</x:v>
      </x:c>
    </x:row>
    <x:row r="2237" ht="21.600000381469727" hidden="0" customHeight="1">
      <x:c r="A2237" s="29" t="str">
        <x:v>SCA-23</x:v>
      </x:c>
      <x:c r="B2237" s="29" t="str">
        <x:v>37113</x:v>
      </x:c>
      <x:c r="C2237" s="29" t="str">
        <x:v>NC</x:v>
      </x:c>
      <x:c r="D2237" s="29" t="str">
        <x:v>Macon County</x:v>
      </x:c>
      <x:c r="E2237" s="41" t="n">
        <x:v>39232</x:v>
      </x:c>
      <x:c r="F2237" s="56" t="n">
        <x:v>35.152959</x:v>
      </x:c>
      <x:c r="G2237" s="56" t="n">
        <x:v>-83.421901</x:v>
      </x:c>
      <x:c r="H2237" s="44" t="n">
        <x:f>E2237/SUMIF(A:A,A2237,E:E)</x:f>
        <x:v>0.0018798896561505866</x:v>
      </x:c>
    </x:row>
    <x:row r="2238" ht="21.600000381469727" hidden="0" customHeight="1">
      <x:c r="A2238" s="27" t="str">
        <x:v>SCA-23</x:v>
      </x:c>
      <x:c r="B2238" s="27" t="str">
        <x:v>01039</x:v>
      </x:c>
      <x:c r="C2238" s="27" t="str">
        <x:v>AL</x:v>
      </x:c>
      <x:c r="D2238" s="27" t="str">
        <x:v>Covington County</x:v>
      </x:c>
      <x:c r="E2238" s="40" t="n">
        <x:v>37947</x:v>
      </x:c>
      <x:c r="F2238" s="55" t="n">
        <x:v>31.243987</x:v>
      </x:c>
      <x:c r="G2238" s="55" t="n">
        <x:v>-86.448721</x:v>
      </x:c>
      <x:c r="H2238" s="43" t="n">
        <x:f>E2238/SUMIF(A:A,A2238,E:E)</x:f>
        <x:v>0.0018183159864892514</x:v>
      </x:c>
    </x:row>
    <x:row r="2239" ht="21.600000381469727" hidden="0" customHeight="1">
      <x:c r="A2239" s="29" t="str">
        <x:v>SCA-23</x:v>
      </x:c>
      <x:c r="B2239" s="29" t="str">
        <x:v>47029</x:v>
      </x:c>
      <x:c r="C2239" s="29" t="str">
        <x:v>TN</x:v>
      </x:c>
      <x:c r="D2239" s="29" t="str">
        <x:v>Cocke County</x:v>
      </x:c>
      <x:c r="E2239" s="41" t="n">
        <x:v>37889</x:v>
      </x:c>
      <x:c r="F2239" s="56" t="n">
        <x:v>35.916198</x:v>
      </x:c>
      <x:c r="G2239" s="56" t="n">
        <x:v>-83.119224</x:v>
      </x:c>
      <x:c r="H2239" s="44" t="n">
        <x:f>E2239/SUMIF(A:A,A2239,E:E)</x:f>
        <x:v>0.0018155367858352768</x:v>
      </x:c>
    </x:row>
    <x:row r="2240" ht="21.600000381469727" hidden="0" customHeight="1">
      <x:c r="A2240" s="27" t="str">
        <x:v>SCA-23</x:v>
      </x:c>
      <x:c r="B2240" s="27" t="str">
        <x:v>13145</x:v>
      </x:c>
      <x:c r="C2240" s="27" t="str">
        <x:v>GA</x:v>
      </x:c>
      <x:c r="D2240" s="27" t="str">
        <x:v>Harris County</x:v>
      </x:c>
      <x:c r="E2240" s="40" t="n">
        <x:v>37280</x:v>
      </x:c>
      <x:c r="F2240" s="55" t="n">
        <x:v>32.731549</x:v>
      </x:c>
      <x:c r="G2240" s="55" t="n">
        <x:v>-84.912432</x:v>
      </x:c>
      <x:c r="H2240" s="43" t="n">
        <x:f>E2240/SUMIF(A:A,A2240,E:E)</x:f>
        <x:v>0.0017863551789685428</x:v>
      </x:c>
    </x:row>
    <x:row r="2241" ht="21.600000381469727" hidden="0" customHeight="1">
      <x:c r="A2241" s="29" t="str">
        <x:v>SCA-23</x:v>
      </x:c>
      <x:c r="B2241" s="29" t="str">
        <x:v>13227</x:v>
      </x:c>
      <x:c r="C2241" s="29" t="str">
        <x:v>GA</x:v>
      </x:c>
      <x:c r="D2241" s="29" t="str">
        <x:v>Pickens County</x:v>
      </x:c>
      <x:c r="E2241" s="41" t="n">
        <x:v>37167</x:v>
      </x:c>
      <x:c r="F2241" s="56" t="n">
        <x:v>34.456756</x:v>
      </x:c>
      <x:c r="G2241" s="56" t="n">
        <x:v>-84.490366</x:v>
      </x:c>
      <x:c r="H2241" s="44" t="n">
        <x:f>E2241/SUMIF(A:A,A2241,E:E)</x:f>
        <x:v>0.0017809405294185578</x:v>
      </x:c>
    </x:row>
    <x:row r="2242" ht="21.600000381469727" hidden="0" customHeight="1">
      <x:c r="A2242" s="27" t="str">
        <x:v>SCA-23</x:v>
      </x:c>
      <x:c r="B2242" s="27" t="str">
        <x:v>47103</x:v>
      </x:c>
      <x:c r="C2242" s="27" t="str">
        <x:v>TN</x:v>
      </x:c>
      <x:c r="D2242" s="27" t="str">
        <x:v>Lincoln County</x:v>
      </x:c>
      <x:c r="E2242" s="40" t="n">
        <x:v>36853</x:v>
      </x:c>
      <x:c r="F2242" s="55" t="n">
        <x:v>35.142784</x:v>
      </x:c>
      <x:c r="G2242" s="55" t="n">
        <x:v>-86.593403</x:v>
      </x:c>
      <x:c r="H2242" s="43" t="n">
        <x:f>E2242/SUMIF(A:A,A2242,E:E)</x:f>
        <x:v>0.0017658945120849706</x:v>
      </x:c>
    </x:row>
    <x:row r="2243" ht="21.600000381469727" hidden="0" customHeight="1">
      <x:c r="A2243" s="29" t="str">
        <x:v>SCA-23</x:v>
      </x:c>
      <x:c r="B2243" s="29" t="str">
        <x:v>01053</x:v>
      </x:c>
      <x:c r="C2243" s="29" t="str">
        <x:v>AL</x:v>
      </x:c>
      <x:c r="D2243" s="29" t="str">
        <x:v>Escambia County</x:v>
      </x:c>
      <x:c r="E2243" s="41" t="n">
        <x:v>36665</x:v>
      </x:c>
      <x:c r="F2243" s="56" t="n">
        <x:v>31.122287</x:v>
      </x:c>
      <x:c r="G2243" s="56" t="n">
        <x:v>-87.16841</x:v>
      </x:c>
      <x:c r="H2243" s="44" t="n">
        <x:f>E2243/SUMIF(A:A,A2243,E:E)</x:f>
        <x:v>0.0017568860685858805</x:v>
      </x:c>
    </x:row>
    <x:row r="2244" ht="21.600000381469727" hidden="0" customHeight="1">
      <x:c r="A2244" s="27" t="str">
        <x:v>SCA-23</x:v>
      </x:c>
      <x:c r="B2244" s="27" t="str">
        <x:v>13187</x:v>
      </x:c>
      <x:c r="C2244" s="27" t="str">
        <x:v>GA</x:v>
      </x:c>
      <x:c r="D2244" s="27" t="str">
        <x:v>Lumpkin County</x:v>
      </x:c>
      <x:c r="E2244" s="40" t="n">
        <x:v>36178</x:v>
      </x:c>
      <x:c r="F2244" s="55" t="n">
        <x:v>34.56814</x:v>
      </x:c>
      <x:c r="G2244" s="55" t="n">
        <x:v>-83.998925</x:v>
      </x:c>
      <x:c r="H2244" s="43" t="n">
        <x:f>E2244/SUMIF(A:A,A2244,E:E)</x:f>
        <x:v>0.0017335503665430242</x:v>
      </x:c>
    </x:row>
    <x:row r="2245" ht="21.600000381469727" hidden="0" customHeight="1">
      <x:c r="A2245" s="29" t="str">
        <x:v>SCA-23</x:v>
      </x:c>
      <x:c r="B2245" s="29" t="str">
        <x:v>13085</x:v>
      </x:c>
      <x:c r="C2245" s="29" t="str">
        <x:v>GA</x:v>
      </x:c>
      <x:c r="D2245" s="29" t="str">
        <x:v>Dawson County</x:v>
      </x:c>
      <x:c r="E2245" s="41" t="n">
        <x:v>35365</x:v>
      </x:c>
      <x:c r="F2245" s="56" t="n">
        <x:v>34.442608</x:v>
      </x:c>
      <x:c r="G2245" s="56" t="n">
        <x:v>-84.173261</x:v>
      </x:c>
      <x:c r="H2245" s="44" t="n">
        <x:f>E2245/SUMIF(A:A,A2245,E:E)</x:f>
        <x:v>0.0016945936401347242</x:v>
      </x:c>
    </x:row>
    <x:row r="2246" ht="21.600000381469727" hidden="0" customHeight="1">
      <x:c r="A2246" s="27" t="str">
        <x:v>SCA-23</x:v>
      </x:c>
      <x:c r="B2246" s="27" t="str">
        <x:v>01047</x:v>
      </x:c>
      <x:c r="C2246" s="27" t="str">
        <x:v>AL</x:v>
      </x:c>
      <x:c r="D2246" s="27" t="str">
        <x:v>Dallas County</x:v>
      </x:c>
      <x:c r="E2246" s="40" t="n">
        <x:v>35140</x:v>
      </x:c>
      <x:c r="F2246" s="55" t="n">
        <x:v>32.333526</x:v>
      </x:c>
      <x:c r="G2246" s="55" t="n">
        <x:v>-87.11436</x:v>
      </x:c>
      <x:c r="H2246" s="43" t="n">
        <x:f>E2246/SUMIF(A:A,A2246,E:E)</x:f>
        <x:v>0.0016838122582874086</x:v>
      </x:c>
    </x:row>
    <x:row r="2247" ht="15" hidden="0" customHeight="1">
      <x:c r="A2247" s="29" t="str">
        <x:v>SCA-23</x:v>
      </x:c>
      <x:c r="B2247" s="29" t="str">
        <x:v>47143</x:v>
      </x:c>
      <x:c r="C2247" s="29" t="str">
        <x:v>TN</x:v>
      </x:c>
      <x:c r="D2247" s="29" t="str">
        <x:v>Rhea County</x:v>
      </x:c>
      <x:c r="E2247" s="41" t="n">
        <x:v>34844</x:v>
      </x:c>
      <x:c r="F2247" s="56" t="n">
        <x:v>35.60059</x:v>
      </x:c>
      <x:c r="G2247" s="56" t="n">
        <x:v>-84.949548</x:v>
      </x:c>
      <x:c r="H2247" s="44" t="n">
        <x:f>E2247/SUMIF(A:A,A2247,E:E)</x:f>
        <x:v>0.0016696287515016069</x:v>
      </x:c>
    </x:row>
    <x:row r="2248" ht="21.600000381469727" hidden="0" customHeight="1">
      <x:c r="A2248" s="27" t="str">
        <x:v>SCA-23</x:v>
      </x:c>
      <x:c r="B2248" s="27" t="str">
        <x:v>01017</x:v>
      </x:c>
      <x:c r="C2248" s="27" t="str">
        <x:v>AL</x:v>
      </x:c>
      <x:c r="D2248" s="27" t="str">
        <x:v>Chambers County</x:v>
      </x:c>
      <x:c r="E2248" s="40" t="n">
        <x:v>34253</x:v>
      </x:c>
      <x:c r="F2248" s="55" t="n">
        <x:v>32.915504</x:v>
      </x:c>
      <x:c r="G2248" s="55" t="n">
        <x:v>-85.394032</x:v>
      </x:c>
      <x:c r="H2248" s="43" t="n">
        <x:f>E2248/SUMIF(A:A,A2248,E:E)</x:f>
        <x:v>0.0016413096551826582</x:v>
      </x:c>
    </x:row>
    <x:row r="2249" ht="21.600000381469727" hidden="0" customHeight="1">
      <x:c r="A2249" s="29" t="str">
        <x:v>SCA-23</x:v>
      </x:c>
      <x:c r="B2249" s="29" t="str">
        <x:v>37175</x:v>
      </x:c>
      <x:c r="C2249" s="29" t="str">
        <x:v>NC</x:v>
      </x:c>
      <x:c r="D2249" s="29" t="str">
        <x:v>Transylvania County</x:v>
      </x:c>
      <x:c r="E2249" s="41" t="n">
        <x:v>34211</x:v>
      </x:c>
      <x:c r="F2249" s="56" t="n">
        <x:v>35.210099</x:v>
      </x:c>
      <x:c r="G2249" s="56" t="n">
        <x:v>-82.81666</x:v>
      </x:c>
      <x:c r="H2249" s="44" t="n">
        <x:f>E2249/SUMIF(A:A,A2249,E:E)</x:f>
        <x:v>0.0016392971305711592</x:v>
      </x:c>
    </x:row>
    <x:row r="2250" ht="15" hidden="0" customHeight="1">
      <x:c r="A2250" s="27" t="str">
        <x:v>SCA-23</x:v>
      </x:c>
      <x:c r="B2250" s="27" t="str">
        <x:v>13177</x:v>
      </x:c>
      <x:c r="C2250" s="27" t="str">
        <x:v>GA</x:v>
      </x:c>
      <x:c r="D2250" s="27" t="str">
        <x:v>Lee County</x:v>
      </x:c>
      <x:c r="E2250" s="40" t="n">
        <x:v>34179</x:v>
      </x:c>
      <x:c r="F2250" s="55" t="n">
        <x:v>31.818419</x:v>
      </x:c>
      <x:c r="G2250" s="55" t="n">
        <x:v>-84.146681</x:v>
      </x:c>
      <x:c r="H2250" s="43" t="n">
        <x:f>E2250/SUMIF(A:A,A2250,E:E)</x:f>
        <x:v>0.0016377637784862078</x:v>
      </x:c>
    </x:row>
    <x:row r="2251" ht="21.600000381469727" hidden="0" customHeight="1">
      <x:c r="A2251" s="29" t="str">
        <x:v>SCA-23</x:v>
      </x:c>
      <x:c r="B2251" s="29" t="str">
        <x:v>13123</x:v>
      </x:c>
      <x:c r="C2251" s="29" t="str">
        <x:v>GA</x:v>
      </x:c>
      <x:c r="D2251" s="29" t="str">
        <x:v>Gilmer County</x:v>
      </x:c>
      <x:c r="E2251" s="41" t="n">
        <x:v>33894</x:v>
      </x:c>
      <x:c r="F2251" s="56" t="n">
        <x:v>34.690522</x:v>
      </x:c>
      <x:c r="G2251" s="56" t="n">
        <x:v>-84.454812</x:v>
      </x:c>
      <x:c r="H2251" s="44" t="n">
        <x:f>E2251/SUMIF(A:A,A2251,E:E)</x:f>
        <x:v>0.001624107361479608</x:v>
      </x:c>
    </x:row>
    <x:row r="2252" ht="15" hidden="0" customHeight="1">
      <x:c r="A2252" s="27" t="str">
        <x:v>SCA-23</x:v>
      </x:c>
      <x:c r="B2252" s="27" t="str">
        <x:v>01109</x:v>
      </x:c>
      <x:c r="C2252" s="27" t="str">
        <x:v>AL</x:v>
      </x:c>
      <x:c r="D2252" s="27" t="str">
        <x:v>Pike County</x:v>
      </x:c>
      <x:c r="E2252" s="40" t="n">
        <x:v>33688</x:v>
      </x:c>
      <x:c r="F2252" s="55" t="n">
        <x:v>31.798653</x:v>
      </x:c>
      <x:c r="G2252" s="55" t="n">
        <x:v>-85.941608</x:v>
      </x:c>
      <x:c r="H2252" s="43" t="n">
        <x:f>E2252/SUMIF(A:A,A2252,E:E)</x:f>
        <x:v>0.0016142364074327325</x:v>
      </x:c>
    </x:row>
    <x:row r="2253" ht="21.600000381469727" hidden="0" customHeight="1">
      <x:c r="A2253" s="29" t="str">
        <x:v>SCA-23</x:v>
      </x:c>
      <x:c r="B2253" s="29" t="str">
        <x:v>13143</x:v>
      </x:c>
      <x:c r="C2253" s="29" t="str">
        <x:v>GA</x:v>
      </x:c>
      <x:c r="D2253" s="29" t="str">
        <x:v>Haralson County</x:v>
      </x:c>
      <x:c r="E2253" s="41" t="n">
        <x:v>33066</x:v>
      </x:c>
      <x:c r="F2253" s="56" t="n">
        <x:v>33.795165</x:v>
      </x:c>
      <x:c r="G2253" s="56" t="n">
        <x:v>-85.220063</x:v>
      </x:c>
      <x:c r="H2253" s="44" t="n">
        <x:f>E2253/SUMIF(A:A,A2253,E:E)</x:f>
        <x:v>0.0015844318762814871</x:v>
      </x:c>
    </x:row>
    <x:row r="2254" ht="21.600000381469727" hidden="0" customHeight="1">
      <x:c r="A2254" s="27" t="str">
        <x:v>SCA-23</x:v>
      </x:c>
      <x:c r="B2254" s="27" t="str">
        <x:v>13195</x:v>
      </x:c>
      <x:c r="C2254" s="27" t="str">
        <x:v>GA</x:v>
      </x:c>
      <x:c r="D2254" s="27" t="str">
        <x:v>Madison County</x:v>
      </x:c>
      <x:c r="E2254" s="40" t="n">
        <x:v>32919</x:v>
      </x:c>
      <x:c r="F2254" s="55" t="n">
        <x:v>34.12748</x:v>
      </x:c>
      <x:c r="G2254" s="55" t="n">
        <x:v>-83.208653</x:v>
      </x:c>
      <x:c r="H2254" s="43" t="n">
        <x:f>E2254/SUMIF(A:A,A2254,E:E)</x:f>
        <x:v>0.001577388040141241</x:v>
      </x:c>
    </x:row>
    <x:row r="2255" ht="21.600000381469727" hidden="0" customHeight="1">
      <x:c r="A2255" s="29" t="str">
        <x:v>SCA-23</x:v>
      </x:c>
      <x:c r="B2255" s="29" t="str">
        <x:v>13207</x:v>
      </x:c>
      <x:c r="C2255" s="29" t="str">
        <x:v>GA</x:v>
      </x:c>
      <x:c r="D2255" s="29" t="str">
        <x:v>Monroe County</x:v>
      </x:c>
      <x:c r="E2255" s="41" t="n">
        <x:v>32023</x:v>
      </x:c>
      <x:c r="F2255" s="56" t="n">
        <x:v>33.018784</x:v>
      </x:c>
      <x:c r="G2255" s="56" t="n">
        <x:v>-83.921837</x:v>
      </x:c>
      <x:c r="H2255" s="44" t="n">
        <x:f>E2255/SUMIF(A:A,A2255,E:E)</x:f>
        <x:v>0.0015344541817625978</x:v>
      </x:c>
    </x:row>
    <x:row r="2256" ht="21.600000381469727" hidden="0" customHeight="1">
      <x:c r="A2256" s="27" t="str">
        <x:v>SCA-23</x:v>
      </x:c>
      <x:c r="B2256" s="27" t="str">
        <x:v>37039</x:v>
      </x:c>
      <x:c r="C2256" s="27" t="str">
        <x:v>NC</x:v>
      </x:c>
      <x:c r="D2256" s="27" t="str">
        <x:v>Cherokee County</x:v>
      </x:c>
      <x:c r="E2256" s="40" t="n">
        <x:v>30830</x:v>
      </x:c>
      <x:c r="F2256" s="55" t="n">
        <x:v>35.13715</x:v>
      </x:c>
      <x:c r="G2256" s="55" t="n">
        <x:v>-84.061449</x:v>
      </x:c>
      <x:c r="H2256" s="43" t="n">
        <x:f>E2256/SUMIF(A:A,A2256,E:E)</x:f>
        <x:v>0.0014772888993454982</x:v>
      </x:c>
    </x:row>
    <x:row r="2257" ht="21.600000381469727" hidden="0" customHeight="1">
      <x:c r="A2257" s="29" t="str">
        <x:v>SCA-23</x:v>
      </x:c>
      <x:c r="B2257" s="29" t="str">
        <x:v>13225</x:v>
      </x:c>
      <x:c r="C2257" s="29" t="str">
        <x:v>GA</x:v>
      </x:c>
      <x:c r="D2257" s="29" t="str">
        <x:v>Peach County</x:v>
      </x:c>
      <x:c r="E2257" s="41" t="n">
        <x:v>29877</x:v>
      </x:c>
      <x:c r="F2257" s="56" t="n">
        <x:v>32.57156</x:v>
      </x:c>
      <x:c r="G2257" s="56" t="n">
        <x:v>-83.83155</x:v>
      </x:c>
      <x:c r="H2257" s="44" t="n">
        <x:f>E2257/SUMIF(A:A,A2257,E:E)</x:f>
        <x:v>0.0014316237575655352</x:v>
      </x:c>
    </x:row>
    <x:row r="2258" ht="21.600000381469727" hidden="0" customHeight="1">
      <x:c r="A2258" s="27" t="str">
        <x:v>SCA-23</x:v>
      </x:c>
      <x:c r="B2258" s="27" t="str">
        <x:v>45037</x:v>
      </x:c>
      <x:c r="C2258" s="27" t="str">
        <x:v>SC</x:v>
      </x:c>
      <x:c r="D2258" s="27" t="str">
        <x:v>Edgefield County</x:v>
      </x:c>
      <x:c r="E2258" s="40" t="n">
        <x:v>29808</x:v>
      </x:c>
      <x:c r="F2258" s="55" t="n">
        <x:v>33.779453</x:v>
      </x:c>
      <x:c r="G2258" s="55" t="n">
        <x:v>-81.959637</x:v>
      </x:c>
      <x:c r="H2258" s="43" t="n">
        <x:f>E2258/SUMIF(A:A,A2258,E:E)</x:f>
        <x:v>0.0014283174671323585</x:v>
      </x:c>
    </x:row>
    <x:row r="2259" ht="21.600000381469727" hidden="0" customHeight="1">
      <x:c r="A2259" s="29" t="str">
        <x:v>SCA-23</x:v>
      </x:c>
      <x:c r="B2259" s="29" t="str">
        <x:v>47115</x:v>
      </x:c>
      <x:c r="C2259" s="29" t="str">
        <x:v>TN</x:v>
      </x:c>
      <x:c r="D2259" s="29" t="str">
        <x:v>Marion County</x:v>
      </x:c>
      <x:c r="E2259" s="41" t="n">
        <x:v>29804</x:v>
      </x:c>
      <x:c r="F2259" s="56" t="n">
        <x:v>35.133422</x:v>
      </x:c>
      <x:c r="G2259" s="56" t="n">
        <x:v>-85.618399</x:v>
      </x:c>
      <x:c r="H2259" s="44" t="n">
        <x:f>E2259/SUMIF(A:A,A2259,E:E)</x:f>
        <x:v>0.0014281257981217396</x:v>
      </x:c>
    </x:row>
    <x:row r="2260" ht="21.600000381469727" hidden="0" customHeight="1">
      <x:c r="A2260" s="27" t="str">
        <x:v>SCA-23</x:v>
      </x:c>
      <x:c r="B2260" s="27" t="str">
        <x:v>13311</x:v>
      </x:c>
      <x:c r="C2260" s="27" t="str">
        <x:v>GA</x:v>
      </x:c>
      <x:c r="D2260" s="27" t="str">
        <x:v>White County</x:v>
      </x:c>
      <x:c r="E2260" s="40" t="n">
        <x:v>29802</x:v>
      </x:c>
      <x:c r="F2260" s="55" t="n">
        <x:v>34.644182</x:v>
      </x:c>
      <x:c r="G2260" s="55" t="n">
        <x:v>-83.743</x:v>
      </x:c>
      <x:c r="H2260" s="43" t="n">
        <x:f>E2260/SUMIF(A:A,A2260,E:E)</x:f>
        <x:v>0.00142802996361643</x:v>
      </x:c>
    </x:row>
    <x:row r="2261" ht="21.600000381469727" hidden="0" customHeight="1">
      <x:c r="A2261" s="29" t="str">
        <x:v>SCA-23</x:v>
      </x:c>
      <x:c r="B2261" s="29" t="str">
        <x:v>47185</x:v>
      </x:c>
      <x:c r="C2261" s="29" t="str">
        <x:v>TN</x:v>
      </x:c>
      <x:c r="D2261" s="29" t="str">
        <x:v>White County</x:v>
      </x:c>
      <x:c r="E2261" s="41" t="n">
        <x:v>29612</x:v>
      </x:c>
      <x:c r="F2261" s="56" t="n">
        <x:v>35.927049</x:v>
      </x:c>
      <x:c r="G2261" s="56" t="n">
        <x:v>-85.455785</x:v>
      </x:c>
      <x:c r="H2261" s="44" t="n">
        <x:f>E2261/SUMIF(A:A,A2261,E:E)</x:f>
        <x:v>0.0014189256856120304</x:v>
      </x:c>
    </x:row>
    <x:row r="2262" ht="21.600000381469727" hidden="0" customHeight="1">
      <x:c r="A2262" s="27" t="str">
        <x:v>SCA-23</x:v>
      </x:c>
      <x:c r="B2262" s="27" t="str">
        <x:v>13169</x:v>
      </x:c>
      <x:c r="C2262" s="27" t="str">
        <x:v>GA</x:v>
      </x:c>
      <x:c r="D2262" s="27" t="str">
        <x:v>Jones County</x:v>
      </x:c>
      <x:c r="E2262" s="40" t="n">
        <x:v>29171</x:v>
      </x:c>
      <x:c r="F2262" s="55" t="n">
        <x:v>33.021664</x:v>
      </x:c>
      <x:c r="G2262" s="55" t="n">
        <x:v>-83.562196</x:v>
      </x:c>
      <x:c r="H2262" s="43" t="n">
        <x:f>E2262/SUMIF(A:A,A2262,E:E)</x:f>
        <x:v>0.001397794177191292</x:v>
      </x:c>
    </x:row>
    <x:row r="2263" ht="21.600000381469727" hidden="0" customHeight="1">
      <x:c r="A2263" s="29" t="str">
        <x:v>SCA-23</x:v>
      </x:c>
      <x:c r="B2263" s="29" t="str">
        <x:v>13261</x:v>
      </x:c>
      <x:c r="C2263" s="29" t="str">
        <x:v>GA</x:v>
      </x:c>
      <x:c r="D2263" s="29" t="str">
        <x:v>Sumter County</x:v>
      </x:c>
      <x:c r="E2263" s="41" t="n">
        <x:v>28801</x:v>
      </x:c>
      <x:c r="F2263" s="56" t="n">
        <x:v>32.042266</x:v>
      </x:c>
      <x:c r="G2263" s="56" t="n">
        <x:v>-84.204294</x:v>
      </x:c>
      <x:c r="H2263" s="44" t="n">
        <x:f>E2263/SUMIF(A:A,A2263,E:E)</x:f>
        <x:v>0.0013800647937090398</x:v>
      </x:c>
    </x:row>
    <x:row r="2264" ht="15" hidden="0" customHeight="1">
      <x:c r="A2264" s="27" t="str">
        <x:v>SCA-23</x:v>
      </x:c>
      <x:c r="B2264" s="27" t="str">
        <x:v>13147</x:v>
      </x:c>
      <x:c r="C2264" s="27" t="str">
        <x:v>GA</x:v>
      </x:c>
      <x:c r="D2264" s="27" t="str">
        <x:v>Hart County</x:v>
      </x:c>
      <x:c r="E2264" s="40" t="n">
        <x:v>28639</x:v>
      </x:c>
      <x:c r="F2264" s="55" t="n">
        <x:v>34.348732</x:v>
      </x:c>
      <x:c r="G2264" s="55" t="n">
        <x:v>-82.96329</x:v>
      </x:c>
      <x:c r="H2264" s="43" t="n">
        <x:f>E2264/SUMIF(A:A,A2264,E:E)</x:f>
        <x:v>0.0013723021987789726</x:v>
      </x:c>
    </x:row>
    <x:row r="2265" ht="21.600000381469727" hidden="0" customHeight="1">
      <x:c r="A2265" s="29" t="str">
        <x:v>SCA-23</x:v>
      </x:c>
      <x:c r="B2265" s="29" t="str">
        <x:v>13293</x:v>
      </x:c>
      <x:c r="C2265" s="29" t="str">
        <x:v>GA</x:v>
      </x:c>
      <x:c r="D2265" s="29" t="str">
        <x:v>Upson County</x:v>
      </x:c>
      <x:c r="E2265" s="41" t="n">
        <x:v>28500</x:v>
      </x:c>
      <x:c r="F2265" s="56" t="n">
        <x:v>32.881837</x:v>
      </x:c>
      <x:c r="G2265" s="56" t="n">
        <x:v>-84.292283</x:v>
      </x:c>
      <x:c r="H2265" s="44" t="n">
        <x:f>E2265/SUMIF(A:A,A2265,E:E)</x:f>
        <x:v>0.0013656417006599644</x:v>
      </x:c>
    </x:row>
    <x:row r="2266" ht="21.600000381469727" hidden="0" customHeight="1">
      <x:c r="A2266" s="27" t="str">
        <x:v>SCA-23</x:v>
      </x:c>
      <x:c r="B2266" s="27" t="str">
        <x:v>13291</x:v>
      </x:c>
      <x:c r="C2266" s="27" t="str">
        <x:v>GA</x:v>
      </x:c>
      <x:c r="D2266" s="27" t="str">
        <x:v>Union County</x:v>
      </x:c>
      <x:c r="E2266" s="40" t="n">
        <x:v>27859</x:v>
      </x:c>
      <x:c r="F2266" s="55" t="n">
        <x:v>34.833333</x:v>
      </x:c>
      <x:c r="G2266" s="55" t="n">
        <x:v>-83.989257</x:v>
      </x:c>
      <x:c r="H2266" s="43" t="n">
        <x:f>E2266/SUMIF(A:A,A2266,E:E)</x:f>
        <x:v>0.0013349267417082787</x:v>
      </x:c>
    </x:row>
    <x:row r="2267" ht="21.600000381469727" hidden="0" customHeight="1">
      <x:c r="A2267" s="29" t="str">
        <x:v>SCA-23</x:v>
      </x:c>
      <x:c r="B2267" s="29" t="str">
        <x:v>13257</x:v>
      </x:c>
      <x:c r="C2267" s="29" t="str">
        <x:v>GA</x:v>
      </x:c>
      <x:c r="D2267" s="29" t="str">
        <x:v>Stephens County</x:v>
      </x:c>
      <x:c r="E2267" s="41" t="n">
        <x:v>27854</x:v>
      </x:c>
      <x:c r="F2267" s="56" t="n">
        <x:v>34.553582</x:v>
      </x:c>
      <x:c r="G2267" s="56" t="n">
        <x:v>-83.290588</x:v>
      </x:c>
      <x:c r="H2267" s="44" t="n">
        <x:f>E2267/SUMIF(A:A,A2267,E:E)</x:f>
        <x:v>0.0013346871554450052</x:v>
      </x:c>
    </x:row>
    <x:row r="2268" ht="21.600000381469727" hidden="0" customHeight="1">
      <x:c r="A2268" s="27" t="str">
        <x:v>SCA-23</x:v>
      </x:c>
      <x:c r="B2268" s="27" t="str">
        <x:v>01061</x:v>
      </x:c>
      <x:c r="C2268" s="27" t="str">
        <x:v>AL</x:v>
      </x:c>
      <x:c r="D2268" s="27" t="str">
        <x:v>Geneva County</x:v>
      </x:c>
      <x:c r="E2268" s="40" t="n">
        <x:v>27554</x:v>
      </x:c>
      <x:c r="F2268" s="55" t="n">
        <x:v>31.092382</x:v>
      </x:c>
      <x:c r="G2268" s="55" t="n">
        <x:v>-85.821022</x:v>
      </x:c>
      <x:c r="H2268" s="43" t="n">
        <x:f>E2268/SUMIF(A:A,A2268,E:E)</x:f>
        <x:v>0.0013203119796485845</x:v>
      </x:c>
    </x:row>
    <x:row r="2269" ht="15" hidden="0" customHeight="1">
      <x:c r="A2269" s="29" t="str">
        <x:v>SCA-23</x:v>
      </x:c>
      <x:c r="B2269" s="29" t="str">
        <x:v>13035</x:v>
      </x:c>
      <x:c r="C2269" s="29" t="str">
        <x:v>GA</x:v>
      </x:c>
      <x:c r="D2269" s="29" t="str">
        <x:v>Butts County</x:v>
      </x:c>
      <x:c r="E2269" s="41" t="n">
        <x:v>27218</x:v>
      </x:c>
      <x:c r="F2269" s="56" t="n">
        <x:v>33.290355</x:v>
      </x:c>
      <x:c r="G2269" s="56" t="n">
        <x:v>-83.958221</x:v>
      </x:c>
      <x:c r="H2269" s="44" t="n">
        <x:f>E2269/SUMIF(A:A,A2269,E:E)</x:f>
        <x:v>0.0013042117827565933</x:v>
      </x:c>
    </x:row>
    <x:row r="2270" ht="21.600000381469727" hidden="0" customHeight="1">
      <x:c r="A2270" s="27" t="str">
        <x:v>SCA-23</x:v>
      </x:c>
      <x:c r="B2270" s="27" t="str">
        <x:v>45087</x:v>
      </x:c>
      <x:c r="C2270" s="27" t="str">
        <x:v>SC</x:v>
      </x:c>
      <x:c r="D2270" s="27" t="str">
        <x:v>Union County</x:v>
      </x:c>
      <x:c r="E2270" s="40" t="n">
        <x:v>26799</x:v>
      </x:c>
      <x:c r="F2270" s="55" t="n">
        <x:v>34.690374</x:v>
      </x:c>
      <x:c r="G2270" s="55" t="n">
        <x:v>-81.615864</x:v>
      </x:c>
      <x:c r="H2270" s="43" t="n">
        <x:f>E2270/SUMIF(A:A,A2270,E:E)</x:f>
        <x:v>0.0012841344538942591</x:v>
      </x:c>
    </x:row>
    <x:row r="2271" ht="21.600000381469727" hidden="0" customHeight="1">
      <x:c r="A2271" s="29" t="str">
        <x:v>SCA-23</x:v>
      </x:c>
      <x:c r="B2271" s="29" t="str">
        <x:v>12133</x:v>
      </x:c>
      <x:c r="C2271" s="29" t="str">
        <x:v>FL</x:v>
      </x:c>
      <x:c r="D2271" s="29" t="str">
        <x:v>Washington County</x:v>
      </x:c>
      <x:c r="E2271" s="41" t="n">
        <x:v>26695</x:v>
      </x:c>
      <x:c r="F2271" s="56" t="n">
        <x:v>30.602102</x:v>
      </x:c>
      <x:c r="G2271" s="56" t="n">
        <x:v>-85.655805</x:v>
      </x:c>
      <x:c r="H2271" s="44" t="n">
        <x:f>E2271/SUMIF(A:A,A2271,E:E)</x:f>
        <x:v>0.0012791510596181666</x:v>
      </x:c>
    </x:row>
    <x:row r="2272" ht="21.600000381469727" hidden="0" customHeight="1">
      <x:c r="A2272" s="27" t="str">
        <x:v>SCA-23</x:v>
      </x:c>
      <x:c r="B2272" s="27" t="str">
        <x:v>01019</x:v>
      </x:c>
      <x:c r="C2272" s="27" t="str">
        <x:v>AL</x:v>
      </x:c>
      <x:c r="D2272" s="27" t="str">
        <x:v>Cherokee County</x:v>
      </x:c>
      <x:c r="E2272" s="40" t="n">
        <x:v>26413</x:v>
      </x:c>
      <x:c r="F2272" s="55" t="n">
        <x:v>34.069515</x:v>
      </x:c>
      <x:c r="G2272" s="55" t="n">
        <x:v>-85.654242</x:v>
      </x:c>
      <x:c r="H2272" s="43" t="n">
        <x:f>E2272/SUMIF(A:A,A2272,E:E)</x:f>
        <x:v>0.001265638394369531</x:v>
      </x:c>
    </x:row>
    <x:row r="2273" ht="21.600000381469727" hidden="0" customHeight="1">
      <x:c r="A2273" s="29" t="str">
        <x:v>SCA-23</x:v>
      </x:c>
      <x:c r="B2273" s="29" t="str">
        <x:v>13111</x:v>
      </x:c>
      <x:c r="C2273" s="29" t="str">
        <x:v>GA</x:v>
      </x:c>
      <x:c r="D2273" s="29" t="str">
        <x:v>Fannin County</x:v>
      </x:c>
      <x:c r="E2273" s="41" t="n">
        <x:v>26111</x:v>
      </x:c>
      <x:c r="F2273" s="56" t="n">
        <x:v>34.866543</x:v>
      </x:c>
      <x:c r="G2273" s="56" t="n">
        <x:v>-84.317331</x:v>
      </x:c>
      <x:c r="H2273" s="44" t="n">
        <x:f>E2273/SUMIF(A:A,A2273,E:E)</x:f>
        <x:v>0.001251167384067801</x:v>
      </x:c>
    </x:row>
    <x:row r="2274" ht="21.600000381469727" hidden="0" customHeight="1">
      <x:c r="A2274" s="27" t="str">
        <x:v>SCA-23</x:v>
      </x:c>
      <x:c r="B2274" s="27" t="str">
        <x:v>13119</x:v>
      </x:c>
      <x:c r="C2274" s="27" t="str">
        <x:v>GA</x:v>
      </x:c>
      <x:c r="D2274" s="27" t="str">
        <x:v>Franklin County</x:v>
      </x:c>
      <x:c r="E2274" s="40" t="n">
        <x:v>25948</x:v>
      </x:c>
      <x:c r="F2274" s="55" t="n">
        <x:v>34.375052</x:v>
      </x:c>
      <x:c r="G2274" s="55" t="n">
        <x:v>-83.22799</x:v>
      </x:c>
      <x:c r="H2274" s="43" t="n">
        <x:f>E2274/SUMIF(A:A,A2274,E:E)</x:f>
        <x:v>0.001243356871885079</x:v>
      </x:c>
    </x:row>
    <x:row r="2275" ht="21.600000381469727" hidden="0" customHeight="1">
      <x:c r="A2275" s="29" t="str">
        <x:v>SCA-23</x:v>
      </x:c>
      <x:c r="B2275" s="29" t="str">
        <x:v>13055</x:v>
      </x:c>
      <x:c r="C2275" s="29" t="str">
        <x:v>GA</x:v>
      </x:c>
      <x:c r="D2275" s="29" t="str">
        <x:v>Chattooga County</x:v>
      </x:c>
      <x:c r="E2275" s="41" t="n">
        <x:v>25300</x:v>
      </x:c>
      <x:c r="F2275" s="56" t="n">
        <x:v>34.474178</x:v>
      </x:c>
      <x:c r="G2275" s="56" t="n">
        <x:v>-85.345289</x:v>
      </x:c>
      <x:c r="H2275" s="44" t="n">
        <x:f>E2275/SUMIF(A:A,A2275,E:E)</x:f>
        <x:v>0.0012123064921648104</x:v>
      </x:c>
    </x:row>
    <x:row r="2276" ht="21.600000381469727" hidden="0" customHeight="1">
      <x:c r="A2276" s="27" t="str">
        <x:v>SCA-23</x:v>
      </x:c>
      <x:c r="B2276" s="27" t="str">
        <x:v>45001</x:v>
      </x:c>
      <x:c r="C2276" s="27" t="str">
        <x:v>SC</x:v>
      </x:c>
      <x:c r="D2276" s="27" t="str">
        <x:v>Abbeville County</x:v>
      </x:c>
      <x:c r="E2276" s="40" t="n">
        <x:v>24836</x:v>
      </x:c>
      <x:c r="F2276" s="55" t="n">
        <x:v>34.229041</x:v>
      </x:c>
      <x:c r="G2276" s="55" t="n">
        <x:v>-82.454058</x:v>
      </x:c>
      <x:c r="H2276" s="43" t="n">
        <x:f>E2276/SUMIF(A:A,A2276,E:E)</x:f>
        <x:v>0.001190072886933013</x:v>
      </x:c>
    </x:row>
    <x:row r="2277" ht="21.600000381469727" hidden="0" customHeight="1">
      <x:c r="A2277" s="29" t="str">
        <x:v>SCA-23</x:v>
      </x:c>
      <x:c r="B2277" s="29" t="str">
        <x:v>01005</x:v>
      </x:c>
      <x:c r="C2277" s="29" t="str">
        <x:v>AL</x:v>
      </x:c>
      <x:c r="D2277" s="29" t="str">
        <x:v>Barbour County</x:v>
      </x:c>
      <x:c r="E2277" s="41" t="n">
        <x:v>24607</x:v>
      </x:c>
      <x:c r="F2277" s="56" t="n">
        <x:v>31.870253</x:v>
      </x:c>
      <x:c r="G2277" s="56" t="n">
        <x:v>-85.405103</x:v>
      </x:c>
      <x:c r="H2277" s="44" t="n">
        <x:f>E2277/SUMIF(A:A,A2277,E:E)</x:f>
        <x:v>0.0011790998360750786</x:v>
      </x:c>
    </x:row>
    <x:row r="2278" ht="21.600000381469727" hidden="0" customHeight="1">
      <x:c r="A2278" s="27" t="str">
        <x:v>SCA-23</x:v>
      </x:c>
      <x:c r="B2278" s="27" t="str">
        <x:v>13033</x:v>
      </x:c>
      <x:c r="C2278" s="27" t="str">
        <x:v>GA</x:v>
      </x:c>
      <x:c r="D2278" s="27" t="str">
        <x:v>Burke County</x:v>
      </x:c>
      <x:c r="E2278" s="40" t="n">
        <x:v>24408</x:v>
      </x:c>
      <x:c r="F2278" s="55" t="n">
        <x:v>33.060181</x:v>
      </x:c>
      <x:c r="G2278" s="55" t="n">
        <x:v>-82.000164</x:v>
      </x:c>
      <x:c r="H2278" s="43" t="n">
        <x:f>E2278/SUMIF(A:A,A2278,E:E)</x:f>
        <x:v>0.0011695643027967862</x:v>
      </x:c>
    </x:row>
    <x:row r="2279" ht="21.600000381469727" hidden="0" customHeight="1">
      <x:c r="A2279" s="29" t="str">
        <x:v>SCA-23</x:v>
      </x:c>
      <x:c r="B2279" s="29" t="str">
        <x:v>13237</x:v>
      </x:c>
      <x:c r="C2279" s="29" t="str">
        <x:v>GA</x:v>
      </x:c>
      <x:c r="D2279" s="29" t="str">
        <x:v>Putnam County</x:v>
      </x:c>
      <x:c r="E2279" s="41" t="n">
        <x:v>23722</x:v>
      </x:c>
      <x:c r="F2279" s="56" t="n">
        <x:v>33.32106</x:v>
      </x:c>
      <x:c r="G2279" s="56" t="n">
        <x:v>-83.37179</x:v>
      </x:c>
      <x:c r="H2279" s="44" t="n">
        <x:f>E2279/SUMIF(A:A,A2279,E:E)</x:f>
        <x:v>0.0011366930674756377</x:v>
      </x:c>
    </x:row>
    <x:row r="2280" ht="21.600000381469727" hidden="0" customHeight="1">
      <x:c r="A2280" s="27" t="str">
        <x:v>SCA-23</x:v>
      </x:c>
      <x:c r="B2280" s="27" t="str">
        <x:v>01111</x:v>
      </x:c>
      <x:c r="C2280" s="27" t="str">
        <x:v>AL</x:v>
      </x:c>
      <x:c r="D2280" s="27" t="str">
        <x:v>Randolph County</x:v>
      </x:c>
      <x:c r="E2280" s="40" t="n">
        <x:v>23163</x:v>
      </x:c>
      <x:c r="F2280" s="55" t="n">
        <x:v>33.296461</x:v>
      </x:c>
      <x:c r="G2280" s="55" t="n">
        <x:v>-85.464064</x:v>
      </x:c>
      <x:c r="H2280" s="43" t="n">
        <x:f>E2280/SUMIF(A:A,A2280,E:E)</x:f>
        <x:v>0.0011099073232416405</x:v>
      </x:c>
    </x:row>
    <x:row r="2281" ht="21.600000381469727" hidden="0" customHeight="1">
      <x:c r="A2281" s="29" t="str">
        <x:v>SCA-23</x:v>
      </x:c>
      <x:c r="B2281" s="29" t="str">
        <x:v>13107</x:v>
      </x:c>
      <x:c r="C2281" s="29" t="str">
        <x:v>GA</x:v>
      </x:c>
      <x:c r="D2281" s="29" t="str">
        <x:v>Emanuel County</x:v>
      </x:c>
      <x:c r="E2281" s="41" t="n">
        <x:v>23147</x:v>
      </x:c>
      <x:c r="F2281" s="56" t="n">
        <x:v>32.5912</x:v>
      </x:c>
      <x:c r="G2281" s="56" t="n">
        <x:v>-82.300195</x:v>
      </x:c>
      <x:c r="H2281" s="44" t="n">
        <x:f>E2281/SUMIF(A:A,A2281,E:E)</x:f>
        <x:v>0.0011091406471991647</x:v>
      </x:c>
    </x:row>
    <x:row r="2282" ht="21.600000381469727" hidden="0" customHeight="1">
      <x:c r="A2282" s="27" t="str">
        <x:v>SCA-23</x:v>
      </x:c>
      <x:c r="B2282" s="27" t="str">
        <x:v>37115</x:v>
      </x:c>
      <x:c r="C2282" s="27" t="str">
        <x:v>NC</x:v>
      </x:c>
      <x:c r="D2282" s="27" t="str">
        <x:v>Madison County</x:v>
      </x:c>
      <x:c r="E2282" s="40" t="n">
        <x:v>22553</x:v>
      </x:c>
      <x:c r="F2282" s="55" t="n">
        <x:v>35.864206</x:v>
      </x:c>
      <x:c r="G2282" s="55" t="n">
        <x:v>-82.712631</x:v>
      </x:c>
      <x:c r="H2282" s="43" t="n">
        <x:f>E2282/SUMIF(A:A,A2282,E:E)</x:f>
        <x:v>0.0010806777991222518</x:v>
      </x:c>
    </x:row>
    <x:row r="2283" ht="15" hidden="0" customHeight="1">
      <x:c r="A2283" s="29" t="str">
        <x:v>SCA-23</x:v>
      </x:c>
      <x:c r="B2283" s="29" t="str">
        <x:v>01007</x:v>
      </x:c>
      <x:c r="C2283" s="29" t="str">
        <x:v>AL</x:v>
      </x:c>
      <x:c r="D2283" s="29" t="str">
        <x:v>Bibb County</x:v>
      </x:c>
      <x:c r="E2283" s="41" t="n">
        <x:v>22262</x:v>
      </x:c>
      <x:c r="F2283" s="56" t="n">
        <x:v>33.015893</x:v>
      </x:c>
      <x:c r="G2283" s="56" t="n">
        <x:v>-87.127148</x:v>
      </x:c>
      <x:c r="H2283" s="44" t="n">
        <x:f>E2283/SUMIF(A:A,A2283,E:E)</x:f>
        <x:v>0.0010667338785997236</x:v>
      </x:c>
    </x:row>
    <x:row r="2284" ht="21.600000381469727" hidden="0" customHeight="1">
      <x:c r="A2284" s="27" t="str">
        <x:v>SCA-23</x:v>
      </x:c>
      <x:c r="B2284" s="27" t="str">
        <x:v>13211</x:v>
      </x:c>
      <x:c r="C2284" s="27" t="str">
        <x:v>GA</x:v>
      </x:c>
      <x:c r="D2284" s="27" t="str">
        <x:v>Morgan County</x:v>
      </x:c>
      <x:c r="E2284" s="40" t="n">
        <x:v>22095</x:v>
      </x:c>
      <x:c r="F2284" s="55" t="n">
        <x:v>33.598649</x:v>
      </x:c>
      <x:c r="G2284" s="55" t="n">
        <x:v>-83.499416</x:v>
      </x:c>
      <x:c r="H2284" s="43" t="n">
        <x:f>E2284/SUMIF(A:A,A2284,E:E)</x:f>
        <x:v>0.001058731697406383</x:v>
      </x:c>
    </x:row>
    <x:row r="2285" ht="21.600000381469727" hidden="0" customHeight="1">
      <x:c r="A2285" s="29" t="str">
        <x:v>SCA-23</x:v>
      </x:c>
      <x:c r="B2285" s="29" t="str">
        <x:v>01025</x:v>
      </x:c>
      <x:c r="C2285" s="29" t="str">
        <x:v>AL</x:v>
      </x:c>
      <x:c r="D2285" s="29" t="str">
        <x:v>Clarke County</x:v>
      </x:c>
      <x:c r="E2285" s="41" t="n">
        <x:v>22014</x:v>
      </x:c>
      <x:c r="F2285" s="56" t="n">
        <x:v>31.685521</x:v>
      </x:c>
      <x:c r="G2285" s="56" t="n">
        <x:v>-87.818624</x:v>
      </x:c>
      <x:c r="H2285" s="44" t="n">
        <x:f>E2285/SUMIF(A:A,A2285,E:E)</x:f>
        <x:v>0.0010548503999413493</x:v>
      </x:c>
    </x:row>
    <x:row r="2286" ht="21.600000381469727" hidden="0" customHeight="1">
      <x:c r="A2286" s="27" t="str">
        <x:v>SCA-23</x:v>
      </x:c>
      <x:c r="B2286" s="27" t="str">
        <x:v>13189</x:v>
      </x:c>
      <x:c r="C2286" s="27" t="str">
        <x:v>GA</x:v>
      </x:c>
      <x:c r="D2286" s="27" t="str">
        <x:v>McDuffie County</x:v>
      </x:c>
      <x:c r="E2286" s="40" t="n">
        <x:v>21640</x:v>
      </x:c>
      <x:c r="F2286" s="55" t="n">
        <x:v>33.48061</x:v>
      </x:c>
      <x:c r="G2286" s="55" t="n">
        <x:v>-82.479572</x:v>
      </x:c>
      <x:c r="H2286" s="43" t="n">
        <x:f>E2286/SUMIF(A:A,A2286,E:E)</x:f>
        <x:v>0.0010369293474484782</x:v>
      </x:c>
    </x:row>
    <x:row r="2287" ht="21.600000381469727" hidden="0" customHeight="1">
      <x:c r="A2287" s="29" t="str">
        <x:v>SCA-23</x:v>
      </x:c>
      <x:c r="B2287" s="29" t="str">
        <x:v>13199</x:v>
      </x:c>
      <x:c r="C2287" s="29" t="str">
        <x:v>GA</x:v>
      </x:c>
      <x:c r="D2287" s="29" t="str">
        <x:v>Meriwether County</x:v>
      </x:c>
      <x:c r="E2287" s="41" t="n">
        <x:v>21516</x:v>
      </x:c>
      <x:c r="F2287" s="56" t="n">
        <x:v>33.029267</x:v>
      </x:c>
      <x:c r="G2287" s="56" t="n">
        <x:v>-84.667058</x:v>
      </x:c>
      <x:c r="H2287" s="44" t="n">
        <x:f>E2287/SUMIF(A:A,A2287,E:E)</x:f>
        <x:v>0.001030987608119291</x:v>
      </x:c>
    </x:row>
    <x:row r="2288" ht="21.600000381469727" hidden="0" customHeight="1">
      <x:c r="A2288" s="27" t="str">
        <x:v>SCA-23</x:v>
      </x:c>
      <x:c r="B2288" s="27" t="str">
        <x:v>13133</x:v>
      </x:c>
      <x:c r="C2288" s="27" t="str">
        <x:v>GA</x:v>
      </x:c>
      <x:c r="D2288" s="27" t="str">
        <x:v>Greene County</x:v>
      </x:c>
      <x:c r="E2288" s="40" t="n">
        <x:v>21367</x:v>
      </x:c>
      <x:c r="F2288" s="55" t="n">
        <x:v>33.576704</x:v>
      </x:c>
      <x:c r="G2288" s="55" t="n">
        <x:v>-83.166625</x:v>
      </x:c>
      <x:c r="H2288" s="43" t="n">
        <x:f>E2288/SUMIF(A:A,A2288,E:E)</x:f>
        <x:v>0.0010238479374737354</x:v>
      </x:c>
    </x:row>
    <x:row r="2289" ht="21.600000381469727" hidden="0" customHeight="1">
      <x:c r="A2289" s="29" t="str">
        <x:v>SCA-23</x:v>
      </x:c>
      <x:c r="B2289" s="29" t="str">
        <x:v>13011</x:v>
      </x:c>
      <x:c r="C2289" s="29" t="str">
        <x:v>GA</x:v>
      </x:c>
      <x:c r="D2289" s="29" t="str">
        <x:v>Banks County</x:v>
      </x:c>
      <x:c r="E2289" s="41" t="n">
        <x:v>21273</x:v>
      </x:c>
      <x:c r="F2289" s="56" t="n">
        <x:v>34.351922</x:v>
      </x:c>
      <x:c r="G2289" s="56" t="n">
        <x:v>-83.498441</x:v>
      </x:c>
      <x:c r="H2289" s="44" t="n">
        <x:f>E2289/SUMIF(A:A,A2289,E:E)</x:f>
        <x:v>0.0010193437157241902</x:v>
      </x:c>
    </x:row>
    <x:row r="2290" ht="21.600000381469727" hidden="0" customHeight="1">
      <x:c r="A2290" s="27" t="str">
        <x:v>SCA-23</x:v>
      </x:c>
      <x:c r="B2290" s="27" t="str">
        <x:v>13171</x:v>
      </x:c>
      <x:c r="C2290" s="27" t="str">
        <x:v>GA</x:v>
      </x:c>
      <x:c r="D2290" s="27" t="str">
        <x:v>Lamar County</x:v>
      </x:c>
      <x:c r="E2290" s="40" t="n">
        <x:v>20941</x:v>
      </x:c>
      <x:c r="F2290" s="55" t="n">
        <x:v>33.07444</x:v>
      </x:c>
      <x:c r="G2290" s="55" t="n">
        <x:v>-84.146689</x:v>
      </x:c>
      <x:c r="H2290" s="43" t="n">
        <x:f>E2290/SUMIF(A:A,A2290,E:E)</x:f>
        <x:v>0.001003435187842818</x:v>
      </x:c>
    </x:row>
    <x:row r="2291" ht="15" hidden="0" customHeight="1">
      <x:c r="A2291" s="29" t="str">
        <x:v>SCA-23</x:v>
      </x:c>
      <x:c r="B2291" s="29" t="str">
        <x:v>13231</x:v>
      </x:c>
      <x:c r="C2291" s="29" t="str">
        <x:v>GA</x:v>
      </x:c>
      <x:c r="D2291" s="29" t="str">
        <x:v>Pike County</x:v>
      </x:c>
      <x:c r="E2291" s="41" t="n">
        <x:v>20932</x:v>
      </x:c>
      <x:c r="F2291" s="56" t="n">
        <x:v>33.081149</x:v>
      </x:c>
      <x:c r="G2291" s="56" t="n">
        <x:v>-84.389462</x:v>
      </x:c>
      <x:c r="H2291" s="44" t="n">
        <x:f>E2291/SUMIF(A:A,A2291,E:E)</x:f>
        <x:v>0.0010030039325689254</x:v>
      </x:c>
    </x:row>
    <x:row r="2292" ht="21.600000381469727" hidden="0" customHeight="1">
      <x:c r="A2292" s="27" t="str">
        <x:v>SCA-23</x:v>
      </x:c>
      <x:c r="B2292" s="27" t="str">
        <x:v>45011</x:v>
      </x:c>
      <x:c r="C2292" s="27" t="str">
        <x:v>SC</x:v>
      </x:c>
      <x:c r="D2292" s="27" t="str">
        <x:v>Barnwell County</x:v>
      </x:c>
      <x:c r="E2292" s="40" t="n">
        <x:v>20653</x:v>
      </x:c>
      <x:c r="F2292" s="55" t="n">
        <x:v>33.260552</x:v>
      </x:c>
      <x:c r="G2292" s="55" t="n">
        <x:v>-81.434228</x:v>
      </x:c>
      <x:c r="H2292" s="43" t="n">
        <x:f>E2292/SUMIF(A:A,A2292,E:E)</x:f>
        <x:v>0.0009896350190782542</x:v>
      </x:c>
    </x:row>
    <x:row r="2293" ht="15" hidden="0" customHeight="1">
      <x:c r="A2293" s="29" t="str">
        <x:v>SCA-23</x:v>
      </x:c>
      <x:c r="B2293" s="29" t="str">
        <x:v>37149</x:v>
      </x:c>
      <x:c r="C2293" s="29" t="str">
        <x:v>NC</x:v>
      </x:c>
      <x:c r="D2293" s="29" t="str">
        <x:v>Polk County</x:v>
      </x:c>
      <x:c r="E2293" s="41" t="n">
        <x:v>20533</x:v>
      </x:c>
      <x:c r="F2293" s="56" t="n">
        <x:v>35.277901</x:v>
      </x:c>
      <x:c r="G2293" s="56" t="n">
        <x:v>-82.167621</x:v>
      </x:c>
      <x:c r="H2293" s="44" t="n">
        <x:f>E2293/SUMIF(A:A,A2293,E:E)</x:f>
        <x:v>0.0009838849487596858</x:v>
      </x:c>
    </x:row>
    <x:row r="2294" ht="21.600000381469727" hidden="0" customHeight="1">
      <x:c r="A2294" s="27" t="str">
        <x:v>SCA-23</x:v>
      </x:c>
      <x:c r="B2294" s="27" t="str">
        <x:v>12059</x:v>
      </x:c>
      <x:c r="C2294" s="27" t="str">
        <x:v>FL</x:v>
      </x:c>
      <x:c r="D2294" s="27" t="str">
        <x:v>Holmes County</x:v>
      </x:c>
      <x:c r="E2294" s="40" t="n">
        <x:v>20119</x:v>
      </x:c>
      <x:c r="F2294" s="55" t="n">
        <x:v>30.862007</x:v>
      </x:c>
      <x:c r="G2294" s="55" t="n">
        <x:v>-85.815939</x:v>
      </x:c>
      <x:c r="H2294" s="43" t="n">
        <x:f>E2294/SUMIF(A:A,A2294,E:E)</x:f>
        <x:v>0.0009640472061606253</x:v>
      </x:c>
    </x:row>
    <x:row r="2295" ht="21.600000381469727" hidden="0" customHeight="1">
      <x:c r="A2295" s="29" t="str">
        <x:v>SCA-23</x:v>
      </x:c>
      <x:c r="B2295" s="29" t="str">
        <x:v>13105</x:v>
      </x:c>
      <x:c r="C2295" s="29" t="str">
        <x:v>GA</x:v>
      </x:c>
      <x:c r="D2295" s="29" t="str">
        <x:v>Elbert County</x:v>
      </x:c>
      <x:c r="E2295" s="41" t="n">
        <x:v>20072</x:v>
      </x:c>
      <x:c r="F2295" s="56" t="n">
        <x:v>34.116406</x:v>
      </x:c>
      <x:c r="G2295" s="56" t="n">
        <x:v>-82.841911</x:v>
      </x:c>
      <x:c r="H2295" s="44" t="n">
        <x:f>E2295/SUMIF(A:A,A2295,E:E)</x:f>
        <x:v>0.0009617950952858528</x:v>
      </x:c>
    </x:row>
    <x:row r="2296" ht="21.600000381469727" hidden="0" customHeight="1">
      <x:c r="A2296" s="27" t="str">
        <x:v>SCA-23</x:v>
      </x:c>
      <x:c r="B2296" s="27" t="str">
        <x:v>45081</x:v>
      </x:c>
      <x:c r="C2296" s="27" t="str">
        <x:v>SC</x:v>
      </x:c>
      <x:c r="D2296" s="27" t="str">
        <x:v>Saluda County</x:v>
      </x:c>
      <x:c r="E2296" s="40" t="n">
        <x:v>19680</x:v>
      </x:c>
      <x:c r="F2296" s="55" t="n">
        <x:v>34.005278</x:v>
      </x:c>
      <x:c r="G2296" s="55" t="n">
        <x:v>-81.727903</x:v>
      </x:c>
      <x:c r="H2296" s="43" t="n">
        <x:f>E2296/SUMIF(A:A,A2296,E:E)</x:f>
        <x:v>0.0009430115322451964</x:v>
      </x:c>
    </x:row>
    <x:row r="2297" ht="21.600000381469727" hidden="0" customHeight="1">
      <x:c r="A2297" s="29" t="str">
        <x:v>SCA-23</x:v>
      </x:c>
      <x:c r="B2297" s="29" t="str">
        <x:v>13091</x:v>
      </x:c>
      <x:c r="C2297" s="29" t="str">
        <x:v>GA</x:v>
      </x:c>
      <x:c r="D2297" s="29" t="str">
        <x:v>Dodge County</x:v>
      </x:c>
      <x:c r="E2297" s="41" t="n">
        <x:v>19663</x:v>
      </x:c>
      <x:c r="F2297" s="56" t="n">
        <x:v>32.164369</x:v>
      </x:c>
      <x:c r="G2297" s="56" t="n">
        <x:v>-83.167866</x:v>
      </x:c>
      <x:c r="H2297" s="44" t="n">
        <x:f>E2297/SUMIF(A:A,A2297,E:E)</x:f>
        <x:v>0.0009421969389500659</x:v>
      </x:c>
    </x:row>
    <x:row r="2298" ht="21.600000381469727" hidden="0" customHeight="1">
      <x:c r="A2298" s="27" t="str">
        <x:v>SCA-23</x:v>
      </x:c>
      <x:c r="B2298" s="27" t="str">
        <x:v>13303</x:v>
      </x:c>
      <x:c r="C2298" s="27" t="str">
        <x:v>GA</x:v>
      </x:c>
      <x:c r="D2298" s="27" t="str">
        <x:v>Washington County</x:v>
      </x:c>
      <x:c r="E2298" s="40" t="n">
        <x:v>19453</x:v>
      </x:c>
      <x:c r="F2298" s="55" t="n">
        <x:v>32.971843</x:v>
      </x:c>
      <x:c r="G2298" s="55" t="n">
        <x:v>-82.798112</x:v>
      </x:c>
      <x:c r="H2298" s="43" t="n">
        <x:f>E2298/SUMIF(A:A,A2298,E:E)</x:f>
        <x:v>0.0009321343158925715</x:v>
      </x:c>
    </x:row>
    <x:row r="2299" ht="15" hidden="0" customHeight="1">
      <x:c r="A2299" s="29" t="str">
        <x:v>SCA-23</x:v>
      </x:c>
      <x:c r="B2299" s="29" t="str">
        <x:v>13081</x:v>
      </x:c>
      <x:c r="C2299" s="29" t="str">
        <x:v>GA</x:v>
      </x:c>
      <x:c r="D2299" s="29" t="str">
        <x:v>Crisp County</x:v>
      </x:c>
      <x:c r="E2299" s="41" t="n">
        <x:v>19237</x:v>
      </x:c>
      <x:c r="F2299" s="56" t="n">
        <x:v>31.920268</x:v>
      </x:c>
      <x:c r="G2299" s="56" t="n">
        <x:v>-83.75653</x:v>
      </x:c>
      <x:c r="H2299" s="44" t="n">
        <x:f>E2299/SUMIF(A:A,A2299,E:E)</x:f>
        <x:v>0.0009217841893191485</x:v>
      </x:c>
    </x:row>
    <x:row r="2300" ht="21.600000381469727" hidden="0" customHeight="1">
      <x:c r="A2300" s="27" t="str">
        <x:v>SCA-23</x:v>
      </x:c>
      <x:c r="B2300" s="27" t="str">
        <x:v>37199</x:v>
      </x:c>
      <x:c r="C2300" s="27" t="str">
        <x:v>NC</x:v>
      </x:c>
      <x:c r="D2300" s="27" t="str">
        <x:v>Yancey County</x:v>
      </x:c>
      <x:c r="E2300" s="40" t="n">
        <x:v>19084</x:v>
      </x:c>
      <x:c r="F2300" s="55" t="n">
        <x:v>35.889326</x:v>
      </x:c>
      <x:c r="G2300" s="55" t="n">
        <x:v>-82.303954</x:v>
      </x:c>
      <x:c r="H2300" s="43" t="n">
        <x:f>E2300/SUMIF(A:A,A2300,E:E)</x:f>
        <x:v>0.000914452849662974</x:v>
      </x:c>
    </x:row>
    <x:row r="2301" ht="21.600000381469727" hidden="0" customHeight="1">
      <x:c r="A2301" s="29" t="str">
        <x:v>SCA-23</x:v>
      </x:c>
      <x:c r="B2301" s="29" t="str">
        <x:v>01099</x:v>
      </x:c>
      <x:c r="C2301" s="29" t="str">
        <x:v>AL</x:v>
      </x:c>
      <x:c r="D2301" s="29" t="str">
        <x:v>Monroe County</x:v>
      </x:c>
      <x:c r="E2301" s="41" t="n">
        <x:v>18965</x:v>
      </x:c>
      <x:c r="F2301" s="56" t="n">
        <x:v>31.580353</x:v>
      </x:c>
      <x:c r="G2301" s="56" t="n">
        <x:v>-87.383342</x:v>
      </x:c>
      <x:c r="H2301" s="44" t="n">
        <x:f>E2301/SUMIF(A:A,A2301,E:E)</x:f>
        <x:v>0.0009087506965970605</x:v>
      </x:c>
    </x:row>
    <x:row r="2302" ht="15" hidden="0" customHeight="1">
      <x:c r="A2302" s="27" t="str">
        <x:v>SCA-23</x:v>
      </x:c>
      <x:c r="B2302" s="27" t="str">
        <x:v>47139</x:v>
      </x:c>
      <x:c r="C2302" s="27" t="str">
        <x:v>TN</x:v>
      </x:c>
      <x:c r="D2302" s="27" t="str">
        <x:v>Polk County</x:v>
      </x:c>
      <x:c r="E2302" s="40" t="n">
        <x:v>18592</x:v>
      </x:c>
      <x:c r="F2302" s="55" t="n">
        <x:v>35.109437</x:v>
      </x:c>
      <x:c r="G2302" s="55" t="n">
        <x:v>-84.541112</x:v>
      </x:c>
      <x:c r="H2302" s="43" t="n">
        <x:f>E2302/SUMIF(A:A,A2302,E:E)</x:f>
        <x:v>0.0008908775613568441</x:v>
      </x:c>
    </x:row>
    <x:row r="2303" ht="21.600000381469727" hidden="0" customHeight="1">
      <x:c r="A2303" s="29" t="str">
        <x:v>SCA-23</x:v>
      </x:c>
      <x:c r="B2303" s="29" t="str">
        <x:v>01067</x:v>
      </x:c>
      <x:c r="C2303" s="29" t="str">
        <x:v>AL</x:v>
      </x:c>
      <x:c r="D2303" s="29" t="str">
        <x:v>Henry County</x:v>
      </x:c>
      <x:c r="E2303" s="41" t="n">
        <x:v>18394</x:v>
      </x:c>
      <x:c r="F2303" s="56" t="n">
        <x:v>31.516978</x:v>
      </x:c>
      <x:c r="G2303" s="56" t="n">
        <x:v>-85.239971</x:v>
      </x:c>
      <x:c r="H2303" s="44" t="n">
        <x:f>E2303/SUMIF(A:A,A2303,E:E)</x:f>
        <x:v>0.0008813899453312064</x:v>
      </x:c>
    </x:row>
    <x:row r="2304" ht="21.600000381469727" hidden="0" customHeight="1">
      <x:c r="A2304" s="27" t="str">
        <x:v>SCA-23</x:v>
      </x:c>
      <x:c r="B2304" s="27" t="str">
        <x:v>01091</x:v>
      </x:c>
      <x:c r="C2304" s="27" t="str">
        <x:v>AL</x:v>
      </x:c>
      <x:c r="D2304" s="27" t="str">
        <x:v>Marengo County</x:v>
      </x:c>
      <x:c r="E2304" s="40" t="n">
        <x:v>18311</x:v>
      </x:c>
      <x:c r="F2304" s="55" t="n">
        <x:v>32.247591</x:v>
      </x:c>
      <x:c r="G2304" s="55" t="n">
        <x:v>-87.791091</x:v>
      </x:c>
      <x:c r="H2304" s="43" t="n">
        <x:f>E2304/SUMIF(A:A,A2304,E:E)</x:f>
        <x:v>0.0008774128133608634</x:v>
      </x:c>
    </x:row>
    <x:row r="2305" ht="21.600000381469727" hidden="0" customHeight="1">
      <x:c r="A2305" s="29" t="str">
        <x:v>SCA-23</x:v>
      </x:c>
      <x:c r="B2305" s="29" t="str">
        <x:v>01087</x:v>
      </x:c>
      <x:c r="C2305" s="29" t="str">
        <x:v>AL</x:v>
      </x:c>
      <x:c r="D2305" s="29" t="str">
        <x:v>Macon County</x:v>
      </x:c>
      <x:c r="E2305" s="41" t="n">
        <x:v>18132</x:v>
      </x:c>
      <x:c r="F2305" s="56" t="n">
        <x:v>32.387027</x:v>
      </x:c>
      <x:c r="G2305" s="56" t="n">
        <x:v>-85.692887</x:v>
      </x:c>
      <x:c r="H2305" s="44" t="n">
        <x:f>E2305/SUMIF(A:A,A2305,E:E)</x:f>
        <x:v>0.0008688356251356658</x:v>
      </x:c>
    </x:row>
    <x:row r="2306" ht="21.600000381469727" hidden="0" customHeight="1">
      <x:c r="A2306" s="27" t="str">
        <x:v>SCA-23</x:v>
      </x:c>
      <x:c r="B2306" s="27" t="str">
        <x:v>01013</x:v>
      </x:c>
      <x:c r="C2306" s="27" t="str">
        <x:v>AL</x:v>
      </x:c>
      <x:c r="D2306" s="27" t="str">
        <x:v>Butler County</x:v>
      </x:c>
      <x:c r="E2306" s="40" t="n">
        <x:v>18100</x:v>
      </x:c>
      <x:c r="F2306" s="55" t="n">
        <x:v>31.751667</x:v>
      </x:c>
      <x:c r="G2306" s="55" t="n">
        <x:v>-86.681969</x:v>
      </x:c>
      <x:c r="H2306" s="43" t="n">
        <x:f>E2306/SUMIF(A:A,A2306,E:E)</x:f>
        <x:v>0.0008673022730507142</x:v>
      </x:c>
    </x:row>
    <x:row r="2307" ht="21.600000381469727" hidden="0" customHeight="1">
      <x:c r="A2307" s="29" t="str">
        <x:v>SCA-23</x:v>
      </x:c>
      <x:c r="B2307" s="29" t="str">
        <x:v>47153</x:v>
      </x:c>
      <x:c r="C2307" s="29" t="str">
        <x:v>TN</x:v>
      </x:c>
      <x:c r="D2307" s="29" t="str">
        <x:v>Sequatchie County</x:v>
      </x:c>
      <x:c r="E2307" s="41" t="n">
        <x:v>17861</x:v>
      </x:c>
      <x:c r="F2307" s="56" t="n">
        <x:v>35.372336</x:v>
      </x:c>
      <x:c r="G2307" s="56" t="n">
        <x:v>-85.410082</x:v>
      </x:c>
      <x:c r="H2307" s="44" t="n">
        <x:f>E2307/SUMIF(A:A,A2307,E:E)</x:f>
        <x:v>0.0008558500496662324</x:v>
      </x:c>
    </x:row>
    <x:row r="2308" ht="21.600000381469727" hidden="0" customHeight="1">
      <x:c r="A2308" s="27" t="str">
        <x:v>SCA-23</x:v>
      </x:c>
      <x:c r="B2308" s="27" t="str">
        <x:v>47171</x:v>
      </x:c>
      <x:c r="C2308" s="27" t="str">
        <x:v>TN</x:v>
      </x:c>
      <x:c r="D2308" s="27" t="str">
        <x:v>Unicoi County</x:v>
      </x:c>
      <x:c r="E2308" s="40" t="n">
        <x:v>17856</x:v>
      </x:c>
      <x:c r="F2308" s="55" t="n">
        <x:v>36.100129</x:v>
      </x:c>
      <x:c r="G2308" s="55" t="n">
        <x:v>-82.418218</x:v>
      </x:c>
      <x:c r="H2308" s="43" t="n">
        <x:f>E2308/SUMIF(A:A,A2308,E:E)</x:f>
        <x:v>0.0008556104634029587</x:v>
      </x:c>
    </x:row>
    <x:row r="2309" ht="21.600000381469727" hidden="0" customHeight="1">
      <x:c r="A2309" s="29" t="str">
        <x:v>SCA-23</x:v>
      </x:c>
      <x:c r="B2309" s="29" t="str">
        <x:v>13241</x:v>
      </x:c>
      <x:c r="C2309" s="29" t="str">
        <x:v>GA</x:v>
      </x:c>
      <x:c r="D2309" s="29" t="str">
        <x:v>Rabun County</x:v>
      </x:c>
      <x:c r="E2309" s="41" t="n">
        <x:v>17764</x:v>
      </x:c>
      <x:c r="F2309" s="56" t="n">
        <x:v>34.883934</x:v>
      </x:c>
      <x:c r="G2309" s="56" t="n">
        <x:v>-83.40487</x:v>
      </x:c>
      <x:c r="H2309" s="44" t="n">
        <x:f>E2309/SUMIF(A:A,A2309,E:E)</x:f>
        <x:v>0.000851202076158723</x:v>
      </x:c>
    </x:row>
    <x:row r="2310" ht="21.600000381469727" hidden="0" customHeight="1">
      <x:c r="A2310" s="27" t="str">
        <x:v>SCA-23</x:v>
      </x:c>
      <x:c r="B2310" s="27" t="str">
        <x:v>13159</x:v>
      </x:c>
      <x:c r="C2310" s="27" t="str">
        <x:v>GA</x:v>
      </x:c>
      <x:c r="D2310" s="27" t="str">
        <x:v>Jasper County</x:v>
      </x:c>
      <x:c r="E2310" s="40" t="n">
        <x:v>17632</x:v>
      </x:c>
      <x:c r="F2310" s="55" t="n">
        <x:v>33.316981</x:v>
      </x:c>
      <x:c r="G2310" s="55" t="n">
        <x:v>-83.689151</x:v>
      </x:c>
      <x:c r="H2310" s="43" t="n">
        <x:f>E2310/SUMIF(A:A,A2310,E:E)</x:f>
        <x:v>0.0008448769988082979</x:v>
      </x:c>
    </x:row>
    <x:row r="2311" ht="21.600000381469727" hidden="0" customHeight="1">
      <x:c r="A2311" s="29" t="str">
        <x:v>SCA-23</x:v>
      </x:c>
      <x:c r="B2311" s="29" t="str">
        <x:v>13221</x:v>
      </x:c>
      <x:c r="C2311" s="29" t="str">
        <x:v>GA</x:v>
      </x:c>
      <x:c r="D2311" s="29" t="str">
        <x:v>Oglethorpe County</x:v>
      </x:c>
      <x:c r="E2311" s="41" t="n">
        <x:v>16415</x:v>
      </x:c>
      <x:c r="F2311" s="56" t="n">
        <x:v>33.866815</x:v>
      </x:c>
      <x:c r="G2311" s="56" t="n">
        <x:v>-83.074106</x:v>
      </x:c>
      <x:c r="H2311" s="44" t="n">
        <x:f>E2311/SUMIF(A:A,A2311,E:E)</x:f>
        <x:v>0.0007865617023274848</x:v>
      </x:c>
    </x:row>
    <x:row r="2312" ht="15" hidden="0" customHeight="1">
      <x:c r="A2312" s="27" t="str">
        <x:v>SCA-23</x:v>
      </x:c>
      <x:c r="B2312" s="27" t="str">
        <x:v>13083</x:v>
      </x:c>
      <x:c r="C2312" s="27" t="str">
        <x:v>GA</x:v>
      </x:c>
      <x:c r="D2312" s="27" t="str">
        <x:v>Dade County</x:v>
      </x:c>
      <x:c r="E2312" s="40" t="n">
        <x:v>16154</x:v>
      </x:c>
      <x:c r="F2312" s="55" t="n">
        <x:v>34.852424</x:v>
      </x:c>
      <x:c r="G2312" s="55" t="n">
        <x:v>-85.506201</x:v>
      </x:c>
      <x:c r="H2312" s="43" t="n">
        <x:f>E2312/SUMIF(A:A,A2312,E:E)</x:f>
        <x:v>0.0007740552993845988</x:v>
      </x:c>
    </x:row>
    <x:row r="2313" ht="21.600000381469727" hidden="0" customHeight="1">
      <x:c r="A2313" s="29" t="str">
        <x:v>SCA-23</x:v>
      </x:c>
      <x:c r="B2313" s="29" t="str">
        <x:v>01029</x:v>
      </x:c>
      <x:c r="C2313" s="29" t="str">
        <x:v>AL</x:v>
      </x:c>
      <x:c r="D2313" s="29" t="str">
        <x:v>Cleburne County</x:v>
      </x:c>
      <x:c r="E2313" s="41" t="n">
        <x:v>15970</x:v>
      </x:c>
      <x:c r="F2313" s="56" t="n">
        <x:v>33.671964</x:v>
      </x:c>
      <x:c r="G2313" s="56" t="n">
        <x:v>-85.516126</x:v>
      </x:c>
      <x:c r="H2313" s="44" t="n">
        <x:f>E2313/SUMIF(A:A,A2313,E:E)</x:f>
        <x:v>0.0007652385248961273</x:v>
      </x:c>
    </x:row>
    <x:row r="2314" ht="21.600000381469727" hidden="0" customHeight="1">
      <x:c r="A2314" s="27" t="str">
        <x:v>SCA-23</x:v>
      </x:c>
      <x:c r="B2314" s="27" t="str">
        <x:v>47007</x:v>
      </x:c>
      <x:c r="C2314" s="27" t="str">
        <x:v>TN</x:v>
      </x:c>
      <x:c r="D2314" s="27" t="str">
        <x:v>Bledsoe County</x:v>
      </x:c>
      <x:c r="E2314" s="40" t="n">
        <x:v>15920</x:v>
      </x:c>
      <x:c r="F2314" s="55" t="n">
        <x:v>35.593561</x:v>
      </x:c>
      <x:c r="G2314" s="55" t="n">
        <x:v>-85.20591</x:v>
      </x:c>
      <x:c r="H2314" s="43" t="n">
        <x:f>E2314/SUMIF(A:A,A2314,E:E)</x:f>
        <x:v>0.0007628426622633906</x:v>
      </x:c>
    </x:row>
    <x:row r="2315" ht="21.600000381469727" hidden="0" customHeight="1">
      <x:c r="A2315" s="29" t="str">
        <x:v>SCA-23</x:v>
      </x:c>
      <x:c r="B2315" s="29" t="str">
        <x:v>47015</x:v>
      </x:c>
      <x:c r="C2315" s="29" t="str">
        <x:v>TN</x:v>
      </x:c>
      <x:c r="D2315" s="29" t="str">
        <x:v>Cannon County</x:v>
      </x:c>
      <x:c r="E2315" s="41" t="n">
        <x:v>15296</x:v>
      </x:c>
      <x:c r="F2315" s="56" t="n">
        <x:v>35.808394</x:v>
      </x:c>
      <x:c r="G2315" s="56" t="n">
        <x:v>-86.062404</x:v>
      </x:c>
      <x:c r="H2315" s="44" t="n">
        <x:f>E2315/SUMIF(A:A,A2315,E:E)</x:f>
        <x:v>0.0007329422966068355</x:v>
      </x:c>
    </x:row>
    <x:row r="2316" ht="15" hidden="0" customHeight="1">
      <x:c r="A2316" s="27" t="str">
        <x:v>SCA-23</x:v>
      </x:c>
      <x:c r="B2316" s="27" t="str">
        <x:v>01065</x:v>
      </x:c>
      <x:c r="C2316" s="27" t="str">
        <x:v>AL</x:v>
      </x:c>
      <x:c r="D2316" s="27" t="str">
        <x:v>Hale County</x:v>
      </x:c>
      <x:c r="E2316" s="40" t="n">
        <x:v>15194</x:v>
      </x:c>
      <x:c r="F2316" s="55" t="n">
        <x:v>32.752796</x:v>
      </x:c>
      <x:c r="G2316" s="55" t="n">
        <x:v>-87.623061</x:v>
      </x:c>
      <x:c r="H2316" s="43" t="n">
        <x:f>E2316/SUMIF(A:A,A2316,E:E)</x:f>
        <x:v>0.0007280547368360526</x:v>
      </x:c>
    </x:row>
    <x:row r="2317" ht="21.600000381469727" hidden="0" customHeight="1">
      <x:c r="A2317" s="29" t="str">
        <x:v>SCA-23</x:v>
      </x:c>
      <x:c r="B2317" s="29" t="str">
        <x:v>13163</x:v>
      </x:c>
      <x:c r="C2317" s="29" t="str">
        <x:v>GA</x:v>
      </x:c>
      <x:c r="D2317" s="29" t="str">
        <x:v>Jefferson County</x:v>
      </x:c>
      <x:c r="E2317" s="41" t="n">
        <x:v>15011</x:v>
      </x:c>
      <x:c r="F2317" s="56" t="n">
        <x:v>33.058176</x:v>
      </x:c>
      <x:c r="G2317" s="56" t="n">
        <x:v>-82.420004</x:v>
      </x:c>
      <x:c r="H2317" s="44" t="n">
        <x:f>E2317/SUMIF(A:A,A2317,E:E)</x:f>
        <x:v>0.0007192858796002359</x:v>
      </x:c>
    </x:row>
    <x:row r="2318" ht="21.600000381469727" hidden="0" customHeight="1">
      <x:c r="A2318" s="27" t="str">
        <x:v>SCA-23</x:v>
      </x:c>
      <x:c r="B2318" s="27" t="str">
        <x:v>01129</x:v>
      </x:c>
      <x:c r="C2318" s="27" t="str">
        <x:v>AL</x:v>
      </x:c>
      <x:c r="D2318" s="27" t="str">
        <x:v>Washington County</x:v>
      </x:c>
      <x:c r="E2318" s="40" t="n">
        <x:v>14822</x:v>
      </x:c>
      <x:c r="F2318" s="55" t="n">
        <x:v>31.408503</x:v>
      </x:c>
      <x:c r="G2318" s="55" t="n">
        <x:v>-88.212404</x:v>
      </x:c>
      <x:c r="H2318" s="43" t="n">
        <x:f>E2318/SUMIF(A:A,A2318,E:E)</x:f>
        <x:v>0.0007102295188484909</x:v>
      </x:c>
    </x:row>
    <x:row r="2319" ht="15" hidden="0" customHeight="1">
      <x:c r="A2319" s="29" t="str">
        <x:v>SCA-23</x:v>
      </x:c>
      <x:c r="B2319" s="29" t="str">
        <x:v>01027</x:v>
      </x:c>
      <x:c r="C2319" s="29" t="str">
        <x:v>AL</x:v>
      </x:c>
      <x:c r="D2319" s="29" t="str">
        <x:v>Clay County</x:v>
      </x:c>
      <x:c r="E2319" s="41" t="n">
        <x:v>14207</x:v>
      </x:c>
      <x:c r="F2319" s="56" t="n">
        <x:v>33.2704</x:v>
      </x:c>
      <x:c r="G2319" s="56" t="n">
        <x:v>-85.863525</x:v>
      </x:c>
      <x:c r="H2319" s="44" t="n">
        <x:f>E2319/SUMIF(A:A,A2319,E:E)</x:f>
        <x:v>0.0006807604084658285</x:v>
      </x:c>
    </x:row>
    <x:row r="2320" ht="21.600000381469727" hidden="0" customHeight="1">
      <x:c r="A2320" s="27" t="str">
        <x:v>SCA-23</x:v>
      </x:c>
      <x:c r="B2320" s="27" t="str">
        <x:v>47121</x:v>
      </x:c>
      <x:c r="C2320" s="27" t="str">
        <x:v>TN</x:v>
      </x:c>
      <x:c r="D2320" s="27" t="str">
        <x:v>Meigs County</x:v>
      </x:c>
      <x:c r="E2320" s="40" t="n">
        <x:v>14186</x:v>
      </x:c>
      <x:c r="F2320" s="55" t="n">
        <x:v>35.512203</x:v>
      </x:c>
      <x:c r="G2320" s="55" t="n">
        <x:v>-84.816102</x:v>
      </x:c>
      <x:c r="H2320" s="43" t="n">
        <x:f>E2320/SUMIF(A:A,A2320,E:E)</x:f>
        <x:v>0.0006797541461600791</x:v>
      </x:c>
    </x:row>
    <x:row r="2321" ht="21.600000381469727" hidden="0" customHeight="1">
      <x:c r="A2321" s="29" t="str">
        <x:v>SCA-23</x:v>
      </x:c>
      <x:c r="B2321" s="29" t="str">
        <x:v>47061</x:v>
      </x:c>
      <x:c r="C2321" s="29" t="str">
        <x:v>TN</x:v>
      </x:c>
      <x:c r="D2321" s="29" t="str">
        <x:v>Grundy County</x:v>
      </x:c>
      <x:c r="E2321" s="41" t="n">
        <x:v>14116</x:v>
      </x:c>
      <x:c r="F2321" s="56" t="n">
        <x:v>35.393352</x:v>
      </x:c>
      <x:c r="G2321" s="56" t="n">
        <x:v>-85.710374</x:v>
      </x:c>
      <x:c r="H2321" s="44" t="n">
        <x:f>E2321/SUMIF(A:A,A2321,E:E)</x:f>
        <x:v>0.0006763999384742476</x:v>
      </x:c>
    </x:row>
    <x:row r="2322" ht="21.600000381469727" hidden="0" customHeight="1">
      <x:c r="A2322" s="27" t="str">
        <x:v>SCA-23</x:v>
      </x:c>
      <x:c r="B2322" s="27" t="str">
        <x:v>37173</x:v>
      </x:c>
      <x:c r="C2322" s="27" t="str">
        <x:v>NC</x:v>
      </x:c>
      <x:c r="D2322" s="27" t="str">
        <x:v>Swain County</x:v>
      </x:c>
      <x:c r="E2322" s="40" t="n">
        <x:v>14024</x:v>
      </x:c>
      <x:c r="F2322" s="55" t="n">
        <x:v>35.568849</x:v>
      </x:c>
      <x:c r="G2322" s="55" t="n">
        <x:v>-83.465614</x:v>
      </x:c>
      <x:c r="H2322" s="43" t="n">
        <x:f>E2322/SUMIF(A:A,A2322,E:E)</x:f>
        <x:v>0.0006719915512300119</x:v>
      </x:c>
    </x:row>
    <x:row r="2323" ht="21.600000381469727" hidden="0" customHeight="1">
      <x:c r="A2323" s="29" t="str">
        <x:v>SCA-23</x:v>
      </x:c>
      <x:c r="B2323" s="29" t="str">
        <x:v>13281</x:v>
      </x:c>
      <x:c r="C2323" s="29" t="str">
        <x:v>GA</x:v>
      </x:c>
      <x:c r="D2323" s="29" t="str">
        <x:v>Towns County</x:v>
      </x:c>
      <x:c r="E2323" s="41" t="n">
        <x:v>13285</x:v>
      </x:c>
      <x:c r="F2323" s="56" t="n">
        <x:v>34.902529</x:v>
      </x:c>
      <x:c r="G2323" s="56" t="n">
        <x:v>-83.732264</x:v>
      </x:c>
      <x:c r="H2323" s="44" t="n">
        <x:f>E2323/SUMIF(A:A,A2323,E:E)</x:f>
        <x:v>0.0006365807015181623</x:v>
      </x:c>
    </x:row>
    <x:row r="2324" ht="21.600000381469727" hidden="0" customHeight="1">
      <x:c r="A2324" s="27" t="str">
        <x:v>SCA-23</x:v>
      </x:c>
      <x:c r="B2324" s="27" t="str">
        <x:v>01041</x:v>
      </x:c>
      <x:c r="C2324" s="27" t="str">
        <x:v>AL</x:v>
      </x:c>
      <x:c r="D2324" s="27" t="str">
        <x:v>Crenshaw County</x:v>
      </x:c>
      <x:c r="E2324" s="40" t="n">
        <x:v>13175</x:v>
      </x:c>
      <x:c r="F2324" s="55" t="n">
        <x:v>31.730311</x:v>
      </x:c>
      <x:c r="G2324" s="55" t="n">
        <x:v>-86.320038</x:v>
      </x:c>
      <x:c r="H2324" s="43" t="n">
        <x:f>E2324/SUMIF(A:A,A2324,E:E)</x:f>
        <x:v>0.0006313098037261415</x:v>
      </x:c>
    </x:row>
    <x:row r="2325" ht="21.600000381469727" hidden="0" customHeight="1">
      <x:c r="A2325" s="29" t="str">
        <x:v>SCA-23</x:v>
      </x:c>
      <x:c r="B2325" s="29" t="str">
        <x:v>13023</x:v>
      </x:c>
      <x:c r="C2325" s="29" t="str">
        <x:v>GA</x:v>
      </x:c>
      <x:c r="D2325" s="29" t="str">
        <x:v>Bleckley County</x:v>
      </x:c>
      <x:c r="E2325" s="41" t="n">
        <x:v>12866</x:v>
      </x:c>
      <x:c r="F2325" s="56" t="n">
        <x:v>32.435403</x:v>
      </x:c>
      <x:c r="G2325" s="56" t="n">
        <x:v>-83.331717</x:v>
      </x:c>
      <x:c r="H2325" s="44" t="n">
        <x:f>E2325/SUMIF(A:A,A2325,E:E)</x:f>
        <x:v>0.0006165033726558281</x:v>
      </x:c>
    </x:row>
    <x:row r="2326" ht="15" hidden="0" customHeight="1">
      <x:c r="A2326" s="27" t="str">
        <x:v>SCA-23</x:v>
      </x:c>
      <x:c r="B2326" s="27" t="str">
        <x:v>37043</x:v>
      </x:c>
      <x:c r="C2326" s="27" t="str">
        <x:v>NC</x:v>
      </x:c>
      <x:c r="D2326" s="27" t="str">
        <x:v>Clay County</x:v>
      </x:c>
      <x:c r="E2326" s="40" t="n">
        <x:v>12239</x:v>
      </x:c>
      <x:c r="F2326" s="55" t="n">
        <x:v>35.052997</x:v>
      </x:c>
      <x:c r="G2326" s="55" t="n">
        <x:v>-83.752264</x:v>
      </x:c>
      <x:c r="H2326" s="43" t="n">
        <x:f>E2326/SUMIF(A:A,A2326,E:E)</x:f>
        <x:v>0.0005864592552413089</x:v>
      </x:c>
    </x:row>
    <x:row r="2327" ht="21.600000381469727" hidden="0" customHeight="1">
      <x:c r="A2327" s="29" t="str">
        <x:v>SCA-23</x:v>
      </x:c>
      <x:c r="B2327" s="29" t="str">
        <x:v>13079</x:v>
      </x:c>
      <x:c r="C2327" s="29" t="str">
        <x:v>GA</x:v>
      </x:c>
      <x:c r="D2327" s="29" t="str">
        <x:v>Crawford County</x:v>
      </x:c>
      <x:c r="E2327" s="41" t="n">
        <x:v>12206</x:v>
      </x:c>
      <x:c r="F2327" s="56" t="n">
        <x:v>32.709448</x:v>
      </x:c>
      <x:c r="G2327" s="56" t="n">
        <x:v>-83.979168</x:v>
      </x:c>
      <x:c r="H2327" s="44" t="n">
        <x:f>E2327/SUMIF(A:A,A2327,E:E)</x:f>
        <x:v>0.0005848779859037026</x:v>
      </x:c>
    </x:row>
    <x:row r="2328" ht="21.600000381469727" hidden="0" customHeight="1">
      <x:c r="A2328" s="27" t="str">
        <x:v>SCA-23</x:v>
      </x:c>
      <x:c r="B2328" s="27" t="str">
        <x:v>13149</x:v>
      </x:c>
      <x:c r="C2328" s="27" t="str">
        <x:v>GA</x:v>
      </x:c>
      <x:c r="D2328" s="27" t="str">
        <x:v>Heard County</x:v>
      </x:c>
      <x:c r="E2328" s="40" t="n">
        <x:v>12149</x:v>
      </x:c>
      <x:c r="F2328" s="55" t="n">
        <x:v>33.291347</x:v>
      </x:c>
      <x:c r="G2328" s="55" t="n">
        <x:v>-85.137886</x:v>
      </x:c>
      <x:c r="H2328" s="43" t="n">
        <x:f>E2328/SUMIF(A:A,A2328,E:E)</x:f>
        <x:v>0.0005821467025023827</x:v>
      </x:c>
    </x:row>
    <x:row r="2329" ht="21.600000381469727" hidden="0" customHeight="1">
      <x:c r="A2329" s="29" t="str">
        <x:v>SCA-23</x:v>
      </x:c>
      <x:c r="B2329" s="29" t="str">
        <x:v>13193</x:v>
      </x:c>
      <x:c r="C2329" s="29" t="str">
        <x:v>GA</x:v>
      </x:c>
      <x:c r="D2329" s="29" t="str">
        <x:v>Macon County</x:v>
      </x:c>
      <x:c r="E2329" s="41" t="n">
        <x:v>11756</x:v>
      </x:c>
      <x:c r="F2329" s="56" t="n">
        <x:v>32.362686</x:v>
      </x:c>
      <x:c r="G2329" s="56" t="n">
        <x:v>-84.051231</x:v>
      </x:c>
      <x:c r="H2329" s="44" t="n">
        <x:f>E2329/SUMIF(A:A,A2329,E:E)</x:f>
        <x:v>0.0005633152222090716</x:v>
      </x:c>
    </x:row>
    <x:row r="2330" ht="21.600000381469727" hidden="0" customHeight="1">
      <x:c r="A2330" s="27" t="str">
        <x:v>SCA-23</x:v>
      </x:c>
      <x:c r="B2330" s="27" t="str">
        <x:v>13093</x:v>
      </x:c>
      <x:c r="C2330" s="27" t="str">
        <x:v>GA</x:v>
      </x:c>
      <x:c r="D2330" s="27" t="str">
        <x:v>Dooly County</x:v>
      </x:c>
      <x:c r="E2330" s="40" t="n">
        <x:v>11156</x:v>
      </x:c>
      <x:c r="F2330" s="55" t="n">
        <x:v>32.151995</x:v>
      </x:c>
      <x:c r="G2330" s="55" t="n">
        <x:v>-83.807167</x:v>
      </x:c>
      <x:c r="H2330" s="43" t="n">
        <x:f>E2330/SUMIF(A:A,A2330,E:E)</x:f>
        <x:v>0.0005345648706162302</x:v>
      </x:c>
    </x:row>
    <x:row r="2331" ht="21.600000381469727" hidden="0" customHeight="1">
      <x:c r="A2331" s="29" t="str">
        <x:v>SCA-23</x:v>
      </x:c>
      <x:c r="B2331" s="29" t="str">
        <x:v>01035</x:v>
      </x:c>
      <x:c r="C2331" s="29" t="str">
        <x:v>AL</x:v>
      </x:c>
      <x:c r="D2331" s="29" t="str">
        <x:v>Conecuh County</x:v>
      </x:c>
      <x:c r="E2331" s="41" t="n">
        <x:v>10899</x:v>
      </x:c>
      <x:c r="F2331" s="56" t="n">
        <x:v>31.430926</x:v>
      </x:c>
      <x:c r="G2331" s="56" t="n">
        <x:v>-86.988722</x:v>
      </x:c>
      <x:c r="H2331" s="44" t="n">
        <x:f>E2331/SUMIF(A:A,A2331,E:E)</x:f>
        <x:v>0.0005222501366839632</x:v>
      </x:c>
    </x:row>
    <x:row r="2332" ht="15" hidden="0" customHeight="1">
      <x:c r="A2332" s="27" t="str">
        <x:v>SCA-23</x:v>
      </x:c>
      <x:c r="B2332" s="27" t="str">
        <x:v>13099</x:v>
      </x:c>
      <x:c r="C2332" s="27" t="str">
        <x:v>GA</x:v>
      </x:c>
      <x:c r="D2332" s="27" t="str">
        <x:v>Early County</x:v>
      </x:c>
      <x:c r="E2332" s="40" t="n">
        <x:v>10455</x:v>
      </x:c>
      <x:c r="F2332" s="55" t="n">
        <x:v>31.324191</x:v>
      </x:c>
      <x:c r="G2332" s="55" t="n">
        <x:v>-84.906723</x:v>
      </x:c>
      <x:c r="H2332" s="43" t="n">
        <x:f>E2332/SUMIF(A:A,A2332,E:E)</x:f>
        <x:v>0.0005009748765052606</x:v>
      </x:c>
    </x:row>
    <x:row r="2333" ht="21.600000381469727" hidden="0" customHeight="1">
      <x:c r="A2333" s="29" t="str">
        <x:v>SCA-23</x:v>
      </x:c>
      <x:c r="B2333" s="29" t="str">
        <x:v>45065</x:v>
      </x:c>
      <x:c r="C2333" s="29" t="str">
        <x:v>SC</x:v>
      </x:c>
      <x:c r="D2333" s="29" t="str">
        <x:v>McCormick County</x:v>
      </x:c>
      <x:c r="E2333" s="41" t="n">
        <x:v>10215</x:v>
      </x:c>
      <x:c r="F2333" s="56" t="n">
        <x:v>33.897599</x:v>
      </x:c>
      <x:c r="G2333" s="56" t="n">
        <x:v>-82.316196</x:v>
      </x:c>
      <x:c r="H2333" s="44" t="n">
        <x:f>E2333/SUMIF(A:A,A2333,E:E)</x:f>
        <x:v>0.0004894747358681241</x:v>
      </x:c>
    </x:row>
    <x:row r="2334" ht="21.600000381469727" hidden="0" customHeight="1">
      <x:c r="A2334" s="27" t="str">
        <x:v>SCA-23</x:v>
      </x:c>
      <x:c r="B2334" s="27" t="str">
        <x:v>13235</x:v>
      </x:c>
      <x:c r="C2334" s="27" t="str">
        <x:v>GA</x:v>
      </x:c>
      <x:c r="D2334" s="27" t="str">
        <x:v>Pulaski County</x:v>
      </x:c>
      <x:c r="E2334" s="40" t="n">
        <x:v>10172</x:v>
      </x:c>
      <x:c r="F2334" s="55" t="n">
        <x:v>32.238803</x:v>
      </x:c>
      <x:c r="G2334" s="55" t="n">
        <x:v>-83.481845</x:v>
      </x:c>
      <x:c r="H2334" s="43" t="n">
        <x:f>E2334/SUMIF(A:A,A2334,E:E)</x:f>
        <x:v>0.0004874142940039704</x:v>
      </x:c>
    </x:row>
    <x:row r="2335" ht="21.600000381469727" hidden="0" customHeight="1">
      <x:c r="A2335" s="29" t="str">
        <x:v>SCA-23</x:v>
      </x:c>
      <x:c r="B2335" s="29" t="str">
        <x:v>01037</x:v>
      </x:c>
      <x:c r="C2335" s="29" t="str">
        <x:v>AL</x:v>
      </x:c>
      <x:c r="D2335" s="29" t="str">
        <x:v>Coosa County</x:v>
      </x:c>
      <x:c r="E2335" s="41" t="n">
        <x:v>10161</x:v>
      </x:c>
      <x:c r="F2335" s="56" t="n">
        <x:v>32.931445</x:v>
      </x:c>
      <x:c r="G2335" s="56" t="n">
        <x:v>-86.243482</x:v>
      </x:c>
      <x:c r="H2335" s="44" t="n">
        <x:f>E2335/SUMIF(A:A,A2335,E:E)</x:f>
        <x:v>0.0004868872042247683</x:v>
      </x:c>
    </x:row>
    <x:row r="2336" ht="21.600000381469727" hidden="0" customHeight="1">
      <x:c r="A2336" s="27" t="str">
        <x:v>SCA-23</x:v>
      </x:c>
      <x:c r="B2336" s="27" t="str">
        <x:v>01011</x:v>
      </x:c>
      <x:c r="C2336" s="27" t="str">
        <x:v>AL</x:v>
      </x:c>
      <x:c r="D2336" s="27" t="str">
        <x:v>Bullock County</x:v>
      </x:c>
      <x:c r="E2336" s="40" t="n">
        <x:v>9780</x:v>
      </x:c>
      <x:c r="F2336" s="55" t="n">
        <x:v>32.101759</x:v>
      </x:c>
      <x:c r="G2336" s="55" t="n">
        <x:v>-85.717261</x:v>
      </x:c>
      <x:c r="H2336" s="43" t="n">
        <x:f>E2336/SUMIF(A:A,A2336,E:E)</x:f>
        <x:v>0.00046863073096331406</x:v>
      </x:c>
    </x:row>
    <x:row r="2337" ht="21.600000381469727" hidden="0" customHeight="1">
      <x:c r="A2337" s="29" t="str">
        <x:v>SCA-23</x:v>
      </x:c>
      <x:c r="B2337" s="29" t="str">
        <x:v>01131</x:v>
      </x:c>
      <x:c r="C2337" s="29" t="str">
        <x:v>AL</x:v>
      </x:c>
      <x:c r="D2337" s="29" t="str">
        <x:v>Wilcox County</x:v>
      </x:c>
      <x:c r="E2337" s="41" t="n">
        <x:v>9666</x:v>
      </x:c>
      <x:c r="F2337" s="56" t="n">
        <x:v>31.990082</x:v>
      </x:c>
      <x:c r="G2337" s="56" t="n">
        <x:v>-87.304935</x:v>
      </x:c>
      <x:c r="H2337" s="44" t="n">
        <x:f>E2337/SUMIF(A:A,A2337,E:E)</x:f>
        <x:v>0.0004631681641606742</x:v>
      </x:c>
    </x:row>
    <x:row r="2338" ht="21.600000381469727" hidden="0" customHeight="1">
      <x:c r="A2338" s="27" t="str">
        <x:v>SCA-23</x:v>
      </x:c>
      <x:c r="B2338" s="27" t="str">
        <x:v>13317</x:v>
      </x:c>
      <x:c r="C2338" s="27" t="str">
        <x:v>GA</x:v>
      </x:c>
      <x:c r="D2338" s="27" t="str">
        <x:v>Wilkes County</x:v>
      </x:c>
      <x:c r="E2338" s="40" t="n">
        <x:v>9540</x:v>
      </x:c>
      <x:c r="F2338" s="55" t="n">
        <x:v>33.779031</x:v>
      </x:c>
      <x:c r="G2338" s="55" t="n">
        <x:v>-82.747921</x:v>
      </x:c>
      <x:c r="H2338" s="43" t="n">
        <x:f>E2338/SUMIF(A:A,A2338,E:E)</x:f>
        <x:v>0.0004571305903261775</x:v>
      </x:c>
    </x:row>
    <x:row r="2339" ht="21.600000381469727" hidden="0" customHeight="1">
      <x:c r="A2339" s="29" t="str">
        <x:v>SCA-23</x:v>
      </x:c>
      <x:c r="B2339" s="29" t="str">
        <x:v>01085</x:v>
      </x:c>
      <x:c r="C2339" s="29" t="str">
        <x:v>AL</x:v>
      </x:c>
      <x:c r="D2339" s="29" t="str">
        <x:v>Lowndes County</x:v>
      </x:c>
      <x:c r="E2339" s="41" t="n">
        <x:v>9359</x:v>
      </x:c>
      <x:c r="F2339" s="56" t="n">
        <x:v>32.147888</x:v>
      </x:c>
      <x:c r="G2339" s="56" t="n">
        <x:v>-86.650586</x:v>
      </x:c>
      <x:c r="H2339" s="44" t="n">
        <x:f>E2339/SUMIF(A:A,A2339,E:E)</x:f>
        <x:v>0.00044845756759567037</x:v>
      </x:c>
    </x:row>
    <x:row r="2340" ht="21.600000381469727" hidden="0" customHeight="1">
      <x:c r="A2340" s="27" t="str">
        <x:v>SCA-23</x:v>
      </x:c>
      <x:c r="B2340" s="27" t="str">
        <x:v>13167</x:v>
      </x:c>
      <x:c r="C2340" s="27" t="str">
        <x:v>GA</x:v>
      </x:c>
      <x:c r="D2340" s="27" t="str">
        <x:v>Johnson County</x:v>
      </x:c>
      <x:c r="E2340" s="40" t="n">
        <x:v>9310</x:v>
      </x:c>
      <x:c r="F2340" s="55" t="n">
        <x:v>32.694584</x:v>
      </x:c>
      <x:c r="G2340" s="55" t="n">
        <x:v>-82.66397</x:v>
      </x:c>
      <x:c r="H2340" s="43" t="n">
        <x:f>E2340/SUMIF(A:A,A2340,E:E)</x:f>
        <x:v>0.00044610962221558833</x:v>
      </x:c>
    </x:row>
    <x:row r="2341" ht="21.600000381469727" hidden="0" customHeight="1">
      <x:c r="A2341" s="29" t="str">
        <x:v>SCA-23</x:v>
      </x:c>
      <x:c r="B2341" s="29" t="str">
        <x:v>13315</x:v>
      </x:c>
      <x:c r="C2341" s="29" t="str">
        <x:v>GA</x:v>
      </x:c>
      <x:c r="D2341" s="29" t="str">
        <x:v>Wilcox County</x:v>
      </x:c>
      <x:c r="E2341" s="41" t="n">
        <x:v>8797</x:v>
      </x:c>
      <x:c r="F2341" s="56" t="n">
        <x:v>31.96272</x:v>
      </x:c>
      <x:c r="G2341" s="56" t="n">
        <x:v>-83.438259</x:v>
      </x:c>
      <x:c r="H2341" s="44" t="n">
        <x:f>E2341/SUMIF(A:A,A2341,E:E)</x:f>
        <x:v>0.00042152807160370897</x:v>
      </x:c>
    </x:row>
    <x:row r="2342" ht="21.600000381469727" hidden="0" customHeight="1">
      <x:c r="A2342" s="27" t="str">
        <x:v>SCA-23</x:v>
      </x:c>
      <x:c r="B2342" s="27" t="str">
        <x:v>13141</x:v>
      </x:c>
      <x:c r="C2342" s="27" t="str">
        <x:v>GA</x:v>
      </x:c>
      <x:c r="D2342" s="27" t="str">
        <x:v>Hancock County</x:v>
      </x:c>
      <x:c r="E2342" s="40" t="n">
        <x:v>8682</x:v>
      </x:c>
      <x:c r="F2342" s="55" t="n">
        <x:v>33.26922</x:v>
      </x:c>
      <x:c r="G2342" s="55" t="n">
        <x:v>-83.000465</x:v>
      </x:c>
      <x:c r="H2342" s="43" t="n">
        <x:f>E2342/SUMIF(A:A,A2342,E:E)</x:f>
        <x:v>0.0004160175875484144</x:v>
      </x:c>
    </x:row>
    <x:row r="2343" ht="21.600000381469727" hidden="0" customHeight="1">
      <x:c r="A2343" s="29" t="str">
        <x:v>SCA-23</x:v>
      </x:c>
      <x:c r="B2343" s="29" t="str">
        <x:v>13273</x:v>
      </x:c>
      <x:c r="C2343" s="29" t="str">
        <x:v>GA</x:v>
      </x:c>
      <x:c r="D2343" s="29" t="str">
        <x:v>Terrell County</x:v>
      </x:c>
      <x:c r="E2343" s="41" t="n">
        <x:v>8656</x:v>
      </x:c>
      <x:c r="F2343" s="56" t="n">
        <x:v>31.777191</x:v>
      </x:c>
      <x:c r="G2343" s="56" t="n">
        <x:v>-84.439446</x:v>
      </x:c>
      <x:c r="H2343" s="44" t="n">
        <x:f>E2343/SUMIF(A:A,A2343,E:E)</x:f>
        <x:v>0.0004147717389793913</x:v>
      </x:c>
    </x:row>
    <x:row r="2344" ht="21.600000381469727" hidden="0" customHeight="1">
      <x:c r="A2344" s="27" t="str">
        <x:v>SCA-23</x:v>
      </x:c>
      <x:c r="B2344" s="27" t="str">
        <x:v>13319</x:v>
      </x:c>
      <x:c r="C2344" s="27" t="str">
        <x:v>GA</x:v>
      </x:c>
      <x:c r="D2344" s="27" t="str">
        <x:v>Wilkinson County</x:v>
      </x:c>
      <x:c r="E2344" s="40" t="n">
        <x:v>8650</x:v>
      </x:c>
      <x:c r="F2344" s="55" t="n">
        <x:v>32.804266</x:v>
      </x:c>
      <x:c r="G2344" s="55" t="n">
        <x:v>-83.175512</x:v>
      </x:c>
      <x:c r="H2344" s="43" t="n">
        <x:f>E2344/SUMIF(A:A,A2344,E:E)</x:f>
        <x:v>0.00041448423546346287</x:v>
      </x:c>
    </x:row>
    <x:row r="2345" ht="21.600000381469727" hidden="0" customHeight="1">
      <x:c r="A2345" s="29" t="str">
        <x:v>SCA-23</x:v>
      </x:c>
      <x:c r="B2345" s="29" t="str">
        <x:v>13053</x:v>
      </x:c>
      <x:c r="C2345" s="29" t="str">
        <x:v>GA</x:v>
      </x:c>
      <x:c r="D2345" s="29" t="str">
        <x:v>Chattahoochee County</x:v>
      </x:c>
      <x:c r="E2345" s="41" t="n">
        <x:v>8465</x:v>
      </x:c>
      <x:c r="F2345" s="56" t="n">
        <x:v>32.347445</x:v>
      </x:c>
      <x:c r="G2345" s="56" t="n">
        <x:v>-84.788021</x:v>
      </x:c>
      <x:c r="H2345" s="44" t="n">
        <x:f>E2345/SUMIF(A:A,A2345,E:E)</x:f>
        <x:v>0.00040561954372233676</x:v>
      </x:c>
    </x:row>
    <x:row r="2346" ht="21.600000381469727" hidden="0" customHeight="1">
      <x:c r="A2346" s="27" t="str">
        <x:v>SCA-23</x:v>
      </x:c>
      <x:c r="B2346" s="27" t="str">
        <x:v>37075</x:v>
      </x:c>
      <x:c r="C2346" s="27" t="str">
        <x:v>NC</x:v>
      </x:c>
      <x:c r="D2346" s="27" t="str">
        <x:v>Graham County</x:v>
      </x:c>
      <x:c r="E2346" s="40" t="n">
        <x:v>8190</x:v>
      </x:c>
      <x:c r="F2346" s="55" t="n">
        <x:v>35.348364</x:v>
      </x:c>
      <x:c r="G2346" s="55" t="n">
        <x:v>-83.830915</x:v>
      </x:c>
      <x:c r="H2346" s="43" t="n">
        <x:f>E2346/SUMIF(A:A,A2346,E:E)</x:f>
        <x:v>0.0003924422992422845</x:v>
      </x:c>
    </x:row>
    <x:row r="2347" ht="21.600000381469727" hidden="0" customHeight="1">
      <x:c r="A2347" s="29" t="str">
        <x:v>SCA-23</x:v>
      </x:c>
      <x:c r="B2347" s="29" t="str">
        <x:v>13181</x:v>
      </x:c>
      <x:c r="C2347" s="29" t="str">
        <x:v>GA</x:v>
      </x:c>
      <x:c r="D2347" s="29" t="str">
        <x:v>Lincoln County</x:v>
      </x:c>
      <x:c r="E2347" s="41" t="n">
        <x:v>8112</x:v>
      </x:c>
      <x:c r="F2347" s="56" t="n">
        <x:v>33.792151</x:v>
      </x:c>
      <x:c r="G2347" s="56" t="n">
        <x:v>-82.448299</x:v>
      </x:c>
      <x:c r="H2347" s="44" t="n">
        <x:f>E2347/SUMIF(A:A,A2347,E:E)</x:f>
        <x:v>0.0003887047535352151</x:v>
      </x:c>
    </x:row>
    <x:row r="2348" ht="21.600000381469727" hidden="0" customHeight="1">
      <x:c r="A2348" s="27" t="str">
        <x:v>SCA-23</x:v>
      </x:c>
      <x:c r="B2348" s="27" t="str">
        <x:v>13269</x:v>
      </x:c>
      <x:c r="C2348" s="27" t="str">
        <x:v>GA</x:v>
      </x:c>
      <x:c r="D2348" s="27" t="str">
        <x:v>Taylor County</x:v>
      </x:c>
      <x:c r="E2348" s="40" t="n">
        <x:v>7818</x:v>
      </x:c>
      <x:c r="F2348" s="55" t="n">
        <x:v>32.554667</x:v>
      </x:c>
      <x:c r="G2348" s="55" t="n">
        <x:v>-84.251426</x:v>
      </x:c>
      <x:c r="H2348" s="43" t="n">
        <x:f>E2348/SUMIF(A:A,A2348,E:E)</x:f>
        <x:v>0.00037461708125472283</x:v>
      </x:c>
    </x:row>
    <x:row r="2349" ht="21.600000381469727" hidden="0" customHeight="1">
      <x:c r="A2349" s="29" t="str">
        <x:v>SCA-23</x:v>
      </x:c>
      <x:c r="B2349" s="29" t="str">
        <x:v>13197</x:v>
      </x:c>
      <x:c r="C2349" s="29" t="str">
        <x:v>GA</x:v>
      </x:c>
      <x:c r="D2349" s="29" t="str">
        <x:v>Marion County</x:v>
      </x:c>
      <x:c r="E2349" s="41" t="n">
        <x:v>7676</x:v>
      </x:c>
      <x:c r="F2349" s="56" t="n">
        <x:v>32.359312</x:v>
      </x:c>
      <x:c r="G2349" s="56" t="n">
        <x:v>-84.528735</x:v>
      </x:c>
      <x:c r="H2349" s="44" t="n">
        <x:f>E2349/SUMIF(A:A,A2349,E:E)</x:f>
        <x:v>0.0003678128313777504</x:v>
      </x:c>
    </x:row>
    <x:row r="2350" ht="21.600000381469727" hidden="0" customHeight="1">
      <x:c r="A2350" s="27" t="str">
        <x:v>SCA-23</x:v>
      </x:c>
      <x:c r="B2350" s="27" t="str">
        <x:v>13289</x:v>
      </x:c>
      <x:c r="C2350" s="27" t="str">
        <x:v>GA</x:v>
      </x:c>
      <x:c r="D2350" s="27" t="str">
        <x:v>Twiggs County</x:v>
      </x:c>
      <x:c r="E2350" s="40" t="n">
        <x:v>7597</x:v>
      </x:c>
      <x:c r="F2350" s="55" t="n">
        <x:v>32.665847</x:v>
      </x:c>
      <x:c r="G2350" s="55" t="n">
        <x:v>-83.425879</x:v>
      </x:c>
      <x:c r="H2350" s="43" t="n">
        <x:f>E2350/SUMIF(A:A,A2350,E:E)</x:f>
        <x:v>0.0003640273684180263</x:v>
      </x:c>
    </x:row>
    <x:row r="2351" ht="15" hidden="0" customHeight="1">
      <x:c r="A2351" s="29" t="str">
        <x:v>SCA-23</x:v>
      </x:c>
      <x:c r="B2351" s="29" t="str">
        <x:v>01105</x:v>
      </x:c>
      <x:c r="C2351" s="29" t="str">
        <x:v>AL</x:v>
      </x:c>
      <x:c r="D2351" s="29" t="str">
        <x:v>Perry County</x:v>
      </x:c>
      <x:c r="E2351" s="41" t="n">
        <x:v>7425</x:v>
      </x:c>
      <x:c r="F2351" s="56" t="n">
        <x:v>32.639005</x:v>
      </x:c>
      <x:c r="G2351" s="56" t="n">
        <x:v>-87.293827</x:v>
      </x:c>
      <x:c r="H2351" s="44" t="n">
        <x:f>E2351/SUMIF(A:A,A2351,E:E)</x:f>
        <x:v>0.0003557856009614118</x:v>
      </x:c>
    </x:row>
    <x:row r="2352" ht="21.600000381469727" hidden="0" customHeight="1">
      <x:c r="A2352" s="27" t="str">
        <x:v>SCA-23</x:v>
      </x:c>
      <x:c r="B2352" s="27" t="str">
        <x:v>47127</x:v>
      </x:c>
      <x:c r="C2352" s="27" t="str">
        <x:v>TN</x:v>
      </x:c>
      <x:c r="D2352" s="27" t="str">
        <x:v>Moore County</x:v>
      </x:c>
      <x:c r="E2352" s="40" t="n">
        <x:v>6920</x:v>
      </x:c>
      <x:c r="F2352" s="55" t="n">
        <x:v>35.288888</x:v>
      </x:c>
      <x:c r="G2352" s="55" t="n">
        <x:v>-86.358684</x:v>
      </x:c>
      <x:c r="H2352" s="43" t="n">
        <x:f>E2352/SUMIF(A:A,A2352,E:E)</x:f>
        <x:v>0.00033158738837077027</x:v>
      </x:c>
    </x:row>
    <x:row r="2353" ht="21.600000381469727" hidden="0" customHeight="1">
      <x:c r="A2353" s="29" t="str">
        <x:v>SCA-23</x:v>
      </x:c>
      <x:c r="B2353" s="29" t="str">
        <x:v>47175</x:v>
      </x:c>
      <x:c r="C2353" s="29" t="str">
        <x:v>TN</x:v>
      </x:c>
      <x:c r="D2353" s="29" t="str">
        <x:v>Van Buren County</x:v>
      </x:c>
      <x:c r="E2353" s="41" t="n">
        <x:v>6874</x:v>
      </x:c>
      <x:c r="F2353" s="56" t="n">
        <x:v>35.699234</x:v>
      </x:c>
      <x:c r="G2353" s="56" t="n">
        <x:v>-85.458409</x:v>
      </x:c>
      <x:c r="H2353" s="44" t="n">
        <x:f>E2353/SUMIF(A:A,A2353,E:E)</x:f>
        <x:v>0.00032938319474865247</x:v>
      </x:c>
    </x:row>
    <x:row r="2354" ht="21.600000381469727" hidden="0" customHeight="1">
      <x:c r="A2354" s="27" t="str">
        <x:v>SCA-23</x:v>
      </x:c>
      <x:c r="B2354" s="27" t="str">
        <x:v>13283</x:v>
      </x:c>
      <x:c r="C2354" s="27" t="str">
        <x:v>GA</x:v>
      </x:c>
      <x:c r="D2354" s="27" t="str">
        <x:v>Treutlen County</x:v>
      </x:c>
      <x:c r="E2354" s="40" t="n">
        <x:v>6466</x:v>
      </x:c>
      <x:c r="F2354" s="55" t="n">
        <x:v>32.409586</x:v>
      </x:c>
      <x:c r="G2354" s="55" t="n">
        <x:v>-82.570882</x:v>
      </x:c>
      <x:c r="H2354" s="43" t="n">
        <x:f>E2354/SUMIF(A:A,A2354,E:E)</x:f>
        <x:v>0.0003098329556655203</x:v>
      </x:c>
    </x:row>
    <x:row r="2355" ht="21.600000381469727" hidden="0" customHeight="1">
      <x:c r="A2355" s="29" t="str">
        <x:v>SCA-23</x:v>
      </x:c>
      <x:c r="B2355" s="29" t="str">
        <x:v>13243</x:v>
      </x:c>
      <x:c r="C2355" s="29" t="str">
        <x:v>GA</x:v>
      </x:c>
      <x:c r="D2355" s="29" t="str">
        <x:v>Randolph County</x:v>
      </x:c>
      <x:c r="E2355" s="41" t="n">
        <x:v>6156</x:v>
      </x:c>
      <x:c r="F2355" s="56" t="n">
        <x:v>31.762651</x:v>
      </x:c>
      <x:c r="G2355" s="56" t="n">
        <x:v>-84.752311</x:v>
      </x:c>
      <x:c r="H2355" s="44" t="n">
        <x:f>E2355/SUMIF(A:A,A2355,E:E)</x:f>
        <x:v>0.0002949786073425523</x:v>
      </x:c>
    </x:row>
    <x:row r="2356" ht="15" hidden="0" customHeight="1">
      <x:c r="A2356" s="27" t="str">
        <x:v>SCA-23</x:v>
      </x:c>
      <x:c r="B2356" s="27" t="str">
        <x:v>13201</x:v>
      </x:c>
      <x:c r="C2356" s="27" t="str">
        <x:v>GA</x:v>
      </x:c>
      <x:c r="D2356" s="27" t="str">
        <x:v>Miller County</x:v>
      </x:c>
      <x:c r="E2356" s="40" t="n">
        <x:v>5812</x:v>
      </x:c>
      <x:c r="F2356" s="55" t="n">
        <x:v>31.162931</x:v>
      </x:c>
      <x:c r="G2356" s="55" t="n">
        <x:v>-84.730398</x:v>
      </x:c>
      <x:c r="H2356" s="43" t="n">
        <x:f>E2356/SUMIF(A:A,A2356,E:E)</x:f>
        <x:v>0.00027849507242932325</x:v>
      </x:c>
    </x:row>
    <x:row r="2357" ht="21.600000381469727" hidden="0" customHeight="1">
      <x:c r="A2357" s="29" t="str">
        <x:v>SCA-23</x:v>
      </x:c>
      <x:c r="B2357" s="29" t="str">
        <x:v>13263</x:v>
      </x:c>
      <x:c r="C2357" s="29" t="str">
        <x:v>GA</x:v>
      </x:c>
      <x:c r="D2357" s="29" t="str">
        <x:v>Talbot County</x:v>
      </x:c>
      <x:c r="E2357" s="41" t="n">
        <x:v>5709</x:v>
      </x:c>
      <x:c r="F2357" s="56" t="n">
        <x:v>32.704603</x:v>
      </x:c>
      <x:c r="G2357" s="56" t="n">
        <x:v>-84.530029</x:v>
      </x:c>
      <x:c r="H2357" s="44" t="n">
        <x:f>E2357/SUMIF(A:A,A2357,E:E)</x:f>
        <x:v>0.0002735595954058855</x:v>
      </x:c>
    </x:row>
    <x:row r="2358" ht="21.600000381469727" hidden="0" customHeight="1">
      <x:c r="A2358" s="27" t="str">
        <x:v>SCA-23</x:v>
      </x:c>
      <x:c r="B2358" s="27" t="str">
        <x:v>13037</x:v>
      </x:c>
      <x:c r="C2358" s="27" t="str">
        <x:v>GA</x:v>
      </x:c>
      <x:c r="D2358" s="27" t="str">
        <x:v>Calhoun County</x:v>
      </x:c>
      <x:c r="E2358" s="40" t="n">
        <x:v>5413</x:v>
      </x:c>
      <x:c r="F2358" s="55" t="n">
        <x:v>31.521279</x:v>
      </x:c>
      <x:c r="G2358" s="55" t="n">
        <x:v>-84.62629</x:v>
      </x:c>
      <x:c r="H2358" s="43" t="n">
        <x:f>E2358/SUMIF(A:A,A2358,E:E)</x:f>
        <x:v>0.00025937608862008373</x:v>
      </x:c>
    </x:row>
    <x:row r="2359" ht="21.600000381469727" hidden="0" customHeight="1">
      <x:c r="A2359" s="29" t="str">
        <x:v>SCA-23</x:v>
      </x:c>
      <x:c r="B2359" s="29" t="str">
        <x:v>13301</x:v>
      </x:c>
      <x:c r="C2359" s="29" t="str">
        <x:v>GA</x:v>
      </x:c>
      <x:c r="D2359" s="29" t="str">
        <x:v>Warren County</x:v>
      </x:c>
      <x:c r="E2359" s="41" t="n">
        <x:v>5269</x:v>
      </x:c>
      <x:c r="F2359" s="56" t="n">
        <x:v>33.408381</x:v>
      </x:c>
      <x:c r="G2359" s="56" t="n">
        <x:v>-82.675685</x:v>
      </x:c>
      <x:c r="H2359" s="44" t="n">
        <x:f>E2359/SUMIF(A:A,A2359,E:E)</x:f>
        <x:v>0.0002524760042378018</x:v>
      </x:c>
    </x:row>
    <x:row r="2360" ht="21.600000381469727" hidden="0" customHeight="1">
      <x:c r="A2360" s="27" t="str">
        <x:v>SCA-23</x:v>
      </x:c>
      <x:c r="B2360" s="27" t="str">
        <x:v>13259</x:v>
      </x:c>
      <x:c r="C2360" s="27" t="str">
        <x:v>GA</x:v>
      </x:c>
      <x:c r="D2360" s="27" t="str">
        <x:v>Stewart County</x:v>
      </x:c>
      <x:c r="E2360" s="40" t="n">
        <x:v>4631</x:v>
      </x:c>
      <x:c r="F2360" s="55" t="n">
        <x:v>32.073225</x:v>
      </x:c>
      <x:c r="G2360" s="55" t="n">
        <x:v>-84.834912</x:v>
      </x:c>
      <x:c r="H2360" s="43" t="n">
        <x:f>E2360/SUMIF(A:A,A2360,E:E)</x:f>
        <x:v>0.0002219047970440805</x:v>
      </x:c>
    </x:row>
    <x:row r="2361" ht="21.600000381469727" hidden="0" customHeight="1">
      <x:c r="A2361" s="29" t="str">
        <x:v>SCA-23</x:v>
      </x:c>
      <x:c r="B2361" s="29" t="str">
        <x:v>13249</x:v>
      </x:c>
      <x:c r="C2361" s="29" t="str">
        <x:v>GA</x:v>
      </x:c>
      <x:c r="D2361" s="29" t="str">
        <x:v>Schley County</x:v>
      </x:c>
      <x:c r="E2361" s="41" t="n">
        <x:v>4593</x:v>
      </x:c>
      <x:c r="F2361" s="56" t="n">
        <x:v>32.263444</x:v>
      </x:c>
      <x:c r="G2361" s="56" t="n">
        <x:v>-84.322708</x:v>
      </x:c>
      <x:c r="H2361" s="44" t="n">
        <x:f>E2361/SUMIF(A:A,A2361,E:E)</x:f>
        <x:v>0.00022008394144320056</x:v>
      </x:c>
    </x:row>
    <x:row r="2362" ht="21.600000381469727" hidden="0" customHeight="1">
      <x:c r="A2362" s="27" t="str">
        <x:v>SCA-23</x:v>
      </x:c>
      <x:c r="B2362" s="27" t="str">
        <x:v>13125</x:v>
      </x:c>
      <x:c r="C2362" s="27" t="str">
        <x:v>GA</x:v>
      </x:c>
      <x:c r="D2362" s="27" t="str">
        <x:v>Glascock County</x:v>
      </x:c>
      <x:c r="E2362" s="40" t="n">
        <x:v>3141</x:v>
      </x:c>
      <x:c r="F2362" s="55" t="n">
        <x:v>33.227491</x:v>
      </x:c>
      <x:c r="G2362" s="55" t="n">
        <x:v>-82.606913</x:v>
      </x:c>
      <x:c r="H2362" s="43" t="n">
        <x:f>E2362/SUMIF(A:A,A2362,E:E)</x:f>
        <x:v>0.0001505080905885245</x:v>
      </x:c>
    </x:row>
    <x:row r="2363" ht="15" hidden="0" customHeight="1">
      <x:c r="A2363" s="29" t="str">
        <x:v>SCA-23</x:v>
      </x:c>
      <x:c r="B2363" s="29" t="str">
        <x:v>13061</x:v>
      </x:c>
      <x:c r="C2363" s="29" t="str">
        <x:v>GA</x:v>
      </x:c>
      <x:c r="D2363" s="29" t="str">
        <x:v>Clay County</x:v>
      </x:c>
      <x:c r="E2363" s="41" t="n">
        <x:v>2815</x:v>
      </x:c>
      <x:c r="F2363" s="56" t="n">
        <x:v>31.619831</x:v>
      </x:c>
      <x:c r="G2363" s="56" t="n">
        <x:v>-84.992583</x:v>
      </x:c>
      <x:c r="H2363" s="44" t="n">
        <x:f>E2363/SUMIF(A:A,A2363,E:E)</x:f>
        <x:v>0.0001348870662230807</x:v>
      </x:c>
    </x:row>
    <x:row r="2364" ht="21.600000381469727" hidden="0" customHeight="1">
      <x:c r="A2364" s="27" t="str">
        <x:v>SCA-23</x:v>
      </x:c>
      <x:c r="B2364" s="27" t="str">
        <x:v>13007</x:v>
      </x:c>
      <x:c r="C2364" s="27" t="str">
        <x:v>GA</x:v>
      </x:c>
      <x:c r="D2364" s="27" t="str">
        <x:v>Baker County</x:v>
      </x:c>
      <x:c r="E2364" s="40" t="n">
        <x:v>2725</x:v>
      </x:c>
      <x:c r="F2364" s="55" t="n">
        <x:v>31.31958</x:v>
      </x:c>
      <x:c r="G2364" s="55" t="n">
        <x:v>-84.454881</x:v>
      </x:c>
      <x:c r="H2364" s="43" t="n">
        <x:f>E2364/SUMIF(A:A,A2364,E:E)</x:f>
        <x:v>0.00013057451348415448</x:v>
      </x:c>
    </x:row>
    <x:row r="2365" ht="21.600000381469727" hidden="0" customHeight="1">
      <x:c r="A2365" s="29" t="str">
        <x:v>SCA-23</x:v>
      </x:c>
      <x:c r="B2365" s="29" t="str">
        <x:v>13307</x:v>
      </x:c>
      <x:c r="C2365" s="29" t="str">
        <x:v>GA</x:v>
      </x:c>
      <x:c r="D2365" s="29" t="str">
        <x:v>Webster County</x:v>
      </x:c>
      <x:c r="E2365" s="41" t="n">
        <x:v>2369</x:v>
      </x:c>
      <x:c r="F2365" s="56" t="n">
        <x:v>32.046691</x:v>
      </x:c>
      <x:c r="G2365" s="56" t="n">
        <x:v>-84.553828</x:v>
      </x:c>
      <x:c r="H2365" s="44" t="n">
        <x:f>E2365/SUMIF(A:A,A2365,E:E)</x:f>
        <x:v>0.00011351597153906861</x:v>
      </x:c>
    </x:row>
    <x:row r="2366" ht="21.600000381469727" hidden="0" customHeight="1">
      <x:c r="A2366" s="27" t="str">
        <x:v>SCA-23</x:v>
      </x:c>
      <x:c r="B2366" s="27" t="str">
        <x:v>13239</x:v>
      </x:c>
      <x:c r="C2366" s="27" t="str">
        <x:v>GA</x:v>
      </x:c>
      <x:c r="D2366" s="27" t="str">
        <x:v>Quitman County</x:v>
      </x:c>
      <x:c r="E2366" s="40" t="n">
        <x:v>2254</x:v>
      </x:c>
      <x:c r="F2366" s="55" t="n">
        <x:v>31.862938</x:v>
      </x:c>
      <x:c r="G2366" s="55" t="n">
        <x:v>-85.004798</x:v>
      </x:c>
      <x:c r="H2366" s="43" t="n">
        <x:f>E2366/SUMIF(A:A,A2366,E:E)</x:f>
        <x:v>0.00010800548748377402</x:v>
      </x:c>
    </x:row>
    <x:row r="2367" ht="21.600000381469727" hidden="0" customHeight="1">
      <x:c r="A2367" s="29" t="str">
        <x:v>SCA-23</x:v>
      </x:c>
      <x:c r="B2367" s="29" t="str">
        <x:v>13265</x:v>
      </x:c>
      <x:c r="C2367" s="29" t="str">
        <x:v>GA</x:v>
      </x:c>
      <x:c r="D2367" s="29" t="str">
        <x:v>Taliaferro County</x:v>
      </x:c>
      <x:c r="E2367" s="41" t="n">
        <x:v>1662</x:v>
      </x:c>
      <x:c r="F2367" s="56" t="n">
        <x:v>33.559319</x:v>
      </x:c>
      <x:c r="G2367" s="56" t="n">
        <x:v>-82.875272</x:v>
      </x:c>
      <x:c r="H2367" s="44" t="n">
        <x:f>E2367/SUMIF(A:A,A2367,E:E)</x:f>
        <x:v>0.00007963847391217055</x:v>
      </x:c>
    </x:row>
    <x:row r="2368" ht="21.600000381469727" hidden="0" customHeight="1">
      <x:c r="A2368" s="27" t="str">
        <x:v>SCA-24</x:v>
      </x:c>
      <x:c r="B2368" s="27" t="str">
        <x:v>26163</x:v>
      </x:c>
      <x:c r="C2368" s="27" t="str">
        <x:v>MI</x:v>
      </x:c>
      <x:c r="D2368" s="27" t="str">
        <x:v>Wayne County</x:v>
      </x:c>
      <x:c r="E2368" s="40" t="n">
        <x:v>1769038</x:v>
      </x:c>
      <x:c r="F2368" s="55" t="n">
        <x:v>42.284664</x:v>
      </x:c>
      <x:c r="G2368" s="55" t="n">
        <x:v>-83.261953</x:v>
      </x:c>
      <x:c r="H2368" s="43" t="n">
        <x:f>E2368/SUMIF(A:A,A2368,E:E)</x:f>
        <x:v>0.14971343061422404</x:v>
      </x:c>
    </x:row>
    <x:row r="2369" ht="21.600000381469727" hidden="0" customHeight="1">
      <x:c r="A2369" s="29" t="str">
        <x:v>SCA-24</x:v>
      </x:c>
      <x:c r="B2369" s="29" t="str">
        <x:v>26125</x:v>
      </x:c>
      <x:c r="C2369" s="29" t="str">
        <x:v>MI</x:v>
      </x:c>
      <x:c r="D2369" s="29" t="str">
        <x:v>Oakland County</x:v>
      </x:c>
      <x:c r="E2369" s="41" t="n">
        <x:v>1288337</x:v>
      </x:c>
      <x:c r="F2369" s="56" t="n">
        <x:v>42.660452</x:v>
      </x:c>
      <x:c r="G2369" s="56" t="n">
        <x:v>-83.38421</x:v>
      </x:c>
      <x:c r="H2369" s="44" t="n">
        <x:f>E2369/SUMIF(A:A,A2369,E:E)</x:f>
        <x:v>0.10903177436394104</x:v>
      </x:c>
    </x:row>
    <x:row r="2370" ht="21.600000381469727" hidden="0" customHeight="1">
      <x:c r="A2370" s="27" t="str">
        <x:v>SCA-24</x:v>
      </x:c>
      <x:c r="B2370" s="27" t="str">
        <x:v>26099</x:v>
      </x:c>
      <x:c r="C2370" s="27" t="str">
        <x:v>MI</x:v>
      </x:c>
      <x:c r="D2370" s="27" t="str">
        <x:v>Macomb County</x:v>
      </x:c>
      <x:c r="E2370" s="40" t="n">
        <x:v>886221</x:v>
      </x:c>
      <x:c r="F2370" s="55" t="n">
        <x:v>42.671553</x:v>
      </x:c>
      <x:c r="G2370" s="55" t="n">
        <x:v>-82.911456</x:v>
      </x:c>
      <x:c r="H2370" s="43" t="n">
        <x:f>E2370/SUMIF(A:A,A2370,E:E)</x:f>
        <x:v>0.07500075532146185</x:v>
      </x:c>
    </x:row>
    <x:row r="2371" ht="15" hidden="0" customHeight="1">
      <x:c r="A2371" s="29" t="str">
        <x:v>SCA-24</x:v>
      </x:c>
      <x:c r="B2371" s="29" t="str">
        <x:v>26081</x:v>
      </x:c>
      <x:c r="C2371" s="29" t="str">
        <x:v>MI</x:v>
      </x:c>
      <x:c r="D2371" s="29" t="str">
        <x:v>Kent County</x:v>
      </x:c>
      <x:c r="E2371" s="41" t="n">
        <x:v>675232</x:v>
      </x:c>
      <x:c r="F2371" s="56" t="n">
        <x:v>43.032497</x:v>
      </x:c>
      <x:c r="G2371" s="56" t="n">
        <x:v>-85.547446</x:v>
      </x:c>
      <x:c r="H2371" s="44" t="n">
        <x:f>E2371/SUMIF(A:A,A2371,E:E)</x:f>
        <x:v>0.05714478670356641</x:v>
      </x:c>
    </x:row>
    <x:row r="2372" ht="21.600000381469727" hidden="0" customHeight="1">
      <x:c r="A2372" s="27" t="str">
        <x:v>SCA-24</x:v>
      </x:c>
      <x:c r="B2372" s="27" t="str">
        <x:v>39095</x:v>
      </x:c>
      <x:c r="C2372" s="27" t="str">
        <x:v>OH</x:v>
      </x:c>
      <x:c r="D2372" s="27" t="str">
        <x:v>Lucas County</x:v>
      </x:c>
      <x:c r="E2372" s="40" t="n">
        <x:v>423347</x:v>
      </x:c>
      <x:c r="F2372" s="55" t="n">
        <x:v>41.682321</x:v>
      </x:c>
      <x:c r="G2372" s="55" t="n">
        <x:v>-83.468903</x:v>
      </x:c>
      <x:c r="H2372" s="43" t="n">
        <x:f>E2372/SUMIF(A:A,A2372,E:E)</x:f>
        <x:v>0.035827795508202705</x:v>
      </x:c>
    </x:row>
    <x:row r="2373" ht="15" hidden="0" customHeight="1">
      <x:c r="A2373" s="29" t="str">
        <x:v>SCA-24</x:v>
      </x:c>
      <x:c r="B2373" s="29" t="str">
        <x:v>18003</x:v>
      </x:c>
      <x:c r="C2373" s="29" t="str">
        <x:v>IN</x:v>
      </x:c>
      <x:c r="D2373" s="29" t="str">
        <x:v>Allen County</x:v>
      </x:c>
      <x:c r="E2373" s="41" t="n">
        <x:v>402329</x:v>
      </x:c>
      <x:c r="F2373" s="56" t="n">
        <x:v>41.091909</x:v>
      </x:c>
      <x:c r="G2373" s="56" t="n">
        <x:v>-85.071791</x:v>
      </x:c>
      <x:c r="H2373" s="44" t="n">
        <x:f>E2373/SUMIF(A:A,A2373,E:E)</x:f>
        <x:v>0.03404904520173684</x:v>
      </x:c>
    </x:row>
    <x:row r="2374" ht="21.600000381469727" hidden="0" customHeight="1">
      <x:c r="A2374" s="27" t="str">
        <x:v>SCA-24</x:v>
      </x:c>
      <x:c r="B2374" s="27" t="str">
        <x:v>26049</x:v>
      </x:c>
      <x:c r="C2374" s="27" t="str">
        <x:v>MI</x:v>
      </x:c>
      <x:c r="D2374" s="27" t="str">
        <x:v>Genesee County</x:v>
      </x:c>
      <x:c r="E2374" s="40" t="n">
        <x:v>401093</x:v>
      </x:c>
      <x:c r="F2374" s="55" t="n">
        <x:v>43.021077</x:v>
      </x:c>
      <x:c r="G2374" s="55" t="n">
        <x:v>-83.706372</x:v>
      </x:c>
      <x:c r="H2374" s="43" t="n">
        <x:f>E2374/SUMIF(A:A,A2374,E:E)</x:f>
        <x:v>0.033944442700129085</x:v>
      </x:c>
    </x:row>
    <x:row r="2375" ht="21.600000381469727" hidden="0" customHeight="1">
      <x:c r="A2375" s="29" t="str">
        <x:v>SCA-24</x:v>
      </x:c>
      <x:c r="B2375" s="29" t="str">
        <x:v>26161</x:v>
      </x:c>
      <x:c r="C2375" s="29" t="str">
        <x:v>MI</x:v>
      </x:c>
      <x:c r="D2375" s="29" t="str">
        <x:v>Washtenaw County</x:v>
      </x:c>
      <x:c r="E2375" s="41" t="n">
        <x:v>370214</x:v>
      </x:c>
      <x:c r="F2375" s="56" t="n">
        <x:v>42.252217</x:v>
      </x:c>
      <x:c r="G2375" s="56" t="n">
        <x:v>-83.843423</x:v>
      </x:c>
      <x:c r="H2375" s="44" t="n">
        <x:f>E2375/SUMIF(A:A,A2375,E:E)</x:f>
        <x:v>0.03133115738690426</x:v>
      </x:c>
    </x:row>
    <x:row r="2376" ht="21.600000381469727" hidden="0" customHeight="1">
      <x:c r="A2376" s="27" t="str">
        <x:v>SCA-24</x:v>
      </x:c>
      <x:c r="B2376" s="27" t="str">
        <x:v>39093</x:v>
      </x:c>
      <x:c r="C2376" s="27" t="str">
        <x:v>OH</x:v>
      </x:c>
      <x:c r="D2376" s="27" t="str">
        <x:v>Lorain County</x:v>
      </x:c>
      <x:c r="E2376" s="40" t="n">
        <x:v>323219</x:v>
      </x:c>
      <x:c r="F2376" s="55" t="n">
        <x:v>41.438805</x:v>
      </x:c>
      <x:c r="G2376" s="55" t="n">
        <x:v>-82.179722</x:v>
      </x:c>
      <x:c r="H2376" s="43" t="n">
        <x:f>E2376/SUMIF(A:A,A2376,E:E)</x:f>
        <x:v>0.02735397731970646</x:v>
      </x:c>
    </x:row>
    <x:row r="2377" ht="21.600000381469727" hidden="0" customHeight="1">
      <x:c r="A2377" s="29" t="str">
        <x:v>SCA-24</x:v>
      </x:c>
      <x:c r="B2377" s="29" t="str">
        <x:v>26065</x:v>
      </x:c>
      <x:c r="C2377" s="29" t="str">
        <x:v>MI</x:v>
      </x:c>
      <x:c r="D2377" s="29" t="str">
        <x:v>Ingham County</x:v>
      </x:c>
      <x:c r="E2377" s="41" t="n">
        <x:v>289709</x:v>
      </x:c>
      <x:c r="F2377" s="56" t="n">
        <x:v>42.603534</x:v>
      </x:c>
      <x:c r="G2377" s="56" t="n">
        <x:v>-84.373811</x:v>
      </x:c>
      <x:c r="H2377" s="44" t="n">
        <x:f>E2377/SUMIF(A:A,A2377,E:E)</x:f>
        <x:v>0.024518030856214637</x:v>
      </x:c>
    </x:row>
    <x:row r="2378" ht="21.600000381469727" hidden="0" customHeight="1">
      <x:c r="A2378" s="27" t="str">
        <x:v>SCA-24</x:v>
      </x:c>
      <x:c r="B2378" s="27" t="str">
        <x:v>26077</x:v>
      </x:c>
      <x:c r="C2378" s="27" t="str">
        <x:v>MI</x:v>
      </x:c>
      <x:c r="D2378" s="27" t="str">
        <x:v>Kalamazoo County</x:v>
      </x:c>
      <x:c r="E2378" s="40" t="n">
        <x:v>263795</x:v>
      </x:c>
      <x:c r="F2378" s="55" t="n">
        <x:v>42.246266</x:v>
      </x:c>
      <x:c r="G2378" s="55" t="n">
        <x:v>-85.532854</x:v>
      </x:c>
      <x:c r="H2378" s="43" t="n">
        <x:f>E2378/SUMIF(A:A,A2378,E:E)</x:f>
        <x:v>0.022324932776389896</x:v>
      </x:c>
    </x:row>
    <x:row r="2379" ht="21.600000381469727" hidden="0" customHeight="1">
      <x:c r="A2379" s="29" t="str">
        <x:v>SCA-24</x:v>
      </x:c>
      <x:c r="B2379" s="29" t="str">
        <x:v>39041</x:v>
      </x:c>
      <x:c r="C2379" s="29" t="str">
        <x:v>OH</x:v>
      </x:c>
      <x:c r="D2379" s="29" t="str">
        <x:v>Delaware County</x:v>
      </x:c>
      <x:c r="E2379" s="41" t="n">
        <x:v>242032</x:v>
      </x:c>
      <x:c r="F2379" s="56" t="n">
        <x:v>40.278941</x:v>
      </x:c>
      <x:c r="G2379" s="56" t="n">
        <x:v>-83.007462</x:v>
      </x:c>
      <x:c r="H2379" s="44" t="n">
        <x:f>E2379/SUMIF(A:A,A2379,E:E)</x:f>
        <x:v>0.0204831332274501</x:v>
      </x:c>
    </x:row>
    <x:row r="2380" ht="21.600000381469727" hidden="0" customHeight="1">
      <x:c r="A2380" s="27" t="str">
        <x:v>SCA-24</x:v>
      </x:c>
      <x:c r="B2380" s="27" t="str">
        <x:v>26093</x:v>
      </x:c>
      <x:c r="C2380" s="27" t="str">
        <x:v>MI</x:v>
      </x:c>
      <x:c r="D2380" s="27" t="str">
        <x:v>Livingston County</x:v>
      </x:c>
      <x:c r="E2380" s="40" t="n">
        <x:v>197315</x:v>
      </x:c>
      <x:c r="F2380" s="55" t="n">
        <x:v>42.602532</x:v>
      </x:c>
      <x:c r="G2380" s="55" t="n">
        <x:v>-83.911718</x:v>
      </x:c>
      <x:c r="H2380" s="43" t="n">
        <x:f>E2380/SUMIF(A:A,A2380,E:E)</x:f>
        <x:v>0.01669873997146789</x:v>
      </x:c>
    </x:row>
    <x:row r="2381" ht="21.600000381469727" hidden="0" customHeight="1">
      <x:c r="A2381" s="29" t="str">
        <x:v>SCA-24</x:v>
      </x:c>
      <x:c r="B2381" s="29" t="str">
        <x:v>26145</x:v>
      </x:c>
      <x:c r="C2381" s="29" t="str">
        <x:v>MI</x:v>
      </x:c>
      <x:c r="D2381" s="29" t="str">
        <x:v>Saginaw County</x:v>
      </x:c>
      <x:c r="E2381" s="41" t="n">
        <x:v>187688</x:v>
      </x:c>
      <x:c r="F2381" s="56" t="n">
        <x:v>43.328267</x:v>
      </x:c>
      <x:c r="G2381" s="56" t="n">
        <x:v>-84.05541</x:v>
      </x:c>
      <x:c r="H2381" s="44" t="n">
        <x:f>E2381/SUMIF(A:A,A2381,E:E)</x:f>
        <x:v>0.01588400835093564</x:v>
      </x:c>
    </x:row>
    <x:row r="2382" ht="21.600000381469727" hidden="0" customHeight="1">
      <x:c r="A2382" s="27" t="str">
        <x:v>SCA-24</x:v>
      </x:c>
      <x:c r="B2382" s="27" t="str">
        <x:v>26147</x:v>
      </x:c>
      <x:c r="C2382" s="27" t="str">
        <x:v>MI</x:v>
      </x:c>
      <x:c r="D2382" s="27" t="str">
        <x:v>St. Clair County</x:v>
      </x:c>
      <x:c r="E2382" s="40" t="n">
        <x:v>160486</x:v>
      </x:c>
      <x:c r="F2382" s="55" t="n">
        <x:v>42.928803</x:v>
      </x:c>
      <x:c r="G2382" s="55" t="n">
        <x:v>-82.668913</x:v>
      </x:c>
      <x:c r="H2382" s="43" t="n">
        <x:f>E2382/SUMIF(A:A,A2382,E:E)</x:f>
        <x:v>0.013581907017008316</x:v>
      </x:c>
    </x:row>
    <x:row r="2383" ht="21.600000381469727" hidden="0" customHeight="1">
      <x:c r="A2383" s="29" t="str">
        <x:v>SCA-24</x:v>
      </x:c>
      <x:c r="B2383" s="29" t="str">
        <x:v>26075</x:v>
      </x:c>
      <x:c r="C2383" s="29" t="str">
        <x:v>MI</x:v>
      </x:c>
      <x:c r="D2383" s="29" t="str">
        <x:v>Jackson County</x:v>
      </x:c>
      <x:c r="E2383" s="41" t="n">
        <x:v>159552</x:v>
      </x:c>
      <x:c r="F2383" s="56" t="n">
        <x:v>42.248474</x:v>
      </x:c>
      <x:c r="G2383" s="56" t="n">
        <x:v>-84.420868</x:v>
      </x:c>
      <x:c r="H2383" s="44" t="n">
        <x:f>E2383/SUMIF(A:A,A2383,E:E)</x:f>
        <x:v>0.013502862731812811</x:v>
      </x:c>
    </x:row>
    <x:row r="2384" ht="21.600000381469727" hidden="0" customHeight="1">
      <x:c r="A2384" s="27" t="str">
        <x:v>SCA-24</x:v>
      </x:c>
      <x:c r="B2384" s="27" t="str">
        <x:v>26115</x:v>
      </x:c>
      <x:c r="C2384" s="27" t="str">
        <x:v>MI</x:v>
      </x:c>
      <x:c r="D2384" s="27" t="str">
        <x:v>Monroe County</x:v>
      </x:c>
      <x:c r="E2384" s="40" t="n">
        <x:v>156004</x:v>
      </x:c>
      <x:c r="F2384" s="55" t="n">
        <x:v>41.916097</x:v>
      </x:c>
      <x:c r="G2384" s="55" t="n">
        <x:v>-83.487106</x:v>
      </x:c>
      <x:c r="H2384" s="43" t="n">
        <x:f>E2384/SUMIF(A:A,A2384,E:E)</x:f>
        <x:v>0.013202596003896698</x:v>
      </x:c>
    </x:row>
    <x:row r="2385" ht="21.600000381469727" hidden="0" customHeight="1">
      <x:c r="A2385" s="29" t="str">
        <x:v>SCA-24</x:v>
      </x:c>
      <x:c r="B2385" s="29" t="str">
        <x:v>39173</x:v>
      </x:c>
      <x:c r="C2385" s="29" t="str">
        <x:v>OH</x:v>
      </x:c>
      <x:c r="D2385" s="29" t="str">
        <x:v>Wood County</x:v>
      </x:c>
      <x:c r="E2385" s="41" t="n">
        <x:v>134176</x:v>
      </x:c>
      <x:c r="F2385" s="56" t="n">
        <x:v>41.360183</x:v>
      </x:c>
      <x:c r="G2385" s="56" t="n">
        <x:v>-83.622682</x:v>
      </x:c>
      <x:c r="H2385" s="44" t="n">
        <x:f>E2385/SUMIF(A:A,A2385,E:E)</x:f>
        <x:v>0.01135529551433837</x:v>
      </x:c>
    </x:row>
    <x:row r="2386" ht="21.600000381469727" hidden="0" customHeight="1">
      <x:c r="A2386" s="27" t="str">
        <x:v>SCA-24</x:v>
      </x:c>
      <x:c r="B2386" s="27" t="str">
        <x:v>26025</x:v>
      </x:c>
      <x:c r="C2386" s="27" t="str">
        <x:v>MI</x:v>
      </x:c>
      <x:c r="D2386" s="27" t="str">
        <x:v>Calhoun County</x:v>
      </x:c>
      <x:c r="E2386" s="40" t="n">
        <x:v>133408</x:v>
      </x:c>
      <x:c r="F2386" s="55" t="n">
        <x:v>42.24299</x:v>
      </x:c>
      <x:c r="G2386" s="55" t="n">
        <x:v>-85.012385</x:v>
      </x:c>
      <x:c r="H2386" s="43" t="n">
        <x:f>E2386/SUMIF(A:A,A2386,E:E)</x:f>
        <x:v>0.011290299785184038</x:v>
      </x:c>
    </x:row>
    <x:row r="2387" ht="21.600000381469727" hidden="0" customHeight="1">
      <x:c r="A2387" s="29" t="str">
        <x:v>SCA-24</x:v>
      </x:c>
      <x:c r="B2387" s="29" t="str">
        <x:v>39139</x:v>
      </x:c>
      <x:c r="C2387" s="29" t="str">
        <x:v>OH</x:v>
      </x:c>
      <x:c r="D2387" s="29" t="str">
        <x:v>Richland County</x:v>
      </x:c>
      <x:c r="E2387" s="41" t="n">
        <x:v>124893</x:v>
      </x:c>
      <x:c r="F2387" s="56" t="n">
        <x:v>40.774159</x:v>
      </x:c>
      <x:c r="G2387" s="56" t="n">
        <x:v>-82.542781</x:v>
      </x:c>
      <x:c r="H2387" s="44" t="n">
        <x:f>E2387/SUMIF(A:A,A2387,E:E)</x:f>
        <x:v>0.010569676564156498</x:v>
      </x:c>
    </x:row>
    <x:row r="2388" ht="21.600000381469727" hidden="0" customHeight="1">
      <x:c r="A2388" s="27" t="str">
        <x:v>SCA-24</x:v>
      </x:c>
      <x:c r="B2388" s="27" t="str">
        <x:v>26045</x:v>
      </x:c>
      <x:c r="C2388" s="27" t="str">
        <x:v>MI</x:v>
      </x:c>
      <x:c r="D2388" s="27" t="str">
        <x:v>Eaton County</x:v>
      </x:c>
      <x:c r="E2388" s="40" t="n">
        <x:v>109581</x:v>
      </x:c>
      <x:c r="F2388" s="55" t="n">
        <x:v>42.58953</x:v>
      </x:c>
      <x:c r="G2388" s="55" t="n">
        <x:v>-84.84645</x:v>
      </x:c>
      <x:c r="H2388" s="43" t="n">
        <x:f>E2388/SUMIF(A:A,A2388,E:E)</x:f>
        <x:v>0.00927382421414197</x:v>
      </x:c>
    </x:row>
    <x:row r="2389" ht="15" hidden="0" customHeight="1">
      <x:c r="A2389" s="29" t="str">
        <x:v>SCA-24</x:v>
      </x:c>
      <x:c r="B2389" s="29" t="str">
        <x:v>26017</x:v>
      </x:c>
      <x:c r="C2389" s="29" t="str">
        <x:v>MI</x:v>
      </x:c>
      <x:c r="D2389" s="29" t="str">
        <x:v>Bay County</x:v>
      </x:c>
      <x:c r="E2389" s="41" t="n">
        <x:v>102123</x:v>
      </x:c>
      <x:c r="F2389" s="56" t="n">
        <x:v>43.699711</x:v>
      </x:c>
      <x:c r="G2389" s="56" t="n">
        <x:v>-83.978701</x:v>
      </x:c>
      <x:c r="H2389" s="44" t="n">
        <x:f>E2389/SUMIF(A:A,A2389,E:E)</x:f>
        <x:v>0.008642654750557309</x:v>
      </x:c>
    </x:row>
    <x:row r="2390" ht="15" hidden="0" customHeight="1">
      <x:c r="A2390" s="27" t="str">
        <x:v>SCA-24</x:v>
      </x:c>
      <x:c r="B2390" s="27" t="str">
        <x:v>39003</x:v>
      </x:c>
      <x:c r="C2390" s="27" t="str">
        <x:v>OH</x:v>
      </x:c>
      <x:c r="D2390" s="27" t="str">
        <x:v>Allen County</x:v>
      </x:c>
      <x:c r="E2390" s="40" t="n">
        <x:v>100881</x:v>
      </x:c>
      <x:c r="F2390" s="55" t="n">
        <x:v>40.771627</x:v>
      </x:c>
      <x:c r="G2390" s="55" t="n">
        <x:v>-84.106103</x:v>
      </x:c>
      <x:c r="H2390" s="43" t="n">
        <x:f>E2390/SUMIF(A:A,A2390,E:E)</x:f>
        <x:v>0.008537544469815535</x:v>
      </x:c>
    </x:row>
    <x:row r="2391" ht="21.600000381469727" hidden="0" customHeight="1">
      <x:c r="A2391" s="29" t="str">
        <x:v>SCA-24</x:v>
      </x:c>
      <x:c r="B2391" s="29" t="str">
        <x:v>26091</x:v>
      </x:c>
      <x:c r="C2391" s="29" t="str">
        <x:v>MI</x:v>
      </x:c>
      <x:c r="D2391" s="29" t="str">
        <x:v>Lenawee County</x:v>
      </x:c>
      <x:c r="E2391" s="41" t="n">
        <x:v>97779</x:v>
      </x:c>
      <x:c r="F2391" s="56" t="n">
        <x:v>41.896022</x:v>
      </x:c>
      <x:c r="G2391" s="56" t="n">
        <x:v>-84.074356</x:v>
      </x:c>
      <x:c r="H2391" s="44" t="n">
        <x:f>E2391/SUMIF(A:A,A2391,E:E)</x:f>
        <x:v>0.00827502265752811</x:v>
      </x:c>
    </x:row>
    <x:row r="2392" ht="32.400001525878906" hidden="0" customHeight="1">
      <x:c r="A2392" s="27" t="str">
        <x:v>SCA-24</x:v>
      </x:c>
      <x:c r="B2392" s="27" t="str">
        <x:v>26055</x:v>
      </x:c>
      <x:c r="C2392" s="27" t="str">
        <x:v>MI</x:v>
      </x:c>
      <x:c r="D2392" s="27" t="str">
        <x:v>Grand Traverse County</x:v>
      </x:c>
      <x:c r="E2392" s="40" t="n">
        <x:v>96729</x:v>
      </x:c>
      <x:c r="F2392" s="55" t="n">
        <x:v>44.718688</x:v>
      </x:c>
      <x:c r="G2392" s="55" t="n">
        <x:v>-85.553848</x:v>
      </x:c>
      <x:c r="H2392" s="43" t="n">
        <x:f>E2392/SUMIF(A:A,A2392,E:E)</x:f>
        <x:v>0.00818616130907492</x:v>
      </x:c>
    </x:row>
    <x:row r="2393" ht="21.600000381469727" hidden="0" customHeight="1">
      <x:c r="A2393" s="29" t="str">
        <x:v>SCA-24</x:v>
      </x:c>
      <x:c r="B2393" s="29" t="str">
        <x:v>26087</x:v>
      </x:c>
      <x:c r="C2393" s="29" t="str">
        <x:v>MI</x:v>
      </x:c>
      <x:c r="D2393" s="29" t="str">
        <x:v>Lapeer County</x:v>
      </x:c>
      <x:c r="E2393" s="41" t="n">
        <x:v>89516</x:v>
      </x:c>
      <x:c r="F2393" s="56" t="n">
        <x:v>43.088633</x:v>
      </x:c>
      <x:c r="G2393" s="56" t="n">
        <x:v>-83.224325</x:v>
      </x:c>
      <x:c r="H2393" s="44" t="n">
        <x:f>E2393/SUMIF(A:A,A2393,E:E)</x:f>
        <x:v>0.007575726160129335</x:v>
      </x:c>
    </x:row>
    <x:row r="2394" ht="21.600000381469727" hidden="0" customHeight="1">
      <x:c r="A2394" s="27" t="str">
        <x:v>SCA-24</x:v>
      </x:c>
      <x:c r="B2394" s="27" t="str">
        <x:v>26111</x:v>
      </x:c>
      <x:c r="C2394" s="27" t="str">
        <x:v>MI</x:v>
      </x:c>
      <x:c r="D2394" s="27" t="str">
        <x:v>Midland County</x:v>
      </x:c>
      <x:c r="E2394" s="40" t="n">
        <x:v>83754</x:v>
      </x:c>
      <x:c r="F2394" s="55" t="n">
        <x:v>43.648203</x:v>
      </x:c>
      <x:c r="G2394" s="55" t="n">
        <x:v>-84.379414</x:v>
      </x:c>
      <x:c r="H2394" s="43" t="n">
        <x:f>E2394/SUMIF(A:A,A2394,E:E)</x:f>
        <x:v>0.007088088931760493</x:v>
      </x:c>
    </x:row>
    <x:row r="2395" ht="21.600000381469727" hidden="0" customHeight="1">
      <x:c r="A2395" s="29" t="str">
        <x:v>SCA-24</x:v>
      </x:c>
      <x:c r="B2395" s="29" t="str">
        <x:v>26037</x:v>
      </x:c>
      <x:c r="C2395" s="29" t="str">
        <x:v>MI</x:v>
      </x:c>
      <x:c r="D2395" s="29" t="str">
        <x:v>Clinton County</x:v>
      </x:c>
      <x:c r="E2395" s="41" t="n">
        <x:v>80432</x:v>
      </x:c>
      <x:c r="F2395" s="56" t="n">
        <x:v>42.950455</x:v>
      </x:c>
      <x:c r="G2395" s="56" t="n">
        <x:v>-84.591695</x:v>
      </x:c>
      <x:c r="H2395" s="44" t="n">
        <x:f>E2395/SUMIF(A:A,A2395,E:E)</x:f>
        <x:v>0.006806948551225732</x:v>
      </x:c>
    </x:row>
    <x:row r="2396" ht="21.600000381469727" hidden="0" customHeight="1">
      <x:c r="A2396" s="27" t="str">
        <x:v>SCA-24</x:v>
      </x:c>
      <x:c r="B2396" s="27" t="str">
        <x:v>39063</x:v>
      </x:c>
      <x:c r="C2396" s="27" t="str">
        <x:v>OH</x:v>
      </x:c>
      <x:c r="D2396" s="27" t="str">
        <x:v>Hancock County</x:v>
      </x:c>
      <x:c r="E2396" s="40" t="n">
        <x:v>75034</x:v>
      </x:c>
      <x:c r="F2396" s="55" t="n">
        <x:v>41.000217</x:v>
      </x:c>
      <x:c r="G2396" s="55" t="n">
        <x:v>-83.665947</x:v>
      </x:c>
      <x:c r="H2396" s="43" t="n">
        <x:f>E2396/SUMIF(A:A,A2396,E:E)</x:f>
        <x:v>0.006350116590320663</x:v>
      </x:c>
    </x:row>
    <x:row r="2397" ht="21.600000381469727" hidden="0" customHeight="1">
      <x:c r="A2397" s="29" t="str">
        <x:v>SCA-24</x:v>
      </x:c>
      <x:c r="B2397" s="29" t="str">
        <x:v>39159</x:v>
      </x:c>
      <x:c r="C2397" s="29" t="str">
        <x:v>OH</x:v>
      </x:c>
      <x:c r="D2397" s="29" t="str">
        <x:v>Union County</x:v>
      </x:c>
      <x:c r="E2397" s="41" t="n">
        <x:v>73446</x:v>
      </x:c>
      <x:c r="F2397" s="56" t="n">
        <x:v>40.295901</x:v>
      </x:c>
      <x:c r="G2397" s="56" t="n">
        <x:v>-83.367042</x:v>
      </x:c>
      <x:c r="H2397" s="44" t="n">
        <x:f>E2397/SUMIF(A:A,A2397,E:E)</x:f>
        <x:v>0.006215724379517172</x:v>
      </x:c>
    </x:row>
    <x:row r="2398" ht="15" hidden="0" customHeight="1">
      <x:c r="A2398" s="27" t="str">
        <x:v>SCA-24</x:v>
      </x:c>
      <x:c r="B2398" s="27" t="str">
        <x:v>39043</x:v>
      </x:c>
      <x:c r="C2398" s="27" t="str">
        <x:v>OH</x:v>
      </x:c>
      <x:c r="D2398" s="27" t="str">
        <x:v>Erie County</x:v>
      </x:c>
      <x:c r="E2398" s="40" t="n">
        <x:v>73296</x:v>
      </x:c>
      <x:c r="F2398" s="55" t="n">
        <x:v>41.394143</x:v>
      </x:c>
      <x:c r="G2398" s="55" t="n">
        <x:v>-82.586835</x:v>
      </x:c>
      <x:c r="H2398" s="43" t="n">
        <x:f>E2398/SUMIF(A:A,A2398,E:E)</x:f>
        <x:v>0.0062030299011667156</x:v>
      </x:c>
    </x:row>
    <x:row r="2399" ht="21.600000381469727" hidden="0" customHeight="1">
      <x:c r="A2399" s="29" t="str">
        <x:v>SCA-24</x:v>
      </x:c>
      <x:c r="B2399" s="29" t="str">
        <x:v>26117</x:v>
      </x:c>
      <x:c r="C2399" s="29" t="str">
        <x:v>MI</x:v>
      </x:c>
      <x:c r="D2399" s="29" t="str">
        <x:v>Montcalm County</x:v>
      </x:c>
      <x:c r="E2399" s="41" t="n">
        <x:v>69406</x:v>
      </x:c>
      <x:c r="F2399" s="56" t="n">
        <x:v>43.312782</x:v>
      </x:c>
      <x:c r="G2399" s="56" t="n">
        <x:v>-85.149468</x:v>
      </x:c>
      <x:c r="H2399" s="44" t="n">
        <x:f>E2399/SUMIF(A:A,A2399,E:E)</x:f>
        <x:v>0.005873819762611562</x:v>
      </x:c>
    </x:row>
    <x:row r="2400" ht="21.600000381469727" hidden="0" customHeight="1">
      <x:c r="A2400" s="27" t="str">
        <x:v>SCA-24</x:v>
      </x:c>
      <x:c r="B2400" s="27" t="str">
        <x:v>26155</x:v>
      </x:c>
      <x:c r="C2400" s="27" t="str">
        <x:v>MI</x:v>
      </x:c>
      <x:c r="D2400" s="27" t="str">
        <x:v>Shiawassee County</x:v>
      </x:c>
      <x:c r="E2400" s="40" t="n">
        <x:v>67681</x:v>
      </x:c>
      <x:c r="F2400" s="55" t="n">
        <x:v>42.951545</x:v>
      </x:c>
      <x:c r="G2400" s="55" t="n">
        <x:v>-84.146352</x:v>
      </x:c>
      <x:c r="H2400" s="43" t="n">
        <x:f>E2400/SUMIF(A:A,A2400,E:E)</x:f>
        <x:v>0.005727833261581321</x:v>
      </x:c>
    </x:row>
    <x:row r="2401" ht="15" hidden="0" customHeight="1">
      <x:c r="A2401" s="29" t="str">
        <x:v>SCA-24</x:v>
      </x:c>
      <x:c r="B2401" s="29" t="str">
        <x:v>26067</x:v>
      </x:c>
      <x:c r="C2401" s="29" t="str">
        <x:v>MI</x:v>
      </x:c>
      <x:c r="D2401" s="29" t="str">
        <x:v>Ionia County</x:v>
      </x:c>
      <x:c r="E2401" s="41" t="n">
        <x:v>66557</x:v>
      </x:c>
      <x:c r="F2401" s="56" t="n">
        <x:v>42.94465</x:v>
      </x:c>
      <x:c r="G2401" s="56" t="n">
        <x:v>-85.073766</x:v>
      </x:c>
      <x:c r="H2401" s="44" t="n">
        <x:f>E2401/SUMIF(A:A,A2401,E:E)</x:f>
        <x:v>0.005632709303808572</x:v>
      </x:c>
    </x:row>
    <x:row r="2402" ht="21.600000381469727" hidden="0" customHeight="1">
      <x:c r="A2402" s="27" t="str">
        <x:v>SCA-24</x:v>
      </x:c>
      <x:c r="B2402" s="27" t="str">
        <x:v>39101</x:v>
      </x:c>
      <x:c r="C2402" s="27" t="str">
        <x:v>OH</x:v>
      </x:c>
      <x:c r="D2402" s="27" t="str">
        <x:v>Marion County</x:v>
      </x:c>
      <x:c r="E2402" s="40" t="n">
        <x:v>65115</x:v>
      </x:c>
      <x:c r="F2402" s="55" t="n">
        <x:v>40.588034</x:v>
      </x:c>
      <x:c r="G2402" s="55" t="n">
        <x:v>-83.168803</x:v>
      </x:c>
      <x:c r="H2402" s="43" t="n">
        <x:f>E2402/SUMIF(A:A,A2402,E:E)</x:f>
        <x:v>0.005510673051932857</x:v>
      </x:c>
    </x:row>
    <x:row r="2403" ht="21.600000381469727" hidden="0" customHeight="1">
      <x:c r="A2403" s="29" t="str">
        <x:v>SCA-24</x:v>
      </x:c>
      <x:c r="B2403" s="29" t="str">
        <x:v>26073</x:v>
      </x:c>
      <x:c r="C2403" s="29" t="str">
        <x:v>MI</x:v>
      </x:c>
      <x:c r="D2403" s="29" t="str">
        <x:v>Isabella County</x:v>
      </x:c>
      <x:c r="E2403" s="41" t="n">
        <x:v>64691</x:v>
      </x:c>
      <x:c r="F2403" s="56" t="n">
        <x:v>43.645233</x:v>
      </x:c>
      <x:c r="G2403" s="56" t="n">
        <x:v>-84.839424</x:v>
      </x:c>
      <x:c r="H2403" s="44" t="n">
        <x:f>E2403/SUMIF(A:A,A2403,E:E)</x:f>
        <x:v>0.005474789993128902</x:v>
      </x:c>
    </x:row>
    <x:row r="2404" ht="15" hidden="0" customHeight="1">
      <x:c r="A2404" s="27" t="str">
        <x:v>SCA-24</x:v>
      </x:c>
      <x:c r="B2404" s="27" t="str">
        <x:v>26015</x:v>
      </x:c>
      <x:c r="C2404" s="27" t="str">
        <x:v>MI</x:v>
      </x:c>
      <x:c r="D2404" s="27" t="str">
        <x:v>Barry County</x:v>
      </x:c>
      <x:c r="E2404" s="40" t="n">
        <x:v>63991</x:v>
      </x:c>
      <x:c r="F2404" s="55" t="n">
        <x:v>42.582811</x:v>
      </x:c>
      <x:c r="G2404" s="55" t="n">
        <x:v>-85.31455</x:v>
      </x:c>
      <x:c r="H2404" s="43" t="n">
        <x:f>E2404/SUMIF(A:A,A2404,E:E)</x:f>
        <x:v>0.005415549094160108</x:v>
      </x:c>
    </x:row>
    <x:row r="2405" ht="21.600000381469727" hidden="0" customHeight="1">
      <x:c r="A2405" s="29" t="str">
        <x:v>SCA-24</x:v>
      </x:c>
      <x:c r="B2405" s="29" t="str">
        <x:v>39143</x:v>
      </x:c>
      <x:c r="C2405" s="29" t="str">
        <x:v>OH</x:v>
      </x:c>
      <x:c r="D2405" s="29" t="str">
        <x:v>Sandusky County</x:v>
      </x:c>
      <x:c r="E2405" s="41" t="n">
        <x:v>58655</x:v>
      </x:c>
      <x:c r="F2405" s="56" t="n">
        <x:v>41.355319</x:v>
      </x:c>
      <x:c r="G2405" s="56" t="n">
        <x:v>-83.142776</x:v>
      </x:c>
      <x:c r="H2405" s="44" t="n">
        <x:f>E2405/SUMIF(A:A,A2405,E:E)</x:f>
        <x:v>0.004963964184306561</x:v>
      </x:c>
    </x:row>
    <x:row r="2406" ht="21.600000381469727" hidden="0" customHeight="1">
      <x:c r="A2406" s="27" t="str">
        <x:v>SCA-24</x:v>
      </x:c>
      <x:c r="B2406" s="27" t="str">
        <x:v>39077</x:v>
      </x:c>
      <x:c r="C2406" s="27" t="str">
        <x:v>OH</x:v>
      </x:c>
      <x:c r="D2406" s="27" t="str">
        <x:v>Huron County</x:v>
      </x:c>
      <x:c r="E2406" s="40" t="n">
        <x:v>58250</x:v>
      </x:c>
      <x:c r="F2406" s="55" t="n">
        <x:v>41.14508</x:v>
      </x:c>
      <x:c r="G2406" s="55" t="n">
        <x:v>-82.594641</x:v>
      </x:c>
      <x:c r="H2406" s="43" t="n">
        <x:f>E2406/SUMIF(A:A,A2406,E:E)</x:f>
        <x:v>0.004929689092760331</x:v>
      </x:c>
    </x:row>
    <x:row r="2407" ht="21.600000381469727" hidden="0" customHeight="1">
      <x:c r="A2407" s="29" t="str">
        <x:v>SCA-24</x:v>
      </x:c>
      <x:c r="B2407" s="29" t="str">
        <x:v>39147</x:v>
      </x:c>
      <x:c r="C2407" s="29" t="str">
        <x:v>OH</x:v>
      </x:c>
      <x:c r="D2407" s="29" t="str">
        <x:v>Seneca County</x:v>
      </x:c>
      <x:c r="E2407" s="41" t="n">
        <x:v>54522</x:v>
      </x:c>
      <x:c r="F2407" s="56" t="n">
        <x:v>41.119992</x:v>
      </x:c>
      <x:c r="G2407" s="56" t="n">
        <x:v>-83.127547</x:v>
      </x:c>
      <x:c r="H2407" s="44" t="n">
        <x:f>E2407/SUMIF(A:A,A2407,E:E)</x:f>
        <x:v>0.00461418899082367</x:v>
      </x:c>
    </x:row>
    <x:row r="2408" ht="21.600000381469727" hidden="0" customHeight="1">
      <x:c r="A2408" s="27" t="str">
        <x:v>SCA-24</x:v>
      </x:c>
      <x:c r="B2408" s="27" t="str">
        <x:v>26157</x:v>
      </x:c>
      <x:c r="C2408" s="27" t="str">
        <x:v>MI</x:v>
      </x:c>
      <x:c r="D2408" s="27" t="str">
        <x:v>Tuscola County</x:v>
      </x:c>
      <x:c r="E2408" s="40" t="n">
        <x:v>52680</x:v>
      </x:c>
      <x:c r="F2408" s="55" t="n">
        <x:v>43.487902</x:v>
      </x:c>
      <x:c r="G2408" s="55" t="n">
        <x:v>-83.436618</x:v>
      </x:c>
      <x:c r="H2408" s="43" t="n">
        <x:f>E2408/SUMIF(A:A,A2408,E:E)</x:f>
        <x:v>0.004458300796680073</x:v>
      </x:c>
    </x:row>
    <x:row r="2409" ht="21.600000381469727" hidden="0" customHeight="1">
      <x:c r="A2409" s="29" t="str">
        <x:v>SCA-24</x:v>
      </x:c>
      <x:c r="B2409" s="29" t="str">
        <x:v>26123</x:v>
      </x:c>
      <x:c r="C2409" s="29" t="str">
        <x:v>MI</x:v>
      </x:c>
      <x:c r="D2409" s="29" t="str">
        <x:v>Newaygo County</x:v>
      </x:c>
      <x:c r="E2409" s="41" t="n">
        <x:v>51622</x:v>
      </x:c>
      <x:c r="F2409" s="56" t="n">
        <x:v>43.562712</x:v>
      </x:c>
      <x:c r="G2409" s="56" t="n">
        <x:v>-85.791372</x:v>
      </x:c>
      <x:c r="H2409" s="44" t="n">
        <x:f>E2409/SUMIF(A:A,A2409,E:E)</x:f>
        <x:v>0.004368762409381524</x:v>
      </x:c>
    </x:row>
    <x:row r="2410" ht="21.600000381469727" hidden="0" customHeight="1">
      <x:c r="A2410" s="27" t="str">
        <x:v>SCA-24</x:v>
      </x:c>
      <x:c r="B2410" s="27" t="str">
        <x:v>39149</x:v>
      </x:c>
      <x:c r="C2410" s="27" t="str">
        <x:v>OH</x:v>
      </x:c>
      <x:c r="D2410" s="27" t="str">
        <x:v>Shelby County</x:v>
      </x:c>
      <x:c r="E2410" s="40" t="n">
        <x:v>48065</x:v>
      </x:c>
      <x:c r="F2410" s="55" t="n">
        <x:v>40.33668</x:v>
      </x:c>
      <x:c r="G2410" s="55" t="n">
        <x:v>-84.204142</x:v>
      </x:c>
      <x:c r="H2410" s="43" t="n">
        <x:f>E2410/SUMIF(A:A,A2410,E:E)</x:f>
        <x:v>0.004067734012764382</x:v>
      </x:c>
    </x:row>
    <x:row r="2411" ht="21.600000381469727" hidden="0" customHeight="1">
      <x:c r="A2411" s="29" t="str">
        <x:v>SCA-24</x:v>
      </x:c>
      <x:c r="B2411" s="29" t="str">
        <x:v>39097</x:v>
      </x:c>
      <x:c r="C2411" s="29" t="str">
        <x:v>OH</x:v>
      </x:c>
      <x:c r="D2411" s="29" t="str">
        <x:v>Madison County</x:v>
      </x:c>
      <x:c r="E2411" s="41" t="n">
        <x:v>46985</x:v>
      </x:c>
      <x:c r="F2411" s="56" t="n">
        <x:v>39.89661</x:v>
      </x:c>
      <x:c r="G2411" s="56" t="n">
        <x:v>-83.400887</x:v>
      </x:c>
      <x:c r="H2411" s="44" t="n">
        <x:f>E2411/SUMIF(A:A,A2411,E:E)</x:f>
        <x:v>0.003976333768641101</x:v>
      </x:c>
    </x:row>
    <x:row r="2412" ht="21.600000381469727" hidden="0" customHeight="1">
      <x:c r="A2412" s="27" t="str">
        <x:v>SCA-24</x:v>
      </x:c>
      <x:c r="B2412" s="27" t="str">
        <x:v>39091</x:v>
      </x:c>
      <x:c r="C2412" s="27" t="str">
        <x:v>OH</x:v>
      </x:c>
      <x:c r="D2412" s="27" t="str">
        <x:v>Logan County</x:v>
      </x:c>
      <x:c r="E2412" s="40" t="n">
        <x:v>46302</x:v>
      </x:c>
      <x:c r="F2412" s="55" t="n">
        <x:v>40.387553</x:v>
      </x:c>
      <x:c r="G2412" s="55" t="n">
        <x:v>-83.766343</x:v>
      </x:c>
      <x:c r="H2412" s="43" t="n">
        <x:f>E2412/SUMIF(A:A,A2412,E:E)</x:f>
        <x:v>0.003918531577218692</x:v>
      </x:c>
    </x:row>
    <x:row r="2413" ht="21.600000381469727" hidden="0" customHeight="1">
      <x:c r="A2413" s="29" t="str">
        <x:v>SCA-24</x:v>
      </x:c>
      <x:c r="B2413" s="29" t="str">
        <x:v>26023</x:v>
      </x:c>
      <x:c r="C2413" s="29" t="str">
        <x:v>MI</x:v>
      </x:c>
      <x:c r="D2413" s="29" t="str">
        <x:v>Branch County</x:v>
      </x:c>
      <x:c r="E2413" s="41" t="n">
        <x:v>45993</x:v>
      </x:c>
      <x:c r="F2413" s="56" t="n">
        <x:v>41.918455</x:v>
      </x:c>
      <x:c r="G2413" s="56" t="n">
        <x:v>-85.066885</x:v>
      </x:c>
      <x:c r="H2413" s="44" t="n">
        <x:f>E2413/SUMIF(A:A,A2413,E:E)</x:f>
        <x:v>0.0038923809518167534</x:v>
      </x:c>
    </x:row>
    <x:row r="2414" ht="21.600000381469727" hidden="0" customHeight="1">
      <x:c r="A2414" s="27" t="str">
        <x:v>SCA-24</x:v>
      </x:c>
      <x:c r="B2414" s="27" t="str">
        <x:v>39011</x:v>
      </x:c>
      <x:c r="C2414" s="27" t="str">
        <x:v>OH</x:v>
      </x:c>
      <x:c r="D2414" s="27" t="str">
        <x:v>Auglaize County</x:v>
      </x:c>
      <x:c r="E2414" s="40" t="n">
        <x:v>45909</x:v>
      </x:c>
      <x:c r="F2414" s="55" t="n">
        <x:v>40.561309</x:v>
      </x:c>
      <x:c r="G2414" s="55" t="n">
        <x:v>-84.224018</x:v>
      </x:c>
      <x:c r="H2414" s="43" t="n">
        <x:f>E2414/SUMIF(A:A,A2414,E:E)</x:f>
        <x:v>0.003885272043940498</x:v>
      </x:c>
    </x:row>
    <x:row r="2415" ht="21.600000381469727" hidden="0" customHeight="1">
      <x:c r="A2415" s="29" t="str">
        <x:v>SCA-24</x:v>
      </x:c>
      <x:c r="B2415" s="29" t="str">
        <x:v>26059</x:v>
      </x:c>
      <x:c r="C2415" s="29" t="str">
        <x:v>MI</x:v>
      </x:c>
      <x:c r="D2415" s="29" t="str">
        <x:v>Hillsdale County</x:v>
      </x:c>
      <x:c r="E2415" s="41" t="n">
        <x:v>45738</x:v>
      </x:c>
      <x:c r="F2415" s="56" t="n">
        <x:v>41.927461</x:v>
      </x:c>
      <x:c r="G2415" s="56" t="n">
        <x:v>-84.637479</x:v>
      </x:c>
      <x:c r="H2415" s="44" t="n">
        <x:f>E2415/SUMIF(A:A,A2415,E:E)</x:f>
        <x:v>0.0038708003386209787</x:v>
      </x:c>
    </x:row>
    <x:row r="2416" ht="21.600000381469727" hidden="0" customHeight="1">
      <x:c r="A2416" s="27" t="str">
        <x:v>SCA-24</x:v>
      </x:c>
      <x:c r="B2416" s="27" t="str">
        <x:v>18033</x:v>
      </x:c>
      <x:c r="C2416" s="27" t="str">
        <x:v>IN</x:v>
      </x:c>
      <x:c r="D2416" s="27" t="str">
        <x:v>DeKalb County</x:v>
      </x:c>
      <x:c r="E2416" s="40" t="n">
        <x:v>44535</x:v>
      </x:c>
      <x:c r="F2416" s="55" t="n">
        <x:v>41.39676</x:v>
      </x:c>
      <x:c r="G2416" s="55" t="n">
        <x:v>-85.002697</x:v>
      </x:c>
      <x:c r="H2416" s="43" t="n">
        <x:f>E2416/SUMIF(A:A,A2416,E:E)</x:f>
        <x:v>0.003768990622250323</x:v>
      </x:c>
    </x:row>
    <x:row r="2417" ht="21.600000381469727" hidden="0" customHeight="1">
      <x:c r="A2417" s="29" t="str">
        <x:v>SCA-24</x:v>
      </x:c>
      <x:c r="B2417" s="29" t="str">
        <x:v>39107</x:v>
      </x:c>
      <x:c r="C2417" s="29" t="str">
        <x:v>OH</x:v>
      </x:c>
      <x:c r="D2417" s="29" t="str">
        <x:v>Mercer County</x:v>
      </x:c>
      <x:c r="E2417" s="41" t="n">
        <x:v>42737</x:v>
      </x:c>
      <x:c r="F2417" s="56" t="n">
        <x:v>40.535331</x:v>
      </x:c>
      <x:c r="G2417" s="56" t="n">
        <x:v>-84.632056</x:v>
      </x:c>
      <x:c r="H2417" s="44" t="n">
        <x:f>E2417/SUMIF(A:A,A2417,E:E)</x:f>
        <x:v>0.0036168261417561932</x:v>
      </x:c>
    </x:row>
    <x:row r="2418" ht="21.600000381469727" hidden="0" customHeight="1">
      <x:c r="A2418" s="27" t="str">
        <x:v>SCA-24</x:v>
      </x:c>
      <x:c r="B2418" s="27" t="str">
        <x:v>26107</x:v>
      </x:c>
      <x:c r="C2418" s="27" t="str">
        <x:v>MI</x:v>
      </x:c>
      <x:c r="D2418" s="27" t="str">
        <x:v>Mecosta County</x:v>
      </x:c>
      <x:c r="E2418" s="40" t="n">
        <x:v>42320</x:v>
      </x:c>
      <x:c r="F2418" s="55" t="n">
        <x:v>43.635295</x:v>
      </x:c>
      <x:c r="G2418" s="55" t="n">
        <x:v>-85.332751</x:v>
      </x:c>
      <x:c r="H2418" s="43" t="n">
        <x:f>E2418/SUMIF(A:A,A2418,E:E)</x:f>
        <x:v>0.003581535491941926</x:v>
      </x:c>
    </x:row>
    <x:row r="2419" ht="21.600000381469727" hidden="0" customHeight="1">
      <x:c r="A2419" s="29" t="str">
        <x:v>SCA-24</x:v>
      </x:c>
      <x:c r="B2419" s="29" t="str">
        <x:v>39033</x:v>
      </x:c>
      <x:c r="C2419" s="29" t="str">
        <x:v>OH</x:v>
      </x:c>
      <x:c r="D2419" s="29" t="str">
        <x:v>Crawford County</x:v>
      </x:c>
      <x:c r="E2419" s="41" t="n">
        <x:v>41896</x:v>
      </x:c>
      <x:c r="F2419" s="56" t="n">
        <x:v>40.848524</x:v>
      </x:c>
      <x:c r="G2419" s="56" t="n">
        <x:v>-82.924783</x:v>
      </x:c>
      <x:c r="H2419" s="44" t="n">
        <x:f>E2419/SUMIF(A:A,A2419,E:E)</x:f>
        <x:v>0.003545652433137971</x:v>
      </x:c>
    </x:row>
    <x:row r="2420" ht="21.600000381469727" hidden="0" customHeight="1">
      <x:c r="A2420" s="27" t="str">
        <x:v>SCA-24</x:v>
      </x:c>
      <x:c r="B2420" s="27" t="str">
        <x:v>39051</x:v>
      </x:c>
      <x:c r="C2420" s="27" t="str">
        <x:v>OH</x:v>
      </x:c>
      <x:c r="D2420" s="27" t="str">
        <x:v>Fulton County</x:v>
      </x:c>
      <x:c r="E2420" s="40" t="n">
        <x:v>41853</x:v>
      </x:c>
      <x:c r="F2420" s="55" t="n">
        <x:v>41.597264</x:v>
      </x:c>
      <x:c r="G2420" s="55" t="n">
        <x:v>-84.124269</x:v>
      </x:c>
      <x:c r="H2420" s="43" t="n">
        <x:f>E2420/SUMIF(A:A,A2420,E:E)</x:f>
        <x:v>0.0035420133493441735</x:v>
      </x:c>
    </x:row>
    <x:row r="2421" ht="21.600000381469727" hidden="0" customHeight="1">
      <x:c r="A2421" s="29" t="str">
        <x:v>SCA-24</x:v>
      </x:c>
      <x:c r="B2421" s="29" t="str">
        <x:v>26057</x:v>
      </x:c>
      <x:c r="C2421" s="29" t="str">
        <x:v>MI</x:v>
      </x:c>
      <x:c r="D2421" s="29" t="str">
        <x:v>Gratiot County</x:v>
      </x:c>
      <x:c r="E2421" s="41" t="n">
        <x:v>41190</x:v>
      </x:c>
      <x:c r="F2421" s="56" t="n">
        <x:v>43.292326</x:v>
      </x:c>
      <x:c r="G2421" s="56" t="n">
        <x:v>-84.60469</x:v>
      </x:c>
      <x:c r="H2421" s="44" t="n">
        <x:f>E2421/SUMIF(A:A,A2421,E:E)</x:f>
        <x:v>0.0034859037550351592</x:v>
      </x:c>
    </x:row>
    <x:row r="2422" ht="21.600000381469727" hidden="0" customHeight="1">
      <x:c r="A2422" s="27" t="str">
        <x:v>SCA-24</x:v>
      </x:c>
      <x:c r="B2422" s="27" t="str">
        <x:v>26151</x:v>
      </x:c>
      <x:c r="C2422" s="27" t="str">
        <x:v>MI</x:v>
      </x:c>
      <x:c r="D2422" s="27" t="str">
        <x:v>Sanilac County</x:v>
      </x:c>
      <x:c r="E2422" s="40" t="n">
        <x:v>40083</x:v>
      </x:c>
      <x:c r="F2422" s="55" t="n">
        <x:v>43.449155</x:v>
      </x:c>
      <x:c r="G2422" s="55" t="n">
        <x:v>-82.642815</x:v>
      </x:c>
      <x:c r="H2422" s="43" t="n">
        <x:f>E2422/SUMIF(A:A,A2422,E:E)</x:f>
        <x:v>0.0033922185048087953</x:v>
      </x:c>
    </x:row>
    <x:row r="2423" ht="21.600000381469727" hidden="0" customHeight="1">
      <x:c r="A2423" s="29" t="str">
        <x:v>SCA-24</x:v>
      </x:c>
      <x:c r="B2423" s="29" t="str">
        <x:v>39123</x:v>
      </x:c>
      <x:c r="C2423" s="29" t="str">
        <x:v>OH</x:v>
      </x:c>
      <x:c r="D2423" s="29" t="str">
        <x:v>Ottawa County</x:v>
      </x:c>
      <x:c r="E2423" s="41" t="n">
        <x:v>39481</x:v>
      </x:c>
      <x:c r="F2423" s="56" t="n">
        <x:v>41.545495</x:v>
      </x:c>
      <x:c r="G2423" s="56" t="n">
        <x:v>-83.012613</x:v>
      </x:c>
      <x:c r="H2423" s="44" t="n">
        <x:f>E2423/SUMIF(A:A,A2423,E:E)</x:f>
        <x:v>0.0033412713316956326</x:v>
      </x:c>
    </x:row>
    <x:row r="2424" ht="21.600000381469727" hidden="0" customHeight="1">
      <x:c r="A2424" s="27" t="str">
        <x:v>SCA-24</x:v>
      </x:c>
      <x:c r="B2424" s="27" t="str">
        <x:v>39021</x:v>
      </x:c>
      <x:c r="C2424" s="27" t="str">
        <x:v>OH</x:v>
      </x:c>
      <x:c r="D2424" s="27" t="str">
        <x:v>Champaign County</x:v>
      </x:c>
      <x:c r="E2424" s="40" t="n">
        <x:v>38820</x:v>
      </x:c>
      <x:c r="F2424" s="55" t="n">
        <x:v>40.132775</x:v>
      </x:c>
      <x:c r="G2424" s="55" t="n">
        <x:v>-83.767604</x:v>
      </x:c>
      <x:c r="H2424" s="43" t="n">
        <x:f>E2424/SUMIF(A:A,A2424,E:E)</x:f>
        <x:v>0.0032853309970979575</x:v>
      </x:c>
    </x:row>
    <x:row r="2425" ht="21.600000381469727" hidden="0" customHeight="1">
      <x:c r="A2425" s="29" t="str">
        <x:v>SCA-24</x:v>
      </x:c>
      <x:c r="B2425" s="29" t="str">
        <x:v>39039</x:v>
      </x:c>
      <x:c r="C2425" s="29" t="str">
        <x:v>OH</x:v>
      </x:c>
      <x:c r="D2425" s="29" t="str">
        <x:v>Defiance County</x:v>
      </x:c>
      <x:c r="E2425" s="41" t="n">
        <x:v>38292</x:v>
      </x:c>
      <x:c r="F2425" s="56" t="n">
        <x:v>41.321679</x:v>
      </x:c>
      <x:c r="G2425" s="56" t="n">
        <x:v>-84.486433</x:v>
      </x:c>
      <x:c r="H2425" s="44" t="n">
        <x:f>E2425/SUMIF(A:A,A2425,E:E)</x:f>
        <x:v>0.003240646433304353</x:v>
      </x:c>
    </x:row>
    <x:row r="2426" ht="21.600000381469727" hidden="0" customHeight="1">
      <x:c r="A2426" s="27" t="str">
        <x:v>SCA-24</x:v>
      </x:c>
      <x:c r="B2426" s="27" t="str">
        <x:v>18001</x:v>
      </x:c>
      <x:c r="C2426" s="27" t="str">
        <x:v>IN</x:v>
      </x:c>
      <x:c r="D2426" s="27" t="str">
        <x:v>Adams County</x:v>
      </x:c>
      <x:c r="E2426" s="40" t="n">
        <x:v>36650</x:v>
      </x:c>
      <x:c r="F2426" s="55" t="n">
        <x:v>40.74573</x:v>
      </x:c>
      <x:c r="G2426" s="55" t="n">
        <x:v>-84.936134</x:v>
      </x:c>
      <x:c r="H2426" s="43" t="n">
        <x:f>E2426/SUMIF(A:A,A2426,E:E)</x:f>
        <x:v>0.0031016842102946974</x:v>
      </x:c>
    </x:row>
    <x:row r="2427" ht="21.600000381469727" hidden="0" customHeight="1">
      <x:c r="A2427" s="29" t="str">
        <x:v>SCA-24</x:v>
      </x:c>
      <x:c r="B2427" s="29" t="str">
        <x:v>39171</x:v>
      </x:c>
      <x:c r="C2427" s="29" t="str">
        <x:v>OH</x:v>
      </x:c>
      <x:c r="D2427" s="29" t="str">
        <x:v>Williams County</x:v>
      </x:c>
      <x:c r="E2427" s="41" t="n">
        <x:v>36549</x:v>
      </x:c>
      <x:c r="F2427" s="56" t="n">
        <x:v>41.564959</x:v>
      </x:c>
      <x:c r="G2427" s="56" t="n">
        <x:v>-84.584324</x:v>
      </x:c>
      <x:c r="H2427" s="44" t="n">
        <x:f>E2427/SUMIF(A:A,A2427,E:E)</x:f>
        <x:v>0.003093136594872057</x:v>
      </x:c>
    </x:row>
    <x:row r="2428" ht="21.600000381469727" hidden="0" customHeight="1">
      <x:c r="A2428" s="27" t="str">
        <x:v>SCA-24</x:v>
      </x:c>
      <x:c r="B2428" s="27" t="str">
        <x:v>39117</x:v>
      </x:c>
      <x:c r="C2428" s="27" t="str">
        <x:v>OH</x:v>
      </x:c>
      <x:c r="D2428" s="27" t="str">
        <x:v>Morrow County</x:v>
      </x:c>
      <x:c r="E2428" s="40" t="n">
        <x:v>36305</x:v>
      </x:c>
      <x:c r="F2428" s="55" t="n">
        <x:v>40.525266</x:v>
      </x:c>
      <x:c r="G2428" s="55" t="n">
        <x:v>-82.797729</x:v>
      </x:c>
      <x:c r="H2428" s="43" t="n">
        <x:f>E2428/SUMIF(A:A,A2428,E:E)</x:f>
        <x:v>0.003072486910088649</x:v>
      </x:c>
    </x:row>
    <x:row r="2429" ht="21.600000381469727" hidden="0" customHeight="1">
      <x:c r="A2429" s="29" t="str">
        <x:v>SCA-24</x:v>
      </x:c>
      <x:c r="B2429" s="29" t="str">
        <x:v>26033</x:v>
      </x:c>
      <x:c r="C2429" s="29" t="str">
        <x:v>MI</x:v>
      </x:c>
      <x:c r="D2429" s="29" t="str">
        <x:v>Chippewa County</x:v>
      </x:c>
      <x:c r="E2429" s="41" t="n">
        <x:v>36081</x:v>
      </x:c>
      <x:c r="F2429" s="56" t="n">
        <x:v>46.321819</x:v>
      </x:c>
      <x:c r="G2429" s="56" t="n">
        <x:v>-84.52063</x:v>
      </x:c>
      <x:c r="H2429" s="44" t="n">
        <x:f>E2429/SUMIF(A:A,A2429,E:E)</x:f>
        <x:v>0.003053529822418635</x:v>
      </x:c>
    </x:row>
    <x:row r="2430" ht="21.600000381469727" hidden="0" customHeight="1">
      <x:c r="A2430" s="27" t="str">
        <x:v>SCA-24</x:v>
      </x:c>
      <x:c r="B2430" s="27" t="str">
        <x:v>18151</x:v>
      </x:c>
      <x:c r="C2430" s="27" t="str">
        <x:v>IN</x:v>
      </x:c>
      <x:c r="D2430" s="27" t="str">
        <x:v>Steuben County</x:v>
      </x:c>
      <x:c r="E2430" s="40" t="n">
        <x:v>34799</x:v>
      </x:c>
      <x:c r="F2430" s="55" t="n">
        <x:v>41.643467</x:v>
      </x:c>
      <x:c r="G2430" s="55" t="n">
        <x:v>-85.002405</x:v>
      </x:c>
      <x:c r="H2430" s="43" t="n">
        <x:f>E2430/SUMIF(A:A,A2430,E:E)</x:f>
        <x:v>0.0029450343474500726</x:v>
      </x:c>
    </x:row>
    <x:row r="2431" ht="21.600000381469727" hidden="0" customHeight="1">
      <x:c r="A2431" s="29" t="str">
        <x:v>SCA-24</x:v>
      </x:c>
      <x:c r="B2431" s="29" t="str">
        <x:v>26165</x:v>
      </x:c>
      <x:c r="C2431" s="29" t="str">
        <x:v>MI</x:v>
      </x:c>
      <x:c r="D2431" s="29" t="str">
        <x:v>Wexford County</x:v>
      </x:c>
      <x:c r="E2431" s="41" t="n">
        <x:v>34445</x:v>
      </x:c>
      <x:c r="F2431" s="56" t="n">
        <x:v>44.331375</x:v>
      </x:c>
      <x:c r="G2431" s="56" t="n">
        <x:v>-85.570046</x:v>
      </x:c>
      <x:c r="H2431" s="44" t="n">
        <x:f>E2431/SUMIF(A:A,A2431,E:E)</x:f>
        <x:v>0.0029150753785429973</x:v>
      </x:c>
    </x:row>
    <x:row r="2432" ht="21.600000381469727" hidden="0" customHeight="1">
      <x:c r="A2432" s="27" t="str">
        <x:v>SCA-24</x:v>
      </x:c>
      <x:c r="B2432" s="27" t="str">
        <x:v>39137</x:v>
      </x:c>
      <x:c r="C2432" s="27" t="str">
        <x:v>OH</x:v>
      </x:c>
      <x:c r="D2432" s="27" t="str">
        <x:v>Putnam County</x:v>
      </x:c>
      <x:c r="E2432" s="40" t="n">
        <x:v>34380</x:v>
      </x:c>
      <x:c r="F2432" s="55" t="n">
        <x:v>41.024534</x:v>
      </x:c>
      <x:c r="G2432" s="55" t="n">
        <x:v>-84.12988</x:v>
      </x:c>
      <x:c r="H2432" s="43" t="n">
        <x:f>E2432/SUMIF(A:A,A2432,E:E)</x:f>
        <x:v>0.0029095744379244665</x:v>
      </x:c>
    </x:row>
    <x:row r="2433" ht="21.600000381469727" hidden="0" customHeight="1">
      <x:c r="A2433" s="29" t="str">
        <x:v>SCA-24</x:v>
      </x:c>
      <x:c r="B2433" s="29" t="str">
        <x:v>26047</x:v>
      </x:c>
      <x:c r="C2433" s="29" t="str">
        <x:v>MI</x:v>
      </x:c>
      <x:c r="D2433" s="29" t="str">
        <x:v>Emmet County</x:v>
      </x:c>
      <x:c r="E2433" s="41" t="n">
        <x:v>33775</x:v>
      </x:c>
      <x:c r="F2433" s="56" t="n">
        <x:v>45.590094</x:v>
      </x:c>
      <x:c r="G2433" s="56" t="n">
        <x:v>-84.986822</x:v>
      </x:c>
      <x:c r="H2433" s="44" t="n">
        <x:f>E2433/SUMIF(A:A,A2433,E:E)</x:f>
        <x:v>0.002858373375244295</x:v>
      </x:c>
    </x:row>
    <x:row r="2434" ht="15" hidden="0" customHeight="1">
      <x:c r="A2434" s="27" t="str">
        <x:v>SCA-24</x:v>
      </x:c>
      <x:c r="B2434" s="27" t="str">
        <x:v>26035</x:v>
      </x:c>
      <x:c r="C2434" s="27" t="str">
        <x:v>MI</x:v>
      </x:c>
      <x:c r="D2434" s="27" t="str">
        <x:v>Clare County</x:v>
      </x:c>
      <x:c r="E2434" s="40" t="n">
        <x:v>31543</x:v>
      </x:c>
      <x:c r="F2434" s="55" t="n">
        <x:v>43.991137</x:v>
      </x:c>
      <x:c r="G2434" s="55" t="n">
        <x:v>-84.838325</x:v>
      </x:c>
      <x:c r="H2434" s="43" t="n">
        <x:f>E2434/SUMIF(A:A,A2434,E:E)</x:f>
        <x:v>0.0026694795373895124</x:v>
      </x:c>
    </x:row>
    <x:row r="2435" ht="21.600000381469727" hidden="0" customHeight="1">
      <x:c r="A2435" s="29" t="str">
        <x:v>SCA-24</x:v>
      </x:c>
      <x:c r="B2435" s="29" t="str">
        <x:v>26063</x:v>
      </x:c>
      <x:c r="C2435" s="29" t="str">
        <x:v>MI</x:v>
      </x:c>
      <x:c r="D2435" s="29" t="str">
        <x:v>Huron County</x:v>
      </x:c>
      <x:c r="E2435" s="41" t="n">
        <x:v>30530</x:v>
      </x:c>
      <x:c r="F2435" s="56" t="n">
        <x:v>43.907616</x:v>
      </x:c>
      <x:c r="G2435" s="56" t="n">
        <x:v>-82.857045</x:v>
      </x:c>
      <x:c r="H2435" s="44" t="n">
        <x:f>E2435/SUMIF(A:A,A2435,E:E)</x:f>
        <x:v>0.0025837494935961013</x:v>
      </x:c>
    </x:row>
    <x:row r="2436" ht="21.600000381469727" hidden="0" customHeight="1">
      <x:c r="A2436" s="27" t="str">
        <x:v>SCA-24</x:v>
      </x:c>
      <x:c r="B2436" s="27" t="str">
        <x:v>39065</x:v>
      </x:c>
      <x:c r="C2436" s="27" t="str">
        <x:v>OH</x:v>
      </x:c>
      <x:c r="D2436" s="27" t="str">
        <x:v>Hardin County</x:v>
      </x:c>
      <x:c r="E2436" s="40" t="n">
        <x:v>30072</x:v>
      </x:c>
      <x:c r="F2436" s="55" t="n">
        <x:v>40.660415</x:v>
      </x:c>
      <x:c r="G2436" s="55" t="n">
        <x:v>-83.664077</x:v>
      </x:c>
      <x:c r="H2436" s="43" t="n">
        <x:f>E2436/SUMIF(A:A,A2436,E:E)</x:f>
        <x:v>0.0025449890196993764</x:v>
      </x:c>
    </x:row>
    <x:row r="2437" ht="21.600000381469727" hidden="0" customHeight="1">
      <x:c r="A2437" s="29" t="str">
        <x:v>SCA-24</x:v>
      </x:c>
      <x:c r="B2437" s="29" t="str">
        <x:v>39161</x:v>
      </x:c>
      <x:c r="C2437" s="29" t="str">
        <x:v>OH</x:v>
      </x:c>
      <x:c r="D2437" s="29" t="str">
        <x:v>Van Wert County</x:v>
      </x:c>
      <x:c r="E2437" s="41" t="n">
        <x:v>29013</x:v>
      </x:c>
      <x:c r="F2437" s="56" t="n">
        <x:v>40.85552</x:v>
      </x:c>
      <x:c r="G2437" s="56" t="n">
        <x:v>-84.585775</x:v>
      </x:c>
      <x:c r="H2437" s="44" t="n">
        <x:f>E2437/SUMIF(A:A,A2437,E:E)</x:f>
        <x:v>0.002455366002545158</x:v>
      </x:c>
    </x:row>
    <x:row r="2438" ht="21.600000381469727" hidden="0" customHeight="1">
      <x:c r="A2438" s="27" t="str">
        <x:v>SCA-24</x:v>
      </x:c>
      <x:c r="B2438" s="27" t="str">
        <x:v>26007</x:v>
      </x:c>
      <x:c r="C2438" s="27" t="str">
        <x:v>MI</x:v>
      </x:c>
      <x:c r="D2438" s="27" t="str">
        <x:v>Alpena County</x:v>
      </x:c>
      <x:c r="E2438" s="40" t="n">
        <x:v>28853</x:v>
      </x:c>
      <x:c r="F2438" s="55" t="n">
        <x:v>44.894954</x:v>
      </x:c>
      <x:c r="G2438" s="55" t="n">
        <x:v>-83.426574</x:v>
      </x:c>
      <x:c r="H2438" s="43" t="n">
        <x:f>E2438/SUMIF(A:A,A2438,E:E)</x:f>
        <x:v>0.0024418252256380056</x:v>
      </x:c>
    </x:row>
    <x:row r="2439" ht="21.600000381469727" hidden="0" customHeight="1">
      <x:c r="A2439" s="29" t="str">
        <x:v>SCA-24</x:v>
      </x:c>
      <x:c r="B2439" s="29" t="str">
        <x:v>39069</x:v>
      </x:c>
      <x:c r="C2439" s="29" t="str">
        <x:v>OH</x:v>
      </x:c>
      <x:c r="D2439" s="29" t="str">
        <x:v>Henry County</x:v>
      </x:c>
      <x:c r="E2439" s="41" t="n">
        <x:v>27598</x:v>
      </x:c>
      <x:c r="F2439" s="56" t="n">
        <x:v>41.331584</x:v>
      </x:c>
      <x:c r="G2439" s="56" t="n">
        <x:v>-84.0689</x:v>
      </x:c>
      <x:c r="H2439" s="44" t="n">
        <x:f>E2439/SUMIF(A:A,A2439,E:E)</x:f>
        <x:v>0.0023356147567725255</x:v>
      </x:c>
    </x:row>
    <x:row r="2440" ht="21.600000381469727" hidden="0" customHeight="1">
      <x:c r="A2440" s="27" t="str">
        <x:v>SCA-24</x:v>
      </x:c>
      <x:c r="B2440" s="27" t="str">
        <x:v>26137</x:v>
      </x:c>
      <x:c r="C2440" s="27" t="str">
        <x:v>MI</x:v>
      </x:c>
      <x:c r="D2440" s="27" t="str">
        <x:v>Otsego County</x:v>
      </x:c>
      <x:c r="E2440" s="40" t="n">
        <x:v>26080</x:v>
      </x:c>
      <x:c r="F2440" s="55" t="n">
        <x:v>45.021787</x:v>
      </x:c>
      <x:c r="G2440" s="55" t="n">
        <x:v>-84.576603</x:v>
      </x:c>
      <x:c r="H2440" s="43" t="n">
        <x:f>E2440/SUMIF(A:A,A2440,E:E)</x:f>
        <x:v>0.002207146635865913</x:v>
      </x:c>
    </x:row>
    <x:row r="2441" ht="21.600000381469727" hidden="0" customHeight="1">
      <x:c r="A2441" s="29" t="str">
        <x:v>SCA-24</x:v>
      </x:c>
      <x:c r="B2441" s="29" t="str">
        <x:v>26051</x:v>
      </x:c>
      <x:c r="C2441" s="29" t="str">
        <x:v>MI</x:v>
      </x:c>
      <x:c r="D2441" s="29" t="str">
        <x:v>Gladwin County</x:v>
      </x:c>
      <x:c r="E2441" s="41" t="n">
        <x:v>26077</x:v>
      </x:c>
      <x:c r="F2441" s="56" t="n">
        <x:v>43.98975</x:v>
      </x:c>
      <x:c r="G2441" s="56" t="n">
        <x:v>-84.389816</x:v>
      </x:c>
      <x:c r="H2441" s="44" t="n">
        <x:f>E2441/SUMIF(A:A,A2441,E:E)</x:f>
        <x:v>0.0022068927462989035</x:v>
      </x:c>
    </x:row>
    <x:row r="2442" ht="21.600000381469727" hidden="0" customHeight="1">
      <x:c r="A2442" s="27" t="str">
        <x:v>SCA-24</x:v>
      </x:c>
      <x:c r="B2442" s="27" t="str">
        <x:v>26029</x:v>
      </x:c>
      <x:c r="C2442" s="27" t="str">
        <x:v>MI</x:v>
      </x:c>
      <x:c r="D2442" s="27" t="str">
        <x:v>Charlevoix County</x:v>
      </x:c>
      <x:c r="E2442" s="40" t="n">
        <x:v>26036</x:v>
      </x:c>
      <x:c r="F2442" s="55" t="n">
        <x:v>45.618554</x:v>
      </x:c>
      <x:c r="G2442" s="55" t="n">
        <x:v>-85.543684</x:v>
      </x:c>
      <x:c r="H2442" s="43" t="n">
        <x:f>E2442/SUMIF(A:A,A2442,E:E)</x:f>
        <x:v>0.0022034229222164456</x:v>
      </x:c>
    </x:row>
    <x:row r="2443" ht="21.600000381469727" hidden="0" customHeight="1">
      <x:c r="A2443" s="29" t="str">
        <x:v>SCA-24</x:v>
      </x:c>
      <x:c r="B2443" s="29" t="str">
        <x:v>26031</x:v>
      </x:c>
      <x:c r="C2443" s="29" t="str">
        <x:v>MI</x:v>
      </x:c>
      <x:c r="D2443" s="29" t="str">
        <x:v>Cheboygan County</x:v>
      </x:c>
      <x:c r="E2443" s="41" t="n">
        <x:v>25793</x:v>
      </x:c>
      <x:c r="F2443" s="56" t="n">
        <x:v>45.476022</x:v>
      </x:c>
      <x:c r="G2443" s="56" t="n">
        <x:v>-84.495431</x:v>
      </x:c>
      <x:c r="H2443" s="44" t="n">
        <x:f>E2443/SUMIF(A:A,A2443,E:E)</x:f>
        <x:v>0.0021828578672887073</x:v>
      </x:c>
    </x:row>
    <x:row r="2444" ht="15" hidden="0" customHeight="1">
      <x:c r="A2444" s="27" t="str">
        <x:v>SCA-24</x:v>
      </x:c>
      <x:c r="B2444" s="27" t="str">
        <x:v>26069</x:v>
      </x:c>
      <x:c r="C2444" s="27" t="str">
        <x:v>MI</x:v>
      </x:c>
      <x:c r="D2444" s="27" t="str">
        <x:v>Iosco County</x:v>
      </x:c>
      <x:c r="E2444" s="40" t="n">
        <x:v>25266</x:v>
      </x:c>
      <x:c r="F2444" s="55" t="n">
        <x:v>44.386912</x:v>
      </x:c>
      <x:c r="G2444" s="55" t="n">
        <x:v>-83.380141</x:v>
      </x:c>
      <x:c r="H2444" s="43" t="n">
        <x:f>E2444/SUMIF(A:A,A2444,E:E)</x:f>
        <x:v>0.0021382579333507727</x:v>
      </x:c>
    </x:row>
    <x:row r="2445" ht="21.600000381469727" hidden="0" customHeight="1">
      <x:c r="A2445" s="29" t="str">
        <x:v>SCA-24</x:v>
      </x:c>
      <x:c r="B2445" s="29" t="str">
        <x:v>26009</x:v>
      </x:c>
      <x:c r="C2445" s="29" t="str">
        <x:v>MI</x:v>
      </x:c>
      <x:c r="D2445" s="29" t="str">
        <x:v>Antrim County</x:v>
      </x:c>
      <x:c r="E2445" s="41" t="n">
        <x:v>24698</x:v>
      </x:c>
      <x:c r="F2445" s="56" t="n">
        <x:v>45.005455</x:v>
      </x:c>
      <x:c r="G2445" s="56" t="n">
        <x:v>-85.175639</x:v>
      </x:c>
      <x:c r="H2445" s="44" t="n">
        <x:f>E2445/SUMIF(A:A,A2445,E:E)</x:f>
        <x:v>0.00209018817533038</x:v>
      </x:c>
    </x:row>
    <x:row r="2446" ht="21.600000381469727" hidden="0" customHeight="1">
      <x:c r="A2446" s="27" t="str">
        <x:v>SCA-24</x:v>
      </x:c>
      <x:c r="B2446" s="27" t="str">
        <x:v>26143</x:v>
      </x:c>
      <x:c r="C2446" s="27" t="str">
        <x:v>MI</x:v>
      </x:c>
      <x:c r="D2446" s="27" t="str">
        <x:v>Roscommon County</x:v>
      </x:c>
      <x:c r="E2446" s="40" t="n">
        <x:v>23914</x:v>
      </x:c>
      <x:c r="F2446" s="55" t="n">
        <x:v>44.339517</x:v>
      </x:c>
      <x:c r="G2446" s="55" t="n">
        <x:v>-84.611271</x:v>
      </x:c>
      <x:c r="H2446" s="43" t="n">
        <x:f>E2446/SUMIF(A:A,A2446,E:E)</x:f>
        <x:v>0.0020238383684853312</x:v>
      </x:c>
    </x:row>
    <x:row r="2447" ht="21.600000381469727" hidden="0" customHeight="1">
      <x:c r="A2447" s="29" t="str">
        <x:v>SCA-24</x:v>
      </x:c>
      <x:c r="B2447" s="29" t="str">
        <x:v>26133</x:v>
      </x:c>
      <x:c r="C2447" s="29" t="str">
        <x:v>MI</x:v>
      </x:c>
      <x:c r="D2447" s="29" t="str">
        <x:v>Osceola County</x:v>
      </x:c>
      <x:c r="E2447" s="41" t="n">
        <x:v>23516</x:v>
      </x:c>
      <x:c r="F2447" s="56" t="n">
        <x:v>43.997552</x:v>
      </x:c>
      <x:c r="G2447" s="56" t="n">
        <x:v>-85.322283</x:v>
      </x:c>
      <x:c r="H2447" s="44" t="n">
        <x:f>E2447/SUMIF(A:A,A2447,E:E)</x:f>
        <x:v>0.0019901556859287886</x:v>
      </x:c>
    </x:row>
    <x:row r="2448" ht="21.600000381469727" hidden="0" customHeight="1">
      <x:c r="A2448" s="27" t="str">
        <x:v>SCA-24</x:v>
      </x:c>
      <x:c r="B2448" s="27" t="str">
        <x:v>26089</x:v>
      </x:c>
      <x:c r="C2448" s="27" t="str">
        <x:v>MI</x:v>
      </x:c>
      <x:c r="D2448" s="27" t="str">
        <x:v>Leelanau County</x:v>
      </x:c>
      <x:c r="E2448" s="40" t="n">
        <x:v>22982</x:v>
      </x:c>
      <x:c r="F2448" s="55" t="n">
        <x:v>45.146182</x:v>
      </x:c>
      <x:c r="G2448" s="55" t="n">
        <x:v>-86.051574</x:v>
      </x:c>
      <x:c r="H2448" s="43" t="n">
        <x:f>E2448/SUMIF(A:A,A2448,E:E)</x:f>
        <x:v>0.001944963343001166</x:v>
      </x:c>
    </x:row>
    <x:row r="2449" ht="21.600000381469727" hidden="0" customHeight="1">
      <x:c r="A2449" s="29" t="str">
        <x:v>SCA-24</x:v>
      </x:c>
      <x:c r="B2449" s="29" t="str">
        <x:v>39175</x:v>
      </x:c>
      <x:c r="C2449" s="29" t="str">
        <x:v>OH</x:v>
      </x:c>
      <x:c r="D2449" s="29" t="str">
        <x:v>Wyandot County</x:v>
      </x:c>
      <x:c r="E2449" s="41" t="n">
        <x:v>21567</x:v>
      </x:c>
      <x:c r="F2449" s="56" t="n">
        <x:v>40.839782</x:v>
      </x:c>
      <x:c r="G2449" s="56" t="n">
        <x:v>-83.313681</x:v>
      </x:c>
      <x:c r="H2449" s="44" t="n">
        <x:f>E2449/SUMIF(A:A,A2449,E:E)</x:f>
        <x:v>0.001825212097228533</x:v>
      </x:c>
    </x:row>
    <x:row r="2450" ht="21.600000381469727" hidden="0" customHeight="1">
      <x:c r="A2450" s="27" t="str">
        <x:v>SCA-24</x:v>
      </x:c>
      <x:c r="B2450" s="27" t="str">
        <x:v>26129</x:v>
      </x:c>
      <x:c r="C2450" s="27" t="str">
        <x:v>MI</x:v>
      </x:c>
      <x:c r="D2450" s="27" t="str">
        <x:v>Ogemaw County</x:v>
      </x:c>
      <x:c r="E2450" s="40" t="n">
        <x:v>21121</x:v>
      </x:c>
      <x:c r="F2450" s="55" t="n">
        <x:v>44.33328</x:v>
      </x:c>
      <x:c r="G2450" s="55" t="n">
        <x:v>-84.128073</x:v>
      </x:c>
      <x:c r="H2450" s="43" t="n">
        <x:f>E2450/SUMIF(A:A,A2450,E:E)</x:f>
        <x:v>0.0017874671815998446</x:v>
      </x:c>
    </x:row>
    <x:row r="2451" ht="21.600000381469727" hidden="0" customHeight="1">
      <x:c r="A2451" s="29" t="str">
        <x:v>SCA-24</x:v>
      </x:c>
      <x:c r="B2451" s="29" t="str">
        <x:v>39125</x:v>
      </x:c>
      <x:c r="C2451" s="29" t="str">
        <x:v>OH</x:v>
      </x:c>
      <x:c r="D2451" s="29" t="str">
        <x:v>Paulding County</x:v>
      </x:c>
      <x:c r="E2451" s="41" t="n">
        <x:v>18727</x:v>
      </x:c>
      <x:c r="F2451" s="56" t="n">
        <x:v>41.118948</x:v>
      </x:c>
      <x:c r="G2451" s="56" t="n">
        <x:v>-84.582125</x:v>
      </x:c>
      <x:c r="H2451" s="44" t="n">
        <x:f>E2451/SUMIF(A:A,A2451,E:E)</x:f>
        <x:v>0.0015848633071265702</x:v>
      </x:c>
    </x:row>
    <x:row r="2452" ht="21.600000381469727" hidden="0" customHeight="1">
      <x:c r="A2452" s="27" t="str">
        <x:v>SCA-24</x:v>
      </x:c>
      <x:c r="B2452" s="27" t="str">
        <x:v>26079</x:v>
      </x:c>
      <x:c r="C2452" s="27" t="str">
        <x:v>MI</x:v>
      </x:c>
      <x:c r="D2452" s="27" t="str">
        <x:v>Kalkaska County</x:v>
      </x:c>
      <x:c r="E2452" s="40" t="n">
        <x:v>18693</x:v>
      </x:c>
      <x:c r="F2452" s="55" t="n">
        <x:v>44.678881</x:v>
      </x:c>
      <x:c r="G2452" s="55" t="n">
        <x:v>-85.088992</x:v>
      </x:c>
      <x:c r="H2452" s="43" t="n">
        <x:f>E2452/SUMIF(A:A,A2452,E:E)</x:f>
        <x:v>0.0015819858920338</x:v>
      </x:c>
    </x:row>
    <x:row r="2453" ht="21.600000381469727" hidden="0" customHeight="1">
      <x:c r="A2453" s="29" t="str">
        <x:v>SCA-24</x:v>
      </x:c>
      <x:c r="B2453" s="29" t="str">
        <x:v>26113</x:v>
      </x:c>
      <x:c r="C2453" s="29" t="str">
        <x:v>MI</x:v>
      </x:c>
      <x:c r="D2453" s="29" t="str">
        <x:v>Missaukee County</x:v>
      </x:c>
      <x:c r="E2453" s="41" t="n">
        <x:v>15274</x:v>
      </x:c>
      <x:c r="F2453" s="56" t="n">
        <x:v>44.325424</x:v>
      </x:c>
      <x:c r="G2453" s="56" t="n">
        <x:v>-85.085471</x:v>
      </x:c>
      <x:c r="H2453" s="44" t="n">
        <x:f>E2453/SUMIF(A:A,A2453,E:E)</x:f>
        <x:v>0.0012926364154990779</x:v>
      </x:c>
    </x:row>
    <x:row r="2454" ht="21.600000381469727" hidden="0" customHeight="1">
      <x:c r="A2454" s="27" t="str">
        <x:v>SCA-24</x:v>
      </x:c>
      <x:c r="B2454" s="27" t="str">
        <x:v>26011</x:v>
      </x:c>
      <x:c r="C2454" s="27" t="str">
        <x:v>MI</x:v>
      </x:c>
      <x:c r="D2454" s="27" t="str">
        <x:v>Arenac County</x:v>
      </x:c>
      <x:c r="E2454" s="40" t="n">
        <x:v>15068</x:v>
      </x:c>
      <x:c r="F2454" s="55" t="n">
        <x:v>44.036833</x:v>
      </x:c>
      <x:c r="G2454" s="55" t="n">
        <x:v>-83.740675</x:v>
      </x:c>
      <x:c r="H2454" s="43" t="n">
        <x:f>E2454/SUMIF(A:A,A2454,E:E)</x:f>
        <x:v>0.0012752026652311187</x:v>
      </x:c>
    </x:row>
    <x:row r="2455" ht="21.600000381469727" hidden="0" customHeight="1">
      <x:c r="A2455" s="29" t="str">
        <x:v>SCA-24</x:v>
      </x:c>
      <x:c r="B2455" s="29" t="str">
        <x:v>26039</x:v>
      </x:c>
      <x:c r="C2455" s="29" t="str">
        <x:v>MI</x:v>
      </x:c>
      <x:c r="D2455" s="29" t="str">
        <x:v>Crawford County</x:v>
      </x:c>
      <x:c r="E2455" s="41" t="n">
        <x:v>13722</x:v>
      </x:c>
      <x:c r="F2455" s="56" t="n">
        <x:v>44.680175</x:v>
      </x:c>
      <x:c r="G2455" s="56" t="n">
        <x:v>-84.611343</x:v>
      </x:c>
      <x:c r="H2455" s="44" t="n">
        <x:f>E2455/SUMIF(A:A,A2455,E:E)</x:f>
        <x:v>0.0011612908794996954</x:v>
      </x:c>
    </x:row>
    <x:row r="2456" ht="15" hidden="0" customHeight="1">
      <x:c r="A2456" s="27" t="str">
        <x:v>SCA-24</x:v>
      </x:c>
      <x:c r="B2456" s="27" t="str">
        <x:v>26085</x:v>
      </x:c>
      <x:c r="C2456" s="27" t="str">
        <x:v>MI</x:v>
      </x:c>
      <x:c r="D2456" s="27" t="str">
        <x:v>Lake County</x:v>
      </x:c>
      <x:c r="E2456" s="40" t="n">
        <x:v>13182</x:v>
      </x:c>
      <x:c r="F2456" s="55" t="n">
        <x:v>43.995187</x:v>
      </x:c>
      <x:c r="G2456" s="55" t="n">
        <x:v>-85.8114</x:v>
      </x:c>
      <x:c r="H2456" s="43" t="n">
        <x:f>E2456/SUMIF(A:A,A2456,E:E)</x:f>
        <x:v>0.0011155907574380546</x:v>
      </x:c>
    </x:row>
    <x:row r="2457" ht="21.600000381469727" hidden="0" customHeight="1">
      <x:c r="A2457" s="29" t="str">
        <x:v>SCA-24</x:v>
      </x:c>
      <x:c r="B2457" s="29" t="str">
        <x:v>26141</x:v>
      </x:c>
      <x:c r="C2457" s="29" t="str">
        <x:v>MI</x:v>
      </x:c>
      <x:c r="D2457" s="29" t="str">
        <x:v>Presque Isle County</x:v>
      </x:c>
      <x:c r="E2457" s="41" t="n">
        <x:v>13128</x:v>
      </x:c>
      <x:c r="F2457" s="56" t="n">
        <x:v>45.252397</x:v>
      </x:c>
      <x:c r="G2457" s="56" t="n">
        <x:v>-83.432283</x:v>
      </x:c>
      <x:c r="H2457" s="44" t="n">
        <x:f>E2457/SUMIF(A:A,A2457,E:E)</x:f>
        <x:v>0.0011110207452318904</x:v>
      </x:c>
    </x:row>
    <x:row r="2458" ht="21.600000381469727" hidden="0" customHeight="1">
      <x:c r="A2458" s="27" t="str">
        <x:v>SCA-24</x:v>
      </x:c>
      <x:c r="B2458" s="27" t="str">
        <x:v>26097</x:v>
      </x:c>
      <x:c r="C2458" s="27" t="str">
        <x:v>MI</x:v>
      </x:c>
      <x:c r="D2458" s="27" t="str">
        <x:v>Mackinac County</x:v>
      </x:c>
      <x:c r="E2458" s="40" t="n">
        <x:v>11236</x:v>
      </x:c>
      <x:c r="F2458" s="55" t="n">
        <x:v>46.167868</x:v>
      </x:c>
      <x:c r="G2458" s="55" t="n">
        <x:v>-85.303762</x:v>
      </x:c>
      <x:c r="H2458" s="43" t="n">
        <x:f>E2458/SUMIF(A:A,A2458,E:E)</x:f>
        <x:v>0.0009509010583048081</x:v>
      </x:c>
    </x:row>
    <x:row r="2459" ht="21.600000381469727" hidden="0" customHeight="1">
      <x:c r="A2459" s="29" t="str">
        <x:v>SCA-24</x:v>
      </x:c>
      <x:c r="B2459" s="29" t="str">
        <x:v>26001</x:v>
      </x:c>
      <x:c r="C2459" s="29" t="str">
        <x:v>MI</x:v>
      </x:c>
      <x:c r="D2459" s="29" t="str">
        <x:v>Alcona County</x:v>
      </x:c>
      <x:c r="E2459" s="41" t="n">
        <x:v>10556</x:v>
      </x:c>
      <x:c r="F2459" s="56" t="n">
        <x:v>44.657509</x:v>
      </x:c>
      <x:c r="G2459" s="56" t="n">
        <x:v>-83.29458</x:v>
      </x:c>
      <x:c r="H2459" s="44" t="n">
        <x:f>E2459/SUMIF(A:A,A2459,E:E)</x:f>
        <x:v>0.0008933527564494086</x:v>
      </x:c>
    </x:row>
    <x:row r="2460" ht="21.600000381469727" hidden="0" customHeight="1">
      <x:c r="A2460" s="27" t="str">
        <x:v>SCA-24</x:v>
      </x:c>
      <x:c r="B2460" s="27" t="str">
        <x:v>26119</x:v>
      </x:c>
      <x:c r="C2460" s="27" t="str">
        <x:v>MI</x:v>
      </x:c>
      <x:c r="D2460" s="27" t="str">
        <x:v>Montmorency County</x:v>
      </x:c>
      <x:c r="E2460" s="40" t="n">
        <x:v>9842</x:v>
      </x:c>
      <x:c r="F2460" s="55" t="n">
        <x:v>45.024134</x:v>
      </x:c>
      <x:c r="G2460" s="55" t="n">
        <x:v>-84.130107</x:v>
      </x:c>
      <x:c r="H2460" s="43" t="n">
        <x:f>E2460/SUMIF(A:A,A2460,E:E)</x:f>
        <x:v>0.000832927039501239</x:v>
      </x:c>
    </x:row>
    <x:row r="2461" ht="21.600000381469727" hidden="0" customHeight="1">
      <x:c r="A2461" s="29" t="str">
        <x:v>SCA-24</x:v>
      </x:c>
      <x:c r="B2461" s="29" t="str">
        <x:v>26135</x:v>
      </x:c>
      <x:c r="C2461" s="29" t="str">
        <x:v>MI</x:v>
      </x:c>
      <x:c r="D2461" s="29" t="str">
        <x:v>Oscoda County</x:v>
      </x:c>
      <x:c r="E2461" s="41" t="n">
        <x:v>8723</x:v>
      </x:c>
      <x:c r="F2461" s="56" t="n">
        <x:v>44.687257</x:v>
      </x:c>
      <x:c r="G2461" s="56" t="n">
        <x:v>-84.126905</x:v>
      </x:c>
      <x:c r="H2461" s="44" t="n">
        <x:f>E2461/SUMIF(A:A,A2461,E:E)</x:f>
        <x:v>0.0007382262310068389</x:v>
      </x:c>
    </x:row>
    <x:row r="2462" ht="15" hidden="0" customHeight="1">
      <x:c r="A2462" s="27" t="str">
        <x:v>SCA-24</x:v>
      </x:c>
      <x:c r="B2462" s="27" t="str">
        <x:v>26095</x:v>
      </x:c>
      <x:c r="C2462" s="27" t="str">
        <x:v>MI</x:v>
      </x:c>
      <x:c r="D2462" s="27" t="str">
        <x:v>Luce County</x:v>
      </x:c>
      <x:c r="E2462" s="40" t="n">
        <x:v>6339</x:v>
      </x:c>
      <x:c r="F2462" s="55" t="n">
        <x:v>46.510988</x:v>
      </x:c>
      <x:c r="G2462" s="55" t="n">
        <x:v>-85.517552</x:v>
      </x:c>
      <x:c r="H2462" s="43" t="n">
        <x:f>E2462/SUMIF(A:A,A2462,E:E)</x:f>
        <x:v>0.0005364686550902616</x:v>
      </x:c>
    </x:row>
    <x:row r="2463" ht="21.600000381469727" hidden="0" customHeight="1">
      <x:c r="A2463" s="29" t="str">
        <x:v>SCA-25</x:v>
      </x:c>
      <x:c r="B2463" s="29" t="str">
        <x:v>12031</x:v>
      </x:c>
      <x:c r="C2463" s="29" t="str">
        <x:v>FL</x:v>
      </x:c>
      <x:c r="D2463" s="29" t="str">
        <x:v>Duval County</x:v>
      </x:c>
      <x:c r="E2463" s="41" t="n">
        <x:v>1062963</x:v>
      </x:c>
      <x:c r="F2463" s="56" t="n">
        <x:v>30.335245</x:v>
      </x:c>
      <x:c r="G2463" s="56" t="n">
        <x:v>-81.648113</x:v>
      </x:c>
      <x:c r="H2463" s="44" t="n">
        <x:f>E2463/SUMIF(A:A,A2463,E:E)</x:f>
        <x:v>0.16587041932814992</x:v>
      </x:c>
    </x:row>
    <x:row r="2464" ht="21.600000381469727" hidden="0" customHeight="1">
      <x:c r="A2464" s="27" t="str">
        <x:v>SCA-25</x:v>
      </x:c>
      <x:c r="B2464" s="27" t="str">
        <x:v>12127</x:v>
      </x:c>
      <x:c r="C2464" s="27" t="str">
        <x:v>FL</x:v>
      </x:c>
      <x:c r="D2464" s="27" t="str">
        <x:v>Volusia County</x:v>
      </x:c>
      <x:c r="E2464" s="40" t="n">
        <x:v>606573</x:v>
      </x:c>
      <x:c r="F2464" s="55" t="n">
        <x:v>29.057769</x:v>
      </x:c>
      <x:c r="G2464" s="55" t="n">
        <x:v>-81.161792</x:v>
      </x:c>
      <x:c r="H2464" s="43" t="n">
        <x:f>E2464/SUMIF(A:A,A2464,E:E)</x:f>
        <x:v>0.09465288807148874</x:v>
      </x:c>
    </x:row>
    <x:row r="2465" ht="21.600000381469727" hidden="0" customHeight="1">
      <x:c r="A2465" s="29" t="str">
        <x:v>SCA-25</x:v>
      </x:c>
      <x:c r="B2465" s="29" t="str">
        <x:v>12083</x:v>
      </x:c>
      <x:c r="C2465" s="29" t="str">
        <x:v>FL</x:v>
      </x:c>
      <x:c r="D2465" s="29" t="str">
        <x:v>Marion County</x:v>
      </x:c>
      <x:c r="E2465" s="41" t="n">
        <x:v>442660</x:v>
      </x:c>
      <x:c r="F2465" s="56" t="n">
        <x:v>29.202805</x:v>
      </x:c>
      <x:c r="G2465" s="56" t="n">
        <x:v>-82.0431</x:v>
      </x:c>
      <x:c r="H2465" s="44" t="n">
        <x:f>E2465/SUMIF(A:A,A2465,E:E)</x:f>
        <x:v>0.06907502878256237</x:v>
      </x:c>
    </x:row>
    <x:row r="2466" ht="21.600000381469727" hidden="0" customHeight="1">
      <x:c r="A2466" s="27" t="str">
        <x:v>SCA-25</x:v>
      </x:c>
      <x:c r="B2466" s="27" t="str">
        <x:v>12109</x:v>
      </x:c>
      <x:c r="C2466" s="27" t="str">
        <x:v>FL</x:v>
      </x:c>
      <x:c r="D2466" s="27" t="str">
        <x:v>St. Johns County</x:v>
      </x:c>
      <x:c r="E2466" s="40" t="n">
        <x:v>346328</x:v>
      </x:c>
      <x:c r="F2466" s="55" t="n">
        <x:v>29.881397</x:v>
      </x:c>
      <x:c r="G2466" s="55" t="n">
        <x:v>-81.388282</x:v>
      </x:c>
      <x:c r="H2466" s="43" t="n">
        <x:f>E2466/SUMIF(A:A,A2466,E:E)</x:f>
        <x:v>0.054042869399103736</x:v>
      </x:c>
    </x:row>
    <x:row r="2467" ht="21.600000381469727" hidden="0" customHeight="1">
      <x:c r="A2467" s="29" t="str">
        <x:v>SCA-25</x:v>
      </x:c>
      <x:c r="B2467" s="29" t="str">
        <x:v>13051</x:v>
      </x:c>
      <x:c r="C2467" s="29" t="str">
        <x:v>GA</x:v>
      </x:c>
      <x:c r="D2467" s="29" t="str">
        <x:v>Chatham County</x:v>
      </x:c>
      <x:c r="E2467" s="41" t="n">
        <x:v>311855</x:v>
      </x:c>
      <x:c r="F2467" s="56" t="n">
        <x:v>31.980404</x:v>
      </x:c>
      <x:c r="G2467" s="56" t="n">
        <x:v>-81.085184</x:v>
      </x:c>
      <x:c r="H2467" s="44" t="n">
        <x:f>E2467/SUMIF(A:A,A2467,E:E)</x:f>
        <x:v>0.048663518504012085</x:v>
      </x:c>
    </x:row>
    <x:row r="2468" ht="15" hidden="0" customHeight="1">
      <x:c r="A2468" s="27" t="str">
        <x:v>SCA-25</x:v>
      </x:c>
      <x:c r="B2468" s="27" t="str">
        <x:v>12073</x:v>
      </x:c>
      <x:c r="C2468" s="27" t="str">
        <x:v>FL</x:v>
      </x:c>
      <x:c r="D2468" s="27" t="str">
        <x:v>Leon County</x:v>
      </x:c>
      <x:c r="E2468" s="40" t="n">
        <x:v>299048</x:v>
      </x:c>
      <x:c r="F2468" s="55" t="n">
        <x:v>30.45931</x:v>
      </x:c>
      <x:c r="G2468" s="55" t="n">
        <x:v>-84.2778</x:v>
      </x:c>
      <x:c r="H2468" s="43" t="n">
        <x:f>E2468/SUMIF(A:A,A2468,E:E)</x:f>
        <x:v>0.046665045875768564</x:v>
      </x:c>
    </x:row>
    <x:row r="2469" ht="21.600000381469727" hidden="0" customHeight="1">
      <x:c r="A2469" s="29" t="str">
        <x:v>SCA-25</x:v>
      </x:c>
      <x:c r="B2469" s="29" t="str">
        <x:v>12001</x:v>
      </x:c>
      <x:c r="C2469" s="29" t="str">
        <x:v>FL</x:v>
      </x:c>
      <x:c r="D2469" s="29" t="str">
        <x:v>Alachua County</x:v>
      </x:c>
      <x:c r="E2469" s="41" t="n">
        <x:v>290028</x:v>
      </x:c>
      <x:c r="F2469" s="56" t="n">
        <x:v>29.67574</x:v>
      </x:c>
      <x:c r="G2469" s="56" t="n">
        <x:v>-82.357221</x:v>
      </x:c>
      <x:c r="H2469" s="44" t="n">
        <x:f>E2469/SUMIF(A:A,A2469,E:E)</x:f>
        <x:v>0.045257516937941084</x:v>
      </x:c>
    </x:row>
    <x:row r="2470" ht="15" hidden="0" customHeight="1">
      <x:c r="A2470" s="27" t="str">
        <x:v>SCA-25</x:v>
      </x:c>
      <x:c r="B2470" s="27" t="str">
        <x:v>12019</x:v>
      </x:c>
      <x:c r="C2470" s="27" t="str">
        <x:v>FL</x:v>
      </x:c>
      <x:c r="D2470" s="27" t="str">
        <x:v>Clay County</x:v>
      </x:c>
      <x:c r="E2470" s="40" t="n">
        <x:v>239593</x:v>
      </x:c>
      <x:c r="F2470" s="55" t="n">
        <x:v>29.986584</x:v>
      </x:c>
      <x:c r="G2470" s="55" t="n">
        <x:v>-81.865036</x:v>
      </x:c>
      <x:c r="H2470" s="43" t="n">
        <x:f>E2470/SUMIF(A:A,A2470,E:E)</x:f>
        <x:v>0.03738737037703986</x:v>
      </x:c>
    </x:row>
    <x:row r="2471" ht="15" hidden="0" customHeight="1">
      <x:c r="A2471" s="29" t="str">
        <x:v>SCA-25</x:v>
      </x:c>
      <x:c r="B2471" s="29" t="str">
        <x:v>12005</x:v>
      </x:c>
      <x:c r="C2471" s="29" t="str">
        <x:v>FL</x:v>
      </x:c>
      <x:c r="D2471" s="29" t="str">
        <x:v>Bay County</x:v>
      </x:c>
      <x:c r="E2471" s="41" t="n">
        <x:v>204479</x:v>
      </x:c>
      <x:c r="F2471" s="56" t="n">
        <x:v>30.15914</x:v>
      </x:c>
      <x:c r="G2471" s="56" t="n">
        <x:v>-85.534395</x:v>
      </x:c>
      <x:c r="H2471" s="44" t="n">
        <x:f>E2471/SUMIF(A:A,A2471,E:E)</x:f>
        <x:v>0.03190799442106712</x:v>
      </x:c>
    </x:row>
    <x:row r="2472" ht="21.600000381469727" hidden="0" customHeight="1">
      <x:c r="A2472" s="27" t="str">
        <x:v>SCA-25</x:v>
      </x:c>
      <x:c r="B2472" s="27" t="str">
        <x:v>45013</x:v>
      </x:c>
      <x:c r="C2472" s="27" t="str">
        <x:v>SC</x:v>
      </x:c>
      <x:c r="D2472" s="27" t="str">
        <x:v>Beaufort County</x:v>
      </x:c>
      <x:c r="E2472" s="40" t="n">
        <x:v>204433</x:v>
      </x:c>
      <x:c r="F2472" s="55" t="n">
        <x:v>32.358112</x:v>
      </x:c>
      <x:c r="G2472" s="55" t="n">
        <x:v>-80.689422</x:v>
      </x:c>
      <x:c r="H2472" s="43" t="n">
        <x:f>E2472/SUMIF(A:A,A2472,E:E)</x:f>
        <x:v>0.03190081633557487</x:v>
      </x:c>
    </x:row>
    <x:row r="2473" ht="21.600000381469727" hidden="0" customHeight="1">
      <x:c r="A2473" s="29" t="str">
        <x:v>SCA-25</x:v>
      </x:c>
      <x:c r="B2473" s="29" t="str">
        <x:v>45035</x:v>
      </x:c>
      <x:c r="C2473" s="29" t="str">
        <x:v>SC</x:v>
      </x:c>
      <x:c r="D2473" s="29" t="str">
        <x:v>Dorchester County</x:v>
      </x:c>
      <x:c r="E2473" s="41" t="n">
        <x:v>178397</x:v>
      </x:c>
      <x:c r="F2473" s="56" t="n">
        <x:v>33.082186</x:v>
      </x:c>
      <x:c r="G2473" s="56" t="n">
        <x:v>-80.404697</x:v>
      </x:c>
      <x:c r="H2473" s="44" t="n">
        <x:f>E2473/SUMIF(A:A,A2473,E:E)</x:f>
        <x:v>0.027838019946963312</x:v>
      </x:c>
    </x:row>
    <x:row r="2474" ht="21.600000381469727" hidden="0" customHeight="1">
      <x:c r="A2474" s="27" t="str">
        <x:v>SCA-25</x:v>
      </x:c>
      <x:c r="B2474" s="27" t="str">
        <x:v>12035</x:v>
      </x:c>
      <x:c r="C2474" s="27" t="str">
        <x:v>FL</x:v>
      </x:c>
      <x:c r="D2474" s="27" t="str">
        <x:v>Flagler County</x:v>
      </x:c>
      <x:c r="E2474" s="40" t="n">
        <x:v>140360</x:v>
      </x:c>
      <x:c r="F2474" s="55" t="n">
        <x:v>29.474891</x:v>
      </x:c>
      <x:c r="G2474" s="55" t="n">
        <x:v>-81.286253</x:v>
      </x:c>
      <x:c r="H2474" s="43" t="n">
        <x:f>E2474/SUMIF(A:A,A2474,E:E)</x:f>
        <x:v>0.021902523471559333</x:v>
      </x:c>
    </x:row>
    <x:row r="2475" ht="21.600000381469727" hidden="0" customHeight="1">
      <x:c r="A2475" s="29" t="str">
        <x:v>SCA-25</x:v>
      </x:c>
      <x:c r="B2475" s="29" t="str">
        <x:v>13185</x:v>
      </x:c>
      <x:c r="C2475" s="29" t="str">
        <x:v>GA</x:v>
      </x:c>
      <x:c r="D2475" s="29" t="str">
        <x:v>Lowndes County</x:v>
      </x:c>
      <x:c r="E2475" s="41" t="n">
        <x:v>122867</x:v>
      </x:c>
      <x:c r="F2475" s="56" t="n">
        <x:v>30.833145</x:v>
      </x:c>
      <x:c r="G2475" s="56" t="n">
        <x:v>-83.268995</x:v>
      </x:c>
      <x:c r="H2475" s="44" t="n">
        <x:f>E2475/SUMIF(A:A,A2475,E:E)</x:f>
        <x:v>0.01917282239512739</x:v>
      </x:c>
    </x:row>
    <x:row r="2476" ht="21.600000381469727" hidden="0" customHeight="1">
      <x:c r="A2476" s="27" t="str">
        <x:v>SCA-25</x:v>
      </x:c>
      <x:c r="B2476" s="27" t="str">
        <x:v>12089</x:v>
      </x:c>
      <x:c r="C2476" s="27" t="str">
        <x:v>FL</x:v>
      </x:c>
      <x:c r="D2476" s="27" t="str">
        <x:v>Nassau County</x:v>
      </x:c>
      <x:c r="E2476" s="40" t="n">
        <x:v>106879</x:v>
      </x:c>
      <x:c r="F2476" s="55" t="n">
        <x:v>30.605963</x:v>
      </x:c>
      <x:c r="G2476" s="55" t="n">
        <x:v>-81.765087</x:v>
      </x:c>
      <x:c r="H2476" s="43" t="n">
        <x:f>E2476/SUMIF(A:A,A2476,E:E)</x:f>
        <x:v>0.01667796955056134</x:v>
      </x:c>
    </x:row>
    <x:row r="2477" ht="21.600000381469727" hidden="0" customHeight="1">
      <x:c r="A2477" s="29" t="str">
        <x:v>SCA-25</x:v>
      </x:c>
      <x:c r="B2477" s="29" t="str">
        <x:v>13127</x:v>
      </x:c>
      <x:c r="C2477" s="29" t="str">
        <x:v>GA</x:v>
      </x:c>
      <x:c r="D2477" s="29" t="str">
        <x:v>Glynn County</x:v>
      </x:c>
      <x:c r="E2477" s="41" t="n">
        <x:v>87599</x:v>
      </x:c>
      <x:c r="F2477" s="56" t="n">
        <x:v>31.21271</x:v>
      </x:c>
      <x:c r="G2477" s="56" t="n">
        <x:v>-81.49645</x:v>
      </x:c>
      <x:c r="H2477" s="44" t="n">
        <x:f>E2477/SUMIF(A:A,A2477,E:E)</x:f>
        <x:v>0.0136694154572893</x:v>
      </x:c>
    </x:row>
    <x:row r="2478" ht="21.600000381469727" hidden="0" customHeight="1">
      <x:c r="A2478" s="27" t="str">
        <x:v>SCA-25</x:v>
      </x:c>
      <x:c r="B2478" s="27" t="str">
        <x:v>13031</x:v>
      </x:c>
      <x:c r="C2478" s="27" t="str">
        <x:v>GA</x:v>
      </x:c>
      <x:c r="D2478" s="27" t="str">
        <x:v>Bulloch County</x:v>
      </x:c>
      <x:c r="E2478" s="40" t="n">
        <x:v>86949</x:v>
      </x:c>
      <x:c r="F2478" s="55" t="n">
        <x:v>32.394481</x:v>
      </x:c>
      <x:c r="G2478" s="55" t="n">
        <x:v>-81.741441</x:v>
      </x:c>
      <x:c r="H2478" s="43" t="n">
        <x:f>E2478/SUMIF(A:A,A2478,E:E)</x:f>
        <x:v>0.01356798598837712</x:v>
      </x:c>
    </x:row>
    <x:row r="2479" ht="21.600000381469727" hidden="0" customHeight="1">
      <x:c r="A2479" s="29" t="str">
        <x:v>SCA-25</x:v>
      </x:c>
      <x:c r="B2479" s="29" t="str">
        <x:v>12107</x:v>
      </x:c>
      <x:c r="C2479" s="29" t="str">
        <x:v>FL</x:v>
      </x:c>
      <x:c r="D2479" s="29" t="str">
        <x:v>Putnam County</x:v>
      </x:c>
      <x:c r="E2479" s="41" t="n">
        <x:v>77734</x:v>
      </x:c>
      <x:c r="F2479" s="56" t="n">
        <x:v>29.593897</x:v>
      </x:c>
      <x:c r="G2479" s="56" t="n">
        <x:v>-81.732039</x:v>
      </x:c>
      <x:c r="H2479" s="44" t="n">
        <x:f>E2479/SUMIF(A:A,A2479,E:E)</x:f>
        <x:v>0.012130028209875984</x:v>
      </x:c>
    </x:row>
    <x:row r="2480" ht="21.600000381469727" hidden="0" customHeight="1">
      <x:c r="A2480" s="27" t="str">
        <x:v>SCA-25</x:v>
      </x:c>
      <x:c r="B2480" s="27" t="str">
        <x:v>13103</x:v>
      </x:c>
      <x:c r="C2480" s="27" t="str">
        <x:v>GA</x:v>
      </x:c>
      <x:c r="D2480" s="27" t="str">
        <x:v>Effingham County</x:v>
      </x:c>
      <x:c r="E2480" s="40" t="n">
        <x:v>74397</x:v>
      </x:c>
      <x:c r="F2480" s="55" t="n">
        <x:v>32.361679</x:v>
      </x:c>
      <x:c r="G2480" s="55" t="n">
        <x:v>-81.343376</x:v>
      </x:c>
      <x:c r="H2480" s="43" t="n">
        <x:f>E2480/SUMIF(A:A,A2480,E:E)</x:f>
        <x:v>0.011609304921014531</x:v>
      </x:c>
    </x:row>
    <x:row r="2481" ht="21.600000381469727" hidden="0" customHeight="1">
      <x:c r="A2481" s="29" t="str">
        <x:v>SCA-25</x:v>
      </x:c>
      <x:c r="B2481" s="29" t="str">
        <x:v>12023</x:v>
      </x:c>
      <x:c r="C2481" s="29" t="str">
        <x:v>FL</x:v>
      </x:c>
      <x:c r="D2481" s="29" t="str">
        <x:v>Columbia County</x:v>
      </x:c>
      <x:c r="E2481" s="41" t="n">
        <x:v>74094</x:v>
      </x:c>
      <x:c r="F2481" s="56" t="n">
        <x:v>30.221651</x:v>
      </x:c>
      <x:c r="G2481" s="56" t="n">
        <x:v>-82.623371</x:v>
      </x:c>
      <x:c r="H2481" s="44" t="n">
        <x:f>E2481/SUMIF(A:A,A2481,E:E)</x:f>
        <x:v>0.011562023183967778</x:v>
      </x:c>
    </x:row>
    <x:row r="2482" ht="21.600000381469727" hidden="0" customHeight="1">
      <x:c r="A2482" s="27" t="str">
        <x:v>SCA-25</x:v>
      </x:c>
      <x:c r="B2482" s="27" t="str">
        <x:v>13179</x:v>
      </x:c>
      <x:c r="C2482" s="27" t="str">
        <x:v>GA</x:v>
      </x:c>
      <x:c r="D2482" s="27" t="str">
        <x:v>Liberty County</x:v>
      </x:c>
      <x:c r="E2482" s="40" t="n">
        <x:v>70313</x:v>
      </x:c>
      <x:c r="F2482" s="55" t="n">
        <x:v>31.807458</x:v>
      </x:c>
      <x:c r="G2482" s="55" t="n">
        <x:v>-81.457871</x:v>
      </x:c>
      <x:c r="H2482" s="43" t="n">
        <x:f>E2482/SUMIF(A:A,A2482,E:E)</x:f>
        <x:v>0.010972015765572466</x:v>
      </x:c>
    </x:row>
    <x:row r="2483" ht="21.600000381469727" hidden="0" customHeight="1">
      <x:c r="A2483" s="29" t="str">
        <x:v>SCA-25</x:v>
      </x:c>
      <x:c r="B2483" s="29" t="str">
        <x:v>13039</x:v>
      </x:c>
      <x:c r="C2483" s="29" t="str">
        <x:v>GA</x:v>
      </x:c>
      <x:c r="D2483" s="29" t="str">
        <x:v>Camden County</x:v>
      </x:c>
      <x:c r="E2483" s="41" t="n">
        <x:v>60143</x:v>
      </x:c>
      <x:c r="F2483" s="56" t="n">
        <x:v>30.913358</x:v>
      </x:c>
      <x:c r="G2483" s="56" t="n">
        <x:v>-81.642019</x:v>
      </x:c>
      <x:c r="H2483" s="44" t="n">
        <x:f>E2483/SUMIF(A:A,A2483,E:E)</x:f>
        <x:v>0.009385034690438821</x:v>
      </x:c>
    </x:row>
    <x:row r="2484" ht="21.600000381469727" hidden="0" customHeight="1">
      <x:c r="A2484" s="27" t="str">
        <x:v>SCA-25</x:v>
      </x:c>
      <x:c r="B2484" s="27" t="str">
        <x:v>13029</x:v>
      </x:c>
      <x:c r="C2484" s="27" t="str">
        <x:v>GA</x:v>
      </x:c>
      <x:c r="D2484" s="27" t="str">
        <x:v>Bryan County</x:v>
      </x:c>
      <x:c r="E2484" s="40" t="n">
        <x:v>52062</x:v>
      </x:c>
      <x:c r="F2484" s="55" t="n">
        <x:v>32.017969</x:v>
      </x:c>
      <x:c r="G2484" s="55" t="n">
        <x:v>-81.438543</x:v>
      </x:c>
      <x:c r="H2484" s="43" t="n">
        <x:f>E2484/SUMIF(A:A,A2484,E:E)</x:f>
        <x:v>0.008124032323855243</x:v>
      </x:c>
    </x:row>
    <x:row r="2485" ht="21.600000381469727" hidden="0" customHeight="1">
      <x:c r="A2485" s="29" t="str">
        <x:v>SCA-25</x:v>
      </x:c>
      <x:c r="B2485" s="29" t="str">
        <x:v>12063</x:v>
      </x:c>
      <x:c r="C2485" s="29" t="str">
        <x:v>FL</x:v>
      </x:c>
      <x:c r="D2485" s="29" t="str">
        <x:v>Jackson County</x:v>
      </x:c>
      <x:c r="E2485" s="41" t="n">
        <x:v>49629</x:v>
      </x:c>
      <x:c r="F2485" s="56" t="n">
        <x:v>30.789249</x:v>
      </x:c>
      <x:c r="G2485" s="56" t="n">
        <x:v>-85.208814</x:v>
      </x:c>
      <x:c r="H2485" s="44" t="n">
        <x:f>E2485/SUMIF(A:A,A2485,E:E)</x:f>
        <x:v>0.007744374019450115</x:v>
      </x:c>
    </x:row>
    <x:row r="2486" ht="21.600000381469727" hidden="0" customHeight="1">
      <x:c r="A2486" s="27" t="str">
        <x:v>SCA-25</x:v>
      </x:c>
      <x:c r="B2486" s="27" t="str">
        <x:v>12121</x:v>
      </x:c>
      <x:c r="C2486" s="27" t="str">
        <x:v>FL</x:v>
      </x:c>
      <x:c r="D2486" s="27" t="str">
        <x:v>Suwannee County</x:v>
      </x:c>
      <x:c r="E2486" s="40" t="n">
        <x:v>48149</x:v>
      </x:c>
      <x:c r="F2486" s="55" t="n">
        <x:v>30.189244</x:v>
      </x:c>
      <x:c r="G2486" s="55" t="n">
        <x:v>-82.992754</x:v>
      </x:c>
      <x:c r="H2486" s="43" t="n">
        <x:f>E2486/SUMIF(A:A,A2486,E:E)</x:f>
        <x:v>0.007513426921003921</x:v>
      </x:c>
    </x:row>
    <x:row r="2487" ht="21.600000381469727" hidden="0" customHeight="1">
      <x:c r="A2487" s="29" t="str">
        <x:v>SCA-25</x:v>
      </x:c>
      <x:c r="B2487" s="29" t="str">
        <x:v>13071</x:v>
      </x:c>
      <x:c r="C2487" s="29" t="str">
        <x:v>GA</x:v>
      </x:c>
      <x:c r="D2487" s="29" t="str">
        <x:v>Colquitt County</x:v>
      </x:c>
      <x:c r="E2487" s="41" t="n">
        <x:v>47438</x:v>
      </x:c>
      <x:c r="F2487" s="56" t="n">
        <x:v>31.189714</x:v>
      </x:c>
      <x:c r="G2487" s="56" t="n">
        <x:v>-83.769873</x:v>
      </x:c>
      <x:c r="H2487" s="44" t="n">
        <x:f>E2487/SUMIF(A:A,A2487,E:E)</x:f>
        <x:v>0.007402478686547675</x:v>
      </x:c>
    </x:row>
    <x:row r="2488" ht="21.600000381469727" hidden="0" customHeight="1">
      <x:c r="A2488" s="27" t="str">
        <x:v>SCA-25</x:v>
      </x:c>
      <x:c r="B2488" s="27" t="str">
        <x:v>13275</x:v>
      </x:c>
      <x:c r="C2488" s="27" t="str">
        <x:v>GA</x:v>
      </x:c>
      <x:c r="D2488" s="27" t="str">
        <x:v>Thomas County</x:v>
      </x:c>
      <x:c r="E2488" s="40" t="n">
        <x:v>46368</x:v>
      </x:c>
      <x:c r="F2488" s="55" t="n">
        <x:v>30.864619</x:v>
      </x:c>
      <x:c r="G2488" s="55" t="n">
        <x:v>-83.919815</x:v>
      </x:c>
      <x:c r="H2488" s="43" t="n">
        <x:f>E2488/SUMIF(A:A,A2488,E:E)</x:f>
        <x:v>0.0072355101761845475</x:v>
      </x:c>
    </x:row>
    <x:row r="2489" ht="21.600000381469727" hidden="0" customHeight="1">
      <x:c r="A2489" s="29" t="str">
        <x:v>SCA-25</x:v>
      </x:c>
      <x:c r="B2489" s="29" t="str">
        <x:v>13069</x:v>
      </x:c>
      <x:c r="C2489" s="29" t="str">
        <x:v>GA</x:v>
      </x:c>
      <x:c r="D2489" s="29" t="str">
        <x:v>Coffee County</x:v>
      </x:c>
      <x:c r="E2489" s="41" t="n">
        <x:v>44407</x:v>
      </x:c>
      <x:c r="F2489" s="56" t="n">
        <x:v>31.549245</x:v>
      </x:c>
      <x:c r="G2489" s="56" t="n">
        <x:v>-82.84494</x:v>
      </x:c>
      <x:c r="H2489" s="44" t="n">
        <x:f>E2489/SUMIF(A:A,A2489,E:E)</x:f>
        <x:v>0.006929505270743341</x:v>
      </x:c>
    </x:row>
    <x:row r="2490" ht="21.600000381469727" hidden="0" customHeight="1">
      <x:c r="A2490" s="27" t="str">
        <x:v>SCA-25</x:v>
      </x:c>
      <x:c r="B2490" s="27" t="str">
        <x:v>12039</x:v>
      </x:c>
      <x:c r="C2490" s="27" t="str">
        <x:v>FL</x:v>
      </x:c>
      <x:c r="D2490" s="27" t="str">
        <x:v>Gadsden County</x:v>
      </x:c>
      <x:c r="E2490" s="40" t="n">
        <x:v>44298</x:v>
      </x:c>
      <x:c r="F2490" s="55" t="n">
        <x:v>30.578687</x:v>
      </x:c>
      <x:c r="G2490" s="55" t="n">
        <x:v>-84.612607</x:v>
      </x:c>
      <x:c r="H2490" s="43" t="n">
        <x:f>E2490/SUMIF(A:A,A2490,E:E)</x:f>
        <x:v>0.006912496329033452</x:v>
      </x:c>
    </x:row>
    <x:row r="2491" ht="15" hidden="0" customHeight="1">
      <x:c r="A2491" s="29" t="str">
        <x:v>SCA-25</x:v>
      </x:c>
      <x:c r="B2491" s="29" t="str">
        <x:v>13277</x:v>
      </x:c>
      <x:c r="C2491" s="29" t="str">
        <x:v>GA</x:v>
      </x:c>
      <x:c r="D2491" s="29" t="str">
        <x:v>Tift County</x:v>
      </x:c>
      <x:c r="E2491" s="41" t="n">
        <x:v>42254</x:v>
      </x:c>
      <x:c r="F2491" s="56" t="n">
        <x:v>31.457003</x:v>
      </x:c>
      <x:c r="G2491" s="56" t="n">
        <x:v>-83.525931</x:v>
      </x:c>
      <x:c r="H2491" s="44" t="n">
        <x:f>E2491/SUMIF(A:A,A2491,E:E)</x:f>
        <x:v>0.006593539660638843</x:v>
      </x:c>
    </x:row>
    <x:row r="2492" ht="21.600000381469727" hidden="0" customHeight="1">
      <x:c r="A2492" s="27" t="str">
        <x:v>SCA-25</x:v>
      </x:c>
      <x:c r="B2492" s="27" t="str">
        <x:v>45029</x:v>
      </x:c>
      <x:c r="C2492" s="27" t="str">
        <x:v>SC</x:v>
      </x:c>
      <x:c r="D2492" s="27" t="str">
        <x:v>Colleton County</x:v>
      </x:c>
      <x:c r="E2492" s="40" t="n">
        <x:v>39382</x:v>
      </x:c>
      <x:c r="F2492" s="55" t="n">
        <x:v>32.849386</x:v>
      </x:c>
      <x:c r="G2492" s="55" t="n">
        <x:v>-80.656402</x:v>
      </x:c>
      <x:c r="H2492" s="43" t="n">
        <x:f>E2492/SUMIF(A:A,A2492,E:E)</x:f>
        <x:v>0.006145377453383796</x:v>
      </x:c>
    </x:row>
    <x:row r="2493" ht="21.600000381469727" hidden="0" customHeight="1">
      <x:c r="A2493" s="29" t="str">
        <x:v>SCA-25</x:v>
      </x:c>
      <x:c r="B2493" s="29" t="str">
        <x:v>45053</x:v>
      </x:c>
      <x:c r="C2493" s="29" t="str">
        <x:v>SC</x:v>
      </x:c>
      <x:c r="D2493" s="29" t="str">
        <x:v>Jasper County</x:v>
      </x:c>
      <x:c r="E2493" s="41" t="n">
        <x:v>38533</x:v>
      </x:c>
      <x:c r="F2493" s="56" t="n">
        <x:v>32.430591</x:v>
      </x:c>
      <x:c r="G2493" s="56" t="n">
        <x:v>-81.021629</x:v>
      </x:c>
      <x:c r="H2493" s="44" t="n">
        <x:f>E2493/SUMIF(A:A,A2493,E:E)</x:f>
        <x:v>0.00601289496245081</x:v>
      </x:c>
    </x:row>
    <x:row r="2494" ht="21.600000381469727" hidden="0" customHeight="1">
      <x:c r="A2494" s="27" t="str">
        <x:v>SCA-25</x:v>
      </x:c>
      <x:c r="B2494" s="27" t="str">
        <x:v>12129</x:v>
      </x:c>
      <x:c r="C2494" s="27" t="str">
        <x:v>FL</x:v>
      </x:c>
      <x:c r="D2494" s="27" t="str">
        <x:v>Wakulla County</x:v>
      </x:c>
      <x:c r="E2494" s="40" t="n">
        <x:v>38089</x:v>
      </x:c>
      <x:c r="F2494" s="55" t="n">
        <x:v>30.091335</x:v>
      </x:c>
      <x:c r="G2494" s="55" t="n">
        <x:v>-84.359111</x:v>
      </x:c>
      <x:c r="H2494" s="43" t="n">
        <x:f>E2494/SUMIF(A:A,A2494,E:E)</x:f>
        <x:v>0.005943610832916953</x:v>
      </x:c>
    </x:row>
    <x:row r="2495" ht="15" hidden="0" customHeight="1">
      <x:c r="A2495" s="29" t="str">
        <x:v>SCA-25</x:v>
      </x:c>
      <x:c r="B2495" s="29" t="str">
        <x:v>13299</x:v>
      </x:c>
      <x:c r="C2495" s="29" t="str">
        <x:v>GA</x:v>
      </x:c>
      <x:c r="D2495" s="29" t="str">
        <x:v>Ware County</x:v>
      </x:c>
      <x:c r="E2495" s="41" t="n">
        <x:v>36906</x:v>
      </x:c>
      <x:c r="F2495" s="56" t="n">
        <x:v>31.050881</x:v>
      </x:c>
      <x:c r="G2495" s="56" t="n">
        <x:v>-82.421507</x:v>
      </x:c>
      <x:c r="H2495" s="44" t="n">
        <x:f>E2495/SUMIF(A:A,A2495,E:E)</x:f>
        <x:v>0.005759009199496785</x:v>
      </x:c>
    </x:row>
    <x:row r="2496" ht="21.600000381469727" hidden="0" customHeight="1">
      <x:c r="A2496" s="27" t="str">
        <x:v>SCA-25</x:v>
      </x:c>
      <x:c r="B2496" s="27" t="str">
        <x:v>13305</x:v>
      </x:c>
      <x:c r="C2496" s="27" t="str">
        <x:v>GA</x:v>
      </x:c>
      <x:c r="D2496" s="27" t="str">
        <x:v>Wayne County</x:v>
      </x:c>
      <x:c r="E2496" s="40" t="n">
        <x:v>32481</x:v>
      </x:c>
      <x:c r="F2496" s="55" t="n">
        <x:v>31.547845</x:v>
      </x:c>
      <x:c r="G2496" s="55" t="n">
        <x:v>-81.912376</x:v>
      </x:c>
      <x:c r="H2496" s="43" t="n">
        <x:f>E2496/SUMIF(A:A,A2496,E:E)</x:f>
        <x:v>0.005068508584210022</x:v>
      </x:c>
    </x:row>
    <x:row r="2497" ht="21.600000381469727" hidden="0" customHeight="1">
      <x:c r="A2497" s="29" t="str">
        <x:v>SCA-25</x:v>
      </x:c>
      <x:c r="B2497" s="29" t="str">
        <x:v>12003</x:v>
      </x:c>
      <x:c r="C2497" s="29" t="str">
        <x:v>FL</x:v>
      </x:c>
      <x:c r="D2497" s="29" t="str">
        <x:v>Baker County</x:v>
      </x:c>
      <x:c r="E2497" s="41" t="n">
        <x:v>29737</x:v>
      </x:c>
      <x:c r="F2497" s="56" t="n">
        <x:v>30.324442</x:v>
      </x:c>
      <x:c r="G2497" s="56" t="n">
        <x:v>-82.302284</x:v>
      </x:c>
      <x:c r="H2497" s="44" t="n">
        <x:f>E2497/SUMIF(A:A,A2497,E:E)</x:f>
        <x:v>0.004640320180063835</x:v>
      </x:c>
    </x:row>
    <x:row r="2498" ht="21.600000381469727" hidden="0" customHeight="1">
      <x:c r="A2498" s="27" t="str">
        <x:v>SCA-25</x:v>
      </x:c>
      <x:c r="B2498" s="27" t="str">
        <x:v>13087</x:v>
      </x:c>
      <x:c r="C2498" s="27" t="str">
        <x:v>GA</x:v>
      </x:c>
      <x:c r="D2498" s="27" t="str">
        <x:v>Decatur County</x:v>
      </x:c>
      <x:c r="E2498" s="40" t="n">
        <x:v>29432</x:v>
      </x:c>
      <x:c r="F2498" s="55" t="n">
        <x:v>30.880643</x:v>
      </x:c>
      <x:c r="G2498" s="55" t="n">
        <x:v>-84.58389</x:v>
      </x:c>
      <x:c r="H2498" s="43" t="n">
        <x:f>E2498/SUMIF(A:A,A2498,E:E)</x:f>
        <x:v>0.004592726352343504</x:v>
      </x:c>
    </x:row>
    <x:row r="2499" ht="21.600000381469727" hidden="0" customHeight="1">
      <x:c r="A2499" s="29" t="str">
        <x:v>SCA-25</x:v>
      </x:c>
      <x:c r="B2499" s="29" t="str">
        <x:v>12007</x:v>
      </x:c>
      <x:c r="C2499" s="29" t="str">
        <x:v>FL</x:v>
      </x:c>
      <x:c r="D2499" s="29" t="str">
        <x:v>Bradford County</x:v>
      </x:c>
      <x:c r="E2499" s="41" t="n">
        <x:v>28307</x:v>
      </x:c>
      <x:c r="F2499" s="56" t="n">
        <x:v>29.952386</x:v>
      </x:c>
      <x:c r="G2499" s="56" t="n">
        <x:v>-82.166698</x:v>
      </x:c>
      <x:c r="H2499" s="44" t="n">
        <x:f>E2499/SUMIF(A:A,A2499,E:E)</x:f>
        <x:v>0.004417175348457039</x:v>
      </x:c>
    </x:row>
    <x:row r="2500" ht="21.600000381469727" hidden="0" customHeight="1">
      <x:c r="A2500" s="27" t="str">
        <x:v>SCA-25</x:v>
      </x:c>
      <x:c r="B2500" s="27" t="str">
        <x:v>13279</x:v>
      </x:c>
      <x:c r="C2500" s="27" t="str">
        <x:v>GA</x:v>
      </x:c>
      <x:c r="D2500" s="27" t="str">
        <x:v>Toombs County</x:v>
      </x:c>
      <x:c r="E2500" s="40" t="n">
        <x:v>27545</x:v>
      </x:c>
      <x:c r="F2500" s="55" t="n">
        <x:v>32.117753</x:v>
      </x:c>
      <x:c r="G2500" s="55" t="n">
        <x:v>-82.330597</x:v>
      </x:c>
      <x:c r="H2500" s="43" t="n">
        <x:f>E2500/SUMIF(A:A,A2500,E:E)</x:f>
        <x:v>0.004298268801824607</x:v>
      </x:c>
    </x:row>
    <x:row r="2501" ht="21.600000381469727" hidden="0" customHeight="1">
      <x:c r="A2501" s="29" t="str">
        <x:v>SCA-25</x:v>
      </x:c>
      <x:c r="B2501" s="29" t="str">
        <x:v>13131</x:v>
      </x:c>
      <x:c r="C2501" s="29" t="str">
        <x:v>GA</x:v>
      </x:c>
      <x:c r="D2501" s="29" t="str">
        <x:v>Grady County</x:v>
      </x:c>
      <x:c r="E2501" s="41" t="n">
        <x:v>26590</x:v>
      </x:c>
      <x:c r="F2501" s="56" t="n">
        <x:v>30.8759</x:v>
      </x:c>
      <x:c r="G2501" s="56" t="n">
        <x:v>-84.244965</x:v>
      </x:c>
      <x:c r="H2501" s="44" t="n">
        <x:f>E2501/SUMIF(A:A,A2501,E:E)</x:f>
        <x:v>0.004149245505192097</x:v>
      </x:c>
    </x:row>
    <x:row r="2502" ht="21.600000381469727" hidden="0" customHeight="1">
      <x:c r="A2502" s="27" t="str">
        <x:v>SCA-25</x:v>
      </x:c>
      <x:c r="B2502" s="27" t="str">
        <x:v>13267</x:v>
      </x:c>
      <x:c r="C2502" s="27" t="str">
        <x:v>GA</x:v>
      </x:c>
      <x:c r="D2502" s="27" t="str">
        <x:v>Tattnall County</x:v>
      </x:c>
      <x:c r="E2502" s="40" t="n">
        <x:v>24376</x:v>
      </x:c>
      <x:c r="F2502" s="55" t="n">
        <x:v>32.043768</x:v>
      </x:c>
      <x:c r="G2502" s="55" t="n">
        <x:v>-82.059208</x:v>
      </x:c>
      <x:c r="H2502" s="43" t="n">
        <x:f>E2502/SUMIF(A:A,A2502,E:E)</x:f>
        <x:v>0.003803761129543533</x:v>
      </x:c>
    </x:row>
    <x:row r="2503" ht="15" hidden="0" customHeight="1">
      <x:c r="A2503" s="29" t="str">
        <x:v>SCA-25</x:v>
      </x:c>
      <x:c r="B2503" s="29" t="str">
        <x:v>13183</x:v>
      </x:c>
      <x:c r="C2503" s="29" t="str">
        <x:v>GA</x:v>
      </x:c>
      <x:c r="D2503" s="29" t="str">
        <x:v>Long County</x:v>
      </x:c>
      <x:c r="E2503" s="41" t="n">
        <x:v>21557</x:v>
      </x:c>
      <x:c r="F2503" s="56" t="n">
        <x:v>31.749563</x:v>
      </x:c>
      <x:c r="G2503" s="56" t="n">
        <x:v>-81.74287</x:v>
      </x:c>
      <x:c r="H2503" s="44" t="n">
        <x:f>E2503/SUMIF(A:A,A2503,E:E)</x:f>
        <x:v>0.003363869325138248</x:v>
      </x:c>
    </x:row>
    <x:row r="2504" ht="21.600000381469727" hidden="0" customHeight="1">
      <x:c r="A2504" s="27" t="str">
        <x:v>SCA-25</x:v>
      </x:c>
      <x:c r="B2504" s="27" t="str">
        <x:v>12123</x:v>
      </x:c>
      <x:c r="C2504" s="27" t="str">
        <x:v>FL</x:v>
      </x:c>
      <x:c r="D2504" s="27" t="str">
        <x:v>Taylor County</x:v>
      </x:c>
      <x:c r="E2504" s="40" t="n">
        <x:v>21210</x:v>
      </x:c>
      <x:c r="F2504" s="55" t="n">
        <x:v>29.967146</x:v>
      </x:c>
      <x:c r="G2504" s="55" t="n">
        <x:v>-83.639573</x:v>
      </x:c>
      <x:c r="H2504" s="43" t="n">
        <x:f>E2504/SUMIF(A:A,A2504,E:E)</x:f>
        <x:v>0.003309721593272823</x:v>
      </x:c>
    </x:row>
    <x:row r="2505" ht="21.600000381469727" hidden="0" customHeight="1">
      <x:c r="A2505" s="29" t="str">
        <x:v>SCA-25</x:v>
      </x:c>
      <x:c r="B2505" s="29" t="str">
        <x:v>13229</x:v>
      </x:c>
      <x:c r="C2505" s="29" t="str">
        <x:v>GA</x:v>
      </x:c>
      <x:c r="D2505" s="29" t="str">
        <x:v>Pierce County</x:v>
      </x:c>
      <x:c r="E2505" s="41" t="n">
        <x:v>20764</x:v>
      </x:c>
      <x:c r="F2505" s="56" t="n">
        <x:v>31.353998</x:v>
      </x:c>
      <x:c r="G2505" s="56" t="n">
        <x:v>-82.21037</x:v>
      </x:c>
      <x:c r="H2505" s="44" t="n">
        <x:f>E2505/SUMIF(A:A,A2505,E:E)</x:f>
        <x:v>0.003240125373065389</x:v>
      </x:c>
    </x:row>
    <x:row r="2506" ht="21.600000381469727" hidden="0" customHeight="1">
      <x:c r="A2506" s="27" t="str">
        <x:v>SCA-25</x:v>
      </x:c>
      <x:c r="B2506" s="27" t="str">
        <x:v>12041</x:v>
      </x:c>
      <x:c r="C2506" s="27" t="str">
        <x:v>FL</x:v>
      </x:c>
      <x:c r="D2506" s="27" t="str">
        <x:v>Gilchrist County</x:v>
      </x:c>
      <x:c r="E2506" s="40" t="n">
        <x:v>20488</x:v>
      </x:c>
      <x:c r="F2506" s="55" t="n">
        <x:v>29.723456</x:v>
      </x:c>
      <x:c r="G2506" s="55" t="n">
        <x:v>-82.795801</x:v>
      </x:c>
      <x:c r="H2506" s="43" t="n">
        <x:f>E2506/SUMIF(A:A,A2506,E:E)</x:f>
        <x:v>0.0031970568601119094</x:v>
      </x:c>
    </x:row>
    <x:row r="2507" ht="21.600000381469727" hidden="0" customHeight="1">
      <x:c r="A2507" s="29" t="str">
        <x:v>SCA-25</x:v>
      </x:c>
      <x:c r="B2507" s="29" t="str">
        <x:v>13205</x:v>
      </x:c>
      <x:c r="C2507" s="29" t="str">
        <x:v>GA</x:v>
      </x:c>
      <x:c r="D2507" s="29" t="str">
        <x:v>Mitchell County</x:v>
      </x:c>
      <x:c r="E2507" s="41" t="n">
        <x:v>20467</x:v>
      </x:c>
      <x:c r="F2507" s="56" t="n">
        <x:v>31.228997</x:v>
      </x:c>
      <x:c r="G2507" s="56" t="n">
        <x:v>-84.192038</x:v>
      </x:c>
      <x:c r="H2507" s="44" t="n">
        <x:f>E2507/SUMIF(A:A,A2507,E:E)</x:f>
        <x:v>0.0031937799080393623</x:v>
      </x:c>
    </x:row>
    <x:row r="2508" ht="21.600000381469727" hidden="0" customHeight="1">
      <x:c r="A2508" s="27" t="str">
        <x:v>SCA-25</x:v>
      </x:c>
      <x:c r="B2508" s="27" t="str">
        <x:v>13321</x:v>
      </x:c>
      <x:c r="C2508" s="27" t="str">
        <x:v>GA</x:v>
      </x:c>
      <x:c r="D2508" s="27" t="str">
        <x:v>Worth County</x:v>
      </x:c>
      <x:c r="E2508" s="40" t="n">
        <x:v>20059</x:v>
      </x:c>
      <x:c r="F2508" s="55" t="n">
        <x:v>31.551773</x:v>
      </x:c>
      <x:c r="G2508" s="55" t="n">
        <x:v>-83.84996</x:v>
      </x:c>
      <x:c r="H2508" s="43" t="n">
        <x:f>E2508/SUMIF(A:A,A2508,E:E)</x:f>
        <x:v>0.0031301134106298707</x:v>
      </x:c>
    </x:row>
    <x:row r="2509" ht="21.600000381469727" hidden="0" customHeight="1">
      <x:c r="A2509" s="29" t="str">
        <x:v>SCA-25</x:v>
      </x:c>
      <x:c r="B2509" s="29" t="str">
        <x:v>13001</x:v>
      </x:c>
      <x:c r="C2509" s="29" t="str">
        <x:v>GA</x:v>
      </x:c>
      <x:c r="D2509" s="29" t="str">
        <x:v>Appling County</x:v>
      </x:c>
      <x:c r="E2509" s="41" t="n">
        <x:v>19100</x:v>
      </x:c>
      <x:c r="F2509" s="56" t="n">
        <x:v>31.739726</x:v>
      </x:c>
      <x:c r="G2509" s="56" t="n">
        <x:v>-82.290102</x:v>
      </x:c>
      <x:c r="H2509" s="44" t="n">
        <x:f>E2509/SUMIF(A:A,A2509,E:E)</x:f>
        <x:v>0.0029804659326502086</x:v>
      </x:c>
    </x:row>
    <x:row r="2510" ht="21.600000381469727" hidden="0" customHeight="1">
      <x:c r="A2510" s="27" t="str">
        <x:v>SCA-25</x:v>
      </x:c>
      <x:c r="B2510" s="27" t="str">
        <x:v>13025</x:v>
      </x:c>
      <x:c r="C2510" s="27" t="str">
        <x:v>GA</x:v>
      </x:c>
      <x:c r="D2510" s="27" t="str">
        <x:v>Brantley County</x:v>
      </x:c>
      <x:c r="E2510" s="40" t="n">
        <x:v>18936</x:v>
      </x:c>
      <x:c r="F2510" s="55" t="n">
        <x:v>31.197334</x:v>
      </x:c>
      <x:c r="G2510" s="55" t="n">
        <x:v>-81.982978</x:v>
      </x:c>
      <x:c r="H2510" s="43" t="n">
        <x:f>E2510/SUMIF(A:A,A2510,E:E)</x:f>
        <x:v>0.0029548744974169814</x:v>
      </x:c>
    </x:row>
    <x:row r="2511" ht="21.600000381469727" hidden="0" customHeight="1">
      <x:c r="A2511" s="29" t="str">
        <x:v>SCA-25</x:v>
      </x:c>
      <x:c r="B2511" s="29" t="str">
        <x:v>13019</x:v>
      </x:c>
      <x:c r="C2511" s="29" t="str">
        <x:v>GA</x:v>
      </x:c>
      <x:c r="D2511" s="29" t="str">
        <x:v>Berrien County</x:v>
      </x:c>
      <x:c r="E2511" s="41" t="n">
        <x:v>18932</x:v>
      </x:c>
      <x:c r="F2511" s="56" t="n">
        <x:v>31.288652</x:v>
      </x:c>
      <x:c r="G2511" s="56" t="n">
        <x:v>-83.22787</x:v>
      </x:c>
      <x:c r="H2511" s="44" t="n">
        <x:f>E2511/SUMIF(A:A,A2511,E:E)</x:f>
        <x:v>0.00295425031606983</x:v>
      </x:c>
    </x:row>
    <x:row r="2512" ht="21.600000381469727" hidden="0" customHeight="1">
      <x:c r="A2512" s="27" t="str">
        <x:v>SCA-25</x:v>
      </x:c>
      <x:c r="B2512" s="27" t="str">
        <x:v>12079</x:v>
      </x:c>
      <x:c r="C2512" s="27" t="str">
        <x:v>FL</x:v>
      </x:c>
      <x:c r="D2512" s="27" t="str">
        <x:v>Madison County</x:v>
      </x:c>
      <x:c r="E2512" s="40" t="n">
        <x:v>18759</x:v>
      </x:c>
      <x:c r="F2512" s="55" t="n">
        <x:v>30.447233</x:v>
      </x:c>
      <x:c r="G2512" s="55" t="n">
        <x:v>-83.470416</x:v>
      </x:c>
      <x:c r="H2512" s="43" t="n">
        <x:f>E2512/SUMIF(A:A,A2512,E:E)</x:f>
        <x:v>0.002927254472805511</x:v>
      </x:c>
    </x:row>
    <x:row r="2513" ht="15" hidden="0" customHeight="1">
      <x:c r="A2513" s="29" t="str">
        <x:v>SCA-25</x:v>
      </x:c>
      <x:c r="B2513" s="29" t="str">
        <x:v>13075</x:v>
      </x:c>
      <x:c r="C2513" s="29" t="str">
        <x:v>GA</x:v>
      </x:c>
      <x:c r="D2513" s="29" t="str">
        <x:v>Cook County</x:v>
      </x:c>
      <x:c r="E2513" s="41" t="n">
        <x:v>18232</x:v>
      </x:c>
      <x:c r="F2513" s="56" t="n">
        <x:v>31.152516</x:v>
      </x:c>
      <x:c r="G2513" s="56" t="n">
        <x:v>-83.429445</x:v>
      </x:c>
      <x:c r="H2513" s="44" t="n">
        <x:f>E2513/SUMIF(A:A,A2513,E:E)</x:f>
        <x:v>0.0028450185803182513</x:v>
      </x:c>
    </x:row>
    <x:row r="2514" ht="21.600000381469727" hidden="0" customHeight="1">
      <x:c r="A2514" s="27" t="str">
        <x:v>SCA-25</x:v>
      </x:c>
      <x:c r="B2514" s="27" t="str">
        <x:v>45049</x:v>
      </x:c>
      <x:c r="C2514" s="27" t="str">
        <x:v>SC</x:v>
      </x:c>
      <x:c r="D2514" s="27" t="str">
        <x:v>Hampton County</x:v>
      </x:c>
      <x:c r="E2514" s="40" t="n">
        <x:v>18174</x:v>
      </x:c>
      <x:c r="F2514" s="55" t="n">
        <x:v>32.778334</x:v>
      </x:c>
      <x:c r="G2514" s="55" t="n">
        <x:v>-81.143822</x:v>
      </x:c>
      <x:c r="H2514" s="43" t="n">
        <x:f>E2514/SUMIF(A:A,A2514,E:E)</x:f>
        <x:v>0.002835967950784549</x:v>
      </x:c>
    </x:row>
    <x:row r="2515" ht="15" hidden="0" customHeight="1">
      <x:c r="A2515" s="29" t="str">
        <x:v>SCA-25</x:v>
      </x:c>
      <x:c r="B2515" s="29" t="str">
        <x:v>12029</x:v>
      </x:c>
      <x:c r="C2515" s="29" t="str">
        <x:v>FL</x:v>
      </x:c>
      <x:c r="D2515" s="29" t="str">
        <x:v>Dixie County</x:v>
      </x:c>
      <x:c r="E2515" s="41" t="n">
        <x:v>18038</x:v>
      </x:c>
      <x:c r="F2515" s="56" t="n">
        <x:v>29.552675</x:v>
      </x:c>
      <x:c r="G2515" s="56" t="n">
        <x:v>-83.236232</x:v>
      </x:c>
      <x:c r="H2515" s="44" t="n">
        <x:f>E2515/SUMIF(A:A,A2515,E:E)</x:f>
        <x:v>0.0028147457849813855</x:v>
      </x:c>
    </x:row>
    <x:row r="2516" ht="21.600000381469727" hidden="0" customHeight="1">
      <x:c r="A2516" s="27" t="str">
        <x:v>SCA-25</x:v>
      </x:c>
      <x:c r="B2516" s="27" t="str">
        <x:v>13017</x:v>
      </x:c>
      <x:c r="C2516" s="27" t="str">
        <x:v>GA</x:v>
      </x:c>
      <x:c r="D2516" s="27" t="str">
        <x:v>Ben Hill County</x:v>
      </x:c>
      <x:c r="E2516" s="40" t="n">
        <x:v>17099</x:v>
      </x:c>
      <x:c r="F2516" s="55" t="n">
        <x:v>31.730583</x:v>
      </x:c>
      <x:c r="G2516" s="55" t="n">
        <x:v>-83.162961</x:v>
      </x:c>
      <x:c r="H2516" s="43" t="n">
        <x:f>E2516/SUMIF(A:A,A2516,E:E)</x:f>
        <x:v>0.0026682192137374825</x:v>
      </x:c>
    </x:row>
    <x:row r="2517" ht="21.600000381469727" hidden="0" customHeight="1">
      <x:c r="A2517" s="29" t="str">
        <x:v>SCA-25</x:v>
      </x:c>
      <x:c r="B2517" s="29" t="str">
        <x:v>12125</x:v>
      </x:c>
      <x:c r="C2517" s="29" t="str">
        <x:v>FL</x:v>
      </x:c>
      <x:c r="D2517" s="29" t="str">
        <x:v>Union County</x:v>
      </x:c>
      <x:c r="E2517" s="41" t="n">
        <x:v>16250</x:v>
      </x:c>
      <x:c r="F2517" s="56" t="n">
        <x:v>30.05428</x:v>
      </x:c>
      <x:c r="G2517" s="56" t="n">
        <x:v>-82.366918</x:v>
      </x:c>
      <x:c r="H2517" s="44" t="n">
        <x:f>E2517/SUMIF(A:A,A2517,E:E)</x:f>
        <x:v>0.0025357367228044966</x:v>
      </x:c>
    </x:row>
    <x:row r="2518" ht="21.600000381469727" hidden="0" customHeight="1">
      <x:c r="A2518" s="27" t="str">
        <x:v>SCA-25</x:v>
      </x:c>
      <x:c r="B2518" s="27" t="str">
        <x:v>13027</x:v>
      </x:c>
      <x:c r="C2518" s="27" t="str">
        <x:v>GA</x:v>
      </x:c>
      <x:c r="D2518" s="27" t="str">
        <x:v>Brooks County</x:v>
      </x:c>
      <x:c r="E2518" s="40" t="n">
        <x:v>16101</x:v>
      </x:c>
      <x:c r="F2518" s="55" t="n">
        <x:v>30.822934</x:v>
      </x:c>
      <x:c r="G2518" s="55" t="n">
        <x:v>-83.581905</x:v>
      </x:c>
      <x:c r="H2518" s="43" t="n">
        <x:f>E2518/SUMIF(A:A,A2518,E:E)</x:f>
        <x:v>0.0025124859676230894</x:v>
      </x:c>
    </x:row>
    <x:row r="2519" ht="21.600000381469727" hidden="0" customHeight="1">
      <x:c r="A2519" s="29" t="str">
        <x:v>SCA-25</x:v>
      </x:c>
      <x:c r="B2519" s="29" t="str">
        <x:v>12065</x:v>
      </x:c>
      <x:c r="C2519" s="29" t="str">
        <x:v>FL</x:v>
      </x:c>
      <x:c r="D2519" s="29" t="str">
        <x:v>Jefferson County</x:v>
      </x:c>
      <x:c r="E2519" s="41" t="n">
        <x:v>16007</x:v>
      </x:c>
      <x:c r="F2519" s="56" t="n">
        <x:v>30.396898</x:v>
      </x:c>
      <x:c r="G2519" s="56" t="n">
        <x:v>-83.921761</x:v>
      </x:c>
      <x:c r="H2519" s="44" t="n">
        <x:f>E2519/SUMIF(A:A,A2519,E:E)</x:f>
        <x:v>0.00249781770596502</x:v>
      </x:c>
    </x:row>
    <x:row r="2520" ht="15" hidden="0" customHeight="1">
      <x:c r="A2520" s="27" t="str">
        <x:v>SCA-25</x:v>
      </x:c>
      <x:c r="B2520" s="27" t="str">
        <x:v>12045</x:v>
      </x:c>
      <x:c r="C2520" s="27" t="str">
        <x:v>FL</x:v>
      </x:c>
      <x:c r="D2520" s="27" t="str">
        <x:v>Gulf County</x:v>
      </x:c>
      <x:c r="E2520" s="40" t="n">
        <x:v>15943</x:v>
      </x:c>
      <x:c r="F2520" s="55" t="n">
        <x:v>29.859238</x:v>
      </x:c>
      <x:c r="G2520" s="55" t="n">
        <x:v>-85.272041</x:v>
      </x:c>
      <x:c r="H2520" s="43" t="n">
        <x:f>E2520/SUMIF(A:A,A2520,E:E)</x:f>
        <x:v>0.00248783080441059</x:v>
      </x:c>
    </x:row>
    <x:row r="2521" ht="21.600000381469727" hidden="0" customHeight="1">
      <x:c r="A2521" s="29" t="str">
        <x:v>SCA-25</x:v>
      </x:c>
      <x:c r="B2521" s="29" t="str">
        <x:v>13161</x:v>
      </x:c>
      <x:c r="C2521" s="29" t="str">
        <x:v>GA</x:v>
      </x:c>
      <x:c r="D2521" s="29" t="str">
        <x:v>Jeff Davis County</x:v>
      </x:c>
      <x:c r="E2521" s="41" t="n">
        <x:v>15219</x:v>
      </x:c>
      <x:c r="F2521" s="56" t="n">
        <x:v>31.811615</x:v>
      </x:c>
      <x:c r="G2521" s="56" t="n">
        <x:v>-82.636825</x:v>
      </x:c>
      <x:c r="H2521" s="44" t="n">
        <x:f>E2521/SUMIF(A:A,A2521,E:E)</x:f>
        <x:v>0.0023748539805761005</x:v>
      </x:c>
    </x:row>
    <x:row r="2522" ht="21.600000381469727" hidden="0" customHeight="1">
      <x:c r="A2522" s="27" t="str">
        <x:v>SCA-25</x:v>
      </x:c>
      <x:c r="B2522" s="27" t="str">
        <x:v>13251</x:v>
      </x:c>
      <x:c r="C2522" s="27" t="str">
        <x:v>GA</x:v>
      </x:c>
      <x:c r="D2522" s="27" t="str">
        <x:v>Screven County</x:v>
      </x:c>
      <x:c r="E2522" s="40" t="n">
        <x:v>14408</x:v>
      </x:c>
      <x:c r="F2522" s="55" t="n">
        <x:v>32.744751</x:v>
      </x:c>
      <x:c r="G2522" s="55" t="n">
        <x:v>-81.617585</x:v>
      </x:c>
      <x:c r="H2522" s="43" t="n">
        <x:f>E2522/SUMIF(A:A,A2522,E:E)</x:f>
        <x:v>0.0022483012124410577</x:v>
      </x:c>
    </x:row>
    <x:row r="2523" ht="21.600000381469727" hidden="0" customHeight="1">
      <x:c r="A2523" s="29" t="str">
        <x:v>SCA-25</x:v>
      </x:c>
      <x:c r="B2523" s="29" t="str">
        <x:v>12047</x:v>
      </x:c>
      <x:c r="C2523" s="29" t="str">
        <x:v>FL</x:v>
      </x:c>
      <x:c r="D2523" s="29" t="str">
        <x:v>Hamilton County</x:v>
      </x:c>
      <x:c r="E2523" s="41" t="n">
        <x:v>14180</x:v>
      </x:c>
      <x:c r="F2523" s="56" t="n">
        <x:v>30.498438</x:v>
      </x:c>
      <x:c r="G2523" s="56" t="n">
        <x:v>-82.951116</x:v>
      </x:c>
      <x:c r="H2523" s="44" t="n">
        <x:f>E2523/SUMIF(A:A,A2523,E:E)</x:f>
        <x:v>0.002212722875653401</x:v>
      </x:c>
    </x:row>
    <x:row r="2524" ht="21.600000381469727" hidden="0" customHeight="1">
      <x:c r="A2524" s="27" t="str">
        <x:v>SCA-25</x:v>
      </x:c>
      <x:c r="B2524" s="27" t="str">
        <x:v>12013</x:v>
      </x:c>
      <x:c r="C2524" s="27" t="str">
        <x:v>FL</x:v>
      </x:c>
      <x:c r="D2524" s="27" t="str">
        <x:v>Calhoun County</x:v>
      </x:c>
      <x:c r="E2524" s="40" t="n">
        <x:v>13289</x:v>
      </x:c>
      <x:c r="F2524" s="55" t="n">
        <x:v>30.388801</x:v>
      </x:c>
      <x:c r="G2524" s="55" t="n">
        <x:v>-85.197915</x:v>
      </x:c>
      <x:c r="H2524" s="43" t="n">
        <x:f>E2524/SUMIF(A:A,A2524,E:E)</x:f>
        <x:v>0.0020736864805753204</x:v>
      </x:c>
    </x:row>
    <x:row r="2525" ht="21.600000381469727" hidden="0" customHeight="1">
      <x:c r="A2525" s="29" t="str">
        <x:v>SCA-25</x:v>
      </x:c>
      <x:c r="B2525" s="29" t="str">
        <x:v>13049</x:v>
      </x:c>
      <x:c r="C2525" s="29" t="str">
        <x:v>GA</x:v>
      </x:c>
      <x:c r="D2525" s="29" t="str">
        <x:v>Charlton County</x:v>
      </x:c>
      <x:c r="E2525" s="41" t="n">
        <x:v>13121</x:v>
      </x:c>
      <x:c r="F2525" s="56" t="n">
        <x:v>30.779904</x:v>
      </x:c>
      <x:c r="G2525" s="56" t="n">
        <x:v>-82.139644</x:v>
      </x:c>
      <x:c r="H2525" s="44" t="n">
        <x:f>E2525/SUMIF(A:A,A2525,E:E)</x:f>
        <x:v>0.0020474708639949416</x:v>
      </x:c>
    </x:row>
    <x:row r="2526" ht="21.600000381469727" hidden="0" customHeight="1">
      <x:c r="A2526" s="27" t="str">
        <x:v>SCA-25</x:v>
      </x:c>
      <x:c r="B2526" s="27" t="str">
        <x:v>12037</x:v>
      </x:c>
      <x:c r="C2526" s="27" t="str">
        <x:v>FL</x:v>
      </x:c>
      <x:c r="D2526" s="27" t="str">
        <x:v>Franklin County</x:v>
      </x:c>
      <x:c r="E2526" s="40" t="n">
        <x:v>13029</x:v>
      </x:c>
      <x:c r="F2526" s="55" t="n">
        <x:v>29.677794</x:v>
      </x:c>
      <x:c r="G2526" s="55" t="n">
        <x:v>-84.815213</x:v>
      </x:c>
      <x:c r="H2526" s="43" t="n">
        <x:f>E2526/SUMIF(A:A,A2526,E:E)</x:f>
        <x:v>0.0020331146930104484</x:v>
      </x:c>
    </x:row>
    <x:row r="2527" ht="21.600000381469727" hidden="0" customHeight="1">
      <x:c r="A2527" s="29" t="str">
        <x:v>SCA-25</x:v>
      </x:c>
      <x:c r="B2527" s="29" t="str">
        <x:v>45009</x:v>
      </x:c>
      <x:c r="C2527" s="29" t="str">
        <x:v>SC</x:v>
      </x:c>
      <x:c r="D2527" s="29" t="str">
        <x:v>Bamberg County</x:v>
      </x:c>
      <x:c r="E2527" s="41" t="n">
        <x:v>12796</x:v>
      </x:c>
      <x:c r="F2527" s="56" t="n">
        <x:v>33.203021</x:v>
      </x:c>
      <x:c r="G2527" s="56" t="n">
        <x:v>-81.053161</x:v>
      </x:c>
      <x:c r="H2527" s="44" t="n">
        <x:f>E2527/SUMIF(A:A,A2527,E:E)</x:f>
        <x:v>0.0019967561295388516</x:v>
      </x:c>
    </x:row>
    <x:row r="2528" ht="21.600000381469727" hidden="0" customHeight="1">
      <x:c r="A2528" s="27" t="str">
        <x:v>SCA-25</x:v>
      </x:c>
      <x:c r="B2528" s="27" t="str">
        <x:v>13191</x:v>
      </x:c>
      <x:c r="C2528" s="27" t="str">
        <x:v>GA</x:v>
      </x:c>
      <x:c r="D2528" s="27" t="str">
        <x:v>McIntosh County</x:v>
      </x:c>
      <x:c r="E2528" s="40" t="n">
        <x:v>11989</x:v>
      </x:c>
      <x:c r="F2528" s="55" t="n">
        <x:v>31.485629</x:v>
      </x:c>
      <x:c r="G2528" s="55" t="n">
        <x:v>-81.372141</x:v>
      </x:c>
      <x:c r="H2528" s="43" t="n">
        <x:f>E2528/SUMIF(A:A,A2528,E:E)</x:f>
        <x:v>0.0018708275427509607</x:v>
      </x:c>
    </x:row>
    <x:row r="2529" ht="21.600000381469727" hidden="0" customHeight="1">
      <x:c r="A2529" s="29" t="str">
        <x:v>SCA-25</x:v>
      </x:c>
      <x:c r="B2529" s="29" t="str">
        <x:v>13043</x:v>
      </x:c>
      <x:c r="C2529" s="29" t="str">
        <x:v>GA</x:v>
      </x:c>
      <x:c r="D2529" s="29" t="str">
        <x:v>Candler County</x:v>
      </x:c>
      <x:c r="E2529" s="41" t="n">
        <x:v>11275</x:v>
      </x:c>
      <x:c r="F2529" s="56" t="n">
        <x:v>32.40395</x:v>
      </x:c>
      <x:c r="G2529" s="56" t="n">
        <x:v>-82.071266</x:v>
      </x:c>
      <x:c r="H2529" s="44" t="n">
        <x:f>E2529/SUMIF(A:A,A2529,E:E)</x:f>
        <x:v>0.0017594111722843509</x:v>
      </x:c>
    </x:row>
    <x:row r="2530" ht="21.600000381469727" hidden="0" customHeight="1">
      <x:c r="A2530" s="27" t="str">
        <x:v>SCA-25</x:v>
      </x:c>
      <x:c r="B2530" s="27" t="str">
        <x:v>13271</x:v>
      </x:c>
      <x:c r="C2530" s="27" t="str">
        <x:v>GA</x:v>
      </x:c>
      <x:c r="D2530" s="27" t="str">
        <x:v>Telfair County</x:v>
      </x:c>
      <x:c r="E2530" s="40" t="n">
        <x:v>11195</x:v>
      </x:c>
      <x:c r="F2530" s="55" t="n">
        <x:v>31.913641</x:v>
      </x:c>
      <x:c r="G2530" s="55" t="n">
        <x:v>-82.931063</x:v>
      </x:c>
      <x:c r="H2530" s="43" t="n">
        <x:f>E2530/SUMIF(A:A,A2530,E:E)</x:f>
        <x:v>0.0017469275453413132</x:v>
      </x:c>
    </x:row>
    <x:row r="2531" ht="21.600000381469727" hidden="0" customHeight="1">
      <x:c r="A2531" s="29" t="str">
        <x:v>SCA-25</x:v>
      </x:c>
      <x:c r="B2531" s="29" t="str">
        <x:v>13005</x:v>
      </x:c>
      <x:c r="C2531" s="29" t="str">
        <x:v>GA</x:v>
      </x:c>
      <x:c r="D2531" s="29" t="str">
        <x:v>Bacon County</x:v>
      </x:c>
      <x:c r="E2531" s="41" t="n">
        <x:v>11070</x:v>
      </x:c>
      <x:c r="F2531" s="56" t="n">
        <x:v>31.55021</x:v>
      </x:c>
      <x:c r="G2531" s="56" t="n">
        <x:v>-82.451433</x:v>
      </x:c>
      <x:c r="H2531" s="44" t="n">
        <x:f>E2531/SUMIF(A:A,A2531,E:E)</x:f>
        <x:v>0.001727421878242817</x:v>
      </x:c>
    </x:row>
    <x:row r="2532" ht="21.600000381469727" hidden="0" customHeight="1">
      <x:c r="A2532" s="27" t="str">
        <x:v>SCA-25</x:v>
      </x:c>
      <x:c r="B2532" s="27" t="str">
        <x:v>13109</x:v>
      </x:c>
      <x:c r="C2532" s="27" t="str">
        <x:v>GA</x:v>
      </x:c>
      <x:c r="D2532" s="27" t="str">
        <x:v>Evans County</x:v>
      </x:c>
      <x:c r="E2532" s="40" t="n">
        <x:v>11028</x:v>
      </x:c>
      <x:c r="F2532" s="55" t="n">
        <x:v>32.153083</x:v>
      </x:c>
      <x:c r="G2532" s="55" t="n">
        <x:v>-81.890153</x:v>
      </x:c>
      <x:c r="H2532" s="43" t="n">
        <x:f>E2532/SUMIF(A:A,A2532,E:E)</x:f>
        <x:v>0.0017208679740977225</x:v>
      </x:c>
    </x:row>
    <x:row r="2533" ht="21.600000381469727" hidden="0" customHeight="1">
      <x:c r="A2533" s="29" t="str">
        <x:v>SCA-25</x:v>
      </x:c>
      <x:c r="B2533" s="29" t="str">
        <x:v>13173</x:v>
      </x:c>
      <x:c r="C2533" s="29" t="str">
        <x:v>GA</x:v>
      </x:c>
      <x:c r="D2533" s="29" t="str">
        <x:v>Lanier County</x:v>
      </x:c>
      <x:c r="E2533" s="41" t="n">
        <x:v>10623</x:v>
      </x:c>
      <x:c r="F2533" s="56" t="n">
        <x:v>31.038197</x:v>
      </x:c>
      <x:c r="G2533" s="56" t="n">
        <x:v>-83.063164</x:v>
      </x:c>
      <x:c r="H2533" s="44" t="n">
        <x:f>E2533/SUMIF(A:A,A2533,E:E)</x:f>
        <x:v>0.001657669612698595</x:v>
      </x:c>
    </x:row>
    <x:row r="2534" ht="21.600000381469727" hidden="0" customHeight="1">
      <x:c r="A2534" s="27" t="str">
        <x:v>SCA-25</x:v>
      </x:c>
      <x:c r="B2534" s="27" t="str">
        <x:v>13253</x:v>
      </x:c>
      <x:c r="C2534" s="27" t="str">
        <x:v>GA</x:v>
      </x:c>
      <x:c r="D2534" s="27" t="str">
        <x:v>Seminole County</x:v>
      </x:c>
      <x:c r="E2534" s="40" t="n">
        <x:v>9162</x:v>
      </x:c>
      <x:c r="F2534" s="55" t="n">
        <x:v>30.93396</x:v>
      </x:c>
      <x:c r="G2534" s="55" t="n">
        <x:v>-84.867685</x:v>
      </x:c>
      <x:c r="H2534" s="43" t="n">
        <x:f>E2534/SUMIF(A:A,A2534,E:E)</x:f>
        <x:v>0.0014296873756513722</x:v>
      </x:c>
    </x:row>
    <x:row r="2535" ht="15" hidden="0" customHeight="1">
      <x:c r="A2535" s="29" t="str">
        <x:v>SCA-25</x:v>
      </x:c>
      <x:c r="B2535" s="29" t="str">
        <x:v>13155</x:v>
      </x:c>
      <x:c r="C2535" s="29" t="str">
        <x:v>GA</x:v>
      </x:c>
      <x:c r="D2535" s="29" t="str">
        <x:v>Irwin County</x:v>
      </x:c>
      <x:c r="E2535" s="41" t="n">
        <x:v>9020</x:v>
      </x:c>
      <x:c r="F2535" s="56" t="n">
        <x:v>31.604306</x:v>
      </x:c>
      <x:c r="G2535" s="56" t="n">
        <x:v>-83.277037</x:v>
      </x:c>
      <x:c r="H2535" s="44" t="n">
        <x:f>E2535/SUMIF(A:A,A2535,E:E)</x:f>
        <x:v>0.0014075289378274807</x:v>
      </x:c>
    </x:row>
    <x:row r="2536" ht="21.600000381469727" hidden="0" customHeight="1">
      <x:c r="A2536" s="27" t="str">
        <x:v>SCA-25</x:v>
      </x:c>
      <x:c r="B2536" s="27" t="str">
        <x:v>13287</x:v>
      </x:c>
      <x:c r="C2536" s="27" t="str">
        <x:v>GA</x:v>
      </x:c>
      <x:c r="D2536" s="27" t="str">
        <x:v>Turner County</x:v>
      </x:c>
      <x:c r="E2536" s="40" t="n">
        <x:v>8983</x:v>
      </x:c>
      <x:c r="F2536" s="55" t="n">
        <x:v>31.7248</x:v>
      </x:c>
      <x:c r="G2536" s="55" t="n">
        <x:v>-83.620319</x:v>
      </x:c>
      <x:c r="H2536" s="43" t="n">
        <x:f>E2536/SUMIF(A:A,A2536,E:E)</x:f>
        <x:v>0.0014017552603663257</x:v>
      </x:c>
    </x:row>
    <x:row r="2537" ht="21.600000381469727" hidden="0" customHeight="1">
      <x:c r="A2537" s="29" t="str">
        <x:v>SCA-25</x:v>
      </x:c>
      <x:c r="B2537" s="29" t="str">
        <x:v>13165</x:v>
      </x:c>
      <x:c r="C2537" s="29" t="str">
        <x:v>GA</x:v>
      </x:c>
      <x:c r="D2537" s="29" t="str">
        <x:v>Jenkins County</x:v>
      </x:c>
      <x:c r="E2537" s="41" t="n">
        <x:v>8843</x:v>
      </x:c>
      <x:c r="F2537" s="56" t="n">
        <x:v>32.794563</x:v>
      </x:c>
      <x:c r="G2537" s="56" t="n">
        <x:v>-81.971524</x:v>
      </x:c>
      <x:c r="H2537" s="44" t="n">
        <x:f>E2537/SUMIF(A:A,A2537,E:E)</x:f>
        <x:v>0.0013799089132160102</x:v>
      </x:c>
    </x:row>
    <x:row r="2538" ht="21.600000381469727" hidden="0" customHeight="1">
      <x:c r="A2538" s="27" t="str">
        <x:v>SCA-25</x:v>
      </x:c>
      <x:c r="B2538" s="27" t="str">
        <x:v>12067</x:v>
      </x:c>
      <x:c r="C2538" s="27" t="str">
        <x:v>FL</x:v>
      </x:c>
      <x:c r="D2538" s="27" t="str">
        <x:v>Lafayette County</x:v>
      </x:c>
      <x:c r="E2538" s="40" t="n">
        <x:v>8792</x:v>
      </x:c>
      <x:c r="F2538" s="55" t="n">
        <x:v>29.990066</x:v>
      </x:c>
      <x:c r="G2538" s="55" t="n">
        <x:v>-83.17851</x:v>
      </x:c>
      <x:c r="H2538" s="43" t="n">
        <x:f>E2538/SUMIF(A:A,A2538,E:E)</x:f>
        <x:v>0.0013719506010398236</x:v>
      </x:c>
    </x:row>
    <x:row r="2539" ht="21.600000381469727" hidden="0" customHeight="1">
      <x:c r="A2539" s="29" t="str">
        <x:v>SCA-25</x:v>
      </x:c>
      <x:c r="B2539" s="29" t="str">
        <x:v>13209</x:v>
      </x:c>
      <x:c r="C2539" s="29" t="str">
        <x:v>GA</x:v>
      </x:c>
      <x:c r="D2539" s="29" t="str">
        <x:v>Montgomery County</x:v>
      </x:c>
      <x:c r="E2539" s="41" t="n">
        <x:v>8635</x:v>
      </x:c>
      <x:c r="F2539" s="56" t="n">
        <x:v>32.172108</x:v>
      </x:c>
      <x:c r="G2539" s="56" t="n">
        <x:v>-82.533349</x:v>
      </x:c>
      <x:c r="H2539" s="44" t="n">
        <x:f>E2539/SUMIF(A:A,A2539,E:E)</x:f>
        <x:v>0.0013474514831641126</x:v>
      </x:c>
    </x:row>
    <x:row r="2540" ht="21.600000381469727" hidden="0" customHeight="1">
      <x:c r="A2540" s="27" t="str">
        <x:v>SCA-25</x:v>
      </x:c>
      <x:c r="B2540" s="27" t="str">
        <x:v>13003</x:v>
      </x:c>
      <x:c r="C2540" s="27" t="str">
        <x:v>GA</x:v>
      </x:c>
      <x:c r="D2540" s="27" t="str">
        <x:v>Atkinson County</x:v>
      </x:c>
      <x:c r="E2540" s="40" t="n">
        <x:v>8454</x:v>
      </x:c>
      <x:c r="F2540" s="55" t="n">
        <x:v>31.296806</x:v>
      </x:c>
      <x:c r="G2540" s="55" t="n">
        <x:v>-82.878151</x:v>
      </x:c>
      <x:c r="H2540" s="43" t="n">
        <x:f>E2540/SUMIF(A:A,A2540,E:E)</x:f>
        <x:v>0.00131920727720549</x:v>
      </x:c>
    </x:row>
    <x:row r="2541" ht="21.600000381469727" hidden="0" customHeight="1">
      <x:c r="A2541" s="29" t="str">
        <x:v>SCA-25</x:v>
      </x:c>
      <x:c r="B2541" s="29" t="str">
        <x:v>12077</x:v>
      </x:c>
      <x:c r="C2541" s="29" t="str">
        <x:v>FL</x:v>
      </x:c>
      <x:c r="D2541" s="29" t="str">
        <x:v>Liberty County</x:v>
      </x:c>
      <x:c r="E2541" s="41" t="n">
        <x:v>8035</x:v>
      </x:c>
      <x:c r="F2541" s="56" t="n">
        <x:v>30.259849</x:v>
      </x:c>
      <x:c r="G2541" s="56" t="n">
        <x:v>-84.86858</x:v>
      </x:c>
      <x:c r="H2541" s="44" t="n">
        <x:f>E2541/SUMIF(A:A,A2541,E:E)</x:f>
        <x:v>0.0012538242810913312</x:v>
      </x:c>
    </x:row>
    <x:row r="2542" ht="21.600000381469727" hidden="0" customHeight="1">
      <x:c r="A2542" s="27" t="str">
        <x:v>SCA-25</x:v>
      </x:c>
      <x:c r="B2542" s="27" t="str">
        <x:v>13309</x:v>
      </x:c>
      <x:c r="C2542" s="27" t="str">
        <x:v>GA</x:v>
      </x:c>
      <x:c r="D2542" s="27" t="str">
        <x:v>Wheeler County</x:v>
      </x:c>
      <x:c r="E2542" s="40" t="n">
        <x:v>7570</x:v>
      </x:c>
      <x:c r="F2542" s="55" t="n">
        <x:v>32.105258</x:v>
      </x:c>
      <x:c r="G2542" s="55" t="n">
        <x:v>-82.733849</x:v>
      </x:c>
      <x:c r="H2542" s="43" t="n">
        <x:f>E2542/SUMIF(A:A,A2542,E:E)</x:f>
        <x:v>0.0011812631994849256</x:v>
      </x:c>
    </x:row>
    <x:row r="2543" ht="21.600000381469727" hidden="0" customHeight="1">
      <x:c r="A2543" s="29" t="str">
        <x:v>SCA-25</x:v>
      </x:c>
      <x:c r="B2543" s="29" t="str">
        <x:v>45005</x:v>
      </x:c>
      <x:c r="C2543" s="29" t="str">
        <x:v>SC</x:v>
      </x:c>
      <x:c r="D2543" s="29" t="str">
        <x:v>Allendale County</x:v>
      </x:c>
      <x:c r="E2543" s="41" t="n">
        <x:v>7355</x:v>
      </x:c>
      <x:c r="F2543" s="56" t="n">
        <x:v>32.979757</x:v>
      </x:c>
      <x:c r="G2543" s="56" t="n">
        <x:v>-81.363265</x:v>
      </x:c>
      <x:c r="H2543" s="44" t="n">
        <x:f>E2543/SUMIF(A:A,A2543,E:E)</x:f>
        <x:v>0.0011477134520755123</x:v>
      </x:c>
    </x:row>
    <x:row r="2544" ht="21.600000381469727" hidden="0" customHeight="1">
      <x:c r="A2544" s="27" t="str">
        <x:v>SCA-25</x:v>
      </x:c>
      <x:c r="B2544" s="27" t="str">
        <x:v>13065</x:v>
      </x:c>
      <x:c r="C2544" s="27" t="str">
        <x:v>GA</x:v>
      </x:c>
      <x:c r="D2544" s="27" t="str">
        <x:v>Clinch County</x:v>
      </x:c>
      <x:c r="E2544" s="40" t="n">
        <x:v>6847</x:v>
      </x:c>
      <x:c r="F2544" s="55" t="n">
        <x:v>30.917653</x:v>
      </x:c>
      <x:c r="G2544" s="55" t="n">
        <x:v>-82.702614</x:v>
      </x:c>
      <x:c r="H2544" s="43" t="n">
        <x:f>E2544/SUMIF(A:A,A2544,E:E)</x:f>
        <x:v>0.001068442420987224</x:v>
      </x:c>
    </x:row>
    <x:row r="2545" ht="21.600000381469727" hidden="0" customHeight="1">
      <x:c r="A2545" s="29" t="str">
        <x:v>SCA-25</x:v>
      </x:c>
      <x:c r="B2545" s="29" t="str">
        <x:v>13101</x:v>
      </x:c>
      <x:c r="C2545" s="29" t="str">
        <x:v>GA</x:v>
      </x:c>
      <x:c r="D2545" s="29" t="str">
        <x:v>Echols County</x:v>
      </x:c>
      <x:c r="E2545" s="41" t="n">
        <x:v>3685</x:v>
      </x:c>
      <x:c r="F2545" s="56" t="n">
        <x:v>30.714008</x:v>
      </x:c>
      <x:c r="G2545" s="56" t="n">
        <x:v>-82.897376</x:v>
      </x:c>
      <x:c r="H2545" s="44" t="n">
        <x:f>E2545/SUMIF(A:A,A2545,E:E)</x:f>
        <x:v>0.0005750270660636659</x:v>
      </x:c>
    </x:row>
    <x:row r="2546" ht="21.600000381469727" hidden="0" customHeight="1">
      <x:c r="A2546" s="27" t="str">
        <x:v>SCA-26</x:v>
      </x:c>
      <x:c r="B2546" s="27" t="str">
        <x:v>12057</x:v>
      </x:c>
      <x:c r="C2546" s="27" t="str">
        <x:v>FL</x:v>
      </x:c>
      <x:c r="D2546" s="27" t="str">
        <x:v>Hillsborough County</x:v>
      </x:c>
      <x:c r="E2546" s="40" t="n">
        <x:v>1574115</x:v>
      </x:c>
      <x:c r="F2546" s="55" t="n">
        <x:v>27.893154</x:v>
      </x:c>
      <x:c r="G2546" s="55" t="n">
        <x:v>-82.379991</x:v>
      </x:c>
      <x:c r="H2546" s="43" t="n">
        <x:f>E2546/SUMIF(A:A,A2546,E:E)</x:f>
        <x:v>0.14660546071963865</x:v>
      </x:c>
    </x:row>
    <x:row r="2547" ht="21.600000381469727" hidden="0" customHeight="1">
      <x:c r="A2547" s="29" t="str">
        <x:v>SCA-26</x:v>
      </x:c>
      <x:c r="B2547" s="29" t="str">
        <x:v>12095</x:v>
      </x:c>
      <x:c r="C2547" s="29" t="str">
        <x:v>FL</x:v>
      </x:c>
      <x:c r="D2547" s="29" t="str">
        <x:v>Orange County</x:v>
      </x:c>
      <x:c r="E2547" s="41" t="n">
        <x:v>1528002</x:v>
      </x:c>
      <x:c r="F2547" s="56" t="n">
        <x:v>28.514391</x:v>
      </x:c>
      <x:c r="G2547" s="56" t="n">
        <x:v>-81.323284</x:v>
      </x:c>
      <x:c r="H2547" s="44" t="n">
        <x:f>E2547/SUMIF(A:A,A2547,E:E)</x:f>
        <x:v>0.14231071884235225</x:v>
      </x:c>
    </x:row>
    <x:row r="2548" ht="21.600000381469727" hidden="0" customHeight="1">
      <x:c r="A2548" s="27" t="str">
        <x:v>SCA-26</x:v>
      </x:c>
      <x:c r="B2548" s="27" t="str">
        <x:v>12103</x:v>
      </x:c>
      <x:c r="C2548" s="27" t="str">
        <x:v>FL</x:v>
      </x:c>
      <x:c r="D2548" s="27" t="str">
        <x:v>Pinellas County</x:v>
      </x:c>
      <x:c r="E2548" s="40" t="n">
        <x:v>948563</x:v>
      </x:c>
      <x:c r="F2548" s="55" t="n">
        <x:v>27.905342</x:v>
      </x:c>
      <x:c r="G2548" s="55" t="n">
        <x:v>-82.798066</x:v>
      </x:c>
      <x:c r="H2548" s="43" t="n">
        <x:f>E2548/SUMIF(A:A,A2548,E:E)</x:f>
        <x:v>0.0883445717985043</x:v>
      </x:c>
    </x:row>
    <x:row r="2549" ht="15" hidden="0" customHeight="1">
      <x:c r="A2549" s="29" t="str">
        <x:v>SCA-26</x:v>
      </x:c>
      <x:c r="B2549" s="29" t="str">
        <x:v>12071</x:v>
      </x:c>
      <x:c r="C2549" s="29" t="str">
        <x:v>FL</x:v>
      </x:c>
      <x:c r="D2549" s="29" t="str">
        <x:v>Lee County</x:v>
      </x:c>
      <x:c r="E2549" s="41" t="n">
        <x:v>875607</x:v>
      </x:c>
      <x:c r="F2549" s="56" t="n">
        <x:v>26.563273</x:v>
      </x:c>
      <x:c r="G2549" s="56" t="n">
        <x:v>-81.984182</x:v>
      </x:c>
      <x:c r="H2549" s="44" t="n">
        <x:f>E2549/SUMIF(A:A,A2549,E:E)</x:f>
        <x:v>0.08154980267918205</x:v>
      </x:c>
    </x:row>
    <x:row r="2550" ht="15" hidden="0" customHeight="1">
      <x:c r="A2550" s="27" t="str">
        <x:v>SCA-26</x:v>
      </x:c>
      <x:c r="B2550" s="27" t="str">
        <x:v>12105</x:v>
      </x:c>
      <x:c r="C2550" s="27" t="str">
        <x:v>FL</x:v>
      </x:c>
      <x:c r="D2550" s="27" t="str">
        <x:v>Polk County</x:v>
      </x:c>
      <x:c r="E2550" s="40" t="n">
        <x:v>874790</x:v>
      </x:c>
      <x:c r="F2550" s="55" t="n">
        <x:v>27.954854</x:v>
      </x:c>
      <x:c r="G2550" s="55" t="n">
        <x:v>-81.694301</x:v>
      </x:c>
      <x:c r="H2550" s="43" t="n">
        <x:f>E2550/SUMIF(A:A,A2550,E:E)</x:f>
        <x:v>0.08147371124913536</x:v>
      </x:c>
    </x:row>
    <x:row r="2551" ht="21.600000381469727" hidden="0" customHeight="1">
      <x:c r="A2551" s="29" t="str">
        <x:v>SCA-26</x:v>
      </x:c>
      <x:c r="B2551" s="29" t="str">
        <x:v>12101</x:v>
      </x:c>
      <x:c r="C2551" s="29" t="str">
        <x:v>FL</x:v>
      </x:c>
      <x:c r="D2551" s="29" t="str">
        <x:v>Pasco County</x:v>
      </x:c>
      <x:c r="E2551" s="41" t="n">
        <x:v>674516</x:v>
      </x:c>
      <x:c r="F2551" s="56" t="n">
        <x:v>28.30474</x:v>
      </x:c>
      <x:c r="G2551" s="56" t="n">
        <x:v>-82.502367</x:v>
      </x:c>
      <x:c r="H2551" s="44" t="n">
        <x:f>E2551/SUMIF(A:A,A2551,E:E)</x:f>
        <x:v>0.06282115915467916</x:v>
      </x:c>
    </x:row>
    <x:row r="2552" ht="21.600000381469727" hidden="0" customHeight="1">
      <x:c r="A2552" s="27" t="str">
        <x:v>SCA-26</x:v>
      </x:c>
      <x:c r="B2552" s="27" t="str">
        <x:v>12009</x:v>
      </x:c>
      <x:c r="C2552" s="27" t="str">
        <x:v>FL</x:v>
      </x:c>
      <x:c r="D2552" s="27" t="str">
        <x:v>Brevard County</x:v>
      </x:c>
      <x:c r="E2552" s="40" t="n">
        <x:v>663982</x:v>
      </x:c>
      <x:c r="F2552" s="55" t="n">
        <x:v>28.298311</x:v>
      </x:c>
      <x:c r="G2552" s="55" t="n">
        <x:v>-80.700333</x:v>
      </x:c>
      <x:c r="H2552" s="43" t="n">
        <x:f>E2552/SUMIF(A:A,A2552,E:E)</x:f>
        <x:v>0.06184007332345293</x:v>
      </x:c>
    </x:row>
    <x:row r="2553" ht="21.600000381469727" hidden="0" customHeight="1">
      <x:c r="A2553" s="29" t="str">
        <x:v>SCA-26</x:v>
      </x:c>
      <x:c r="B2553" s="29" t="str">
        <x:v>12117</x:v>
      </x:c>
      <x:c r="C2553" s="29" t="str">
        <x:v>FL</x:v>
      </x:c>
      <x:c r="D2553" s="29" t="str">
        <x:v>Seminole County</x:v>
      </x:c>
      <x:c r="E2553" s="41" t="n">
        <x:v>491884</x:v>
      </x:c>
      <x:c r="F2553" s="56" t="n">
        <x:v>28.690065</x:v>
      </x:c>
      <x:c r="G2553" s="56" t="n">
        <x:v>-81.131975</x:v>
      </x:c>
      <x:c r="H2553" s="44" t="n">
        <x:f>E2553/SUMIF(A:A,A2553,E:E)</x:f>
        <x:v>0.04581169764637193</x:v>
      </x:c>
    </x:row>
    <x:row r="2554" ht="21.600000381469727" hidden="0" customHeight="1">
      <x:c r="A2554" s="27" t="str">
        <x:v>SCA-26</x:v>
      </x:c>
      <x:c r="B2554" s="27" t="str">
        <x:v>12097</x:v>
      </x:c>
      <x:c r="C2554" s="27" t="str">
        <x:v>FL</x:v>
      </x:c>
      <x:c r="D2554" s="27" t="str">
        <x:v>Osceola County</x:v>
      </x:c>
      <x:c r="E2554" s="40" t="n">
        <x:v>481718</x:v>
      </x:c>
      <x:c r="F2554" s="55" t="n">
        <x:v>28.059027</x:v>
      </x:c>
      <x:c r="G2554" s="55" t="n">
        <x:v>-81.139312</x:v>
      </x:c>
      <x:c r="H2554" s="43" t="n">
        <x:f>E2554/SUMIF(A:A,A2554,E:E)</x:f>
        <x:v>0.04486488555597456</x:v>
      </x:c>
    </x:row>
    <x:row r="2555" ht="21.600000381469727" hidden="0" customHeight="1">
      <x:c r="A2555" s="29" t="str">
        <x:v>SCA-26</x:v>
      </x:c>
      <x:c r="B2555" s="29" t="str">
        <x:v>12115</x:v>
      </x:c>
      <x:c r="C2555" s="29" t="str">
        <x:v>FL</x:v>
      </x:c>
      <x:c r="D2555" s="29" t="str">
        <x:v>Sarasota County</x:v>
      </x:c>
      <x:c r="E2555" s="41" t="n">
        <x:v>479958</x:v>
      </x:c>
      <x:c r="F2555" s="56" t="n">
        <x:v>27.223489</x:v>
      </x:c>
      <x:c r="G2555" s="56" t="n">
        <x:v>-82.424764</x:v>
      </x:c>
      <x:c r="H2555" s="44" t="n">
        <x:f>E2555/SUMIF(A:A,A2555,E:E)</x:f>
        <x:v>0.04470096766505391</x:v>
      </x:c>
    </x:row>
    <x:row r="2556" ht="21.600000381469727" hidden="0" customHeight="1">
      <x:c r="A2556" s="27" t="str">
        <x:v>SCA-26</x:v>
      </x:c>
      <x:c r="B2556" s="27" t="str">
        <x:v>12081</x:v>
      </x:c>
      <x:c r="C2556" s="27" t="str">
        <x:v>FL</x:v>
      </x:c>
      <x:c r="D2556" s="27" t="str">
        <x:v>Manatee County</x:v>
      </x:c>
      <x:c r="E2556" s="40" t="n">
        <x:v>468200</x:v>
      </x:c>
      <x:c r="F2556" s="55" t="n">
        <x:v>27.475556</x:v>
      </x:c>
      <x:c r="G2556" s="55" t="n">
        <x:v>-82.393144</x:v>
      </x:c>
      <x:c r="H2556" s="43" t="n">
        <x:f>E2556/SUMIF(A:A,A2556,E:E)</x:f>
        <x:v>0.04360588439150559</x:v>
      </x:c>
    </x:row>
    <x:row r="2557" ht="15" hidden="0" customHeight="1">
      <x:c r="A2557" s="29" t="str">
        <x:v>SCA-26</x:v>
      </x:c>
      <x:c r="B2557" s="29" t="str">
        <x:v>12069</x:v>
      </x:c>
      <x:c r="C2557" s="29" t="str">
        <x:v>FL</x:v>
      </x:c>
      <x:c r="D2557" s="29" t="str">
        <x:v>Lake County</x:v>
      </x:c>
      <x:c r="E2557" s="41" t="n">
        <x:v>456068</x:v>
      </x:c>
      <x:c r="F2557" s="56" t="n">
        <x:v>28.764113</x:v>
      </x:c>
      <x:c r="G2557" s="56" t="n">
        <x:v>-81.712282</x:v>
      </x:c>
      <x:c r="H2557" s="44" t="n">
        <x:f>E2557/SUMIF(A:A,A2557,E:E)</x:f>
        <x:v>0.04247596856613663</x:v>
      </x:c>
    </x:row>
    <x:row r="2558" ht="21.600000381469727" hidden="0" customHeight="1">
      <x:c r="A2558" s="27" t="str">
        <x:v>SCA-26</x:v>
      </x:c>
      <x:c r="B2558" s="27" t="str">
        <x:v>12053</x:v>
      </x:c>
      <x:c r="C2558" s="27" t="str">
        <x:v>FL</x:v>
      </x:c>
      <x:c r="D2558" s="27" t="str">
        <x:v>Hernando County</x:v>
      </x:c>
      <x:c r="E2558" s="40" t="n">
        <x:v>221701</x:v>
      </x:c>
      <x:c r="F2558" s="55" t="n">
        <x:v>28.555995</x:v>
      </x:c>
      <x:c r="G2558" s="55" t="n">
        <x:v>-82.525969</x:v>
      </x:c>
      <x:c r="H2558" s="43" t="n">
        <x:f>E2558/SUMIF(A:A,A2558,E:E)</x:f>
        <x:v>0.020648159281249853</x:v>
      </x:c>
    </x:row>
    <x:row r="2559" ht="21.600000381469727" hidden="0" customHeight="1">
      <x:c r="A2559" s="29" t="str">
        <x:v>SCA-26</x:v>
      </x:c>
      <x:c r="B2559" s="29" t="str">
        <x:v>12015</x:v>
      </x:c>
      <x:c r="C2559" s="29" t="str">
        <x:v>FL</x:v>
      </x:c>
      <x:c r="D2559" s="29" t="str">
        <x:v>Charlotte County</x:v>
      </x:c>
      <x:c r="E2559" s="41" t="n">
        <x:v>217212</x:v>
      </x:c>
      <x:c r="F2559" s="56" t="n">
        <x:v>26.906358</x:v>
      </x:c>
      <x:c r="G2559" s="56" t="n">
        <x:v>-82.00363</x:v>
      </x:c>
      <x:c r="H2559" s="44" t="n">
        <x:f>E2559/SUMIF(A:A,A2559,E:E)</x:f>
        <x:v>0.02023007552423689</x:v>
      </x:c>
    </x:row>
    <x:row r="2560" ht="21.600000381469727" hidden="0" customHeight="1">
      <x:c r="A2560" s="27" t="str">
        <x:v>SCA-26</x:v>
      </x:c>
      <x:c r="B2560" s="27" t="str">
        <x:v>12061</x:v>
      </x:c>
      <x:c r="C2560" s="27" t="str">
        <x:v>FL</x:v>
      </x:c>
      <x:c r="D2560" s="27" t="str">
        <x:v>Indian River County</x:v>
      </x:c>
      <x:c r="E2560" s="40" t="n">
        <x:v>172799</x:v>
      </x:c>
      <x:c r="F2560" s="55" t="n">
        <x:v>27.700528</x:v>
      </x:c>
      <x:c r="G2560" s="55" t="n">
        <x:v>-80.574789</x:v>
      </x:c>
      <x:c r="H2560" s="43" t="n">
        <x:f>E2560/SUMIF(A:A,A2560,E:E)</x:f>
        <x:v>0.016093663427953382</x:v>
      </x:c>
    </x:row>
    <x:row r="2561" ht="21.600000381469727" hidden="0" customHeight="1">
      <x:c r="A2561" s="29" t="str">
        <x:v>SCA-26</x:v>
      </x:c>
      <x:c r="B2561" s="29" t="str">
        <x:v>12017</x:v>
      </x:c>
      <x:c r="C2561" s="29" t="str">
        <x:v>FL</x:v>
      </x:c>
      <x:c r="D2561" s="29" t="str">
        <x:v>Citrus County</x:v>
      </x:c>
      <x:c r="E2561" s="41" t="n">
        <x:v>171666</x:v>
      </x:c>
      <x:c r="F2561" s="56" t="n">
        <x:v>28.850293</x:v>
      </x:c>
      <x:c r="G2561" s="56" t="n">
        <x:v>-82.595551</x:v>
      </x:c>
      <x:c r="H2561" s="44" t="n">
        <x:f>E2561/SUMIF(A:A,A2561,E:E)</x:f>
        <x:v>0.01598814128567321</x:v>
      </x:c>
    </x:row>
    <x:row r="2562" ht="21.600000381469727" hidden="0" customHeight="1">
      <x:c r="A2562" s="27" t="str">
        <x:v>SCA-26</x:v>
      </x:c>
      <x:c r="B2562" s="27" t="str">
        <x:v>12119</x:v>
      </x:c>
      <x:c r="C2562" s="27" t="str">
        <x:v>FL</x:v>
      </x:c>
      <x:c r="D2562" s="27" t="str">
        <x:v>Sumter County</x:v>
      </x:c>
      <x:c r="E2562" s="40" t="n">
        <x:v>157772</x:v>
      </x:c>
      <x:c r="F2562" s="55" t="n">
        <x:v>28.713277</x:v>
      </x:c>
      <x:c r="G2562" s="55" t="n">
        <x:v>-82.069555</x:v>
      </x:c>
      <x:c r="H2562" s="43" t="n">
        <x:f>E2562/SUMIF(A:A,A2562,E:E)</x:f>
        <x:v>0.01469412129905301</x:v>
      </x:c>
    </x:row>
    <x:row r="2563" ht="21.600000381469727" hidden="0" customHeight="1">
      <x:c r="A2563" s="29" t="str">
        <x:v>SCA-26</x:v>
      </x:c>
      <x:c r="B2563" s="29" t="str">
        <x:v>12055</x:v>
      </x:c>
      <x:c r="C2563" s="29" t="str">
        <x:v>FL</x:v>
      </x:c>
      <x:c r="D2563" s="29" t="str">
        <x:v>Highlands County</x:v>
      </x:c>
      <x:c r="E2563" s="41" t="n">
        <x:v>111122</x:v>
      </x:c>
      <x:c r="F2563" s="56" t="n">
        <x:v>27.34108</x:v>
      </x:c>
      <x:c r="G2563" s="56" t="n">
        <x:v>-81.342353</x:v>
      </x:c>
      <x:c r="H2563" s="44" t="n">
        <x:f>E2563/SUMIF(A:A,A2563,E:E)</x:f>
        <x:v>0.010349365838002743</x:v>
      </x:c>
    </x:row>
    <x:row r="2564" ht="15" hidden="0" customHeight="1">
      <x:c r="A2564" s="27" t="str">
        <x:v>SCA-26</x:v>
      </x:c>
      <x:c r="B2564" s="27" t="str">
        <x:v>12075</x:v>
      </x:c>
      <x:c r="C2564" s="27" t="str">
        <x:v>FL</x:v>
      </x:c>
      <x:c r="D2564" s="27" t="str">
        <x:v>Levy County</x:v>
      </x:c>
      <x:c r="E2564" s="40" t="n">
        <x:v>48520</x:v>
      </x:c>
      <x:c r="F2564" s="55" t="n">
        <x:v>29.271854</x:v>
      </x:c>
      <x:c r="G2564" s="55" t="n">
        <x:v>-82.831233</x:v>
      </x:c>
      <x:c r="H2564" s="43" t="n">
        <x:f>E2564/SUMIF(A:A,A2564,E:E)</x:f>
        <x:v>0.0045189182201534625</x:v>
      </x:c>
    </x:row>
    <x:row r="2565" ht="21.600000381469727" hidden="0" customHeight="1">
      <x:c r="A2565" s="29" t="str">
        <x:v>SCA-26</x:v>
      </x:c>
      <x:c r="B2565" s="29" t="str">
        <x:v>12093</x:v>
      </x:c>
      <x:c r="C2565" s="29" t="str">
        <x:v>FL</x:v>
      </x:c>
      <x:c r="D2565" s="29" t="str">
        <x:v>Okeechobee County</x:v>
      </x:c>
      <x:c r="E2565" s="41" t="n">
        <x:v>42608</x:v>
      </x:c>
      <x:c r="F2565" s="56" t="n">
        <x:v>27.385592</x:v>
      </x:c>
      <x:c r="G2565" s="56" t="n">
        <x:v>-80.887388</x:v>
      </x:c>
      <x:c r="H2565" s="44" t="n">
        <x:f>E2565/SUMIF(A:A,A2565,E:E)</x:f>
        <x:v>0.003968303122924541</x:v>
      </x:c>
    </x:row>
    <x:row r="2566" ht="21.600000381469727" hidden="0" customHeight="1">
      <x:c r="A2566" s="27" t="str">
        <x:v>SCA-26</x:v>
      </x:c>
      <x:c r="B2566" s="27" t="str">
        <x:v>12027</x:v>
      </x:c>
      <x:c r="C2566" s="27" t="str">
        <x:v>FL</x:v>
      </x:c>
      <x:c r="D2566" s="27" t="str">
        <x:v>DeSoto County</x:v>
      </x:c>
      <x:c r="E2566" s="40" t="n">
        <x:v>37078</x:v>
      </x:c>
      <x:c r="F2566" s="55" t="n">
        <x:v>27.190581</x:v>
      </x:c>
      <x:c r="G2566" s="55" t="n">
        <x:v>-81.806253</x:v>
      </x:c>
      <x:c r="H2566" s="43" t="n">
        <x:f>E2566/SUMIF(A:A,A2566,E:E)</x:f>
        <x:v>0.0034532656588386248</x:v>
      </x:c>
    </x:row>
    <x:row r="2567" ht="21.600000381469727" hidden="0" customHeight="1">
      <x:c r="A2567" s="29" t="str">
        <x:v>SCA-26</x:v>
      </x:c>
      <x:c r="B2567" s="29" t="str">
        <x:v>12049</x:v>
      </x:c>
      <x:c r="C2567" s="29" t="str">
        <x:v>FL</x:v>
      </x:c>
      <x:c r="D2567" s="29" t="str">
        <x:v>Hardee County</x:v>
      </x:c>
      <x:c r="E2567" s="41" t="n">
        <x:v>25932</x:v>
      </x:c>
      <x:c r="F2567" s="56" t="n">
        <x:v>27.492846</x:v>
      </x:c>
      <x:c r="G2567" s="56" t="n">
        <x:v>-81.82158</x:v>
      </x:c>
      <x:c r="H2567" s="44" t="n">
        <x:f>E2567/SUMIF(A:A,A2567,E:E)</x:f>
        <x:v>0.002415181106451352</x:v>
      </x:c>
    </x:row>
    <x:row r="2568" ht="21.600000381469727" hidden="0" customHeight="1">
      <x:c r="A2568" s="27" t="str">
        <x:v>SCA-26</x:v>
      </x:c>
      <x:c r="B2568" s="27" t="str">
        <x:v>12043</x:v>
      </x:c>
      <x:c r="C2568" s="27" t="str">
        <x:v>FL</x:v>
      </x:c>
      <x:c r="D2568" s="27" t="str">
        <x:v>Glades County</x:v>
      </x:c>
      <x:c r="E2568" s="40" t="n">
        <x:v>13270</x:v>
      </x:c>
      <x:c r="F2568" s="55" t="n">
        <x:v>26.95481</x:v>
      </x:c>
      <x:c r="G2568" s="55" t="n">
        <x:v>-81.19082</x:v>
      </x:c>
      <x:c r="H2568" s="43" t="n">
        <x:f>E2568/SUMIF(A:A,A2568,E:E)</x:f>
        <x:v>0.001235903643475607</x:v>
      </x:c>
    </x:row>
    <x:row r="2569" ht="21.600000381469727" hidden="0" customHeight="1">
      <x:c r="A2569" s="29" t="str">
        <x:v>SCA-27</x:v>
      </x:c>
      <x:c r="B2569" s="29" t="str">
        <x:v>12086</x:v>
      </x:c>
      <x:c r="C2569" s="29" t="str">
        <x:v>FL</x:v>
      </x:c>
      <x:c r="D2569" s="29" t="str">
        <x:v>Miami-Dade County</x:v>
      </x:c>
      <x:c r="E2569" s="41" t="n">
        <x:v>2802029</x:v>
      </x:c>
      <x:c r="F2569" s="56" t="n">
        <x:v>25.616009</x:v>
      </x:c>
      <x:c r="G2569" s="56" t="n">
        <x:v>-80.50375</x:v>
      </x:c>
      <x:c r="H2569" s="44" t="n">
        <x:f>E2569/SUMIF(A:A,A2569,E:E)</x:f>
        <x:v>0.3733248188087677</x:v>
      </x:c>
    </x:row>
    <x:row r="2570" ht="21.600000381469727" hidden="0" customHeight="1">
      <x:c r="A2570" s="27" t="str">
        <x:v>SCA-27</x:v>
      </x:c>
      <x:c r="B2570" s="27" t="str">
        <x:v>12011</x:v>
      </x:c>
      <x:c r="C2570" s="27" t="str">
        <x:v>FL</x:v>
      </x:c>
      <x:c r="D2570" s="27" t="str">
        <x:v>Broward County</x:v>
      </x:c>
      <x:c r="E2570" s="40" t="n">
        <x:v>2013317</x:v>
      </x:c>
      <x:c r="F2570" s="55" t="n">
        <x:v>26.193535</x:v>
      </x:c>
      <x:c r="G2570" s="55" t="n">
        <x:v>-80.476683</x:v>
      </x:c>
      <x:c r="H2570" s="43" t="n">
        <x:f>E2570/SUMIF(A:A,A2570,E:E)</x:f>
        <x:v>0.26824176488880447</x:v>
      </x:c>
    </x:row>
    <x:row r="2571" ht="21.600000381469727" hidden="0" customHeight="1">
      <x:c r="A2571" s="29" t="str">
        <x:v>SCA-27</x:v>
      </x:c>
      <x:c r="B2571" s="29" t="str">
        <x:v>12099</x:v>
      </x:c>
      <x:c r="C2571" s="29" t="str">
        <x:v>FL</x:v>
      </x:c>
      <x:c r="D2571" s="29" t="str">
        <x:v>Palm Beach County</x:v>
      </x:c>
      <x:c r="E2571" s="41" t="n">
        <x:v>1575726</x:v>
      </x:c>
      <x:c r="F2571" s="56" t="n">
        <x:v>26.649126</x:v>
      </x:c>
      <x:c r="G2571" s="56" t="n">
        <x:v>-80.448354</x:v>
      </x:c>
      <x:c r="H2571" s="44" t="n">
        <x:f>E2571/SUMIF(A:A,A2571,E:E)</x:f>
        <x:v>0.20993987693998326</x:v>
      </x:c>
    </x:row>
    <x:row r="2572" ht="21.600000381469727" hidden="0" customHeight="1">
      <x:c r="A2572" s="27" t="str">
        <x:v>SCA-27</x:v>
      </x:c>
      <x:c r="B2572" s="27" t="str">
        <x:v>12021</x:v>
      </x:c>
      <x:c r="C2572" s="27" t="str">
        <x:v>FL</x:v>
      </x:c>
      <x:c r="D2572" s="27" t="str">
        <x:v>Collier County</x:v>
      </x:c>
      <x:c r="E2572" s="40" t="n">
        <x:v>417131</x:v>
      </x:c>
      <x:c r="F2572" s="55" t="n">
        <x:v>26.118786</x:v>
      </x:c>
      <x:c r="G2572" s="55" t="n">
        <x:v>-81.400955</x:v>
      </x:c>
      <x:c r="H2572" s="43" t="n">
        <x:f>E2572/SUMIF(A:A,A2572,E:E)</x:f>
        <x:v>0.05557592551487515</x:v>
      </x:c>
    </x:row>
    <x:row r="2573" ht="21.600000381469727" hidden="0" customHeight="1">
      <x:c r="A2573" s="29" t="str">
        <x:v>SCA-27</x:v>
      </x:c>
      <x:c r="B2573" s="29" t="str">
        <x:v>12111</x:v>
      </x:c>
      <x:c r="C2573" s="29" t="str">
        <x:v>FL</x:v>
      </x:c>
      <x:c r="D2573" s="29" t="str">
        <x:v>St. Lucie County</x:v>
      </x:c>
      <x:c r="E2573" s="41" t="n">
        <x:v>402449</x:v>
      </x:c>
      <x:c r="F2573" s="56" t="n">
        <x:v>27.379814</x:v>
      </x:c>
      <x:c r="G2573" s="56" t="n">
        <x:v>-80.443536</x:v>
      </x:c>
      <x:c r="H2573" s="44" t="n">
        <x:f>E2573/SUMIF(A:A,A2573,E:E)</x:f>
        <x:v>0.053619787662715045</x:v>
      </x:c>
    </x:row>
    <x:row r="2574" ht="21.600000381469727" hidden="0" customHeight="1">
      <x:c r="A2574" s="27" t="str">
        <x:v>SCA-27</x:v>
      </x:c>
      <x:c r="B2574" s="27" t="str">
        <x:v>12085</x:v>
      </x:c>
      <x:c r="C2574" s="27" t="str">
        <x:v>FL</x:v>
      </x:c>
      <x:c r="D2574" s="27" t="str">
        <x:v>Martin County</x:v>
      </x:c>
      <x:c r="E2574" s="40" t="n">
        <x:v>166272</x:v>
      </x:c>
      <x:c r="F2574" s="55" t="n">
        <x:v>27.083604</x:v>
      </x:c>
      <x:c r="G2574" s="55" t="n">
        <x:v>-80.398201</x:v>
      </x:c>
      <x:c r="H2574" s="43" t="n">
        <x:f>E2574/SUMIF(A:A,A2574,E:E)</x:f>
        <x:v>0.022153041340033038</x:v>
      </x:c>
    </x:row>
    <x:row r="2575" ht="21.600000381469727" hidden="0" customHeight="1">
      <x:c r="A2575" s="29" t="str">
        <x:v>SCA-27</x:v>
      </x:c>
      <x:c r="B2575" s="29" t="str">
        <x:v>12087</x:v>
      </x:c>
      <x:c r="C2575" s="29" t="str">
        <x:v>FL</x:v>
      </x:c>
      <x:c r="D2575" s="29" t="str">
        <x:v>Monroe County</x:v>
      </x:c>
      <x:c r="E2575" s="41" t="n">
        <x:v>80406</x:v>
      </x:c>
      <x:c r="F2575" s="56" t="n">
        <x:v>25.58612</x:v>
      </x:c>
      <x:c r="G2575" s="56" t="n">
        <x:v>-81.022603</x:v>
      </x:c>
      <x:c r="H2575" s="44" t="n">
        <x:f>E2575/SUMIF(A:A,A2575,E:E)</x:f>
        <x:v>0.010712792544665947</x:v>
      </x:c>
    </x:row>
    <x:row r="2576" ht="21.600000381469727" hidden="0" customHeight="1">
      <x:c r="A2576" s="27" t="str">
        <x:v>SCA-27</x:v>
      </x:c>
      <x:c r="B2576" s="27" t="str">
        <x:v>12051</x:v>
      </x:c>
      <x:c r="C2576" s="27" t="str">
        <x:v>FL</x:v>
      </x:c>
      <x:c r="D2576" s="27" t="str">
        <x:v>Hendry County</x:v>
      </x:c>
      <x:c r="E2576" s="40" t="n">
        <x:v>48276</x:v>
      </x:c>
      <x:c r="F2576" s="55" t="n">
        <x:v>26.539967</x:v>
      </x:c>
      <x:c r="G2576" s="55" t="n">
        <x:v>-81.152114</x:v>
      </x:c>
      <x:c r="H2576" s="43" t="n">
        <x:f>E2576/SUMIF(A:A,A2576,E:E)</x:f>
        <x:v>0.006431992300155377</x:v>
      </x:c>
    </x:row>
    <x:row r="2577" ht="21.600000381469727" hidden="0" customHeight="1">
      <x:c r="A2577" s="29" t="str">
        <x:v>SCA-28</x:v>
      </x:c>
      <x:c r="B2577" s="29" t="str">
        <x:v>39049</x:v>
      </x:c>
      <x:c r="C2577" s="29" t="str">
        <x:v>OH</x:v>
      </x:c>
      <x:c r="D2577" s="29" t="str">
        <x:v>Franklin County</x:v>
      </x:c>
      <x:c r="E2577" s="41" t="n">
        <x:v>1361536</x:v>
      </x:c>
      <x:c r="F2577" s="56" t="n">
        <x:v>39.969875</x:v>
      </x:c>
      <x:c r="G2577" s="56" t="n">
        <x:v>-83.009086</x:v>
      </x:c>
      <x:c r="H2577" s="44" t="n">
        <x:f>E2577/SUMIF(A:A,A2577,E:E)</x:f>
        <x:v>0.06390640538344777</x:v>
      </x:c>
    </x:row>
    <x:row r="2578" ht="21.600000381469727" hidden="0" customHeight="1">
      <x:c r="A2578" s="27" t="str">
        <x:v>SCA-28</x:v>
      </x:c>
      <x:c r="B2578" s="27" t="str">
        <x:v>39035</x:v>
      </x:c>
      <x:c r="C2578" s="27" t="str">
        <x:v>OH</x:v>
      </x:c>
      <x:c r="D2578" s="27" t="str">
        <x:v>Cuyahoga County</x:v>
      </x:c>
      <x:c r="E2578" s="40" t="n">
        <x:v>1232925</x:v>
      </x:c>
      <x:c r="F2578" s="55" t="n">
        <x:v>41.555037</x:v>
      </x:c>
      <x:c r="G2578" s="55" t="n">
        <x:v>-81.604957</x:v>
      </x:c>
      <x:c r="H2578" s="43" t="n">
        <x:f>E2578/SUMIF(A:A,A2578,E:E)</x:f>
        <x:v>0.05786979180674425</x:v>
      </x:c>
    </x:row>
    <x:row r="2579" ht="21.600000381469727" hidden="0" customHeight="1">
      <x:c r="A2579" s="29" t="str">
        <x:v>SCA-28</x:v>
      </x:c>
      <x:c r="B2579" s="29" t="str">
        <x:v>42003</x:v>
      </x:c>
      <x:c r="C2579" s="29" t="str">
        <x:v>PA</x:v>
      </x:c>
      <x:c r="D2579" s="29" t="str">
        <x:v>Allegheny County</x:v>
      </x:c>
      <x:c r="E2579" s="41" t="n">
        <x:v>1225035</x:v>
      </x:c>
      <x:c r="F2579" s="56" t="n">
        <x:v>40.469757</x:v>
      </x:c>
      <x:c r="G2579" s="56" t="n">
        <x:v>-79.980451</x:v>
      </x:c>
      <x:c r="H2579" s="44" t="n">
        <x:f>E2579/SUMIF(A:A,A2579,E:E)</x:f>
        <x:v>0.05749945893381588</x:v>
      </x:c>
    </x:row>
    <x:row r="2580" ht="21.600000381469727" hidden="0" customHeight="1">
      <x:c r="A2580" s="27" t="str">
        <x:v>SCA-28</x:v>
      </x:c>
      <x:c r="B2580" s="27" t="str">
        <x:v>51059</x:v>
      </x:c>
      <x:c r="C2580" s="27" t="str">
        <x:v>VA</x:v>
      </x:c>
      <x:c r="D2580" s="27" t="str">
        <x:v>Fairfax County</x:v>
      </x:c>
      <x:c r="E2580" s="40" t="n">
        <x:v>1167873</x:v>
      </x:c>
      <x:c r="F2580" s="55" t="n">
        <x:v>38.82952</x:v>
      </x:c>
      <x:c r="G2580" s="55" t="n">
        <x:v>-77.273252</x:v>
      </x:c>
      <x:c r="H2580" s="43" t="n">
        <x:f>E2580/SUMIF(A:A,A2580,E:E)</x:f>
        <x:v>0.054816446553292236</x:v>
      </x:c>
    </x:row>
    <x:row r="2581" ht="21.600000381469727" hidden="0" customHeight="1">
      <x:c r="A2581" s="29" t="str">
        <x:v>SCA-28</x:v>
      </x:c>
      <x:c r="B2581" s="29" t="str">
        <x:v>24031</x:v>
      </x:c>
      <x:c r="C2581" s="29" t="str">
        <x:v>MD</x:v>
      </x:c>
      <x:c r="D2581" s="29" t="str">
        <x:v>Montgomery County</x:v>
      </x:c>
      <x:c r="E2581" s="41" t="n">
        <x:v>1074582</x:v>
      </x:c>
      <x:c r="F2581" s="56" t="n">
        <x:v>39.137381</x:v>
      </x:c>
      <x:c r="G2581" s="56" t="n">
        <x:v>-77.203063</x:v>
      </x:c>
      <x:c r="H2581" s="44" t="n">
        <x:f>E2581/SUMIF(A:A,A2581,E:E)</x:f>
        <x:v>0.050437647561104575</x:v>
      </x:c>
    </x:row>
    <x:row r="2582" ht="15" hidden="0" customHeight="1">
      <x:c r="A2582" s="27" t="str">
        <x:v>SCA-28</x:v>
      </x:c>
      <x:c r="B2582" s="27" t="str">
        <x:v>36029</x:v>
      </x:c>
      <x:c r="C2582" s="27" t="str">
        <x:v>NY</x:v>
      </x:c>
      <x:c r="D2582" s="27" t="str">
        <x:v>Erie County</x:v>
      </x:c>
      <x:c r="E2582" s="40" t="n">
        <x:v>946741</x:v>
      </x:c>
      <x:c r="F2582" s="55" t="n">
        <x:v>42.752759</x:v>
      </x:c>
      <x:c r="G2582" s="55" t="n">
        <x:v>-78.778192</x:v>
      </x:c>
      <x:c r="H2582" s="43" t="n">
        <x:f>E2582/SUMIF(A:A,A2582,E:E)</x:f>
        <x:v>0.04443717546883132</x:v>
      </x:c>
    </x:row>
    <x:row r="2583" ht="21.600000381469727" hidden="0" customHeight="1">
      <x:c r="A2583" s="29" t="str">
        <x:v>SCA-28</x:v>
      </x:c>
      <x:c r="B2583" s="29" t="str">
        <x:v>36055</x:v>
      </x:c>
      <x:c r="C2583" s="29" t="str">
        <x:v>NY</x:v>
      </x:c>
      <x:c r="D2583" s="29" t="str">
        <x:v>Monroe County</x:v>
      </x:c>
      <x:c r="E2583" s="41" t="n">
        <x:v>750506</x:v>
      </x:c>
      <x:c r="F2583" s="56" t="n">
        <x:v>43.250347</x:v>
      </x:c>
      <x:c r="G2583" s="56" t="n">
        <x:v>-77.700518</x:v>
      </x:c>
      <x:c r="H2583" s="44" t="n">
        <x:f>E2583/SUMIF(A:A,A2583,E:E)</x:f>
        <x:v>0.03522649469328013</x:v>
      </x:c>
    </x:row>
    <x:row r="2584" ht="21.600000381469727" hidden="0" customHeight="1">
      <x:c r="A2584" s="27" t="str">
        <x:v>SCA-28</x:v>
      </x:c>
      <x:c r="B2584" s="27" t="str">
        <x:v>11001</x:v>
      </x:c>
      <x:c r="C2584" s="27" t="str">
        <x:v>DC</x:v>
      </x:c>
      <x:c r="D2584" s="27" t="str">
        <x:v>District of Columbia</x:v>
      </x:c>
      <x:c r="E2584" s="40" t="n">
        <x:v>693645</x:v>
      </x:c>
      <x:c r="F2584" s="55" t="n">
        <x:v>38.904243</x:v>
      </x:c>
      <x:c r="G2584" s="55" t="n">
        <x:v>-77.016524</x:v>
      </x:c>
      <x:c r="H2584" s="43" t="n">
        <x:f>E2584/SUMIF(A:A,A2584,E:E)</x:f>
        <x:v>0.03255761034757923</x:v>
      </x:c>
    </x:row>
    <x:row r="2585" ht="21.600000381469727" hidden="0" customHeight="1">
      <x:c r="A2585" s="29" t="str">
        <x:v>SCA-28</x:v>
      </x:c>
      <x:c r="B2585" s="29" t="str">
        <x:v>39153</x:v>
      </x:c>
      <x:c r="C2585" s="29" t="str">
        <x:v>OH</x:v>
      </x:c>
      <x:c r="D2585" s="29" t="str">
        <x:v>Summit County</x:v>
      </x:c>
      <x:c r="E2585" s="41" t="n">
        <x:v>538376</x:v>
      </x:c>
      <x:c r="F2585" s="56" t="n">
        <x:v>41.121847</x:v>
      </x:c>
      <x:c r="G2585" s="56" t="n">
        <x:v>-81.534928</x:v>
      </x:c>
      <x:c r="H2585" s="44" t="n">
        <x:f>E2585/SUMIF(A:A,A2585,E:E)</x:f>
        <x:v>0.02526975041770403</x:v>
      </x:c>
    </x:row>
    <x:row r="2586" ht="32.400001525878906" hidden="0" customHeight="1">
      <x:c r="A2586" s="27" t="str">
        <x:v>SCA-28</x:v>
      </x:c>
      <x:c r="B2586" s="27" t="str">
        <x:v>51153</x:v>
      </x:c>
      <x:c r="C2586" s="27" t="str">
        <x:v>VA</x:v>
      </x:c>
      <x:c r="D2586" s="27" t="str">
        <x:v>Prince William County</x:v>
      </x:c>
      <x:c r="E2586" s="40" t="n">
        <x:v>502966</x:v>
      </x:c>
      <x:c r="F2586" s="55" t="n">
        <x:v>38.701119</x:v>
      </x:c>
      <x:c r="G2586" s="55" t="n">
        <x:v>-77.479579</x:v>
      </x:c>
      <x:c r="H2586" s="43" t="n">
        <x:f>E2586/SUMIF(A:A,A2586,E:E)</x:f>
        <x:v>0.02360771150383919</x:v>
      </x:c>
    </x:row>
    <x:row r="2587" ht="21.600000381469727" hidden="0" customHeight="1">
      <x:c r="A2587" s="29" t="str">
        <x:v>SCA-28</x:v>
      </x:c>
      <x:c r="B2587" s="29" t="str">
        <x:v>51107</x:v>
      </x:c>
      <x:c r="C2587" s="29" t="str">
        <x:v>VA</x:v>
      </x:c>
      <x:c r="D2587" s="29" t="str">
        <x:v>Loudoun County</x:v>
      </x:c>
      <x:c r="E2587" s="41" t="n">
        <x:v>449749</x:v>
      </x:c>
      <x:c r="F2587" s="56" t="n">
        <x:v>39.0812</x:v>
      </x:c>
      <x:c r="G2587" s="56" t="n">
        <x:v>-77.638898</x:v>
      </x:c>
      <x:c r="H2587" s="44" t="n">
        <x:f>E2587/SUMIF(A:A,A2587,E:E)</x:f>
        <x:v>0.021109865559779728</x:v>
      </x:c>
    </x:row>
    <x:row r="2588" ht="15" hidden="0" customHeight="1">
      <x:c r="A2588" s="27" t="str">
        <x:v>SCA-28</x:v>
      </x:c>
      <x:c r="B2588" s="27" t="str">
        <x:v>39151</x:v>
      </x:c>
      <x:c r="C2588" s="27" t="str">
        <x:v>OH</x:v>
      </x:c>
      <x:c r="D2588" s="27" t="str">
        <x:v>Stark County</x:v>
      </x:c>
      <x:c r="E2588" s="40" t="n">
        <x:v>373771</x:v>
      </x:c>
      <x:c r="F2588" s="55" t="n">
        <x:v>40.814131</x:v>
      </x:c>
      <x:c r="G2588" s="55" t="n">
        <x:v>-81.365667</x:v>
      </x:c>
      <x:c r="H2588" s="43" t="n">
        <x:f>E2588/SUMIF(A:A,A2588,E:E)</x:f>
        <x:v>0.017543686723359982</x:v>
      </x:c>
    </x:row>
    <x:row r="2589" ht="21.600000381469727" hidden="0" customHeight="1">
      <x:c r="A2589" s="29" t="str">
        <x:v>SCA-28</x:v>
      </x:c>
      <x:c r="B2589" s="29" t="str">
        <x:v>42129</x:v>
      </x:c>
      <x:c r="C2589" s="29" t="str">
        <x:v>PA</x:v>
      </x:c>
      <x:c r="D2589" s="29" t="str">
        <x:v>Westmoreland County</x:v>
      </x:c>
      <x:c r="E2589" s="41" t="n">
        <x:v>349324</x:v>
      </x:c>
      <x:c r="F2589" s="56" t="n">
        <x:v>40.311068</x:v>
      </x:c>
      <x:c r="G2589" s="56" t="n">
        <x:v>-79.466688</x:v>
      </x:c>
      <x:c r="H2589" s="44" t="n">
        <x:f>E2589/SUMIF(A:A,A2589,E:E)</x:f>
        <x:v>0.01639621806119523</x:v>
      </x:c>
    </x:row>
    <x:row r="2590" ht="21.600000381469727" hidden="0" customHeight="1">
      <x:c r="A2590" s="27" t="str">
        <x:v>SCA-28</x:v>
      </x:c>
      <x:c r="B2590" s="27" t="str">
        <x:v>24027</x:v>
      </x:c>
      <x:c r="C2590" s="27" t="str">
        <x:v>MD</x:v>
      </x:c>
      <x:c r="D2590" s="27" t="str">
        <x:v>Howard County</x:v>
      </x:c>
      <x:c r="E2590" s="40" t="n">
        <x:v>339183</x:v>
      </x:c>
      <x:c r="F2590" s="55" t="n">
        <x:v>39.252264</x:v>
      </x:c>
      <x:c r="G2590" s="55" t="n">
        <x:v>-76.924406</x:v>
      </x:c>
      <x:c r="H2590" s="43" t="n">
        <x:f>E2590/SUMIF(A:A,A2590,E:E)</x:f>
        <x:v>0.01592023001754927</x:v>
      </x:c>
    </x:row>
    <x:row r="2591" ht="21.600000381469727" hidden="0" customHeight="1">
      <x:c r="A2591" s="29" t="str">
        <x:v>SCA-28</x:v>
      </x:c>
      <x:c r="B2591" s="29" t="str">
        <x:v>24021</x:v>
      </x:c>
      <x:c r="C2591" s="29" t="str">
        <x:v>MD</x:v>
      </x:c>
      <x:c r="D2591" s="29" t="str">
        <x:v>Frederick County</x:v>
      </x:c>
      <x:c r="E2591" s="41" t="n">
        <x:v>302883</x:v>
      </x:c>
      <x:c r="F2591" s="56" t="n">
        <x:v>39.470176</x:v>
      </x:c>
      <x:c r="G2591" s="56" t="n">
        <x:v>-77.397636</x:v>
      </x:c>
      <x:c r="H2591" s="44" t="n">
        <x:f>E2591/SUMIF(A:A,A2591,E:E)</x:f>
        <x:v>0.014216417180122164</x:v>
      </x:c>
    </x:row>
    <x:row r="2592" ht="21.600000381469727" hidden="0" customHeight="1">
      <x:c r="A2592" s="27" t="str">
        <x:v>SCA-28</x:v>
      </x:c>
      <x:c r="B2592" s="27" t="str">
        <x:v>42041</x:v>
      </x:c>
      <x:c r="C2592" s="27" t="str">
        <x:v>PA</x:v>
      </x:c>
      <x:c r="D2592" s="27" t="str">
        <x:v>Cumberland County</x:v>
      </x:c>
      <x:c r="E2592" s="40" t="n">
        <x:v>277270</x:v>
      </x:c>
      <x:c r="F2592" s="55" t="n">
        <x:v>40.164805</x:v>
      </x:c>
      <x:c r="G2592" s="55" t="n">
        <x:v>-77.263442</x:v>
      </x:c>
      <x:c r="H2592" s="43" t="n">
        <x:f>E2592/SUMIF(A:A,A2592,E:E)</x:f>
        <x:v>0.013014219984391572</x:v>
      </x:c>
    </x:row>
    <x:row r="2593" ht="15" hidden="0" customHeight="1">
      <x:c r="A2593" s="29" t="str">
        <x:v>SCA-28</x:v>
      </x:c>
      <x:c r="B2593" s="29" t="str">
        <x:v>42049</x:v>
      </x:c>
      <x:c r="C2593" s="29" t="str">
        <x:v>PA</x:v>
      </x:c>
      <x:c r="D2593" s="29" t="str">
        <x:v>Erie County</x:v>
      </x:c>
      <x:c r="E2593" s="41" t="n">
        <x:v>265832</x:v>
      </x:c>
      <x:c r="F2593" s="56" t="n">
        <x:v>42.117952</x:v>
      </x:c>
      <x:c r="G2593" s="56" t="n">
        <x:v>-80.096386</x:v>
      </x:c>
      <x:c r="H2593" s="44" t="n">
        <x:f>E2593/SUMIF(A:A,A2593,E:E)</x:f>
        <x:v>0.01247735466112735</x:v>
      </x:c>
    </x:row>
    <x:row r="2594" ht="21.600000381469727" hidden="0" customHeight="1">
      <x:c r="A2594" s="27" t="str">
        <x:v>SCA-28</x:v>
      </x:c>
      <x:c r="B2594" s="27" t="str">
        <x:v>51013</x:v>
      </x:c>
      <x:c r="C2594" s="27" t="str">
        <x:v>VA</x:v>
      </x:c>
      <x:c r="D2594" s="27" t="str">
        <x:v>Arlington County</x:v>
      </x:c>
      <x:c r="E2594" s="40" t="n">
        <x:v>243931</x:v>
      </x:c>
      <x:c r="F2594" s="55" t="n">
        <x:v>38.878337</x:v>
      </x:c>
      <x:c r="G2594" s="55" t="n">
        <x:v>-77.100703</x:v>
      </x:c>
      <x:c r="H2594" s="43" t="n">
        <x:f>E2594/SUMIF(A:A,A2594,E:E)</x:f>
        <x:v>0.011449387582546329</x:v>
      </x:c>
    </x:row>
    <x:row r="2595" ht="15" hidden="0" customHeight="1">
      <x:c r="A2595" s="29" t="str">
        <x:v>SCA-28</x:v>
      </x:c>
      <x:c r="B2595" s="29" t="str">
        <x:v>39085</x:v>
      </x:c>
      <x:c r="C2595" s="29" t="str">
        <x:v>OH</x:v>
      </x:c>
      <x:c r="D2595" s="29" t="str">
        <x:v>Lake County</x:v>
      </x:c>
      <x:c r="E2595" s="41" t="n">
        <x:v>232217</x:v>
      </x:c>
      <x:c r="F2595" s="56" t="n">
        <x:v>41.778142</x:v>
      </x:c>
      <x:c r="G2595" s="56" t="n">
        <x:v>-81.19733</x:v>
      </x:c>
      <x:c r="H2595" s="44" t="n">
        <x:f>E2595/SUMIF(A:A,A2595,E:E)</x:f>
        <x:v>0.01089956764927853</x:v>
      </x:c>
    </x:row>
    <x:row r="2596" ht="21.600000381469727" hidden="0" customHeight="1">
      <x:c r="A2596" s="27" t="str">
        <x:v>SCA-28</x:v>
      </x:c>
      <x:c r="B2596" s="27" t="str">
        <x:v>39099</x:v>
      </x:c>
      <x:c r="C2596" s="27" t="str">
        <x:v>OH</x:v>
      </x:c>
      <x:c r="D2596" s="27" t="str">
        <x:v>Mahoning County</x:v>
      </x:c>
      <x:c r="E2596" s="40" t="n">
        <x:v>224706</x:v>
      </x:c>
      <x:c r="F2596" s="55" t="n">
        <x:v>41.01088</x:v>
      </x:c>
      <x:c r="G2596" s="55" t="n">
        <x:v>-80.770396</x:v>
      </x:c>
      <x:c r="H2596" s="43" t="n">
        <x:f>E2596/SUMIF(A:A,A2596,E:E)</x:f>
        <x:v>0.010547023896608694</x:v>
      </x:c>
    </x:row>
    <x:row r="2597" ht="21.600000381469727" hidden="0" customHeight="1">
      <x:c r="A2597" s="29" t="str">
        <x:v>SCA-28</x:v>
      </x:c>
      <x:c r="B2597" s="29" t="str">
        <x:v>42125</x:v>
      </x:c>
      <x:c r="C2597" s="29" t="str">
        <x:v>PA</x:v>
      </x:c>
      <x:c r="D2597" s="29" t="str">
        <x:v>Washington County</x:v>
      </x:c>
      <x:c r="E2597" s="41" t="n">
        <x:v>210802</x:v>
      </x:c>
      <x:c r="F2597" s="56" t="n">
        <x:v>40.200005</x:v>
      </x:c>
      <x:c r="G2597" s="56" t="n">
        <x:v>-80.252132</x:v>
      </x:c>
      <x:c r="H2597" s="44" t="n">
        <x:f>E2597/SUMIF(A:A,A2597,E:E)</x:f>
        <x:v>0.009894411949182069</x:v>
      </x:c>
    </x:row>
    <x:row r="2598" ht="21.600000381469727" hidden="0" customHeight="1">
      <x:c r="A2598" s="27" t="str">
        <x:v>SCA-28</x:v>
      </x:c>
      <x:c r="B2598" s="27" t="str">
        <x:v>36063</x:v>
      </x:c>
      <x:c r="C2598" s="27" t="str">
        <x:v>NY</x:v>
      </x:c>
      <x:c r="D2598" s="27" t="str">
        <x:v>Niagara County</x:v>
      </x:c>
      <x:c r="E2598" s="40" t="n">
        <x:v>208912</x:v>
      </x:c>
      <x:c r="F2598" s="55" t="n">
        <x:v>43.272672</x:v>
      </x:c>
      <x:c r="G2598" s="55" t="n">
        <x:v>-78.812943</x:v>
      </x:c>
      <x:c r="H2598" s="43" t="n">
        <x:f>E2598/SUMIF(A:A,A2598,E:E)</x:f>
        <x:v>0.00980570103285322</x:v>
      </x:c>
    </x:row>
    <x:row r="2599" ht="21.600000381469727" hidden="0" customHeight="1">
      <x:c r="A2599" s="29" t="str">
        <x:v>SCA-28</x:v>
      </x:c>
      <x:c r="B2599" s="29" t="str">
        <x:v>42019</x:v>
      </x:c>
      <x:c r="C2599" s="29" t="str">
        <x:v>PA</x:v>
      </x:c>
      <x:c r="D2599" s="29" t="str">
        <x:v>Butler County</x:v>
      </x:c>
      <x:c r="E2599" s="41" t="n">
        <x:v>200169</x:v>
      </x:c>
      <x:c r="F2599" s="56" t="n">
        <x:v>40.913847</x:v>
      </x:c>
      <x:c r="G2599" s="56" t="n">
        <x:v>-79.918978</x:v>
      </x:c>
      <x:c r="H2599" s="44" t="n">
        <x:f>E2599/SUMIF(A:A,A2599,E:E)</x:f>
        <x:v>0.009395330905094949</x:v>
      </x:c>
    </x:row>
    <x:row r="2600" ht="21.600000381469727" hidden="0" customHeight="1">
      <x:c r="A2600" s="27" t="str">
        <x:v>SCA-28</x:v>
      </x:c>
      <x:c r="B2600" s="27" t="str">
        <x:v>39155</x:v>
      </x:c>
      <x:c r="C2600" s="27" t="str">
        <x:v>OH</x:v>
      </x:c>
      <x:c r="D2600" s="27" t="str">
        <x:v>Trumbull County</x:v>
      </x:c>
      <x:c r="E2600" s="40" t="n">
        <x:v>198972</x:v>
      </x:c>
      <x:c r="F2600" s="55" t="n">
        <x:v>41.306374</x:v>
      </x:c>
      <x:c r="G2600" s="55" t="n">
        <x:v>-80.7704</x:v>
      </x:c>
      <x:c r="H2600" s="43" t="n">
        <x:f>E2600/SUMIF(A:A,A2600,E:E)</x:f>
        <x:v>0.009339147324753345</x:v>
      </x:c>
    </x:row>
    <x:row r="2601" ht="21.600000381469727" hidden="0" customHeight="1">
      <x:c r="A2601" s="29" t="str">
        <x:v>SCA-28</x:v>
      </x:c>
      <x:c r="B2601" s="29" t="str">
        <x:v>39089</x:v>
      </x:c>
      <x:c r="C2601" s="29" t="str">
        <x:v>OH</x:v>
      </x:c>
      <x:c r="D2601" s="29" t="str">
        <x:v>Licking County</x:v>
      </x:c>
      <x:c r="E2601" s="41" t="n">
        <x:v>185564</x:v>
      </x:c>
      <x:c r="F2601" s="56" t="n">
        <x:v>40.091505</x:v>
      </x:c>
      <x:c r="G2601" s="56" t="n">
        <x:v>-82.483435</x:v>
      </x:c>
      <x:c r="H2601" s="44" t="n">
        <x:f>E2601/SUMIF(A:A,A2601,E:E)</x:f>
        <x:v>0.008709816125738947</x:v>
      </x:c>
    </x:row>
    <x:row r="2602" ht="21.600000381469727" hidden="0" customHeight="1">
      <x:c r="A2602" s="27" t="str">
        <x:v>SCA-28</x:v>
      </x:c>
      <x:c r="B2602" s="27" t="str">
        <x:v>39103</x:v>
      </x:c>
      <x:c r="C2602" s="27" t="str">
        <x:v>OH</x:v>
      </x:c>
      <x:c r="D2602" s="27" t="str">
        <x:v>Medina County</x:v>
      </x:c>
      <x:c r="E2602" s="40" t="n">
        <x:v>185025</x:v>
      </x:c>
      <x:c r="F2602" s="55" t="n">
        <x:v>41.116174</x:v>
      </x:c>
      <x:c r="G2602" s="55" t="n">
        <x:v>-81.899764</x:v>
      </x:c>
      <x:c r="H2602" s="43" t="n">
        <x:f>E2602/SUMIF(A:A,A2602,E:E)</x:f>
        <x:v>0.008684517086637757</x:v>
      </x:c>
    </x:row>
    <x:row r="2603" ht="21.600000381469727" hidden="0" customHeight="1">
      <x:c r="A2603" s="29" t="str">
        <x:v>SCA-28</x:v>
      </x:c>
      <x:c r="B2603" s="29" t="str">
        <x:v>24013</x:v>
      </x:c>
      <x:c r="C2603" s="29" t="str">
        <x:v>MD</x:v>
      </x:c>
      <x:c r="D2603" s="29" t="str">
        <x:v>Carroll County</x:v>
      </x:c>
      <x:c r="E2603" s="41" t="n">
        <x:v>176677</x:v>
      </x:c>
      <x:c r="F2603" s="56" t="n">
        <x:v>39.563328</x:v>
      </x:c>
      <x:c r="G2603" s="56" t="n">
        <x:v>-77.01533</x:v>
      </x:c>
      <x:c r="H2603" s="44" t="n">
        <x:f>E2603/SUMIF(A:A,A2603,E:E)</x:f>
        <x:v>0.008292687071022289</x:v>
      </x:c>
    </x:row>
    <x:row r="2604" ht="21.600000381469727" hidden="0" customHeight="1">
      <x:c r="A2604" s="27" t="str">
        <x:v>SCA-28</x:v>
      </x:c>
      <x:c r="B2604" s="27" t="str">
        <x:v>24017</x:v>
      </x:c>
      <x:c r="C2604" s="27" t="str">
        <x:v>MD</x:v>
      </x:c>
      <x:c r="D2604" s="27" t="str">
        <x:v>Charles County</x:v>
      </x:c>
      <x:c r="E2604" s="40" t="n">
        <x:v>176593</x:v>
      </x:c>
      <x:c r="F2604" s="55" t="n">
        <x:v>38.472854</x:v>
      </x:c>
      <x:c r="G2604" s="55" t="n">
        <x:v>-77.015428</x:v>
      </x:c>
      <x:c r="H2604" s="43" t="n">
        <x:f>E2604/SUMIF(A:A,A2604,E:E)</x:f>
        <x:v>0.008288744363629894</x:v>
      </x:c>
    </x:row>
    <x:row r="2605" ht="21.600000381469727" hidden="0" customHeight="1">
      <x:c r="A2605" s="29" t="str">
        <x:v>SCA-28</x:v>
      </x:c>
      <x:c r="B2605" s="29" t="str">
        <x:v>54039</x:v>
      </x:c>
      <x:c r="C2605" s="29" t="str">
        <x:v>WV</x:v>
      </x:c>
      <x:c r="D2605" s="29" t="str">
        <x:v>Kanawha County</x:v>
      </x:c>
      <x:c r="E2605" s="41" t="n">
        <x:v>172381</x:v>
      </x:c>
      <x:c r="F2605" s="56" t="n">
        <x:v>38.328068</x:v>
      </x:c>
      <x:c r="G2605" s="56" t="n">
        <x:v>-81.523516</x:v>
      </x:c>
      <x:c r="H2605" s="44" t="n">
        <x:f>E2605/SUMIF(A:A,A2605,E:E)</x:f>
        <x:v>0.008091045750097031</x:v>
      </x:c>
    </x:row>
    <x:row r="2606" ht="21.600000381469727" hidden="0" customHeight="1">
      <x:c r="A2606" s="27" t="str">
        <x:v>SCA-28</x:v>
      </x:c>
      <x:c r="B2606" s="27" t="str">
        <x:v>39045</x:v>
      </x:c>
      <x:c r="C2606" s="27" t="str">
        <x:v>OH</x:v>
      </x:c>
      <x:c r="D2606" s="27" t="str">
        <x:v>Fairfield County</x:v>
      </x:c>
      <x:c r="E2606" s="40" t="n">
        <x:v>169752</x:v>
      </x:c>
      <x:c r="F2606" s="55" t="n">
        <x:v>39.747694</x:v>
      </x:c>
      <x:c r="G2606" s="55" t="n">
        <x:v>-82.626685</x:v>
      </x:c>
      <x:c r="H2606" s="43" t="n">
        <x:f>E2606/SUMIF(A:A,A2606,E:E)</x:f>
        <x:v>0.007967648396113674</x:v>
      </x:c>
    </x:row>
    <x:row r="2607" ht="21.600000381469727" hidden="0" customHeight="1">
      <x:c r="A2607" s="29" t="str">
        <x:v>SCA-28</x:v>
      </x:c>
      <x:c r="B2607" s="29" t="str">
        <x:v>42007</x:v>
      </x:c>
      <x:c r="C2607" s="29" t="str">
        <x:v>PA</x:v>
      </x:c>
      <x:c r="D2607" s="29" t="str">
        <x:v>Beaver County</x:v>
      </x:c>
      <x:c r="E2607" s="41" t="n">
        <x:v>166032</x:v>
      </x:c>
      <x:c r="F2607" s="56" t="n">
        <x:v>40.68414</x:v>
      </x:c>
      <x:c r="G2607" s="56" t="n">
        <x:v>-80.350721</x:v>
      </x:c>
      <x:c r="H2607" s="44" t="n">
        <x:f>E2607/SUMIF(A:A,A2607,E:E)</x:f>
        <x:v>0.007793042783021969</x:v>
      </x:c>
    </x:row>
    <x:row r="2608" ht="21.600000381469727" hidden="0" customHeight="1">
      <x:c r="A2608" s="27" t="str">
        <x:v>SCA-28</x:v>
      </x:c>
      <x:c r="B2608" s="27" t="str">
        <x:v>39133</x:v>
      </x:c>
      <x:c r="C2608" s="27" t="str">
        <x:v>OH</x:v>
      </x:c>
      <x:c r="D2608" s="27" t="str">
        <x:v>Portage County</x:v>
      </x:c>
      <x:c r="E2608" s="40" t="n">
        <x:v>163404</x:v>
      </x:c>
      <x:c r="F2608" s="55" t="n">
        <x:v>41.16897</x:v>
      </x:c>
      <x:c r="G2608" s="55" t="n">
        <x:v>-81.196962</x:v>
      </x:c>
      <x:c r="H2608" s="43" t="n">
        <x:f>E2608/SUMIF(A:A,A2608,E:E)</x:f>
        <x:v>0.007669692366031379</x:v>
      </x:c>
    </x:row>
    <x:row r="2609" ht="21.600000381469727" hidden="0" customHeight="1">
      <x:c r="A2609" s="29" t="str">
        <x:v>SCA-28</x:v>
      </x:c>
      <x:c r="B2609" s="29" t="str">
        <x:v>51510</x:v>
      </x:c>
      <x:c r="C2609" s="29" t="str">
        <x:v>VA</x:v>
      </x:c>
      <x:c r="D2609" s="29" t="str">
        <x:v>Alexandria city</x:v>
      </x:c>
      <x:c r="E2609" s="41" t="n">
        <x:v>160662</x:v>
      </x:c>
      <x:c r="F2609" s="56" t="n">
        <x:v>38.819251</x:v>
      </x:c>
      <x:c r="G2609" s="56" t="n">
        <x:v>-77.08367</x:v>
      </x:c>
      <x:c r="H2609" s="44" t="n">
        <x:f>E2609/SUMIF(A:A,A2609,E:E)</x:f>
        <x:v>0.0075409911318653974</x:v>
      </x:c>
    </x:row>
    <x:row r="2610" ht="21.600000381469727" hidden="0" customHeight="1">
      <x:c r="A2610" s="27" t="str">
        <x:v>SCA-28</x:v>
      </x:c>
      <x:c r="B2610" s="27" t="str">
        <x:v>42055</x:v>
      </x:c>
      <x:c r="C2610" s="27" t="str">
        <x:v>PA</x:v>
      </x:c>
      <x:c r="D2610" s="27" t="str">
        <x:v>Franklin County</x:v>
      </x:c>
      <x:c r="E2610" s="40" t="n">
        <x:v>160652</x:v>
      </x:c>
      <x:c r="F2610" s="55" t="n">
        <x:v>39.926772</x:v>
      </x:c>
      <x:c r="G2610" s="55" t="n">
        <x:v>-77.724521</x:v>
      </x:c>
      <x:c r="H2610" s="43" t="n">
        <x:f>E2610/SUMIF(A:A,A2610,E:E)</x:f>
        <x:v>0.007540521761937732</x:v>
      </x:c>
    </x:row>
    <x:row r="2611" ht="21.600000381469727" hidden="0" customHeight="1">
      <x:c r="A2611" s="29" t="str">
        <x:v>SCA-28</x:v>
      </x:c>
      <x:c r="B2611" s="29" t="str">
        <x:v>24043</x:v>
      </x:c>
      <x:c r="C2611" s="29" t="str">
        <x:v>MD</x:v>
      </x:c>
      <x:c r="D2611" s="29" t="str">
        <x:v>Washington County</x:v>
      </x:c>
      <x:c r="E2611" s="41" t="n">
        <x:v>157731</x:v>
      </x:c>
      <x:c r="F2611" s="56" t="n">
        <x:v>39.603621</x:v>
      </x:c>
      <x:c r="G2611" s="56" t="n">
        <x:v>-77.814671</x:v>
      </x:c>
      <x:c r="H2611" s="44" t="n">
        <x:f>E2611/SUMIF(A:A,A2611,E:E)</x:f>
        <x:v>0.007403418806066531</x:v>
      </x:c>
    </x:row>
    <x:row r="2612" ht="21.600000381469727" hidden="0" customHeight="1">
      <x:c r="A2612" s="27" t="str">
        <x:v>SCA-28</x:v>
      </x:c>
      <x:c r="B2612" s="27" t="str">
        <x:v>42027</x:v>
      </x:c>
      <x:c r="C2612" s="27" t="str">
        <x:v>PA</x:v>
      </x:c>
      <x:c r="D2612" s="27" t="str">
        <x:v>Centre County</x:v>
      </x:c>
      <x:c r="E2612" s="40" t="n">
        <x:v>157393</x:v>
      </x:c>
      <x:c r="F2612" s="55" t="n">
        <x:v>40.909322</x:v>
      </x:c>
      <x:c r="G2612" s="55" t="n">
        <x:v>-77.847667</x:v>
      </x:c>
      <x:c r="H2612" s="43" t="n">
        <x:f>E2612/SUMIF(A:A,A2612,E:E)</x:f>
        <x:v>0.007387554102511425</x:v>
      </x:c>
    </x:row>
    <x:row r="2613" ht="21.600000381469727" hidden="0" customHeight="1">
      <x:c r="A2613" s="29" t="str">
        <x:v>SCA-28</x:v>
      </x:c>
      <x:c r="B2613" s="29" t="str">
        <x:v>54003</x:v>
      </x:c>
      <x:c r="C2613" s="29" t="str">
        <x:v>WV</x:v>
      </x:c>
      <x:c r="D2613" s="29" t="str">
        <x:v>Berkeley County</x:v>
      </x:c>
      <x:c r="E2613" s="41" t="n">
        <x:v>139522</x:v>
      </x:c>
      <x:c r="F2613" s="56" t="n">
        <x:v>39.447938</x:v>
      </x:c>
      <x:c r="G2613" s="56" t="n">
        <x:v>-78.037753</x:v>
      </x:c>
      <x:c r="H2613" s="44" t="n">
        <x:f>E2613/SUMIF(A:A,A2613,E:E)</x:f>
        <x:v>0.006548743104779749</x:v>
      </x:c>
    </x:row>
    <x:row r="2614" ht="21.600000381469727" hidden="0" customHeight="1">
      <x:c r="A2614" s="27" t="str">
        <x:v>SCA-28</x:v>
      </x:c>
      <x:c r="B2614" s="27" t="str">
        <x:v>42021</x:v>
      </x:c>
      <x:c r="C2614" s="27" t="str">
        <x:v>PA</x:v>
      </x:c>
      <x:c r="D2614" s="27" t="str">
        <x:v>Cambria County</x:v>
      </x:c>
      <x:c r="E2614" s="40" t="n">
        <x:v>128968</x:v>
      </x:c>
      <x:c r="F2614" s="55" t="n">
        <x:v>40.510209</x:v>
      </x:c>
      <x:c r="G2614" s="55" t="n">
        <x:v>-78.710488</x:v>
      </x:c>
      <x:c r="H2614" s="43" t="n">
        <x:f>E2614/SUMIF(A:A,A2614,E:E)</x:f>
        <x:v>0.00605337008312119</x:v>
      </x:c>
    </x:row>
    <x:row r="2615" ht="21.600000381469727" hidden="0" customHeight="1">
      <x:c r="A2615" s="29" t="str">
        <x:v>SCA-28</x:v>
      </x:c>
      <x:c r="B2615" s="29" t="str">
        <x:v>36013</x:v>
      </x:c>
      <x:c r="C2615" s="29" t="str">
        <x:v>NY</x:v>
      </x:c>
      <x:c r="D2615" s="29" t="str">
        <x:v>Chautauqua County</x:v>
      </x:c>
      <x:c r="E2615" s="41" t="n">
        <x:v>124126</x:v>
      </x:c>
      <x:c r="F2615" s="56" t="n">
        <x:v>42.304216</x:v>
      </x:c>
      <x:c r="G2615" s="56" t="n">
        <x:v>-79.407595</x:v>
      </x:c>
      <x:c r="H2615" s="44" t="n">
        <x:f>E2615/SUMIF(A:A,A2615,E:E)</x:f>
        <x:v>0.0058261011641453754</x:v>
      </x:c>
    </x:row>
    <x:row r="2616" ht="21.600000381469727" hidden="0" customHeight="1">
      <x:c r="A2616" s="27" t="str">
        <x:v>SCA-28</x:v>
      </x:c>
      <x:c r="B2616" s="27" t="str">
        <x:v>42051</x:v>
      </x:c>
      <x:c r="C2616" s="27" t="str">
        <x:v>PA</x:v>
      </x:c>
      <x:c r="D2616" s="27" t="str">
        <x:v>Fayette County</x:v>
      </x:c>
      <x:c r="E2616" s="40" t="n">
        <x:v>123021</x:v>
      </x:c>
      <x:c r="F2616" s="55" t="n">
        <x:v>39.918911</x:v>
      </x:c>
      <x:c r="G2616" s="55" t="n">
        <x:v>-79.640253</x:v>
      </x:c>
      <x:c r="H2616" s="43" t="n">
        <x:f>E2616/SUMIF(A:A,A2616,E:E)</x:f>
        <x:v>0.005774235787138297</x:v>
      </x:c>
    </x:row>
    <x:row r="2617" ht="15" hidden="0" customHeight="1">
      <x:c r="A2617" s="29" t="str">
        <x:v>SCA-28</x:v>
      </x:c>
      <x:c r="B2617" s="29" t="str">
        <x:v>42013</x:v>
      </x:c>
      <x:c r="C2617" s="29" t="str">
        <x:v>PA</x:v>
      </x:c>
      <x:c r="D2617" s="29" t="str">
        <x:v>Blair County</x:v>
      </x:c>
      <x:c r="E2617" s="41" t="n">
        <x:v>119541</x:v>
      </x:c>
      <x:c r="F2617" s="56" t="n">
        <x:v>40.498683</x:v>
      </x:c>
      <x:c r="G2617" s="56" t="n">
        <x:v>-78.309597</x:v>
      </x:c>
      <x:c r="H2617" s="44" t="n">
        <x:f>E2617/SUMIF(A:A,A2617,E:E)</x:f>
        <x:v>0.005610895052310575</x:v>
      </x:c>
    </x:row>
    <x:row r="2618" ht="21.600000381469727" hidden="0" customHeight="1">
      <x:c r="A2618" s="27" t="str">
        <x:v>SCA-28</x:v>
      </x:c>
      <x:c r="B2618" s="27" t="str">
        <x:v>39169</x:v>
      </x:c>
      <x:c r="C2618" s="27" t="str">
        <x:v>OH</x:v>
      </x:c>
      <x:c r="D2618" s="27" t="str">
        <x:v>Wayne County</x:v>
      </x:c>
      <x:c r="E2618" s="40" t="n">
        <x:v>116758</x:v>
      </x:c>
      <x:c r="F2618" s="55" t="n">
        <x:v>40.829661</x:v>
      </x:c>
      <x:c r="G2618" s="55" t="n">
        <x:v>-81.887194</x:v>
      </x:c>
      <x:c r="H2618" s="43" t="n">
        <x:f>E2618/SUMIF(A:A,A2618,E:E)</x:f>
        <x:v>0.005480269401441163</x:v>
      </x:c>
    </x:row>
    <x:row r="2619" ht="21.600000381469727" hidden="0" customHeight="1">
      <x:c r="A2619" s="29" t="str">
        <x:v>SCA-28</x:v>
      </x:c>
      <x:c r="B2619" s="29" t="str">
        <x:v>36069</x:v>
      </x:c>
      <x:c r="C2619" s="29" t="str">
        <x:v>NY</x:v>
      </x:c>
      <x:c r="D2619" s="29" t="str">
        <x:v>Ontario County</x:v>
      </x:c>
      <x:c r="E2619" s="41" t="n">
        <x:v>113130</x:v>
      </x:c>
      <x:c r="F2619" s="56" t="n">
        <x:v>42.856357</x:v>
      </x:c>
      <x:c r="G2619" s="56" t="n">
        <x:v>-77.303497</x:v>
      </x:c>
      <x:c r="H2619" s="44" t="n">
        <x:f>E2619/SUMIF(A:A,A2619,E:E)</x:f>
        <x:v>0.005309981991683985</x:v>
      </x:c>
    </x:row>
    <x:row r="2620" ht="21.600000381469727" hidden="0" customHeight="1">
      <x:c r="A2620" s="27" t="str">
        <x:v>SCA-28</x:v>
      </x:c>
      <x:c r="B2620" s="27" t="str">
        <x:v>42081</x:v>
      </x:c>
      <x:c r="C2620" s="27" t="str">
        <x:v>PA</x:v>
      </x:c>
      <x:c r="D2620" s="27" t="str">
        <x:v>Lycoming County</x:v>
      </x:c>
      <x:c r="E2620" s="40" t="n">
        <x:v>112587</x:v>
      </x:c>
      <x:c r="F2620" s="55" t="n">
        <x:v>41.343882</x:v>
      </x:c>
      <x:c r="G2620" s="55" t="n">
        <x:v>-77.055262</x:v>
      </x:c>
      <x:c r="H2620" s="43" t="n">
        <x:f>E2620/SUMIF(A:A,A2620,E:E)</x:f>
        <x:v>0.005284495204611729</x:v>
      </x:c>
    </x:row>
    <x:row r="2621" ht="21.600000381469727" hidden="0" customHeight="1">
      <x:c r="A2621" s="29" t="str">
        <x:v>SCA-28</x:v>
      </x:c>
      <x:c r="B2621" s="29" t="str">
        <x:v>54061</x:v>
      </x:c>
      <x:c r="C2621" s="29" t="str">
        <x:v>WV</x:v>
      </x:c>
      <x:c r="D2621" s="29" t="str">
        <x:v>Monongalia County</x:v>
      </x:c>
      <x:c r="E2621" s="41" t="n">
        <x:v>107991</x:v>
      </x:c>
      <x:c r="F2621" s="56" t="n">
        <x:v>39.633645</x:v>
      </x:c>
      <x:c r="G2621" s="56" t="n">
        <x:v>-80.059074</x:v>
      </x:c>
      <x:c r="H2621" s="44" t="n">
        <x:f>E2621/SUMIF(A:A,A2621,E:E)</x:f>
        <x:v>0.0050687727858564945</x:v>
      </x:c>
    </x:row>
    <x:row r="2622" ht="21.600000381469727" hidden="0" customHeight="1">
      <x:c r="A2622" s="27" t="str">
        <x:v>SCA-28</x:v>
      </x:c>
      <x:c r="B2622" s="27" t="str">
        <x:v>42085</x:v>
      </x:c>
      <x:c r="C2622" s="27" t="str">
        <x:v>PA</x:v>
      </x:c>
      <x:c r="D2622" s="27" t="str">
        <x:v>Mercer County</x:v>
      </x:c>
      <x:c r="E2622" s="40" t="n">
        <x:v>107860</x:v>
      </x:c>
      <x:c r="F2622" s="55" t="n">
        <x:v>41.300014</x:v>
      </x:c>
      <x:c r="G2622" s="55" t="n">
        <x:v>-80.252786</x:v>
      </x:c>
      <x:c r="H2622" s="43" t="n">
        <x:f>E2622/SUMIF(A:A,A2622,E:E)</x:f>
        <x:v>0.0050626240398040714</x:v>
      </x:c>
    </x:row>
    <x:row r="2623" ht="21.600000381469727" hidden="0" customHeight="1">
      <x:c r="A2623" s="29" t="str">
        <x:v>SCA-28</x:v>
      </x:c>
      <x:c r="B2623" s="29" t="str">
        <x:v>42001</x:v>
      </x:c>
      <x:c r="C2623" s="29" t="str">
        <x:v>PA</x:v>
      </x:c>
      <x:c r="D2623" s="29" t="str">
        <x:v>Adams County</x:v>
      </x:c>
      <x:c r="E2623" s="41" t="n">
        <x:v>107594</x:v>
      </x:c>
      <x:c r="F2623" s="56" t="n">
        <x:v>39.869437</x:v>
      </x:c>
      <x:c r="G2623" s="56" t="n">
        <x:v>-77.21775</x:v>
      </x:c>
      <x:c r="H2623" s="44" t="n">
        <x:f>E2623/SUMIF(A:A,A2623,E:E)</x:f>
        <x:v>0.00505013879972816</x:v>
      </x:c>
    </x:row>
    <x:row r="2624" ht="21.600000381469727" hidden="0" customHeight="1">
      <x:c r="A2624" s="27" t="str">
        <x:v>SCA-28</x:v>
      </x:c>
      <x:c r="B2624" s="27" t="str">
        <x:v>51069</x:v>
      </x:c>
      <x:c r="C2624" s="27" t="str">
        <x:v>VA</x:v>
      </x:c>
      <x:c r="D2624" s="27" t="str">
        <x:v>Frederick County</x:v>
      </x:c>
      <x:c r="E2624" s="40" t="n">
        <x:v>99955</x:v>
      </x:c>
      <x:c r="F2624" s="55" t="n">
        <x:v>39.20366</x:v>
      </x:c>
      <x:c r="G2624" s="55" t="n">
        <x:v>-78.263829</x:v>
      </x:c>
      <x:c r="H2624" s="43" t="n">
        <x:f>E2624/SUMIF(A:A,A2624,E:E)</x:f>
        <x:v>0.004691587111984202</x:v>
      </x:c>
    </x:row>
    <x:row r="2625" ht="21.600000381469727" hidden="0" customHeight="1">
      <x:c r="A2625" s="29" t="str">
        <x:v>SCA-28</x:v>
      </x:c>
      <x:c r="B2625" s="29" t="str">
        <x:v>39029</x:v>
      </x:c>
      <x:c r="C2625" s="29" t="str">
        <x:v>OH</x:v>
      </x:c>
      <x:c r="D2625" s="29" t="str">
        <x:v>Columbiana County</x:v>
      </x:c>
      <x:c r="E2625" s="41" t="n">
        <x:v>99377</x:v>
      </x:c>
      <x:c r="F2625" s="56" t="n">
        <x:v>40.770073</x:v>
      </x:c>
      <x:c r="G2625" s="56" t="n">
        <x:v>-80.778455</x:v>
      </x:c>
      <x:c r="H2625" s="44" t="n">
        <x:f>E2625/SUMIF(A:A,A2625,E:E)</x:f>
        <x:v>0.004664457530165114</x:v>
      </x:c>
    </x:row>
    <x:row r="2626" ht="21.600000381469727" hidden="0" customHeight="1">
      <x:c r="A2626" s="27" t="str">
        <x:v>SCA-28</x:v>
      </x:c>
      <x:c r="B2626" s="27" t="str">
        <x:v>39007</x:v>
      </x:c>
      <x:c r="C2626" s="27" t="str">
        <x:v>OH</x:v>
      </x:c>
      <x:c r="D2626" s="27" t="str">
        <x:v>Ashtabula County</x:v>
      </x:c>
      <x:c r="E2626" s="40" t="n">
        <x:v>96713</x:v>
      </x:c>
      <x:c r="F2626" s="55" t="n">
        <x:v>41.906637</x:v>
      </x:c>
      <x:c r="G2626" s="55" t="n">
        <x:v>-80.745592</x:v>
      </x:c>
      <x:c r="H2626" s="43" t="n">
        <x:f>E2626/SUMIF(A:A,A2626,E:E)</x:f>
        <x:v>0.004539417381434927</x:v>
      </x:c>
    </x:row>
    <x:row r="2627" ht="21.600000381469727" hidden="0" customHeight="1">
      <x:c r="A2627" s="29" t="str">
        <x:v>SCA-28</x:v>
      </x:c>
      <x:c r="B2627" s="29" t="str">
        <x:v>39055</x:v>
      </x:c>
      <x:c r="C2627" s="29" t="str">
        <x:v>OH</x:v>
      </x:c>
      <x:c r="D2627" s="29" t="str">
        <x:v>Geauga County</x:v>
      </x:c>
      <x:c r="E2627" s="41" t="n">
        <x:v>95676</x:v>
      </x:c>
      <x:c r="F2627" s="56" t="n">
        <x:v>41.499322</x:v>
      </x:c>
      <x:c r="G2627" s="56" t="n">
        <x:v>-81.173505</x:v>
      </x:c>
      <x:c r="H2627" s="44" t="n">
        <x:f>E2627/SUMIF(A:A,A2627,E:E)</x:f>
        <x:v>0.0044907437199359765</x:v>
      </x:c>
    </x:row>
    <x:row r="2628" ht="21.600000381469727" hidden="0" customHeight="1">
      <x:c r="A2628" s="27" t="str">
        <x:v>SCA-28</x:v>
      </x:c>
      <x:c r="B2628" s="27" t="str">
        <x:v>39157</x:v>
      </x:c>
      <x:c r="C2628" s="27" t="str">
        <x:v>OH</x:v>
      </x:c>
      <x:c r="D2628" s="27" t="str">
        <x:v>Tuscarawas County</x:v>
      </x:c>
      <x:c r="E2628" s="40" t="n">
        <x:v>92373</x:v>
      </x:c>
      <x:c r="F2628" s="55" t="n">
        <x:v>40.44744</x:v>
      </x:c>
      <x:c r="G2628" s="55" t="n">
        <x:v>-81.471166</x:v>
      </x:c>
      <x:c r="H2628" s="43" t="n">
        <x:f>E2628/SUMIF(A:A,A2628,E:E)</x:f>
        <x:v>0.004335710832827939</x:v>
      </x:c>
    </x:row>
    <x:row r="2629" ht="21.600000381469727" hidden="0" customHeight="1">
      <x:c r="A2629" s="29" t="str">
        <x:v>SCA-28</x:v>
      </x:c>
      <x:c r="B2629" s="29" t="str">
        <x:v>36101</x:v>
      </x:c>
      <x:c r="C2629" s="29" t="str">
        <x:v>NY</x:v>
      </x:c>
      <x:c r="D2629" s="29" t="str">
        <x:v>Steuben County</x:v>
      </x:c>
      <x:c r="E2629" s="41" t="n">
        <x:v>91855</x:v>
      </x:c>
      <x:c r="F2629" s="56" t="n">
        <x:v>42.266725</x:v>
      </x:c>
      <x:c r="G2629" s="56" t="n">
        <x:v>-77.385525</x:v>
      </x:c>
      <x:c r="H2629" s="44" t="n">
        <x:f>E2629/SUMIF(A:A,A2629,E:E)</x:f>
        <x:v>0.004311397470574847</x:v>
      </x:c>
    </x:row>
    <x:row r="2630" ht="21.600000381469727" hidden="0" customHeight="1">
      <x:c r="A2630" s="27" t="str">
        <x:v>SCA-28</x:v>
      </x:c>
      <x:c r="B2630" s="27" t="str">
        <x:v>51165</x:v>
      </x:c>
      <x:c r="C2630" s="27" t="str">
        <x:v>VA</x:v>
      </x:c>
      <x:c r="D2630" s="27" t="str">
        <x:v>Rockingham County</x:v>
      </x:c>
      <x:c r="E2630" s="40" t="n">
        <x:v>89316</x:v>
      </x:c>
      <x:c r="F2630" s="55" t="n">
        <x:v>38.507612</x:v>
      </x:c>
      <x:c r="G2630" s="55" t="n">
        <x:v>-78.885329</x:v>
      </x:c>
      <x:c r="H2630" s="43" t="n">
        <x:f>E2630/SUMIF(A:A,A2630,E:E)</x:f>
        <x:v>0.004192224445940483</x:v>
      </x:c>
    </x:row>
    <x:row r="2631" ht="21.600000381469727" hidden="0" customHeight="1">
      <x:c r="A2631" s="29" t="str">
        <x:v>SCA-28</x:v>
      </x:c>
      <x:c r="B2631" s="29" t="str">
        <x:v>39119</x:v>
      </x:c>
      <x:c r="C2631" s="29" t="str">
        <x:v>OH</x:v>
      </x:c>
      <x:c r="D2631" s="29" t="str">
        <x:v>Muskingum County</x:v>
      </x:c>
      <x:c r="E2631" s="41" t="n">
        <x:v>87014</x:v>
      </x:c>
      <x:c r="F2631" s="56" t="n">
        <x:v>39.966046</x:v>
      </x:c>
      <x:c r="G2631" s="56" t="n">
        <x:v>-81.943506</x:v>
      </x:c>
      <x:c r="H2631" s="44" t="n">
        <x:f>E2631/SUMIF(A:A,A2631,E:E)</x:f>
        <x:v>0.0040841754885918</x:v>
      </x:c>
    </x:row>
    <x:row r="2632" ht="21.600000381469727" hidden="0" customHeight="1">
      <x:c r="A2632" s="27" t="str">
        <x:v>SCA-28</x:v>
      </x:c>
      <x:c r="B2632" s="27" t="str">
        <x:v>42073</x:v>
      </x:c>
      <x:c r="C2632" s="27" t="str">
        <x:v>PA</x:v>
      </x:c>
      <x:c r="D2632" s="27" t="str">
        <x:v>Lawrence County</x:v>
      </x:c>
      <x:c r="E2632" s="40" t="n">
        <x:v>83911</x:v>
      </x:c>
      <x:c r="F2632" s="55" t="n">
        <x:v>40.992735</x:v>
      </x:c>
      <x:c r="G2632" s="55" t="n">
        <x:v>-80.334446</x:v>
      </x:c>
      <x:c r="H2632" s="43" t="n">
        <x:f>E2632/SUMIF(A:A,A2632,E:E)</x:f>
        <x:v>0.0039385300000370806</x:v>
      </x:c>
    </x:row>
    <x:row r="2633" ht="21.600000381469727" hidden="0" customHeight="1">
      <x:c r="A2633" s="29" t="str">
        <x:v>SCA-28</x:v>
      </x:c>
      <x:c r="B2633" s="29" t="str">
        <x:v>42063</x:v>
      </x:c>
      <x:c r="C2633" s="29" t="str">
        <x:v>PA</x:v>
      </x:c>
      <x:c r="D2633" s="29" t="str">
        <x:v>Indiana County</x:v>
      </x:c>
      <x:c r="E2633" s="41" t="n">
        <x:v>82878</x:v>
      </x:c>
      <x:c r="F2633" s="56" t="n">
        <x:v>40.651432</x:v>
      </x:c>
      <x:c r="G2633" s="56" t="n">
        <x:v>-79.087545</x:v>
      </x:c>
      <x:c r="H2633" s="44" t="n">
        <x:f>E2633/SUMIF(A:A,A2633,E:E)</x:f>
        <x:v>0.0038900440865091957</x:v>
      </x:c>
    </x:row>
    <x:row r="2634" ht="21.600000381469727" hidden="0" customHeight="1">
      <x:c r="A2634" s="27" t="str">
        <x:v>SCA-28</x:v>
      </x:c>
      <x:c r="B2634" s="27" t="str">
        <x:v>54107</x:v>
      </x:c>
      <x:c r="C2634" s="27" t="str">
        <x:v>WV</x:v>
      </x:c>
      <x:c r="D2634" s="27" t="str">
        <x:v>Wood County</x:v>
      </x:c>
      <x:c r="E2634" s="40" t="n">
        <x:v>82385</x:v>
      </x:c>
      <x:c r="F2634" s="55" t="n">
        <x:v>39.211602</x:v>
      </x:c>
      <x:c r="G2634" s="55" t="n">
        <x:v>-81.516234</x:v>
      </x:c>
      <x:c r="H2634" s="43" t="n">
        <x:f>E2634/SUMIF(A:A,A2634,E:E)</x:f>
        <x:v>0.0038669041490752686</x:v>
      </x:c>
    </x:row>
    <x:row r="2635" ht="21.600000381469727" hidden="0" customHeight="1">
      <x:c r="A2635" s="29" t="str">
        <x:v>SCA-28</x:v>
      </x:c>
      <x:c r="B2635" s="29" t="str">
        <x:v>42039</x:v>
      </x:c>
      <x:c r="C2635" s="29" t="str">
        <x:v>PA</x:v>
      </x:c>
      <x:c r="D2635" s="29" t="str">
        <x:v>Crawford County</x:v>
      </x:c>
      <x:c r="E2635" s="41" t="n">
        <x:v>81792</x:v>
      </x:c>
      <x:c r="F2635" s="56" t="n">
        <x:v>41.687876</x:v>
      </x:c>
      <x:c r="G2635" s="56" t="n">
        <x:v>-80.107795</x:v>
      </x:c>
      <x:c r="H2635" s="44" t="n">
        <x:f>E2635/SUMIF(A:A,A2635,E:E)</x:f>
        <x:v>0.0038390705123646823</x:v>
      </x:c>
    </x:row>
    <x:row r="2636" ht="21.600000381469727" hidden="0" customHeight="1">
      <x:c r="A2636" s="27" t="str">
        <x:v>SCA-28</x:v>
      </x:c>
      <x:c r="B2636" s="27" t="str">
        <x:v>42033</x:v>
      </x:c>
      <x:c r="C2636" s="27" t="str">
        <x:v>PA</x:v>
      </x:c>
      <x:c r="D2636" s="27" t="str">
        <x:v>Clearfield County</x:v>
      </x:c>
      <x:c r="E2636" s="40" t="n">
        <x:v>78100</x:v>
      </x:c>
      <x:c r="F2636" s="55" t="n">
        <x:v>41.006862</x:v>
      </x:c>
      <x:c r="G2636" s="55" t="n">
        <x:v>-78.477724</x:v>
      </x:c>
      <x:c r="H2636" s="43" t="n">
        <x:f>E2636/SUMIF(A:A,A2636,E:E)</x:f>
        <x:v>0.003665779135070443</x:v>
      </x:c>
    </x:row>
    <x:row r="2637" ht="21.600000381469727" hidden="0" customHeight="1">
      <x:c r="A2637" s="29" t="str">
        <x:v>SCA-28</x:v>
      </x:c>
      <x:c r="B2637" s="29" t="str">
        <x:v>51061</x:v>
      </x:c>
      <x:c r="C2637" s="29" t="str">
        <x:v>VA</x:v>
      </x:c>
      <x:c r="D2637" s="29" t="str">
        <x:v>Fauquier County</x:v>
      </x:c>
      <x:c r="E2637" s="41" t="n">
        <x:v>76503</x:v>
      </x:c>
      <x:c r="F2637" s="56" t="n">
        <x:v>38.744096</x:v>
      </x:c>
      <x:c r="G2637" s="56" t="n">
        <x:v>-77.8215</x:v>
      </x:c>
      <x:c r="H2637" s="44" t="n">
        <x:f>E2637/SUMIF(A:A,A2637,E:E)</x:f>
        <x:v>0.003590820757622204</x:v>
      </x:c>
    </x:row>
    <x:row r="2638" ht="21.600000381469727" hidden="0" customHeight="1">
      <x:c r="A2638" s="27" t="str">
        <x:v>SCA-28</x:v>
      </x:c>
      <x:c r="B2638" s="27" t="str">
        <x:v>36009</x:v>
      </x:c>
      <x:c r="C2638" s="27" t="str">
        <x:v>NY</x:v>
      </x:c>
      <x:c r="D2638" s="27" t="str">
        <x:v>Cattaraugus County</x:v>
      </x:c>
      <x:c r="E2638" s="40" t="n">
        <x:v>75390</x:v>
      </x:c>
      <x:c r="F2638" s="55" t="n">
        <x:v>42.239099</x:v>
      </x:c>
      <x:c r="G2638" s="55" t="n">
        <x:v>-78.662332</x:v>
      </x:c>
      <x:c r="H2638" s="43" t="n">
        <x:f>E2638/SUMIF(A:A,A2638,E:E)</x:f>
        <x:v>0.0035385798846729924</x:v>
      </x:c>
    </x:row>
    <x:row r="2639" ht="21.600000381469727" hidden="0" customHeight="1">
      <x:c r="A2639" s="29" t="str">
        <x:v>SCA-28</x:v>
      </x:c>
      <x:c r="B2639" s="29" t="str">
        <x:v>42111</x:v>
      </x:c>
      <x:c r="C2639" s="29" t="str">
        <x:v>PA</x:v>
      </x:c>
      <x:c r="D2639" s="29" t="str">
        <x:v>Somerset County</x:v>
      </x:c>
      <x:c r="E2639" s="41" t="n">
        <x:v>72004</x:v>
      </x:c>
      <x:c r="F2639" s="56" t="n">
        <x:v>39.981297</x:v>
      </x:c>
      <x:c r="G2639" s="56" t="n">
        <x:v>-79.028486</x:v>
      </x:c>
      <x:c r="H2639" s="44" t="n">
        <x:f>E2639/SUMIF(A:A,A2639,E:E)</x:f>
        <x:v>0.003379651227165329</x:v>
      </x:c>
    </x:row>
    <x:row r="2640" ht="21.600000381469727" hidden="0" customHeight="1">
      <x:c r="A2640" s="27" t="str">
        <x:v>SCA-28</x:v>
      </x:c>
      <x:c r="B2640" s="27" t="str">
        <x:v>54081</x:v>
      </x:c>
      <x:c r="C2640" s="27" t="str">
        <x:v>WV</x:v>
      </x:c>
      <x:c r="D2640" s="27" t="str">
        <x:v>Raleigh County</x:v>
      </x:c>
      <x:c r="E2640" s="40" t="n">
        <x:v>71775</x:v>
      </x:c>
      <x:c r="F2640" s="55" t="n">
        <x:v>37.762469</x:v>
      </x:c>
      <x:c r="G2640" s="55" t="n">
        <x:v>-81.264672</x:v>
      </x:c>
      <x:c r="H2640" s="43" t="n">
        <x:f>E2640/SUMIF(A:A,A2640,E:E)</x:f>
        <x:v>0.0033689026558217806</x:v>
      </x:c>
    </x:row>
    <x:row r="2641" ht="21.600000381469727" hidden="0" customHeight="1">
      <x:c r="A2641" s="29" t="str">
        <x:v>SCA-28</x:v>
      </x:c>
      <x:c r="B2641" s="29" t="str">
        <x:v>24001</x:v>
      </x:c>
      <x:c r="C2641" s="29" t="str">
        <x:v>MD</x:v>
      </x:c>
      <x:c r="D2641" s="29" t="str">
        <x:v>Allegany County</x:v>
      </x:c>
      <x:c r="E2641" s="41" t="n">
        <x:v>66848</x:v>
      </x:c>
      <x:c r="F2641" s="56" t="n">
        <x:v>39.612313</x:v>
      </x:c>
      <x:c r="G2641" s="56" t="n">
        <x:v>-78.703104</x:v>
      </x:c>
      <x:c r="H2641" s="44" t="n">
        <x:f>E2641/SUMIF(A:A,A2641,E:E)</x:f>
        <x:v>0.0031376440924608066</x:v>
      </x:c>
    </x:row>
    <x:row r="2642" ht="21.600000381469727" hidden="0" customHeight="1">
      <x:c r="A2642" s="27" t="str">
        <x:v>SCA-28</x:v>
      </x:c>
      <x:c r="B2642" s="27" t="str">
        <x:v>39013</x:v>
      </x:c>
      <x:c r="C2642" s="27" t="str">
        <x:v>OH</x:v>
      </x:c>
      <x:c r="D2642" s="27" t="str">
        <x:v>Belmont County</x:v>
      </x:c>
      <x:c r="E2642" s="40" t="n">
        <x:v>64434</x:v>
      </x:c>
      <x:c r="F2642" s="55" t="n">
        <x:v>40.017692</x:v>
      </x:c>
      <x:c r="G2642" s="55" t="n">
        <x:v>-80.967713</x:v>
      </x:c>
      <x:c r="H2642" s="43" t="n">
        <x:f>E2642/SUMIF(A:A,A2642,E:E)</x:f>
        <x:v>0.0030243381919222655</x:v>
      </x:c>
    </x:row>
    <x:row r="2643" ht="21.600000381469727" hidden="0" customHeight="1">
      <x:c r="A2643" s="29" t="str">
        <x:v>SCA-28</x:v>
      </x:c>
      <x:c r="B2643" s="29" t="str">
        <x:v>54033</x:v>
      </x:c>
      <x:c r="C2643" s="29" t="str">
        <x:v>WV</x:v>
      </x:c>
      <x:c r="D2643" s="29" t="str">
        <x:v>Harrison County</x:v>
      </x:c>
      <x:c r="E2643" s="41" t="n">
        <x:v>64221</x:v>
      </x:c>
      <x:c r="F2643" s="56" t="n">
        <x:v>39.27922</x:v>
      </x:c>
      <x:c r="G2643" s="56" t="n">
        <x:v>-80.385837</x:v>
      </x:c>
      <x:c r="H2643" s="44" t="n">
        <x:f>E2643/SUMIF(A:A,A2643,E:E)</x:f>
        <x:v>0.0030143406124629826</x:v>
      </x:c>
    </x:row>
    <x:row r="2644" ht="15" hidden="0" customHeight="1">
      <x:c r="A2644" s="27" t="str">
        <x:v>SCA-28</x:v>
      </x:c>
      <x:c r="B2644" s="27" t="str">
        <x:v>39083</x:v>
      </x:c>
      <x:c r="C2644" s="27" t="str">
        <x:v>OH</x:v>
      </x:c>
      <x:c r="D2644" s="27" t="str">
        <x:v>Knox County</x:v>
      </x:c>
      <x:c r="E2644" s="40" t="n">
        <x:v>64002</x:v>
      </x:c>
      <x:c r="F2644" s="55" t="n">
        <x:v>40.40362</x:v>
      </x:c>
      <x:c r="G2644" s="55" t="n">
        <x:v>-82.422393</x:v>
      </x:c>
      <x:c r="H2644" s="43" t="n">
        <x:f>E2644/SUMIF(A:A,A2644,E:E)</x:f>
        <x:v>0.0030040614110471</x:v>
      </x:c>
    </x:row>
    <x:row r="2645" ht="21.600000381469727" hidden="0" customHeight="1">
      <x:c r="A2645" s="29" t="str">
        <x:v>SCA-28</x:v>
      </x:c>
      <x:c r="B2645" s="29" t="str">
        <x:v>42005</x:v>
      </x:c>
      <x:c r="C2645" s="29" t="str">
        <x:v>PA</x:v>
      </x:c>
      <x:c r="D2645" s="29" t="str">
        <x:v>Armstrong County</x:v>
      </x:c>
      <x:c r="E2645" s="41" t="n">
        <x:v>63698</x:v>
      </x:c>
      <x:c r="F2645" s="56" t="n">
        <x:v>40.81238</x:v>
      </x:c>
      <x:c r="G2645" s="56" t="n">
        <x:v>-79.464129</x:v>
      </x:c>
      <x:c r="H2645" s="44" t="n">
        <x:f>E2645/SUMIF(A:A,A2645,E:E)</x:f>
        <x:v>0.0029897925652460577</x:v>
      </x:c>
    </x:row>
    <x:row r="2646" ht="21.600000381469727" hidden="0" customHeight="1">
      <x:c r="A2646" s="27" t="str">
        <x:v>SCA-28</x:v>
      </x:c>
      <x:c r="B2646" s="27" t="str">
        <x:v>39081</x:v>
      </x:c>
      <x:c r="C2646" s="27" t="str">
        <x:v>OH</x:v>
      </x:c>
      <x:c r="D2646" s="27" t="str">
        <x:v>Jefferson County</x:v>
      </x:c>
      <x:c r="E2646" s="40" t="n">
        <x:v>63597</x:v>
      </x:c>
      <x:c r="F2646" s="55" t="n">
        <x:v>40.399384</x:v>
      </x:c>
      <x:c r="G2646" s="55" t="n">
        <x:v>-80.763527</x:v>
      </x:c>
      <x:c r="H2646" s="43" t="n">
        <x:f>E2646/SUMIF(A:A,A2646,E:E)</x:f>
        <x:v>0.0029850519289766324</x:v>
      </x:c>
    </x:row>
    <x:row r="2647" ht="21.600000381469727" hidden="0" customHeight="1">
      <x:c r="A2647" s="29" t="str">
        <x:v>SCA-28</x:v>
      </x:c>
      <x:c r="B2647" s="29" t="str">
        <x:v>39009</x:v>
      </x:c>
      <x:c r="C2647" s="29" t="str">
        <x:v>OH</x:v>
      </x:c>
      <x:c r="D2647" s="29" t="str">
        <x:v>Athens County</x:v>
      </x:c>
      <x:c r="E2647" s="41" t="n">
        <x:v>63197</x:v>
      </x:c>
      <x:c r="F2647" s="56" t="n">
        <x:v>39.332755</x:v>
      </x:c>
      <x:c r="G2647" s="56" t="n">
        <x:v>-82.045885</x:v>
      </x:c>
      <x:c r="H2647" s="44" t="n">
        <x:f>E2647/SUMIF(A:A,A2647,E:E)</x:f>
        <x:v>0.0029662771318699974</x:v>
      </x:c>
    </x:row>
    <x:row r="2648" ht="21.600000381469727" hidden="0" customHeight="1">
      <x:c r="A2648" s="27" t="str">
        <x:v>SCA-28</x:v>
      </x:c>
      <x:c r="B2648" s="27" t="str">
        <x:v>54037</x:v>
      </x:c>
      <x:c r="C2648" s="27" t="str">
        <x:v>WV</x:v>
      </x:c>
      <x:c r="D2648" s="27" t="str">
        <x:v>Jefferson County</x:v>
      </x:c>
      <x:c r="E2648" s="40" t="n">
        <x:v>63102</x:v>
      </x:c>
      <x:c r="F2648" s="55" t="n">
        <x:v>39.307398</x:v>
      </x:c>
      <x:c r="G2648" s="55" t="n">
        <x:v>-77.86322</x:v>
      </x:c>
      <x:c r="H2648" s="43" t="n">
        <x:f>E2648/SUMIF(A:A,A2648,E:E)</x:f>
        <x:v>0.0029618181175571716</x:v>
      </x:c>
    </x:row>
    <x:row r="2649" ht="21.600000381469727" hidden="0" customHeight="1">
      <x:c r="A2649" s="29" t="str">
        <x:v>SCA-28</x:v>
      </x:c>
      <x:c r="B2649" s="29" t="str">
        <x:v>39129</x:v>
      </x:c>
      <x:c r="C2649" s="29" t="str">
        <x:v>OH</x:v>
      </x:c>
      <x:c r="D2649" s="29" t="str">
        <x:v>Pickaway County</x:v>
      </x:c>
      <x:c r="E2649" s="41" t="n">
        <x:v>62978</x:v>
      </x:c>
      <x:c r="F2649" s="56" t="n">
        <x:v>39.648947</x:v>
      </x:c>
      <x:c r="G2649" s="56" t="n">
        <x:v>-83.052827</x:v>
      </x:c>
      <x:c r="H2649" s="44" t="n">
        <x:f>E2649/SUMIF(A:A,A2649,E:E)</x:f>
        <x:v>0.002955997930454115</x:v>
      </x:c>
    </x:row>
    <x:row r="2650" ht="21.600000381469727" hidden="0" customHeight="1">
      <x:c r="A2650" s="27" t="str">
        <x:v>SCA-28</x:v>
      </x:c>
      <x:c r="B2650" s="27" t="str">
        <x:v>36051</x:v>
      </x:c>
      <x:c r="C2650" s="27" t="str">
        <x:v>NY</x:v>
      </x:c>
      <x:c r="D2650" s="27" t="str">
        <x:v>Livingston County</x:v>
      </x:c>
      <x:c r="E2650" s="40" t="n">
        <x:v>61438</x:v>
      </x:c>
      <x:c r="F2650" s="55" t="n">
        <x:v>42.729042</x:v>
      </x:c>
      <x:c r="G2650" s="55" t="n">
        <x:v>-77.778463</x:v>
      </x:c>
      <x:c r="H2650" s="43" t="n">
        <x:f>E2650/SUMIF(A:A,A2650,E:E)</x:f>
        <x:v>0.002883714961593571</x:v>
      </x:c>
    </x:row>
    <x:row r="2651" ht="21.600000381469727" hidden="0" customHeight="1">
      <x:c r="A2651" s="29" t="str">
        <x:v>SCA-28</x:v>
      </x:c>
      <x:c r="B2651" s="29" t="str">
        <x:v>36037</x:v>
      </x:c>
      <x:c r="C2651" s="29" t="str">
        <x:v>NY</x:v>
      </x:c>
      <x:c r="D2651" s="29" t="str">
        <x:v>Genesee County</x:v>
      </x:c>
      <x:c r="E2651" s="41" t="n">
        <x:v>58416</x:v>
      </x:c>
      <x:c r="F2651" s="56" t="n">
        <x:v>43.00091</x:v>
      </x:c>
      <x:c r="G2651" s="56" t="n">
        <x:v>-78.192778</x:v>
      </x:c>
      <x:c r="H2651" s="44" t="n">
        <x:f>E2651/SUMIF(A:A,A2651,E:E)</x:f>
        <x:v>0.002741871369452945</x:v>
      </x:c>
    </x:row>
    <x:row r="2652" ht="21.600000381469727" hidden="0" customHeight="1">
      <x:c r="A2652" s="27" t="str">
        <x:v>SCA-28</x:v>
      </x:c>
      <x:c r="B2652" s="27" t="str">
        <x:v>39167</x:v>
      </x:c>
      <x:c r="C2652" s="27" t="str">
        <x:v>OH</x:v>
      </x:c>
      <x:c r="D2652" s="27" t="str">
        <x:v>Washington County</x:v>
      </x:c>
      <x:c r="E2652" s="40" t="n">
        <x:v>58389</x:v>
      </x:c>
      <x:c r="F2652" s="55" t="n">
        <x:v>39.450676</x:v>
      </x:c>
      <x:c r="G2652" s="55" t="n">
        <x:v>-81.490636</x:v>
      </x:c>
      <x:c r="H2652" s="43" t="n">
        <x:f>E2652/SUMIF(A:A,A2652,E:E)</x:f>
        <x:v>0.0027406040706482475</x:v>
      </x:c>
    </x:row>
    <x:row r="2653" ht="21.600000381469727" hidden="0" customHeight="1">
      <x:c r="A2653" s="29" t="str">
        <x:v>SCA-28</x:v>
      </x:c>
      <x:c r="B2653" s="29" t="str">
        <x:v>51047</x:v>
      </x:c>
      <x:c r="C2653" s="29" t="str">
        <x:v>VA</x:v>
      </x:c>
      <x:c r="D2653" s="29" t="str">
        <x:v>Culpeper County</x:v>
      </x:c>
      <x:c r="E2653" s="41" t="n">
        <x:v>57666</x:v>
      </x:c>
      <x:c r="F2653" s="56" t="n">
        <x:v>38.48593</x:v>
      </x:c>
      <x:c r="G2653" s="56" t="n">
        <x:v>-77.956476</x:v>
      </x:c>
      <x:c r="H2653" s="44" t="n">
        <x:f>E2653/SUMIF(A:A,A2653,E:E)</x:f>
        <x:v>0.002706668624878005</x:v>
      </x:c>
    </x:row>
    <x:row r="2654" ht="21.600000381469727" hidden="0" customHeight="1">
      <x:c r="A2654" s="27" t="str">
        <x:v>SCA-28</x:v>
      </x:c>
      <x:c r="B2654" s="27" t="str">
        <x:v>54079</x:v>
      </x:c>
      <x:c r="C2654" s="27" t="str">
        <x:v>WV</x:v>
      </x:c>
      <x:c r="D2654" s="27" t="str">
        <x:v>Putnam County</x:v>
      </x:c>
      <x:c r="E2654" s="40" t="n">
        <x:v>56885</x:v>
      </x:c>
      <x:c r="F2654" s="55" t="n">
        <x:v>38.510518</x:v>
      </x:c>
      <x:c r="G2654" s="55" t="n">
        <x:v>-81.906109</x:v>
      </x:c>
      <x:c r="H2654" s="43" t="n">
        <x:f>E2654/SUMIF(A:A,A2654,E:E)</x:f>
        <x:v>0.0026700108335273006</x:v>
      </x:c>
    </x:row>
    <x:row r="2655" ht="21.600000381469727" hidden="0" customHeight="1">
      <x:c r="A2655" s="29" t="str">
        <x:v>SCA-28</x:v>
      </x:c>
      <x:c r="B2655" s="29" t="str">
        <x:v>54049</x:v>
      </x:c>
      <x:c r="C2655" s="29" t="str">
        <x:v>WV</x:v>
      </x:c>
      <x:c r="D2655" s="29" t="str">
        <x:v>Marion County</x:v>
      </x:c>
      <x:c r="E2655" s="41" t="n">
        <x:v>55584</x:v>
      </x:c>
      <x:c r="F2655" s="56" t="n">
        <x:v>39.505839</x:v>
      </x:c>
      <x:c r="G2655" s="56" t="n">
        <x:v>-80.243402</x:v>
      </x:c>
      <x:c r="H2655" s="44" t="n">
        <x:f>E2655/SUMIF(A:A,A2655,E:E)</x:f>
        <x:v>0.002608945805937971</x:v>
      </x:c>
    </x:row>
    <x:row r="2656" ht="21.600000381469727" hidden="0" customHeight="1">
      <x:c r="A2656" s="27" t="str">
        <x:v>SCA-28</x:v>
      </x:c>
      <x:c r="B2656" s="27" t="str">
        <x:v>39005</x:v>
      </x:c>
      <x:c r="C2656" s="27" t="str">
        <x:v>OH</x:v>
      </x:c>
      <x:c r="D2656" s="27" t="str">
        <x:v>Ashland County</x:v>
      </x:c>
      <x:c r="E2656" s="40" t="n">
        <x:v>52523</x:v>
      </x:c>
      <x:c r="F2656" s="55" t="n">
        <x:v>40.843272</x:v>
      </x:c>
      <x:c r="G2656" s="55" t="n">
        <x:v>-82.270126</x:v>
      </x:c>
      <x:c r="H2656" s="43" t="n">
        <x:f>E2656/SUMIF(A:A,A2656,E:E)</x:f>
        <x:v>0.002465271671079448</x:v>
      </x:c>
    </x:row>
    <x:row r="2657" ht="21.600000381469727" hidden="0" customHeight="1">
      <x:c r="A2657" s="29" t="str">
        <x:v>SCA-28</x:v>
      </x:c>
      <x:c r="B2657" s="29" t="str">
        <x:v>51660</x:v>
      </x:c>
      <x:c r="C2657" s="29" t="str">
        <x:v>VA</x:v>
      </x:c>
      <x:c r="D2657" s="29" t="str">
        <x:v>Harrisonburg city</x:v>
      </x:c>
      <x:c r="E2657" s="41" t="n">
        <x:v>50839</x:v>
      </x:c>
      <x:c r="F2657" s="56" t="n">
        <x:v>38.436255</x:v>
      </x:c>
      <x:c r="G2657" s="56" t="n">
        <x:v>-78.873303</x:v>
      </x:c>
      <x:c r="H2657" s="44" t="n">
        <x:f>E2657/SUMIF(A:A,A2657,E:E)</x:f>
        <x:v>0.0023862297752605156</x:v>
      </x:c>
    </x:row>
    <x:row r="2658" ht="21.600000381469727" hidden="0" customHeight="1">
      <x:c r="A2658" s="27" t="str">
        <x:v>SCA-28</x:v>
      </x:c>
      <x:c r="B2658" s="27" t="str">
        <x:v>42121</x:v>
      </x:c>
      <x:c r="C2658" s="27" t="str">
        <x:v>PA</x:v>
      </x:c>
      <x:c r="D2658" s="27" t="str">
        <x:v>Venango County</x:v>
      </x:c>
      <x:c r="E2658" s="40" t="n">
        <x:v>49346</x:v>
      </x:c>
      <x:c r="F2658" s="55" t="n">
        <x:v>41.400714</x:v>
      </x:c>
      <x:c r="G2658" s="55" t="n">
        <x:v>-79.765813</x:v>
      </x:c>
      <x:c r="H2658" s="43" t="n">
        <x:f>E2658/SUMIF(A:A,A2658,E:E)</x:f>
        <x:v>0.0023161528450600013</x:v>
      </x:c>
    </x:row>
    <x:row r="2659" ht="21.600000381469727" hidden="0" customHeight="1">
      <x:c r="A2659" s="29" t="str">
        <x:v>SCA-28</x:v>
      </x:c>
      <x:c r="B2659" s="29" t="str">
        <x:v>42009</x:v>
      </x:c>
      <x:c r="C2659" s="29" t="str">
        <x:v>PA</x:v>
      </x:c>
      <x:c r="D2659" s="29" t="str">
        <x:v>Bedford County</x:v>
      </x:c>
      <x:c r="E2659" s="41" t="n">
        <x:v>47480</x:v>
      </x:c>
      <x:c r="F2659" s="56" t="n">
        <x:v>39.998634</x:v>
      </x:c>
      <x:c r="G2659" s="56" t="n">
        <x:v>-78.494747</x:v>
      </x:c>
      <x:c r="H2659" s="44" t="n">
        <x:f>E2659/SUMIF(A:A,A2659,E:E)</x:f>
        <x:v>0.00222856841655755</x:v>
      </x:c>
    </x:row>
    <x:row r="2660" ht="15" hidden="0" customHeight="1">
      <x:c r="A2660" s="27" t="str">
        <x:v>SCA-28</x:v>
      </x:c>
      <x:c r="B2660" s="27" t="str">
        <x:v>42099</x:v>
      </x:c>
      <x:c r="C2660" s="27" t="str">
        <x:v>PA</x:v>
      </x:c>
      <x:c r="D2660" s="27" t="str">
        <x:v>Perry County</x:v>
      </x:c>
      <x:c r="E2660" s="40" t="n">
        <x:v>46806</x:v>
      </x:c>
      <x:c r="F2660" s="55" t="n">
        <x:v>40.39778</x:v>
      </x:c>
      <x:c r="G2660" s="55" t="n">
        <x:v>-77.266328</x:v>
      </x:c>
      <x:c r="H2660" s="43" t="n">
        <x:f>E2660/SUMIF(A:A,A2660,E:E)</x:f>
        <x:v>0.0021969328834328702</x:v>
      </x:c>
    </x:row>
    <x:row r="2661" ht="21.600000381469727" hidden="0" customHeight="1">
      <x:c r="A2661" s="29" t="str">
        <x:v>SCA-28</x:v>
      </x:c>
      <x:c r="B2661" s="29" t="str">
        <x:v>36003</x:v>
      </x:c>
      <x:c r="C2661" s="29" t="str">
        <x:v>NY</x:v>
      </x:c>
      <x:c r="D2661" s="29" t="str">
        <x:v>Allegany County</x:v>
      </x:c>
      <x:c r="E2661" s="41" t="n">
        <x:v>46800</x:v>
      </x:c>
      <x:c r="F2661" s="56" t="n">
        <x:v>42.247853</x:v>
      </x:c>
      <x:c r="G2661" s="56" t="n">
        <x:v>-78.026153</x:v>
      </x:c>
      <x:c r="H2661" s="44" t="n">
        <x:f>E2661/SUMIF(A:A,A2661,E:E)</x:f>
        <x:v>0.0021966512614762707</x:v>
      </x:c>
    </x:row>
    <x:row r="2662" ht="21.600000381469727" hidden="0" customHeight="1">
      <x:c r="A2662" s="27" t="str">
        <x:v>SCA-28</x:v>
      </x:c>
      <x:c r="B2662" s="27" t="str">
        <x:v>42087</x:v>
      </x:c>
      <x:c r="C2662" s="27" t="str">
        <x:v>PA</x:v>
      </x:c>
      <x:c r="D2662" s="27" t="str">
        <x:v>Mifflin County</x:v>
      </x:c>
      <x:c r="E2662" s="40" t="n">
        <x:v>46127</x:v>
      </x:c>
      <x:c r="F2662" s="55" t="n">
        <x:v>40.601615</x:v>
      </x:c>
      <x:c r="G2662" s="55" t="n">
        <x:v>-77.651832</x:v>
      </x:c>
      <x:c r="H2662" s="43" t="n">
        <x:f>E2662/SUMIF(A:A,A2662,E:E)</x:f>
        <x:v>0.002165062665344358</x:v>
      </x:c>
    </x:row>
    <x:row r="2663" ht="21.600000381469727" hidden="0" customHeight="1">
      <x:c r="A2663" s="29" t="str">
        <x:v>SCA-28</x:v>
      </x:c>
      <x:c r="B2663" s="29" t="str">
        <x:v>51171</x:v>
      </x:c>
      <x:c r="C2663" s="29" t="str">
        <x:v>VA</x:v>
      </x:c>
      <x:c r="D2663" s="29" t="str">
        <x:v>Shenandoah County</x:v>
      </x:c>
      <x:c r="E2663" s="41" t="n">
        <x:v>45839</x:v>
      </x:c>
      <x:c r="F2663" s="56" t="n">
        <x:v>38.856204</x:v>
      </x:c>
      <x:c r="G2663" s="56" t="n">
        <x:v>-78.573987</x:v>
      </x:c>
      <x:c r="H2663" s="44" t="n">
        <x:f>E2663/SUMIF(A:A,A2663,E:E)</x:f>
        <x:v>0.0021515448114275805</x:v>
      </x:c>
    </x:row>
    <x:row r="2664" ht="21.600000381469727" hidden="0" customHeight="1">
      <x:c r="A2664" s="27" t="str">
        <x:v>SCA-28</x:v>
      </x:c>
      <x:c r="B2664" s="27" t="str">
        <x:v>39075</x:v>
      </x:c>
      <x:c r="C2664" s="27" t="str">
        <x:v>OH</x:v>
      </x:c>
      <x:c r="D2664" s="27" t="str">
        <x:v>Holmes County</x:v>
      </x:c>
      <x:c r="E2664" s="40" t="n">
        <x:v>44970</x:v>
      </x:c>
      <x:c r="F2664" s="55" t="n">
        <x:v>40.565597</x:v>
      </x:c>
      <x:c r="G2664" s="55" t="n">
        <x:v>-81.930001</x:v>
      </x:c>
      <x:c r="H2664" s="43" t="n">
        <x:f>E2664/SUMIF(A:A,A2664,E:E)</x:f>
        <x:v>0.0021107565647134167</x:v>
      </x:c>
    </x:row>
    <x:row r="2665" ht="21.600000381469727" hidden="0" customHeight="1">
      <x:c r="A2665" s="29" t="str">
        <x:v>SCA-28</x:v>
      </x:c>
      <x:c r="B2665" s="29" t="str">
        <x:v>51683</x:v>
      </x:c>
      <x:c r="C2665" s="29" t="str">
        <x:v>VA</x:v>
      </x:c>
      <x:c r="D2665" s="29" t="str">
        <x:v>Manassas city</x:v>
      </x:c>
      <x:c r="E2665" s="41" t="n">
        <x:v>44332</x:v>
      </x:c>
      <x:c r="F2665" s="56" t="n">
        <x:v>38.746808</x:v>
      </x:c>
      <x:c r="G2665" s="56" t="n">
        <x:v>-77.482633</x:v>
      </x:c>
      <x:c r="H2665" s="44" t="n">
        <x:f>E2665/SUMIF(A:A,A2665,E:E)</x:f>
        <x:v>0.002080810763328334</x:v>
      </x:c>
    </x:row>
    <x:row r="2666" ht="21.600000381469727" hidden="0" customHeight="1">
      <x:c r="A2666" s="27" t="str">
        <x:v>SCA-28</x:v>
      </x:c>
      <x:c r="B2666" s="27" t="str">
        <x:v>42065</x:v>
      </x:c>
      <x:c r="C2666" s="27" t="str">
        <x:v>PA</x:v>
      </x:c>
      <x:c r="D2666" s="27" t="str">
        <x:v>Jefferson County</x:v>
      </x:c>
      <x:c r="E2666" s="40" t="n">
        <x:v>43255</x:v>
      </x:c>
      <x:c r="F2666" s="55" t="n">
        <x:v>41.138028</x:v>
      </x:c>
      <x:c r="G2666" s="55" t="n">
        <x:v>-79.012419</x:v>
      </x:c>
      <x:c r="H2666" s="43" t="n">
        <x:f>E2666/SUMIF(A:A,A2666,E:E)</x:f>
        <x:v>0.00203025962211872</x:v>
      </x:c>
    </x:row>
    <x:row r="2667" ht="21.600000381469727" hidden="0" customHeight="1">
      <x:c r="A2667" s="29" t="str">
        <x:v>SCA-28</x:v>
      </x:c>
      <x:c r="B2667" s="29" t="str">
        <x:v>42061</x:v>
      </x:c>
      <x:c r="C2667" s="29" t="str">
        <x:v>PA</x:v>
      </x:c>
      <x:c r="D2667" s="29" t="str">
        <x:v>Huntingdon County</x:v>
      </x:c>
      <x:c r="E2667" s="41" t="n">
        <x:v>43001</x:v>
      </x:c>
      <x:c r="F2667" s="56" t="n">
        <x:v>40.422311</x:v>
      </x:c>
      <x:c r="G2667" s="56" t="n">
        <x:v>-77.968595</x:v>
      </x:c>
      <x:c r="H2667" s="44" t="n">
        <x:f>E2667/SUMIF(A:A,A2667,E:E)</x:f>
        <x:v>0.002018337625956007</x:v>
      </x:c>
    </x:row>
    <x:row r="2668" ht="21.600000381469727" hidden="0" customHeight="1">
      <x:c r="A2668" s="27" t="str">
        <x:v>SCA-28</x:v>
      </x:c>
      <x:c r="B2668" s="27" t="str">
        <x:v>51187</x:v>
      </x:c>
      <x:c r="C2668" s="27" t="str">
        <x:v>VA</x:v>
      </x:c>
      <x:c r="D2668" s="27" t="str">
        <x:v>Warren County</x:v>
      </x:c>
      <x:c r="E2668" s="40" t="n">
        <x:v>42740</x:v>
      </x:c>
      <x:c r="F2668" s="55" t="n">
        <x:v>38.908221</x:v>
      </x:c>
      <x:c r="G2668" s="55" t="n">
        <x:v>-78.207594</x:v>
      </x:c>
      <x:c r="H2668" s="43" t="n">
        <x:f>E2668/SUMIF(A:A,A2668,E:E)</x:f>
        <x:v>0.0020060870708439277</x:v>
      </x:c>
    </x:row>
    <x:row r="2669" ht="21.600000381469727" hidden="0" customHeight="1">
      <x:c r="A2669" s="29" t="str">
        <x:v>SCA-28</x:v>
      </x:c>
      <x:c r="B2669" s="29" t="str">
        <x:v>42119</x:v>
      </x:c>
      <x:c r="C2669" s="29" t="str">
        <x:v>PA</x:v>
      </x:c>
      <x:c r="D2669" s="29" t="str">
        <x:v>Union County</x:v>
      </x:c>
      <x:c r="E2669" s="41" t="n">
        <x:v>42313</x:v>
      </x:c>
      <x:c r="F2669" s="56" t="n">
        <x:v>40.962179</x:v>
      </x:c>
      <x:c r="G2669" s="56" t="n">
        <x:v>-77.055475</x:v>
      </x:c>
      <x:c r="H2669" s="44" t="n">
        <x:f>E2669/SUMIF(A:A,A2669,E:E)</x:f>
        <x:v>0.001986044974932595</x:v>
      </x:c>
    </x:row>
    <x:row r="2670" ht="15" hidden="0" customHeight="1">
      <x:c r="A2670" s="27" t="str">
        <x:v>SCA-28</x:v>
      </x:c>
      <x:c r="B2670" s="27" t="str">
        <x:v>42117</x:v>
      </x:c>
      <x:c r="C2670" s="27" t="str">
        <x:v>PA</x:v>
      </x:c>
      <x:c r="D2670" s="27" t="str">
        <x:v>Tioga County</x:v>
      </x:c>
      <x:c r="E2670" s="40" t="n">
        <x:v>40502</x:v>
      </x:c>
      <x:c r="F2670" s="55" t="n">
        <x:v>41.766858</x:v>
      </x:c>
      <x:c r="G2670" s="55" t="n">
        <x:v>-77.257288</x:v>
      </x:c>
      <x:c r="H2670" s="43" t="n">
        <x:f>E2670/SUMIF(A:A,A2670,E:E)</x:f>
        <x:v>0.001901042081032306</x:v>
      </x:c>
    </x:row>
    <x:row r="2671" ht="15" hidden="0" customHeight="1">
      <x:c r="A2671" s="29" t="str">
        <x:v>SCA-28</x:v>
      </x:c>
      <x:c r="B2671" s="29" t="str">
        <x:v>54069</x:v>
      </x:c>
      <x:c r="C2671" s="29" t="str">
        <x:v>WV</x:v>
      </x:c>
      <x:c r="D2671" s="29" t="str">
        <x:v>Ohio County</x:v>
      </x:c>
      <x:c r="E2671" s="41" t="n">
        <x:v>40496</x:v>
      </x:c>
      <x:c r="F2671" s="56" t="n">
        <x:v>40.100323</x:v>
      </x:c>
      <x:c r="G2671" s="56" t="n">
        <x:v>-80.6199</x:v>
      </x:c>
      <x:c r="H2671" s="44" t="n">
        <x:f>E2671/SUMIF(A:A,A2671,E:E)</x:f>
        <x:v>0.0019007604590757063</x:v>
      </x:c>
    </x:row>
    <x:row r="2672" ht="21.600000381469727" hidden="0" customHeight="1">
      <x:c r="A2672" s="27" t="str">
        <x:v>SCA-28</x:v>
      </x:c>
      <x:c r="B2672" s="27" t="str">
        <x:v>36073</x:v>
      </x:c>
      <x:c r="C2672" s="27" t="str">
        <x:v>NY</x:v>
      </x:c>
      <x:c r="D2672" s="27" t="str">
        <x:v>Orleans County</x:v>
      </x:c>
      <x:c r="E2672" s="40" t="n">
        <x:v>39825</x:v>
      </x:c>
      <x:c r="F2672" s="55" t="n">
        <x:v>43.339906</x:v>
      </x:c>
      <x:c r="G2672" s="55" t="n">
        <x:v>-78.207028</x:v>
      </x:c>
      <x:c r="H2672" s="43" t="n">
        <x:f>E2672/SUMIF(A:A,A2672,E:E)</x:f>
        <x:v>0.0018692657369293265</x:v>
      </x:c>
    </x:row>
    <x:row r="2673" ht="21.600000381469727" hidden="0" customHeight="1">
      <x:c r="A2673" s="29" t="str">
        <x:v>SCA-28</x:v>
      </x:c>
      <x:c r="B2673" s="29" t="str">
        <x:v>36121</x:v>
      </x:c>
      <x:c r="C2673" s="29" t="str">
        <x:v>NY</x:v>
      </x:c>
      <x:c r="D2673" s="29" t="str">
        <x:v>Wyoming County</x:v>
      </x:c>
      <x:c r="E2673" s="41" t="n">
        <x:v>39741</x:v>
      </x:c>
      <x:c r="F2673" s="56" t="n">
        <x:v>42.701365</x:v>
      </x:c>
      <x:c r="G2673" s="56" t="n">
        <x:v>-78.228576</x:v>
      </x:c>
      <x:c r="H2673" s="44" t="n">
        <x:f>E2673/SUMIF(A:A,A2673,E:E)</x:f>
        <x:v>0.0018653230295369333</x:v>
      </x:c>
    </x:row>
    <x:row r="2674" ht="21.600000381469727" hidden="0" customHeight="1">
      <x:c r="A2674" s="27" t="str">
        <x:v>SCA-28</x:v>
      </x:c>
      <x:c r="B2674" s="27" t="str">
        <x:v>42109</x:v>
      </x:c>
      <x:c r="C2674" s="27" t="str">
        <x:v>PA</x:v>
      </x:c>
      <x:c r="D2674" s="27" t="str">
        <x:v>Snyder County</x:v>
      </x:c>
      <x:c r="E2674" s="40" t="n">
        <x:v>39655</x:v>
      </x:c>
      <x:c r="F2674" s="55" t="n">
        <x:v>40.755412</x:v>
      </x:c>
      <x:c r="G2674" s="55" t="n">
        <x:v>-77.07302</x:v>
      </x:c>
      <x:c r="H2674" s="43" t="n">
        <x:f>E2674/SUMIF(A:A,A2674,E:E)</x:f>
        <x:v>0.0018612864481590068</x:v>
      </x:c>
    </x:row>
    <x:row r="2675" ht="21.600000381469727" hidden="0" customHeight="1">
      <x:c r="A2675" s="29" t="str">
        <x:v>SCA-28</x:v>
      </x:c>
      <x:c r="B2675" s="29" t="str">
        <x:v>42083</x:v>
      </x:c>
      <x:c r="C2675" s="29" t="str">
        <x:v>PA</x:v>
      </x:c>
      <x:c r="D2675" s="29" t="str">
        <x:v>McKean County</x:v>
      </x:c>
      <x:c r="E2675" s="41" t="n">
        <x:v>38984</x:v>
      </x:c>
      <x:c r="F2675" s="56" t="n">
        <x:v>41.81459</x:v>
      </x:c>
      <x:c r="G2675" s="56" t="n">
        <x:v>-78.572463</x:v>
      </x:c>
      <x:c r="H2675" s="44" t="n">
        <x:f>E2675/SUMIF(A:A,A2675,E:E)</x:f>
        <x:v>0.0018297917260126269</x:v>
      </x:c>
    </x:row>
    <x:row r="2676" ht="21.600000381469727" hidden="0" customHeight="1">
      <x:c r="A2676" s="27" t="str">
        <x:v>SCA-28</x:v>
      </x:c>
      <x:c r="B2676" s="27" t="str">
        <x:v>39059</x:v>
      </x:c>
      <x:c r="C2676" s="27" t="str">
        <x:v>OH</x:v>
      </x:c>
      <x:c r="D2676" s="27" t="str">
        <x:v>Guernsey County</x:v>
      </x:c>
      <x:c r="E2676" s="40" t="n">
        <x:v>38379</x:v>
      </x:c>
      <x:c r="F2676" s="55" t="n">
        <x:v>40.056665</x:v>
      </x:c>
      <x:c r="G2676" s="55" t="n">
        <x:v>-81.497875</x:v>
      </x:c>
      <x:c r="H2676" s="43" t="n">
        <x:f>E2676/SUMIF(A:A,A2676,E:E)</x:f>
        <x:v>0.0018013948453888418</x:v>
      </x:c>
    </x:row>
    <x:row r="2677" ht="21.600000381469727" hidden="0" customHeight="1">
      <x:c r="A2677" s="29" t="str">
        <x:v>SCA-28</x:v>
      </x:c>
      <x:c r="B2677" s="29" t="str">
        <x:v>54019</x:v>
      </x:c>
      <x:c r="C2677" s="29" t="str">
        <x:v>WV</x:v>
      </x:c>
      <x:c r="D2677" s="29" t="str">
        <x:v>Fayette County</x:v>
      </x:c>
      <x:c r="E2677" s="41" t="n">
        <x:v>38165</x:v>
      </x:c>
      <x:c r="F2677" s="56" t="n">
        <x:v>38.030966</x:v>
      </x:c>
      <x:c r="G2677" s="56" t="n">
        <x:v>-81.086089</x:v>
      </x:c>
      <x:c r="H2677" s="44" t="n">
        <x:f>E2677/SUMIF(A:A,A2677,E:E)</x:f>
        <x:v>0.0017913503289367922</x:v>
      </x:c>
    </x:row>
    <x:row r="2678" ht="21.600000381469727" hidden="0" customHeight="1">
      <x:c r="A2678" s="27" t="str">
        <x:v>SCA-28</x:v>
      </x:c>
      <x:c r="B2678" s="27" t="str">
        <x:v>42035</x:v>
      </x:c>
      <x:c r="C2678" s="27" t="str">
        <x:v>PA</x:v>
      </x:c>
      <x:c r="D2678" s="27" t="str">
        <x:v>Clinton County</x:v>
      </x:c>
      <x:c r="E2678" s="40" t="n">
        <x:v>37870</x:v>
      </x:c>
      <x:c r="F2678" s="55" t="n">
        <x:v>41.239508</x:v>
      </x:c>
      <x:c r="G2678" s="55" t="n">
        <x:v>-77.629009</x:v>
      </x:c>
      <x:c r="H2678" s="43" t="n">
        <x:f>E2678/SUMIF(A:A,A2678,E:E)</x:f>
        <x:v>0.001777503916070649</x:v>
      </x:c>
    </x:row>
    <x:row r="2679" ht="21.600000381469727" hidden="0" customHeight="1">
      <x:c r="A2679" s="29" t="str">
        <x:v>SCA-28</x:v>
      </x:c>
      <x:c r="B2679" s="29" t="str">
        <x:v>39031</x:v>
      </x:c>
      <x:c r="C2679" s="29" t="str">
        <x:v>OH</x:v>
      </x:c>
      <x:c r="D2679" s="29" t="str">
        <x:v>Coshocton County</x:v>
      </x:c>
      <x:c r="E2679" s="41" t="n">
        <x:v>37188</x:v>
      </x:c>
      <x:c r="F2679" s="56" t="n">
        <x:v>40.29671</x:v>
      </x:c>
      <x:c r="G2679" s="56" t="n">
        <x:v>-81.930109</x:v>
      </x:c>
      <x:c r="H2679" s="44" t="n">
        <x:f>E2679/SUMIF(A:A,A2679,E:E)</x:f>
        <x:v>0.0017454928870038367</x:v>
      </x:c>
    </x:row>
    <x:row r="2680" ht="21.600000381469727" hidden="0" customHeight="1">
      <x:c r="A2680" s="27" t="str">
        <x:v>SCA-28</x:v>
      </x:c>
      <x:c r="B2680" s="27" t="str">
        <x:v>42123</x:v>
      </x:c>
      <x:c r="C2680" s="27" t="str">
        <x:v>PA</x:v>
      </x:c>
      <x:c r="D2680" s="27" t="str">
        <x:v>Warren County</x:v>
      </x:c>
      <x:c r="E2680" s="40" t="n">
        <x:v>37038</x:v>
      </x:c>
      <x:c r="F2680" s="55" t="n">
        <x:v>41.834298</x:v>
      </x:c>
      <x:c r="G2680" s="55" t="n">
        <x:v>-79.298182</x:v>
      </x:c>
      <x:c r="H2680" s="43" t="n">
        <x:f>E2680/SUMIF(A:A,A2680,E:E)</x:f>
        <x:v>0.0017384523380888487</x:v>
      </x:c>
    </x:row>
    <x:row r="2681" ht="21.600000381469727" hidden="0" customHeight="1">
      <x:c r="A2681" s="29" t="str">
        <x:v>SCA-28</x:v>
      </x:c>
      <x:c r="B2681" s="29" t="str">
        <x:v>42031</x:v>
      </x:c>
      <x:c r="C2681" s="29" t="str">
        <x:v>PA</x:v>
      </x:c>
      <x:c r="D2681" s="29" t="str">
        <x:v>Clarion County</x:v>
      </x:c>
      <x:c r="E2681" s="41" t="n">
        <x:v>36680</x:v>
      </x:c>
      <x:c r="F2681" s="56" t="n">
        <x:v>41.198159</x:v>
      </x:c>
      <x:c r="G2681" s="56" t="n">
        <x:v>-79.420369</x:v>
      </x:c>
      <x:c r="H2681" s="44" t="n">
        <x:f>E2681/SUMIF(A:A,A2681,E:E)</x:f>
        <x:v>0.0017216488946784105</x:v>
      </x:c>
    </x:row>
    <x:row r="2682" ht="15" hidden="0" customHeight="1">
      <x:c r="A2682" s="27" t="str">
        <x:v>SCA-28</x:v>
      </x:c>
      <x:c r="B2682" s="27" t="str">
        <x:v>39127</x:v>
      </x:c>
      <x:c r="C2682" s="27" t="str">
        <x:v>OH</x:v>
      </x:c>
      <x:c r="D2682" s="27" t="str">
        <x:v>Perry County</x:v>
      </x:c>
      <x:c r="E2682" s="40" t="n">
        <x:v>35918</x:v>
      </x:c>
      <x:c r="F2682" s="55" t="n">
        <x:v>39.743187</x:v>
      </x:c>
      <x:c r="G2682" s="55" t="n">
        <x:v>-82.237952</x:v>
      </x:c>
      <x:c r="H2682" s="43" t="n">
        <x:f>E2682/SUMIF(A:A,A2682,E:E)</x:f>
        <x:v>0.0016858829061902711</x:v>
      </x:c>
    </x:row>
    <x:row r="2683" ht="21.600000381469727" hidden="0" customHeight="1">
      <x:c r="A2683" s="29" t="str">
        <x:v>SCA-28</x:v>
      </x:c>
      <x:c r="B2683" s="29" t="str">
        <x:v>54077</x:v>
      </x:c>
      <x:c r="C2683" s="29" t="str">
        <x:v>WV</x:v>
      </x:c>
      <x:c r="D2683" s="29" t="str">
        <x:v>Preston County</x:v>
      </x:c>
      <x:c r="E2683" s="41" t="n">
        <x:v>34004</x:v>
      </x:c>
      <x:c r="F2683" s="56" t="n">
        <x:v>39.46903</x:v>
      </x:c>
      <x:c r="G2683" s="56" t="n">
        <x:v>-79.668865</x:v>
      </x:c>
      <x:c r="H2683" s="44" t="n">
        <x:f>E2683/SUMIF(A:A,A2683,E:E)</x:f>
        <x:v>0.0015960455020350237</x:v>
      </x:c>
    </x:row>
    <x:row r="2684" ht="21.600000381469727" hidden="0" customHeight="1">
      <x:c r="A2684" s="27" t="str">
        <x:v>SCA-28</x:v>
      </x:c>
      <x:c r="B2684" s="27" t="str">
        <x:v>42059</x:v>
      </x:c>
      <x:c r="C2684" s="27" t="str">
        <x:v>PA</x:v>
      </x:c>
      <x:c r="D2684" s="27" t="str">
        <x:v>Greene County</x:v>
      </x:c>
      <x:c r="E2684" s="40" t="n">
        <x:v>33885</x:v>
      </x:c>
      <x:c r="F2684" s="55" t="n">
        <x:v>39.847707</x:v>
      </x:c>
      <x:c r="G2684" s="55" t="n">
        <x:v>-80.225655</x:v>
      </x:c>
      <x:c r="H2684" s="43" t="n">
        <x:f>E2684/SUMIF(A:A,A2684,E:E)</x:f>
        <x:v>0.0015904599998957999</x:v>
      </x:c>
    </x:row>
    <x:row r="2685" ht="21.600000381469727" hidden="0" customHeight="1">
      <x:c r="A2685" s="29" t="str">
        <x:v>SCA-28</x:v>
      </x:c>
      <x:c r="B2685" s="29" t="str">
        <x:v>39079</x:v>
      </x:c>
      <x:c r="C2685" s="29" t="str">
        <x:v>OH</x:v>
      </x:c>
      <x:c r="D2685" s="29" t="str">
        <x:v>Jackson County</x:v>
      </x:c>
      <x:c r="E2685" s="41" t="n">
        <x:v>32817</x:v>
      </x:c>
      <x:c r="F2685" s="56" t="n">
        <x:v>39.013477</x:v>
      </x:c>
      <x:c r="G2685" s="56" t="n">
        <x:v>-82.614142</x:v>
      </x:c>
      <x:c r="H2685" s="44" t="n">
        <x:f>E2685/SUMIF(A:A,A2685,E:E)</x:f>
        <x:v>0.001540331291621085</x:v>
      </x:c>
    </x:row>
    <x:row r="2686" ht="21.600000381469727" hidden="0" customHeight="1">
      <x:c r="A2686" s="27" t="str">
        <x:v>SCA-28</x:v>
      </x:c>
      <x:c r="B2686" s="27" t="str">
        <x:v>54025</x:v>
      </x:c>
      <x:c r="C2686" s="27" t="str">
        <x:v>WV</x:v>
      </x:c>
      <x:c r="D2686" s="27" t="str">
        <x:v>Greenbrier County</x:v>
      </x:c>
      <x:c r="E2686" s="40" t="n">
        <x:v>31578</x:v>
      </x:c>
      <x:c r="F2686" s="55" t="n">
        <x:v>37.924418</x:v>
      </x:c>
      <x:c r="G2686" s="55" t="n">
        <x:v>-80.45059</x:v>
      </x:c>
      <x:c r="H2686" s="43" t="n">
        <x:f>E2686/SUMIF(A:A,A2686,E:E)</x:f>
        <x:v>0.0014821763575832837</x:v>
      </x:c>
    </x:row>
    <x:row r="2687" ht="15" hidden="0" customHeight="1">
      <x:c r="A2687" s="29" t="str">
        <x:v>SCA-28</x:v>
      </x:c>
      <x:c r="B2687" s="29" t="str">
        <x:v>42047</x:v>
      </x:c>
      <x:c r="C2687" s="29" t="str">
        <x:v>PA</x:v>
      </x:c>
      <x:c r="D2687" s="29" t="str">
        <x:v>Elk County</x:v>
      </x:c>
      <x:c r="E2687" s="41" t="n">
        <x:v>29926</x:v>
      </x:c>
      <x:c r="F2687" s="56" t="n">
        <x:v>41.427332</x:v>
      </x:c>
      <x:c r="G2687" s="56" t="n">
        <x:v>-78.653937</x:v>
      </x:c>
      <x:c r="H2687" s="44" t="n">
        <x:f>E2687/SUMIF(A:A,A2687,E:E)</x:f>
        <x:v>0.001404636445532882</x:v>
      </x:c>
    </x:row>
    <x:row r="2688" ht="21.600000381469727" hidden="0" customHeight="1">
      <x:c r="A2688" s="27" t="str">
        <x:v>SCA-28</x:v>
      </x:c>
      <x:c r="B2688" s="27" t="str">
        <x:v>54051</x:v>
      </x:c>
      <x:c r="C2688" s="27" t="str">
        <x:v>WV</x:v>
      </x:c>
      <x:c r="D2688" s="27" t="str">
        <x:v>Marshall County</x:v>
      </x:c>
      <x:c r="E2688" s="40" t="n">
        <x:v>29159</x:v>
      </x:c>
      <x:c r="F2688" s="55" t="n">
        <x:v>39.854426</x:v>
      </x:c>
      <x:c r="G2688" s="55" t="n">
        <x:v>-80.671794</x:v>
      </x:c>
      <x:c r="H2688" s="43" t="n">
        <x:f>E2688/SUMIF(A:A,A2688,E:E)</x:f>
        <x:v>0.0013686357720809098</x:v>
      </x:c>
    </x:row>
    <x:row r="2689" ht="21.600000381469727" hidden="0" customHeight="1">
      <x:c r="A2689" s="29" t="str">
        <x:v>SCA-28</x:v>
      </x:c>
      <x:c r="B2689" s="29" t="str">
        <x:v>39053</x:v>
      </x:c>
      <x:c r="C2689" s="29" t="str">
        <x:v>OH</x:v>
      </x:c>
      <x:c r="D2689" s="29" t="str">
        <x:v>Gallia County</x:v>
      </x:c>
      <x:c r="E2689" s="41" t="n">
        <x:v>29072</x:v>
      </x:c>
      <x:c r="F2689" s="56" t="n">
        <x:v>38.817046</x:v>
      </x:c>
      <x:c r="G2689" s="56" t="n">
        <x:v>-82.301746</x:v>
      </x:c>
      <x:c r="H2689" s="44" t="n">
        <x:f>E2689/SUMIF(A:A,A2689,E:E)</x:f>
        <x:v>0.0013645522537102167</x:v>
      </x:c>
    </x:row>
    <x:row r="2690" ht="21.600000381469727" hidden="0" customHeight="1">
      <x:c r="A2690" s="27" t="str">
        <x:v>SCA-28</x:v>
      </x:c>
      <x:c r="B2690" s="27" t="str">
        <x:v>24023</x:v>
      </x:c>
      <x:c r="C2690" s="27" t="str">
        <x:v>MD</x:v>
      </x:c>
      <x:c r="D2690" s="27" t="str">
        <x:v>Garrett County</x:v>
      </x:c>
      <x:c r="E2690" s="40" t="n">
        <x:v>28370</x:v>
      </x:c>
      <x:c r="F2690" s="55" t="n">
        <x:v>39.547299</x:v>
      </x:c>
      <x:c r="G2690" s="55" t="n">
        <x:v>-79.274619</x:v>
      </x:c>
      <x:c r="H2690" s="43" t="n">
        <x:f>E2690/SUMIF(A:A,A2690,E:E)</x:f>
        <x:v>0.0013316024847880726</x:v>
      </x:c>
    </x:row>
    <x:row r="2691" ht="21.600000381469727" hidden="0" customHeight="1">
      <x:c r="A2691" s="29" t="str">
        <x:v>SCA-28</x:v>
      </x:c>
      <x:c r="B2691" s="29" t="str">
        <x:v>51840</x:v>
      </x:c>
      <x:c r="C2691" s="29" t="str">
        <x:v>VA</x:v>
      </x:c>
      <x:c r="D2691" s="29" t="str">
        <x:v>Winchester city</x:v>
      </x:c>
      <x:c r="E2691" s="41" t="n">
        <x:v>28272</x:v>
      </x:c>
      <x:c r="F2691" s="56" t="n">
        <x:v>39.173869</x:v>
      </x:c>
      <x:c r="G2691" s="56" t="n">
        <x:v>-78.176356</x:v>
      </x:c>
      <x:c r="H2691" s="44" t="n">
        <x:f>E2691/SUMIF(A:A,A2691,E:E)</x:f>
        <x:v>0.0013270026594969472</x:v>
      </x:c>
    </x:row>
    <x:row r="2692" ht="21.600000381469727" hidden="0" customHeight="1">
      <x:c r="A2692" s="27" t="str">
        <x:v>SCA-28</x:v>
      </x:c>
      <x:c r="B2692" s="27" t="str">
        <x:v>54029</x:v>
      </x:c>
      <x:c r="C2692" s="27" t="str">
        <x:v>WV</x:v>
      </x:c>
      <x:c r="D2692" s="27" t="str">
        <x:v>Hancock County</x:v>
      </x:c>
      <x:c r="E2692" s="40" t="n">
        <x:v>27729</x:v>
      </x:c>
      <x:c r="F2692" s="55" t="n">
        <x:v>40.516958</x:v>
      </x:c>
      <x:c r="G2692" s="55" t="n">
        <x:v>-80.570164</x:v>
      </x:c>
      <x:c r="H2692" s="43" t="n">
        <x:f>E2692/SUMIF(A:A,A2692,E:E)</x:f>
        <x:v>0.0013015158724246905</x:v>
      </x:c>
    </x:row>
    <x:row r="2693" ht="21.600000381469727" hidden="0" customHeight="1">
      <x:c r="A2693" s="29" t="str">
        <x:v>SCA-28</x:v>
      </x:c>
      <x:c r="B2693" s="29" t="str">
        <x:v>39073</x:v>
      </x:c>
      <x:c r="C2693" s="29" t="str">
        <x:v>OH</x:v>
      </x:c>
      <x:c r="D2693" s="29" t="str">
        <x:v>Hocking County</x:v>
      </x:c>
      <x:c r="E2693" s="41" t="n">
        <x:v>27512</x:v>
      </x:c>
      <x:c r="F2693" s="56" t="n">
        <x:v>39.490342</x:v>
      </x:c>
      <x:c r="G2693" s="56" t="n">
        <x:v>-82.483447</x:v>
      </x:c>
      <x:c r="H2693" s="44" t="n">
        <x:f>E2693/SUMIF(A:A,A2693,E:E)</x:f>
        <x:v>0.0012913305449943411</x:v>
      </x:c>
    </x:row>
    <x:row r="2694" ht="21.600000381469727" hidden="0" customHeight="1">
      <x:c r="A2694" s="27" t="str">
        <x:v>SCA-28</x:v>
      </x:c>
      <x:c r="B2694" s="27" t="str">
        <x:v>54035</x:v>
      </x:c>
      <x:c r="C2694" s="27" t="str">
        <x:v>WV</x:v>
      </x:c>
      <x:c r="D2694" s="27" t="str">
        <x:v>Jackson County</x:v>
      </x:c>
      <x:c r="E2694" s="40" t="n">
        <x:v>27450</x:v>
      </x:c>
      <x:c r="F2694" s="55" t="n">
        <x:v>38.834234</x:v>
      </x:c>
      <x:c r="G2694" s="55" t="n">
        <x:v>-81.677717</x:v>
      </x:c>
      <x:c r="H2694" s="43" t="n">
        <x:f>E2694/SUMIF(A:A,A2694,E:E)</x:f>
        <x:v>0.0012884204514428126</x:v>
      </x:c>
    </x:row>
    <x:row r="2695" ht="21.600000381469727" hidden="0" customHeight="1">
      <x:c r="A2695" s="29" t="str">
        <x:v>SCA-28</x:v>
      </x:c>
      <x:c r="B2695" s="29" t="str">
        <x:v>54083</x:v>
      </x:c>
      <x:c r="C2695" s="29" t="str">
        <x:v>WV</x:v>
      </x:c>
      <x:c r="D2695" s="29" t="str">
        <x:v>Randolph County</x:v>
      </x:c>
      <x:c r="E2695" s="41" t="n">
        <x:v>26882</x:v>
      </x:c>
      <x:c r="F2695" s="56" t="n">
        <x:v>38.781095</x:v>
      </x:c>
      <x:c r="G2695" s="56" t="n">
        <x:v>-79.867788</x:v>
      </x:c>
      <x:c r="H2695" s="44" t="n">
        <x:f>E2695/SUMIF(A:A,A2695,E:E)</x:f>
        <x:v>0.0012617602395513913</x:v>
      </x:c>
    </x:row>
    <x:row r="2696" ht="21.600000381469727" hidden="0" customHeight="1">
      <x:c r="A2696" s="27" t="str">
        <x:v>SCA-28</x:v>
      </x:c>
      <x:c r="B2696" s="27" t="str">
        <x:v>54057</x:v>
      </x:c>
      <x:c r="C2696" s="27" t="str">
        <x:v>WV</x:v>
      </x:c>
      <x:c r="D2696" s="27" t="str">
        <x:v>Mineral County</x:v>
      </x:c>
      <x:c r="E2696" s="40" t="n">
        <x:v>26792</x:v>
      </x:c>
      <x:c r="F2696" s="55" t="n">
        <x:v>39.404781</x:v>
      </x:c>
      <x:c r="G2696" s="55" t="n">
        <x:v>-78.95669</x:v>
      </x:c>
      <x:c r="H2696" s="43" t="n">
        <x:f>E2696/SUMIF(A:A,A2696,E:E)</x:f>
        <x:v>0.0012575359102023984</x:v>
      </x:c>
    </x:row>
    <x:row r="2697" ht="15" hidden="0" customHeight="1">
      <x:c r="A2697" s="29" t="str">
        <x:v>SCA-28</x:v>
      </x:c>
      <x:c r="B2697" s="29" t="str">
        <x:v>51600</x:v>
      </x:c>
      <x:c r="C2697" s="29" t="str">
        <x:v>VA</x:v>
      </x:c>
      <x:c r="D2697" s="29" t="str">
        <x:v>Fairfax city</x:v>
      </x:c>
      <x:c r="E2697" s="41" t="n">
        <x:v>26772</x:v>
      </x:c>
      <x:c r="F2697" s="56" t="n">
        <x:v>38.853183</x:v>
      </x:c>
      <x:c r="G2697" s="56" t="n">
        <x:v>-77.299025</x:v>
      </x:c>
      <x:c r="H2697" s="44" t="n">
        <x:f>E2697/SUMIF(A:A,A2697,E:E)</x:f>
        <x:v>0.0012565971703470667</x:v>
      </x:c>
    </x:row>
    <x:row r="2698" ht="21.600000381469727" hidden="0" customHeight="1">
      <x:c r="A2698" s="27" t="str">
        <x:v>SCA-28</x:v>
      </x:c>
      <x:c r="B2698" s="27" t="str">
        <x:v>39019</x:v>
      </x:c>
      <x:c r="C2698" s="27" t="str">
        <x:v>OH</x:v>
      </x:c>
      <x:c r="D2698" s="27" t="str">
        <x:v>Carroll County</x:v>
      </x:c>
      <x:c r="E2698" s="40" t="n">
        <x:v>26475</x:v>
      </x:c>
      <x:c r="F2698" s="55" t="n">
        <x:v>40.579884</x:v>
      </x:c>
      <x:c r="G2698" s="55" t="n">
        <x:v>-81.090787</x:v>
      </x:c>
      <x:c r="H2698" s="43" t="n">
        <x:f>E2698/SUMIF(A:A,A2698,E:E)</x:f>
        <x:v>0.0012426568834953903</x:v>
      </x:c>
    </x:row>
    <x:row r="2699" ht="21.600000381469727" hidden="0" customHeight="1">
      <x:c r="A2699" s="29" t="str">
        <x:v>SCA-28</x:v>
      </x:c>
      <x:c r="B2699" s="29" t="str">
        <x:v>54053</x:v>
      </x:c>
      <x:c r="C2699" s="29" t="str">
        <x:v>WV</x:v>
      </x:c>
      <x:c r="D2699" s="29" t="str">
        <x:v>Mason County</x:v>
      </x:c>
      <x:c r="E2699" s="41" t="n">
        <x:v>24707</x:v>
      </x:c>
      <x:c r="F2699" s="56" t="n">
        <x:v>38.770914</x:v>
      </x:c>
      <x:c r="G2699" s="56" t="n">
        <x:v>-82.029007</x:v>
      </x:c>
      <x:c r="H2699" s="44" t="n">
        <x:f>E2699/SUMIF(A:A,A2699,E:E)</x:f>
        <x:v>0.0011596722802840645</x:v>
      </x:c>
    </x:row>
    <x:row r="2700" ht="21.600000381469727" hidden="0" customHeight="1">
      <x:c r="A2700" s="27" t="str">
        <x:v>SCA-28</x:v>
      </x:c>
      <x:c r="B2700" s="27" t="str">
        <x:v>54027</x:v>
      </x:c>
      <x:c r="C2700" s="27" t="str">
        <x:v>WV</x:v>
      </x:c>
      <x:c r="D2700" s="27" t="str">
        <x:v>Hampshire County</x:v>
      </x:c>
      <x:c r="E2700" s="40" t="n">
        <x:v>24105</x:v>
      </x:c>
      <x:c r="F2700" s="55" t="n">
        <x:v>39.312139</x:v>
      </x:c>
      <x:c r="G2700" s="55" t="n">
        <x:v>-78.611989</x:v>
      </x:c>
      <x:c r="H2700" s="43" t="n">
        <x:f>E2700/SUMIF(A:A,A2700,E:E)</x:f>
        <x:v>0.0011314162106385792</x:v>
      </x:c>
    </x:row>
    <x:row r="2701" ht="21.600000381469727" hidden="0" customHeight="1">
      <x:c r="A2701" s="29" t="str">
        <x:v>SCA-28</x:v>
      </x:c>
      <x:c r="B2701" s="29" t="str">
        <x:v>54067</x:v>
      </x:c>
      <x:c r="C2701" s="29" t="str">
        <x:v>WV</x:v>
      </x:c>
      <x:c r="D2701" s="29" t="str">
        <x:v>Nicholas County</x:v>
      </x:c>
      <x:c r="E2701" s="41" t="n">
        <x:v>23848</x:v>
      </x:c>
      <x:c r="F2701" s="56" t="n">
        <x:v>38.291432</x:v>
      </x:c>
      <x:c r="G2701" s="56" t="n">
        <x:v>-80.797515</x:v>
      </x:c>
      <x:c r="H2701" s="44" t="n">
        <x:f>E2701/SUMIF(A:A,A2701,E:E)</x:f>
        <x:v>0.0011193534034975663</x:v>
      </x:c>
    </x:row>
    <x:row r="2702" ht="15" hidden="0" customHeight="1">
      <x:c r="A2702" s="27" t="str">
        <x:v>SCA-28</x:v>
      </x:c>
      <x:c r="B2702" s="27" t="str">
        <x:v>51139</x:v>
      </x:c>
      <x:c r="C2702" s="27" t="str">
        <x:v>VA</x:v>
      </x:c>
      <x:c r="D2702" s="27" t="str">
        <x:v>Page County</x:v>
      </x:c>
      <x:c r="E2702" s="40" t="n">
        <x:v>23762</x:v>
      </x:c>
      <x:c r="F2702" s="55" t="n">
        <x:v>38.623209</x:v>
      </x:c>
      <x:c r="G2702" s="55" t="n">
        <x:v>-78.491872</x:v>
      </x:c>
      <x:c r="H2702" s="43" t="n">
        <x:f>E2702/SUMIF(A:A,A2702,E:E)</x:f>
        <x:v>0.0011153168221196398</x:v>
      </x:c>
    </x:row>
    <x:row r="2703" ht="21.600000381469727" hidden="0" customHeight="1">
      <x:c r="A2703" s="29" t="str">
        <x:v>SCA-28</x:v>
      </x:c>
      <x:c r="B2703" s="29" t="str">
        <x:v>54097</x:v>
      </x:c>
      <x:c r="C2703" s="29" t="str">
        <x:v>WV</x:v>
      </x:c>
      <x:c r="D2703" s="29" t="str">
        <x:v>Upshur County</x:v>
      </x:c>
      <x:c r="E2703" s="41" t="n">
        <x:v>23758</x:v>
      </x:c>
      <x:c r="F2703" s="56" t="n">
        <x:v>38.90253</x:v>
      </x:c>
      <x:c r="G2703" s="56" t="n">
        <x:v>-80.231606</x:v>
      </x:c>
      <x:c r="H2703" s="44" t="n">
        <x:f>E2703/SUMIF(A:A,A2703,E:E)</x:f>
        <x:v>0.0011151290741485734</x:v>
      </x:c>
    </x:row>
    <x:row r="2704" ht="21.600000381469727" hidden="0" customHeight="1">
      <x:c r="A2704" s="27" t="str">
        <x:v>SCA-28</x:v>
      </x:c>
      <x:c r="B2704" s="27" t="str">
        <x:v>42067</x:v>
      </x:c>
      <x:c r="C2704" s="27" t="str">
        <x:v>PA</x:v>
      </x:c>
      <x:c r="D2704" s="27" t="str">
        <x:v>Juniata County</x:v>
      </x:c>
      <x:c r="E2704" s="40" t="n">
        <x:v>23403</x:v>
      </x:c>
      <x:c r="F2704" s="55" t="n">
        <x:v>40.530673</x:v>
      </x:c>
      <x:c r="G2704" s="55" t="n">
        <x:v>-77.400438</x:v>
      </x:c>
      <x:c r="H2704" s="43" t="n">
        <x:f>E2704/SUMIF(A:A,A2704,E:E)</x:f>
        <x:v>0.0010984664417164351</x:v>
      </x:c>
    </x:row>
    <x:row r="2705" ht="21.600000381469727" hidden="0" customHeight="1">
      <x:c r="A2705" s="29" t="str">
        <x:v>SCA-28</x:v>
      </x:c>
      <x:c r="B2705" s="29" t="str">
        <x:v>39105</x:v>
      </x:c>
      <x:c r="C2705" s="29" t="str">
        <x:v>OH</x:v>
      </x:c>
      <x:c r="D2705" s="29" t="str">
        <x:v>Meigs County</x:v>
      </x:c>
      <x:c r="E2705" s="41" t="n">
        <x:v>21587</x:v>
      </x:c>
      <x:c r="F2705" s="56" t="n">
        <x:v>39.089807</x:v>
      </x:c>
      <x:c r="G2705" s="56" t="n">
        <x:v>-82.028397</x:v>
      </x:c>
      <x:c r="H2705" s="44" t="n">
        <x:f>E2705/SUMIF(A:A,A2705,E:E)</x:f>
        <x:v>0.0010132288628523132</x:v>
      </x:c>
    </x:row>
    <x:row r="2706" ht="21.600000381469727" hidden="0" customHeight="1">
      <x:c r="A2706" s="27" t="str">
        <x:v>SCA-28</x:v>
      </x:c>
      <x:c r="B2706" s="27" t="str">
        <x:v>54009</x:v>
      </x:c>
      <x:c r="C2706" s="27" t="str">
        <x:v>WV</x:v>
      </x:c>
      <x:c r="D2706" s="27" t="str">
        <x:v>Brooke County</x:v>
      </x:c>
      <x:c r="E2706" s="40" t="n">
        <x:v>21142</x:v>
      </x:c>
      <x:c r="F2706" s="55" t="n">
        <x:v>40.272645</x:v>
      </x:c>
      <x:c r="G2706" s="55" t="n">
        <x:v>-80.578691</x:v>
      </x:c>
      <x:c r="H2706" s="43" t="n">
        <x:f>E2706/SUMIF(A:A,A2706,E:E)</x:f>
        <x:v>0.000992341901071182</x:v>
      </x:c>
    </x:row>
    <x:row r="2707" ht="21.600000381469727" hidden="0" customHeight="1">
      <x:c r="A2707" s="29" t="str">
        <x:v>SCA-28</x:v>
      </x:c>
      <x:c r="B2707" s="29" t="str">
        <x:v>54005</x:v>
      </x:c>
      <x:c r="C2707" s="29" t="str">
        <x:v>WV</x:v>
      </x:c>
      <x:c r="D2707" s="29" t="str">
        <x:v>Boone County</x:v>
      </x:c>
      <x:c r="E2707" s="41" t="n">
        <x:v>20251</x:v>
      </x:c>
      <x:c r="F2707" s="56" t="n">
        <x:v>38.022814</x:v>
      </x:c>
      <x:c r="G2707" s="56" t="n">
        <x:v>-81.713538</x:v>
      </x:c>
      <x:c r="H2707" s="44" t="n">
        <x:f>E2707/SUMIF(A:A,A2707,E:E)</x:f>
        <x:v>0.000950521040516153</x:v>
      </x:c>
    </x:row>
    <x:row r="2708" ht="21.600000381469727" hidden="0" customHeight="1">
      <x:c r="A2708" s="27" t="str">
        <x:v>SCA-28</x:v>
      </x:c>
      <x:c r="B2708" s="27" t="str">
        <x:v>54065</x:v>
      </x:c>
      <x:c r="C2708" s="27" t="str">
        <x:v>WV</x:v>
      </x:c>
      <x:c r="D2708" s="27" t="str">
        <x:v>Morgan County</x:v>
      </x:c>
      <x:c r="E2708" s="40" t="n">
        <x:v>18027</x:v>
      </x:c>
      <x:c r="F2708" s="55" t="n">
        <x:v>39.557345</x:v>
      </x:c>
      <x:c r="G2708" s="55" t="n">
        <x:v>-78.256517</x:v>
      </x:c>
      <x:c r="H2708" s="43" t="n">
        <x:f>E2708/SUMIF(A:A,A2708,E:E)</x:f>
        <x:v>0.0008461331686032635</x:v>
      </x:c>
    </x:row>
    <x:row r="2709" ht="21.600000381469727" hidden="0" customHeight="1">
      <x:c r="A2709" s="29" t="str">
        <x:v>SCA-28</x:v>
      </x:c>
      <x:c r="B2709" s="29" t="str">
        <x:v>51685</x:v>
      </x:c>
      <x:c r="C2709" s="29" t="str">
        <x:v>VA</x:v>
      </x:c>
      <x:c r="D2709" s="29" t="str">
        <x:v>Manassas Park city</x:v>
      </x:c>
      <x:c r="E2709" s="41" t="n">
        <x:v>16560</x:v>
      </x:c>
      <x:c r="F2709" s="56" t="n">
        <x:v>38.769398</x:v>
      </x:c>
      <x:c r="G2709" s="56" t="n">
        <x:v>-77.442323</x:v>
      </x:c>
      <x:c r="H2709" s="44" t="n">
        <x:f>E2709/SUMIF(A:A,A2709,E:E)</x:f>
        <x:v>0.0007772766002146804</x:v>
      </x:c>
    </x:row>
    <x:row r="2710" ht="21.600000381469727" hidden="0" customHeight="1">
      <x:c r="A2710" s="27" t="str">
        <x:v>SCA-28</x:v>
      </x:c>
      <x:c r="B2710" s="27" t="str">
        <x:v>54041</x:v>
      </x:c>
      <x:c r="C2710" s="27" t="str">
        <x:v>WV</x:v>
      </x:c>
      <x:c r="D2710" s="27" t="str">
        <x:v>Lewis County</x:v>
      </x:c>
      <x:c r="E2710" s="40" t="n">
        <x:v>16394</x:v>
      </x:c>
      <x:c r="F2710" s="55" t="n">
        <x:v>38.988877</x:v>
      </x:c>
      <x:c r="G2710" s="55" t="n">
        <x:v>-80.495477</x:v>
      </x:c>
      <x:c r="H2710" s="43" t="n">
        <x:f>E2710/SUMIF(A:A,A2710,E:E)</x:f>
        <x:v>0.000769485059415427</x:v>
      </x:c>
    </x:row>
    <x:row r="2711" ht="21.600000381469727" hidden="0" customHeight="1">
      <x:c r="A2711" s="29" t="str">
        <x:v>SCA-28</x:v>
      </x:c>
      <x:c r="B2711" s="29" t="str">
        <x:v>54091</x:v>
      </x:c>
      <x:c r="C2711" s="29" t="str">
        <x:v>WV</x:v>
      </x:c>
      <x:c r="D2711" s="29" t="str">
        <x:v>Taylor County</x:v>
      </x:c>
      <x:c r="E2711" s="41" t="n">
        <x:v>16287</x:v>
      </x:c>
      <x:c r="F2711" s="56" t="n">
        <x:v>39.332478</x:v>
      </x:c>
      <x:c r="G2711" s="56" t="n">
        <x:v>-80.046554</x:v>
      </x:c>
      <x:c r="H2711" s="44" t="n">
        <x:f>E2711/SUMIF(A:A,A2711,E:E)</x:f>
        <x:v>0.0007644628011894022</x:v>
      </x:c>
    </x:row>
    <x:row r="2712" ht="21.600000381469727" hidden="0" customHeight="1">
      <x:c r="A2712" s="27" t="str">
        <x:v>SCA-28</x:v>
      </x:c>
      <x:c r="B2712" s="27" t="str">
        <x:v>42105</x:v>
      </x:c>
      <x:c r="C2712" s="27" t="str">
        <x:v>PA</x:v>
      </x:c>
      <x:c r="D2712" s="27" t="str">
        <x:v>Potter County</x:v>
      </x:c>
      <x:c r="E2712" s="40" t="n">
        <x:v>15897</x:v>
      </x:c>
      <x:c r="F2712" s="55" t="n">
        <x:v>41.748587</x:v>
      </x:c>
      <x:c r="G2712" s="55" t="n">
        <x:v>-77.894436</x:v>
      </x:c>
      <x:c r="H2712" s="43" t="n">
        <x:f>E2712/SUMIF(A:A,A2712,E:E)</x:f>
        <x:v>0.0007461573740104332</x:v>
      </x:c>
    </x:row>
    <x:row r="2713" ht="21.600000381469727" hidden="0" customHeight="1">
      <x:c r="A2713" s="29" t="str">
        <x:v>SCA-28</x:v>
      </x:c>
      <x:c r="B2713" s="29" t="str">
        <x:v>51043</x:v>
      </x:c>
      <x:c r="C2713" s="29" t="str">
        <x:v>VA</x:v>
      </x:c>
      <x:c r="D2713" s="29" t="str">
        <x:v>Clarke County</x:v>
      </x:c>
      <x:c r="E2713" s="41" t="n">
        <x:v>15609</x:v>
      </x:c>
      <x:c r="F2713" s="56" t="n">
        <x:v>39.115307</x:v>
      </x:c>
      <x:c r="G2713" s="56" t="n">
        <x:v>-77.990748</x:v>
      </x:c>
      <x:c r="H2713" s="44" t="n">
        <x:f>E2713/SUMIF(A:A,A2713,E:E)</x:f>
        <x:v>0.0007326395200936562</x:v>
      </x:c>
    </x:row>
    <x:row r="2714" ht="21.600000381469727" hidden="0" customHeight="1">
      <x:c r="A2714" s="27" t="str">
        <x:v>SCA-28</x:v>
      </x:c>
      <x:c r="B2714" s="27" t="str">
        <x:v>54001</x:v>
      </x:c>
      <x:c r="C2714" s="27" t="str">
        <x:v>WV</x:v>
      </x:c>
      <x:c r="D2714" s="27" t="str">
        <x:v>Barbour County</x:v>
      </x:c>
      <x:c r="E2714" s="40" t="n">
        <x:v>15414</x:v>
      </x:c>
      <x:c r="F2714" s="55" t="n">
        <x:v>39.139725</x:v>
      </x:c>
      <x:c r="G2714" s="55" t="n">
        <x:v>-79.996947</x:v>
      </x:c>
      <x:c r="H2714" s="43" t="n">
        <x:f>E2714/SUMIF(A:A,A2714,E:E)</x:f>
        <x:v>0.0007234868065041718</x:v>
      </x:c>
    </x:row>
    <x:row r="2715" ht="21.600000381469727" hidden="0" customHeight="1">
      <x:c r="A2715" s="29" t="str">
        <x:v>SCA-28</x:v>
      </x:c>
      <x:c r="B2715" s="29" t="str">
        <x:v>51610</x:v>
      </x:c>
      <x:c r="C2715" s="29" t="str">
        <x:v>VA</x:v>
      </x:c>
      <x:c r="D2715" s="29" t="str">
        <x:v>Falls Church city</x:v>
      </x:c>
      <x:c r="E2715" s="41" t="n">
        <x:v>15159</x:v>
      </x:c>
      <x:c r="F2715" s="56" t="n">
        <x:v>38.884722</x:v>
      </x:c>
      <x:c r="G2715" s="56" t="n">
        <x:v>-77.175603</x:v>
      </x:c>
      <x:c r="H2715" s="44" t="n">
        <x:f>E2715/SUMIF(A:A,A2715,E:E)</x:f>
        <x:v>0.000711517873348692</x:v>
      </x:c>
    </x:row>
    <x:row r="2716" ht="21.600000381469727" hidden="0" customHeight="1">
      <x:c r="A2716" s="27" t="str">
        <x:v>SCA-28</x:v>
      </x:c>
      <x:c r="B2716" s="27" t="str">
        <x:v>42057</x:v>
      </x:c>
      <x:c r="C2716" s="27" t="str">
        <x:v>PA</x:v>
      </x:c>
      <x:c r="D2716" s="27" t="str">
        <x:v>Fulton County</x:v>
      </x:c>
      <x:c r="E2716" s="40" t="n">
        <x:v>14483</x:v>
      </x:c>
      <x:c r="F2716" s="55" t="n">
        <x:v>39.91075</x:v>
      </x:c>
      <x:c r="G2716" s="55" t="n">
        <x:v>-78.122617</x:v>
      </x:c>
      <x:c r="H2716" s="43" t="n">
        <x:f>E2716/SUMIF(A:A,A2716,E:E)</x:f>
        <x:v>0.0006797884662384792</x:v>
      </x:c>
    </x:row>
    <x:row r="2717" ht="21.600000381469727" hidden="0" customHeight="1">
      <x:c r="A2717" s="29" t="str">
        <x:v>SCA-28</x:v>
      </x:c>
      <x:c r="B2717" s="29" t="str">
        <x:v>54031</x:v>
      </x:c>
      <x:c r="C2717" s="29" t="str">
        <x:v>WV</x:v>
      </x:c>
      <x:c r="D2717" s="29" t="str">
        <x:v>Hardy County</x:v>
      </x:c>
      <x:c r="E2717" s="41" t="n">
        <x:v>14337</x:v>
      </x:c>
      <x:c r="F2717" s="56" t="n">
        <x:v>39.011361</x:v>
      </x:c>
      <x:c r="G2717" s="56" t="n">
        <x:v>-78.841729</x:v>
      </x:c>
      <x:c r="H2717" s="44" t="n">
        <x:f>E2717/SUMIF(A:A,A2717,E:E)</x:f>
        <x:v>0.0006729356652945576</x:v>
      </x:c>
    </x:row>
    <x:row r="2718" ht="21.600000381469727" hidden="0" customHeight="1">
      <x:c r="A2718" s="27" t="str">
        <x:v>SCA-28</x:v>
      </x:c>
      <x:c r="B2718" s="27" t="str">
        <x:v>39121</x:v>
      </x:c>
      <x:c r="C2718" s="27" t="str">
        <x:v>OH</x:v>
      </x:c>
      <x:c r="D2718" s="27" t="str">
        <x:v>Noble County</x:v>
      </x:c>
      <x:c r="E2718" s="40" t="n">
        <x:v>14276</x:v>
      </x:c>
      <x:c r="F2718" s="55" t="n">
        <x:v>39.767232</x:v>
      </x:c>
      <x:c r="G2718" s="55" t="n">
        <x:v>-81.452493</x:v>
      </x:c>
      <x:c r="H2718" s="43" t="n">
        <x:f>E2718/SUMIF(A:A,A2718,E:E)</x:f>
        <x:v>0.0006700725087357957</x:v>
      </x:c>
    </x:row>
    <x:row r="2719" ht="21.600000381469727" hidden="0" customHeight="1">
      <x:c r="A2719" s="29" t="str">
        <x:v>SCA-28</x:v>
      </x:c>
      <x:c r="B2719" s="29" t="str">
        <x:v>51113</x:v>
      </x:c>
      <x:c r="C2719" s="29" t="str">
        <x:v>VA</x:v>
      </x:c>
      <x:c r="D2719" s="29" t="str">
        <x:v>Madison County</x:v>
      </x:c>
      <x:c r="E2719" s="41" t="n">
        <x:v>14237</x:v>
      </x:c>
      <x:c r="F2719" s="56" t="n">
        <x:v>38.412059</x:v>
      </x:c>
      <x:c r="G2719" s="56" t="n">
        <x:v>-78.276961</x:v>
      </x:c>
      <x:c r="H2719" s="44" t="n">
        <x:f>E2719/SUMIF(A:A,A2719,E:E)</x:f>
        <x:v>0.0006682419660178989</x:v>
      </x:c>
    </x:row>
    <x:row r="2720" ht="21.600000381469727" hidden="0" customHeight="1">
      <x:c r="A2720" s="27" t="str">
        <x:v>SCA-28</x:v>
      </x:c>
      <x:c r="B2720" s="27" t="str">
        <x:v>39067</x:v>
      </x:c>
      <x:c r="C2720" s="27" t="str">
        <x:v>OH</x:v>
      </x:c>
      <x:c r="D2720" s="27" t="str">
        <x:v>Harrison County</x:v>
      </x:c>
      <x:c r="E2720" s="40" t="n">
        <x:v>14070</x:v>
      </x:c>
      <x:c r="F2720" s="55" t="n">
        <x:v>40.292318</x:v>
      </x:c>
      <x:c r="G2720" s="55" t="n">
        <x:v>-81.091565</x:v>
      </x:c>
      <x:c r="H2720" s="43" t="n">
        <x:f>E2720/SUMIF(A:A,A2720,E:E)</x:f>
        <x:v>0.0006604034882258788</x:v>
      </x:c>
    </x:row>
    <x:row r="2721" ht="21.600000381469727" hidden="0" customHeight="1">
      <x:c r="A2721" s="29" t="str">
        <x:v>SCA-28</x:v>
      </x:c>
      <x:c r="B2721" s="29" t="str">
        <x:v>54103</x:v>
      </x:c>
      <x:c r="C2721" s="29" t="str">
        <x:v>WV</x:v>
      </x:c>
      <x:c r="D2721" s="29" t="str">
        <x:v>Wetzel County</x:v>
      </x:c>
      <x:c r="E2721" s="41" t="n">
        <x:v>13734</x:v>
      </x:c>
      <x:c r="F2721" s="56" t="n">
        <x:v>39.59818</x:v>
      </x:c>
      <x:c r="G2721" s="56" t="n">
        <x:v>-80.635399</x:v>
      </x:c>
      <x:c r="H2721" s="44" t="n">
        <x:f>E2721/SUMIF(A:A,A2721,E:E)</x:f>
        <x:v>0.0006446326586563056</x:v>
      </x:c>
    </x:row>
    <x:row r="2722" ht="21.600000381469727" hidden="0" customHeight="1">
      <x:c r="A2722" s="27" t="str">
        <x:v>SCA-28</x:v>
      </x:c>
      <x:c r="B2722" s="27" t="str">
        <x:v>39115</x:v>
      </x:c>
      <x:c r="C2722" s="27" t="str">
        <x:v>OH</x:v>
      </x:c>
      <x:c r="D2722" s="27" t="str">
        <x:v>Morgan County</x:v>
      </x:c>
      <x:c r="E2722" s="40" t="n">
        <x:v>13626</x:v>
      </x:c>
      <x:c r="F2722" s="55" t="n">
        <x:v>39.624946</x:v>
      </x:c>
      <x:c r="G2722" s="55" t="n">
        <x:v>-81.861697</x:v>
      </x:c>
      <x:c r="H2722" s="43" t="n">
        <x:f>E2722/SUMIF(A:A,A2722,E:E)</x:f>
        <x:v>0.0006395634634375142</x:v>
      </x:c>
    </x:row>
    <x:row r="2723" ht="21.600000381469727" hidden="0" customHeight="1">
      <x:c r="A2723" s="29" t="str">
        <x:v>SCA-28</x:v>
      </x:c>
      <x:c r="B2723" s="29" t="str">
        <x:v>54087</x:v>
      </x:c>
      <x:c r="C2723" s="29" t="str">
        <x:v>WV</x:v>
      </x:c>
      <x:c r="D2723" s="29" t="str">
        <x:v>Roane County</x:v>
      </x:c>
      <x:c r="E2723" s="41" t="n">
        <x:v>13317</x:v>
      </x:c>
      <x:c r="F2723" s="56" t="n">
        <x:v>38.74295</x:v>
      </x:c>
      <x:c r="G2723" s="56" t="n">
        <x:v>-81.354494</x:v>
      </x:c>
      <x:c r="H2723" s="44" t="n">
        <x:f>E2723/SUMIF(A:A,A2723,E:E)</x:f>
        <x:v>0.0006250599326726388</x:v>
      </x:c>
    </x:row>
    <x:row r="2724" ht="21.600000381469727" hidden="0" customHeight="1">
      <x:c r="A2724" s="27" t="str">
        <x:v>SCA-28</x:v>
      </x:c>
      <x:c r="B2724" s="27" t="str">
        <x:v>39111</x:v>
      </x:c>
      <x:c r="C2724" s="27" t="str">
        <x:v>OH</x:v>
      </x:c>
      <x:c r="D2724" s="27" t="str">
        <x:v>Monroe County</x:v>
      </x:c>
      <x:c r="E2724" s="40" t="n">
        <x:v>12994</x:v>
      </x:c>
      <x:c r="F2724" s="55" t="n">
        <x:v>39.726252</x:v>
      </x:c>
      <x:c r="G2724" s="55" t="n">
        <x:v>-81.090983</x:v>
      </x:c>
      <x:c r="H2724" s="43" t="n">
        <x:f>E2724/SUMIF(A:A,A2724,E:E)</x:f>
        <x:v>0.0006098992840090313</x:v>
      </x:c>
    </x:row>
    <x:row r="2725" ht="21.600000381469727" hidden="0" customHeight="1">
      <x:c r="A2725" s="29" t="str">
        <x:v>SCA-28</x:v>
      </x:c>
      <x:c r="B2725" s="29" t="str">
        <x:v>39163</x:v>
      </x:c>
      <x:c r="C2725" s="29" t="str">
        <x:v>OH</x:v>
      </x:c>
      <x:c r="D2725" s="29" t="str">
        <x:v>Vinton County</x:v>
      </x:c>
      <x:c r="E2725" s="41" t="n">
        <x:v>12645</x:v>
      </x:c>
      <x:c r="F2725" s="56" t="n">
        <x:v>39.252042</x:v>
      </x:c>
      <x:c r="G2725" s="56" t="n">
        <x:v>-82.485961</x:v>
      </x:c>
      <x:c r="H2725" s="44" t="n">
        <x:f>E2725/SUMIF(A:A,A2725,E:E)</x:f>
        <x:v>0.0005935182735334924</x:v>
      </x:c>
    </x:row>
    <x:row r="2726" ht="21.600000381469727" hidden="0" customHeight="1">
      <x:c r="A2726" s="27" t="str">
        <x:v>SCA-28</x:v>
      </x:c>
      <x:c r="B2726" s="27" t="str">
        <x:v>54007</x:v>
      </x:c>
      <x:c r="C2726" s="27" t="str">
        <x:v>WV</x:v>
      </x:c>
      <x:c r="D2726" s="27" t="str">
        <x:v>Braxton County</x:v>
      </x:c>
      <x:c r="E2726" s="40" t="n">
        <x:v>11885</x:v>
      </x:c>
      <x:c r="F2726" s="55" t="n">
        <x:v>38.69933</x:v>
      </x:c>
      <x:c r="G2726" s="55" t="n">
        <x:v>-80.73166</x:v>
      </x:c>
      <x:c r="H2726" s="43" t="n">
        <x:f>E2726/SUMIF(A:A,A2726,E:E)</x:f>
        <x:v>0.0005578461590308863</x:v>
      </x:c>
    </x:row>
    <x:row r="2727" ht="21.600000381469727" hidden="0" customHeight="1">
      <x:c r="A2727" s="29" t="str">
        <x:v>SCA-28</x:v>
      </x:c>
      <x:c r="B2727" s="29" t="str">
        <x:v>54023</x:v>
      </x:c>
      <x:c r="C2727" s="29" t="str">
        <x:v>WV</x:v>
      </x:c>
      <x:c r="D2727" s="29" t="str">
        <x:v>Grant County</x:v>
      </x:c>
      <x:c r="E2727" s="41" t="n">
        <x:v>11041</x:v>
      </x:c>
      <x:c r="F2727" s="56" t="n">
        <x:v>39.105988</x:v>
      </x:c>
      <x:c r="G2727" s="56" t="n">
        <x:v>-79.195064</x:v>
      </x:c>
      <x:c r="H2727" s="44" t="n">
        <x:f>E2727/SUMIF(A:A,A2727,E:E)</x:f>
        <x:v>0.0005182313371358869</x:v>
      </x:c>
    </x:row>
    <x:row r="2728" ht="21.600000381469727" hidden="0" customHeight="1">
      <x:c r="A2728" s="27" t="str">
        <x:v>SCA-28</x:v>
      </x:c>
      <x:c r="B2728" s="27" t="str">
        <x:v>54085</x:v>
      </x:c>
      <x:c r="C2728" s="27" t="str">
        <x:v>WV</x:v>
      </x:c>
      <x:c r="D2728" s="27" t="str">
        <x:v>Ritchie County</x:v>
      </x:c>
      <x:c r="E2728" s="40" t="n">
        <x:v>8034</x:v>
      </x:c>
      <x:c r="F2728" s="55" t="n">
        <x:v>39.177112</x:v>
      </x:c>
      <x:c r="G2728" s="55" t="n">
        <x:v>-81.066317</x:v>
      </x:c>
      <x:c r="H2728" s="43" t="n">
        <x:f>E2728/SUMIF(A:A,A2728,E:E)</x:f>
        <x:v>0.0003770917998867598</x:v>
      </x:c>
    </x:row>
    <x:row r="2729" ht="15" hidden="0" customHeight="1">
      <x:c r="A2729" s="29" t="str">
        <x:v>SCA-28</x:v>
      </x:c>
      <x:c r="B2729" s="29" t="str">
        <x:v>54095</x:v>
      </x:c>
      <x:c r="C2729" s="29" t="str">
        <x:v>WV</x:v>
      </x:c>
      <x:c r="D2729" s="29" t="str">
        <x:v>Tyler County</x:v>
      </x:c>
      <x:c r="E2729" s="41" t="n">
        <x:v>7881</x:v>
      </x:c>
      <x:c r="F2729" s="56" t="n">
        <x:v>39.465634</x:v>
      </x:c>
      <x:c r="G2729" s="56" t="n">
        <x:v>-80.877219</x:v>
      </x:c>
      <x:c r="H2729" s="44" t="n">
        <x:f>E2729/SUMIF(A:A,A2729,E:E)</x:f>
        <x:v>0.000369910439993472</x:v>
      </x:c>
    </x:row>
    <x:row r="2730" ht="21.600000381469727" hidden="0" customHeight="1">
      <x:c r="A2730" s="27" t="str">
        <x:v>SCA-28</x:v>
      </x:c>
      <x:c r="B2730" s="27" t="str">
        <x:v>54101</x:v>
      </x:c>
      <x:c r="C2730" s="27" t="str">
        <x:v>WV</x:v>
      </x:c>
      <x:c r="D2730" s="27" t="str">
        <x:v>Webster County</x:v>
      </x:c>
      <x:c r="E2730" s="40" t="n">
        <x:v>7760</x:v>
      </x:c>
      <x:c r="F2730" s="55" t="n">
        <x:v>38.483459</x:v>
      </x:c>
      <x:c r="G2730" s="55" t="n">
        <x:v>-80.449052</x:v>
      </x:c>
      <x:c r="H2730" s="43" t="n">
        <x:f>E2730/SUMIF(A:A,A2730,E:E)</x:f>
        <x:v>0.00036423106386871497</x:v>
      </x:c>
    </x:row>
    <x:row r="2731" ht="21.600000381469727" hidden="0" customHeight="1">
      <x:c r="A2731" s="29" t="str">
        <x:v>SCA-28</x:v>
      </x:c>
      <x:c r="B2731" s="29" t="str">
        <x:v>54017</x:v>
      </x:c>
      <x:c r="C2731" s="29" t="str">
        <x:v>WV</x:v>
      </x:c>
      <x:c r="D2731" s="29" t="str">
        <x:v>Doddridge County</x:v>
      </x:c>
      <x:c r="E2731" s="41" t="n">
        <x:v>7634</x:v>
      </x:c>
      <x:c r="F2731" s="56" t="n">
        <x:v>39.264307</x:v>
      </x:c>
      <x:c r="G2731" s="56" t="n">
        <x:v>-80.711498</x:v>
      </x:c>
      <x:c r="H2731" s="44" t="n">
        <x:f>E2731/SUMIF(A:A,A2731,E:E)</x:f>
        <x:v>0.000358317002780125</x:v>
      </x:c>
    </x:row>
    <x:row r="2732" ht="21.600000381469727" hidden="0" customHeight="1">
      <x:c r="A2732" s="27" t="str">
        <x:v>SCA-28</x:v>
      </x:c>
      <x:c r="B2732" s="27" t="str">
        <x:v>54075</x:v>
      </x:c>
      <x:c r="C2732" s="27" t="str">
        <x:v>WV</x:v>
      </x:c>
      <x:c r="D2732" s="27" t="str">
        <x:v>Pocahontas County</x:v>
      </x:c>
      <x:c r="E2732" s="40" t="n">
        <x:v>7602</x:v>
      </x:c>
      <x:c r="F2732" s="55" t="n">
        <x:v>38.332606</x:v>
      </x:c>
      <x:c r="G2732" s="55" t="n">
        <x:v>-80.010121</x:v>
      </x:c>
      <x:c r="H2732" s="43" t="n">
        <x:f>E2732/SUMIF(A:A,A2732,E:E)</x:f>
        <x:v>0.00035681501901159424</x:v>
      </x:c>
    </x:row>
    <x:row r="2733" ht="15" hidden="0" customHeight="1">
      <x:c r="A2733" s="29" t="str">
        <x:v>SCA-28</x:v>
      </x:c>
      <x:c r="B2733" s="29" t="str">
        <x:v>54015</x:v>
      </x:c>
      <x:c r="C2733" s="29" t="str">
        <x:v>WV</x:v>
      </x:c>
      <x:c r="D2733" s="29" t="str">
        <x:v>Clay County</x:v>
      </x:c>
      <x:c r="E2733" s="41" t="n">
        <x:v>7538</x:v>
      </x:c>
      <x:c r="F2733" s="56" t="n">
        <x:v>38.459826</x:v>
      </x:c>
      <x:c r="G2733" s="56" t="n">
        <x:v>-81.081866</x:v>
      </x:c>
      <x:c r="H2733" s="44" t="n">
        <x:f>E2733/SUMIF(A:A,A2733,E:E)</x:f>
        <x:v>0.0003538110514745327</x:v>
      </x:c>
    </x:row>
    <x:row r="2734" ht="21.600000381469727" hidden="0" customHeight="1">
      <x:c r="A2734" s="27" t="str">
        <x:v>SCA-28</x:v>
      </x:c>
      <x:c r="B2734" s="27" t="str">
        <x:v>51157</x:v>
      </x:c>
      <x:c r="C2734" s="27" t="str">
        <x:v>VA</x:v>
      </x:c>
      <x:c r="D2734" s="27" t="str">
        <x:v>Rappahannock County</x:v>
      </x:c>
      <x:c r="E2734" s="40" t="n">
        <x:v>7439</x:v>
      </x:c>
      <x:c r="F2734" s="55" t="n">
        <x:v>38.684522</x:v>
      </x:c>
      <x:c r="G2734" s="55" t="n">
        <x:v>-78.168824</x:v>
      </x:c>
      <x:c r="H2734" s="43" t="n">
        <x:f>E2734/SUMIF(A:A,A2734,E:E)</x:f>
        <x:v>0.00034916428919064057</x:v>
      </x:c>
    </x:row>
    <x:row r="2735" ht="21.600000381469727" hidden="0" customHeight="1">
      <x:c r="A2735" s="29" t="str">
        <x:v>SCA-28</x:v>
      </x:c>
      <x:c r="B2735" s="29" t="str">
        <x:v>54073</x:v>
      </x:c>
      <x:c r="C2735" s="29" t="str">
        <x:v>WV</x:v>
      </x:c>
      <x:c r="D2735" s="29" t="str">
        <x:v>Pleasants County</x:v>
      </x:c>
      <x:c r="E2735" s="41" t="n">
        <x:v>7338</x:v>
      </x:c>
      <x:c r="F2735" s="56" t="n">
        <x:v>39.368133</x:v>
      </x:c>
      <x:c r="G2735" s="56" t="n">
        <x:v>-81.161172</x:v>
      </x:c>
      <x:c r="H2735" s="44" t="n">
        <x:f>E2735/SUMIF(A:A,A2735,E:E)</x:f>
        <x:v>0.00034442365292121525</x:v>
      </x:c>
    </x:row>
    <x:row r="2736" ht="21.600000381469727" hidden="0" customHeight="1">
      <x:c r="A2736" s="27" t="str">
        <x:v>SCA-28</x:v>
      </x:c>
      <x:c r="B2736" s="27" t="str">
        <x:v>54021</x:v>
      </x:c>
      <x:c r="C2736" s="27" t="str">
        <x:v>WV</x:v>
      </x:c>
      <x:c r="D2736" s="27" t="str">
        <x:v>Gilmer County</x:v>
      </x:c>
      <x:c r="E2736" s="40" t="n">
        <x:v>7085</x:v>
      </x:c>
      <x:c r="F2736" s="55" t="n">
        <x:v>38.915867</x:v>
      </x:c>
      <x:c r="G2736" s="55" t="n">
        <x:v>-80.849413</x:v>
      </x:c>
      <x:c r="H2736" s="43" t="n">
        <x:f>E2736/SUMIF(A:A,A2736,E:E)</x:f>
        <x:v>0.00033254859375126875</x:v>
      </x:c>
    </x:row>
    <x:row r="2737" ht="21.600000381469727" hidden="0" customHeight="1">
      <x:c r="A2737" s="29" t="str">
        <x:v>SCA-28</x:v>
      </x:c>
      <x:c r="B2737" s="29" t="str">
        <x:v>42053</x:v>
      </x:c>
      <x:c r="C2737" s="29" t="str">
        <x:v>PA</x:v>
      </x:c>
      <x:c r="D2737" s="29" t="str">
        <x:v>Forest County</x:v>
      </x:c>
      <x:c r="E2737" s="41" t="n">
        <x:v>6614</x:v>
      </x:c>
      <x:c r="F2737" s="56" t="n">
        <x:v>41.513304</x:v>
      </x:c>
      <x:c r="G2737" s="56" t="n">
        <x:v>-79.249705</x:v>
      </x:c>
      <x:c r="H2737" s="44" t="n">
        <x:f>E2737/SUMIF(A:A,A2737,E:E)</x:f>
        <x:v>0.0003104412701582063</x:v>
      </x:c>
    </x:row>
    <x:row r="2738" ht="21.600000381469727" hidden="0" customHeight="1">
      <x:c r="A2738" s="27" t="str">
        <x:v>SCA-28</x:v>
      </x:c>
      <x:c r="B2738" s="27" t="str">
        <x:v>54093</x:v>
      </x:c>
      <x:c r="C2738" s="27" t="str">
        <x:v>WV</x:v>
      </x:c>
      <x:c r="D2738" s="27" t="str">
        <x:v>Tucker County</x:v>
      </x:c>
      <x:c r="E2738" s="40" t="n">
        <x:v>6540</x:v>
      </x:c>
      <x:c r="F2738" s="55" t="n">
        <x:v>39.111175</x:v>
      </x:c>
      <x:c r="G2738" s="55" t="n">
        <x:v>-79.559968</x:v>
      </x:c>
      <x:c r="H2738" s="43" t="n">
        <x:f>E2738/SUMIF(A:A,A2738,E:E)</x:f>
        <x:v>0.0003069679326934789</x:v>
      </x:c>
    </x:row>
    <x:row r="2739" ht="21.600000381469727" hidden="0" customHeight="1">
      <x:c r="A2739" s="29" t="str">
        <x:v>SCA-28</x:v>
      </x:c>
      <x:c r="B2739" s="29" t="str">
        <x:v>54013</x:v>
      </x:c>
      <x:c r="C2739" s="29" t="str">
        <x:v>WV</x:v>
      </x:c>
      <x:c r="D2739" s="29" t="str">
        <x:v>Calhoun County</x:v>
      </x:c>
      <x:c r="E2739" s="41" t="n">
        <x:v>5978</x:v>
      </x:c>
      <x:c r="F2739" s="56" t="n">
        <x:v>38.844159</x:v>
      </x:c>
      <x:c r="G2739" s="56" t="n">
        <x:v>-81.115478</x:v>
      </x:c>
      <x:c r="H2739" s="44" t="n">
        <x:f>E2739/SUMIF(A:A,A2739,E:E)</x:f>
        <x:v>0.000280589342758657</x:v>
      </x:c>
    </x:row>
    <x:row r="2740" ht="21.600000381469727" hidden="0" customHeight="1">
      <x:c r="A2740" s="27" t="str">
        <x:v>SCA-28</x:v>
      </x:c>
      <x:c r="B2740" s="27" t="str">
        <x:v>54071</x:v>
      </x:c>
      <x:c r="C2740" s="27" t="str">
        <x:v>WV</x:v>
      </x:c>
      <x:c r="D2740" s="27" t="str">
        <x:v>Pendleton County</x:v>
      </x:c>
      <x:c r="E2740" s="40" t="n">
        <x:v>5826</x:v>
      </x:c>
      <x:c r="F2740" s="55" t="n">
        <x:v>38.67445</x:v>
      </x:c>
      <x:c r="G2740" s="55" t="n">
        <x:v>-79.340617</x:v>
      </x:c>
      <x:c r="H2740" s="43" t="n">
        <x:f>E2740/SUMIF(A:A,A2740,E:E)</x:f>
        <x:v>0.00027345491985813575</x:v>
      </x:c>
    </x:row>
    <x:row r="2741" ht="15" hidden="0" customHeight="1">
      <x:c r="A2741" s="29" t="str">
        <x:v>SCA-28</x:v>
      </x:c>
      <x:c r="B2741" s="29" t="str">
        <x:v>54105</x:v>
      </x:c>
      <x:c r="C2741" s="29" t="str">
        <x:v>WV</x:v>
      </x:c>
      <x:c r="D2741" s="29" t="str">
        <x:v>Wirt County</x:v>
      </x:c>
      <x:c r="E2741" s="41" t="n">
        <x:v>4879</x:v>
      </x:c>
      <x:c r="F2741" s="56" t="n">
        <x:v>39.020034</x:v>
      </x:c>
      <x:c r="G2741" s="56" t="n">
        <x:v>-81.382975</x:v>
      </x:c>
      <x:c r="H2741" s="44" t="n">
        <x:f>E2741/SUMIF(A:A,A2741,E:E)</x:f>
        <x:v>0.0002290055877081779</x:v>
      </x:c>
    </x:row>
    <x:row r="2742" ht="21.600000381469727" hidden="0" customHeight="1">
      <x:c r="A2742" s="27" t="str">
        <x:v>SCA-28</x:v>
      </x:c>
      <x:c r="B2742" s="27" t="str">
        <x:v>42023</x:v>
      </x:c>
      <x:c r="C2742" s="27" t="str">
        <x:v>PA</x:v>
      </x:c>
      <x:c r="D2742" s="27" t="str">
        <x:v>Cameron County</x:v>
      </x:c>
      <x:c r="E2742" s="40" t="n">
        <x:v>4211</x:v>
      </x:c>
      <x:c r="F2742" s="55" t="n">
        <x:v>41.438291</x:v>
      </x:c>
      <x:c r="G2742" s="55" t="n">
        <x:v>-78.198323</x:v>
      </x:c>
      <x:c r="H2742" s="43" t="n">
        <x:f>E2742/SUMIF(A:A,A2742,E:E)</x:f>
        <x:v>0.00019765167654009778</x:v>
      </x:c>
    </x:row>
    <x:row r="2743" ht="15" hidden="0" customHeight="1">
      <x:c r="A2743" s="29" t="str">
        <x:v>SCA-28</x:v>
      </x:c>
      <x:c r="B2743" s="29" t="str">
        <x:v>51017</x:v>
      </x:c>
      <x:c r="C2743" s="29" t="str">
        <x:v>VA</x:v>
      </x:c>
      <x:c r="D2743" s="29" t="str">
        <x:v>Bath County</x:v>
      </x:c>
      <x:c r="E2743" s="41" t="n">
        <x:v>4076</x:v>
      </x:c>
      <x:c r="F2743" s="56" t="n">
        <x:v>38.068368</x:v>
      </x:c>
      <x:c r="G2743" s="56" t="n">
        <x:v>-79.731203</x:v>
      </x:c>
      <x:c r="H2743" s="44" t="n">
        <x:f>E2743/SUMIF(A:A,A2743,E:E)</x:f>
        <x:v>0.00019131518251660855</x:v>
      </x:c>
    </x:row>
    <x:row r="2744" ht="21.600000381469727" hidden="0" customHeight="1">
      <x:c r="A2744" s="27" t="str">
        <x:v>SCA-28</x:v>
      </x:c>
      <x:c r="B2744" s="27" t="str">
        <x:v>51091</x:v>
      </x:c>
      <x:c r="C2744" s="27" t="str">
        <x:v>VA</x:v>
      </x:c>
      <x:c r="D2744" s="27" t="str">
        <x:v>Highland County</x:v>
      </x:c>
      <x:c r="E2744" s="40" t="n">
        <x:v>2318</x:v>
      </x:c>
      <x:c r="F2744" s="55" t="n">
        <x:v>38.366243</x:v>
      </x:c>
      <x:c r="G2744" s="55" t="n">
        <x:v>-79.564472</x:v>
      </x:c>
      <x:c r="H2744" s="43" t="n">
        <x:f>E2744/SUMIF(A:A,A2744,E:E)</x:f>
        <x:v>0.00010879994923294862</x:v>
      </x:c>
    </x:row>
    <x:row r="2745" ht="15" hidden="0" customHeight="1">
      <x:c r="A2745" s="29" t="str">
        <x:v>SCA-29</x:v>
      </x:c>
      <x:c r="B2745" s="29" t="str">
        <x:v>37183</x:v>
      </x:c>
      <x:c r="C2745" s="29" t="str">
        <x:v>NC</x:v>
      </x:c>
      <x:c r="D2745" s="29" t="str">
        <x:v>Wake County</x:v>
      </x:c>
      <x:c r="E2745" s="41" t="n">
        <x:v>1257235</x:v>
      </x:c>
      <x:c r="F2745" s="56" t="n">
        <x:v>35.789846</x:v>
      </x:c>
      <x:c r="G2745" s="56" t="n">
        <x:v>-78.650624</x:v>
      </x:c>
      <x:c r="H2745" s="44" t="n">
        <x:f>E2745/SUMIF(A:A,A2745,E:E)</x:f>
        <x:v>0.06523741956139278</x:v>
      </x:c>
    </x:row>
    <x:row r="2746" ht="21.600000381469727" hidden="0" customHeight="1">
      <x:c r="A2746" s="27" t="str">
        <x:v>SCA-29</x:v>
      </x:c>
      <x:c r="B2746" s="27" t="str">
        <x:v>37119</x:v>
      </x:c>
      <x:c r="C2746" s="27" t="str">
        <x:v>NC</x:v>
      </x:c>
      <x:c r="D2746" s="27" t="str">
        <x:v>Mecklenburg County</x:v>
      </x:c>
      <x:c r="E2746" s="40" t="n">
        <x:v>1233383</x:v>
      </x:c>
      <x:c r="F2746" s="55" t="n">
        <x:v>35.246862</x:v>
      </x:c>
      <x:c r="G2746" s="55" t="n">
        <x:v>-80.833832</x:v>
      </x:c>
      <x:c r="H2746" s="43" t="n">
        <x:f>E2746/SUMIF(A:A,A2746,E:E)</x:f>
        <x:v>0.06399974885434252</x:v>
      </x:c>
    </x:row>
    <x:row r="2747" ht="21.600000381469727" hidden="0" customHeight="1">
      <x:c r="A2747" s="29" t="str">
        <x:v>SCA-29</x:v>
      </x:c>
      <x:c r="B2747" s="29" t="str">
        <x:v>37081</x:v>
      </x:c>
      <x:c r="C2747" s="29" t="str">
        <x:v>NC</x:v>
      </x:c>
      <x:c r="D2747" s="29" t="str">
        <x:v>Guilford County</x:v>
      </x:c>
      <x:c r="E2747" s="41" t="n">
        <x:v>562234</x:v>
      </x:c>
      <x:c r="F2747" s="56" t="n">
        <x:v>36.079065</x:v>
      </x:c>
      <x:c r="G2747" s="56" t="n">
        <x:v>-79.788665</x:v>
      </x:c>
      <x:c r="H2747" s="44" t="n">
        <x:f>E2747/SUMIF(A:A,A2747,E:E)</x:f>
        <x:v>0.029174096608573667</x:v>
      </x:c>
    </x:row>
    <x:row r="2748" ht="21.600000381469727" hidden="0" customHeight="1">
      <x:c r="A2748" s="27" t="str">
        <x:v>SCA-29</x:v>
      </x:c>
      <x:c r="B2748" s="27" t="str">
        <x:v>51810</x:v>
      </x:c>
      <x:c r="C2748" s="27" t="str">
        <x:v>VA</x:v>
      </x:c>
      <x:c r="D2748" s="27" t="str">
        <x:v>Virginia Beach city</x:v>
      </x:c>
      <x:c r="E2748" s="40" t="n">
        <x:v>453737</x:v>
      </x:c>
      <x:c r="F2748" s="55" t="n">
        <x:v>36.779525</x:v>
      </x:c>
      <x:c r="G2748" s="55" t="n">
        <x:v>-76.029142</x:v>
      </x:c>
      <x:c r="H2748" s="43" t="n">
        <x:f>E2748/SUMIF(A:A,A2748,E:E)</x:f>
        <x:v>0.02354423082361506</x:v>
      </x:c>
    </x:row>
    <x:row r="2749" ht="21.600000381469727" hidden="0" customHeight="1">
      <x:c r="A2749" s="29" t="str">
        <x:v>SCA-29</x:v>
      </x:c>
      <x:c r="B2749" s="29" t="str">
        <x:v>45019</x:v>
      </x:c>
      <x:c r="C2749" s="29" t="str">
        <x:v>SC</x:v>
      </x:c>
      <x:c r="D2749" s="29" t="str">
        <x:v>Charleston County</x:v>
      </x:c>
      <x:c r="E2749" s="41" t="n">
        <x:v>436200</x:v>
      </x:c>
      <x:c r="F2749" s="56" t="n">
        <x:v>32.800458</x:v>
      </x:c>
      <x:c r="G2749" s="56" t="n">
        <x:v>-79.94248</x:v>
      </x:c>
      <x:c r="H2749" s="44" t="n">
        <x:f>E2749/SUMIF(A:A,A2749,E:E)</x:f>
        <x:v>0.022634242932052906</x:v>
      </x:c>
    </x:row>
    <x:row r="2750" ht="21.600000381469727" hidden="0" customHeight="1">
      <x:c r="A2750" s="27" t="str">
        <x:v>SCA-29</x:v>
      </x:c>
      <x:c r="B2750" s="27" t="str">
        <x:v>45079</x:v>
      </x:c>
      <x:c r="C2750" s="27" t="str">
        <x:v>SC</x:v>
      </x:c>
      <x:c r="D2750" s="27" t="str">
        <x:v>Richland County</x:v>
      </x:c>
      <x:c r="E2750" s="40" t="n">
        <x:v>434956</x:v>
      </x:c>
      <x:c r="F2750" s="55" t="n">
        <x:v>34.029095</x:v>
      </x:c>
      <x:c r="G2750" s="55" t="n">
        <x:v>-80.898037</x:v>
      </x:c>
      <x:c r="H2750" s="43" t="n">
        <x:f>E2750/SUMIF(A:A,A2750,E:E)</x:f>
        <x:v>0.022569692271329673</x:v>
      </x:c>
    </x:row>
    <x:row r="2751" ht="15" hidden="0" customHeight="1">
      <x:c r="A2751" s="29" t="str">
        <x:v>SCA-29</x:v>
      </x:c>
      <x:c r="B2751" s="29" t="str">
        <x:v>45051</x:v>
      </x:c>
      <x:c r="C2751" s="29" t="str">
        <x:v>SC</x:v>
      </x:c>
      <x:c r="D2751" s="29" t="str">
        <x:v>Horry County</x:v>
      </x:c>
      <x:c r="E2751" s="41" t="n">
        <x:v>427551</x:v>
      </x:c>
      <x:c r="F2751" s="56" t="n">
        <x:v>33.909269</x:v>
      </x:c>
      <x:c r="G2751" s="56" t="n">
        <x:v>-78.976675</x:v>
      </x:c>
      <x:c r="H2751" s="44" t="n">
        <x:f>E2751/SUMIF(A:A,A2751,E:E)</x:f>
        <x:v>0.022185449793310757</x:v>
      </x:c>
    </x:row>
    <x:row r="2752" ht="21.600000381469727" hidden="0" customHeight="1">
      <x:c r="A2752" s="27" t="str">
        <x:v>SCA-29</x:v>
      </x:c>
      <x:c r="B2752" s="27" t="str">
        <x:v>37067</x:v>
      </x:c>
      <x:c r="C2752" s="27" t="str">
        <x:v>NC</x:v>
      </x:c>
      <x:c r="D2752" s="27" t="str">
        <x:v>Forsyth County</x:v>
      </x:c>
      <x:c r="E2752" s="40" t="n">
        <x:v>401718</x:v>
      </x:c>
      <x:c r="F2752" s="55" t="n">
        <x:v>36.132466</x:v>
      </x:c>
      <x:c r="G2752" s="55" t="n">
        <x:v>-80.256961</x:v>
      </x:c>
      <x:c r="H2752" s="43" t="n">
        <x:f>E2752/SUMIF(A:A,A2752,E:E)</x:f>
        <x:v>0.02084498579133065</x:v>
      </x:c>
    </x:row>
    <x:row r="2753" ht="21.600000381469727" hidden="0" customHeight="1">
      <x:c r="A2753" s="29" t="str">
        <x:v>SCA-29</x:v>
      </x:c>
      <x:c r="B2753" s="29" t="str">
        <x:v>51041</x:v>
      </x:c>
      <x:c r="C2753" s="29" t="str">
        <x:v>VA</x:v>
      </x:c>
      <x:c r="D2753" s="29" t="str">
        <x:v>Chesterfield County</x:v>
      </x:c>
      <x:c r="E2753" s="41" t="n">
        <x:v>397148</x:v>
      </x:c>
      <x:c r="F2753" s="56" t="n">
        <x:v>37.378434</x:v>
      </x:c>
      <x:c r="G2753" s="56" t="n">
        <x:v>-77.585847</x:v>
      </x:c>
      <x:c r="H2753" s="44" t="n">
        <x:f>E2753/SUMIF(A:A,A2753,E:E)</x:f>
        <x:v>0.02060785032549048</x:v>
      </x:c>
    </x:row>
    <x:row r="2754" ht="21.600000381469727" hidden="0" customHeight="1">
      <x:c r="A2754" s="27" t="str">
        <x:v>SCA-29</x:v>
      </x:c>
      <x:c r="B2754" s="27" t="str">
        <x:v>37063</x:v>
      </x:c>
      <x:c r="C2754" s="27" t="str">
        <x:v>NC</x:v>
      </x:c>
      <x:c r="D2754" s="27" t="str">
        <x:v>Durham County</x:v>
      </x:c>
      <x:c r="E2754" s="40" t="n">
        <x:v>347240</x:v>
      </x:c>
      <x:c r="F2754" s="55" t="n">
        <x:v>36.033828</x:v>
      </x:c>
      <x:c r="G2754" s="55" t="n">
        <x:v>-78.878125</x:v>
      </x:c>
      <x:c r="H2754" s="43" t="n">
        <x:f>E2754/SUMIF(A:A,A2754,E:E)</x:f>
        <x:v>0.018018144235960685</x:v>
      </x:c>
    </x:row>
    <x:row r="2755" ht="21.600000381469727" hidden="0" customHeight="1">
      <x:c r="A2755" s="29" t="str">
        <x:v>SCA-29</x:v>
      </x:c>
      <x:c r="B2755" s="29" t="str">
        <x:v>51087</x:v>
      </x:c>
      <x:c r="C2755" s="29" t="str">
        <x:v>VA</x:v>
      </x:c>
      <x:c r="D2755" s="29" t="str">
        <x:v>Henrico County</x:v>
      </x:c>
      <x:c r="E2755" s="41" t="n">
        <x:v>342775</x:v>
      </x:c>
      <x:c r="F2755" s="56" t="n">
        <x:v>37.43752</x:v>
      </x:c>
      <x:c r="G2755" s="56" t="n">
        <x:v>-77.300333</x:v>
      </x:c>
      <x:c r="H2755" s="44" t="n">
        <x:f>E2755/SUMIF(A:A,A2755,E:E)</x:f>
        <x:v>0.017786457177978988</x:v>
      </x:c>
    </x:row>
    <x:row r="2756" ht="21.600000381469727" hidden="0" customHeight="1">
      <x:c r="A2756" s="27" t="str">
        <x:v>SCA-29</x:v>
      </x:c>
      <x:c r="B2756" s="27" t="str">
        <x:v>37051</x:v>
      </x:c>
      <x:c r="C2756" s="27" t="str">
        <x:v>NC</x:v>
      </x:c>
      <x:c r="D2756" s="27" t="str">
        <x:v>Cumberland County</x:v>
      </x:c>
      <x:c r="E2756" s="40" t="n">
        <x:v>338473</x:v>
      </x:c>
      <x:c r="F2756" s="55" t="n">
        <x:v>35.050192</x:v>
      </x:c>
      <x:c r="G2756" s="55" t="n">
        <x:v>-78.828719</x:v>
      </x:c>
      <x:c r="H2756" s="43" t="n">
        <x:f>E2756/SUMIF(A:A,A2756,E:E)</x:f>
        <x:v>0.017563228124577585</x:v>
      </x:c>
    </x:row>
    <x:row r="2757" ht="15" hidden="0" customHeight="1">
      <x:c r="A2757" s="29" t="str">
        <x:v>SCA-29</x:v>
      </x:c>
      <x:c r="B2757" s="29" t="str">
        <x:v>45091</x:v>
      </x:c>
      <x:c r="C2757" s="29" t="str">
        <x:v>SC</x:v>
      </x:c>
      <x:c r="D2757" s="29" t="str">
        <x:v>York County</x:v>
      </x:c>
      <x:c r="E2757" s="41" t="n">
        <x:v>306887</x:v>
      </x:c>
      <x:c r="F2757" s="56" t="n">
        <x:v>34.970187</x:v>
      </x:c>
      <x:c r="G2757" s="56" t="n">
        <x:v>-81.183187</x:v>
      </x:c>
      <x:c r="H2757" s="44" t="n">
        <x:f>E2757/SUMIF(A:A,A2757,E:E)</x:f>
        <x:v>0.015924243261551858</x:v>
      </x:c>
    </x:row>
    <x:row r="2758" ht="21.600000381469727" hidden="0" customHeight="1">
      <x:c r="A2758" s="27" t="str">
        <x:v>SCA-29</x:v>
      </x:c>
      <x:c r="B2758" s="27" t="str">
        <x:v>45015</x:v>
      </x:c>
      <x:c r="C2758" s="27" t="str">
        <x:v>SC</x:v>
      </x:c>
      <x:c r="D2758" s="27" t="str">
        <x:v>Berkeley County</x:v>
      </x:c>
      <x:c r="E2758" s="40" t="n">
        <x:v>274666</x:v>
      </x:c>
      <x:c r="F2758" s="55" t="n">
        <x:v>33.2077</x:v>
      </x:c>
      <x:c r="G2758" s="55" t="n">
        <x:v>-79.953655</x:v>
      </x:c>
      <x:c r="H2758" s="43" t="n">
        <x:f>E2758/SUMIF(A:A,A2758,E:E)</x:f>
        <x:v>0.014252308503382034</x:v>
      </x:c>
    </x:row>
    <x:row r="2759" ht="21.600000381469727" hidden="0" customHeight="1">
      <x:c r="A2759" s="29" t="str">
        <x:v>SCA-29</x:v>
      </x:c>
      <x:c r="B2759" s="29" t="str">
        <x:v>37179</x:v>
      </x:c>
      <x:c r="C2759" s="29" t="str">
        <x:v>NC</x:v>
      </x:c>
      <x:c r="D2759" s="29" t="str">
        <x:v>Union County</x:v>
      </x:c>
      <x:c r="E2759" s="41" t="n">
        <x:v>267674</x:v>
      </x:c>
      <x:c r="F2759" s="56" t="n">
        <x:v>34.99182</x:v>
      </x:c>
      <x:c r="G2759" s="56" t="n">
        <x:v>-80.530426</x:v>
      </x:c>
      <x:c r="H2759" s="44" t="n">
        <x:f>E2759/SUMIF(A:A,A2759,E:E)</x:f>
        <x:v>0.01388949642960644</x:v>
      </x:c>
    </x:row>
    <x:row r="2760" ht="21.600000381469727" hidden="0" customHeight="1">
      <x:c r="A2760" s="27" t="str">
        <x:v>SCA-29</x:v>
      </x:c>
      <x:c r="B2760" s="27" t="str">
        <x:v>37101</x:v>
      </x:c>
      <x:c r="C2760" s="27" t="str">
        <x:v>NC</x:v>
      </x:c>
      <x:c r="D2760" s="27" t="str">
        <x:v>Johnston County</x:v>
      </x:c>
      <x:c r="E2760" s="40" t="n">
        <x:v>256448</x:v>
      </x:c>
      <x:c r="F2760" s="55" t="n">
        <x:v>35.513419</x:v>
      </x:c>
      <x:c r="G2760" s="55" t="n">
        <x:v>-78.367348</x:v>
      </x:c>
      <x:c r="H2760" s="43" t="n">
        <x:f>E2760/SUMIF(A:A,A2760,E:E)</x:f>
        <x:v>0.013306983795137789</x:v>
      </x:c>
    </x:row>
    <x:row r="2761" ht="21.600000381469727" hidden="0" customHeight="1">
      <x:c r="A2761" s="29" t="str">
        <x:v>SCA-29</x:v>
      </x:c>
      <x:c r="B2761" s="29" t="str">
        <x:v>51550</x:v>
      </x:c>
      <x:c r="C2761" s="29" t="str">
        <x:v>VA</x:v>
      </x:c>
      <x:c r="D2761" s="29" t="str">
        <x:v>Chesapeake city</x:v>
      </x:c>
      <x:c r="E2761" s="41" t="n">
        <x:v>255332</x:v>
      </x:c>
      <x:c r="F2761" s="56" t="n">
        <x:v>36.679376</x:v>
      </x:c>
      <x:c r="G2761" s="56" t="n">
        <x:v>-76.301788</x:v>
      </x:c>
      <x:c r="H2761" s="44" t="n">
        <x:f>E2761/SUMIF(A:A,A2761,E:E)</x:f>
        <x:v>0.013249075003042027</x:v>
      </x:c>
    </x:row>
    <x:row r="2762" ht="21.600000381469727" hidden="0" customHeight="1">
      <x:c r="A2762" s="27" t="str">
        <x:v>SCA-29</x:v>
      </x:c>
      <x:c r="B2762" s="27" t="str">
        <x:v>37025</x:v>
      </x:c>
      <x:c r="C2762" s="27" t="str">
        <x:v>NC</x:v>
      </x:c>
      <x:c r="D2762" s="27" t="str">
        <x:v>Cabarrus County</x:v>
      </x:c>
      <x:c r="E2762" s="40" t="n">
        <x:v>249725</x:v>
      </x:c>
      <x:c r="F2762" s="55" t="n">
        <x:v>35.388346</x:v>
      </x:c>
      <x:c r="G2762" s="55" t="n">
        <x:v>-80.552728</x:v>
      </x:c>
      <x:c r="H2762" s="43" t="n">
        <x:f>E2762/SUMIF(A:A,A2762,E:E)</x:f>
        <x:v>0.012958130023399614</x:v>
      </x:c>
    </x:row>
    <x:row r="2763" ht="21.600000381469727" hidden="0" customHeight="1">
      <x:c r="A2763" s="29" t="str">
        <x:v>SCA-29</x:v>
      </x:c>
      <x:c r="B2763" s="29" t="str">
        <x:v>37071</x:v>
      </x:c>
      <x:c r="C2763" s="29" t="str">
        <x:v>NC</x:v>
      </x:c>
      <x:c r="D2763" s="29" t="str">
        <x:v>Gaston County</x:v>
      </x:c>
      <x:c r="E2763" s="41" t="n">
        <x:v>246558</x:v>
      </x:c>
      <x:c r="F2763" s="56" t="n">
        <x:v>35.292834</x:v>
      </x:c>
      <x:c r="G2763" s="56" t="n">
        <x:v>-81.177364</x:v>
      </x:c>
      <x:c r="H2763" s="44" t="n">
        <x:f>E2763/SUMIF(A:A,A2763,E:E)</x:f>
        <x:v>0.012793795664468364</x:v>
      </x:c>
    </x:row>
    <x:row r="2764" ht="32.400001525878906" hidden="0" customHeight="1">
      <x:c r="A2764" s="27" t="str">
        <x:v>SCA-29</x:v>
      </x:c>
      <x:c r="B2764" s="27" t="str">
        <x:v>37129</x:v>
      </x:c>
      <x:c r="C2764" s="27" t="str">
        <x:v>NC</x:v>
      </x:c>
      <x:c r="D2764" s="27" t="str">
        <x:v>New Hanover County</x:v>
      </x:c>
      <x:c r="E2764" s="40" t="n">
        <x:v>245959</x:v>
      </x:c>
      <x:c r="F2764" s="55" t="n">
        <x:v>34.183445</x:v>
      </x:c>
      <x:c r="G2764" s="55" t="n">
        <x:v>-77.864204</x:v>
      </x:c>
      <x:c r="H2764" s="43" t="n">
        <x:f>E2764/SUMIF(A:A,A2764,E:E)</x:f>
        <x:v>0.012762713794875747</x:v>
      </x:c>
    </x:row>
    <x:row r="2765" ht="21.600000381469727" hidden="0" customHeight="1">
      <x:c r="A2765" s="29" t="str">
        <x:v>SCA-29</x:v>
      </x:c>
      <x:c r="B2765" s="29" t="str">
        <x:v>51760</x:v>
      </x:c>
      <x:c r="C2765" s="29" t="str">
        <x:v>VA</x:v>
      </x:c>
      <x:c r="D2765" s="29" t="str">
        <x:v>Richmond city</x:v>
      </x:c>
      <x:c r="E2765" s="41" t="n">
        <x:v>237257</x:v>
      </x:c>
      <x:c r="F2765" s="56" t="n">
        <x:v>37.531399</x:v>
      </x:c>
      <x:c r="G2765" s="56" t="n">
        <x:v>-77.476009</x:v>
      </x:c>
      <x:c r="H2765" s="44" t="n">
        <x:f>E2765/SUMIF(A:A,A2765,E:E)</x:f>
        <x:v>0.012311170507405034</x:v>
      </x:c>
    </x:row>
    <x:row r="2766" ht="15" hidden="0" customHeight="1">
      <x:c r="A2766" s="27" t="str">
        <x:v>SCA-29</x:v>
      </x:c>
      <x:c r="B2766" s="27" t="str">
        <x:v>51710</x:v>
      </x:c>
      <x:c r="C2766" s="27" t="str">
        <x:v>VA</x:v>
      </x:c>
      <x:c r="D2766" s="27" t="str">
        <x:v>Norfolk city</x:v>
      </x:c>
      <x:c r="E2766" s="40" t="n">
        <x:v>231013</x:v>
      </x:c>
      <x:c r="F2766" s="55" t="n">
        <x:v>36.923015</x:v>
      </x:c>
      <x:c r="G2766" s="55" t="n">
        <x:v>-76.244641</x:v>
      </x:c>
      <x:c r="H2766" s="43" t="n">
        <x:f>E2766/SUMIF(A:A,A2766,E:E)</x:f>
        <x:v>0.011987171853421224</x:v>
      </x:c>
    </x:row>
    <x:row r="2767" ht="21.600000381469727" hidden="0" customHeight="1">
      <x:c r="A2767" s="29" t="str">
        <x:v>SCA-29</x:v>
      </x:c>
      <x:c r="B2767" s="29" t="str">
        <x:v>37133</x:v>
      </x:c>
      <x:c r="C2767" s="29" t="str">
        <x:v>NC</x:v>
      </x:c>
      <x:c r="D2767" s="29" t="str">
        <x:v>Onslow County</x:v>
      </x:c>
      <x:c r="E2767" s="41" t="n">
        <x:v>217175</x:v>
      </x:c>
      <x:c r="F2767" s="56" t="n">
        <x:v>34.763109</x:v>
      </x:c>
      <x:c r="G2767" s="56" t="n">
        <x:v>-77.499469</x:v>
      </x:c>
      <x:c r="H2767" s="44" t="n">
        <x:f>E2767/SUMIF(A:A,A2767,E:E)</x:f>
        <x:v>0.011269123587273246</x:v>
      </x:c>
    </x:row>
    <x:row r="2768" ht="21.600000381469727" hidden="0" customHeight="1">
      <x:c r="A2768" s="27" t="str">
        <x:v>SCA-29</x:v>
      </x:c>
      <x:c r="B2768" s="27" t="str">
        <x:v>37097</x:v>
      </x:c>
      <x:c r="C2768" s="27" t="str">
        <x:v>NC</x:v>
      </x:c>
      <x:c r="D2768" s="27" t="str">
        <x:v>Iredell County</x:v>
      </x:c>
      <x:c r="E2768" s="40" t="n">
        <x:v>211798</x:v>
      </x:c>
      <x:c r="F2768" s="55" t="n">
        <x:v>35.806251</x:v>
      </x:c>
      <x:c r="G2768" s="55" t="n">
        <x:v>-80.874524</x:v>
      </x:c>
      <x:c r="H2768" s="43" t="n">
        <x:f>E2768/SUMIF(A:A,A2768,E:E)</x:f>
        <x:v>0.01099011321532082</x:v>
      </x:c>
    </x:row>
    <x:row r="2769" ht="21.600000381469727" hidden="0" customHeight="1">
      <x:c r="A2769" s="29" t="str">
        <x:v>SCA-29</x:v>
      </x:c>
      <x:c r="B2769" s="29" t="str">
        <x:v>37001</x:v>
      </x:c>
      <x:c r="C2769" s="29" t="str">
        <x:v>NC</x:v>
      </x:c>
      <x:c r="D2769" s="29" t="str">
        <x:v>Alamance County</x:v>
      </x:c>
      <x:c r="E2769" s="41" t="n">
        <x:v>186177</x:v>
      </x:c>
      <x:c r="F2769" s="56" t="n">
        <x:v>36.043954</x:v>
      </x:c>
      <x:c r="G2769" s="56" t="n">
        <x:v>-79.400573</x:v>
      </x:c>
      <x:c r="H2769" s="44" t="n">
        <x:f>E2769/SUMIF(A:A,A2769,E:E)</x:f>
        <x:v>0.00966064980825496</x:v>
      </x:c>
    </x:row>
    <x:row r="2770" ht="21.600000381469727" hidden="0" customHeight="1">
      <x:c r="A2770" s="27" t="str">
        <x:v>SCA-29</x:v>
      </x:c>
      <x:c r="B2770" s="27" t="str">
        <x:v>51700</x:v>
      </x:c>
      <x:c r="C2770" s="27" t="str">
        <x:v>VA</x:v>
      </x:c>
      <x:c r="D2770" s="27" t="str">
        <x:v>Newport News city</x:v>
      </x:c>
      <x:c r="E2770" s="40" t="n">
        <x:v>183230</x:v>
      </x:c>
      <x:c r="F2770" s="55" t="n">
        <x:v>37.076136</x:v>
      </x:c>
      <x:c r="G2770" s="55" t="n">
        <x:v>-76.52198</x:v>
      </x:c>
      <x:c r="H2770" s="43" t="n">
        <x:f>E2770/SUMIF(A:A,A2770,E:E)</x:f>
        <x:v>0.009507731161027176</x:v>
      </x:c>
    </x:row>
    <x:row r="2771" ht="15" hidden="0" customHeight="1">
      <x:c r="A2771" s="29" t="str">
        <x:v>SCA-29</x:v>
      </x:c>
      <x:c r="B2771" s="29" t="str">
        <x:v>37147</x:v>
      </x:c>
      <x:c r="C2771" s="29" t="str">
        <x:v>NC</x:v>
      </x:c>
      <x:c r="D2771" s="29" t="str">
        <x:v>Pitt County</x:v>
      </x:c>
      <x:c r="E2771" s="41" t="n">
        <x:v>182936</x:v>
      </x:c>
      <x:c r="F2771" s="56" t="n">
        <x:v>35.59249</x:v>
      </x:c>
      <x:c r="G2771" s="56" t="n">
        <x:v>-77.372739</x:v>
      </x:c>
      <x:c r="H2771" s="44" t="n">
        <x:f>E2771/SUMIF(A:A,A2771,E:E)</x:f>
        <x:v>0.009492475619023453</x:v>
      </x:c>
    </x:row>
    <x:row r="2772" ht="21.600000381469727" hidden="0" customHeight="1">
      <x:c r="A2772" s="27" t="str">
        <x:v>SCA-29</x:v>
      </x:c>
      <x:c r="B2772" s="27" t="str">
        <x:v>37057</x:v>
      </x:c>
      <x:c r="C2772" s="27" t="str">
        <x:v>NC</x:v>
      </x:c>
      <x:c r="D2772" s="27" t="str">
        <x:v>Davidson County</x:v>
      </x:c>
      <x:c r="E2772" s="40" t="n">
        <x:v>180182</x:v>
      </x:c>
      <x:c r="F2772" s="55" t="n">
        <x:v>35.795131</x:v>
      </x:c>
      <x:c r="G2772" s="55" t="n">
        <x:v>-80.207107</x:v>
      </x:c>
      <x:c r="H2772" s="43" t="n">
        <x:f>E2772/SUMIF(A:A,A2772,E:E)</x:f>
        <x:v>0.009349571664335527</x:v>
      </x:c>
    </x:row>
    <x:row r="2773" ht="21.600000381469727" hidden="0" customHeight="1">
      <x:c r="A2773" s="29" t="str">
        <x:v>SCA-29</x:v>
      </x:c>
      <x:c r="B2773" s="29" t="str">
        <x:v>37019</x:v>
      </x:c>
      <x:c r="C2773" s="29" t="str">
        <x:v>NC</x:v>
      </x:c>
      <x:c r="D2773" s="29" t="str">
        <x:v>Brunswick County</x:v>
      </x:c>
      <x:c r="E2773" s="41" t="n">
        <x:v>174702</x:v>
      </x:c>
      <x:c r="F2773" s="56" t="n">
        <x:v>34.038754</x:v>
      </x:c>
      <x:c r="G2773" s="56" t="n">
        <x:v>-78.227765</x:v>
      </x:c>
      <x:c r="H2773" s="44" t="n">
        <x:f>E2773/SUMIF(A:A,A2773,E:E)</x:f>
        <x:v>0.009065216663721933</x:v>
      </x:c>
    </x:row>
    <x:row r="2774" ht="21.600000381469727" hidden="0" customHeight="1">
      <x:c r="A2774" s="27" t="str">
        <x:v>SCA-29</x:v>
      </x:c>
      <x:c r="B2774" s="27" t="str">
        <x:v>51179</x:v>
      </x:c>
      <x:c r="C2774" s="27" t="str">
        <x:v>VA</x:v>
      </x:c>
      <x:c r="D2774" s="27" t="str">
        <x:v>Stafford County</x:v>
      </x:c>
      <x:c r="E2774" s="40" t="n">
        <x:v>170803</x:v>
      </x:c>
      <x:c r="F2774" s="55" t="n">
        <x:v>38.423084</x:v>
      </x:c>
      <x:c r="G2774" s="55" t="n">
        <x:v>-77.458048</x:v>
      </x:c>
      <x:c r="H2774" s="43" t="n">
        <x:f>E2774/SUMIF(A:A,A2774,E:E)</x:f>
        <x:v>0.008862899118577332</x:v>
      </x:c>
    </x:row>
    <x:row r="2775" ht="21.600000381469727" hidden="0" customHeight="1">
      <x:c r="A2775" s="29" t="str">
        <x:v>SCA-29</x:v>
      </x:c>
      <x:c r="B2775" s="29" t="str">
        <x:v>37035</x:v>
      </x:c>
      <x:c r="C2775" s="29" t="str">
        <x:v>NC</x:v>
      </x:c>
      <x:c r="D2775" s="29" t="str">
        <x:v>Catawba County</x:v>
      </x:c>
      <x:c r="E2775" s="41" t="n">
        <x:v>170172</x:v>
      </x:c>
      <x:c r="F2775" s="56" t="n">
        <x:v>35.661883</x:v>
      </x:c>
      <x:c r="G2775" s="56" t="n">
        <x:v>-81.214906</x:v>
      </x:c>
      <x:c r="H2775" s="44" t="n">
        <x:f>E2775/SUMIF(A:A,A2775,E:E)</x:f>
        <x:v>0.008830156781827848</x:v>
      </x:c>
    </x:row>
    <x:row r="2776" ht="21.600000381469727" hidden="0" customHeight="1">
      <x:c r="A2776" s="27" t="str">
        <x:v>SCA-29</x:v>
      </x:c>
      <x:c r="B2776" s="27" t="str">
        <x:v>47163</x:v>
      </x:c>
      <x:c r="C2776" s="27" t="str">
        <x:v>TN</x:v>
      </x:c>
      <x:c r="D2776" s="27" t="str">
        <x:v>Sullivan County</x:v>
      </x:c>
      <x:c r="E2776" s="40" t="n">
        <x:v>163759</x:v>
      </x:c>
      <x:c r="F2776" s="55" t="n">
        <x:v>36.509681</x:v>
      </x:c>
      <x:c r="G2776" s="55" t="n">
        <x:v>-82.301336</x:v>
      </x:c>
      <x:c r="H2776" s="43" t="n">
        <x:f>E2776/SUMIF(A:A,A2776,E:E)</x:f>
        <x:v>0.00849738878567183</x:v>
      </x:c>
    </x:row>
    <x:row r="2777" ht="21.600000381469727" hidden="0" customHeight="1">
      <x:c r="A2777" s="29" t="str">
        <x:v>SCA-29</x:v>
      </x:c>
      <x:c r="B2777" s="29" t="str">
        <x:v>51177</x:v>
      </x:c>
      <x:c r="C2777" s="29" t="str">
        <x:v>VA</x:v>
      </x:c>
      <x:c r="D2777" s="29" t="str">
        <x:v>Spotsylvania County</x:v>
      </x:c>
      <x:c r="E2777" s="41" t="n">
        <x:v>155388</x:v>
      </x:c>
      <x:c r="F2777" s="56" t="n">
        <x:v>38.182431</x:v>
      </x:c>
      <x:c r="G2777" s="56" t="n">
        <x:v>-77.657226</x:v>
      </x:c>
      <x:c r="H2777" s="44" t="n">
        <x:f>E2777/SUMIF(A:A,A2777,E:E)</x:f>
        <x:v>0.008063020955354968</x:v>
      </x:c>
    </x:row>
    <x:row r="2778" ht="21.600000381469727" hidden="0" customHeight="1">
      <x:c r="A2778" s="27" t="str">
        <x:v>SCA-29</x:v>
      </x:c>
      <x:c r="B2778" s="27" t="str">
        <x:v>37159</x:v>
      </x:c>
      <x:c r="C2778" s="27" t="str">
        <x:v>NC</x:v>
      </x:c>
      <x:c r="D2778" s="27" t="str">
        <x:v>Rowan County</x:v>
      </x:c>
      <x:c r="E2778" s="40" t="n">
        <x:v>155096</x:v>
      </x:c>
      <x:c r="F2778" s="55" t="n">
        <x:v>35.641355</x:v>
      </x:c>
      <x:c r="G2778" s="55" t="n">
        <x:v>-80.521721</x:v>
      </x:c>
      <x:c r="H2778" s="43" t="n">
        <x:f>E2778/SUMIF(A:A,A2778,E:E)</x:f>
        <x:v>0.00804786919254855</x:v>
      </x:c>
    </x:row>
    <x:row r="2779" ht="21.600000381469727" hidden="0" customHeight="1">
      <x:c r="A2779" s="29" t="str">
        <x:v>SCA-29</x:v>
      </x:c>
      <x:c r="B2779" s="29" t="str">
        <x:v>37135</x:v>
      </x:c>
      <x:c r="C2779" s="29" t="str">
        <x:v>NC</x:v>
      </x:c>
      <x:c r="D2779" s="29" t="str">
        <x:v>Orange County</x:v>
      </x:c>
      <x:c r="E2779" s="41" t="n">
        <x:v>152498</x:v>
      </x:c>
      <x:c r="F2779" s="56" t="n">
        <x:v>36.062525</x:v>
      </x:c>
      <x:c r="G2779" s="56" t="n">
        <x:v>-79.120033</x:v>
      </x:c>
      <x:c r="H2779" s="44" t="n">
        <x:f>E2779/SUMIF(A:A,A2779,E:E)</x:f>
        <x:v>0.007913060015250353</x:v>
      </x:c>
    </x:row>
    <x:row r="2780" ht="21.600000381469727" hidden="0" customHeight="1">
      <x:c r="A2780" s="27" t="str">
        <x:v>SCA-29</x:v>
      </x:c>
      <x:c r="B2780" s="27" t="str">
        <x:v>37085</x:v>
      </x:c>
      <x:c r="C2780" s="27" t="str">
        <x:v>NC</x:v>
      </x:c>
      <x:c r="D2780" s="27" t="str">
        <x:v>Harnett County</x:v>
      </x:c>
      <x:c r="E2780" s="40" t="n">
        <x:v>150137</x:v>
      </x:c>
      <x:c r="F2780" s="55" t="n">
        <x:v>35.36866</x:v>
      </x:c>
      <x:c r="G2780" s="55" t="n">
        <x:v>-78.871665</x:v>
      </x:c>
      <x:c r="H2780" s="43" t="n">
        <x:f>E2780/SUMIF(A:A,A2780,E:E)</x:f>
        <x:v>0.0077905486728327075</x:v>
      </x:c>
    </x:row>
    <x:row r="2781" ht="21.600000381469727" hidden="0" customHeight="1">
      <x:c r="A2781" s="29" t="str">
        <x:v>SCA-29</x:v>
      </x:c>
      <x:c r="B2781" s="29" t="str">
        <x:v>37151</x:v>
      </x:c>
      <x:c r="C2781" s="29" t="str">
        <x:v>NC</x:v>
      </x:c>
      <x:c r="D2781" s="29" t="str">
        <x:v>Randolph County</x:v>
      </x:c>
      <x:c r="E2781" s="41" t="n">
        <x:v>149516</x:v>
      </x:c>
      <x:c r="F2781" s="56" t="n">
        <x:v>35.709915</x:v>
      </x:c>
      <x:c r="G2781" s="56" t="n">
        <x:v>-79.806215</x:v>
      </x:c>
      <x:c r="H2781" s="44" t="n">
        <x:f>E2781/SUMIF(A:A,A2781,E:E)</x:f>
        <x:v>0.007758325232069744</x:v>
      </x:c>
    </x:row>
    <x:row r="2782" ht="21.600000381469727" hidden="0" customHeight="1">
      <x:c r="A2782" s="27" t="str">
        <x:v>SCA-29</x:v>
      </x:c>
      <x:c r="B2782" s="27" t="str">
        <x:v>45041</x:v>
      </x:c>
      <x:c r="C2782" s="27" t="str">
        <x:v>SC</x:v>
      </x:c>
      <x:c r="D2782" s="27" t="str">
        <x:v>Florence County</x:v>
      </x:c>
      <x:c r="E2782" s="40" t="n">
        <x:v>138504</x:v>
      </x:c>
      <x:c r="F2782" s="55" t="n">
        <x:v>34.028535</x:v>
      </x:c>
      <x:c r="G2782" s="55" t="n">
        <x:v>-79.710233</x:v>
      </x:c>
      <x:c r="H2782" s="43" t="n">
        <x:f>E2782/SUMIF(A:A,A2782,E:E)</x:f>
        <x:v>0.007186916971712645</x:v>
      </x:c>
    </x:row>
    <x:row r="2783" ht="21.600000381469727" hidden="0" customHeight="1">
      <x:c r="A2783" s="29" t="str">
        <x:v>SCA-29</x:v>
      </x:c>
      <x:c r="B2783" s="29" t="str">
        <x:v>51650</x:v>
      </x:c>
      <x:c r="C2783" s="29" t="str">
        <x:v>VA</x:v>
      </x:c>
      <x:c r="D2783" s="29" t="str">
        <x:v>Hampton city</x:v>
      </x:c>
      <x:c r="E2783" s="41" t="n">
        <x:v>137315</x:v>
      </x:c>
      <x:c r="F2783" s="56" t="n">
        <x:v>37.047961</x:v>
      </x:c>
      <x:c r="G2783" s="56" t="n">
        <x:v>-76.297293</x:v>
      </x:c>
      <x:c r="H2783" s="44" t="n">
        <x:f>E2783/SUMIF(A:A,A2783,E:E)</x:f>
        <x:v>0.007125220238915279</x:v>
      </x:c>
    </x:row>
    <x:row r="2784" ht="21.600000381469727" hidden="0" customHeight="1">
      <x:c r="A2784" s="27" t="str">
        <x:v>SCA-29</x:v>
      </x:c>
      <x:c r="B2784" s="27" t="str">
        <x:v>37191</x:v>
      </x:c>
      <x:c r="C2784" s="27" t="str">
        <x:v>NC</x:v>
      </x:c>
      <x:c r="D2784" s="27" t="str">
        <x:v>Wayne County</x:v>
      </x:c>
      <x:c r="E2784" s="40" t="n">
        <x:v>122278</x:v>
      </x:c>
      <x:c r="F2784" s="55" t="n">
        <x:v>35.35419</x:v>
      </x:c>
      <x:c r="G2784" s="55" t="n">
        <x:v>-78.00867</x:v>
      </x:c>
      <x:c r="H2784" s="43" t="n">
        <x:f>E2784/SUMIF(A:A,A2784,E:E)</x:f>
        <x:v>0.006344956343983414</x:v>
      </x:c>
    </x:row>
    <x:row r="2785" ht="21.600000381469727" hidden="0" customHeight="1">
      <x:c r="A2785" s="29" t="str">
        <x:v>SCA-29</x:v>
      </x:c>
      <x:c r="B2785" s="29" t="str">
        <x:v>37155</x:v>
      </x:c>
      <x:c r="C2785" s="29" t="str">
        <x:v>NC</x:v>
      </x:c>
      <x:c r="D2785" s="29" t="str">
        <x:v>Robeson County</x:v>
      </x:c>
      <x:c r="E2785" s="41" t="n">
        <x:v>119941</x:v>
      </x:c>
      <x:c r="F2785" s="56" t="n">
        <x:v>34.63921</x:v>
      </x:c>
      <x:c r="G2785" s="56" t="n">
        <x:v>-79.100881</x:v>
      </x:c>
      <x:c r="H2785" s="44" t="n">
        <x:f>E2785/SUMIF(A:A,A2785,E:E)</x:f>
        <x:v>0.0062236903519334195</x:v>
      </x:c>
    </x:row>
    <x:row r="2786" ht="21.600000381469727" hidden="0" customHeight="1">
      <x:c r="A2786" s="27" t="str">
        <x:v>SCA-29</x:v>
      </x:c>
      <x:c r="B2786" s="27" t="str">
        <x:v>51003</x:v>
      </x:c>
      <x:c r="C2786" s="27" t="str">
        <x:v>VA</x:v>
      </x:c>
      <x:c r="D2786" s="27" t="str">
        <x:v>Albemarle County</x:v>
      </x:c>
      <x:c r="E2786" s="40" t="n">
        <x:v>118356</x:v>
      </x:c>
      <x:c r="F2786" s="55" t="n">
        <x:v>38.024184</x:v>
      </x:c>
      <x:c r="G2786" s="55" t="n">
        <x:v>-78.553506</x:v>
      </x:c>
      <x:c r="H2786" s="43" t="n">
        <x:f>E2786/SUMIF(A:A,A2786,E:E)</x:f>
        <x:v>0.006141445338069816</x:v>
      </x:c>
    </x:row>
    <x:row r="2787" ht="21.600000381469727" hidden="0" customHeight="1">
      <x:c r="A2787" s="29" t="str">
        <x:v>SCA-29</x:v>
      </x:c>
      <x:c r="B2787" s="29" t="str">
        <x:v>24037</x:v>
      </x:c>
      <x:c r="C2787" s="29" t="str">
        <x:v>MD</x:v>
      </x:c>
      <x:c r="D2787" s="29" t="str">
        <x:v>St. Mary's County</x:v>
      </x:c>
      <x:c r="E2787" s="41" t="n">
        <x:v>116692</x:v>
      </x:c>
      <x:c r="F2787" s="56" t="n">
        <x:v>38.223077</x:v>
      </x:c>
      <x:c r="G2787" s="56" t="n">
        <x:v>-76.534487</x:v>
      </x:c>
      <x:c r="H2787" s="44" t="n">
        <x:f>E2787/SUMIF(A:A,A2787,E:E)</x:f>
        <x:v>0.006055101045912695</x:v>
      </x:c>
    </x:row>
    <x:row r="2788" ht="21.600000381469727" hidden="0" customHeight="1">
      <x:c r="A2788" s="27" t="str">
        <x:v>SCA-29</x:v>
      </x:c>
      <x:c r="B2788" s="27" t="str">
        <x:v>51085</x:v>
      </x:c>
      <x:c r="C2788" s="27" t="str">
        <x:v>VA</x:v>
      </x:c>
      <x:c r="D2788" s="27" t="str">
        <x:v>Hanover County</x:v>
      </x:c>
      <x:c r="E2788" s="40" t="n">
        <x:v>116423</x:v>
      </x:c>
      <x:c r="F2788" s="55" t="n">
        <x:v>37.760215</x:v>
      </x:c>
      <x:c r="G2788" s="55" t="n">
        <x:v>-77.491317</x:v>
      </x:c>
      <x:c r="H2788" s="43" t="n">
        <x:f>E2788/SUMIF(A:A,A2788,E:E)</x:f>
        <x:v>0.006041142743875276</x:v>
      </x:c>
    </x:row>
    <x:row r="2789" ht="21.600000381469727" hidden="0" customHeight="1">
      <x:c r="A2789" s="29" t="str">
        <x:v>SCA-29</x:v>
      </x:c>
      <x:c r="B2789" s="29" t="str">
        <x:v>45057</x:v>
      </x:c>
      <x:c r="C2789" s="29" t="str">
        <x:v>SC</x:v>
      </x:c>
      <x:c r="D2789" s="29" t="str">
        <x:v>Lancaster County</x:v>
      </x:c>
      <x:c r="E2789" s="41" t="n">
        <x:v>114296</x:v>
      </x:c>
      <x:c r="F2789" s="56" t="n">
        <x:v>34.686818</x:v>
      </x:c>
      <x:c r="G2789" s="56" t="n">
        <x:v>-80.703688</x:v>
      </x:c>
      <x:c r="H2789" s="44" t="n">
        <x:f>E2789/SUMIF(A:A,A2789,E:E)</x:f>
        <x:v>0.005930773567542226</x:v>
      </x:c>
    </x:row>
    <x:row r="2790" ht="21.600000381469727" hidden="0" customHeight="1">
      <x:c r="A2790" s="27" t="str">
        <x:v>SCA-29</x:v>
      </x:c>
      <x:c r="B2790" s="27" t="str">
        <x:v>37125</x:v>
      </x:c>
      <x:c r="C2790" s="27" t="str">
        <x:v>NC</x:v>
      </x:c>
      <x:c r="D2790" s="27" t="str">
        <x:v>Moore County</x:v>
      </x:c>
      <x:c r="E2790" s="40" t="n">
        <x:v>110619</x:v>
      </x:c>
      <x:c r="F2790" s="55" t="n">
        <x:v>35.308273</x:v>
      </x:c>
      <x:c r="G2790" s="55" t="n">
        <x:v>-79.492723</x:v>
      </x:c>
      <x:c r="H2790" s="43" t="n">
        <x:f>E2790/SUMIF(A:A,A2790,E:E)</x:f>
        <x:v>0.0057399755132983964</x:v>
      </x:c>
    </x:row>
    <x:row r="2791" ht="21.600000381469727" hidden="0" customHeight="1">
      <x:c r="A2791" s="29" t="str">
        <x:v>SCA-29</x:v>
      </x:c>
      <x:c r="B2791" s="29" t="str">
        <x:v>45085</x:v>
      </x:c>
      <x:c r="C2791" s="29" t="str">
        <x:v>SC</x:v>
      </x:c>
      <x:c r="D2791" s="29" t="str">
        <x:v>Sumter County</x:v>
      </x:c>
      <x:c r="E2791" s="41" t="n">
        <x:v>105067</x:v>
      </x:c>
      <x:c r="F2791" s="56" t="n">
        <x:v>33.91614</x:v>
      </x:c>
      <x:c r="G2791" s="56" t="n">
        <x:v>-80.382376</x:v>
      </x:c>
      <x:c r="H2791" s="44" t="n">
        <x:f>E2791/SUMIF(A:A,A2791,E:E)</x:f>
        <x:v>0.005451884461581849</x:v>
      </x:c>
    </x:row>
    <x:row r="2792" ht="21.600000381469727" hidden="0" customHeight="1">
      <x:c r="A2792" s="27" t="str">
        <x:v>SCA-29</x:v>
      </x:c>
      <x:c r="B2792" s="27" t="str">
        <x:v>37049</x:v>
      </x:c>
      <x:c r="C2792" s="27" t="str">
        <x:v>NC</x:v>
      </x:c>
      <x:c r="D2792" s="27" t="str">
        <x:v>Craven County</x:v>
      </x:c>
      <x:c r="E2792" s="40" t="n">
        <x:v>105025</x:v>
      </x:c>
      <x:c r="F2792" s="55" t="n">
        <x:v>35.116829</x:v>
      </x:c>
      <x:c r="G2792" s="55" t="n">
        <x:v>-77.08132</x:v>
      </x:c>
      <x:c r="H2792" s="43" t="n">
        <x:f>E2792/SUMIF(A:A,A2792,E:E)</x:f>
        <x:v>0.0054497050984384605</x:v>
      </x:c>
    </x:row>
    <x:row r="2793" ht="15" hidden="0" customHeight="1">
      <x:c r="A2793" s="29" t="str">
        <x:v>SCA-29</x:v>
      </x:c>
      <x:c r="B2793" s="29" t="str">
        <x:v>51800</x:v>
      </x:c>
      <x:c r="C2793" s="29" t="str">
        <x:v>VA</x:v>
      </x:c>
      <x:c r="D2793" s="29" t="str">
        <x:v>Suffolk city</x:v>
      </x:c>
      <x:c r="E2793" s="41" t="n">
        <x:v>104699</x:v>
      </x:c>
      <x:c r="F2793" s="56" t="n">
        <x:v>36.697157</x:v>
      </x:c>
      <x:c r="G2793" s="56" t="n">
        <x:v>-76.634781</x:v>
      </x:c>
      <x:c r="H2793" s="44" t="n">
        <x:f>E2793/SUMIF(A:A,A2793,E:E)</x:f>
        <x:v>0.00543278908927787</x:v>
      </x:c>
    </x:row>
    <x:row r="2794" ht="21.600000381469727" hidden="0" customHeight="1">
      <x:c r="A2794" s="27" t="str">
        <x:v>SCA-29</x:v>
      </x:c>
      <x:c r="B2794" s="27" t="str">
        <x:v>37045</x:v>
      </x:c>
      <x:c r="C2794" s="27" t="str">
        <x:v>NC</x:v>
      </x:c>
      <x:c r="D2794" s="27" t="str">
        <x:v>Cleveland County</x:v>
      </x:c>
      <x:c r="E2794" s="40" t="n">
        <x:v>103325</x:v>
      </x:c>
      <x:c r="F2794" s="55" t="n">
        <x:v>35.33463</x:v>
      </x:c>
      <x:c r="G2794" s="55" t="n">
        <x:v>-81.557114</x:v>
      </x:c>
      <x:c r="H2794" s="43" t="n">
        <x:f>E2794/SUMIF(A:A,A2794,E:E)</x:f>
        <x:v>0.005361492780729863</x:v>
      </x:c>
    </x:row>
    <x:row r="2795" ht="15" hidden="0" customHeight="1">
      <x:c r="A2795" s="29" t="str">
        <x:v>SCA-29</x:v>
      </x:c>
      <x:c r="B2795" s="29" t="str">
        <x:v>37127</x:v>
      </x:c>
      <x:c r="C2795" s="29" t="str">
        <x:v>NC</x:v>
      </x:c>
      <x:c r="D2795" s="29" t="str">
        <x:v>Nash County</x:v>
      </x:c>
      <x:c r="E2795" s="41" t="n">
        <x:v>99365</x:v>
      </x:c>
      <x:c r="F2795" s="56" t="n">
        <x:v>35.965945</x:v>
      </x:c>
      <x:c r="G2795" s="56" t="n">
        <x:v>-77.987555</x:v>
      </x:c>
      <x:c r="H2795" s="44" t="n">
        <x:f>E2795/SUMIF(A:A,A2795,E:E)</x:f>
        <x:v>0.005156009970067485</x:v>
      </x:c>
    </x:row>
    <x:row r="2796" ht="15" hidden="0" customHeight="1">
      <x:c r="A2796" s="27" t="str">
        <x:v>SCA-29</x:v>
      </x:c>
      <x:c r="B2796" s="27" t="str">
        <x:v>51770</x:v>
      </x:c>
      <x:c r="C2796" s="27" t="str">
        <x:v>VA</x:v>
      </x:c>
      <x:c r="D2796" s="27" t="str">
        <x:v>Roanoke city</x:v>
      </x:c>
      <x:c r="E2796" s="40" t="n">
        <x:v>99111</x:v>
      </x:c>
      <x:c r="F2796" s="55" t="n">
        <x:v>37.278458</x:v>
      </x:c>
      <x:c r="G2796" s="55" t="n">
        <x:v>-79.958174</x:v>
      </x:c>
      <x:c r="H2796" s="43" t="n">
        <x:f>E2796/SUMIF(A:A,A2796,E:E)</x:f>
        <x:v>0.005142830012009847</x:v>
      </x:c>
    </x:row>
    <x:row r="2797" ht="21.600000381469727" hidden="0" customHeight="1">
      <x:c r="A2797" s="29" t="str">
        <x:v>SCA-29</x:v>
      </x:c>
      <x:c r="B2797" s="29" t="str">
        <x:v>37109</x:v>
      </x:c>
      <x:c r="C2797" s="29" t="str">
        <x:v>NC</x:v>
      </x:c>
      <x:c r="D2797" s="29" t="str">
        <x:v>Lincoln County</x:v>
      </x:c>
      <x:c r="E2797" s="41" t="n">
        <x:v>98654</x:v>
      </x:c>
      <x:c r="F2797" s="56" t="n">
        <x:v>35.488491</x:v>
      </x:c>
      <x:c r="G2797" s="56" t="n">
        <x:v>-81.226893</x:v>
      </x:c>
      <x:c r="H2797" s="44" t="n">
        <x:f>E2797/SUMIF(A:A,A2797,E:E)</x:f>
        <x:v>0.005119116465425831</x:v>
      </x:c>
    </x:row>
    <x:row r="2798" ht="21.600000381469727" hidden="0" customHeight="1">
      <x:c r="A2798" s="27" t="str">
        <x:v>SCA-29</x:v>
      </x:c>
      <x:c r="B2798" s="27" t="str">
        <x:v>51121</x:v>
      </x:c>
      <x:c r="C2798" s="27" t="str">
        <x:v>VA</x:v>
      </x:c>
      <x:c r="D2798" s="27" t="str">
        <x:v>Montgomery County</x:v>
      </x:c>
      <x:c r="E2798" s="40" t="n">
        <x:v>98434</x:v>
      </x:c>
      <x:c r="F2798" s="55" t="n">
        <x:v>37.175538</x:v>
      </x:c>
      <x:c r="G2798" s="55" t="n">
        <x:v>-80.387794</x:v>
      </x:c>
      <x:c r="H2798" s="43" t="n">
        <x:f>E2798/SUMIF(A:A,A2798,E:E)</x:f>
        <x:v>0.0051077007537223655</x:v>
      </x:c>
    </x:row>
    <x:row r="2799" ht="21.600000381469727" hidden="0" customHeight="1">
      <x:c r="A2799" s="29" t="str">
        <x:v>SCA-29</x:v>
      </x:c>
      <x:c r="B2799" s="29" t="str">
        <x:v>51161</x:v>
      </x:c>
      <x:c r="C2799" s="29" t="str">
        <x:v>VA</x:v>
      </x:c>
      <x:c r="D2799" s="29" t="str">
        <x:v>Roanoke County</x:v>
      </x:c>
      <x:c r="E2799" s="41" t="n">
        <x:v>97150</x:v>
      </x:c>
      <x:c r="F2799" s="56" t="n">
        <x:v>37.330792</x:v>
      </x:c>
      <x:c r="G2799" s="56" t="n">
        <x:v>-80.191237</x:v>
      </x:c>
      <x:c r="H2799" s="44" t="n">
        <x:f>E2799/SUMIF(A:A,A2799,E:E)</x:f>
        <x:v>0.005041074509053048</x:v>
      </x:c>
    </x:row>
    <x:row r="2800" ht="21.600000381469727" hidden="0" customHeight="1">
      <x:c r="A2800" s="27" t="str">
        <x:v>SCA-29</x:v>
      </x:c>
      <x:c r="B2800" s="27" t="str">
        <x:v>51740</x:v>
      </x:c>
      <x:c r="C2800" s="27" t="str">
        <x:v>VA</x:v>
      </x:c>
      <x:c r="D2800" s="27" t="str">
        <x:v>Portsmouth city</x:v>
      </x:c>
      <x:c r="E2800" s="40" t="n">
        <x:v>96777</x:v>
      </x:c>
      <x:c r="F2800" s="55" t="n">
        <x:v>36.859339</x:v>
      </x:c>
      <x:c r="G2800" s="55" t="n">
        <x:v>-76.356973</x:v>
      </x:c>
      <x:c r="H2800" s="43" t="n">
        <x:f>E2800/SUMIF(A:A,A2800,E:E)</x:f>
        <x:v>0.005021719688755809</x:v>
      </x:c>
    </x:row>
    <x:row r="2801" ht="21.600000381469727" hidden="0" customHeight="1">
      <x:c r="A2801" s="29" t="str">
        <x:v>SCA-29</x:v>
      </x:c>
      <x:c r="B2801" s="29" t="str">
        <x:v>37157</x:v>
      </x:c>
      <x:c r="C2801" s="29" t="str">
        <x:v>NC</x:v>
      </x:c>
      <x:c r="D2801" s="29" t="str">
        <x:v>Rockingham County</x:v>
      </x:c>
      <x:c r="E2801" s="41" t="n">
        <x:v>94195</x:v>
      </x:c>
      <x:c r="F2801" s="56" t="n">
        <x:v>36.381806</x:v>
      </x:c>
      <x:c r="G2801" s="56" t="n">
        <x:v>-79.782754</x:v>
      </x:c>
      <x:c r="H2801" s="44" t="n">
        <x:f>E2801/SUMIF(A:A,A2801,E:E)</x:f>
        <x:v>0.0048877407450360465</x:v>
      </x:c>
    </x:row>
    <x:row r="2802" ht="21.600000381469727" hidden="0" customHeight="1">
      <x:c r="A2802" s="27" t="str">
        <x:v>SCA-29</x:v>
      </x:c>
      <x:c r="B2802" s="27" t="str">
        <x:v>37023</x:v>
      </x:c>
      <x:c r="C2802" s="27" t="str">
        <x:v>NC</x:v>
      </x:c>
      <x:c r="D2802" s="27" t="str">
        <x:v>Burke County</x:v>
      </x:c>
      <x:c r="E2802" s="40" t="n">
        <x:v>88655</x:v>
      </x:c>
      <x:c r="F2802" s="55" t="n">
        <x:v>35.746182</x:v>
      </x:c>
      <x:c r="G2802" s="55" t="n">
        <x:v>-81.70618</x:v>
      </x:c>
      <x:c r="H2802" s="43" t="n">
        <x:f>E2802/SUMIF(A:A,A2802,E:E)</x:f>
        <x:v>0.004600272368503325</x:v>
      </x:c>
    </x:row>
    <x:row r="2803" ht="21.600000381469727" hidden="0" customHeight="1">
      <x:c r="A2803" s="29" t="str">
        <x:v>SCA-29</x:v>
      </x:c>
      <x:c r="B2803" s="29" t="str">
        <x:v>37037</x:v>
      </x:c>
      <x:c r="C2803" s="29" t="str">
        <x:v>NC</x:v>
      </x:c>
      <x:c r="D2803" s="29" t="str">
        <x:v>Chatham County</x:v>
      </x:c>
      <x:c r="E2803" s="41" t="n">
        <x:v>85111</x:v>
      </x:c>
      <x:c r="F2803" s="56" t="n">
        <x:v>35.704994</x:v>
      </x:c>
      <x:c r="G2803" s="56" t="n">
        <x:v>-79.251454</x:v>
      </x:c>
      <x:c r="H2803" s="44" t="n">
        <x:f>E2803/SUMIF(A:A,A2803,E:E)</x:f>
        <x:v>0.004416375630880227</x:v>
      </x:c>
    </x:row>
    <x:row r="2804" ht="21.600000381469727" hidden="0" customHeight="1">
      <x:c r="A2804" s="27" t="str">
        <x:v>SCA-29</x:v>
      </x:c>
      <x:c r="B2804" s="27" t="str">
        <x:v>51095</x:v>
      </x:c>
      <x:c r="C2804" s="27" t="str">
        <x:v>VA</x:v>
      </x:c>
      <x:c r="D2804" s="27" t="str">
        <x:v>James City County</x:v>
      </x:c>
      <x:c r="E2804" s="40" t="n">
        <x:v>83326</x:v>
      </x:c>
      <x:c r="F2804" s="55" t="n">
        <x:v>37.324837</x:v>
      </x:c>
      <x:c r="G2804" s="55" t="n">
        <x:v>-76.777888</x:v>
      </x:c>
      <x:c r="H2804" s="43" t="n">
        <x:f>E2804/SUMIF(A:A,A2804,E:E)</x:f>
        <x:v>0.0043237526972862</x:v>
      </x:c>
    </x:row>
    <x:row r="2805" ht="21.600000381469727" hidden="0" customHeight="1">
      <x:c r="A2805" s="29" t="str">
        <x:v>SCA-29</x:v>
      </x:c>
      <x:c r="B2805" s="29" t="str">
        <x:v>45075</x:v>
      </x:c>
      <x:c r="C2805" s="29" t="str">
        <x:v>SC</x:v>
      </x:c>
      <x:c r="D2805" s="29" t="str">
        <x:v>Orangeburg County</x:v>
      </x:c>
      <x:c r="E2805" s="41" t="n">
        <x:v>83177</x:v>
      </x:c>
      <x:c r="F2805" s="56" t="n">
        <x:v>33.436135</x:v>
      </x:c>
      <x:c r="G2805" s="56" t="n">
        <x:v>-80.802913</x:v>
      </x:c>
      <x:c r="H2805" s="44" t="n">
        <x:f>E2805/SUMIF(A:A,A2805,E:E)</x:f>
        <x:v>0.004316021147087035</x:v>
      </x:c>
    </x:row>
    <x:row r="2806" ht="21.600000381469727" hidden="0" customHeight="1">
      <x:c r="A2806" s="27" t="str">
        <x:v>SCA-29</x:v>
      </x:c>
      <x:c r="B2806" s="27" t="str">
        <x:v>51019</x:v>
      </x:c>
      <x:c r="C2806" s="27" t="str">
        <x:v>VA</x:v>
      </x:c>
      <x:c r="D2806" s="27" t="str">
        <x:v>Bedford County</x:v>
      </x:c>
      <x:c r="E2806" s="40" t="n">
        <x:v>83059</x:v>
      </x:c>
      <x:c r="F2806" s="55" t="n">
        <x:v>37.312257</x:v>
      </x:c>
      <x:c r="G2806" s="55" t="n">
        <x:v>-79.527223</x:v>
      </x:c>
      <x:c r="H2806" s="43" t="n">
        <x:f>E2806/SUMIF(A:A,A2806,E:E)</x:f>
        <x:v>0.004309898174446085</x:v>
      </x:c>
    </x:row>
    <x:row r="2807" ht="21.600000381469727" hidden="0" customHeight="1">
      <x:c r="A2807" s="29" t="str">
        <x:v>SCA-29</x:v>
      </x:c>
      <x:c r="B2807" s="29" t="str">
        <x:v>37069</x:v>
      </x:c>
      <x:c r="C2807" s="29" t="str">
        <x:v>NC</x:v>
      </x:c>
      <x:c r="D2807" s="29" t="str">
        <x:v>Franklin County</x:v>
      </x:c>
      <x:c r="E2807" s="41" t="n">
        <x:v>82037</x:v>
      </x:c>
      <x:c r="F2807" s="56" t="n">
        <x:v>36.088241</x:v>
      </x:c>
      <x:c r="G2807" s="56" t="n">
        <x:v>-78.283106</x:v>
      </x:c>
      <x:c r="H2807" s="44" t="n">
        <x:f>E2807/SUMIF(A:A,A2807,E:E)</x:f>
        <x:v>0.004256867004623623</x:v>
      </x:c>
    </x:row>
    <x:row r="2808" ht="21.600000381469727" hidden="0" customHeight="1">
      <x:c r="A2808" s="27" t="str">
        <x:v>SCA-29</x:v>
      </x:c>
      <x:c r="B2808" s="27" t="str">
        <x:v>51680</x:v>
      </x:c>
      <x:c r="C2808" s="27" t="str">
        <x:v>VA</x:v>
      </x:c>
      <x:c r="D2808" s="27" t="str">
        <x:v>Lynchburg city</x:v>
      </x:c>
      <x:c r="E2808" s="40" t="n">
        <x:v>81347</x:v>
      </x:c>
      <x:c r="F2808" s="55" t="n">
        <x:v>37.399016</x:v>
      </x:c>
      <x:c r="G2808" s="55" t="n">
        <x:v>-79.195458</x:v>
      </x:c>
      <x:c r="H2808" s="43" t="n">
        <x:f>E2808/SUMIF(A:A,A2808,E:E)</x:f>
        <x:v>0.0042210631815536625</x:v>
      </x:c>
    </x:row>
    <x:row r="2809" ht="21.600000381469727" hidden="0" customHeight="1">
      <x:c r="A2809" s="29" t="str">
        <x:v>SCA-29</x:v>
      </x:c>
      <x:c r="B2809" s="29" t="str">
        <x:v>37195</x:v>
      </x:c>
      <x:c r="C2809" s="29" t="str">
        <x:v>NC</x:v>
      </x:c>
      <x:c r="D2809" s="29" t="str">
        <x:v>Wilson County</x:v>
      </x:c>
      <x:c r="E2809" s="41" t="n">
        <x:v>81150</x:v>
      </x:c>
      <x:c r="F2809" s="56" t="n">
        <x:v>35.700357</x:v>
      </x:c>
      <x:c r="G2809" s="56" t="n">
        <x:v>-77.921598</x:v>
      </x:c>
      <x:c r="H2809" s="44" t="n">
        <x:f>E2809/SUMIF(A:A,A2809,E:E)</x:f>
        <x:v>0.004210840930619196</x:v>
      </x:c>
    </x:row>
    <x:row r="2810" ht="21.600000381469727" hidden="0" customHeight="1">
      <x:c r="A2810" s="27" t="str">
        <x:v>SCA-29</x:v>
      </x:c>
      <x:c r="B2810" s="27" t="str">
        <x:v>37027</x:v>
      </x:c>
      <x:c r="C2810" s="27" t="str">
        <x:v>NC</x:v>
      </x:c>
      <x:c r="D2810" s="27" t="str">
        <x:v>Caldwell County</x:v>
      </x:c>
      <x:c r="E2810" s="40" t="n">
        <x:v>81105</x:v>
      </x:c>
      <x:c r="F2810" s="55" t="n">
        <x:v>35.966396</x:v>
      </x:c>
      <x:c r="G2810" s="55" t="n">
        <x:v>-81.51254</x:v>
      </x:c>
      <x:c r="H2810" s="43" t="n">
        <x:f>E2810/SUMIF(A:A,A2810,E:E)</x:f>
        <x:v>0.0042085058986798506</x:v>
      </x:c>
    </x:row>
    <x:row r="2811" ht="21.600000381469727" hidden="0" customHeight="1">
      <x:c r="A2811" s="29" t="str">
        <x:v>SCA-29</x:v>
      </x:c>
      <x:c r="B2811" s="29" t="str">
        <x:v>51015</x:v>
      </x:c>
      <x:c r="C2811" s="29" t="str">
        <x:v>VA</x:v>
      </x:c>
      <x:c r="D2811" s="29" t="str">
        <x:v>Augusta County</x:v>
      </x:c>
      <x:c r="E2811" s="41" t="n">
        <x:v>78940</x:v>
      </x:c>
      <x:c r="F2811" s="56" t="n">
        <x:v>38.17259</x:v>
      </x:c>
      <x:c r="G2811" s="56" t="n">
        <x:v>-79.140975</x:v>
      </x:c>
      <x:c r="H2811" s="44" t="n">
        <x:f>E2811/SUMIF(A:A,A2811,E:E)</x:f>
        <x:v>0.00409616491759802</x:v>
      </x:c>
    </x:row>
    <x:row r="2812" ht="21.600000381469727" hidden="0" customHeight="1">
      <x:c r="A2812" s="27" t="str">
        <x:v>SCA-29</x:v>
      </x:c>
      <x:c r="B2812" s="27" t="str">
        <x:v>45055</x:v>
      </x:c>
      <x:c r="C2812" s="27" t="str">
        <x:v>SC</x:v>
      </x:c>
      <x:c r="D2812" s="27" t="str">
        <x:v>Kershaw County</x:v>
      </x:c>
      <x:c r="E2812" s="40" t="n">
        <x:v>73166</x:v>
      </x:c>
      <x:c r="F2812" s="55" t="n">
        <x:v>34.338356</x:v>
      </x:c>
      <x:c r="G2812" s="55" t="n">
        <x:v>-80.590885</x:v>
      </x:c>
      <x:c r="H2812" s="43" t="n">
        <x:f>E2812/SUMIF(A:A,A2812,E:E)</x:f>
        <x:v>0.0037965543749807038</x:v>
      </x:c>
    </x:row>
    <x:row r="2813" ht="15" hidden="0" customHeight="1">
      <x:c r="A2813" s="29" t="str">
        <x:v>SCA-29</x:v>
      </x:c>
      <x:c r="B2813" s="29" t="str">
        <x:v>37171</x:v>
      </x:c>
      <x:c r="C2813" s="29" t="str">
        <x:v>NC</x:v>
      </x:c>
      <x:c r="D2813" s="29" t="str">
        <x:v>Surry County</x:v>
      </x:c>
      <x:c r="E2813" s="41" t="n">
        <x:v>72287</x:v>
      </x:c>
      <x:c r="F2813" s="56" t="n">
        <x:v>36.415416</x:v>
      </x:c>
      <x:c r="G2813" s="56" t="n">
        <x:v>-80.686463</x:v>
      </x:c>
      <x:c r="H2813" s="44" t="n">
        <x:f>E2813/SUMIF(A:A,A2813,E:E)</x:f>
        <x:v>0.0037509434177654937</x:v>
      </x:c>
    </x:row>
    <x:row r="2814" ht="21.600000381469727" hidden="0" customHeight="1">
      <x:c r="A2814" s="27" t="str">
        <x:v>SCA-29</x:v>
      </x:c>
      <x:c r="B2814" s="27" t="str">
        <x:v>37141</x:v>
      </x:c>
      <x:c r="C2814" s="27" t="str">
        <x:v>NC</x:v>
      </x:c>
      <x:c r="D2814" s="27" t="str">
        <x:v>Pender County</x:v>
      </x:c>
      <x:c r="E2814" s="40" t="n">
        <x:v>72111</x:v>
      </x:c>
      <x:c r="F2814" s="55" t="n">
        <x:v>34.512556</x:v>
      </x:c>
      <x:c r="G2814" s="55" t="n">
        <x:v>-77.888106</x:v>
      </x:c>
      <x:c r="H2814" s="43" t="n">
        <x:f>E2814/SUMIF(A:A,A2814,E:E)</x:f>
        <x:v>0.0037418108484027213</x:v>
      </x:c>
    </x:row>
    <x:row r="2815" ht="15" hidden="0" customHeight="1">
      <x:c r="A2815" s="29" t="str">
        <x:v>SCA-29</x:v>
      </x:c>
      <x:c r="B2815" s="29" t="str">
        <x:v>51199</x:v>
      </x:c>
      <x:c r="C2815" s="29" t="str">
        <x:v>VA</x:v>
      </x:c>
      <x:c r="D2815" s="29" t="str">
        <x:v>York County</x:v>
      </x:c>
      <x:c r="E2815" s="41" t="n">
        <x:v>71374</x:v>
      </x:c>
      <x:c r="F2815" s="56" t="n">
        <x:v>37.220914</x:v>
      </x:c>
      <x:c r="G2815" s="56" t="n">
        <x:v>-76.395533</x:v>
      </x:c>
      <x:c r="H2815" s="44" t="n">
        <x:f>E2815/SUMIF(A:A,A2815,E:E)</x:f>
        <x:v>0.003703568214196112</x:v>
      </x:c>
    </x:row>
    <x:row r="2816" ht="21.600000381469727" hidden="0" customHeight="1">
      <x:c r="A2816" s="27" t="str">
        <x:v>SCA-29</x:v>
      </x:c>
      <x:c r="B2816" s="27" t="str">
        <x:v>37031</x:v>
      </x:c>
      <x:c r="C2816" s="27" t="str">
        <x:v>NC</x:v>
      </x:c>
      <x:c r="D2816" s="27" t="str">
        <x:v>Carteret County</x:v>
      </x:c>
      <x:c r="E2816" s="40" t="n">
        <x:v>70469</x:v>
      </x:c>
      <x:c r="F2816" s="55" t="n">
        <x:v>34.858343</x:v>
      </x:c>
      <x:c r="G2816" s="55" t="n">
        <x:v>-76.53586</x:v>
      </x:c>
      <x:c r="H2816" s="43" t="n">
        <x:f>E2816/SUMIF(A:A,A2816,E:E)</x:f>
        <x:v>0.003656608127415947</x:v>
      </x:c>
    </x:row>
    <x:row r="2817" ht="15" hidden="0" customHeight="1">
      <x:c r="A2817" s="29" t="str">
        <x:v>SCA-29</x:v>
      </x:c>
      <x:c r="B2817" s="29" t="str">
        <x:v>37105</x:v>
      </x:c>
      <x:c r="C2817" s="29" t="str">
        <x:v>NC</x:v>
      </x:c>
      <x:c r="D2817" s="29" t="str">
        <x:v>Lee County</x:v>
      </x:c>
      <x:c r="E2817" s="41" t="n">
        <x:v>70258</x:v>
      </x:c>
      <x:c r="F2817" s="56" t="n">
        <x:v>35.476336</x:v>
      </x:c>
      <x:c r="G2817" s="56" t="n">
        <x:v>-79.172117</x:v>
      </x:c>
      <x:c r="H2817" s="44" t="n">
        <x:f>E2817/SUMIF(A:A,A2817,E:E)</x:f>
        <x:v>0.0036456594221003506</x:v>
      </x:c>
    </x:row>
    <x:row r="2818" ht="21.600000381469727" hidden="0" customHeight="1">
      <x:c r="A2818" s="27" t="str">
        <x:v>SCA-29</x:v>
      </x:c>
      <x:c r="B2818" s="27" t="str">
        <x:v>37167</x:v>
      </x:c>
      <x:c r="C2818" s="27" t="str">
        <x:v>NC</x:v>
      </x:c>
      <x:c r="D2818" s="27" t="str">
        <x:v>Stanly County</x:v>
      </x:c>
      <x:c r="E2818" s="40" t="n">
        <x:v>68830</x:v>
      </x:c>
      <x:c r="F2818" s="55" t="n">
        <x:v>35.310449</x:v>
      </x:c>
      <x:c r="G2818" s="55" t="n">
        <x:v>-80.254374</x:v>
      </x:c>
      <x:c r="H2818" s="43" t="n">
        <x:f>E2818/SUMIF(A:A,A2818,E:E)</x:f>
        <x:v>0.0035715610752251295</x:v>
      </x:c>
    </x:row>
    <x:row r="2819" ht="21.600000381469727" hidden="0" customHeight="1">
      <x:c r="A2819" s="29" t="str">
        <x:v>SCA-29</x:v>
      </x:c>
      <x:c r="B2819" s="29" t="str">
        <x:v>37193</x:v>
      </x:c>
      <x:c r="C2819" s="29" t="str">
        <x:v>NC</x:v>
      </x:c>
      <x:c r="D2819" s="29" t="str">
        <x:v>Wilkes County</x:v>
      </x:c>
      <x:c r="E2819" s="41" t="n">
        <x:v>66233</x:v>
      </x:c>
      <x:c r="F2819" s="56" t="n">
        <x:v>36.208883</x:v>
      </x:c>
      <x:c r="G2819" s="56" t="n">
        <x:v>-81.166095</x:v>
      </x:c>
      <x:c r="H2819" s="44" t="n">
        <x:f>E2819/SUMIF(A:A,A2819,E:E)</x:f>
        <x:v>0.0034368037875255847</x:v>
      </x:c>
    </x:row>
    <x:row r="2820" ht="21.600000381469727" hidden="0" customHeight="1">
      <x:c r="A2820" s="27" t="str">
        <x:v>SCA-29</x:v>
      </x:c>
      <x:c r="B2820" s="27" t="str">
        <x:v>45043</x:v>
      </x:c>
      <x:c r="C2820" s="27" t="str">
        <x:v>SC</x:v>
      </x:c>
      <x:c r="D2820" s="27" t="str">
        <x:v>Georgetown County</x:v>
      </x:c>
      <x:c r="E2820" s="40" t="n">
        <x:v>65912</x:v>
      </x:c>
      <x:c r="F2820" s="55" t="n">
        <x:v>33.417531</x:v>
      </x:c>
      <x:c r="G2820" s="55" t="n">
        <x:v>-79.296333</x:v>
      </x:c>
      <x:c r="H2820" s="43" t="n">
        <x:f>E2820/SUMIF(A:A,A2820,E:E)</x:f>
        <x:v>0.0034201472263582556</x:v>
      </x:c>
    </x:row>
    <x:row r="2821" ht="21.600000381469727" hidden="0" customHeight="1">
      <x:c r="A2821" s="29" t="str">
        <x:v>SCA-29</x:v>
      </x:c>
      <x:c r="B2821" s="29" t="str">
        <x:v>45031</x:v>
      </x:c>
      <x:c r="C2821" s="29" t="str">
        <x:v>SC</x:v>
      </x:c>
      <x:c r="D2821" s="29" t="str">
        <x:v>Darlington County</x:v>
      </x:c>
      <x:c r="E2821" s="41" t="n">
        <x:v>62888</x:v>
      </x:c>
      <x:c r="F2821" s="56" t="n">
        <x:v>34.332185</x:v>
      </x:c>
      <x:c r="G2821" s="56" t="n">
        <x:v>-79.962115</x:v>
      </x:c>
      <x:c r="H2821" s="44" t="n">
        <x:f>E2821/SUMIF(A:A,A2821,E:E)</x:f>
        <x:v>0.0032632330800342574</x:v>
      </x:c>
    </x:row>
    <x:row r="2822" ht="21.600000381469727" hidden="0" customHeight="1">
      <x:c r="A2822" s="27" t="str">
        <x:v>SCA-29</x:v>
      </x:c>
      <x:c r="B2822" s="27" t="str">
        <x:v>37163</x:v>
      </x:c>
      <x:c r="C2822" s="27" t="str">
        <x:v>NC</x:v>
      </x:c>
      <x:c r="D2822" s="27" t="str">
        <x:v>Sampson County</x:v>
      </x:c>
      <x:c r="E2822" s="40" t="n">
        <x:v>61504</x:v>
      </x:c>
      <x:c r="F2822" s="55" t="n">
        <x:v>34.989298</x:v>
      </x:c>
      <x:c r="G2822" s="55" t="n">
        <x:v>-78.371261</x:v>
      </x:c>
      <x:c r="H2822" s="43" t="n">
        <x:f>E2822/SUMIF(A:A,A2822,E:E)</x:f>
        <x:v>0.0031914178754997293</x:v>
      </x:c>
    </x:row>
    <x:row r="2823" ht="21.600000381469727" hidden="0" customHeight="1">
      <x:c r="A2823" s="29" t="str">
        <x:v>SCA-29</x:v>
      </x:c>
      <x:c r="B2823" s="29" t="str">
        <x:v>37077</x:v>
      </x:c>
      <x:c r="C2823" s="29" t="str">
        <x:v>NC</x:v>
      </x:c>
      <x:c r="D2823" s="29" t="str">
        <x:v>Granville County</x:v>
      </x:c>
      <x:c r="E2823" s="41" t="n">
        <x:v>61421</x:v>
      </x:c>
      <x:c r="F2823" s="56" t="n">
        <x:v>36.299884</x:v>
      </x:c>
      <x:c r="G2823" s="56" t="n">
        <x:v>-78.657634</x:v>
      </x:c>
      <x:c r="H2823" s="44" t="n">
        <x:f>E2823/SUMIF(A:A,A2823,E:E)</x:f>
        <x:v>0.0031871110388116035</x:v>
      </x:c>
    </x:row>
    <x:row r="2824" ht="21.600000381469727" hidden="0" customHeight="1">
      <x:c r="A2824" s="27" t="str">
        <x:v>SCA-29</x:v>
      </x:c>
      <x:c r="B2824" s="27" t="str">
        <x:v>51143</x:v>
      </x:c>
      <x:c r="C2824" s="27" t="str">
        <x:v>VA</x:v>
      </x:c>
      <x:c r="D2824" s="27" t="str">
        <x:v>Pittsylvania County</x:v>
      </x:c>
      <x:c r="E2824" s="40" t="n">
        <x:v>59490</x:v>
      </x:c>
      <x:c r="F2824" s="55" t="n">
        <x:v>36.821721</x:v>
      </x:c>
      <x:c r="G2824" s="55" t="n">
        <x:v>-79.398502</x:v>
      </x:c>
      <x:c r="H2824" s="43" t="n">
        <x:f>E2824/SUMIF(A:A,A2824,E:E)</x:f>
        <x:v>0.003086912223814368</x:v>
      </x:c>
    </x:row>
    <x:row r="2825" ht="21.600000381469727" hidden="0" customHeight="1">
      <x:c r="A2825" s="29" t="str">
        <x:v>SCA-29</x:v>
      </x:c>
      <x:c r="B2825" s="29" t="str">
        <x:v>54055</x:v>
      </x:c>
      <x:c r="C2825" s="29" t="str">
        <x:v>WV</x:v>
      </x:c>
      <x:c r="D2825" s="29" t="str">
        <x:v>Mercer County</x:v>
      </x:c>
      <x:c r="E2825" s="41" t="n">
        <x:v>57503</x:v>
      </x:c>
      <x:c r="F2825" s="56" t="n">
        <x:v>37.403448</x:v>
      </x:c>
      <x:c r="G2825" s="56" t="n">
        <x:v>-81.106456</x:v>
      </x:c>
      <x:c r="H2825" s="44" t="n">
        <x:f>E2825/SUMIF(A:A,A2825,E:E)</x:f>
        <x:v>0.002983807591292614</x:v>
      </x:c>
    </x:row>
    <x:row r="2826" ht="21.600000381469727" hidden="0" customHeight="1">
      <x:c r="A2826" s="27" t="str">
        <x:v>SCA-29</x:v>
      </x:c>
      <x:c r="B2826" s="27" t="str">
        <x:v>47019</x:v>
      </x:c>
      <x:c r="C2826" s="27" t="str">
        <x:v>TN</x:v>
      </x:c>
      <x:c r="D2826" s="27" t="str">
        <x:v>Carter County</x:v>
      </x:c>
      <x:c r="E2826" s="40" t="n">
        <x:v>57361</x:v>
      </x:c>
      <x:c r="F2826" s="55" t="n">
        <x:v>36.284744</x:v>
      </x:c>
      <x:c r="G2826" s="55" t="n">
        <x:v>-82.126593</x:v>
      </x:c>
      <x:c r="H2826" s="43" t="n">
        <x:f>E2826/SUMIF(A:A,A2826,E:E)</x:f>
        <x:v>0.0029764392682840135</x:v>
      </x:c>
    </x:row>
    <x:row r="2827" ht="15" hidden="0" customHeight="1">
      <x:c r="A2827" s="29" t="str">
        <x:v>SCA-29</x:v>
      </x:c>
      <x:c r="B2827" s="29" t="str">
        <x:v>37093</x:v>
      </x:c>
      <x:c r="C2827" s="29" t="str">
        <x:v>NC</x:v>
      </x:c>
      <x:c r="D2827" s="29" t="str">
        <x:v>Hoke County</x:v>
      </x:c>
      <x:c r="E2827" s="41" t="n">
        <x:v>56939</x:v>
      </x:c>
      <x:c r="F2827" s="56" t="n">
        <x:v>35.017233</x:v>
      </x:c>
      <x:c r="G2827" s="56" t="n">
        <x:v>-79.241964</x:v>
      </x:c>
      <x:c r="H2827" s="44" t="n">
        <x:f>E2827/SUMIF(A:A,A2827,E:E)</x:f>
        <x:v>0.0029545418576528205</x:v>
      </x:c>
    </x:row>
    <x:row r="2828" ht="21.600000381469727" hidden="0" customHeight="1">
      <x:c r="A2828" s="27" t="str">
        <x:v>SCA-29</x:v>
      </x:c>
      <x:c r="B2828" s="27" t="str">
        <x:v>37107</x:v>
      </x:c>
      <x:c r="C2828" s="27" t="str">
        <x:v>NC</x:v>
      </x:c>
      <x:c r="D2828" s="27" t="str">
        <x:v>Lenoir County</x:v>
      </x:c>
      <x:c r="E2828" s="40" t="n">
        <x:v>55837</x:v>
      </x:c>
      <x:c r="F2828" s="55" t="n">
        <x:v>35.240066</x:v>
      </x:c>
      <x:c r="G2828" s="55" t="n">
        <x:v>-77.635514</x:v>
      </x:c>
      <x:c r="H2828" s="43" t="n">
        <x:f>E2828/SUMIF(A:A,A2828,E:E)</x:f>
        <x:v>0.0028973595199381892</x:v>
      </x:c>
    </x:row>
    <x:row r="2829" ht="21.600000381469727" hidden="0" customHeight="1">
      <x:c r="A2829" s="29" t="str">
        <x:v>SCA-29</x:v>
      </x:c>
      <x:c r="B2829" s="29" t="str">
        <x:v>51031</x:v>
      </x:c>
      <x:c r="C2829" s="29" t="str">
        <x:v>VA</x:v>
      </x:c>
      <x:c r="D2829" s="29" t="str">
        <x:v>Campbell County</x:v>
      </x:c>
      <x:c r="E2829" s="41" t="n">
        <x:v>55629</x:v>
      </x:c>
      <x:c r="F2829" s="56" t="n">
        <x:v>37.210152</x:v>
      </x:c>
      <x:c r="G2829" s="56" t="n">
        <x:v>-79.095428</x:v>
      </x:c>
      <x:c r="H2829" s="44" t="n">
        <x:f>E2829/SUMIF(A:A,A2829,E:E)</x:f>
        <x:v>0.002886566483418549</x:v>
      </x:c>
    </x:row>
    <x:row r="2830" ht="21.600000381469727" hidden="0" customHeight="1">
      <x:c r="A2830" s="27" t="str">
        <x:v>SCA-29</x:v>
      </x:c>
      <x:c r="B2830" s="27" t="str">
        <x:v>51067</x:v>
      </x:c>
      <x:c r="C2830" s="27" t="str">
        <x:v>VA</x:v>
      </x:c>
      <x:c r="D2830" s="27" t="str">
        <x:v>Franklin County</x:v>
      </x:c>
      <x:c r="E2830" s="40" t="n">
        <x:v>55526</x:v>
      </x:c>
      <x:c r="F2830" s="55" t="n">
        <x:v>36.991186</x:v>
      </x:c>
      <x:c r="G2830" s="55" t="n">
        <x:v>-79.882715</x:v>
      </x:c>
      <x:c r="H2830" s="43" t="n">
        <x:f>E2830/SUMIF(A:A,A2830,E:E)</x:f>
        <x:v>0.002881221854757381</x:v>
      </x:c>
    </x:row>
    <x:row r="2831" ht="21.600000381469727" hidden="0" customHeight="1">
      <x:c r="A2831" s="29" t="str">
        <x:v>SCA-29</x:v>
      </x:c>
      <x:c r="B2831" s="29" t="str">
        <x:v>37189</x:v>
      </x:c>
      <x:c r="C2831" s="29" t="str">
        <x:v>NC</x:v>
      </x:c>
      <x:c r="D2831" s="29" t="str">
        <x:v>Watauga County</x:v>
      </x:c>
      <x:c r="E2831" s="41" t="n">
        <x:v>54786</x:v>
      </x:c>
      <x:c r="F2831" s="56" t="n">
        <x:v>36.235368</x:v>
      </x:c>
      <x:c r="G2831" s="56" t="n">
        <x:v>-81.709888</x:v>
      </x:c>
      <x:c r="H2831" s="44" t="n">
        <x:f>E2831/SUMIF(A:A,A2831,E:E)</x:f>
        <x:v>0.0028428235517548154</x:v>
      </x:c>
    </x:row>
    <x:row r="2832" ht="21.600000381469727" hidden="0" customHeight="1">
      <x:c r="A2832" s="27" t="str">
        <x:v>SCA-29</x:v>
      </x:c>
      <x:c r="B2832" s="27" t="str">
        <x:v>51191</x:v>
      </x:c>
      <x:c r="C2832" s="27" t="str">
        <x:v>VA</x:v>
      </x:c>
      <x:c r="D2832" s="27" t="str">
        <x:v>Washington County</x:v>
      </x:c>
      <x:c r="E2832" s="40" t="n">
        <x:v>53898</x:v>
      </x:c>
      <x:c r="F2832" s="55" t="n">
        <x:v>36.747814</x:v>
      </x:c>
      <x:c r="G2832" s="55" t="n">
        <x:v>-81.950322</x:v>
      </x:c>
      <x:c r="H2832" s="43" t="n">
        <x:f>E2832/SUMIF(A:A,A2832,E:E)</x:f>
        <x:v>0.0027967455881517367</x:v>
      </x:c>
    </x:row>
    <x:row r="2833" ht="21.600000381469727" hidden="0" customHeight="1">
      <x:c r="A2833" s="29" t="str">
        <x:v>SCA-29</x:v>
      </x:c>
      <x:c r="B2833" s="29" t="str">
        <x:v>37061</x:v>
      </x:c>
      <x:c r="C2833" s="29" t="str">
        <x:v>NC</x:v>
      </x:c>
      <x:c r="D2833" s="29" t="str">
        <x:v>Duplin County</x:v>
      </x:c>
      <x:c r="E2833" s="41" t="n">
        <x:v>51571</x:v>
      </x:c>
      <x:c r="F2833" s="56" t="n">
        <x:v>34.934403</x:v>
      </x:c>
      <x:c r="G2833" s="56" t="n">
        <x:v>-77.933543</x:v>
      </x:c>
      <x:c r="H2833" s="44" t="n">
        <x:f>E2833/SUMIF(A:A,A2833,E:E)</x:f>
        <x:v>0.002675998492088263</x:v>
      </x:c>
    </x:row>
    <x:row r="2834" ht="21.600000381469727" hidden="0" customHeight="1">
      <x:c r="A2834" s="27" t="str">
        <x:v>SCA-29</x:v>
      </x:c>
      <x:c r="B2834" s="27" t="str">
        <x:v>37047</x:v>
      </x:c>
      <x:c r="C2834" s="27" t="str">
        <x:v>NC</x:v>
      </x:c>
      <x:c r="D2834" s="27" t="str">
        <x:v>Columbus County</x:v>
      </x:c>
      <x:c r="E2834" s="40" t="n">
        <x:v>50487</x:v>
      </x:c>
      <x:c r="F2834" s="55" t="n">
        <x:v>34.261602</x:v>
      </x:c>
      <x:c r="G2834" s="55" t="n">
        <x:v>-78.639308</x:v>
      </x:c>
      <x:c r="H2834" s="43" t="n">
        <x:f>E2834/SUMIF(A:A,A2834,E:E)</x:f>
        <x:v>0.0026197501671493695</x:v>
      </x:c>
    </x:row>
    <x:row r="2835" ht="21.600000381469727" hidden="0" customHeight="1">
      <x:c r="A2835" s="29" t="str">
        <x:v>SCA-29</x:v>
      </x:c>
      <x:c r="B2835" s="29" t="str">
        <x:v>51089</x:v>
      </x:c>
      <x:c r="C2835" s="29" t="str">
        <x:v>VA</x:v>
      </x:c>
      <x:c r="D2835" s="29" t="str">
        <x:v>Henry County</x:v>
      </x:c>
      <x:c r="E2835" s="41" t="n">
        <x:v>49242</x:v>
      </x:c>
      <x:c r="F2835" s="56" t="n">
        <x:v>36.620612</x:v>
      </x:c>
      <x:c r="G2835" s="56" t="n">
        <x:v>-79.980662</x:v>
      </x:c>
      <x:c r="H2835" s="44" t="n">
        <x:f>E2835/SUMIF(A:A,A2835,E:E)</x:f>
        <x:v>0.0025551476168274856</x:v>
      </x:c>
    </x:row>
    <x:row r="2836" ht="21.600000381469727" hidden="0" customHeight="1">
      <x:c r="A2836" s="27" t="str">
        <x:v>SCA-29</x:v>
      </x:c>
      <x:c r="B2836" s="27" t="str">
        <x:v>37065</x:v>
      </x:c>
      <x:c r="C2836" s="27" t="str">
        <x:v>NC</x:v>
      </x:c>
      <x:c r="D2836" s="27" t="str">
        <x:v>Edgecombe County</x:v>
      </x:c>
      <x:c r="E2836" s="40" t="n">
        <x:v>49121</x:v>
      </x:c>
      <x:c r="F2836" s="55" t="n">
        <x:v>35.917077</x:v>
      </x:c>
      <x:c r="G2836" s="55" t="n">
        <x:v>-77.602742</x:v>
      </x:c>
      <x:c r="H2836" s="43" t="n">
        <x:f>E2836/SUMIF(A:A,A2836,E:E)</x:f>
        <x:v>0.0025488689753905796</x:v>
      </x:c>
    </x:row>
    <x:row r="2837" ht="21.600000381469727" hidden="0" customHeight="1">
      <x:c r="A2837" s="29" t="str">
        <x:v>SCA-29</x:v>
      </x:c>
      <x:c r="B2837" s="29" t="str">
        <x:v>37083</x:v>
      </x:c>
      <x:c r="C2837" s="29" t="str">
        <x:v>NC</x:v>
      </x:c>
      <x:c r="D2837" s="29" t="str">
        <x:v>Halifax County</x:v>
      </x:c>
      <x:c r="E2837" s="41" t="n">
        <x:v>46534</x:v>
      </x:c>
      <x:c r="F2837" s="56" t="n">
        <x:v>36.251438</x:v>
      </x:c>
      <x:c r="G2837" s="56" t="n">
        <x:v>-77.644842</x:v>
      </x:c>
      <x:c r="H2837" s="44" t="n">
        <x:f>E2837/SUMIF(A:A,A2837,E:E)</x:f>
        <x:v>0.002414630583677556</x:v>
      </x:c>
    </x:row>
    <x:row r="2838" ht="21.600000381469727" hidden="0" customHeight="1">
      <x:c r="A2838" s="27" t="str">
        <x:v>SCA-29</x:v>
      </x:c>
      <x:c r="B2838" s="27" t="str">
        <x:v>37169</x:v>
      </x:c>
      <x:c r="C2838" s="27" t="str">
        <x:v>NC</x:v>
      </x:c>
      <x:c r="D2838" s="27" t="str">
        <x:v>Stokes County</x:v>
      </x:c>
      <x:c r="E2838" s="40" t="n">
        <x:v>46126</x:v>
      </x:c>
      <x:c r="F2838" s="55" t="n">
        <x:v>36.393797</x:v>
      </x:c>
      <x:c r="G2838" s="55" t="n">
        <x:v>-80.269921</x:v>
      </x:c>
      <x:c r="H2838" s="43" t="n">
        <x:f>E2838/SUMIF(A:A,A2838,E:E)</x:f>
        <x:v>0.002393459627427493</x:v>
      </x:c>
    </x:row>
    <x:row r="2839" ht="21.600000381469727" hidden="0" customHeight="1">
      <x:c r="A2839" s="29" t="str">
        <x:v>SCA-29</x:v>
      </x:c>
      <x:c r="B2839" s="29" t="str">
        <x:v>37059</x:v>
      </x:c>
      <x:c r="C2839" s="29" t="str">
        <x:v>NC</x:v>
      </x:c>
      <x:c r="D2839" s="29" t="str">
        <x:v>Davie County</x:v>
      </x:c>
      <x:c r="E2839" s="41" t="n">
        <x:v>45855</x:v>
      </x:c>
      <x:c r="F2839" s="56" t="n">
        <x:v>35.929355</x:v>
      </x:c>
      <x:c r="G2839" s="56" t="n">
        <x:v>-80.542552</x:v>
      </x:c>
      <x:c r="H2839" s="44" t="n">
        <x:f>E2839/SUMIF(A:A,A2839,E:E)</x:f>
        <x:v>0.0023793975461927695</x:v>
      </x:c>
    </x:row>
    <x:row r="2840" ht="21.600000381469727" hidden="0" customHeight="1">
      <x:c r="A2840" s="27" t="str">
        <x:v>SCA-29</x:v>
      </x:c>
      <x:c r="B2840" s="27" t="str">
        <x:v>37111</x:v>
      </x:c>
      <x:c r="C2840" s="27" t="str">
        <x:v>NC</x:v>
      </x:c>
      <x:c r="D2840" s="27" t="str">
        <x:v>McDowell County</x:v>
      </x:c>
      <x:c r="E2840" s="40" t="n">
        <x:v>45198</x:v>
      </x:c>
      <x:c r="F2840" s="55" t="n">
        <x:v>35.682268</x:v>
      </x:c>
      <x:c r="G2840" s="55" t="n">
        <x:v>-82.048045</x:v>
      </x:c>
      <x:c r="H2840" s="43" t="n">
        <x:f>E2840/SUMIF(A:A,A2840,E:E)</x:f>
        <x:v>0.0023453060798783293</x:v>
      </x:c>
    </x:row>
    <x:row r="2841" ht="21.600000381469727" hidden="0" customHeight="1">
      <x:c r="A2841" s="29" t="str">
        <x:v>SCA-29</x:v>
      </x:c>
      <x:c r="B2841" s="29" t="str">
        <x:v>45025</x:v>
      </x:c>
      <x:c r="C2841" s="29" t="str">
        <x:v>SC</x:v>
      </x:c>
      <x:c r="D2841" s="29" t="str">
        <x:v>Chesterfield County</x:v>
      </x:c>
      <x:c r="E2841" s="41" t="n">
        <x:v>44740</x:v>
      </x:c>
      <x:c r="F2841" s="56" t="n">
        <x:v>34.637018</x:v>
      </x:c>
      <x:c r="G2841" s="56" t="n">
        <x:v>-80.159227</x:v>
      </x:c>
      <x:c r="H2841" s="44" t="n">
        <x:f>E2841/SUMIF(A:A,A2841,E:E)</x:f>
        <x:v>0.00232154064369566</x:v>
      </x:c>
    </x:row>
    <x:row r="2842" ht="21.600000381469727" hidden="0" customHeight="1">
      <x:c r="A2842" s="27" t="str">
        <x:v>SCA-29</x:v>
      </x:c>
      <x:c r="B2842" s="27" t="str">
        <x:v>37013</x:v>
      </x:c>
      <x:c r="C2842" s="27" t="str">
        <x:v>NC</x:v>
      </x:c>
      <x:c r="D2842" s="27" t="str">
        <x:v>Beaufort County</x:v>
      </x:c>
      <x:c r="E2842" s="40" t="n">
        <x:v>44670</x:v>
      </x:c>
      <x:c r="F2842" s="55" t="n">
        <x:v>35.482313</x:v>
      </x:c>
      <x:c r="G2842" s="55" t="n">
        <x:v>-76.842014</x:v>
      </x:c>
      <x:c r="H2842" s="43" t="n">
        <x:f>E2842/SUMIF(A:A,A2842,E:E)</x:f>
        <x:v>0.002317908371790012</x:v>
      </x:c>
    </x:row>
    <x:row r="2843" ht="21.600000381469727" hidden="0" customHeight="1">
      <x:c r="A2843" s="29" t="str">
        <x:v>SCA-29</x:v>
      </x:c>
      <x:c r="B2843" s="29" t="str">
        <x:v>51540</x:v>
      </x:c>
      <x:c r="C2843" s="29" t="str">
        <x:v>VA</x:v>
      </x:c>
      <x:c r="D2843" s="29" t="str">
        <x:v>Charlottesville city</x:v>
      </x:c>
      <x:c r="E2843" s="41" t="n">
        <x:v>44388</x:v>
      </x:c>
      <x:c r="F2843" s="56" t="n">
        <x:v>38.037658</x:v>
      </x:c>
      <x:c r="G2843" s="56" t="n">
        <x:v>-78.485381</x:v>
      </x:c>
      <x:c r="H2843" s="44" t="n">
        <x:f>E2843/SUMIF(A:A,A2843,E:E)</x:f>
        <x:v>0.0023032755049701157</x:v>
      </x:c>
    </x:row>
    <x:row r="2844" ht="32.400001525878906" hidden="0" customHeight="1">
      <x:c r="A2844" s="27" t="str">
        <x:v>SCA-29</x:v>
      </x:c>
      <x:c r="B2844" s="27" t="str">
        <x:v>51149</x:v>
      </x:c>
      <x:c r="C2844" s="27" t="str">
        <x:v>VA</x:v>
      </x:c>
      <x:c r="D2844" s="27" t="str">
        <x:v>Prince George County</x:v>
      </x:c>
      <x:c r="E2844" s="40" t="n">
        <x:v>43936</x:v>
      </x:c>
      <x:c r="F2844" s="55" t="n">
        <x:v>37.187325</x:v>
      </x:c>
      <x:c r="G2844" s="55" t="n">
        <x:v>-77.220993</x:v>
      </x:c>
      <x:c r="H2844" s="43" t="n">
        <x:f>E2844/SUMIF(A:A,A2844,E:E)</x:f>
        <x:v>0.002279821406379359</x:v>
      </x:c>
    </x:row>
    <x:row r="2845" ht="21.600000381469727" hidden="0" customHeight="1">
      <x:c r="A2845" s="29" t="str">
        <x:v>SCA-29</x:v>
      </x:c>
      <x:c r="B2845" s="29" t="str">
        <x:v>51109</x:v>
      </x:c>
      <x:c r="C2845" s="29" t="str">
        <x:v>VA</x:v>
      </x:c>
      <x:c r="D2845" s="29" t="str">
        <x:v>Louisa County</x:v>
      </x:c>
      <x:c r="E2845" s="41" t="n">
        <x:v>42924</x:v>
      </x:c>
      <x:c r="F2845" s="56" t="n">
        <x:v>37.972704</x:v>
      </x:c>
      <x:c r="G2845" s="56" t="n">
        <x:v>-77.959795</x:v>
      </x:c>
      <x:c r="H2845" s="44" t="n">
        <x:f>E2845/SUMIF(A:A,A2845,E:E)</x:f>
        <x:v>0.002227309132543418</x:v>
      </x:c>
    </x:row>
    <x:row r="2846" ht="21.600000381469727" hidden="0" customHeight="1">
      <x:c r="A2846" s="27" t="str">
        <x:v>SCA-29</x:v>
      </x:c>
      <x:c r="B2846" s="27" t="str">
        <x:v>37181</x:v>
      </x:c>
      <x:c r="C2846" s="27" t="str">
        <x:v>NC</x:v>
      </x:c>
      <x:c r="D2846" s="27" t="str">
        <x:v>Vance County</x:v>
      </x:c>
      <x:c r="E2846" s="40" t="n">
        <x:v>42638</x:v>
      </x:c>
      <x:c r="F2846" s="55" t="n">
        <x:v>36.365481</x:v>
      </x:c>
      <x:c r="G2846" s="55" t="n">
        <x:v>-78.405434</x:v>
      </x:c>
      <x:c r="H2846" s="43" t="n">
        <x:f>E2846/SUMIF(A:A,A2846,E:E)</x:f>
        <x:v>0.002212468707328913</x:v>
      </x:c>
    </x:row>
    <x:row r="2847" ht="21.600000381469727" hidden="0" customHeight="1">
      <x:c r="A2847" s="29" t="str">
        <x:v>SCA-29</x:v>
      </x:c>
      <x:c r="B2847" s="29" t="str">
        <x:v>37139</x:v>
      </x:c>
      <x:c r="C2847" s="29" t="str">
        <x:v>NC</x:v>
      </x:c>
      <x:c r="D2847" s="29" t="str">
        <x:v>Pasquotank County</x:v>
      </x:c>
      <x:c r="E2847" s="41" t="n">
        <x:v>42201</x:v>
      </x:c>
      <x:c r="F2847" s="56" t="n">
        <x:v>36.265199</x:v>
      </x:c>
      <x:c r="G2847" s="56" t="n">
        <x:v>-76.260691</x:v>
      </x:c>
      <x:c r="H2847" s="44" t="n">
        <x:f>E2847/SUMIF(A:A,A2847,E:E)</x:f>
        <x:v>0.0021897929527179383</x:v>
      </x:c>
    </x:row>
    <x:row r="2848" ht="21.600000381469727" hidden="0" customHeight="1">
      <x:c r="A2848" s="27" t="str">
        <x:v>SCA-29</x:v>
      </x:c>
      <x:c r="B2848" s="27" t="str">
        <x:v>37153</x:v>
      </x:c>
      <x:c r="C2848" s="27" t="str">
        <x:v>NC</x:v>
      </x:c>
      <x:c r="D2848" s="27" t="str">
        <x:v>Richmond County</x:v>
      </x:c>
      <x:c r="E2848" s="40" t="n">
        <x:v>42041</x:v>
      </x:c>
      <x:c r="F2848" s="55" t="n">
        <x:v>35.004636</x:v>
      </x:c>
      <x:c r="G2848" s="55" t="n">
        <x:v>-79.755695</x:v>
      </x:c>
      <x:c r="H2848" s="43" t="n">
        <x:f>E2848/SUMIF(A:A,A2848,E:E)</x:f>
        <x:v>0.0021814906169335996</x:v>
      </x:c>
    </x:row>
    <x:row r="2849" ht="15" hidden="0" customHeight="1">
      <x:c r="A2849" s="29" t="str">
        <x:v>SCA-29</x:v>
      </x:c>
      <x:c r="B2849" s="29" t="str">
        <x:v>51590</x:v>
      </x:c>
      <x:c r="C2849" s="29" t="str">
        <x:v>VA</x:v>
      </x:c>
      <x:c r="D2849" s="29" t="str">
        <x:v>Danville city</x:v>
      </x:c>
      <x:c r="E2849" s="41" t="n">
        <x:v>41647</x:v>
      </x:c>
      <x:c r="F2849" s="56" t="n">
        <x:v>36.583334</x:v>
      </x:c>
      <x:c r="G2849" s="56" t="n">
        <x:v>-79.408071</x:v>
      </x:c>
      <x:c r="H2849" s="44" t="n">
        <x:f>E2849/SUMIF(A:A,A2849,E:E)</x:f>
        <x:v>0.002161046115064666</x:v>
      </x:c>
    </x:row>
    <x:row r="2850" ht="21.600000381469727" hidden="0" customHeight="1">
      <x:c r="A2850" s="27" t="str">
        <x:v>SCA-29</x:v>
      </x:c>
      <x:c r="B2850" s="27" t="str">
        <x:v>51093</x:v>
      </x:c>
      <x:c r="C2850" s="27" t="str">
        <x:v>VA</x:v>
      </x:c>
      <x:c r="D2850" s="27" t="str">
        <x:v>Isle of Wight County</x:v>
      </x:c>
      <x:c r="E2850" s="40" t="n">
        <x:v>41321</x:v>
      </x:c>
      <x:c r="F2850" s="55" t="n">
        <x:v>36.901418</x:v>
      </x:c>
      <x:c r="G2850" s="55" t="n">
        <x:v>-76.707569</x:v>
      </x:c>
      <x:c r="H2850" s="43" t="n">
        <x:f>E2850/SUMIF(A:A,A2850,E:E)</x:f>
        <x:v>0.0021441301059040765</x:v>
      </x:c>
    </x:row>
    <x:row r="2851" ht="21.600000381469727" hidden="0" customHeight="1">
      <x:c r="A2851" s="29" t="str">
        <x:v>SCA-29</x:v>
      </x:c>
      <x:c r="B2851" s="29" t="str">
        <x:v>37145</x:v>
      </x:c>
      <x:c r="C2851" s="29" t="str">
        <x:v>NC</x:v>
      </x:c>
      <x:c r="D2851" s="29" t="str">
        <x:v>Person County</x:v>
      </x:c>
      <x:c r="E2851" s="41" t="n">
        <x:v>40636</x:v>
      </x:c>
      <x:c r="F2851" s="56" t="n">
        <x:v>36.388308</x:v>
      </x:c>
      <x:c r="G2851" s="56" t="n">
        <x:v>-78.973717</x:v>
      </x:c>
      <x:c r="H2851" s="44" t="n">
        <x:f>E2851/SUMIF(A:A,A2851,E:E)</x:f>
        <x:v>0.002108585730827377</x:v>
      </x:c>
    </x:row>
    <x:row r="2852" ht="21.600000381469727" hidden="0" customHeight="1">
      <x:c r="A2852" s="27" t="str">
        <x:v>SCA-29</x:v>
      </x:c>
      <x:c r="B2852" s="27" t="str">
        <x:v>51073</x:v>
      </x:c>
      <x:c r="C2852" s="27" t="str">
        <x:v>VA</x:v>
      </x:c>
      <x:c r="D2852" s="27" t="str">
        <x:v>Gloucester County</x:v>
      </x:c>
      <x:c r="E2852" s="40" t="n">
        <x:v>40097</x:v>
      </x:c>
      <x:c r="F2852" s="55" t="n">
        <x:v>37.403541</x:v>
      </x:c>
      <x:c r="G2852" s="55" t="n">
        <x:v>-76.523505</x:v>
      </x:c>
      <x:c r="H2852" s="43" t="n">
        <x:f>E2852/SUMIF(A:A,A2852,E:E)</x:f>
        <x:v>0.0020806172371538867</x:v>
      </x:c>
    </x:row>
    <x:row r="2853" ht="21.600000381469727" hidden="0" customHeight="1">
      <x:c r="A2853" s="29" t="str">
        <x:v>SCA-29</x:v>
      </x:c>
      <x:c r="B2853" s="29" t="str">
        <x:v>51137</x:v>
      </x:c>
      <x:c r="C2853" s="29" t="str">
        <x:v>VA</x:v>
      </x:c>
      <x:c r="D2853" s="29" t="str">
        <x:v>Orange County</x:v>
      </x:c>
      <x:c r="E2853" s="41" t="n">
        <x:v>40083</x:v>
      </x:c>
      <x:c r="F2853" s="56" t="n">
        <x:v>38.249326</x:v>
      </x:c>
      <x:c r="G2853" s="56" t="n">
        <x:v>-78.011092</x:v>
      </x:c>
      <x:c r="H2853" s="44" t="n">
        <x:f>E2853/SUMIF(A:A,A2853,E:E)</x:f>
        <x:v>0.0020798907827727572</x:v>
      </x:c>
    </x:row>
    <x:row r="2854" ht="21.600000381469727" hidden="0" customHeight="1">
      <x:c r="A2854" s="27" t="str">
        <x:v>SCA-29</x:v>
      </x:c>
      <x:c r="B2854" s="27" t="str">
        <x:v>51185</x:v>
      </x:c>
      <x:c r="C2854" s="27" t="str">
        <x:v>VA</x:v>
      </x:c>
      <x:c r="D2854" s="27" t="str">
        <x:v>Tazewell County</x:v>
      </x:c>
      <x:c r="E2854" s="40" t="n">
        <x:v>38635</x:v>
      </x:c>
      <x:c r="F2854" s="55" t="n">
        <x:v>37.125395</x:v>
      </x:c>
      <x:c r="G2854" s="55" t="n">
        <x:v>-81.562924</x:v>
      </x:c>
      <x:c r="H2854" s="43" t="n">
        <x:f>E2854/SUMIF(A:A,A2854,E:E)</x:f>
        <x:v>0.0020047546439244932</x:v>
      </x:c>
    </x:row>
    <x:row r="2855" ht="21.600000381469727" hidden="0" customHeight="1">
      <x:c r="A2855" s="29" t="str">
        <x:v>SCA-29</x:v>
      </x:c>
      <x:c r="B2855" s="29" t="str">
        <x:v>37197</x:v>
      </x:c>
      <x:c r="C2855" s="29" t="str">
        <x:v>NC</x:v>
      </x:c>
      <x:c r="D2855" s="29" t="str">
        <x:v>Yadkin County</x:v>
      </x:c>
      <x:c r="E2855" s="41" t="n">
        <x:v>38325</x:v>
      </x:c>
      <x:c r="F2855" s="56" t="n">
        <x:v>36.158765</x:v>
      </x:c>
      <x:c r="G2855" s="56" t="n">
        <x:v>-80.665164</x:v>
      </x:c>
      <x:c r="H2855" s="44" t="n">
        <x:f>E2855/SUMIF(A:A,A2855,E:E)</x:f>
        <x:v>0.0019886688683423376</x:v>
      </x:c>
    </x:row>
    <x:row r="2856" ht="15" hidden="0" customHeight="1">
      <x:c r="A2856" s="27" t="str">
        <x:v>SCA-29</x:v>
      </x:c>
      <x:c r="B2856" s="27" t="str">
        <x:v>37055</x:v>
      </x:c>
      <x:c r="C2856" s="27" t="str">
        <x:v>NC</x:v>
      </x:c>
      <x:c r="D2856" s="27" t="str">
        <x:v>Dare County</x:v>
      </x:c>
      <x:c r="E2856" s="40" t="n">
        <x:v>38245</x:v>
      </x:c>
      <x:c r="F2856" s="55" t="n">
        <x:v>35.606269</x:v>
      </x:c>
      <x:c r="G2856" s="55" t="n">
        <x:v>-75.767536</x:v>
      </x:c>
      <x:c r="H2856" s="43" t="n">
        <x:f>E2856/SUMIF(A:A,A2856,E:E)</x:f>
        <x:v>0.0019845177004501682</x:v>
      </x:c>
    </x:row>
    <x:row r="2857" ht="21.600000381469727" hidden="0" customHeight="1">
      <x:c r="A2857" s="29" t="str">
        <x:v>SCA-29</x:v>
      </x:c>
      <x:c r="B2857" s="29" t="str">
        <x:v>37003</x:v>
      </x:c>
      <x:c r="C2857" s="29" t="str">
        <x:v>NC</x:v>
      </x:c>
      <x:c r="D2857" s="29" t="str">
        <x:v>Alexander County</x:v>
      </x:c>
      <x:c r="E2857" s="41" t="n">
        <x:v>36958</x:v>
      </x:c>
      <x:c r="F2857" s="56" t="n">
        <x:v>35.920951</x:v>
      </x:c>
      <x:c r="G2857" s="56" t="n">
        <x:v>-81.177467</x:v>
      </x:c>
      <x:c r="H2857" s="44" t="n">
        <x:f>E2857/SUMIF(A:A,A2857,E:E)</x:f>
        <x:v>0.0019177357869848953</x:v>
      </x:c>
    </x:row>
    <x:row r="2858" ht="21.600000381469727" hidden="0" customHeight="1">
      <x:c r="A2858" s="27" t="str">
        <x:v>SCA-29</x:v>
      </x:c>
      <x:c r="B2858" s="27" t="str">
        <x:v>51033</x:v>
      </x:c>
      <x:c r="C2858" s="27" t="str">
        <x:v>VA</x:v>
      </x:c>
      <x:c r="D2858" s="27" t="str">
        <x:v>Caroline County</x:v>
      </x:c>
      <x:c r="E2858" s="40" t="n">
        <x:v>34413</x:v>
      </x:c>
      <x:c r="F2858" s="55" t="n">
        <x:v>38.028033</x:v>
      </x:c>
      <x:c r="G2858" s="55" t="n">
        <x:v>-77.353736</x:v>
      </x:c>
      <x:c r="H2858" s="43" t="n">
        <x:f>E2858/SUMIF(A:A,A2858,E:E)</x:f>
        <x:v>0.0017856767584152604</x:v>
      </x:c>
    </x:row>
    <x:row r="2859" ht="21.600000381469727" hidden="0" customHeight="1">
      <x:c r="A2859" s="29" t="str">
        <x:v>SCA-29</x:v>
      </x:c>
      <x:c r="B2859" s="29" t="str">
        <x:v>51023</x:v>
      </x:c>
      <x:c r="C2859" s="29" t="str">
        <x:v>VA</x:v>
      </x:c>
      <x:c r="D2859" s="29" t="str">
        <x:v>Botetourt County</x:v>
      </x:c>
      <x:c r="E2859" s="41" t="n">
        <x:v>34144</x:v>
      </x:c>
      <x:c r="F2859" s="56" t="n">
        <x:v>37.565482</x:v>
      </x:c>
      <x:c r="G2859" s="56" t="n">
        <x:v>-79.797546</x:v>
      </x:c>
      <x:c r="H2859" s="44" t="n">
        <x:f>E2859/SUMIF(A:A,A2859,E:E)</x:f>
        <x:v>0.0017717184563778414</x:v>
      </x:c>
    </x:row>
    <x:row r="2860" ht="21.600000381469727" hidden="0" customHeight="1">
      <x:c r="A2860" s="27" t="str">
        <x:v>SCA-29</x:v>
      </x:c>
      <x:c r="B2860" s="27" t="str">
        <x:v>51001</x:v>
      </x:c>
      <x:c r="C2860" s="27" t="str">
        <x:v>VA</x:v>
      </x:c>
      <x:c r="D2860" s="27" t="str">
        <x:v>Accomack County</x:v>
      </x:c>
      <x:c r="E2860" s="40" t="n">
        <x:v>33859</x:v>
      </x:c>
      <x:c r="F2860" s="55" t="n">
        <x:v>37.765944</x:v>
      </x:c>
      <x:c r="G2860" s="55" t="n">
        <x:v>-75.757807</x:v>
      </x:c>
      <x:c r="H2860" s="43" t="n">
        <x:f>E2860/SUMIF(A:A,A2860,E:E)</x:f>
        <x:v>0.0017569299207619883</x:v>
      </x:c>
    </x:row>
    <x:row r="2861" ht="21.600000381469727" hidden="0" customHeight="1">
      <x:c r="A2861" s="29" t="str">
        <x:v>SCA-29</x:v>
      </x:c>
      <x:c r="B2861" s="29" t="str">
        <x:v>51730</x:v>
      </x:c>
      <x:c r="C2861" s="29" t="str">
        <x:v>VA</x:v>
      </x:c>
      <x:c r="D2861" s="29" t="str">
        <x:v>Petersburg city</x:v>
      </x:c>
      <x:c r="E2861" s="41" t="n">
        <x:v>33734</x:v>
      </x:c>
      <x:c r="F2861" s="56" t="n">
        <x:v>37.20473</x:v>
      </x:c>
      <x:c r="G2861" s="56" t="n">
        <x:v>-77.392368</x:v>
      </x:c>
      <x:c r="H2861" s="44" t="n">
        <x:f>E2861/SUMIF(A:A,A2861,E:E)</x:f>
        <x:v>0.001750443720930474</x:v>
      </x:c>
    </x:row>
    <x:row r="2862" ht="21.600000381469727" hidden="0" customHeight="1">
      <x:c r="A2862" s="27" t="str">
        <x:v>SCA-29</x:v>
      </x:c>
      <x:c r="B2862" s="27" t="str">
        <x:v>51155</x:v>
      </x:c>
      <x:c r="C2862" s="27" t="str">
        <x:v>VA</x:v>
      </x:c>
      <x:c r="D2862" s="27" t="str">
        <x:v>Pulaski County</x:v>
      </x:c>
      <x:c r="E2862" s="40" t="n">
        <x:v>33586</x:v>
      </x:c>
      <x:c r="F2862" s="55" t="n">
        <x:v>37.063385</x:v>
      </x:c>
      <x:c r="G2862" s="55" t="n">
        <x:v>-80.713444</x:v>
      </x:c>
      <x:c r="H2862" s="43" t="n">
        <x:f>E2862/SUMIF(A:A,A2862,E:E)</x:f>
        <x:v>0.0017427640603299608</x:v>
      </x:c>
    </x:row>
    <x:row r="2863" ht="21.600000381469727" hidden="0" customHeight="1">
      <x:c r="A2863" s="29" t="str">
        <x:v>SCA-29</x:v>
      </x:c>
      <x:c r="B2863" s="29" t="str">
        <x:v>51083</x:v>
      </x:c>
      <x:c r="C2863" s="29" t="str">
        <x:v>VA</x:v>
      </x:c>
      <x:c r="D2863" s="29" t="str">
        <x:v>Halifax County</x:v>
      </x:c>
      <x:c r="E2863" s="41" t="n">
        <x:v>33447</x:v>
      </x:c>
      <x:c r="F2863" s="56" t="n">
        <x:v>36.766461</x:v>
      </x:c>
      <x:c r="G2863" s="56" t="n">
        <x:v>-78.939614</x:v>
      </x:c>
      <x:c r="H2863" s="44" t="n">
        <x:f>E2863/SUMIF(A:A,A2863,E:E)</x:f>
        <x:v>0.0017355514061173167</x:v>
      </x:c>
    </x:row>
    <x:row r="2864" ht="21.600000381469727" hidden="0" customHeight="1">
      <x:c r="A2864" s="27" t="str">
        <x:v>SCA-29</x:v>
      </x:c>
      <x:c r="B2864" s="27" t="str">
        <x:v>37165</x:v>
      </x:c>
      <x:c r="C2864" s="27" t="str">
        <x:v>NC</x:v>
      </x:c>
      <x:c r="D2864" s="27" t="str">
        <x:v>Scotland County</x:v>
      </x:c>
      <x:c r="E2864" s="40" t="n">
        <x:v>33322</x:v>
      </x:c>
      <x:c r="F2864" s="55" t="n">
        <x:v>34.840023</x:v>
      </x:c>
      <x:c r="G2864" s="55" t="n">
        <x:v>-79.477337</x:v>
      </x:c>
      <x:c r="H2864" s="43" t="n">
        <x:f>E2864/SUMIF(A:A,A2864,E:E)</x:f>
        <x:v>0.0017290652062858021</x:v>
      </x:c>
    </x:row>
    <x:row r="2865" ht="21.600000381469727" hidden="0" customHeight="1">
      <x:c r="A2865" s="29" t="str">
        <x:v>SCA-29</x:v>
      </x:c>
      <x:c r="B2865" s="29" t="str">
        <x:v>37053</x:v>
      </x:c>
      <x:c r="C2865" s="29" t="str">
        <x:v>NC</x:v>
      </x:c>
      <x:c r="D2865" s="29" t="str">
        <x:v>Currituck County</x:v>
      </x:c>
      <x:c r="E2865" s="41" t="n">
        <x:v>33158</x:v>
      </x:c>
      <x:c r="F2865" s="56" t="n">
        <x:v>36.372174</x:v>
      </x:c>
      <x:c r="G2865" s="56" t="n">
        <x:v>-75.941224</x:v>
      </x:c>
      <x:c r="H2865" s="44" t="n">
        <x:f>E2865/SUMIF(A:A,A2865,E:E)</x:f>
        <x:v>0.0017205553121068552</x:v>
      </x:c>
    </x:row>
    <x:row r="2866" ht="21.600000381469727" hidden="0" customHeight="1">
      <x:c r="A2866" s="27" t="str">
        <x:v>SCA-29</x:v>
      </x:c>
      <x:c r="B2866" s="27" t="str">
        <x:v>45023</x:v>
      </x:c>
      <x:c r="C2866" s="27" t="str">
        <x:v>SC</x:v>
      </x:c>
      <x:c r="D2866" s="27" t="str">
        <x:v>Chester County</x:v>
      </x:c>
      <x:c r="E2866" s="40" t="n">
        <x:v>33001</x:v>
      </x:c>
      <x:c r="F2866" s="55" t="n">
        <x:v>34.689339</x:v>
      </x:c>
      <x:c r="G2866" s="55" t="n">
        <x:v>-81.161213</x:v>
      </x:c>
      <x:c r="H2866" s="43" t="n">
        <x:f>E2866/SUMIF(A:A,A2866,E:E)</x:f>
        <x:v>0.001712408645118473</x:v>
      </x:c>
    </x:row>
    <x:row r="2867" ht="21.600000381469727" hidden="0" customHeight="1">
      <x:c r="A2867" s="29" t="str">
        <x:v>SCA-29</x:v>
      </x:c>
      <x:c r="B2867" s="29" t="str">
        <x:v>51145</x:v>
      </x:c>
      <x:c r="C2867" s="29" t="str">
        <x:v>VA</x:v>
      </x:c>
      <x:c r="D2867" s="29" t="str">
        <x:v>Powhatan County</x:v>
      </x:c>
      <x:c r="E2867" s="41" t="n">
        <x:v>32591</x:v>
      </x:c>
      <x:c r="F2867" s="56" t="n">
        <x:v>37.549404</x:v>
      </x:c>
      <x:c r="G2867" s="56" t="n">
        <x:v>-77.912855</x:v>
      </x:c>
      <x:c r="H2867" s="44" t="n">
        <x:f>E2867/SUMIF(A:A,A2867,E:E)</x:f>
        <x:v>0.0016911339096711056</x:v>
      </x:c>
    </x:row>
    <x:row r="2868" ht="21.600000381469727" hidden="0" customHeight="1">
      <x:c r="A2868" s="27" t="str">
        <x:v>SCA-29</x:v>
      </x:c>
      <x:c r="B2868" s="27" t="str">
        <x:v>51009</x:v>
      </x:c>
      <x:c r="C2868" s="27" t="str">
        <x:v>VA</x:v>
      </x:c>
      <x:c r="D2868" s="27" t="str">
        <x:v>Amherst County</x:v>
      </x:c>
      <x:c r="E2868" s="40" t="n">
        <x:v>31962</x:v>
      </x:c>
      <x:c r="F2868" s="55" t="n">
        <x:v>37.629301</x:v>
      </x:c>
      <x:c r="G2868" s="55" t="n">
        <x:v>-79.154756</x:v>
      </x:c>
      <x:c r="H2868" s="43" t="n">
        <x:f>E2868/SUMIF(A:A,A2868,E:E)</x:f>
        <x:v>0.0016584953521189248</x:v>
      </x:c>
    </x:row>
    <x:row r="2869" ht="21.600000381469727" hidden="0" customHeight="1">
      <x:c r="A2869" s="29" t="str">
        <x:v>SCA-29</x:v>
      </x:c>
      <x:c r="B2869" s="29" t="str">
        <x:v>45027</x:v>
      </x:c>
      <x:c r="C2869" s="29" t="str">
        <x:v>SC</x:v>
      </x:c>
      <x:c r="D2869" s="29" t="str">
        <x:v>Clarendon County</x:v>
      </x:c>
      <x:c r="E2869" s="41" t="n">
        <x:v>31043</x:v>
      </x:c>
      <x:c r="F2869" s="56" t="n">
        <x:v>33.664682</x:v>
      </x:c>
      <x:c r="G2869" s="56" t="n">
        <x:v>-80.217889</x:v>
      </x:c>
      <x:c r="H2869" s="44" t="n">
        <x:f>E2869/SUMIF(A:A,A2869,E:E)</x:f>
        <x:v>0.0016108088109576303</x:v>
      </x:c>
    </x:row>
    <x:row r="2870" ht="21.600000381469727" hidden="0" customHeight="1">
      <x:c r="A2870" s="27" t="str">
        <x:v>SCA-29</x:v>
      </x:c>
      <x:c r="B2870" s="27" t="str">
        <x:v>51117</x:v>
      </x:c>
      <x:c r="C2870" s="27" t="str">
        <x:v>VA</x:v>
      </x:c>
      <x:c r="D2870" s="27" t="str">
        <x:v>Mecklenburg County</x:v>
      </x:c>
      <x:c r="E2870" s="40" t="n">
        <x:v>30747</x:v>
      </x:c>
      <x:c r="F2870" s="55" t="n">
        <x:v>36.687256</x:v>
      </x:c>
      <x:c r="G2870" s="55" t="n">
        <x:v>-78.368959</x:v>
      </x:c>
      <x:c r="H2870" s="43" t="n">
        <x:f>E2870/SUMIF(A:A,A2870,E:E)</x:f>
        <x:v>0.001595449489756604</x:v>
      </x:c>
    </x:row>
    <x:row r="2871" ht="21.600000381469727" hidden="0" customHeight="1">
      <x:c r="A2871" s="29" t="str">
        <x:v>SCA-29</x:v>
      </x:c>
      <x:c r="B2871" s="29" t="str">
        <x:v>51630</x:v>
      </x:c>
      <x:c r="C2871" s="29" t="str">
        <x:v>VA</x:v>
      </x:c>
      <x:c r="D2871" s="29" t="str">
        <x:v>Fredericksburg city</x:v>
      </x:c>
      <x:c r="E2871" s="41" t="n">
        <x:v>30393</x:v>
      </x:c>
      <x:c r="F2871" s="56" t="n">
        <x:v>38.299272</x:v>
      </x:c>
      <x:c r="G2871" s="56" t="n">
        <x:v>-77.486658</x:v>
      </x:c>
      <x:c r="H2871" s="44" t="n">
        <x:f>E2871/SUMIF(A:A,A2871,E:E)</x:f>
        <x:v>0.001577080571833755</x:v>
      </x:c>
    </x:row>
    <x:row r="2872" ht="21.600000381469727" hidden="0" customHeight="1">
      <x:c r="A2872" s="27" t="str">
        <x:v>SCA-29</x:v>
      </x:c>
      <x:c r="B2872" s="27" t="str">
        <x:v>37017</x:v>
      </x:c>
      <x:c r="C2872" s="27" t="str">
        <x:v>NC</x:v>
      </x:c>
      <x:c r="D2872" s="27" t="str">
        <x:v>Bladen County</x:v>
      </x:c>
      <x:c r="E2872" s="40" t="n">
        <x:v>30007</x:v>
      </x:c>
      <x:c r="F2872" s="55" t="n">
        <x:v>34.591938</x:v>
      </x:c>
      <x:c r="G2872" s="55" t="n">
        <x:v>-78.539489</x:v>
      </x:c>
      <x:c r="H2872" s="43" t="n">
        <x:f>E2872/SUMIF(A:A,A2872,E:E)</x:f>
        <x:v>0.0015570511867540383</x:v>
      </x:c>
    </x:row>
    <x:row r="2873" ht="21.600000381469727" hidden="0" customHeight="1">
      <x:c r="A2873" s="29" t="str">
        <x:v>SCA-29</x:v>
      </x:c>
      <x:c r="B2873" s="29" t="str">
        <x:v>45089</x:v>
      </x:c>
      <x:c r="C2873" s="29" t="str">
        <x:v>SC</x:v>
      </x:c>
      <x:c r="D2873" s="29" t="str">
        <x:v>Williamsburg County</x:v>
      </x:c>
      <x:c r="E2873" s="41" t="n">
        <x:v>29662</x:v>
      </x:c>
      <x:c r="F2873" s="56" t="n">
        <x:v>33.626462</x:v>
      </x:c>
      <x:c r="G2873" s="56" t="n">
        <x:v>-79.716474</x:v>
      </x:c>
      <x:c r="H2873" s="44" t="n">
        <x:f>E2873/SUMIF(A:A,A2873,E:E)</x:f>
        <x:v>0.0015391492752190583</x:v>
      </x:c>
    </x:row>
    <x:row r="2874" ht="21.600000381469727" hidden="0" customHeight="1">
      <x:c r="A2874" s="27" t="str">
        <x:v>SCA-29</x:v>
      </x:c>
      <x:c r="B2874" s="27" t="str">
        <x:v>51099</x:v>
      </x:c>
      <x:c r="C2874" s="27" t="str">
        <x:v>VA</x:v>
      </x:c>
      <x:c r="D2874" s="27" t="str">
        <x:v>King George County</x:v>
      </x:c>
      <x:c r="E2874" s="40" t="n">
        <x:v>29646</x:v>
      </x:c>
      <x:c r="F2874" s="55" t="n">
        <x:v>38.277179</x:v>
      </x:c>
      <x:c r="G2874" s="55" t="n">
        <x:v>-77.162638</x:v>
      </x:c>
      <x:c r="H2874" s="43" t="n">
        <x:f>E2874/SUMIF(A:A,A2874,E:E)</x:f>
        <x:v>0.0015383190416406246</x:v>
      </x:c>
    </x:row>
    <x:row r="2875" ht="21.600000381469727" hidden="0" customHeight="1">
      <x:c r="A2875" s="29" t="str">
        <x:v>SCA-29</x:v>
      </x:c>
      <x:c r="B2875" s="29" t="str">
        <x:v>51035</x:v>
      </x:c>
      <x:c r="C2875" s="29" t="str">
        <x:v>VA</x:v>
      </x:c>
      <x:c r="D2875" s="29" t="str">
        <x:v>Carroll County</x:v>
      </x:c>
      <x:c r="E2875" s="41" t="n">
        <x:v>29299</x:v>
      </x:c>
      <x:c r="F2875" s="56" t="n">
        <x:v>36.731963</x:v>
      </x:c>
      <x:c r="G2875" s="56" t="n">
        <x:v>-80.727831</x:v>
      </x:c>
      <x:c r="H2875" s="44" t="n">
        <x:f>E2875/SUMIF(A:A,A2875,E:E)</x:f>
        <x:v>0.0015203133509083405</x:v>
      </x:c>
    </x:row>
    <x:row r="2876" ht="21.600000381469727" hidden="0" customHeight="1">
      <x:c r="A2876" s="27" t="str">
        <x:v>SCA-29</x:v>
      </x:c>
      <x:c r="B2876" s="27" t="str">
        <x:v>51075</x:v>
      </x:c>
      <x:c r="C2876" s="27" t="str">
        <x:v>VA</x:v>
      </x:c>
      <x:c r="D2876" s="27" t="str">
        <x:v>Goochland County</x:v>
      </x:c>
      <x:c r="E2876" s="40" t="n">
        <x:v>29187</x:v>
      </x:c>
      <x:c r="F2876" s="55" t="n">
        <x:v>37.718814</x:v>
      </x:c>
      <x:c r="G2876" s="55" t="n">
        <x:v>-77.917626</x:v>
      </x:c>
      <x:c r="H2876" s="43" t="n">
        <x:f>E2876/SUMIF(A:A,A2876,E:E)</x:f>
        <x:v>0.0015145017158593034</x:v>
      </x:c>
    </x:row>
    <x:row r="2877" ht="21.600000381469727" hidden="0" customHeight="1">
      <x:c r="A2877" s="29" t="str">
        <x:v>SCA-29</x:v>
      </x:c>
      <x:c r="B2877" s="29" t="str">
        <x:v>51065</x:v>
      </x:c>
      <x:c r="C2877" s="29" t="str">
        <x:v>VA</x:v>
      </x:c>
      <x:c r="D2877" s="29" t="str">
        <x:v>Fluvanna County</x:v>
      </x:c>
      <x:c r="E2877" s="41" t="n">
        <x:v>28975</x:v>
      </x:c>
      <x:c r="F2877" s="56" t="n">
        <x:v>37.830584</x:v>
      </x:c>
      <x:c r="G2877" s="56" t="n">
        <x:v>-78.283494</x:v>
      </x:c>
      <x:c r="H2877" s="44" t="n">
        <x:f>E2877/SUMIF(A:A,A2877,E:E)</x:f>
        <x:v>0.001503501120945055</x:v>
      </x:c>
    </x:row>
    <x:row r="2878" ht="21.600000381469727" hidden="0" customHeight="1">
      <x:c r="A2878" s="27" t="str">
        <x:v>SCA-29</x:v>
      </x:c>
      <x:c r="B2878" s="27" t="str">
        <x:v>51053</x:v>
      </x:c>
      <x:c r="C2878" s="27" t="str">
        <x:v>VA</x:v>
      </x:c>
      <x:c r="D2878" s="27" t="str">
        <x:v>Dinwiddie County</x:v>
      </x:c>
      <x:c r="E2878" s="40" t="n">
        <x:v>28896</x:v>
      </x:c>
      <x:c r="F2878" s="55" t="n">
        <x:v>37.073498</x:v>
      </x:c>
      <x:c r="G2878" s="55" t="n">
        <x:v>-77.635492</x:v>
      </x:c>
      <x:c r="H2878" s="43" t="n">
        <x:f>E2878/SUMIF(A:A,A2878,E:E)</x:f>
        <x:v>0.0014994018426515378</x:v>
      </x:c>
    </x:row>
    <x:row r="2879" ht="21.600000381469727" hidden="0" customHeight="1">
      <x:c r="A2879" s="29" t="str">
        <x:v>SCA-29</x:v>
      </x:c>
      <x:c r="B2879" s="29" t="str">
        <x:v>51173</x:v>
      </x:c>
      <x:c r="C2879" s="29" t="str">
        <x:v>VA</x:v>
      </x:c>
      <x:c r="D2879" s="29" t="str">
        <x:v>Smyth County</x:v>
      </x:c>
      <x:c r="E2879" s="41" t="n">
        <x:v>28882</x:v>
      </x:c>
      <x:c r="F2879" s="56" t="n">
        <x:v>36.842318</x:v>
      </x:c>
      <x:c r="G2879" s="56" t="n">
        <x:v>-81.539786</x:v>
      </x:c>
      <x:c r="H2879" s="44" t="n">
        <x:f>E2879/SUMIF(A:A,A2879,E:E)</x:f>
        <x:v>0.001498675388270408</x:v>
      </x:c>
    </x:row>
    <x:row r="2880" ht="21.600000381469727" hidden="0" customHeight="1">
      <x:c r="A2880" s="27" t="str">
        <x:v>SCA-29</x:v>
      </x:c>
      <x:c r="B2880" s="27" t="str">
        <x:v>45067</x:v>
      </x:c>
      <x:c r="C2880" s="27" t="str">
        <x:v>SC</x:v>
      </x:c>
      <x:c r="D2880" s="27" t="str">
        <x:v>Marion County</x:v>
      </x:c>
      <x:c r="E2880" s="40" t="n">
        <x:v>28242</x:v>
      </x:c>
      <x:c r="F2880" s="55" t="n">
        <x:v>34.08362</x:v>
      </x:c>
      <x:c r="G2880" s="55" t="n">
        <x:v>-79.354001</x:v>
      </x:c>
      <x:c r="H2880" s="43" t="n">
        <x:f>E2880/SUMIF(A:A,A2880,E:E)</x:f>
        <x:v>0.001465466045133054</x:v>
      </x:c>
    </x:row>
    <x:row r="2881" ht="21.600000381469727" hidden="0" customHeight="1">
      <x:c r="A2881" s="29" t="str">
        <x:v>SCA-29</x:v>
      </x:c>
      <x:c r="B2881" s="29" t="str">
        <x:v>51127</x:v>
      </x:c>
      <x:c r="C2881" s="29" t="str">
        <x:v>VA</x:v>
      </x:c>
      <x:c r="D2881" s="29" t="str">
        <x:v>New Kent County</x:v>
      </x:c>
      <x:c r="E2881" s="41" t="n">
        <x:v>28022</x:v>
      </x:c>
      <x:c r="F2881" s="56" t="n">
        <x:v>37.51016</x:v>
      </x:c>
      <x:c r="G2881" s="56" t="n">
        <x:v>-76.999331</x:v>
      </x:c>
      <x:c r="H2881" s="44" t="n">
        <x:f>E2881/SUMIF(A:A,A2881,E:E)</x:f>
        <x:v>0.0014540503334295885</x:v>
      </x:c>
    </x:row>
    <x:row r="2882" ht="21.600000381469727" hidden="0" customHeight="1">
      <x:c r="A2882" s="27" t="str">
        <x:v>SCA-29</x:v>
      </x:c>
      <x:c r="B2882" s="27" t="str">
        <x:v>51197</x:v>
      </x:c>
      <x:c r="C2882" s="27" t="str">
        <x:v>VA</x:v>
      </x:c>
      <x:c r="D2882" s="27" t="str">
        <x:v>Wythe County</x:v>
      </x:c>
      <x:c r="E2882" s="40" t="n">
        <x:v>27983</x:v>
      </x:c>
      <x:c r="F2882" s="55" t="n">
        <x:v>36.899868</x:v>
      </x:c>
      <x:c r="G2882" s="55" t="n">
        <x:v>-81.08301</x:v>
      </x:c>
      <x:c r="H2882" s="43" t="n">
        <x:f>E2882/SUMIF(A:A,A2882,E:E)</x:f>
        <x:v>0.001452026639082156</x:v>
      </x:c>
    </x:row>
    <x:row r="2883" ht="15" hidden="0" customHeight="1">
      <x:c r="A2883" s="29" t="str">
        <x:v>SCA-29</x:v>
      </x:c>
      <x:c r="B2883" s="29" t="str">
        <x:v>37009</x:v>
      </x:c>
      <x:c r="C2883" s="29" t="str">
        <x:v>NC</x:v>
      </x:c>
      <x:c r="D2883" s="29" t="str">
        <x:v>Ashe County</x:v>
      </x:c>
      <x:c r="E2883" s="41" t="n">
        <x:v>27514</x:v>
      </x:c>
      <x:c r="F2883" s="56" t="n">
        <x:v>36.443469</x:v>
      </x:c>
      <x:c r="G2883" s="56" t="n">
        <x:v>-81.499334</x:v>
      </x:c>
      <x:c r="H2883" s="44" t="n">
        <x:f>E2883/SUMIF(A:A,A2883,E:E)</x:f>
        <x:v>0.0014276904173143137</x:v>
      </x:c>
    </x:row>
    <x:row r="2884" ht="21.600000381469727" hidden="0" customHeight="1">
      <x:c r="A2884" s="27" t="str">
        <x:v>SCA-29</x:v>
      </x:c>
      <x:c r="B2884" s="27" t="str">
        <x:v>45033</x:v>
      </x:c>
      <x:c r="C2884" s="27" t="str">
        <x:v>SC</x:v>
      </x:c>
      <x:c r="D2884" s="27" t="str">
        <x:v>Dillon County</x:v>
      </x:c>
      <x:c r="E2884" s="40" t="n">
        <x:v>27458</x:v>
      </x:c>
      <x:c r="F2884" s="55" t="n">
        <x:v>34.390164</x:v>
      </x:c>
      <x:c r="G2884" s="55" t="n">
        <x:v>-79.37521</x:v>
      </x:c>
      <x:c r="H2884" s="43" t="n">
        <x:f>E2884/SUMIF(A:A,A2884,E:E)</x:f>
        <x:v>0.0014247845997897952</x:v>
      </x:c>
    </x:row>
    <x:row r="2885" ht="15" hidden="0" customHeight="1">
      <x:c r="A2885" s="29" t="str">
        <x:v>SCA-29</x:v>
      </x:c>
      <x:c r="B2885" s="29" t="str">
        <x:v>51790</x:v>
      </x:c>
      <x:c r="C2885" s="29" t="str">
        <x:v>VA</x:v>
      </x:c>
      <x:c r="D2885" s="29" t="str">
        <x:v>Staunton city</x:v>
      </x:c>
      <x:c r="E2885" s="41" t="n">
        <x:v>26801</x:v>
      </x:c>
      <x:c r="F2885" s="56" t="n">
        <x:v>38.157978</x:v>
      </x:c>
      <x:c r="G2885" s="56" t="n">
        <x:v>-79.061876</x:v>
      </x:c>
      <x:c r="H2885" s="44" t="n">
        <x:f>E2885/SUMIF(A:A,A2885,E:E)</x:f>
        <x:v>0.0013906931334753553</x:v>
      </x:c>
    </x:row>
    <x:row r="2886" ht="21.600000381469727" hidden="0" customHeight="1">
      <x:c r="A2886" s="27" t="str">
        <x:v>SCA-29</x:v>
      </x:c>
      <x:c r="B2886" s="27" t="str">
        <x:v>37123</x:v>
      </x:c>
      <x:c r="C2886" s="27" t="str">
        <x:v>NC</x:v>
      </x:c>
      <x:c r="D2886" s="27" t="str">
        <x:v>Montgomery County</x:v>
      </x:c>
      <x:c r="E2886" s="40" t="n">
        <x:v>26403</x:v>
      </x:c>
      <x:c r="F2886" s="55" t="n">
        <x:v>35.327548</x:v>
      </x:c>
      <x:c r="G2886" s="55" t="n">
        <x:v>-79.910752</x:v>
      </x:c>
      <x:c r="H2886" s="43" t="n">
        <x:f>E2886/SUMIF(A:A,A2886,E:E)</x:f>
        <x:v>0.0013700410732118131</x:v>
      </x:c>
    </x:row>
    <x:row r="2887" ht="15" hidden="0" customHeight="1">
      <x:c r="A2887" s="29" t="str">
        <x:v>SCA-29</x:v>
      </x:c>
      <x:c r="B2887" s="29" t="str">
        <x:v>51775</x:v>
      </x:c>
      <x:c r="C2887" s="29" t="str">
        <x:v>VA</x:v>
      </x:c>
      <x:c r="D2887" s="29" t="str">
        <x:v>Salem city</x:v>
      </x:c>
      <x:c r="E2887" s="41" t="n">
        <x:v>25816</x:v>
      </x:c>
      <x:c r="F2887" s="56" t="n">
        <x:v>37.285333</x:v>
      </x:c>
      <x:c r="G2887" s="56" t="n">
        <x:v>-80.055241</x:v>
      </x:c>
      <x:c r="H2887" s="44" t="n">
        <x:f>E2887/SUMIF(A:A,A2887,E:E)</x:f>
        <x:v>0.001339581878803021</x:v>
      </x:c>
    </x:row>
    <x:row r="2888" ht="21.600000381469727" hidden="0" customHeight="1">
      <x:c r="A2888" s="27" t="str">
        <x:v>SCA-29</x:v>
      </x:c>
      <x:c r="B2888" s="27" t="str">
        <x:v>45069</x:v>
      </x:c>
      <x:c r="C2888" s="27" t="str">
        <x:v>SC</x:v>
      </x:c>
      <x:c r="D2888" s="27" t="str">
        <x:v>Marlboro County</x:v>
      </x:c>
      <x:c r="E2888" s="40" t="n">
        <x:v>25488</x:v>
      </x:c>
      <x:c r="F2888" s="55" t="n">
        <x:v>34.60167</x:v>
      </x:c>
      <x:c r="G2888" s="55" t="n">
        <x:v>-79.679435</x:v>
      </x:c>
      <x:c r="H2888" s="43" t="n">
        <x:f>E2888/SUMIF(A:A,A2888,E:E)</x:f>
        <x:v>0.001322562090445127</x:v>
      </x:c>
    </x:row>
    <x:row r="2889" ht="21.600000381469727" hidden="0" customHeight="1">
      <x:c r="A2889" s="29" t="str">
        <x:v>SCA-29</x:v>
      </x:c>
      <x:c r="B2889" s="29" t="str">
        <x:v>51167</x:v>
      </x:c>
      <x:c r="C2889" s="29" t="str">
        <x:v>VA</x:v>
      </x:c>
      <x:c r="D2889" s="29" t="str">
        <x:v>Russell County</x:v>
      </x:c>
      <x:c r="E2889" s="41" t="n">
        <x:v>25332</x:v>
      </x:c>
      <x:c r="F2889" s="56" t="n">
        <x:v>36.93342</x:v>
      </x:c>
      <x:c r="G2889" s="56" t="n">
        <x:v>-82.095934</x:v>
      </x:c>
      <x:c r="H2889" s="44" t="n">
        <x:f>E2889/SUMIF(A:A,A2889,E:E)</x:f>
        <x:v>0.001314467313055397</x:v>
      </x:c>
    </x:row>
    <x:row r="2890" ht="21.600000381469727" hidden="0" customHeight="1">
      <x:c r="A2890" s="27" t="str">
        <x:v>SCA-29</x:v>
      </x:c>
      <x:c r="B2890" s="27" t="str">
        <x:v>51820</x:v>
      </x:c>
      <x:c r="C2890" s="27" t="str">
        <x:v>VA</x:v>
      </x:c>
      <x:c r="D2890" s="27" t="str">
        <x:v>Waynesboro city</x:v>
      </x:c>
      <x:c r="E2890" s="40" t="n">
        <x:v>23951</x:v>
      </x:c>
      <x:c r="F2890" s="55" t="n">
        <x:v>38.067157</x:v>
      </x:c>
      <x:c r="G2890" s="55" t="n">
        <x:v>-78.90142</x:v>
      </x:c>
      <x:c r="H2890" s="43" t="n">
        <x:f>E2890/SUMIF(A:A,A2890,E:E)</x:f>
        <x:v>0.0012428077773168251</x:v>
      </x:c>
    </x:row>
    <x:row r="2891" ht="21.600000381469727" hidden="0" customHeight="1">
      <x:c r="A2891" s="29" t="str">
        <x:v>SCA-29</x:v>
      </x:c>
      <x:c r="B2891" s="29" t="str">
        <x:v>51670</x:v>
      </x:c>
      <x:c r="C2891" s="29" t="str">
        <x:v>VA</x:v>
      </x:c>
      <x:c r="D2891" s="29" t="str">
        <x:v>Hopewell city</x:v>
      </x:c>
      <x:c r="E2891" s="41" t="n">
        <x:v>23261</x:v>
      </x:c>
      <x:c r="F2891" s="56" t="n">
        <x:v>37.29101</x:v>
      </x:c>
      <x:c r="G2891" s="56" t="n">
        <x:v>-77.298944</x:v>
      </x:c>
      <x:c r="H2891" s="44" t="n">
        <x:f>E2891/SUMIF(A:A,A2891,E:E)</x:f>
        <x:v>0.0012070039542468652</x:v>
      </x:c>
    </x:row>
    <x:row r="2892" ht="21.600000381469727" hidden="0" customHeight="1">
      <x:c r="A2892" s="27" t="str">
        <x:v>SCA-29</x:v>
      </x:c>
      <x:c r="B2892" s="27" t="str">
        <x:v>51163</x:v>
      </x:c>
      <x:c r="C2892" s="27" t="str">
        <x:v>VA</x:v>
      </x:c>
      <x:c r="D2892" s="27" t="str">
        <x:v>Rockbridge County</x:v>
      </x:c>
      <x:c r="E2892" s="40" t="n">
        <x:v>22663</x:v>
      </x:c>
      <x:c r="F2892" s="55" t="n">
        <x:v>37.814517</x:v>
      </x:c>
      <x:c r="G2892" s="55" t="n">
        <x:v>-79.447754</x:v>
      </x:c>
      <x:c r="H2892" s="43" t="n">
        <x:f>E2892/SUMIF(A:A,A2892,E:E)</x:f>
        <x:v>0.0011759739742529</x:v>
      </x:c>
    </x:row>
    <x:row r="2893" ht="21.600000381469727" hidden="0" customHeight="1">
      <x:c r="A2893" s="29" t="str">
        <x:v>SCA-29</x:v>
      </x:c>
      <x:c r="B2893" s="29" t="str">
        <x:v>37033</x:v>
      </x:c>
      <x:c r="C2893" s="29" t="str">
        <x:v>NC</x:v>
      </x:c>
      <x:c r="D2893" s="29" t="str">
        <x:v>Caswell County</x:v>
      </x:c>
      <x:c r="E2893" s="41" t="n">
        <x:v>22563</x:v>
      </x:c>
      <x:c r="F2893" s="56" t="n">
        <x:v>36.394325</x:v>
      </x:c>
      <x:c r="G2893" s="56" t="n">
        <x:v>-79.339619</x:v>
      </x:c>
      <x:c r="H2893" s="44" t="n">
        <x:f>E2893/SUMIF(A:A,A2893,E:E)</x:f>
        <x:v>0.0011707850143876884</x:v>
      </x:c>
    </x:row>
    <x:row r="2894" ht="32.400001525878906" hidden="0" customHeight="1">
      <x:c r="A2894" s="27" t="str">
        <x:v>SCA-29</x:v>
      </x:c>
      <x:c r="B2894" s="27" t="str">
        <x:v>51147</x:v>
      </x:c>
      <x:c r="C2894" s="27" t="str">
        <x:v>VA</x:v>
      </x:c>
      <x:c r="D2894" s="27" t="str">
        <x:v>Prince Edward County</x:v>
      </x:c>
      <x:c r="E2894" s="40" t="n">
        <x:v>22391</x:v>
      </x:c>
      <x:c r="F2894" s="55" t="n">
        <x:v>37.224881</x:v>
      </x:c>
      <x:c r="G2894" s="55" t="n">
        <x:v>-78.432957</x:v>
      </x:c>
      <x:c r="H2894" s="43" t="n">
        <x:f>E2894/SUMIF(A:A,A2894,E:E)</x:f>
        <x:v>0.0011618600034195244</x:v>
      </x:c>
    </x:row>
    <x:row r="2895" ht="21.600000381469727" hidden="0" customHeight="1">
      <x:c r="A2895" s="29" t="str">
        <x:v>SCA-29</x:v>
      </x:c>
      <x:c r="B2895" s="29" t="str">
        <x:v>51079</x:v>
      </x:c>
      <x:c r="C2895" s="29" t="str">
        <x:v>VA</x:v>
      </x:c>
      <x:c r="D2895" s="29" t="str">
        <x:v>Greene County</x:v>
      </x:c>
      <x:c r="E2895" s="41" t="n">
        <x:v>21958</x:v>
      </x:c>
      <x:c r="F2895" s="56" t="n">
        <x:v>38.297981</x:v>
      </x:c>
      <x:c r="G2895" s="56" t="n">
        <x:v>-78.470163</x:v>
      </x:c>
      <x:c r="H2895" s="44" t="n">
        <x:f>E2895/SUMIF(A:A,A2895,E:E)</x:f>
        <x:v>0.0011393918072031585</x:v>
      </x:c>
    </x:row>
    <x:row r="2896" ht="21.600000381469727" hidden="0" customHeight="1">
      <x:c r="A2896" s="27" t="str">
        <x:v>SCA-29</x:v>
      </x:c>
      <x:c r="B2896" s="27" t="str">
        <x:v>37007</x:v>
      </x:c>
      <x:c r="C2896" s="27" t="str">
        <x:v>NC</x:v>
      </x:c>
      <x:c r="D2896" s="27" t="str">
        <x:v>Anson County</x:v>
      </x:c>
      <x:c r="E2896" s="40" t="n">
        <x:v>21758</x:v>
      </x:c>
      <x:c r="F2896" s="55" t="n">
        <x:v>34.974972</x:v>
      </x:c>
      <x:c r="G2896" s="55" t="n">
        <x:v>-80.109763</x:v>
      </x:c>
      <x:c r="H2896" s="43" t="n">
        <x:f>E2896/SUMIF(A:A,A2896,E:E)</x:f>
        <x:v>0.0011290138874727352</x:v>
      </x:c>
    </x:row>
    <x:row r="2897" ht="21.600000381469727" hidden="0" customHeight="1">
      <x:c r="A2897" s="29" t="str">
        <x:v>SCA-29</x:v>
      </x:c>
      <x:c r="B2897" s="29" t="str">
        <x:v>37117</x:v>
      </x:c>
      <x:c r="C2897" s="29" t="str">
        <x:v>NC</x:v>
      </x:c>
      <x:c r="D2897" s="29" t="str">
        <x:v>Martin County</x:v>
      </x:c>
      <x:c r="E2897" s="41" t="n">
        <x:v>21601</x:v>
      </x:c>
      <x:c r="F2897" s="56" t="n">
        <x:v>35.847301</x:v>
      </x:c>
      <x:c r="G2897" s="56" t="n">
        <x:v>-77.119602</x:v>
      </x:c>
      <x:c r="H2897" s="44" t="n">
        <x:f>E2897/SUMIF(A:A,A2897,E:E)</x:f>
        <x:v>0.001120867220484353</x:v>
      </x:c>
    </x:row>
    <x:row r="2898" ht="21.600000381469727" hidden="0" customHeight="1">
      <x:c r="A2898" s="27" t="str">
        <x:v>SCA-29</x:v>
      </x:c>
      <x:c r="B2898" s="27" t="str">
        <x:v>37079</x:v>
      </x:c>
      <x:c r="C2898" s="27" t="str">
        <x:v>NC</x:v>
      </x:c>
      <x:c r="D2898" s="27" t="str">
        <x:v>Greene County</x:v>
      </x:c>
      <x:c r="E2898" s="40" t="n">
        <x:v>20700</x:v>
      </x:c>
      <x:c r="F2898" s="55" t="n">
        <x:v>35.481959</x:v>
      </x:c>
      <x:c r="G2898" s="55" t="n">
        <x:v>-77.681688</x:v>
      </x:c>
      <x:c r="H2898" s="43" t="n">
        <x:f>E2898/SUMIF(A:A,A2898,E:E)</x:f>
        <x:v>0.0010741146920987968</x:v>
      </x:c>
    </x:row>
    <x:row r="2899" ht="21.600000381469727" hidden="0" customHeight="1">
      <x:c r="A2899" s="29" t="str">
        <x:v>SCA-29</x:v>
      </x:c>
      <x:c r="B2899" s="29" t="str">
        <x:v>45039</x:v>
      </x:c>
      <x:c r="C2899" s="29" t="str">
        <x:v>SC</x:v>
      </x:c>
      <x:c r="D2899" s="29" t="str">
        <x:v>Fairfield County</x:v>
      </x:c>
      <x:c r="E2899" s="41" t="n">
        <x:v>20340</x:v>
      </x:c>
      <x:c r="F2899" s="56" t="n">
        <x:v>34.395669</x:v>
      </x:c>
      <x:c r="G2899" s="56" t="n">
        <x:v>-81.127001</x:v>
      </x:c>
      <x:c r="H2899" s="44" t="n">
        <x:f>E2899/SUMIF(A:A,A2899,E:E)</x:f>
        <x:v>0.001055434436584035</x:v>
      </x:c>
    </x:row>
    <x:row r="2900" ht="21.600000381469727" hidden="0" customHeight="1">
      <x:c r="A2900" s="27" t="str">
        <x:v>SCA-29</x:v>
      </x:c>
      <x:c r="B2900" s="27" t="str">
        <x:v>54109</x:v>
      </x:c>
      <x:c r="C2900" s="27" t="str">
        <x:v>WV</x:v>
      </x:c>
      <x:c r="D2900" s="27" t="str">
        <x:v>Wyoming County</x:v>
      </x:c>
      <x:c r="E2900" s="40" t="n">
        <x:v>19801</x:v>
      </x:c>
      <x:c r="F2900" s="55" t="n">
        <x:v>37.60366</x:v>
      </x:c>
      <x:c r="G2900" s="55" t="n">
        <x:v>-81.549032</x:v>
      </x:c>
      <x:c r="H2900" s="43" t="n">
        <x:f>E2900/SUMIF(A:A,A2900,E:E)</x:f>
        <x:v>0.0010274659429105448</x:v>
      </x:c>
    </x:row>
    <x:row r="2901" ht="21.600000381469727" hidden="0" customHeight="1">
      <x:c r="A2901" s="29" t="str">
        <x:v>SCA-29</x:v>
      </x:c>
      <x:c r="B2901" s="29" t="str">
        <x:v>51193</x:v>
      </x:c>
      <x:c r="C2901" s="29" t="str">
        <x:v>VA</x:v>
      </x:c>
      <x:c r="D2901" s="29" t="str">
        <x:v>Westmoreland County</x:v>
      </x:c>
      <x:c r="E2901" s="41" t="n">
        <x:v>19715</x:v>
      </x:c>
      <x:c r="F2901" s="56" t="n">
        <x:v>38.109311</x:v>
      </x:c>
      <x:c r="G2901" s="56" t="n">
        <x:v>-76.803933</x:v>
      </x:c>
      <x:c r="H2901" s="44" t="n">
        <x:f>E2901/SUMIF(A:A,A2901,E:E)</x:f>
        <x:v>0.0010230034374264626</x:v>
      </x:c>
    </x:row>
    <x:row r="2902" ht="21.600000381469727" hidden="0" customHeight="1">
      <x:c r="A2902" s="27" t="str">
        <x:v>SCA-29</x:v>
      </x:c>
      <x:c r="B2902" s="27" t="str">
        <x:v>51101</x:v>
      </x:c>
      <x:c r="C2902" s="27" t="str">
        <x:v>VA</x:v>
      </x:c>
      <x:c r="D2902" s="27" t="str">
        <x:v>King William County</x:v>
      </x:c>
      <x:c r="E2902" s="40" t="n">
        <x:v>19617</x:v>
      </x:c>
      <x:c r="F2902" s="55" t="n">
        <x:v>37.70826</x:v>
      </x:c>
      <x:c r="G2902" s="55" t="n">
        <x:v>-77.091054</x:v>
      </x:c>
      <x:c r="H2902" s="43" t="n">
        <x:f>E2902/SUMIF(A:A,A2902,E:E)</x:f>
        <x:v>0.0010179182567585554</x:v>
      </x:c>
    </x:row>
    <x:row r="2903" ht="21.600000381469727" hidden="0" customHeight="1">
      <x:c r="A2903" s="29" t="str">
        <x:v>SCA-29</x:v>
      </x:c>
      <x:c r="B2903" s="29" t="str">
        <x:v>37091</x:v>
      </x:c>
      <x:c r="C2903" s="29" t="str">
        <x:v>NC</x:v>
      </x:c>
      <x:c r="D2903" s="29" t="str">
        <x:v>Hertford County</x:v>
      </x:c>
      <x:c r="E2903" s="41" t="n">
        <x:v>19015</x:v>
      </x:c>
      <x:c r="F2903" s="56" t="n">
        <x:v>36.363517</x:v>
      </x:c>
      <x:c r="G2903" s="56" t="n">
        <x:v>-76.981616</x:v>
      </x:c>
      <x:c r="H2903" s="44" t="n">
        <x:f>E2903/SUMIF(A:A,A2903,E:E)</x:f>
        <x:v>0.0009866807183699818</x:v>
      </x:c>
    </x:row>
    <x:row r="2904" ht="21.600000381469727" hidden="0" customHeight="1">
      <x:c r="A2904" s="27" t="str">
        <x:v>SCA-29</x:v>
      </x:c>
      <x:c r="B2904" s="27" t="str">
        <x:v>37185</x:v>
      </x:c>
      <x:c r="C2904" s="27" t="str">
        <x:v>NC</x:v>
      </x:c>
      <x:c r="D2904" s="27" t="str">
        <x:v>Warren County</x:v>
      </x:c>
      <x:c r="E2904" s="40" t="n">
        <x:v>18898</x:v>
      </x:c>
      <x:c r="F2904" s="55" t="n">
        <x:v>36.398105</x:v>
      </x:c>
      <x:c r="G2904" s="55" t="n">
        <x:v>-78.099899</x:v>
      </x:c>
      <x:c r="H2904" s="43" t="n">
        <x:f>E2904/SUMIF(A:A,A2904,E:E)</x:f>
        <x:v>0.000980609635327684</x:v>
      </x:c>
    </x:row>
    <x:row r="2905" ht="21.600000381469727" hidden="0" customHeight="1">
      <x:c r="A2905" s="29" t="str">
        <x:v>SCA-29</x:v>
      </x:c>
      <x:c r="B2905" s="29" t="str">
        <x:v>51570</x:v>
      </x:c>
      <x:c r="C2905" s="29" t="str">
        <x:v>VA</x:v>
      </x:c>
      <x:c r="D2905" s="29" t="str">
        <x:v>Colonial Heights city</x:v>
      </x:c>
      <x:c r="E2905" s="41" t="n">
        <x:v>18738</x:v>
      </x:c>
      <x:c r="F2905" s="56" t="n">
        <x:v>37.261685</x:v>
      </x:c>
      <x:c r="G2905" s="56" t="n">
        <x:v>-77.396804</x:v>
      </x:c>
      <x:c r="H2905" s="44" t="n">
        <x:f>E2905/SUMIF(A:A,A2905,E:E)</x:f>
        <x:v>0.0009723072995433456</x:v>
      </x:c>
    </x:row>
    <x:row r="2906" ht="21.600000381469727" hidden="0" customHeight="1">
      <x:c r="A2906" s="27" t="str">
        <x:v>SCA-29</x:v>
      </x:c>
      <x:c r="B2906" s="27" t="str">
        <x:v>47091</x:v>
      </x:c>
      <x:c r="C2906" s="27" t="str">
        <x:v>TN</x:v>
      </x:c>
      <x:c r="D2906" s="27" t="str">
        <x:v>Johnson County</x:v>
      </x:c>
      <x:c r="E2906" s="40" t="n">
        <x:v>18718</x:v>
      </x:c>
      <x:c r="F2906" s="55" t="n">
        <x:v>36.453203</x:v>
      </x:c>
      <x:c r="G2906" s="55" t="n">
        <x:v>-81.861247</x:v>
      </x:c>
      <x:c r="H2906" s="43" t="n">
        <x:f>E2906/SUMIF(A:A,A2906,E:E)</x:f>
        <x:v>0.0009712695075703033</x:v>
      </x:c>
    </x:row>
    <x:row r="2907" ht="21.600000381469727" hidden="0" customHeight="1">
      <x:c r="A2907" s="29" t="str">
        <x:v>SCA-29</x:v>
      </x:c>
      <x:c r="B2907" s="29" t="str">
        <x:v>37011</x:v>
      </x:c>
      <x:c r="C2907" s="29" t="str">
        <x:v>NC</x:v>
      </x:c>
      <x:c r="D2907" s="29" t="str">
        <x:v>Avery County</x:v>
      </x:c>
      <x:c r="E2907" s="41" t="n">
        <x:v>18110</x:v>
      </x:c>
      <x:c r="F2907" s="56" t="n">
        <x:v>36.07209</x:v>
      </x:c>
      <x:c r="G2907" s="56" t="n">
        <x:v>-81.920285</x:v>
      </x:c>
      <x:c r="H2907" s="44" t="n">
        <x:f>E2907/SUMIF(A:A,A2907,E:E)</x:f>
        <x:v>0.0009397206315898169</x:v>
      </x:c>
    </x:row>
    <x:row r="2908" ht="21.600000381469727" hidden="0" customHeight="1">
      <x:c r="A2908" s="27" t="str">
        <x:v>SCA-29</x:v>
      </x:c>
      <x:c r="B2908" s="27" t="str">
        <x:v>51175</x:v>
      </x:c>
      <x:c r="C2908" s="27" t="str">
        <x:v>VA</x:v>
      </x:c>
      <x:c r="D2908" s="27" t="str">
        <x:v>Southampton County</x:v>
      </x:c>
      <x:c r="E2908" s="40" t="n">
        <x:v>18110</x:v>
      </x:c>
      <x:c r="F2908" s="55" t="n">
        <x:v>36.720068</x:v>
      </x:c>
      <x:c r="G2908" s="55" t="n">
        <x:v>-77.103813</x:v>
      </x:c>
      <x:c r="H2908" s="43" t="n">
        <x:f>E2908/SUMIF(A:A,A2908,E:E)</x:f>
        <x:v>0.0009397206315898169</x:v>
      </x:c>
    </x:row>
    <x:row r="2909" ht="21.600000381469727" hidden="0" customHeight="1">
      <x:c r="A2909" s="29" t="str">
        <x:v>SCA-29</x:v>
      </x:c>
      <x:c r="B2909" s="29" t="str">
        <x:v>51141</x:v>
      </x:c>
      <x:c r="C2909" s="29" t="str">
        <x:v>VA</x:v>
      </x:c>
      <x:c r="D2909" s="29" t="str">
        <x:v>Patrick County</x:v>
      </x:c>
      <x:c r="E2909" s="41" t="n">
        <x:v>17424</x:v>
      </x:c>
      <x:c r="F2909" s="56" t="n">
        <x:v>36.667138</x:v>
      </x:c>
      <x:c r="G2909" s="56" t="n">
        <x:v>-80.286413</x:v>
      </x:c>
      <x:c r="H2909" s="44" t="n">
        <x:f>E2909/SUMIF(A:A,A2909,E:E)</x:f>
        <x:v>0.0009041243669144655</x:v>
      </x:c>
    </x:row>
    <x:row r="2910" ht="15" hidden="0" customHeight="1">
      <x:c r="A2910" s="27" t="str">
        <x:v>SCA-29</x:v>
      </x:c>
      <x:c r="B2910" s="27" t="str">
        <x:v>51750</x:v>
      </x:c>
      <x:c r="C2910" s="27" t="str">
        <x:v>VA</x:v>
      </x:c>
      <x:c r="D2910" s="27" t="str">
        <x:v>Radford city</x:v>
      </x:c>
      <x:c r="E2910" s="40" t="n">
        <x:v>17243</x:v>
      </x:c>
      <x:c r="F2910" s="55" t="n">
        <x:v>37.12012</x:v>
      </x:c>
      <x:c r="G2910" s="55" t="n">
        <x:v>-80.559149</x:v>
      </x:c>
      <x:c r="H2910" s="43" t="n">
        <x:f>E2910/SUMIF(A:A,A2910,E:E)</x:f>
        <x:v>0.0008947323495584325</x:v>
      </x:c>
    </x:row>
    <x:row r="2911" ht="21.600000381469727" hidden="0" customHeight="1">
      <x:c r="A2911" s="29" t="str">
        <x:v>SCA-29</x:v>
      </x:c>
      <x:c r="B2911" s="29" t="str">
        <x:v>51011</x:v>
      </x:c>
      <x:c r="C2911" s="29" t="str">
        <x:v>VA</x:v>
      </x:c>
      <x:c r="D2911" s="29" t="str">
        <x:v>Appomattox County</x:v>
      </x:c>
      <x:c r="E2911" s="41" t="n">
        <x:v>17172</x:v>
      </x:c>
      <x:c r="F2911" s="56" t="n">
        <x:v>37.370725</x:v>
      </x:c>
      <x:c r="G2911" s="56" t="n">
        <x:v>-78.81094</x:v>
      </x:c>
      <x:c r="H2911" s="44" t="n">
        <x:f>E2911/SUMIF(A:A,A2911,E:E)</x:f>
        <x:v>0.0008910481880541322</x:v>
      </x:c>
    </x:row>
    <x:row r="2912" ht="21.600000381469727" hidden="0" customHeight="1">
      <x:c r="A2912" s="27" t="str">
        <x:v>SCA-29</x:v>
      </x:c>
      <x:c r="B2912" s="27" t="str">
        <x:v>51029</x:v>
      </x:c>
      <x:c r="C2912" s="27" t="str">
        <x:v>VA</x:v>
      </x:c>
      <x:c r="D2912" s="27" t="str">
        <x:v>Buckingham County</x:v>
      </x:c>
      <x:c r="E2912" s="40" t="n">
        <x:v>17137</x:v>
      </x:c>
      <x:c r="F2912" s="55" t="n">
        <x:v>37.573928</x:v>
      </x:c>
      <x:c r="G2912" s="55" t="n">
        <x:v>-78.529169</x:v>
      </x:c>
      <x:c r="H2912" s="43" t="n">
        <x:f>E2912/SUMIF(A:A,A2912,E:E)</x:f>
        <x:v>0.0008892320521013082</x:v>
      </x:c>
    </x:row>
    <x:row r="2913" ht="21.600000381469727" hidden="0" customHeight="1">
      <x:c r="A2913" s="29" t="str">
        <x:v>SCA-29</x:v>
      </x:c>
      <x:c r="B2913" s="29" t="str">
        <x:v>37015</x:v>
      </x:c>
      <x:c r="C2913" s="29" t="str">
        <x:v>NC</x:v>
      </x:c>
      <x:c r="D2913" s="29" t="str">
        <x:v>Bertie County</x:v>
      </x:c>
      <x:c r="E2913" s="41" t="n">
        <x:v>17086</x:v>
      </x:c>
      <x:c r="F2913" s="56" t="n">
        <x:v>36.059043</x:v>
      </x:c>
      <x:c r="G2913" s="56" t="n">
        <x:v>-76.962364</x:v>
      </x:c>
      <x:c r="H2913" s="44" t="n">
        <x:f>E2913/SUMIF(A:A,A2913,E:E)</x:f>
        <x:v>0.0008865856825700503</x:v>
      </x:c>
    </x:row>
    <x:row r="2914" ht="21.600000381469727" hidden="0" customHeight="1">
      <x:c r="A2914" s="27" t="str">
        <x:v>SCA-29</x:v>
      </x:c>
      <x:c r="B2914" s="27" t="str">
        <x:v>54047</x:v>
      </x:c>
      <x:c r="C2914" s="27" t="str">
        <x:v>WV</x:v>
      </x:c>
      <x:c r="D2914" s="27" t="str">
        <x:v>McDowell County</x:v>
      </x:c>
      <x:c r="E2914" s="40" t="n">
        <x:v>16878</x:v>
      </x:c>
      <x:c r="F2914" s="55" t="n">
        <x:v>37.38276</x:v>
      </x:c>
      <x:c r="G2914" s="55" t="n">
        <x:v>-81.658204</x:v>
      </x:c>
      <x:c r="H2914" s="43" t="n">
        <x:f>E2914/SUMIF(A:A,A2914,E:E)</x:f>
        <x:v>0.0008757926460504102</x:v>
      </x:c>
    </x:row>
    <x:row r="2915" ht="15" hidden="0" customHeight="1">
      <x:c r="A2915" s="29" t="str">
        <x:v>SCA-29</x:v>
      </x:c>
      <x:c r="B2915" s="29" t="str">
        <x:v>51071</x:v>
      </x:c>
      <x:c r="C2915" s="29" t="str">
        <x:v>VA</x:v>
      </x:c>
      <x:c r="D2915" s="29" t="str">
        <x:v>Giles County</x:v>
      </x:c>
      <x:c r="E2915" s="41" t="n">
        <x:v>16564</x:v>
      </x:c>
      <x:c r="F2915" s="56" t="n">
        <x:v>37.318072</x:v>
      </x:c>
      <x:c r="G2915" s="56" t="n">
        <x:v>-80.698321</x:v>
      </x:c>
      <x:c r="H2915" s="44" t="n">
        <x:f>E2915/SUMIF(A:A,A2915,E:E)</x:f>
        <x:v>0.0008594993120736459</x:v>
      </x:c>
    </x:row>
    <x:row r="2916" ht="21.600000381469727" hidden="0" customHeight="1">
      <x:c r="A2916" s="27" t="str">
        <x:v>SCA-29</x:v>
      </x:c>
      <x:c r="B2916" s="27" t="str">
        <x:v>37131</x:v>
      </x:c>
      <x:c r="C2916" s="27" t="str">
        <x:v>NC</x:v>
      </x:c>
      <x:c r="D2916" s="27" t="str">
        <x:v>Northampton County</x:v>
      </x:c>
      <x:c r="E2916" s="40" t="n">
        <x:v>16491</x:v>
      </x:c>
      <x:c r="F2916" s="55" t="n">
        <x:v>36.421774</x:v>
      </x:c>
      <x:c r="G2916" s="55" t="n">
        <x:v>-77.398352</x:v>
      </x:c>
      <x:c r="H2916" s="43" t="n">
        <x:f>E2916/SUMIF(A:A,A2916,E:E)</x:f>
        <x:v>0.0008557113713720414</x:v>
      </x:c>
    </x:row>
    <x:row r="2917" ht="15" hidden="0" customHeight="1">
      <x:c r="A2917" s="29" t="str">
        <x:v>SCA-29</x:v>
      </x:c>
      <x:c r="B2917" s="29" t="str">
        <x:v>51520</x:v>
      </x:c>
      <x:c r="C2917" s="29" t="str">
        <x:v>VA</x:v>
      </x:c>
      <x:c r="D2917" s="29" t="str">
        <x:v>Bristol city</x:v>
      </x:c>
      <x:c r="E2917" s="41" t="n">
        <x:v>16418</x:v>
      </x:c>
      <x:c r="F2917" s="56" t="n">
        <x:v>36.616954</x:v>
      </x:c>
      <x:c r="G2917" s="56" t="n">
        <x:v>-82.157564</x:v>
      </x:c>
      <x:c r="H2917" s="44" t="n">
        <x:f>E2917/SUMIF(A:A,A2917,E:E)</x:f>
        <x:v>0.000851923430670437</x:v>
      </x:c>
    </x:row>
    <x:row r="2918" ht="21.600000381469727" hidden="0" customHeight="1">
      <x:c r="A2918" s="27" t="str">
        <x:v>SCA-29</x:v>
      </x:c>
      <x:c r="B2918" s="27" t="str">
        <x:v>51830</x:v>
      </x:c>
      <x:c r="C2918" s="27" t="str">
        <x:v>VA</x:v>
      </x:c>
      <x:c r="D2918" s="27" t="str">
        <x:v>Williamsburg city</x:v>
      </x:c>
      <x:c r="E2918" s="40" t="n">
        <x:v>15861</x:v>
      </x:c>
      <x:c r="F2918" s="55" t="n">
        <x:v>37.269481</x:v>
      </x:c>
      <x:c r="G2918" s="55" t="n">
        <x:v>-76.708193</x:v>
      </x:c>
      <x:c r="H2918" s="43" t="n">
        <x:f>E2918/SUMIF(A:A,A2918,E:E)</x:f>
        <x:v>0.0008230209242212085</x:v>
      </x:c>
    </x:row>
    <x:row r="2919" ht="21.600000381469727" hidden="0" customHeight="1">
      <x:c r="A2919" s="29" t="str">
        <x:v>SCA-29</x:v>
      </x:c>
      <x:c r="B2919" s="29" t="str">
        <x:v>51135</x:v>
      </x:c>
      <x:c r="C2919" s="29" t="str">
        <x:v>VA</x:v>
      </x:c>
      <x:c r="D2919" s="29" t="str">
        <x:v>Nottoway County</x:v>
      </x:c>
      <x:c r="E2919" s="41" t="n">
        <x:v>15796</x:v>
      </x:c>
      <x:c r="F2919" s="56" t="n">
        <x:v>37.141167</x:v>
      </x:c>
      <x:c r="G2919" s="56" t="n">
        <x:v>-78.053866</x:v>
      </x:c>
      <x:c r="H2919" s="44" t="n">
        <x:f>E2919/SUMIF(A:A,A2919,E:E)</x:f>
        <x:v>0.0008196481003088209</x:v>
      </x:c>
    </x:row>
    <x:row r="2920" ht="15" hidden="0" customHeight="1">
      <x:c r="A2920" s="27" t="str">
        <x:v>SCA-29</x:v>
      </x:c>
      <x:c r="B2920" s="27" t="str">
        <x:v>51063</x:v>
      </x:c>
      <x:c r="C2920" s="27" t="str">
        <x:v>VA</x:v>
      </x:c>
      <x:c r="D2920" s="27" t="str">
        <x:v>Floyd County</x:v>
      </x:c>
      <x:c r="E2920" s="40" t="n">
        <x:v>15789</x:v>
      </x:c>
      <x:c r="F2920" s="55" t="n">
        <x:v>36.931433</x:v>
      </x:c>
      <x:c r="G2920" s="55" t="n">
        <x:v>-80.350266</x:v>
      </x:c>
      <x:c r="H2920" s="43" t="n">
        <x:f>E2920/SUMIF(A:A,A2920,E:E)</x:f>
        <x:v>0.0008192848731182562</x:v>
      </x:c>
    </x:row>
    <x:row r="2921" ht="15" hidden="0" customHeight="1">
      <x:c r="A2921" s="29" t="str">
        <x:v>SCA-29</x:v>
      </x:c>
      <x:c r="B2921" s="29" t="str">
        <x:v>45061</x:v>
      </x:c>
      <x:c r="C2921" s="29" t="str">
        <x:v>SC</x:v>
      </x:c>
      <x:c r="D2921" s="29" t="str">
        <x:v>Lee County</x:v>
      </x:c>
      <x:c r="E2921" s="41" t="n">
        <x:v>15730</x:v>
      </x:c>
      <x:c r="F2921" s="56" t="n">
        <x:v>34.15864</x:v>
      </x:c>
      <x:c r="G2921" s="56" t="n">
        <x:v>-80.251209</x:v>
      </x:c>
      <x:c r="H2921" s="44" t="n">
        <x:f>E2921/SUMIF(A:A,A2921,E:E)</x:f>
        <x:v>0.0008162233867977813</x:v>
      </x:c>
    </x:row>
    <x:row r="2922" ht="21.600000381469727" hidden="0" customHeight="1">
      <x:c r="A2922" s="27" t="str">
        <x:v>SCA-29</x:v>
      </x:c>
      <x:c r="B2922" s="27" t="str">
        <x:v>51025</x:v>
      </x:c>
      <x:c r="C2922" s="27" t="str">
        <x:v>VA</x:v>
      </x:c>
      <x:c r="D2922" s="27" t="str">
        <x:v>Brunswick County</x:v>
      </x:c>
      <x:c r="E2922" s="40" t="n">
        <x:v>15727</x:v>
      </x:c>
      <x:c r="F2922" s="55" t="n">
        <x:v>36.764204</x:v>
      </x:c>
      <x:c r="G2922" s="55" t="n">
        <x:v>-77.861483</x:v>
      </x:c>
      <x:c r="H2922" s="43" t="n">
        <x:f>E2922/SUMIF(A:A,A2922,E:E)</x:f>
        <x:v>0.000816067718001825</x:v>
      </x:c>
    </x:row>
    <x:row r="2923" ht="21.600000381469727" hidden="0" customHeight="1">
      <x:c r="A2923" s="29" t="str">
        <x:v>SCA-29</x:v>
      </x:c>
      <x:c r="B2923" s="29" t="str">
        <x:v>51077</x:v>
      </x:c>
      <x:c r="C2923" s="29" t="str">
        <x:v>VA</x:v>
      </x:c>
      <x:c r="D2923" s="29" t="str">
        <x:v>Grayson County</x:v>
      </x:c>
      <x:c r="E2923" s="41" t="n">
        <x:v>15230</x:v>
      </x:c>
      <x:c r="F2923" s="56" t="n">
        <x:v>36.652229</x:v>
      </x:c>
      <x:c r="G2923" s="56" t="n">
        <x:v>-81.215323</x:v>
      </x:c>
      <x:c r="H2923" s="44" t="n">
        <x:f>E2923/SUMIF(A:A,A2923,E:E)</x:f>
        <x:v>0.0007902785874717234</x:v>
      </x:c>
    </x:row>
    <x:row r="2924" ht="21.600000381469727" hidden="0" customHeight="1">
      <x:c r="A2924" s="27" t="str">
        <x:v>SCA-29</x:v>
      </x:c>
      <x:c r="B2924" s="27" t="str">
        <x:v>37121</x:v>
      </x:c>
      <x:c r="C2924" s="27" t="str">
        <x:v>NC</x:v>
      </x:c>
      <x:c r="D2924" s="27" t="str">
        <x:v>Mitchell County</x:v>
      </x:c>
      <x:c r="E2924" s="40" t="n">
        <x:v>15062</x:v>
      </x:c>
      <x:c r="F2924" s="55" t="n">
        <x:v>36.013102</x:v>
      </x:c>
      <x:c r="G2924" s="55" t="n">
        <x:v>-82.163554</x:v>
      </x:c>
      <x:c r="H2924" s="43" t="n">
        <x:f>E2924/SUMIF(A:A,A2924,E:E)</x:f>
        <x:v>0.000781561134898168</x:v>
      </x:c>
    </x:row>
    <x:row r="2925" ht="21.600000381469727" hidden="0" customHeight="1">
      <x:c r="A2925" s="29" t="str">
        <x:v>SCA-29</x:v>
      </x:c>
      <x:c r="B2925" s="29" t="str">
        <x:v>51125</x:v>
      </x:c>
      <x:c r="C2925" s="29" t="str">
        <x:v>VA</x:v>
      </x:c>
      <x:c r="D2925" s="29" t="str">
        <x:v>Nelson County</x:v>
      </x:c>
      <x:c r="E2925" s="41" t="n">
        <x:v>14920</x:v>
      </x:c>
      <x:c r="F2925" s="56" t="n">
        <x:v>37.789079</x:v>
      </x:c>
      <x:c r="G2925" s="56" t="n">
        <x:v>-78.88344</x:v>
      </x:c>
      <x:c r="H2925" s="44" t="n">
        <x:f>E2925/SUMIF(A:A,A2925,E:E)</x:f>
        <x:v>0.0007741928118895676</x:v>
      </x:c>
    </x:row>
    <x:row r="2926" ht="21.600000381469727" hidden="0" customHeight="1">
      <x:c r="A2926" s="27" t="str">
        <x:v>SCA-29</x:v>
      </x:c>
      <x:c r="B2926" s="27" t="str">
        <x:v>51005</x:v>
      </x:c>
      <x:c r="C2926" s="27" t="str">
        <x:v>VA</x:v>
      </x:c>
      <x:c r="D2926" s="27" t="str">
        <x:v>Alleghany County</x:v>
      </x:c>
      <x:c r="E2926" s="40" t="n">
        <x:v>14546</x:v>
      </x:c>
      <x:c r="F2926" s="55" t="n">
        <x:v>37.787905</x:v>
      </x:c>
      <x:c r="G2926" s="55" t="n">
        <x:v>-80.008669</x:v>
      </x:c>
      <x:c r="H2926" s="43" t="n">
        <x:f>E2926/SUMIF(A:A,A2926,E:E)</x:f>
        <x:v>0.0007547861019936762</x:v>
      </x:c>
    </x:row>
    <x:row r="2927" ht="21.600000381469727" hidden="0" customHeight="1">
      <x:c r="A2927" s="29" t="str">
        <x:v>SCA-29</x:v>
      </x:c>
      <x:c r="B2927" s="29" t="str">
        <x:v>45017</x:v>
      </x:c>
      <x:c r="C2927" s="29" t="str">
        <x:v>SC</x:v>
      </x:c>
      <x:c r="D2927" s="29" t="str">
        <x:v>Calhoun County</x:v>
      </x:c>
      <x:c r="E2927" s="41" t="n">
        <x:v>14188</x:v>
      </x:c>
      <x:c r="F2927" s="56" t="n">
        <x:v>33.67478</x:v>
      </x:c>
      <x:c r="G2927" s="56" t="n">
        <x:v>-80.780347</x:v>
      </x:c>
      <x:c r="H2927" s="44" t="n">
        <x:f>E2927/SUMIF(A:A,A2927,E:E)</x:f>
        <x:v>0.0007362096256762188</x:v>
      </x:c>
    </x:row>
    <x:row r="2928" ht="21.600000381469727" hidden="0" customHeight="1">
      <x:c r="A2928" s="27" t="str">
        <x:v>SCA-29</x:v>
      </x:c>
      <x:c r="B2928" s="27" t="str">
        <x:v>37041</x:v>
      </x:c>
      <x:c r="C2928" s="27" t="str">
        <x:v>NC</x:v>
      </x:c>
      <x:c r="D2928" s="27" t="str">
        <x:v>Chowan County</x:v>
      </x:c>
      <x:c r="E2928" s="40" t="n">
        <x:v>14082</x:v>
      </x:c>
      <x:c r="F2928" s="55" t="n">
        <x:v>36.128979</x:v>
      </x:c>
      <x:c r="G2928" s="55" t="n">
        <x:v>-76.602752</x:v>
      </x:c>
      <x:c r="H2928" s="43" t="n">
        <x:f>E2928/SUMIF(A:A,A2928,E:E)</x:f>
        <x:v>0.0007307093282190944</x:v>
      </x:c>
    </x:row>
    <x:row r="2929" ht="21.600000381469727" hidden="0" customHeight="1">
      <x:c r="A2929" s="29" t="str">
        <x:v>SCA-29</x:v>
      </x:c>
      <x:c r="B2929" s="29" t="str">
        <x:v>51690</x:v>
      </x:c>
      <x:c r="C2929" s="29" t="str">
        <x:v>VA</x:v>
      </x:c>
      <x:c r="D2929" s="29" t="str">
        <x:v>Martinsville city</x:v>
      </x:c>
      <x:c r="E2929" s="41" t="n">
        <x:v>13849</x:v>
      </x:c>
      <x:c r="F2929" s="56" t="n">
        <x:v>36.683527</x:v>
      </x:c>
      <x:c r="G2929" s="56" t="n">
        <x:v>-79.863647</x:v>
      </x:c>
      <x:c r="H2929" s="44" t="n">
        <x:f>E2929/SUMIF(A:A,A2929,E:E)</x:f>
        <x:v>0.0007186190517331515</x:v>
      </x:c>
    </x:row>
    <x:row r="2930" ht="21.600000381469727" hidden="0" customHeight="1">
      <x:c r="A2930" s="27" t="str">
        <x:v>SCA-29</x:v>
      </x:c>
      <x:c r="B2930" s="27" t="str">
        <x:v>51007</x:v>
      </x:c>
      <x:c r="C2930" s="27" t="str">
        <x:v>VA</x:v>
      </x:c>
      <x:c r="D2930" s="27" t="str">
        <x:v>Amelia County</x:v>
      </x:c>
      <x:c r="E2930" s="40" t="n">
        <x:v>13632</x:v>
      </x:c>
      <x:c r="F2930" s="55" t="n">
        <x:v>37.331927</x:v>
      </x:c>
      <x:c r="G2930" s="55" t="n">
        <x:v>-77.977462</x:v>
      </x:c>
      <x:c r="H2930" s="43" t="n">
        <x:f>E2930/SUMIF(A:A,A2930,E:E)</x:f>
        <x:v>0.0007073590088256424</x:v>
      </x:c>
    </x:row>
    <x:row r="2931" ht="21.600000381469727" hidden="0" customHeight="1">
      <x:c r="A2931" s="29" t="str">
        <x:v>SCA-29</x:v>
      </x:c>
      <x:c r="B2931" s="29" t="str">
        <x:v>37143</x:v>
      </x:c>
      <x:c r="C2931" s="29" t="str">
        <x:v>NC</x:v>
      </x:c>
      <x:c r="D2931" s="29" t="str">
        <x:v>Perquimans County</x:v>
      </x:c>
      <x:c r="E2931" s="41" t="n">
        <x:v>13490</x:v>
      </x:c>
      <x:c r="F2931" s="56" t="n">
        <x:v>36.180897</x:v>
      </x:c>
      <x:c r="G2931" s="56" t="n">
        <x:v>-76.403244</x:v>
      </x:c>
      <x:c r="H2931" s="44" t="n">
        <x:f>E2931/SUMIF(A:A,A2931,E:E)</x:f>
        <x:v>0.000699990685817042</x:v>
      </x:c>
    </x:row>
    <x:row r="2932" ht="21.600000381469727" hidden="0" customHeight="1">
      <x:c r="A2932" s="27" t="str">
        <x:v>SCA-29</x:v>
      </x:c>
      <x:c r="B2932" s="27" t="str">
        <x:v>51735</x:v>
      </x:c>
      <x:c r="C2932" s="27" t="str">
        <x:v>VA</x:v>
      </x:c>
      <x:c r="D2932" s="27" t="str">
        <x:v>Poquoson city</x:v>
      </x:c>
      <x:c r="E2932" s="40" t="n">
        <x:v>13292</x:v>
      </x:c>
      <x:c r="F2932" s="55" t="n">
        <x:v>37.12836</x:v>
      </x:c>
      <x:c r="G2932" s="55" t="n">
        <x:v>-76.303534</x:v>
      </x:c>
      <x:c r="H2932" s="43" t="n">
        <x:f>E2932/SUMIF(A:A,A2932,E:E)</x:f>
        <x:v>0.000689716545283923</x:v>
      </x:c>
    </x:row>
    <x:row r="2933" ht="21.600000381469727" hidden="0" customHeight="1">
      <x:c r="A2933" s="29" t="str">
        <x:v>SCA-29</x:v>
      </x:c>
      <x:c r="B2933" s="29" t="str">
        <x:v>37137</x:v>
      </x:c>
      <x:c r="C2933" s="29" t="str">
        <x:v>NC</x:v>
      </x:c>
      <x:c r="D2933" s="29" t="str">
        <x:v>Pamlico County</x:v>
      </x:c>
      <x:c r="E2933" s="41" t="n">
        <x:v>12758</x:v>
      </x:c>
      <x:c r="F2933" s="56" t="n">
        <x:v>35.147575</x:v>
      </x:c>
      <x:c r="G2933" s="56" t="n">
        <x:v>-76.665268</x:v>
      </x:c>
      <x:c r="H2933" s="44" t="n">
        <x:f>E2933/SUMIF(A:A,A2933,E:E)</x:f>
        <x:v>0.0006620074996036932</x:v>
      </x:c>
    </x:row>
    <x:row r="2934" ht="21.600000381469727" hidden="0" customHeight="1">
      <x:c r="A2934" s="27" t="str">
        <x:v>SCA-29</x:v>
      </x:c>
      <x:c r="B2934" s="27" t="str">
        <x:v>51133</x:v>
      </x:c>
      <x:c r="C2934" s="27" t="str">
        <x:v>VA</x:v>
      </x:c>
      <x:c r="D2934" s="27" t="str">
        <x:v>Northumberland County</x:v>
      </x:c>
      <x:c r="E2934" s="40" t="n">
        <x:v>12557</x:v>
      </x:c>
      <x:c r="F2934" s="55" t="n">
        <x:v>37.856975</x:v>
      </x:c>
      <x:c r="G2934" s="55" t="n">
        <x:v>-76.379688</x:v>
      </x:c>
      <x:c r="H2934" s="43" t="n">
        <x:f>E2934/SUMIF(A:A,A2934,E:E)</x:f>
        <x:v>0.0006515776902746179</x:v>
      </x:c>
    </x:row>
    <x:row r="2935" ht="21.600000381469727" hidden="0" customHeight="1">
      <x:c r="A2935" s="29" t="str">
        <x:v>SCA-29</x:v>
      </x:c>
      <x:c r="B2935" s="29" t="str">
        <x:v>54063</x:v>
      </x:c>
      <x:c r="C2935" s="29" t="str">
        <x:v>WV</x:v>
      </x:c>
      <x:c r="D2935" s="29" t="str">
        <x:v>Monroe County</x:v>
      </x:c>
      <x:c r="E2935" s="41" t="n">
        <x:v>12491</x:v>
      </x:c>
      <x:c r="F2935" s="56" t="n">
        <x:v>37.554062</x:v>
      </x:c>
      <x:c r="G2935" s="56" t="n">
        <x:v>-80.550329</x:v>
      </x:c>
      <x:c r="H2935" s="44" t="n">
        <x:f>E2935/SUMIF(A:A,A2935,E:E)</x:f>
        <x:v>0.0006481529767635783</x:v>
      </x:c>
    </x:row>
    <x:row r="2936" ht="21.600000381469727" hidden="0" customHeight="1">
      <x:c r="A2936" s="27" t="str">
        <x:v>SCA-29</x:v>
      </x:c>
      <x:c r="B2936" s="27" t="str">
        <x:v>51111</x:v>
      </x:c>
      <x:c r="C2936" s="27" t="str">
        <x:v>VA</x:v>
      </x:c>
      <x:c r="D2936" s="27" t="str">
        <x:v>Lunenburg County</x:v>
      </x:c>
      <x:c r="E2936" s="40" t="n">
        <x:v>12058</x:v>
      </x:c>
      <x:c r="F2936" s="55" t="n">
        <x:v>36.945555</x:v>
      </x:c>
      <x:c r="G2936" s="55" t="n">
        <x:v>-78.240528</x:v>
      </x:c>
      <x:c r="H2936" s="43" t="n">
        <x:f>E2936/SUMIF(A:A,A2936,E:E)</x:f>
        <x:v>0.0006256847805472121</x:v>
      </x:c>
    </x:row>
    <x:row r="2937" ht="21.600000381469727" hidden="0" customHeight="1">
      <x:c r="A2937" s="29" t="str">
        <x:v>SCA-29</x:v>
      </x:c>
      <x:c r="B2937" s="29" t="str">
        <x:v>51131</x:v>
      </x:c>
      <x:c r="C2937" s="29" t="str">
        <x:v>VA</x:v>
      </x:c>
      <x:c r="D2937" s="29" t="str">
        <x:v>Northampton County</x:v>
      </x:c>
      <x:c r="E2937" s="41" t="n">
        <x:v>11879</x:v>
      </x:c>
      <x:c r="F2937" s="56" t="n">
        <x:v>37.302775</x:v>
      </x:c>
      <x:c r="G2937" s="56" t="n">
        <x:v>-75.924018</x:v>
      </x:c>
      <x:c r="H2937" s="44" t="n">
        <x:f>E2937/SUMIF(A:A,A2937,E:E)</x:f>
        <x:v>0.0006163965423884834</x:v>
      </x:c>
    </x:row>
    <x:row r="2938" ht="21.600000381469727" hidden="0" customHeight="1">
      <x:c r="A2938" s="27" t="str">
        <x:v>SCA-29</x:v>
      </x:c>
      <x:c r="B2938" s="27" t="str">
        <x:v>54089</x:v>
      </x:c>
      <x:c r="C2938" s="27" t="str">
        <x:v>WV</x:v>
      </x:c>
      <x:c r="D2938" s="27" t="str">
        <x:v>Summers County</x:v>
      </x:c>
      <x:c r="E2938" s="40" t="n">
        <x:v>11532</x:v>
      </x:c>
      <x:c r="F2938" s="55" t="n">
        <x:v>37.655999</x:v>
      </x:c>
      <x:c r="G2938" s="55" t="n">
        <x:v>-80.856325</x:v>
      </x:c>
      <x:c r="H2938" s="43" t="n">
        <x:f>E2938/SUMIF(A:A,A2938,E:E)</x:f>
        <x:v>0.0005983908516561992</x:v>
      </x:c>
    </x:row>
    <x:row r="2939" ht="21.600000381469727" hidden="0" customHeight="1">
      <x:c r="A2939" s="29" t="str">
        <x:v>SCA-29</x:v>
      </x:c>
      <x:c r="B2939" s="29" t="str">
        <x:v>37005</x:v>
      </x:c>
      <x:c r="C2939" s="29" t="str">
        <x:v>NC</x:v>
      </x:c>
      <x:c r="D2939" s="29" t="str">
        <x:v>Alleghany County</x:v>
      </x:c>
      <x:c r="E2939" s="41" t="n">
        <x:v>11479</x:v>
      </x:c>
      <x:c r="F2939" s="56" t="n">
        <x:v>36.489356</x:v>
      </x:c>
      <x:c r="G2939" s="56" t="n">
        <x:v>-81.132299</x:v>
      </x:c>
      <x:c r="H2939" s="44" t="n">
        <x:f>E2939/SUMIF(A:A,A2939,E:E)</x:f>
        <x:v>0.0005956407029276371</x:v>
      </x:c>
    </x:row>
    <x:row r="2940" ht="21.600000381469727" hidden="0" customHeight="1">
      <x:c r="A2940" s="27" t="str">
        <x:v>SCA-29</x:v>
      </x:c>
      <x:c r="B2940" s="27" t="str">
        <x:v>51037</x:v>
      </x:c>
      <x:c r="C2940" s="27" t="str">
        <x:v>VA</x:v>
      </x:c>
      <x:c r="D2940" s="27" t="str">
        <x:v>Charlotte County</x:v>
      </x:c>
      <x:c r="E2940" s="40" t="n">
        <x:v>11401</x:v>
      </x:c>
      <x:c r="F2940" s="55" t="n">
        <x:v>37.009042</x:v>
      </x:c>
      <x:c r="G2940" s="55" t="n">
        <x:v>-78.658568</x:v>
      </x:c>
      <x:c r="H2940" s="43" t="n">
        <x:f>E2940/SUMIF(A:A,A2940,E:E)</x:f>
        <x:v>0.000591593314232772</x:v>
      </x:c>
    </x:row>
    <x:row r="2941" ht="21.600000381469727" hidden="0" customHeight="1">
      <x:c r="A2941" s="29" t="str">
        <x:v>SCA-29</x:v>
      </x:c>
      <x:c r="B2941" s="29" t="str">
        <x:v>37029</x:v>
      </x:c>
      <x:c r="C2941" s="29" t="str">
        <x:v>NC</x:v>
      </x:c>
      <x:c r="D2941" s="29" t="str">
        <x:v>Camden County</x:v>
      </x:c>
      <x:c r="E2941" s="41" t="n">
        <x:v>11315</x:v>
      </x:c>
      <x:c r="F2941" s="56" t="n">
        <x:v>36.342344</x:v>
      </x:c>
      <x:c r="G2941" s="56" t="n">
        <x:v>-76.162488</x:v>
      </x:c>
      <x:c r="H2941" s="44" t="n">
        <x:f>E2941/SUMIF(A:A,A2941,E:E)</x:f>
        <x:v>0.0005871308087486901</x:v>
      </x:c>
    </x:row>
    <x:row r="2942" ht="21.600000381469727" hidden="0" customHeight="1">
      <x:c r="A2942" s="27" t="str">
        <x:v>SCA-29</x:v>
      </x:c>
      <x:c r="B2942" s="27" t="str">
        <x:v>51081</x:v>
      </x:c>
      <x:c r="C2942" s="27" t="str">
        <x:v>VA</x:v>
      </x:c>
      <x:c r="D2942" s="27" t="str">
        <x:v>Greensville County</x:v>
      </x:c>
      <x:c r="E2942" s="40" t="n">
        <x:v>11181</x:v>
      </x:c>
      <x:c r="F2942" s="55" t="n">
        <x:v>36.680336</x:v>
      </x:c>
      <x:c r="G2942" s="55" t="n">
        <x:v>-77.560277</x:v>
      </x:c>
      <x:c r="H2942" s="43" t="n">
        <x:f>E2942/SUMIF(A:A,A2942,E:E)</x:f>
        <x:v>0.0005801776025293066</x:v>
      </x:c>
    </x:row>
    <x:row r="2943" ht="21.600000381469727" hidden="0" customHeight="1">
      <x:c r="A2943" s="29" t="str">
        <x:v>SCA-29</x:v>
      </x:c>
      <x:c r="B2943" s="29" t="str">
        <x:v>51103</x:v>
      </x:c>
      <x:c r="C2943" s="29" t="str">
        <x:v>VA</x:v>
      </x:c>
      <x:c r="D2943" s="29" t="str">
        <x:v>Lancaster County</x:v>
      </x:c>
      <x:c r="E2943" s="41" t="n">
        <x:v>10995</x:v>
      </x:c>
      <x:c r="F2943" s="56" t="n">
        <x:v>37.704843</x:v>
      </x:c>
      <x:c r="G2943" s="56" t="n">
        <x:v>-76.412663</x:v>
      </x:c>
      <x:c r="H2943" s="44" t="n">
        <x:f>E2943/SUMIF(A:A,A2943,E:E)</x:f>
        <x:v>0.000570526137180013</x:v>
      </x:c>
    </x:row>
    <x:row r="2944" ht="21.600000381469727" hidden="0" customHeight="1">
      <x:c r="A2944" s="27" t="str">
        <x:v>SCA-29</x:v>
      </x:c>
      <x:c r="B2944" s="27" t="str">
        <x:v>51119</x:v>
      </x:c>
      <x:c r="C2944" s="27" t="str">
        <x:v>VA</x:v>
      </x:c>
      <x:c r="D2944" s="27" t="str">
        <x:v>Middlesex County</x:v>
      </x:c>
      <x:c r="E2944" s="40" t="n">
        <x:v>10841</x:v>
      </x:c>
      <x:c r="F2944" s="55" t="n">
        <x:v>37.606975</x:v>
      </x:c>
      <x:c r="G2944" s="55" t="n">
        <x:v>-76.528082</x:v>
      </x:c>
      <x:c r="H2944" s="43" t="n">
        <x:f>E2944/SUMIF(A:A,A2944,E:E)</x:f>
        <x:v>0.0005625351389875872</x:v>
      </x:c>
    </x:row>
    <x:row r="2945" ht="21.600000381469727" hidden="0" customHeight="1">
      <x:c r="A2945" s="29" t="str">
        <x:v>SCA-29</x:v>
      </x:c>
      <x:c r="B2945" s="29" t="str">
        <x:v>51183</x:v>
      </x:c>
      <x:c r="C2945" s="29" t="str">
        <x:v>VA</x:v>
      </x:c>
      <x:c r="D2945" s="29" t="str">
        <x:v>Sussex County</x:v>
      </x:c>
      <x:c r="E2945" s="41" t="n">
        <x:v>10755</x:v>
      </x:c>
      <x:c r="F2945" s="56" t="n">
        <x:v>36.926645</x:v>
      </x:c>
      <x:c r="G2945" s="56" t="n">
        <x:v>-77.259732</x:v>
      </x:c>
      <x:c r="H2945" s="44" t="n">
        <x:f>E2945/SUMIF(A:A,A2945,E:E)</x:f>
        <x:v>0.0005580726335035052</x:v>
      </x:c>
    </x:row>
    <x:row r="2946" ht="21.600000381469727" hidden="0" customHeight="1">
      <x:c r="A2946" s="27" t="str">
        <x:v>SCA-29</x:v>
      </x:c>
      <x:c r="B2946" s="27" t="str">
        <x:v>51057</x:v>
      </x:c>
      <x:c r="C2946" s="27" t="str">
        <x:v>VA</x:v>
      </x:c>
      <x:c r="D2946" s="27" t="str">
        <x:v>Essex County</x:v>
      </x:c>
      <x:c r="E2946" s="40" t="n">
        <x:v>10654</x:v>
      </x:c>
      <x:c r="F2946" s="55" t="n">
        <x:v>37.936389</x:v>
      </x:c>
      <x:c r="G2946" s="55" t="n">
        <x:v>-76.933747</x:v>
      </x:c>
      <x:c r="H2946" s="43" t="n">
        <x:f>E2946/SUMIF(A:A,A2946,E:E)</x:f>
        <x:v>0.0005528317840396415</x:v>
      </x:c>
    </x:row>
    <x:row r="2947" ht="21.600000381469727" hidden="0" customHeight="1">
      <x:c r="A2947" s="29" t="str">
        <x:v>SCA-29</x:v>
      </x:c>
      <x:c r="B2947" s="29" t="str">
        <x:v>37187</x:v>
      </x:c>
      <x:c r="C2947" s="29" t="str">
        <x:v>NC</x:v>
      </x:c>
      <x:c r="D2947" s="29" t="str">
        <x:v>Washington County</x:v>
      </x:c>
      <x:c r="E2947" s="41" t="n">
        <x:v>10638</x:v>
      </x:c>
      <x:c r="F2947" s="56" t="n">
        <x:v>35.844713</x:v>
      </x:c>
      <x:c r="G2947" s="56" t="n">
        <x:v>-76.572291</x:v>
      </x:c>
      <x:c r="H2947" s="44" t="n">
        <x:f>E2947/SUMIF(A:A,A2947,E:E)</x:f>
        <x:v>0.0005520015504612077</x:v>
      </x:c>
    </x:row>
    <x:row r="2948" ht="21.600000381469727" hidden="0" customHeight="1">
      <x:c r="A2948" s="27" t="str">
        <x:v>SCA-29</x:v>
      </x:c>
      <x:c r="B2948" s="27" t="str">
        <x:v>51049</x:v>
      </x:c>
      <x:c r="C2948" s="27" t="str">
        <x:v>VA</x:v>
      </x:c>
      <x:c r="D2948" s="27" t="str">
        <x:v>Cumberland County</x:v>
      </x:c>
      <x:c r="E2948" s="40" t="n">
        <x:v>10352</x:v>
      </x:c>
      <x:c r="F2948" s="55" t="n">
        <x:v>37.520189</x:v>
      </x:c>
      <x:c r="G2948" s="55" t="n">
        <x:v>-78.252836</x:v>
      </x:c>
      <x:c r="H2948" s="43" t="n">
        <x:f>E2948/SUMIF(A:A,A2948,E:E)</x:f>
        <x:v>0.0005371611252467026</x:v>
      </x:c>
    </x:row>
    <x:row r="2949" ht="21.600000381469727" hidden="0" customHeight="1">
      <x:c r="A2949" s="29" t="str">
        <x:v>SCA-29</x:v>
      </x:c>
      <x:c r="B2949" s="29" t="str">
        <x:v>37073</x:v>
      </x:c>
      <x:c r="C2949" s="29" t="str">
        <x:v>NC</x:v>
      </x:c>
      <x:c r="D2949" s="29" t="str">
        <x:v>Gates County</x:v>
      </x:c>
      <x:c r="E2949" s="41" t="n">
        <x:v>10234</x:v>
      </x:c>
      <x:c r="F2949" s="56" t="n">
        <x:v>36.442135</x:v>
      </x:c>
      <x:c r="G2949" s="56" t="n">
        <x:v>-76.702355</x:v>
      </x:c>
      <x:c r="H2949" s="44" t="n">
        <x:f>E2949/SUMIF(A:A,A2949,E:E)</x:f>
        <x:v>0.000531038152605753</x:v>
      </x:c>
    </x:row>
    <x:row r="2950" ht="21.600000381469727" hidden="0" customHeight="1">
      <x:c r="A2950" s="27" t="str">
        <x:v>SCA-29</x:v>
      </x:c>
      <x:c r="B2950" s="27" t="str">
        <x:v>37103</x:v>
      </x:c>
      <x:c r="C2950" s="27" t="str">
        <x:v>NC</x:v>
      </x:c>
      <x:c r="D2950" s="27" t="str">
        <x:v>Jones County</x:v>
      </x:c>
      <x:c r="E2950" s="40" t="n">
        <x:v>9575</x:v>
      </x:c>
      <x:c r="F2950" s="55" t="n">
        <x:v>35.032268</x:v>
      </x:c>
      <x:c r="G2950" s="55" t="n">
        <x:v>-77.356195</x:v>
      </x:c>
      <x:c r="H2950" s="43" t="n">
        <x:f>E2950/SUMIF(A:A,A2950,E:E)</x:f>
        <x:v>0.0004968429070940087</x:v>
      </x:c>
    </x:row>
    <x:row r="2951" ht="21.600000381469727" hidden="0" customHeight="1">
      <x:c r="A2951" s="29" t="str">
        <x:v>SCA-29</x:v>
      </x:c>
      <x:c r="B2951" s="29" t="str">
        <x:v>51159</x:v>
      </x:c>
      <x:c r="C2951" s="29" t="str">
        <x:v>VA</x:v>
      </x:c>
      <x:c r="D2951" s="29" t="str">
        <x:v>Richmond County</x:v>
      </x:c>
      <x:c r="E2951" s="41" t="n">
        <x:v>9294</x:v>
      </x:c>
      <x:c r="F2951" s="56" t="n">
        <x:v>37.942894</x:v>
      </x:c>
      <x:c r="G2951" s="56" t="n">
        <x:v>-76.730561</x:v>
      </x:c>
      <x:c r="H2951" s="44" t="n">
        <x:f>E2951/SUMIF(A:A,A2951,E:E)</x:f>
        <x:v>0.0004822619298727641</x:v>
      </x:c>
    </x:row>
    <x:row r="2952" ht="21.600000381469727" hidden="0" customHeight="1">
      <x:c r="A2952" s="27" t="str">
        <x:v>SCA-29</x:v>
      </x:c>
      <x:c r="B2952" s="27" t="str">
        <x:v>51115</x:v>
      </x:c>
      <x:c r="C2952" s="27" t="str">
        <x:v>VA</x:v>
      </x:c>
      <x:c r="D2952" s="27" t="str">
        <x:v>Mathews County</x:v>
      </x:c>
      <x:c r="E2952" s="40" t="n">
        <x:v>8529</x:v>
      </x:c>
      <x:c r="F2952" s="55" t="n">
        <x:v>37.425348</x:v>
      </x:c>
      <x:c r="G2952" s="55" t="n">
        <x:v>-76.268808</x:v>
      </x:c>
      <x:c r="H2952" s="43" t="n">
        <x:f>E2952/SUMIF(A:A,A2952,E:E)</x:f>
        <x:v>0.0004425663869038955</x:v>
      </x:c>
    </x:row>
    <x:row r="2953" ht="15" hidden="0" customHeight="1">
      <x:c r="A2953" s="29" t="str">
        <x:v>SCA-29</x:v>
      </x:c>
      <x:c r="B2953" s="29" t="str">
        <x:v>51620</x:v>
      </x:c>
      <x:c r="C2953" s="29" t="str">
        <x:v>VA</x:v>
      </x:c>
      <x:c r="D2953" s="29" t="str">
        <x:v>Franklin city</x:v>
      </x:c>
      <x:c r="E2953" s="41" t="n">
        <x:v>8478</x:v>
      </x:c>
      <x:c r="F2953" s="56" t="n">
        <x:v>36.684014</x:v>
      </x:c>
      <x:c r="G2953" s="56" t="n">
        <x:v>-76.941396</x:v>
      </x:c>
      <x:c r="H2953" s="44" t="n">
        <x:f>E2953/SUMIF(A:A,A2953,E:E)</x:f>
        <x:v>0.0004399200173726376</x:v>
      </x:c>
    </x:row>
    <x:row r="2954" ht="21.600000381469727" hidden="0" customHeight="1">
      <x:c r="A2954" s="27" t="str">
        <x:v>SCA-29</x:v>
      </x:c>
      <x:c r="B2954" s="27" t="str">
        <x:v>51678</x:v>
      </x:c>
      <x:c r="C2954" s="27" t="str">
        <x:v>VA</x:v>
      </x:c>
      <x:c r="D2954" s="27" t="str">
        <x:v>Lexington city</x:v>
      </x:c>
      <x:c r="E2954" s="40" t="n">
        <x:v>7769</x:v>
      </x:c>
      <x:c r="F2954" s="55" t="n">
        <x:v>37.782332</x:v>
      </x:c>
      <x:c r="G2954" s="55" t="n">
        <x:v>-79.44432</x:v>
      </x:c>
      <x:c r="H2954" s="43" t="n">
        <x:f>E2954/SUMIF(A:A,A2954,E:E)</x:f>
        <x:v>0.00040313029192828756</x:v>
      </x:c>
    </x:row>
    <x:row r="2955" ht="32.400001525878906" hidden="0" customHeight="1">
      <x:c r="A2955" s="29" t="str">
        <x:v>SCA-29</x:v>
      </x:c>
      <x:c r="B2955" s="29" t="str">
        <x:v>51097</x:v>
      </x:c>
      <x:c r="C2955" s="29" t="str">
        <x:v>VA</x:v>
      </x:c>
      <x:c r="D2955" s="29" t="str">
        <x:v>King and Queen County</x:v>
      </x:c>
      <x:c r="E2955" s="41" t="n">
        <x:v>6743</x:v>
      </x:c>
      <x:c r="F2955" s="56" t="n">
        <x:v>37.717772</x:v>
      </x:c>
      <x:c r="G2955" s="56" t="n">
        <x:v>-76.905581</x:v>
      </x:c>
      <x:c r="H2955" s="44" t="n">
        <x:f>E2955/SUMIF(A:A,A2955,E:E)</x:f>
        <x:v>0.0003498915637112167</x:v>
      </x:c>
    </x:row>
    <x:row r="2956" ht="21.600000381469727" hidden="0" customHeight="1">
      <x:c r="A2956" s="27" t="str">
        <x:v>SCA-29</x:v>
      </x:c>
      <x:c r="B2956" s="27" t="str">
        <x:v>51530</x:v>
      </x:c>
      <x:c r="C2956" s="27" t="str">
        <x:v>VA</x:v>
      </x:c>
      <x:c r="D2956" s="27" t="str">
        <x:v>Buena Vista city</x:v>
      </x:c>
      <x:c r="E2956" s="40" t="n">
        <x:v>6672</x:v>
      </x:c>
      <x:c r="F2956" s="55" t="n">
        <x:v>37.729345</x:v>
      </x:c>
      <x:c r="G2956" s="55" t="n">
        <x:v>-79.358134</x:v>
      </x:c>
      <x:c r="H2956" s="43" t="n">
        <x:f>E2956/SUMIF(A:A,A2956,E:E)</x:f>
        <x:v>0.0003462074022069165</x:v>
      </x:c>
    </x:row>
    <x:row r="2957" ht="15" hidden="0" customHeight="1">
      <x:c r="A2957" s="29" t="str">
        <x:v>SCA-29</x:v>
      </x:c>
      <x:c r="B2957" s="29" t="str">
        <x:v>51640</x:v>
      </x:c>
      <x:c r="C2957" s="29" t="str">
        <x:v>VA</x:v>
      </x:c>
      <x:c r="D2957" s="29" t="str">
        <x:v>Galax city</x:v>
      </x:c>
      <x:c r="E2957" s="41" t="n">
        <x:v>6670</x:v>
      </x:c>
      <x:c r="F2957" s="56" t="n">
        <x:v>36.66564</x:v>
      </x:c>
      <x:c r="G2957" s="56" t="n">
        <x:v>-80.914308</x:v>
      </x:c>
      <x:c r="H2957" s="44" t="n">
        <x:f>E2957/SUMIF(A:A,A2957,E:E)</x:f>
        <x:v>0.00034610362300961227</x:v>
      </x:c>
    </x:row>
    <x:row r="2958" ht="21.600000381469727" hidden="0" customHeight="1">
      <x:c r="A2958" s="27" t="str">
        <x:v>SCA-29</x:v>
      </x:c>
      <x:c r="B2958" s="27" t="str">
        <x:v>51036</x:v>
      </x:c>
      <x:c r="C2958" s="27" t="str">
        <x:v>VA</x:v>
      </x:c>
      <x:c r="D2958" s="27" t="str">
        <x:v>Charles City County</x:v>
      </x:c>
      <x:c r="E2958" s="40" t="n">
        <x:v>6623</x:v>
      </x:c>
      <x:c r="F2958" s="55" t="n">
        <x:v>37.361054</x:v>
      </x:c>
      <x:c r="G2958" s="55" t="n">
        <x:v>-77.05417</x:v>
      </x:c>
      <x:c r="H2958" s="43" t="n">
        <x:f>E2958/SUMIF(A:A,A2958,E:E)</x:f>
        <x:v>0.00034366481187296283</x:v>
      </x:c>
    </x:row>
    <x:row r="2959" ht="15" hidden="0" customHeight="1">
      <x:c r="A2959" s="29" t="str">
        <x:v>SCA-29</x:v>
      </x:c>
      <x:c r="B2959" s="29" t="str">
        <x:v>51181</x:v>
      </x:c>
      <x:c r="C2959" s="29" t="str">
        <x:v>VA</x:v>
      </x:c>
      <x:c r="D2959" s="29" t="str">
        <x:v>Surry County</x:v>
      </x:c>
      <x:c r="E2959" s="41" t="n">
        <x:v>6603</x:v>
      </x:c>
      <x:c r="F2959" s="56" t="n">
        <x:v>37.119761</x:v>
      </x:c>
      <x:c r="G2959" s="56" t="n">
        <x:v>-76.880172</x:v>
      </x:c>
      <x:c r="H2959" s="44" t="n">
        <x:f>E2959/SUMIF(A:A,A2959,E:E)</x:f>
        <x:v>0.00034262701989992055</x:v>
      </x:c>
    </x:row>
    <x:row r="2960" ht="21.600000381469727" hidden="0" customHeight="1">
      <x:c r="A2960" s="27" t="str">
        <x:v>SCA-29</x:v>
      </x:c>
      <x:c r="B2960" s="27" t="str">
        <x:v>51021</x:v>
      </x:c>
      <x:c r="C2960" s="27" t="str">
        <x:v>VA</x:v>
      </x:c>
      <x:c r="D2960" s="27" t="str">
        <x:v>Bland County</x:v>
      </x:c>
      <x:c r="E2960" s="40" t="n">
        <x:v>6151</x:v>
      </x:c>
      <x:c r="F2960" s="55" t="n">
        <x:v>37.130612</x:v>
      </x:c>
      <x:c r="G2960" s="55" t="n">
        <x:v>-81.125853</x:v>
      </x:c>
      <x:c r="H2960" s="43" t="n">
        <x:f>E2960/SUMIF(A:A,A2960,E:E)</x:f>
        <x:v>0.0003191729213091642</x:v>
      </x:c>
    </x:row>
    <x:row r="2961" ht="21.600000381469727" hidden="0" customHeight="1">
      <x:c r="A2961" s="29" t="str">
        <x:v>SCA-29</x:v>
      </x:c>
      <x:c r="B2961" s="29" t="str">
        <x:v>51580</x:v>
      </x:c>
      <x:c r="C2961" s="29" t="str">
        <x:v>VA</x:v>
      </x:c>
      <x:c r="D2961" s="29" t="str">
        <x:v>Covington city</x:v>
      </x:c>
      <x:c r="E2961" s="41" t="n">
        <x:v>5680</x:v>
      </x:c>
      <x:c r="F2961" s="56" t="n">
        <x:v>37.78106</x:v>
      </x:c>
      <x:c r="G2961" s="56" t="n">
        <x:v>-79.985434</x:v>
      </x:c>
      <x:c r="H2961" s="44" t="n">
        <x:f>E2961/SUMIF(A:A,A2961,E:E)</x:f>
        <x:v>0.00029473292034401765</x:v>
      </x:c>
    </x:row>
    <x:row r="2962" ht="15" hidden="0" customHeight="1">
      <x:c r="A2962" s="27" t="str">
        <x:v>SCA-29</x:v>
      </x:c>
      <x:c r="B2962" s="27" t="str">
        <x:v>51595</x:v>
      </x:c>
      <x:c r="C2962" s="27" t="str">
        <x:v>VA</x:v>
      </x:c>
      <x:c r="D2962" s="27" t="str">
        <x:v>Emporia city</x:v>
      </x:c>
      <x:c r="E2962" s="40" t="n">
        <x:v>5447</x:v>
      </x:c>
      <x:c r="F2962" s="55" t="n">
        <x:v>36.696182</x:v>
      </x:c>
      <x:c r="G2962" s="55" t="n">
        <x:v>-77.535975</x:v>
      </x:c>
      <x:c r="H2962" s="43" t="n">
        <x:f>E2962/SUMIF(A:A,A2962,E:E)</x:f>
        <x:v>0.0002826426438580747</x:v>
      </x:c>
    </x:row>
    <x:row r="2963" ht="15" hidden="0" customHeight="1">
      <x:c r="A2963" s="29" t="str">
        <x:v>SCA-29</x:v>
      </x:c>
      <x:c r="B2963" s="29" t="str">
        <x:v>51045</x:v>
      </x:c>
      <x:c r="C2963" s="29" t="str">
        <x:v>VA</x:v>
      </x:c>
      <x:c r="D2963" s="29" t="str">
        <x:v>Craig County</x:v>
      </x:c>
      <x:c r="E2963" s="41" t="n">
        <x:v>4800</x:v>
      </x:c>
      <x:c r="F2963" s="56" t="n">
        <x:v>37.473603</x:v>
      </x:c>
      <x:c r="G2963" s="56" t="n">
        <x:v>-80.231051</x:v>
      </x:c>
      <x:c r="H2963" s="44" t="n">
        <x:f>E2963/SUMIF(A:A,A2963,E:E)</x:f>
        <x:v>0.00024907007353015576</x:v>
      </x:c>
    </x:row>
    <x:row r="2964" ht="15" hidden="0" customHeight="1">
      <x:c r="A2964" s="27" t="str">
        <x:v>SCA-29</x:v>
      </x:c>
      <x:c r="B2964" s="27" t="str">
        <x:v>37095</x:v>
      </x:c>
      <x:c r="C2964" s="27" t="str">
        <x:v>NC</x:v>
      </x:c>
      <x:c r="D2964" s="27" t="str">
        <x:v>Hyde County</x:v>
      </x:c>
      <x:c r="E2964" s="40" t="n">
        <x:v>4554</x:v>
      </x:c>
      <x:c r="F2964" s="55" t="n">
        <x:v>35.408157</x:v>
      </x:c>
      <x:c r="G2964" s="55" t="n">
        <x:v>-76.153687</x:v>
      </x:c>
      <x:c r="H2964" s="43" t="n">
        <x:f>E2964/SUMIF(A:A,A2964,E:E)</x:f>
        <x:v>0.00023630523226173528</x:v>
      </x:c>
    </x:row>
    <x:row r="2965" ht="21.600000381469727" hidden="0" customHeight="1">
      <x:c r="A2965" s="29" t="str">
        <x:v>SCA-29</x:v>
      </x:c>
      <x:c r="B2965" s="29" t="str">
        <x:v>37177</x:v>
      </x:c>
      <x:c r="C2965" s="29" t="str">
        <x:v>NC</x:v>
      </x:c>
      <x:c r="D2965" s="29" t="str">
        <x:v>Tyrrell County</x:v>
      </x:c>
      <x:c r="E2965" s="41" t="n">
        <x:v>3537</x:v>
      </x:c>
      <x:c r="F2965" s="56" t="n">
        <x:v>35.87042</x:v>
      </x:c>
      <x:c r="G2965" s="56" t="n">
        <x:v>-76.165345</x:v>
      </x:c>
      <x:c r="H2965" s="44" t="n">
        <x:f>E2965/SUMIF(A:A,A2965,E:E)</x:f>
        <x:v>0.00018353351043253353</x:v>
      </x:c>
    </x:row>
    <x:row r="2966" ht="21.600000381469727" hidden="0" customHeight="1">
      <x:c r="A2966" s="27" t="str">
        <x:v>SCA-30</x:v>
      </x:c>
      <x:c r="B2966" s="27" t="str">
        <x:v>36047</x:v>
      </x:c>
      <x:c r="C2966" s="27" t="str">
        <x:v>NY</x:v>
      </x:c>
      <x:c r="D2966" s="27" t="str">
        <x:v>Kings County</x:v>
      </x:c>
      <x:c r="E2966" s="40" t="n">
        <x:v>2653963</x:v>
      </x:c>
      <x:c r="F2966" s="55" t="n">
        <x:v>40.635045</x:v>
      </x:c>
      <x:c r="G2966" s="55" t="n">
        <x:v>-73.95064</x:v>
      </x:c>
      <x:c r="H2966" s="43" t="n">
        <x:f>E2966/SUMIF(A:A,A2966,E:E)</x:f>
        <x:v>0.06427329346638333</x:v>
      </x:c>
    </x:row>
    <x:row r="2967" ht="21.600000381469727" hidden="0" customHeight="1">
      <x:c r="A2967" s="29" t="str">
        <x:v>SCA-30</x:v>
      </x:c>
      <x:c r="B2967" s="29" t="str">
        <x:v>36081</x:v>
      </x:c>
      <x:c r="C2967" s="29" t="str">
        <x:v>NY</x:v>
      </x:c>
      <x:c r="D2967" s="29" t="str">
        <x:v>Queens County</x:v>
      </x:c>
      <x:c r="E2967" s="41" t="n">
        <x:v>2358182</x:v>
      </x:c>
      <x:c r="F2967" s="56" t="n">
        <x:v>40.654658</x:v>
      </x:c>
      <x:c r="G2967" s="56" t="n">
        <x:v>-73.841209</x:v>
      </x:c>
      <x:c r="H2967" s="44" t="n">
        <x:f>E2967/SUMIF(A:A,A2967,E:E)</x:f>
        <x:v>0.057110111833941456</x:v>
      </x:c>
    </x:row>
    <x:row r="2968" ht="21.600000381469727" hidden="0" customHeight="1">
      <x:c r="A2968" s="27" t="str">
        <x:v>SCA-30</x:v>
      </x:c>
      <x:c r="B2968" s="27" t="str">
        <x:v>36061</x:v>
      </x:c>
      <x:c r="C2968" s="27" t="str">
        <x:v>NY</x:v>
      </x:c>
      <x:c r="D2968" s="27" t="str">
        <x:v>New York County</x:v>
      </x:c>
      <x:c r="E2968" s="40" t="n">
        <x:v>1664862</x:v>
      </x:c>
      <x:c r="F2968" s="55" t="n">
        <x:v>40.776642</x:v>
      </x:c>
      <x:c r="G2968" s="55" t="n">
        <x:v>-73.970187</x:v>
      </x:c>
      <x:c r="H2968" s="43" t="n">
        <x:f>E2968/SUMIF(A:A,A2968,E:E)</x:f>
        <x:v>0.04031938798959514</x:v>
      </x:c>
    </x:row>
    <x:row r="2969" ht="21.600000381469727" hidden="0" customHeight="1">
      <x:c r="A2969" s="29" t="str">
        <x:v>SCA-30</x:v>
      </x:c>
      <x:c r="B2969" s="29" t="str">
        <x:v>42101</x:v>
      </x:c>
      <x:c r="C2969" s="29" t="str">
        <x:v>PA</x:v>
      </x:c>
      <x:c r="D2969" s="29" t="str">
        <x:v>Philadelphia County</x:v>
      </x:c>
      <x:c r="E2969" s="41" t="n">
        <x:v>1574281</x:v>
      </x:c>
      <x:c r="F2969" s="56" t="n">
        <x:v>40.009376</x:v>
      </x:c>
      <x:c r="G2969" s="56" t="n">
        <x:v>-75.133346</x:v>
      </x:c>
      <x:c r="H2969" s="44" t="n">
        <x:f>E2969/SUMIF(A:A,A2969,E:E)</x:f>
        <x:v>0.038125710385393995</x:v>
      </x:c>
    </x:row>
    <x:row r="2970" ht="21.600000381469727" hidden="0" customHeight="1">
      <x:c r="A2970" s="27" t="str">
        <x:v>SCA-30</x:v>
      </x:c>
      <x:c r="B2970" s="27" t="str">
        <x:v>36103</x:v>
      </x:c>
      <x:c r="C2970" s="27" t="str">
        <x:v>NY</x:v>
      </x:c>
      <x:c r="D2970" s="27" t="str">
        <x:v>Suffolk County</x:v>
      </x:c>
      <x:c r="E2970" s="40" t="n">
        <x:v>1546090</x:v>
      </x:c>
      <x:c r="F2970" s="55" t="n">
        <x:v>40.943554</x:v>
      </x:c>
      <x:c r="G2970" s="55" t="n">
        <x:v>-72.692218</x:v>
      </x:c>
      <x:c r="H2970" s="43" t="n">
        <x:f>E2970/SUMIF(A:A,A2970,E:E)</x:f>
        <x:v>0.03744298481005221</x:v>
      </x:c>
    </x:row>
    <x:row r="2971" ht="21.600000381469727" hidden="0" customHeight="1">
      <x:c r="A2971" s="29" t="str">
        <x:v>SCA-30</x:v>
      </x:c>
      <x:c r="B2971" s="29" t="str">
        <x:v>36005</x:v>
      </x:c>
      <x:c r="C2971" s="29" t="str">
        <x:v>NY</x:v>
      </x:c>
      <x:c r="D2971" s="29" t="str">
        <x:v>Bronx County</x:v>
      </x:c>
      <x:c r="E2971" s="41" t="n">
        <x:v>1406332</x:v>
      </x:c>
      <x:c r="F2971" s="56" t="n">
        <x:v>40.848711</x:v>
      </x:c>
      <x:c r="G2971" s="56" t="n">
        <x:v>-73.852939</x:v>
      </x:c>
      <x:c r="H2971" s="44" t="n">
        <x:f>E2971/SUMIF(A:A,A2971,E:E)</x:f>
        <x:v>0.03405834570684135</x:v>
      </x:c>
    </x:row>
    <x:row r="2972" ht="21.600000381469727" hidden="0" customHeight="1">
      <x:c r="A2972" s="27" t="str">
        <x:v>SCA-30</x:v>
      </x:c>
      <x:c r="B2972" s="27" t="str">
        <x:v>36059</x:v>
      </x:c>
      <x:c r="C2972" s="27" t="str">
        <x:v>NY</x:v>
      </x:c>
      <x:c r="D2972" s="27" t="str">
        <x:v>Nassau County</x:v>
      </x:c>
      <x:c r="E2972" s="40" t="n">
        <x:v>1398939</x:v>
      </x:c>
      <x:c r="F2972" s="55" t="n">
        <x:v>40.729612</x:v>
      </x:c>
      <x:c r="G2972" s="55" t="n">
        <x:v>-73.589414</x:v>
      </x:c>
      <x:c r="H2972" s="43" t="n">
        <x:f>E2972/SUMIF(A:A,A2972,E:E)</x:f>
        <x:v>0.03387930309826054</x:v>
      </x:c>
    </x:row>
    <x:row r="2973" ht="21.600000381469727" hidden="0" customHeight="1">
      <x:c r="A2973" s="29" t="str">
        <x:v>SCA-30</x:v>
      </x:c>
      <x:c r="B2973" s="29" t="str">
        <x:v>36119</x:v>
      </x:c>
      <x:c r="C2973" s="29" t="str">
        <x:v>NY</x:v>
      </x:c>
      <x:c r="D2973" s="29" t="str">
        <x:v>Westchester County</x:v>
      </x:c>
      <x:c r="E2973" s="41" t="n">
        <x:v>1015743</x:v>
      </x:c>
      <x:c r="F2973" s="56" t="n">
        <x:v>41.152686</x:v>
      </x:c>
      <x:c r="G2973" s="56" t="n">
        <x:v>-73.745753</x:v>
      </x:c>
      <x:c r="H2973" s="44" t="n">
        <x:f>E2973/SUMIF(A:A,A2973,E:E)</x:f>
        <x:v>0.02459911759335929</x:v>
      </x:c>
    </x:row>
    <x:row r="2974" ht="21.600000381469727" hidden="0" customHeight="1">
      <x:c r="A2974" s="27" t="str">
        <x:v>SCA-30</x:v>
      </x:c>
      <x:c r="B2974" s="27" t="str">
        <x:v>34003</x:v>
      </x:c>
      <x:c r="C2974" s="27" t="str">
        <x:v>NJ</x:v>
      </x:c>
      <x:c r="D2974" s="27" t="str">
        <x:v>Bergen County</x:v>
      </x:c>
      <x:c r="E2974" s="40" t="n">
        <x:v>977026</x:v>
      </x:c>
      <x:c r="F2974" s="55" t="n">
        <x:v>40.959698</x:v>
      </x:c>
      <x:c r="G2974" s="55" t="n">
        <x:v>-74.074727</x:v>
      </x:c>
      <x:c r="H2974" s="43" t="n">
        <x:f>E2974/SUMIF(A:A,A2974,E:E)</x:f>
        <x:v>0.02366147486693923</x:v>
      </x:c>
    </x:row>
    <x:row r="2975" ht="32.400001525878906" hidden="0" customHeight="1">
      <x:c r="A2975" s="29" t="str">
        <x:v>SCA-30</x:v>
      </x:c>
      <x:c r="B2975" s="29" t="str">
        <x:v>24033</x:v>
      </x:c>
      <x:c r="C2975" s="29" t="str">
        <x:v>MD</x:v>
      </x:c>
      <x:c r="D2975" s="29" t="str">
        <x:v>Prince George's County</x:v>
      </x:c>
      <x:c r="E2975" s="41" t="n">
        <x:v>970374</x:v>
      </x:c>
      <x:c r="F2975" s="56" t="n">
        <x:v>38.829278</x:v>
      </x:c>
      <x:c r="G2975" s="56" t="n">
        <x:v>-76.848188</x:v>
      </x:c>
      <x:c r="H2975" s="44" t="n">
        <x:f>E2975/SUMIF(A:A,A2975,E:E)</x:f>
        <x:v>0.023500377689571503</x:v>
      </x:c>
    </x:row>
    <x:row r="2976" ht="21.600000381469727" hidden="0" customHeight="1">
      <x:c r="A2976" s="27" t="str">
        <x:v>SCA-30</x:v>
      </x:c>
      <x:c r="B2976" s="27" t="str">
        <x:v>34013</x:v>
      </x:c>
      <x:c r="C2976" s="27" t="str">
        <x:v>NJ</x:v>
      </x:c>
      <x:c r="D2976" s="27" t="str">
        <x:v>Essex County</x:v>
      </x:c>
      <x:c r="E2976" s="40" t="n">
        <x:v>896379</x:v>
      </x:c>
      <x:c r="F2976" s="55" t="n">
        <x:v>40.7874</x:v>
      </x:c>
      <x:c r="G2976" s="55" t="n">
        <x:v>-74.246292</x:v>
      </x:c>
      <x:c r="H2976" s="43" t="n">
        <x:f>E2976/SUMIF(A:A,A2976,E:E)</x:f>
        <x:v>0.021708377443130603</x:v>
      </x:c>
    </x:row>
    <x:row r="2977" ht="21.600000381469727" hidden="0" customHeight="1">
      <x:c r="A2977" s="29" t="str">
        <x:v>SCA-30</x:v>
      </x:c>
      <x:c r="B2977" s="29" t="str">
        <x:v>34023</x:v>
      </x:c>
      <x:c r="C2977" s="29" t="str">
        <x:v>NJ</x:v>
      </x:c>
      <x:c r="D2977" s="29" t="str">
        <x:v>Middlesex County</x:v>
      </x:c>
      <x:c r="E2977" s="41" t="n">
        <x:v>883335</x:v>
      </x:c>
      <x:c r="F2977" s="56" t="n">
        <x:v>40.439621</x:v>
      </x:c>
      <x:c r="G2977" s="56" t="n">
        <x:v>-74.40743</x:v>
      </x:c>
      <x:c r="H2977" s="44" t="n">
        <x:f>E2977/SUMIF(A:A,A2977,E:E)</x:f>
        <x:v>0.021392479730926058</x:v>
      </x:c>
    </x:row>
    <x:row r="2978" ht="21.600000381469727" hidden="0" customHeight="1">
      <x:c r="A2978" s="27" t="str">
        <x:v>SCA-30</x:v>
      </x:c>
      <x:c r="B2978" s="27" t="str">
        <x:v>42091</x:v>
      </x:c>
      <x:c r="C2978" s="27" t="str">
        <x:v>PA</x:v>
      </x:c>
      <x:c r="D2978" s="27" t="str">
        <x:v>Montgomery County</x:v>
      </x:c>
      <x:c r="E2978" s="40" t="n">
        <x:v>877643</x:v>
      </x:c>
      <x:c r="F2978" s="55" t="n">
        <x:v>40.209999</x:v>
      </x:c>
      <x:c r="G2978" s="55" t="n">
        <x:v>-75.370201</x:v>
      </x:c>
      <x:c r="H2978" s="43" t="n">
        <x:f>E2978/SUMIF(A:A,A2978,E:E)</x:f>
        <x:v>0.021254631695210923</x:v>
      </x:c>
    </x:row>
    <x:row r="2979" ht="21.600000381469727" hidden="0" customHeight="1">
      <x:c r="A2979" s="29" t="str">
        <x:v>SCA-30</x:v>
      </x:c>
      <x:c r="B2979" s="29" t="str">
        <x:v>24005</x:v>
      </x:c>
      <x:c r="C2979" s="29" t="str">
        <x:v>MD</x:v>
      </x:c>
      <x:c r="D2979" s="29" t="str">
        <x:v>Baltimore County</x:v>
      </x:c>
      <x:c r="E2979" s="41" t="n">
        <x:v>847650</x:v>
      </x:c>
      <x:c r="F2979" s="56" t="n">
        <x:v>39.443167</x:v>
      </x:c>
      <x:c r="G2979" s="56" t="n">
        <x:v>-76.616569</x:v>
      </x:c>
      <x:c r="H2979" s="44" t="n">
        <x:f>E2979/SUMIF(A:A,A2979,E:E)</x:f>
        <x:v>0.020528265543558757</x:v>
      </x:c>
    </x:row>
    <x:row r="2980" ht="21.600000381469727" hidden="0" customHeight="1">
      <x:c r="A2980" s="27" t="str">
        <x:v>SCA-30</x:v>
      </x:c>
      <x:c r="B2980" s="27" t="str">
        <x:v>34017</x:v>
      </x:c>
      <x:c r="C2980" s="27" t="str">
        <x:v>NJ</x:v>
      </x:c>
      <x:c r="D2980" s="27" t="str">
        <x:v>Hudson County</x:v>
      </x:c>
      <x:c r="E2980" s="40" t="n">
        <x:v>735033</x:v>
      </x:c>
      <x:c r="F2980" s="55" t="n">
        <x:v>40.731375</x:v>
      </x:c>
      <x:c r="G2980" s="55" t="n">
        <x:v>-74.078601</x:v>
      </x:c>
      <x:c r="H2980" s="43" t="n">
        <x:f>E2980/SUMIF(A:A,A2980,E:E)</x:f>
        <x:v>0.017800923267007166</x:v>
      </x:c>
    </x:row>
    <x:row r="2981" ht="21.600000381469727" hidden="0" customHeight="1">
      <x:c r="A2981" s="29" t="str">
        <x:v>SCA-30</x:v>
      </x:c>
      <x:c r="B2981" s="29" t="str">
        <x:v>34029</x:v>
      </x:c>
      <x:c r="C2981" s="29" t="str">
        <x:v>NJ</x:v>
      </x:c>
      <x:c r="D2981" s="29" t="str">
        <x:v>Ocean County</x:v>
      </x:c>
      <x:c r="E2981" s="41" t="n">
        <x:v>673746</x:v>
      </x:c>
      <x:c r="F2981" s="56" t="n">
        <x:v>39.865669</x:v>
      </x:c>
      <x:c r="G2981" s="56" t="n">
        <x:v>-74.258864</x:v>
      </x:c>
      <x:c r="H2981" s="44" t="n">
        <x:f>E2981/SUMIF(A:A,A2981,E:E)</x:f>
        <x:v>0.0163166835331924</x:v>
      </x:c>
    </x:row>
    <x:row r="2982" ht="21.600000381469727" hidden="0" customHeight="1">
      <x:c r="A2982" s="27" t="str">
        <x:v>SCA-30</x:v>
      </x:c>
      <x:c r="B2982" s="27" t="str">
        <x:v>34025</x:v>
      </x:c>
      <x:c r="C2982" s="27" t="str">
        <x:v>NJ</x:v>
      </x:c>
      <x:c r="D2982" s="27" t="str">
        <x:v>Monmouth County</x:v>
      </x:c>
      <x:c r="E2982" s="40" t="n">
        <x:v>651035</x:v>
      </x:c>
      <x:c r="F2982" s="55" t="n">
        <x:v>40.287048</x:v>
      </x:c>
      <x:c r="G2982" s="55" t="n">
        <x:v>-74.152446</x:v>
      </x:c>
      <x:c r="H2982" s="43" t="n">
        <x:f>E2982/SUMIF(A:A,A2982,E:E)</x:f>
        <x:v>0.01576667180811747</x:v>
      </x:c>
    </x:row>
    <x:row r="2983" ht="21.600000381469727" hidden="0" customHeight="1">
      <x:c r="A2983" s="29" t="str">
        <x:v>SCA-30</x:v>
      </x:c>
      <x:c r="B2983" s="29" t="str">
        <x:v>42017</x:v>
      </x:c>
      <x:c r="C2983" s="29" t="str">
        <x:v>PA</x:v>
      </x:c>
      <x:c r="D2983" s="29" t="str">
        <x:v>Bucks County</x:v>
      </x:c>
      <x:c r="E2983" s="41" t="n">
        <x:v>647828</x:v>
      </x:c>
      <x:c r="F2983" s="56" t="n">
        <x:v>40.336887</x:v>
      </x:c>
      <x:c r="G2983" s="56" t="n">
        <x:v>-75.10706</x:v>
      </x:c>
      <x:c r="H2983" s="44" t="n">
        <x:f>E2983/SUMIF(A:A,A2983,E:E)</x:f>
        <x:v>0.015689005144284295</x:v>
      </x:c>
    </x:row>
    <x:row r="2984" ht="43.20000076293945" hidden="0" customHeight="1">
      <x:c r="A2984" s="27" t="str">
        <x:v>SCA-30</x:v>
      </x:c>
      <x:c r="B2984" s="27" t="str">
        <x:v>09190</x:v>
      </x:c>
      <x:c r="C2984" s="27" t="str">
        <x:v>CT</x:v>
      </x:c>
      <x:c r="D2984" s="27" t="str">
        <x:v>Western Connecticut Planning Region</x:v>
      </x:c>
      <x:c r="E2984" s="40" t="n">
        <x:v>640482</x:v>
      </x:c>
      <x:c r="F2984" s="55" t="n">
        <x:v>41.279055</x:v>
      </x:c>
      <x:c r="G2984" s="55" t="n">
        <x:v>-73.44655</x:v>
      </x:c>
      <x:c r="H2984" s="43" t="n">
        <x:f>E2984/SUMIF(A:A,A2984,E:E)</x:f>
        <x:v>0.015511100774930219</x:v>
      </x:c>
    </x:row>
    <x:row r="2985" ht="32.400001525878906" hidden="0" customHeight="1">
      <x:c r="A2985" s="29" t="str">
        <x:v>SCA-30</x:v>
      </x:c>
      <x:c r="B2985" s="29" t="str">
        <x:v>24003</x:v>
      </x:c>
      <x:c r="C2985" s="29" t="str">
        <x:v>MD</x:v>
      </x:c>
      <x:c r="D2985" s="29" t="str">
        <x:v>Anne Arundel County</x:v>
      </x:c>
      <x:c r="E2985" s="41" t="n">
        <x:v>603380</x:v>
      </x:c>
      <x:c r="F2985" s="56" t="n">
        <x:v>38.991617</x:v>
      </x:c>
      <x:c r="G2985" s="56" t="n">
        <x:v>-76.560894</x:v>
      </x:c>
      <x:c r="H2985" s="44" t="n">
        <x:f>E2985/SUMIF(A:A,A2985,E:E)</x:f>
        <x:v>0.01461256988576946</x:v>
      </x:c>
    </x:row>
    <x:row r="2986" ht="21.600000381469727" hidden="0" customHeight="1">
      <x:c r="A2986" s="27" t="str">
        <x:v>SCA-30</x:v>
      </x:c>
      <x:c r="B2986" s="27" t="str">
        <x:v>34039</x:v>
      </x:c>
      <x:c r="C2986" s="27" t="str">
        <x:v>NJ</x:v>
      </x:c>
      <x:c r="D2986" s="27" t="str">
        <x:v>Union County</x:v>
      </x:c>
      <x:c r="E2986" s="40" t="n">
        <x:v>601863</x:v>
      </x:c>
      <x:c r="F2986" s="55" t="n">
        <x:v>40.659871</x:v>
      </x:c>
      <x:c r="G2986" s="55" t="n">
        <x:v>-74.308696</x:v>
      </x:c>
      <x:c r="H2986" s="43" t="n">
        <x:f>E2986/SUMIF(A:A,A2986,E:E)</x:f>
        <x:v>0.014575831398387192</x:v>
      </x:c>
    </x:row>
    <x:row r="2987" ht="21.600000381469727" hidden="0" customHeight="1">
      <x:c r="A2987" s="29" t="str">
        <x:v>SCA-30</x:v>
      </x:c>
      <x:c r="B2987" s="29" t="str">
        <x:v>10003</x:v>
      </x:c>
      <x:c r="C2987" s="29" t="str">
        <x:v>DE</x:v>
      </x:c>
      <x:c r="D2987" s="29" t="str">
        <x:v>New Castle County</x:v>
      </x:c>
      <x:c r="E2987" s="41" t="n">
        <x:v>588026</x:v>
      </x:c>
      <x:c r="F2987" s="56" t="n">
        <x:v>39.575915</x:v>
      </x:c>
      <x:c r="G2987" s="56" t="n">
        <x:v>-75.644132</x:v>
      </x:c>
      <x:c r="H2987" s="44" t="n">
        <x:f>E2987/SUMIF(A:A,A2987,E:E)</x:f>
        <x:v>0.014240728926463376</x:v>
      </x:c>
    </x:row>
    <x:row r="2988" ht="21.600000381469727" hidden="0" customHeight="1">
      <x:c r="A2988" s="27" t="str">
        <x:v>SCA-30</x:v>
      </x:c>
      <x:c r="B2988" s="27" t="str">
        <x:v>42045</x:v>
      </x:c>
      <x:c r="C2988" s="27" t="str">
        <x:v>PA</x:v>
      </x:c>
      <x:c r="D2988" s="27" t="str">
        <x:v>Delaware County</x:v>
      </x:c>
      <x:c r="E2988" s="40" t="n">
        <x:v>580937</x:v>
      </x:c>
      <x:c r="F2988" s="55" t="n">
        <x:v>39.916685</x:v>
      </x:c>
      <x:c r="G2988" s="55" t="n">
        <x:v>-75.398818</x:v>
      </x:c>
      <x:c r="H2988" s="43" t="n">
        <x:f>E2988/SUMIF(A:A,A2988,E:E)</x:f>
        <x:v>0.014069048546072545</x:v>
      </x:c>
    </x:row>
    <x:row r="2989" ht="54" hidden="0" customHeight="1">
      <x:c r="A2989" s="29" t="str">
        <x:v>SCA-30</x:v>
      </x:c>
      <x:c r="B2989" s="29" t="str">
        <x:v>09170</x:v>
      </x:c>
      <x:c r="C2989" s="29" t="str">
        <x:v>CT</x:v>
      </x:c>
      <x:c r="D2989" s="29" t="str">
        <x:v>South Central Connecticut Planning Region</x:v>
      </x:c>
      <x:c r="E2989" s="41" t="n">
        <x:v>578741</x:v>
      </x:c>
      <x:c r="F2989" s="56" t="n">
        <x:v>41.290167</x:v>
      </x:c>
      <x:c r="G2989" s="56" t="n">
        <x:v>-72.837024</x:v>
      </x:c>
      <x:c r="H2989" s="44" t="n">
        <x:f>E2989/SUMIF(A:A,A2989,E:E)</x:f>
        <x:v>0.01401586613454225</x:v>
      </x:c>
    </x:row>
    <x:row r="2990" ht="21.600000381469727" hidden="0" customHeight="1">
      <x:c r="A2990" s="27" t="str">
        <x:v>SCA-30</x:v>
      </x:c>
      <x:c r="B2990" s="27" t="str">
        <x:v>24510</x:v>
      </x:c>
      <x:c r="C2990" s="27" t="str">
        <x:v>MD</x:v>
      </x:c>
      <x:c r="D2990" s="27" t="str">
        <x:v>Baltimore city</x:v>
      </x:c>
      <x:c r="E2990" s="40" t="n">
        <x:v>569997</x:v>
      </x:c>
      <x:c r="F2990" s="55" t="n">
        <x:v>39.300032</x:v>
      </x:c>
      <x:c r="G2990" s="55" t="n">
        <x:v>-76.610476</x:v>
      </x:c>
      <x:c r="H2990" s="43" t="n">
        <x:f>E2990/SUMIF(A:A,A2990,E:E)</x:f>
        <x:v>0.013804105202656592</x:v>
      </x:c>
    </x:row>
    <x:row r="2991" ht="21.600000381469727" hidden="0" customHeight="1">
      <x:c r="A2991" s="29" t="str">
        <x:v>SCA-30</x:v>
      </x:c>
      <x:c r="B2991" s="29" t="str">
        <x:v>42071</x:v>
      </x:c>
      <x:c r="C2991" s="29" t="str">
        <x:v>PA</x:v>
      </x:c>
      <x:c r="D2991" s="29" t="str">
        <x:v>Lancaster County</x:v>
      </x:c>
      <x:c r="E2991" s="41" t="n">
        <x:v>563159</x:v>
      </x:c>
      <x:c r="F2991" s="56" t="n">
        <x:v>40.041992</x:v>
      </x:c>
      <x:c r="G2991" s="56" t="n">
        <x:v>-76.250198</x:v>
      </x:c>
      <x:c r="H2991" s="44" t="n">
        <x:f>E2991/SUMIF(A:A,A2991,E:E)</x:f>
        <x:v>0.013638503504093678</x:v>
      </x:c>
    </x:row>
    <x:row r="2992" ht="21.600000381469727" hidden="0" customHeight="1">
      <x:c r="A2992" s="27" t="str">
        <x:v>SCA-30</x:v>
      </x:c>
      <x:c r="B2992" s="27" t="str">
        <x:v>42029</x:v>
      </x:c>
      <x:c r="C2992" s="27" t="str">
        <x:v>PA</x:v>
      </x:c>
      <x:c r="D2992" s="27" t="str">
        <x:v>Chester County</x:v>
      </x:c>
      <x:c r="E2992" s="40" t="n">
        <x:v>557116</x:v>
      </x:c>
      <x:c r="F2992" s="55" t="n">
        <x:v>39.974029</x:v>
      </x:c>
      <x:c r="G2992" s="55" t="n">
        <x:v>-75.749751</x:v>
      </x:c>
      <x:c r="H2992" s="43" t="n">
        <x:f>E2992/SUMIF(A:A,A2992,E:E)</x:f>
        <x:v>0.013492155000961813</x:v>
      </x:c>
    </x:row>
    <x:row r="2993" ht="21.600000381469727" hidden="0" customHeight="1">
      <x:c r="A2993" s="29" t="str">
        <x:v>SCA-30</x:v>
      </x:c>
      <x:c r="B2993" s="29" t="str">
        <x:v>34007</x:v>
      </x:c>
      <x:c r="C2993" s="29" t="str">
        <x:v>NJ</x:v>
      </x:c>
      <x:c r="D2993" s="29" t="str">
        <x:v>Camden County</x:v>
      </x:c>
      <x:c r="E2993" s="41" t="n">
        <x:v>535799</x:v>
      </x:c>
      <x:c r="F2993" s="56" t="n">
        <x:v>39.802407</x:v>
      </x:c>
      <x:c r="G2993" s="56" t="n">
        <x:v>-74.961249</x:v>
      </x:c>
      <x:c r="H2993" s="44" t="n">
        <x:f>E2993/SUMIF(A:A,A2993,E:E)</x:f>
        <x:v>0.012975902966994914</x:v>
      </x:c>
    </x:row>
    <x:row r="2994" ht="21.600000381469727" hidden="0" customHeight="1">
      <x:c r="A2994" s="27" t="str">
        <x:v>SCA-30</x:v>
      </x:c>
      <x:c r="B2994" s="27" t="str">
        <x:v>34031</x:v>
      </x:c>
      <x:c r="C2994" s="27" t="str">
        <x:v>NJ</x:v>
      </x:c>
      <x:c r="D2994" s="27" t="str">
        <x:v>Passaic County</x:v>
      </x:c>
      <x:c r="E2994" s="40" t="n">
        <x:v>531624</x:v>
      </x:c>
      <x:c r="F2994" s="55" t="n">
        <x:v>41.036655</x:v>
      </x:c>
      <x:c r="G2994" s="55" t="n">
        <x:v>-74.299408</x:v>
      </x:c>
      <x:c r="H2994" s="43" t="n">
        <x:f>E2994/SUMIF(A:A,A2994,E:E)</x:f>
        <x:v>0.012874793418662043</x:v>
      </x:c>
    </x:row>
    <x:row r="2995" ht="21.600000381469727" hidden="0" customHeight="1">
      <x:c r="A2995" s="29" t="str">
        <x:v>SCA-30</x:v>
      </x:c>
      <x:c r="B2995" s="29" t="str">
        <x:v>34027</x:v>
      </x:c>
      <x:c r="C2995" s="29" t="str">
        <x:v>NJ</x:v>
      </x:c>
      <x:c r="D2995" s="29" t="str">
        <x:v>Morris County</x:v>
      </x:c>
      <x:c r="E2995" s="41" t="n">
        <x:v>524251</x:v>
      </x:c>
      <x:c r="F2995" s="56" t="n">
        <x:v>40.858896</x:v>
      </x:c>
      <x:c r="G2995" s="56" t="n">
        <x:v>-74.547292</x:v>
      </x:c>
      <x:c r="H2995" s="44" t="n">
        <x:f>E2995/SUMIF(A:A,A2995,E:E)</x:f>
        <x:v>0.012696235167198987</x:v>
      </x:c>
    </x:row>
    <x:row r="2996" ht="21.600000381469727" hidden="0" customHeight="1">
      <x:c r="A2996" s="27" t="str">
        <x:v>SCA-30</x:v>
      </x:c>
      <x:c r="B2996" s="27" t="str">
        <x:v>36085</x:v>
      </x:c>
      <x:c r="C2996" s="27" t="str">
        <x:v>NY</x:v>
      </x:c>
      <x:c r="D2996" s="27" t="str">
        <x:v>Richmond County</x:v>
      </x:c>
      <x:c r="E2996" s="40" t="n">
        <x:v>501290</x:v>
      </x:c>
      <x:c r="F2996" s="55" t="n">
        <x:v>40.561263</x:v>
      </x:c>
      <x:c r="G2996" s="55" t="n">
        <x:v>-74.1399</x:v>
      </x:c>
      <x:c r="H2996" s="43" t="n">
        <x:f>E2996/SUMIF(A:A,A2996,E:E)</x:f>
        <x:v>0.012140168978152031</x:v>
      </x:c>
    </x:row>
    <x:row r="2997" ht="21.600000381469727" hidden="0" customHeight="1">
      <x:c r="A2997" s="29" t="str">
        <x:v>SCA-30</x:v>
      </x:c>
      <x:c r="B2997" s="29" t="str">
        <x:v>34005</x:v>
      </x:c>
      <x:c r="C2997" s="29" t="str">
        <x:v>NJ</x:v>
      </x:c>
      <x:c r="D2997" s="29" t="str">
        <x:v>Burlington County</x:v>
      </x:c>
      <x:c r="E2997" s="41" t="n">
        <x:v>481439</x:v>
      </x:c>
      <x:c r="F2997" s="56" t="n">
        <x:v>39.875786</x:v>
      </x:c>
      <x:c r="G2997" s="56" t="n">
        <x:v>-74.663006</x:v>
      </x:c>
      <x:c r="H2997" s="44" t="n">
        <x:f>E2997/SUMIF(A:A,A2997,E:E)</x:f>
        <x:v>0.011659420320917106</x:v>
      </x:c>
    </x:row>
    <x:row r="2998" ht="15" hidden="0" customHeight="1">
      <x:c r="A2998" s="27" t="str">
        <x:v>SCA-30</x:v>
      </x:c>
      <x:c r="B2998" s="27" t="str">
        <x:v>42133</x:v>
      </x:c>
      <x:c r="C2998" s="27" t="str">
        <x:v>PA</x:v>
      </x:c>
      <x:c r="D2998" s="27" t="str">
        <x:v>York County</x:v>
      </x:c>
      <x:c r="E2998" s="40" t="n">
        <x:v>473197</x:v>
      </x:c>
      <x:c r="F2998" s="55" t="n">
        <x:v>39.921751</x:v>
      </x:c>
      <x:c r="G2998" s="55" t="n">
        <x:v>-76.728889</x:v>
      </x:c>
      <x:c r="H2998" s="43" t="n">
        <x:f>E2998/SUMIF(A:A,A2998,E:E)</x:f>
        <x:v>0.01145981675268728</x:v>
      </x:c>
    </x:row>
    <x:row r="2999" ht="21.600000381469727" hidden="0" customHeight="1">
      <x:c r="A2999" s="29" t="str">
        <x:v>SCA-30</x:v>
      </x:c>
      <x:c r="B2999" s="29" t="str">
        <x:v>36067</x:v>
      </x:c>
      <x:c r="C2999" s="29" t="str">
        <x:v>NY</x:v>
      </x:c>
      <x:c r="D2999" s="29" t="str">
        <x:v>Onondaga County</x:v>
      </x:c>
      <x:c r="E2999" s="41" t="n">
        <x:v>466584</x:v>
      </x:c>
      <x:c r="F2999" s="56" t="n">
        <x:v>43.006516</x:v>
      </x:c>
      <x:c r="G2999" s="56" t="n">
        <x:v>-76.196134</x:v>
      </x:c>
      <x:c r="H2999" s="44" t="n">
        <x:f>E2999/SUMIF(A:A,A2999,E:E)</x:f>
        <x:v>0.011299664071699191</x:v>
      </x:c>
    </x:row>
    <x:row r="3000" ht="43.20000076293945" hidden="0" customHeight="1">
      <x:c r="A3000" s="27" t="str">
        <x:v>SCA-30</x:v>
      </x:c>
      <x:c r="B3000" s="27" t="str">
        <x:v>09140</x:v>
      </x:c>
      <x:c r="C3000" s="27" t="str">
        <x:v>CT</x:v>
      </x:c>
      <x:c r="D3000" s="27" t="str">
        <x:v>Naugatuck Valley Planning Region</x:v>
      </x:c>
      <x:c r="E3000" s="40" t="n">
        <x:v>463349</x:v>
      </x:c>
      <x:c r="F3000" s="55" t="n">
        <x:v>41.518931</x:v>
      </x:c>
      <x:c r="G3000" s="55" t="n">
        <x:v>-73.087906</x:v>
      </x:c>
      <x:c r="H3000" s="43" t="n">
        <x:f>E3000/SUMIF(A:A,A3000,E:E)</x:f>
        <x:v>0.011221319307901146</x:v>
      </x:c>
    </x:row>
    <x:row r="3001" ht="21.600000381469727" hidden="0" customHeight="1">
      <x:c r="A3001" s="29" t="str">
        <x:v>SCA-30</x:v>
      </x:c>
      <x:c r="B3001" s="29" t="str">
        <x:v>42011</x:v>
      </x:c>
      <x:c r="C3001" s="29" t="str">
        <x:v>PA</x:v>
      </x:c>
      <x:c r="D3001" s="29" t="str">
        <x:v>Berks County</x:v>
      </x:c>
      <x:c r="E3001" s="41" t="n">
        <x:v>440072</x:v>
      </x:c>
      <x:c r="F3001" s="56" t="n">
        <x:v>40.413957</x:v>
      </x:c>
      <x:c r="G3001" s="56" t="n">
        <x:v>-75.92686</x:v>
      </x:c>
      <x:c r="H3001" s="44" t="n">
        <x:f>E3001/SUMIF(A:A,A3001,E:E)</x:f>
        <x:v>0.010657600276393545</x:v>
      </x:c>
    </x:row>
    <x:row r="3002" ht="21.600000381469727" hidden="0" customHeight="1">
      <x:c r="A3002" s="27" t="str">
        <x:v>SCA-30</x:v>
      </x:c>
      <x:c r="B3002" s="27" t="str">
        <x:v>36071</x:v>
      </x:c>
      <x:c r="C3002" s="27" t="str">
        <x:v>NY</x:v>
      </x:c>
      <x:c r="D3002" s="27" t="str">
        <x:v>Orange County</x:v>
      </x:c>
      <x:c r="E3002" s="40" t="n">
        <x:v>417669</x:v>
      </x:c>
      <x:c r="F3002" s="55" t="n">
        <x:v>41.40241</x:v>
      </x:c>
      <x:c r="G3002" s="55" t="n">
        <x:v>-74.306252</x:v>
      </x:c>
      <x:c r="H3002" s="43" t="n">
        <x:f>E3002/SUMIF(A:A,A3002,E:E)</x:f>
        <x:v>0.010115047650932156</x:v>
      </x:c>
    </x:row>
    <x:row r="3003" ht="21.600000381469727" hidden="0" customHeight="1">
      <x:c r="A3003" s="29" t="str">
        <x:v>SCA-30</x:v>
      </x:c>
      <x:c r="B3003" s="29" t="str">
        <x:v>34021</x:v>
      </x:c>
      <x:c r="C3003" s="29" t="str">
        <x:v>NJ</x:v>
      </x:c>
      <x:c r="D3003" s="29" t="str">
        <x:v>Mercer County</x:v>
      </x:c>
      <x:c r="E3003" s="41" t="n">
        <x:v>399289</x:v>
      </x:c>
      <x:c r="F3003" s="56" t="n">
        <x:v>40.282503</x:v>
      </x:c>
      <x:c r="G3003" s="56" t="n">
        <x:v>-74.703724</x:v>
      </x:c>
      <x:c r="H3003" s="44" t="n">
        <x:f>E3003/SUMIF(A:A,A3003,E:E)</x:f>
        <x:v>0.009669923459708645</x:v>
      </x:c>
    </x:row>
    <x:row r="3004" ht="21.600000381469727" hidden="0" customHeight="1">
      <x:c r="A3004" s="27" t="str">
        <x:v>SCA-30</x:v>
      </x:c>
      <x:c r="B3004" s="27" t="str">
        <x:v>42077</x:v>
      </x:c>
      <x:c r="C3004" s="27" t="str">
        <x:v>PA</x:v>
      </x:c>
      <x:c r="D3004" s="27" t="str">
        <x:v>Lehigh County</x:v>
      </x:c>
      <x:c r="E3004" s="40" t="n">
        <x:v>384383</x:v>
      </x:c>
      <x:c r="F3004" s="55" t="n">
        <x:v>40.614241</x:v>
      </x:c>
      <x:c r="G3004" s="55" t="n">
        <x:v>-75.590627</x:v>
      </x:c>
      <x:c r="H3004" s="43" t="n">
        <x:f>E3004/SUMIF(A:A,A3004,E:E)</x:f>
        <x:v>0.009308932099840435</x:v>
      </x:c>
    </x:row>
    <x:row r="3005" ht="21.600000381469727" hidden="0" customHeight="1">
      <x:c r="A3005" s="29" t="str">
        <x:v>SCA-30</x:v>
      </x:c>
      <x:c r="B3005" s="29" t="str">
        <x:v>36087</x:v>
      </x:c>
      <x:c r="C3005" s="29" t="str">
        <x:v>NY</x:v>
      </x:c>
      <x:c r="D3005" s="29" t="str">
        <x:v>Rockland County</x:v>
      </x:c>
      <x:c r="E3005" s="41" t="n">
        <x:v>357397</x:v>
      </x:c>
      <x:c r="F3005" s="56" t="n">
        <x:v>41.154628</x:v>
      </x:c>
      <x:c r="G3005" s="56" t="n">
        <x:v>-74.024662</x:v>
      </x:c>
      <x:c r="H3005" s="44" t="n">
        <x:f>E3005/SUMIF(A:A,A3005,E:E)</x:f>
        <x:v>0.008655389040843826</x:v>
      </x:c>
    </x:row>
    <x:row r="3006" ht="21.600000381469727" hidden="0" customHeight="1">
      <x:c r="A3006" s="27" t="str">
        <x:v>SCA-30</x:v>
      </x:c>
      <x:c r="B3006" s="27" t="str">
        <x:v>34035</x:v>
      </x:c>
      <x:c r="C3006" s="27" t="str">
        <x:v>NJ</x:v>
      </x:c>
      <x:c r="D3006" s="27" t="str">
        <x:v>Somerset County</x:v>
      </x:c>
      <x:c r="E3006" s="40" t="n">
        <x:v>356486</x:v>
      </x:c>
      <x:c r="F3006" s="55" t="n">
        <x:v>40.565527</x:v>
      </x:c>
      <x:c r="G3006" s="55" t="n">
        <x:v>-74.619938</x:v>
      </x:c>
      <x:c r="H3006" s="43" t="n">
        <x:f>E3006/SUMIF(A:A,A3006,E:E)</x:f>
        <x:v>0.008633326574129754</x:v>
      </x:c>
    </x:row>
    <x:row r="3007" ht="43.20000076293945" hidden="0" customHeight="1">
      <x:c r="A3007" s="29" t="str">
        <x:v>SCA-30</x:v>
      </x:c>
      <x:c r="B3007" s="29" t="str">
        <x:v>09120</x:v>
      </x:c>
      <x:c r="C3007" s="29" t="str">
        <x:v>CT</x:v>
      </x:c>
      <x:c r="D3007" s="29" t="str">
        <x:v>Greater Bridgeport Planning Region</x:v>
      </x:c>
      <x:c r="E3007" s="41" t="n">
        <x:v>337697</x:v>
      </x:c>
      <x:c r="F3007" s="56" t="n">
        <x:v>41.184558</x:v>
      </x:c>
      <x:c r="G3007" s="56" t="n">
        <x:v>-73.209401</x:v>
      </x:c>
      <x:c r="H3007" s="44" t="n">
        <x:f>E3007/SUMIF(A:A,A3007,E:E)</x:f>
        <x:v>0.008178297279848005</x:v>
      </x:c>
    </x:row>
    <x:row r="3008" ht="21.600000381469727" hidden="0" customHeight="1">
      <x:c r="A3008" s="27" t="str">
        <x:v>SCA-30</x:v>
      </x:c>
      <x:c r="B3008" s="27" t="str">
        <x:v>42079</x:v>
      </x:c>
      <x:c r="C3008" s="27" t="str">
        <x:v>PA</x:v>
      </x:c>
      <x:c r="D3008" s="27" t="str">
        <x:v>Luzerne County</x:v>
      </x:c>
      <x:c r="E3008" s="40" t="n">
        <x:v>332126</x:v>
      </x:c>
      <x:c r="F3008" s="55" t="n">
        <x:v>41.173078</x:v>
      </x:c>
      <x:c r="G3008" s="55" t="n">
        <x:v>-75.976053</x:v>
      </x:c>
      <x:c r="H3008" s="43" t="n">
        <x:f>E3008/SUMIF(A:A,A3008,E:E)</x:f>
        <x:v>0.008043379604695328</x:v>
      </x:c>
    </x:row>
    <x:row r="3009" ht="21.600000381469727" hidden="0" customHeight="1">
      <x:c r="A3009" s="29" t="str">
        <x:v>SCA-30</x:v>
      </x:c>
      <x:c r="B3009" s="29" t="str">
        <x:v>42095</x:v>
      </x:c>
      <x:c r="C3009" s="29" t="str">
        <x:v>PA</x:v>
      </x:c>
      <x:c r="D3009" s="29" t="str">
        <x:v>Northampton County</x:v>
      </x:c>
      <x:c r="E3009" s="41" t="n">
        <x:v>324411</x:v>
      </x:c>
      <x:c r="F3009" s="56" t="n">
        <x:v>40.752791</x:v>
      </x:c>
      <x:c r="G3009" s="56" t="n">
        <x:v>-75.307447</x:v>
      </x:c>
      <x:c r="H3009" s="44" t="n">
        <x:f>E3009/SUMIF(A:A,A3009,E:E)</x:f>
        <x:v>0.007856538846518539</x:v>
      </x:c>
    </x:row>
    <x:row r="3010" ht="21.600000381469727" hidden="0" customHeight="1">
      <x:c r="A3010" s="27" t="str">
        <x:v>SCA-30</x:v>
      </x:c>
      <x:c r="B3010" s="27" t="str">
        <x:v>36001</x:v>
      </x:c>
      <x:c r="C3010" s="27" t="str">
        <x:v>NY</x:v>
      </x:c>
      <x:c r="D3010" s="27" t="str">
        <x:v>Albany County</x:v>
      </x:c>
      <x:c r="E3010" s="40" t="n">
        <x:v>321225</x:v>
      </x:c>
      <x:c r="F3010" s="55" t="n">
        <x:v>42.58824</x:v>
      </x:c>
      <x:c r="G3010" s="55" t="n">
        <x:v>-73.97401</x:v>
      </x:c>
      <x:c r="H3010" s="43" t="n">
        <x:f>E3010/SUMIF(A:A,A3010,E:E)</x:f>
        <x:v>0.007779380757659012</x:v>
      </x:c>
    </x:row>
    <x:row r="3011" ht="21.600000381469727" hidden="0" customHeight="1">
      <x:c r="A3011" s="29" t="str">
        <x:v>SCA-30</x:v>
      </x:c>
      <x:c r="B3011" s="29" t="str">
        <x:v>34015</x:v>
      </x:c>
      <x:c r="C3011" s="29" t="str">
        <x:v>NJ</x:v>
      </x:c>
      <x:c r="D3011" s="29" t="str">
        <x:v>Gloucester County</x:v>
      </x:c>
      <x:c r="E3011" s="41" t="n">
        <x:v>312638</x:v>
      </x:c>
      <x:c r="F3011" s="56" t="n">
        <x:v>39.722875</x:v>
      </x:c>
      <x:c r="G3011" s="56" t="n">
        <x:v>-75.145681</x:v>
      </x:c>
      <x:c r="H3011" s="44" t="n">
        <x:f>E3011/SUMIF(A:A,A3011,E:E)</x:f>
        <x:v>0.007571422029147788</x:v>
      </x:c>
    </x:row>
    <x:row r="3012" ht="21.600000381469727" hidden="0" customHeight="1">
      <x:c r="A3012" s="27" t="str">
        <x:v>SCA-30</x:v>
      </x:c>
      <x:c r="B3012" s="27" t="str">
        <x:v>36027</x:v>
      </x:c>
      <x:c r="C3012" s="27" t="str">
        <x:v>NY</x:v>
      </x:c>
      <x:c r="D3012" s="27" t="str">
        <x:v>Dutchess County</x:v>
      </x:c>
      <x:c r="E3012" s="40" t="n">
        <x:v>300708</x:v>
      </x:c>
      <x:c r="F3012" s="55" t="n">
        <x:v>41.754825</x:v>
      </x:c>
      <x:c r="G3012" s="55" t="n">
        <x:v>-73.740014</x:v>
      </x:c>
      <x:c r="H3012" s="43" t="n">
        <x:f>E3012/SUMIF(A:A,A3012,E:E)</x:f>
        <x:v>0.007282503008402603</x:v>
      </x:c>
    </x:row>
    <x:row r="3013" ht="21.600000381469727" hidden="0" customHeight="1">
      <x:c r="A3013" s="29" t="str">
        <x:v>SCA-30</x:v>
      </x:c>
      <x:c r="B3013" s="29" t="str">
        <x:v>42043</x:v>
      </x:c>
      <x:c r="C3013" s="29" t="str">
        <x:v>PA</x:v>
      </x:c>
      <x:c r="D3013" s="29" t="str">
        <x:v>Dauphin County</x:v>
      </x:c>
      <x:c r="E3013" s="41" t="n">
        <x:v>293351</x:v>
      </x:c>
      <x:c r="F3013" s="56" t="n">
        <x:v>40.412565</x:v>
      </x:c>
      <x:c r="G3013" s="56" t="n">
        <x:v>-76.792634</x:v>
      </x:c>
      <x:c r="H3013" s="44" t="n">
        <x:f>E3013/SUMIF(A:A,A3013,E:E)</x:f>
        <x:v>0.007104332242633757</x:v>
      </x:c>
    </x:row>
    <x:row r="3014" ht="21.600000381469727" hidden="0" customHeight="1">
      <x:c r="A3014" s="27" t="str">
        <x:v>SCA-30</x:v>
      </x:c>
      <x:c r="B3014" s="27" t="str">
        <x:v>34001</x:v>
      </x:c>
      <x:c r="C3014" s="27" t="str">
        <x:v>NJ</x:v>
      </x:c>
      <x:c r="D3014" s="27" t="str">
        <x:v>Atlantic County</x:v>
      </x:c>
      <x:c r="E3014" s="40" t="n">
        <x:v>278657</x:v>
      </x:c>
      <x:c r="F3014" s="55" t="n">
        <x:v>39.469355</x:v>
      </x:c>
      <x:c r="G3014" s="55" t="n">
        <x:v>-74.633759</x:v>
      </x:c>
      <x:c r="H3014" s="43" t="n">
        <x:f>E3014/SUMIF(A:A,A3014,E:E)</x:f>
        <x:v>0.006748475068213829</x:v>
      </x:c>
    </x:row>
    <x:row r="3015" ht="21.600000381469727" hidden="0" customHeight="1">
      <x:c r="A3015" s="29" t="str">
        <x:v>SCA-30</x:v>
      </x:c>
      <x:c r="B3015" s="29" t="str">
        <x:v>10005</x:v>
      </x:c>
      <x:c r="C3015" s="29" t="str">
        <x:v>DE</x:v>
      </x:c>
      <x:c r="D3015" s="29" t="str">
        <x:v>Sussex County</x:v>
      </x:c>
      <x:c r="E3015" s="41" t="n">
        <x:v>277140</x:v>
      </x:c>
      <x:c r="F3015" s="56" t="n">
        <x:v>38.673227</x:v>
      </x:c>
      <x:c r="G3015" s="56" t="n">
        <x:v>-75.337024</x:v>
      </x:c>
      <x:c r="H3015" s="44" t="n">
        <x:f>E3015/SUMIF(A:A,A3015,E:E)</x:f>
        <x:v>0.006711736580831562</x:v>
      </x:c>
    </x:row>
    <x:row r="3016" ht="21.600000381469727" hidden="0" customHeight="1">
      <x:c r="A3016" s="27" t="str">
        <x:v>SCA-30</x:v>
      </x:c>
      <x:c r="B3016" s="27" t="str">
        <x:v>24025</x:v>
      </x:c>
      <x:c r="C3016" s="27" t="str">
        <x:v>MD</x:v>
      </x:c>
      <x:c r="D3016" s="27" t="str">
        <x:v>Harford County</x:v>
      </x:c>
      <x:c r="E3016" s="40" t="n">
        <x:v>266446</x:v>
      </x:c>
      <x:c r="F3016" s="55" t="n">
        <x:v>39.537429</x:v>
      </x:c>
      <x:c r="G3016" s="55" t="n">
        <x:v>-76.299789</x:v>
      </x:c>
      <x:c r="H3016" s="43" t="n">
        <x:f>E3016/SUMIF(A:A,A3016,E:E)</x:f>
        <x:v>0.006452750829964085</x:v>
      </x:c>
    </x:row>
    <x:row r="3017" ht="21.600000381469727" hidden="0" customHeight="1">
      <x:c r="A3017" s="29" t="str">
        <x:v>SCA-30</x:v>
      </x:c>
      <x:c r="B3017" s="29" t="str">
        <x:v>36065</x:v>
      </x:c>
      <x:c r="C3017" s="29" t="str">
        <x:v>NY</x:v>
      </x:c>
      <x:c r="D3017" s="29" t="str">
        <x:v>Oneida County</x:v>
      </x:c>
      <x:c r="E3017" s="41" t="n">
        <x:v>226392</x:v>
      </x:c>
      <x:c r="F3017" s="56" t="n">
        <x:v>43.242727</x:v>
      </x:c>
      <x:c r="G3017" s="56" t="n">
        <x:v>-75.434282</x:v>
      </x:c>
      <x:c r="H3017" s="44" t="n">
        <x:f>E3017/SUMIF(A:A,A3017,E:E)</x:f>
        <x:v>0.005482728830221617</x:v>
      </x:c>
    </x:row>
    <x:row r="3018" ht="21.600000381469727" hidden="0" customHeight="1">
      <x:c r="A3018" s="27" t="str">
        <x:v>SCA-30</x:v>
      </x:c>
      <x:c r="B3018" s="27" t="str">
        <x:v>42069</x:v>
      </x:c>
      <x:c r="C3018" s="27" t="str">
        <x:v>PA</x:v>
      </x:c>
      <x:c r="D3018" s="27" t="str">
        <x:v>Lackawanna County</x:v>
      </x:c>
      <x:c r="E3018" s="40" t="n">
        <x:v>216502</x:v>
      </x:c>
      <x:c r="F3018" s="55" t="n">
        <x:v>41.436636</x:v>
      </x:c>
      <x:c r="G3018" s="55" t="n">
        <x:v>-75.608768</x:v>
      </x:c>
      <x:c r="H3018" s="43" t="n">
        <x:f>E3018/SUMIF(A:A,A3018,E:E)</x:f>
        <x:v>0.005243214235488182</x:v>
      </x:c>
    </x:row>
    <x:row r="3019" ht="21.600000381469727" hidden="0" customHeight="1">
      <x:c r="A3019" s="29" t="str">
        <x:v>SCA-30</x:v>
      </x:c>
      <x:c r="B3019" s="29" t="str">
        <x:v>36007</x:v>
      </x:c>
      <x:c r="C3019" s="29" t="str">
        <x:v>NY</x:v>
      </x:c>
      <x:c r="D3019" s="29" t="str">
        <x:v>Broome County</x:v>
      </x:c>
      <x:c r="E3019" s="41" t="n">
        <x:v>195736</x:v>
      </x:c>
      <x:c r="F3019" s="56" t="n">
        <x:v>42.161977</x:v>
      </x:c>
      <x:c r="G3019" s="56" t="n">
        <x:v>-75.830283</x:v>
      </x:c>
      <x:c r="H3019" s="44" t="n">
        <x:f>E3019/SUMIF(A:A,A3019,E:E)</x:f>
        <x:v>0.004740306240115634</x:v>
      </x:c>
    </x:row>
    <x:row r="3020" ht="15" hidden="0" customHeight="1">
      <x:c r="A3020" s="27" t="str">
        <x:v>SCA-30</x:v>
      </x:c>
      <x:c r="B3020" s="27" t="str">
        <x:v>10001</x:v>
      </x:c>
      <x:c r="C3020" s="27" t="str">
        <x:v>DE</x:v>
      </x:c>
      <x:c r="D3020" s="27" t="str">
        <x:v>Kent County</x:v>
      </x:c>
      <x:c r="E3020" s="40" t="n">
        <x:v>194786</x:v>
      </x:c>
      <x:c r="F3020" s="55" t="n">
        <x:v>39.097088</x:v>
      </x:c>
      <x:c r="G3020" s="55" t="n">
        <x:v>-75.502982</x:v>
      </x:c>
      <x:c r="H3020" s="43" t="n">
        <x:f>E3020/SUMIF(A:A,A3020,E:E)</x:f>
        <x:v>0.0047172992770219265</x:v>
      </x:c>
    </x:row>
    <x:row r="3021" ht="21.600000381469727" hidden="0" customHeight="1">
      <x:c r="A3021" s="29" t="str">
        <x:v>SCA-30</x:v>
      </x:c>
      <x:c r="B3021" s="29" t="str">
        <x:v>36111</x:v>
      </x:c>
      <x:c r="C3021" s="29" t="str">
        <x:v>NY</x:v>
      </x:c>
      <x:c r="D3021" s="29" t="str">
        <x:v>Ulster County</x:v>
      </x:c>
      <x:c r="E3021" s="41" t="n">
        <x:v>183330</x:v>
      </x:c>
      <x:c r="F3021" s="56" t="n">
        <x:v>41.947212</x:v>
      </x:c>
      <x:c r="G3021" s="56" t="n">
        <x:v>-74.265458</x:v>
      </x:c>
      <x:c r="H3021" s="44" t="n">
        <x:f>E3021/SUMIF(A:A,A3021,E:E)</x:f>
        <x:v>0.004439859519967707</x:v>
      </x:c>
    </x:row>
    <x:row r="3022" ht="54" hidden="0" customHeight="1">
      <x:c r="A3022" s="27" t="str">
        <x:v>SCA-30</x:v>
      </x:c>
      <x:c r="B3022" s="27" t="str">
        <x:v>09130</x:v>
      </x:c>
      <x:c r="C3022" s="27" t="str">
        <x:v>CT</x:v>
      </x:c>
      <x:c r="D3022" s="27" t="str">
        <x:v>Lower Connecticut River Valley Planning Region</x:v>
      </x:c>
      <x:c r="E3022" s="40" t="n">
        <x:v>177311</x:v>
      </x:c>
      <x:c r="F3022" s="55" t="n">
        <x:v>41.420307</x:v>
      </x:c>
      <x:c r="G3022" s="55" t="n">
        <x:v>-72.493525</x:v>
      </x:c>
      <x:c r="H3022" s="43" t="n">
        <x:f>E3022/SUMIF(A:A,A3022,E:E)</x:f>
        <x:v>0.004294092245377156</x:v>
      </x:c>
    </x:row>
    <x:row r="3023" ht="21.600000381469727" hidden="0" customHeight="1">
      <x:c r="A3023" s="29" t="str">
        <x:v>SCA-30</x:v>
      </x:c>
      <x:c r="B3023" s="29" t="str">
        <x:v>42089</x:v>
      </x:c>
      <x:c r="C3023" s="29" t="str">
        <x:v>PA</x:v>
      </x:c>
      <x:c r="D3023" s="29" t="str">
        <x:v>Monroe County</x:v>
      </x:c>
      <x:c r="E3023" s="41" t="n">
        <x:v>167179</x:v>
      </x:c>
      <x:c r="F3023" s="56" t="n">
        <x:v>41.05624</x:v>
      </x:c>
      <x:c r="G3023" s="56" t="n">
        <x:v>-75.329065</x:v>
      </x:c>
      <x:c r="H3023" s="44" t="n">
        <x:f>E3023/SUMIF(A:A,A3023,E:E)</x:f>
        <x:v>0.004048716929518798</x:v>
      </x:c>
    </x:row>
    <x:row r="3024" ht="21.600000381469727" hidden="0" customHeight="1">
      <x:c r="A3024" s="27" t="str">
        <x:v>SCA-30</x:v>
      </x:c>
      <x:c r="B3024" s="27" t="str">
        <x:v>36093</x:v>
      </x:c>
      <x:c r="C3024" s="27" t="str">
        <x:v>NY</x:v>
      </x:c>
      <x:c r="D3024" s="27" t="str">
        <x:v>Schenectady County</x:v>
      </x:c>
      <x:c r="E3024" s="40" t="n">
        <x:v>162581</x:v>
      </x:c>
      <x:c r="F3024" s="55" t="n">
        <x:v>42.817552</x:v>
      </x:c>
      <x:c r="G3024" s="55" t="n">
        <x:v>-74.043559</x:v>
      </x:c>
      <x:c r="H3024" s="43" t="n">
        <x:f>E3024/SUMIF(A:A,A3024,E:E)</x:f>
        <x:v>0.003937363228145256</x:v>
      </x:c>
    </x:row>
    <x:row r="3025" ht="21.600000381469727" hidden="0" customHeight="1">
      <x:c r="A3025" s="29" t="str">
        <x:v>SCA-30</x:v>
      </x:c>
      <x:c r="B3025" s="29" t="str">
        <x:v>34011</x:v>
      </x:c>
      <x:c r="C3025" s="29" t="str">
        <x:v>NJ</x:v>
      </x:c>
      <x:c r="D3025" s="29" t="str">
        <x:v>Cumberland County</x:v>
      </x:c>
      <x:c r="E3025" s="41" t="n">
        <x:v>157148</x:v>
      </x:c>
      <x:c r="F3025" s="56" t="n">
        <x:v>39.328434</x:v>
      </x:c>
      <x:c r="G3025" s="56" t="n">
        <x:v>-75.121628</x:v>
      </x:c>
      <x:c r="H3025" s="44" t="n">
        <x:f>E3025/SUMIF(A:A,A3025,E:E)</x:f>
        <x:v>0.0038057876171051393</x:v>
      </x:c>
    </x:row>
    <x:row r="3026" ht="21.600000381469727" hidden="0" customHeight="1">
      <x:c r="A3026" s="27" t="str">
        <x:v>SCA-30</x:v>
      </x:c>
      <x:c r="B3026" s="27" t="str">
        <x:v>34037</x:v>
      </x:c>
      <x:c r="C3026" s="27" t="str">
        <x:v>NJ</x:v>
      </x:c>
      <x:c r="D3026" s="27" t="str">
        <x:v>Sussex County</x:v>
      </x:c>
      <x:c r="E3026" s="40" t="n">
        <x:v>148063</x:v>
      </x:c>
      <x:c r="F3026" s="55" t="n">
        <x:v>41.137461</x:v>
      </x:c>
      <x:c r="G3026" s="55" t="n">
        <x:v>-74.691914</x:v>
      </x:c>
      <x:c r="H3026" s="43" t="n">
        <x:f>E3026/SUMIF(A:A,A3026,E:E)</x:f>
        <x:v>0.0035857683963616354</x:v>
      </x:c>
    </x:row>
    <x:row r="3027" ht="21.600000381469727" hidden="0" customHeight="1">
      <x:c r="A3027" s="29" t="str">
        <x:v>SCA-30</x:v>
      </x:c>
      <x:c r="B3027" s="29" t="str">
        <x:v>42075</x:v>
      </x:c>
      <x:c r="C3027" s="29" t="str">
        <x:v>PA</x:v>
      </x:c>
      <x:c r="D3027" s="29" t="str">
        <x:v>Lebanon County</x:v>
      </x:c>
      <x:c r="E3027" s="41" t="n">
        <x:v>146380</x:v>
      </x:c>
      <x:c r="F3027" s="56" t="n">
        <x:v>40.371448</x:v>
      </x:c>
      <x:c r="G3027" s="56" t="n">
        <x:v>-76.464819</x:v>
      </x:c>
      <x:c r="H3027" s="44" t="n">
        <x:f>E3027/SUMIF(A:A,A3027,E:E)</x:f>
        <x:v>0.0035450097449019414</x:v>
      </x:c>
    </x:row>
    <x:row r="3028" ht="21.600000381469727" hidden="0" customHeight="1">
      <x:c r="A3028" s="27" t="str">
        <x:v>SCA-30</x:v>
      </x:c>
      <x:c r="B3028" s="27" t="str">
        <x:v>42107</x:v>
      </x:c>
      <x:c r="C3028" s="27" t="str">
        <x:v>PA</x:v>
      </x:c>
      <x:c r="D3028" s="27" t="str">
        <x:v>Schuylkill County</x:v>
      </x:c>
      <x:c r="E3028" s="40" t="n">
        <x:v>145085</x:v>
      </x:c>
      <x:c r="F3028" s="55" t="n">
        <x:v>40.703682</x:v>
      </x:c>
      <x:c r="G3028" s="55" t="n">
        <x:v>-76.217788</x:v>
      </x:c>
      <x:c r="H3028" s="43" t="n">
        <x:f>E3028/SUMIF(A:A,A3028,E:E)</x:f>
        <x:v>0.0035136476215268356</x:v>
      </x:c>
    </x:row>
    <x:row r="3029" ht="21.600000381469727" hidden="0" customHeight="1">
      <x:c r="A3029" s="29" t="str">
        <x:v>SCA-30</x:v>
      </x:c>
      <x:c r="B3029" s="29" t="str">
        <x:v>34019</x:v>
      </x:c>
      <x:c r="C3029" s="29" t="str">
        <x:v>NJ</x:v>
      </x:c>
      <x:c r="D3029" s="29" t="str">
        <x:v>Hunterdon County</x:v>
      </x:c>
      <x:c r="E3029" s="41" t="n">
        <x:v>131781</x:v>
      </x:c>
      <x:c r="F3029" s="56" t="n">
        <x:v>40.565283</x:v>
      </x:c>
      <x:c r="G3029" s="56" t="n">
        <x:v>-74.911969</x:v>
      </x:c>
      <x:c r="H3029" s="44" t="n">
        <x:f>E3029/SUMIF(A:A,A3029,E:E)</x:f>
        <x:v>0.0031914532667913836</x:v>
      </x:c>
    </x:row>
    <x:row r="3030" ht="21.600000381469727" hidden="0" customHeight="1">
      <x:c r="A3030" s="27" t="str">
        <x:v>SCA-30</x:v>
      </x:c>
      <x:c r="B3030" s="27" t="str">
        <x:v>36075</x:v>
      </x:c>
      <x:c r="C3030" s="27" t="str">
        <x:v>NY</x:v>
      </x:c>
      <x:c r="D3030" s="27" t="str">
        <x:v>Oswego County</x:v>
      </x:c>
      <x:c r="E3030" s="40" t="n">
        <x:v>118569</x:v>
      </x:c>
      <x:c r="F3030" s="55" t="n">
        <x:v>43.461443</x:v>
      </x:c>
      <x:c r="G3030" s="55" t="n">
        <x:v>-76.209262</x:v>
      </x:c>
      <x:c r="H3030" s="43" t="n">
        <x:f>E3030/SUMIF(A:A,A3030,E:E)</x:f>
        <x:v>0.0028714869547976384</x:v>
      </x:c>
    </x:row>
    <x:row r="3031" ht="43.20000076293945" hidden="0" customHeight="1">
      <x:c r="A3031" s="29" t="str">
        <x:v>SCA-30</x:v>
      </x:c>
      <x:c r="B3031" s="29" t="str">
        <x:v>09160</x:v>
      </x:c>
      <x:c r="C3031" s="29" t="str">
        <x:v>CT</x:v>
      </x:c>
      <x:c r="D3031" s="29" t="str">
        <x:v>Northwest Hills Planning Region</x:v>
      </x:c>
      <x:c r="E3031" s="41" t="n">
        <x:v>114690</x:v>
      </x:c>
      <x:c r="F3031" s="56" t="n">
        <x:v>41.854809</x:v>
      </x:c>
      <x:c r="G3031" s="56" t="n">
        <x:v>-73.221494</x:v>
      </x:c>
      <x:c r="H3031" s="44" t="n">
        <x:f>E3031/SUMIF(A:A,A3031,E:E)</x:f>
        <x:v>0.002777545891807649</x:v>
      </x:c>
    </x:row>
    <x:row r="3032" ht="21.600000381469727" hidden="0" customHeight="1">
      <x:c r="A3032" s="27" t="str">
        <x:v>SCA-30</x:v>
      </x:c>
      <x:c r="B3032" s="27" t="str">
        <x:v>34041</x:v>
      </x:c>
      <x:c r="C3032" s="27" t="str">
        <x:v>NJ</x:v>
      </x:c>
      <x:c r="D3032" s="27" t="str">
        <x:v>Warren County</x:v>
      </x:c>
      <x:c r="E3032" s="40" t="n">
        <x:v>112953</x:v>
      </x:c>
      <x:c r="F3032" s="55" t="n">
        <x:v>40.853491</x:v>
      </x:c>
      <x:c r="G3032" s="55" t="n">
        <x:v>-75.009498</x:v>
      </x:c>
      <x:c r="H3032" s="43" t="n">
        <x:f>E3032/SUMIF(A:A,A3032,E:E)</x:f>
        <x:v>0.0027354794761299973</x:v>
      </x:c>
    </x:row>
    <x:row r="3033" ht="15" hidden="0" customHeight="1">
      <x:c r="A3033" s="29" t="str">
        <x:v>SCA-30</x:v>
      </x:c>
      <x:c r="B3033" s="29" t="str">
        <x:v>24015</x:v>
      </x:c>
      <x:c r="C3033" s="29" t="str">
        <x:v>MD</x:v>
      </x:c>
      <x:c r="D3033" s="29" t="str">
        <x:v>Cecil County</x:v>
      </x:c>
      <x:c r="E3033" s="41" t="n">
        <x:v>107131</x:v>
      </x:c>
      <x:c r="F3033" s="56" t="n">
        <x:v>39.562354</x:v>
      </x:c>
      <x:c r="G3033" s="56" t="n">
        <x:v>-75.941585</x:v>
      </x:c>
      <x:c r="H3033" s="44" t="n">
        <x:f>E3033/SUMIF(A:A,A3033,E:E)</x:f>
        <x:v>0.002594483119149405</x:v>
      </x:c>
    </x:row>
    <x:row r="3034" ht="21.600000381469727" hidden="0" customHeight="1">
      <x:c r="A3034" s="27" t="str">
        <x:v>SCA-30</x:v>
      </x:c>
      <x:c r="B3034" s="27" t="str">
        <x:v>24045</x:v>
      </x:c>
      <x:c r="C3034" s="27" t="str">
        <x:v>MD</x:v>
      </x:c>
      <x:c r="D3034" s="27" t="str">
        <x:v>Wicomico County</x:v>
      </x:c>
      <x:c r="E3034" s="40" t="n">
        <x:v>106899</x:v>
      </x:c>
      <x:c r="F3034" s="55" t="n">
        <x:v>38.367369</x:v>
      </x:c>
      <x:c r="G3034" s="55" t="n">
        <x:v>-75.632086</x:v>
      </x:c>
      <x:c r="H3034" s="43" t="n">
        <x:f>E3034/SUMIF(A:A,A3034,E:E)</x:f>
        <x:v>0.002588864576583363</x:v>
      </x:c>
    </x:row>
    <x:row r="3035" ht="21.600000381469727" hidden="0" customHeight="1">
      <x:c r="A3035" s="29" t="str">
        <x:v>SCA-30</x:v>
      </x:c>
      <x:c r="B3035" s="29" t="str">
        <x:v>36109</x:v>
      </x:c>
      <x:c r="C3035" s="29" t="str">
        <x:v>NY</x:v>
      </x:c>
      <x:c r="D3035" s="29" t="str">
        <x:v>Tompkins County</x:v>
      </x:c>
      <x:c r="E3035" s="41" t="n">
        <x:v>104047</x:v>
      </x:c>
      <x:c r="F3035" s="56" t="n">
        <x:v>42.453006</x:v>
      </x:c>
      <x:c r="G3035" s="56" t="n">
        <x:v>-76.473483</x:v>
      </x:c>
      <x:c r="H3035" s="44" t="n">
        <x:f>E3035/SUMIF(A:A,A3035,E:E)</x:f>
        <x:v>0.0025197952515904655</x:v>
      </x:c>
    </x:row>
    <x:row r="3036" ht="21.600000381469727" hidden="0" customHeight="1">
      <x:c r="A3036" s="27" t="str">
        <x:v>SCA-30</x:v>
      </x:c>
      <x:c r="B3036" s="27" t="str">
        <x:v>36079</x:v>
      </x:c>
      <x:c r="C3036" s="27" t="str">
        <x:v>NY</x:v>
      </x:c>
      <x:c r="D3036" s="27" t="str">
        <x:v>Putnam County</x:v>
      </x:c>
      <x:c r="E3036" s="40" t="n">
        <x:v>99028</x:v>
      </x:c>
      <x:c r="F3036" s="55" t="n">
        <x:v>41.427907</x:v>
      </x:c>
      <x:c r="G3036" s="55" t="n">
        <x:v>-73.743861</x:v>
      </x:c>
      <x:c r="H3036" s="43" t="n">
        <x:f>E3036/SUMIF(A:A,A3036,E:E)</x:f>
        <x:v>0.0023982458328880274</x:v>
      </x:c>
    </x:row>
    <x:row r="3037" ht="21.600000381469727" hidden="0" customHeight="1">
      <x:c r="A3037" s="29" t="str">
        <x:v>SCA-30</x:v>
      </x:c>
      <x:c r="B3037" s="29" t="str">
        <x:v>24009</x:v>
      </x:c>
      <x:c r="C3037" s="29" t="str">
        <x:v>MD</x:v>
      </x:c>
      <x:c r="D3037" s="29" t="str">
        <x:v>Calvert County</x:v>
      </x:c>
      <x:c r="E3037" s="41" t="n">
        <x:v>94484</x:v>
      </x:c>
      <x:c r="F3037" s="56" t="n">
        <x:v>38.522719</x:v>
      </x:c>
      <x:c r="G3037" s="56" t="n">
        <x:v>-76.529762</x:v>
      </x:c>
      <x:c r="H3037" s="44" t="n">
        <x:f>E3037/SUMIF(A:A,A3037,E:E)</x:f>
        <x:v>0.0022881998957324434</x:v>
      </x:c>
    </x:row>
    <x:row r="3038" ht="21.600000381469727" hidden="0" customHeight="1">
      <x:c r="A3038" s="27" t="str">
        <x:v>SCA-30</x:v>
      </x:c>
      <x:c r="B3038" s="27" t="str">
        <x:v>34009</x:v>
      </x:c>
      <x:c r="C3038" s="27" t="str">
        <x:v>NJ</x:v>
      </x:c>
      <x:c r="D3038" s="27" t="str">
        <x:v>Cape May County</x:v>
      </x:c>
      <x:c r="E3038" s="40" t="n">
        <x:v>93390</x:v>
      </x:c>
      <x:c r="F3038" s="55" t="n">
        <x:v>39.085841</x:v>
      </x:c>
      <x:c r="G3038" s="55" t="n">
        <x:v>-74.846354</x:v>
      </x:c>
      <x:c r="H3038" s="43" t="n">
        <x:f>E3038/SUMIF(A:A,A3038,E:E)</x:f>
        <x:v>0.002261705561390848</x:v>
      </x:c>
    </x:row>
    <x:row r="3039" ht="21.600000381469727" hidden="0" customHeight="1">
      <x:c r="A3039" s="29" t="str">
        <x:v>SCA-30</x:v>
      </x:c>
      <x:c r="B3039" s="29" t="str">
        <x:v>36117</x:v>
      </x:c>
      <x:c r="C3039" s="29" t="str">
        <x:v>NY</x:v>
      </x:c>
      <x:c r="D3039" s="29" t="str">
        <x:v>Wayne County</x:v>
      </x:c>
      <x:c r="E3039" s="41" t="n">
        <x:v>91250</x:v>
      </x:c>
      <x:c r="F3039" s="56" t="n">
        <x:v>43.218114</x:v>
      </x:c>
      <x:c r="G3039" s="56" t="n">
        <x:v>-77.049402</x:v>
      </x:c>
      <x:c r="H3039" s="44" t="n">
        <x:f>E3039/SUMIF(A:A,A3039,E:E)</x:f>
        <x:v>0.0022098793497902867</x:v>
      </x:c>
    </x:row>
    <x:row r="3040" ht="21.600000381469727" hidden="0" customHeight="1">
      <x:c r="A3040" s="27" t="str">
        <x:v>SCA-30</x:v>
      </x:c>
      <x:c r="B3040" s="27" t="str">
        <x:v>42097</x:v>
      </x:c>
      <x:c r="C3040" s="27" t="str">
        <x:v>PA</x:v>
      </x:c>
      <x:c r="D3040" s="27" t="str">
        <x:v>Northumberland County</x:v>
      </x:c>
      <x:c r="E3040" s="40" t="n">
        <x:v>89920</x:v>
      </x:c>
      <x:c r="F3040" s="55" t="n">
        <x:v>40.851524</x:v>
      </x:c>
      <x:c r="G3040" s="55" t="n">
        <x:v>-76.709877</x:v>
      </x:c>
      <x:c r="H3040" s="43" t="n">
        <x:f>E3040/SUMIF(A:A,A3040,E:E)</x:f>
        <x:v>0.0021776696014590966</x:v>
      </x:c>
    </x:row>
    <x:row r="3041" ht="21.600000381469727" hidden="0" customHeight="1">
      <x:c r="A3041" s="29" t="str">
        <x:v>SCA-30</x:v>
      </x:c>
      <x:c r="B3041" s="29" t="str">
        <x:v>36105</x:v>
      </x:c>
      <x:c r="C3041" s="29" t="str">
        <x:v>NY</x:v>
      </x:c>
      <x:c r="D3041" s="29" t="str">
        <x:v>Sullivan County</x:v>
      </x:c>
      <x:c r="E3041" s="41" t="n">
        <x:v>80586</x:v>
      </x:c>
      <x:c r="F3041" s="56" t="n">
        <x:v>41.719993</x:v>
      </x:c>
      <x:c r="G3041" s="56" t="n">
        <x:v>-74.771577</x:v>
      </x:c>
      <x:c r="H3041" s="44" t="n">
        <x:f>E3041/SUMIF(A:A,A3041,E:E)</x:f>
        <x:v>0.0019516201345994525</x:v>
      </x:c>
    </x:row>
    <x:row r="3042" ht="21.600000381469727" hidden="0" customHeight="1">
      <x:c r="A3042" s="27" t="str">
        <x:v>SCA-30</x:v>
      </x:c>
      <x:c r="B3042" s="27" t="str">
        <x:v>36015</x:v>
      </x:c>
      <x:c r="C3042" s="27" t="str">
        <x:v>NY</x:v>
      </x:c>
      <x:c r="D3042" s="27" t="str">
        <x:v>Chemung County</x:v>
      </x:c>
      <x:c r="E3042" s="40" t="n">
        <x:v>80415</x:v>
      </x:c>
      <x:c r="F3042" s="55" t="n">
        <x:v>42.148697</x:v>
      </x:c>
      <x:c r="G3042" s="55" t="n">
        <x:v>-76.752471</x:v>
      </x:c>
      <x:c r="H3042" s="43" t="n">
        <x:f>E3042/SUMIF(A:A,A3042,E:E)</x:f>
        <x:v>0.0019474788812425853</x:v>
      </x:c>
    </x:row>
    <x:row r="3043" ht="21.600000381469727" hidden="0" customHeight="1">
      <x:c r="A3043" s="29" t="str">
        <x:v>SCA-30</x:v>
      </x:c>
      <x:c r="B3043" s="29" t="str">
        <x:v>36011</x:v>
      </x:c>
      <x:c r="C3043" s="29" t="str">
        <x:v>NY</x:v>
      </x:c>
      <x:c r="D3043" s="29" t="str">
        <x:v>Cayuga County</x:v>
      </x:c>
      <x:c r="E3043" s="41" t="n">
        <x:v>74365</x:v>
      </x:c>
      <x:c r="F3043" s="56" t="n">
        <x:v>43.008546</x:v>
      </x:c>
      <x:c r="G3043" s="56" t="n">
        <x:v>-76.574587</x:v>
      </x:c>
      <x:c r="H3043" s="44" t="n">
        <x:f>E3043/SUMIF(A:A,A3043,E:E)</x:f>
        <x:v>0.0018009608531195033</x:v>
      </x:c>
    </x:row>
    <x:row r="3044" ht="21.600000381469727" hidden="0" customHeight="1">
      <x:c r="A3044" s="27" t="str">
        <x:v>SCA-30</x:v>
      </x:c>
      <x:c r="B3044" s="27" t="str">
        <x:v>36053</x:v>
      </x:c>
      <x:c r="C3044" s="27" t="str">
        <x:v>NY</x:v>
      </x:c>
      <x:c r="D3044" s="27" t="str">
        <x:v>Madison County</x:v>
      </x:c>
      <x:c r="E3044" s="40" t="n">
        <x:v>67120</x:v>
      </x:c>
      <x:c r="F3044" s="55" t="n">
        <x:v>42.910026</x:v>
      </x:c>
      <x:c r="G3044" s="55" t="n">
        <x:v>-75.663575</x:v>
      </x:c>
      <x:c r="H3044" s="43" t="n">
        <x:f>E3044/SUMIF(A:A,A3044,E:E)</x:f>
        <x:v>0.0016255024872101264</x:v>
      </x:c>
    </x:row>
    <x:row r="3045" ht="21.600000381469727" hidden="0" customHeight="1">
      <x:c r="A3045" s="29" t="str">
        <x:v>SCA-30</x:v>
      </x:c>
      <x:c r="B3045" s="29" t="str">
        <x:v>34033</x:v>
      </x:c>
      <x:c r="C3045" s="29" t="str">
        <x:v>NJ</x:v>
      </x:c>
      <x:c r="D3045" s="29" t="str">
        <x:v>Salem County</x:v>
      </x:c>
      <x:c r="E3045" s="41" t="n">
        <x:v>66280</x:v>
      </x:c>
      <x:c r="F3045" s="56" t="n">
        <x:v>39.573828</x:v>
      </x:c>
      <x:c r="G3045" s="56" t="n">
        <x:v>-75.357356</x:v>
      </x:c>
      <x:c r="H3045" s="44" t="n">
        <x:f>E3045/SUMIF(A:A,A3045,E:E)</x:f>
        <x:v>0.0016051594882641118</x:v>
      </x:c>
    </x:row>
    <x:row r="3046" ht="21.600000381469727" hidden="0" customHeight="1">
      <x:c r="A3046" s="27" t="str">
        <x:v>SCA-30</x:v>
      </x:c>
      <x:c r="B3046" s="27" t="str">
        <x:v>42037</x:v>
      </x:c>
      <x:c r="C3046" s="27" t="str">
        <x:v>PA</x:v>
      </x:c>
      <x:c r="D3046" s="27" t="str">
        <x:v>Columbia County</x:v>
      </x:c>
      <x:c r="E3046" s="40" t="n">
        <x:v>66193</x:v>
      </x:c>
      <x:c r="F3046" s="55" t="n">
        <x:v>41.045517</x:v>
      </x:c>
      <x:c r="G3046" s="55" t="n">
        <x:v>-76.40426</x:v>
      </x:c>
      <x:c r="H3046" s="43" t="n">
        <x:f>E3046/SUMIF(A:A,A3046,E:E)</x:f>
        <x:v>0.001603052534801846</x:v>
      </x:c>
    </x:row>
    <x:row r="3047" ht="21.600000381469727" hidden="0" customHeight="1">
      <x:c r="A3047" s="29" t="str">
        <x:v>SCA-30</x:v>
      </x:c>
      <x:c r="B3047" s="29" t="str">
        <x:v>42025</x:v>
      </x:c>
      <x:c r="C3047" s="29" t="str">
        <x:v>PA</x:v>
      </x:c>
      <x:c r="D3047" s="29" t="str">
        <x:v>Carbon County</x:v>
      </x:c>
      <x:c r="E3047" s="41" t="n">
        <x:v>65868</x:v>
      </x:c>
      <x:c r="F3047" s="56" t="n">
        <x:v>40.918367</x:v>
      </x:c>
      <x:c r="G3047" s="56" t="n">
        <x:v>-75.705039</x:v>
      </x:c>
      <x:c r="H3047" s="44" t="n">
        <x:f>E3047/SUMIF(A:A,A3047,E:E)</x:f>
        <x:v>0.0015951817316382094</x:v>
      </x:c>
    </x:row>
    <x:row r="3048" ht="15" hidden="0" customHeight="1">
      <x:c r="A3048" s="27" t="str">
        <x:v>SCA-30</x:v>
      </x:c>
      <x:c r="B3048" s="27" t="str">
        <x:v>42103</x:v>
      </x:c>
      <x:c r="C3048" s="27" t="str">
        <x:v>PA</x:v>
      </x:c>
      <x:c r="D3048" s="27" t="str">
        <x:v>Pike County</x:v>
      </x:c>
      <x:c r="E3048" s="40" t="n">
        <x:v>62808</x:v>
      </x:c>
      <x:c r="F3048" s="55" t="n">
        <x:v>41.325949</x:v>
      </x:c>
      <x:c r="G3048" s="55" t="n">
        <x:v>-75.031514</x:v>
      </x:c>
      <x:c r="H3048" s="43" t="n">
        <x:f>E3048/SUMIF(A:A,A3048,E:E)</x:f>
        <x:v>0.0015210750926205844</x:v>
      </x:c>
    </x:row>
    <x:row r="3049" ht="21.600000381469727" hidden="0" customHeight="1">
      <x:c r="A3049" s="29" t="str">
        <x:v>SCA-30</x:v>
      </x:c>
      <x:c r="B3049" s="29" t="str">
        <x:v>36077</x:v>
      </x:c>
      <x:c r="C3049" s="29" t="str">
        <x:v>NY</x:v>
      </x:c>
      <x:c r="D3049" s="29" t="str">
        <x:v>Otsego County</x:v>
      </x:c>
      <x:c r="E3049" s="41" t="n">
        <x:v>60589</x:v>
      </x:c>
      <x:c r="F3049" s="56" t="n">
        <x:v>42.629776</x:v>
      </x:c>
      <x:c r="G3049" s="56" t="n">
        <x:v>-75.028841</x:v>
      </x:c>
      <x:c r="H3049" s="44" t="n">
        <x:f>E3049/SUMIF(A:A,A3049,E:E)</x:f>
        <x:v>0.0014673356704048622</x:v>
      </x:c>
    </x:row>
    <x:row r="3050" ht="21.600000381469727" hidden="0" customHeight="1">
      <x:c r="A3050" s="27" t="str">
        <x:v>SCA-30</x:v>
      </x:c>
      <x:c r="B3050" s="27" t="str">
        <x:v>42015</x:v>
      </x:c>
      <x:c r="C3050" s="27" t="str">
        <x:v>PA</x:v>
      </x:c>
      <x:c r="D3050" s="27" t="str">
        <x:v>Bradford County</x:v>
      </x:c>
      <x:c r="E3050" s="40" t="n">
        <x:v>59600</x:v>
      </x:c>
      <x:c r="F3050" s="55" t="n">
        <x:v>41.791504</x:v>
      </x:c>
      <x:c r="G3050" s="55" t="n">
        <x:v>-76.502123</x:v>
      </x:c>
      <x:c r="H3050" s="43" t="n">
        <x:f>E3050/SUMIF(A:A,A3050,E:E)</x:f>
        <x:v>0.0014433842109315188</x:v>
      </x:c>
    </x:row>
    <x:row r="3051" ht="21.600000381469727" hidden="0" customHeight="1">
      <x:c r="A3051" s="29" t="str">
        <x:v>SCA-30</x:v>
      </x:c>
      <x:c r="B3051" s="29" t="str">
        <x:v>24047</x:v>
      </x:c>
      <x:c r="C3051" s="29" t="str">
        <x:v>MD</x:v>
      </x:c>
      <x:c r="D3051" s="29" t="str">
        <x:v>Worcester County</x:v>
      </x:c>
      <x:c r="E3051" s="41" t="n">
        <x:v>54459</x:v>
      </x:c>
      <x:c r="F3051" s="56" t="n">
        <x:v>38.222133</x:v>
      </x:c>
      <x:c r="G3051" s="56" t="n">
        <x:v>-75.309931</x:v>
      </x:c>
      <x:c r="H3051" s="44" t="n">
        <x:f>E3051/SUMIF(A:A,A3051,E:E)</x:f>
        <x:v>0.0013188802138107312</x:v>
      </x:c>
    </x:row>
    <x:row r="3052" ht="32.400001525878906" hidden="0" customHeight="1">
      <x:c r="A3052" s="27" t="str">
        <x:v>SCA-30</x:v>
      </x:c>
      <x:c r="B3052" s="27" t="str">
        <x:v>24035</x:v>
      </x:c>
      <x:c r="C3052" s="27" t="str">
        <x:v>MD</x:v>
      </x:c>
      <x:c r="D3052" s="27" t="str">
        <x:v>Queen Anne's County</x:v>
      </x:c>
      <x:c r="E3052" s="40" t="n">
        <x:v>54448</x:v>
      </x:c>
      <x:c r="F3052" s="55" t="n">
        <x:v>39.047013</x:v>
      </x:c>
      <x:c r="G3052" s="55" t="n">
        <x:v>-76.085841</x:v>
      </x:c>
      <x:c r="H3052" s="43" t="n">
        <x:f>E3052/SUMIF(A:A,A3052,E:E)</x:f>
        <x:v>0.001318613817395962</x:v>
      </x:c>
    </x:row>
    <x:row r="3053" ht="21.600000381469727" hidden="0" customHeight="1">
      <x:c r="A3053" s="29" t="str">
        <x:v>SCA-30</x:v>
      </x:c>
      <x:c r="B3053" s="29" t="str">
        <x:v>42127</x:v>
      </x:c>
      <x:c r="C3053" s="29" t="str">
        <x:v>PA</x:v>
      </x:c>
      <x:c r="D3053" s="29" t="str">
        <x:v>Wayne County</x:v>
      </x:c>
      <x:c r="E3053" s="41" t="n">
        <x:v>51703</x:v>
      </x:c>
      <x:c r="F3053" s="56" t="n">
        <x:v>41.646602</x:v>
      </x:c>
      <x:c r="G3053" s="56" t="n">
        <x:v>-75.292493</x:v>
      </x:c>
      <x:c r="H3053" s="44" t="n">
        <x:f>E3053/SUMIF(A:A,A3053,E:E)</x:f>
        <x:v>0.0012521358029830925</x:v>
      </x:c>
    </x:row>
    <x:row r="3054" ht="21.600000381469727" hidden="0" customHeight="1">
      <x:c r="A3054" s="27" t="str">
        <x:v>SCA-30</x:v>
      </x:c>
      <x:c r="B3054" s="27" t="str">
        <x:v>36057</x:v>
      </x:c>
      <x:c r="C3054" s="27" t="str">
        <x:v>NY</x:v>
      </x:c>
      <x:c r="D3054" s="27" t="str">
        <x:v>Montgomery County</x:v>
      </x:c>
      <x:c r="E3054" s="40" t="n">
        <x:v>50046</x:v>
      </x:c>
      <x:c r="F3054" s="55" t="n">
        <x:v>42.900891</x:v>
      </x:c>
      <x:c r="G3054" s="55" t="n">
        <x:v>-74.435357</x:v>
      </x:c>
      <x:c r="H3054" s="43" t="n">
        <x:f>E3054/SUMIF(A:A,A3054,E:E)</x:f>
        <x:v>0.0012120068157764898</x:v>
      </x:c>
    </x:row>
    <x:row r="3055" ht="15" hidden="0" customHeight="1">
      <x:c r="A3055" s="29" t="str">
        <x:v>SCA-30</x:v>
      </x:c>
      <x:c r="B3055" s="29" t="str">
        <x:v>36107</x:v>
      </x:c>
      <x:c r="C3055" s="29" t="str">
        <x:v>NY</x:v>
      </x:c>
      <x:c r="D3055" s="29" t="str">
        <x:v>Tioga County</x:v>
      </x:c>
      <x:c r="E3055" s="41" t="n">
        <x:v>47453</x:v>
      </x:c>
      <x:c r="F3055" s="56" t="n">
        <x:v>42.178057</x:v>
      </x:c>
      <x:c r="G3055" s="56" t="n">
        <x:v>-76.297456</x:v>
      </x:c>
      <x:c r="H3055" s="44" t="n">
        <x:f>E3055/SUMIF(A:A,A3055,E:E)</x:f>
        <x:v>0.0011492099154586134</x:v>
      </x:c>
    </x:row>
    <x:row r="3056" ht="21.600000381469727" hidden="0" customHeight="1">
      <x:c r="A3056" s="27" t="str">
        <x:v>SCA-30</x:v>
      </x:c>
      <x:c r="B3056" s="27" t="str">
        <x:v>36039</x:v>
      </x:c>
      <x:c r="C3056" s="27" t="str">
        <x:v>NY</x:v>
      </x:c>
      <x:c r="D3056" s="27" t="str">
        <x:v>Greene County</x:v>
      </x:c>
      <x:c r="E3056" s="40" t="n">
        <x:v>47238</x:v>
      </x:c>
      <x:c r="F3056" s="55" t="n">
        <x:v>42.28697</x:v>
      </x:c>
      <x:c r="G3056" s="55" t="n">
        <x:v>-74.149542</x:v>
      </x:c>
      <x:c r="H3056" s="43" t="n">
        <x:f>E3056/SUMIF(A:A,A3056,E:E)</x:f>
        <x:v>0.0011440030764426692</x:v>
      </x:c>
    </x:row>
    <x:row r="3057" ht="21.600000381469727" hidden="0" customHeight="1">
      <x:c r="A3057" s="29" t="str">
        <x:v>SCA-30</x:v>
      </x:c>
      <x:c r="B3057" s="29" t="str">
        <x:v>36023</x:v>
      </x:c>
      <x:c r="C3057" s="29" t="str">
        <x:v>NY</x:v>
      </x:c>
      <x:c r="D3057" s="29" t="str">
        <x:v>Cortland County</x:v>
      </x:c>
      <x:c r="E3057" s="41" t="n">
        <x:v>45850</x:v>
      </x:c>
      <x:c r="F3057" s="56" t="n">
        <x:v>42.594039</x:v>
      </x:c>
      <x:c r="G3057" s="56" t="n">
        <x:v>-76.07624</x:v>
      </x:c>
      <x:c r="H3057" s="44" t="n">
        <x:f>E3057/SUMIF(A:A,A3057,E:E)</x:f>
        <x:v>0.0011103886924699686</x:v>
      </x:c>
    </x:row>
    <x:row r="3058" ht="21.600000381469727" hidden="0" customHeight="1">
      <x:c r="A3058" s="27" t="str">
        <x:v>SCA-30</x:v>
      </x:c>
      <x:c r="B3058" s="27" t="str">
        <x:v>36017</x:v>
      </x:c>
      <x:c r="C3058" s="27" t="str">
        <x:v>NY</x:v>
      </x:c>
      <x:c r="D3058" s="27" t="str">
        <x:v>Chenango County</x:v>
      </x:c>
      <x:c r="E3058" s="40" t="n">
        <x:v>45715</x:v>
      </x:c>
      <x:c r="F3058" s="55" t="n">
        <x:v>42.478024</x:v>
      </x:c>
      <x:c r="G3058" s="55" t="n">
        <x:v>-75.602241</x:v>
      </x:c>
      <x:c r="H3058" s="43" t="n">
        <x:f>E3058/SUMIF(A:A,A3058,E:E)</x:f>
        <x:v>0.0011071192819250735</x:v>
      </x:c>
    </x:row>
    <x:row r="3059" ht="21.600000381469727" hidden="0" customHeight="1">
      <x:c r="A3059" s="29" t="str">
        <x:v>SCA-30</x:v>
      </x:c>
      <x:c r="B3059" s="29" t="str">
        <x:v>36025</x:v>
      </x:c>
      <x:c r="C3059" s="29" t="str">
        <x:v>NY</x:v>
      </x:c>
      <x:c r="D3059" s="29" t="str">
        <x:v>Delaware County</x:v>
      </x:c>
      <x:c r="E3059" s="41" t="n">
        <x:v>44305</x:v>
      </x:c>
      <x:c r="F3059" s="56" t="n">
        <x:v>42.193986</x:v>
      </x:c>
      <x:c r="G3059" s="56" t="n">
        <x:v>-74.966728</x:v>
      </x:c>
      <x:c r="H3059" s="44" t="n">
        <x:f>E3059/SUMIF(A:A,A3059,E:E)</x:f>
        <x:v>0.0010729721051228346</x:v>
      </x:c>
    </x:row>
    <x:row r="3060" ht="21.600000381469727" hidden="0" customHeight="1">
      <x:c r="A3060" s="27" t="str">
        <x:v>SCA-30</x:v>
      </x:c>
      <x:c r="B3060" s="27" t="str">
        <x:v>24041</x:v>
      </x:c>
      <x:c r="C3060" s="27" t="str">
        <x:v>MD</x:v>
      </x:c>
      <x:c r="D3060" s="27" t="str">
        <x:v>Talbot County</x:v>
      </x:c>
      <x:c r="E3060" s="40" t="n">
        <x:v>38238</x:v>
      </x:c>
      <x:c r="F3060" s="55" t="n">
        <x:v>38.748349</x:v>
      </x:c>
      <x:c r="G3060" s="55" t="n">
        <x:v>-76.178476</x:v>
      </x:c>
      <x:c r="H3060" s="43" t="n">
        <x:f>E3060/SUMIF(A:A,A3060,E:E)</x:f>
        <x:v>0.0009260423734496546</x:v>
      </x:c>
    </x:row>
    <x:row r="3061" ht="21.600000381469727" hidden="0" customHeight="1">
      <x:c r="A3061" s="29" t="str">
        <x:v>SCA-30</x:v>
      </x:c>
      <x:c r="B3061" s="29" t="str">
        <x:v>42115</x:v>
      </x:c>
      <x:c r="C3061" s="29" t="str">
        <x:v>PA</x:v>
      </x:c>
      <x:c r="D3061" s="29" t="str">
        <x:v>Susquehanna County</x:v>
      </x:c>
      <x:c r="E3061" s="41" t="n">
        <x:v>38237</x:v>
      </x:c>
      <x:c r="F3061" s="56" t="n">
        <x:v>41.819665</x:v>
      </x:c>
      <x:c r="G3061" s="56" t="n">
        <x:v>-75.800969</x:v>
      </x:c>
      <x:c r="H3061" s="44" t="n">
        <x:f>E3061/SUMIF(A:A,A3061,E:E)</x:f>
        <x:v>0.0009260181555937665</x:v>
      </x:c>
    </x:row>
    <x:row r="3062" ht="21.600000381469727" hidden="0" customHeight="1">
      <x:c r="A3062" s="27" t="str">
        <x:v>SCA-30</x:v>
      </x:c>
      <x:c r="B3062" s="27" t="str">
        <x:v>24011</x:v>
      </x:c>
      <x:c r="C3062" s="27" t="str">
        <x:v>MD</x:v>
      </x:c>
      <x:c r="D3062" s="27" t="str">
        <x:v>Caroline County</x:v>
      </x:c>
      <x:c r="E3062" s="40" t="n">
        <x:v>34116</x:v>
      </x:c>
      <x:c r="F3062" s="55" t="n">
        <x:v>38.871531</x:v>
      </x:c>
      <x:c r="G3062" s="55" t="n">
        <x:v>-75.831662</x:v>
      </x:c>
      <x:c r="H3062" s="43" t="n">
        <x:f>E3062/SUMIF(A:A,A3062,E:E)</x:f>
        <x:v>0.0008262163714788539</x:v>
      </x:c>
    </x:row>
    <x:row r="3063" ht="21.600000381469727" hidden="0" customHeight="1">
      <x:c r="A3063" s="29" t="str">
        <x:v>SCA-30</x:v>
      </x:c>
      <x:c r="B3063" s="29" t="str">
        <x:v>24019</x:v>
      </x:c>
      <x:c r="C3063" s="29" t="str">
        <x:v>MD</x:v>
      </x:c>
      <x:c r="D3063" s="29" t="str">
        <x:v>Dorchester County</x:v>
      </x:c>
      <x:c r="E3063" s="41" t="n">
        <x:v>33628</x:v>
      </x:c>
      <x:c r="F3063" s="56" t="n">
        <x:v>38.429196</x:v>
      </x:c>
      <x:c r="G3063" s="56" t="n">
        <x:v>-76.047433</x:v>
      </x:c>
      <x:c r="H3063" s="44" t="n">
        <x:f>E3063/SUMIF(A:A,A3063,E:E)</x:f>
        <x:v>0.0008143980578054549</x:v>
      </x:c>
    </x:row>
    <x:row r="3064" ht="21.600000381469727" hidden="0" customHeight="1">
      <x:c r="A3064" s="27" t="str">
        <x:v>SCA-30</x:v>
      </x:c>
      <x:c r="B3064" s="27" t="str">
        <x:v>36099</x:v>
      </x:c>
      <x:c r="C3064" s="27" t="str">
        <x:v>NY</x:v>
      </x:c>
      <x:c r="D3064" s="27" t="str">
        <x:v>Seneca County</x:v>
      </x:c>
      <x:c r="E3064" s="40" t="n">
        <x:v>32883</x:v>
      </x:c>
      <x:c r="F3064" s="55" t="n">
        <x:v>42.782294</x:v>
      </x:c>
      <x:c r="G3064" s="55" t="n">
        <x:v>-76.827088</x:v>
      </x:c>
      <x:c r="H3064" s="43" t="n">
        <x:f>E3064/SUMIF(A:A,A3064,E:E)</x:f>
        <x:v>0.000796355755168811</x:v>
      </x:c>
    </x:row>
    <x:row r="3065" ht="21.600000381469727" hidden="0" customHeight="1">
      <x:c r="A3065" s="29" t="str">
        <x:v>SCA-30</x:v>
      </x:c>
      <x:c r="B3065" s="29" t="str">
        <x:v>36095</x:v>
      </x:c>
      <x:c r="C3065" s="29" t="str">
        <x:v>NY</x:v>
      </x:c>
      <x:c r="D3065" s="29" t="str">
        <x:v>Schoharie County</x:v>
      </x:c>
      <x:c r="E3065" s="41" t="n">
        <x:v>30176</x:v>
      </x:c>
      <x:c r="F3065" s="56" t="n">
        <x:v>42.591294</x:v>
      </x:c>
      <x:c r="G3065" s="56" t="n">
        <x:v>-74.438172</x:v>
      </x:c>
      <x:c r="H3065" s="44" t="n">
        <x:f>E3065/SUMIF(A:A,A3065,E:E)</x:f>
        <x:v>0.0007307980192796898</x:v>
      </x:c>
    </x:row>
    <x:row r="3066" ht="21.600000381469727" hidden="0" customHeight="1">
      <x:c r="A3066" s="27" t="str">
        <x:v>SCA-30</x:v>
      </x:c>
      <x:c r="B3066" s="27" t="str">
        <x:v>42131</x:v>
      </x:c>
      <x:c r="C3066" s="27" t="str">
        <x:v>PA</x:v>
      </x:c>
      <x:c r="D3066" s="27" t="str">
        <x:v>Wyoming County</x:v>
      </x:c>
      <x:c r="E3066" s="40" t="n">
        <x:v>25790</x:v>
      </x:c>
      <x:c r="F3066" s="55" t="n">
        <x:v>41.525167</x:v>
      </x:c>
      <x:c r="G3066" s="55" t="n">
        <x:v>-76.008682</x:v>
      </x:c>
      <x:c r="H3066" s="43" t="n">
        <x:f>E3066/SUMIF(A:A,A3066,E:E)</x:f>
        <x:v>0.0006245785033544273</x:v>
      </x:c>
    </x:row>
    <x:row r="3067" ht="21.600000381469727" hidden="0" customHeight="1">
      <x:c r="A3067" s="29" t="str">
        <x:v>SCA-30</x:v>
      </x:c>
      <x:c r="B3067" s="29" t="str">
        <x:v>24039</x:v>
      </x:c>
      <x:c r="C3067" s="29" t="str">
        <x:v>MD</x:v>
      </x:c>
      <x:c r="D3067" s="29" t="str">
        <x:v>Somerset County</x:v>
      </x:c>
      <x:c r="E3067" s="41" t="n">
        <x:v>24973</x:v>
      </x:c>
      <x:c r="F3067" s="56" t="n">
        <x:v>38.07445</x:v>
      </x:c>
      <x:c r="G3067" s="56" t="n">
        <x:v>-75.853323</x:v>
      </x:c>
      <x:c r="H3067" s="44" t="n">
        <x:f>E3067/SUMIF(A:A,A3067,E:E)</x:f>
        <x:v>0.0006047925150938393</x:v>
      </x:c>
    </x:row>
    <x:row r="3068" ht="15" hidden="0" customHeight="1">
      <x:c r="A3068" s="27" t="str">
        <x:v>SCA-30</x:v>
      </x:c>
      <x:c r="B3068" s="27" t="str">
        <x:v>36123</x:v>
      </x:c>
      <x:c r="C3068" s="27" t="str">
        <x:v>NY</x:v>
      </x:c>
      <x:c r="D3068" s="27" t="str">
        <x:v>Yates County</x:v>
      </x:c>
      <x:c r="E3068" s="40" t="n">
        <x:v>24547</x:v>
      </x:c>
      <x:c r="F3068" s="55" t="n">
        <x:v>42.638237</x:v>
      </x:c>
      <x:c r="G3068" s="55" t="n">
        <x:v>-77.104324</x:v>
      </x:c>
      <x:c r="H3068" s="43" t="n">
        <x:f>E3068/SUMIF(A:A,A3068,E:E)</x:f>
        <x:v>0.0005944757084855032</x:v>
      </x:c>
    </x:row>
    <x:row r="3069" ht="15" hidden="0" customHeight="1">
      <x:c r="A3069" s="29" t="str">
        <x:v>SCA-30</x:v>
      </x:c>
      <x:c r="B3069" s="29" t="str">
        <x:v>24029</x:v>
      </x:c>
      <x:c r="C3069" s="29" t="str">
        <x:v>MD</x:v>
      </x:c>
      <x:c r="D3069" s="29" t="str">
        <x:v>Kent County</x:v>
      </x:c>
      <x:c r="E3069" s="41" t="n">
        <x:v>19565</x:v>
      </x:c>
      <x:c r="F3069" s="56" t="n">
        <x:v>39.241279</x:v>
      </x:c>
      <x:c r="G3069" s="56" t="n">
        <x:v>-76.125986</x:v>
      </x:c>
      <x:c r="H3069" s="44" t="n">
        <x:f>E3069/SUMIF(A:A,A3069,E:E)</x:f>
        <x:v>0.0004738223504509256</x:v>
      </x:c>
    </x:row>
    <x:row r="3070" ht="21.600000381469727" hidden="0" customHeight="1">
      <x:c r="A3070" s="27" t="str">
        <x:v>SCA-30</x:v>
      </x:c>
      <x:c r="B3070" s="27" t="str">
        <x:v>42093</x:v>
      </x:c>
      <x:c r="C3070" s="27" t="str">
        <x:v>PA</x:v>
      </x:c>
      <x:c r="D3070" s="27" t="str">
        <x:v>Montour County</x:v>
      </x:c>
      <x:c r="E3070" s="40" t="n">
        <x:v>17868</x:v>
      </x:c>
      <x:c r="F3070" s="55" t="n">
        <x:v>41.029284</x:v>
      </x:c>
      <x:c r="G3070" s="55" t="n">
        <x:v>-76.665225</x:v>
      </x:c>
      <x:c r="H3070" s="43" t="n">
        <x:f>E3070/SUMIF(A:A,A3070,E:E)</x:f>
        <x:v>0.00043272464900879825</x:v>
      </x:c>
    </x:row>
    <x:row r="3071" ht="21.600000381469727" hidden="0" customHeight="1">
      <x:c r="A3071" s="29" t="str">
        <x:v>SCA-30</x:v>
      </x:c>
      <x:c r="B3071" s="29" t="str">
        <x:v>36097</x:v>
      </x:c>
      <x:c r="C3071" s="29" t="str">
        <x:v>NY</x:v>
      </x:c>
      <x:c r="D3071" s="29" t="str">
        <x:v>Schuyler County</x:v>
      </x:c>
      <x:c r="E3071" s="41" t="n">
        <x:v>16924</x:v>
      </x:c>
      <x:c r="F3071" s="56" t="n">
        <x:v>42.419776</x:v>
      </x:c>
      <x:c r="G3071" s="56" t="n">
        <x:v>-76.938603</x:v>
      </x:c>
      <x:c r="H3071" s="44" t="n">
        <x:f>E3071/SUMIF(A:A,A3071,E:E)</x:f>
        <x:v>0.0004098629930504199</x:v>
      </x:c>
    </x:row>
    <x:row r="3072" ht="21.600000381469727" hidden="0" customHeight="1">
      <x:c r="A3072" s="27" t="str">
        <x:v>SCA-30</x:v>
      </x:c>
      <x:c r="B3072" s="27" t="str">
        <x:v>42113</x:v>
      </x:c>
      <x:c r="C3072" s="27" t="str">
        <x:v>PA</x:v>
      </x:c>
      <x:c r="D3072" s="27" t="str">
        <x:v>Sullivan County</x:v>
      </x:c>
      <x:c r="E3072" s="40" t="n">
        <x:v>5856</x:v>
      </x:c>
      <x:c r="F3072" s="55" t="n">
        <x:v>41.439285</x:v>
      </x:c>
      <x:c r="G3072" s="55" t="n">
        <x:v>-76.511717</x:v>
      </x:c>
      <x:c r="H3072" s="43" t="n">
        <x:f>E3072/SUMIF(A:A,A3072,E:E)</x:f>
        <x:v>0.00014181976408078815</x:v>
      </x:c>
    </x:row>
    <x:row r="3073" ht="21.600000381469727" hidden="0" customHeight="1">
      <x:c r="A3073" s="29" t="str">
        <x:v>SCA-31</x:v>
      </x:c>
      <x:c r="B3073" s="29" t="str">
        <x:v>25017</x:v>
      </x:c>
      <x:c r="C3073" s="29" t="str">
        <x:v>MA</x:v>
      </x:c>
      <x:c r="D3073" s="29" t="str">
        <x:v>Middlesex County</x:v>
      </x:c>
      <x:c r="E3073" s="41" t="n">
        <x:v>1669979</x:v>
      </x:c>
      <x:c r="F3073" s="56" t="n">
        <x:v>42.481721</x:v>
      </x:c>
      <x:c r="G3073" s="56" t="n">
        <x:v>-71.394916</x:v>
      </x:c>
      <x:c r="H3073" s="44" t="n">
        <x:f>E3073/SUMIF(A:A,A3073,E:E)</x:f>
        <x:v>0.11737990970489617</x:v>
      </x:c>
    </x:row>
    <x:row r="3074" ht="32.400001525878906" hidden="0" customHeight="1">
      <x:c r="A3074" s="27" t="str">
        <x:v>SCA-31</x:v>
      </x:c>
      <x:c r="B3074" s="27" t="str">
        <x:v>09110</x:v>
      </x:c>
      <x:c r="C3074" s="27" t="str">
        <x:v>CT</x:v>
      </x:c>
      <x:c r="D3074" s="27" t="str">
        <x:v>Capitol Planning Region</x:v>
      </x:c>
      <x:c r="E3074" s="40" t="n">
        <x:v>994115</x:v>
      </x:c>
      <x:c r="F3074" s="55" t="n">
        <x:v>41.81697</x:v>
      </x:c>
      <x:c r="G3074" s="55" t="n">
        <x:v>-72.575886</x:v>
      </x:c>
      <x:c r="H3074" s="43" t="n">
        <x:f>E3074/SUMIF(A:A,A3074,E:E)</x:f>
        <x:v>0.06987460856470822</x:v>
      </x:c>
    </x:row>
    <x:row r="3075" ht="21.600000381469727" hidden="0" customHeight="1">
      <x:c r="A3075" s="29" t="str">
        <x:v>SCA-31</x:v>
      </x:c>
      <x:c r="B3075" s="29" t="str">
        <x:v>25027</x:v>
      </x:c>
      <x:c r="C3075" s="29" t="str">
        <x:v>MA</x:v>
      </x:c>
      <x:c r="D3075" s="29" t="str">
        <x:v>Worcester County</x:v>
      </x:c>
      <x:c r="E3075" s="41" t="n">
        <x:v>888502</x:v>
      </x:c>
      <x:c r="F3075" s="56" t="n">
        <x:v>42.311693</x:v>
      </x:c>
      <x:c r="G3075" s="56" t="n">
        <x:v>-71.940282</x:v>
      </x:c>
      <x:c r="H3075" s="44" t="n">
        <x:f>E3075/SUMIF(A:A,A3075,E:E)</x:f>
        <x:v>0.0624512550951956</x:v>
      </x:c>
    </x:row>
    <x:row r="3076" ht="21.600000381469727" hidden="0" customHeight="1">
      <x:c r="A3076" s="27" t="str">
        <x:v>SCA-31</x:v>
      </x:c>
      <x:c r="B3076" s="27" t="str">
        <x:v>25009</x:v>
      </x:c>
      <x:c r="C3076" s="27" t="str">
        <x:v>MA</x:v>
      </x:c>
      <x:c r="D3076" s="27" t="str">
        <x:v>Essex County</x:v>
      </x:c>
      <x:c r="E3076" s="40" t="n">
        <x:v>826653</x:v>
      </x:c>
      <x:c r="F3076" s="55" t="n">
        <x:v>42.642708</x:v>
      </x:c>
      <x:c r="G3076" s="55" t="n">
        <x:v>-70.864909</x:v>
      </x:c>
      <x:c r="H3076" s="43" t="n">
        <x:f>E3076/SUMIF(A:A,A3076,E:E)</x:f>
        <x:v>0.05810399681509859</x:v>
      </x:c>
    </x:row>
    <x:row r="3077" ht="21.600000381469727" hidden="0" customHeight="1">
      <x:c r="A3077" s="29" t="str">
        <x:v>SCA-31</x:v>
      </x:c>
      <x:c r="B3077" s="29" t="str">
        <x:v>25025</x:v>
      </x:c>
      <x:c r="C3077" s="29" t="str">
        <x:v>MA</x:v>
      </x:c>
      <x:c r="D3077" s="29" t="str">
        <x:v>Suffolk County</x:v>
      </x:c>
      <x:c r="E3077" s="41" t="n">
        <x:v>791891</x:v>
      </x:c>
      <x:c r="F3077" s="56" t="n">
        <x:v>42.338551</x:v>
      </x:c>
      <x:c r="G3077" s="56" t="n">
        <x:v>-71.018253</x:v>
      </x:c>
      <x:c r="H3077" s="44" t="n">
        <x:f>E3077/SUMIF(A:A,A3077,E:E)</x:f>
        <x:v>0.05566063649669842</x:v>
      </x:c>
    </x:row>
    <x:row r="3078" ht="21.600000381469727" hidden="0" customHeight="1">
      <x:c r="A3078" s="27" t="str">
        <x:v>SCA-31</x:v>
      </x:c>
      <x:c r="B3078" s="27" t="str">
        <x:v>25021</x:v>
      </x:c>
      <x:c r="C3078" s="27" t="str">
        <x:v>MA</x:v>
      </x:c>
      <x:c r="D3078" s="27" t="str">
        <x:v>Norfolk County</x:v>
      </x:c>
      <x:c r="E3078" s="40" t="n">
        <x:v>739749</x:v>
      </x:c>
      <x:c r="F3078" s="55" t="n">
        <x:v>42.171741</x:v>
      </x:c>
      <x:c r="G3078" s="55" t="n">
        <x:v>-71.181111</x:v>
      </x:c>
      <x:c r="H3078" s="43" t="n">
        <x:f>E3078/SUMIF(A:A,A3078,E:E)</x:f>
        <x:v>0.051995666307353104</x:v>
      </x:c>
    </x:row>
    <x:row r="3079" ht="21.600000381469727" hidden="0" customHeight="1">
      <x:c r="A3079" s="29" t="str">
        <x:v>SCA-31</x:v>
      </x:c>
      <x:c r="B3079" s="29" t="str">
        <x:v>44007</x:v>
      </x:c>
      <x:c r="C3079" s="29" t="str">
        <x:v>RI</x:v>
      </x:c>
      <x:c r="D3079" s="29" t="str">
        <x:v>Providence County</x:v>
      </x:c>
      <x:c r="E3079" s="41" t="n">
        <x:v>678179</x:v>
      </x:c>
      <x:c r="F3079" s="56" t="n">
        <x:v>41.869768</x:v>
      </x:c>
      <x:c r="G3079" s="56" t="n">
        <x:v>-71.578625</x:v>
      </x:c>
      <x:c r="H3079" s="44" t="n">
        <x:f>E3079/SUMIF(A:A,A3079,E:E)</x:f>
        <x:v>0.04766801845038577</x:v>
      </x:c>
    </x:row>
    <x:row r="3080" ht="21.600000381469727" hidden="0" customHeight="1">
      <x:c r="A3080" s="27" t="str">
        <x:v>SCA-31</x:v>
      </x:c>
      <x:c r="B3080" s="27" t="str">
        <x:v>25005</x:v>
      </x:c>
      <x:c r="C3080" s="27" t="str">
        <x:v>MA</x:v>
      </x:c>
      <x:c r="D3080" s="27" t="str">
        <x:v>Bristol County</x:v>
      </x:c>
      <x:c r="E3080" s="40" t="n">
        <x:v>593640</x:v>
      </x:c>
      <x:c r="F3080" s="55" t="n">
        <x:v>41.748588</x:v>
      </x:c>
      <x:c r="G3080" s="55" t="n">
        <x:v>-71.088894</x:v>
      </x:c>
      <x:c r="H3080" s="43" t="n">
        <x:f>E3080/SUMIF(A:A,A3080,E:E)</x:f>
        <x:v>0.04172591966558535</x:v>
      </x:c>
    </x:row>
    <x:row r="3081" ht="21.600000381469727" hidden="0" customHeight="1">
      <x:c r="A3081" s="29" t="str">
        <x:v>SCA-31</x:v>
      </x:c>
      <x:c r="B3081" s="29" t="str">
        <x:v>25023</x:v>
      </x:c>
      <x:c r="C3081" s="29" t="str">
        <x:v>MA</x:v>
      </x:c>
      <x:c r="D3081" s="29" t="str">
        <x:v>Plymouth County</x:v>
      </x:c>
      <x:c r="E3081" s="41" t="n">
        <x:v>546829</x:v>
      </x:c>
      <x:c r="F3081" s="56" t="n">
        <x:v>41.987196</x:v>
      </x:c>
      <x:c r="G3081" s="56" t="n">
        <x:v>-70.741942</x:v>
      </x:c>
      <x:c r="H3081" s="44" t="n">
        <x:f>E3081/SUMIF(A:A,A3081,E:E)</x:f>
        <x:v>0.03843565616335216</x:v>
      </x:c>
    </x:row>
    <x:row r="3082" ht="21.600000381469727" hidden="0" customHeight="1">
      <x:c r="A3082" s="27" t="str">
        <x:v>SCA-31</x:v>
      </x:c>
      <x:c r="B3082" s="27" t="str">
        <x:v>25013</x:v>
      </x:c>
      <x:c r="C3082" s="27" t="str">
        <x:v>MA</x:v>
      </x:c>
      <x:c r="D3082" s="27" t="str">
        <x:v>Hampden County</x:v>
      </x:c>
      <x:c r="E3082" s="40" t="n">
        <x:v>464338</x:v>
      </x:c>
      <x:c r="F3082" s="55" t="n">
        <x:v>42.136198</x:v>
      </x:c>
      <x:c r="G3082" s="55" t="n">
        <x:v>-72.635647</x:v>
      </x:c>
      <x:c r="H3082" s="43" t="n">
        <x:f>E3082/SUMIF(A:A,A3082,E:E)</x:f>
        <x:v>0.032637507724679216</x:v>
      </x:c>
    </x:row>
    <x:row r="3083" ht="21.600000381469727" hidden="0" customHeight="1">
      <x:c r="A3083" s="29" t="str">
        <x:v>SCA-31</x:v>
      </x:c>
      <x:c r="B3083" s="29" t="str">
        <x:v>33011</x:v>
      </x:c>
      <x:c r="C3083" s="29" t="str">
        <x:v>NH</x:v>
      </x:c>
      <x:c r="D3083" s="29" t="str">
        <x:v>Hillsborough County</x:v>
      </x:c>
      <x:c r="E3083" s="41" t="n">
        <x:v>433415</x:v>
      </x:c>
      <x:c r="F3083" s="56" t="n">
        <x:v>42.911532</x:v>
      </x:c>
      <x:c r="G3083" s="56" t="n">
        <x:v>-71.723055</x:v>
      </x:c>
      <x:c r="H3083" s="44" t="n">
        <x:f>E3083/SUMIF(A:A,A3083,E:E)</x:f>
        <x:v>0.03046398401701313</x:v>
      </x:c>
    </x:row>
    <x:row r="3084" ht="21.600000381469727" hidden="0" customHeight="1">
      <x:c r="A3084" s="27" t="str">
        <x:v>SCA-31</x:v>
      </x:c>
      <x:c r="B3084" s="27" t="str">
        <x:v>33015</x:v>
      </x:c>
      <x:c r="C3084" s="27" t="str">
        <x:v>NH</x:v>
      </x:c>
      <x:c r="D3084" s="27" t="str">
        <x:v>Rockingham County</x:v>
      </x:c>
      <x:c r="E3084" s="40" t="n">
        <x:v>324077</x:v>
      </x:c>
      <x:c r="F3084" s="55" t="n">
        <x:v>42.988664</x:v>
      </x:c>
      <x:c r="G3084" s="55" t="n">
        <x:v>-71.09908</x:v>
      </x:c>
      <x:c r="H3084" s="43" t="n">
        <x:f>E3084/SUMIF(A:A,A3084,E:E)</x:f>
        <x:v>0.022778806797830172</x:v>
      </x:c>
    </x:row>
    <x:row r="3085" ht="21.600000381469727" hidden="0" customHeight="1">
      <x:c r="A3085" s="29" t="str">
        <x:v>SCA-31</x:v>
      </x:c>
      <x:c r="B3085" s="29" t="str">
        <x:v>23005</x:v>
      </x:c>
      <x:c r="C3085" s="29" t="str">
        <x:v>ME</x:v>
      </x:c>
      <x:c r="D3085" s="29" t="str">
        <x:v>Cumberland County</x:v>
      </x:c>
      <x:c r="E3085" s="41" t="n">
        <x:v>317222</x:v>
      </x:c>
      <x:c r="F3085" s="56" t="n">
        <x:v>43.808348</x:v>
      </x:c>
      <x:c r="G3085" s="56" t="n">
        <x:v>-70.330375</x:v>
      </x:c>
      <x:c r="H3085" s="44" t="n">
        <x:f>E3085/SUMIF(A:A,A3085,E:E)</x:f>
        <x:v>0.022296980810181787</x:v>
      </x:c>
    </x:row>
    <x:row r="3086" ht="43.20000076293945" hidden="0" customHeight="1">
      <x:c r="A3086" s="27" t="str">
        <x:v>SCA-31</x:v>
      </x:c>
      <x:c r="B3086" s="27" t="str">
        <x:v>09180</x:v>
      </x:c>
      <x:c r="C3086" s="27" t="str">
        <x:v>CT</x:v>
      </x:c>
      <x:c r="D3086" s="27" t="str">
        <x:v>Southeastern Connecticut Planning Region</x:v>
      </x:c>
      <x:c r="E3086" s="40" t="n">
        <x:v>284015</x:v>
      </x:c>
      <x:c r="F3086" s="55" t="n">
        <x:v>41.484769</x:v>
      </x:c>
      <x:c r="G3086" s="55" t="n">
        <x:v>-72.101666</x:v>
      </x:c>
      <x:c r="H3086" s="43" t="n">
        <x:f>E3086/SUMIF(A:A,A3086,E:E)</x:f>
        <x:v>0.019962918728221184</x:v>
      </x:c>
    </x:row>
    <x:row r="3087" ht="21.600000381469727" hidden="0" customHeight="1">
      <x:c r="A3087" s="29" t="str">
        <x:v>SCA-31</x:v>
      </x:c>
      <x:c r="B3087" s="29" t="str">
        <x:v>36091</x:v>
      </x:c>
      <x:c r="C3087" s="29" t="str">
        <x:v>NY</x:v>
      </x:c>
      <x:c r="D3087" s="29" t="str">
        <x:v>Saratoga County</x:v>
      </x:c>
      <x:c r="E3087" s="41" t="n">
        <x:v>241343</x:v>
      </x:c>
      <x:c r="F3087" s="56" t="n">
        <x:v>43.106135</x:v>
      </x:c>
      <x:c r="G3087" s="56" t="n">
        <x:v>-73.855387</x:v>
      </x:c>
      <x:c r="H3087" s="44" t="n">
        <x:f>E3087/SUMIF(A:A,A3087,E:E)</x:f>
        <x:v>0.01696357831320559</x:v>
      </x:c>
    </x:row>
    <x:row r="3088" ht="21.600000381469727" hidden="0" customHeight="1">
      <x:c r="A3088" s="27" t="str">
        <x:v>SCA-31</x:v>
      </x:c>
      <x:c r="B3088" s="27" t="str">
        <x:v>25001</x:v>
      </x:c>
      <x:c r="C3088" s="27" t="str">
        <x:v>MA</x:v>
      </x:c>
      <x:c r="D3088" s="27" t="str">
        <x:v>Barnstable County</x:v>
      </x:c>
      <x:c r="E3088" s="40" t="n">
        <x:v>233539</x:v>
      </x:c>
      <x:c r="F3088" s="55" t="n">
        <x:v>41.706123</x:v>
      </x:c>
      <x:c r="G3088" s="55" t="n">
        <x:v>-70.164823</x:v>
      </x:c>
      <x:c r="H3088" s="43" t="n">
        <x:f>E3088/SUMIF(A:A,A3088,E:E)</x:f>
        <x:v>0.01641504877161434</x:v>
      </x:c>
    </x:row>
    <x:row r="3089" ht="15" hidden="0" customHeight="1">
      <x:c r="A3089" s="29" t="str">
        <x:v>SCA-31</x:v>
      </x:c>
      <x:c r="B3089" s="29" t="str">
        <x:v>23031</x:v>
      </x:c>
      <x:c r="C3089" s="29" t="str">
        <x:v>ME</x:v>
      </x:c>
      <x:c r="D3089" s="29" t="str">
        <x:v>York County</x:v>
      </x:c>
      <x:c r="E3089" s="41" t="n">
        <x:v>222434</x:v>
      </x:c>
      <x:c r="F3089" s="56" t="n">
        <x:v>43.426019</x:v>
      </x:c>
      <x:c r="G3089" s="56" t="n">
        <x:v>-70.668425</x:v>
      </x:c>
      <x:c r="H3089" s="44" t="n">
        <x:f>E3089/SUMIF(A:A,A3089,E:E)</x:f>
        <x:v>0.015634497700449453</x:v>
      </x:c>
    </x:row>
    <x:row r="3090" ht="15" hidden="0" customHeight="1">
      <x:c r="A3090" s="27" t="str">
        <x:v>SCA-31</x:v>
      </x:c>
      <x:c r="B3090" s="27" t="str">
        <x:v>44003</x:v>
      </x:c>
      <x:c r="C3090" s="27" t="str">
        <x:v>RI</x:v>
      </x:c>
      <x:c r="D3090" s="27" t="str">
        <x:v>Kent County</x:v>
      </x:c>
      <x:c r="E3090" s="40" t="n">
        <x:v>173495</x:v>
      </x:c>
      <x:c r="F3090" s="55" t="n">
        <x:v>41.675118</x:v>
      </x:c>
      <x:c r="G3090" s="55" t="n">
        <x:v>-71.580282</x:v>
      </x:c>
      <x:c r="H3090" s="43" t="n">
        <x:f>E3090/SUMIF(A:A,A3090,E:E)</x:f>
        <x:v>0.012194660791693165</x:v>
      </x:c>
    </x:row>
    <x:row r="3091" ht="21.600000381469727" hidden="0" customHeight="1">
      <x:c r="A3091" s="29" t="str">
        <x:v>SCA-31</x:v>
      </x:c>
      <x:c r="B3091" s="29" t="str">
        <x:v>50007</x:v>
      </x:c>
      <x:c r="C3091" s="29" t="str">
        <x:v>VT</x:v>
      </x:c>
      <x:c r="D3091" s="29" t="str">
        <x:v>Chittenden County</x:v>
      </x:c>
      <x:c r="E3091" s="41" t="n">
        <x:v>169115</x:v>
      </x:c>
      <x:c r="F3091" s="56" t="n">
        <x:v>44.463766</x:v>
      </x:c>
      <x:c r="G3091" s="56" t="n">
        <x:v>-73.067086</x:v>
      </x:c>
      <x:c r="H3091" s="44" t="n">
        <x:f>E3091/SUMIF(A:A,A3091,E:E)</x:f>
        <x:v>0.011886798235033804</x:v>
      </x:c>
    </x:row>
    <x:row r="3092" ht="21.600000381469727" hidden="0" customHeight="1">
      <x:c r="A3092" s="27" t="str">
        <x:v>SCA-31</x:v>
      </x:c>
      <x:c r="B3092" s="27" t="str">
        <x:v>25015</x:v>
      </x:c>
      <x:c r="C3092" s="27" t="str">
        <x:v>MA</x:v>
      </x:c>
      <x:c r="D3092" s="27" t="str">
        <x:v>Hampshire County</x:v>
      </x:c>
      <x:c r="E3092" s="40" t="n">
        <x:v>164065</x:v>
      </x:c>
      <x:c r="F3092" s="55" t="n">
        <x:v>42.33946</x:v>
      </x:c>
      <x:c r="G3092" s="55" t="n">
        <x:v>-72.663692</x:v>
      </x:c>
      <x:c r="H3092" s="43" t="n">
        <x:f>E3092/SUMIF(A:A,A3092,E:E)</x:f>
        <x:v>0.01153184254756125</x:v>
      </x:c>
    </x:row>
    <x:row r="3093" ht="21.600000381469727" hidden="0" customHeight="1">
      <x:c r="A3093" s="29" t="str">
        <x:v>SCA-31</x:v>
      </x:c>
      <x:c r="B3093" s="29" t="str">
        <x:v>36083</x:v>
      </x:c>
      <x:c r="C3093" s="29" t="str">
        <x:v>NY</x:v>
      </x:c>
      <x:c r="D3093" s="29" t="str">
        <x:v>Rensselaer County</x:v>
      </x:c>
      <x:c r="E3093" s="41" t="n">
        <x:v>160510</x:v>
      </x:c>
      <x:c r="F3093" s="56" t="n">
        <x:v>42.710421</x:v>
      </x:c>
      <x:c r="G3093" s="56" t="n">
        <x:v>-73.513845</x:v>
      </x:c>
      <x:c r="H3093" s="44" t="n">
        <x:f>E3093/SUMIF(A:A,A3093,E:E)</x:f>
        <x:v>0.011281967801231562</x:v>
      </x:c>
    </x:row>
    <x:row r="3094" ht="21.600000381469727" hidden="0" customHeight="1">
      <x:c r="A3094" s="27" t="str">
        <x:v>SCA-31</x:v>
      </x:c>
      <x:c r="B3094" s="27" t="str">
        <x:v>33013</x:v>
      </x:c>
      <x:c r="C3094" s="27" t="str">
        <x:v>NH</x:v>
      </x:c>
      <x:c r="D3094" s="27" t="str">
        <x:v>Merrimack County</x:v>
      </x:c>
      <x:c r="E3094" s="40" t="n">
        <x:v>158078</x:v>
      </x:c>
      <x:c r="F3094" s="55" t="n">
        <x:v>43.299579</x:v>
      </x:c>
      <x:c r="G3094" s="55" t="n">
        <x:v>-71.680041</x:v>
      </x:c>
      <x:c r="H3094" s="43" t="n">
        <x:f>E3094/SUMIF(A:A,A3094,E:E)</x:f>
        <x:v>0.011111026765205177</x:v>
      </x:c>
    </x:row>
    <x:row r="3095" ht="21.600000381469727" hidden="0" customHeight="1">
      <x:c r="A3095" s="29" t="str">
        <x:v>SCA-31</x:v>
      </x:c>
      <x:c r="B3095" s="29" t="str">
        <x:v>23019</x:v>
      </x:c>
      <x:c r="C3095" s="29" t="str">
        <x:v>ME</x:v>
      </x:c>
      <x:c r="D3095" s="29" t="str">
        <x:v>Penobscot County</x:v>
      </x:c>
      <x:c r="E3095" s="41" t="n">
        <x:v>157967</x:v>
      </x:c>
      <x:c r="F3095" s="56" t="n">
        <x:v>45.409284</x:v>
      </x:c>
      <x:c r="G3095" s="56" t="n">
        <x:v>-68.666616</x:v>
      </x:c>
      <x:c r="H3095" s="44" t="n">
        <x:f>E3095/SUMIF(A:A,A3095,E:E)</x:f>
        <x:v>0.011103224768906276</x:v>
      </x:c>
    </x:row>
    <x:row r="3096" ht="21.600000381469727" hidden="0" customHeight="1">
      <x:c r="A3096" s="27" t="str">
        <x:v>SCA-31</x:v>
      </x:c>
      <x:c r="B3096" s="27" t="str">
        <x:v>33017</x:v>
      </x:c>
      <x:c r="C3096" s="27" t="str">
        <x:v>NH</x:v>
      </x:c>
      <x:c r="D3096" s="27" t="str">
        <x:v>Strafford County</x:v>
      </x:c>
      <x:c r="E3096" s="40" t="n">
        <x:v>135043</x:v>
      </x:c>
      <x:c r="F3096" s="55" t="n">
        <x:v>43.293272</x:v>
      </x:c>
      <x:c r="G3096" s="55" t="n">
        <x:v>-71.035589</x:v>
      </x:c>
      <x:c r="H3096" s="43" t="n">
        <x:f>E3096/SUMIF(A:A,A3096,E:E)</x:f>
        <x:v>0.009491936812545723</x:v>
      </x:c>
    </x:row>
    <x:row r="3097" ht="21.600000381469727" hidden="0" customHeight="1">
      <x:c r="A3097" s="29" t="str">
        <x:v>SCA-31</x:v>
      </x:c>
      <x:c r="B3097" s="29" t="str">
        <x:v>44009</x:v>
      </x:c>
      <x:c r="C3097" s="29" t="str">
        <x:v>RI</x:v>
      </x:c>
      <x:c r="D3097" s="29" t="str">
        <x:v>Washington County</x:v>
      </x:c>
      <x:c r="E3097" s="41" t="n">
        <x:v>129795</x:v>
      </x:c>
      <x:c r="F3097" s="56" t="n">
        <x:v>41.396792</x:v>
      </x:c>
      <x:c r="G3097" s="56" t="n">
        <x:v>-71.620282</x:v>
      </x:c>
      <x:c r="H3097" s="44" t="n">
        <x:f>E3097/SUMIF(A:A,A3097,E:E)</x:f>
        <x:v>0.009123064050594048</x:v>
      </x:c>
    </x:row>
    <x:row r="3098" ht="21.600000381469727" hidden="0" customHeight="1">
      <x:c r="A3098" s="27" t="str">
        <x:v>SCA-31</x:v>
      </x:c>
      <x:c r="B3098" s="27" t="str">
        <x:v>23011</x:v>
      </x:c>
      <x:c r="C3098" s="27" t="str">
        <x:v>ME</x:v>
      </x:c>
      <x:c r="D3098" s="27" t="str">
        <x:v>Kennebec County</x:v>
      </x:c>
      <x:c r="E3098" s="40" t="n">
        <x:v>129067</x:v>
      </x:c>
      <x:c r="F3098" s="55" t="n">
        <x:v>44.417012</x:v>
      </x:c>
      <x:c r="G3098" s="55" t="n">
        <x:v>-69.765764</x:v>
      </x:c>
      <x:c r="H3098" s="43" t="n">
        <x:f>E3098/SUMIF(A:A,A3098,E:E)</x:f>
        <x:v>0.009071894200994045</x:v>
      </x:c>
    </x:row>
    <x:row r="3099" ht="21.600000381469727" hidden="0" customHeight="1">
      <x:c r="A3099" s="29" t="str">
        <x:v>SCA-31</x:v>
      </x:c>
      <x:c r="B3099" s="29" t="str">
        <x:v>25003</x:v>
      </x:c>
      <x:c r="C3099" s="29" t="str">
        <x:v>MA</x:v>
      </x:c>
      <x:c r="D3099" s="29" t="str">
        <x:v>Berkshire County</x:v>
      </x:c>
      <x:c r="E3099" s="41" t="n">
        <x:v>128224</x:v>
      </x:c>
      <x:c r="F3099" s="56" t="n">
        <x:v>42.371493</x:v>
      </x:c>
      <x:c r="G3099" s="56" t="n">
        <x:v>-73.217928</x:v>
      </x:c>
      <x:c r="H3099" s="44" t="n">
        <x:f>E3099/SUMIF(A:A,A3099,E:E)</x:f>
        <x:v>0.00901264120207536</x:v>
      </x:c>
    </x:row>
    <x:row r="3100" ht="21.600000381469727" hidden="0" customHeight="1">
      <x:c r="A3100" s="27" t="str">
        <x:v>SCA-31</x:v>
      </x:c>
      <x:c r="B3100" s="27" t="str">
        <x:v>23001</x:v>
      </x:c>
      <x:c r="C3100" s="27" t="str">
        <x:v>ME</x:v>
      </x:c>
      <x:c r="D3100" s="27" t="str">
        <x:v>Androscoggin County</x:v>
      </x:c>
      <x:c r="E3100" s="40" t="n">
        <x:v>116487</x:v>
      </x:c>
      <x:c r="F3100" s="55" t="n">
        <x:v>44.167681</x:v>
      </x:c>
      <x:c r="G3100" s="55" t="n">
        <x:v>-70.207435</x:v>
      </x:c>
      <x:c r="H3100" s="43" t="n">
        <x:f>E3100/SUMIF(A:A,A3100,E:E)</x:f>
        <x:v>0.00818766795378519</x:v>
      </x:c>
    </x:row>
    <x:row r="3101" ht="21.600000381469727" hidden="0" customHeight="1">
      <x:c r="A3101" s="29" t="str">
        <x:v>SCA-31</x:v>
      </x:c>
      <x:c r="B3101" s="29" t="str">
        <x:v>36045</x:v>
      </x:c>
      <x:c r="C3101" s="29" t="str">
        <x:v>NY</x:v>
      </x:c>
      <x:c r="D3101" s="29" t="str">
        <x:v>Jefferson County</x:v>
      </x:c>
      <x:c r="E3101" s="41" t="n">
        <x:v>111540</x:v>
      </x:c>
      <x:c r="F3101" s="56" t="n">
        <x:v>43.996389</x:v>
      </x:c>
      <x:c r="G3101" s="56" t="n">
        <x:v>-76.052968</x:v>
      </x:c>
      <x:c r="H3101" s="44" t="n">
        <x:f>E3101/SUMIF(A:A,A3101,E:E)</x:f>
        <x:v>0.007839951956571979</x:v>
      </x:c>
    </x:row>
    <x:row r="3102" ht="21.600000381469727" hidden="0" customHeight="1">
      <x:c r="A3102" s="27" t="str">
        <x:v>SCA-31</x:v>
      </x:c>
      <x:c r="B3102" s="27" t="str">
        <x:v>36089</x:v>
      </x:c>
      <x:c r="C3102" s="27" t="str">
        <x:v>NY</x:v>
      </x:c>
      <x:c r="D3102" s="27" t="str">
        <x:v>St. Lawrence County</x:v>
      </x:c>
      <x:c r="E3102" s="40" t="n">
        <x:v>105488</x:v>
      </x:c>
      <x:c r="F3102" s="55" t="n">
        <x:v>44.488112</x:v>
      </x:c>
      <x:c r="G3102" s="55" t="n">
        <x:v>-75.074311</x:v>
      </x:c>
      <x:c r="H3102" s="43" t="n">
        <x:f>E3102/SUMIF(A:A,A3102,E:E)</x:f>
        <x:v>0.0074145674376444775</x:v>
      </x:c>
    </x:row>
    <x:row r="3103" ht="43.20000076293945" hidden="0" customHeight="1">
      <x:c r="A3103" s="29" t="str">
        <x:v>SCA-31</x:v>
      </x:c>
      <x:c r="B3103" s="29" t="str">
        <x:v>09150</x:v>
      </x:c>
      <x:c r="C3103" s="29" t="str">
        <x:v>CT</x:v>
      </x:c>
      <x:c r="D3103" s="29" t="str">
        <x:v>Northeastern Connecticut Planning Region</x:v>
      </x:c>
      <x:c r="E3103" s="41" t="n">
        <x:v>98096</x:v>
      </x:c>
      <x:c r="F3103" s="56" t="n">
        <x:v>41.842375</x:v>
      </x:c>
      <x:c r="G3103" s="56" t="n">
        <x:v>-71.972655</x:v>
      </x:c>
      <x:c r="H3103" s="44" t="n">
        <x:f>E3103/SUMIF(A:A,A3103,E:E)</x:f>
        <x:v>0.006894996657090595</x:v>
      </x:c>
    </x:row>
    <x:row r="3104" ht="21.600000381469727" hidden="0" customHeight="1">
      <x:c r="A3104" s="27" t="str">
        <x:v>SCA-31</x:v>
      </x:c>
      <x:c r="B3104" s="27" t="str">
        <x:v>33009</x:v>
      </x:c>
      <x:c r="C3104" s="27" t="str">
        <x:v>NH</x:v>
      </x:c>
      <x:c r="D3104" s="27" t="str">
        <x:v>Grafton County</x:v>
      </x:c>
      <x:c r="E3104" s="40" t="n">
        <x:v>93225</x:v>
      </x:c>
      <x:c r="F3104" s="55" t="n">
        <x:v>43.926439</x:v>
      </x:c>
      <x:c r="G3104" s="55" t="n">
        <x:v>-71.842424</x:v>
      </x:c>
      <x:c r="H3104" s="43" t="n">
        <x:f>E3104/SUMIF(A:A,A3104,E:E)</x:f>
        <x:v>0.006552622567253208</x:v>
      </x:c>
    </x:row>
    <x:row r="3105" ht="21.600000381469727" hidden="0" customHeight="1">
      <x:c r="A3105" s="29" t="str">
        <x:v>SCA-31</x:v>
      </x:c>
      <x:c r="B3105" s="29" t="str">
        <x:v>44005</x:v>
      </x:c>
      <x:c r="C3105" s="29" t="str">
        <x:v>RI</x:v>
      </x:c>
      <x:c r="D3105" s="29" t="str">
        <x:v>Newport County</x:v>
      </x:c>
      <x:c r="E3105" s="41" t="n">
        <x:v>83051</x:v>
      </x:c>
      <x:c r="F3105" s="56" t="n">
        <x:v>41.501045</x:v>
      </x:c>
      <x:c r="G3105" s="56" t="n">
        <x:v>-71.283063</x:v>
      </x:c>
      <x:c r="H3105" s="44" t="n">
        <x:f>E3105/SUMIF(A:A,A3105,E:E)</x:f>
        <x:v>0.005837509861442169</x:v>
      </x:c>
    </x:row>
    <x:row r="3106" ht="21.600000381469727" hidden="0" customHeight="1">
      <x:c r="A3106" s="27" t="str">
        <x:v>SCA-31</x:v>
      </x:c>
      <x:c r="B3106" s="27" t="str">
        <x:v>33005</x:v>
      </x:c>
      <x:c r="C3106" s="27" t="str">
        <x:v>NH</x:v>
      </x:c>
      <x:c r="D3106" s="27" t="str">
        <x:v>Cheshire County</x:v>
      </x:c>
      <x:c r="E3106" s="40" t="n">
        <x:v>78269</x:v>
      </x:c>
      <x:c r="F3106" s="55" t="n">
        <x:v>42.92546</x:v>
      </x:c>
      <x:c r="G3106" s="55" t="n">
        <x:v>-72.248183</x:v>
      </x:c>
      <x:c r="H3106" s="43" t="n">
        <x:f>E3106/SUMIF(A:A,A3106,E:E)</x:f>
        <x:v>0.005501391426294892</x:v>
      </x:c>
    </x:row>
    <x:row r="3107" ht="21.600000381469727" hidden="0" customHeight="1">
      <x:c r="A3107" s="29" t="str">
        <x:v>SCA-31</x:v>
      </x:c>
      <x:c r="B3107" s="29" t="str">
        <x:v>36019</x:v>
      </x:c>
      <x:c r="C3107" s="29" t="str">
        <x:v>NY</x:v>
      </x:c>
      <x:c r="D3107" s="29" t="str">
        <x:v>Clinton County</x:v>
      </x:c>
      <x:c r="E3107" s="41" t="n">
        <x:v>78138</x:v>
      </x:c>
      <x:c r="F3107" s="56" t="n">
        <x:v>44.752712</x:v>
      </x:c>
      <x:c r="G3107" s="56" t="n">
        <x:v>-73.705643</x:v>
      </x:c>
      <x:c r="H3107" s="44" t="n">
        <x:f>E3107/SUMIF(A:A,A3107,E:E)</x:f>
        <x:v>0.00549218366489709</x:v>
      </x:c>
    </x:row>
    <x:row r="3108" ht="21.600000381469727" hidden="0" customHeight="1">
      <x:c r="A3108" s="27" t="str">
        <x:v>SCA-31</x:v>
      </x:c>
      <x:c r="B3108" s="27" t="str">
        <x:v>25011</x:v>
      </x:c>
      <x:c r="C3108" s="27" t="str">
        <x:v>MA</x:v>
      </x:c>
      <x:c r="D3108" s="27" t="str">
        <x:v>Franklin County</x:v>
      </x:c>
      <x:c r="E3108" s="40" t="n">
        <x:v>70698</x:v>
      </x:c>
      <x:c r="F3108" s="55" t="n">
        <x:v>42.584504</x:v>
      </x:c>
      <x:c r="G3108" s="55" t="n">
        <x:v>-72.591792</x:v>
      </x:c>
      <x:c r="H3108" s="43" t="n">
        <x:f>E3108/SUMIF(A:A,A3108,E:E)</x:f>
        <x:v>0.004969239048105844</x:v>
      </x:c>
    </x:row>
    <x:row r="3109" ht="21.600000381469727" hidden="0" customHeight="1">
      <x:c r="A3109" s="29" t="str">
        <x:v>SCA-31</x:v>
      </x:c>
      <x:c r="B3109" s="29" t="str">
        <x:v>23003</x:v>
      </x:c>
      <x:c r="C3109" s="29" t="str">
        <x:v>ME</x:v>
      </x:c>
      <x:c r="D3109" s="29" t="str">
        <x:v>Aroostook County</x:v>
      </x:c>
      <x:c r="E3109" s="41" t="n">
        <x:v>66609</x:v>
      </x:c>
      <x:c r="F3109" s="56" t="n">
        <x:v>46.709193</x:v>
      </x:c>
      <x:c r="G3109" s="56" t="n">
        <x:v>-68.612409</x:v>
      </x:c>
      <x:c r="H3109" s="44" t="n">
        <x:f>E3109/SUMIF(A:A,A3109,E:E)</x:f>
        <x:v>0.004681830373635494</x:v>
      </x:c>
    </x:row>
    <x:row r="3110" ht="21.600000381469727" hidden="0" customHeight="1">
      <x:c r="A3110" s="27" t="str">
        <x:v>SCA-31</x:v>
      </x:c>
      <x:c r="B3110" s="27" t="str">
        <x:v>33001</x:v>
      </x:c>
      <x:c r="C3110" s="27" t="str">
        <x:v>NH</x:v>
      </x:c>
      <x:c r="D3110" s="27" t="str">
        <x:v>Belknap County</x:v>
      </x:c>
      <x:c r="E3110" s="40" t="n">
        <x:v>65147</x:v>
      </x:c>
      <x:c r="F3110" s="55" t="n">
        <x:v>43.519109</x:v>
      </x:c>
      <x:c r="G3110" s="55" t="n">
        <x:v>-71.425366</x:v>
      </x:c>
      <x:c r="H3110" s="43" t="n">
        <x:f>E3110/SUMIF(A:A,A3110,E:E)</x:f>
        <x:v>0.004579068944905816</x:v>
      </x:c>
    </x:row>
    <x:row r="3111" ht="21.600000381469727" hidden="0" customHeight="1">
      <x:c r="A3111" s="29" t="str">
        <x:v>SCA-31</x:v>
      </x:c>
      <x:c r="B3111" s="29" t="str">
        <x:v>36113</x:v>
      </x:c>
      <x:c r="C3111" s="29" t="str">
        <x:v>NY</x:v>
      </x:c>
      <x:c r="D3111" s="29" t="str">
        <x:v>Warren County</x:v>
      </x:c>
      <x:c r="E3111" s="41" t="n">
        <x:v>65020</x:v>
      </x:c>
      <x:c r="F3111" s="56" t="n">
        <x:v>43.555105</x:v>
      </x:c>
      <x:c r="G3111" s="56" t="n">
        <x:v>-73.838139</x:v>
      </x:c>
      <x:c r="H3111" s="44" t="n">
        <x:f>E3111/SUMIF(A:A,A3111,E:E)</x:f>
        <x:v>0.004570142336527794</x:v>
      </x:c>
    </x:row>
    <x:row r="3112" ht="21.600000381469727" hidden="0" customHeight="1">
      <x:c r="A3112" s="27" t="str">
        <x:v>SCA-31</x:v>
      </x:c>
      <x:c r="B3112" s="27" t="str">
        <x:v>23017</x:v>
      </x:c>
      <x:c r="C3112" s="27" t="str">
        <x:v>ME</x:v>
      </x:c>
      <x:c r="D3112" s="27" t="str">
        <x:v>Oxford County</x:v>
      </x:c>
      <x:c r="E3112" s="40" t="n">
        <x:v>60346</x:v>
      </x:c>
      <x:c r="F3112" s="55" t="n">
        <x:v>44.4945</x:v>
      </x:c>
      <x:c r="G3112" s="55" t="n">
        <x:v>-70.734421</x:v>
      </x:c>
      <x:c r="H3112" s="43" t="n">
        <x:f>E3112/SUMIF(A:A,A3112,E:E)</x:f>
        <x:v>0.004241615032914584</x:v>
      </x:c>
    </x:row>
    <x:row r="3113" ht="21.600000381469727" hidden="0" customHeight="1">
      <x:c r="A3113" s="29" t="str">
        <x:v>SCA-31</x:v>
      </x:c>
      <x:c r="B3113" s="29" t="str">
        <x:v>36021</x:v>
      </x:c>
      <x:c r="C3113" s="29" t="str">
        <x:v>NY</x:v>
      </x:c>
      <x:c r="D3113" s="29" t="str">
        <x:v>Columbia County</x:v>
      </x:c>
      <x:c r="E3113" s="41" t="n">
        <x:v>60168</x:v>
      </x:c>
      <x:c r="F3113" s="56" t="n">
        <x:v>42.247696</x:v>
      </x:c>
      <x:c r="G3113" s="56" t="n">
        <x:v>-73.626718</x:v>
      </x:c>
      <x:c r="H3113" s="44" t="n">
        <x:f>E3113/SUMIF(A:A,A3113,E:E)</x:f>
        <x:v>0.004229103723534363</x:v>
      </x:c>
    </x:row>
    <x:row r="3114" ht="21.600000381469727" hidden="0" customHeight="1">
      <x:c r="A3114" s="27" t="str">
        <x:v>SCA-31</x:v>
      </x:c>
      <x:c r="B3114" s="27" t="str">
        <x:v>50021</x:v>
      </x:c>
      <x:c r="C3114" s="27" t="str">
        <x:v>VT</x:v>
      </x:c>
      <x:c r="D3114" s="27" t="str">
        <x:v>Rutland County</x:v>
      </x:c>
      <x:c r="E3114" s="40" t="n">
        <x:v>59653</x:v>
      </x:c>
      <x:c r="F3114" s="55" t="n">
        <x:v>43.612399</x:v>
      </x:c>
      <x:c r="G3114" s="55" t="n">
        <x:v>-73.060304</x:v>
      </x:c>
      <x:c r="H3114" s="43" t="n">
        <x:f>E3114/SUMIF(A:A,A3114,E:E)</x:f>
        <x:v>0.004192905272237657</x:v>
      </x:c>
    </x:row>
    <x:row r="3115" ht="21.600000381469727" hidden="0" customHeight="1">
      <x:c r="A3115" s="29" t="str">
        <x:v>SCA-31</x:v>
      </x:c>
      <x:c r="B3115" s="29" t="str">
        <x:v>50023</x:v>
      </x:c>
      <x:c r="C3115" s="29" t="str">
        <x:v>VT</x:v>
      </x:c>
      <x:c r="D3115" s="29" t="str">
        <x:v>Washington County</x:v>
      </x:c>
      <x:c r="E3115" s="41" t="n">
        <x:v>59652</x:v>
      </x:c>
      <x:c r="F3115" s="56" t="n">
        <x:v>44.274969</x:v>
      </x:c>
      <x:c r="G3115" s="56" t="n">
        <x:v>-72.609444</x:v>
      </x:c>
      <x:c r="H3115" s="44" t="n">
        <x:f>E3115/SUMIF(A:A,A3115,E:E)</x:f>
        <x:v>0.0041928349839827125</x:v>
      </x:c>
    </x:row>
    <x:row r="3116" ht="21.600000381469727" hidden="0" customHeight="1">
      <x:c r="A3116" s="27" t="str">
        <x:v>SCA-31</x:v>
      </x:c>
      <x:c r="B3116" s="27" t="str">
        <x:v>36115</x:v>
      </x:c>
      <x:c r="C3116" s="27" t="str">
        <x:v>NY</x:v>
      </x:c>
      <x:c r="D3116" s="27" t="str">
        <x:v>Washington County</x:v>
      </x:c>
      <x:c r="E3116" s="40" t="n">
        <x:v>59353</x:v>
      </x:c>
      <x:c r="F3116" s="55" t="n">
        <x:v>43.312377</x:v>
      </x:c>
      <x:c r="G3116" s="55" t="n">
        <x:v>-73.439428</x:v>
      </x:c>
      <x:c r="H3116" s="43" t="n">
        <x:f>E3116/SUMIF(A:A,A3116,E:E)</x:f>
        <x:v>0.0041718187957541395</x:v>
      </x:c>
    </x:row>
    <x:row r="3117" ht="21.600000381469727" hidden="0" customHeight="1">
      <x:c r="A3117" s="29" t="str">
        <x:v>SCA-31</x:v>
      </x:c>
      <x:c r="B3117" s="29" t="str">
        <x:v>36043</x:v>
      </x:c>
      <x:c r="C3117" s="29" t="str">
        <x:v>NY</x:v>
      </x:c>
      <x:c r="D3117" s="29" t="str">
        <x:v>Herkimer County</x:v>
      </x:c>
      <x:c r="E3117" s="41" t="n">
        <x:v>59219</x:v>
      </x:c>
      <x:c r="F3117" s="56" t="n">
        <x:v>43.571009</x:v>
      </x:c>
      <x:c r="G3117" s="56" t="n">
        <x:v>-74.841097</x:v>
      </x:c>
      <x:c r="H3117" s="44" t="n">
        <x:f>E3117/SUMIF(A:A,A3117,E:E)</x:f>
        <x:v>0.0041624001695915016</x:v>
      </x:c>
    </x:row>
    <x:row r="3118" ht="21.600000381469727" hidden="0" customHeight="1">
      <x:c r="A3118" s="27" t="str">
        <x:v>SCA-31</x:v>
      </x:c>
      <x:c r="B3118" s="27" t="str">
        <x:v>50027</x:v>
      </x:c>
      <x:c r="C3118" s="27" t="str">
        <x:v>VT</x:v>
      </x:c>
      <x:c r="D3118" s="27" t="str">
        <x:v>Windsor County</x:v>
      </x:c>
      <x:c r="E3118" s="40" t="n">
        <x:v>57312</x:v>
      </x:c>
      <x:c r="F3118" s="55" t="n">
        <x:v>43.572448</x:v>
      </x:c>
      <x:c r="G3118" s="55" t="n">
        <x:v>-72.598813</x:v>
      </x:c>
      <x:c r="H3118" s="43" t="n">
        <x:f>E3118/SUMIF(A:A,A3118,E:E)</x:f>
        <x:v>0.004028360467411272</x:v>
      </x:c>
    </x:row>
    <x:row r="3119" ht="21.600000381469727" hidden="0" customHeight="1">
      <x:c r="A3119" s="29" t="str">
        <x:v>SCA-31</x:v>
      </x:c>
      <x:c r="B3119" s="29" t="str">
        <x:v>23009</x:v>
      </x:c>
      <x:c r="C3119" s="29" t="str">
        <x:v>ME</x:v>
      </x:c>
      <x:c r="D3119" s="29" t="str">
        <x:v>Hancock County</x:v>
      </x:c>
      <x:c r="E3119" s="41" t="n">
        <x:v>57171</x:v>
      </x:c>
      <x:c r="F3119" s="56" t="n">
        <x:v>44.564906</x:v>
      </x:c>
      <x:c r="G3119" s="56" t="n">
        <x:v>-68.370703</x:v>
      </x:c>
      <x:c r="H3119" s="44" t="n">
        <x:f>E3119/SUMIF(A:A,A3119,E:E)</x:f>
        <x:v>0.004018449823464019</x:v>
      </x:c>
    </x:row>
    <x:row r="3120" ht="21.600000381469727" hidden="0" customHeight="1">
      <x:c r="A3120" s="27" t="str">
        <x:v>SCA-31</x:v>
      </x:c>
      <x:c r="B3120" s="27" t="str">
        <x:v>33003</x:v>
      </x:c>
      <x:c r="C3120" s="27" t="str">
        <x:v>NH</x:v>
      </x:c>
      <x:c r="D3120" s="27" t="str">
        <x:v>Carroll County</x:v>
      </x:c>
      <x:c r="E3120" s="40" t="n">
        <x:v>52784</x:v>
      </x:c>
      <x:c r="F3120" s="55" t="n">
        <x:v>43.867774</x:v>
      </x:c>
      <x:c r="G3120" s="55" t="n">
        <x:v>-71.20156</x:v>
      </x:c>
      <x:c r="H3120" s="43" t="n">
        <x:f>E3120/SUMIF(A:A,A3120,E:E)</x:f>
        <x:v>0.003710095249020041</x:v>
      </x:c>
    </x:row>
    <x:row r="3121" ht="21.600000381469727" hidden="0" customHeight="1">
      <x:c r="A3121" s="29" t="str">
        <x:v>SCA-31</x:v>
      </x:c>
      <x:c r="B3121" s="29" t="str">
        <x:v>36035</x:v>
      </x:c>
      <x:c r="C3121" s="29" t="str">
        <x:v>NY</x:v>
      </x:c>
      <x:c r="D3121" s="29" t="str">
        <x:v>Fulton County</x:v>
      </x:c>
      <x:c r="E3121" s="41" t="n">
        <x:v>52216</x:v>
      </x:c>
      <x:c r="F3121" s="56" t="n">
        <x:v>43.115609</x:v>
      </x:c>
      <x:c r="G3121" s="56" t="n">
        <x:v>-74.423678</x:v>
      </x:c>
      <x:c r="H3121" s="44" t="n">
        <x:f>E3121/SUMIF(A:A,A3121,E:E)</x:f>
        <x:v>0.003670171520211247</x:v>
      </x:c>
    </x:row>
    <x:row r="3122" ht="21.600000381469727" hidden="0" customHeight="1">
      <x:c r="A3122" s="27" t="str">
        <x:v>SCA-31</x:v>
      </x:c>
      <x:c r="B3122" s="27" t="str">
        <x:v>23025</x:v>
      </x:c>
      <x:c r="C3122" s="27" t="str">
        <x:v>ME</x:v>
      </x:c>
      <x:c r="D3122" s="27" t="str">
        <x:v>Somerset County</x:v>
      </x:c>
      <x:c r="E3122" s="40" t="n">
        <x:v>51620</x:v>
      </x:c>
      <x:c r="F3122" s="55" t="n">
        <x:v>45.503646</x:v>
      </x:c>
      <x:c r="G3122" s="55" t="n">
        <x:v>-69.95611</x:v>
      </x:c>
      <x:c r="H3122" s="43" t="n">
        <x:f>E3122/SUMIF(A:A,A3122,E:E)</x:f>
        <x:v>0.0036282797202639916</x:v>
      </x:c>
    </x:row>
    <x:row r="3123" ht="21.600000381469727" hidden="0" customHeight="1">
      <x:c r="A3123" s="29" t="str">
        <x:v>SCA-31</x:v>
      </x:c>
      <x:c r="B3123" s="29" t="str">
        <x:v>50011</x:v>
      </x:c>
      <x:c r="C3123" s="29" t="str">
        <x:v>VT</x:v>
      </x:c>
      <x:c r="D3123" s="29" t="str">
        <x:v>Franklin County</x:v>
      </x:c>
      <x:c r="E3123" s="41" t="n">
        <x:v>51177</x:v>
      </x:c>
      <x:c r="F3123" s="56" t="n">
        <x:v>44.858964</x:v>
      </x:c>
      <x:c r="G3123" s="56" t="n">
        <x:v>-72.909402</x:v>
      </x:c>
      <x:c r="H3123" s="44" t="n">
        <x:f>E3123/SUMIF(A:A,A3123,E:E)</x:f>
        <x:v>0.00359714202332333</x:v>
      </x:c>
    </x:row>
    <x:row r="3124" ht="21.600000381469727" hidden="0" customHeight="1">
      <x:c r="A3124" s="27" t="str">
        <x:v>SCA-31</x:v>
      </x:c>
      <x:c r="B3124" s="27" t="str">
        <x:v>44001</x:v>
      </x:c>
      <x:c r="C3124" s="27" t="str">
        <x:v>RI</x:v>
      </x:c>
      <x:c r="D3124" s="27" t="str">
        <x:v>Bristol County</x:v>
      </x:c>
      <x:c r="E3124" s="40" t="n">
        <x:v>50001</x:v>
      </x:c>
      <x:c r="F3124" s="55" t="n">
        <x:v>41.70684</x:v>
      </x:c>
      <x:c r="G3124" s="55" t="n">
        <x:v>-71.286687</x:v>
      </x:c>
      <x:c r="H3124" s="43" t="n">
        <x:f>E3124/SUMIF(A:A,A3124,E:E)</x:f>
        <x:v>0.0035144830355079396</x:v>
      </x:c>
    </x:row>
    <x:row r="3125" ht="21.600000381469727" hidden="0" customHeight="1">
      <x:c r="A3125" s="29" t="str">
        <x:v>SCA-31</x:v>
      </x:c>
      <x:c r="B3125" s="29" t="str">
        <x:v>36033</x:v>
      </x:c>
      <x:c r="C3125" s="29" t="str">
        <x:v>NY</x:v>
      </x:c>
      <x:c r="D3125" s="29" t="str">
        <x:v>Franklin County</x:v>
      </x:c>
      <x:c r="E3125" s="41" t="n">
        <x:v>46500</x:v>
      </x:c>
      <x:c r="F3125" s="56" t="n">
        <x:v>44.594376</x:v>
      </x:c>
      <x:c r="G3125" s="56" t="n">
        <x:v>-74.31067</x:v>
      </x:c>
      <x:c r="H3125" s="44" t="n">
        <x:f>E3125/SUMIF(A:A,A3125,E:E)</x:f>
        <x:v>0.0032684038549452847</x:v>
      </x:c>
    </x:row>
    <x:row r="3126" ht="21.600000381469727" hidden="0" customHeight="1">
      <x:c r="A3126" s="27" t="str">
        <x:v>SCA-31</x:v>
      </x:c>
      <x:c r="B3126" s="27" t="str">
        <x:v>50025</x:v>
      </x:c>
      <x:c r="C3126" s="27" t="str">
        <x:v>VT</x:v>
      </x:c>
      <x:c r="D3126" s="27" t="str">
        <x:v>Windham County</x:v>
      </x:c>
      <x:c r="E3126" s="40" t="n">
        <x:v>45204</x:v>
      </x:c>
      <x:c r="F3126" s="55" t="n">
        <x:v>42.995304</x:v>
      </x:c>
      <x:c r="G3126" s="55" t="n">
        <x:v>-72.721877</x:v>
      </x:c>
      <x:c r="H3126" s="43" t="n">
        <x:f>E3126/SUMIF(A:A,A3126,E:E)</x:f>
        <x:v>0.0031773102765364873</x:v>
      </x:c>
    </x:row>
    <x:row r="3127" ht="21.600000381469727" hidden="0" customHeight="1">
      <x:c r="A3127" s="29" t="str">
        <x:v>SCA-31</x:v>
      </x:c>
      <x:c r="B3127" s="29" t="str">
        <x:v>33019</x:v>
      </x:c>
      <x:c r="C3127" s="29" t="str">
        <x:v>NH</x:v>
      </x:c>
      <x:c r="D3127" s="29" t="str">
        <x:v>Sullivan County</x:v>
      </x:c>
      <x:c r="E3127" s="41" t="n">
        <x:v>43961</x:v>
      </x:c>
      <x:c r="F3127" s="56" t="n">
        <x:v>43.361188</x:v>
      </x:c>
      <x:c r="G3127" s="56" t="n">
        <x:v>-72.222084</x:v>
      </x:c>
      <x:c r="H3127" s="44" t="n">
        <x:f>E3127/SUMIF(A:A,A3127,E:E)</x:f>
        <x:v>0.003089941975639778</x:v>
      </x:c>
    </x:row>
    <x:row r="3128" ht="15" hidden="0" customHeight="1">
      <x:c r="A3128" s="27" t="str">
        <x:v>SCA-31</x:v>
      </x:c>
      <x:c r="B3128" s="27" t="str">
        <x:v>23013</x:v>
      </x:c>
      <x:c r="C3128" s="27" t="str">
        <x:v>ME</x:v>
      </x:c>
      <x:c r="D3128" s="27" t="str">
        <x:v>Knox County</x:v>
      </x:c>
      <x:c r="E3128" s="40" t="n">
        <x:v>41117</x:v>
      </x:c>
      <x:c r="F3128" s="55" t="n">
        <x:v>44.042045</x:v>
      </x:c>
      <x:c r="G3128" s="55" t="n">
        <x:v>-69.038514</x:v>
      </x:c>
      <x:c r="H3128" s="43" t="n">
        <x:f>E3128/SUMIF(A:A,A3128,E:E)</x:f>
        <x:v>0.0028900421785760274</x:v>
      </x:c>
    </x:row>
    <x:row r="3129" ht="21.600000381469727" hidden="0" customHeight="1">
      <x:c r="A3129" s="29" t="str">
        <x:v>SCA-31</x:v>
      </x:c>
      <x:c r="B3129" s="29" t="str">
        <x:v>23027</x:v>
      </x:c>
      <x:c r="C3129" s="29" t="str">
        <x:v>ME</x:v>
      </x:c>
      <x:c r="D3129" s="29" t="str">
        <x:v>Waldo County</x:v>
      </x:c>
      <x:c r="E3129" s="41" t="n">
        <x:v>40693</x:v>
      </x:c>
      <x:c r="F3129" s="56" t="n">
        <x:v>44.475023</x:v>
      </x:c>
      <x:c r="G3129" s="56" t="n">
        <x:v>-69.117429</x:v>
      </x:c>
      <x:c r="H3129" s="44" t="n">
        <x:f>E3129/SUMIF(A:A,A3129,E:E)</x:f>
        <x:v>0.002860239958479322</x:v>
      </x:c>
    </x:row>
    <x:row r="3130" ht="21.600000381469727" hidden="0" customHeight="1">
      <x:c r="A3130" s="27" t="str">
        <x:v>SCA-31</x:v>
      </x:c>
      <x:c r="B3130" s="27" t="str">
        <x:v>50001</x:v>
      </x:c>
      <x:c r="C3130" s="27" t="str">
        <x:v>VT</x:v>
      </x:c>
      <x:c r="D3130" s="27" t="str">
        <x:v>Addison County</x:v>
      </x:c>
      <x:c r="E3130" s="40" t="n">
        <x:v>38048</x:v>
      </x:c>
      <x:c r="F3130" s="55" t="n">
        <x:v>44.031248</x:v>
      </x:c>
      <x:c r="G3130" s="55" t="n">
        <x:v>-73.141581</x:v>
      </x:c>
      <x:c r="H3130" s="43" t="n">
        <x:f>E3130/SUMIF(A:A,A3130,E:E)</x:f>
        <x:v>0.002674327524149639</x:v>
      </x:c>
    </x:row>
    <x:row r="3131" ht="21.600000381469727" hidden="0" customHeight="1">
      <x:c r="A3131" s="29" t="str">
        <x:v>SCA-31</x:v>
      </x:c>
      <x:c r="B3131" s="29" t="str">
        <x:v>23023</x:v>
      </x:c>
      <x:c r="C3131" s="29" t="str">
        <x:v>ME</x:v>
      </x:c>
      <x:c r="D3131" s="29" t="str">
        <x:v>Sagadahoc County</x:v>
      </x:c>
      <x:c r="E3131" s="41" t="n">
        <x:v>37979</x:v>
      </x:c>
      <x:c r="F3131" s="56" t="n">
        <x:v>43.916845</x:v>
      </x:c>
      <x:c r="G3131" s="56" t="n">
        <x:v>-69.844227</x:v>
      </x:c>
      <x:c r="H3131" s="44" t="n">
        <x:f>E3131/SUMIF(A:A,A3131,E:E)</x:f>
        <x:v>0.0026694776345584296</x:v>
      </x:c>
    </x:row>
    <x:row r="3132" ht="21.600000381469727" hidden="0" customHeight="1">
      <x:c r="A3132" s="27" t="str">
        <x:v>SCA-31</x:v>
      </x:c>
      <x:c r="B3132" s="27" t="str">
        <x:v>50003</x:v>
      </x:c>
      <x:c r="C3132" s="27" t="str">
        <x:v>VT</x:v>
      </x:c>
      <x:c r="D3132" s="27" t="str">
        <x:v>Bennington County</x:v>
      </x:c>
      <x:c r="E3132" s="40" t="n">
        <x:v>36630</x:v>
      </x:c>
      <x:c r="F3132" s="55" t="n">
        <x:v>43.035328</x:v>
      </x:c>
      <x:c r="G3132" s="55" t="n">
        <x:v>-73.111496</x:v>
      </x:c>
      <x:c r="H3132" s="43" t="n">
        <x:f>E3132/SUMIF(A:A,A3132,E:E)</x:f>
        <x:v>0.002574658778637544</x:v>
      </x:c>
    </x:row>
    <x:row r="3133" ht="21.600000381469727" hidden="0" customHeight="1">
      <x:c r="A3133" s="29" t="str">
        <x:v>SCA-31</x:v>
      </x:c>
      <x:c r="B3133" s="29" t="str">
        <x:v>23015</x:v>
      </x:c>
      <x:c r="C3133" s="29" t="str">
        <x:v>ME</x:v>
      </x:c>
      <x:c r="D3133" s="29" t="str">
        <x:v>Lincoln County</x:v>
      </x:c>
      <x:c r="E3133" s="41" t="n">
        <x:v>36595</x:v>
      </x:c>
      <x:c r="F3133" s="56" t="n">
        <x:v>43.994781</x:v>
      </x:c>
      <x:c r="G3133" s="56" t="n">
        <x:v>-69.513624</x:v>
      </x:c>
      <x:c r="H3133" s="44" t="n">
        <x:f>E3133/SUMIF(A:A,A3133,E:E)</x:f>
        <x:v>0.0025721986897144665</x:v>
      </x:c>
    </x:row>
    <x:row r="3134" ht="21.600000381469727" hidden="0" customHeight="1">
      <x:c r="A3134" s="27" t="str">
        <x:v>SCA-31</x:v>
      </x:c>
      <x:c r="B3134" s="27" t="str">
        <x:v>36031</x:v>
      </x:c>
      <x:c r="C3134" s="27" t="str">
        <x:v>NY</x:v>
      </x:c>
      <x:c r="D3134" s="27" t="str">
        <x:v>Essex County</x:v>
      </x:c>
      <x:c r="E3134" s="40" t="n">
        <x:v>36438</x:v>
      </x:c>
      <x:c r="F3134" s="55" t="n">
        <x:v>44.109601</x:v>
      </x:c>
      <x:c r="G3134" s="55" t="n">
        <x:v>-73.778431</x:v>
      </x:c>
      <x:c r="H3134" s="43" t="n">
        <x:f>E3134/SUMIF(A:A,A3134,E:E)</x:f>
        <x:v>0.0025611634336880924</x:v>
      </x:c>
    </x:row>
    <x:row r="3135" ht="15" hidden="0" customHeight="1">
      <x:c r="A3135" s="29" t="str">
        <x:v>SCA-31</x:v>
      </x:c>
      <x:c r="B3135" s="29" t="str">
        <x:v>33007</x:v>
      </x:c>
      <x:c r="C3135" s="29" t="str">
        <x:v>NH</x:v>
      </x:c>
      <x:c r="D3135" s="29" t="str">
        <x:v>Coos County</x:v>
      </x:c>
      <x:c r="E3135" s="41" t="n">
        <x:v>31343</x:v>
      </x:c>
      <x:c r="F3135" s="56" t="n">
        <x:v>44.652548</x:v>
      </x:c>
      <x:c r="G3135" s="56" t="n">
        <x:v>-71.289431</x:v>
      </x:c>
      <x:c r="H3135" s="44" t="n">
        <x:f>E3135/SUMIF(A:A,A3135,E:E)</x:f>
        <x:v>0.0022030447747430123</x:v>
      </x:c>
    </x:row>
    <x:row r="3136" ht="21.600000381469727" hidden="0" customHeight="1">
      <x:c r="A3136" s="27" t="str">
        <x:v>SCA-31</x:v>
      </x:c>
      <x:c r="B3136" s="27" t="str">
        <x:v>23029</x:v>
      </x:c>
      <x:c r="C3136" s="27" t="str">
        <x:v>ME</x:v>
      </x:c>
      <x:c r="D3136" s="27" t="str">
        <x:v>Washington County</x:v>
      </x:c>
      <x:c r="E3136" s="40" t="n">
        <x:v>31334</x:v>
      </x:c>
      <x:c r="F3136" s="55" t="n">
        <x:v>44.967009</x:v>
      </x:c>
      <x:c r="G3136" s="55" t="n">
        <x:v>-67.609354</x:v>
      </x:c>
      <x:c r="H3136" s="43" t="n">
        <x:f>E3136/SUMIF(A:A,A3136,E:E)</x:f>
        <x:v>0.0022024121804485063</x:v>
      </x:c>
    </x:row>
    <x:row r="3137" ht="21.600000381469727" hidden="0" customHeight="1">
      <x:c r="A3137" s="29" t="str">
        <x:v>SCA-31</x:v>
      </x:c>
      <x:c r="B3137" s="29" t="str">
        <x:v>23007</x:v>
      </x:c>
      <x:c r="C3137" s="29" t="str">
        <x:v>ME</x:v>
      </x:c>
      <x:c r="D3137" s="29" t="str">
        <x:v>Franklin County</x:v>
      </x:c>
      <x:c r="E3137" s="41" t="n">
        <x:v>30824</x:v>
      </x:c>
      <x:c r="F3137" s="56" t="n">
        <x:v>44.976724</x:v>
      </x:c>
      <x:c r="G3137" s="56" t="n">
        <x:v>-70.414935</x:v>
      </x:c>
      <x:c r="H3137" s="44" t="n">
        <x:f>E3137/SUMIF(A:A,A3137,E:E)</x:f>
        <x:v>0.002166565170426526</x:v>
      </x:c>
    </x:row>
    <x:row r="3138" ht="21.600000381469727" hidden="0" customHeight="1">
      <x:c r="A3138" s="27" t="str">
        <x:v>SCA-31</x:v>
      </x:c>
      <x:c r="B3138" s="27" t="str">
        <x:v>50005</x:v>
      </x:c>
      <x:c r="C3138" s="27" t="str">
        <x:v>VT</x:v>
      </x:c>
      <x:c r="D3138" s="27" t="str">
        <x:v>Caledonia County</x:v>
      </x:c>
      <x:c r="E3138" s="40" t="n">
        <x:v>30414</x:v>
      </x:c>
      <x:c r="F3138" s="55" t="n">
        <x:v>44.468791</x:v>
      </x:c>
      <x:c r="G3138" s="55" t="n">
        <x:v>-72.112168</x:v>
      </x:c>
      <x:c r="H3138" s="43" t="n">
        <x:f>E3138/SUMIF(A:A,A3138,E:E)</x:f>
        <x:v>0.0021377469858990515</x:v>
      </x:c>
    </x:row>
    <x:row r="3139" ht="21.600000381469727" hidden="0" customHeight="1">
      <x:c r="A3139" s="29" t="str">
        <x:v>SCA-31</x:v>
      </x:c>
      <x:c r="B3139" s="29" t="str">
        <x:v>50017</x:v>
      </x:c>
      <x:c r="C3139" s="29" t="str">
        <x:v>VT</x:v>
      </x:c>
      <x:c r="D3139" s="29" t="str">
        <x:v>Orange County</x:v>
      </x:c>
      <x:c r="E3139" s="41" t="n">
        <x:v>30002</x:v>
      </x:c>
      <x:c r="F3139" s="56" t="n">
        <x:v>44.003373</x:v>
      </x:c>
      <x:c r="G3139" s="56" t="n">
        <x:v>-72.369579</x:v>
      </x:c>
      <x:c r="H3139" s="44" t="n">
        <x:f>E3139/SUMIF(A:A,A3139,E:E)</x:f>
        <x:v>0.002108788224861687</x:v>
      </x:c>
    </x:row>
    <x:row r="3140" ht="21.600000381469727" hidden="0" customHeight="1">
      <x:c r="A3140" s="27" t="str">
        <x:v>SCA-31</x:v>
      </x:c>
      <x:c r="B3140" s="27" t="str">
        <x:v>50019</x:v>
      </x:c>
      <x:c r="C3140" s="27" t="str">
        <x:v>VT</x:v>
      </x:c>
      <x:c r="D3140" s="27" t="str">
        <x:v>Orleans County</x:v>
      </x:c>
      <x:c r="E3140" s="40" t="n">
        <x:v>27600</x:v>
      </x:c>
      <x:c r="F3140" s="55" t="n">
        <x:v>44.828442</x:v>
      </x:c>
      <x:c r="G3140" s="55" t="n">
        <x:v>-72.25163</x:v>
      </x:c>
      <x:c r="H3140" s="43" t="n">
        <x:f>E3140/SUMIF(A:A,A3140,E:E)</x:f>
        <x:v>0.001939955836483653</x:v>
      </x:c>
    </x:row>
    <x:row r="3141" ht="21.600000381469727" hidden="0" customHeight="1">
      <x:c r="A3141" s="29" t="str">
        <x:v>SCA-31</x:v>
      </x:c>
      <x:c r="B3141" s="29" t="str">
        <x:v>36049</x:v>
      </x:c>
      <x:c r="C3141" s="29" t="str">
        <x:v>NY</x:v>
      </x:c>
      <x:c r="D3141" s="29" t="str">
        <x:v>Lewis County</x:v>
      </x:c>
      <x:c r="E3141" s="41" t="n">
        <x:v>26479</x:v>
      </x:c>
      <x:c r="F3141" s="56" t="n">
        <x:v>43.782706</x:v>
      </x:c>
      <x:c r="G3141" s="56" t="n">
        <x:v>-75.444132</x:v>
      </x:c>
      <x:c r="H3141" s="44" t="n">
        <x:f>E3141/SUMIF(A:A,A3141,E:E)</x:f>
        <x:v>0.0018611627026902408</x:v>
      </x:c>
    </x:row>
    <x:row r="3142" ht="21.600000381469727" hidden="0" customHeight="1">
      <x:c r="A3142" s="27" t="str">
        <x:v>SCA-31</x:v>
      </x:c>
      <x:c r="B3142" s="27" t="str">
        <x:v>50015</x:v>
      </x:c>
      <x:c r="C3142" s="27" t="str">
        <x:v>VT</x:v>
      </x:c>
      <x:c r="D3142" s="27" t="str">
        <x:v>Lamoille County</x:v>
      </x:c>
      <x:c r="E3142" s="40" t="n">
        <x:v>26294</x:v>
      </x:c>
      <x:c r="F3142" s="55" t="n">
        <x:v>44.611192</x:v>
      </x:c>
      <x:c r="G3142" s="55" t="n">
        <x:v>-72.632659</x:v>
      </x:c>
      <x:c r="H3142" s="43" t="n">
        <x:f>E3142/SUMIF(A:A,A3142,E:E)</x:f>
        <x:v>0.0018481593755254047</x:v>
      </x:c>
    </x:row>
    <x:row r="3143" ht="21.600000381469727" hidden="0" customHeight="1">
      <x:c r="A3143" s="29" t="str">
        <x:v>SCA-31</x:v>
      </x:c>
      <x:c r="B3143" s="29" t="str">
        <x:v>25007</x:v>
      </x:c>
      <x:c r="C3143" s="29" t="str">
        <x:v>MA</x:v>
      </x:c>
      <x:c r="D3143" s="29" t="str">
        <x:v>Dukes County</x:v>
      </x:c>
      <x:c r="E3143" s="41" t="n">
        <x:v>21219</x:v>
      </x:c>
      <x:c r="F3143" s="56" t="n">
        <x:v>41.38097</x:v>
      </x:c>
      <x:c r="G3143" s="56" t="n">
        <x:v>-70.701499</x:v>
      </x:c>
      <x:c r="H3143" s="44" t="n">
        <x:f>E3143/SUMIF(A:A,A3143,E:E)</x:f>
        <x:v>0.0014914464816792258</x:v>
      </x:c>
    </x:row>
    <x:row r="3144" ht="21.600000381469727" hidden="0" customHeight="1">
      <x:c r="A3144" s="27" t="str">
        <x:v>SCA-31</x:v>
      </x:c>
      <x:c r="B3144" s="27" t="str">
        <x:v>23021</x:v>
      </x:c>
      <x:c r="C3144" s="27" t="str">
        <x:v>ME</x:v>
      </x:c>
      <x:c r="D3144" s="27" t="str">
        <x:v>Piscataquis County</x:v>
      </x:c>
      <x:c r="E3144" s="40" t="n">
        <x:v>17409</x:v>
      </x:c>
      <x:c r="F3144" s="55" t="n">
        <x:v>45.915639</x:v>
      </x:c>
      <x:c r="G3144" s="55" t="n">
        <x:v>-69.102231</x:v>
      </x:c>
      <x:c r="H3144" s="43" t="n">
        <x:f>E3144/SUMIF(A:A,A3144,E:E)</x:f>
        <x:v>0.0012236482303385476</x:v>
      </x:c>
    </x:row>
    <x:row r="3145" ht="21.600000381469727" hidden="0" customHeight="1">
      <x:c r="A3145" s="29" t="str">
        <x:v>SCA-31</x:v>
      </x:c>
      <x:c r="B3145" s="29" t="str">
        <x:v>25019</x:v>
      </x:c>
      <x:c r="C3145" s="29" t="str">
        <x:v>MA</x:v>
      </x:c>
      <x:c r="D3145" s="29" t="str">
        <x:v>Nantucket County</x:v>
      </x:c>
      <x:c r="E3145" s="41" t="n">
        <x:v>14758</x:v>
      </x:c>
      <x:c r="F3145" s="56" t="n">
        <x:v>41.293392</x:v>
      </x:c>
      <x:c r="G3145" s="56" t="n">
        <x:v>-70.102164</x:v>
      </x:c>
      <x:c r="H3145" s="44" t="n">
        <x:f>E3145/SUMIF(A:A,A3145,E:E)</x:f>
        <x:v>0.0010373140664791938</x:v>
      </x:c>
    </x:row>
    <x:row r="3146" ht="21.600000381469727" hidden="0" customHeight="1">
      <x:c r="A3146" s="27" t="str">
        <x:v>SCA-31</x:v>
      </x:c>
      <x:c r="B3146" s="27" t="str">
        <x:v>50013</x:v>
      </x:c>
      <x:c r="C3146" s="27" t="str">
        <x:v>VT</x:v>
      </x:c>
      <x:c r="D3146" s="27" t="str">
        <x:v>Grand Isle County</x:v>
      </x:c>
      <x:c r="E3146" s="40" t="n">
        <x:v>7511</x:v>
      </x:c>
      <x:c r="F3146" s="55" t="n">
        <x:v>44.801787</x:v>
      </x:c>
      <x:c r="G3146" s="55" t="n">
        <x:v>-73.300759</x:v>
      </x:c>
      <x:c r="H3146" s="43" t="n">
        <x:f>E3146/SUMIF(A:A,A3146,E:E)</x:f>
        <x:v>0.0005279350828923448</x:v>
      </x:c>
    </x:row>
    <x:row r="3147" ht="21.600000381469727" hidden="0" customHeight="1">
      <x:c r="A3147" s="29" t="str">
        <x:v>SCA-31</x:v>
      </x:c>
      <x:c r="B3147" s="29" t="str">
        <x:v>50009</x:v>
      </x:c>
      <x:c r="C3147" s="29" t="str">
        <x:v>VT</x:v>
      </x:c>
      <x:c r="D3147" s="29" t="str">
        <x:v>Essex County</x:v>
      </x:c>
      <x:c r="E3147" s="41" t="n">
        <x:v>6051</x:v>
      </x:c>
      <x:c r="F3147" s="56" t="n">
        <x:v>44.724021</x:v>
      </x:c>
      <x:c r="G3147" s="56" t="n">
        <x:v>-71.732736</x:v>
      </x:c>
      <x:c r="H3147" s="44" t="n">
        <x:f>E3147/SUMIF(A:A,A3147,E:E)</x:f>
        <x:v>0.0004253142306725574</x:v>
      </x:c>
    </x:row>
    <x:row r="3148" ht="21.600000381469727" hidden="0" customHeight="1">
      <x:c r="A3148" s="27" t="str">
        <x:v>SCA-31</x:v>
      </x:c>
      <x:c r="B3148" s="27" t="str">
        <x:v>36041</x:v>
      </x:c>
      <x:c r="C3148" s="27" t="str">
        <x:v>NY</x:v>
      </x:c>
      <x:c r="D3148" s="27" t="str">
        <x:v>Hamilton County</x:v>
      </x:c>
      <x:c r="E3148" s="40" t="n">
        <x:v>5006</x:v>
      </x:c>
      <x:c r="F3148" s="55" t="n">
        <x:v>43.657879</x:v>
      </x:c>
      <x:c r="G3148" s="55" t="n">
        <x:v>-74.502456</x:v>
      </x:c>
      <x:c r="H3148" s="43" t="n">
        <x:f>E3148/SUMIF(A:A,A3148,E:E)</x:f>
        <x:v>0.0003518630042549698</x:v>
      </x:c>
    </x:row>
    <x:row r="3149" ht="21.600000381469727" hidden="0" customHeight="1">
      <x:c r="A3149" s="29" t="str">
        <x:v>SCA-32</x:v>
      </x:c>
      <x:c r="B3149" s="29" t="str">
        <x:v>72127</x:v>
      </x:c>
      <x:c r="C3149" s="29" t="str">
        <x:v>PR</x:v>
      </x:c>
      <x:c r="D3149" s="29" t="str">
        <x:v>San Juan Municipio</x:v>
      </x:c>
      <x:c r="E3149" s="41" t="n">
        <x:v>331937</x:v>
      </x:c>
      <x:c r="F3149" s="56" t="n">
        <x:v>18.422249</x:v>
      </x:c>
      <x:c r="G3149" s="56" t="n">
        <x:v>-66.069081</x:v>
      </x:c>
      <x:c r="H3149" s="44" t="n">
        <x:f>E3149/SUMIF(A:A,A3149,E:E)</x:f>
        <x:v>0.10422423767636314</x:v>
      </x:c>
    </x:row>
    <x:row r="3150" ht="21.600000381469727" hidden="0" customHeight="1">
      <x:c r="A3150" s="27" t="str">
        <x:v>SCA-32</x:v>
      </x:c>
      <x:c r="B3150" s="27" t="str">
        <x:v>72021</x:v>
      </x:c>
      <x:c r="C3150" s="27" t="str">
        <x:v>PR</x:v>
      </x:c>
      <x:c r="D3150" s="27" t="str">
        <x:v>Bayamón Municipio</x:v>
      </x:c>
      <x:c r="E3150" s="40" t="n">
        <x:v>179473</x:v>
      </x:c>
      <x:c r="F3150" s="55" t="n">
        <x:v>18.34942</x:v>
      </x:c>
      <x:c r="G3150" s="55" t="n">
        <x:v>-66.168626</x:v>
      </x:c>
      <x:c r="H3150" s="43" t="n">
        <x:f>E3150/SUMIF(A:A,A3150,E:E)</x:f>
        <x:v>0.0563523699029934</x:v>
      </x:c>
    </x:row>
    <x:row r="3151" ht="21.600000381469727" hidden="0" customHeight="1">
      <x:c r="A3151" s="29" t="str">
        <x:v>SCA-32</x:v>
      </x:c>
      <x:c r="B3151" s="29" t="str">
        <x:v>72031</x:v>
      </x:c>
      <x:c r="C3151" s="29" t="str">
        <x:v>PR</x:v>
      </x:c>
      <x:c r="D3151" s="29" t="str">
        <x:v>Carolina Municipio</x:v>
      </x:c>
      <x:c r="E3151" s="41" t="n">
        <x:v>150153</x:v>
      </x:c>
      <x:c r="F3151" s="56" t="n">
        <x:v>18.396776</x:v>
      </x:c>
      <x:c r="G3151" s="56" t="n">
        <x:v>-65.968778</x:v>
      </x:c>
      <x:c r="H3151" s="44" t="n">
        <x:f>E3151/SUMIF(A:A,A3151,E:E)</x:f>
        <x:v>0.04714624148503769</x:v>
      </x:c>
    </x:row>
    <x:row r="3152" ht="21.600000381469727" hidden="0" customHeight="1">
      <x:c r="A3152" s="27" t="str">
        <x:v>SCA-32</x:v>
      </x:c>
      <x:c r="B3152" s="27" t="str">
        <x:v>72113</x:v>
      </x:c>
      <x:c r="C3152" s="27" t="str">
        <x:v>PR</x:v>
      </x:c>
      <x:c r="D3152" s="27" t="str">
        <x:v>Ponce Municipio</x:v>
      </x:c>
      <x:c r="E3152" s="40" t="n">
        <x:v>133283</x:v>
      </x:c>
      <x:c r="F3152" s="55" t="n">
        <x:v>18.001717</x:v>
      </x:c>
      <x:c r="G3152" s="55" t="n">
        <x:v>-66.606662</x:v>
      </x:c>
      <x:c r="H3152" s="43" t="n">
        <x:f>E3152/SUMIF(A:A,A3152,E:E)</x:f>
        <x:v>0.04184926377661637</x:v>
      </x:c>
    </x:row>
    <x:row r="3153" ht="21.600000381469727" hidden="0" customHeight="1">
      <x:c r="A3153" s="29" t="str">
        <x:v>SCA-32</x:v>
      </x:c>
      <x:c r="B3153" s="29" t="str">
        <x:v>72025</x:v>
      </x:c>
      <x:c r="C3153" s="29" t="str">
        <x:v>PR</x:v>
      </x:c>
      <x:c r="D3153" s="29" t="str">
        <x:v>Caguas Municipio</x:v>
      </x:c>
      <x:c r="E3153" s="41" t="n">
        <x:v>123377</x:v>
      </x:c>
      <x:c r="F3153" s="56" t="n">
        <x:v>18.211109</x:v>
      </x:c>
      <x:c r="G3153" s="56" t="n">
        <x:v>-66.050964</x:v>
      </x:c>
      <x:c r="H3153" s="44" t="n">
        <x:f>E3153/SUMIF(A:A,A3153,E:E)</x:f>
        <x:v>0.03873889856146394</x:v>
      </x:c>
    </x:row>
    <x:row r="3154" ht="21.600000381469727" hidden="0" customHeight="1">
      <x:c r="A3154" s="27" t="str">
        <x:v>SCA-32</x:v>
      </x:c>
      <x:c r="B3154" s="27" t="str">
        <x:v>72061</x:v>
      </x:c>
      <x:c r="C3154" s="27" t="str">
        <x:v>PR</x:v>
      </x:c>
      <x:c r="D3154" s="27" t="str">
        <x:v>Guaynabo Municipio</x:v>
      </x:c>
      <x:c r="E3154" s="40" t="n">
        <x:v>86972</x:v>
      </x:c>
      <x:c r="F3154" s="55" t="n">
        <x:v>18.344357</x:v>
      </x:c>
      <x:c r="G3154" s="55" t="n">
        <x:v>-66.114056</x:v>
      </x:c>
      <x:c r="H3154" s="43" t="n">
        <x:f>E3154/SUMIF(A:A,A3154,E:E)</x:f>
        <x:v>0.027308165101174786</x:v>
      </x:c>
    </x:row>
    <x:row r="3155" ht="21.600000381469727" hidden="0" customHeight="1">
      <x:c r="A3155" s="29" t="str">
        <x:v>SCA-32</x:v>
      </x:c>
      <x:c r="B3155" s="29" t="str">
        <x:v>72013</x:v>
      </x:c>
      <x:c r="C3155" s="29" t="str">
        <x:v>PR</x:v>
      </x:c>
      <x:c r="D3155" s="29" t="str">
        <x:v>Arecibo Municipio</x:v>
      </x:c>
      <x:c r="E3155" s="41" t="n">
        <x:v>85009</x:v>
      </x:c>
      <x:c r="F3155" s="56" t="n">
        <x:v>18.434004</x:v>
      </x:c>
      <x:c r="G3155" s="56" t="n">
        <x:v>-66.674994</x:v>
      </x:c>
      <x:c r="H3155" s="44" t="n">
        <x:f>E3155/SUMIF(A:A,A3155,E:E)</x:f>
        <x:v>0.026691806639904423</x:v>
      </x:c>
    </x:row>
    <x:row r="3156" ht="21.600000381469727" hidden="0" customHeight="1">
      <x:c r="A3156" s="27" t="str">
        <x:v>SCA-32</x:v>
      </x:c>
      <x:c r="B3156" s="27" t="str">
        <x:v>72137</x:v>
      </x:c>
      <x:c r="C3156" s="27" t="str">
        <x:v>PR</x:v>
      </x:c>
      <x:c r="D3156" s="27" t="str">
        <x:v>Toa Baja Municipio</x:v>
      </x:c>
      <x:c r="E3156" s="40" t="n">
        <x:v>72974</x:v>
      </x:c>
      <x:c r="F3156" s="55" t="n">
        <x:v>18.45691</x:v>
      </x:c>
      <x:c r="G3156" s="55" t="n">
        <x:v>-66.193193</x:v>
      </x:c>
      <x:c r="H3156" s="43" t="n">
        <x:f>E3156/SUMIF(A:A,A3156,E:E)</x:f>
        <x:v>0.022912960954021167</x:v>
      </x:c>
    </x:row>
    <x:row r="3157" ht="21.600000381469727" hidden="0" customHeight="1">
      <x:c r="A3157" s="29" t="str">
        <x:v>SCA-32</x:v>
      </x:c>
      <x:c r="B3157" s="29" t="str">
        <x:v>72097</x:v>
      </x:c>
      <x:c r="C3157" s="29" t="str">
        <x:v>PR</x:v>
      </x:c>
      <x:c r="D3157" s="29" t="str">
        <x:v>Mayagüez Municipio</x:v>
      </x:c>
      <x:c r="E3157" s="41" t="n">
        <x:v>70927</x:v>
      </x:c>
      <x:c r="F3157" s="56" t="n">
        <x:v>18.08385</x:v>
      </x:c>
      <x:c r="G3157" s="56" t="n">
        <x:v>-67.886337</x:v>
      </x:c>
      <x:c r="H3157" s="44" t="n">
        <x:f>E3157/SUMIF(A:A,A3157,E:E)</x:f>
        <x:v>0.022270227500011775</x:v>
      </x:c>
    </x:row>
    <x:row r="3158" ht="21.600000381469727" hidden="0" customHeight="1">
      <x:c r="A3158" s="27" t="str">
        <x:v>SCA-32</x:v>
      </x:c>
      <x:c r="B3158" s="27" t="str">
        <x:v>72139</x:v>
      </x:c>
      <x:c r="C3158" s="27" t="str">
        <x:v>PR</x:v>
      </x:c>
      <x:c r="D3158" s="27" t="str">
        <x:v>Trujillo Alto Municipio</x:v>
      </x:c>
      <x:c r="E3158" s="40" t="n">
        <x:v>65717</x:v>
      </x:c>
      <x:c r="F3158" s="55" t="n">
        <x:v>18.335387</x:v>
      </x:c>
      <x:c r="G3158" s="55" t="n">
        <x:v>-66.003787</x:v>
      </x:c>
      <x:c r="H3158" s="43" t="n">
        <x:f>E3158/SUMIF(A:A,A3158,E:E)</x:f>
        <x:v>0.020634349974174487</x:v>
      </x:c>
    </x:row>
    <x:row r="3159" ht="21.600000381469727" hidden="0" customHeight="1">
      <x:c r="A3159" s="29" t="str">
        <x:v>SCA-32</x:v>
      </x:c>
      <x:c r="B3159" s="29" t="str">
        <x:v>72135</x:v>
      </x:c>
      <x:c r="C3159" s="29" t="str">
        <x:v>PR</x:v>
      </x:c>
      <x:c r="D3159" s="29" t="str">
        <x:v>Toa Alta Municipio</x:v>
      </x:c>
      <x:c r="E3159" s="41" t="n">
        <x:v>64864</x:v>
      </x:c>
      <x:c r="F3159" s="56" t="n">
        <x:v>18.364556</x:v>
      </x:c>
      <x:c r="G3159" s="56" t="n">
        <x:v>-66.244669</x:v>
      </x:c>
      <x:c r="H3159" s="44" t="n">
        <x:f>E3159/SUMIF(A:A,A3159,E:E)</x:f>
        <x:v>0.02036651820266984</x:v>
      </x:c>
    </x:row>
    <x:row r="3160" ht="21.600000381469727" hidden="0" customHeight="1">
      <x:c r="A3160" s="27" t="str">
        <x:v>SCA-32</x:v>
      </x:c>
      <x:c r="B3160" s="27" t="str">
        <x:v>72005</x:v>
      </x:c>
      <x:c r="C3160" s="27" t="str">
        <x:v>PR</x:v>
      </x:c>
      <x:c r="D3160" s="27" t="str">
        <x:v>Aguadilla Municipio</x:v>
      </x:c>
      <x:c r="E3160" s="40" t="n">
        <x:v>53362</x:v>
      </x:c>
      <x:c r="F3160" s="55" t="n">
        <x:v>18.480191</x:v>
      </x:c>
      <x:c r="G3160" s="55" t="n">
        <x:v>-67.143762</x:v>
      </x:c>
      <x:c r="H3160" s="43" t="n">
        <x:f>E3160/SUMIF(A:A,A3160,E:E)</x:f>
        <x:v>0.01675502812547589</x:v>
      </x:c>
    </x:row>
    <x:row r="3161" ht="21.600000381469727" hidden="0" customHeight="1">
      <x:c r="A3161" s="29" t="str">
        <x:v>SCA-32</x:v>
      </x:c>
      <x:c r="B3161" s="29" t="str">
        <x:v>72145</x:v>
      </x:c>
      <x:c r="C3161" s="29" t="str">
        <x:v>PR</x:v>
      </x:c>
      <x:c r="D3161" s="29" t="str">
        <x:v>Vega Baja Municipio</x:v>
      </x:c>
      <x:c r="E3161" s="41" t="n">
        <x:v>52738</x:v>
      </x:c>
      <x:c r="F3161" s="56" t="n">
        <x:v>18.455128</x:v>
      </x:c>
      <x:c r="G3161" s="56" t="n">
        <x:v>-66.397883</x:v>
      </x:c>
      <x:c r="H3161" s="44" t="n">
        <x:f>E3161/SUMIF(A:A,A3161,E:E)</x:f>
        <x:v>0.01655909960798597</x:v>
      </x:c>
    </x:row>
    <x:row r="3162" ht="21.600000381469727" hidden="0" customHeight="1">
      <x:c r="A3162" s="27" t="str">
        <x:v>SCA-32</x:v>
      </x:c>
      <x:c r="B3162" s="27" t="str">
        <x:v>72069</x:v>
      </x:c>
      <x:c r="C3162" s="27" t="str">
        <x:v>PR</x:v>
      </x:c>
      <x:c r="D3162" s="27" t="str">
        <x:v>Humacao Municipio</x:v>
      </x:c>
      <x:c r="E3162" s="40" t="n">
        <x:v>49306</x:v>
      </x:c>
      <x:c r="F3162" s="55" t="n">
        <x:v>18.135403</x:v>
      </x:c>
      <x:c r="G3162" s="55" t="n">
        <x:v>-65.786229</x:v>
      </x:c>
      <x:c r="H3162" s="43" t="n">
        <x:f>E3162/SUMIF(A:A,A3162,E:E)</x:f>
        <x:v>0.015481492761791428</x:v>
      </x:c>
    </x:row>
    <x:row r="3163" ht="21.600000381469727" hidden="0" customHeight="1">
      <x:c r="A3163" s="29" t="str">
        <x:v>SCA-32</x:v>
      </x:c>
      <x:c r="B3163" s="29" t="str">
        <x:v>72023</x:v>
      </x:c>
      <x:c r="C3163" s="29" t="str">
        <x:v>PR</x:v>
      </x:c>
      <x:c r="D3163" s="29" t="str">
        <x:v>Cabo Rojo Municipio</x:v>
      </x:c>
      <x:c r="E3163" s="41" t="n">
        <x:v>45761</x:v>
      </x:c>
      <x:c r="F3163" s="56" t="n">
        <x:v>17.997138</x:v>
      </x:c>
      <x:c r="G3163" s="56" t="n">
        <x:v>-67.180862</x:v>
      </x:c>
      <x:c r="H3163" s="44" t="n">
        <x:f>E3163/SUMIF(A:A,A3163,E:E)</x:f>
        <x:v>0.014368405270602716</x:v>
      </x:c>
    </x:row>
    <x:row r="3164" ht="21.600000381469727" hidden="0" customHeight="1">
      <x:c r="A3164" s="27" t="str">
        <x:v>SCA-32</x:v>
      </x:c>
      <x:c r="B3164" s="27" t="str">
        <x:v>72119</x:v>
      </x:c>
      <x:c r="C3164" s="27" t="str">
        <x:v>PR</x:v>
      </x:c>
      <x:c r="D3164" s="27" t="str">
        <x:v>Río Grande Municipio</x:v>
      </x:c>
      <x:c r="E3164" s="40" t="n">
        <x:v>45678</x:v>
      </x:c>
      <x:c r="F3164" s="55" t="n">
        <x:v>18.376369</x:v>
      </x:c>
      <x:c r="G3164" s="55" t="n">
        <x:v>-65.798434</x:v>
      </x:c>
      <x:c r="H3164" s="43" t="n">
        <x:f>E3164/SUMIF(A:A,A3164,E:E)</x:f>
        <x:v>0.014342344265872487</x:v>
      </x:c>
    </x:row>
    <x:row r="3165" ht="21.600000381469727" hidden="0" customHeight="1">
      <x:c r="A3165" s="29" t="str">
        <x:v>SCA-32</x:v>
      </x:c>
      <x:c r="B3165" s="29" t="str">
        <x:v>72075</x:v>
      </x:c>
      <x:c r="C3165" s="29" t="str">
        <x:v>PR</x:v>
      </x:c>
      <x:c r="D3165" s="29" t="str">
        <x:v>Juana Díaz Municipio</x:v>
      </x:c>
      <x:c r="E3165" s="41" t="n">
        <x:v>44956</x:v>
      </x:c>
      <x:c r="F3165" s="56" t="n">
        <x:v>17.997974</x:v>
      </x:c>
      <x:c r="G3165" s="56" t="n">
        <x:v>-66.490496</x:v>
      </x:c>
      <x:c r="H3165" s="44" t="n">
        <x:f>E3165/SUMIF(A:A,A3165,E:E)</x:f>
        <x:v>0.014115644923520371</x:v>
      </x:c>
    </x:row>
    <x:row r="3166" ht="21.600000381469727" hidden="0" customHeight="1">
      <x:c r="A3166" s="27" t="str">
        <x:v>SCA-32</x:v>
      </x:c>
      <x:c r="B3166" s="27" t="str">
        <x:v>72071</x:v>
      </x:c>
      <x:c r="C3166" s="27" t="str">
        <x:v>PR</x:v>
      </x:c>
      <x:c r="D3166" s="27" t="str">
        <x:v>Isabela Municipio</x:v>
      </x:c>
      <x:c r="E3166" s="40" t="n">
        <x:v>41632</x:v>
      </x:c>
      <x:c r="F3166" s="55" t="n">
        <x:v>18.483997</x:v>
      </x:c>
      <x:c r="G3166" s="55" t="n">
        <x:v>-67.013979</x:v>
      </x:c>
      <x:c r="H3166" s="43" t="n">
        <x:f>E3166/SUMIF(A:A,A3166,E:E)</x:f>
        <x:v>0.013071948782276004</x:v>
      </x:c>
    </x:row>
    <x:row r="3167" ht="21.600000381469727" hidden="0" customHeight="1">
      <x:c r="A3167" s="29" t="str">
        <x:v>SCA-32</x:v>
      </x:c>
      <x:c r="B3167" s="29" t="str">
        <x:v>72029</x:v>
      </x:c>
      <x:c r="C3167" s="29" t="str">
        <x:v>PR</x:v>
      </x:c>
      <x:c r="D3167" s="29" t="str">
        <x:v>Canóvanas Municipio</x:v>
      </x:c>
      <x:c r="E3167" s="41" t="n">
        <x:v>41066</x:v>
      </x:c>
      <x:c r="F3167" s="56" t="n">
        <x:v>18.330007</x:v>
      </x:c>
      <x:c r="G3167" s="56" t="n">
        <x:v>-65.886035</x:v>
      </x:c>
      <x:c r="H3167" s="44" t="n">
        <x:f>E3167/SUMIF(A:A,A3167,E:E)</x:f>
        <x:v>0.012894231569296368</x:v>
      </x:c>
    </x:row>
    <x:row r="3168" ht="21.600000381469727" hidden="0" customHeight="1">
      <x:c r="A3168" s="27" t="str">
        <x:v>SCA-32</x:v>
      </x:c>
      <x:c r="B3168" s="27" t="str">
        <x:v>72035</x:v>
      </x:c>
      <x:c r="C3168" s="27" t="str">
        <x:v>PR</x:v>
      </x:c>
      <x:c r="D3168" s="27" t="str">
        <x:v>Cayey Municipio</x:v>
      </x:c>
      <x:c r="E3168" s="40" t="n">
        <x:v>40367</x:v>
      </x:c>
      <x:c r="F3168" s="55" t="n">
        <x:v>18.103624</x:v>
      </x:c>
      <x:c r="G3168" s="55" t="n">
        <x:v>-66.151667</x:v>
      </x:c>
      <x:c r="H3168" s="43" t="n">
        <x:f>E3168/SUMIF(A:A,A3168,E:E)</x:f>
        <x:v>0.012674753951146606</x:v>
      </x:c>
    </x:row>
    <x:row r="3169" ht="21.600000381469727" hidden="0" customHeight="1">
      <x:c r="A3169" s="29" t="str">
        <x:v>SCA-32</x:v>
      </x:c>
      <x:c r="B3169" s="29" t="str">
        <x:v>72063</x:v>
      </x:c>
      <x:c r="C3169" s="29" t="str">
        <x:v>PR</x:v>
      </x:c>
      <x:c r="D3169" s="29" t="str">
        <x:v>Gurabo Municipio</x:v>
      </x:c>
      <x:c r="E3169" s="41" t="n">
        <x:v>39371</x:v>
      </x:c>
      <x:c r="F3169" s="56" t="n">
        <x:v>18.272581</x:v>
      </x:c>
      <x:c r="G3169" s="56" t="n">
        <x:v>-65.981177</x:v>
      </x:c>
      <x:c r="H3169" s="44" t="n">
        <x:f>E3169/SUMIF(A:A,A3169,E:E)</x:f>
        <x:v>0.012362021894383854</x:v>
      </x:c>
    </x:row>
    <x:row r="3170" ht="21.600000381469727" hidden="0" customHeight="1">
      <x:c r="A3170" s="27" t="str">
        <x:v>SCA-32</x:v>
      </x:c>
      <x:c r="B3170" s="27" t="str">
        <x:v>72041</x:v>
      </x:c>
      <x:c r="C3170" s="27" t="str">
        <x:v>PR</x:v>
      </x:c>
      <x:c r="D3170" s="27" t="str">
        <x:v>Cidra Municipio</x:v>
      </x:c>
      <x:c r="E3170" s="40" t="n">
        <x:v>38772</x:v>
      </x:c>
      <x:c r="F3170" s="55" t="n">
        <x:v>18.174391</x:v>
      </x:c>
      <x:c r="G3170" s="55" t="n">
        <x:v>-66.161618</x:v>
      </x:c>
      <x:c r="H3170" s="43" t="n">
        <x:f>E3170/SUMIF(A:A,A3170,E:E)</x:f>
        <x:v>0.012173943077113884</x:v>
      </x:c>
    </x:row>
    <x:row r="3171" ht="21.600000381469727" hidden="0" customHeight="1">
      <x:c r="A3171" s="29" t="str">
        <x:v>SCA-32</x:v>
      </x:c>
      <x:c r="B3171" s="29" t="str">
        <x:v>72091</x:v>
      </x:c>
      <x:c r="C3171" s="29" t="str">
        <x:v>PR</x:v>
      </x:c>
      <x:c r="D3171" s="29" t="str">
        <x:v>Manatí Municipio</x:v>
      </x:c>
      <x:c r="E3171" s="41" t="n">
        <x:v>38307</x:v>
      </x:c>
      <x:c r="F3171" s="56" t="n">
        <x:v>18.444803</x:v>
      </x:c>
      <x:c r="G3171" s="56" t="n">
        <x:v>-66.493137</x:v>
      </x:c>
      <x:c r="H3171" s="44" t="n">
        <x:f>E3171/SUMIF(A:A,A3171,E:E)</x:f>
        <x:v>0.01202793865302284</x:v>
      </x:c>
    </x:row>
    <x:row r="3172" ht="32.400001525878906" hidden="0" customHeight="1">
      <x:c r="A3172" s="27" t="str">
        <x:v>SCA-32</x:v>
      </x:c>
      <x:c r="B3172" s="27" t="str">
        <x:v>72131</x:v>
      </x:c>
      <x:c r="C3172" s="27" t="str">
        <x:v>PR</x:v>
      </x:c>
      <x:c r="D3172" s="27" t="str">
        <x:v>San Sebastián Municipio</x:v>
      </x:c>
      <x:c r="E3172" s="40" t="n">
        <x:v>38161</x:v>
      </x:c>
      <x:c r="F3172" s="55" t="n">
        <x:v>18.331064</x:v>
      </x:c>
      <x:c r="G3172" s="55" t="n">
        <x:v>-66.969064</x:v>
      </x:c>
      <x:c r="H3172" s="43" t="n">
        <x:f>E3172/SUMIF(A:A,A3172,E:E)</x:f>
        <x:v>0.01198209640373834</x:v>
      </x:c>
    </x:row>
    <x:row r="3173" ht="21.600000381469727" hidden="0" customHeight="1">
      <x:c r="A3173" s="29" t="str">
        <x:v>SCA-32</x:v>
      </x:c>
      <x:c r="B3173" s="29" t="str">
        <x:v>72065</x:v>
      </x:c>
      <x:c r="C3173" s="29" t="str">
        <x:v>PR</x:v>
      </x:c>
      <x:c r="D3173" s="29" t="str">
        <x:v>Hatillo Municipio</x:v>
      </x:c>
      <x:c r="E3173" s="41" t="n">
        <x:v>37315</x:v>
      </x:c>
      <x:c r="F3173" s="56" t="n">
        <x:v>18.441141</x:v>
      </x:c>
      <x:c r="G3173" s="56" t="n">
        <x:v>-66.79821</x:v>
      </x:c>
      <x:c r="H3173" s="44" t="n">
        <x:f>E3173/SUMIF(A:A,A3173,E:E)</x:f>
        <x:v>0.011716462548295281</x:v>
      </x:c>
    </x:row>
    <x:row r="3174" ht="21.600000381469727" hidden="0" customHeight="1">
      <x:c r="A3174" s="27" t="str">
        <x:v>SCA-32</x:v>
      </x:c>
      <x:c r="B3174" s="27" t="str">
        <x:v>72003</x:v>
      </x:c>
      <x:c r="C3174" s="27" t="str">
        <x:v>PR</x:v>
      </x:c>
      <x:c r="D3174" s="27" t="str">
        <x:v>Aguada Municipio</x:v>
      </x:c>
      <x:c r="E3174" s="40" t="n">
        <x:v>37005</x:v>
      </x:c>
      <x:c r="F3174" s="55" t="n">
        <x:v>18.375641</x:v>
      </x:c>
      <x:c r="G3174" s="55" t="n">
        <x:v>-67.185727</x:v>
      </x:c>
      <x:c r="H3174" s="43" t="n">
        <x:f>E3174/SUMIF(A:A,A3174,E:E)</x:f>
        <x:v>0.011619126265567919</x:v>
      </x:c>
    </x:row>
    <x:row r="3175" ht="21.600000381469727" hidden="0" customHeight="1">
      <x:c r="A3175" s="29" t="str">
        <x:v>SCA-32</x:v>
      </x:c>
      <x:c r="B3175" s="29" t="str">
        <x:v>72129</x:v>
      </x:c>
      <x:c r="C3175" s="29" t="str">
        <x:v>PR</x:v>
      </x:c>
      <x:c r="D3175" s="29" t="str">
        <x:v>San Lorenzo Municipio</x:v>
      </x:c>
      <x:c r="E3175" s="41" t="n">
        <x:v>36573</x:v>
      </x:c>
      <x:c r="F3175" s="56" t="n">
        <x:v>18.147107</x:v>
      </x:c>
      <x:c r="G3175" s="56" t="n">
        <x:v>-65.976167</x:v>
      </x:c>
      <x:c r="H3175" s="44" t="n">
        <x:f>E3175/SUMIF(A:A,A3175,E:E)</x:f>
        <x:v>0.011483483445767205</x:v>
      </x:c>
    </x:row>
    <x:row r="3176" ht="21.600000381469727" hidden="0" customHeight="1">
      <x:c r="A3176" s="27" t="str">
        <x:v>SCA-32</x:v>
      </x:c>
      <x:c r="B3176" s="27" t="str">
        <x:v>72099</x:v>
      </x:c>
      <x:c r="C3176" s="27" t="str">
        <x:v>PR</x:v>
      </x:c>
      <x:c r="D3176" s="27" t="str">
        <x:v>Moca Municipio</x:v>
      </x:c>
      <x:c r="E3176" s="40" t="n">
        <x:v>36327</x:v>
      </x:c>
      <x:c r="F3176" s="55" t="n">
        <x:v>18.377637</x:v>
      </x:c>
      <x:c r="G3176" s="55" t="n">
        <x:v>-67.079574</x:v>
      </x:c>
      <x:c r="H3176" s="43" t="n">
        <x:f>E3176/SUMIF(A:A,A3176,E:E)</x:f>
        <x:v>0.011406242395602912</x:v>
      </x:c>
    </x:row>
    <x:row r="3177" ht="21.600000381469727" hidden="0" customHeight="1">
      <x:c r="A3177" s="29" t="str">
        <x:v>SCA-32</x:v>
      </x:c>
      <x:c r="B3177" s="29" t="str">
        <x:v>72077</x:v>
      </x:c>
      <x:c r="C3177" s="29" t="str">
        <x:v>PR</x:v>
      </x:c>
      <x:c r="D3177" s="29" t="str">
        <x:v>Juncos Municipio</x:v>
      </x:c>
      <x:c r="E3177" s="41" t="n">
        <x:v>35727</x:v>
      </x:c>
      <x:c r="F3177" s="56" t="n">
        <x:v>18.224133</x:v>
      </x:c>
      <x:c r="G3177" s="56" t="n">
        <x:v>-65.908542</x:v>
      </x:c>
      <x:c r="H3177" s="44" t="n">
        <x:f>E3177/SUMIF(A:A,A3177,E:E)</x:f>
        <x:v>0.011217849590324146</x:v>
      </x:c>
    </x:row>
    <x:row r="3178" ht="21.600000381469727" hidden="0" customHeight="1">
      <x:c r="A3178" s="27" t="str">
        <x:v>SCA-32</x:v>
      </x:c>
      <x:c r="B3178" s="27" t="str">
        <x:v>72057</x:v>
      </x:c>
      <x:c r="C3178" s="27" t="str">
        <x:v>PR</x:v>
      </x:c>
      <x:c r="D3178" s="27" t="str">
        <x:v>Guayama Municipio</x:v>
      </x:c>
      <x:c r="E3178" s="40" t="n">
        <x:v>35465</x:v>
      </x:c>
      <x:c r="F3178" s="55" t="n">
        <x:v>17.973929</x:v>
      </x:c>
      <x:c r="G3178" s="55" t="n">
        <x:v>-66.137467</x:v>
      </x:c>
      <x:c r="H3178" s="43" t="n">
        <x:f>E3178/SUMIF(A:A,A3178,E:E)</x:f>
        <x:v>0.011135584732019085</x:v>
      </x:c>
    </x:row>
    <x:row r="3179" ht="21.600000381469727" hidden="0" customHeight="1">
      <x:c r="A3179" s="29" t="str">
        <x:v>SCA-32</x:v>
      </x:c>
      <x:c r="B3179" s="29" t="str">
        <x:v>72051</x:v>
      </x:c>
      <x:c r="C3179" s="29" t="str">
        <x:v>PR</x:v>
      </x:c>
      <x:c r="D3179" s="29" t="str">
        <x:v>Dorado Municipio</x:v>
      </x:c>
      <x:c r="E3179" s="41" t="n">
        <x:v>34741</x:v>
      </x:c>
      <x:c r="F3179" s="56" t="n">
        <x:v>18.474376</x:v>
      </x:c>
      <x:c r="G3179" s="56" t="n">
        <x:v>-66.261973</x:v>
      </x:c>
      <x:c r="H3179" s="44" t="n">
        <x:f>E3179/SUMIF(A:A,A3179,E:E)</x:f>
        <x:v>0.010908257413649373</x:v>
      </x:c>
    </x:row>
    <x:row r="3180" ht="21.600000381469727" hidden="0" customHeight="1">
      <x:c r="A3180" s="27" t="str">
        <x:v>SCA-32</x:v>
      </x:c>
      <x:c r="B3180" s="27" t="str">
        <x:v>72143</x:v>
      </x:c>
      <x:c r="C3180" s="27" t="str">
        <x:v>PR</x:v>
      </x:c>
      <x:c r="D3180" s="27" t="str">
        <x:v>Vega Alta Municipio</x:v>
      </x:c>
      <x:c r="E3180" s="40" t="n">
        <x:v>34330</x:v>
      </x:c>
      <x:c r="F3180" s="55" t="n">
        <x:v>18.43622</x:v>
      </x:c>
      <x:c r="G3180" s="55" t="n">
        <x:v>-66.336412</x:v>
      </x:c>
      <x:c r="H3180" s="43" t="n">
        <x:f>E3180/SUMIF(A:A,A3180,E:E)</x:f>
        <x:v>0.010779208342033417</x:v>
      </x:c>
    </x:row>
    <x:row r="3181" ht="21.600000381469727" hidden="0" customHeight="1">
      <x:c r="A3181" s="29" t="str">
        <x:v>SCA-32</x:v>
      </x:c>
      <x:c r="B3181" s="29" t="str">
        <x:v>72085</x:v>
      </x:c>
      <x:c r="C3181" s="29" t="str">
        <x:v>PR</x:v>
      </x:c>
      <x:c r="D3181" s="29" t="str">
        <x:v>Las Piedras Municipio</x:v>
      </x:c>
      <x:c r="E3181" s="41" t="n">
        <x:v>34086</x:v>
      </x:c>
      <x:c r="F3181" s="56" t="n">
        <x:v>18.187152</x:v>
      </x:c>
      <x:c r="G3181" s="56" t="n">
        <x:v>-65.871194</x:v>
      </x:c>
      <x:c r="H3181" s="44" t="n">
        <x:f>E3181/SUMIF(A:A,A3181,E:E)</x:f>
        <x:v>0.01070259526788672</x:v>
      </x:c>
    </x:row>
    <x:row r="3182" ht="21.600000381469727" hidden="0" customHeight="1">
      <x:c r="A3182" s="27" t="str">
        <x:v>SCA-32</x:v>
      </x:c>
      <x:c r="B3182" s="27" t="str">
        <x:v>72043</x:v>
      </x:c>
      <x:c r="C3182" s="27" t="str">
        <x:v>PR</x:v>
      </x:c>
      <x:c r="D3182" s="27" t="str">
        <x:v>Coamo Municipio</x:v>
      </x:c>
      <x:c r="E3182" s="40" t="n">
        <x:v>33598</x:v>
      </x:c>
      <x:c r="F3182" s="55" t="n">
        <x:v>18.1038</x:v>
      </x:c>
      <x:c r="G3182" s="55" t="n">
        <x:v>-66.357586</x:v>
      </x:c>
      <x:c r="H3182" s="43" t="n">
        <x:f>E3182/SUMIF(A:A,A3182,E:E)</x:f>
        <x:v>0.010549369119593323</x:v>
      </x:c>
    </x:row>
    <x:row r="3183" ht="21.600000381469727" hidden="0" customHeight="1">
      <x:c r="A3183" s="29" t="str">
        <x:v>SCA-32</x:v>
      </x:c>
      <x:c r="B3183" s="29" t="str">
        <x:v>72047</x:v>
      </x:c>
      <x:c r="C3183" s="29" t="str">
        <x:v>PR</x:v>
      </x:c>
      <x:c r="D3183" s="29" t="str">
        <x:v>Corozal Municipio</x:v>
      </x:c>
      <x:c r="E3183" s="41" t="n">
        <x:v>33549</x:v>
      </x:c>
      <x:c r="F3183" s="56" t="n">
        <x:v>18.30391</x:v>
      </x:c>
      <x:c r="G3183" s="56" t="n">
        <x:v>-66.326179</x:v>
      </x:c>
      <x:c r="H3183" s="44" t="n">
        <x:f>E3183/SUMIF(A:A,A3183,E:E)</x:f>
        <x:v>0.010533983707162223</x:v>
      </x:c>
    </x:row>
    <x:row r="3184" ht="21.600000381469727" hidden="0" customHeight="1">
      <x:c r="A3184" s="27" t="str">
        <x:v>SCA-32</x:v>
      </x:c>
      <x:c r="B3184" s="27" t="str">
        <x:v>72153</x:v>
      </x:c>
      <x:c r="C3184" s="27" t="str">
        <x:v>PR</x:v>
      </x:c>
      <x:c r="D3184" s="27" t="str">
        <x:v>Yauco Municipio</x:v>
      </x:c>
      <x:c r="E3184" s="40" t="n">
        <x:v>33149</x:v>
      </x:c>
      <x:c r="F3184" s="55" t="n">
        <x:v>18.085669</x:v>
      </x:c>
      <x:c r="G3184" s="55" t="n">
        <x:v>-66.857901</x:v>
      </x:c>
      <x:c r="H3184" s="43" t="n">
        <x:f>E3184/SUMIF(A:A,A3184,E:E)</x:f>
        <x:v>0.010408388503643047</x:v>
      </x:c>
    </x:row>
    <x:row r="3185" ht="21.600000381469727" hidden="0" customHeight="1">
      <x:c r="A3185" s="29" t="str">
        <x:v>SCA-32</x:v>
      </x:c>
      <x:c r="B3185" s="29" t="str">
        <x:v>72027</x:v>
      </x:c>
      <x:c r="C3185" s="29" t="str">
        <x:v>PR</x:v>
      </x:c>
      <x:c r="D3185" s="29" t="str">
        <x:v>Camuy Municipio</x:v>
      </x:c>
      <x:c r="E3185" s="41" t="n">
        <x:v>31834</x:v>
      </x:c>
      <x:c r="F3185" s="56" t="n">
        <x:v>18.445469</x:v>
      </x:c>
      <x:c r="G3185" s="56" t="n">
        <x:v>-66.863134</x:v>
      </x:c>
      <x:c r="H3185" s="44" t="n">
        <x:f>E3185/SUMIF(A:A,A3185,E:E)</x:f>
        <x:v>0.00999549427207375</x:v>
      </x:c>
    </x:row>
    <x:row r="3186" ht="21.600000381469727" hidden="0" customHeight="1">
      <x:c r="A3186" s="27" t="str">
        <x:v>SCA-32</x:v>
      </x:c>
      <x:c r="B3186" s="27" t="str">
        <x:v>72053</x:v>
      </x:c>
      <x:c r="C3186" s="27" t="str">
        <x:v>PR</x:v>
      </x:c>
      <x:c r="D3186" s="27" t="str">
        <x:v>Fajardo Municipio</x:v>
      </x:c>
      <x:c r="E3186" s="40" t="n">
        <x:v>31115</x:v>
      </x:c>
      <x:c r="F3186" s="55" t="n">
        <x:v>18.386378</x:v>
      </x:c>
      <x:c r="G3186" s="55" t="n">
        <x:v>-65.588454</x:v>
      </x:c>
      <x:c r="H3186" s="43" t="n">
        <x:f>E3186/SUMIF(A:A,A3186,E:E)</x:f>
        <x:v>0.009769736893748028</x:v>
      </x:c>
    </x:row>
    <x:row r="3187" ht="21.600000381469727" hidden="0" customHeight="1">
      <x:c r="A3187" s="29" t="str">
        <x:v>SCA-32</x:v>
      </x:c>
      <x:c r="B3187" s="29" t="str">
        <x:v>72125</x:v>
      </x:c>
      <x:c r="C3187" s="29" t="str">
        <x:v>PR</x:v>
      </x:c>
      <x:c r="D3187" s="29" t="str">
        <x:v>San Germán Municipio</x:v>
      </x:c>
      <x:c r="E3187" s="41" t="n">
        <x:v>30902</x:v>
      </x:c>
      <x:c r="F3187" s="56" t="n">
        <x:v>18.1078</x:v>
      </x:c>
      <x:c r="G3187" s="56" t="n">
        <x:v>-67.037263</x:v>
      </x:c>
      <x:c r="H3187" s="44" t="n">
        <x:f>E3187/SUMIF(A:A,A3187,E:E)</x:f>
        <x:v>0.009702857447874066</x:v>
      </x:c>
    </x:row>
    <x:row r="3188" ht="21.600000381469727" hidden="0" customHeight="1">
      <x:c r="A3188" s="27" t="str">
        <x:v>SCA-32</x:v>
      </x:c>
      <x:c r="B3188" s="27" t="str">
        <x:v>72151</x:v>
      </x:c>
      <x:c r="C3188" s="27" t="str">
        <x:v>PR</x:v>
      </x:c>
      <x:c r="D3188" s="27" t="str">
        <x:v>Yabucoa Municipio</x:v>
      </x:c>
      <x:c r="E3188" s="40" t="n">
        <x:v>29504</x:v>
      </x:c>
      <x:c r="F3188" s="55" t="n">
        <x:v>18.059859</x:v>
      </x:c>
      <x:c r="G3188" s="55" t="n">
        <x:v>-65.85987</x:v>
      </x:c>
      <x:c r="H3188" s="43" t="n">
        <x:f>E3188/SUMIF(A:A,A3188,E:E)</x:f>
        <x:v>0.00926390221157454</x:v>
      </x:c>
    </x:row>
    <x:row r="3189" ht="21.600000381469727" hidden="0" customHeight="1">
      <x:c r="A3189" s="29" t="str">
        <x:v>SCA-32</x:v>
      </x:c>
      <x:c r="B3189" s="29" t="str">
        <x:v>72105</x:v>
      </x:c>
      <x:c r="C3189" s="29" t="str">
        <x:v>PR</x:v>
      </x:c>
      <x:c r="D3189" s="29" t="str">
        <x:v>Naranjito Municipio</x:v>
      </x:c>
      <x:c r="E3189" s="41" t="n">
        <x:v>28382</x:v>
      </x:c>
      <x:c r="F3189" s="56" t="n">
        <x:v>18.28992</x:v>
      </x:c>
      <x:c r="G3189" s="56" t="n">
        <x:v>-66.25344</x:v>
      </x:c>
      <x:c r="H3189" s="44" t="n">
        <x:f>E3189/SUMIF(A:A,A3189,E:E)</x:f>
        <x:v>0.008911607665703246</x:v>
      </x:c>
    </x:row>
    <x:row r="3190" ht="21.600000381469727" hidden="0" customHeight="1">
      <x:c r="A3190" s="27" t="str">
        <x:v>SCA-32</x:v>
      </x:c>
      <x:c r="B3190" s="27" t="str">
        <x:v>72019</x:v>
      </x:c>
      <x:c r="C3190" s="27" t="str">
        <x:v>PR</x:v>
      </x:c>
      <x:c r="D3190" s="27" t="str">
        <x:v>Barranquitas Municipio</x:v>
      </x:c>
      <x:c r="E3190" s="40" t="n">
        <x:v>28081</x:v>
      </x:c>
      <x:c r="F3190" s="55" t="n">
        <x:v>18.200018</x:v>
      </x:c>
      <x:c r="G3190" s="55" t="n">
        <x:v>-66.309282</x:v>
      </x:c>
      <x:c r="H3190" s="43" t="n">
        <x:f>E3190/SUMIF(A:A,A3190,E:E)</x:f>
        <x:v>0.008817097275055065</x:v>
      </x:c>
    </x:row>
    <x:row r="3191" ht="21.600000381469727" hidden="0" customHeight="1">
      <x:c r="A3191" s="29" t="str">
        <x:v>SCA-32</x:v>
      </x:c>
      <x:c r="B3191" s="29" t="str">
        <x:v>72101</x:v>
      </x:c>
      <x:c r="C3191" s="29" t="str">
        <x:v>PR</x:v>
      </x:c>
      <x:c r="D3191" s="29" t="str">
        <x:v>Morovis Municipio</x:v>
      </x:c>
      <x:c r="E3191" s="41" t="n">
        <x:v>27867</x:v>
      </x:c>
      <x:c r="F3191" s="56" t="n">
        <x:v>18.318017</x:v>
      </x:c>
      <x:c r="G3191" s="56" t="n">
        <x:v>-66.420392</x:v>
      </x:c>
      <x:c r="H3191" s="44" t="n">
        <x:f>E3191/SUMIF(A:A,A3191,E:E)</x:f>
        <x:v>0.008749903841172305</x:v>
      </x:c>
    </x:row>
    <x:row r="3192" ht="21.600000381469727" hidden="0" customHeight="1">
      <x:c r="A3192" s="27" t="str">
        <x:v>SCA-32</x:v>
      </x:c>
      <x:c r="B3192" s="27" t="str">
        <x:v>72141</x:v>
      </x:c>
      <x:c r="C3192" s="27" t="str">
        <x:v>PR</x:v>
      </x:c>
      <x:c r="D3192" s="27" t="str">
        <x:v>Utuado Municipio</x:v>
      </x:c>
      <x:c r="E3192" s="40" t="n">
        <x:v>27442</x:v>
      </x:c>
      <x:c r="F3192" s="55" t="n">
        <x:v>18.270865</x:v>
      </x:c>
      <x:c r="G3192" s="55" t="n">
        <x:v>-66.702989</x:v>
      </x:c>
      <x:c r="H3192" s="43" t="n">
        <x:f>E3192/SUMIF(A:A,A3192,E:E)</x:f>
        <x:v>0.00861645893743318</x:v>
      </x:c>
    </x:row>
    <x:row r="3193" ht="21.600000381469727" hidden="0" customHeight="1">
      <x:c r="A3193" s="29" t="str">
        <x:v>SCA-32</x:v>
      </x:c>
      <x:c r="B3193" s="29" t="str">
        <x:v>72081</x:v>
      </x:c>
      <x:c r="C3193" s="29" t="str">
        <x:v>PR</x:v>
      </x:c>
      <x:c r="D3193" s="29" t="str">
        <x:v>Lares Municipio</x:v>
      </x:c>
      <x:c r="E3193" s="41" t="n">
        <x:v>27280</x:v>
      </x:c>
      <x:c r="F3193" s="56" t="n">
        <x:v>18.276925</x:v>
      </x:c>
      <x:c r="G3193" s="56" t="n">
        <x:v>-66.869587</x:v>
      </x:c>
      <x:c r="H3193" s="44" t="n">
        <x:f>E3193/SUMIF(A:A,A3193,E:E)</x:f>
        <x:v>0.008565592880007912</x:v>
      </x:c>
    </x:row>
    <x:row r="3194" ht="21.600000381469727" hidden="0" customHeight="1">
      <x:c r="A3194" s="27" t="str">
        <x:v>SCA-32</x:v>
      </x:c>
      <x:c r="B3194" s="27" t="str">
        <x:v>72123</x:v>
      </x:c>
      <x:c r="C3194" s="27" t="str">
        <x:v>PR</x:v>
      </x:c>
      <x:c r="D3194" s="27" t="str">
        <x:v>Salinas Municipio</x:v>
      </x:c>
      <x:c r="E3194" s="40" t="n">
        <x:v>24986</x:v>
      </x:c>
      <x:c r="F3194" s="55" t="n">
        <x:v>17.971485</x:v>
      </x:c>
      <x:c r="G3194" s="55" t="n">
        <x:v>-66.262252</x:v>
      </x:c>
      <x:c r="H3194" s="43" t="n">
        <x:f>E3194/SUMIF(A:A,A3194,E:E)</x:f>
        <x:v>0.007845304387825429</x:v>
      </x:c>
    </x:row>
    <x:row r="3195" ht="21.600000381469727" hidden="0" customHeight="1">
      <x:c r="A3195" s="29" t="str">
        <x:v>SCA-32</x:v>
      </x:c>
      <x:c r="B3195" s="29" t="str">
        <x:v>72011</x:v>
      </x:c>
      <x:c r="C3195" s="29" t="str">
        <x:v>PR</x:v>
      </x:c>
      <x:c r="D3195" s="29" t="str">
        <x:v>Añasco Municipio</x:v>
      </x:c>
      <x:c r="E3195" s="41" t="n">
        <x:v>24796</x:v>
      </x:c>
      <x:c r="F3195" s="56" t="n">
        <x:v>18.286905</x:v>
      </x:c>
      <x:c r="G3195" s="56" t="n">
        <x:v>-67.131282</x:v>
      </x:c>
      <x:c r="H3195" s="44" t="n">
        <x:f>E3195/SUMIF(A:A,A3195,E:E)</x:f>
        <x:v>0.00778564666615382</x:v>
      </x:c>
    </x:row>
    <x:row r="3196" ht="21.600000381469727" hidden="0" customHeight="1">
      <x:c r="A3196" s="27" t="str">
        <x:v>SCA-32</x:v>
      </x:c>
      <x:c r="B3196" s="27" t="str">
        <x:v>72009</x:v>
      </x:c>
      <x:c r="C3196" s="27" t="str">
        <x:v>PR</x:v>
      </x:c>
      <x:c r="D3196" s="27" t="str">
        <x:v>Aibonito Municipio</x:v>
      </x:c>
      <x:c r="E3196" s="40" t="n">
        <x:v>23913</x:v>
      </x:c>
      <x:c r="F3196" s="55" t="n">
        <x:v>18.130723</x:v>
      </x:c>
      <x:c r="G3196" s="55" t="n">
        <x:v>-66.26446</x:v>
      </x:c>
      <x:c r="H3196" s="43" t="n">
        <x:f>E3196/SUMIF(A:A,A3196,E:E)</x:f>
        <x:v>0.007508395254385235</x:v>
      </x:c>
    </x:row>
    <x:row r="3197" ht="32.400001525878906" hidden="0" customHeight="1">
      <x:c r="A3197" s="29" t="str">
        <x:v>SCA-32</x:v>
      </x:c>
      <x:c r="B3197" s="29" t="str">
        <x:v>72007</x:v>
      </x:c>
      <x:c r="C3197" s="29" t="str">
        <x:v>PR</x:v>
      </x:c>
      <x:c r="D3197" s="29" t="str">
        <x:v>Aguas Buenas Municipio</x:v>
      </x:c>
      <x:c r="E3197" s="41" t="n">
        <x:v>23480</x:v>
      </x:c>
      <x:c r="F3197" s="56" t="n">
        <x:v>18.256524</x:v>
      </x:c>
      <x:c r="G3197" s="56" t="n">
        <x:v>-66.128496</x:v>
      </x:c>
      <x:c r="H3197" s="44" t="n">
        <x:f>E3197/SUMIF(A:A,A3197,E:E)</x:f>
        <x:v>0.0073724384465757254</x:v>
      </x:c>
    </x:row>
    <x:row r="3198" ht="21.600000381469727" hidden="0" customHeight="1">
      <x:c r="A3198" s="27" t="str">
        <x:v>SCA-32</x:v>
      </x:c>
      <x:c r="B3198" s="27" t="str">
        <x:v>72087</x:v>
      </x:c>
      <x:c r="C3198" s="27" t="str">
        <x:v>PR</x:v>
      </x:c>
      <x:c r="D3198" s="27" t="str">
        <x:v>Loíza Municipio</x:v>
      </x:c>
      <x:c r="E3198" s="40" t="n">
        <x:v>22988</x:v>
      </x:c>
      <x:c r="F3198" s="55" t="n">
        <x:v>18.445503</x:v>
      </x:c>
      <x:c r="G3198" s="55" t="n">
        <x:v>-65.942649</x:v>
      </x:c>
      <x:c r="H3198" s="43" t="n">
        <x:f>E3198/SUMIF(A:A,A3198,E:E)</x:f>
        <x:v>0.007217956346247137</x:v>
      </x:c>
    </x:row>
    <x:row r="3199" ht="21.600000381469727" hidden="0" customHeight="1">
      <x:c r="A3199" s="29" t="str">
        <x:v>SCA-32</x:v>
      </x:c>
      <x:c r="B3199" s="29" t="str">
        <x:v>72115</x:v>
      </x:c>
      <x:c r="C3199" s="29" t="str">
        <x:v>PR</x:v>
      </x:c>
      <x:c r="D3199" s="29" t="str">
        <x:v>Quebradillas Municipio</x:v>
      </x:c>
      <x:c r="E3199" s="41" t="n">
        <x:v>22838</x:v>
      </x:c>
      <x:c r="F3199" s="56" t="n">
        <x:v>18.466357</x:v>
      </x:c>
      <x:c r="G3199" s="56" t="n">
        <x:v>-66.927603</x:v>
      </x:c>
      <x:c r="H3199" s="44" t="n">
        <x:f>E3199/SUMIF(A:A,A3199,E:E)</x:f>
        <x:v>0.0071708581449274455</x:v>
      </x:c>
    </x:row>
    <x:row r="3200" ht="21.600000381469727" hidden="0" customHeight="1">
      <x:c r="A3200" s="27" t="str">
        <x:v>SCA-32</x:v>
      </x:c>
      <x:c r="B3200" s="27" t="str">
        <x:v>72103</x:v>
      </x:c>
      <x:c r="C3200" s="27" t="str">
        <x:v>PR</x:v>
      </x:c>
      <x:c r="D3200" s="27" t="str">
        <x:v>Naguabo Municipio</x:v>
      </x:c>
      <x:c r="E3200" s="40" t="n">
        <x:v>22599</x:v>
      </x:c>
      <x:c r="F3200" s="55" t="n">
        <x:v>18.21107</x:v>
      </x:c>
      <x:c r="G3200" s="55" t="n">
        <x:v>-65.735749</x:v>
      </x:c>
      <x:c r="H3200" s="43" t="n">
        <x:f>E3200/SUMIF(A:A,A3200,E:E)</x:f>
        <x:v>0.007095815010824736</x:v>
      </x:c>
    </x:row>
    <x:row r="3201" ht="21.600000381469727" hidden="0" customHeight="1">
      <x:c r="A3201" s="29" t="str">
        <x:v>SCA-32</x:v>
      </x:c>
      <x:c r="B3201" s="29" t="str">
        <x:v>72079</x:v>
      </x:c>
      <x:c r="C3201" s="29" t="str">
        <x:v>PR</x:v>
      </x:c>
      <x:c r="D3201" s="29" t="str">
        <x:v>Lajas Municipio</x:v>
      </x:c>
      <x:c r="E3201" s="41" t="n">
        <x:v>22572</x:v>
      </x:c>
      <x:c r="F3201" s="56" t="n">
        <x:v>17.978511</x:v>
      </x:c>
      <x:c r="G3201" s="56" t="n">
        <x:v>-67.040111</x:v>
      </x:c>
      <x:c r="H3201" s="44" t="n">
        <x:f>E3201/SUMIF(A:A,A3201,E:E)</x:f>
        <x:v>0.007087337334587192</x:v>
      </x:c>
    </x:row>
    <x:row r="3202" ht="21.600000381469727" hidden="0" customHeight="1">
      <x:c r="A3202" s="27" t="str">
        <x:v>SCA-32</x:v>
      </x:c>
      <x:c r="B3202" s="27" t="str">
        <x:v>72033</x:v>
      </x:c>
      <x:c r="C3202" s="27" t="str">
        <x:v>PR</x:v>
      </x:c>
      <x:c r="D3202" s="27" t="str">
        <x:v>Cataño Municipio</x:v>
      </x:c>
      <x:c r="E3202" s="40" t="n">
        <x:v>22390</x:v>
      </x:c>
      <x:c r="F3202" s="55" t="n">
        <x:v>18.444614</x:v>
      </x:c>
      <x:c r="G3202" s="55" t="n">
        <x:v>-66.148819</x:v>
      </x:c>
      <x:c r="H3202" s="43" t="n">
        <x:f>E3202/SUMIF(A:A,A3202,E:E)</x:f>
        <x:v>0.007030191516985966</x:v>
      </x:c>
    </x:row>
    <x:row r="3203" ht="32.400001525878906" hidden="0" customHeight="1">
      <x:c r="A3203" s="29" t="str">
        <x:v>SCA-32</x:v>
      </x:c>
      <x:c r="B3203" s="29" t="str">
        <x:v>72121</x:v>
      </x:c>
      <x:c r="C3203" s="29" t="str">
        <x:v>PR</x:v>
      </x:c>
      <x:c r="D3203" s="29" t="str">
        <x:v>Sabana Grande Municipio</x:v>
      </x:c>
      <x:c r="E3203" s="41" t="n">
        <x:v>22034</x:v>
      </x:c>
      <x:c r="F3203" s="56" t="n">
        <x:v>18.084483</x:v>
      </x:c>
      <x:c r="G3203" s="56" t="n">
        <x:v>-66.947609</x:v>
      </x:c>
      <x:c r="H3203" s="44" t="n">
        <x:f>E3203/SUMIF(A:A,A3203,E:E)</x:f>
        <x:v>0.006918411785853899</x:v>
      </x:c>
    </x:row>
    <x:row r="3204" ht="21.600000381469727" hidden="0" customHeight="1">
      <x:c r="A3204" s="27" t="str">
        <x:v>SCA-32</x:v>
      </x:c>
      <x:c r="B3204" s="27" t="str">
        <x:v>72017</x:v>
      </x:c>
      <x:c r="C3204" s="27" t="str">
        <x:v>PR</x:v>
      </x:c>
      <x:c r="D3204" s="27" t="str">
        <x:v>Barceloneta Municipio</x:v>
      </x:c>
      <x:c r="E3204" s="40" t="n">
        <x:v>21915</x:v>
      </x:c>
      <x:c r="F3204" s="55" t="n">
        <x:v>18.469997</x:v>
      </x:c>
      <x:c r="G3204" s="55" t="n">
        <x:v>-66.558226</x:v>
      </x:c>
      <x:c r="H3204" s="43" t="n">
        <x:f>E3204/SUMIF(A:A,A3204,E:E)</x:f>
        <x:v>0.006881047212806943</x:v>
      </x:c>
    </x:row>
    <x:row r="3205" ht="21.600000381469727" hidden="0" customHeight="1">
      <x:c r="A3205" s="29" t="str">
        <x:v>SCA-32</x:v>
      </x:c>
      <x:c r="B3205" s="29" t="str">
        <x:v>72149</x:v>
      </x:c>
      <x:c r="C3205" s="29" t="str">
        <x:v>PR</x:v>
      </x:c>
      <x:c r="D3205" s="29" t="str">
        <x:v>Villalba Municipio</x:v>
      </x:c>
      <x:c r="E3205" s="41" t="n">
        <x:v>21412</x:v>
      </x:c>
      <x:c r="F3205" s="56" t="n">
        <x:v>18.130718</x:v>
      </x:c>
      <x:c r="G3205" s="56" t="n">
        <x:v>-66.472244</x:v>
      </x:c>
      <x:c r="H3205" s="44" t="n">
        <x:f>E3205/SUMIF(A:A,A3205,E:E)</x:f>
        <x:v>0.006723111244381577</x:v>
      </x:c>
    </x:row>
    <x:row r="3206" ht="21.600000381469727" hidden="0" customHeight="1">
      <x:c r="A3206" s="27" t="str">
        <x:v>SCA-32</x:v>
      </x:c>
      <x:c r="B3206" s="27" t="str">
        <x:v>72107</x:v>
      </x:c>
      <x:c r="C3206" s="27" t="str">
        <x:v>PR</x:v>
      </x:c>
      <x:c r="D3206" s="27" t="str">
        <x:v>Orocovis Municipio</x:v>
      </x:c>
      <x:c r="E3206" s="40" t="n">
        <x:v>20783</x:v>
      </x:c>
      <x:c r="F3206" s="55" t="n">
        <x:v>18.218733</x:v>
      </x:c>
      <x:c r="G3206" s="55" t="n">
        <x:v>-66.436899</x:v>
      </x:c>
      <x:c r="H3206" s="43" t="n">
        <x:f>E3206/SUMIF(A:A,A3206,E:E)</x:f>
        <x:v>0.00652561278684767</x:v>
      </x:c>
    </x:row>
    <x:row r="3207" ht="21.600000381469727" hidden="0" customHeight="1">
      <x:c r="A3207" s="29" t="str">
        <x:v>SCA-32</x:v>
      </x:c>
      <x:c r="B3207" s="29" t="str">
        <x:v>72111</x:v>
      </x:c>
      <x:c r="C3207" s="29" t="str">
        <x:v>PR</x:v>
      </x:c>
      <x:c r="D3207" s="29" t="str">
        <x:v>Peñuelas Municipio</x:v>
      </x:c>
      <x:c r="E3207" s="41" t="n">
        <x:v>19723</x:v>
      </x:c>
      <x:c r="F3207" s="56" t="n">
        <x:v>18.026618</x:v>
      </x:c>
      <x:c r="G3207" s="56" t="n">
        <x:v>-66.728125</x:v>
      </x:c>
      <x:c r="H3207" s="44" t="n">
        <x:f>E3207/SUMIF(A:A,A3207,E:E)</x:f>
        <x:v>0.006192785497521849</x:v>
      </x:c>
    </x:row>
    <x:row r="3208" ht="21.600000381469727" hidden="0" customHeight="1">
      <x:c r="A3208" s="27" t="str">
        <x:v>SCA-32</x:v>
      </x:c>
      <x:c r="B3208" s="27" t="str">
        <x:v>72133</x:v>
      </x:c>
      <x:c r="C3208" s="27" t="str">
        <x:v>PR</x:v>
      </x:c>
      <x:c r="D3208" s="27" t="str">
        <x:v>Santa Isabel Municipio</x:v>
      </x:c>
      <x:c r="E3208" s="40" t="n">
        <x:v>19674</x:v>
      </x:c>
      <x:c r="F3208" s="55" t="n">
        <x:v>17.952922</x:v>
      </x:c>
      <x:c r="G3208" s="55" t="n">
        <x:v>-66.387588</x:v>
      </x:c>
      <x:c r="H3208" s="43" t="n">
        <x:f>E3208/SUMIF(A:A,A3208,E:E)</x:f>
        <x:v>0.00617740008509075</x:v>
      </x:c>
    </x:row>
    <x:row r="3209" ht="21.600000381469727" hidden="0" customHeight="1">
      <x:c r="A3209" s="29" t="str">
        <x:v>SCA-32</x:v>
      </x:c>
      <x:c r="B3209" s="29" t="str">
        <x:v>72045</x:v>
      </x:c>
      <x:c r="C3209" s="29" t="str">
        <x:v>PR</x:v>
      </x:c>
      <x:c r="D3209" s="29" t="str">
        <x:v>Comerío Municipio</x:v>
      </x:c>
      <x:c r="E3209" s="41" t="n">
        <x:v>18328</x:v>
      </x:c>
      <x:c r="F3209" s="56" t="n">
        <x:v>18.225032</x:v>
      </x:c>
      <x:c r="G3209" s="56" t="n">
        <x:v>-66.219481</x:v>
      </x:c>
      <x:c r="H3209" s="44" t="n">
        <x:f>E3209/SUMIF(A:A,A3209,E:E)</x:f>
        <x:v>0.005754772225248718</x:v>
      </x:c>
    </x:row>
    <x:row r="3210" ht="21.600000381469727" hidden="0" customHeight="1">
      <x:c r="A3210" s="27" t="str">
        <x:v>SCA-32</x:v>
      </x:c>
      <x:c r="B3210" s="27" t="str">
        <x:v>72001</x:v>
      </x:c>
      <x:c r="C3210" s="27" t="str">
        <x:v>PR</x:v>
      </x:c>
      <x:c r="D3210" s="27" t="str">
        <x:v>Adjuntas Municipio</x:v>
      </x:c>
      <x:c r="E3210" s="40" t="n">
        <x:v>17427</x:v>
      </x:c>
      <x:c r="F3210" s="55" t="n">
        <x:v>18.181611</x:v>
      </x:c>
      <x:c r="G3210" s="55" t="n">
        <x:v>-66.758165</x:v>
      </x:c>
      <x:c r="H3210" s="43" t="n">
        <x:f>E3210/SUMIF(A:A,A3210,E:E)</x:f>
        <x:v>0.005471869029321771</x:v>
      </x:c>
    </x:row>
    <x:row r="3211" ht="21.600000381469727" hidden="0" customHeight="1">
      <x:c r="A3211" s="29" t="str">
        <x:v>SCA-32</x:v>
      </x:c>
      <x:c r="B3211" s="29" t="str">
        <x:v>72089</x:v>
      </x:c>
      <x:c r="C3211" s="29" t="str">
        <x:v>PR</x:v>
      </x:c>
      <x:c r="D3211" s="29" t="str">
        <x:v>Luquillo Municipio</x:v>
      </x:c>
      <x:c r="E3211" s="41" t="n">
        <x:v>17203</x:v>
      </x:c>
      <x:c r="F3211" s="56" t="n">
        <x:v>18.367996</x:v>
      </x:c>
      <x:c r="G3211" s="56" t="n">
        <x:v>-65.709904</x:v>
      </x:c>
      <x:c r="H3211" s="44" t="n">
        <x:f>E3211/SUMIF(A:A,A3211,E:E)</x:f>
        <x:v>0.005401535715351031</x:v>
      </x:c>
    </x:row>
    <x:row r="3212" ht="21.600000381469727" hidden="0" customHeight="1">
      <x:c r="A3212" s="27" t="str">
        <x:v>SCA-32</x:v>
      </x:c>
      <x:c r="B3212" s="27" t="str">
        <x:v>72059</x:v>
      </x:c>
      <x:c r="C3212" s="27" t="str">
        <x:v>PR</x:v>
      </x:c>
      <x:c r="D3212" s="27" t="str">
        <x:v>Guayanilla Municipio</x:v>
      </x:c>
      <x:c r="E3212" s="40" t="n">
        <x:v>17170</x:v>
      </x:c>
      <x:c r="F3212" s="55" t="n">
        <x:v>18.005338</x:v>
      </x:c>
      <x:c r="G3212" s="55" t="n">
        <x:v>-66.798293</x:v>
      </x:c>
      <x:c r="H3212" s="43" t="n">
        <x:f>E3212/SUMIF(A:A,A3212,E:E)</x:f>
        <x:v>0.005391174111060698</x:v>
      </x:c>
    </x:row>
    <x:row r="3213" ht="21.600000381469727" hidden="0" customHeight="1">
      <x:c r="A3213" s="29" t="str">
        <x:v>SCA-32</x:v>
      </x:c>
      <x:c r="B3213" s="29" t="str">
        <x:v>72039</x:v>
      </x:c>
      <x:c r="C3213" s="29" t="str">
        <x:v>PR</x:v>
      </x:c>
      <x:c r="D3213" s="29" t="str">
        <x:v>Ciales Municipio</x:v>
      </x:c>
      <x:c r="E3213" s="41" t="n">
        <x:v>16467</x:v>
      </x:c>
      <x:c r="F3213" s="56" t="n">
        <x:v>18.295913</x:v>
      </x:c>
      <x:c r="G3213" s="56" t="n">
        <x:v>-66.515588</x:v>
      </x:c>
      <x:c r="H3213" s="44" t="n">
        <x:f>E3213/SUMIF(A:A,A3213,E:E)</x:f>
        <x:v>0.005170440540875744</x:v>
      </x:c>
    </x:row>
    <x:row r="3214" ht="21.600000381469727" hidden="0" customHeight="1">
      <x:c r="A3214" s="27" t="str">
        <x:v>SCA-32</x:v>
      </x:c>
      <x:c r="B3214" s="27" t="str">
        <x:v>72109</x:v>
      </x:c>
      <x:c r="C3214" s="27" t="str">
        <x:v>PR</x:v>
      </x:c>
      <x:c r="D3214" s="27" t="str">
        <x:v>Patillas Municipio</x:v>
      </x:c>
      <x:c r="E3214" s="40" t="n">
        <x:v>15461</x:v>
      </x:c>
      <x:c r="F3214" s="55" t="n">
        <x:v>18.000311</x:v>
      </x:c>
      <x:c r="G3214" s="55" t="n">
        <x:v>-65.986642</x:v>
      </x:c>
      <x:c r="H3214" s="43" t="n">
        <x:f>E3214/SUMIF(A:A,A3214,E:E)</x:f>
        <x:v>0.004854568604025012</x:v>
      </x:c>
    </x:row>
    <x:row r="3215" ht="21.600000381469727" hidden="0" customHeight="1">
      <x:c r="A3215" s="29" t="str">
        <x:v>SCA-32</x:v>
      </x:c>
      <x:c r="B3215" s="29" t="str">
        <x:v>72015</x:v>
      </x:c>
      <x:c r="C3215" s="29" t="str">
        <x:v>PR</x:v>
      </x:c>
      <x:c r="D3215" s="29" t="str">
        <x:v>Arroyo Municipio</x:v>
      </x:c>
      <x:c r="E3215" s="41" t="n">
        <x:v>15357</x:v>
      </x:c>
      <x:c r="F3215" s="56" t="n">
        <x:v>17.97206</x:v>
      </x:c>
      <x:c r="G3215" s="56" t="n">
        <x:v>-66.041945</x:v>
      </x:c>
      <x:c r="H3215" s="44" t="n">
        <x:f>E3215/SUMIF(A:A,A3215,E:E)</x:f>
        <x:v>0.004821913851110026</x:v>
      </x:c>
    </x:row>
    <x:row r="3216" ht="21.600000381469727" hidden="0" customHeight="1">
      <x:c r="A3216" s="27" t="str">
        <x:v>SCA-32</x:v>
      </x:c>
      <x:c r="B3216" s="27" t="str">
        <x:v>72067</x:v>
      </x:c>
      <x:c r="C3216" s="27" t="str">
        <x:v>PR</x:v>
      </x:c>
      <x:c r="D3216" s="27" t="str">
        <x:v>Hormigueros Municipio</x:v>
      </x:c>
      <x:c r="E3216" s="40" t="n">
        <x:v>15146</x:v>
      </x:c>
      <x:c r="F3216" s="55" t="n">
        <x:v>18.134695</x:v>
      </x:c>
      <x:c r="G3216" s="55" t="n">
        <x:v>-67.116199</x:v>
      </x:c>
      <x:c r="H3216" s="43" t="n">
        <x:f>E3216/SUMIF(A:A,A3216,E:E)</x:f>
        <x:v>0.00475566238125366</x:v>
      </x:c>
    </x:row>
    <x:row r="3217" ht="21.600000381469727" hidden="0" customHeight="1">
      <x:c r="A3217" s="29" t="str">
        <x:v>SCA-32</x:v>
      </x:c>
      <x:c r="B3217" s="29" t="str">
        <x:v>72117</x:v>
      </x:c>
      <x:c r="C3217" s="29" t="str">
        <x:v>PR</x:v>
      </x:c>
      <x:c r="D3217" s="29" t="str">
        <x:v>Rincón Municipio</x:v>
      </x:c>
      <x:c r="E3217" s="41" t="n">
        <x:v>14741</x:v>
      </x:c>
      <x:c r="F3217" s="56" t="n">
        <x:v>18.33898</x:v>
      </x:c>
      <x:c r="G3217" s="56" t="n">
        <x:v>-67.250771</x:v>
      </x:c>
      <x:c r="H3217" s="44" t="n">
        <x:f>E3217/SUMIF(A:A,A3217,E:E)</x:f>
        <x:v>0.004628497237690493</x:v>
      </x:c>
    </x:row>
    <x:row r="3218" ht="21.600000381469727" hidden="0" customHeight="1">
      <x:c r="A3218" s="27" t="str">
        <x:v>SCA-32</x:v>
      </x:c>
      <x:c r="B3218" s="27" t="str">
        <x:v>72073</x:v>
      </x:c>
      <x:c r="C3218" s="27" t="str">
        <x:v>PR</x:v>
      </x:c>
      <x:c r="D3218" s="27" t="str">
        <x:v>Jayuya Municipio</x:v>
      </x:c>
      <x:c r="E3218" s="40" t="n">
        <x:v>14345</x:v>
      </x:c>
      <x:c r="F3218" s="55" t="n">
        <x:v>18.211152</x:v>
      </x:c>
      <x:c r="G3218" s="55" t="n">
        <x:v>-66.58687</x:v>
      </x:c>
      <x:c r="H3218" s="43" t="n">
        <x:f>E3218/SUMIF(A:A,A3218,E:E)</x:f>
        <x:v>0.004504157986206507</x:v>
      </x:c>
    </x:row>
    <x:row r="3219" ht="21.600000381469727" hidden="0" customHeight="1">
      <x:c r="A3219" s="29" t="str">
        <x:v>SCA-32</x:v>
      </x:c>
      <x:c r="B3219" s="29" t="str">
        <x:v>72055</x:v>
      </x:c>
      <x:c r="C3219" s="29" t="str">
        <x:v>PR</x:v>
      </x:c>
      <x:c r="D3219" s="29" t="str">
        <x:v>Guánica Municipio</x:v>
      </x:c>
      <x:c r="E3219" s="41" t="n">
        <x:v>13357</x:v>
      </x:c>
      <x:c r="F3219" s="56" t="n">
        <x:v>17.948209</x:v>
      </x:c>
      <x:c r="G3219" s="56" t="n">
        <x:v>-66.922935</x:v>
      </x:c>
      <x:c r="H3219" s="44" t="n">
        <x:f>E3219/SUMIF(A:A,A3219,E:E)</x:f>
        <x:v>0.004193937833514138</x:v>
      </x:c>
    </x:row>
    <x:row r="3220" ht="21.600000381469727" hidden="0" customHeight="1">
      <x:c r="A3220" s="27" t="str">
        <x:v>SCA-32</x:v>
      </x:c>
      <x:c r="B3220" s="27" t="str">
        <x:v>72054</x:v>
      </x:c>
      <x:c r="C3220" s="27" t="str">
        <x:v>PR</x:v>
      </x:c>
      <x:c r="D3220" s="27" t="str">
        <x:v>Florida Municipio</x:v>
      </x:c>
      <x:c r="E3220" s="40" t="n">
        <x:v>11349</x:v>
      </x:c>
      <x:c r="F3220" s="55" t="n">
        <x:v>18.36868</x:v>
      </x:c>
      <x:c r="G3220" s="55" t="n">
        <x:v>-66.562711</x:v>
      </x:c>
      <x:c r="H3220" s="43" t="n">
        <x:f>E3220/SUMIF(A:A,A3220,E:E)</x:f>
        <x:v>0.0035634499118478665</x:v>
      </x:c>
    </x:row>
    <x:row r="3221" ht="21.600000381469727" hidden="0" customHeight="1">
      <x:c r="A3221" s="29" t="str">
        <x:v>SCA-32</x:v>
      </x:c>
      <x:c r="B3221" s="29" t="str">
        <x:v>72037</x:v>
      </x:c>
      <x:c r="C3221" s="29" t="str">
        <x:v>PR</x:v>
      </x:c>
      <x:c r="D3221" s="29" t="str">
        <x:v>Ceiba Municipio</x:v>
      </x:c>
      <x:c r="E3221" s="41" t="n">
        <x:v>10975</x:v>
      </x:c>
      <x:c r="F3221" s="56" t="n">
        <x:v>18.253265</x:v>
      </x:c>
      <x:c r="G3221" s="56" t="n">
        <x:v>-65.620765</x:v>
      </x:c>
      <x:c r="H3221" s="44" t="n">
        <x:f>E3221/SUMIF(A:A,A3221,E:E)</x:f>
        <x:v>0.0034460183965574357</x:v>
      </x:c>
    </x:row>
    <x:row r="3222" ht="21.600000381469727" hidden="0" customHeight="1">
      <x:c r="A3222" s="27" t="str">
        <x:v>SCA-32</x:v>
      </x:c>
      <x:c r="B3222" s="27" t="str">
        <x:v>72095</x:v>
      </x:c>
      <x:c r="C3222" s="27" t="str">
        <x:v>PR</x:v>
      </x:c>
      <x:c r="D3222" s="27" t="str">
        <x:v>Maunabo Municipio</x:v>
      </x:c>
      <x:c r="E3222" s="40" t="n">
        <x:v>10245</x:v>
      </x:c>
      <x:c r="F3222" s="55" t="n">
        <x:v>17.999786</x:v>
      </x:c>
      <x:c r="G3222" s="55" t="n">
        <x:v>-65.896403</x:v>
      </x:c>
      <x:c r="H3222" s="43" t="n">
        <x:f>E3222/SUMIF(A:A,A3222,E:E)</x:f>
        <x:v>0.0032168071501349365</x:v>
      </x:c>
    </x:row>
    <x:row r="3223" ht="21.600000381469727" hidden="0" customHeight="1">
      <x:c r="A3223" s="29" t="str">
        <x:v>SCA-32</x:v>
      </x:c>
      <x:c r="B3223" s="29" t="str">
        <x:v>72083</x:v>
      </x:c>
      <x:c r="C3223" s="29" t="str">
        <x:v>PR</x:v>
      </x:c>
      <x:c r="D3223" s="29" t="str">
        <x:v>Las Marías Municipio</x:v>
      </x:c>
      <x:c r="E3223" s="41" t="n">
        <x:v>8573</x:v>
      </x:c>
      <x:c r="F3223" s="56" t="n">
        <x:v>18.227594</x:v>
      </x:c>
      <x:c r="G3223" s="56" t="n">
        <x:v>-66.97758</x:v>
      </x:c>
      <x:c r="H3223" s="44" t="n">
        <x:f>E3223/SUMIF(A:A,A3223,E:E)</x:f>
        <x:v>0.002691819199424774</x:v>
      </x:c>
    </x:row>
    <x:row r="3224" ht="21.600000381469727" hidden="0" customHeight="1">
      <x:c r="A3224" s="27" t="str">
        <x:v>SCA-32</x:v>
      </x:c>
      <x:c r="B3224" s="27" t="str">
        <x:v>72147</x:v>
      </x:c>
      <x:c r="C3224" s="27" t="str">
        <x:v>PR</x:v>
      </x:c>
      <x:c r="D3224" s="27" t="str">
        <x:v>Vieques Municipio</x:v>
      </x:c>
      <x:c r="E3224" s="40" t="n">
        <x:v>7948</x:v>
      </x:c>
      <x:c r="F3224" s="55" t="n">
        <x:v>18.125418</x:v>
      </x:c>
      <x:c r="G3224" s="55" t="n">
        <x:v>-65.432474</x:v>
      </x:c>
      <x:c r="H3224" s="43" t="n">
        <x:f>E3224/SUMIF(A:A,A3224,E:E)</x:f>
        <x:v>0.0024955766939260588</x:v>
      </x:c>
    </x:row>
    <x:row r="3225" ht="21.600000381469727" hidden="0" customHeight="1">
      <x:c r="A3225" s="29" t="str">
        <x:v>SCA-32</x:v>
      </x:c>
      <x:c r="B3225" s="29" t="str">
        <x:v>72093</x:v>
      </x:c>
      <x:c r="C3225" s="29" t="str">
        <x:v>PR</x:v>
      </x:c>
      <x:c r="D3225" s="29" t="str">
        <x:v>Maricao Municipio</x:v>
      </x:c>
      <x:c r="E3225" s="41" t="n">
        <x:v>4594</x:v>
      </x:c>
      <x:c r="F3225" s="56" t="n">
        <x:v>18.173956</x:v>
      </x:c>
      <x:c r="G3225" s="56" t="n">
        <x:v>-66.935547</x:v>
      </x:c>
      <x:c r="H3225" s="44" t="n">
        <x:f>E3225/SUMIF(A:A,A3225,E:E)</x:f>
        <x:v>0.0014424609124177549</x:v>
      </x:c>
    </x:row>
    <x:row r="3226" ht="21.600000381469727" hidden="0" customHeight="1">
      <x:c r="A3226" s="27" t="str">
        <x:v>SCA-32</x:v>
      </x:c>
      <x:c r="B3226" s="27" t="str">
        <x:v>72049</x:v>
      </x:c>
      <x:c r="C3226" s="27" t="str">
        <x:v>PR</x:v>
      </x:c>
      <x:c r="D3226" s="27" t="str">
        <x:v>Culebra Municipio</x:v>
      </x:c>
      <x:c r="E3226" s="40" t="n">
        <x:v>1611</x:v>
      </x:c>
      <x:c r="F3226" s="55" t="n">
        <x:v>18.326611</x:v>
      </x:c>
      <x:c r="G3226" s="55" t="n">
        <x:v>-65.307771</x:v>
      </x:c>
      <x:c r="H3226" s="43" t="n">
        <x:f>E3226/SUMIF(A:A,A3226,E:E)</x:f>
        <x:v>0.0005058346821734878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2" hidden="0" customWidth="1"/>
    <x:col min="5" max="5" width="22" hidden="0" customWidth="1"/>
    <x:col min="6" max="6" width="30" hidden="0" customWidth="1"/>
  </x:cols>
  <x:sheetData>
    <x:row r="1" ht="29" customHeight="1">
      <x:c r="A1" s="81" t="str">
        <x:v>Relative multi-hazard salience</x:v>
      </x:c>
      <x:c r="B1" s="81"/>
      <x:c r="C1" s="81"/>
      <x:c r="D1" s="81"/>
      <x:c r="E1" s="81"/>
      <x:c r="F1" s="81"/>
    </x:row>
    <x:row r="2" ht="29" customHeight="1">
      <x:c r="A2" s="82" t="str">
        <x:v>Population-weighted FEMA NRI county scores. Scores prioritize questions; they do not predict receiver damage or event survival.</x:v>
      </x:c>
      <x:c r="B2" s="82"/>
      <x:c r="C2" s="82"/>
      <x:c r="D2" s="82"/>
      <x:c r="E2" s="82"/>
      <x:c r="F2" s="82"/>
    </x:row>
    <x:row r="3">
      <x:c r="A3" s="83"/>
      <x:c r="B3" s="83"/>
      <x:c r="C3" s="83"/>
      <x:c r="D3" s="83"/>
      <x:c r="E3" s="83"/>
      <x:c r="F3" s="83"/>
    </x:row>
    <x:row r="4" ht="31" customHeight="1">
      <x:c r="A4" s="84" t="str">
        <x:v>SCA</x:v>
      </x:c>
      <x:c r="B4" s="85" t="str">
        <x:v>Hazard code</x:v>
      </x:c>
      <x:c r="C4" s="85" t="str">
        <x:v>Hazard</x:v>
      </x:c>
      <x:c r="D4" s="85" t="str">
        <x:v>Population-weighted score</x:v>
      </x:c>
      <x:c r="E4" s="85" t="str">
        <x:v>Population coverage</x:v>
      </x:c>
      <x:c r="F4" s="86" t="str">
        <x:v>Use</x:v>
      </x:c>
    </x:row>
    <x:row r="5" ht="21.600000381469727" hidden="0" customHeight="1">
      <x:c r="A5" s="28" t="str">
        <x:v>SCA-01</x:v>
      </x:c>
      <x:c r="B5" s="28" t="str">
        <x:v>AVLN</x:v>
      </x:c>
      <x:c r="C5" s="28" t="str">
        <x:v>Avalanche</x:v>
      </x:c>
      <x:c r="D5" s="51"/>
      <x:c r="E5" s="48" t="n">
        <x:v>0</x:v>
      </x:c>
      <x:c r="F5" s="28" t="str">
        <x:v>NO COVERAGE</x:v>
      </x:c>
    </x:row>
    <x:row r="6" ht="32.400001525878906" hidden="0" customHeight="1">
      <x:c r="A6" s="27" t="str">
        <x:v>SCA-01</x:v>
      </x:c>
      <x:c r="B6" s="27" t="str">
        <x:v>CFLD</x:v>
      </x:c>
      <x:c r="C6" s="27" t="str">
        <x:v>Coastal flood</x:v>
      </x:c>
      <x:c r="D6" s="52" t="n">
        <x:v>68.21855613405731</x:v>
      </x:c>
      <x:c r="E6" s="49" t="n">
        <x:v>1</x:v>
      </x:c>
      <x:c r="F6" s="27" t="str">
        <x:v>RELATIVE SALIENCE ONLY</x:v>
      </x:c>
    </x:row>
    <x:row r="7" ht="32.400001525878906" hidden="0" customHeight="1">
      <x:c r="A7" s="29" t="str">
        <x:v>SCA-01</x:v>
      </x:c>
      <x:c r="B7" s="29" t="str">
        <x:v>CWAV</x:v>
      </x:c>
      <x:c r="C7" s="29" t="str">
        <x:v>Cold wave</x:v>
      </x:c>
      <x:c r="D7" s="53" t="n">
        <x:v>0.41963968242416516</x:v>
      </x:c>
      <x:c r="E7" s="50" t="n">
        <x:v>1</x:v>
      </x:c>
      <x:c r="F7" s="29" t="str">
        <x:v>RELATIVE SALIENCE ONLY</x:v>
      </x:c>
    </x:row>
    <x:row r="8" ht="32.400001525878906" hidden="0" customHeight="1">
      <x:c r="A8" s="27" t="str">
        <x:v>SCA-01</x:v>
      </x:c>
      <x:c r="B8" s="27" t="str">
        <x:v>DRGT</x:v>
      </x:c>
      <x:c r="C8" s="27" t="str">
        <x:v>Drought</x:v>
      </x:c>
      <x:c r="D8" s="52" t="n">
        <x:v>16.87239681312459</x:v>
      </x:c>
      <x:c r="E8" s="49" t="n">
        <x:v>1</x:v>
      </x:c>
      <x:c r="F8" s="27" t="str">
        <x:v>RELATIVE SALIENCE ONLY</x:v>
      </x:c>
    </x:row>
    <x:row r="9" ht="32.400001525878906" hidden="0" customHeight="1">
      <x:c r="A9" s="29" t="str">
        <x:v>SCA-01</x:v>
      </x:c>
      <x:c r="B9" s="29" t="str">
        <x:v>ERQK</x:v>
      </x:c>
      <x:c r="C9" s="29" t="str">
        <x:v>Earthquake</x:v>
      </x:c>
      <x:c r="D9" s="53" t="n">
        <x:v>95.63341356267021</x:v>
      </x:c>
      <x:c r="E9" s="50" t="n">
        <x:v>1</x:v>
      </x:c>
      <x:c r="F9" s="29" t="str">
        <x:v>RELATIVE SALIENCE ONLY</x:v>
      </x:c>
    </x:row>
    <x:row r="10" ht="32.400001525878906" hidden="0" customHeight="1">
      <x:c r="A10" s="27" t="str">
        <x:v>SCA-01</x:v>
      </x:c>
      <x:c r="B10" s="27" t="str">
        <x:v>HAIL</x:v>
      </x:c>
      <x:c r="C10" s="27" t="str">
        <x:v>Hail</x:v>
      </x:c>
      <x:c r="D10" s="52" t="n">
        <x:v>8.420875115117564</x:v>
      </x:c>
      <x:c r="E10" s="49" t="n">
        <x:v>1</x:v>
      </x:c>
      <x:c r="F10" s="27" t="str">
        <x:v>RELATIVE SALIENCE ONLY</x:v>
      </x:c>
    </x:row>
    <x:row r="11" ht="32.400001525878906" hidden="0" customHeight="1">
      <x:c r="A11" s="29" t="str">
        <x:v>SCA-01</x:v>
      </x:c>
      <x:c r="B11" s="29" t="str">
        <x:v>HWAV</x:v>
      </x:c>
      <x:c r="C11" s="29" t="str">
        <x:v>Heat wave</x:v>
      </x:c>
      <x:c r="D11" s="53" t="n">
        <x:v>0</x:v>
      </x:c>
      <x:c r="E11" s="50" t="n">
        <x:v>1</x:v>
      </x:c>
      <x:c r="F11" s="29" t="str">
        <x:v>RELATIVE SALIENCE ONLY</x:v>
      </x:c>
    </x:row>
    <x:row r="12" ht="32.400001525878906" hidden="0" customHeight="1">
      <x:c r="A12" s="27" t="str">
        <x:v>SCA-01</x:v>
      </x:c>
      <x:c r="B12" s="27" t="str">
        <x:v>HRCN</x:v>
      </x:c>
      <x:c r="C12" s="27" t="str">
        <x:v>Hurricane</x:v>
      </x:c>
      <x:c r="D12" s="52" t="n">
        <x:v>71.69914248242249</x:v>
      </x:c>
      <x:c r="E12" s="49" t="n">
        <x:v>1</x:v>
      </x:c>
      <x:c r="F12" s="27" t="str">
        <x:v>RELATIVE SALIENCE ONLY</x:v>
      </x:c>
    </x:row>
    <x:row r="13" ht="32.400001525878906" hidden="0" customHeight="1">
      <x:c r="A13" s="29" t="str">
        <x:v>SCA-01</x:v>
      </x:c>
      <x:c r="B13" s="29" t="str">
        <x:v>ISTM</x:v>
      </x:c>
      <x:c r="C13" s="29" t="str">
        <x:v>Ice storm</x:v>
      </x:c>
      <x:c r="D13" s="53" t="n">
        <x:v>46.23512794062391</x:v>
      </x:c>
      <x:c r="E13" s="50" t="n">
        <x:v>0.9487151212294636</x:v>
      </x:c>
      <x:c r="F13" s="29" t="str">
        <x:v>RELATIVE SALIENCE ONLY</x:v>
      </x:c>
    </x:row>
    <x:row r="14" ht="32.400001525878906" hidden="0" customHeight="1">
      <x:c r="A14" s="27" t="str">
        <x:v>SCA-01</x:v>
      </x:c>
      <x:c r="B14" s="27" t="str">
        <x:v>LNDS</x:v>
      </x:c>
      <x:c r="C14" s="27" t="str">
        <x:v>Landslide</x:v>
      </x:c>
      <x:c r="D14" s="52" t="n">
        <x:v>92.21473351293963</x:v>
      </x:c>
      <x:c r="E14" s="49" t="n">
        <x:v>1</x:v>
      </x:c>
      <x:c r="F14" s="27" t="str">
        <x:v>RELATIVE SALIENCE ONLY</x:v>
      </x:c>
    </x:row>
    <x:row r="15" ht="32.400001525878906" hidden="0" customHeight="1">
      <x:c r="A15" s="29" t="str">
        <x:v>SCA-01</x:v>
      </x:c>
      <x:c r="B15" s="29" t="str">
        <x:v>LTNG</x:v>
      </x:c>
      <x:c r="C15" s="29" t="str">
        <x:v>Lightning</x:v>
      </x:c>
      <x:c r="D15" s="53" t="n">
        <x:v>98.04932555199157</x:v>
      </x:c>
      <x:c r="E15" s="50" t="n">
        <x:v>1</x:v>
      </x:c>
      <x:c r="F15" s="29" t="str">
        <x:v>RELATIVE SALIENCE ONLY</x:v>
      </x:c>
    </x:row>
    <x:row r="16" ht="32.400001525878906" hidden="0" customHeight="1">
      <x:c r="A16" s="27" t="str">
        <x:v>SCA-01</x:v>
      </x:c>
      <x:c r="B16" s="27" t="str">
        <x:v>IFLD</x:v>
      </x:c>
      <x:c r="C16" s="27" t="str">
        <x:v>Inland flood</x:v>
      </x:c>
      <x:c r="D16" s="52" t="n">
        <x:v>98.15818594875431</x:v>
      </x:c>
      <x:c r="E16" s="49" t="n">
        <x:v>1</x:v>
      </x:c>
      <x:c r="F16" s="27" t="str">
        <x:v>RELATIVE SALIENCE ONLY</x:v>
      </x:c>
    </x:row>
    <x:row r="17" ht="32.400001525878906" hidden="0" customHeight="1">
      <x:c r="A17" s="29" t="str">
        <x:v>SCA-01</x:v>
      </x:c>
      <x:c r="B17" s="29" t="str">
        <x:v>SWND</x:v>
      </x:c>
      <x:c r="C17" s="29" t="str">
        <x:v>Strong wind</x:v>
      </x:c>
      <x:c r="D17" s="53" t="n">
        <x:v>6.00872490264843</x:v>
      </x:c>
      <x:c r="E17" s="50" t="n">
        <x:v>1</x:v>
      </x:c>
      <x:c r="F17" s="29" t="str">
        <x:v>RELATIVE SALIENCE ONLY</x:v>
      </x:c>
    </x:row>
    <x:row r="18" ht="32.400001525878906" hidden="0" customHeight="1">
      <x:c r="A18" s="27" t="str">
        <x:v>SCA-01</x:v>
      </x:c>
      <x:c r="B18" s="27" t="str">
        <x:v>TRND</x:v>
      </x:c>
      <x:c r="C18" s="27" t="str">
        <x:v>Tornado</x:v>
      </x:c>
      <x:c r="D18" s="52" t="n">
        <x:v>24.79736558322876</x:v>
      </x:c>
      <x:c r="E18" s="49" t="n">
        <x:v>1</x:v>
      </x:c>
      <x:c r="F18" s="27" t="str">
        <x:v>RELATIVE SALIENCE ONLY</x:v>
      </x:c>
    </x:row>
    <x:row r="19" ht="32.400001525878906" hidden="0" customHeight="1">
      <x:c r="A19" s="29" t="str">
        <x:v>SCA-01</x:v>
      </x:c>
      <x:c r="B19" s="29" t="str">
        <x:v>TSUN</x:v>
      </x:c>
      <x:c r="C19" s="29" t="str">
        <x:v>Tsunami</x:v>
      </x:c>
      <x:c r="D19" s="53" t="n">
        <x:v>90.36154629976603</x:v>
      </x:c>
      <x:c r="E19" s="50" t="n">
        <x:v>1</x:v>
      </x:c>
      <x:c r="F19" s="29" t="str">
        <x:v>RELATIVE SALIENCE ONLY</x:v>
      </x:c>
    </x:row>
    <x:row r="20" ht="32.400001525878906" hidden="0" customHeight="1">
      <x:c r="A20" s="27" t="str">
        <x:v>SCA-01</x:v>
      </x:c>
      <x:c r="B20" s="27" t="str">
        <x:v>VLCN</x:v>
      </x:c>
      <x:c r="C20" s="27" t="str">
        <x:v>Volcanic activity</x:v>
      </x:c>
      <x:c r="D20" s="52" t="n">
        <x:v>25.686021465971276</x:v>
      </x:c>
      <x:c r="E20" s="49" t="n">
        <x:v>1</x:v>
      </x:c>
      <x:c r="F20" s="27" t="str">
        <x:v>RELATIVE SALIENCE ONLY</x:v>
      </x:c>
    </x:row>
    <x:row r="21" ht="32.400001525878906" hidden="0" customHeight="1">
      <x:c r="A21" s="29" t="str">
        <x:v>SCA-01</x:v>
      </x:c>
      <x:c r="B21" s="29" t="str">
        <x:v>WFIR</x:v>
      </x:c>
      <x:c r="C21" s="29" t="str">
        <x:v>Wildfire</x:v>
      </x:c>
      <x:c r="D21" s="53" t="n">
        <x:v>98.15489360595788</x:v>
      </x:c>
      <x:c r="E21" s="50" t="n">
        <x:v>1</x:v>
      </x:c>
      <x:c r="F21" s="29" t="str">
        <x:v>RELATIVE SALIENCE ONLY</x:v>
      </x:c>
    </x:row>
    <x:row r="22" ht="32.400001525878906" hidden="0" customHeight="1">
      <x:c r="A22" s="27" t="str">
        <x:v>SCA-01</x:v>
      </x:c>
      <x:c r="B22" s="27" t="str">
        <x:v>WNTW</x:v>
      </x:c>
      <x:c r="C22" s="27" t="str">
        <x:v>Winter weather</x:v>
      </x:c>
      <x:c r="D22" s="52" t="n">
        <x:v>0.41740868773639084</x:v>
      </x:c>
      <x:c r="E22" s="49" t="n">
        <x:v>0.9487151212294636</x:v>
      </x:c>
      <x:c r="F22" s="27" t="str">
        <x:v>RELATIVE SALIENCE ONLY</x:v>
      </x:c>
    </x:row>
    <x:row r="23" ht="32.400001525878906" hidden="0" customHeight="1">
      <x:c r="A23" s="29" t="str">
        <x:v>SCA-02</x:v>
      </x:c>
      <x:c r="B23" s="29" t="str">
        <x:v>AVLN</x:v>
      </x:c>
      <x:c r="C23" s="29" t="str">
        <x:v>Avalanche</x:v>
      </x:c>
      <x:c r="D23" s="53" t="n">
        <x:v>89.69739518429105</x:v>
      </x:c>
      <x:c r="E23" s="50" t="n">
        <x:v>0.9988511671436516</x:v>
      </x:c>
      <x:c r="F23" s="29" t="str">
        <x:v>RELATIVE SALIENCE ONLY</x:v>
      </x:c>
    </x:row>
    <x:row r="24" ht="32.400001525878906" hidden="0" customHeight="1">
      <x:c r="A24" s="27" t="str">
        <x:v>SCA-02</x:v>
      </x:c>
      <x:c r="B24" s="27" t="str">
        <x:v>CFLD</x:v>
      </x:c>
      <x:c r="C24" s="27" t="str">
        <x:v>Coastal flood</x:v>
      </x:c>
      <x:c r="D24" s="52" t="n">
        <x:v>19.318296937958387</x:v>
      </x:c>
      <x:c r="E24" s="49" t="n">
        <x:v>0.8536682626446214</x:v>
      </x:c>
      <x:c r="F24" s="27" t="str">
        <x:v>RELATIVE SALIENCE ONLY</x:v>
      </x:c>
    </x:row>
    <x:row r="25" ht="32.400001525878906" hidden="0" customHeight="1">
      <x:c r="A25" s="29" t="str">
        <x:v>SCA-02</x:v>
      </x:c>
      <x:c r="B25" s="29" t="str">
        <x:v>CWAV</x:v>
      </x:c>
      <x:c r="C25" s="29" t="str">
        <x:v>Cold wave</x:v>
      </x:c>
      <x:c r="D25" s="53" t="n">
        <x:v>44.620283184187755</x:v>
      </x:c>
      <x:c r="E25" s="50" t="n">
        <x:v>1</x:v>
      </x:c>
      <x:c r="F25" s="29" t="str">
        <x:v>RELATIVE SALIENCE ONLY</x:v>
      </x:c>
    </x:row>
    <x:row r="26" ht="32.400001525878906" hidden="0" customHeight="1">
      <x:c r="A26" s="27" t="str">
        <x:v>SCA-02</x:v>
      </x:c>
      <x:c r="B26" s="27" t="str">
        <x:v>DRGT</x:v>
      </x:c>
      <x:c r="C26" s="27" t="str">
        <x:v>Drought</x:v>
      </x:c>
      <x:c r="D26" s="52" t="n">
        <x:v>1.0343087201111343</x:v>
      </x:c>
      <x:c r="E26" s="49" t="n">
        <x:v>1</x:v>
      </x:c>
      <x:c r="F26" s="27" t="str">
        <x:v>RELATIVE SALIENCE ONLY</x:v>
      </x:c>
    </x:row>
    <x:row r="27" ht="32.400001525878906" hidden="0" customHeight="1">
      <x:c r="A27" s="29" t="str">
        <x:v>SCA-02</x:v>
      </x:c>
      <x:c r="B27" s="29" t="str">
        <x:v>ERQK</x:v>
      </x:c>
      <x:c r="C27" s="29" t="str">
        <x:v>Earthquake</x:v>
      </x:c>
      <x:c r="D27" s="53" t="n">
        <x:v>91.01177057469184</x:v>
      </x:c>
      <x:c r="E27" s="50" t="n">
        <x:v>1</x:v>
      </x:c>
      <x:c r="F27" s="29" t="str">
        <x:v>RELATIVE SALIENCE ONLY</x:v>
      </x:c>
    </x:row>
    <x:row r="28" ht="32.400001525878906" hidden="0" customHeight="1">
      <x:c r="A28" s="27" t="str">
        <x:v>SCA-02</x:v>
      </x:c>
      <x:c r="B28" s="27" t="str">
        <x:v>HAIL</x:v>
      </x:c>
      <x:c r="C28" s="27" t="str">
        <x:v>Hail</x:v>
      </x:c>
      <x:c r="D28" s="52" t="n">
        <x:v>3.7509595436517036</x:v>
      </x:c>
      <x:c r="E28" s="49" t="n">
        <x:v>1</x:v>
      </x:c>
      <x:c r="F28" s="27" t="str">
        <x:v>RELATIVE SALIENCE ONLY</x:v>
      </x:c>
    </x:row>
    <x:row r="29" ht="21.600000381469727" hidden="0" customHeight="1">
      <x:c r="A29" s="29" t="str">
        <x:v>SCA-02</x:v>
      </x:c>
      <x:c r="B29" s="29" t="str">
        <x:v>HWAV</x:v>
      </x:c>
      <x:c r="C29" s="29" t="str">
        <x:v>Heat wave</x:v>
      </x:c>
      <x:c r="D29" s="53"/>
      <x:c r="E29" s="50" t="n">
        <x:v>0</x:v>
      </x:c>
      <x:c r="F29" s="29" t="str">
        <x:v>NO COVERAGE</x:v>
      </x:c>
    </x:row>
    <x:row r="30" ht="21.600000381469727" hidden="0" customHeight="1">
      <x:c r="A30" s="27" t="str">
        <x:v>SCA-02</x:v>
      </x:c>
      <x:c r="B30" s="27" t="str">
        <x:v>HRCN</x:v>
      </x:c>
      <x:c r="C30" s="27" t="str">
        <x:v>Hurricane</x:v>
      </x:c>
      <x:c r="D30" s="52"/>
      <x:c r="E30" s="49" t="n">
        <x:v>0</x:v>
      </x:c>
      <x:c r="F30" s="27" t="str">
        <x:v>NO COVERAGE</x:v>
      </x:c>
    </x:row>
    <x:row r="31" ht="32.400001525878906" hidden="0" customHeight="1">
      <x:c r="A31" s="29" t="str">
        <x:v>SCA-02</x:v>
      </x:c>
      <x:c r="B31" s="29" t="str">
        <x:v>ISTM</x:v>
      </x:c>
      <x:c r="C31" s="29" t="str">
        <x:v>Ice storm</x:v>
      </x:c>
      <x:c r="D31" s="53" t="n">
        <x:v>20.52638292333524</x:v>
      </x:c>
      <x:c r="E31" s="50" t="n">
        <x:v>1</x:v>
      </x:c>
      <x:c r="F31" s="29" t="str">
        <x:v>RELATIVE SALIENCE ONLY</x:v>
      </x:c>
    </x:row>
    <x:row r="32" ht="32.400001525878906" hidden="0" customHeight="1">
      <x:c r="A32" s="27" t="str">
        <x:v>SCA-02</x:v>
      </x:c>
      <x:c r="B32" s="27" t="str">
        <x:v>LNDS</x:v>
      </x:c>
      <x:c r="C32" s="27" t="str">
        <x:v>Landslide</x:v>
      </x:c>
      <x:c r="D32" s="52" t="n">
        <x:v>94.22545387941919</x:v>
      </x:c>
      <x:c r="E32" s="49" t="n">
        <x:v>1</x:v>
      </x:c>
      <x:c r="F32" s="27" t="str">
        <x:v>RELATIVE SALIENCE ONLY</x:v>
      </x:c>
    </x:row>
    <x:row r="33" ht="32.400001525878906" hidden="0" customHeight="1">
      <x:c r="A33" s="29" t="str">
        <x:v>SCA-02</x:v>
      </x:c>
      <x:c r="B33" s="29" t="str">
        <x:v>LTNG</x:v>
      </x:c>
      <x:c r="C33" s="29" t="str">
        <x:v>Lightning</x:v>
      </x:c>
      <x:c r="D33" s="53" t="n">
        <x:v>34.24422904511455</x:v>
      </x:c>
      <x:c r="E33" s="50" t="n">
        <x:v>1</x:v>
      </x:c>
      <x:c r="F33" s="29" t="str">
        <x:v>RELATIVE SALIENCE ONLY</x:v>
      </x:c>
    </x:row>
    <x:row r="34" ht="32.400001525878906" hidden="0" customHeight="1">
      <x:c r="A34" s="27" t="str">
        <x:v>SCA-02</x:v>
      </x:c>
      <x:c r="B34" s="27" t="str">
        <x:v>IFLD</x:v>
      </x:c>
      <x:c r="C34" s="27" t="str">
        <x:v>Inland flood</x:v>
      </x:c>
      <x:c r="D34" s="52" t="n">
        <x:v>19.143217468156973</x:v>
      </x:c>
      <x:c r="E34" s="49" t="n">
        <x:v>1</x:v>
      </x:c>
      <x:c r="F34" s="27" t="str">
        <x:v>RELATIVE SALIENCE ONLY</x:v>
      </x:c>
    </x:row>
    <x:row r="35" ht="32.400001525878906" hidden="0" customHeight="1">
      <x:c r="A35" s="29" t="str">
        <x:v>SCA-02</x:v>
      </x:c>
      <x:c r="B35" s="29" t="str">
        <x:v>SWND</x:v>
      </x:c>
      <x:c r="C35" s="29" t="str">
        <x:v>Strong wind</x:v>
      </x:c>
      <x:c r="D35" s="53" t="n">
        <x:v>0.2243202701831953</x:v>
      </x:c>
      <x:c r="E35" s="50" t="n">
        <x:v>1</x:v>
      </x:c>
      <x:c r="F35" s="29" t="str">
        <x:v>RELATIVE SALIENCE ONLY</x:v>
      </x:c>
    </x:row>
    <x:row r="36" ht="32.400001525878906" hidden="0" customHeight="1">
      <x:c r="A36" s="27" t="str">
        <x:v>SCA-02</x:v>
      </x:c>
      <x:c r="B36" s="27" t="str">
        <x:v>TRND</x:v>
      </x:c>
      <x:c r="C36" s="27" t="str">
        <x:v>Tornado</x:v>
      </x:c>
      <x:c r="D36" s="52" t="n">
        <x:v>0.6114632601512403</x:v>
      </x:c>
      <x:c r="E36" s="49" t="n">
        <x:v>1</x:v>
      </x:c>
      <x:c r="F36" s="27" t="str">
        <x:v>RELATIVE SALIENCE ONLY</x:v>
      </x:c>
    </x:row>
    <x:row r="37" ht="32.400001525878906" hidden="0" customHeight="1">
      <x:c r="A37" s="29" t="str">
        <x:v>SCA-02</x:v>
      </x:c>
      <x:c r="B37" s="29" t="str">
        <x:v>TSUN</x:v>
      </x:c>
      <x:c r="C37" s="29" t="str">
        <x:v>Tsunami</x:v>
      </x:c>
      <x:c r="D37" s="53" t="n">
        <x:v>44.39664801457595</x:v>
      </x:c>
      <x:c r="E37" s="50" t="n">
        <x:v>0.7935098403569927</x:v>
      </x:c>
      <x:c r="F37" s="29" t="str">
        <x:v>RELATIVE SALIENCE ONLY</x:v>
      </x:c>
    </x:row>
    <x:row r="38" ht="32.400001525878906" hidden="0" customHeight="1">
      <x:c r="A38" s="27" t="str">
        <x:v>SCA-02</x:v>
      </x:c>
      <x:c r="B38" s="27" t="str">
        <x:v>VLCN</x:v>
      </x:c>
      <x:c r="C38" s="27" t="str">
        <x:v>Volcanic activity</x:v>
      </x:c>
      <x:c r="D38" s="52" t="n">
        <x:v>75.5295880095471</x:v>
      </x:c>
      <x:c r="E38" s="49" t="n">
        <x:v>0.9841496331059177</x:v>
      </x:c>
      <x:c r="F38" s="27" t="str">
        <x:v>RELATIVE SALIENCE ONLY</x:v>
      </x:c>
    </x:row>
    <x:row r="39" ht="32.400001525878906" hidden="0" customHeight="1">
      <x:c r="A39" s="29" t="str">
        <x:v>SCA-02</x:v>
      </x:c>
      <x:c r="B39" s="29" t="str">
        <x:v>WFIR</x:v>
      </x:c>
      <x:c r="C39" s="29" t="str">
        <x:v>Wildfire</x:v>
      </x:c>
      <x:c r="D39" s="53" t="n">
        <x:v>74.70686528158986</x:v>
      </x:c>
      <x:c r="E39" s="50" t="n">
        <x:v>1</x:v>
      </x:c>
      <x:c r="F39" s="29" t="str">
        <x:v>RELATIVE SALIENCE ONLY</x:v>
      </x:c>
    </x:row>
    <x:row r="40" ht="32.400001525878906" hidden="0" customHeight="1">
      <x:c r="A40" s="27" t="str">
        <x:v>SCA-02</x:v>
      </x:c>
      <x:c r="B40" s="27" t="str">
        <x:v>WNTW</x:v>
      </x:c>
      <x:c r="C40" s="27" t="str">
        <x:v>Winter weather</x:v>
      </x:c>
      <x:c r="D40" s="52" t="n">
        <x:v>89.02481337446005</x:v>
      </x:c>
      <x:c r="E40" s="49" t="n">
        <x:v>1</x:v>
      </x:c>
      <x:c r="F40" s="27" t="str">
        <x:v>RELATIVE SALIENCE ONLY</x:v>
      </x:c>
    </x:row>
    <x:row r="41" ht="32.400001525878906" hidden="0" customHeight="1">
      <x:c r="A41" s="29" t="str">
        <x:v>SCA-03</x:v>
      </x:c>
      <x:c r="B41" s="29" t="str">
        <x:v>AVLN</x:v>
      </x:c>
      <x:c r="C41" s="29" t="str">
        <x:v>Avalanche</x:v>
      </x:c>
      <x:c r="D41" s="53" t="n">
        <x:v>62.16225610082143</x:v>
      </x:c>
      <x:c r="E41" s="50" t="n">
        <x:v>0.9966524090122012</x:v>
      </x:c>
      <x:c r="F41" s="29" t="str">
        <x:v>RELATIVE SALIENCE ONLY</x:v>
      </x:c>
    </x:row>
    <x:row r="42" ht="32.400001525878906" hidden="0" customHeight="1">
      <x:c r="A42" s="27" t="str">
        <x:v>SCA-03</x:v>
      </x:c>
      <x:c r="B42" s="27" t="str">
        <x:v>CFLD</x:v>
      </x:c>
      <x:c r="C42" s="27" t="str">
        <x:v>Coastal flood</x:v>
      </x:c>
      <x:c r="D42" s="52" t="n">
        <x:v>56.24622810585447</x:v>
      </x:c>
      <x:c r="E42" s="49" t="n">
        <x:v>0.7549300201833041</x:v>
      </x:c>
      <x:c r="F42" s="27" t="str">
        <x:v>RELATIVE SALIENCE ONLY</x:v>
      </x:c>
    </x:row>
    <x:row r="43" ht="32.400001525878906" hidden="0" customHeight="1">
      <x:c r="A43" s="29" t="str">
        <x:v>SCA-03</x:v>
      </x:c>
      <x:c r="B43" s="29" t="str">
        <x:v>CWAV</x:v>
      </x:c>
      <x:c r="C43" s="29" t="str">
        <x:v>Cold wave</x:v>
      </x:c>
      <x:c r="D43" s="53" t="n">
        <x:v>59.017470358151414</x:v>
      </x:c>
      <x:c r="E43" s="50" t="n">
        <x:v>1</x:v>
      </x:c>
      <x:c r="F43" s="29" t="str">
        <x:v>RELATIVE SALIENCE ONLY</x:v>
      </x:c>
    </x:row>
    <x:row r="44" ht="32.400001525878906" hidden="0" customHeight="1">
      <x:c r="A44" s="27" t="str">
        <x:v>SCA-03</x:v>
      </x:c>
      <x:c r="B44" s="27" t="str">
        <x:v>DRGT</x:v>
      </x:c>
      <x:c r="C44" s="27" t="str">
        <x:v>Drought</x:v>
      </x:c>
      <x:c r="D44" s="52" t="n">
        <x:v>13.757781680021687</x:v>
      </x:c>
      <x:c r="E44" s="49" t="n">
        <x:v>1</x:v>
      </x:c>
      <x:c r="F44" s="27" t="str">
        <x:v>RELATIVE SALIENCE ONLY</x:v>
      </x:c>
    </x:row>
    <x:row r="45" ht="32.400001525878906" hidden="0" customHeight="1">
      <x:c r="A45" s="29" t="str">
        <x:v>SCA-03</x:v>
      </x:c>
      <x:c r="B45" s="29" t="str">
        <x:v>ERQK</x:v>
      </x:c>
      <x:c r="C45" s="29" t="str">
        <x:v>Earthquake</x:v>
      </x:c>
      <x:c r="D45" s="53" t="n">
        <x:v>95.50372503034119</x:v>
      </x:c>
      <x:c r="E45" s="50" t="n">
        <x:v>1</x:v>
      </x:c>
      <x:c r="F45" s="29" t="str">
        <x:v>RELATIVE SALIENCE ONLY</x:v>
      </x:c>
    </x:row>
    <x:row r="46" ht="32.400001525878906" hidden="0" customHeight="1">
      <x:c r="A46" s="27" t="str">
        <x:v>SCA-03</x:v>
      </x:c>
      <x:c r="B46" s="27" t="str">
        <x:v>HAIL</x:v>
      </x:c>
      <x:c r="C46" s="27" t="str">
        <x:v>Hail</x:v>
      </x:c>
      <x:c r="D46" s="52" t="n">
        <x:v>20.922878430926747</x:v>
      </x:c>
      <x:c r="E46" s="49" t="n">
        <x:v>1</x:v>
      </x:c>
      <x:c r="F46" s="27" t="str">
        <x:v>RELATIVE SALIENCE ONLY</x:v>
      </x:c>
    </x:row>
    <x:row r="47" ht="32.400001525878906" hidden="0" customHeight="1">
      <x:c r="A47" s="29" t="str">
        <x:v>SCA-03</x:v>
      </x:c>
      <x:c r="B47" s="29" t="str">
        <x:v>HWAV</x:v>
      </x:c>
      <x:c r="C47" s="29" t="str">
        <x:v>Heat wave</x:v>
      </x:c>
      <x:c r="D47" s="53" t="n">
        <x:v>88.96481509776075</x:v>
      </x:c>
      <x:c r="E47" s="50" t="n">
        <x:v>1</x:v>
      </x:c>
      <x:c r="F47" s="29" t="str">
        <x:v>RELATIVE SALIENCE ONLY</x:v>
      </x:c>
    </x:row>
    <x:row r="48" ht="21.600000381469727" hidden="0" customHeight="1">
      <x:c r="A48" s="27" t="str">
        <x:v>SCA-03</x:v>
      </x:c>
      <x:c r="B48" s="27" t="str">
        <x:v>HRCN</x:v>
      </x:c>
      <x:c r="C48" s="27" t="str">
        <x:v>Hurricane</x:v>
      </x:c>
      <x:c r="D48" s="52"/>
      <x:c r="E48" s="49" t="n">
        <x:v>0</x:v>
      </x:c>
      <x:c r="F48" s="27" t="str">
        <x:v>NO COVERAGE</x:v>
      </x:c>
    </x:row>
    <x:row r="49" ht="32.400001525878906" hidden="0" customHeight="1">
      <x:c r="A49" s="29" t="str">
        <x:v>SCA-03</x:v>
      </x:c>
      <x:c r="B49" s="29" t="str">
        <x:v>ISTM</x:v>
      </x:c>
      <x:c r="C49" s="29" t="str">
        <x:v>Ice storm</x:v>
      </x:c>
      <x:c r="D49" s="53" t="n">
        <x:v>79.4107339198919</x:v>
      </x:c>
      <x:c r="E49" s="50" t="n">
        <x:v>1</x:v>
      </x:c>
      <x:c r="F49" s="29" t="str">
        <x:v>RELATIVE SALIENCE ONLY</x:v>
      </x:c>
    </x:row>
    <x:row r="50" ht="32.400001525878906" hidden="0" customHeight="1">
      <x:c r="A50" s="27" t="str">
        <x:v>SCA-03</x:v>
      </x:c>
      <x:c r="B50" s="27" t="str">
        <x:v>LNDS</x:v>
      </x:c>
      <x:c r="C50" s="27" t="str">
        <x:v>Landslide</x:v>
      </x:c>
      <x:c r="D50" s="52" t="n">
        <x:v>90.96019076521041</x:v>
      </x:c>
      <x:c r="E50" s="49" t="n">
        <x:v>1</x:v>
      </x:c>
      <x:c r="F50" s="27" t="str">
        <x:v>RELATIVE SALIENCE ONLY</x:v>
      </x:c>
    </x:row>
    <x:row r="51" ht="32.400001525878906" hidden="0" customHeight="1">
      <x:c r="A51" s="29" t="str">
        <x:v>SCA-03</x:v>
      </x:c>
      <x:c r="B51" s="29" t="str">
        <x:v>LTNG</x:v>
      </x:c>
      <x:c r="C51" s="29" t="str">
        <x:v>Lightning</x:v>
      </x:c>
      <x:c r="D51" s="53" t="n">
        <x:v>64.78608546307353</x:v>
      </x:c>
      <x:c r="E51" s="50" t="n">
        <x:v>1</x:v>
      </x:c>
      <x:c r="F51" s="29" t="str">
        <x:v>RELATIVE SALIENCE ONLY</x:v>
      </x:c>
    </x:row>
    <x:row r="52" ht="32.400001525878906" hidden="0" customHeight="1">
      <x:c r="A52" s="27" t="str">
        <x:v>SCA-03</x:v>
      </x:c>
      <x:c r="B52" s="27" t="str">
        <x:v>IFLD</x:v>
      </x:c>
      <x:c r="C52" s="27" t="str">
        <x:v>Inland flood</x:v>
      </x:c>
      <x:c r="D52" s="52" t="n">
        <x:v>90.60917882165391</x:v>
      </x:c>
      <x:c r="E52" s="49" t="n">
        <x:v>1</x:v>
      </x:c>
      <x:c r="F52" s="27" t="str">
        <x:v>RELATIVE SALIENCE ONLY</x:v>
      </x:c>
    </x:row>
    <x:row r="53" ht="32.400001525878906" hidden="0" customHeight="1">
      <x:c r="A53" s="29" t="str">
        <x:v>SCA-03</x:v>
      </x:c>
      <x:c r="B53" s="29" t="str">
        <x:v>SWND</x:v>
      </x:c>
      <x:c r="C53" s="29" t="str">
        <x:v>Strong wind</x:v>
      </x:c>
      <x:c r="D53" s="53" t="n">
        <x:v>38.0728939421846</x:v>
      </x:c>
      <x:c r="E53" s="50" t="n">
        <x:v>1</x:v>
      </x:c>
      <x:c r="F53" s="29" t="str">
        <x:v>RELATIVE SALIENCE ONLY</x:v>
      </x:c>
    </x:row>
    <x:row r="54" ht="32.400001525878906" hidden="0" customHeight="1">
      <x:c r="A54" s="27" t="str">
        <x:v>SCA-03</x:v>
      </x:c>
      <x:c r="B54" s="27" t="str">
        <x:v>TRND</x:v>
      </x:c>
      <x:c r="C54" s="27" t="str">
        <x:v>Tornado</x:v>
      </x:c>
      <x:c r="D54" s="52" t="n">
        <x:v>37.46196925173956</x:v>
      </x:c>
      <x:c r="E54" s="49" t="n">
        <x:v>1</x:v>
      </x:c>
      <x:c r="F54" s="27" t="str">
        <x:v>RELATIVE SALIENCE ONLY</x:v>
      </x:c>
    </x:row>
    <x:row r="55" ht="32.400001525878906" hidden="0" customHeight="1">
      <x:c r="A55" s="29" t="str">
        <x:v>SCA-03</x:v>
      </x:c>
      <x:c r="B55" s="29" t="str">
        <x:v>TSUN</x:v>
      </x:c>
      <x:c r="C55" s="29" t="str">
        <x:v>Tsunami</x:v>
      </x:c>
      <x:c r="D55" s="53" t="n">
        <x:v>48.29076180799352</x:v>
      </x:c>
      <x:c r="E55" s="50" t="n">
        <x:v>0.5172245734317666</x:v>
      </x:c>
      <x:c r="F55" s="29" t="str">
        <x:v>RELATIVE SALIENCE ONLY</x:v>
      </x:c>
    </x:row>
    <x:row r="56" ht="32.400001525878906" hidden="0" customHeight="1">
      <x:c r="A56" s="27" t="str">
        <x:v>SCA-03</x:v>
      </x:c>
      <x:c r="B56" s="27" t="str">
        <x:v>VLCN</x:v>
      </x:c>
      <x:c r="C56" s="27" t="str">
        <x:v>Volcanic activity</x:v>
      </x:c>
      <x:c r="D56" s="52" t="n">
        <x:v>89.75415903968334</x:v>
      </x:c>
      <x:c r="E56" s="49" t="n">
        <x:v>0.9050463941937323</x:v>
      </x:c>
      <x:c r="F56" s="27" t="str">
        <x:v>RELATIVE SALIENCE ONLY</x:v>
      </x:c>
    </x:row>
    <x:row r="57" ht="32.400001525878906" hidden="0" customHeight="1">
      <x:c r="A57" s="29" t="str">
        <x:v>SCA-03</x:v>
      </x:c>
      <x:c r="B57" s="29" t="str">
        <x:v>WFIR</x:v>
      </x:c>
      <x:c r="C57" s="29" t="str">
        <x:v>Wildfire</x:v>
      </x:c>
      <x:c r="D57" s="53" t="n">
        <x:v>71.98242103727581</x:v>
      </x:c>
      <x:c r="E57" s="50" t="n">
        <x:v>1</x:v>
      </x:c>
      <x:c r="F57" s="29" t="str">
        <x:v>RELATIVE SALIENCE ONLY</x:v>
      </x:c>
    </x:row>
    <x:row r="58" ht="32.400001525878906" hidden="0" customHeight="1">
      <x:c r="A58" s="27" t="str">
        <x:v>SCA-03</x:v>
      </x:c>
      <x:c r="B58" s="27" t="str">
        <x:v>WNTW</x:v>
      </x:c>
      <x:c r="C58" s="27" t="str">
        <x:v>Winter weather</x:v>
      </x:c>
      <x:c r="D58" s="52" t="n">
        <x:v>78.69784672878467</x:v>
      </x:c>
      <x:c r="E58" s="49" t="n">
        <x:v>1</x:v>
      </x:c>
      <x:c r="F58" s="27" t="str">
        <x:v>RELATIVE SALIENCE ONLY</x:v>
      </x:c>
    </x:row>
    <x:row r="59" ht="32.400001525878906" hidden="0" customHeight="1">
      <x:c r="A59" s="29" t="str">
        <x:v>SCA-04</x:v>
      </x:c>
      <x:c r="B59" s="29" t="str">
        <x:v>AVLN</x:v>
      </x:c>
      <x:c r="C59" s="29" t="str">
        <x:v>Avalanche</x:v>
      </x:c>
      <x:c r="D59" s="53" t="n">
        <x:v>25.279898664484193</x:v>
      </x:c>
      <x:c r="E59" s="50" t="n">
        <x:v>0.7814515257890666</x:v>
      </x:c>
      <x:c r="F59" s="29" t="str">
        <x:v>RELATIVE SALIENCE ONLY</x:v>
      </x:c>
    </x:row>
    <x:row r="60" ht="32.400001525878906" hidden="0" customHeight="1">
      <x:c r="A60" s="27" t="str">
        <x:v>SCA-04</x:v>
      </x:c>
      <x:c r="B60" s="27" t="str">
        <x:v>CFLD</x:v>
      </x:c>
      <x:c r="C60" s="27" t="str">
        <x:v>Coastal flood</x:v>
      </x:c>
      <x:c r="D60" s="52" t="n">
        <x:v>65.64245224208312</x:v>
      </x:c>
      <x:c r="E60" s="49" t="n">
        <x:v>0.6295522290402685</x:v>
      </x:c>
      <x:c r="F60" s="27" t="str">
        <x:v>RELATIVE SALIENCE ONLY</x:v>
      </x:c>
    </x:row>
    <x:row r="61" ht="32.400001525878906" hidden="0" customHeight="1">
      <x:c r="A61" s="29" t="str">
        <x:v>SCA-04</x:v>
      </x:c>
      <x:c r="B61" s="29" t="str">
        <x:v>CWAV</x:v>
      </x:c>
      <x:c r="C61" s="29" t="str">
        <x:v>Cold wave</x:v>
      </x:c>
      <x:c r="D61" s="53" t="n">
        <x:v>0.27255906890873965</x:v>
      </x:c>
      <x:c r="E61" s="50" t="n">
        <x:v>1</x:v>
      </x:c>
      <x:c r="F61" s="29" t="str">
        <x:v>RELATIVE SALIENCE ONLY</x:v>
      </x:c>
    </x:row>
    <x:row r="62" ht="32.400001525878906" hidden="0" customHeight="1">
      <x:c r="A62" s="27" t="str">
        <x:v>SCA-04</x:v>
      </x:c>
      <x:c r="B62" s="27" t="str">
        <x:v>DRGT</x:v>
      </x:c>
      <x:c r="C62" s="27" t="str">
        <x:v>Drought</x:v>
      </x:c>
      <x:c r="D62" s="52" t="n">
        <x:v>89.22321706909106</x:v>
      </x:c>
      <x:c r="E62" s="49" t="n">
        <x:v>1</x:v>
      </x:c>
      <x:c r="F62" s="27" t="str">
        <x:v>RELATIVE SALIENCE ONLY</x:v>
      </x:c>
    </x:row>
    <x:row r="63" ht="32.400001525878906" hidden="0" customHeight="1">
      <x:c r="A63" s="29" t="str">
        <x:v>SCA-04</x:v>
      </x:c>
      <x:c r="B63" s="29" t="str">
        <x:v>ERQK</x:v>
      </x:c>
      <x:c r="C63" s="29" t="str">
        <x:v>Earthquake</x:v>
      </x:c>
      <x:c r="D63" s="53" t="n">
        <x:v>98.3662527164359</x:v>
      </x:c>
      <x:c r="E63" s="50" t="n">
        <x:v>1</x:v>
      </x:c>
      <x:c r="F63" s="29" t="str">
        <x:v>RELATIVE SALIENCE ONLY</x:v>
      </x:c>
    </x:row>
    <x:row r="64" ht="32.400001525878906" hidden="0" customHeight="1">
      <x:c r="A64" s="27" t="str">
        <x:v>SCA-04</x:v>
      </x:c>
      <x:c r="B64" s="27" t="str">
        <x:v>HAIL</x:v>
      </x:c>
      <x:c r="C64" s="27" t="str">
        <x:v>Hail</x:v>
      </x:c>
      <x:c r="D64" s="52" t="n">
        <x:v>37.93792409976118</x:v>
      </x:c>
      <x:c r="E64" s="49" t="n">
        <x:v>1</x:v>
      </x:c>
      <x:c r="F64" s="27" t="str">
        <x:v>RELATIVE SALIENCE ONLY</x:v>
      </x:c>
    </x:row>
    <x:row r="65" ht="32.400001525878906" hidden="0" customHeight="1">
      <x:c r="A65" s="29" t="str">
        <x:v>SCA-04</x:v>
      </x:c>
      <x:c r="B65" s="29" t="str">
        <x:v>HWAV</x:v>
      </x:c>
      <x:c r="C65" s="29" t="str">
        <x:v>Heat wave</x:v>
      </x:c>
      <x:c r="D65" s="53" t="n">
        <x:v>89.18599890886472</x:v>
      </x:c>
      <x:c r="E65" s="50" t="n">
        <x:v>1</x:v>
      </x:c>
      <x:c r="F65" s="29" t="str">
        <x:v>RELATIVE SALIENCE ONLY</x:v>
      </x:c>
    </x:row>
    <x:row r="66" ht="21.600000381469727" hidden="0" customHeight="1">
      <x:c r="A66" s="27" t="str">
        <x:v>SCA-04</x:v>
      </x:c>
      <x:c r="B66" s="27" t="str">
        <x:v>HRCN</x:v>
      </x:c>
      <x:c r="C66" s="27" t="str">
        <x:v>Hurricane</x:v>
      </x:c>
      <x:c r="D66" s="52"/>
      <x:c r="E66" s="49" t="n">
        <x:v>0</x:v>
      </x:c>
      <x:c r="F66" s="27" t="str">
        <x:v>NO COVERAGE</x:v>
      </x:c>
    </x:row>
    <x:row r="67" ht="32.400001525878906" hidden="0" customHeight="1">
      <x:c r="A67" s="29" t="str">
        <x:v>SCA-04</x:v>
      </x:c>
      <x:c r="B67" s="29" t="str">
        <x:v>ISTM</x:v>
      </x:c>
      <x:c r="C67" s="29" t="str">
        <x:v>Ice storm</x:v>
      </x:c>
      <x:c r="D67" s="53" t="n">
        <x:v>52.86458118801144</x:v>
      </x:c>
      <x:c r="E67" s="50" t="n">
        <x:v>0.057963071441754464</x:v>
      </x:c>
      <x:c r="F67" s="29" t="str">
        <x:v>RELATIVE SALIENCE ONLY</x:v>
      </x:c>
    </x:row>
    <x:row r="68" ht="32.400001525878906" hidden="0" customHeight="1">
      <x:c r="A68" s="27" t="str">
        <x:v>SCA-04</x:v>
      </x:c>
      <x:c r="B68" s="27" t="str">
        <x:v>LNDS</x:v>
      </x:c>
      <x:c r="C68" s="27" t="str">
        <x:v>Landslide</x:v>
      </x:c>
      <x:c r="D68" s="52" t="n">
        <x:v>91.52003428391409</x:v>
      </x:c>
      <x:c r="E68" s="49" t="n">
        <x:v>1</x:v>
      </x:c>
      <x:c r="F68" s="27" t="str">
        <x:v>RELATIVE SALIENCE ONLY</x:v>
      </x:c>
    </x:row>
    <x:row r="69" ht="32.400001525878906" hidden="0" customHeight="1">
      <x:c r="A69" s="29" t="str">
        <x:v>SCA-04</x:v>
      </x:c>
      <x:c r="B69" s="29" t="str">
        <x:v>LTNG</x:v>
      </x:c>
      <x:c r="C69" s="29" t="str">
        <x:v>Lightning</x:v>
      </x:c>
      <x:c r="D69" s="53" t="n">
        <x:v>62.86590215173147</x:v>
      </x:c>
      <x:c r="E69" s="50" t="n">
        <x:v>1</x:v>
      </x:c>
      <x:c r="F69" s="29" t="str">
        <x:v>RELATIVE SALIENCE ONLY</x:v>
      </x:c>
    </x:row>
    <x:row r="70" ht="32.400001525878906" hidden="0" customHeight="1">
      <x:c r="A70" s="27" t="str">
        <x:v>SCA-04</x:v>
      </x:c>
      <x:c r="B70" s="27" t="str">
        <x:v>IFLD</x:v>
      </x:c>
      <x:c r="C70" s="27" t="str">
        <x:v>Inland flood</x:v>
      </x:c>
      <x:c r="D70" s="52" t="n">
        <x:v>96.11316061761417</x:v>
      </x:c>
      <x:c r="E70" s="49" t="n">
        <x:v>1</x:v>
      </x:c>
      <x:c r="F70" s="27" t="str">
        <x:v>RELATIVE SALIENCE ONLY</x:v>
      </x:c>
    </x:row>
    <x:row r="71" ht="32.400001525878906" hidden="0" customHeight="1">
      <x:c r="A71" s="29" t="str">
        <x:v>SCA-04</x:v>
      </x:c>
      <x:c r="B71" s="29" t="str">
        <x:v>SWND</x:v>
      </x:c>
      <x:c r="C71" s="29" t="str">
        <x:v>Strong wind</x:v>
      </x:c>
      <x:c r="D71" s="53" t="n">
        <x:v>17.524513087391643</x:v>
      </x:c>
      <x:c r="E71" s="50" t="n">
        <x:v>1</x:v>
      </x:c>
      <x:c r="F71" s="29" t="str">
        <x:v>RELATIVE SALIENCE ONLY</x:v>
      </x:c>
    </x:row>
    <x:row r="72" ht="32.400001525878906" hidden="0" customHeight="1">
      <x:c r="A72" s="27" t="str">
        <x:v>SCA-04</x:v>
      </x:c>
      <x:c r="B72" s="27" t="str">
        <x:v>TRND</x:v>
      </x:c>
      <x:c r="C72" s="27" t="str">
        <x:v>Tornado</x:v>
      </x:c>
      <x:c r="D72" s="52" t="n">
        <x:v>40.15644133897532</x:v>
      </x:c>
      <x:c r="E72" s="49" t="n">
        <x:v>1</x:v>
      </x:c>
      <x:c r="F72" s="27" t="str">
        <x:v>RELATIVE SALIENCE ONLY</x:v>
      </x:c>
    </x:row>
    <x:row r="73" ht="32.400001525878906" hidden="0" customHeight="1">
      <x:c r="A73" s="29" t="str">
        <x:v>SCA-04</x:v>
      </x:c>
      <x:c r="B73" s="29" t="str">
        <x:v>TSUN</x:v>
      </x:c>
      <x:c r="C73" s="29" t="str">
        <x:v>Tsunami</x:v>
      </x:c>
      <x:c r="D73" s="53" t="n">
        <x:v>46.42481611835439</x:v>
      </x:c>
      <x:c r="E73" s="50" t="n">
        <x:v>0.5296501891611787</x:v>
      </x:c>
      <x:c r="F73" s="29" t="str">
        <x:v>RELATIVE SALIENCE ONLY</x:v>
      </x:c>
    </x:row>
    <x:row r="74" ht="32.400001525878906" hidden="0" customHeight="1">
      <x:c r="A74" s="27" t="str">
        <x:v>SCA-04</x:v>
      </x:c>
      <x:c r="B74" s="27" t="str">
        <x:v>VLCN</x:v>
      </x:c>
      <x:c r="C74" s="27" t="str">
        <x:v>Volcanic activity</x:v>
      </x:c>
      <x:c r="D74" s="52" t="n">
        <x:v>61.83367405333604</x:v>
      </x:c>
      <x:c r="E74" s="49" t="n">
        <x:v>0.9039989580549206</x:v>
      </x:c>
      <x:c r="F74" s="27" t="str">
        <x:v>RELATIVE SALIENCE ONLY</x:v>
      </x:c>
    </x:row>
    <x:row r="75" ht="32.400001525878906" hidden="0" customHeight="1">
      <x:c r="A75" s="29" t="str">
        <x:v>SCA-04</x:v>
      </x:c>
      <x:c r="B75" s="29" t="str">
        <x:v>WFIR</x:v>
      </x:c>
      <x:c r="C75" s="29" t="str">
        <x:v>Wildfire</x:v>
      </x:c>
      <x:c r="D75" s="53" t="n">
        <x:v>92.89331289874886</x:v>
      </x:c>
      <x:c r="E75" s="50" t="n">
        <x:v>1</x:v>
      </x:c>
      <x:c r="F75" s="29" t="str">
        <x:v>RELATIVE SALIENCE ONLY</x:v>
      </x:c>
    </x:row>
    <x:row r="76" ht="32.400001525878906" hidden="0" customHeight="1">
      <x:c r="A76" s="27" t="str">
        <x:v>SCA-04</x:v>
      </x:c>
      <x:c r="B76" s="27" t="str">
        <x:v>WNTW</x:v>
      </x:c>
      <x:c r="C76" s="27" t="str">
        <x:v>Winter weather</x:v>
      </x:c>
      <x:c r="D76" s="52" t="n">
        <x:v>20.73877969356774</x:v>
      </x:c>
      <x:c r="E76" s="49" t="n">
        <x:v>1</x:v>
      </x:c>
      <x:c r="F76" s="27" t="str">
        <x:v>RELATIVE SALIENCE ONLY</x:v>
      </x:c>
    </x:row>
    <x:row r="77" ht="32.400001525878906" hidden="0" customHeight="1">
      <x:c r="A77" s="29" t="str">
        <x:v>SCA-05</x:v>
      </x:c>
      <x:c r="B77" s="29" t="str">
        <x:v>AVLN</x:v>
      </x:c>
      <x:c r="C77" s="29" t="str">
        <x:v>Avalanche</x:v>
      </x:c>
      <x:c r="D77" s="53" t="n">
        <x:v>66.97666461275644</x:v>
      </x:c>
      <x:c r="E77" s="50" t="n">
        <x:v>1</x:v>
      </x:c>
      <x:c r="F77" s="29" t="str">
        <x:v>RELATIVE SALIENCE ONLY</x:v>
      </x:c>
    </x:row>
    <x:row r="78" ht="32.400001525878906" hidden="0" customHeight="1">
      <x:c r="A78" s="27" t="str">
        <x:v>SCA-05</x:v>
      </x:c>
      <x:c r="B78" s="27" t="str">
        <x:v>CFLD</x:v>
      </x:c>
      <x:c r="C78" s="27" t="str">
        <x:v>Coastal flood</x:v>
      </x:c>
      <x:c r="D78" s="52" t="n">
        <x:v>86.78325610963098</x:v>
      </x:c>
      <x:c r="E78" s="49" t="n">
        <x:v>0.9018843167140217</x:v>
      </x:c>
      <x:c r="F78" s="27" t="str">
        <x:v>RELATIVE SALIENCE ONLY</x:v>
      </x:c>
    </x:row>
    <x:row r="79" ht="32.400001525878906" hidden="0" customHeight="1">
      <x:c r="A79" s="29" t="str">
        <x:v>SCA-05</x:v>
      </x:c>
      <x:c r="B79" s="29" t="str">
        <x:v>CWAV</x:v>
      </x:c>
      <x:c r="C79" s="29" t="str">
        <x:v>Cold wave</x:v>
      </x:c>
      <x:c r="D79" s="53" t="n">
        <x:v>4.271896008724355</x:v>
      </x:c>
      <x:c r="E79" s="50" t="n">
        <x:v>1</x:v>
      </x:c>
      <x:c r="F79" s="29" t="str">
        <x:v>RELATIVE SALIENCE ONLY</x:v>
      </x:c>
    </x:row>
    <x:row r="80" ht="32.400001525878906" hidden="0" customHeight="1">
      <x:c r="A80" s="27" t="str">
        <x:v>SCA-05</x:v>
      </x:c>
      <x:c r="B80" s="27" t="str">
        <x:v>DRGT</x:v>
      </x:c>
      <x:c r="C80" s="27" t="str">
        <x:v>Drought</x:v>
      </x:c>
      <x:c r="D80" s="52" t="n">
        <x:v>50.70259918226488</x:v>
      </x:c>
      <x:c r="E80" s="49" t="n">
        <x:v>1</x:v>
      </x:c>
      <x:c r="F80" s="27" t="str">
        <x:v>RELATIVE SALIENCE ONLY</x:v>
      </x:c>
    </x:row>
    <x:row r="81" ht="32.400001525878906" hidden="0" customHeight="1">
      <x:c r="A81" s="29" t="str">
        <x:v>SCA-05</x:v>
      </x:c>
      <x:c r="B81" s="29" t="str">
        <x:v>ERQK</x:v>
      </x:c>
      <x:c r="C81" s="29" t="str">
        <x:v>Earthquake</x:v>
      </x:c>
      <x:c r="D81" s="53" t="n">
        <x:v>99.775370594133</x:v>
      </x:c>
      <x:c r="E81" s="50" t="n">
        <x:v>1</x:v>
      </x:c>
      <x:c r="F81" s="29" t="str">
        <x:v>RELATIVE SALIENCE ONLY</x:v>
      </x:c>
    </x:row>
    <x:row r="82" ht="32.400001525878906" hidden="0" customHeight="1">
      <x:c r="A82" s="27" t="str">
        <x:v>SCA-05</x:v>
      </x:c>
      <x:c r="B82" s="27" t="str">
        <x:v>HAIL</x:v>
      </x:c>
      <x:c r="C82" s="27" t="str">
        <x:v>Hail</x:v>
      </x:c>
      <x:c r="D82" s="52" t="n">
        <x:v>83.13095341147282</x:v>
      </x:c>
      <x:c r="E82" s="49" t="n">
        <x:v>1</x:v>
      </x:c>
      <x:c r="F82" s="27" t="str">
        <x:v>RELATIVE SALIENCE ONLY</x:v>
      </x:c>
    </x:row>
    <x:row r="83" ht="32.400001525878906" hidden="0" customHeight="1">
      <x:c r="A83" s="29" t="str">
        <x:v>SCA-05</x:v>
      </x:c>
      <x:c r="B83" s="29" t="str">
        <x:v>HWAV</x:v>
      </x:c>
      <x:c r="C83" s="29" t="str">
        <x:v>Heat wave</x:v>
      </x:c>
      <x:c r="D83" s="53" t="n">
        <x:v>97.16746665933812</x:v>
      </x:c>
      <x:c r="E83" s="50" t="n">
        <x:v>1</x:v>
      </x:c>
      <x:c r="F83" s="29" t="str">
        <x:v>RELATIVE SALIENCE ONLY</x:v>
      </x:c>
    </x:row>
    <x:row r="84" ht="32.400001525878906" hidden="0" customHeight="1">
      <x:c r="A84" s="27" t="str">
        <x:v>SCA-05</x:v>
      </x:c>
      <x:c r="B84" s="27" t="str">
        <x:v>HRCN</x:v>
      </x:c>
      <x:c r="C84" s="27" t="str">
        <x:v>Hurricane</x:v>
      </x:c>
      <x:c r="D84" s="52" t="n">
        <x:v>0</x:v>
      </x:c>
      <x:c r="E84" s="49" t="n">
        <x:v>0.8841990910209745</x:v>
      </x:c>
      <x:c r="F84" s="27" t="str">
        <x:v>RELATIVE SALIENCE ONLY</x:v>
      </x:c>
    </x:row>
    <x:row r="85" ht="21.600000381469727" hidden="0" customHeight="1">
      <x:c r="A85" s="29" t="str">
        <x:v>SCA-05</x:v>
      </x:c>
      <x:c r="B85" s="29" t="str">
        <x:v>ISTM</x:v>
      </x:c>
      <x:c r="C85" s="29" t="str">
        <x:v>Ice storm</x:v>
      </x:c>
      <x:c r="D85" s="53"/>
      <x:c r="E85" s="50" t="n">
        <x:v>0</x:v>
      </x:c>
      <x:c r="F85" s="29" t="str">
        <x:v>NO COVERAGE</x:v>
      </x:c>
    </x:row>
    <x:row r="86" ht="32.400001525878906" hidden="0" customHeight="1">
      <x:c r="A86" s="27" t="str">
        <x:v>SCA-05</x:v>
      </x:c>
      <x:c r="B86" s="27" t="str">
        <x:v>LNDS</x:v>
      </x:c>
      <x:c r="C86" s="27" t="str">
        <x:v>Landslide</x:v>
      </x:c>
      <x:c r="D86" s="52" t="n">
        <x:v>98.82601866861255</x:v>
      </x:c>
      <x:c r="E86" s="49" t="n">
        <x:v>1</x:v>
      </x:c>
      <x:c r="F86" s="27" t="str">
        <x:v>RELATIVE SALIENCE ONLY</x:v>
      </x:c>
    </x:row>
    <x:row r="87" ht="32.400001525878906" hidden="0" customHeight="1">
      <x:c r="A87" s="29" t="str">
        <x:v>SCA-05</x:v>
      </x:c>
      <x:c r="B87" s="29" t="str">
        <x:v>LTNG</x:v>
      </x:c>
      <x:c r="C87" s="29" t="str">
        <x:v>Lightning</x:v>
      </x:c>
      <x:c r="D87" s="53" t="n">
        <x:v>85.98222794181449</x:v>
      </x:c>
      <x:c r="E87" s="50" t="n">
        <x:v>1</x:v>
      </x:c>
      <x:c r="F87" s="29" t="str">
        <x:v>RELATIVE SALIENCE ONLY</x:v>
      </x:c>
    </x:row>
    <x:row r="88" ht="32.400001525878906" hidden="0" customHeight="1">
      <x:c r="A88" s="27" t="str">
        <x:v>SCA-05</x:v>
      </x:c>
      <x:c r="B88" s="27" t="str">
        <x:v>IFLD</x:v>
      </x:c>
      <x:c r="C88" s="27" t="str">
        <x:v>Inland flood</x:v>
      </x:c>
      <x:c r="D88" s="52" t="n">
        <x:v>99.56270838122227</x:v>
      </x:c>
      <x:c r="E88" s="49" t="n">
        <x:v>1</x:v>
      </x:c>
      <x:c r="F88" s="27" t="str">
        <x:v>RELATIVE SALIENCE ONLY</x:v>
      </x:c>
    </x:row>
    <x:row r="89" ht="32.400001525878906" hidden="0" customHeight="1">
      <x:c r="A89" s="29" t="str">
        <x:v>SCA-05</x:v>
      </x:c>
      <x:c r="B89" s="29" t="str">
        <x:v>SWND</x:v>
      </x:c>
      <x:c r="C89" s="29" t="str">
        <x:v>Strong wind</x:v>
      </x:c>
      <x:c r="D89" s="53" t="n">
        <x:v>62.31227330975845</x:v>
      </x:c>
      <x:c r="E89" s="50" t="n">
        <x:v>1</x:v>
      </x:c>
      <x:c r="F89" s="29" t="str">
        <x:v>RELATIVE SALIENCE ONLY</x:v>
      </x:c>
    </x:row>
    <x:row r="90" ht="32.400001525878906" hidden="0" customHeight="1">
      <x:c r="A90" s="27" t="str">
        <x:v>SCA-05</x:v>
      </x:c>
      <x:c r="B90" s="27" t="str">
        <x:v>TRND</x:v>
      </x:c>
      <x:c r="C90" s="27" t="str">
        <x:v>Tornado</x:v>
      </x:c>
      <x:c r="D90" s="52" t="n">
        <x:v>80.52047636174218</x:v>
      </x:c>
      <x:c r="E90" s="49" t="n">
        <x:v>1</x:v>
      </x:c>
      <x:c r="F90" s="27" t="str">
        <x:v>RELATIVE SALIENCE ONLY</x:v>
      </x:c>
    </x:row>
    <x:row r="91" ht="32.400001525878906" hidden="0" customHeight="1">
      <x:c r="A91" s="29" t="str">
        <x:v>SCA-05</x:v>
      </x:c>
      <x:c r="B91" s="29" t="str">
        <x:v>TSUN</x:v>
      </x:c>
      <x:c r="C91" s="29" t="str">
        <x:v>Tsunami</x:v>
      </x:c>
      <x:c r="D91" s="53" t="n">
        <x:v>60.945862359797786</x:v>
      </x:c>
      <x:c r="E91" s="50" t="n">
        <x:v>0.9018843167140217</x:v>
      </x:c>
      <x:c r="F91" s="29" t="str">
        <x:v>RELATIVE SALIENCE ONLY</x:v>
      </x:c>
    </x:row>
    <x:row r="92" ht="32.400001525878906" hidden="0" customHeight="1">
      <x:c r="A92" s="27" t="str">
        <x:v>SCA-05</x:v>
      </x:c>
      <x:c r="B92" s="27" t="str">
        <x:v>VLCN</x:v>
      </x:c>
      <x:c r="C92" s="27" t="str">
        <x:v>Volcanic activity</x:v>
      </x:c>
      <x:c r="D92" s="52" t="n">
        <x:v>64.30895818545812</x:v>
      </x:c>
      <x:c r="E92" s="49" t="n">
        <x:v>0.08844986601437468</x:v>
      </x:c>
      <x:c r="F92" s="27" t="str">
        <x:v>RELATIVE SALIENCE ONLY</x:v>
      </x:c>
    </x:row>
    <x:row r="93" ht="32.400001525878906" hidden="0" customHeight="1">
      <x:c r="A93" s="29" t="str">
        <x:v>SCA-05</x:v>
      </x:c>
      <x:c r="B93" s="29" t="str">
        <x:v>WFIR</x:v>
      </x:c>
      <x:c r="C93" s="29" t="str">
        <x:v>Wildfire</x:v>
      </x:c>
      <x:c r="D93" s="53" t="n">
        <x:v>99.56233008081641</x:v>
      </x:c>
      <x:c r="E93" s="50" t="n">
        <x:v>1</x:v>
      </x:c>
      <x:c r="F93" s="29" t="str">
        <x:v>RELATIVE SALIENCE ONLY</x:v>
      </x:c>
    </x:row>
    <x:row r="94" ht="32.400001525878906" hidden="0" customHeight="1">
      <x:c r="A94" s="27" t="str">
        <x:v>SCA-05</x:v>
      </x:c>
      <x:c r="B94" s="27" t="str">
        <x:v>WNTW</x:v>
      </x:c>
      <x:c r="C94" s="27" t="str">
        <x:v>Winter weather</x:v>
      </x:c>
      <x:c r="D94" s="52" t="n">
        <x:v>51.34336868955473</x:v>
      </x:c>
      <x:c r="E94" s="49" t="n">
        <x:v>1</x:v>
      </x:c>
      <x:c r="F94" s="27" t="str">
        <x:v>RELATIVE SALIENCE ONLY</x:v>
      </x:c>
    </x:row>
    <x:row r="95" ht="32.400001525878906" hidden="0" customHeight="1">
      <x:c r="A95" s="29" t="str">
        <x:v>SCA-06</x:v>
      </x:c>
      <x:c r="B95" s="29" t="str">
        <x:v>AVLN</x:v>
      </x:c>
      <x:c r="C95" s="29" t="str">
        <x:v>Avalanche</x:v>
      </x:c>
      <x:c r="D95" s="53" t="n">
        <x:v>40.65577719908856</x:v>
      </x:c>
      <x:c r="E95" s="50" t="n">
        <x:v>0.9698079827579751</x:v>
      </x:c>
      <x:c r="F95" s="29" t="str">
        <x:v>RELATIVE SALIENCE ONLY</x:v>
      </x:c>
    </x:row>
    <x:row r="96" ht="32.400001525878906" hidden="0" customHeight="1">
      <x:c r="A96" s="27" t="str">
        <x:v>SCA-06</x:v>
      </x:c>
      <x:c r="B96" s="27" t="str">
        <x:v>CFLD</x:v>
      </x:c>
      <x:c r="C96" s="27" t="str">
        <x:v>Coastal flood</x:v>
      </x:c>
      <x:c r="D96" s="52" t="n">
        <x:v>72.8</x:v>
      </x:c>
      <x:c r="E96" s="49" t="n">
        <x:v>0.5462606358412768</x:v>
      </x:c>
      <x:c r="F96" s="27" t="str">
        <x:v>RELATIVE SALIENCE ONLY</x:v>
      </x:c>
    </x:row>
    <x:row r="97" ht="32.400001525878906" hidden="0" customHeight="1">
      <x:c r="A97" s="29" t="str">
        <x:v>SCA-06</x:v>
      </x:c>
      <x:c r="B97" s="29" t="str">
        <x:v>CWAV</x:v>
      </x:c>
      <x:c r="C97" s="29" t="str">
        <x:v>Cold wave</x:v>
      </x:c>
      <x:c r="D97" s="53" t="n">
        <x:v>7.593716482314465</x:v>
      </x:c>
      <x:c r="E97" s="50" t="n">
        <x:v>1</x:v>
      </x:c>
      <x:c r="F97" s="29" t="str">
        <x:v>RELATIVE SALIENCE ONLY</x:v>
      </x:c>
    </x:row>
    <x:row r="98" ht="32.400001525878906" hidden="0" customHeight="1">
      <x:c r="A98" s="27" t="str">
        <x:v>SCA-06</x:v>
      </x:c>
      <x:c r="B98" s="27" t="str">
        <x:v>DRGT</x:v>
      </x:c>
      <x:c r="C98" s="27" t="str">
        <x:v>Drought</x:v>
      </x:c>
      <x:c r="D98" s="52" t="n">
        <x:v>58.12184307861372</x:v>
      </x:c>
      <x:c r="E98" s="49" t="n">
        <x:v>1</x:v>
      </x:c>
      <x:c r="F98" s="27" t="str">
        <x:v>RELATIVE SALIENCE ONLY</x:v>
      </x:c>
    </x:row>
    <x:row r="99" ht="32.400001525878906" hidden="0" customHeight="1">
      <x:c r="A99" s="29" t="str">
        <x:v>SCA-06</x:v>
      </x:c>
      <x:c r="B99" s="29" t="str">
        <x:v>ERQK</x:v>
      </x:c>
      <x:c r="C99" s="29" t="str">
        <x:v>Earthquake</x:v>
      </x:c>
      <x:c r="D99" s="53" t="n">
        <x:v>99.7214156847658</x:v>
      </x:c>
      <x:c r="E99" s="50" t="n">
        <x:v>1</x:v>
      </x:c>
      <x:c r="F99" s="29" t="str">
        <x:v>RELATIVE SALIENCE ONLY</x:v>
      </x:c>
    </x:row>
    <x:row r="100" ht="32.400001525878906" hidden="0" customHeight="1">
      <x:c r="A100" s="27" t="str">
        <x:v>SCA-06</x:v>
      </x:c>
      <x:c r="B100" s="27" t="str">
        <x:v>HAIL</x:v>
      </x:c>
      <x:c r="C100" s="27" t="str">
        <x:v>Hail</x:v>
      </x:c>
      <x:c r="D100" s="52" t="n">
        <x:v>77.13528103532357</x:v>
      </x:c>
      <x:c r="E100" s="49" t="n">
        <x:v>1</x:v>
      </x:c>
      <x:c r="F100" s="27" t="str">
        <x:v>RELATIVE SALIENCE ONLY</x:v>
      </x:c>
    </x:row>
    <x:row r="101" ht="32.400001525878906" hidden="0" customHeight="1">
      <x:c r="A101" s="29" t="str">
        <x:v>SCA-06</x:v>
      </x:c>
      <x:c r="B101" s="29" t="str">
        <x:v>HWAV</x:v>
      </x:c>
      <x:c r="C101" s="29" t="str">
        <x:v>Heat wave</x:v>
      </x:c>
      <x:c r="D101" s="53" t="n">
        <x:v>98.48071494247553</x:v>
      </x:c>
      <x:c r="E101" s="50" t="n">
        <x:v>1</x:v>
      </x:c>
      <x:c r="F101" s="29" t="str">
        <x:v>RELATIVE SALIENCE ONLY</x:v>
      </x:c>
    </x:row>
    <x:row r="102" ht="32.400001525878906" hidden="0" customHeight="1">
      <x:c r="A102" s="27" t="str">
        <x:v>SCA-06</x:v>
      </x:c>
      <x:c r="B102" s="27" t="str">
        <x:v>HRCN</x:v>
      </x:c>
      <x:c r="C102" s="27" t="str">
        <x:v>Hurricane</x:v>
      </x:c>
      <x:c r="D102" s="52" t="n">
        <x:v>10.280212111889439</x:v>
      </x:c>
      <x:c r="E102" s="49" t="n">
        <x:v>1</x:v>
      </x:c>
      <x:c r="F102" s="27" t="str">
        <x:v>RELATIVE SALIENCE ONLY</x:v>
      </x:c>
    </x:row>
    <x:row r="103" ht="21.600000381469727" hidden="0" customHeight="1">
      <x:c r="A103" s="29" t="str">
        <x:v>SCA-06</x:v>
      </x:c>
      <x:c r="B103" s="29" t="str">
        <x:v>ISTM</x:v>
      </x:c>
      <x:c r="C103" s="29" t="str">
        <x:v>Ice storm</x:v>
      </x:c>
      <x:c r="D103" s="53"/>
      <x:c r="E103" s="50" t="n">
        <x:v>0</x:v>
      </x:c>
      <x:c r="F103" s="29" t="str">
        <x:v>NO COVERAGE</x:v>
      </x:c>
    </x:row>
    <x:row r="104" ht="32.400001525878906" hidden="0" customHeight="1">
      <x:c r="A104" s="27" t="str">
        <x:v>SCA-06</x:v>
      </x:c>
      <x:c r="B104" s="27" t="str">
        <x:v>LNDS</x:v>
      </x:c>
      <x:c r="C104" s="27" t="str">
        <x:v>Landslide</x:v>
      </x:c>
      <x:c r="D104" s="52" t="n">
        <x:v>97.3950235604228</x:v>
      </x:c>
      <x:c r="E104" s="49" t="n">
        <x:v>1</x:v>
      </x:c>
      <x:c r="F104" s="27" t="str">
        <x:v>RELATIVE SALIENCE ONLY</x:v>
      </x:c>
    </x:row>
    <x:row r="105" ht="32.400001525878906" hidden="0" customHeight="1">
      <x:c r="A105" s="29" t="str">
        <x:v>SCA-06</x:v>
      </x:c>
      <x:c r="B105" s="29" t="str">
        <x:v>LTNG</x:v>
      </x:c>
      <x:c r="C105" s="29" t="str">
        <x:v>Lightning</x:v>
      </x:c>
      <x:c r="D105" s="53" t="n">
        <x:v>79.20243824244442</x:v>
      </x:c>
      <x:c r="E105" s="50" t="n">
        <x:v>1</x:v>
      </x:c>
      <x:c r="F105" s="29" t="str">
        <x:v>RELATIVE SALIENCE ONLY</x:v>
      </x:c>
    </x:row>
    <x:row r="106" ht="32.400001525878906" hidden="0" customHeight="1">
      <x:c r="A106" s="27" t="str">
        <x:v>SCA-06</x:v>
      </x:c>
      <x:c r="B106" s="27" t="str">
        <x:v>IFLD</x:v>
      </x:c>
      <x:c r="C106" s="27" t="str">
        <x:v>Inland flood</x:v>
      </x:c>
      <x:c r="D106" s="52" t="n">
        <x:v>99.64293096955295</x:v>
      </x:c>
      <x:c r="E106" s="49" t="n">
        <x:v>1</x:v>
      </x:c>
      <x:c r="F106" s="27" t="str">
        <x:v>RELATIVE SALIENCE ONLY</x:v>
      </x:c>
    </x:row>
    <x:row r="107" ht="32.400001525878906" hidden="0" customHeight="1">
      <x:c r="A107" s="29" t="str">
        <x:v>SCA-06</x:v>
      </x:c>
      <x:c r="B107" s="29" t="str">
        <x:v>SWND</x:v>
      </x:c>
      <x:c r="C107" s="29" t="str">
        <x:v>Strong wind</x:v>
      </x:c>
      <x:c r="D107" s="53" t="n">
        <x:v>52.36738625106809</x:v>
      </x:c>
      <x:c r="E107" s="50" t="n">
        <x:v>1</x:v>
      </x:c>
      <x:c r="F107" s="29" t="str">
        <x:v>RELATIVE SALIENCE ONLY</x:v>
      </x:c>
    </x:row>
    <x:row r="108" ht="32.400001525878906" hidden="0" customHeight="1">
      <x:c r="A108" s="27" t="str">
        <x:v>SCA-06</x:v>
      </x:c>
      <x:c r="B108" s="27" t="str">
        <x:v>TRND</x:v>
      </x:c>
      <x:c r="C108" s="27" t="str">
        <x:v>Tornado</x:v>
      </x:c>
      <x:c r="D108" s="52" t="n">
        <x:v>72.25020373501616</x:v>
      </x:c>
      <x:c r="E108" s="49" t="n">
        <x:v>1</x:v>
      </x:c>
      <x:c r="F108" s="27" t="str">
        <x:v>RELATIVE SALIENCE ONLY</x:v>
      </x:c>
    </x:row>
    <x:row r="109" ht="32.400001525878906" hidden="0" customHeight="1">
      <x:c r="A109" s="29" t="str">
        <x:v>SCA-06</x:v>
      </x:c>
      <x:c r="B109" s="29" t="str">
        <x:v>TSUN</x:v>
      </x:c>
      <x:c r="C109" s="29" t="str">
        <x:v>Tsunami</x:v>
      </x:c>
      <x:c r="D109" s="53" t="n">
        <x:v>52.30769230769232</x:v>
      </x:c>
      <x:c r="E109" s="50" t="n">
        <x:v>0.5462606358412768</x:v>
      </x:c>
      <x:c r="F109" s="29" t="str">
        <x:v>RELATIVE SALIENCE ONLY</x:v>
      </x:c>
    </x:row>
    <x:row r="110" ht="32.400001525878906" hidden="0" customHeight="1">
      <x:c r="A110" s="27" t="str">
        <x:v>SCA-06</x:v>
      </x:c>
      <x:c r="B110" s="27" t="str">
        <x:v>VLCN</x:v>
      </x:c>
      <x:c r="C110" s="27" t="str">
        <x:v>Volcanic activity</x:v>
      </x:c>
      <x:c r="D110" s="52" t="n">
        <x:v>49.384040650589746</x:v>
      </x:c>
      <x:c r="E110" s="49" t="n">
        <x:v>1</x:v>
      </x:c>
      <x:c r="F110" s="27" t="str">
        <x:v>RELATIVE SALIENCE ONLY</x:v>
      </x:c>
    </x:row>
    <x:row r="111" ht="32.400001525878906" hidden="0" customHeight="1">
      <x:c r="A111" s="29" t="str">
        <x:v>SCA-06</x:v>
      </x:c>
      <x:c r="B111" s="29" t="str">
        <x:v>WFIR</x:v>
      </x:c>
      <x:c r="C111" s="29" t="str">
        <x:v>Wildfire</x:v>
      </x:c>
      <x:c r="D111" s="53" t="n">
        <x:v>99.26341805565644</x:v>
      </x:c>
      <x:c r="E111" s="50" t="n">
        <x:v>1</x:v>
      </x:c>
      <x:c r="F111" s="29" t="str">
        <x:v>RELATIVE SALIENCE ONLY</x:v>
      </x:c>
    </x:row>
    <x:row r="112" ht="32.400001525878906" hidden="0" customHeight="1">
      <x:c r="A112" s="27" t="str">
        <x:v>SCA-06</x:v>
      </x:c>
      <x:c r="B112" s="27" t="str">
        <x:v>WNTW</x:v>
      </x:c>
      <x:c r="C112" s="27" t="str">
        <x:v>Winter weather</x:v>
      </x:c>
      <x:c r="D112" s="52" t="n">
        <x:v>54.73846911654239</x:v>
      </x:c>
      <x:c r="E112" s="49" t="n">
        <x:v>1</x:v>
      </x:c>
      <x:c r="F112" s="27" t="str">
        <x:v>RELATIVE SALIENCE ONLY</x:v>
      </x:c>
    </x:row>
    <x:row r="113" ht="32.400001525878906" hidden="0" customHeight="1">
      <x:c r="A113" s="29" t="str">
        <x:v>SCA-07</x:v>
      </x:c>
      <x:c r="B113" s="29" t="str">
        <x:v>AVLN</x:v>
      </x:c>
      <x:c r="C113" s="29" t="str">
        <x:v>Avalanche</x:v>
      </x:c>
      <x:c r="D113" s="53" t="n">
        <x:v>80.96290685088843</x:v>
      </x:c>
      <x:c r="E113" s="50" t="n">
        <x:v>1</x:v>
      </x:c>
      <x:c r="F113" s="29" t="str">
        <x:v>RELATIVE SALIENCE ONLY</x:v>
      </x:c>
    </x:row>
    <x:row r="114" ht="21.600000381469727" hidden="0" customHeight="1">
      <x:c r="A114" s="27" t="str">
        <x:v>SCA-07</x:v>
      </x:c>
      <x:c r="B114" s="27" t="str">
        <x:v>CFLD</x:v>
      </x:c>
      <x:c r="C114" s="27" t="str">
        <x:v>Coastal flood</x:v>
      </x:c>
      <x:c r="D114" s="52"/>
      <x:c r="E114" s="49" t="n">
        <x:v>0</x:v>
      </x:c>
      <x:c r="F114" s="27" t="str">
        <x:v>NO COVERAGE</x:v>
      </x:c>
    </x:row>
    <x:row r="115" ht="32.400001525878906" hidden="0" customHeight="1">
      <x:c r="A115" s="29" t="str">
        <x:v>SCA-07</x:v>
      </x:c>
      <x:c r="B115" s="29" t="str">
        <x:v>CWAV</x:v>
      </x:c>
      <x:c r="C115" s="29" t="str">
        <x:v>Cold wave</x:v>
      </x:c>
      <x:c r="D115" s="53" t="n">
        <x:v>13.791685827747578</x:v>
      </x:c>
      <x:c r="E115" s="50" t="n">
        <x:v>1</x:v>
      </x:c>
      <x:c r="F115" s="29" t="str">
        <x:v>RELATIVE SALIENCE ONLY</x:v>
      </x:c>
    </x:row>
    <x:row r="116" ht="32.400001525878906" hidden="0" customHeight="1">
      <x:c r="A116" s="27" t="str">
        <x:v>SCA-07</x:v>
      </x:c>
      <x:c r="B116" s="27" t="str">
        <x:v>DRGT</x:v>
      </x:c>
      <x:c r="C116" s="27" t="str">
        <x:v>Drought</x:v>
      </x:c>
      <x:c r="D116" s="52" t="n">
        <x:v>25.968655342478186</x:v>
      </x:c>
      <x:c r="E116" s="49" t="n">
        <x:v>1</x:v>
      </x:c>
      <x:c r="F116" s="27" t="str">
        <x:v>RELATIVE SALIENCE ONLY</x:v>
      </x:c>
    </x:row>
    <x:row r="117" ht="32.400001525878906" hidden="0" customHeight="1">
      <x:c r="A117" s="29" t="str">
        <x:v>SCA-07</x:v>
      </x:c>
      <x:c r="B117" s="29" t="str">
        <x:v>ERQK</x:v>
      </x:c>
      <x:c r="C117" s="29" t="str">
        <x:v>Earthquake</x:v>
      </x:c>
      <x:c r="D117" s="53" t="n">
        <x:v>97.77389617734569</x:v>
      </x:c>
      <x:c r="E117" s="50" t="n">
        <x:v>1</x:v>
      </x:c>
      <x:c r="F117" s="29" t="str">
        <x:v>RELATIVE SALIENCE ONLY</x:v>
      </x:c>
    </x:row>
    <x:row r="118" ht="32.400001525878906" hidden="0" customHeight="1">
      <x:c r="A118" s="27" t="str">
        <x:v>SCA-07</x:v>
      </x:c>
      <x:c r="B118" s="27" t="str">
        <x:v>HAIL</x:v>
      </x:c>
      <x:c r="C118" s="27" t="str">
        <x:v>Hail</x:v>
      </x:c>
      <x:c r="D118" s="52" t="n">
        <x:v>86.04753655489986</x:v>
      </x:c>
      <x:c r="E118" s="49" t="n">
        <x:v>1</x:v>
      </x:c>
      <x:c r="F118" s="27" t="str">
        <x:v>RELATIVE SALIENCE ONLY</x:v>
      </x:c>
    </x:row>
    <x:row r="119" ht="32.400001525878906" hidden="0" customHeight="1">
      <x:c r="A119" s="29" t="str">
        <x:v>SCA-07</x:v>
      </x:c>
      <x:c r="B119" s="29" t="str">
        <x:v>HWAV</x:v>
      </x:c>
      <x:c r="C119" s="29" t="str">
        <x:v>Heat wave</x:v>
      </x:c>
      <x:c r="D119" s="53" t="n">
        <x:v>97.97538275704248</x:v>
      </x:c>
      <x:c r="E119" s="50" t="n">
        <x:v>1</x:v>
      </x:c>
      <x:c r="F119" s="29" t="str">
        <x:v>RELATIVE SALIENCE ONLY</x:v>
      </x:c>
    </x:row>
    <x:row r="120" ht="32.400001525878906" hidden="0" customHeight="1">
      <x:c r="A120" s="27" t="str">
        <x:v>SCA-07</x:v>
      </x:c>
      <x:c r="B120" s="27" t="str">
        <x:v>HRCN</x:v>
      </x:c>
      <x:c r="C120" s="27" t="str">
        <x:v>Hurricane</x:v>
      </x:c>
      <x:c r="D120" s="52" t="n">
        <x:v>0</x:v>
      </x:c>
      <x:c r="E120" s="49" t="n">
        <x:v>0.9292551492818446</x:v>
      </x:c>
      <x:c r="F120" s="27" t="str">
        <x:v>RELATIVE SALIENCE ONLY</x:v>
      </x:c>
    </x:row>
    <x:row r="121" ht="32.400001525878906" hidden="0" customHeight="1">
      <x:c r="A121" s="29" t="str">
        <x:v>SCA-07</x:v>
      </x:c>
      <x:c r="B121" s="29" t="str">
        <x:v>ISTM</x:v>
      </x:c>
      <x:c r="C121" s="29" t="str">
        <x:v>Ice storm</x:v>
      </x:c>
      <x:c r="D121" s="53" t="n">
        <x:v>55.40752954814628</x:v>
      </x:c>
      <x:c r="E121" s="50" t="n">
        <x:v>0.0989622076846733</x:v>
      </x:c>
      <x:c r="F121" s="29" t="str">
        <x:v>RELATIVE SALIENCE ONLY</x:v>
      </x:c>
    </x:row>
    <x:row r="122" ht="32.400001525878906" hidden="0" customHeight="1">
      <x:c r="A122" s="27" t="str">
        <x:v>SCA-07</x:v>
      </x:c>
      <x:c r="B122" s="27" t="str">
        <x:v>LNDS</x:v>
      </x:c>
      <x:c r="C122" s="27" t="str">
        <x:v>Landslide</x:v>
      </x:c>
      <x:c r="D122" s="52" t="n">
        <x:v>94.17836744340262</x:v>
      </x:c>
      <x:c r="E122" s="49" t="n">
        <x:v>1</x:v>
      </x:c>
      <x:c r="F122" s="27" t="str">
        <x:v>RELATIVE SALIENCE ONLY</x:v>
      </x:c>
    </x:row>
    <x:row r="123" ht="32.400001525878906" hidden="0" customHeight="1">
      <x:c r="A123" s="29" t="str">
        <x:v>SCA-07</x:v>
      </x:c>
      <x:c r="B123" s="29" t="str">
        <x:v>LTNG</x:v>
      </x:c>
      <x:c r="C123" s="29" t="str">
        <x:v>Lightning</x:v>
      </x:c>
      <x:c r="D123" s="53" t="n">
        <x:v>90.61469421479165</x:v>
      </x:c>
      <x:c r="E123" s="50" t="n">
        <x:v>1</x:v>
      </x:c>
      <x:c r="F123" s="29" t="str">
        <x:v>RELATIVE SALIENCE ONLY</x:v>
      </x:c>
    </x:row>
    <x:row r="124" ht="32.400001525878906" hidden="0" customHeight="1">
      <x:c r="A124" s="27" t="str">
        <x:v>SCA-07</x:v>
      </x:c>
      <x:c r="B124" s="27" t="str">
        <x:v>IFLD</x:v>
      </x:c>
      <x:c r="C124" s="27" t="str">
        <x:v>Inland flood</x:v>
      </x:c>
      <x:c r="D124" s="52" t="n">
        <x:v>98.17900045792933</x:v>
      </x:c>
      <x:c r="E124" s="49" t="n">
        <x:v>1</x:v>
      </x:c>
      <x:c r="F124" s="27" t="str">
        <x:v>RELATIVE SALIENCE ONLY</x:v>
      </x:c>
    </x:row>
    <x:row r="125" ht="32.400001525878906" hidden="0" customHeight="1">
      <x:c r="A125" s="29" t="str">
        <x:v>SCA-07</x:v>
      </x:c>
      <x:c r="B125" s="29" t="str">
        <x:v>SWND</x:v>
      </x:c>
      <x:c r="C125" s="29" t="str">
        <x:v>Strong wind</x:v>
      </x:c>
      <x:c r="D125" s="53" t="n">
        <x:v>76.2033748855876</x:v>
      </x:c>
      <x:c r="E125" s="50" t="n">
        <x:v>1</x:v>
      </x:c>
      <x:c r="F125" s="29" t="str">
        <x:v>RELATIVE SALIENCE ONLY</x:v>
      </x:c>
    </x:row>
    <x:row r="126" ht="32.400001525878906" hidden="0" customHeight="1">
      <x:c r="A126" s="27" t="str">
        <x:v>SCA-07</x:v>
      </x:c>
      <x:c r="B126" s="27" t="str">
        <x:v>TRND</x:v>
      </x:c>
      <x:c r="C126" s="27" t="str">
        <x:v>Tornado</x:v>
      </x:c>
      <x:c r="D126" s="52" t="n">
        <x:v>38.21381193846318</x:v>
      </x:c>
      <x:c r="E126" s="49" t="n">
        <x:v>1</x:v>
      </x:c>
      <x:c r="F126" s="27" t="str">
        <x:v>RELATIVE SALIENCE ONLY</x:v>
      </x:c>
    </x:row>
    <x:row r="127" ht="21.600000381469727" hidden="0" customHeight="1">
      <x:c r="A127" s="29" t="str">
        <x:v>SCA-07</x:v>
      </x:c>
      <x:c r="B127" s="29" t="str">
        <x:v>TSUN</x:v>
      </x:c>
      <x:c r="C127" s="29" t="str">
        <x:v>Tsunami</x:v>
      </x:c>
      <x:c r="D127" s="53"/>
      <x:c r="E127" s="50" t="n">
        <x:v>0</x:v>
      </x:c>
      <x:c r="F127" s="29" t="str">
        <x:v>NO COVERAGE</x:v>
      </x:c>
    </x:row>
    <x:row r="128" ht="32.400001525878906" hidden="0" customHeight="1">
      <x:c r="A128" s="27" t="str">
        <x:v>SCA-07</x:v>
      </x:c>
      <x:c r="B128" s="27" t="str">
        <x:v>VLCN</x:v>
      </x:c>
      <x:c r="C128" s="27" t="str">
        <x:v>Volcanic activity</x:v>
      </x:c>
      <x:c r="D128" s="52" t="n">
        <x:v>37.34810732210012</x:v>
      </x:c>
      <x:c r="E128" s="49" t="n">
        <x:v>1</x:v>
      </x:c>
      <x:c r="F128" s="27" t="str">
        <x:v>RELATIVE SALIENCE ONLY</x:v>
      </x:c>
    </x:row>
    <x:row r="129" ht="32.400001525878906" hidden="0" customHeight="1">
      <x:c r="A129" s="29" t="str">
        <x:v>SCA-07</x:v>
      </x:c>
      <x:c r="B129" s="29" t="str">
        <x:v>WFIR</x:v>
      </x:c>
      <x:c r="C129" s="29" t="str">
        <x:v>Wildfire</x:v>
      </x:c>
      <x:c r="D129" s="53" t="n">
        <x:v>99.17567741692412</x:v>
      </x:c>
      <x:c r="E129" s="50" t="n">
        <x:v>1</x:v>
      </x:c>
      <x:c r="F129" s="29" t="str">
        <x:v>RELATIVE SALIENCE ONLY</x:v>
      </x:c>
    </x:row>
    <x:row r="130" ht="32.400001525878906" hidden="0" customHeight="1">
      <x:c r="A130" s="27" t="str">
        <x:v>SCA-07</x:v>
      </x:c>
      <x:c r="B130" s="27" t="str">
        <x:v>WNTW</x:v>
      </x:c>
      <x:c r="C130" s="27" t="str">
        <x:v>Winter weather</x:v>
      </x:c>
      <x:c r="D130" s="52" t="n">
        <x:v>57.1316080374599</x:v>
      </x:c>
      <x:c r="E130" s="49" t="n">
        <x:v>1</x:v>
      </x:c>
      <x:c r="F130" s="27" t="str">
        <x:v>RELATIVE SALIENCE ONLY</x:v>
      </x:c>
    </x:row>
    <x:row r="131" ht="32.400001525878906" hidden="0" customHeight="1">
      <x:c r="A131" s="29" t="str">
        <x:v>SCA-08</x:v>
      </x:c>
      <x:c r="B131" s="29" t="str">
        <x:v>AVLN</x:v>
      </x:c>
      <x:c r="C131" s="29" t="str">
        <x:v>Avalanche</x:v>
      </x:c>
      <x:c r="D131" s="53" t="n">
        <x:v>55.87417526007756</x:v>
      </x:c>
      <x:c r="E131" s="50" t="n">
        <x:v>0.9828980461750114</x:v>
      </x:c>
      <x:c r="F131" s="29" t="str">
        <x:v>RELATIVE SALIENCE ONLY</x:v>
      </x:c>
    </x:row>
    <x:row r="132" ht="21.600000381469727" hidden="0" customHeight="1">
      <x:c r="A132" s="27" t="str">
        <x:v>SCA-08</x:v>
      </x:c>
      <x:c r="B132" s="27" t="str">
        <x:v>CFLD</x:v>
      </x:c>
      <x:c r="C132" s="27" t="str">
        <x:v>Coastal flood</x:v>
      </x:c>
      <x:c r="D132" s="52"/>
      <x:c r="E132" s="49" t="n">
        <x:v>0</x:v>
      </x:c>
      <x:c r="F132" s="27" t="str">
        <x:v>NO COVERAGE</x:v>
      </x:c>
    </x:row>
    <x:row r="133" ht="32.400001525878906" hidden="0" customHeight="1">
      <x:c r="A133" s="29" t="str">
        <x:v>SCA-08</x:v>
      </x:c>
      <x:c r="B133" s="29" t="str">
        <x:v>CWAV</x:v>
      </x:c>
      <x:c r="C133" s="29" t="str">
        <x:v>Cold wave</x:v>
      </x:c>
      <x:c r="D133" s="53" t="n">
        <x:v>57.220117370373906</x:v>
      </x:c>
      <x:c r="E133" s="50" t="n">
        <x:v>1</x:v>
      </x:c>
      <x:c r="F133" s="29" t="str">
        <x:v>RELATIVE SALIENCE ONLY</x:v>
      </x:c>
    </x:row>
    <x:row r="134" ht="32.400001525878906" hidden="0" customHeight="1">
      <x:c r="A134" s="27" t="str">
        <x:v>SCA-08</x:v>
      </x:c>
      <x:c r="B134" s="27" t="str">
        <x:v>DRGT</x:v>
      </x:c>
      <x:c r="C134" s="27" t="str">
        <x:v>Drought</x:v>
      </x:c>
      <x:c r="D134" s="52" t="n">
        <x:v>23.729890252554696</x:v>
      </x:c>
      <x:c r="E134" s="49" t="n">
        <x:v>1</x:v>
      </x:c>
      <x:c r="F134" s="27" t="str">
        <x:v>RELATIVE SALIENCE ONLY</x:v>
      </x:c>
    </x:row>
    <x:row r="135" ht="32.400001525878906" hidden="0" customHeight="1">
      <x:c r="A135" s="29" t="str">
        <x:v>SCA-08</x:v>
      </x:c>
      <x:c r="B135" s="29" t="str">
        <x:v>ERQK</x:v>
      </x:c>
      <x:c r="C135" s="29" t="str">
        <x:v>Earthquake</x:v>
      </x:c>
      <x:c r="D135" s="53" t="n">
        <x:v>76.7546402494347</x:v>
      </x:c>
      <x:c r="E135" s="50" t="n">
        <x:v>1</x:v>
      </x:c>
      <x:c r="F135" s="29" t="str">
        <x:v>RELATIVE SALIENCE ONLY</x:v>
      </x:c>
    </x:row>
    <x:row r="136" ht="32.400001525878906" hidden="0" customHeight="1">
      <x:c r="A136" s="27" t="str">
        <x:v>SCA-08</x:v>
      </x:c>
      <x:c r="B136" s="27" t="str">
        <x:v>HAIL</x:v>
      </x:c>
      <x:c r="C136" s="27" t="str">
        <x:v>Hail</x:v>
      </x:c>
      <x:c r="D136" s="52" t="n">
        <x:v>35.77489992400537</x:v>
      </x:c>
      <x:c r="E136" s="49" t="n">
        <x:v>1</x:v>
      </x:c>
      <x:c r="F136" s="27" t="str">
        <x:v>RELATIVE SALIENCE ONLY</x:v>
      </x:c>
    </x:row>
    <x:row r="137" ht="32.400001525878906" hidden="0" customHeight="1">
      <x:c r="A137" s="29" t="str">
        <x:v>SCA-08</x:v>
      </x:c>
      <x:c r="B137" s="29" t="str">
        <x:v>HWAV</x:v>
      </x:c>
      <x:c r="C137" s="29" t="str">
        <x:v>Heat wave</x:v>
      </x:c>
      <x:c r="D137" s="53" t="n">
        <x:v>61.90772691323931</x:v>
      </x:c>
      <x:c r="E137" s="50" t="n">
        <x:v>1</x:v>
      </x:c>
      <x:c r="F137" s="29" t="str">
        <x:v>RELATIVE SALIENCE ONLY</x:v>
      </x:c>
    </x:row>
    <x:row r="138" ht="21.600000381469727" hidden="0" customHeight="1">
      <x:c r="A138" s="27" t="str">
        <x:v>SCA-08</x:v>
      </x:c>
      <x:c r="B138" s="27" t="str">
        <x:v>HRCN</x:v>
      </x:c>
      <x:c r="C138" s="27" t="str">
        <x:v>Hurricane</x:v>
      </x:c>
      <x:c r="D138" s="52"/>
      <x:c r="E138" s="49" t="n">
        <x:v>0</x:v>
      </x:c>
      <x:c r="F138" s="27" t="str">
        <x:v>NO COVERAGE</x:v>
      </x:c>
    </x:row>
    <x:row r="139" ht="32.400001525878906" hidden="0" customHeight="1">
      <x:c r="A139" s="29" t="str">
        <x:v>SCA-08</x:v>
      </x:c>
      <x:c r="B139" s="29" t="str">
        <x:v>ISTM</x:v>
      </x:c>
      <x:c r="C139" s="29" t="str">
        <x:v>Ice storm</x:v>
      </x:c>
      <x:c r="D139" s="53" t="n">
        <x:v>48.73248624498391</x:v>
      </x:c>
      <x:c r="E139" s="50" t="n">
        <x:v>0.9721198301756117</x:v>
      </x:c>
      <x:c r="F139" s="29" t="str">
        <x:v>RELATIVE SALIENCE ONLY</x:v>
      </x:c>
    </x:row>
    <x:row r="140" ht="32.400001525878906" hidden="0" customHeight="1">
      <x:c r="A140" s="27" t="str">
        <x:v>SCA-08</x:v>
      </x:c>
      <x:c r="B140" s="27" t="str">
        <x:v>LNDS</x:v>
      </x:c>
      <x:c r="C140" s="27" t="str">
        <x:v>Landslide</x:v>
      </x:c>
      <x:c r="D140" s="52" t="n">
        <x:v>69.95483483272066</x:v>
      </x:c>
      <x:c r="E140" s="49" t="n">
        <x:v>1</x:v>
      </x:c>
      <x:c r="F140" s="27" t="str">
        <x:v>RELATIVE SALIENCE ONLY</x:v>
      </x:c>
    </x:row>
    <x:row r="141" ht="32.400001525878906" hidden="0" customHeight="1">
      <x:c r="A141" s="29" t="str">
        <x:v>SCA-08</x:v>
      </x:c>
      <x:c r="B141" s="29" t="str">
        <x:v>LTNG</x:v>
      </x:c>
      <x:c r="C141" s="29" t="str">
        <x:v>Lightning</x:v>
      </x:c>
      <x:c r="D141" s="53" t="n">
        <x:v>63.22621190134069</x:v>
      </x:c>
      <x:c r="E141" s="50" t="n">
        <x:v>1</x:v>
      </x:c>
      <x:c r="F141" s="29" t="str">
        <x:v>RELATIVE SALIENCE ONLY</x:v>
      </x:c>
    </x:row>
    <x:row r="142" ht="32.400001525878906" hidden="0" customHeight="1">
      <x:c r="A142" s="27" t="str">
        <x:v>SCA-08</x:v>
      </x:c>
      <x:c r="B142" s="27" t="str">
        <x:v>IFLD</x:v>
      </x:c>
      <x:c r="C142" s="27" t="str">
        <x:v>Inland flood</x:v>
      </x:c>
      <x:c r="D142" s="52" t="n">
        <x:v>64.82265444933982</x:v>
      </x:c>
      <x:c r="E142" s="49" t="n">
        <x:v>1</x:v>
      </x:c>
      <x:c r="F142" s="27" t="str">
        <x:v>RELATIVE SALIENCE ONLY</x:v>
      </x:c>
    </x:row>
    <x:row r="143" ht="32.400001525878906" hidden="0" customHeight="1">
      <x:c r="A143" s="29" t="str">
        <x:v>SCA-08</x:v>
      </x:c>
      <x:c r="B143" s="29" t="str">
        <x:v>SWND</x:v>
      </x:c>
      <x:c r="C143" s="29" t="str">
        <x:v>Strong wind</x:v>
      </x:c>
      <x:c r="D143" s="53" t="n">
        <x:v>41.702265044392185</x:v>
      </x:c>
      <x:c r="E143" s="50" t="n">
        <x:v>1</x:v>
      </x:c>
      <x:c r="F143" s="29" t="str">
        <x:v>RELATIVE SALIENCE ONLY</x:v>
      </x:c>
    </x:row>
    <x:row r="144" ht="32.400001525878906" hidden="0" customHeight="1">
      <x:c r="A144" s="27" t="str">
        <x:v>SCA-08</x:v>
      </x:c>
      <x:c r="B144" s="27" t="str">
        <x:v>TRND</x:v>
      </x:c>
      <x:c r="C144" s="27" t="str">
        <x:v>Tornado</x:v>
      </x:c>
      <x:c r="D144" s="52" t="n">
        <x:v>13.686040746891072</x:v>
      </x:c>
      <x:c r="E144" s="49" t="n">
        <x:v>1</x:v>
      </x:c>
      <x:c r="F144" s="27" t="str">
        <x:v>RELATIVE SALIENCE ONLY</x:v>
      </x:c>
    </x:row>
    <x:row r="145" ht="21.600000381469727" hidden="0" customHeight="1">
      <x:c r="A145" s="29" t="str">
        <x:v>SCA-08</x:v>
      </x:c>
      <x:c r="B145" s="29" t="str">
        <x:v>TSUN</x:v>
      </x:c>
      <x:c r="C145" s="29" t="str">
        <x:v>Tsunami</x:v>
      </x:c>
      <x:c r="D145" s="53"/>
      <x:c r="E145" s="50" t="n">
        <x:v>0</x:v>
      </x:c>
      <x:c r="F145" s="29" t="str">
        <x:v>NO COVERAGE</x:v>
      </x:c>
    </x:row>
    <x:row r="146" ht="32.400001525878906" hidden="0" customHeight="1">
      <x:c r="A146" s="27" t="str">
        <x:v>SCA-08</x:v>
      </x:c>
      <x:c r="B146" s="27" t="str">
        <x:v>VLCN</x:v>
      </x:c>
      <x:c r="C146" s="27" t="str">
        <x:v>Volcanic activity</x:v>
      </x:c>
      <x:c r="D146" s="52" t="n">
        <x:v>58.83115768725898</x:v>
      </x:c>
      <x:c r="E146" s="49" t="n">
        <x:v>0.6876281628585874</x:v>
      </x:c>
      <x:c r="F146" s="27" t="str">
        <x:v>RELATIVE SALIENCE ONLY</x:v>
      </x:c>
    </x:row>
    <x:row r="147" ht="32.400001525878906" hidden="0" customHeight="1">
      <x:c r="A147" s="29" t="str">
        <x:v>SCA-08</x:v>
      </x:c>
      <x:c r="B147" s="29" t="str">
        <x:v>WFIR</x:v>
      </x:c>
      <x:c r="C147" s="29" t="str">
        <x:v>Wildfire</x:v>
      </x:c>
      <x:c r="D147" s="53" t="n">
        <x:v>91.3724288701606</x:v>
      </x:c>
      <x:c r="E147" s="50" t="n">
        <x:v>1</x:v>
      </x:c>
      <x:c r="F147" s="29" t="str">
        <x:v>RELATIVE SALIENCE ONLY</x:v>
      </x:c>
    </x:row>
    <x:row r="148" ht="32.400001525878906" hidden="0" customHeight="1">
      <x:c r="A148" s="27" t="str">
        <x:v>SCA-08</x:v>
      </x:c>
      <x:c r="B148" s="27" t="str">
        <x:v>WNTW</x:v>
      </x:c>
      <x:c r="C148" s="27" t="str">
        <x:v>Winter weather</x:v>
      </x:c>
      <x:c r="D148" s="52" t="n">
        <x:v>85.54053057847133</x:v>
      </x:c>
      <x:c r="E148" s="49" t="n">
        <x:v>1</x:v>
      </x:c>
      <x:c r="F148" s="27" t="str">
        <x:v>RELATIVE SALIENCE ONLY</x:v>
      </x:c>
    </x:row>
    <x:row r="149" ht="32.400001525878906" hidden="0" customHeight="1">
      <x:c r="A149" s="29" t="str">
        <x:v>SCA-09</x:v>
      </x:c>
      <x:c r="B149" s="29" t="str">
        <x:v>AVLN</x:v>
      </x:c>
      <x:c r="C149" s="29" t="str">
        <x:v>Avalanche</x:v>
      </x:c>
      <x:c r="D149" s="53" t="n">
        <x:v>37.20118190929644</x:v>
      </x:c>
      <x:c r="E149" s="50" t="n">
        <x:v>0.9696514847243999</x:v>
      </x:c>
      <x:c r="F149" s="29" t="str">
        <x:v>RELATIVE SALIENCE ONLY</x:v>
      </x:c>
    </x:row>
    <x:row r="150" ht="21.600000381469727" hidden="0" customHeight="1">
      <x:c r="A150" s="27" t="str">
        <x:v>SCA-09</x:v>
      </x:c>
      <x:c r="B150" s="27" t="str">
        <x:v>CFLD</x:v>
      </x:c>
      <x:c r="C150" s="27" t="str">
        <x:v>Coastal flood</x:v>
      </x:c>
      <x:c r="D150" s="52"/>
      <x:c r="E150" s="49" t="n">
        <x:v>0</x:v>
      </x:c>
      <x:c r="F150" s="27" t="str">
        <x:v>NO COVERAGE</x:v>
      </x:c>
    </x:row>
    <x:row r="151" ht="32.400001525878906" hidden="0" customHeight="1">
      <x:c r="A151" s="29" t="str">
        <x:v>SCA-09</x:v>
      </x:c>
      <x:c r="B151" s="29" t="str">
        <x:v>CWAV</x:v>
      </x:c>
      <x:c r="C151" s="29" t="str">
        <x:v>Cold wave</x:v>
      </x:c>
      <x:c r="D151" s="53" t="n">
        <x:v>4.117633578262831</x:v>
      </x:c>
      <x:c r="E151" s="50" t="n">
        <x:v>1</x:v>
      </x:c>
      <x:c r="F151" s="29" t="str">
        <x:v>RELATIVE SALIENCE ONLY</x:v>
      </x:c>
    </x:row>
    <x:row r="152" ht="32.400001525878906" hidden="0" customHeight="1">
      <x:c r="A152" s="27" t="str">
        <x:v>SCA-09</x:v>
      </x:c>
      <x:c r="B152" s="27" t="str">
        <x:v>DRGT</x:v>
      </x:c>
      <x:c r="C152" s="27" t="str">
        <x:v>Drought</x:v>
      </x:c>
      <x:c r="D152" s="52" t="n">
        <x:v>86.76472426017507</x:v>
      </x:c>
      <x:c r="E152" s="49" t="n">
        <x:v>1</x:v>
      </x:c>
      <x:c r="F152" s="27" t="str">
        <x:v>RELATIVE SALIENCE ONLY</x:v>
      </x:c>
    </x:row>
    <x:row r="153" ht="32.400001525878906" hidden="0" customHeight="1">
      <x:c r="A153" s="29" t="str">
        <x:v>SCA-09</x:v>
      </x:c>
      <x:c r="B153" s="29" t="str">
        <x:v>ERQK</x:v>
      </x:c>
      <x:c r="C153" s="29" t="str">
        <x:v>Earthquake</x:v>
      </x:c>
      <x:c r="D153" s="53" t="n">
        <x:v>92.53681812975209</x:v>
      </x:c>
      <x:c r="E153" s="50" t="n">
        <x:v>1</x:v>
      </x:c>
      <x:c r="F153" s="29" t="str">
        <x:v>RELATIVE SALIENCE ONLY</x:v>
      </x:c>
    </x:row>
    <x:row r="154" ht="32.400001525878906" hidden="0" customHeight="1">
      <x:c r="A154" s="27" t="str">
        <x:v>SCA-09</x:v>
      </x:c>
      <x:c r="B154" s="27" t="str">
        <x:v>HAIL</x:v>
      </x:c>
      <x:c r="C154" s="27" t="str">
        <x:v>Hail</x:v>
      </x:c>
      <x:c r="D154" s="52" t="n">
        <x:v>88.46733220707372</x:v>
      </x:c>
      <x:c r="E154" s="49" t="n">
        <x:v>1</x:v>
      </x:c>
      <x:c r="F154" s="27" t="str">
        <x:v>RELATIVE SALIENCE ONLY</x:v>
      </x:c>
    </x:row>
    <x:row r="155" ht="32.400001525878906" hidden="0" customHeight="1">
      <x:c r="A155" s="29" t="str">
        <x:v>SCA-09</x:v>
      </x:c>
      <x:c r="B155" s="29" t="str">
        <x:v>HWAV</x:v>
      </x:c>
      <x:c r="C155" s="29" t="str">
        <x:v>Heat wave</x:v>
      </x:c>
      <x:c r="D155" s="53" t="n">
        <x:v>97.23978036992017</x:v>
      </x:c>
      <x:c r="E155" s="50" t="n">
        <x:v>1</x:v>
      </x:c>
      <x:c r="F155" s="29" t="str">
        <x:v>RELATIVE SALIENCE ONLY</x:v>
      </x:c>
    </x:row>
    <x:row r="156" ht="32.400001525878906" hidden="0" customHeight="1">
      <x:c r="A156" s="27" t="str">
        <x:v>SCA-09</x:v>
      </x:c>
      <x:c r="B156" s="27" t="str">
        <x:v>HRCN</x:v>
      </x:c>
      <x:c r="C156" s="27" t="str">
        <x:v>Hurricane</x:v>
      </x:c>
      <x:c r="D156" s="52" t="n">
        <x:v>22.609132529651117</x:v>
      </x:c>
      <x:c r="E156" s="49" t="n">
        <x:v>1</x:v>
      </x:c>
      <x:c r="F156" s="27" t="str">
        <x:v>RELATIVE SALIENCE ONLY</x:v>
      </x:c>
    </x:row>
    <x:row r="157" ht="32.400001525878906" hidden="0" customHeight="1">
      <x:c r="A157" s="29" t="str">
        <x:v>SCA-09</x:v>
      </x:c>
      <x:c r="B157" s="29" t="str">
        <x:v>ISTM</x:v>
      </x:c>
      <x:c r="C157" s="29" t="str">
        <x:v>Ice storm</x:v>
      </x:c>
      <x:c r="D157" s="53" t="n">
        <x:v>58.81662224680635</x:v>
      </x:c>
      <x:c r="E157" s="50" t="n">
        <x:v>0.04310049223090773</x:v>
      </x:c>
      <x:c r="F157" s="29" t="str">
        <x:v>RELATIVE SALIENCE ONLY</x:v>
      </x:c>
    </x:row>
    <x:row r="158" ht="32.400001525878906" hidden="0" customHeight="1">
      <x:c r="A158" s="27" t="str">
        <x:v>SCA-09</x:v>
      </x:c>
      <x:c r="B158" s="27" t="str">
        <x:v>LNDS</x:v>
      </x:c>
      <x:c r="C158" s="27" t="str">
        <x:v>Landslide</x:v>
      </x:c>
      <x:c r="D158" s="52" t="n">
        <x:v>75.73544842077112</x:v>
      </x:c>
      <x:c r="E158" s="49" t="n">
        <x:v>1</x:v>
      </x:c>
      <x:c r="F158" s="27" t="str">
        <x:v>RELATIVE SALIENCE ONLY</x:v>
      </x:c>
    </x:row>
    <x:row r="159" ht="32.400001525878906" hidden="0" customHeight="1">
      <x:c r="A159" s="29" t="str">
        <x:v>SCA-09</x:v>
      </x:c>
      <x:c r="B159" s="29" t="str">
        <x:v>LTNG</x:v>
      </x:c>
      <x:c r="C159" s="29" t="str">
        <x:v>Lightning</x:v>
      </x:c>
      <x:c r="D159" s="53" t="n">
        <x:v>94.33809965584821</x:v>
      </x:c>
      <x:c r="E159" s="50" t="n">
        <x:v>1</x:v>
      </x:c>
      <x:c r="F159" s="29" t="str">
        <x:v>RELATIVE SALIENCE ONLY</x:v>
      </x:c>
    </x:row>
    <x:row r="160" ht="32.400001525878906" hidden="0" customHeight="1">
      <x:c r="A160" s="27" t="str">
        <x:v>SCA-09</x:v>
      </x:c>
      <x:c r="B160" s="27" t="str">
        <x:v>IFLD</x:v>
      </x:c>
      <x:c r="C160" s="27" t="str">
        <x:v>Inland flood</x:v>
      </x:c>
      <x:c r="D160" s="52" t="n">
        <x:v>98.26085453762803</x:v>
      </x:c>
      <x:c r="E160" s="49" t="n">
        <x:v>1</x:v>
      </x:c>
      <x:c r="F160" s="27" t="str">
        <x:v>RELATIVE SALIENCE ONLY</x:v>
      </x:c>
    </x:row>
    <x:row r="161" ht="32.400001525878906" hidden="0" customHeight="1">
      <x:c r="A161" s="29" t="str">
        <x:v>SCA-09</x:v>
      </x:c>
      <x:c r="B161" s="29" t="str">
        <x:v>SWND</x:v>
      </x:c>
      <x:c r="C161" s="29" t="str">
        <x:v>Strong wind</x:v>
      </x:c>
      <x:c r="D161" s="53" t="n">
        <x:v>86.35014994193797</x:v>
      </x:c>
      <x:c r="E161" s="50" t="n">
        <x:v>1</x:v>
      </x:c>
      <x:c r="F161" s="29" t="str">
        <x:v>RELATIVE SALIENCE ONLY</x:v>
      </x:c>
    </x:row>
    <x:row r="162" ht="32.400001525878906" hidden="0" customHeight="1">
      <x:c r="A162" s="27" t="str">
        <x:v>SCA-09</x:v>
      </x:c>
      <x:c r="B162" s="27" t="str">
        <x:v>TRND</x:v>
      </x:c>
      <x:c r="C162" s="27" t="str">
        <x:v>Tornado</x:v>
      </x:c>
      <x:c r="D162" s="52" t="n">
        <x:v>63.943960747074236</x:v>
      </x:c>
      <x:c r="E162" s="49" t="n">
        <x:v>1</x:v>
      </x:c>
      <x:c r="F162" s="27" t="str">
        <x:v>RELATIVE SALIENCE ONLY</x:v>
      </x:c>
    </x:row>
    <x:row r="163" ht="21.600000381469727" hidden="0" customHeight="1">
      <x:c r="A163" s="29" t="str">
        <x:v>SCA-09</x:v>
      </x:c>
      <x:c r="B163" s="29" t="str">
        <x:v>TSUN</x:v>
      </x:c>
      <x:c r="C163" s="29" t="str">
        <x:v>Tsunami</x:v>
      </x:c>
      <x:c r="D163" s="53"/>
      <x:c r="E163" s="50" t="n">
        <x:v>0</x:v>
      </x:c>
      <x:c r="F163" s="29" t="str">
        <x:v>NO COVERAGE</x:v>
      </x:c>
    </x:row>
    <x:row r="164" ht="32.400001525878906" hidden="0" customHeight="1">
      <x:c r="A164" s="27" t="str">
        <x:v>SCA-09</x:v>
      </x:c>
      <x:c r="B164" s="27" t="str">
        <x:v>VLCN</x:v>
      </x:c>
      <x:c r="C164" s="27" t="str">
        <x:v>Volcanic activity</x:v>
      </x:c>
      <x:c r="D164" s="52" t="n">
        <x:v>58.40909316149004</x:v>
      </x:c>
      <x:c r="E164" s="49" t="n">
        <x:v>0.11839070077866701</x:v>
      </x:c>
      <x:c r="F164" s="27" t="str">
        <x:v>RELATIVE SALIENCE ONLY</x:v>
      </x:c>
    </x:row>
    <x:row r="165" ht="32.400001525878906" hidden="0" customHeight="1">
      <x:c r="A165" s="29" t="str">
        <x:v>SCA-09</x:v>
      </x:c>
      <x:c r="B165" s="29" t="str">
        <x:v>WFIR</x:v>
      </x:c>
      <x:c r="C165" s="29" t="str">
        <x:v>Wildfire</x:v>
      </x:c>
      <x:c r="D165" s="53" t="n">
        <x:v>98.10684391881708</x:v>
      </x:c>
      <x:c r="E165" s="50" t="n">
        <x:v>1</x:v>
      </x:c>
      <x:c r="F165" s="29" t="str">
        <x:v>RELATIVE SALIENCE ONLY</x:v>
      </x:c>
    </x:row>
    <x:row r="166" ht="32.400001525878906" hidden="0" customHeight="1">
      <x:c r="A166" s="27" t="str">
        <x:v>SCA-09</x:v>
      </x:c>
      <x:c r="B166" s="27" t="str">
        <x:v>WNTW</x:v>
      </x:c>
      <x:c r="C166" s="27" t="str">
        <x:v>Winter weather</x:v>
      </x:c>
      <x:c r="D166" s="52" t="n">
        <x:v>46.41224849846056</x:v>
      </x:c>
      <x:c r="E166" s="49" t="n">
        <x:v>1</x:v>
      </x:c>
      <x:c r="F166" s="27" t="str">
        <x:v>RELATIVE SALIENCE ONLY</x:v>
      </x:c>
    </x:row>
    <x:row r="167" ht="32.400001525878906" hidden="0" customHeight="1">
      <x:c r="A167" s="29" t="str">
        <x:v>SCA-10</x:v>
      </x:c>
      <x:c r="B167" s="29" t="str">
        <x:v>AVLN</x:v>
      </x:c>
      <x:c r="C167" s="29" t="str">
        <x:v>Avalanche</x:v>
      </x:c>
      <x:c r="D167" s="53" t="n">
        <x:v>83.778291767217</x:v>
      </x:c>
      <x:c r="E167" s="50" t="n">
        <x:v>0.9998236020889584</x:v>
      </x:c>
      <x:c r="F167" s="29" t="str">
        <x:v>RELATIVE SALIENCE ONLY</x:v>
      </x:c>
    </x:row>
    <x:row r="168" ht="32.400001525878906" hidden="0" customHeight="1">
      <x:c r="A168" s="27" t="str">
        <x:v>SCA-10</x:v>
      </x:c>
      <x:c r="B168" s="27" t="str">
        <x:v>CFLD</x:v>
      </x:c>
      <x:c r="C168" s="27" t="str">
        <x:v>Coastal flood</x:v>
      </x:c>
      <x:c r="D168" s="52" t="n">
        <x:v>0</x:v>
      </x:c>
      <x:c r="E168" s="49" t="n">
        <x:v>0.3882069758104672</x:v>
      </x:c>
      <x:c r="F168" s="27" t="str">
        <x:v>RELATIVE SALIENCE ONLY</x:v>
      </x:c>
    </x:row>
    <x:row r="169" ht="32.400001525878906" hidden="0" customHeight="1">
      <x:c r="A169" s="29" t="str">
        <x:v>SCA-10</x:v>
      </x:c>
      <x:c r="B169" s="29" t="str">
        <x:v>CWAV</x:v>
      </x:c>
      <x:c r="C169" s="29" t="str">
        <x:v>Cold wave</x:v>
      </x:c>
      <x:c r="D169" s="53" t="n">
        <x:v>43.40410660920445</x:v>
      </x:c>
      <x:c r="E169" s="50" t="n">
        <x:v>1</x:v>
      </x:c>
      <x:c r="F169" s="29" t="str">
        <x:v>RELATIVE SALIENCE ONLY</x:v>
      </x:c>
    </x:row>
    <x:row r="170" ht="32.400001525878906" hidden="0" customHeight="1">
      <x:c r="A170" s="27" t="str">
        <x:v>SCA-10</x:v>
      </x:c>
      <x:c r="B170" s="27" t="str">
        <x:v>DRGT</x:v>
      </x:c>
      <x:c r="C170" s="27" t="str">
        <x:v>Drought</x:v>
      </x:c>
      <x:c r="D170" s="52" t="n">
        <x:v>44.80224599849908</x:v>
      </x:c>
      <x:c r="E170" s="49" t="n">
        <x:v>1</x:v>
      </x:c>
      <x:c r="F170" s="27" t="str">
        <x:v>RELATIVE SALIENCE ONLY</x:v>
      </x:c>
    </x:row>
    <x:row r="171" ht="32.400001525878906" hidden="0" customHeight="1">
      <x:c r="A171" s="29" t="str">
        <x:v>SCA-10</x:v>
      </x:c>
      <x:c r="B171" s="29" t="str">
        <x:v>ERQK</x:v>
      </x:c>
      <x:c r="C171" s="29" t="str">
        <x:v>Earthquake</x:v>
      </x:c>
      <x:c r="D171" s="53" t="n">
        <x:v>90.9539136664673</x:v>
      </x:c>
      <x:c r="E171" s="50" t="n">
        <x:v>1</x:v>
      </x:c>
      <x:c r="F171" s="29" t="str">
        <x:v>RELATIVE SALIENCE ONLY</x:v>
      </x:c>
    </x:row>
    <x:row r="172" ht="32.400001525878906" hidden="0" customHeight="1">
      <x:c r="A172" s="27" t="str">
        <x:v>SCA-10</x:v>
      </x:c>
      <x:c r="B172" s="27" t="str">
        <x:v>HAIL</x:v>
      </x:c>
      <x:c r="C172" s="27" t="str">
        <x:v>Hail</x:v>
      </x:c>
      <x:c r="D172" s="52" t="n">
        <x:v>40.07998903153271</x:v>
      </x:c>
      <x:c r="E172" s="49" t="n">
        <x:v>1</x:v>
      </x:c>
      <x:c r="F172" s="27" t="str">
        <x:v>RELATIVE SALIENCE ONLY</x:v>
      </x:c>
    </x:row>
    <x:row r="173" ht="32.400001525878906" hidden="0" customHeight="1">
      <x:c r="A173" s="29" t="str">
        <x:v>SCA-10</x:v>
      </x:c>
      <x:c r="B173" s="29" t="str">
        <x:v>HWAV</x:v>
      </x:c>
      <x:c r="C173" s="29" t="str">
        <x:v>Heat wave</x:v>
      </x:c>
      <x:c r="D173" s="53" t="n">
        <x:v>73.56268571220298</x:v>
      </x:c>
      <x:c r="E173" s="50" t="n">
        <x:v>1</x:v>
      </x:c>
      <x:c r="F173" s="29" t="str">
        <x:v>RELATIVE SALIENCE ONLY</x:v>
      </x:c>
    </x:row>
    <x:row r="174" ht="21.600000381469727" hidden="0" customHeight="1">
      <x:c r="A174" s="27" t="str">
        <x:v>SCA-10</x:v>
      </x:c>
      <x:c r="B174" s="27" t="str">
        <x:v>HRCN</x:v>
      </x:c>
      <x:c r="C174" s="27" t="str">
        <x:v>Hurricane</x:v>
      </x:c>
      <x:c r="D174" s="52"/>
      <x:c r="E174" s="49" t="n">
        <x:v>0</x:v>
      </x:c>
      <x:c r="F174" s="27" t="str">
        <x:v>NO COVERAGE</x:v>
      </x:c>
    </x:row>
    <x:row r="175" ht="32.400001525878906" hidden="0" customHeight="1">
      <x:c r="A175" s="29" t="str">
        <x:v>SCA-10</x:v>
      </x:c>
      <x:c r="B175" s="29" t="str">
        <x:v>ISTM</x:v>
      </x:c>
      <x:c r="C175" s="29" t="str">
        <x:v>Ice storm</x:v>
      </x:c>
      <x:c r="D175" s="53" t="n">
        <x:v>25.594394440536142</x:v>
      </x:c>
      <x:c r="E175" s="50" t="n">
        <x:v>0.9979013979292145</x:v>
      </x:c>
      <x:c r="F175" s="29" t="str">
        <x:v>RELATIVE SALIENCE ONLY</x:v>
      </x:c>
    </x:row>
    <x:row r="176" ht="32.400001525878906" hidden="0" customHeight="1">
      <x:c r="A176" s="27" t="str">
        <x:v>SCA-10</x:v>
      </x:c>
      <x:c r="B176" s="27" t="str">
        <x:v>LNDS</x:v>
      </x:c>
      <x:c r="C176" s="27" t="str">
        <x:v>Landslide</x:v>
      </x:c>
      <x:c r="D176" s="52" t="n">
        <x:v>79.03008775376203</x:v>
      </x:c>
      <x:c r="E176" s="49" t="n">
        <x:v>1</x:v>
      </x:c>
      <x:c r="F176" s="27" t="str">
        <x:v>RELATIVE SALIENCE ONLY</x:v>
      </x:c>
    </x:row>
    <x:row r="177" ht="32.400001525878906" hidden="0" customHeight="1">
      <x:c r="A177" s="29" t="str">
        <x:v>SCA-10</x:v>
      </x:c>
      <x:c r="B177" s="29" t="str">
        <x:v>LTNG</x:v>
      </x:c>
      <x:c r="C177" s="29" t="str">
        <x:v>Lightning</x:v>
      </x:c>
      <x:c r="D177" s="53" t="n">
        <x:v>88.1372791941889</x:v>
      </x:c>
      <x:c r="E177" s="50" t="n">
        <x:v>1</x:v>
      </x:c>
      <x:c r="F177" s="29" t="str">
        <x:v>RELATIVE SALIENCE ONLY</x:v>
      </x:c>
    </x:row>
    <x:row r="178" ht="32.400001525878906" hidden="0" customHeight="1">
      <x:c r="A178" s="27" t="str">
        <x:v>SCA-10</x:v>
      </x:c>
      <x:c r="B178" s="27" t="str">
        <x:v>IFLD</x:v>
      </x:c>
      <x:c r="C178" s="27" t="str">
        <x:v>Inland flood</x:v>
      </x:c>
      <x:c r="D178" s="52" t="n">
        <x:v>71.46273937795169</x:v>
      </x:c>
      <x:c r="E178" s="49" t="n">
        <x:v>1</x:v>
      </x:c>
      <x:c r="F178" s="27" t="str">
        <x:v>RELATIVE SALIENCE ONLY</x:v>
      </x:c>
    </x:row>
    <x:row r="179" ht="32.400001525878906" hidden="0" customHeight="1">
      <x:c r="A179" s="29" t="str">
        <x:v>SCA-10</x:v>
      </x:c>
      <x:c r="B179" s="29" t="str">
        <x:v>SWND</x:v>
      </x:c>
      <x:c r="C179" s="29" t="str">
        <x:v>Strong wind</x:v>
      </x:c>
      <x:c r="D179" s="53" t="n">
        <x:v>60.44377960912914</x:v>
      </x:c>
      <x:c r="E179" s="50" t="n">
        <x:v>1</x:v>
      </x:c>
      <x:c r="F179" s="29" t="str">
        <x:v>RELATIVE SALIENCE ONLY</x:v>
      </x:c>
    </x:row>
    <x:row r="180" ht="32.400001525878906" hidden="0" customHeight="1">
      <x:c r="A180" s="27" t="str">
        <x:v>SCA-10</x:v>
      </x:c>
      <x:c r="B180" s="27" t="str">
        <x:v>TRND</x:v>
      </x:c>
      <x:c r="C180" s="27" t="str">
        <x:v>Tornado</x:v>
      </x:c>
      <x:c r="D180" s="52" t="n">
        <x:v>42.0137693889645</x:v>
      </x:c>
      <x:c r="E180" s="49" t="n">
        <x:v>1</x:v>
      </x:c>
      <x:c r="F180" s="27" t="str">
        <x:v>RELATIVE SALIENCE ONLY</x:v>
      </x:c>
    </x:row>
    <x:row r="181" ht="21.600000381469727" hidden="0" customHeight="1">
      <x:c r="A181" s="29" t="str">
        <x:v>SCA-10</x:v>
      </x:c>
      <x:c r="B181" s="29" t="str">
        <x:v>TSUN</x:v>
      </x:c>
      <x:c r="C181" s="29" t="str">
        <x:v>Tsunami</x:v>
      </x:c>
      <x:c r="D181" s="53"/>
      <x:c r="E181" s="50" t="n">
        <x:v>0</x:v>
      </x:c>
      <x:c r="F181" s="29" t="str">
        <x:v>NO COVERAGE</x:v>
      </x:c>
    </x:row>
    <x:row r="182" ht="32.400001525878906" hidden="0" customHeight="1">
      <x:c r="A182" s="27" t="str">
        <x:v>SCA-10</x:v>
      </x:c>
      <x:c r="B182" s="27" t="str">
        <x:v>VLCN</x:v>
      </x:c>
      <x:c r="C182" s="27" t="str">
        <x:v>Volcanic activity</x:v>
      </x:c>
      <x:c r="D182" s="52" t="n">
        <x:v>59.836718197943156</x:v>
      </x:c>
      <x:c r="E182" s="49" t="n">
        <x:v>0.8137746899528063</x:v>
      </x:c>
      <x:c r="F182" s="27" t="str">
        <x:v>RELATIVE SALIENCE ONLY</x:v>
      </x:c>
    </x:row>
    <x:row r="183" ht="32.400001525878906" hidden="0" customHeight="1">
      <x:c r="A183" s="29" t="str">
        <x:v>SCA-10</x:v>
      </x:c>
      <x:c r="B183" s="29" t="str">
        <x:v>WFIR</x:v>
      </x:c>
      <x:c r="C183" s="29" t="str">
        <x:v>Wildfire</x:v>
      </x:c>
      <x:c r="D183" s="53" t="n">
        <x:v>93.80775016001998</x:v>
      </x:c>
      <x:c r="E183" s="50" t="n">
        <x:v>1</x:v>
      </x:c>
      <x:c r="F183" s="29" t="str">
        <x:v>RELATIVE SALIENCE ONLY</x:v>
      </x:c>
    </x:row>
    <x:row r="184" ht="32.400001525878906" hidden="0" customHeight="1">
      <x:c r="A184" s="27" t="str">
        <x:v>SCA-10</x:v>
      </x:c>
      <x:c r="B184" s="27" t="str">
        <x:v>WNTW</x:v>
      </x:c>
      <x:c r="C184" s="27" t="str">
        <x:v>Winter weather</x:v>
      </x:c>
      <x:c r="D184" s="52" t="n">
        <x:v>89.6455303436037</x:v>
      </x:c>
      <x:c r="E184" s="49" t="n">
        <x:v>1</x:v>
      </x:c>
      <x:c r="F184" s="27" t="str">
        <x:v>RELATIVE SALIENCE ONLY</x:v>
      </x:c>
    </x:row>
    <x:row r="185" ht="32.400001525878906" hidden="0" customHeight="1">
      <x:c r="A185" s="29" t="str">
        <x:v>SCA-11</x:v>
      </x:c>
      <x:c r="B185" s="29" t="str">
        <x:v>AVLN</x:v>
      </x:c>
      <x:c r="C185" s="29" t="str">
        <x:v>Avalanche</x:v>
      </x:c>
      <x:c r="D185" s="53" t="n">
        <x:v>23.632463592239297</x:v>
      </x:c>
      <x:c r="E185" s="50" t="n">
        <x:v>0.7054355479737687</x:v>
      </x:c>
      <x:c r="F185" s="29" t="str">
        <x:v>RELATIVE SALIENCE ONLY</x:v>
      </x:c>
    </x:row>
    <x:row r="186" ht="21.600000381469727" hidden="0" customHeight="1">
      <x:c r="A186" s="27" t="str">
        <x:v>SCA-11</x:v>
      </x:c>
      <x:c r="B186" s="27" t="str">
        <x:v>CFLD</x:v>
      </x:c>
      <x:c r="C186" s="27" t="str">
        <x:v>Coastal flood</x:v>
      </x:c>
      <x:c r="D186" s="52"/>
      <x:c r="E186" s="49" t="n">
        <x:v>0</x:v>
      </x:c>
      <x:c r="F186" s="27" t="str">
        <x:v>NO COVERAGE</x:v>
      </x:c>
    </x:row>
    <x:row r="187" ht="32.400001525878906" hidden="0" customHeight="1">
      <x:c r="A187" s="29" t="str">
        <x:v>SCA-11</x:v>
      </x:c>
      <x:c r="B187" s="29" t="str">
        <x:v>CWAV</x:v>
      </x:c>
      <x:c r="C187" s="29" t="str">
        <x:v>Cold wave</x:v>
      </x:c>
      <x:c r="D187" s="53" t="n">
        <x:v>66.19133020009035</x:v>
      </x:c>
      <x:c r="E187" s="50" t="n">
        <x:v>1</x:v>
      </x:c>
      <x:c r="F187" s="29" t="str">
        <x:v>RELATIVE SALIENCE ONLY</x:v>
      </x:c>
    </x:row>
    <x:row r="188" ht="32.400001525878906" hidden="0" customHeight="1">
      <x:c r="A188" s="27" t="str">
        <x:v>SCA-11</x:v>
      </x:c>
      <x:c r="B188" s="27" t="str">
        <x:v>DRGT</x:v>
      </x:c>
      <x:c r="C188" s="27" t="str">
        <x:v>Drought</x:v>
      </x:c>
      <x:c r="D188" s="52" t="n">
        <x:v>80.97457987862282</x:v>
      </x:c>
      <x:c r="E188" s="49" t="n">
        <x:v>1</x:v>
      </x:c>
      <x:c r="F188" s="27" t="str">
        <x:v>RELATIVE SALIENCE ONLY</x:v>
      </x:c>
    </x:row>
    <x:row r="189" ht="32.400001525878906" hidden="0" customHeight="1">
      <x:c r="A189" s="29" t="str">
        <x:v>SCA-11</x:v>
      </x:c>
      <x:c r="B189" s="29" t="str">
        <x:v>ERQK</x:v>
      </x:c>
      <x:c r="C189" s="29" t="str">
        <x:v>Earthquake</x:v>
      </x:c>
      <x:c r="D189" s="53" t="n">
        <x:v>72.07463833465721</x:v>
      </x:c>
      <x:c r="E189" s="50" t="n">
        <x:v>1</x:v>
      </x:c>
      <x:c r="F189" s="29" t="str">
        <x:v>RELATIVE SALIENCE ONLY</x:v>
      </x:c>
    </x:row>
    <x:row r="190" ht="32.400001525878906" hidden="0" customHeight="1">
      <x:c r="A190" s="27" t="str">
        <x:v>SCA-11</x:v>
      </x:c>
      <x:c r="B190" s="27" t="str">
        <x:v>HAIL</x:v>
      </x:c>
      <x:c r="C190" s="27" t="str">
        <x:v>Hail</x:v>
      </x:c>
      <x:c r="D190" s="52" t="n">
        <x:v>88.38365807734992</x:v>
      </x:c>
      <x:c r="E190" s="49" t="n">
        <x:v>1</x:v>
      </x:c>
      <x:c r="F190" s="27" t="str">
        <x:v>RELATIVE SALIENCE ONLY</x:v>
      </x:c>
    </x:row>
    <x:row r="191" ht="32.400001525878906" hidden="0" customHeight="1">
      <x:c r="A191" s="29" t="str">
        <x:v>SCA-11</x:v>
      </x:c>
      <x:c r="B191" s="29" t="str">
        <x:v>HWAV</x:v>
      </x:c>
      <x:c r="C191" s="29" t="str">
        <x:v>Heat wave</x:v>
      </x:c>
      <x:c r="D191" s="53" t="n">
        <x:v>80.25900840594946</x:v>
      </x:c>
      <x:c r="E191" s="50" t="n">
        <x:v>1</x:v>
      </x:c>
      <x:c r="F191" s="29" t="str">
        <x:v>RELATIVE SALIENCE ONLY</x:v>
      </x:c>
    </x:row>
    <x:row r="192" ht="32.400001525878906" hidden="0" customHeight="1">
      <x:c r="A192" s="27" t="str">
        <x:v>SCA-11</x:v>
      </x:c>
      <x:c r="B192" s="27" t="str">
        <x:v>HRCN</x:v>
      </x:c>
      <x:c r="C192" s="27" t="str">
        <x:v>Hurricane</x:v>
      </x:c>
      <x:c r="D192" s="52" t="n">
        <x:v>35.0490666732644</x:v>
      </x:c>
      <x:c r="E192" s="49" t="n">
        <x:v>0.7360240969677811</x:v>
      </x:c>
      <x:c r="F192" s="27" t="str">
        <x:v>RELATIVE SALIENCE ONLY</x:v>
      </x:c>
    </x:row>
    <x:row r="193" ht="32.400001525878906" hidden="0" customHeight="1">
      <x:c r="A193" s="29" t="str">
        <x:v>SCA-11</x:v>
      </x:c>
      <x:c r="B193" s="29" t="str">
        <x:v>ISTM</x:v>
      </x:c>
      <x:c r="C193" s="29" t="str">
        <x:v>Ice storm</x:v>
      </x:c>
      <x:c r="D193" s="53" t="n">
        <x:v>60.34795367590309</x:v>
      </x:c>
      <x:c r="E193" s="50" t="n">
        <x:v>1</x:v>
      </x:c>
      <x:c r="F193" s="29" t="str">
        <x:v>RELATIVE SALIENCE ONLY</x:v>
      </x:c>
    </x:row>
    <x:row r="194" ht="32.400001525878906" hidden="0" customHeight="1">
      <x:c r="A194" s="27" t="str">
        <x:v>SCA-11</x:v>
      </x:c>
      <x:c r="B194" s="27" t="str">
        <x:v>LNDS</x:v>
      </x:c>
      <x:c r="C194" s="27" t="str">
        <x:v>Landslide</x:v>
      </x:c>
      <x:c r="D194" s="52" t="n">
        <x:v>33.89468624485262</x:v>
      </x:c>
      <x:c r="E194" s="49" t="n">
        <x:v>1</x:v>
      </x:c>
      <x:c r="F194" s="27" t="str">
        <x:v>RELATIVE SALIENCE ONLY</x:v>
      </x:c>
    </x:row>
    <x:row r="195" ht="32.400001525878906" hidden="0" customHeight="1">
      <x:c r="A195" s="29" t="str">
        <x:v>SCA-11</x:v>
      </x:c>
      <x:c r="B195" s="29" t="str">
        <x:v>LTNG</x:v>
      </x:c>
      <x:c r="C195" s="29" t="str">
        <x:v>Lightning</x:v>
      </x:c>
      <x:c r="D195" s="53" t="n">
        <x:v>87.36572162480381</x:v>
      </x:c>
      <x:c r="E195" s="50" t="n">
        <x:v>1</x:v>
      </x:c>
      <x:c r="F195" s="29" t="str">
        <x:v>RELATIVE SALIENCE ONLY</x:v>
      </x:c>
    </x:row>
    <x:row r="196" ht="32.400001525878906" hidden="0" customHeight="1">
      <x:c r="A196" s="27" t="str">
        <x:v>SCA-11</x:v>
      </x:c>
      <x:c r="B196" s="27" t="str">
        <x:v>IFLD</x:v>
      </x:c>
      <x:c r="C196" s="27" t="str">
        <x:v>Inland flood</x:v>
      </x:c>
      <x:c r="D196" s="52" t="n">
        <x:v>86.2156609894051</x:v>
      </x:c>
      <x:c r="E196" s="49" t="n">
        <x:v>1</x:v>
      </x:c>
      <x:c r="F196" s="27" t="str">
        <x:v>RELATIVE SALIENCE ONLY</x:v>
      </x:c>
    </x:row>
    <x:row r="197" ht="32.400001525878906" hidden="0" customHeight="1">
      <x:c r="A197" s="29" t="str">
        <x:v>SCA-11</x:v>
      </x:c>
      <x:c r="B197" s="29" t="str">
        <x:v>SWND</x:v>
      </x:c>
      <x:c r="C197" s="29" t="str">
        <x:v>Strong wind</x:v>
      </x:c>
      <x:c r="D197" s="53" t="n">
        <x:v>72.58461247667454</x:v>
      </x:c>
      <x:c r="E197" s="50" t="n">
        <x:v>1</x:v>
      </x:c>
      <x:c r="F197" s="29" t="str">
        <x:v>RELATIVE SALIENCE ONLY</x:v>
      </x:c>
    </x:row>
    <x:row r="198" ht="32.400001525878906" hidden="0" customHeight="1">
      <x:c r="A198" s="27" t="str">
        <x:v>SCA-11</x:v>
      </x:c>
      <x:c r="B198" s="27" t="str">
        <x:v>TRND</x:v>
      </x:c>
      <x:c r="C198" s="27" t="str">
        <x:v>Tornado</x:v>
      </x:c>
      <x:c r="D198" s="52" t="n">
        <x:v>47.21001608466268</x:v>
      </x:c>
      <x:c r="E198" s="49" t="n">
        <x:v>1</x:v>
      </x:c>
      <x:c r="F198" s="27" t="str">
        <x:v>RELATIVE SALIENCE ONLY</x:v>
      </x:c>
    </x:row>
    <x:row r="199" ht="21.600000381469727" hidden="0" customHeight="1">
      <x:c r="A199" s="29" t="str">
        <x:v>SCA-11</x:v>
      </x:c>
      <x:c r="B199" s="29" t="str">
        <x:v>TSUN</x:v>
      </x:c>
      <x:c r="C199" s="29" t="str">
        <x:v>Tsunami</x:v>
      </x:c>
      <x:c r="D199" s="53"/>
      <x:c r="E199" s="50" t="n">
        <x:v>0</x:v>
      </x:c>
      <x:c r="F199" s="29" t="str">
        <x:v>NO COVERAGE</x:v>
      </x:c>
    </x:row>
    <x:row r="200" ht="32.400001525878906" hidden="0" customHeight="1">
      <x:c r="A200" s="27" t="str">
        <x:v>SCA-11</x:v>
      </x:c>
      <x:c r="B200" s="27" t="str">
        <x:v>VLCN</x:v>
      </x:c>
      <x:c r="C200" s="27" t="str">
        <x:v>Volcanic activity</x:v>
      </x:c>
      <x:c r="D200" s="52" t="n">
        <x:v>21.28640086836323</x:v>
      </x:c>
      <x:c r="E200" s="49" t="n">
        <x:v>0.4271247804372465</x:v>
      </x:c>
      <x:c r="F200" s="27" t="str">
        <x:v>RELATIVE SALIENCE ONLY</x:v>
      </x:c>
    </x:row>
    <x:row r="201" ht="32.400001525878906" hidden="0" customHeight="1">
      <x:c r="A201" s="29" t="str">
        <x:v>SCA-11</x:v>
      </x:c>
      <x:c r="B201" s="29" t="str">
        <x:v>WFIR</x:v>
      </x:c>
      <x:c r="C201" s="29" t="str">
        <x:v>Wildfire</x:v>
      </x:c>
      <x:c r="D201" s="53" t="n">
        <x:v>84.97027639342748</x:v>
      </x:c>
      <x:c r="E201" s="50" t="n">
        <x:v>1</x:v>
      </x:c>
      <x:c r="F201" s="29" t="str">
        <x:v>RELATIVE SALIENCE ONLY</x:v>
      </x:c>
    </x:row>
    <x:row r="202" ht="32.400001525878906" hidden="0" customHeight="1">
      <x:c r="A202" s="27" t="str">
        <x:v>SCA-11</x:v>
      </x:c>
      <x:c r="B202" s="27" t="str">
        <x:v>WNTW</x:v>
      </x:c>
      <x:c r="C202" s="27" t="str">
        <x:v>Winter weather</x:v>
      </x:c>
      <x:c r="D202" s="52" t="n">
        <x:v>93.08124006858887</x:v>
      </x:c>
      <x:c r="E202" s="49" t="n">
        <x:v>1</x:v>
      </x:c>
      <x:c r="F202" s="27" t="str">
        <x:v>RELATIVE SALIENCE ONLY</x:v>
      </x:c>
    </x:row>
    <x:row r="203" ht="32.400001525878906" hidden="0" customHeight="1">
      <x:c r="A203" s="29" t="str">
        <x:v>SCA-12</x:v>
      </x:c>
      <x:c r="B203" s="29" t="str">
        <x:v>AVLN</x:v>
      </x:c>
      <x:c r="C203" s="29" t="str">
        <x:v>Avalanche</x:v>
      </x:c>
      <x:c r="D203" s="53" t="n">
        <x:v>61.413692964528614</x:v>
      </x:c>
      <x:c r="E203" s="50" t="n">
        <x:v>0.5672411913112413</x:v>
      </x:c>
      <x:c r="F203" s="29" t="str">
        <x:v>RELATIVE SALIENCE ONLY</x:v>
      </x:c>
    </x:row>
    <x:row r="204" ht="21.600000381469727" hidden="0" customHeight="1">
      <x:c r="A204" s="27" t="str">
        <x:v>SCA-12</x:v>
      </x:c>
      <x:c r="B204" s="27" t="str">
        <x:v>CFLD</x:v>
      </x:c>
      <x:c r="C204" s="27" t="str">
        <x:v>Coastal flood</x:v>
      </x:c>
      <x:c r="D204" s="52"/>
      <x:c r="E204" s="49" t="n">
        <x:v>0</x:v>
      </x:c>
      <x:c r="F204" s="27" t="str">
        <x:v>NO COVERAGE</x:v>
      </x:c>
    </x:row>
    <x:row r="205" ht="32.400001525878906" hidden="0" customHeight="1">
      <x:c r="A205" s="29" t="str">
        <x:v>SCA-12</x:v>
      </x:c>
      <x:c r="B205" s="29" t="str">
        <x:v>CWAV</x:v>
      </x:c>
      <x:c r="C205" s="29" t="str">
        <x:v>Cold wave</x:v>
      </x:c>
      <x:c r="D205" s="53" t="n">
        <x:v>72.78115373208117</x:v>
      </x:c>
      <x:c r="E205" s="50" t="n">
        <x:v>1</x:v>
      </x:c>
      <x:c r="F205" s="29" t="str">
        <x:v>RELATIVE SALIENCE ONLY</x:v>
      </x:c>
    </x:row>
    <x:row r="206" ht="32.400001525878906" hidden="0" customHeight="1">
      <x:c r="A206" s="27" t="str">
        <x:v>SCA-12</x:v>
      </x:c>
      <x:c r="B206" s="27" t="str">
        <x:v>DRGT</x:v>
      </x:c>
      <x:c r="C206" s="27" t="str">
        <x:v>Drought</x:v>
      </x:c>
      <x:c r="D206" s="52" t="n">
        <x:v>45.31237169343414</x:v>
      </x:c>
      <x:c r="E206" s="49" t="n">
        <x:v>1</x:v>
      </x:c>
      <x:c r="F206" s="27" t="str">
        <x:v>RELATIVE SALIENCE ONLY</x:v>
      </x:c>
    </x:row>
    <x:row r="207" ht="32.400001525878906" hidden="0" customHeight="1">
      <x:c r="A207" s="29" t="str">
        <x:v>SCA-12</x:v>
      </x:c>
      <x:c r="B207" s="29" t="str">
        <x:v>ERQK</x:v>
      </x:c>
      <x:c r="C207" s="29" t="str">
        <x:v>Earthquake</x:v>
      </x:c>
      <x:c r="D207" s="53" t="n">
        <x:v>72.58525761452985</x:v>
      </x:c>
      <x:c r="E207" s="50" t="n">
        <x:v>1</x:v>
      </x:c>
      <x:c r="F207" s="29" t="str">
        <x:v>RELATIVE SALIENCE ONLY</x:v>
      </x:c>
    </x:row>
    <x:row r="208" ht="32.400001525878906" hidden="0" customHeight="1">
      <x:c r="A208" s="27" t="str">
        <x:v>SCA-12</x:v>
      </x:c>
      <x:c r="B208" s="27" t="str">
        <x:v>HAIL</x:v>
      </x:c>
      <x:c r="C208" s="27" t="str">
        <x:v>Hail</x:v>
      </x:c>
      <x:c r="D208" s="52" t="n">
        <x:v>85.99464105647493</x:v>
      </x:c>
      <x:c r="E208" s="49" t="n">
        <x:v>1</x:v>
      </x:c>
      <x:c r="F208" s="27" t="str">
        <x:v>RELATIVE SALIENCE ONLY</x:v>
      </x:c>
    </x:row>
    <x:row r="209" ht="32.400001525878906" hidden="0" customHeight="1">
      <x:c r="A209" s="29" t="str">
        <x:v>SCA-12</x:v>
      </x:c>
      <x:c r="B209" s="29" t="str">
        <x:v>HWAV</x:v>
      </x:c>
      <x:c r="C209" s="29" t="str">
        <x:v>Heat wave</x:v>
      </x:c>
      <x:c r="D209" s="53" t="n">
        <x:v>56.64313913945825</x:v>
      </x:c>
      <x:c r="E209" s="50" t="n">
        <x:v>1</x:v>
      </x:c>
      <x:c r="F209" s="29" t="str">
        <x:v>RELATIVE SALIENCE ONLY</x:v>
      </x:c>
    </x:row>
    <x:row r="210" ht="32.400001525878906" hidden="0" customHeight="1">
      <x:c r="A210" s="27" t="str">
        <x:v>SCA-12</x:v>
      </x:c>
      <x:c r="B210" s="27" t="str">
        <x:v>HRCN</x:v>
      </x:c>
      <x:c r="C210" s="27" t="str">
        <x:v>Hurricane</x:v>
      </x:c>
      <x:c r="D210" s="52" t="n">
        <x:v>0</x:v>
      </x:c>
      <x:c r="E210" s="49" t="n">
        <x:v>0.041167226107963015</x:v>
      </x:c>
      <x:c r="F210" s="27" t="str">
        <x:v>RELATIVE SALIENCE ONLY</x:v>
      </x:c>
    </x:row>
    <x:row r="211" ht="32.400001525878906" hidden="0" customHeight="1">
      <x:c r="A211" s="29" t="str">
        <x:v>SCA-12</x:v>
      </x:c>
      <x:c r="B211" s="29" t="str">
        <x:v>ISTM</x:v>
      </x:c>
      <x:c r="C211" s="29" t="str">
        <x:v>Ice storm</x:v>
      </x:c>
      <x:c r="D211" s="53" t="n">
        <x:v>43.22289843475771</x:v>
      </x:c>
      <x:c r="E211" s="50" t="n">
        <x:v>1</x:v>
      </x:c>
      <x:c r="F211" s="29" t="str">
        <x:v>RELATIVE SALIENCE ONLY</x:v>
      </x:c>
    </x:row>
    <x:row r="212" ht="32.400001525878906" hidden="0" customHeight="1">
      <x:c r="A212" s="27" t="str">
        <x:v>SCA-12</x:v>
      </x:c>
      <x:c r="B212" s="27" t="str">
        <x:v>LNDS</x:v>
      </x:c>
      <x:c r="C212" s="27" t="str">
        <x:v>Landslide</x:v>
      </x:c>
      <x:c r="D212" s="52" t="n">
        <x:v>65.07981177076371</x:v>
      </x:c>
      <x:c r="E212" s="49" t="n">
        <x:v>1</x:v>
      </x:c>
      <x:c r="F212" s="27" t="str">
        <x:v>RELATIVE SALIENCE ONLY</x:v>
      </x:c>
    </x:row>
    <x:row r="213" ht="32.400001525878906" hidden="0" customHeight="1">
      <x:c r="A213" s="29" t="str">
        <x:v>SCA-12</x:v>
      </x:c>
      <x:c r="B213" s="29" t="str">
        <x:v>LTNG</x:v>
      </x:c>
      <x:c r="C213" s="29" t="str">
        <x:v>Lightning</x:v>
      </x:c>
      <x:c r="D213" s="53" t="n">
        <x:v>90.05119520024176</x:v>
      </x:c>
      <x:c r="E213" s="50" t="n">
        <x:v>1</x:v>
      </x:c>
      <x:c r="F213" s="29" t="str">
        <x:v>RELATIVE SALIENCE ONLY</x:v>
      </x:c>
    </x:row>
    <x:row r="214" ht="32.400001525878906" hidden="0" customHeight="1">
      <x:c r="A214" s="27" t="str">
        <x:v>SCA-12</x:v>
      </x:c>
      <x:c r="B214" s="27" t="str">
        <x:v>IFLD</x:v>
      </x:c>
      <x:c r="C214" s="27" t="str">
        <x:v>Inland flood</x:v>
      </x:c>
      <x:c r="D214" s="52" t="n">
        <x:v>80.07057619221217</x:v>
      </x:c>
      <x:c r="E214" s="49" t="n">
        <x:v>1</x:v>
      </x:c>
      <x:c r="F214" s="27" t="str">
        <x:v>RELATIVE SALIENCE ONLY</x:v>
      </x:c>
    </x:row>
    <x:row r="215" ht="32.400001525878906" hidden="0" customHeight="1">
      <x:c r="A215" s="29" t="str">
        <x:v>SCA-12</x:v>
      </x:c>
      <x:c r="B215" s="29" t="str">
        <x:v>SWND</x:v>
      </x:c>
      <x:c r="C215" s="29" t="str">
        <x:v>Strong wind</x:v>
      </x:c>
      <x:c r="D215" s="53" t="n">
        <x:v>73.03971375937705</x:v>
      </x:c>
      <x:c r="E215" s="50" t="n">
        <x:v>1</x:v>
      </x:c>
      <x:c r="F215" s="29" t="str">
        <x:v>RELATIVE SALIENCE ONLY</x:v>
      </x:c>
    </x:row>
    <x:row r="216" ht="32.400001525878906" hidden="0" customHeight="1">
      <x:c r="A216" s="27" t="str">
        <x:v>SCA-12</x:v>
      </x:c>
      <x:c r="B216" s="27" t="str">
        <x:v>TRND</x:v>
      </x:c>
      <x:c r="C216" s="27" t="str">
        <x:v>Tornado</x:v>
      </x:c>
      <x:c r="D216" s="52" t="n">
        <x:v>75.71084188089974</x:v>
      </x:c>
      <x:c r="E216" s="49" t="n">
        <x:v>1</x:v>
      </x:c>
      <x:c r="F216" s="27" t="str">
        <x:v>RELATIVE SALIENCE ONLY</x:v>
      </x:c>
    </x:row>
    <x:row r="217" ht="21.600000381469727" hidden="0" customHeight="1">
      <x:c r="A217" s="29" t="str">
        <x:v>SCA-12</x:v>
      </x:c>
      <x:c r="B217" s="29" t="str">
        <x:v>TSUN</x:v>
      </x:c>
      <x:c r="C217" s="29" t="str">
        <x:v>Tsunami</x:v>
      </x:c>
      <x:c r="D217" s="53"/>
      <x:c r="E217" s="50" t="n">
        <x:v>0</x:v>
      </x:c>
      <x:c r="F217" s="29" t="str">
        <x:v>NO COVERAGE</x:v>
      </x:c>
    </x:row>
    <x:row r="218" ht="32.400001525878906" hidden="0" customHeight="1">
      <x:c r="A218" s="27" t="str">
        <x:v>SCA-12</x:v>
      </x:c>
      <x:c r="B218" s="27" t="str">
        <x:v>VLCN</x:v>
      </x:c>
      <x:c r="C218" s="27" t="str">
        <x:v>Volcanic activity</x:v>
      </x:c>
      <x:c r="D218" s="52" t="n">
        <x:v>60.47944485927709</x:v>
      </x:c>
      <x:c r="E218" s="49" t="n">
        <x:v>0.8004268078518071</x:v>
      </x:c>
      <x:c r="F218" s="27" t="str">
        <x:v>RELATIVE SALIENCE ONLY</x:v>
      </x:c>
    </x:row>
    <x:row r="219" ht="32.400001525878906" hidden="0" customHeight="1">
      <x:c r="A219" s="29" t="str">
        <x:v>SCA-12</x:v>
      </x:c>
      <x:c r="B219" s="29" t="str">
        <x:v>WFIR</x:v>
      </x:c>
      <x:c r="C219" s="29" t="str">
        <x:v>Wildfire</x:v>
      </x:c>
      <x:c r="D219" s="53" t="n">
        <x:v>86.70813406032782</x:v>
      </x:c>
      <x:c r="E219" s="50" t="n">
        <x:v>1</x:v>
      </x:c>
      <x:c r="F219" s="29" t="str">
        <x:v>RELATIVE SALIENCE ONLY</x:v>
      </x:c>
    </x:row>
    <x:row r="220" ht="32.400001525878906" hidden="0" customHeight="1">
      <x:c r="A220" s="27" t="str">
        <x:v>SCA-12</x:v>
      </x:c>
      <x:c r="B220" s="27" t="str">
        <x:v>WNTW</x:v>
      </x:c>
      <x:c r="C220" s="27" t="str">
        <x:v>Winter weather</x:v>
      </x:c>
      <x:c r="D220" s="52" t="n">
        <x:v>88.19602076344023</x:v>
      </x:c>
      <x:c r="E220" s="49" t="n">
        <x:v>1</x:v>
      </x:c>
      <x:c r="F220" s="27" t="str">
        <x:v>RELATIVE SALIENCE ONLY</x:v>
      </x:c>
    </x:row>
    <x:row r="221" ht="21.600000381469727" hidden="0" customHeight="1">
      <x:c r="A221" s="29" t="str">
        <x:v>SCA-13</x:v>
      </x:c>
      <x:c r="B221" s="29" t="str">
        <x:v>AVLN</x:v>
      </x:c>
      <x:c r="C221" s="29" t="str">
        <x:v>Avalanche</x:v>
      </x:c>
      <x:c r="D221" s="53"/>
      <x:c r="E221" s="50" t="n">
        <x:v>0</x:v>
      </x:c>
      <x:c r="F221" s="29" t="str">
        <x:v>NO COVERAGE</x:v>
      </x:c>
    </x:row>
    <x:row r="222" ht="32.400001525878906" hidden="0" customHeight="1">
      <x:c r="A222" s="27" t="str">
        <x:v>SCA-13</x:v>
      </x:c>
      <x:c r="B222" s="27" t="str">
        <x:v>CFLD</x:v>
      </x:c>
      <x:c r="C222" s="27" t="str">
        <x:v>Coastal flood</x:v>
      </x:c>
      <x:c r="D222" s="52" t="n">
        <x:v>42.78693345214468</x:v>
      </x:c>
      <x:c r="E222" s="49" t="n">
        <x:v>0.029222013743424705</x:v>
      </x:c>
      <x:c r="F222" s="27" t="str">
        <x:v>RELATIVE SALIENCE ONLY</x:v>
      </x:c>
    </x:row>
    <x:row r="223" ht="32.400001525878906" hidden="0" customHeight="1">
      <x:c r="A223" s="29" t="str">
        <x:v>SCA-13</x:v>
      </x:c>
      <x:c r="B223" s="29" t="str">
        <x:v>CWAV</x:v>
      </x:c>
      <x:c r="C223" s="29" t="str">
        <x:v>Cold wave</x:v>
      </x:c>
      <x:c r="D223" s="53" t="n">
        <x:v>84.34902518973418</x:v>
      </x:c>
      <x:c r="E223" s="50" t="n">
        <x:v>1</x:v>
      </x:c>
      <x:c r="F223" s="29" t="str">
        <x:v>RELATIVE SALIENCE ONLY</x:v>
      </x:c>
    </x:row>
    <x:row r="224" ht="32.400001525878906" hidden="0" customHeight="1">
      <x:c r="A224" s="27" t="str">
        <x:v>SCA-13</x:v>
      </x:c>
      <x:c r="B224" s="27" t="str">
        <x:v>DRGT</x:v>
      </x:c>
      <x:c r="C224" s="27" t="str">
        <x:v>Drought</x:v>
      </x:c>
      <x:c r="D224" s="52" t="n">
        <x:v>68.12339238854652</x:v>
      </x:c>
      <x:c r="E224" s="49" t="n">
        <x:v>1</x:v>
      </x:c>
      <x:c r="F224" s="27" t="str">
        <x:v>RELATIVE SALIENCE ONLY</x:v>
      </x:c>
    </x:row>
    <x:row r="225" ht="32.400001525878906" hidden="0" customHeight="1">
      <x:c r="A225" s="29" t="str">
        <x:v>SCA-13</x:v>
      </x:c>
      <x:c r="B225" s="29" t="str">
        <x:v>ERQK</x:v>
      </x:c>
      <x:c r="C225" s="29" t="str">
        <x:v>Earthquake</x:v>
      </x:c>
      <x:c r="D225" s="53" t="n">
        <x:v>42.90844841134142</x:v>
      </x:c>
      <x:c r="E225" s="50" t="n">
        <x:v>1</x:v>
      </x:c>
      <x:c r="F225" s="29" t="str">
        <x:v>RELATIVE SALIENCE ONLY</x:v>
      </x:c>
    </x:row>
    <x:row r="226" ht="32.400001525878906" hidden="0" customHeight="1">
      <x:c r="A226" s="27" t="str">
        <x:v>SCA-13</x:v>
      </x:c>
      <x:c r="B226" s="27" t="str">
        <x:v>HAIL</x:v>
      </x:c>
      <x:c r="C226" s="27" t="str">
        <x:v>Hail</x:v>
      </x:c>
      <x:c r="D226" s="52" t="n">
        <x:v>93.97412411266897</x:v>
      </x:c>
      <x:c r="E226" s="49" t="n">
        <x:v>1</x:v>
      </x:c>
      <x:c r="F226" s="27" t="str">
        <x:v>RELATIVE SALIENCE ONLY</x:v>
      </x:c>
    </x:row>
    <x:row r="227" ht="32.400001525878906" hidden="0" customHeight="1">
      <x:c r="A227" s="29" t="str">
        <x:v>SCA-13</x:v>
      </x:c>
      <x:c r="B227" s="29" t="str">
        <x:v>HWAV</x:v>
      </x:c>
      <x:c r="C227" s="29" t="str">
        <x:v>Heat wave</x:v>
      </x:c>
      <x:c r="D227" s="53" t="n">
        <x:v>91.3250943360843</x:v>
      </x:c>
      <x:c r="E227" s="50" t="n">
        <x:v>1</x:v>
      </x:c>
      <x:c r="F227" s="29" t="str">
        <x:v>RELATIVE SALIENCE ONLY</x:v>
      </x:c>
    </x:row>
    <x:row r="228" ht="32.400001525878906" hidden="0" customHeight="1">
      <x:c r="A228" s="27" t="str">
        <x:v>SCA-13</x:v>
      </x:c>
      <x:c r="B228" s="27" t="str">
        <x:v>HRCN</x:v>
      </x:c>
      <x:c r="C228" s="27" t="str">
        <x:v>Hurricane</x:v>
      </x:c>
      <x:c r="D228" s="52" t="n">
        <x:v>74.52660613803893</x:v>
      </x:c>
      <x:c r="E228" s="49" t="n">
        <x:v>1</x:v>
      </x:c>
      <x:c r="F228" s="27" t="str">
        <x:v>RELATIVE SALIENCE ONLY</x:v>
      </x:c>
    </x:row>
    <x:row r="229" ht="32.400001525878906" hidden="0" customHeight="1">
      <x:c r="A229" s="29" t="str">
        <x:v>SCA-13</x:v>
      </x:c>
      <x:c r="B229" s="29" t="str">
        <x:v>ISTM</x:v>
      </x:c>
      <x:c r="C229" s="29" t="str">
        <x:v>Ice storm</x:v>
      </x:c>
      <x:c r="D229" s="53" t="n">
        <x:v>67.57843347279446</x:v>
      </x:c>
      <x:c r="E229" s="50" t="n">
        <x:v>1</x:v>
      </x:c>
      <x:c r="F229" s="29" t="str">
        <x:v>RELATIVE SALIENCE ONLY</x:v>
      </x:c>
    </x:row>
    <x:row r="230" ht="32.400001525878906" hidden="0" customHeight="1">
      <x:c r="A230" s="27" t="str">
        <x:v>SCA-13</x:v>
      </x:c>
      <x:c r="B230" s="27" t="str">
        <x:v>LNDS</x:v>
      </x:c>
      <x:c r="C230" s="27" t="str">
        <x:v>Landslide</x:v>
      </x:c>
      <x:c r="D230" s="52" t="n">
        <x:v>58.29343532702559</x:v>
      </x:c>
      <x:c r="E230" s="49" t="n">
        <x:v>1</x:v>
      </x:c>
      <x:c r="F230" s="27" t="str">
        <x:v>RELATIVE SALIENCE ONLY</x:v>
      </x:c>
    </x:row>
    <x:row r="231" ht="32.400001525878906" hidden="0" customHeight="1">
      <x:c r="A231" s="29" t="str">
        <x:v>SCA-13</x:v>
      </x:c>
      <x:c r="B231" s="29" t="str">
        <x:v>LTNG</x:v>
      </x:c>
      <x:c r="C231" s="29" t="str">
        <x:v>Lightning</x:v>
      </x:c>
      <x:c r="D231" s="53" t="n">
        <x:v>88.57333316939054</x:v>
      </x:c>
      <x:c r="E231" s="50" t="n">
        <x:v>1</x:v>
      </x:c>
      <x:c r="F231" s="29" t="str">
        <x:v>RELATIVE SALIENCE ONLY</x:v>
      </x:c>
    </x:row>
    <x:row r="232" ht="32.400001525878906" hidden="0" customHeight="1">
      <x:c r="A232" s="27" t="str">
        <x:v>SCA-13</x:v>
      </x:c>
      <x:c r="B232" s="27" t="str">
        <x:v>IFLD</x:v>
      </x:c>
      <x:c r="C232" s="27" t="str">
        <x:v>Inland flood</x:v>
      </x:c>
      <x:c r="D232" s="52" t="n">
        <x:v>91.47262635969297</x:v>
      </x:c>
      <x:c r="E232" s="49" t="n">
        <x:v>1</x:v>
      </x:c>
      <x:c r="F232" s="27" t="str">
        <x:v>RELATIVE SALIENCE ONLY</x:v>
      </x:c>
    </x:row>
    <x:row r="233" ht="32.400001525878906" hidden="0" customHeight="1">
      <x:c r="A233" s="29" t="str">
        <x:v>SCA-13</x:v>
      </x:c>
      <x:c r="B233" s="29" t="str">
        <x:v>SWND</x:v>
      </x:c>
      <x:c r="C233" s="29" t="str">
        <x:v>Strong wind</x:v>
      </x:c>
      <x:c r="D233" s="53" t="n">
        <x:v>75.87439592900677</x:v>
      </x:c>
      <x:c r="E233" s="50" t="n">
        <x:v>1</x:v>
      </x:c>
      <x:c r="F233" s="29" t="str">
        <x:v>RELATIVE SALIENCE ONLY</x:v>
      </x:c>
    </x:row>
    <x:row r="234" ht="32.400001525878906" hidden="0" customHeight="1">
      <x:c r="A234" s="27" t="str">
        <x:v>SCA-13</x:v>
      </x:c>
      <x:c r="B234" s="27" t="str">
        <x:v>TRND</x:v>
      </x:c>
      <x:c r="C234" s="27" t="str">
        <x:v>Tornado</x:v>
      </x:c>
      <x:c r="D234" s="52" t="n">
        <x:v>92.36454046957212</x:v>
      </x:c>
      <x:c r="E234" s="49" t="n">
        <x:v>1</x:v>
      </x:c>
      <x:c r="F234" s="27" t="str">
        <x:v>RELATIVE SALIENCE ONLY</x:v>
      </x:c>
    </x:row>
    <x:row r="235" ht="21.600000381469727" hidden="0" customHeight="1">
      <x:c r="A235" s="29" t="str">
        <x:v>SCA-13</x:v>
      </x:c>
      <x:c r="B235" s="29" t="str">
        <x:v>TSUN</x:v>
      </x:c>
      <x:c r="C235" s="29" t="str">
        <x:v>Tsunami</x:v>
      </x:c>
      <x:c r="D235" s="53"/>
      <x:c r="E235" s="50" t="n">
        <x:v>0</x:v>
      </x:c>
      <x:c r="F235" s="29" t="str">
        <x:v>NO COVERAGE</x:v>
      </x:c>
    </x:row>
    <x:row r="236" ht="21.600000381469727" hidden="0" customHeight="1">
      <x:c r="A236" s="27" t="str">
        <x:v>SCA-13</x:v>
      </x:c>
      <x:c r="B236" s="27" t="str">
        <x:v>VLCN</x:v>
      </x:c>
      <x:c r="C236" s="27" t="str">
        <x:v>Volcanic activity</x:v>
      </x:c>
      <x:c r="D236" s="52"/>
      <x:c r="E236" s="49" t="n">
        <x:v>0</x:v>
      </x:c>
      <x:c r="F236" s="27" t="str">
        <x:v>NO COVERAGE</x:v>
      </x:c>
    </x:row>
    <x:row r="237" ht="32.400001525878906" hidden="0" customHeight="1">
      <x:c r="A237" s="29" t="str">
        <x:v>SCA-13</x:v>
      </x:c>
      <x:c r="B237" s="29" t="str">
        <x:v>WFIR</x:v>
      </x:c>
      <x:c r="C237" s="29" t="str">
        <x:v>Wildfire</x:v>
      </x:c>
      <x:c r="D237" s="53" t="n">
        <x:v>87.0837973089682</x:v>
      </x:c>
      <x:c r="E237" s="50" t="n">
        <x:v>1</x:v>
      </x:c>
      <x:c r="F237" s="29" t="str">
        <x:v>RELATIVE SALIENCE ONLY</x:v>
      </x:c>
    </x:row>
    <x:row r="238" ht="32.400001525878906" hidden="0" customHeight="1">
      <x:c r="A238" s="27" t="str">
        <x:v>SCA-13</x:v>
      </x:c>
      <x:c r="B238" s="27" t="str">
        <x:v>WNTW</x:v>
      </x:c>
      <x:c r="C238" s="27" t="str">
        <x:v>Winter weather</x:v>
      </x:c>
      <x:c r="D238" s="52" t="n">
        <x:v>82.9007722009823</x:v>
      </x:c>
      <x:c r="E238" s="49" t="n">
        <x:v>1</x:v>
      </x:c>
      <x:c r="F238" s="27" t="str">
        <x:v>RELATIVE SALIENCE ONLY</x:v>
      </x:c>
    </x:row>
    <x:row r="239" ht="21.600000381469727" hidden="0" customHeight="1">
      <x:c r="A239" s="29" t="str">
        <x:v>SCA-14</x:v>
      </x:c>
      <x:c r="B239" s="29" t="str">
        <x:v>AVLN</x:v>
      </x:c>
      <x:c r="C239" s="29" t="str">
        <x:v>Avalanche</x:v>
      </x:c>
      <x:c r="D239" s="53"/>
      <x:c r="E239" s="50" t="n">
        <x:v>0</x:v>
      </x:c>
      <x:c r="F239" s="29" t="str">
        <x:v>NO COVERAGE</x:v>
      </x:c>
    </x:row>
    <x:row r="240" ht="32.400001525878906" hidden="0" customHeight="1">
      <x:c r="A240" s="27" t="str">
        <x:v>SCA-14</x:v>
      </x:c>
      <x:c r="B240" s="27" t="str">
        <x:v>CFLD</x:v>
      </x:c>
      <x:c r="C240" s="27" t="str">
        <x:v>Coastal flood</x:v>
      </x:c>
      <x:c r="D240" s="52" t="n">
        <x:v>67.3663260274398</x:v>
      </x:c>
      <x:c r="E240" s="49" t="n">
        <x:v>0.38424197881570543</x:v>
      </x:c>
      <x:c r="F240" s="27" t="str">
        <x:v>RELATIVE SALIENCE ONLY</x:v>
      </x:c>
    </x:row>
    <x:row r="241" ht="32.400001525878906" hidden="0" customHeight="1">
      <x:c r="A241" s="29" t="str">
        <x:v>SCA-14</x:v>
      </x:c>
      <x:c r="B241" s="29" t="str">
        <x:v>CWAV</x:v>
      </x:c>
      <x:c r="C241" s="29" t="str">
        <x:v>Cold wave</x:v>
      </x:c>
      <x:c r="D241" s="53" t="n">
        <x:v>98.97529936281799</x:v>
      </x:c>
      <x:c r="E241" s="50" t="n">
        <x:v>1</x:v>
      </x:c>
      <x:c r="F241" s="29" t="str">
        <x:v>RELATIVE SALIENCE ONLY</x:v>
      </x:c>
    </x:row>
    <x:row r="242" ht="32.400001525878906" hidden="0" customHeight="1">
      <x:c r="A242" s="27" t="str">
        <x:v>SCA-14</x:v>
      </x:c>
      <x:c r="B242" s="27" t="str">
        <x:v>DRGT</x:v>
      </x:c>
      <x:c r="C242" s="27" t="str">
        <x:v>Drought</x:v>
      </x:c>
      <x:c r="D242" s="52" t="n">
        <x:v>84.77933658048312</x:v>
      </x:c>
      <x:c r="E242" s="49" t="n">
        <x:v>1</x:v>
      </x:c>
      <x:c r="F242" s="27" t="str">
        <x:v>RELATIVE SALIENCE ONLY</x:v>
      </x:c>
    </x:row>
    <x:row r="243" ht="32.400001525878906" hidden="0" customHeight="1">
      <x:c r="A243" s="29" t="str">
        <x:v>SCA-14</x:v>
      </x:c>
      <x:c r="B243" s="29" t="str">
        <x:v>ERQK</x:v>
      </x:c>
      <x:c r="C243" s="29" t="str">
        <x:v>Earthquake</x:v>
      </x:c>
      <x:c r="D243" s="53" t="n">
        <x:v>58.51852724745972</x:v>
      </x:c>
      <x:c r="E243" s="50" t="n">
        <x:v>1</x:v>
      </x:c>
      <x:c r="F243" s="29" t="str">
        <x:v>RELATIVE SALIENCE ONLY</x:v>
      </x:c>
    </x:row>
    <x:row r="244" ht="32.400001525878906" hidden="0" customHeight="1">
      <x:c r="A244" s="27" t="str">
        <x:v>SCA-14</x:v>
      </x:c>
      <x:c r="B244" s="27" t="str">
        <x:v>HAIL</x:v>
      </x:c>
      <x:c r="C244" s="27" t="str">
        <x:v>Hail</x:v>
      </x:c>
      <x:c r="D244" s="52" t="n">
        <x:v>93.39880718933784</x:v>
      </x:c>
      <x:c r="E244" s="49" t="n">
        <x:v>1</x:v>
      </x:c>
      <x:c r="F244" s="27" t="str">
        <x:v>RELATIVE SALIENCE ONLY</x:v>
      </x:c>
    </x:row>
    <x:row r="245" ht="32.400001525878906" hidden="0" customHeight="1">
      <x:c r="A245" s="29" t="str">
        <x:v>SCA-14</x:v>
      </x:c>
      <x:c r="B245" s="29" t="str">
        <x:v>HWAV</x:v>
      </x:c>
      <x:c r="C245" s="29" t="str">
        <x:v>Heat wave</x:v>
      </x:c>
      <x:c r="D245" s="53" t="n">
        <x:v>95.97353199952153</x:v>
      </x:c>
      <x:c r="E245" s="50" t="n">
        <x:v>1</x:v>
      </x:c>
      <x:c r="F245" s="29" t="str">
        <x:v>RELATIVE SALIENCE ONLY</x:v>
      </x:c>
    </x:row>
    <x:row r="246" ht="32.400001525878906" hidden="0" customHeight="1">
      <x:c r="A246" s="27" t="str">
        <x:v>SCA-14</x:v>
      </x:c>
      <x:c r="B246" s="27" t="str">
        <x:v>HRCN</x:v>
      </x:c>
      <x:c r="C246" s="27" t="str">
        <x:v>Hurricane</x:v>
      </x:c>
      <x:c r="D246" s="52" t="n">
        <x:v>96.15950307866777</x:v>
      </x:c>
      <x:c r="E246" s="49" t="n">
        <x:v>1</x:v>
      </x:c>
      <x:c r="F246" s="27" t="str">
        <x:v>RELATIVE SALIENCE ONLY</x:v>
      </x:c>
    </x:row>
    <x:row r="247" ht="32.400001525878906" hidden="0" customHeight="1">
      <x:c r="A247" s="29" t="str">
        <x:v>SCA-14</x:v>
      </x:c>
      <x:c r="B247" s="29" t="str">
        <x:v>ISTM</x:v>
      </x:c>
      <x:c r="C247" s="29" t="str">
        <x:v>Ice storm</x:v>
      </x:c>
      <x:c r="D247" s="53" t="n">
        <x:v>87.16526178774812</x:v>
      </x:c>
      <x:c r="E247" s="50" t="n">
        <x:v>1</x:v>
      </x:c>
      <x:c r="F247" s="29" t="str">
        <x:v>RELATIVE SALIENCE ONLY</x:v>
      </x:c>
    </x:row>
    <x:row r="248" ht="32.400001525878906" hidden="0" customHeight="1">
      <x:c r="A248" s="27" t="str">
        <x:v>SCA-14</x:v>
      </x:c>
      <x:c r="B248" s="27" t="str">
        <x:v>LNDS</x:v>
      </x:c>
      <x:c r="C248" s="27" t="str">
        <x:v>Landslide</x:v>
      </x:c>
      <x:c r="D248" s="52" t="n">
        <x:v>43.98690673294363</x:v>
      </x:c>
      <x:c r="E248" s="49" t="n">
        <x:v>1</x:v>
      </x:c>
      <x:c r="F248" s="27" t="str">
        <x:v>RELATIVE SALIENCE ONLY</x:v>
      </x:c>
    </x:row>
    <x:row r="249" ht="32.400001525878906" hidden="0" customHeight="1">
      <x:c r="A249" s="29" t="str">
        <x:v>SCA-14</x:v>
      </x:c>
      <x:c r="B249" s="29" t="str">
        <x:v>LTNG</x:v>
      </x:c>
      <x:c r="C249" s="29" t="str">
        <x:v>Lightning</x:v>
      </x:c>
      <x:c r="D249" s="53" t="n">
        <x:v>80.89634140207124</x:v>
      </x:c>
      <x:c r="E249" s="50" t="n">
        <x:v>1</x:v>
      </x:c>
      <x:c r="F249" s="29" t="str">
        <x:v>RELATIVE SALIENCE ONLY</x:v>
      </x:c>
    </x:row>
    <x:row r="250" ht="32.400001525878906" hidden="0" customHeight="1">
      <x:c r="A250" s="27" t="str">
        <x:v>SCA-14</x:v>
      </x:c>
      <x:c r="B250" s="27" t="str">
        <x:v>IFLD</x:v>
      </x:c>
      <x:c r="C250" s="27" t="str">
        <x:v>Inland flood</x:v>
      </x:c>
      <x:c r="D250" s="52" t="n">
        <x:v>90.83430843865685</x:v>
      </x:c>
      <x:c r="E250" s="49" t="n">
        <x:v>1</x:v>
      </x:c>
      <x:c r="F250" s="27" t="str">
        <x:v>RELATIVE SALIENCE ONLY</x:v>
      </x:c>
    </x:row>
    <x:row r="251" ht="32.400001525878906" hidden="0" customHeight="1">
      <x:c r="A251" s="29" t="str">
        <x:v>SCA-14</x:v>
      </x:c>
      <x:c r="B251" s="29" t="str">
        <x:v>SWND</x:v>
      </x:c>
      <x:c r="C251" s="29" t="str">
        <x:v>Strong wind</x:v>
      </x:c>
      <x:c r="D251" s="53" t="n">
        <x:v>79.23958669766746</x:v>
      </x:c>
      <x:c r="E251" s="50" t="n">
        <x:v>1</x:v>
      </x:c>
      <x:c r="F251" s="29" t="str">
        <x:v>RELATIVE SALIENCE ONLY</x:v>
      </x:c>
    </x:row>
    <x:row r="252" ht="32.400001525878906" hidden="0" customHeight="1">
      <x:c r="A252" s="27" t="str">
        <x:v>SCA-14</x:v>
      </x:c>
      <x:c r="B252" s="27" t="str">
        <x:v>TRND</x:v>
      </x:c>
      <x:c r="C252" s="27" t="str">
        <x:v>Tornado</x:v>
      </x:c>
      <x:c r="D252" s="52" t="n">
        <x:v>86.62905884501049</x:v>
      </x:c>
      <x:c r="E252" s="49" t="n">
        <x:v>1</x:v>
      </x:c>
      <x:c r="F252" s="27" t="str">
        <x:v>RELATIVE SALIENCE ONLY</x:v>
      </x:c>
    </x:row>
    <x:row r="253" ht="21.600000381469727" hidden="0" customHeight="1">
      <x:c r="A253" s="29" t="str">
        <x:v>SCA-14</x:v>
      </x:c>
      <x:c r="B253" s="29" t="str">
        <x:v>TSUN</x:v>
      </x:c>
      <x:c r="C253" s="29" t="str">
        <x:v>Tsunami</x:v>
      </x:c>
      <x:c r="D253" s="53"/>
      <x:c r="E253" s="50" t="n">
        <x:v>0</x:v>
      </x:c>
      <x:c r="F253" s="29" t="str">
        <x:v>NO COVERAGE</x:v>
      </x:c>
    </x:row>
    <x:row r="254" ht="21.600000381469727" hidden="0" customHeight="1">
      <x:c r="A254" s="27" t="str">
        <x:v>SCA-14</x:v>
      </x:c>
      <x:c r="B254" s="27" t="str">
        <x:v>VLCN</x:v>
      </x:c>
      <x:c r="C254" s="27" t="str">
        <x:v>Volcanic activity</x:v>
      </x:c>
      <x:c r="D254" s="52"/>
      <x:c r="E254" s="49" t="n">
        <x:v>0</x:v>
      </x:c>
      <x:c r="F254" s="27" t="str">
        <x:v>NO COVERAGE</x:v>
      </x:c>
    </x:row>
    <x:row r="255" ht="32.400001525878906" hidden="0" customHeight="1">
      <x:c r="A255" s="29" t="str">
        <x:v>SCA-14</x:v>
      </x:c>
      <x:c r="B255" s="29" t="str">
        <x:v>WFIR</x:v>
      </x:c>
      <x:c r="C255" s="29" t="str">
        <x:v>Wildfire</x:v>
      </x:c>
      <x:c r="D255" s="53" t="n">
        <x:v>78.33224461752765</x:v>
      </x:c>
      <x:c r="E255" s="50" t="n">
        <x:v>1</x:v>
      </x:c>
      <x:c r="F255" s="29" t="str">
        <x:v>RELATIVE SALIENCE ONLY</x:v>
      </x:c>
    </x:row>
    <x:row r="256" ht="32.400001525878906" hidden="0" customHeight="1">
      <x:c r="A256" s="27" t="str">
        <x:v>SCA-14</x:v>
      </x:c>
      <x:c r="B256" s="27" t="str">
        <x:v>WNTW</x:v>
      </x:c>
      <x:c r="C256" s="27" t="str">
        <x:v>Winter weather</x:v>
      </x:c>
      <x:c r="D256" s="52" t="n">
        <x:v>83.5633265530037</x:v>
      </x:c>
      <x:c r="E256" s="49" t="n">
        <x:v>1</x:v>
      </x:c>
      <x:c r="F256" s="27" t="str">
        <x:v>RELATIVE SALIENCE ONLY</x:v>
      </x:c>
    </x:row>
    <x:row r="257" ht="21.600000381469727" hidden="0" customHeight="1">
      <x:c r="A257" s="29" t="str">
        <x:v>SCA-15</x:v>
      </x:c>
      <x:c r="B257" s="29" t="str">
        <x:v>AVLN</x:v>
      </x:c>
      <x:c r="C257" s="29" t="str">
        <x:v>Avalanche</x:v>
      </x:c>
      <x:c r="D257" s="53"/>
      <x:c r="E257" s="50" t="n">
        <x:v>0</x:v>
      </x:c>
      <x:c r="F257" s="29" t="str">
        <x:v>NO COVERAGE</x:v>
      </x:c>
    </x:row>
    <x:row r="258" ht="21.600000381469727" hidden="0" customHeight="1">
      <x:c r="A258" s="27" t="str">
        <x:v>SCA-15</x:v>
      </x:c>
      <x:c r="B258" s="27" t="str">
        <x:v>CFLD</x:v>
      </x:c>
      <x:c r="C258" s="27" t="str">
        <x:v>Coastal flood</x:v>
      </x:c>
      <x:c r="D258" s="52"/>
      <x:c r="E258" s="49" t="n">
        <x:v>0</x:v>
      </x:c>
      <x:c r="F258" s="27" t="str">
        <x:v>NO COVERAGE</x:v>
      </x:c>
    </x:row>
    <x:row r="259" ht="32.400001525878906" hidden="0" customHeight="1">
      <x:c r="A259" s="29" t="str">
        <x:v>SCA-15</x:v>
      </x:c>
      <x:c r="B259" s="29" t="str">
        <x:v>CWAV</x:v>
      </x:c>
      <x:c r="C259" s="29" t="str">
        <x:v>Cold wave</x:v>
      </x:c>
      <x:c r="D259" s="53" t="n">
        <x:v>86.74285549338394</x:v>
      </x:c>
      <x:c r="E259" s="50" t="n">
        <x:v>1</x:v>
      </x:c>
      <x:c r="F259" s="29" t="str">
        <x:v>RELATIVE SALIENCE ONLY</x:v>
      </x:c>
    </x:row>
    <x:row r="260" ht="32.400001525878906" hidden="0" customHeight="1">
      <x:c r="A260" s="27" t="str">
        <x:v>SCA-15</x:v>
      </x:c>
      <x:c r="B260" s="27" t="str">
        <x:v>DRGT</x:v>
      </x:c>
      <x:c r="C260" s="27" t="str">
        <x:v>Drought</x:v>
      </x:c>
      <x:c r="D260" s="52" t="n">
        <x:v>46.29515817418362</x:v>
      </x:c>
      <x:c r="E260" s="49" t="n">
        <x:v>1</x:v>
      </x:c>
      <x:c r="F260" s="27" t="str">
        <x:v>RELATIVE SALIENCE ONLY</x:v>
      </x:c>
    </x:row>
    <x:row r="261" ht="32.400001525878906" hidden="0" customHeight="1">
      <x:c r="A261" s="29" t="str">
        <x:v>SCA-15</x:v>
      </x:c>
      <x:c r="B261" s="29" t="str">
        <x:v>ERQK</x:v>
      </x:c>
      <x:c r="C261" s="29" t="str">
        <x:v>Earthquake</x:v>
      </x:c>
      <x:c r="D261" s="53" t="n">
        <x:v>72.44048739596653</x:v>
      </x:c>
      <x:c r="E261" s="50" t="n">
        <x:v>1</x:v>
      </x:c>
      <x:c r="F261" s="29" t="str">
        <x:v>RELATIVE SALIENCE ONLY</x:v>
      </x:c>
    </x:row>
    <x:row r="262" ht="32.400001525878906" hidden="0" customHeight="1">
      <x:c r="A262" s="27" t="str">
        <x:v>SCA-15</x:v>
      </x:c>
      <x:c r="B262" s="27" t="str">
        <x:v>HAIL</x:v>
      </x:c>
      <x:c r="C262" s="27" t="str">
        <x:v>Hail</x:v>
      </x:c>
      <x:c r="D262" s="52" t="n">
        <x:v>93.59803131530975</x:v>
      </x:c>
      <x:c r="E262" s="49" t="n">
        <x:v>1</x:v>
      </x:c>
      <x:c r="F262" s="27" t="str">
        <x:v>RELATIVE SALIENCE ONLY</x:v>
      </x:c>
    </x:row>
    <x:row r="263" ht="32.400001525878906" hidden="0" customHeight="1">
      <x:c r="A263" s="29" t="str">
        <x:v>SCA-15</x:v>
      </x:c>
      <x:c r="B263" s="29" t="str">
        <x:v>HWAV</x:v>
      </x:c>
      <x:c r="C263" s="29" t="str">
        <x:v>Heat wave</x:v>
      </x:c>
      <x:c r="D263" s="53" t="n">
        <x:v>92.61916224787423</x:v>
      </x:c>
      <x:c r="E263" s="50" t="n">
        <x:v>1</x:v>
      </x:c>
      <x:c r="F263" s="29" t="str">
        <x:v>RELATIVE SALIENCE ONLY</x:v>
      </x:c>
    </x:row>
    <x:row r="264" ht="32.400001525878906" hidden="0" customHeight="1">
      <x:c r="A264" s="27" t="str">
        <x:v>SCA-15</x:v>
      </x:c>
      <x:c r="B264" s="27" t="str">
        <x:v>HRCN</x:v>
      </x:c>
      <x:c r="C264" s="27" t="str">
        <x:v>Hurricane</x:v>
      </x:c>
      <x:c r="D264" s="52" t="n">
        <x:v>61.857242745600466</x:v>
      </x:c>
      <x:c r="E264" s="49" t="n">
        <x:v>1</x:v>
      </x:c>
      <x:c r="F264" s="27" t="str">
        <x:v>RELATIVE SALIENCE ONLY</x:v>
      </x:c>
    </x:row>
    <x:row r="265" ht="32.400001525878906" hidden="0" customHeight="1">
      <x:c r="A265" s="29" t="str">
        <x:v>SCA-15</x:v>
      </x:c>
      <x:c r="B265" s="29" t="str">
        <x:v>ISTM</x:v>
      </x:c>
      <x:c r="C265" s="29" t="str">
        <x:v>Ice storm</x:v>
      </x:c>
      <x:c r="D265" s="53" t="n">
        <x:v>89.22182929578481</x:v>
      </x:c>
      <x:c r="E265" s="50" t="n">
        <x:v>1</x:v>
      </x:c>
      <x:c r="F265" s="29" t="str">
        <x:v>RELATIVE SALIENCE ONLY</x:v>
      </x:c>
    </x:row>
    <x:row r="266" ht="32.400001525878906" hidden="0" customHeight="1">
      <x:c r="A266" s="27" t="str">
        <x:v>SCA-15</x:v>
      </x:c>
      <x:c r="B266" s="27" t="str">
        <x:v>LNDS</x:v>
      </x:c>
      <x:c r="C266" s="27" t="str">
        <x:v>Landslide</x:v>
      </x:c>
      <x:c r="D266" s="52" t="n">
        <x:v>49.174896737770496</x:v>
      </x:c>
      <x:c r="E266" s="49" t="n">
        <x:v>1</x:v>
      </x:c>
      <x:c r="F266" s="27" t="str">
        <x:v>RELATIVE SALIENCE ONLY</x:v>
      </x:c>
    </x:row>
    <x:row r="267" ht="32.400001525878906" hidden="0" customHeight="1">
      <x:c r="A267" s="29" t="str">
        <x:v>SCA-15</x:v>
      </x:c>
      <x:c r="B267" s="29" t="str">
        <x:v>LTNG</x:v>
      </x:c>
      <x:c r="C267" s="29" t="str">
        <x:v>Lightning</x:v>
      </x:c>
      <x:c r="D267" s="53" t="n">
        <x:v>78.5431784828361</x:v>
      </x:c>
      <x:c r="E267" s="50" t="n">
        <x:v>1</x:v>
      </x:c>
      <x:c r="F267" s="29" t="str">
        <x:v>RELATIVE SALIENCE ONLY</x:v>
      </x:c>
    </x:row>
    <x:row r="268" ht="32.400001525878906" hidden="0" customHeight="1">
      <x:c r="A268" s="27" t="str">
        <x:v>SCA-15</x:v>
      </x:c>
      <x:c r="B268" s="27" t="str">
        <x:v>IFLD</x:v>
      </x:c>
      <x:c r="C268" s="27" t="str">
        <x:v>Inland flood</x:v>
      </x:c>
      <x:c r="D268" s="52" t="n">
        <x:v>84.29794758745119</x:v>
      </x:c>
      <x:c r="E268" s="49" t="n">
        <x:v>1</x:v>
      </x:c>
      <x:c r="F268" s="27" t="str">
        <x:v>RELATIVE SALIENCE ONLY</x:v>
      </x:c>
    </x:row>
    <x:row r="269" ht="32.400001525878906" hidden="0" customHeight="1">
      <x:c r="A269" s="29" t="str">
        <x:v>SCA-15</x:v>
      </x:c>
      <x:c r="B269" s="29" t="str">
        <x:v>SWND</x:v>
      </x:c>
      <x:c r="C269" s="29" t="str">
        <x:v>Strong wind</x:v>
      </x:c>
      <x:c r="D269" s="53" t="n">
        <x:v>80.98994392323644</x:v>
      </x:c>
      <x:c r="E269" s="50" t="n">
        <x:v>1</x:v>
      </x:c>
      <x:c r="F269" s="29" t="str">
        <x:v>RELATIVE SALIENCE ONLY</x:v>
      </x:c>
    </x:row>
    <x:row r="270" ht="32.400001525878906" hidden="0" customHeight="1">
      <x:c r="A270" s="27" t="str">
        <x:v>SCA-15</x:v>
      </x:c>
      <x:c r="B270" s="27" t="str">
        <x:v>TRND</x:v>
      </x:c>
      <x:c r="C270" s="27" t="str">
        <x:v>Tornado</x:v>
      </x:c>
      <x:c r="D270" s="52" t="n">
        <x:v>92.41596511917997</x:v>
      </x:c>
      <x:c r="E270" s="49" t="n">
        <x:v>1</x:v>
      </x:c>
      <x:c r="F270" s="27" t="str">
        <x:v>RELATIVE SALIENCE ONLY</x:v>
      </x:c>
    </x:row>
    <x:row r="271" ht="21.600000381469727" hidden="0" customHeight="1">
      <x:c r="A271" s="29" t="str">
        <x:v>SCA-15</x:v>
      </x:c>
      <x:c r="B271" s="29" t="str">
        <x:v>TSUN</x:v>
      </x:c>
      <x:c r="C271" s="29" t="str">
        <x:v>Tsunami</x:v>
      </x:c>
      <x:c r="D271" s="53"/>
      <x:c r="E271" s="50" t="n">
        <x:v>0</x:v>
      </x:c>
      <x:c r="F271" s="29" t="str">
        <x:v>NO COVERAGE</x:v>
      </x:c>
    </x:row>
    <x:row r="272" ht="21.600000381469727" hidden="0" customHeight="1">
      <x:c r="A272" s="27" t="str">
        <x:v>SCA-15</x:v>
      </x:c>
      <x:c r="B272" s="27" t="str">
        <x:v>VLCN</x:v>
      </x:c>
      <x:c r="C272" s="27" t="str">
        <x:v>Volcanic activity</x:v>
      </x:c>
      <x:c r="D272" s="52"/>
      <x:c r="E272" s="49" t="n">
        <x:v>0</x:v>
      </x:c>
      <x:c r="F272" s="27" t="str">
        <x:v>NO COVERAGE</x:v>
      </x:c>
    </x:row>
    <x:row r="273" ht="32.400001525878906" hidden="0" customHeight="1">
      <x:c r="A273" s="29" t="str">
        <x:v>SCA-15</x:v>
      </x:c>
      <x:c r="B273" s="29" t="str">
        <x:v>WFIR</x:v>
      </x:c>
      <x:c r="C273" s="29" t="str">
        <x:v>Wildfire</x:v>
      </x:c>
      <x:c r="D273" s="53" t="n">
        <x:v>82.9252793086641</x:v>
      </x:c>
      <x:c r="E273" s="50" t="n">
        <x:v>1</x:v>
      </x:c>
      <x:c r="F273" s="29" t="str">
        <x:v>RELATIVE SALIENCE ONLY</x:v>
      </x:c>
    </x:row>
    <x:row r="274" ht="32.400001525878906" hidden="0" customHeight="1">
      <x:c r="A274" s="27" t="str">
        <x:v>SCA-15</x:v>
      </x:c>
      <x:c r="B274" s="27" t="str">
        <x:v>WNTW</x:v>
      </x:c>
      <x:c r="C274" s="27" t="str">
        <x:v>Winter weather</x:v>
      </x:c>
      <x:c r="D274" s="52" t="n">
        <x:v>80.11878575878227</x:v>
      </x:c>
      <x:c r="E274" s="49" t="n">
        <x:v>1</x:v>
      </x:c>
      <x:c r="F274" s="27" t="str">
        <x:v>RELATIVE SALIENCE ONLY</x:v>
      </x:c>
    </x:row>
    <x:row r="275" ht="21.600000381469727" hidden="0" customHeight="1">
      <x:c r="A275" s="29" t="str">
        <x:v>SCA-16</x:v>
      </x:c>
      <x:c r="B275" s="29" t="str">
        <x:v>AVLN</x:v>
      </x:c>
      <x:c r="C275" s="29" t="str">
        <x:v>Avalanche</x:v>
      </x:c>
      <x:c r="D275" s="53"/>
      <x:c r="E275" s="50" t="n">
        <x:v>0</x:v>
      </x:c>
      <x:c r="F275" s="29" t="str">
        <x:v>NO COVERAGE</x:v>
      </x:c>
    </x:row>
    <x:row r="276" ht="21.600000381469727" hidden="0" customHeight="1">
      <x:c r="A276" s="27" t="str">
        <x:v>SCA-16</x:v>
      </x:c>
      <x:c r="B276" s="27" t="str">
        <x:v>CFLD</x:v>
      </x:c>
      <x:c r="C276" s="27" t="str">
        <x:v>Coastal flood</x:v>
      </x:c>
      <x:c r="D276" s="52"/>
      <x:c r="E276" s="49" t="n">
        <x:v>0</x:v>
      </x:c>
      <x:c r="F276" s="27" t="str">
        <x:v>NO COVERAGE</x:v>
      </x:c>
    </x:row>
    <x:row r="277" ht="32.400001525878906" hidden="0" customHeight="1">
      <x:c r="A277" s="29" t="str">
        <x:v>SCA-16</x:v>
      </x:c>
      <x:c r="B277" s="29" t="str">
        <x:v>CWAV</x:v>
      </x:c>
      <x:c r="C277" s="29" t="str">
        <x:v>Cold wave</x:v>
      </x:c>
      <x:c r="D277" s="53" t="n">
        <x:v>79.87870638319338</x:v>
      </x:c>
      <x:c r="E277" s="50" t="n">
        <x:v>1</x:v>
      </x:c>
      <x:c r="F277" s="29" t="str">
        <x:v>RELATIVE SALIENCE ONLY</x:v>
      </x:c>
    </x:row>
    <x:row r="278" ht="32.400001525878906" hidden="0" customHeight="1">
      <x:c r="A278" s="27" t="str">
        <x:v>SCA-16</x:v>
      </x:c>
      <x:c r="B278" s="27" t="str">
        <x:v>DRGT</x:v>
      </x:c>
      <x:c r="C278" s="27" t="str">
        <x:v>Drought</x:v>
      </x:c>
      <x:c r="D278" s="52" t="n">
        <x:v>60.807986107138916</x:v>
      </x:c>
      <x:c r="E278" s="49" t="n">
        <x:v>1</x:v>
      </x:c>
      <x:c r="F278" s="27" t="str">
        <x:v>RELATIVE SALIENCE ONLY</x:v>
      </x:c>
    </x:row>
    <x:row r="279" ht="32.400001525878906" hidden="0" customHeight="1">
      <x:c r="A279" s="29" t="str">
        <x:v>SCA-16</x:v>
      </x:c>
      <x:c r="B279" s="29" t="str">
        <x:v>ERQK</x:v>
      </x:c>
      <x:c r="C279" s="29" t="str">
        <x:v>Earthquake</x:v>
      </x:c>
      <x:c r="D279" s="53" t="n">
        <x:v>60.281116737178785</x:v>
      </x:c>
      <x:c r="E279" s="50" t="n">
        <x:v>1</x:v>
      </x:c>
      <x:c r="F279" s="29" t="str">
        <x:v>RELATIVE SALIENCE ONLY</x:v>
      </x:c>
    </x:row>
    <x:row r="280" ht="32.400001525878906" hidden="0" customHeight="1">
      <x:c r="A280" s="27" t="str">
        <x:v>SCA-16</x:v>
      </x:c>
      <x:c r="B280" s="27" t="str">
        <x:v>HAIL</x:v>
      </x:c>
      <x:c r="C280" s="27" t="str">
        <x:v>Hail</x:v>
      </x:c>
      <x:c r="D280" s="52" t="n">
        <x:v>89.87145235705312</x:v>
      </x:c>
      <x:c r="E280" s="49" t="n">
        <x:v>1</x:v>
      </x:c>
      <x:c r="F280" s="27" t="str">
        <x:v>RELATIVE SALIENCE ONLY</x:v>
      </x:c>
    </x:row>
    <x:row r="281" ht="32.400001525878906" hidden="0" customHeight="1">
      <x:c r="A281" s="29" t="str">
        <x:v>SCA-16</x:v>
      </x:c>
      <x:c r="B281" s="29" t="str">
        <x:v>HWAV</x:v>
      </x:c>
      <x:c r="C281" s="29" t="str">
        <x:v>Heat wave</x:v>
      </x:c>
      <x:c r="D281" s="53" t="n">
        <x:v>84.62955548997623</x:v>
      </x:c>
      <x:c r="E281" s="50" t="n">
        <x:v>1</x:v>
      </x:c>
      <x:c r="F281" s="29" t="str">
        <x:v>RELATIVE SALIENCE ONLY</x:v>
      </x:c>
    </x:row>
    <x:row r="282" ht="32.400001525878906" hidden="0" customHeight="1">
      <x:c r="A282" s="27" t="str">
        <x:v>SCA-16</x:v>
      </x:c>
      <x:c r="B282" s="27" t="str">
        <x:v>HRCN</x:v>
      </x:c>
      <x:c r="C282" s="27" t="str">
        <x:v>Hurricane</x:v>
      </x:c>
      <x:c r="D282" s="52" t="n">
        <x:v>20.476716775987075</x:v>
      </x:c>
      <x:c r="E282" s="49" t="n">
        <x:v>0.9392817958081814</x:v>
      </x:c>
      <x:c r="F282" s="27" t="str">
        <x:v>RELATIVE SALIENCE ONLY</x:v>
      </x:c>
    </x:row>
    <x:row r="283" ht="32.400001525878906" hidden="0" customHeight="1">
      <x:c r="A283" s="29" t="str">
        <x:v>SCA-16</x:v>
      </x:c>
      <x:c r="B283" s="29" t="str">
        <x:v>ISTM</x:v>
      </x:c>
      <x:c r="C283" s="29" t="str">
        <x:v>Ice storm</x:v>
      </x:c>
      <x:c r="D283" s="53" t="n">
        <x:v>89.9757129077282</x:v>
      </x:c>
      <x:c r="E283" s="50" t="n">
        <x:v>1</x:v>
      </x:c>
      <x:c r="F283" s="29" t="str">
        <x:v>RELATIVE SALIENCE ONLY</x:v>
      </x:c>
    </x:row>
    <x:row r="284" ht="32.400001525878906" hidden="0" customHeight="1">
      <x:c r="A284" s="27" t="str">
        <x:v>SCA-16</x:v>
      </x:c>
      <x:c r="B284" s="27" t="str">
        <x:v>LNDS</x:v>
      </x:c>
      <x:c r="C284" s="27" t="str">
        <x:v>Landslide</x:v>
      </x:c>
      <x:c r="D284" s="52" t="n">
        <x:v>60.00624522334146</x:v>
      </x:c>
      <x:c r="E284" s="49" t="n">
        <x:v>1</x:v>
      </x:c>
      <x:c r="F284" s="27" t="str">
        <x:v>RELATIVE SALIENCE ONLY</x:v>
      </x:c>
    </x:row>
    <x:row r="285" ht="32.400001525878906" hidden="0" customHeight="1">
      <x:c r="A285" s="29" t="str">
        <x:v>SCA-16</x:v>
      </x:c>
      <x:c r="B285" s="29" t="str">
        <x:v>LTNG</x:v>
      </x:c>
      <x:c r="C285" s="29" t="str">
        <x:v>Lightning</x:v>
      </x:c>
      <x:c r="D285" s="53" t="n">
        <x:v>73.68896808005745</x:v>
      </x:c>
      <x:c r="E285" s="50" t="n">
        <x:v>1</x:v>
      </x:c>
      <x:c r="F285" s="29" t="str">
        <x:v>RELATIVE SALIENCE ONLY</x:v>
      </x:c>
    </x:row>
    <x:row r="286" ht="32.400001525878906" hidden="0" customHeight="1">
      <x:c r="A286" s="27" t="str">
        <x:v>SCA-16</x:v>
      </x:c>
      <x:c r="B286" s="27" t="str">
        <x:v>IFLD</x:v>
      </x:c>
      <x:c r="C286" s="27" t="str">
        <x:v>Inland flood</x:v>
      </x:c>
      <x:c r="D286" s="52" t="n">
        <x:v>76.6104836881931</x:v>
      </x:c>
      <x:c r="E286" s="49" t="n">
        <x:v>1</x:v>
      </x:c>
      <x:c r="F286" s="27" t="str">
        <x:v>RELATIVE SALIENCE ONLY</x:v>
      </x:c>
    </x:row>
    <x:row r="287" ht="32.400001525878906" hidden="0" customHeight="1">
      <x:c r="A287" s="29" t="str">
        <x:v>SCA-16</x:v>
      </x:c>
      <x:c r="B287" s="29" t="str">
        <x:v>SWND</x:v>
      </x:c>
      <x:c r="C287" s="29" t="str">
        <x:v>Strong wind</x:v>
      </x:c>
      <x:c r="D287" s="53" t="n">
        <x:v>78.71050714085925</x:v>
      </x:c>
      <x:c r="E287" s="50" t="n">
        <x:v>1</x:v>
      </x:c>
      <x:c r="F287" s="29" t="str">
        <x:v>RELATIVE SALIENCE ONLY</x:v>
      </x:c>
    </x:row>
    <x:row r="288" ht="32.400001525878906" hidden="0" customHeight="1">
      <x:c r="A288" s="27" t="str">
        <x:v>SCA-16</x:v>
      </x:c>
      <x:c r="B288" s="27" t="str">
        <x:v>TRND</x:v>
      </x:c>
      <x:c r="C288" s="27" t="str">
        <x:v>Tornado</x:v>
      </x:c>
      <x:c r="D288" s="52" t="n">
        <x:v>88.71714677306268</x:v>
      </x:c>
      <x:c r="E288" s="49" t="n">
        <x:v>1</x:v>
      </x:c>
      <x:c r="F288" s="27" t="str">
        <x:v>RELATIVE SALIENCE ONLY</x:v>
      </x:c>
    </x:row>
    <x:row r="289" ht="21.600000381469727" hidden="0" customHeight="1">
      <x:c r="A289" s="29" t="str">
        <x:v>SCA-16</x:v>
      </x:c>
      <x:c r="B289" s="29" t="str">
        <x:v>TSUN</x:v>
      </x:c>
      <x:c r="C289" s="29" t="str">
        <x:v>Tsunami</x:v>
      </x:c>
      <x:c r="D289" s="53"/>
      <x:c r="E289" s="50" t="n">
        <x:v>0</x:v>
      </x:c>
      <x:c r="F289" s="29" t="str">
        <x:v>NO COVERAGE</x:v>
      </x:c>
    </x:row>
    <x:row r="290" ht="21.600000381469727" hidden="0" customHeight="1">
      <x:c r="A290" s="27" t="str">
        <x:v>SCA-16</x:v>
      </x:c>
      <x:c r="B290" s="27" t="str">
        <x:v>VLCN</x:v>
      </x:c>
      <x:c r="C290" s="27" t="str">
        <x:v>Volcanic activity</x:v>
      </x:c>
      <x:c r="D290" s="52"/>
      <x:c r="E290" s="49" t="n">
        <x:v>0</x:v>
      </x:c>
      <x:c r="F290" s="27" t="str">
        <x:v>NO COVERAGE</x:v>
      </x:c>
    </x:row>
    <x:row r="291" ht="32.400001525878906" hidden="0" customHeight="1">
      <x:c r="A291" s="29" t="str">
        <x:v>SCA-16</x:v>
      </x:c>
      <x:c r="B291" s="29" t="str">
        <x:v>WFIR</x:v>
      </x:c>
      <x:c r="C291" s="29" t="str">
        <x:v>Wildfire</x:v>
      </x:c>
      <x:c r="D291" s="53" t="n">
        <x:v>75.53367552521077</x:v>
      </x:c>
      <x:c r="E291" s="50" t="n">
        <x:v>1</x:v>
      </x:c>
      <x:c r="F291" s="29" t="str">
        <x:v>RELATIVE SALIENCE ONLY</x:v>
      </x:c>
    </x:row>
    <x:row r="292" ht="32.400001525878906" hidden="0" customHeight="1">
      <x:c r="A292" s="27" t="str">
        <x:v>SCA-16</x:v>
      </x:c>
      <x:c r="B292" s="27" t="str">
        <x:v>WNTW</x:v>
      </x:c>
      <x:c r="C292" s="27" t="str">
        <x:v>Winter weather</x:v>
      </x:c>
      <x:c r="D292" s="52" t="n">
        <x:v>84.94610214816124</x:v>
      </x:c>
      <x:c r="E292" s="49" t="n">
        <x:v>1</x:v>
      </x:c>
      <x:c r="F292" s="27" t="str">
        <x:v>RELATIVE SALIENCE ONLY</x:v>
      </x:c>
    </x:row>
    <x:row r="293" ht="21.600000381469727" hidden="0" customHeight="1">
      <x:c r="A293" s="29" t="str">
        <x:v>SCA-17</x:v>
      </x:c>
      <x:c r="B293" s="29" t="str">
        <x:v>AVLN</x:v>
      </x:c>
      <x:c r="C293" s="29" t="str">
        <x:v>Avalanche</x:v>
      </x:c>
      <x:c r="D293" s="53"/>
      <x:c r="E293" s="50" t="n">
        <x:v>0</x:v>
      </x:c>
      <x:c r="F293" s="29" t="str">
        <x:v>NO COVERAGE</x:v>
      </x:c>
    </x:row>
    <x:row r="294" ht="32.400001525878906" hidden="0" customHeight="1">
      <x:c r="A294" s="27" t="str">
        <x:v>SCA-17</x:v>
      </x:c>
      <x:c r="B294" s="27" t="str">
        <x:v>CFLD</x:v>
      </x:c>
      <x:c r="C294" s="27" t="str">
        <x:v>Coastal flood</x:v>
      </x:c>
      <x:c r="D294" s="52" t="n">
        <x:v>71.01242327246958</x:v>
      </x:c>
      <x:c r="E294" s="49" t="n">
        <x:v>0.8332735236141463</x:v>
      </x:c>
      <x:c r="F294" s="27" t="str">
        <x:v>RELATIVE SALIENCE ONLY</x:v>
      </x:c>
    </x:row>
    <x:row r="295" ht="32.400001525878906" hidden="0" customHeight="1">
      <x:c r="A295" s="29" t="str">
        <x:v>SCA-17</x:v>
      </x:c>
      <x:c r="B295" s="29" t="str">
        <x:v>CWAV</x:v>
      </x:c>
      <x:c r="C295" s="29" t="str">
        <x:v>Cold wave</x:v>
      </x:c>
      <x:c r="D295" s="53" t="n">
        <x:v>92.02727304552035</x:v>
      </x:c>
      <x:c r="E295" s="50" t="n">
        <x:v>1</x:v>
      </x:c>
      <x:c r="F295" s="29" t="str">
        <x:v>RELATIVE SALIENCE ONLY</x:v>
      </x:c>
    </x:row>
    <x:row r="296" ht="32.400001525878906" hidden="0" customHeight="1">
      <x:c r="A296" s="27" t="str">
        <x:v>SCA-17</x:v>
      </x:c>
      <x:c r="B296" s="27" t="str">
        <x:v>DRGT</x:v>
      </x:c>
      <x:c r="C296" s="27" t="str">
        <x:v>Drought</x:v>
      </x:c>
      <x:c r="D296" s="52" t="n">
        <x:v>74.9734970949931</x:v>
      </x:c>
      <x:c r="E296" s="49" t="n">
        <x:v>1</x:v>
      </x:c>
      <x:c r="F296" s="27" t="str">
        <x:v>RELATIVE SALIENCE ONLY</x:v>
      </x:c>
    </x:row>
    <x:row r="297" ht="32.400001525878906" hidden="0" customHeight="1">
      <x:c r="A297" s="29" t="str">
        <x:v>SCA-17</x:v>
      </x:c>
      <x:c r="B297" s="29" t="str">
        <x:v>ERQK</x:v>
      </x:c>
      <x:c r="C297" s="29" t="str">
        <x:v>Earthquake</x:v>
      </x:c>
      <x:c r="D297" s="53" t="n">
        <x:v>70.33420903305463</x:v>
      </x:c>
      <x:c r="E297" s="50" t="n">
        <x:v>1</x:v>
      </x:c>
      <x:c r="F297" s="29" t="str">
        <x:v>RELATIVE SALIENCE ONLY</x:v>
      </x:c>
    </x:row>
    <x:row r="298" ht="32.400001525878906" hidden="0" customHeight="1">
      <x:c r="A298" s="27" t="str">
        <x:v>SCA-17</x:v>
      </x:c>
      <x:c r="B298" s="27" t="str">
        <x:v>HAIL</x:v>
      </x:c>
      <x:c r="C298" s="27" t="str">
        <x:v>Hail</x:v>
      </x:c>
      <x:c r="D298" s="52" t="n">
        <x:v>77.71958381257241</x:v>
      </x:c>
      <x:c r="E298" s="49" t="n">
        <x:v>1</x:v>
      </x:c>
      <x:c r="F298" s="27" t="str">
        <x:v>RELATIVE SALIENCE ONLY</x:v>
      </x:c>
    </x:row>
    <x:row r="299" ht="32.400001525878906" hidden="0" customHeight="1">
      <x:c r="A299" s="29" t="str">
        <x:v>SCA-17</x:v>
      </x:c>
      <x:c r="B299" s="29" t="str">
        <x:v>HWAV</x:v>
      </x:c>
      <x:c r="C299" s="29" t="str">
        <x:v>Heat wave</x:v>
      </x:c>
      <x:c r="D299" s="53" t="n">
        <x:v>92.76549044847125</x:v>
      </x:c>
      <x:c r="E299" s="50" t="n">
        <x:v>1</x:v>
      </x:c>
      <x:c r="F299" s="29" t="str">
        <x:v>RELATIVE SALIENCE ONLY</x:v>
      </x:c>
    </x:row>
    <x:row r="300" ht="32.400001525878906" hidden="0" customHeight="1">
      <x:c r="A300" s="27" t="str">
        <x:v>SCA-17</x:v>
      </x:c>
      <x:c r="B300" s="27" t="str">
        <x:v>HRCN</x:v>
      </x:c>
      <x:c r="C300" s="27" t="str">
        <x:v>Hurricane</x:v>
      </x:c>
      <x:c r="D300" s="52" t="n">
        <x:v>96.24584292116324</x:v>
      </x:c>
      <x:c r="E300" s="49" t="n">
        <x:v>1</x:v>
      </x:c>
      <x:c r="F300" s="27" t="str">
        <x:v>RELATIVE SALIENCE ONLY</x:v>
      </x:c>
    </x:row>
    <x:row r="301" ht="32.400001525878906" hidden="0" customHeight="1">
      <x:c r="A301" s="29" t="str">
        <x:v>SCA-17</x:v>
      </x:c>
      <x:c r="B301" s="29" t="str">
        <x:v>ISTM</x:v>
      </x:c>
      <x:c r="C301" s="29" t="str">
        <x:v>Ice storm</x:v>
      </x:c>
      <x:c r="D301" s="53" t="n">
        <x:v>87.00512980869054</x:v>
      </x:c>
      <x:c r="E301" s="50" t="n">
        <x:v>1</x:v>
      </x:c>
      <x:c r="F301" s="29" t="str">
        <x:v>RELATIVE SALIENCE ONLY</x:v>
      </x:c>
    </x:row>
    <x:row r="302" ht="32.400001525878906" hidden="0" customHeight="1">
      <x:c r="A302" s="27" t="str">
        <x:v>SCA-17</x:v>
      </x:c>
      <x:c r="B302" s="27" t="str">
        <x:v>LNDS</x:v>
      </x:c>
      <x:c r="C302" s="27" t="str">
        <x:v>Landslide</x:v>
      </x:c>
      <x:c r="D302" s="52" t="n">
        <x:v>55.986572873218364</x:v>
      </x:c>
      <x:c r="E302" s="49" t="n">
        <x:v>1</x:v>
      </x:c>
      <x:c r="F302" s="27" t="str">
        <x:v>RELATIVE SALIENCE ONLY</x:v>
      </x:c>
    </x:row>
    <x:row r="303" ht="32.400001525878906" hidden="0" customHeight="1">
      <x:c r="A303" s="29" t="str">
        <x:v>SCA-17</x:v>
      </x:c>
      <x:c r="B303" s="29" t="str">
        <x:v>LTNG</x:v>
      </x:c>
      <x:c r="C303" s="29" t="str">
        <x:v>Lightning</x:v>
      </x:c>
      <x:c r="D303" s="53" t="n">
        <x:v>94.53453926434102</x:v>
      </x:c>
      <x:c r="E303" s="50" t="n">
        <x:v>1</x:v>
      </x:c>
      <x:c r="F303" s="29" t="str">
        <x:v>RELATIVE SALIENCE ONLY</x:v>
      </x:c>
    </x:row>
    <x:row r="304" ht="32.400001525878906" hidden="0" customHeight="1">
      <x:c r="A304" s="27" t="str">
        <x:v>SCA-17</x:v>
      </x:c>
      <x:c r="B304" s="27" t="str">
        <x:v>IFLD</x:v>
      </x:c>
      <x:c r="C304" s="27" t="str">
        <x:v>Inland flood</x:v>
      </x:c>
      <x:c r="D304" s="52" t="n">
        <x:v>89.70285104187134</x:v>
      </x:c>
      <x:c r="E304" s="49" t="n">
        <x:v>1</x:v>
      </x:c>
      <x:c r="F304" s="27" t="str">
        <x:v>RELATIVE SALIENCE ONLY</x:v>
      </x:c>
    </x:row>
    <x:row r="305" ht="32.400001525878906" hidden="0" customHeight="1">
      <x:c r="A305" s="29" t="str">
        <x:v>SCA-17</x:v>
      </x:c>
      <x:c r="B305" s="29" t="str">
        <x:v>SWND</x:v>
      </x:c>
      <x:c r="C305" s="29" t="str">
        <x:v>Strong wind</x:v>
      </x:c>
      <x:c r="D305" s="53" t="n">
        <x:v>79.71555197693444</x:v>
      </x:c>
      <x:c r="E305" s="50" t="n">
        <x:v>1</x:v>
      </x:c>
      <x:c r="F305" s="29" t="str">
        <x:v>RELATIVE SALIENCE ONLY</x:v>
      </x:c>
    </x:row>
    <x:row r="306" ht="32.400001525878906" hidden="0" customHeight="1">
      <x:c r="A306" s="27" t="str">
        <x:v>SCA-17</x:v>
      </x:c>
      <x:c r="B306" s="27" t="str">
        <x:v>TRND</x:v>
      </x:c>
      <x:c r="C306" s="27" t="str">
        <x:v>Tornado</x:v>
      </x:c>
      <x:c r="D306" s="52" t="n">
        <x:v>92.13977022151535</x:v>
      </x:c>
      <x:c r="E306" s="49" t="n">
        <x:v>1</x:v>
      </x:c>
      <x:c r="F306" s="27" t="str">
        <x:v>RELATIVE SALIENCE ONLY</x:v>
      </x:c>
    </x:row>
    <x:row r="307" ht="21.600000381469727" hidden="0" customHeight="1">
      <x:c r="A307" s="29" t="str">
        <x:v>SCA-17</x:v>
      </x:c>
      <x:c r="B307" s="29" t="str">
        <x:v>TSUN</x:v>
      </x:c>
      <x:c r="C307" s="29" t="str">
        <x:v>Tsunami</x:v>
      </x:c>
      <x:c r="D307" s="53"/>
      <x:c r="E307" s="50" t="n">
        <x:v>0</x:v>
      </x:c>
      <x:c r="F307" s="29" t="str">
        <x:v>NO COVERAGE</x:v>
      </x:c>
    </x:row>
    <x:row r="308" ht="21.600000381469727" hidden="0" customHeight="1">
      <x:c r="A308" s="27" t="str">
        <x:v>SCA-17</x:v>
      </x:c>
      <x:c r="B308" s="27" t="str">
        <x:v>VLCN</x:v>
      </x:c>
      <x:c r="C308" s="27" t="str">
        <x:v>Volcanic activity</x:v>
      </x:c>
      <x:c r="D308" s="52"/>
      <x:c r="E308" s="49" t="n">
        <x:v>0</x:v>
      </x:c>
      <x:c r="F308" s="27" t="str">
        <x:v>NO COVERAGE</x:v>
      </x:c>
    </x:row>
    <x:row r="309" ht="32.400001525878906" hidden="0" customHeight="1">
      <x:c r="A309" s="29" t="str">
        <x:v>SCA-17</x:v>
      </x:c>
      <x:c r="B309" s="29" t="str">
        <x:v>WFIR</x:v>
      </x:c>
      <x:c r="C309" s="29" t="str">
        <x:v>Wildfire</x:v>
      </x:c>
      <x:c r="D309" s="53" t="n">
        <x:v>71.80836365061005</x:v>
      </x:c>
      <x:c r="E309" s="50" t="n">
        <x:v>1</x:v>
      </x:c>
      <x:c r="F309" s="29" t="str">
        <x:v>RELATIVE SALIENCE ONLY</x:v>
      </x:c>
    </x:row>
    <x:row r="310" ht="32.400001525878906" hidden="0" customHeight="1">
      <x:c r="A310" s="27" t="str">
        <x:v>SCA-17</x:v>
      </x:c>
      <x:c r="B310" s="27" t="str">
        <x:v>WNTW</x:v>
      </x:c>
      <x:c r="C310" s="27" t="str">
        <x:v>Winter weather</x:v>
      </x:c>
      <x:c r="D310" s="52" t="n">
        <x:v>65.61268510409667</x:v>
      </x:c>
      <x:c r="E310" s="49" t="n">
        <x:v>1</x:v>
      </x:c>
      <x:c r="F310" s="27" t="str">
        <x:v>RELATIVE SALIENCE ONLY</x:v>
      </x:c>
    </x:row>
    <x:row r="311" ht="21.600000381469727" hidden="0" customHeight="1">
      <x:c r="A311" s="29" t="str">
        <x:v>SCA-18</x:v>
      </x:c>
      <x:c r="B311" s="29" t="str">
        <x:v>AVLN</x:v>
      </x:c>
      <x:c r="C311" s="29" t="str">
        <x:v>Avalanche</x:v>
      </x:c>
      <x:c r="D311" s="53"/>
      <x:c r="E311" s="50" t="n">
        <x:v>0</x:v>
      </x:c>
      <x:c r="F311" s="29" t="str">
        <x:v>NO COVERAGE</x:v>
      </x:c>
    </x:row>
    <x:row r="312" ht="32.400001525878906" hidden="0" customHeight="1">
      <x:c r="A312" s="27" t="str">
        <x:v>SCA-18</x:v>
      </x:c>
      <x:c r="B312" s="27" t="str">
        <x:v>CFLD</x:v>
      </x:c>
      <x:c r="C312" s="27" t="str">
        <x:v>Coastal flood</x:v>
      </x:c>
      <x:c r="D312" s="52" t="n">
        <x:v>28.691495477488296</x:v>
      </x:c>
      <x:c r="E312" s="49" t="n">
        <x:v>0.03964331538945249</x:v>
      </x:c>
      <x:c r="F312" s="27" t="str">
        <x:v>RELATIVE SALIENCE ONLY</x:v>
      </x:c>
    </x:row>
    <x:row r="313" ht="32.400001525878906" hidden="0" customHeight="1">
      <x:c r="A313" s="29" t="str">
        <x:v>SCA-18</x:v>
      </x:c>
      <x:c r="B313" s="29" t="str">
        <x:v>CWAV</x:v>
      </x:c>
      <x:c r="C313" s="29" t="str">
        <x:v>Cold wave</x:v>
      </x:c>
      <x:c r="D313" s="53" t="n">
        <x:v>79.80954491790543</x:v>
      </x:c>
      <x:c r="E313" s="50" t="n">
        <x:v>1</x:v>
      </x:c>
      <x:c r="F313" s="29" t="str">
        <x:v>RELATIVE SALIENCE ONLY</x:v>
      </x:c>
    </x:row>
    <x:row r="314" ht="32.400001525878906" hidden="0" customHeight="1">
      <x:c r="A314" s="27" t="str">
        <x:v>SCA-18</x:v>
      </x:c>
      <x:c r="B314" s="27" t="str">
        <x:v>DRGT</x:v>
      </x:c>
      <x:c r="C314" s="27" t="str">
        <x:v>Drought</x:v>
      </x:c>
      <x:c r="D314" s="52" t="n">
        <x:v>47.59723686284349</x:v>
      </x:c>
      <x:c r="E314" s="49" t="n">
        <x:v>1</x:v>
      </x:c>
      <x:c r="F314" s="27" t="str">
        <x:v>RELATIVE SALIENCE ONLY</x:v>
      </x:c>
    </x:row>
    <x:row r="315" ht="32.400001525878906" hidden="0" customHeight="1">
      <x:c r="A315" s="29" t="str">
        <x:v>SCA-18</x:v>
      </x:c>
      <x:c r="B315" s="29" t="str">
        <x:v>ERQK</x:v>
      </x:c>
      <x:c r="C315" s="29" t="str">
        <x:v>Earthquake</x:v>
      </x:c>
      <x:c r="D315" s="53" t="n">
        <x:v>22.22852701341102</x:v>
      </x:c>
      <x:c r="E315" s="50" t="n">
        <x:v>1</x:v>
      </x:c>
      <x:c r="F315" s="29" t="str">
        <x:v>RELATIVE SALIENCE ONLY</x:v>
      </x:c>
    </x:row>
    <x:row r="316" ht="32.400001525878906" hidden="0" customHeight="1">
      <x:c r="A316" s="27" t="str">
        <x:v>SCA-18</x:v>
      </x:c>
      <x:c r="B316" s="27" t="str">
        <x:v>HAIL</x:v>
      </x:c>
      <x:c r="C316" s="27" t="str">
        <x:v>Hail</x:v>
      </x:c>
      <x:c r="D316" s="52" t="n">
        <x:v>84.23224277464705</x:v>
      </x:c>
      <x:c r="E316" s="49" t="n">
        <x:v>1</x:v>
      </x:c>
      <x:c r="F316" s="27" t="str">
        <x:v>RELATIVE SALIENCE ONLY</x:v>
      </x:c>
    </x:row>
    <x:row r="317" ht="32.400001525878906" hidden="0" customHeight="1">
      <x:c r="A317" s="29" t="str">
        <x:v>SCA-18</x:v>
      </x:c>
      <x:c r="B317" s="29" t="str">
        <x:v>HWAV</x:v>
      </x:c>
      <x:c r="C317" s="29" t="str">
        <x:v>Heat wave</x:v>
      </x:c>
      <x:c r="D317" s="53" t="n">
        <x:v>62.40641697419566</x:v>
      </x:c>
      <x:c r="E317" s="50" t="n">
        <x:v>1</x:v>
      </x:c>
      <x:c r="F317" s="29" t="str">
        <x:v>RELATIVE SALIENCE ONLY</x:v>
      </x:c>
    </x:row>
    <x:row r="318" ht="32.400001525878906" hidden="0" customHeight="1">
      <x:c r="A318" s="27" t="str">
        <x:v>SCA-18</x:v>
      </x:c>
      <x:c r="B318" s="27" t="str">
        <x:v>HRCN</x:v>
      </x:c>
      <x:c r="C318" s="27" t="str">
        <x:v>Hurricane</x:v>
      </x:c>
      <x:c r="D318" s="52" t="n">
        <x:v>8.711574452164035</x:v>
      </x:c>
      <x:c r="E318" s="49" t="n">
        <x:v>0.29744063434829543</x:v>
      </x:c>
      <x:c r="F318" s="27" t="str">
        <x:v>RELATIVE SALIENCE ONLY</x:v>
      </x:c>
    </x:row>
    <x:row r="319" ht="32.400001525878906" hidden="0" customHeight="1">
      <x:c r="A319" s="29" t="str">
        <x:v>SCA-18</x:v>
      </x:c>
      <x:c r="B319" s="29" t="str">
        <x:v>ISTM</x:v>
      </x:c>
      <x:c r="C319" s="29" t="str">
        <x:v>Ice storm</x:v>
      </x:c>
      <x:c r="D319" s="53" t="n">
        <x:v>60.53882455792033</x:v>
      </x:c>
      <x:c r="E319" s="50" t="n">
        <x:v>1</x:v>
      </x:c>
      <x:c r="F319" s="29" t="str">
        <x:v>RELATIVE SALIENCE ONLY</x:v>
      </x:c>
    </x:row>
    <x:row r="320" ht="32.400001525878906" hidden="0" customHeight="1">
      <x:c r="A320" s="27" t="str">
        <x:v>SCA-18</x:v>
      </x:c>
      <x:c r="B320" s="27" t="str">
        <x:v>LNDS</x:v>
      </x:c>
      <x:c r="C320" s="27" t="str">
        <x:v>Landslide</x:v>
      </x:c>
      <x:c r="D320" s="52" t="n">
        <x:v>58.73009886432218</x:v>
      </x:c>
      <x:c r="E320" s="49" t="n">
        <x:v>1</x:v>
      </x:c>
      <x:c r="F320" s="27" t="str">
        <x:v>RELATIVE SALIENCE ONLY</x:v>
      </x:c>
    </x:row>
    <x:row r="321" ht="32.400001525878906" hidden="0" customHeight="1">
      <x:c r="A321" s="29" t="str">
        <x:v>SCA-18</x:v>
      </x:c>
      <x:c r="B321" s="29" t="str">
        <x:v>LTNG</x:v>
      </x:c>
      <x:c r="C321" s="29" t="str">
        <x:v>Lightning</x:v>
      </x:c>
      <x:c r="D321" s="53" t="n">
        <x:v>57.694997366537955</x:v>
      </x:c>
      <x:c r="E321" s="50" t="n">
        <x:v>1</x:v>
      </x:c>
      <x:c r="F321" s="29" t="str">
        <x:v>RELATIVE SALIENCE ONLY</x:v>
      </x:c>
    </x:row>
    <x:row r="322" ht="32.400001525878906" hidden="0" customHeight="1">
      <x:c r="A322" s="27" t="str">
        <x:v>SCA-18</x:v>
      </x:c>
      <x:c r="B322" s="27" t="str">
        <x:v>IFLD</x:v>
      </x:c>
      <x:c r="C322" s="27" t="str">
        <x:v>Inland flood</x:v>
      </x:c>
      <x:c r="D322" s="52" t="n">
        <x:v>69.42894581152107</x:v>
      </x:c>
      <x:c r="E322" s="49" t="n">
        <x:v>1</x:v>
      </x:c>
      <x:c r="F322" s="27" t="str">
        <x:v>RELATIVE SALIENCE ONLY</x:v>
      </x:c>
    </x:row>
    <x:row r="323" ht="32.400001525878906" hidden="0" customHeight="1">
      <x:c r="A323" s="29" t="str">
        <x:v>SCA-18</x:v>
      </x:c>
      <x:c r="B323" s="29" t="str">
        <x:v>SWND</x:v>
      </x:c>
      <x:c r="C323" s="29" t="str">
        <x:v>Strong wind</x:v>
      </x:c>
      <x:c r="D323" s="53" t="n">
        <x:v>76.23779592498795</x:v>
      </x:c>
      <x:c r="E323" s="50" t="n">
        <x:v>1</x:v>
      </x:c>
      <x:c r="F323" s="29" t="str">
        <x:v>RELATIVE SALIENCE ONLY</x:v>
      </x:c>
    </x:row>
    <x:row r="324" ht="32.400001525878906" hidden="0" customHeight="1">
      <x:c r="A324" s="27" t="str">
        <x:v>SCA-18</x:v>
      </x:c>
      <x:c r="B324" s="27" t="str">
        <x:v>TRND</x:v>
      </x:c>
      <x:c r="C324" s="27" t="str">
        <x:v>Tornado</x:v>
      </x:c>
      <x:c r="D324" s="52" t="n">
        <x:v>75.71398210803785</x:v>
      </x:c>
      <x:c r="E324" s="49" t="n">
        <x:v>1</x:v>
      </x:c>
      <x:c r="F324" s="27" t="str">
        <x:v>RELATIVE SALIENCE ONLY</x:v>
      </x:c>
    </x:row>
    <x:row r="325" ht="21.600000381469727" hidden="0" customHeight="1">
      <x:c r="A325" s="29" t="str">
        <x:v>SCA-18</x:v>
      </x:c>
      <x:c r="B325" s="29" t="str">
        <x:v>TSUN</x:v>
      </x:c>
      <x:c r="C325" s="29" t="str">
        <x:v>Tsunami</x:v>
      </x:c>
      <x:c r="D325" s="53"/>
      <x:c r="E325" s="50" t="n">
        <x:v>0</x:v>
      </x:c>
      <x:c r="F325" s="29" t="str">
        <x:v>NO COVERAGE</x:v>
      </x:c>
    </x:row>
    <x:row r="326" ht="21.600000381469727" hidden="0" customHeight="1">
      <x:c r="A326" s="27" t="str">
        <x:v>SCA-18</x:v>
      </x:c>
      <x:c r="B326" s="27" t="str">
        <x:v>VLCN</x:v>
      </x:c>
      <x:c r="C326" s="27" t="str">
        <x:v>Volcanic activity</x:v>
      </x:c>
      <x:c r="D326" s="52"/>
      <x:c r="E326" s="49" t="n">
        <x:v>0</x:v>
      </x:c>
      <x:c r="F326" s="27" t="str">
        <x:v>NO COVERAGE</x:v>
      </x:c>
    </x:row>
    <x:row r="327" ht="32.400001525878906" hidden="0" customHeight="1">
      <x:c r="A327" s="29" t="str">
        <x:v>SCA-18</x:v>
      </x:c>
      <x:c r="B327" s="29" t="str">
        <x:v>WFIR</x:v>
      </x:c>
      <x:c r="C327" s="29" t="str">
        <x:v>Wildfire</x:v>
      </x:c>
      <x:c r="D327" s="53" t="n">
        <x:v>52.50354707404107</x:v>
      </x:c>
      <x:c r="E327" s="50" t="n">
        <x:v>1</x:v>
      </x:c>
      <x:c r="F327" s="29" t="str">
        <x:v>RELATIVE SALIENCE ONLY</x:v>
      </x:c>
    </x:row>
    <x:row r="328" ht="32.400001525878906" hidden="0" customHeight="1">
      <x:c r="A328" s="27" t="str">
        <x:v>SCA-18</x:v>
      </x:c>
      <x:c r="B328" s="27" t="str">
        <x:v>WNTW</x:v>
      </x:c>
      <x:c r="C328" s="27" t="str">
        <x:v>Winter weather</x:v>
      </x:c>
      <x:c r="D328" s="52" t="n">
        <x:v>77.4245009166368</x:v>
      </x:c>
      <x:c r="E328" s="49" t="n">
        <x:v>1</x:v>
      </x:c>
      <x:c r="F328" s="27" t="str">
        <x:v>RELATIVE SALIENCE ONLY</x:v>
      </x:c>
    </x:row>
    <x:row r="329" ht="21.600000381469727" hidden="0" customHeight="1">
      <x:c r="A329" s="29" t="str">
        <x:v>SCA-19</x:v>
      </x:c>
      <x:c r="B329" s="29" t="str">
        <x:v>AVLN</x:v>
      </x:c>
      <x:c r="C329" s="29" t="str">
        <x:v>Avalanche</x:v>
      </x:c>
      <x:c r="D329" s="53"/>
      <x:c r="E329" s="50" t="n">
        <x:v>0</x:v>
      </x:c>
      <x:c r="F329" s="29" t="str">
        <x:v>NO COVERAGE</x:v>
      </x:c>
    </x:row>
    <x:row r="330" ht="21.600000381469727" hidden="0" customHeight="1">
      <x:c r="A330" s="27" t="str">
        <x:v>SCA-19</x:v>
      </x:c>
      <x:c r="B330" s="27" t="str">
        <x:v>CFLD</x:v>
      </x:c>
      <x:c r="C330" s="27" t="str">
        <x:v>Coastal flood</x:v>
      </x:c>
      <x:c r="D330" s="52"/>
      <x:c r="E330" s="49" t="n">
        <x:v>0</x:v>
      </x:c>
      <x:c r="F330" s="27" t="str">
        <x:v>NO COVERAGE</x:v>
      </x:c>
    </x:row>
    <x:row r="331" ht="32.400001525878906" hidden="0" customHeight="1">
      <x:c r="A331" s="29" t="str">
        <x:v>SCA-19</x:v>
      </x:c>
      <x:c r="B331" s="29" t="str">
        <x:v>CWAV</x:v>
      </x:c>
      <x:c r="C331" s="29" t="str">
        <x:v>Cold wave</x:v>
      </x:c>
      <x:c r="D331" s="53" t="n">
        <x:v>77.72010181660826</x:v>
      </x:c>
      <x:c r="E331" s="50" t="n">
        <x:v>1</x:v>
      </x:c>
      <x:c r="F331" s="29" t="str">
        <x:v>RELATIVE SALIENCE ONLY</x:v>
      </x:c>
    </x:row>
    <x:row r="332" ht="32.400001525878906" hidden="0" customHeight="1">
      <x:c r="A332" s="27" t="str">
        <x:v>SCA-19</x:v>
      </x:c>
      <x:c r="B332" s="27" t="str">
        <x:v>DRGT</x:v>
      </x:c>
      <x:c r="C332" s="27" t="str">
        <x:v>Drought</x:v>
      </x:c>
      <x:c r="D332" s="52" t="n">
        <x:v>50.196272754604124</x:v>
      </x:c>
      <x:c r="E332" s="49" t="n">
        <x:v>1</x:v>
      </x:c>
      <x:c r="F332" s="27" t="str">
        <x:v>RELATIVE SALIENCE ONLY</x:v>
      </x:c>
    </x:row>
    <x:row r="333" ht="32.400001525878906" hidden="0" customHeight="1">
      <x:c r="A333" s="29" t="str">
        <x:v>SCA-19</x:v>
      </x:c>
      <x:c r="B333" s="29" t="str">
        <x:v>ERQK</x:v>
      </x:c>
      <x:c r="C333" s="29" t="str">
        <x:v>Earthquake</x:v>
      </x:c>
      <x:c r="D333" s="53" t="n">
        <x:v>82.79570051331619</x:v>
      </x:c>
      <x:c r="E333" s="50" t="n">
        <x:v>1</x:v>
      </x:c>
      <x:c r="F333" s="29" t="str">
        <x:v>RELATIVE SALIENCE ONLY</x:v>
      </x:c>
    </x:row>
    <x:row r="334" ht="32.400001525878906" hidden="0" customHeight="1">
      <x:c r="A334" s="27" t="str">
        <x:v>SCA-19</x:v>
      </x:c>
      <x:c r="B334" s="27" t="str">
        <x:v>HAIL</x:v>
      </x:c>
      <x:c r="C334" s="27" t="str">
        <x:v>Hail</x:v>
      </x:c>
      <x:c r="D334" s="52" t="n">
        <x:v>76.91953774262437</x:v>
      </x:c>
      <x:c r="E334" s="49" t="n">
        <x:v>1</x:v>
      </x:c>
      <x:c r="F334" s="27" t="str">
        <x:v>RELATIVE SALIENCE ONLY</x:v>
      </x:c>
    </x:row>
    <x:row r="335" ht="32.400001525878906" hidden="0" customHeight="1">
      <x:c r="A335" s="29" t="str">
        <x:v>SCA-19</x:v>
      </x:c>
      <x:c r="B335" s="29" t="str">
        <x:v>HWAV</x:v>
      </x:c>
      <x:c r="C335" s="29" t="str">
        <x:v>Heat wave</x:v>
      </x:c>
      <x:c r="D335" s="53" t="n">
        <x:v>88.22310454603868</x:v>
      </x:c>
      <x:c r="E335" s="50" t="n">
        <x:v>1</x:v>
      </x:c>
      <x:c r="F335" s="29" t="str">
        <x:v>RELATIVE SALIENCE ONLY</x:v>
      </x:c>
    </x:row>
    <x:row r="336" ht="32.400001525878906" hidden="0" customHeight="1">
      <x:c r="A336" s="27" t="str">
        <x:v>SCA-19</x:v>
      </x:c>
      <x:c r="B336" s="27" t="str">
        <x:v>HRCN</x:v>
      </x:c>
      <x:c r="C336" s="27" t="str">
        <x:v>Hurricane</x:v>
      </x:c>
      <x:c r="D336" s="52" t="n">
        <x:v>30.612408195556185</x:v>
      </x:c>
      <x:c r="E336" s="49" t="n">
        <x:v>1</x:v>
      </x:c>
      <x:c r="F336" s="27" t="str">
        <x:v>RELATIVE SALIENCE ONLY</x:v>
      </x:c>
    </x:row>
    <x:row r="337" ht="32.400001525878906" hidden="0" customHeight="1">
      <x:c r="A337" s="29" t="str">
        <x:v>SCA-19</x:v>
      </x:c>
      <x:c r="B337" s="29" t="str">
        <x:v>ISTM</x:v>
      </x:c>
      <x:c r="C337" s="29" t="str">
        <x:v>Ice storm</x:v>
      </x:c>
      <x:c r="D337" s="53" t="n">
        <x:v>72.52149846651214</x:v>
      </x:c>
      <x:c r="E337" s="50" t="n">
        <x:v>1</x:v>
      </x:c>
      <x:c r="F337" s="29" t="str">
        <x:v>RELATIVE SALIENCE ONLY</x:v>
      </x:c>
    </x:row>
    <x:row r="338" ht="32.400001525878906" hidden="0" customHeight="1">
      <x:c r="A338" s="27" t="str">
        <x:v>SCA-19</x:v>
      </x:c>
      <x:c r="B338" s="27" t="str">
        <x:v>LNDS</x:v>
      </x:c>
      <x:c r="C338" s="27" t="str">
        <x:v>Landslide</x:v>
      </x:c>
      <x:c r="D338" s="52" t="n">
        <x:v>75.37684045047429</x:v>
      </x:c>
      <x:c r="E338" s="49" t="n">
        <x:v>1</x:v>
      </x:c>
      <x:c r="F338" s="27" t="str">
        <x:v>RELATIVE SALIENCE ONLY</x:v>
      </x:c>
    </x:row>
    <x:row r="339" ht="32.400001525878906" hidden="0" customHeight="1">
      <x:c r="A339" s="29" t="str">
        <x:v>SCA-19</x:v>
      </x:c>
      <x:c r="B339" s="29" t="str">
        <x:v>LTNG</x:v>
      </x:c>
      <x:c r="C339" s="29" t="str">
        <x:v>Lightning</x:v>
      </x:c>
      <x:c r="D339" s="53" t="n">
        <x:v>72.33831717422038</x:v>
      </x:c>
      <x:c r="E339" s="50" t="n">
        <x:v>1</x:v>
      </x:c>
      <x:c r="F339" s="29" t="str">
        <x:v>RELATIVE SALIENCE ONLY</x:v>
      </x:c>
    </x:row>
    <x:row r="340" ht="32.400001525878906" hidden="0" customHeight="1">
      <x:c r="A340" s="27" t="str">
        <x:v>SCA-19</x:v>
      </x:c>
      <x:c r="B340" s="27" t="str">
        <x:v>IFLD</x:v>
      </x:c>
      <x:c r="C340" s="27" t="str">
        <x:v>Inland flood</x:v>
      </x:c>
      <x:c r="D340" s="52" t="n">
        <x:v>73.59402036200703</x:v>
      </x:c>
      <x:c r="E340" s="49" t="n">
        <x:v>1</x:v>
      </x:c>
      <x:c r="F340" s="27" t="str">
        <x:v>RELATIVE SALIENCE ONLY</x:v>
      </x:c>
    </x:row>
    <x:row r="341" ht="32.400001525878906" hidden="0" customHeight="1">
      <x:c r="A341" s="29" t="str">
        <x:v>SCA-19</x:v>
      </x:c>
      <x:c r="B341" s="29" t="str">
        <x:v>SWND</x:v>
      </x:c>
      <x:c r="C341" s="29" t="str">
        <x:v>Strong wind</x:v>
      </x:c>
      <x:c r="D341" s="53" t="n">
        <x:v>76.58383340456538</x:v>
      </x:c>
      <x:c r="E341" s="50" t="n">
        <x:v>1</x:v>
      </x:c>
      <x:c r="F341" s="29" t="str">
        <x:v>RELATIVE SALIENCE ONLY</x:v>
      </x:c>
    </x:row>
    <x:row r="342" ht="32.400001525878906" hidden="0" customHeight="1">
      <x:c r="A342" s="27" t="str">
        <x:v>SCA-19</x:v>
      </x:c>
      <x:c r="B342" s="27" t="str">
        <x:v>TRND</x:v>
      </x:c>
      <x:c r="C342" s="27" t="str">
        <x:v>Tornado</x:v>
      </x:c>
      <x:c r="D342" s="52" t="n">
        <x:v>79.37130543888138</x:v>
      </x:c>
      <x:c r="E342" s="49" t="n">
        <x:v>1</x:v>
      </x:c>
      <x:c r="F342" s="27" t="str">
        <x:v>RELATIVE SALIENCE ONLY</x:v>
      </x:c>
    </x:row>
    <x:row r="343" ht="21.600000381469727" hidden="0" customHeight="1">
      <x:c r="A343" s="29" t="str">
        <x:v>SCA-19</x:v>
      </x:c>
      <x:c r="B343" s="29" t="str">
        <x:v>TSUN</x:v>
      </x:c>
      <x:c r="C343" s="29" t="str">
        <x:v>Tsunami</x:v>
      </x:c>
      <x:c r="D343" s="53"/>
      <x:c r="E343" s="50" t="n">
        <x:v>0</x:v>
      </x:c>
      <x:c r="F343" s="29" t="str">
        <x:v>NO COVERAGE</x:v>
      </x:c>
    </x:row>
    <x:row r="344" ht="21.600000381469727" hidden="0" customHeight="1">
      <x:c r="A344" s="27" t="str">
        <x:v>SCA-19</x:v>
      </x:c>
      <x:c r="B344" s="27" t="str">
        <x:v>VLCN</x:v>
      </x:c>
      <x:c r="C344" s="27" t="str">
        <x:v>Volcanic activity</x:v>
      </x:c>
      <x:c r="D344" s="52"/>
      <x:c r="E344" s="49" t="n">
        <x:v>0</x:v>
      </x:c>
      <x:c r="F344" s="27" t="str">
        <x:v>NO COVERAGE</x:v>
      </x:c>
    </x:row>
    <x:row r="345" ht="32.400001525878906" hidden="0" customHeight="1">
      <x:c r="A345" s="29" t="str">
        <x:v>SCA-19</x:v>
      </x:c>
      <x:c r="B345" s="29" t="str">
        <x:v>WFIR</x:v>
      </x:c>
      <x:c r="C345" s="29" t="str">
        <x:v>Wildfire</x:v>
      </x:c>
      <x:c r="D345" s="53" t="n">
        <x:v>41.76295245338231</x:v>
      </x:c>
      <x:c r="E345" s="50" t="n">
        <x:v>1</x:v>
      </x:c>
      <x:c r="F345" s="29" t="str">
        <x:v>RELATIVE SALIENCE ONLY</x:v>
      </x:c>
    </x:row>
    <x:row r="346" ht="32.400001525878906" hidden="0" customHeight="1">
      <x:c r="A346" s="27" t="str">
        <x:v>SCA-19</x:v>
      </x:c>
      <x:c r="B346" s="27" t="str">
        <x:v>WNTW</x:v>
      </x:c>
      <x:c r="C346" s="27" t="str">
        <x:v>Winter weather</x:v>
      </x:c>
      <x:c r="D346" s="52" t="n">
        <x:v>74.2173472574693</x:v>
      </x:c>
      <x:c r="E346" s="49" t="n">
        <x:v>1</x:v>
      </x:c>
      <x:c r="F346" s="27" t="str">
        <x:v>RELATIVE SALIENCE ONLY</x:v>
      </x:c>
    </x:row>
    <x:row r="347" ht="21.600000381469727" hidden="0" customHeight="1">
      <x:c r="A347" s="29" t="str">
        <x:v>SCA-20</x:v>
      </x:c>
      <x:c r="B347" s="29" t="str">
        <x:v>AVLN</x:v>
      </x:c>
      <x:c r="C347" s="29" t="str">
        <x:v>Avalanche</x:v>
      </x:c>
      <x:c r="D347" s="53"/>
      <x:c r="E347" s="50" t="n">
        <x:v>0</x:v>
      </x:c>
      <x:c r="F347" s="29" t="str">
        <x:v>NO COVERAGE</x:v>
      </x:c>
    </x:row>
    <x:row r="348" ht="32.400001525878906" hidden="0" customHeight="1">
      <x:c r="A348" s="27" t="str">
        <x:v>SCA-20</x:v>
      </x:c>
      <x:c r="B348" s="27" t="str">
        <x:v>CFLD</x:v>
      </x:c>
      <x:c r="C348" s="27" t="str">
        <x:v>Coastal flood</x:v>
      </x:c>
      <x:c r="D348" s="52" t="n">
        <x:v>79.24554547456025</x:v>
      </x:c>
      <x:c r="E348" s="49" t="n">
        <x:v>0.09682497732244434</x:v>
      </x:c>
      <x:c r="F348" s="27" t="str">
        <x:v>RELATIVE SALIENCE ONLY</x:v>
      </x:c>
    </x:row>
    <x:row r="349" ht="32.400001525878906" hidden="0" customHeight="1">
      <x:c r="A349" s="29" t="str">
        <x:v>SCA-20</x:v>
      </x:c>
      <x:c r="B349" s="29" t="str">
        <x:v>CWAV</x:v>
      </x:c>
      <x:c r="C349" s="29" t="str">
        <x:v>Cold wave</x:v>
      </x:c>
      <x:c r="D349" s="53" t="n">
        <x:v>72.5522087799833</x:v>
      </x:c>
      <x:c r="E349" s="50" t="n">
        <x:v>1</x:v>
      </x:c>
      <x:c r="F349" s="29" t="str">
        <x:v>RELATIVE SALIENCE ONLY</x:v>
      </x:c>
    </x:row>
    <x:row r="350" ht="32.400001525878906" hidden="0" customHeight="1">
      <x:c r="A350" s="27" t="str">
        <x:v>SCA-20</x:v>
      </x:c>
      <x:c r="B350" s="27" t="str">
        <x:v>DRGT</x:v>
      </x:c>
      <x:c r="C350" s="27" t="str">
        <x:v>Drought</x:v>
      </x:c>
      <x:c r="D350" s="52" t="n">
        <x:v>52.73156977619002</x:v>
      </x:c>
      <x:c r="E350" s="49" t="n">
        <x:v>1</x:v>
      </x:c>
      <x:c r="F350" s="27" t="str">
        <x:v>RELATIVE SALIENCE ONLY</x:v>
      </x:c>
    </x:row>
    <x:row r="351" ht="32.400001525878906" hidden="0" customHeight="1">
      <x:c r="A351" s="29" t="str">
        <x:v>SCA-20</x:v>
      </x:c>
      <x:c r="B351" s="29" t="str">
        <x:v>ERQK</x:v>
      </x:c>
      <x:c r="C351" s="29" t="str">
        <x:v>Earthquake</x:v>
      </x:c>
      <x:c r="D351" s="53" t="n">
        <x:v>83.37442634584177</x:v>
      </x:c>
      <x:c r="E351" s="50" t="n">
        <x:v>1</x:v>
      </x:c>
      <x:c r="F351" s="29" t="str">
        <x:v>RELATIVE SALIENCE ONLY</x:v>
      </x:c>
    </x:row>
    <x:row r="352" ht="32.400001525878906" hidden="0" customHeight="1">
      <x:c r="A352" s="27" t="str">
        <x:v>SCA-20</x:v>
      </x:c>
      <x:c r="B352" s="27" t="str">
        <x:v>HAIL</x:v>
      </x:c>
      <x:c r="C352" s="27" t="str">
        <x:v>Hail</x:v>
      </x:c>
      <x:c r="D352" s="52" t="n">
        <x:v>53.22355136897996</x:v>
      </x:c>
      <x:c r="E352" s="49" t="n">
        <x:v>1</x:v>
      </x:c>
      <x:c r="F352" s="27" t="str">
        <x:v>RELATIVE SALIENCE ONLY</x:v>
      </x:c>
    </x:row>
    <x:row r="353" ht="32.400001525878906" hidden="0" customHeight="1">
      <x:c r="A353" s="29" t="str">
        <x:v>SCA-20</x:v>
      </x:c>
      <x:c r="B353" s="29" t="str">
        <x:v>HWAV</x:v>
      </x:c>
      <x:c r="C353" s="29" t="str">
        <x:v>Heat wave</x:v>
      </x:c>
      <x:c r="D353" s="53" t="n">
        <x:v>82.63206939637271</x:v>
      </x:c>
      <x:c r="E353" s="50" t="n">
        <x:v>1</x:v>
      </x:c>
      <x:c r="F353" s="29" t="str">
        <x:v>RELATIVE SALIENCE ONLY</x:v>
      </x:c>
    </x:row>
    <x:row r="354" ht="32.400001525878906" hidden="0" customHeight="1">
      <x:c r="A354" s="27" t="str">
        <x:v>SCA-20</x:v>
      </x:c>
      <x:c r="B354" s="27" t="str">
        <x:v>HRCN</x:v>
      </x:c>
      <x:c r="C354" s="27" t="str">
        <x:v>Hurricane</x:v>
      </x:c>
      <x:c r="D354" s="52" t="n">
        <x:v>65.47609229570128</x:v>
      </x:c>
      <x:c r="E354" s="49" t="n">
        <x:v>1</x:v>
      </x:c>
      <x:c r="F354" s="27" t="str">
        <x:v>RELATIVE SALIENCE ONLY</x:v>
      </x:c>
    </x:row>
    <x:row r="355" ht="32.400001525878906" hidden="0" customHeight="1">
      <x:c r="A355" s="29" t="str">
        <x:v>SCA-20</x:v>
      </x:c>
      <x:c r="B355" s="29" t="str">
        <x:v>ISTM</x:v>
      </x:c>
      <x:c r="C355" s="29" t="str">
        <x:v>Ice storm</x:v>
      </x:c>
      <x:c r="D355" s="53" t="n">
        <x:v>77.14223068291204</x:v>
      </x:c>
      <x:c r="E355" s="50" t="n">
        <x:v>1</x:v>
      </x:c>
      <x:c r="F355" s="29" t="str">
        <x:v>RELATIVE SALIENCE ONLY</x:v>
      </x:c>
    </x:row>
    <x:row r="356" ht="32.400001525878906" hidden="0" customHeight="1">
      <x:c r="A356" s="27" t="str">
        <x:v>SCA-20</x:v>
      </x:c>
      <x:c r="B356" s="27" t="str">
        <x:v>LNDS</x:v>
      </x:c>
      <x:c r="C356" s="27" t="str">
        <x:v>Landslide</x:v>
      </x:c>
      <x:c r="D356" s="52" t="n">
        <x:v>61.40831335291262</x:v>
      </x:c>
      <x:c r="E356" s="49" t="n">
        <x:v>1</x:v>
      </x:c>
      <x:c r="F356" s="27" t="str">
        <x:v>RELATIVE SALIENCE ONLY</x:v>
      </x:c>
    </x:row>
    <x:row r="357" ht="32.400001525878906" hidden="0" customHeight="1">
      <x:c r="A357" s="29" t="str">
        <x:v>SCA-20</x:v>
      </x:c>
      <x:c r="B357" s="29" t="str">
        <x:v>LTNG</x:v>
      </x:c>
      <x:c r="C357" s="29" t="str">
        <x:v>Lightning</x:v>
      </x:c>
      <x:c r="D357" s="53" t="n">
        <x:v>76.57400898671342</x:v>
      </x:c>
      <x:c r="E357" s="50" t="n">
        <x:v>1</x:v>
      </x:c>
      <x:c r="F357" s="29" t="str">
        <x:v>RELATIVE SALIENCE ONLY</x:v>
      </x:c>
    </x:row>
    <x:row r="358" ht="32.400001525878906" hidden="0" customHeight="1">
      <x:c r="A358" s="27" t="str">
        <x:v>SCA-20</x:v>
      </x:c>
      <x:c r="B358" s="27" t="str">
        <x:v>IFLD</x:v>
      </x:c>
      <x:c r="C358" s="27" t="str">
        <x:v>Inland flood</x:v>
      </x:c>
      <x:c r="D358" s="52" t="n">
        <x:v>67.7167449499299</x:v>
      </x:c>
      <x:c r="E358" s="49" t="n">
        <x:v>1</x:v>
      </x:c>
      <x:c r="F358" s="27" t="str">
        <x:v>RELATIVE SALIENCE ONLY</x:v>
      </x:c>
    </x:row>
    <x:row r="359" ht="32.400001525878906" hidden="0" customHeight="1">
      <x:c r="A359" s="29" t="str">
        <x:v>SCA-20</x:v>
      </x:c>
      <x:c r="B359" s="29" t="str">
        <x:v>SWND</x:v>
      </x:c>
      <x:c r="C359" s="29" t="str">
        <x:v>Strong wind</x:v>
      </x:c>
      <x:c r="D359" s="53" t="n">
        <x:v>72.93481109141801</x:v>
      </x:c>
      <x:c r="E359" s="50" t="n">
        <x:v>1</x:v>
      </x:c>
      <x:c r="F359" s="29" t="str">
        <x:v>RELATIVE SALIENCE ONLY</x:v>
      </x:c>
    </x:row>
    <x:row r="360" ht="32.400001525878906" hidden="0" customHeight="1">
      <x:c r="A360" s="27" t="str">
        <x:v>SCA-20</x:v>
      </x:c>
      <x:c r="B360" s="27" t="str">
        <x:v>TRND</x:v>
      </x:c>
      <x:c r="C360" s="27" t="str">
        <x:v>Tornado</x:v>
      </x:c>
      <x:c r="D360" s="52" t="n">
        <x:v>85.48281081099509</x:v>
      </x:c>
      <x:c r="E360" s="49" t="n">
        <x:v>1</x:v>
      </x:c>
      <x:c r="F360" s="27" t="str">
        <x:v>RELATIVE SALIENCE ONLY</x:v>
      </x:c>
    </x:row>
    <x:row r="361" ht="21.600000381469727" hidden="0" customHeight="1">
      <x:c r="A361" s="29" t="str">
        <x:v>SCA-20</x:v>
      </x:c>
      <x:c r="B361" s="29" t="str">
        <x:v>TSUN</x:v>
      </x:c>
      <x:c r="C361" s="29" t="str">
        <x:v>Tsunami</x:v>
      </x:c>
      <x:c r="D361" s="53"/>
      <x:c r="E361" s="50" t="n">
        <x:v>0</x:v>
      </x:c>
      <x:c r="F361" s="29" t="str">
        <x:v>NO COVERAGE</x:v>
      </x:c>
    </x:row>
    <x:row r="362" ht="21.600000381469727" hidden="0" customHeight="1">
      <x:c r="A362" s="27" t="str">
        <x:v>SCA-20</x:v>
      </x:c>
      <x:c r="B362" s="27" t="str">
        <x:v>VLCN</x:v>
      </x:c>
      <x:c r="C362" s="27" t="str">
        <x:v>Volcanic activity</x:v>
      </x:c>
      <x:c r="D362" s="52"/>
      <x:c r="E362" s="49" t="n">
        <x:v>0</x:v>
      </x:c>
      <x:c r="F362" s="27" t="str">
        <x:v>NO COVERAGE</x:v>
      </x:c>
    </x:row>
    <x:row r="363" ht="32.400001525878906" hidden="0" customHeight="1">
      <x:c r="A363" s="29" t="str">
        <x:v>SCA-20</x:v>
      </x:c>
      <x:c r="B363" s="29" t="str">
        <x:v>WFIR</x:v>
      </x:c>
      <x:c r="C363" s="29" t="str">
        <x:v>Wildfire</x:v>
      </x:c>
      <x:c r="D363" s="53" t="n">
        <x:v>52.80024067521165</x:v>
      </x:c>
      <x:c r="E363" s="50" t="n">
        <x:v>1</x:v>
      </x:c>
      <x:c r="F363" s="29" t="str">
        <x:v>RELATIVE SALIENCE ONLY</x:v>
      </x:c>
    </x:row>
    <x:row r="364" ht="32.400001525878906" hidden="0" customHeight="1">
      <x:c r="A364" s="27" t="str">
        <x:v>SCA-20</x:v>
      </x:c>
      <x:c r="B364" s="27" t="str">
        <x:v>WNTW</x:v>
      </x:c>
      <x:c r="C364" s="27" t="str">
        <x:v>Winter weather</x:v>
      </x:c>
      <x:c r="D364" s="52" t="n">
        <x:v>58.223156570157116</x:v>
      </x:c>
      <x:c r="E364" s="49" t="n">
        <x:v>1</x:v>
      </x:c>
      <x:c r="F364" s="27" t="str">
        <x:v>RELATIVE SALIENCE ONLY</x:v>
      </x:c>
    </x:row>
    <x:row r="365" ht="21.600000381469727" hidden="0" customHeight="1">
      <x:c r="A365" s="29" t="str">
        <x:v>SCA-21</x:v>
      </x:c>
      <x:c r="B365" s="29" t="str">
        <x:v>AVLN</x:v>
      </x:c>
      <x:c r="C365" s="29" t="str">
        <x:v>Avalanche</x:v>
      </x:c>
      <x:c r="D365" s="53"/>
      <x:c r="E365" s="50" t="n">
        <x:v>0</x:v>
      </x:c>
      <x:c r="F365" s="29" t="str">
        <x:v>NO COVERAGE</x:v>
      </x:c>
    </x:row>
    <x:row r="366" ht="32.400001525878906" hidden="0" customHeight="1">
      <x:c r="A366" s="27" t="str">
        <x:v>SCA-21</x:v>
      </x:c>
      <x:c r="B366" s="27" t="str">
        <x:v>CFLD</x:v>
      </x:c>
      <x:c r="C366" s="27" t="str">
        <x:v>Coastal flood</x:v>
      </x:c>
      <x:c r="D366" s="52" t="n">
        <x:v>39.21000927709278</x:v>
      </x:c>
      <x:c r="E366" s="49" t="n">
        <x:v>0.49589743170977435</x:v>
      </x:c>
      <x:c r="F366" s="27" t="str">
        <x:v>RELATIVE SALIENCE ONLY</x:v>
      </x:c>
    </x:row>
    <x:row r="367" ht="32.400001525878906" hidden="0" customHeight="1">
      <x:c r="A367" s="29" t="str">
        <x:v>SCA-21</x:v>
      </x:c>
      <x:c r="B367" s="29" t="str">
        <x:v>CWAV</x:v>
      </x:c>
      <x:c r="C367" s="29" t="str">
        <x:v>Cold wave</x:v>
      </x:c>
      <x:c r="D367" s="53" t="n">
        <x:v>92.49997059034347</x:v>
      </x:c>
      <x:c r="E367" s="50" t="n">
        <x:v>1</x:v>
      </x:c>
      <x:c r="F367" s="29" t="str">
        <x:v>RELATIVE SALIENCE ONLY</x:v>
      </x:c>
    </x:row>
    <x:row r="368" ht="32.400001525878906" hidden="0" customHeight="1">
      <x:c r="A368" s="27" t="str">
        <x:v>SCA-21</x:v>
      </x:c>
      <x:c r="B368" s="27" t="str">
        <x:v>DRGT</x:v>
      </x:c>
      <x:c r="C368" s="27" t="str">
        <x:v>Drought</x:v>
      </x:c>
      <x:c r="D368" s="52" t="n">
        <x:v>35.79987689053168</x:v>
      </x:c>
      <x:c r="E368" s="49" t="n">
        <x:v>1</x:v>
      </x:c>
      <x:c r="F368" s="27" t="str">
        <x:v>RELATIVE SALIENCE ONLY</x:v>
      </x:c>
    </x:row>
    <x:row r="369" ht="32.400001525878906" hidden="0" customHeight="1">
      <x:c r="A369" s="29" t="str">
        <x:v>SCA-21</x:v>
      </x:c>
      <x:c r="B369" s="29" t="str">
        <x:v>ERQK</x:v>
      </x:c>
      <x:c r="C369" s="29" t="str">
        <x:v>Earthquake</x:v>
      </x:c>
      <x:c r="D369" s="53" t="n">
        <x:v>74.74698042483651</x:v>
      </x:c>
      <x:c r="E369" s="50" t="n">
        <x:v>1</x:v>
      </x:c>
      <x:c r="F369" s="29" t="str">
        <x:v>RELATIVE SALIENCE ONLY</x:v>
      </x:c>
    </x:row>
    <x:row r="370" ht="32.400001525878906" hidden="0" customHeight="1">
      <x:c r="A370" s="27" t="str">
        <x:v>SCA-21</x:v>
      </x:c>
      <x:c r="B370" s="27" t="str">
        <x:v>HAIL</x:v>
      </x:c>
      <x:c r="C370" s="27" t="str">
        <x:v>Hail</x:v>
      </x:c>
      <x:c r="D370" s="52" t="n">
        <x:v>84.07706686326011</x:v>
      </x:c>
      <x:c r="E370" s="49" t="n">
        <x:v>1</x:v>
      </x:c>
      <x:c r="F370" s="27" t="str">
        <x:v>RELATIVE SALIENCE ONLY</x:v>
      </x:c>
    </x:row>
    <x:row r="371" ht="32.400001525878906" hidden="0" customHeight="1">
      <x:c r="A371" s="29" t="str">
        <x:v>SCA-21</x:v>
      </x:c>
      <x:c r="B371" s="29" t="str">
        <x:v>HWAV</x:v>
      </x:c>
      <x:c r="C371" s="29" t="str">
        <x:v>Heat wave</x:v>
      </x:c>
      <x:c r="D371" s="53" t="n">
        <x:v>83.03525843003786</x:v>
      </x:c>
      <x:c r="E371" s="50" t="n">
        <x:v>1</x:v>
      </x:c>
      <x:c r="F371" s="29" t="str">
        <x:v>RELATIVE SALIENCE ONLY</x:v>
      </x:c>
    </x:row>
    <x:row r="372" ht="32.400001525878906" hidden="0" customHeight="1">
      <x:c r="A372" s="27" t="str">
        <x:v>SCA-21</x:v>
      </x:c>
      <x:c r="B372" s="27" t="str">
        <x:v>HRCN</x:v>
      </x:c>
      <x:c r="C372" s="27" t="str">
        <x:v>Hurricane</x:v>
      </x:c>
      <x:c r="D372" s="52" t="n">
        <x:v>29.247528066653476</x:v>
      </x:c>
      <x:c r="E372" s="49" t="n">
        <x:v>1</x:v>
      </x:c>
      <x:c r="F372" s="27" t="str">
        <x:v>RELATIVE SALIENCE ONLY</x:v>
      </x:c>
    </x:row>
    <x:row r="373" ht="32.400001525878906" hidden="0" customHeight="1">
      <x:c r="A373" s="29" t="str">
        <x:v>SCA-21</x:v>
      </x:c>
      <x:c r="B373" s="29" t="str">
        <x:v>ISTM</x:v>
      </x:c>
      <x:c r="C373" s="29" t="str">
        <x:v>Ice storm</x:v>
      </x:c>
      <x:c r="D373" s="53" t="n">
        <x:v>71.14658733709857</x:v>
      </x:c>
      <x:c r="E373" s="50" t="n">
        <x:v>1</x:v>
      </x:c>
      <x:c r="F373" s="29" t="str">
        <x:v>RELATIVE SALIENCE ONLY</x:v>
      </x:c>
    </x:row>
    <x:row r="374" ht="32.400001525878906" hidden="0" customHeight="1">
      <x:c r="A374" s="27" t="str">
        <x:v>SCA-21</x:v>
      </x:c>
      <x:c r="B374" s="27" t="str">
        <x:v>LNDS</x:v>
      </x:c>
      <x:c r="C374" s="27" t="str">
        <x:v>Landslide</x:v>
      </x:c>
      <x:c r="D374" s="52" t="n">
        <x:v>53.77654389271874</x:v>
      </x:c>
      <x:c r="E374" s="49" t="n">
        <x:v>1</x:v>
      </x:c>
      <x:c r="F374" s="27" t="str">
        <x:v>RELATIVE SALIENCE ONLY</x:v>
      </x:c>
    </x:row>
    <x:row r="375" ht="32.400001525878906" hidden="0" customHeight="1">
      <x:c r="A375" s="29" t="str">
        <x:v>SCA-21</x:v>
      </x:c>
      <x:c r="B375" s="29" t="str">
        <x:v>LTNG</x:v>
      </x:c>
      <x:c r="C375" s="29" t="str">
        <x:v>Lightning</x:v>
      </x:c>
      <x:c r="D375" s="53" t="n">
        <x:v>79.0058365046933</x:v>
      </x:c>
      <x:c r="E375" s="50" t="n">
        <x:v>1</x:v>
      </x:c>
      <x:c r="F375" s="29" t="str">
        <x:v>RELATIVE SALIENCE ONLY</x:v>
      </x:c>
    </x:row>
    <x:row r="376" ht="32.400001525878906" hidden="0" customHeight="1">
      <x:c r="A376" s="27" t="str">
        <x:v>SCA-21</x:v>
      </x:c>
      <x:c r="B376" s="27" t="str">
        <x:v>IFLD</x:v>
      </x:c>
      <x:c r="C376" s="27" t="str">
        <x:v>Inland flood</x:v>
      </x:c>
      <x:c r="D376" s="52" t="n">
        <x:v>87.16869859748188</x:v>
      </x:c>
      <x:c r="E376" s="49" t="n">
        <x:v>1</x:v>
      </x:c>
      <x:c r="F376" s="27" t="str">
        <x:v>RELATIVE SALIENCE ONLY</x:v>
      </x:c>
    </x:row>
    <x:row r="377" ht="32.400001525878906" hidden="0" customHeight="1">
      <x:c r="A377" s="29" t="str">
        <x:v>SCA-21</x:v>
      </x:c>
      <x:c r="B377" s="29" t="str">
        <x:v>SWND</x:v>
      </x:c>
      <x:c r="C377" s="29" t="str">
        <x:v>Strong wind</x:v>
      </x:c>
      <x:c r="D377" s="53" t="n">
        <x:v>85.8330349090016</x:v>
      </x:c>
      <x:c r="E377" s="50" t="n">
        <x:v>1</x:v>
      </x:c>
      <x:c r="F377" s="29" t="str">
        <x:v>RELATIVE SALIENCE ONLY</x:v>
      </x:c>
    </x:row>
    <x:row r="378" ht="32.400001525878906" hidden="0" customHeight="1">
      <x:c r="A378" s="27" t="str">
        <x:v>SCA-21</x:v>
      </x:c>
      <x:c r="B378" s="27" t="str">
        <x:v>TRND</x:v>
      </x:c>
      <x:c r="C378" s="27" t="str">
        <x:v>Tornado</x:v>
      </x:c>
      <x:c r="D378" s="52" t="n">
        <x:v>90.87943448693677</x:v>
      </x:c>
      <x:c r="E378" s="49" t="n">
        <x:v>1</x:v>
      </x:c>
      <x:c r="F378" s="27" t="str">
        <x:v>RELATIVE SALIENCE ONLY</x:v>
      </x:c>
    </x:row>
    <x:row r="379" ht="21.600000381469727" hidden="0" customHeight="1">
      <x:c r="A379" s="29" t="str">
        <x:v>SCA-21</x:v>
      </x:c>
      <x:c r="B379" s="29" t="str">
        <x:v>TSUN</x:v>
      </x:c>
      <x:c r="C379" s="29" t="str">
        <x:v>Tsunami</x:v>
      </x:c>
      <x:c r="D379" s="53"/>
      <x:c r="E379" s="50" t="n">
        <x:v>0</x:v>
      </x:c>
      <x:c r="F379" s="29" t="str">
        <x:v>NO COVERAGE</x:v>
      </x:c>
    </x:row>
    <x:row r="380" ht="21.600000381469727" hidden="0" customHeight="1">
      <x:c r="A380" s="27" t="str">
        <x:v>SCA-21</x:v>
      </x:c>
      <x:c r="B380" s="27" t="str">
        <x:v>VLCN</x:v>
      </x:c>
      <x:c r="C380" s="27" t="str">
        <x:v>Volcanic activity</x:v>
      </x:c>
      <x:c r="D380" s="52"/>
      <x:c r="E380" s="49" t="n">
        <x:v>0</x:v>
      </x:c>
      <x:c r="F380" s="27" t="str">
        <x:v>NO COVERAGE</x:v>
      </x:c>
    </x:row>
    <x:row r="381" ht="32.400001525878906" hidden="0" customHeight="1">
      <x:c r="A381" s="29" t="str">
        <x:v>SCA-21</x:v>
      </x:c>
      <x:c r="B381" s="29" t="str">
        <x:v>WFIR</x:v>
      </x:c>
      <x:c r="C381" s="29" t="str">
        <x:v>Wildfire</x:v>
      </x:c>
      <x:c r="D381" s="53" t="n">
        <x:v>39.619594097352035</x:v>
      </x:c>
      <x:c r="E381" s="50" t="n">
        <x:v>1</x:v>
      </x:c>
      <x:c r="F381" s="29" t="str">
        <x:v>RELATIVE SALIENCE ONLY</x:v>
      </x:c>
    </x:row>
    <x:row r="382" ht="32.400001525878906" hidden="0" customHeight="1">
      <x:c r="A382" s="27" t="str">
        <x:v>SCA-21</x:v>
      </x:c>
      <x:c r="B382" s="27" t="str">
        <x:v>WNTW</x:v>
      </x:c>
      <x:c r="C382" s="27" t="str">
        <x:v>Winter weather</x:v>
      </x:c>
      <x:c r="D382" s="52" t="n">
        <x:v>80.56003900747679</x:v>
      </x:c>
      <x:c r="E382" s="49" t="n">
        <x:v>1</x:v>
      </x:c>
      <x:c r="F382" s="27" t="str">
        <x:v>RELATIVE SALIENCE ONLY</x:v>
      </x:c>
    </x:row>
    <x:row r="383" ht="32.400001525878906" hidden="0" customHeight="1">
      <x:c r="A383" s="29" t="str">
        <x:v>SCA-22</x:v>
      </x:c>
      <x:c r="B383" s="29" t="str">
        <x:v>AVLN</x:v>
      </x:c>
      <x:c r="C383" s="29" t="str">
        <x:v>Avalanche</x:v>
      </x:c>
      <x:c r="D383" s="53" t="n">
        <x:v>42.62148406034742</x:v>
      </x:c>
      <x:c r="E383" s="50" t="n">
        <x:v>0.06151721632478292</x:v>
      </x:c>
      <x:c r="F383" s="29" t="str">
        <x:v>RELATIVE SALIENCE ONLY</x:v>
      </x:c>
    </x:row>
    <x:row r="384" ht="21.600000381469727" hidden="0" customHeight="1">
      <x:c r="A384" s="27" t="str">
        <x:v>SCA-22</x:v>
      </x:c>
      <x:c r="B384" s="27" t="str">
        <x:v>CFLD</x:v>
      </x:c>
      <x:c r="C384" s="27" t="str">
        <x:v>Coastal flood</x:v>
      </x:c>
      <x:c r="D384" s="52"/>
      <x:c r="E384" s="49" t="n">
        <x:v>0</x:v>
      </x:c>
      <x:c r="F384" s="27" t="str">
        <x:v>NO COVERAGE</x:v>
      </x:c>
    </x:row>
    <x:row r="385" ht="32.400001525878906" hidden="0" customHeight="1">
      <x:c r="A385" s="29" t="str">
        <x:v>SCA-22</x:v>
      </x:c>
      <x:c r="B385" s="29" t="str">
        <x:v>CWAV</x:v>
      </x:c>
      <x:c r="C385" s="29" t="str">
        <x:v>Cold wave</x:v>
      </x:c>
      <x:c r="D385" s="53" t="n">
        <x:v>73.15282637890883</x:v>
      </x:c>
      <x:c r="E385" s="50" t="n">
        <x:v>1</x:v>
      </x:c>
      <x:c r="F385" s="29" t="str">
        <x:v>RELATIVE SALIENCE ONLY</x:v>
      </x:c>
    </x:row>
    <x:row r="386" ht="32.400001525878906" hidden="0" customHeight="1">
      <x:c r="A386" s="27" t="str">
        <x:v>SCA-22</x:v>
      </x:c>
      <x:c r="B386" s="27" t="str">
        <x:v>DRGT</x:v>
      </x:c>
      <x:c r="C386" s="27" t="str">
        <x:v>Drought</x:v>
      </x:c>
      <x:c r="D386" s="52" t="n">
        <x:v>36.61132958614348</x:v>
      </x:c>
      <x:c r="E386" s="49" t="n">
        <x:v>1</x:v>
      </x:c>
      <x:c r="F386" s="27" t="str">
        <x:v>RELATIVE SALIENCE ONLY</x:v>
      </x:c>
    </x:row>
    <x:row r="387" ht="32.400001525878906" hidden="0" customHeight="1">
      <x:c r="A387" s="29" t="str">
        <x:v>SCA-22</x:v>
      </x:c>
      <x:c r="B387" s="29" t="str">
        <x:v>ERQK</x:v>
      </x:c>
      <x:c r="C387" s="29" t="str">
        <x:v>Earthquake</x:v>
      </x:c>
      <x:c r="D387" s="53" t="n">
        <x:v>80.74672554417918</x:v>
      </x:c>
      <x:c r="E387" s="50" t="n">
        <x:v>1</x:v>
      </x:c>
      <x:c r="F387" s="29" t="str">
        <x:v>RELATIVE SALIENCE ONLY</x:v>
      </x:c>
    </x:row>
    <x:row r="388" ht="32.400001525878906" hidden="0" customHeight="1">
      <x:c r="A388" s="27" t="str">
        <x:v>SCA-22</x:v>
      </x:c>
      <x:c r="B388" s="27" t="str">
        <x:v>HAIL</x:v>
      </x:c>
      <x:c r="C388" s="27" t="str">
        <x:v>Hail</x:v>
      </x:c>
      <x:c r="D388" s="52" t="n">
        <x:v>69.90145187699216</x:v>
      </x:c>
      <x:c r="E388" s="49" t="n">
        <x:v>1</x:v>
      </x:c>
      <x:c r="F388" s="27" t="str">
        <x:v>RELATIVE SALIENCE ONLY</x:v>
      </x:c>
    </x:row>
    <x:row r="389" ht="32.400001525878906" hidden="0" customHeight="1">
      <x:c r="A389" s="29" t="str">
        <x:v>SCA-22</x:v>
      </x:c>
      <x:c r="B389" s="29" t="str">
        <x:v>HWAV</x:v>
      </x:c>
      <x:c r="C389" s="29" t="str">
        <x:v>Heat wave</x:v>
      </x:c>
      <x:c r="D389" s="53" t="n">
        <x:v>71.00805127582777</x:v>
      </x:c>
      <x:c r="E389" s="50" t="n">
        <x:v>1</x:v>
      </x:c>
      <x:c r="F389" s="29" t="str">
        <x:v>RELATIVE SALIENCE ONLY</x:v>
      </x:c>
    </x:row>
    <x:row r="390" ht="32.400001525878906" hidden="0" customHeight="1">
      <x:c r="A390" s="27" t="str">
        <x:v>SCA-22</x:v>
      </x:c>
      <x:c r="B390" s="27" t="str">
        <x:v>HRCN</x:v>
      </x:c>
      <x:c r="C390" s="27" t="str">
        <x:v>Hurricane</x:v>
      </x:c>
      <x:c r="D390" s="52" t="n">
        <x:v>34.254965290724215</x:v>
      </x:c>
      <x:c r="E390" s="49" t="n">
        <x:v>1</x:v>
      </x:c>
      <x:c r="F390" s="27" t="str">
        <x:v>RELATIVE SALIENCE ONLY</x:v>
      </x:c>
    </x:row>
    <x:row r="391" ht="32.400001525878906" hidden="0" customHeight="1">
      <x:c r="A391" s="29" t="str">
        <x:v>SCA-22</x:v>
      </x:c>
      <x:c r="B391" s="29" t="str">
        <x:v>ISTM</x:v>
      </x:c>
      <x:c r="C391" s="29" t="str">
        <x:v>Ice storm</x:v>
      </x:c>
      <x:c r="D391" s="53" t="n">
        <x:v>72.12093362739321</x:v>
      </x:c>
      <x:c r="E391" s="50" t="n">
        <x:v>1</x:v>
      </x:c>
      <x:c r="F391" s="29" t="str">
        <x:v>RELATIVE SALIENCE ONLY</x:v>
      </x:c>
    </x:row>
    <x:row r="392" ht="32.400001525878906" hidden="0" customHeight="1">
      <x:c r="A392" s="27" t="str">
        <x:v>SCA-22</x:v>
      </x:c>
      <x:c r="B392" s="27" t="str">
        <x:v>LNDS</x:v>
      </x:c>
      <x:c r="C392" s="27" t="str">
        <x:v>Landslide</x:v>
      </x:c>
      <x:c r="D392" s="52" t="n">
        <x:v>56.57078623114421</x:v>
      </x:c>
      <x:c r="E392" s="49" t="n">
        <x:v>1</x:v>
      </x:c>
      <x:c r="F392" s="27" t="str">
        <x:v>RELATIVE SALIENCE ONLY</x:v>
      </x:c>
    </x:row>
    <x:row r="393" ht="32.400001525878906" hidden="0" customHeight="1">
      <x:c r="A393" s="29" t="str">
        <x:v>SCA-22</x:v>
      </x:c>
      <x:c r="B393" s="29" t="str">
        <x:v>LTNG</x:v>
      </x:c>
      <x:c r="C393" s="29" t="str">
        <x:v>Lightning</x:v>
      </x:c>
      <x:c r="D393" s="53" t="n">
        <x:v>70.68056564999944</x:v>
      </x:c>
      <x:c r="E393" s="50" t="n">
        <x:v>1</x:v>
      </x:c>
      <x:c r="F393" s="29" t="str">
        <x:v>RELATIVE SALIENCE ONLY</x:v>
      </x:c>
    </x:row>
    <x:row r="394" ht="32.400001525878906" hidden="0" customHeight="1">
      <x:c r="A394" s="27" t="str">
        <x:v>SCA-22</x:v>
      </x:c>
      <x:c r="B394" s="27" t="str">
        <x:v>IFLD</x:v>
      </x:c>
      <x:c r="C394" s="27" t="str">
        <x:v>Inland flood</x:v>
      </x:c>
      <x:c r="D394" s="52" t="n">
        <x:v>77.87833180136394</x:v>
      </x:c>
      <x:c r="E394" s="49" t="n">
        <x:v>1</x:v>
      </x:c>
      <x:c r="F394" s="27" t="str">
        <x:v>RELATIVE SALIENCE ONLY</x:v>
      </x:c>
    </x:row>
    <x:row r="395" ht="32.400001525878906" hidden="0" customHeight="1">
      <x:c r="A395" s="29" t="str">
        <x:v>SCA-22</x:v>
      </x:c>
      <x:c r="B395" s="29" t="str">
        <x:v>SWND</x:v>
      </x:c>
      <x:c r="C395" s="29" t="str">
        <x:v>Strong wind</x:v>
      </x:c>
      <x:c r="D395" s="53" t="n">
        <x:v>81.44076769367919</x:v>
      </x:c>
      <x:c r="E395" s="50" t="n">
        <x:v>1</x:v>
      </x:c>
      <x:c r="F395" s="29" t="str">
        <x:v>RELATIVE SALIENCE ONLY</x:v>
      </x:c>
    </x:row>
    <x:row r="396" ht="32.400001525878906" hidden="0" customHeight="1">
      <x:c r="A396" s="27" t="str">
        <x:v>SCA-22</x:v>
      </x:c>
      <x:c r="B396" s="27" t="str">
        <x:v>TRND</x:v>
      </x:c>
      <x:c r="C396" s="27" t="str">
        <x:v>Tornado</x:v>
      </x:c>
      <x:c r="D396" s="52" t="n">
        <x:v>81.23222841906963</x:v>
      </x:c>
      <x:c r="E396" s="49" t="n">
        <x:v>1</x:v>
      </x:c>
      <x:c r="F396" s="27" t="str">
        <x:v>RELATIVE SALIENCE ONLY</x:v>
      </x:c>
    </x:row>
    <x:row r="397" ht="21.600000381469727" hidden="0" customHeight="1">
      <x:c r="A397" s="29" t="str">
        <x:v>SCA-22</x:v>
      </x:c>
      <x:c r="B397" s="29" t="str">
        <x:v>TSUN</x:v>
      </x:c>
      <x:c r="C397" s="29" t="str">
        <x:v>Tsunami</x:v>
      </x:c>
      <x:c r="D397" s="53"/>
      <x:c r="E397" s="50" t="n">
        <x:v>0</x:v>
      </x:c>
      <x:c r="F397" s="29" t="str">
        <x:v>NO COVERAGE</x:v>
      </x:c>
    </x:row>
    <x:row r="398" ht="21.600000381469727" hidden="0" customHeight="1">
      <x:c r="A398" s="27" t="str">
        <x:v>SCA-22</x:v>
      </x:c>
      <x:c r="B398" s="27" t="str">
        <x:v>VLCN</x:v>
      </x:c>
      <x:c r="C398" s="27" t="str">
        <x:v>Volcanic activity</x:v>
      </x:c>
      <x:c r="D398" s="52"/>
      <x:c r="E398" s="49" t="n">
        <x:v>0</x:v>
      </x:c>
      <x:c r="F398" s="27" t="str">
        <x:v>NO COVERAGE</x:v>
      </x:c>
    </x:row>
    <x:row r="399" ht="32.400001525878906" hidden="0" customHeight="1">
      <x:c r="A399" s="29" t="str">
        <x:v>SCA-22</x:v>
      </x:c>
      <x:c r="B399" s="29" t="str">
        <x:v>WFIR</x:v>
      </x:c>
      <x:c r="C399" s="29" t="str">
        <x:v>Wildfire</x:v>
      </x:c>
      <x:c r="D399" s="53" t="n">
        <x:v>33.601629958197414</x:v>
      </x:c>
      <x:c r="E399" s="50" t="n">
        <x:v>1</x:v>
      </x:c>
      <x:c r="F399" s="29" t="str">
        <x:v>RELATIVE SALIENCE ONLY</x:v>
      </x:c>
    </x:row>
    <x:row r="400" ht="32.400001525878906" hidden="0" customHeight="1">
      <x:c r="A400" s="27" t="str">
        <x:v>SCA-22</x:v>
      </x:c>
      <x:c r="B400" s="27" t="str">
        <x:v>WNTW</x:v>
      </x:c>
      <x:c r="C400" s="27" t="str">
        <x:v>Winter weather</x:v>
      </x:c>
      <x:c r="D400" s="52" t="n">
        <x:v>75.12795688630622</x:v>
      </x:c>
      <x:c r="E400" s="49" t="n">
        <x:v>1</x:v>
      </x:c>
      <x:c r="F400" s="27" t="str">
        <x:v>RELATIVE SALIENCE ONLY</x:v>
      </x:c>
    </x:row>
    <x:row r="401" ht="21.600000381469727" hidden="0" customHeight="1">
      <x:c r="A401" s="29" t="str">
        <x:v>SCA-23</x:v>
      </x:c>
      <x:c r="B401" s="29" t="str">
        <x:v>AVLN</x:v>
      </x:c>
      <x:c r="C401" s="29" t="str">
        <x:v>Avalanche</x:v>
      </x:c>
      <x:c r="D401" s="53"/>
      <x:c r="E401" s="50" t="n">
        <x:v>0</x:v>
      </x:c>
      <x:c r="F401" s="29" t="str">
        <x:v>NO COVERAGE</x:v>
      </x:c>
    </x:row>
    <x:row r="402" ht="32.400001525878906" hidden="0" customHeight="1">
      <x:c r="A402" s="27" t="str">
        <x:v>SCA-23</x:v>
      </x:c>
      <x:c r="B402" s="27" t="str">
        <x:v>CFLD</x:v>
      </x:c>
      <x:c r="C402" s="27" t="str">
        <x:v>Coastal flood</x:v>
      </x:c>
      <x:c r="D402" s="52" t="n">
        <x:v>74.47350368221787</x:v>
      </x:c>
      <x:c r="E402" s="49" t="n">
        <x:v>0.07868401015654088</x:v>
      </x:c>
      <x:c r="F402" s="27" t="str">
        <x:v>RELATIVE SALIENCE ONLY</x:v>
      </x:c>
    </x:row>
    <x:row r="403" ht="32.400001525878906" hidden="0" customHeight="1">
      <x:c r="A403" s="29" t="str">
        <x:v>SCA-23</x:v>
      </x:c>
      <x:c r="B403" s="29" t="str">
        <x:v>CWAV</x:v>
      </x:c>
      <x:c r="C403" s="29" t="str">
        <x:v>Cold wave</x:v>
      </x:c>
      <x:c r="D403" s="53" t="n">
        <x:v>74.02852481800885</x:v>
      </x:c>
      <x:c r="E403" s="50" t="n">
        <x:v>1</x:v>
      </x:c>
      <x:c r="F403" s="29" t="str">
        <x:v>RELATIVE SALIENCE ONLY</x:v>
      </x:c>
    </x:row>
    <x:row r="404" ht="32.400001525878906" hidden="0" customHeight="1">
      <x:c r="A404" s="27" t="str">
        <x:v>SCA-23</x:v>
      </x:c>
      <x:c r="B404" s="27" t="str">
        <x:v>DRGT</x:v>
      </x:c>
      <x:c r="C404" s="27" t="str">
        <x:v>Drought</x:v>
      </x:c>
      <x:c r="D404" s="52" t="n">
        <x:v>41.41501231224053</x:v>
      </x:c>
      <x:c r="E404" s="49" t="n">
        <x:v>1</x:v>
      </x:c>
      <x:c r="F404" s="27" t="str">
        <x:v>RELATIVE SALIENCE ONLY</x:v>
      </x:c>
    </x:row>
    <x:row r="405" ht="32.400001525878906" hidden="0" customHeight="1">
      <x:c r="A405" s="29" t="str">
        <x:v>SCA-23</x:v>
      </x:c>
      <x:c r="B405" s="29" t="str">
        <x:v>ERQK</x:v>
      </x:c>
      <x:c r="C405" s="29" t="str">
        <x:v>Earthquake</x:v>
      </x:c>
      <x:c r="D405" s="53" t="n">
        <x:v>81.58466355101618</x:v>
      </x:c>
      <x:c r="E405" s="50" t="n">
        <x:v>1</x:v>
      </x:c>
      <x:c r="F405" s="29" t="str">
        <x:v>RELATIVE SALIENCE ONLY</x:v>
      </x:c>
    </x:row>
    <x:row r="406" ht="32.400001525878906" hidden="0" customHeight="1">
      <x:c r="A406" s="27" t="str">
        <x:v>SCA-23</x:v>
      </x:c>
      <x:c r="B406" s="27" t="str">
        <x:v>HAIL</x:v>
      </x:c>
      <x:c r="C406" s="27" t="str">
        <x:v>Hail</x:v>
      </x:c>
      <x:c r="D406" s="52" t="n">
        <x:v>67.2273641071805</x:v>
      </x:c>
      <x:c r="E406" s="49" t="n">
        <x:v>1</x:v>
      </x:c>
      <x:c r="F406" s="27" t="str">
        <x:v>RELATIVE SALIENCE ONLY</x:v>
      </x:c>
    </x:row>
    <x:row r="407" ht="32.400001525878906" hidden="0" customHeight="1">
      <x:c r="A407" s="29" t="str">
        <x:v>SCA-23</x:v>
      </x:c>
      <x:c r="B407" s="29" t="str">
        <x:v>HWAV</x:v>
      </x:c>
      <x:c r="C407" s="29" t="str">
        <x:v>Heat wave</x:v>
      </x:c>
      <x:c r="D407" s="53" t="n">
        <x:v>71.2685701670028</x:v>
      </x:c>
      <x:c r="E407" s="50" t="n">
        <x:v>1</x:v>
      </x:c>
      <x:c r="F407" s="29" t="str">
        <x:v>RELATIVE SALIENCE ONLY</x:v>
      </x:c>
    </x:row>
    <x:row r="408" ht="32.400001525878906" hidden="0" customHeight="1">
      <x:c r="A408" s="27" t="str">
        <x:v>SCA-23</x:v>
      </x:c>
      <x:c r="B408" s="27" t="str">
        <x:v>HRCN</x:v>
      </x:c>
      <x:c r="C408" s="27" t="str">
        <x:v>Hurricane</x:v>
      </x:c>
      <x:c r="D408" s="52" t="n">
        <x:v>71.07956130914393</x:v>
      </x:c>
      <x:c r="E408" s="49" t="n">
        <x:v>1</x:v>
      </x:c>
      <x:c r="F408" s="27" t="str">
        <x:v>RELATIVE SALIENCE ONLY</x:v>
      </x:c>
    </x:row>
    <x:row r="409" ht="32.400001525878906" hidden="0" customHeight="1">
      <x:c r="A409" s="29" t="str">
        <x:v>SCA-23</x:v>
      </x:c>
      <x:c r="B409" s="29" t="str">
        <x:v>ISTM</x:v>
      </x:c>
      <x:c r="C409" s="29" t="str">
        <x:v>Ice storm</x:v>
      </x:c>
      <x:c r="D409" s="53" t="n">
        <x:v>72.01265692934875</x:v>
      </x:c>
      <x:c r="E409" s="50" t="n">
        <x:v>0.9987208489403818</x:v>
      </x:c>
      <x:c r="F409" s="29" t="str">
        <x:v>RELATIVE SALIENCE ONLY</x:v>
      </x:c>
    </x:row>
    <x:row r="410" ht="32.400001525878906" hidden="0" customHeight="1">
      <x:c r="A410" s="27" t="str">
        <x:v>SCA-23</x:v>
      </x:c>
      <x:c r="B410" s="27" t="str">
        <x:v>LNDS</x:v>
      </x:c>
      <x:c r="C410" s="27" t="str">
        <x:v>Landslide</x:v>
      </x:c>
      <x:c r="D410" s="52" t="n">
        <x:v>66.87747651800707</x:v>
      </x:c>
      <x:c r="E410" s="49" t="n">
        <x:v>1</x:v>
      </x:c>
      <x:c r="F410" s="27" t="str">
        <x:v>RELATIVE SALIENCE ONLY</x:v>
      </x:c>
    </x:row>
    <x:row r="411" ht="32.400001525878906" hidden="0" customHeight="1">
      <x:c r="A411" s="29" t="str">
        <x:v>SCA-23</x:v>
      </x:c>
      <x:c r="B411" s="29" t="str">
        <x:v>LTNG</x:v>
      </x:c>
      <x:c r="C411" s="29" t="str">
        <x:v>Lightning</x:v>
      </x:c>
      <x:c r="D411" s="53" t="n">
        <x:v>84.78774673591667</x:v>
      </x:c>
      <x:c r="E411" s="50" t="n">
        <x:v>1</x:v>
      </x:c>
      <x:c r="F411" s="29" t="str">
        <x:v>RELATIVE SALIENCE ONLY</x:v>
      </x:c>
    </x:row>
    <x:row r="412" ht="32.400001525878906" hidden="0" customHeight="1">
      <x:c r="A412" s="27" t="str">
        <x:v>SCA-23</x:v>
      </x:c>
      <x:c r="B412" s="27" t="str">
        <x:v>IFLD</x:v>
      </x:c>
      <x:c r="C412" s="27" t="str">
        <x:v>Inland flood</x:v>
      </x:c>
      <x:c r="D412" s="52" t="n">
        <x:v>80.23396741063274</x:v>
      </x:c>
      <x:c r="E412" s="49" t="n">
        <x:v>1</x:v>
      </x:c>
      <x:c r="F412" s="27" t="str">
        <x:v>RELATIVE SALIENCE ONLY</x:v>
      </x:c>
    </x:row>
    <x:row r="413" ht="32.400001525878906" hidden="0" customHeight="1">
      <x:c r="A413" s="29" t="str">
        <x:v>SCA-23</x:v>
      </x:c>
      <x:c r="B413" s="29" t="str">
        <x:v>SWND</x:v>
      </x:c>
      <x:c r="C413" s="29" t="str">
        <x:v>Strong wind</x:v>
      </x:c>
      <x:c r="D413" s="53" t="n">
        <x:v>75.08561059588868</x:v>
      </x:c>
      <x:c r="E413" s="50" t="n">
        <x:v>1</x:v>
      </x:c>
      <x:c r="F413" s="29" t="str">
        <x:v>RELATIVE SALIENCE ONLY</x:v>
      </x:c>
    </x:row>
    <x:row r="414" ht="32.400001525878906" hidden="0" customHeight="1">
      <x:c r="A414" s="27" t="str">
        <x:v>SCA-23</x:v>
      </x:c>
      <x:c r="B414" s="27" t="str">
        <x:v>TRND</x:v>
      </x:c>
      <x:c r="C414" s="27" t="str">
        <x:v>Tornado</x:v>
      </x:c>
      <x:c r="D414" s="52" t="n">
        <x:v>84.83322741761113</x:v>
      </x:c>
      <x:c r="E414" s="49" t="n">
        <x:v>1</x:v>
      </x:c>
      <x:c r="F414" s="27" t="str">
        <x:v>RELATIVE SALIENCE ONLY</x:v>
      </x:c>
    </x:row>
    <x:row r="415" ht="21.600000381469727" hidden="0" customHeight="1">
      <x:c r="A415" s="29" t="str">
        <x:v>SCA-23</x:v>
      </x:c>
      <x:c r="B415" s="29" t="str">
        <x:v>TSUN</x:v>
      </x:c>
      <x:c r="C415" s="29" t="str">
        <x:v>Tsunami</x:v>
      </x:c>
      <x:c r="D415" s="53"/>
      <x:c r="E415" s="50" t="n">
        <x:v>0</x:v>
      </x:c>
      <x:c r="F415" s="29" t="str">
        <x:v>NO COVERAGE</x:v>
      </x:c>
    </x:row>
    <x:row r="416" ht="21.600000381469727" hidden="0" customHeight="1">
      <x:c r="A416" s="27" t="str">
        <x:v>SCA-23</x:v>
      </x:c>
      <x:c r="B416" s="27" t="str">
        <x:v>VLCN</x:v>
      </x:c>
      <x:c r="C416" s="27" t="str">
        <x:v>Volcanic activity</x:v>
      </x:c>
      <x:c r="D416" s="52"/>
      <x:c r="E416" s="49" t="n">
        <x:v>0</x:v>
      </x:c>
      <x:c r="F416" s="27" t="str">
        <x:v>NO COVERAGE</x:v>
      </x:c>
    </x:row>
    <x:row r="417" ht="32.400001525878906" hidden="0" customHeight="1">
      <x:c r="A417" s="29" t="str">
        <x:v>SCA-23</x:v>
      </x:c>
      <x:c r="B417" s="29" t="str">
        <x:v>WFIR</x:v>
      </x:c>
      <x:c r="C417" s="29" t="str">
        <x:v>Wildfire</x:v>
      </x:c>
      <x:c r="D417" s="53" t="n">
        <x:v>57.00396843584248</x:v>
      </x:c>
      <x:c r="E417" s="50" t="n">
        <x:v>1</x:v>
      </x:c>
      <x:c r="F417" s="29" t="str">
        <x:v>RELATIVE SALIENCE ONLY</x:v>
      </x:c>
    </x:row>
    <x:row r="418" ht="32.400001525878906" hidden="0" customHeight="1">
      <x:c r="A418" s="27" t="str">
        <x:v>SCA-23</x:v>
      </x:c>
      <x:c r="B418" s="27" t="str">
        <x:v>WNTW</x:v>
      </x:c>
      <x:c r="C418" s="27" t="str">
        <x:v>Winter weather</x:v>
      </x:c>
      <x:c r="D418" s="52" t="n">
        <x:v>49.39732140288377</x:v>
      </x:c>
      <x:c r="E418" s="49" t="n">
        <x:v>1</x:v>
      </x:c>
      <x:c r="F418" s="27" t="str">
        <x:v>RELATIVE SALIENCE ONLY</x:v>
      </x:c>
    </x:row>
    <x:row r="419" ht="21.600000381469727" hidden="0" customHeight="1">
      <x:c r="A419" s="29" t="str">
        <x:v>SCA-24</x:v>
      </x:c>
      <x:c r="B419" s="29" t="str">
        <x:v>AVLN</x:v>
      </x:c>
      <x:c r="C419" s="29" t="str">
        <x:v>Avalanche</x:v>
      </x:c>
      <x:c r="D419" s="53"/>
      <x:c r="E419" s="50" t="n">
        <x:v>0</x:v>
      </x:c>
      <x:c r="F419" s="29" t="str">
        <x:v>NO COVERAGE</x:v>
      </x:c>
    </x:row>
    <x:row r="420" ht="32.400001525878906" hidden="0" customHeight="1">
      <x:c r="A420" s="27" t="str">
        <x:v>SCA-24</x:v>
      </x:c>
      <x:c r="B420" s="27" t="str">
        <x:v>CFLD</x:v>
      </x:c>
      <x:c r="C420" s="27" t="str">
        <x:v>Coastal flood</x:v>
      </x:c>
      <x:c r="D420" s="52" t="n">
        <x:v>43.70634406995946</x:v>
      </x:c>
      <x:c r="E420" s="49" t="n">
        <x:v>0.39148747211552043</x:v>
      </x:c>
      <x:c r="F420" s="27" t="str">
        <x:v>RELATIVE SALIENCE ONLY</x:v>
      </x:c>
    </x:row>
    <x:row r="421" ht="32.400001525878906" hidden="0" customHeight="1">
      <x:c r="A421" s="29" t="str">
        <x:v>SCA-24</x:v>
      </x:c>
      <x:c r="B421" s="29" t="str">
        <x:v>CWAV</x:v>
      </x:c>
      <x:c r="C421" s="29" t="str">
        <x:v>Cold wave</x:v>
      </x:c>
      <x:c r="D421" s="53" t="n">
        <x:v>82.2879420855881</x:v>
      </x:c>
      <x:c r="E421" s="50" t="n">
        <x:v>1</x:v>
      </x:c>
      <x:c r="F421" s="29" t="str">
        <x:v>RELATIVE SALIENCE ONLY</x:v>
      </x:c>
    </x:row>
    <x:row r="422" ht="32.400001525878906" hidden="0" customHeight="1">
      <x:c r="A422" s="27" t="str">
        <x:v>SCA-24</x:v>
      </x:c>
      <x:c r="B422" s="27" t="str">
        <x:v>DRGT</x:v>
      </x:c>
      <x:c r="C422" s="27" t="str">
        <x:v>Drought</x:v>
      </x:c>
      <x:c r="D422" s="52" t="n">
        <x:v>5.999346088900658</x:v>
      </x:c>
      <x:c r="E422" s="49" t="n">
        <x:v>1</x:v>
      </x:c>
      <x:c r="F422" s="27" t="str">
        <x:v>RELATIVE SALIENCE ONLY</x:v>
      </x:c>
    </x:row>
    <x:row r="423" ht="32.400001525878906" hidden="0" customHeight="1">
      <x:c r="A423" s="29" t="str">
        <x:v>SCA-24</x:v>
      </x:c>
      <x:c r="B423" s="29" t="str">
        <x:v>ERQK</x:v>
      </x:c>
      <x:c r="C423" s="29" t="str">
        <x:v>Earthquake</x:v>
      </x:c>
      <x:c r="D423" s="53" t="n">
        <x:v>69.90922275759019</x:v>
      </x:c>
      <x:c r="E423" s="50" t="n">
        <x:v>1</x:v>
      </x:c>
      <x:c r="F423" s="29" t="str">
        <x:v>RELATIVE SALIENCE ONLY</x:v>
      </x:c>
    </x:row>
    <x:row r="424" ht="32.400001525878906" hidden="0" customHeight="1">
      <x:c r="A424" s="27" t="str">
        <x:v>SCA-24</x:v>
      </x:c>
      <x:c r="B424" s="27" t="str">
        <x:v>HAIL</x:v>
      </x:c>
      <x:c r="C424" s="27" t="str">
        <x:v>Hail</x:v>
      </x:c>
      <x:c r="D424" s="52" t="n">
        <x:v>75.02944106595349</x:v>
      </x:c>
      <x:c r="E424" s="49" t="n">
        <x:v>1</x:v>
      </x:c>
      <x:c r="F424" s="27" t="str">
        <x:v>RELATIVE SALIENCE ONLY</x:v>
      </x:c>
    </x:row>
    <x:row r="425" ht="32.400001525878906" hidden="0" customHeight="1">
      <x:c r="A425" s="29" t="str">
        <x:v>SCA-24</x:v>
      </x:c>
      <x:c r="B425" s="29" t="str">
        <x:v>HWAV</x:v>
      </x:c>
      <x:c r="C425" s="29" t="str">
        <x:v>Heat wave</x:v>
      </x:c>
      <x:c r="D425" s="53" t="n">
        <x:v>71.66648014480201</x:v>
      </x:c>
      <x:c r="E425" s="50" t="n">
        <x:v>1</x:v>
      </x:c>
      <x:c r="F425" s="29" t="str">
        <x:v>RELATIVE SALIENCE ONLY</x:v>
      </x:c>
    </x:row>
    <x:row r="426" ht="32.400001525878906" hidden="0" customHeight="1">
      <x:c r="A426" s="27" t="str">
        <x:v>SCA-24</x:v>
      </x:c>
      <x:c r="B426" s="27" t="str">
        <x:v>HRCN</x:v>
      </x:c>
      <x:c r="C426" s="27" t="str">
        <x:v>Hurricane</x:v>
      </x:c>
      <x:c r="D426" s="52" t="n">
        <x:v>43.72727822297513</x:v>
      </x:c>
      <x:c r="E426" s="49" t="n">
        <x:v>1</x:v>
      </x:c>
      <x:c r="F426" s="27" t="str">
        <x:v>RELATIVE SALIENCE ONLY</x:v>
      </x:c>
    </x:row>
    <x:row r="427" ht="32.400001525878906" hidden="0" customHeight="1">
      <x:c r="A427" s="29" t="str">
        <x:v>SCA-24</x:v>
      </x:c>
      <x:c r="B427" s="29" t="str">
        <x:v>ISTM</x:v>
      </x:c>
      <x:c r="C427" s="29" t="str">
        <x:v>Ice storm</x:v>
      </x:c>
      <x:c r="D427" s="53" t="n">
        <x:v>81.4647312303875</x:v>
      </x:c>
      <x:c r="E427" s="50" t="n">
        <x:v>1</x:v>
      </x:c>
      <x:c r="F427" s="29" t="str">
        <x:v>RELATIVE SALIENCE ONLY</x:v>
      </x:c>
    </x:row>
    <x:row r="428" ht="32.400001525878906" hidden="0" customHeight="1">
      <x:c r="A428" s="27" t="str">
        <x:v>SCA-24</x:v>
      </x:c>
      <x:c r="B428" s="27" t="str">
        <x:v>LNDS</x:v>
      </x:c>
      <x:c r="C428" s="27" t="str">
        <x:v>Landslide</x:v>
      </x:c>
      <x:c r="D428" s="52" t="n">
        <x:v>53.84436487884221</x:v>
      </x:c>
      <x:c r="E428" s="49" t="n">
        <x:v>1</x:v>
      </x:c>
      <x:c r="F428" s="27" t="str">
        <x:v>RELATIVE SALIENCE ONLY</x:v>
      </x:c>
    </x:row>
    <x:row r="429" ht="32.400001525878906" hidden="0" customHeight="1">
      <x:c r="A429" s="29" t="str">
        <x:v>SCA-24</x:v>
      </x:c>
      <x:c r="B429" s="29" t="str">
        <x:v>LTNG</x:v>
      </x:c>
      <x:c r="C429" s="29" t="str">
        <x:v>Lightning</x:v>
      </x:c>
      <x:c r="D429" s="53" t="n">
        <x:v>72.00904114293203</x:v>
      </x:c>
      <x:c r="E429" s="50" t="n">
        <x:v>1</x:v>
      </x:c>
      <x:c r="F429" s="29" t="str">
        <x:v>RELATIVE SALIENCE ONLY</x:v>
      </x:c>
    </x:row>
    <x:row r="430" ht="32.400001525878906" hidden="0" customHeight="1">
      <x:c r="A430" s="27" t="str">
        <x:v>SCA-24</x:v>
      </x:c>
      <x:c r="B430" s="27" t="str">
        <x:v>IFLD</x:v>
      </x:c>
      <x:c r="C430" s="27" t="str">
        <x:v>Inland flood</x:v>
      </x:c>
      <x:c r="D430" s="52" t="n">
        <x:v>83.69296047566327</x:v>
      </x:c>
      <x:c r="E430" s="49" t="n">
        <x:v>1</x:v>
      </x:c>
      <x:c r="F430" s="27" t="str">
        <x:v>RELATIVE SALIENCE ONLY</x:v>
      </x:c>
    </x:row>
    <x:row r="431" ht="32.400001525878906" hidden="0" customHeight="1">
      <x:c r="A431" s="29" t="str">
        <x:v>SCA-24</x:v>
      </x:c>
      <x:c r="B431" s="29" t="str">
        <x:v>SWND</x:v>
      </x:c>
      <x:c r="C431" s="29" t="str">
        <x:v>Strong wind</x:v>
      </x:c>
      <x:c r="D431" s="53" t="n">
        <x:v>87.98925216466907</x:v>
      </x:c>
      <x:c r="E431" s="50" t="n">
        <x:v>1</x:v>
      </x:c>
      <x:c r="F431" s="29" t="str">
        <x:v>RELATIVE SALIENCE ONLY</x:v>
      </x:c>
    </x:row>
    <x:row r="432" ht="32.400001525878906" hidden="0" customHeight="1">
      <x:c r="A432" s="27" t="str">
        <x:v>SCA-24</x:v>
      </x:c>
      <x:c r="B432" s="27" t="str">
        <x:v>TRND</x:v>
      </x:c>
      <x:c r="C432" s="27" t="str">
        <x:v>Tornado</x:v>
      </x:c>
      <x:c r="D432" s="52" t="n">
        <x:v>86.56531534640185</x:v>
      </x:c>
      <x:c r="E432" s="49" t="n">
        <x:v>1</x:v>
      </x:c>
      <x:c r="F432" s="27" t="str">
        <x:v>RELATIVE SALIENCE ONLY</x:v>
      </x:c>
    </x:row>
    <x:row r="433" ht="21.600000381469727" hidden="0" customHeight="1">
      <x:c r="A433" s="29" t="str">
        <x:v>SCA-24</x:v>
      </x:c>
      <x:c r="B433" s="29" t="str">
        <x:v>TSUN</x:v>
      </x:c>
      <x:c r="C433" s="29" t="str">
        <x:v>Tsunami</x:v>
      </x:c>
      <x:c r="D433" s="53"/>
      <x:c r="E433" s="50" t="n">
        <x:v>0</x:v>
      </x:c>
      <x:c r="F433" s="29" t="str">
        <x:v>NO COVERAGE</x:v>
      </x:c>
    </x:row>
    <x:row r="434" ht="21.600000381469727" hidden="0" customHeight="1">
      <x:c r="A434" s="27" t="str">
        <x:v>SCA-24</x:v>
      </x:c>
      <x:c r="B434" s="27" t="str">
        <x:v>VLCN</x:v>
      </x:c>
      <x:c r="C434" s="27" t="str">
        <x:v>Volcanic activity</x:v>
      </x:c>
      <x:c r="D434" s="52"/>
      <x:c r="E434" s="49" t="n">
        <x:v>0</x:v>
      </x:c>
      <x:c r="F434" s="27" t="str">
        <x:v>NO COVERAGE</x:v>
      </x:c>
    </x:row>
    <x:row r="435" ht="32.400001525878906" hidden="0" customHeight="1">
      <x:c r="A435" s="29" t="str">
        <x:v>SCA-24</x:v>
      </x:c>
      <x:c r="B435" s="29" t="str">
        <x:v>WFIR</x:v>
      </x:c>
      <x:c r="C435" s="29" t="str">
        <x:v>Wildfire</x:v>
      </x:c>
      <x:c r="D435" s="53" t="n">
        <x:v>36.51219485221555</x:v>
      </x:c>
      <x:c r="E435" s="50" t="n">
        <x:v>1</x:v>
      </x:c>
      <x:c r="F435" s="29" t="str">
        <x:v>RELATIVE SALIENCE ONLY</x:v>
      </x:c>
    </x:row>
    <x:row r="436" ht="32.400001525878906" hidden="0" customHeight="1">
      <x:c r="A436" s="27" t="str">
        <x:v>SCA-24</x:v>
      </x:c>
      <x:c r="B436" s="27" t="str">
        <x:v>WNTW</x:v>
      </x:c>
      <x:c r="C436" s="27" t="str">
        <x:v>Winter weather</x:v>
      </x:c>
      <x:c r="D436" s="52" t="n">
        <x:v>79.0616955742495</x:v>
      </x:c>
      <x:c r="E436" s="49" t="n">
        <x:v>1</x:v>
      </x:c>
      <x:c r="F436" s="27" t="str">
        <x:v>RELATIVE SALIENCE ONLY</x:v>
      </x:c>
    </x:row>
    <x:row r="437" ht="21.600000381469727" hidden="0" customHeight="1">
      <x:c r="A437" s="29" t="str">
        <x:v>SCA-25</x:v>
      </x:c>
      <x:c r="B437" s="29" t="str">
        <x:v>AVLN</x:v>
      </x:c>
      <x:c r="C437" s="29" t="str">
        <x:v>Avalanche</x:v>
      </x:c>
      <x:c r="D437" s="53"/>
      <x:c r="E437" s="50" t="n">
        <x:v>0</x:v>
      </x:c>
      <x:c r="F437" s="29" t="str">
        <x:v>NO COVERAGE</x:v>
      </x:c>
    </x:row>
    <x:row r="438" ht="32.400001525878906" hidden="0" customHeight="1">
      <x:c r="A438" s="27" t="str">
        <x:v>SCA-25</x:v>
      </x:c>
      <x:c r="B438" s="27" t="str">
        <x:v>CFLD</x:v>
      </x:c>
      <x:c r="C438" s="27" t="str">
        <x:v>Coastal flood</x:v>
      </x:c>
      <x:c r="D438" s="52" t="n">
        <x:v>63.83567221371388</x:v>
      </x:c>
      <x:c r="E438" s="49" t="n">
        <x:v>0.8479319467560827</x:v>
      </x:c>
      <x:c r="F438" s="27" t="str">
        <x:v>RELATIVE SALIENCE ONLY</x:v>
      </x:c>
    </x:row>
    <x:row r="439" ht="32.400001525878906" hidden="0" customHeight="1">
      <x:c r="A439" s="29" t="str">
        <x:v>SCA-25</x:v>
      </x:c>
      <x:c r="B439" s="29" t="str">
        <x:v>CWAV</x:v>
      </x:c>
      <x:c r="C439" s="29" t="str">
        <x:v>Cold wave</x:v>
      </x:c>
      <x:c r="D439" s="53" t="n">
        <x:v>62.51248063905204</x:v>
      </x:c>
      <x:c r="E439" s="50" t="n">
        <x:v>1</x:v>
      </x:c>
      <x:c r="F439" s="29" t="str">
        <x:v>RELATIVE SALIENCE ONLY</x:v>
      </x:c>
    </x:row>
    <x:row r="440" ht="32.400001525878906" hidden="0" customHeight="1">
      <x:c r="A440" s="27" t="str">
        <x:v>SCA-25</x:v>
      </x:c>
      <x:c r="B440" s="27" t="str">
        <x:v>DRGT</x:v>
      </x:c>
      <x:c r="C440" s="27" t="str">
        <x:v>Drought</x:v>
      </x:c>
      <x:c r="D440" s="52" t="n">
        <x:v>34.82013141124168</x:v>
      </x:c>
      <x:c r="E440" s="49" t="n">
        <x:v>1</x:v>
      </x:c>
      <x:c r="F440" s="27" t="str">
        <x:v>RELATIVE SALIENCE ONLY</x:v>
      </x:c>
    </x:row>
    <x:row r="441" ht="32.400001525878906" hidden="0" customHeight="1">
      <x:c r="A441" s="29" t="str">
        <x:v>SCA-25</x:v>
      </x:c>
      <x:c r="B441" s="29" t="str">
        <x:v>ERQK</x:v>
      </x:c>
      <x:c r="C441" s="29" t="str">
        <x:v>Earthquake</x:v>
      </x:c>
      <x:c r="D441" s="53" t="n">
        <x:v>68.60872106865158</x:v>
      </x:c>
      <x:c r="E441" s="50" t="n">
        <x:v>1</x:v>
      </x:c>
      <x:c r="F441" s="29" t="str">
        <x:v>RELATIVE SALIENCE ONLY</x:v>
      </x:c>
    </x:row>
    <x:row r="442" ht="32.400001525878906" hidden="0" customHeight="1">
      <x:c r="A442" s="27" t="str">
        <x:v>SCA-25</x:v>
      </x:c>
      <x:c r="B442" s="27" t="str">
        <x:v>HAIL</x:v>
      </x:c>
      <x:c r="C442" s="27" t="str">
        <x:v>Hail</x:v>
      </x:c>
      <x:c r="D442" s="52" t="n">
        <x:v>40.5383757964817</x:v>
      </x:c>
      <x:c r="E442" s="49" t="n">
        <x:v>1</x:v>
      </x:c>
      <x:c r="F442" s="27" t="str">
        <x:v>RELATIVE SALIENCE ONLY</x:v>
      </x:c>
    </x:row>
    <x:row r="443" ht="32.400001525878906" hidden="0" customHeight="1">
      <x:c r="A443" s="29" t="str">
        <x:v>SCA-25</x:v>
      </x:c>
      <x:c r="B443" s="29" t="str">
        <x:v>HWAV</x:v>
      </x:c>
      <x:c r="C443" s="29" t="str">
        <x:v>Heat wave</x:v>
      </x:c>
      <x:c r="D443" s="53" t="n">
        <x:v>79.35378094320224</x:v>
      </x:c>
      <x:c r="E443" s="50" t="n">
        <x:v>1</x:v>
      </x:c>
      <x:c r="F443" s="29" t="str">
        <x:v>RELATIVE SALIENCE ONLY</x:v>
      </x:c>
    </x:row>
    <x:row r="444" ht="32.400001525878906" hidden="0" customHeight="1">
      <x:c r="A444" s="27" t="str">
        <x:v>SCA-25</x:v>
      </x:c>
      <x:c r="B444" s="27" t="str">
        <x:v>HRCN</x:v>
      </x:c>
      <x:c r="C444" s="27" t="str">
        <x:v>Hurricane</x:v>
      </x:c>
      <x:c r="D444" s="52" t="n">
        <x:v>94.60722304094942</x:v>
      </x:c>
      <x:c r="E444" s="49" t="n">
        <x:v>1</x:v>
      </x:c>
      <x:c r="F444" s="27" t="str">
        <x:v>RELATIVE SALIENCE ONLY</x:v>
      </x:c>
    </x:row>
    <x:row r="445" ht="32.400001525878906" hidden="0" customHeight="1">
      <x:c r="A445" s="29" t="str">
        <x:v>SCA-25</x:v>
      </x:c>
      <x:c r="B445" s="29" t="str">
        <x:v>ISTM</x:v>
      </x:c>
      <x:c r="C445" s="29" t="str">
        <x:v>Ice storm</x:v>
      </x:c>
      <x:c r="D445" s="53" t="n">
        <x:v>37.54525725729976</x:v>
      </x:c>
      <x:c r="E445" s="50" t="n">
        <x:v>0.5172742187824282</x:v>
      </x:c>
      <x:c r="F445" s="29" t="str">
        <x:v>RELATIVE SALIENCE ONLY</x:v>
      </x:c>
    </x:row>
    <x:row r="446" ht="32.400001525878906" hidden="0" customHeight="1">
      <x:c r="A446" s="27" t="str">
        <x:v>SCA-25</x:v>
      </x:c>
      <x:c r="B446" s="27" t="str">
        <x:v>LNDS</x:v>
      </x:c>
      <x:c r="C446" s="27" t="str">
        <x:v>Landslide</x:v>
      </x:c>
      <x:c r="D446" s="52" t="n">
        <x:v>31.371370658347118</x:v>
      </x:c>
      <x:c r="E446" s="49" t="n">
        <x:v>1</x:v>
      </x:c>
      <x:c r="F446" s="27" t="str">
        <x:v>RELATIVE SALIENCE ONLY</x:v>
      </x:c>
    </x:row>
    <x:row r="447" ht="32.400001525878906" hidden="0" customHeight="1">
      <x:c r="A447" s="29" t="str">
        <x:v>SCA-25</x:v>
      </x:c>
      <x:c r="B447" s="29" t="str">
        <x:v>LTNG</x:v>
      </x:c>
      <x:c r="C447" s="29" t="str">
        <x:v>Lightning</x:v>
      </x:c>
      <x:c r="D447" s="53" t="n">
        <x:v>85.14453859335941</x:v>
      </x:c>
      <x:c r="E447" s="50" t="n">
        <x:v>1</x:v>
      </x:c>
      <x:c r="F447" s="29" t="str">
        <x:v>RELATIVE SALIENCE ONLY</x:v>
      </x:c>
    </x:row>
    <x:row r="448" ht="32.400001525878906" hidden="0" customHeight="1">
      <x:c r="A448" s="27" t="str">
        <x:v>SCA-25</x:v>
      </x:c>
      <x:c r="B448" s="27" t="str">
        <x:v>IFLD</x:v>
      </x:c>
      <x:c r="C448" s="27" t="str">
        <x:v>Inland flood</x:v>
      </x:c>
      <x:c r="D448" s="52" t="n">
        <x:v>76.00722590485114</x:v>
      </x:c>
      <x:c r="E448" s="49" t="n">
        <x:v>1</x:v>
      </x:c>
      <x:c r="F448" s="27" t="str">
        <x:v>RELATIVE SALIENCE ONLY</x:v>
      </x:c>
    </x:row>
    <x:row r="449" ht="32.400001525878906" hidden="0" customHeight="1">
      <x:c r="A449" s="29" t="str">
        <x:v>SCA-25</x:v>
      </x:c>
      <x:c r="B449" s="29" t="str">
        <x:v>SWND</x:v>
      </x:c>
      <x:c r="C449" s="29" t="str">
        <x:v>Strong wind</x:v>
      </x:c>
      <x:c r="D449" s="53" t="n">
        <x:v>60.500069836839735</x:v>
      </x:c>
      <x:c r="E449" s="50" t="n">
        <x:v>1</x:v>
      </x:c>
      <x:c r="F449" s="29" t="str">
        <x:v>RELATIVE SALIENCE ONLY</x:v>
      </x:c>
    </x:row>
    <x:row r="450" ht="32.400001525878906" hidden="0" customHeight="1">
      <x:c r="A450" s="27" t="str">
        <x:v>SCA-25</x:v>
      </x:c>
      <x:c r="B450" s="27" t="str">
        <x:v>TRND</x:v>
      </x:c>
      <x:c r="C450" s="27" t="str">
        <x:v>Tornado</x:v>
      </x:c>
      <x:c r="D450" s="52" t="n">
        <x:v>78.5522335669988</x:v>
      </x:c>
      <x:c r="E450" s="49" t="n">
        <x:v>1</x:v>
      </x:c>
      <x:c r="F450" s="27" t="str">
        <x:v>RELATIVE SALIENCE ONLY</x:v>
      </x:c>
    </x:row>
    <x:row r="451" ht="21.600000381469727" hidden="0" customHeight="1">
      <x:c r="A451" s="29" t="str">
        <x:v>SCA-25</x:v>
      </x:c>
      <x:c r="B451" s="29" t="str">
        <x:v>TSUN</x:v>
      </x:c>
      <x:c r="C451" s="29" t="str">
        <x:v>Tsunami</x:v>
      </x:c>
      <x:c r="D451" s="53"/>
      <x:c r="E451" s="50" t="n">
        <x:v>0</x:v>
      </x:c>
      <x:c r="F451" s="29" t="str">
        <x:v>NO COVERAGE</x:v>
      </x:c>
    </x:row>
    <x:row r="452" ht="21.600000381469727" hidden="0" customHeight="1">
      <x:c r="A452" s="27" t="str">
        <x:v>SCA-25</x:v>
      </x:c>
      <x:c r="B452" s="27" t="str">
        <x:v>VLCN</x:v>
      </x:c>
      <x:c r="C452" s="27" t="str">
        <x:v>Volcanic activity</x:v>
      </x:c>
      <x:c r="D452" s="52"/>
      <x:c r="E452" s="49" t="n">
        <x:v>0</x:v>
      </x:c>
      <x:c r="F452" s="27" t="str">
        <x:v>NO COVERAGE</x:v>
      </x:c>
    </x:row>
    <x:row r="453" ht="32.400001525878906" hidden="0" customHeight="1">
      <x:c r="A453" s="29" t="str">
        <x:v>SCA-25</x:v>
      </x:c>
      <x:c r="B453" s="29" t="str">
        <x:v>WFIR</x:v>
      </x:c>
      <x:c r="C453" s="29" t="str">
        <x:v>Wildfire</x:v>
      </x:c>
      <x:c r="D453" s="53" t="n">
        <x:v>84.08585843614217</x:v>
      </x:c>
      <x:c r="E453" s="50" t="n">
        <x:v>1</x:v>
      </x:c>
      <x:c r="F453" s="29" t="str">
        <x:v>RELATIVE SALIENCE ONLY</x:v>
      </x:c>
    </x:row>
    <x:row r="454" ht="32.400001525878906" hidden="0" customHeight="1">
      <x:c r="A454" s="27" t="str">
        <x:v>SCA-25</x:v>
      </x:c>
      <x:c r="B454" s="27" t="str">
        <x:v>WNTW</x:v>
      </x:c>
      <x:c r="C454" s="27" t="str">
        <x:v>Winter weather</x:v>
      </x:c>
      <x:c r="D454" s="52" t="n">
        <x:v>18.54667949551503</x:v>
      </x:c>
      <x:c r="E454" s="49" t="n">
        <x:v>1</x:v>
      </x:c>
      <x:c r="F454" s="27" t="str">
        <x:v>RELATIVE SALIENCE ONLY</x:v>
      </x:c>
    </x:row>
    <x:row r="455" ht="21.600000381469727" hidden="0" customHeight="1">
      <x:c r="A455" s="29" t="str">
        <x:v>SCA-26</x:v>
      </x:c>
      <x:c r="B455" s="29" t="str">
        <x:v>AVLN</x:v>
      </x:c>
      <x:c r="C455" s="29" t="str">
        <x:v>Avalanche</x:v>
      </x:c>
      <x:c r="D455" s="53"/>
      <x:c r="E455" s="50" t="n">
        <x:v>0</x:v>
      </x:c>
      <x:c r="F455" s="29" t="str">
        <x:v>NO COVERAGE</x:v>
      </x:c>
    </x:row>
    <x:row r="456" ht="32.400001525878906" hidden="0" customHeight="1">
      <x:c r="A456" s="27" t="str">
        <x:v>SCA-26</x:v>
      </x:c>
      <x:c r="B456" s="27" t="str">
        <x:v>CFLD</x:v>
      </x:c>
      <x:c r="C456" s="27" t="str">
        <x:v>Coastal flood</x:v>
      </x:c>
      <x:c r="D456" s="52" t="n">
        <x:v>67.62104478855218</x:v>
      </x:c>
      <x:c r="E456" s="49" t="n">
        <x:v>0.8486179160578343</x:v>
      </x:c>
      <x:c r="F456" s="27" t="str">
        <x:v>RELATIVE SALIENCE ONLY</x:v>
      </x:c>
    </x:row>
    <x:row r="457" ht="32.400001525878906" hidden="0" customHeight="1">
      <x:c r="A457" s="29" t="str">
        <x:v>SCA-26</x:v>
      </x:c>
      <x:c r="B457" s="29" t="str">
        <x:v>CWAV</x:v>
      </x:c>
      <x:c r="C457" s="29" t="str">
        <x:v>Cold wave</x:v>
      </x:c>
      <x:c r="D457" s="53" t="n">
        <x:v>71.47541240025465</x:v>
      </x:c>
      <x:c r="E457" s="50" t="n">
        <x:v>1</x:v>
      </x:c>
      <x:c r="F457" s="29" t="str">
        <x:v>RELATIVE SALIENCE ONLY</x:v>
      </x:c>
    </x:row>
    <x:row r="458" ht="32.400001525878906" hidden="0" customHeight="1">
      <x:c r="A458" s="27" t="str">
        <x:v>SCA-26</x:v>
      </x:c>
      <x:c r="B458" s="27" t="str">
        <x:v>DRGT</x:v>
      </x:c>
      <x:c r="C458" s="27" t="str">
        <x:v>Drought</x:v>
      </x:c>
      <x:c r="D458" s="52" t="n">
        <x:v>47.17616129210869</x:v>
      </x:c>
      <x:c r="E458" s="49" t="n">
        <x:v>1</x:v>
      </x:c>
      <x:c r="F458" s="27" t="str">
        <x:v>RELATIVE SALIENCE ONLY</x:v>
      </x:c>
    </x:row>
    <x:row r="459" ht="32.400001525878906" hidden="0" customHeight="1">
      <x:c r="A459" s="29" t="str">
        <x:v>SCA-26</x:v>
      </x:c>
      <x:c r="B459" s="29" t="str">
        <x:v>ERQK</x:v>
      </x:c>
      <x:c r="C459" s="29" t="str">
        <x:v>Earthquake</x:v>
      </x:c>
      <x:c r="D459" s="53" t="n">
        <x:v>53.869090819959936</x:v>
      </x:c>
      <x:c r="E459" s="50" t="n">
        <x:v>1</x:v>
      </x:c>
      <x:c r="F459" s="29" t="str">
        <x:v>RELATIVE SALIENCE ONLY</x:v>
      </x:c>
    </x:row>
    <x:row r="460" ht="32.400001525878906" hidden="0" customHeight="1">
      <x:c r="A460" s="27" t="str">
        <x:v>SCA-26</x:v>
      </x:c>
      <x:c r="B460" s="27" t="str">
        <x:v>HAIL</x:v>
      </x:c>
      <x:c r="C460" s="27" t="str">
        <x:v>Hail</x:v>
      </x:c>
      <x:c r="D460" s="52" t="n">
        <x:v>57.435351186577165</x:v>
      </x:c>
      <x:c r="E460" s="49" t="n">
        <x:v>1</x:v>
      </x:c>
      <x:c r="F460" s="27" t="str">
        <x:v>RELATIVE SALIENCE ONLY</x:v>
      </x:c>
    </x:row>
    <x:row r="461" ht="32.400001525878906" hidden="0" customHeight="1">
      <x:c r="A461" s="29" t="str">
        <x:v>SCA-26</x:v>
      </x:c>
      <x:c r="B461" s="29" t="str">
        <x:v>HWAV</x:v>
      </x:c>
      <x:c r="C461" s="29" t="str">
        <x:v>Heat wave</x:v>
      </x:c>
      <x:c r="D461" s="53" t="n">
        <x:v>88.38883398672583</x:v>
      </x:c>
      <x:c r="E461" s="50" t="n">
        <x:v>1</x:v>
      </x:c>
      <x:c r="F461" s="29" t="str">
        <x:v>RELATIVE SALIENCE ONLY</x:v>
      </x:c>
    </x:row>
    <x:row r="462" ht="32.400001525878906" hidden="0" customHeight="1">
      <x:c r="A462" s="27" t="str">
        <x:v>SCA-26</x:v>
      </x:c>
      <x:c r="B462" s="27" t="str">
        <x:v>HRCN</x:v>
      </x:c>
      <x:c r="C462" s="27" t="str">
        <x:v>Hurricane</x:v>
      </x:c>
      <x:c r="D462" s="52" t="n">
        <x:v>98.13090310680627</x:v>
      </x:c>
      <x:c r="E462" s="49" t="n">
        <x:v>1</x:v>
      </x:c>
      <x:c r="F462" s="27" t="str">
        <x:v>RELATIVE SALIENCE ONLY</x:v>
      </x:c>
    </x:row>
    <x:row r="463" ht="21.600000381469727" hidden="0" customHeight="1">
      <x:c r="A463" s="29" t="str">
        <x:v>SCA-26</x:v>
      </x:c>
      <x:c r="B463" s="29" t="str">
        <x:v>ISTM</x:v>
      </x:c>
      <x:c r="C463" s="29" t="str">
        <x:v>Ice storm</x:v>
      </x:c>
      <x:c r="D463" s="53"/>
      <x:c r="E463" s="50" t="n">
        <x:v>0</x:v>
      </x:c>
      <x:c r="F463" s="29" t="str">
        <x:v>NO COVERAGE</x:v>
      </x:c>
    </x:row>
    <x:row r="464" ht="32.400001525878906" hidden="0" customHeight="1">
      <x:c r="A464" s="27" t="str">
        <x:v>SCA-26</x:v>
      </x:c>
      <x:c r="B464" s="27" t="str">
        <x:v>LNDS</x:v>
      </x:c>
      <x:c r="C464" s="27" t="str">
        <x:v>Landslide</x:v>
      </x:c>
      <x:c r="D464" s="52" t="n">
        <x:v>44.93990659814109</x:v>
      </x:c>
      <x:c r="E464" s="49" t="n">
        <x:v>1</x:v>
      </x:c>
      <x:c r="F464" s="27" t="str">
        <x:v>RELATIVE SALIENCE ONLY</x:v>
      </x:c>
    </x:row>
    <x:row r="465" ht="32.400001525878906" hidden="0" customHeight="1">
      <x:c r="A465" s="29" t="str">
        <x:v>SCA-26</x:v>
      </x:c>
      <x:c r="B465" s="29" t="str">
        <x:v>LTNG</x:v>
      </x:c>
      <x:c r="C465" s="29" t="str">
        <x:v>Lightning</x:v>
      </x:c>
      <x:c r="D465" s="53" t="n">
        <x:v>98.47406702357091</x:v>
      </x:c>
      <x:c r="E465" s="50" t="n">
        <x:v>1</x:v>
      </x:c>
      <x:c r="F465" s="29" t="str">
        <x:v>RELATIVE SALIENCE ONLY</x:v>
      </x:c>
    </x:row>
    <x:row r="466" ht="32.400001525878906" hidden="0" customHeight="1">
      <x:c r="A466" s="27" t="str">
        <x:v>SCA-26</x:v>
      </x:c>
      <x:c r="B466" s="27" t="str">
        <x:v>IFLD</x:v>
      </x:c>
      <x:c r="C466" s="27" t="str">
        <x:v>Inland flood</x:v>
      </x:c>
      <x:c r="D466" s="52" t="n">
        <x:v>94.16469703032736</x:v>
      </x:c>
      <x:c r="E466" s="49" t="n">
        <x:v>1</x:v>
      </x:c>
      <x:c r="F466" s="27" t="str">
        <x:v>RELATIVE SALIENCE ONLY</x:v>
      </x:c>
    </x:row>
    <x:row r="467" ht="32.400001525878906" hidden="0" customHeight="1">
      <x:c r="A467" s="29" t="str">
        <x:v>SCA-26</x:v>
      </x:c>
      <x:c r="B467" s="29" t="str">
        <x:v>SWND</x:v>
      </x:c>
      <x:c r="C467" s="29" t="str">
        <x:v>Strong wind</x:v>
      </x:c>
      <x:c r="D467" s="53" t="n">
        <x:v>85.36472697866256</x:v>
      </x:c>
      <x:c r="E467" s="50" t="n">
        <x:v>1</x:v>
      </x:c>
      <x:c r="F467" s="29" t="str">
        <x:v>RELATIVE SALIENCE ONLY</x:v>
      </x:c>
    </x:row>
    <x:row r="468" ht="32.400001525878906" hidden="0" customHeight="1">
      <x:c r="A468" s="27" t="str">
        <x:v>SCA-26</x:v>
      </x:c>
      <x:c r="B468" s="27" t="str">
        <x:v>TRND</x:v>
      </x:c>
      <x:c r="C468" s="27" t="str">
        <x:v>Tornado</x:v>
      </x:c>
      <x:c r="D468" s="52" t="n">
        <x:v>94.2613775320285</x:v>
      </x:c>
      <x:c r="E468" s="49" t="n">
        <x:v>1</x:v>
      </x:c>
      <x:c r="F468" s="27" t="str">
        <x:v>RELATIVE SALIENCE ONLY</x:v>
      </x:c>
    </x:row>
    <x:row r="469" ht="21.600000381469727" hidden="0" customHeight="1">
      <x:c r="A469" s="29" t="str">
        <x:v>SCA-26</x:v>
      </x:c>
      <x:c r="B469" s="29" t="str">
        <x:v>TSUN</x:v>
      </x:c>
      <x:c r="C469" s="29" t="str">
        <x:v>Tsunami</x:v>
      </x:c>
      <x:c r="D469" s="53"/>
      <x:c r="E469" s="50" t="n">
        <x:v>0</x:v>
      </x:c>
      <x:c r="F469" s="29" t="str">
        <x:v>NO COVERAGE</x:v>
      </x:c>
    </x:row>
    <x:row r="470" ht="21.600000381469727" hidden="0" customHeight="1">
      <x:c r="A470" s="27" t="str">
        <x:v>SCA-26</x:v>
      </x:c>
      <x:c r="B470" s="27" t="str">
        <x:v>VLCN</x:v>
      </x:c>
      <x:c r="C470" s="27" t="str">
        <x:v>Volcanic activity</x:v>
      </x:c>
      <x:c r="D470" s="52"/>
      <x:c r="E470" s="49" t="n">
        <x:v>0</x:v>
      </x:c>
      <x:c r="F470" s="27" t="str">
        <x:v>NO COVERAGE</x:v>
      </x:c>
    </x:row>
    <x:row r="471" ht="32.400001525878906" hidden="0" customHeight="1">
      <x:c r="A471" s="29" t="str">
        <x:v>SCA-26</x:v>
      </x:c>
      <x:c r="B471" s="29" t="str">
        <x:v>WFIR</x:v>
      </x:c>
      <x:c r="C471" s="29" t="str">
        <x:v>Wildfire</x:v>
      </x:c>
      <x:c r="D471" s="53" t="n">
        <x:v>93.73939157437475</x:v>
      </x:c>
      <x:c r="E471" s="50" t="n">
        <x:v>1</x:v>
      </x:c>
      <x:c r="F471" s="29" t="str">
        <x:v>RELATIVE SALIENCE ONLY</x:v>
      </x:c>
    </x:row>
    <x:row r="472" ht="32.400001525878906" hidden="0" customHeight="1">
      <x:c r="A472" s="27" t="str">
        <x:v>SCA-26</x:v>
      </x:c>
      <x:c r="B472" s="27" t="str">
        <x:v>WNTW</x:v>
      </x:c>
      <x:c r="C472" s="27" t="str">
        <x:v>Winter weather</x:v>
      </x:c>
      <x:c r="D472" s="52" t="n">
        <x:v>0.03811076142904981</x:v>
      </x:c>
      <x:c r="E472" s="49" t="n">
        <x:v>1</x:v>
      </x:c>
      <x:c r="F472" s="27" t="str">
        <x:v>RELATIVE SALIENCE ONLY</x:v>
      </x:c>
    </x:row>
    <x:row r="473" ht="21.600000381469727" hidden="0" customHeight="1">
      <x:c r="A473" s="29" t="str">
        <x:v>SCA-27</x:v>
      </x:c>
      <x:c r="B473" s="29" t="str">
        <x:v>AVLN</x:v>
      </x:c>
      <x:c r="C473" s="29" t="str">
        <x:v>Avalanche</x:v>
      </x:c>
      <x:c r="D473" s="53"/>
      <x:c r="E473" s="50" t="n">
        <x:v>0</x:v>
      </x:c>
      <x:c r="F473" s="29" t="str">
        <x:v>NO COVERAGE</x:v>
      </x:c>
    </x:row>
    <x:row r="474" ht="32.400001525878906" hidden="0" customHeight="1">
      <x:c r="A474" s="27" t="str">
        <x:v>SCA-27</x:v>
      </x:c>
      <x:c r="B474" s="27" t="str">
        <x:v>CFLD</x:v>
      </x:c>
      <x:c r="C474" s="27" t="str">
        <x:v>Coastal flood</x:v>
      </x:c>
      <x:c r="D474" s="52" t="n">
        <x:v>94.43808084250624</x:v>
      </x:c>
      <x:c r="E474" s="49" t="n">
        <x:v>1</x:v>
      </x:c>
      <x:c r="F474" s="27" t="str">
        <x:v>RELATIVE SALIENCE ONLY</x:v>
      </x:c>
    </x:row>
    <x:row r="475" ht="32.400001525878906" hidden="0" customHeight="1">
      <x:c r="A475" s="29" t="str">
        <x:v>SCA-27</x:v>
      </x:c>
      <x:c r="B475" s="29" t="str">
        <x:v>CWAV</x:v>
      </x:c>
      <x:c r="C475" s="29" t="str">
        <x:v>Cold wave</x:v>
      </x:c>
      <x:c r="D475" s="53" t="n">
        <x:v>90.3520633727782</x:v>
      </x:c>
      <x:c r="E475" s="50" t="n">
        <x:v>1</x:v>
      </x:c>
      <x:c r="F475" s="29" t="str">
        <x:v>RELATIVE SALIENCE ONLY</x:v>
      </x:c>
    </x:row>
    <x:row r="476" ht="32.400001525878906" hidden="0" customHeight="1">
      <x:c r="A476" s="27" t="str">
        <x:v>SCA-27</x:v>
      </x:c>
      <x:c r="B476" s="27" t="str">
        <x:v>DRGT</x:v>
      </x:c>
      <x:c r="C476" s="27" t="str">
        <x:v>Drought</x:v>
      </x:c>
      <x:c r="D476" s="52" t="n">
        <x:v>67.57304950649547</x:v>
      </x:c>
      <x:c r="E476" s="49" t="n">
        <x:v>1</x:v>
      </x:c>
      <x:c r="F476" s="27" t="str">
        <x:v>RELATIVE SALIENCE ONLY</x:v>
      </x:c>
    </x:row>
    <x:row r="477" ht="32.400001525878906" hidden="0" customHeight="1">
      <x:c r="A477" s="29" t="str">
        <x:v>SCA-27</x:v>
      </x:c>
      <x:c r="B477" s="29" t="str">
        <x:v>ERQK</x:v>
      </x:c>
      <x:c r="C477" s="29" t="str">
        <x:v>Earthquake</x:v>
      </x:c>
      <x:c r="D477" s="53" t="n">
        <x:v>48.50964238958176</x:v>
      </x:c>
      <x:c r="E477" s="50" t="n">
        <x:v>1</x:v>
      </x:c>
      <x:c r="F477" s="29" t="str">
        <x:v>RELATIVE SALIENCE ONLY</x:v>
      </x:c>
    </x:row>
    <x:row r="478" ht="32.400001525878906" hidden="0" customHeight="1">
      <x:c r="A478" s="27" t="str">
        <x:v>SCA-27</x:v>
      </x:c>
      <x:c r="B478" s="27" t="str">
        <x:v>HAIL</x:v>
      </x:c>
      <x:c r="C478" s="27" t="str">
        <x:v>Hail</x:v>
      </x:c>
      <x:c r="D478" s="52" t="n">
        <x:v>58.15236913663026</x:v>
      </x:c>
      <x:c r="E478" s="49" t="n">
        <x:v>1</x:v>
      </x:c>
      <x:c r="F478" s="27" t="str">
        <x:v>RELATIVE SALIENCE ONLY</x:v>
      </x:c>
    </x:row>
    <x:row r="479" ht="32.400001525878906" hidden="0" customHeight="1">
      <x:c r="A479" s="29" t="str">
        <x:v>SCA-27</x:v>
      </x:c>
      <x:c r="B479" s="29" t="str">
        <x:v>HWAV</x:v>
      </x:c>
      <x:c r="C479" s="29" t="str">
        <x:v>Heat wave</x:v>
      </x:c>
      <x:c r="D479" s="53" t="n">
        <x:v>96.23289939591874</x:v>
      </x:c>
      <x:c r="E479" s="50" t="n">
        <x:v>1</x:v>
      </x:c>
      <x:c r="F479" s="29" t="str">
        <x:v>RELATIVE SALIENCE ONLY</x:v>
      </x:c>
    </x:row>
    <x:row r="480" ht="32.400001525878906" hidden="0" customHeight="1">
      <x:c r="A480" s="27" t="str">
        <x:v>SCA-27</x:v>
      </x:c>
      <x:c r="B480" s="27" t="str">
        <x:v>HRCN</x:v>
      </x:c>
      <x:c r="C480" s="27" t="str">
        <x:v>Hurricane</x:v>
      </x:c>
      <x:c r="D480" s="52" t="n">
        <x:v>99.76984078894571</x:v>
      </x:c>
      <x:c r="E480" s="49" t="n">
        <x:v>1</x:v>
      </x:c>
      <x:c r="F480" s="27" t="str">
        <x:v>RELATIVE SALIENCE ONLY</x:v>
      </x:c>
    </x:row>
    <x:row r="481" ht="21.600000381469727" hidden="0" customHeight="1">
      <x:c r="A481" s="29" t="str">
        <x:v>SCA-27</x:v>
      </x:c>
      <x:c r="B481" s="29" t="str">
        <x:v>ISTM</x:v>
      </x:c>
      <x:c r="C481" s="29" t="str">
        <x:v>Ice storm</x:v>
      </x:c>
      <x:c r="D481" s="53"/>
      <x:c r="E481" s="50" t="n">
        <x:v>0</x:v>
      </x:c>
      <x:c r="F481" s="29" t="str">
        <x:v>NO COVERAGE</x:v>
      </x:c>
    </x:row>
    <x:row r="482" ht="32.400001525878906" hidden="0" customHeight="1">
      <x:c r="A482" s="27" t="str">
        <x:v>SCA-27</x:v>
      </x:c>
      <x:c r="B482" s="27" t="str">
        <x:v>LNDS</x:v>
      </x:c>
      <x:c r="C482" s="27" t="str">
        <x:v>Landslide</x:v>
      </x:c>
      <x:c r="D482" s="52" t="n">
        <x:v>57.2141100045227</x:v>
      </x:c>
      <x:c r="E482" s="49" t="n">
        <x:v>1</x:v>
      </x:c>
      <x:c r="F482" s="27" t="str">
        <x:v>RELATIVE SALIENCE ONLY</x:v>
      </x:c>
    </x:row>
    <x:row r="483" ht="32.400001525878906" hidden="0" customHeight="1">
      <x:c r="A483" s="29" t="str">
        <x:v>SCA-27</x:v>
      </x:c>
      <x:c r="B483" s="29" t="str">
        <x:v>LTNG</x:v>
      </x:c>
      <x:c r="C483" s="29" t="str">
        <x:v>Lightning</x:v>
      </x:c>
      <x:c r="D483" s="53" t="n">
        <x:v>99.55071406205545</x:v>
      </x:c>
      <x:c r="E483" s="50" t="n">
        <x:v>1</x:v>
      </x:c>
      <x:c r="F483" s="29" t="str">
        <x:v>RELATIVE SALIENCE ONLY</x:v>
      </x:c>
    </x:row>
    <x:row r="484" ht="32.400001525878906" hidden="0" customHeight="1">
      <x:c r="A484" s="27" t="str">
        <x:v>SCA-27</x:v>
      </x:c>
      <x:c r="B484" s="27" t="str">
        <x:v>IFLD</x:v>
      </x:c>
      <x:c r="C484" s="27" t="str">
        <x:v>Inland flood</x:v>
      </x:c>
      <x:c r="D484" s="52" t="n">
        <x:v>97.63174974707066</x:v>
      </x:c>
      <x:c r="E484" s="49" t="n">
        <x:v>1</x:v>
      </x:c>
      <x:c r="F484" s="27" t="str">
        <x:v>RELATIVE SALIENCE ONLY</x:v>
      </x:c>
    </x:row>
    <x:row r="485" ht="32.400001525878906" hidden="0" customHeight="1">
      <x:c r="A485" s="29" t="str">
        <x:v>SCA-27</x:v>
      </x:c>
      <x:c r="B485" s="29" t="str">
        <x:v>SWND</x:v>
      </x:c>
      <x:c r="C485" s="29" t="str">
        <x:v>Strong wind</x:v>
      </x:c>
      <x:c r="D485" s="53" t="n">
        <x:v>82.37721840449683</x:v>
      </x:c>
      <x:c r="E485" s="50" t="n">
        <x:v>1</x:v>
      </x:c>
      <x:c r="F485" s="29" t="str">
        <x:v>RELATIVE SALIENCE ONLY</x:v>
      </x:c>
    </x:row>
    <x:row r="486" ht="32.400001525878906" hidden="0" customHeight="1">
      <x:c r="A486" s="27" t="str">
        <x:v>SCA-27</x:v>
      </x:c>
      <x:c r="B486" s="27" t="str">
        <x:v>TRND</x:v>
      </x:c>
      <x:c r="C486" s="27" t="str">
        <x:v>Tornado</x:v>
      </x:c>
      <x:c r="D486" s="52" t="n">
        <x:v>93.23510259129606</x:v>
      </x:c>
      <x:c r="E486" s="49" t="n">
        <x:v>1</x:v>
      </x:c>
      <x:c r="F486" s="27" t="str">
        <x:v>RELATIVE SALIENCE ONLY</x:v>
      </x:c>
    </x:row>
    <x:row r="487" ht="21.600000381469727" hidden="0" customHeight="1">
      <x:c r="A487" s="29" t="str">
        <x:v>SCA-27</x:v>
      </x:c>
      <x:c r="B487" s="29" t="str">
        <x:v>TSUN</x:v>
      </x:c>
      <x:c r="C487" s="29" t="str">
        <x:v>Tsunami</x:v>
      </x:c>
      <x:c r="D487" s="53"/>
      <x:c r="E487" s="50" t="n">
        <x:v>0</x:v>
      </x:c>
      <x:c r="F487" s="29" t="str">
        <x:v>NO COVERAGE</x:v>
      </x:c>
    </x:row>
    <x:row r="488" ht="21.600000381469727" hidden="0" customHeight="1">
      <x:c r="A488" s="27" t="str">
        <x:v>SCA-27</x:v>
      </x:c>
      <x:c r="B488" s="27" t="str">
        <x:v>VLCN</x:v>
      </x:c>
      <x:c r="C488" s="27" t="str">
        <x:v>Volcanic activity</x:v>
      </x:c>
      <x:c r="D488" s="52"/>
      <x:c r="E488" s="49" t="n">
        <x:v>0</x:v>
      </x:c>
      <x:c r="F488" s="27" t="str">
        <x:v>NO COVERAGE</x:v>
      </x:c>
    </x:row>
    <x:row r="489" ht="32.400001525878906" hidden="0" customHeight="1">
      <x:c r="A489" s="29" t="str">
        <x:v>SCA-27</x:v>
      </x:c>
      <x:c r="B489" s="29" t="str">
        <x:v>WFIR</x:v>
      </x:c>
      <x:c r="C489" s="29" t="str">
        <x:v>Wildfire</x:v>
      </x:c>
      <x:c r="D489" s="53" t="n">
        <x:v>95.4624314988444</x:v>
      </x:c>
      <x:c r="E489" s="50" t="n">
        <x:v>1</x:v>
      </x:c>
      <x:c r="F489" s="29" t="str">
        <x:v>RELATIVE SALIENCE ONLY</x:v>
      </x:c>
    </x:row>
    <x:row r="490" ht="32.400001525878906" hidden="0" customHeight="1">
      <x:c r="A490" s="27" t="str">
        <x:v>SCA-27</x:v>
      </x:c>
      <x:c r="B490" s="27" t="str">
        <x:v>WNTW</x:v>
      </x:c>
      <x:c r="C490" s="27" t="str">
        <x:v>Winter weather</x:v>
      </x:c>
      <x:c r="D490" s="52" t="n">
        <x:v>0</x:v>
      </x:c>
      <x:c r="E490" s="49" t="n">
        <x:v>1</x:v>
      </x:c>
      <x:c r="F490" s="27" t="str">
        <x:v>RELATIVE SALIENCE ONLY</x:v>
      </x:c>
    </x:row>
    <x:row r="491" ht="32.400001525878906" hidden="0" customHeight="1">
      <x:c r="A491" s="29" t="str">
        <x:v>SCA-28</x:v>
      </x:c>
      <x:c r="B491" s="29" t="str">
        <x:v>AVLN</x:v>
      </x:c>
      <x:c r="C491" s="29" t="str">
        <x:v>Avalanche</x:v>
      </x:c>
      <x:c r="D491" s="53" t="n">
        <x:v>34.841354555371275</x:v>
      </x:c>
      <x:c r="E491" s="50" t="n">
        <x:v>0.4057693637272891</x:v>
      </x:c>
      <x:c r="F491" s="29" t="str">
        <x:v>RELATIVE SALIENCE ONLY</x:v>
      </x:c>
    </x:row>
    <x:row r="492" ht="32.400001525878906" hidden="0" customHeight="1">
      <x:c r="A492" s="27" t="str">
        <x:v>SCA-28</x:v>
      </x:c>
      <x:c r="B492" s="27" t="str">
        <x:v>CFLD</x:v>
      </x:c>
      <x:c r="C492" s="27" t="str">
        <x:v>Coastal flood</x:v>
      </x:c>
      <x:c r="D492" s="52" t="n">
        <x:v>40.3569120598479</x:v>
      </x:c>
      <x:c r="E492" s="49" t="n">
        <x:v>0.3920603823759665</x:v>
      </x:c>
      <x:c r="F492" s="27" t="str">
        <x:v>RELATIVE SALIENCE ONLY</x:v>
      </x:c>
    </x:row>
    <x:row r="493" ht="32.400001525878906" hidden="0" customHeight="1">
      <x:c r="A493" s="29" t="str">
        <x:v>SCA-28</x:v>
      </x:c>
      <x:c r="B493" s="29" t="str">
        <x:v>CWAV</x:v>
      </x:c>
      <x:c r="C493" s="29" t="str">
        <x:v>Cold wave</x:v>
      </x:c>
      <x:c r="D493" s="53" t="n">
        <x:v>57.79097581013208</x:v>
      </x:c>
      <x:c r="E493" s="50" t="n">
        <x:v>1</x:v>
      </x:c>
      <x:c r="F493" s="29" t="str">
        <x:v>RELATIVE SALIENCE ONLY</x:v>
      </x:c>
    </x:row>
    <x:row r="494" ht="32.400001525878906" hidden="0" customHeight="1">
      <x:c r="A494" s="27" t="str">
        <x:v>SCA-28</x:v>
      </x:c>
      <x:c r="B494" s="27" t="str">
        <x:v>DRGT</x:v>
      </x:c>
      <x:c r="C494" s="27" t="str">
        <x:v>Drought</x:v>
      </x:c>
      <x:c r="D494" s="52" t="n">
        <x:v>33.01093665724902</x:v>
      </x:c>
      <x:c r="E494" s="49" t="n">
        <x:v>1</x:v>
      </x:c>
      <x:c r="F494" s="27" t="str">
        <x:v>RELATIVE SALIENCE ONLY</x:v>
      </x:c>
    </x:row>
    <x:row r="495" ht="32.400001525878906" hidden="0" customHeight="1">
      <x:c r="A495" s="29" t="str">
        <x:v>SCA-28</x:v>
      </x:c>
      <x:c r="B495" s="29" t="str">
        <x:v>ERQK</x:v>
      </x:c>
      <x:c r="C495" s="29" t="str">
        <x:v>Earthquake</x:v>
      </x:c>
      <x:c r="D495" s="53" t="n">
        <x:v>71.86623317485076</x:v>
      </x:c>
      <x:c r="E495" s="50" t="n">
        <x:v>1</x:v>
      </x:c>
      <x:c r="F495" s="29" t="str">
        <x:v>RELATIVE SALIENCE ONLY</x:v>
      </x:c>
    </x:row>
    <x:row r="496" ht="32.400001525878906" hidden="0" customHeight="1">
      <x:c r="A496" s="27" t="str">
        <x:v>SCA-28</x:v>
      </x:c>
      <x:c r="B496" s="27" t="str">
        <x:v>HAIL</x:v>
      </x:c>
      <x:c r="C496" s="27" t="str">
        <x:v>Hail</x:v>
      </x:c>
      <x:c r="D496" s="52" t="n">
        <x:v>64.47749295631867</x:v>
      </x:c>
      <x:c r="E496" s="49" t="n">
        <x:v>1</x:v>
      </x:c>
      <x:c r="F496" s="27" t="str">
        <x:v>RELATIVE SALIENCE ONLY</x:v>
      </x:c>
    </x:row>
    <x:row r="497" ht="32.400001525878906" hidden="0" customHeight="1">
      <x:c r="A497" s="29" t="str">
        <x:v>SCA-28</x:v>
      </x:c>
      <x:c r="B497" s="29" t="str">
        <x:v>HWAV</x:v>
      </x:c>
      <x:c r="C497" s="29" t="str">
        <x:v>Heat wave</x:v>
      </x:c>
      <x:c r="D497" s="53" t="n">
        <x:v>75.02198520978646</x:v>
      </x:c>
      <x:c r="E497" s="50" t="n">
        <x:v>1</x:v>
      </x:c>
      <x:c r="F497" s="29" t="str">
        <x:v>RELATIVE SALIENCE ONLY</x:v>
      </x:c>
    </x:row>
    <x:row r="498" ht="32.400001525878906" hidden="0" customHeight="1">
      <x:c r="A498" s="27" t="str">
        <x:v>SCA-28</x:v>
      </x:c>
      <x:c r="B498" s="27" t="str">
        <x:v>HRCN</x:v>
      </x:c>
      <x:c r="C498" s="27" t="str">
        <x:v>Hurricane</x:v>
      </x:c>
      <x:c r="D498" s="52" t="n">
        <x:v>68.81277167644816</x:v>
      </x:c>
      <x:c r="E498" s="49" t="n">
        <x:v>1</x:v>
      </x:c>
      <x:c r="F498" s="27" t="str">
        <x:v>RELATIVE SALIENCE ONLY</x:v>
      </x:c>
    </x:row>
    <x:row r="499" ht="32.400001525878906" hidden="0" customHeight="1">
      <x:c r="A499" s="29" t="str">
        <x:v>SCA-28</x:v>
      </x:c>
      <x:c r="B499" s="29" t="str">
        <x:v>ISTM</x:v>
      </x:c>
      <x:c r="C499" s="29" t="str">
        <x:v>Ice storm</x:v>
      </x:c>
      <x:c r="D499" s="53" t="n">
        <x:v>67.14506397004168</x:v>
      </x:c>
      <x:c r="E499" s="50" t="n">
        <x:v>1</x:v>
      </x:c>
      <x:c r="F499" s="29" t="str">
        <x:v>RELATIVE SALIENCE ONLY</x:v>
      </x:c>
    </x:row>
    <x:row r="500" ht="32.400001525878906" hidden="0" customHeight="1">
      <x:c r="A500" s="27" t="str">
        <x:v>SCA-28</x:v>
      </x:c>
      <x:c r="B500" s="27" t="str">
        <x:v>LNDS</x:v>
      </x:c>
      <x:c r="C500" s="27" t="str">
        <x:v>Landslide</x:v>
      </x:c>
      <x:c r="D500" s="52" t="n">
        <x:v>63.78275458313964</x:v>
      </x:c>
      <x:c r="E500" s="49" t="n">
        <x:v>1</x:v>
      </x:c>
      <x:c r="F500" s="27" t="str">
        <x:v>RELATIVE SALIENCE ONLY</x:v>
      </x:c>
    </x:row>
    <x:row r="501" ht="32.400001525878906" hidden="0" customHeight="1">
      <x:c r="A501" s="29" t="str">
        <x:v>SCA-28</x:v>
      </x:c>
      <x:c r="B501" s="29" t="str">
        <x:v>LTNG</x:v>
      </x:c>
      <x:c r="C501" s="29" t="str">
        <x:v>Lightning</x:v>
      </x:c>
      <x:c r="D501" s="53" t="n">
        <x:v>81.94330544456537</x:v>
      </x:c>
      <x:c r="E501" s="50" t="n">
        <x:v>1</x:v>
      </x:c>
      <x:c r="F501" s="29" t="str">
        <x:v>RELATIVE SALIENCE ONLY</x:v>
      </x:c>
    </x:row>
    <x:row r="502" ht="32.400001525878906" hidden="0" customHeight="1">
      <x:c r="A502" s="27" t="str">
        <x:v>SCA-28</x:v>
      </x:c>
      <x:c r="B502" s="27" t="str">
        <x:v>IFLD</x:v>
      </x:c>
      <x:c r="C502" s="27" t="str">
        <x:v>Inland flood</x:v>
      </x:c>
      <x:c r="D502" s="52" t="n">
        <x:v>86.89402732088959</x:v>
      </x:c>
      <x:c r="E502" s="49" t="n">
        <x:v>1</x:v>
      </x:c>
      <x:c r="F502" s="27" t="str">
        <x:v>RELATIVE SALIENCE ONLY</x:v>
      </x:c>
    </x:row>
    <x:row r="503" ht="32.400001525878906" hidden="0" customHeight="1">
      <x:c r="A503" s="29" t="str">
        <x:v>SCA-28</x:v>
      </x:c>
      <x:c r="B503" s="29" t="str">
        <x:v>SWND</x:v>
      </x:c>
      <x:c r="C503" s="29" t="str">
        <x:v>Strong wind</x:v>
      </x:c>
      <x:c r="D503" s="53" t="n">
        <x:v>80.63515610907771</x:v>
      </x:c>
      <x:c r="E503" s="50" t="n">
        <x:v>1</x:v>
      </x:c>
      <x:c r="F503" s="29" t="str">
        <x:v>RELATIVE SALIENCE ONLY</x:v>
      </x:c>
    </x:row>
    <x:row r="504" ht="32.400001525878906" hidden="0" customHeight="1">
      <x:c r="A504" s="27" t="str">
        <x:v>SCA-28</x:v>
      </x:c>
      <x:c r="B504" s="27" t="str">
        <x:v>TRND</x:v>
      </x:c>
      <x:c r="C504" s="27" t="str">
        <x:v>Tornado</x:v>
      </x:c>
      <x:c r="D504" s="52" t="n">
        <x:v>66.82419657043884</x:v>
      </x:c>
      <x:c r="E504" s="49" t="n">
        <x:v>1</x:v>
      </x:c>
      <x:c r="F504" s="27" t="str">
        <x:v>RELATIVE SALIENCE ONLY</x:v>
      </x:c>
    </x:row>
    <x:row r="505" ht="21.600000381469727" hidden="0" customHeight="1">
      <x:c r="A505" s="29" t="str">
        <x:v>SCA-28</x:v>
      </x:c>
      <x:c r="B505" s="29" t="str">
        <x:v>TSUN</x:v>
      </x:c>
      <x:c r="C505" s="29" t="str">
        <x:v>Tsunami</x:v>
      </x:c>
      <x:c r="D505" s="53"/>
      <x:c r="E505" s="50" t="n">
        <x:v>0</x:v>
      </x:c>
      <x:c r="F505" s="29" t="str">
        <x:v>NO COVERAGE</x:v>
      </x:c>
    </x:row>
    <x:row r="506" ht="21.600000381469727" hidden="0" customHeight="1">
      <x:c r="A506" s="27" t="str">
        <x:v>SCA-28</x:v>
      </x:c>
      <x:c r="B506" s="27" t="str">
        <x:v>VLCN</x:v>
      </x:c>
      <x:c r="C506" s="27" t="str">
        <x:v>Volcanic activity</x:v>
      </x:c>
      <x:c r="D506" s="52"/>
      <x:c r="E506" s="49" t="n">
        <x:v>0</x:v>
      </x:c>
      <x:c r="F506" s="27" t="str">
        <x:v>NO COVERAGE</x:v>
      </x:c>
    </x:row>
    <x:row r="507" ht="32.400001525878906" hidden="0" customHeight="1">
      <x:c r="A507" s="29" t="str">
        <x:v>SCA-28</x:v>
      </x:c>
      <x:c r="B507" s="29" t="str">
        <x:v>WFIR</x:v>
      </x:c>
      <x:c r="C507" s="29" t="str">
        <x:v>Wildfire</x:v>
      </x:c>
      <x:c r="D507" s="53" t="n">
        <x:v>37.42888280033207</x:v>
      </x:c>
      <x:c r="E507" s="50" t="n">
        <x:v>1</x:v>
      </x:c>
      <x:c r="F507" s="29" t="str">
        <x:v>RELATIVE SALIENCE ONLY</x:v>
      </x:c>
    </x:row>
    <x:row r="508" ht="32.400001525878906" hidden="0" customHeight="1">
      <x:c r="A508" s="27" t="str">
        <x:v>SCA-28</x:v>
      </x:c>
      <x:c r="B508" s="27" t="str">
        <x:v>WNTW</x:v>
      </x:c>
      <x:c r="C508" s="27" t="str">
        <x:v>Winter weather</x:v>
      </x:c>
      <x:c r="D508" s="52" t="n">
        <x:v>80.55172431854146</x:v>
      </x:c>
      <x:c r="E508" s="49" t="n">
        <x:v>1</x:v>
      </x:c>
      <x:c r="F508" s="27" t="str">
        <x:v>RELATIVE SALIENCE ONLY</x:v>
      </x:c>
    </x:row>
    <x:row r="509" ht="32.400001525878906" hidden="0" customHeight="1">
      <x:c r="A509" s="29" t="str">
        <x:v>SCA-29</x:v>
      </x:c>
      <x:c r="B509" s="29" t="str">
        <x:v>AVLN</x:v>
      </x:c>
      <x:c r="C509" s="29" t="str">
        <x:v>Avalanche</x:v>
      </x:c>
      <x:c r="D509" s="53" t="n">
        <x:v>47.67057788825418</x:v>
      </x:c>
      <x:c r="E509" s="50" t="n">
        <x:v>0.07678954901971467</x:v>
      </x:c>
      <x:c r="F509" s="29" t="str">
        <x:v>RELATIVE SALIENCE ONLY</x:v>
      </x:c>
    </x:row>
    <x:row r="510" ht="32.400001525878906" hidden="0" customHeight="1">
      <x:c r="A510" s="27" t="str">
        <x:v>SCA-29</x:v>
      </x:c>
      <x:c r="B510" s="27" t="str">
        <x:v>CFLD</x:v>
      </x:c>
      <x:c r="C510" s="27" t="str">
        <x:v>Coastal flood</x:v>
      </x:c>
      <x:c r="D510" s="52" t="n">
        <x:v>57.167678451782</x:v>
      </x:c>
      <x:c r="E510" s="49" t="n">
        <x:v>0.3764589863315014</x:v>
      </x:c>
      <x:c r="F510" s="27" t="str">
        <x:v>RELATIVE SALIENCE ONLY</x:v>
      </x:c>
    </x:row>
    <x:row r="511" ht="32.400001525878906" hidden="0" customHeight="1">
      <x:c r="A511" s="29" t="str">
        <x:v>SCA-29</x:v>
      </x:c>
      <x:c r="B511" s="29" t="str">
        <x:v>CWAV</x:v>
      </x:c>
      <x:c r="C511" s="29" t="str">
        <x:v>Cold wave</x:v>
      </x:c>
      <x:c r="D511" s="53" t="n">
        <x:v>58.93658788256361</x:v>
      </x:c>
      <x:c r="E511" s="50" t="n">
        <x:v>1</x:v>
      </x:c>
      <x:c r="F511" s="29" t="str">
        <x:v>RELATIVE SALIENCE ONLY</x:v>
      </x:c>
    </x:row>
    <x:row r="512" ht="32.400001525878906" hidden="0" customHeight="1">
      <x:c r="A512" s="27" t="str">
        <x:v>SCA-29</x:v>
      </x:c>
      <x:c r="B512" s="27" t="str">
        <x:v>DRGT</x:v>
      </x:c>
      <x:c r="C512" s="27" t="str">
        <x:v>Drought</x:v>
      </x:c>
      <x:c r="D512" s="52" t="n">
        <x:v>48.6680696617281</x:v>
      </x:c>
      <x:c r="E512" s="49" t="n">
        <x:v>1</x:v>
      </x:c>
      <x:c r="F512" s="27" t="str">
        <x:v>RELATIVE SALIENCE ONLY</x:v>
      </x:c>
    </x:row>
    <x:row r="513" ht="32.400001525878906" hidden="0" customHeight="1">
      <x:c r="A513" s="29" t="str">
        <x:v>SCA-29</x:v>
      </x:c>
      <x:c r="B513" s="29" t="str">
        <x:v>ERQK</x:v>
      </x:c>
      <x:c r="C513" s="29" t="str">
        <x:v>Earthquake</x:v>
      </x:c>
      <x:c r="D513" s="53" t="n">
        <x:v>76.99236713609345</x:v>
      </x:c>
      <x:c r="E513" s="50" t="n">
        <x:v>1</x:v>
      </x:c>
      <x:c r="F513" s="29" t="str">
        <x:v>RELATIVE SALIENCE ONLY</x:v>
      </x:c>
    </x:row>
    <x:row r="514" ht="32.400001525878906" hidden="0" customHeight="1">
      <x:c r="A514" s="27" t="str">
        <x:v>SCA-29</x:v>
      </x:c>
      <x:c r="B514" s="27" t="str">
        <x:v>HAIL</x:v>
      </x:c>
      <x:c r="C514" s="27" t="str">
        <x:v>Hail</x:v>
      </x:c>
      <x:c r="D514" s="52" t="n">
        <x:v>61.33009749994191</x:v>
      </x:c>
      <x:c r="E514" s="49" t="n">
        <x:v>1</x:v>
      </x:c>
      <x:c r="F514" s="27" t="str">
        <x:v>RELATIVE SALIENCE ONLY</x:v>
      </x:c>
    </x:row>
    <x:row r="515" ht="32.400001525878906" hidden="0" customHeight="1">
      <x:c r="A515" s="29" t="str">
        <x:v>SCA-29</x:v>
      </x:c>
      <x:c r="B515" s="29" t="str">
        <x:v>HWAV</x:v>
      </x:c>
      <x:c r="C515" s="29" t="str">
        <x:v>Heat wave</x:v>
      </x:c>
      <x:c r="D515" s="53" t="n">
        <x:v>71.30713151686008</x:v>
      </x:c>
      <x:c r="E515" s="50" t="n">
        <x:v>1</x:v>
      </x:c>
      <x:c r="F515" s="29" t="str">
        <x:v>RELATIVE SALIENCE ONLY</x:v>
      </x:c>
    </x:row>
    <x:row r="516" ht="32.400001525878906" hidden="0" customHeight="1">
      <x:c r="A516" s="27" t="str">
        <x:v>SCA-29</x:v>
      </x:c>
      <x:c r="B516" s="27" t="str">
        <x:v>HRCN</x:v>
      </x:c>
      <x:c r="C516" s="27" t="str">
        <x:v>Hurricane</x:v>
      </x:c>
      <x:c r="D516" s="52" t="n">
        <x:v>83.6594102891352</x:v>
      </x:c>
      <x:c r="E516" s="49" t="n">
        <x:v>1</x:v>
      </x:c>
      <x:c r="F516" s="27" t="str">
        <x:v>RELATIVE SALIENCE ONLY</x:v>
      </x:c>
    </x:row>
    <x:row r="517" ht="32.400001525878906" hidden="0" customHeight="1">
      <x:c r="A517" s="29" t="str">
        <x:v>SCA-29</x:v>
      </x:c>
      <x:c r="B517" s="29" t="str">
        <x:v>ISTM</x:v>
      </x:c>
      <x:c r="C517" s="29" t="str">
        <x:v>Ice storm</x:v>
      </x:c>
      <x:c r="D517" s="53" t="n">
        <x:v>74.56681744197607</x:v>
      </x:c>
      <x:c r="E517" s="50" t="n">
        <x:v>1</x:v>
      </x:c>
      <x:c r="F517" s="29" t="str">
        <x:v>RELATIVE SALIENCE ONLY</x:v>
      </x:c>
    </x:row>
    <x:row r="518" ht="32.400001525878906" hidden="0" customHeight="1">
      <x:c r="A518" s="27" t="str">
        <x:v>SCA-29</x:v>
      </x:c>
      <x:c r="B518" s="27" t="str">
        <x:v>LNDS</x:v>
      </x:c>
      <x:c r="C518" s="27" t="str">
        <x:v>Landslide</x:v>
      </x:c>
      <x:c r="D518" s="52" t="n">
        <x:v>50.040409475518416</x:v>
      </x:c>
      <x:c r="E518" s="49" t="n">
        <x:v>1</x:v>
      </x:c>
      <x:c r="F518" s="27" t="str">
        <x:v>RELATIVE SALIENCE ONLY</x:v>
      </x:c>
    </x:row>
    <x:row r="519" ht="32.400001525878906" hidden="0" customHeight="1">
      <x:c r="A519" s="29" t="str">
        <x:v>SCA-29</x:v>
      </x:c>
      <x:c r="B519" s="29" t="str">
        <x:v>LTNG</x:v>
      </x:c>
      <x:c r="C519" s="29" t="str">
        <x:v>Lightning</x:v>
      </x:c>
      <x:c r="D519" s="53" t="n">
        <x:v>76.87179299710665</x:v>
      </x:c>
      <x:c r="E519" s="50" t="n">
        <x:v>1</x:v>
      </x:c>
      <x:c r="F519" s="29" t="str">
        <x:v>RELATIVE SALIENCE ONLY</x:v>
      </x:c>
    </x:row>
    <x:row r="520" ht="32.400001525878906" hidden="0" customHeight="1">
      <x:c r="A520" s="27" t="str">
        <x:v>SCA-29</x:v>
      </x:c>
      <x:c r="B520" s="27" t="str">
        <x:v>IFLD</x:v>
      </x:c>
      <x:c r="C520" s="27" t="str">
        <x:v>Inland flood</x:v>
      </x:c>
      <x:c r="D520" s="52" t="n">
        <x:v>76.77291129823465</x:v>
      </x:c>
      <x:c r="E520" s="49" t="n">
        <x:v>1</x:v>
      </x:c>
      <x:c r="F520" s="27" t="str">
        <x:v>RELATIVE SALIENCE ONLY</x:v>
      </x:c>
    </x:row>
    <x:row r="521" ht="32.400001525878906" hidden="0" customHeight="1">
      <x:c r="A521" s="29" t="str">
        <x:v>SCA-29</x:v>
      </x:c>
      <x:c r="B521" s="29" t="str">
        <x:v>SWND</x:v>
      </x:c>
      <x:c r="C521" s="29" t="str">
        <x:v>Strong wind</x:v>
      </x:c>
      <x:c r="D521" s="53" t="n">
        <x:v>66.47469194480479</x:v>
      </x:c>
      <x:c r="E521" s="50" t="n">
        <x:v>1</x:v>
      </x:c>
      <x:c r="F521" s="29" t="str">
        <x:v>RELATIVE SALIENCE ONLY</x:v>
      </x:c>
    </x:row>
    <x:row r="522" ht="32.400001525878906" hidden="0" customHeight="1">
      <x:c r="A522" s="27" t="str">
        <x:v>SCA-29</x:v>
      </x:c>
      <x:c r="B522" s="27" t="str">
        <x:v>TRND</x:v>
      </x:c>
      <x:c r="C522" s="27" t="str">
        <x:v>Tornado</x:v>
      </x:c>
      <x:c r="D522" s="52" t="n">
        <x:v>72.89777370258258</x:v>
      </x:c>
      <x:c r="E522" s="49" t="n">
        <x:v>1</x:v>
      </x:c>
      <x:c r="F522" s="27" t="str">
        <x:v>RELATIVE SALIENCE ONLY</x:v>
      </x:c>
    </x:row>
    <x:row r="523" ht="21.600000381469727" hidden="0" customHeight="1">
      <x:c r="A523" s="29" t="str">
        <x:v>SCA-29</x:v>
      </x:c>
      <x:c r="B523" s="29" t="str">
        <x:v>TSUN</x:v>
      </x:c>
      <x:c r="C523" s="29" t="str">
        <x:v>Tsunami</x:v>
      </x:c>
      <x:c r="D523" s="53"/>
      <x:c r="E523" s="50" t="n">
        <x:v>0</x:v>
      </x:c>
      <x:c r="F523" s="29" t="str">
        <x:v>NO COVERAGE</x:v>
      </x:c>
    </x:row>
    <x:row r="524" ht="21.600000381469727" hidden="0" customHeight="1">
      <x:c r="A524" s="27" t="str">
        <x:v>SCA-29</x:v>
      </x:c>
      <x:c r="B524" s="27" t="str">
        <x:v>VLCN</x:v>
      </x:c>
      <x:c r="C524" s="27" t="str">
        <x:v>Volcanic activity</x:v>
      </x:c>
      <x:c r="D524" s="52"/>
      <x:c r="E524" s="49" t="n">
        <x:v>0</x:v>
      </x:c>
      <x:c r="F524" s="27" t="str">
        <x:v>NO COVERAGE</x:v>
      </x:c>
    </x:row>
    <x:row r="525" ht="32.400001525878906" hidden="0" customHeight="1">
      <x:c r="A525" s="29" t="str">
        <x:v>SCA-29</x:v>
      </x:c>
      <x:c r="B525" s="29" t="str">
        <x:v>WFIR</x:v>
      </x:c>
      <x:c r="C525" s="29" t="str">
        <x:v>Wildfire</x:v>
      </x:c>
      <x:c r="D525" s="53" t="n">
        <x:v>51.50701238148738</x:v>
      </x:c>
      <x:c r="E525" s="50" t="n">
        <x:v>1</x:v>
      </x:c>
      <x:c r="F525" s="29" t="str">
        <x:v>RELATIVE SALIENCE ONLY</x:v>
      </x:c>
    </x:row>
    <x:row r="526" ht="32.400001525878906" hidden="0" customHeight="1">
      <x:c r="A526" s="27" t="str">
        <x:v>SCA-29</x:v>
      </x:c>
      <x:c r="B526" s="27" t="str">
        <x:v>WNTW</x:v>
      </x:c>
      <x:c r="C526" s="27" t="str">
        <x:v>Winter weather</x:v>
      </x:c>
      <x:c r="D526" s="52" t="n">
        <x:v>70.73050438247074</x:v>
      </x:c>
      <x:c r="E526" s="49" t="n">
        <x:v>1</x:v>
      </x:c>
      <x:c r="F526" s="27" t="str">
        <x:v>RELATIVE SALIENCE ONLY</x:v>
      </x:c>
    </x:row>
    <x:row r="527" ht="32.400001525878906" hidden="0" customHeight="1">
      <x:c r="A527" s="29" t="str">
        <x:v>SCA-30</x:v>
      </x:c>
      <x:c r="B527" s="29" t="str">
        <x:v>AVLN</x:v>
      </x:c>
      <x:c r="C527" s="29" t="str">
        <x:v>Avalanche</x:v>
      </x:c>
      <x:c r="D527" s="53" t="n">
        <x:v>29.193557205454265</x:v>
      </x:c>
      <x:c r="E527" s="50" t="n">
        <x:v>0.3031032494138613</x:v>
      </x:c>
      <x:c r="F527" s="29" t="str">
        <x:v>RELATIVE SALIENCE ONLY</x:v>
      </x:c>
    </x:row>
    <x:row r="528" ht="32.400001525878906" hidden="0" customHeight="1">
      <x:c r="A528" s="27" t="str">
        <x:v>SCA-30</x:v>
      </x:c>
      <x:c r="B528" s="27" t="str">
        <x:v>CFLD</x:v>
      </x:c>
      <x:c r="C528" s="27" t="str">
        <x:v>Coastal flood</x:v>
      </x:c>
      <x:c r="D528" s="52" t="n">
        <x:v>75.333405153378</x:v>
      </x:c>
      <x:c r="E528" s="49" t="n">
        <x:v>0.8357212018149733</x:v>
      </x:c>
      <x:c r="F528" s="27" t="str">
        <x:v>RELATIVE SALIENCE ONLY</x:v>
      </x:c>
    </x:row>
    <x:row r="529" ht="32.400001525878906" hidden="0" customHeight="1">
      <x:c r="A529" s="29" t="str">
        <x:v>SCA-30</x:v>
      </x:c>
      <x:c r="B529" s="29" t="str">
        <x:v>CWAV</x:v>
      </x:c>
      <x:c r="C529" s="29" t="str">
        <x:v>Cold wave</x:v>
      </x:c>
      <x:c r="D529" s="53" t="n">
        <x:v>86.57941860130637</x:v>
      </x:c>
      <x:c r="E529" s="50" t="n">
        <x:v>1</x:v>
      </x:c>
      <x:c r="F529" s="29" t="str">
        <x:v>RELATIVE SALIENCE ONLY</x:v>
      </x:c>
    </x:row>
    <x:row r="530" ht="32.400001525878906" hidden="0" customHeight="1">
      <x:c r="A530" s="27" t="str">
        <x:v>SCA-30</x:v>
      </x:c>
      <x:c r="B530" s="27" t="str">
        <x:v>DRGT</x:v>
      </x:c>
      <x:c r="C530" s="27" t="str">
        <x:v>Drought</x:v>
      </x:c>
      <x:c r="D530" s="52" t="n">
        <x:v>39.60790202037426</x:v>
      </x:c>
      <x:c r="E530" s="49" t="n">
        <x:v>1</x:v>
      </x:c>
      <x:c r="F530" s="27" t="str">
        <x:v>RELATIVE SALIENCE ONLY</x:v>
      </x:c>
    </x:row>
    <x:row r="531" ht="32.400001525878906" hidden="0" customHeight="1">
      <x:c r="A531" s="29" t="str">
        <x:v>SCA-30</x:v>
      </x:c>
      <x:c r="B531" s="29" t="str">
        <x:v>ERQK</x:v>
      </x:c>
      <x:c r="C531" s="29" t="str">
        <x:v>Earthquake</x:v>
      </x:c>
      <x:c r="D531" s="53" t="n">
        <x:v>90.07660563581436</x:v>
      </x:c>
      <x:c r="E531" s="50" t="n">
        <x:v>1</x:v>
      </x:c>
      <x:c r="F531" s="29" t="str">
        <x:v>RELATIVE SALIENCE ONLY</x:v>
      </x:c>
    </x:row>
    <x:row r="532" ht="32.400001525878906" hidden="0" customHeight="1">
      <x:c r="A532" s="27" t="str">
        <x:v>SCA-30</x:v>
      </x:c>
      <x:c r="B532" s="27" t="str">
        <x:v>HAIL</x:v>
      </x:c>
      <x:c r="C532" s="27" t="str">
        <x:v>Hail</x:v>
      </x:c>
      <x:c r="D532" s="52" t="n">
        <x:v>55.48272504117477</x:v>
      </x:c>
      <x:c r="E532" s="49" t="n">
        <x:v>1</x:v>
      </x:c>
      <x:c r="F532" s="27" t="str">
        <x:v>RELATIVE SALIENCE ONLY</x:v>
      </x:c>
    </x:row>
    <x:row r="533" ht="32.400001525878906" hidden="0" customHeight="1">
      <x:c r="A533" s="29" t="str">
        <x:v>SCA-30</x:v>
      </x:c>
      <x:c r="B533" s="29" t="str">
        <x:v>HWAV</x:v>
      </x:c>
      <x:c r="C533" s="29" t="str">
        <x:v>Heat wave</x:v>
      </x:c>
      <x:c r="D533" s="53" t="n">
        <x:v>91.15874126078502</x:v>
      </x:c>
      <x:c r="E533" s="50" t="n">
        <x:v>1</x:v>
      </x:c>
      <x:c r="F533" s="29" t="str">
        <x:v>RELATIVE SALIENCE ONLY</x:v>
      </x:c>
    </x:row>
    <x:row r="534" ht="32.400001525878906" hidden="0" customHeight="1">
      <x:c r="A534" s="27" t="str">
        <x:v>SCA-30</x:v>
      </x:c>
      <x:c r="B534" s="27" t="str">
        <x:v>HRCN</x:v>
      </x:c>
      <x:c r="C534" s="27" t="str">
        <x:v>Hurricane</x:v>
      </x:c>
      <x:c r="D534" s="52" t="n">
        <x:v>90.85031956779187</x:v>
      </x:c>
      <x:c r="E534" s="49" t="n">
        <x:v>1</x:v>
      </x:c>
      <x:c r="F534" s="27" t="str">
        <x:v>RELATIVE SALIENCE ONLY</x:v>
      </x:c>
    </x:row>
    <x:row r="535" ht="32.400001525878906" hidden="0" customHeight="1">
      <x:c r="A535" s="29" t="str">
        <x:v>SCA-30</x:v>
      </x:c>
      <x:c r="B535" s="29" t="str">
        <x:v>ISTM</x:v>
      </x:c>
      <x:c r="C535" s="29" t="str">
        <x:v>Ice storm</x:v>
      </x:c>
      <x:c r="D535" s="53" t="n">
        <x:v>83.78344502170151</x:v>
      </x:c>
      <x:c r="E535" s="50" t="n">
        <x:v>1</x:v>
      </x:c>
      <x:c r="F535" s="29" t="str">
        <x:v>RELATIVE SALIENCE ONLY</x:v>
      </x:c>
    </x:row>
    <x:row r="536" ht="32.400001525878906" hidden="0" customHeight="1">
      <x:c r="A536" s="27" t="str">
        <x:v>SCA-30</x:v>
      </x:c>
      <x:c r="B536" s="27" t="str">
        <x:v>LNDS</x:v>
      </x:c>
      <x:c r="C536" s="27" t="str">
        <x:v>Landslide</x:v>
      </x:c>
      <x:c r="D536" s="52" t="n">
        <x:v>61.923689991213536</x:v>
      </x:c>
      <x:c r="E536" s="49" t="n">
        <x:v>1</x:v>
      </x:c>
      <x:c r="F536" s="27" t="str">
        <x:v>RELATIVE SALIENCE ONLY</x:v>
      </x:c>
    </x:row>
    <x:row r="537" ht="32.400001525878906" hidden="0" customHeight="1">
      <x:c r="A537" s="29" t="str">
        <x:v>SCA-30</x:v>
      </x:c>
      <x:c r="B537" s="29" t="str">
        <x:v>LTNG</x:v>
      </x:c>
      <x:c r="C537" s="29" t="str">
        <x:v>Lightning</x:v>
      </x:c>
      <x:c r="D537" s="53" t="n">
        <x:v>89.42012824156902</x:v>
      </x:c>
      <x:c r="E537" s="50" t="n">
        <x:v>1</x:v>
      </x:c>
      <x:c r="F537" s="29" t="str">
        <x:v>RELATIVE SALIENCE ONLY</x:v>
      </x:c>
    </x:row>
    <x:row r="538" ht="32.400001525878906" hidden="0" customHeight="1">
      <x:c r="A538" s="27" t="str">
        <x:v>SCA-30</x:v>
      </x:c>
      <x:c r="B538" s="27" t="str">
        <x:v>IFLD</x:v>
      </x:c>
      <x:c r="C538" s="27" t="str">
        <x:v>Inland flood</x:v>
      </x:c>
      <x:c r="D538" s="52" t="n">
        <x:v>94.39332802322889</x:v>
      </x:c>
      <x:c r="E538" s="49" t="n">
        <x:v>1</x:v>
      </x:c>
      <x:c r="F538" s="27" t="str">
        <x:v>RELATIVE SALIENCE ONLY</x:v>
      </x:c>
    </x:row>
    <x:row r="539" ht="32.400001525878906" hidden="0" customHeight="1">
      <x:c r="A539" s="29" t="str">
        <x:v>SCA-30</x:v>
      </x:c>
      <x:c r="B539" s="29" t="str">
        <x:v>SWND</x:v>
      </x:c>
      <x:c r="C539" s="29" t="str">
        <x:v>Strong wind</x:v>
      </x:c>
      <x:c r="D539" s="53" t="n">
        <x:v>92.7690993035742</x:v>
      </x:c>
      <x:c r="E539" s="50" t="n">
        <x:v>1</x:v>
      </x:c>
      <x:c r="F539" s="29" t="str">
        <x:v>RELATIVE SALIENCE ONLY</x:v>
      </x:c>
    </x:row>
    <x:row r="540" ht="32.400001525878906" hidden="0" customHeight="1">
      <x:c r="A540" s="27" t="str">
        <x:v>SCA-30</x:v>
      </x:c>
      <x:c r="B540" s="27" t="str">
        <x:v>TRND</x:v>
      </x:c>
      <x:c r="C540" s="27" t="str">
        <x:v>Tornado</x:v>
      </x:c>
      <x:c r="D540" s="52" t="n">
        <x:v>79.54045120057205</x:v>
      </x:c>
      <x:c r="E540" s="49" t="n">
        <x:v>1</x:v>
      </x:c>
      <x:c r="F540" s="27" t="str">
        <x:v>RELATIVE SALIENCE ONLY</x:v>
      </x:c>
    </x:row>
    <x:row r="541" ht="21.600000381469727" hidden="0" customHeight="1">
      <x:c r="A541" s="29" t="str">
        <x:v>SCA-30</x:v>
      </x:c>
      <x:c r="B541" s="29" t="str">
        <x:v>TSUN</x:v>
      </x:c>
      <x:c r="C541" s="29" t="str">
        <x:v>Tsunami</x:v>
      </x:c>
      <x:c r="D541" s="53"/>
      <x:c r="E541" s="50" t="n">
        <x:v>0</x:v>
      </x:c>
      <x:c r="F541" s="29" t="str">
        <x:v>NO COVERAGE</x:v>
      </x:c>
    </x:row>
    <x:row r="542" ht="21.600000381469727" hidden="0" customHeight="1">
      <x:c r="A542" s="27" t="str">
        <x:v>SCA-30</x:v>
      </x:c>
      <x:c r="B542" s="27" t="str">
        <x:v>VLCN</x:v>
      </x:c>
      <x:c r="C542" s="27" t="str">
        <x:v>Volcanic activity</x:v>
      </x:c>
      <x:c r="D542" s="52"/>
      <x:c r="E542" s="49" t="n">
        <x:v>0</x:v>
      </x:c>
      <x:c r="F542" s="27" t="str">
        <x:v>NO COVERAGE</x:v>
      </x:c>
    </x:row>
    <x:row r="543" ht="32.400001525878906" hidden="0" customHeight="1">
      <x:c r="A543" s="29" t="str">
        <x:v>SCA-30</x:v>
      </x:c>
      <x:c r="B543" s="29" t="str">
        <x:v>WFIR</x:v>
      </x:c>
      <x:c r="C543" s="29" t="str">
        <x:v>Wildfire</x:v>
      </x:c>
      <x:c r="D543" s="53" t="n">
        <x:v>39.689985736114856</x:v>
      </x:c>
      <x:c r="E543" s="50" t="n">
        <x:v>1</x:v>
      </x:c>
      <x:c r="F543" s="29" t="str">
        <x:v>RELATIVE SALIENCE ONLY</x:v>
      </x:c>
    </x:row>
    <x:row r="544" ht="32.400001525878906" hidden="0" customHeight="1">
      <x:c r="A544" s="27" t="str">
        <x:v>SCA-30</x:v>
      </x:c>
      <x:c r="B544" s="27" t="str">
        <x:v>WNTW</x:v>
      </x:c>
      <x:c r="C544" s="27" t="str">
        <x:v>Winter weather</x:v>
      </x:c>
      <x:c r="D544" s="52" t="n">
        <x:v>94.44815985663465</x:v>
      </x:c>
      <x:c r="E544" s="49" t="n">
        <x:v>1</x:v>
      </x:c>
      <x:c r="F544" s="27" t="str">
        <x:v>RELATIVE SALIENCE ONLY</x:v>
      </x:c>
    </x:row>
    <x:row r="545" ht="32.400001525878906" hidden="0" customHeight="1">
      <x:c r="A545" s="29" t="str">
        <x:v>SCA-31</x:v>
      </x:c>
      <x:c r="B545" s="29" t="str">
        <x:v>AVLN</x:v>
      </x:c>
      <x:c r="C545" s="29" t="str">
        <x:v>Avalanche</x:v>
      </x:c>
      <x:c r="D545" s="53" t="n">
        <x:v>34.666571811587694</x:v>
      </x:c>
      <x:c r="E545" s="50" t="n">
        <x:v>0.34488014727919786</x:v>
      </x:c>
      <x:c r="F545" s="29" t="str">
        <x:v>RELATIVE SALIENCE ONLY</x:v>
      </x:c>
    </x:row>
    <x:row r="546" ht="32.400001525878906" hidden="0" customHeight="1">
      <x:c r="A546" s="27" t="str">
        <x:v>SCA-31</x:v>
      </x:c>
      <x:c r="B546" s="27" t="str">
        <x:v>CFLD</x:v>
      </x:c>
      <x:c r="C546" s="27" t="str">
        <x:v>Coastal flood</x:v>
      </x:c>
      <x:c r="D546" s="52" t="n">
        <x:v>67.04437778500845</x:v>
      </x:c>
      <x:c r="E546" s="49" t="n">
        <x:v>0.6964447076036709</x:v>
      </x:c>
      <x:c r="F546" s="27" t="str">
        <x:v>RELATIVE SALIENCE ONLY</x:v>
      </x:c>
    </x:row>
    <x:row r="547" ht="32.400001525878906" hidden="0" customHeight="1">
      <x:c r="A547" s="29" t="str">
        <x:v>SCA-31</x:v>
      </x:c>
      <x:c r="B547" s="29" t="str">
        <x:v>CWAV</x:v>
      </x:c>
      <x:c r="C547" s="29" t="str">
        <x:v>Cold wave</x:v>
      </x:c>
      <x:c r="D547" s="53" t="n">
        <x:v>70.84008628860533</x:v>
      </x:c>
      <x:c r="E547" s="50" t="n">
        <x:v>1</x:v>
      </x:c>
      <x:c r="F547" s="29" t="str">
        <x:v>RELATIVE SALIENCE ONLY</x:v>
      </x:c>
    </x:row>
    <x:row r="548" ht="32.400001525878906" hidden="0" customHeight="1">
      <x:c r="A548" s="27" t="str">
        <x:v>SCA-31</x:v>
      </x:c>
      <x:c r="B548" s="27" t="str">
        <x:v>DRGT</x:v>
      </x:c>
      <x:c r="C548" s="27" t="str">
        <x:v>Drought</x:v>
      </x:c>
      <x:c r="D548" s="52" t="n">
        <x:v>48.68652554840424</x:v>
      </x:c>
      <x:c r="E548" s="49" t="n">
        <x:v>1</x:v>
      </x:c>
      <x:c r="F548" s="27" t="str">
        <x:v>RELATIVE SALIENCE ONLY</x:v>
      </x:c>
    </x:row>
    <x:row r="549" ht="32.400001525878906" hidden="0" customHeight="1">
      <x:c r="A549" s="29" t="str">
        <x:v>SCA-31</x:v>
      </x:c>
      <x:c r="B549" s="29" t="str">
        <x:v>ERQK</x:v>
      </x:c>
      <x:c r="C549" s="29" t="str">
        <x:v>Earthquake</x:v>
      </x:c>
      <x:c r="D549" s="53" t="n">
        <x:v>83.32581207869802</x:v>
      </x:c>
      <x:c r="E549" s="50" t="n">
        <x:v>1</x:v>
      </x:c>
      <x:c r="F549" s="29" t="str">
        <x:v>RELATIVE SALIENCE ONLY</x:v>
      </x:c>
    </x:row>
    <x:row r="550" ht="32.400001525878906" hidden="0" customHeight="1">
      <x:c r="A550" s="27" t="str">
        <x:v>SCA-31</x:v>
      </x:c>
      <x:c r="B550" s="27" t="str">
        <x:v>HAIL</x:v>
      </x:c>
      <x:c r="C550" s="27" t="str">
        <x:v>Hail</x:v>
      </x:c>
      <x:c r="D550" s="52" t="n">
        <x:v>41.09724782234932</x:v>
      </x:c>
      <x:c r="E550" s="49" t="n">
        <x:v>1</x:v>
      </x:c>
      <x:c r="F550" s="27" t="str">
        <x:v>RELATIVE SALIENCE ONLY</x:v>
      </x:c>
    </x:row>
    <x:row r="551" ht="32.400001525878906" hidden="0" customHeight="1">
      <x:c r="A551" s="29" t="str">
        <x:v>SCA-31</x:v>
      </x:c>
      <x:c r="B551" s="29" t="str">
        <x:v>HWAV</x:v>
      </x:c>
      <x:c r="C551" s="29" t="str">
        <x:v>Heat wave</x:v>
      </x:c>
      <x:c r="D551" s="53" t="n">
        <x:v>74.19081472844215</x:v>
      </x:c>
      <x:c r="E551" s="50" t="n">
        <x:v>1</x:v>
      </x:c>
      <x:c r="F551" s="29" t="str">
        <x:v>RELATIVE SALIENCE ONLY</x:v>
      </x:c>
    </x:row>
    <x:row r="552" ht="32.400001525878906" hidden="0" customHeight="1">
      <x:c r="A552" s="27" t="str">
        <x:v>SCA-31</x:v>
      </x:c>
      <x:c r="B552" s="27" t="str">
        <x:v>HRCN</x:v>
      </x:c>
      <x:c r="C552" s="27" t="str">
        <x:v>Hurricane</x:v>
      </x:c>
      <x:c r="D552" s="52" t="n">
        <x:v>88.17475283794046</x:v>
      </x:c>
      <x:c r="E552" s="49" t="n">
        <x:v>1</x:v>
      </x:c>
      <x:c r="F552" s="27" t="str">
        <x:v>RELATIVE SALIENCE ONLY</x:v>
      </x:c>
    </x:row>
    <x:row r="553" ht="32.400001525878906" hidden="0" customHeight="1">
      <x:c r="A553" s="29" t="str">
        <x:v>SCA-31</x:v>
      </x:c>
      <x:c r="B553" s="29" t="str">
        <x:v>ISTM</x:v>
      </x:c>
      <x:c r="C553" s="29" t="str">
        <x:v>Ice storm</x:v>
      </x:c>
      <x:c r="D553" s="53" t="n">
        <x:v>86.52427109954915</x:v>
      </x:c>
      <x:c r="E553" s="50" t="n">
        <x:v>1</x:v>
      </x:c>
      <x:c r="F553" s="29" t="str">
        <x:v>RELATIVE SALIENCE ONLY</x:v>
      </x:c>
    </x:row>
    <x:row r="554" ht="32.400001525878906" hidden="0" customHeight="1">
      <x:c r="A554" s="27" t="str">
        <x:v>SCA-31</x:v>
      </x:c>
      <x:c r="B554" s="27" t="str">
        <x:v>LNDS</x:v>
      </x:c>
      <x:c r="C554" s="27" t="str">
        <x:v>Landslide</x:v>
      </x:c>
      <x:c r="D554" s="52" t="n">
        <x:v>67.20331055377196</x:v>
      </x:c>
      <x:c r="E554" s="49" t="n">
        <x:v>1</x:v>
      </x:c>
      <x:c r="F554" s="27" t="str">
        <x:v>RELATIVE SALIENCE ONLY</x:v>
      </x:c>
    </x:row>
    <x:row r="555" ht="32.400001525878906" hidden="0" customHeight="1">
      <x:c r="A555" s="29" t="str">
        <x:v>SCA-31</x:v>
      </x:c>
      <x:c r="B555" s="29" t="str">
        <x:v>LTNG</x:v>
      </x:c>
      <x:c r="C555" s="29" t="str">
        <x:v>Lightning</x:v>
      </x:c>
      <x:c r="D555" s="53" t="n">
        <x:v>83.20673027384234</x:v>
      </x:c>
      <x:c r="E555" s="50" t="n">
        <x:v>1</x:v>
      </x:c>
      <x:c r="F555" s="29" t="str">
        <x:v>RELATIVE SALIENCE ONLY</x:v>
      </x:c>
    </x:row>
    <x:row r="556" ht="32.400001525878906" hidden="0" customHeight="1">
      <x:c r="A556" s="27" t="str">
        <x:v>SCA-31</x:v>
      </x:c>
      <x:c r="B556" s="27" t="str">
        <x:v>IFLD</x:v>
      </x:c>
      <x:c r="C556" s="27" t="str">
        <x:v>Inland flood</x:v>
      </x:c>
      <x:c r="D556" s="52" t="n">
        <x:v>87.92210261856509</x:v>
      </x:c>
      <x:c r="E556" s="49" t="n">
        <x:v>1</x:v>
      </x:c>
      <x:c r="F556" s="27" t="str">
        <x:v>RELATIVE SALIENCE ONLY</x:v>
      </x:c>
    </x:row>
    <x:row r="557" ht="32.400001525878906" hidden="0" customHeight="1">
      <x:c r="A557" s="29" t="str">
        <x:v>SCA-31</x:v>
      </x:c>
      <x:c r="B557" s="29" t="str">
        <x:v>SWND</x:v>
      </x:c>
      <x:c r="C557" s="29" t="str">
        <x:v>Strong wind</x:v>
      </x:c>
      <x:c r="D557" s="53" t="n">
        <x:v>69.50905675513032</x:v>
      </x:c>
      <x:c r="E557" s="50" t="n">
        <x:v>1</x:v>
      </x:c>
      <x:c r="F557" s="29" t="str">
        <x:v>RELATIVE SALIENCE ONLY</x:v>
      </x:c>
    </x:row>
    <x:row r="558" ht="32.400001525878906" hidden="0" customHeight="1">
      <x:c r="A558" s="27" t="str">
        <x:v>SCA-31</x:v>
      </x:c>
      <x:c r="B558" s="27" t="str">
        <x:v>TRND</x:v>
      </x:c>
      <x:c r="C558" s="27" t="str">
        <x:v>Tornado</x:v>
      </x:c>
      <x:c r="D558" s="52" t="n">
        <x:v>62.88084182114269</x:v>
      </x:c>
      <x:c r="E558" s="49" t="n">
        <x:v>1</x:v>
      </x:c>
      <x:c r="F558" s="27" t="str">
        <x:v>RELATIVE SALIENCE ONLY</x:v>
      </x:c>
    </x:row>
    <x:row r="559" ht="21.600000381469727" hidden="0" customHeight="1">
      <x:c r="A559" s="29" t="str">
        <x:v>SCA-31</x:v>
      </x:c>
      <x:c r="B559" s="29" t="str">
        <x:v>TSUN</x:v>
      </x:c>
      <x:c r="C559" s="29" t="str">
        <x:v>Tsunami</x:v>
      </x:c>
      <x:c r="D559" s="53"/>
      <x:c r="E559" s="50" t="n">
        <x:v>0</x:v>
      </x:c>
      <x:c r="F559" s="29" t="str">
        <x:v>NO COVERAGE</x:v>
      </x:c>
    </x:row>
    <x:row r="560" ht="21.600000381469727" hidden="0" customHeight="1">
      <x:c r="A560" s="27" t="str">
        <x:v>SCA-31</x:v>
      </x:c>
      <x:c r="B560" s="27" t="str">
        <x:v>VLCN</x:v>
      </x:c>
      <x:c r="C560" s="27" t="str">
        <x:v>Volcanic activity</x:v>
      </x:c>
      <x:c r="D560" s="52"/>
      <x:c r="E560" s="49" t="n">
        <x:v>0</x:v>
      </x:c>
      <x:c r="F560" s="27" t="str">
        <x:v>NO COVERAGE</x:v>
      </x:c>
    </x:row>
    <x:row r="561" ht="32.400001525878906" hidden="0" customHeight="1">
      <x:c r="A561" s="29" t="str">
        <x:v>SCA-31</x:v>
      </x:c>
      <x:c r="B561" s="29" t="str">
        <x:v>WFIR</x:v>
      </x:c>
      <x:c r="C561" s="29" t="str">
        <x:v>Wildfire</x:v>
      </x:c>
      <x:c r="D561" s="53" t="n">
        <x:v>43.62288185547838</x:v>
      </x:c>
      <x:c r="E561" s="50" t="n">
        <x:v>1</x:v>
      </x:c>
      <x:c r="F561" s="29" t="str">
        <x:v>RELATIVE SALIENCE ONLY</x:v>
      </x:c>
    </x:row>
    <x:row r="562" ht="32.400001525878906" hidden="0" customHeight="1">
      <x:c r="A562" s="27" t="str">
        <x:v>SCA-31</x:v>
      </x:c>
      <x:c r="B562" s="27" t="str">
        <x:v>WNTW</x:v>
      </x:c>
      <x:c r="C562" s="27" t="str">
        <x:v>Winter weather</x:v>
      </x:c>
      <x:c r="D562" s="52" t="n">
        <x:v>62.94314756001338</x:v>
      </x:c>
      <x:c r="E562" s="49" t="n">
        <x:v>1</x:v>
      </x:c>
      <x:c r="F562" s="27" t="str">
        <x:v>RELATIVE SALIENCE ONLY</x:v>
      </x:c>
    </x:row>
    <x:row r="563" ht="21.600000381469727" hidden="0" customHeight="1">
      <x:c r="A563" s="29" t="str">
        <x:v>SCA-32</x:v>
      </x:c>
      <x:c r="B563" s="29" t="str">
        <x:v>AVLN</x:v>
      </x:c>
      <x:c r="C563" s="29" t="str">
        <x:v>Avalanche</x:v>
      </x:c>
      <x:c r="D563" s="53"/>
      <x:c r="E563" s="50" t="n">
        <x:v>0</x:v>
      </x:c>
      <x:c r="F563" s="29" t="str">
        <x:v>NO COVERAGE</x:v>
      </x:c>
    </x:row>
    <x:row r="564" ht="21.600000381469727" hidden="0" customHeight="1">
      <x:c r="A564" s="27" t="str">
        <x:v>SCA-32</x:v>
      </x:c>
      <x:c r="B564" s="27" t="str">
        <x:v>CFLD</x:v>
      </x:c>
      <x:c r="C564" s="27" t="str">
        <x:v>Coastal flood</x:v>
      </x:c>
      <x:c r="D564" s="52"/>
      <x:c r="E564" s="49" t="n">
        <x:v>0</x:v>
      </x:c>
      <x:c r="F564" s="27" t="str">
        <x:v>NO COVERAGE</x:v>
      </x:c>
    </x:row>
    <x:row r="565" ht="21.600000381469727" hidden="0" customHeight="1">
      <x:c r="A565" s="29" t="str">
        <x:v>SCA-32</x:v>
      </x:c>
      <x:c r="B565" s="29" t="str">
        <x:v>CWAV</x:v>
      </x:c>
      <x:c r="C565" s="29" t="str">
        <x:v>Cold wave</x:v>
      </x:c>
      <x:c r="D565" s="53"/>
      <x:c r="E565" s="50" t="n">
        <x:v>0</x:v>
      </x:c>
      <x:c r="F565" s="29" t="str">
        <x:v>NO COVERAGE</x:v>
      </x:c>
    </x:row>
    <x:row r="566" ht="21.600000381469727" hidden="0" customHeight="1">
      <x:c r="A566" s="27" t="str">
        <x:v>SCA-32</x:v>
      </x:c>
      <x:c r="B566" s="27" t="str">
        <x:v>DRGT</x:v>
      </x:c>
      <x:c r="C566" s="27" t="str">
        <x:v>Drought</x:v>
      </x:c>
      <x:c r="D566" s="52"/>
      <x:c r="E566" s="49" t="n">
        <x:v>0</x:v>
      </x:c>
      <x:c r="F566" s="27" t="str">
        <x:v>NO COVERAGE</x:v>
      </x:c>
    </x:row>
    <x:row r="567" ht="21.600000381469727" hidden="0" customHeight="1">
      <x:c r="A567" s="29" t="str">
        <x:v>SCA-32</x:v>
      </x:c>
      <x:c r="B567" s="29" t="str">
        <x:v>ERQK</x:v>
      </x:c>
      <x:c r="C567" s="29" t="str">
        <x:v>Earthquake</x:v>
      </x:c>
      <x:c r="D567" s="53"/>
      <x:c r="E567" s="50" t="n">
        <x:v>0</x:v>
      </x:c>
      <x:c r="F567" s="29" t="str">
        <x:v>NO COVERAGE</x:v>
      </x:c>
    </x:row>
    <x:row r="568" ht="21.600000381469727" hidden="0" customHeight="1">
      <x:c r="A568" s="27" t="str">
        <x:v>SCA-32</x:v>
      </x:c>
      <x:c r="B568" s="27" t="str">
        <x:v>HAIL</x:v>
      </x:c>
      <x:c r="C568" s="27" t="str">
        <x:v>Hail</x:v>
      </x:c>
      <x:c r="D568" s="52"/>
      <x:c r="E568" s="49" t="n">
        <x:v>0</x:v>
      </x:c>
      <x:c r="F568" s="27" t="str">
        <x:v>NO COVERAGE</x:v>
      </x:c>
    </x:row>
    <x:row r="569" ht="21.600000381469727" hidden="0" customHeight="1">
      <x:c r="A569" s="29" t="str">
        <x:v>SCA-32</x:v>
      </x:c>
      <x:c r="B569" s="29" t="str">
        <x:v>HWAV</x:v>
      </x:c>
      <x:c r="C569" s="29" t="str">
        <x:v>Heat wave</x:v>
      </x:c>
      <x:c r="D569" s="53"/>
      <x:c r="E569" s="50" t="n">
        <x:v>0</x:v>
      </x:c>
      <x:c r="F569" s="29" t="str">
        <x:v>NO COVERAGE</x:v>
      </x:c>
    </x:row>
    <x:row r="570" ht="21.600000381469727" hidden="0" customHeight="1">
      <x:c r="A570" s="27" t="str">
        <x:v>SCA-32</x:v>
      </x:c>
      <x:c r="B570" s="27" t="str">
        <x:v>HRCN</x:v>
      </x:c>
      <x:c r="C570" s="27" t="str">
        <x:v>Hurricane</x:v>
      </x:c>
      <x:c r="D570" s="52"/>
      <x:c r="E570" s="49" t="n">
        <x:v>0</x:v>
      </x:c>
      <x:c r="F570" s="27" t="str">
        <x:v>NO COVERAGE</x:v>
      </x:c>
    </x:row>
    <x:row r="571" ht="21.600000381469727" hidden="0" customHeight="1">
      <x:c r="A571" s="29" t="str">
        <x:v>SCA-32</x:v>
      </x:c>
      <x:c r="B571" s="29" t="str">
        <x:v>ISTM</x:v>
      </x:c>
      <x:c r="C571" s="29" t="str">
        <x:v>Ice storm</x:v>
      </x:c>
      <x:c r="D571" s="53"/>
      <x:c r="E571" s="50" t="n">
        <x:v>0</x:v>
      </x:c>
      <x:c r="F571" s="29" t="str">
        <x:v>NO COVERAGE</x:v>
      </x:c>
    </x:row>
    <x:row r="572" ht="21.600000381469727" hidden="0" customHeight="1">
      <x:c r="A572" s="27" t="str">
        <x:v>SCA-32</x:v>
      </x:c>
      <x:c r="B572" s="27" t="str">
        <x:v>LNDS</x:v>
      </x:c>
      <x:c r="C572" s="27" t="str">
        <x:v>Landslide</x:v>
      </x:c>
      <x:c r="D572" s="52"/>
      <x:c r="E572" s="49" t="n">
        <x:v>0</x:v>
      </x:c>
      <x:c r="F572" s="27" t="str">
        <x:v>NO COVERAGE</x:v>
      </x:c>
    </x:row>
    <x:row r="573" ht="21.600000381469727" hidden="0" customHeight="1">
      <x:c r="A573" s="29" t="str">
        <x:v>SCA-32</x:v>
      </x:c>
      <x:c r="B573" s="29" t="str">
        <x:v>LTNG</x:v>
      </x:c>
      <x:c r="C573" s="29" t="str">
        <x:v>Lightning</x:v>
      </x:c>
      <x:c r="D573" s="53"/>
      <x:c r="E573" s="50" t="n">
        <x:v>0</x:v>
      </x:c>
      <x:c r="F573" s="29" t="str">
        <x:v>NO COVERAGE</x:v>
      </x:c>
    </x:row>
    <x:row r="574" ht="21.600000381469727" hidden="0" customHeight="1">
      <x:c r="A574" s="27" t="str">
        <x:v>SCA-32</x:v>
      </x:c>
      <x:c r="B574" s="27" t="str">
        <x:v>IFLD</x:v>
      </x:c>
      <x:c r="C574" s="27" t="str">
        <x:v>Inland flood</x:v>
      </x:c>
      <x:c r="D574" s="52"/>
      <x:c r="E574" s="49" t="n">
        <x:v>0</x:v>
      </x:c>
      <x:c r="F574" s="27" t="str">
        <x:v>NO COVERAGE</x:v>
      </x:c>
    </x:row>
    <x:row r="575" ht="21.600000381469727" hidden="0" customHeight="1">
      <x:c r="A575" s="29" t="str">
        <x:v>SCA-32</x:v>
      </x:c>
      <x:c r="B575" s="29" t="str">
        <x:v>SWND</x:v>
      </x:c>
      <x:c r="C575" s="29" t="str">
        <x:v>Strong wind</x:v>
      </x:c>
      <x:c r="D575" s="53"/>
      <x:c r="E575" s="50" t="n">
        <x:v>0</x:v>
      </x:c>
      <x:c r="F575" s="29" t="str">
        <x:v>NO COVERAGE</x:v>
      </x:c>
    </x:row>
    <x:row r="576" ht="21.600000381469727" hidden="0" customHeight="1">
      <x:c r="A576" s="27" t="str">
        <x:v>SCA-32</x:v>
      </x:c>
      <x:c r="B576" s="27" t="str">
        <x:v>TRND</x:v>
      </x:c>
      <x:c r="C576" s="27" t="str">
        <x:v>Tornado</x:v>
      </x:c>
      <x:c r="D576" s="52"/>
      <x:c r="E576" s="49" t="n">
        <x:v>0</x:v>
      </x:c>
      <x:c r="F576" s="27" t="str">
        <x:v>NO COVERAGE</x:v>
      </x:c>
    </x:row>
    <x:row r="577" ht="21.600000381469727" hidden="0" customHeight="1">
      <x:c r="A577" s="29" t="str">
        <x:v>SCA-32</x:v>
      </x:c>
      <x:c r="B577" s="29" t="str">
        <x:v>TSUN</x:v>
      </x:c>
      <x:c r="C577" s="29" t="str">
        <x:v>Tsunami</x:v>
      </x:c>
      <x:c r="D577" s="53"/>
      <x:c r="E577" s="50" t="n">
        <x:v>0</x:v>
      </x:c>
      <x:c r="F577" s="29" t="str">
        <x:v>NO COVERAGE</x:v>
      </x:c>
    </x:row>
    <x:row r="578" ht="21.600000381469727" hidden="0" customHeight="1">
      <x:c r="A578" s="27" t="str">
        <x:v>SCA-32</x:v>
      </x:c>
      <x:c r="B578" s="27" t="str">
        <x:v>VLCN</x:v>
      </x:c>
      <x:c r="C578" s="27" t="str">
        <x:v>Volcanic activity</x:v>
      </x:c>
      <x:c r="D578" s="52"/>
      <x:c r="E578" s="49" t="n">
        <x:v>0</x:v>
      </x:c>
      <x:c r="F578" s="27" t="str">
        <x:v>NO COVERAGE</x:v>
      </x:c>
    </x:row>
    <x:row r="579" ht="21.600000381469727" hidden="0" customHeight="1">
      <x:c r="A579" s="29" t="str">
        <x:v>SCA-32</x:v>
      </x:c>
      <x:c r="B579" s="29" t="str">
        <x:v>WFIR</x:v>
      </x:c>
      <x:c r="C579" s="29" t="str">
        <x:v>Wildfire</x:v>
      </x:c>
      <x:c r="D579" s="53"/>
      <x:c r="E579" s="50" t="n">
        <x:v>0</x:v>
      </x:c>
      <x:c r="F579" s="29" t="str">
        <x:v>NO COVERAGE</x:v>
      </x:c>
    </x:row>
    <x:row r="580" ht="21.600000381469727" hidden="0" customHeight="1">
      <x:c r="A580" s="27" t="str">
        <x:v>SCA-32</x:v>
      </x:c>
      <x:c r="B580" s="27" t="str">
        <x:v>WNTW</x:v>
      </x:c>
      <x:c r="C580" s="27" t="str">
        <x:v>Winter weather</x:v>
      </x:c>
      <x:c r="D580" s="52"/>
      <x:c r="E580" s="49" t="n">
        <x:v>0</x:v>
      </x:c>
      <x:c r="F580" s="27" t="str">
        <x:v>NO COVERAGE</x:v>
      </x:c>
    </x:row>
    <x:row r="581">
      <x:c r="A581" s="83"/>
      <x:c r="B581" s="83"/>
      <x:c r="C581" s="83"/>
      <x:c r="D581" s="83"/>
      <x:c r="E581" s="83"/>
      <x:c r="F581" s="83"/>
    </x:row>
    <x:row r="582" ht="36" customHeight="1">
      <x:c r="A582" s="90" t="str">
        <x:v>Missing and non-applicable hazard scores remain missing. They are never silently converted to low risk.</x:v>
      </x:c>
      <x:c r="B582" s="90"/>
      <x:c r="C582" s="90"/>
      <x:c r="D582" s="90"/>
      <x:c r="E582" s="90"/>
      <x:c r="F582" s="90"/>
    </x:row>
  </x:sheetData>
  <x:mergeCells>
    <x:mergeCell ref="A1:F1"/>
    <x:mergeCell ref="A2:F2"/>
    <x:mergeCell ref="A582:F58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18" hidden="0" customWidth="1"/>
    <x:col min="4" max="4" width="31" hidden="0" customWidth="1"/>
    <x:col min="5" max="5" width="16" hidden="0" customWidth="1"/>
    <x:col min="6" max="6" width="16" hidden="0" customWidth="1"/>
    <x:col min="7" max="7" width="40" hidden="0" customWidth="1"/>
    <x:col min="8" max="8" width="40" hidden="0" customWidth="1"/>
  </x:cols>
  <x:sheetData>
    <x:row r="1" ht="29" customHeight="1">
      <x:c r="A1" s="81" t="str">
        <x:v>Concurrent geographic stress set</x:v>
      </x:c>
      <x:c r="B1" s="81"/>
      <x:c r="C1" s="81"/>
      <x:c r="D1" s="81"/>
      <x:c r="E1" s="81"/>
      <x:c r="F1" s="81"/>
      <x:c r="G1" s="81"/>
      <x:c r="H1" s="81"/>
    </x:row>
    <x:row r="2" ht="29" customHeight="1">
      <x:c r="A2" s="82" t="str">
        <x:v>Three catastrophic and five major domestic campaigns are allocated to affected catchments by 2025 population in target states.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ID</x:v>
      </x:c>
      <x:c r="B4" s="85" t="str">
        <x:v>Campaign</x:v>
      </x:c>
      <x:c r="C4" s="85" t="str">
        <x:v>Class</x:v>
      </x:c>
      <x:c r="D4" s="85" t="str">
        <x:v>Target states</x:v>
      </x:c>
      <x:c r="E4" s="85" t="str">
        <x:v>Demand CDE</x:v>
      </x:c>
      <x:c r="F4" s="85" t="str">
        <x:v>Receiver loss</x:v>
      </x:c>
      <x:c r="G4" s="85" t="str">
        <x:v>Hazards</x:v>
      </x:c>
      <x:c r="H4" s="86" t="str">
        <x:v>Boundary</x:v>
      </x:c>
    </x:row>
    <x:row r="5" ht="43.20000076293945" hidden="0" customHeight="1">
      <x:c r="A5" s="28" t="str">
        <x:v>C1</x:v>
      </x:c>
      <x:c r="B5" s="28" t="str">
        <x:v>California cascade</x:v>
      </x:c>
      <x:c r="C5" s="28" t="str">
        <x:v>Catastrophic</x:v>
      </x:c>
      <x:c r="D5" s="28" t="str">
        <x:v>CA</x:v>
      </x:c>
      <x:c r="E5" s="57" t="n">
        <x:v>500</x:v>
      </x:c>
      <x:c r="F5" s="59" t="n">
        <x:v>0.5</x:v>
      </x:c>
      <x:c r="G5" s="28" t="str">
        <x:v>ERQK, WFIR, HWAV</x:v>
      </x:c>
      <x:c r="H5" s="28" t="str">
        <x:v>simultaneous design stress; not forecast</x:v>
      </x:c>
    </x:row>
    <x:row r="6" ht="43.20000076293945" hidden="0" customHeight="1">
      <x:c r="A6" s="27" t="str">
        <x:v>C2</x:v>
      </x:c>
      <x:c r="B6" s="27" t="str">
        <x:v>Gulf hurricane</x:v>
      </x:c>
      <x:c r="C6" s="27" t="str">
        <x:v>Catastrophic</x:v>
      </x:c>
      <x:c r="D6" s="27" t="str">
        <x:v>TX, LA, MS, AL</x:v>
      </x:c>
      <x:c r="E6" s="58" t="n">
        <x:v>500</x:v>
      </x:c>
      <x:c r="F6" s="60" t="n">
        <x:v>0.5</x:v>
      </x:c>
      <x:c r="G6" s="27" t="str">
        <x:v>HRCN, CFLD, IFLD</x:v>
      </x:c>
      <x:c r="H6" s="27" t="str">
        <x:v>simultaneous design stress; not forecast</x:v>
      </x:c>
    </x:row>
    <x:row r="7" ht="43.20000076293945" hidden="0" customHeight="1">
      <x:c r="A7" s="29" t="str">
        <x:v>C3</x:v>
      </x:c>
      <x:c r="B7" s="29" t="str">
        <x:v>Northeast compound</x:v>
      </x:c>
      <x:c r="C7" s="29" t="str">
        <x:v>Catastrophic</x:v>
      </x:c>
      <x:c r="D7" s="29" t="str">
        <x:v>NY, NJ, PA, CT, RI, MA</x:v>
      </x:c>
      <x:c r="E7" s="58" t="n">
        <x:v>500</x:v>
      </x:c>
      <x:c r="F7" s="60" t="n">
        <x:v>0.5</x:v>
      </x:c>
      <x:c r="G7" s="29" t="str">
        <x:v>HWAV, SWND, IFLD</x:v>
      </x:c>
      <x:c r="H7" s="29" t="str">
        <x:v>simultaneous design stress; not forecast</x:v>
      </x:c>
    </x:row>
    <x:row r="8" ht="43.20000076293945" hidden="0" customHeight="1">
      <x:c r="A8" s="27" t="str">
        <x:v>M1</x:v>
      </x:c>
      <x:c r="B8" s="27" t="str">
        <x:v>Cascadia</x:v>
      </x:c>
      <x:c r="C8" s="27" t="str">
        <x:v>Major</x:v>
      </x:c>
      <x:c r="D8" s="27" t="str">
        <x:v>WA, OR</x:v>
      </x:c>
      <x:c r="E8" s="58" t="n">
        <x:v>200</x:v>
      </x:c>
      <x:c r="F8" s="60" t="n">
        <x:v>0.3</x:v>
      </x:c>
      <x:c r="G8" s="27" t="str">
        <x:v>ERQK, TSUN, LNDS</x:v>
      </x:c>
      <x:c r="H8" s="27" t="str">
        <x:v>simultaneous design stress; not forecast</x:v>
      </x:c>
    </x:row>
    <x:row r="9" ht="43.20000076293945" hidden="0" customHeight="1">
      <x:c r="A9" s="29" t="str">
        <x:v>M2</x:v>
      </x:c>
      <x:c r="B9" s="29" t="str">
        <x:v>New Madrid</x:v>
      </x:c>
      <x:c r="C9" s="29" t="str">
        <x:v>Major</x:v>
      </x:c>
      <x:c r="D9" s="29" t="str">
        <x:v>MO, AR, TN, KY, IL, MS</x:v>
      </x:c>
      <x:c r="E9" s="58" t="n">
        <x:v>200</x:v>
      </x:c>
      <x:c r="F9" s="60" t="n">
        <x:v>0.3</x:v>
      </x:c>
      <x:c r="G9" s="29" t="str">
        <x:v>ERQK, IFLD</x:v>
      </x:c>
      <x:c r="H9" s="29" t="str">
        <x:v>simultaneous design stress; not forecast</x:v>
      </x:c>
    </x:row>
    <x:row r="10" ht="43.20000076293945" hidden="0" customHeight="1">
      <x:c r="A10" s="27" t="str">
        <x:v>M3</x:v>
      </x:c>
      <x:c r="B10" s="27" t="str">
        <x:v>Great Lakes winter</x:v>
      </x:c>
      <x:c r="C10" s="27" t="str">
        <x:v>Major</x:v>
      </x:c>
      <x:c r="D10" s="27" t="str">
        <x:v>MI, OH, IN, WI, MN</x:v>
      </x:c>
      <x:c r="E10" s="58" t="n">
        <x:v>200</x:v>
      </x:c>
      <x:c r="F10" s="60" t="n">
        <x:v>0.3</x:v>
      </x:c>
      <x:c r="G10" s="27" t="str">
        <x:v>WNTW, CWAV, ISTM</x:v>
      </x:c>
      <x:c r="H10" s="27" t="str">
        <x:v>simultaneous design stress; not forecast</x:v>
      </x:c>
    </x:row>
    <x:row r="11" ht="43.20000076293945" hidden="0" customHeight="1">
      <x:c r="A11" s="29" t="str">
        <x:v>M4</x:v>
      </x:c>
      <x:c r="B11" s="29" t="str">
        <x:v>Southeast Atlantic</x:v>
      </x:c>
      <x:c r="C11" s="29" t="str">
        <x:v>Major</x:v>
      </x:c>
      <x:c r="D11" s="29" t="str">
        <x:v>FL, GA, SC, NC, VA</x:v>
      </x:c>
      <x:c r="E11" s="58" t="n">
        <x:v>200</x:v>
      </x:c>
      <x:c r="F11" s="60" t="n">
        <x:v>0.3</x:v>
      </x:c>
      <x:c r="G11" s="29" t="str">
        <x:v>HRCN, CFLD, IFLD</x:v>
      </x:c>
      <x:c r="H11" s="29" t="str">
        <x:v>simultaneous design stress; not forecast</x:v>
      </x:c>
    </x:row>
    <x:row r="12" ht="43.20000076293945" hidden="0" customHeight="1">
      <x:c r="A12" s="27" t="str">
        <x:v>M5</x:v>
      </x:c>
      <x:c r="B12" s="27" t="str">
        <x:v>Southwest heat and drought</x:v>
      </x:c>
      <x:c r="C12" s="27" t="str">
        <x:v>Major</x:v>
      </x:c>
      <x:c r="D12" s="27" t="str">
        <x:v>AZ, NM, NV, UT, TX, CA</x:v>
      </x:c>
      <x:c r="E12" s="58" t="n">
        <x:v>200</x:v>
      </x:c>
      <x:c r="F12" s="60" t="n">
        <x:v>0.3</x:v>
      </x:c>
      <x:c r="G12" s="27" t="str">
        <x:v>HWAV, DRGT, WFIR</x:v>
      </x:c>
      <x:c r="H12" s="27" t="str">
        <x:v>simultaneous design stress; not forecast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9" customHeight="1">
      <x:c r="A1" s="81" t="str">
        <x:v>Campaign demand allocation</x:v>
      </x:c>
      <x:c r="B1" s="81"/>
      <x:c r="C1" s="81"/>
      <x:c r="D1" s="81"/>
      <x:c r="E1" s="81"/>
      <x:c r="F1" s="81"/>
      <x:c r="G1" s="81"/>
    </x:row>
    <x:row r="2" ht="29" customHeight="1">
      <x:c r="A2" s="82" t="str">
        <x:v>Each campaign's complete-service demand is distributed by the affected-state population located inside each catchment.</x:v>
      </x:c>
      <x:c r="B2" s="82"/>
      <x:c r="C2" s="82"/>
      <x:c r="D2" s="82"/>
      <x:c r="E2" s="82"/>
      <x:c r="F2" s="82"/>
      <x:c r="G2" s="82"/>
    </x:row>
    <x:row r="3">
      <x:c r="A3" s="83"/>
      <x:c r="B3" s="83"/>
      <x:c r="C3" s="83"/>
      <x:c r="D3" s="83"/>
      <x:c r="E3" s="83"/>
      <x:c r="F3" s="83"/>
      <x:c r="G3" s="83"/>
    </x:row>
    <x:row r="4" ht="31" customHeight="1">
      <x:c r="A4" s="84" t="str">
        <x:v>Campaign</x:v>
      </x:c>
      <x:c r="B4" s="85" t="str">
        <x:v>SCA</x:v>
      </x:c>
      <x:c r="C4" s="85" t="str">
        <x:v>Target population in SCA</x:v>
      </x:c>
      <x:c r="D4" s="85" t="str">
        <x:v>Campaign target population</x:v>
      </x:c>
      <x:c r="E4" s="85" t="str">
        <x:v>Population share</x:v>
      </x:c>
      <x:c r="F4" s="85" t="str">
        <x:v>Demand CDE</x:v>
      </x:c>
      <x:c r="G4" s="86" t="str">
        <x:v>Check</x:v>
      </x:c>
    </x:row>
    <x:row r="5" ht="15" hidden="0" customHeight="1">
      <x:c r="A5" s="28" t="str">
        <x:v>C1</x:v>
      </x:c>
      <x:c r="B5" s="28" t="str">
        <x:v>SCA-01</x:v>
      </x:c>
      <x:c r="C5" s="39" t="n">
        <x:v>0</x:v>
      </x:c>
      <x:c r="D5" s="39" t="n">
        <x:v>39355309</x:v>
      </x:c>
      <x:c r="E5" s="42" t="n">
        <x:f>IF(D5=0,0,C5/D5)</x:f>
        <x:v>0</x:v>
      </x:c>
      <x:c r="F5" s="61" t="n">
        <x:f>E5*INDEX(Campaigns!E:E,MATCH(A5,Campaigns!A:A,0))</x:f>
        <x:v>0</x:v>
      </x:c>
      <x:c r="G5" s="28" t="str">
        <x:f>IF(F5&gt;=0,"PASS","FAIL")</x:f>
        <x:v>PASS</x:v>
      </x:c>
    </x:row>
    <x:row r="6" ht="15" hidden="0" customHeight="1">
      <x:c r="A6" s="27" t="str">
        <x:v>C2</x:v>
      </x:c>
      <x:c r="B6" s="27" t="str">
        <x:v>SCA-01</x:v>
      </x:c>
      <x:c r="C6" s="40" t="n">
        <x:v>0</x:v>
      </x:c>
      <x:c r="D6" s="40" t="n">
        <x:v>44475258</x:v>
      </x:c>
      <x:c r="E6" s="43" t="n">
        <x:f>IF(D6=0,0,C6/D6)</x:f>
        <x:v>0</x:v>
      </x:c>
      <x:c r="F6" s="62" t="n">
        <x:f>E6*INDEX(Campaigns!E:E,MATCH(A6,Campaigns!A:A,0))</x:f>
        <x:v>0</x:v>
      </x:c>
      <x:c r="G6" s="27" t="str">
        <x:f>IF(F6&gt;=0,"PASS","FAIL")</x:f>
        <x:v>PASS</x:v>
      </x:c>
    </x:row>
    <x:row r="7" ht="15" hidden="0" customHeight="1">
      <x:c r="A7" s="29" t="str">
        <x:v>C3</x:v>
      </x:c>
      <x:c r="B7" s="29" t="str">
        <x:v>SCA-01</x:v>
      </x:c>
      <x:c r="C7" s="41" t="n">
        <x:v>0</x:v>
      </x:c>
      <x:c r="D7" s="41" t="n">
        <x:v>54567175</x:v>
      </x:c>
      <x:c r="E7" s="44" t="n">
        <x:f>IF(D7=0,0,C7/D7)</x:f>
        <x:v>0</x:v>
      </x:c>
      <x:c r="F7" s="63" t="n">
        <x:f>E7*INDEX(Campaigns!E:E,MATCH(A7,Campaigns!A:A,0))</x:f>
        <x:v>0</x:v>
      </x:c>
      <x:c r="G7" s="29" t="str">
        <x:f>IF(F7&gt;=0,"PASS","FAIL")</x:f>
        <x:v>PASS</x:v>
      </x:c>
    </x:row>
    <x:row r="8" ht="15" hidden="0" customHeight="1">
      <x:c r="A8" s="27" t="str">
        <x:v>M1</x:v>
      </x:c>
      <x:c r="B8" s="27" t="str">
        <x:v>SCA-01</x:v>
      </x:c>
      <x:c r="C8" s="40" t="n">
        <x:v>0</x:v>
      </x:c>
      <x:c r="D8" s="40" t="n">
        <x:v>12274606</x:v>
      </x:c>
      <x:c r="E8" s="43" t="n">
        <x:f>IF(D8=0,0,C8/D8)</x:f>
        <x:v>0</x:v>
      </x:c>
      <x:c r="F8" s="62" t="n">
        <x:f>E8*INDEX(Campaigns!E:E,MATCH(A8,Campaigns!A:A,0))</x:f>
        <x:v>0</x:v>
      </x:c>
      <x:c r="G8" s="27" t="str">
        <x:f>IF(F8&gt;=0,"PASS","FAIL")</x:f>
        <x:v>PASS</x:v>
      </x:c>
    </x:row>
    <x:row r="9" ht="15" hidden="0" customHeight="1">
      <x:c r="A9" s="29" t="str">
        <x:v>M2</x:v>
      </x:c>
      <x:c r="B9" s="29" t="str">
        <x:v>SCA-01</x:v>
      </x:c>
      <x:c r="C9" s="41" t="n">
        <x:v>0</x:v>
      </x:c>
      <x:c r="D9" s="41" t="n">
        <x:v>36980573</x:v>
      </x:c>
      <x:c r="E9" s="44" t="n">
        <x:f>IF(D9=0,0,C9/D9)</x:f>
        <x:v>0</x:v>
      </x:c>
      <x:c r="F9" s="63" t="n">
        <x:f>E9*INDEX(Campaigns!E:E,MATCH(A9,Campaigns!A:A,0))</x:f>
        <x:v>0</x:v>
      </x:c>
      <x:c r="G9" s="29" t="str">
        <x:f>IF(F9&gt;=0,"PASS","FAIL")</x:f>
        <x:v>PASS</x:v>
      </x:c>
    </x:row>
    <x:row r="10" ht="15" hidden="0" customHeight="1">
      <x:c r="A10" s="27" t="str">
        <x:v>M3</x:v>
      </x:c>
      <x:c r="B10" s="27" t="str">
        <x:v>SCA-01</x:v>
      </x:c>
      <x:c r="C10" s="40" t="n">
        <x:v>0</x:v>
      </x:c>
      <x:c r="D10" s="40" t="n">
        <x:v>40804919</x:v>
      </x:c>
      <x:c r="E10" s="43" t="n">
        <x:f>IF(D10=0,0,C10/D10)</x:f>
        <x:v>0</x:v>
      </x:c>
      <x:c r="F10" s="62" t="n">
        <x:f>E10*INDEX(Campaigns!E:E,MATCH(A10,Campaigns!A:A,0))</x:f>
        <x:v>0</x:v>
      </x:c>
      <x:c r="G10" s="27" t="str">
        <x:f>IF(F10&gt;=0,"PASS","FAIL")</x:f>
        <x:v>PASS</x:v>
      </x:c>
    </x:row>
    <x:row r="11" ht="15" hidden="0" customHeight="1">
      <x:c r="A11" s="29" t="str">
        <x:v>M4</x:v>
      </x:c>
      <x:c r="B11" s="29" t="str">
        <x:v>SCA-01</x:v>
      </x:c>
      <x:c r="C11" s="41" t="n">
        <x:v>0</x:v>
      </x:c>
      <x:c r="D11" s="41" t="n">
        <x:v>60413615</x:v>
      </x:c>
      <x:c r="E11" s="44" t="n">
        <x:f>IF(D11=0,0,C11/D11)</x:f>
        <x:v>0</x:v>
      </x:c>
      <x:c r="F11" s="63" t="n">
        <x:f>E11*INDEX(Campaigns!E:E,MATCH(A11,Campaigns!A:A,0))</x:f>
        <x:v>0</x:v>
      </x:c>
      <x:c r="G11" s="29" t="str">
        <x:f>IF(F11&gt;=0,"PASS","FAIL")</x:f>
        <x:v>PASS</x:v>
      </x:c>
    </x:row>
    <x:row r="12" ht="15" hidden="0" customHeight="1">
      <x:c r="A12" s="27" t="str">
        <x:v>M5</x:v>
      </x:c>
      <x:c r="B12" s="27" t="str">
        <x:v>SCA-01</x:v>
      </x:c>
      <x:c r="C12" s="40" t="n">
        <x:v>0</x:v>
      </x:c>
      <x:c r="D12" s="40" t="n">
        <x:v>87635538</x:v>
      </x:c>
      <x:c r="E12" s="43" t="n">
        <x:f>IF(D12=0,0,C12/D12)</x:f>
        <x:v>0</x:v>
      </x:c>
      <x:c r="F12" s="62" t="n">
        <x:f>E12*INDEX(Campaigns!E:E,MATCH(A12,Campaigns!A:A,0))</x:f>
        <x:v>0</x:v>
      </x:c>
      <x:c r="G12" s="27" t="str">
        <x:f>IF(F12&gt;=0,"PASS","FAIL")</x:f>
        <x:v>PASS</x:v>
      </x:c>
    </x:row>
    <x:row r="13" ht="15" hidden="0" customHeight="1">
      <x:c r="A13" s="29" t="str">
        <x:v>C1</x:v>
      </x:c>
      <x:c r="B13" s="29" t="str">
        <x:v>SCA-02</x:v>
      </x:c>
      <x:c r="C13" s="41" t="n">
        <x:v>0</x:v>
      </x:c>
      <x:c r="D13" s="41" t="n">
        <x:v>39355309</x:v>
      </x:c>
      <x:c r="E13" s="44" t="n">
        <x:f>IF(D13=0,0,C13/D13)</x:f>
        <x:v>0</x:v>
      </x:c>
      <x:c r="F13" s="63" t="n">
        <x:f>E13*INDEX(Campaigns!E:E,MATCH(A13,Campaigns!A:A,0))</x:f>
        <x:v>0</x:v>
      </x:c>
      <x:c r="G13" s="29" t="str">
        <x:f>IF(F13&gt;=0,"PASS","FAIL")</x:f>
        <x:v>PASS</x:v>
      </x:c>
    </x:row>
    <x:row r="14" ht="15" hidden="0" customHeight="1">
      <x:c r="A14" s="27" t="str">
        <x:v>C2</x:v>
      </x:c>
      <x:c r="B14" s="27" t="str">
        <x:v>SCA-02</x:v>
      </x:c>
      <x:c r="C14" s="40" t="n">
        <x:v>0</x:v>
      </x:c>
      <x:c r="D14" s="40" t="n">
        <x:v>44475258</x:v>
      </x:c>
      <x:c r="E14" s="43" t="n">
        <x:f>IF(D14=0,0,C14/D14)</x:f>
        <x:v>0</x:v>
      </x:c>
      <x:c r="F14" s="62" t="n">
        <x:f>E14*INDEX(Campaigns!E:E,MATCH(A14,Campaigns!A:A,0))</x:f>
        <x:v>0</x:v>
      </x:c>
      <x:c r="G14" s="27" t="str">
        <x:f>IF(F14&gt;=0,"PASS","FAIL")</x:f>
        <x:v>PASS</x:v>
      </x:c>
    </x:row>
    <x:row r="15" ht="15" hidden="0" customHeight="1">
      <x:c r="A15" s="29" t="str">
        <x:v>C3</x:v>
      </x:c>
      <x:c r="B15" s="29" t="str">
        <x:v>SCA-02</x:v>
      </x:c>
      <x:c r="C15" s="41" t="n">
        <x:v>0</x:v>
      </x:c>
      <x:c r="D15" s="41" t="n">
        <x:v>54567175</x:v>
      </x:c>
      <x:c r="E15" s="44" t="n">
        <x:f>IF(D15=0,0,C15/D15)</x:f>
        <x:v>0</x:v>
      </x:c>
      <x:c r="F15" s="63" t="n">
        <x:f>E15*INDEX(Campaigns!E:E,MATCH(A15,Campaigns!A:A,0))</x:f>
        <x:v>0</x:v>
      </x:c>
      <x:c r="G15" s="29" t="str">
        <x:f>IF(F15&gt;=0,"PASS","FAIL")</x:f>
        <x:v>PASS</x:v>
      </x:c>
    </x:row>
    <x:row r="16" ht="15" hidden="0" customHeight="1">
      <x:c r="A16" s="27" t="str">
        <x:v>M1</x:v>
      </x:c>
      <x:c r="B16" s="27" t="str">
        <x:v>SCA-02</x:v>
      </x:c>
      <x:c r="C16" s="40" t="n">
        <x:v>0</x:v>
      </x:c>
      <x:c r="D16" s="40" t="n">
        <x:v>12274606</x:v>
      </x:c>
      <x:c r="E16" s="43" t="n">
        <x:f>IF(D16=0,0,C16/D16)</x:f>
        <x:v>0</x:v>
      </x:c>
      <x:c r="F16" s="62" t="n">
        <x:f>E16*INDEX(Campaigns!E:E,MATCH(A16,Campaigns!A:A,0))</x:f>
        <x:v>0</x:v>
      </x:c>
      <x:c r="G16" s="27" t="str">
        <x:f>IF(F16&gt;=0,"PASS","FAIL")</x:f>
        <x:v>PASS</x:v>
      </x:c>
    </x:row>
    <x:row r="17" ht="15" hidden="0" customHeight="1">
      <x:c r="A17" s="29" t="str">
        <x:v>M2</x:v>
      </x:c>
      <x:c r="B17" s="29" t="str">
        <x:v>SCA-02</x:v>
      </x:c>
      <x:c r="C17" s="41" t="n">
        <x:v>0</x:v>
      </x:c>
      <x:c r="D17" s="41" t="n">
        <x:v>36980573</x:v>
      </x:c>
      <x:c r="E17" s="44" t="n">
        <x:f>IF(D17=0,0,C17/D17)</x:f>
        <x:v>0</x:v>
      </x:c>
      <x:c r="F17" s="63" t="n">
        <x:f>E17*INDEX(Campaigns!E:E,MATCH(A17,Campaigns!A:A,0))</x:f>
        <x:v>0</x:v>
      </x:c>
      <x:c r="G17" s="29" t="str">
        <x:f>IF(F17&gt;=0,"PASS","FAIL")</x:f>
        <x:v>PASS</x:v>
      </x:c>
    </x:row>
    <x:row r="18" ht="15" hidden="0" customHeight="1">
      <x:c r="A18" s="27" t="str">
        <x:v>M3</x:v>
      </x:c>
      <x:c r="B18" s="27" t="str">
        <x:v>SCA-02</x:v>
      </x:c>
      <x:c r="C18" s="40" t="n">
        <x:v>0</x:v>
      </x:c>
      <x:c r="D18" s="40" t="n">
        <x:v>40804919</x:v>
      </x:c>
      <x:c r="E18" s="43" t="n">
        <x:f>IF(D18=0,0,C18/D18)</x:f>
        <x:v>0</x:v>
      </x:c>
      <x:c r="F18" s="62" t="n">
        <x:f>E18*INDEX(Campaigns!E:E,MATCH(A18,Campaigns!A:A,0))</x:f>
        <x:v>0</x:v>
      </x:c>
      <x:c r="G18" s="27" t="str">
        <x:f>IF(F18&gt;=0,"PASS","FAIL")</x:f>
        <x:v>PASS</x:v>
      </x:c>
    </x:row>
    <x:row r="19" ht="15" hidden="0" customHeight="1">
      <x:c r="A19" s="29" t="str">
        <x:v>M4</x:v>
      </x:c>
      <x:c r="B19" s="29" t="str">
        <x:v>SCA-02</x:v>
      </x:c>
      <x:c r="C19" s="41" t="n">
        <x:v>0</x:v>
      </x:c>
      <x:c r="D19" s="41" t="n">
        <x:v>60413615</x:v>
      </x:c>
      <x:c r="E19" s="44" t="n">
        <x:f>IF(D19=0,0,C19/D19)</x:f>
        <x:v>0</x:v>
      </x:c>
      <x:c r="F19" s="63" t="n">
        <x:f>E19*INDEX(Campaigns!E:E,MATCH(A19,Campaigns!A:A,0))</x:f>
        <x:v>0</x:v>
      </x:c>
      <x:c r="G19" s="29" t="str">
        <x:f>IF(F19&gt;=0,"PASS","FAIL")</x:f>
        <x:v>PASS</x:v>
      </x:c>
    </x:row>
    <x:row r="20" ht="15" hidden="0" customHeight="1">
      <x:c r="A20" s="27" t="str">
        <x:v>M5</x:v>
      </x:c>
      <x:c r="B20" s="27" t="str">
        <x:v>SCA-02</x:v>
      </x:c>
      <x:c r="C20" s="40" t="n">
        <x:v>0</x:v>
      </x:c>
      <x:c r="D20" s="40" t="n">
        <x:v>87635538</x:v>
      </x:c>
      <x:c r="E20" s="43" t="n">
        <x:f>IF(D20=0,0,C20/D20)</x:f>
        <x:v>0</x:v>
      </x:c>
      <x:c r="F20" s="62" t="n">
        <x:f>E20*INDEX(Campaigns!E:E,MATCH(A20,Campaigns!A:A,0))</x:f>
        <x:v>0</x:v>
      </x:c>
      <x:c r="G20" s="27" t="str">
        <x:f>IF(F20&gt;=0,"PASS","FAIL")</x:f>
        <x:v>PASS</x:v>
      </x:c>
    </x:row>
    <x:row r="21" ht="15" hidden="0" customHeight="1">
      <x:c r="A21" s="29" t="str">
        <x:v>C1</x:v>
      </x:c>
      <x:c r="B21" s="29" t="str">
        <x:v>SCA-03</x:v>
      </x:c>
      <x:c r="C21" s="41" t="n">
        <x:v>0</x:v>
      </x:c>
      <x:c r="D21" s="41" t="n">
        <x:v>39355309</x:v>
      </x:c>
      <x:c r="E21" s="44" t="n">
        <x:f>IF(D21=0,0,C21/D21)</x:f>
        <x:v>0</x:v>
      </x:c>
      <x:c r="F21" s="63" t="n">
        <x:f>E21*INDEX(Campaigns!E:E,MATCH(A21,Campaigns!A:A,0))</x:f>
        <x:v>0</x:v>
      </x:c>
      <x:c r="G21" s="29" t="str">
        <x:f>IF(F21&gt;=0,"PASS","FAIL")</x:f>
        <x:v>PASS</x:v>
      </x:c>
    </x:row>
    <x:row r="22" ht="15" hidden="0" customHeight="1">
      <x:c r="A22" s="27" t="str">
        <x:v>C2</x:v>
      </x:c>
      <x:c r="B22" s="27" t="str">
        <x:v>SCA-03</x:v>
      </x:c>
      <x:c r="C22" s="40" t="n">
        <x:v>0</x:v>
      </x:c>
      <x:c r="D22" s="40" t="n">
        <x:v>44475258</x:v>
      </x:c>
      <x:c r="E22" s="43" t="n">
        <x:f>IF(D22=0,0,C22/D22)</x:f>
        <x:v>0</x:v>
      </x:c>
      <x:c r="F22" s="62" t="n">
        <x:f>E22*INDEX(Campaigns!E:E,MATCH(A22,Campaigns!A:A,0))</x:f>
        <x:v>0</x:v>
      </x:c>
      <x:c r="G22" s="27" t="str">
        <x:f>IF(F22&gt;=0,"PASS","FAIL")</x:f>
        <x:v>PASS</x:v>
      </x:c>
    </x:row>
    <x:row r="23" ht="15" hidden="0" customHeight="1">
      <x:c r="A23" s="29" t="str">
        <x:v>C3</x:v>
      </x:c>
      <x:c r="B23" s="29" t="str">
        <x:v>SCA-03</x:v>
      </x:c>
      <x:c r="C23" s="41" t="n">
        <x:v>0</x:v>
      </x:c>
      <x:c r="D23" s="41" t="n">
        <x:v>54567175</x:v>
      </x:c>
      <x:c r="E23" s="44" t="n">
        <x:f>IF(D23=0,0,C23/D23)</x:f>
        <x:v>0</x:v>
      </x:c>
      <x:c r="F23" s="63" t="n">
        <x:f>E23*INDEX(Campaigns!E:E,MATCH(A23,Campaigns!A:A,0))</x:f>
        <x:v>0</x:v>
      </x:c>
      <x:c r="G23" s="29" t="str">
        <x:f>IF(F23&gt;=0,"PASS","FAIL")</x:f>
        <x:v>PASS</x:v>
      </x:c>
    </x:row>
    <x:row r="24" ht="15" hidden="0" customHeight="1">
      <x:c r="A24" s="27" t="str">
        <x:v>M1</x:v>
      </x:c>
      <x:c r="B24" s="27" t="str">
        <x:v>SCA-03</x:v>
      </x:c>
      <x:c r="C24" s="40" t="n">
        <x:v>11633349</x:v>
      </x:c>
      <x:c r="D24" s="40" t="n">
        <x:v>12274606</x:v>
      </x:c>
      <x:c r="E24" s="43" t="n">
        <x:f>IF(D24=0,0,C24/D24)</x:f>
        <x:v>0.9477574270001009</x:v>
      </x:c>
      <x:c r="F24" s="62" t="n">
        <x:f>E24*INDEX(Campaigns!E:E,MATCH(A24,Campaigns!A:A,0))</x:f>
        <x:v>189.55148540002017</x:v>
      </x:c>
      <x:c r="G24" s="27" t="str">
        <x:f>IF(F24&gt;=0,"PASS","FAIL")</x:f>
        <x:v>PASS</x:v>
      </x:c>
    </x:row>
    <x:row r="25" ht="15" hidden="0" customHeight="1">
      <x:c r="A25" s="29" t="str">
        <x:v>M2</x:v>
      </x:c>
      <x:c r="B25" s="29" t="str">
        <x:v>SCA-03</x:v>
      </x:c>
      <x:c r="C25" s="41" t="n">
        <x:v>0</x:v>
      </x:c>
      <x:c r="D25" s="41" t="n">
        <x:v>36980573</x:v>
      </x:c>
      <x:c r="E25" s="44" t="n">
        <x:f>IF(D25=0,0,C25/D25)</x:f>
        <x:v>0</x:v>
      </x:c>
      <x:c r="F25" s="63" t="n">
        <x:f>E25*INDEX(Campaigns!E:E,MATCH(A25,Campaigns!A:A,0))</x:f>
        <x:v>0</x:v>
      </x:c>
      <x:c r="G25" s="29" t="str">
        <x:f>IF(F25&gt;=0,"PASS","FAIL")</x:f>
        <x:v>PASS</x:v>
      </x:c>
    </x:row>
    <x:row r="26" ht="15" hidden="0" customHeight="1">
      <x:c r="A26" s="27" t="str">
        <x:v>M3</x:v>
      </x:c>
      <x:c r="B26" s="27" t="str">
        <x:v>SCA-03</x:v>
      </x:c>
      <x:c r="C26" s="40" t="n">
        <x:v>0</x:v>
      </x:c>
      <x:c r="D26" s="40" t="n">
        <x:v>40804919</x:v>
      </x:c>
      <x:c r="E26" s="43" t="n">
        <x:f>IF(D26=0,0,C26/D26)</x:f>
        <x:v>0</x:v>
      </x:c>
      <x:c r="F26" s="62" t="n">
        <x:f>E26*INDEX(Campaigns!E:E,MATCH(A26,Campaigns!A:A,0))</x:f>
        <x:v>0</x:v>
      </x:c>
      <x:c r="G26" s="27" t="str">
        <x:f>IF(F26&gt;=0,"PASS","FAIL")</x:f>
        <x:v>PASS</x:v>
      </x:c>
    </x:row>
    <x:row r="27" ht="15" hidden="0" customHeight="1">
      <x:c r="A27" s="29" t="str">
        <x:v>M4</x:v>
      </x:c>
      <x:c r="B27" s="29" t="str">
        <x:v>SCA-03</x:v>
      </x:c>
      <x:c r="C27" s="41" t="n">
        <x:v>0</x:v>
      </x:c>
      <x:c r="D27" s="41" t="n">
        <x:v>60413615</x:v>
      </x:c>
      <x:c r="E27" s="44" t="n">
        <x:f>IF(D27=0,0,C27/D27)</x:f>
        <x:v>0</x:v>
      </x:c>
      <x:c r="F27" s="63" t="n">
        <x:f>E27*INDEX(Campaigns!E:E,MATCH(A27,Campaigns!A:A,0))</x:f>
        <x:v>0</x:v>
      </x:c>
      <x:c r="G27" s="29" t="str">
        <x:f>IF(F27&gt;=0,"PASS","FAIL")</x:f>
        <x:v>PASS</x:v>
      </x:c>
    </x:row>
    <x:row r="28" ht="15" hidden="0" customHeight="1">
      <x:c r="A28" s="27" t="str">
        <x:v>M5</x:v>
      </x:c>
      <x:c r="B28" s="27" t="str">
        <x:v>SCA-03</x:v>
      </x:c>
      <x:c r="C28" s="40" t="n">
        <x:v>0</x:v>
      </x:c>
      <x:c r="D28" s="40" t="n">
        <x:v>87635538</x:v>
      </x:c>
      <x:c r="E28" s="43" t="n">
        <x:f>IF(D28=0,0,C28/D28)</x:f>
        <x:v>0</x:v>
      </x:c>
      <x:c r="F28" s="62" t="n">
        <x:f>E28*INDEX(Campaigns!E:E,MATCH(A28,Campaigns!A:A,0))</x:f>
        <x:v>0</x:v>
      </x:c>
      <x:c r="G28" s="27" t="str">
        <x:f>IF(F28&gt;=0,"PASS","FAIL")</x:f>
        <x:v>PASS</x:v>
      </x:c>
    </x:row>
    <x:row r="29" ht="15" hidden="0" customHeight="1">
      <x:c r="A29" s="29" t="str">
        <x:v>C1</x:v>
      </x:c>
      <x:c r="B29" s="29" t="str">
        <x:v>SCA-04</x:v>
      </x:c>
      <x:c r="C29" s="41" t="n">
        <x:v>15138220</x:v>
      </x:c>
      <x:c r="D29" s="41" t="n">
        <x:v>39355309</x:v>
      </x:c>
      <x:c r="E29" s="44" t="n">
        <x:f>IF(D29=0,0,C29/D29)</x:f>
        <x:v>0.38465509189624203</x:v>
      </x:c>
      <x:c r="F29" s="63" t="n">
        <x:f>E29*INDEX(Campaigns!E:E,MATCH(A29,Campaigns!A:A,0))</x:f>
        <x:v>192.327545948121</x:v>
      </x:c>
      <x:c r="G29" s="29" t="str">
        <x:f>IF(F29&gt;=0,"PASS","FAIL")</x:f>
        <x:v>PASS</x:v>
      </x:c>
    </x:row>
    <x:row r="30" ht="15" hidden="0" customHeight="1">
      <x:c r="A30" s="27" t="str">
        <x:v>C2</x:v>
      </x:c>
      <x:c r="B30" s="27" t="str">
        <x:v>SCA-04</x:v>
      </x:c>
      <x:c r="C30" s="40" t="n">
        <x:v>0</x:v>
      </x:c>
      <x:c r="D30" s="40" t="n">
        <x:v>44475258</x:v>
      </x:c>
      <x:c r="E30" s="43" t="n">
        <x:f>IF(D30=0,0,C30/D30)</x:f>
        <x:v>0</x:v>
      </x:c>
      <x:c r="F30" s="62" t="n">
        <x:f>E30*INDEX(Campaigns!E:E,MATCH(A30,Campaigns!A:A,0))</x:f>
        <x:v>0</x:v>
      </x:c>
      <x:c r="G30" s="27" t="str">
        <x:f>IF(F30&gt;=0,"PASS","FAIL")</x:f>
        <x:v>PASS</x:v>
      </x:c>
    </x:row>
    <x:row r="31" ht="15" hidden="0" customHeight="1">
      <x:c r="A31" s="29" t="str">
        <x:v>C3</x:v>
      </x:c>
      <x:c r="B31" s="29" t="str">
        <x:v>SCA-04</x:v>
      </x:c>
      <x:c r="C31" s="41" t="n">
        <x:v>0</x:v>
      </x:c>
      <x:c r="D31" s="41" t="n">
        <x:v>54567175</x:v>
      </x:c>
      <x:c r="E31" s="44" t="n">
        <x:f>IF(D31=0,0,C31/D31)</x:f>
        <x:v>0</x:v>
      </x:c>
      <x:c r="F31" s="63" t="n">
        <x:f>E31*INDEX(Campaigns!E:E,MATCH(A31,Campaigns!A:A,0))</x:f>
        <x:v>0</x:v>
      </x:c>
      <x:c r="G31" s="29" t="str">
        <x:f>IF(F31&gt;=0,"PASS","FAIL")</x:f>
        <x:v>PASS</x:v>
      </x:c>
    </x:row>
    <x:row r="32" ht="15" hidden="0" customHeight="1">
      <x:c r="A32" s="27" t="str">
        <x:v>M1</x:v>
      </x:c>
      <x:c r="B32" s="27" t="str">
        <x:v>SCA-04</x:v>
      </x:c>
      <x:c r="C32" s="40" t="n">
        <x:v>332283</x:v>
      </x:c>
      <x:c r="D32" s="40" t="n">
        <x:v>12274606</x:v>
      </x:c>
      <x:c r="E32" s="43" t="n">
        <x:f>IF(D32=0,0,C32/D32)</x:f>
        <x:v>0.027070767077981974</x:v>
      </x:c>
      <x:c r="F32" s="62" t="n">
        <x:f>E32*INDEX(Campaigns!E:E,MATCH(A32,Campaigns!A:A,0))</x:f>
        <x:v>5.414153415596394</x:v>
      </x:c>
      <x:c r="G32" s="27" t="str">
        <x:f>IF(F32&gt;=0,"PASS","FAIL")</x:f>
        <x:v>PASS</x:v>
      </x:c>
    </x:row>
    <x:row r="33" ht="15" hidden="0" customHeight="1">
      <x:c r="A33" s="29" t="str">
        <x:v>M2</x:v>
      </x:c>
      <x:c r="B33" s="29" t="str">
        <x:v>SCA-04</x:v>
      </x:c>
      <x:c r="C33" s="41" t="n">
        <x:v>0</x:v>
      </x:c>
      <x:c r="D33" s="41" t="n">
        <x:v>36980573</x:v>
      </x:c>
      <x:c r="E33" s="44" t="n">
        <x:f>IF(D33=0,0,C33/D33)</x:f>
        <x:v>0</x:v>
      </x:c>
      <x:c r="F33" s="63" t="n">
        <x:f>E33*INDEX(Campaigns!E:E,MATCH(A33,Campaigns!A:A,0))</x:f>
        <x:v>0</x:v>
      </x:c>
      <x:c r="G33" s="29" t="str">
        <x:f>IF(F33&gt;=0,"PASS","FAIL")</x:f>
        <x:v>PASS</x:v>
      </x:c>
    </x:row>
    <x:row r="34" ht="15" hidden="0" customHeight="1">
      <x:c r="A34" s="27" t="str">
        <x:v>M3</x:v>
      </x:c>
      <x:c r="B34" s="27" t="str">
        <x:v>SCA-04</x:v>
      </x:c>
      <x:c r="C34" s="40" t="n">
        <x:v>0</x:v>
      </x:c>
      <x:c r="D34" s="40" t="n">
        <x:v>40804919</x:v>
      </x:c>
      <x:c r="E34" s="43" t="n">
        <x:f>IF(D34=0,0,C34/D34)</x:f>
        <x:v>0</x:v>
      </x:c>
      <x:c r="F34" s="62" t="n">
        <x:f>E34*INDEX(Campaigns!E:E,MATCH(A34,Campaigns!A:A,0))</x:f>
        <x:v>0</x:v>
      </x:c>
      <x:c r="G34" s="27" t="str">
        <x:f>IF(F34&gt;=0,"PASS","FAIL")</x:f>
        <x:v>PASS</x:v>
      </x:c>
    </x:row>
    <x:row r="35" ht="15" hidden="0" customHeight="1">
      <x:c r="A35" s="29" t="str">
        <x:v>M4</x:v>
      </x:c>
      <x:c r="B35" s="29" t="str">
        <x:v>SCA-04</x:v>
      </x:c>
      <x:c r="C35" s="41" t="n">
        <x:v>0</x:v>
      </x:c>
      <x:c r="D35" s="41" t="n">
        <x:v>60413615</x:v>
      </x:c>
      <x:c r="E35" s="44" t="n">
        <x:f>IF(D35=0,0,C35/D35)</x:f>
        <x:v>0</x:v>
      </x:c>
      <x:c r="F35" s="63" t="n">
        <x:f>E35*INDEX(Campaigns!E:E,MATCH(A35,Campaigns!A:A,0))</x:f>
        <x:v>0</x:v>
      </x:c>
      <x:c r="G35" s="29" t="str">
        <x:f>IF(F35&gt;=0,"PASS","FAIL")</x:f>
        <x:v>PASS</x:v>
      </x:c>
    </x:row>
    <x:row r="36" ht="15" hidden="0" customHeight="1">
      <x:c r="A36" s="27" t="str">
        <x:v>M5</x:v>
      </x:c>
      <x:c r="B36" s="27" t="str">
        <x:v>SCA-04</x:v>
      </x:c>
      <x:c r="C36" s="40" t="n">
        <x:v>15868187</x:v>
      </x:c>
      <x:c r="D36" s="40" t="n">
        <x:v>87635538</x:v>
      </x:c>
      <x:c r="E36" s="43" t="n">
        <x:f>IF(D36=0,0,C36/D36)</x:f>
        <x:v>0.18107022975085746</x:v>
      </x:c>
      <x:c r="F36" s="62" t="n">
        <x:f>E36*INDEX(Campaigns!E:E,MATCH(A36,Campaigns!A:A,0))</x:f>
        <x:v>36.21404595017149</x:v>
      </x:c>
      <x:c r="G36" s="27" t="str">
        <x:f>IF(F36&gt;=0,"PASS","FAIL")</x:f>
        <x:v>PASS</x:v>
      </x:c>
    </x:row>
    <x:row r="37" ht="15" hidden="0" customHeight="1">
      <x:c r="A37" s="29" t="str">
        <x:v>C1</x:v>
      </x:c>
      <x:c r="B37" s="29" t="str">
        <x:v>SCA-05</x:v>
      </x:c>
      <x:c r="C37" s="41" t="n">
        <x:v>15966265</x:v>
      </x:c>
      <x:c r="D37" s="41" t="n">
        <x:v>39355309</x:v>
      </x:c>
      <x:c r="E37" s="44" t="n">
        <x:f>IF(D37=0,0,C37/D37)</x:f>
        <x:v>0.40569532817033654</x:v>
      </x:c>
      <x:c r="F37" s="63" t="n">
        <x:f>E37*INDEX(Campaigns!E:E,MATCH(A37,Campaigns!A:A,0))</x:f>
        <x:v>202.84766408516828</x:v>
      </x:c>
      <x:c r="G37" s="29" t="str">
        <x:f>IF(F37&gt;=0,"PASS","FAIL")</x:f>
        <x:v>PASS</x:v>
      </x:c>
    </x:row>
    <x:row r="38" ht="15" hidden="0" customHeight="1">
      <x:c r="A38" s="27" t="str">
        <x:v>C2</x:v>
      </x:c>
      <x:c r="B38" s="27" t="str">
        <x:v>SCA-05</x:v>
      </x:c>
      <x:c r="C38" s="40" t="n">
        <x:v>0</x:v>
      </x:c>
      <x:c r="D38" s="40" t="n">
        <x:v>44475258</x:v>
      </x:c>
      <x:c r="E38" s="43" t="n">
        <x:f>IF(D38=0,0,C38/D38)</x:f>
        <x:v>0</x:v>
      </x:c>
      <x:c r="F38" s="62" t="n">
        <x:f>E38*INDEX(Campaigns!E:E,MATCH(A38,Campaigns!A:A,0))</x:f>
        <x:v>0</x:v>
      </x:c>
      <x:c r="G38" s="27" t="str">
        <x:f>IF(F38&gt;=0,"PASS","FAIL")</x:f>
        <x:v>PASS</x:v>
      </x:c>
    </x:row>
    <x:row r="39" ht="15" hidden="0" customHeight="1">
      <x:c r="A39" s="29" t="str">
        <x:v>C3</x:v>
      </x:c>
      <x:c r="B39" s="29" t="str">
        <x:v>SCA-05</x:v>
      </x:c>
      <x:c r="C39" s="41" t="n">
        <x:v>0</x:v>
      </x:c>
      <x:c r="D39" s="41" t="n">
        <x:v>54567175</x:v>
      </x:c>
      <x:c r="E39" s="44" t="n">
        <x:f>IF(D39=0,0,C39/D39)</x:f>
        <x:v>0</x:v>
      </x:c>
      <x:c r="F39" s="63" t="n">
        <x:f>E39*INDEX(Campaigns!E:E,MATCH(A39,Campaigns!A:A,0))</x:f>
        <x:v>0</x:v>
      </x:c>
      <x:c r="G39" s="29" t="str">
        <x:f>IF(F39&gt;=0,"PASS","FAIL")</x:f>
        <x:v>PASS</x:v>
      </x:c>
    </x:row>
    <x:row r="40" ht="15" hidden="0" customHeight="1">
      <x:c r="A40" s="27" t="str">
        <x:v>M1</x:v>
      </x:c>
      <x:c r="B40" s="27" t="str">
        <x:v>SCA-05</x:v>
      </x:c>
      <x:c r="C40" s="40" t="n">
        <x:v>0</x:v>
      </x:c>
      <x:c r="D40" s="40" t="n">
        <x:v>12274606</x:v>
      </x:c>
      <x:c r="E40" s="43" t="n">
        <x:f>IF(D40=0,0,C40/D40)</x:f>
        <x:v>0</x:v>
      </x:c>
      <x:c r="F40" s="62" t="n">
        <x:f>E40*INDEX(Campaigns!E:E,MATCH(A40,Campaigns!A:A,0))</x:f>
        <x:v>0</x:v>
      </x:c>
      <x:c r="G40" s="27" t="str">
        <x:f>IF(F40&gt;=0,"PASS","FAIL")</x:f>
        <x:v>PASS</x:v>
      </x:c>
    </x:row>
    <x:row r="41" ht="15" hidden="0" customHeight="1">
      <x:c r="A41" s="29" t="str">
        <x:v>M2</x:v>
      </x:c>
      <x:c r="B41" s="29" t="str">
        <x:v>SCA-05</x:v>
      </x:c>
      <x:c r="C41" s="41" t="n">
        <x:v>0</x:v>
      </x:c>
      <x:c r="D41" s="41" t="n">
        <x:v>36980573</x:v>
      </x:c>
      <x:c r="E41" s="44" t="n">
        <x:f>IF(D41=0,0,C41/D41)</x:f>
        <x:v>0</x:v>
      </x:c>
      <x:c r="F41" s="63" t="n">
        <x:f>E41*INDEX(Campaigns!E:E,MATCH(A41,Campaigns!A:A,0))</x:f>
        <x:v>0</x:v>
      </x:c>
      <x:c r="G41" s="29" t="str">
        <x:f>IF(F41&gt;=0,"PASS","FAIL")</x:f>
        <x:v>PASS</x:v>
      </x:c>
    </x:row>
    <x:row r="42" ht="15" hidden="0" customHeight="1">
      <x:c r="A42" s="27" t="str">
        <x:v>M3</x:v>
      </x:c>
      <x:c r="B42" s="27" t="str">
        <x:v>SCA-05</x:v>
      </x:c>
      <x:c r="C42" s="40" t="n">
        <x:v>0</x:v>
      </x:c>
      <x:c r="D42" s="40" t="n">
        <x:v>40804919</x:v>
      </x:c>
      <x:c r="E42" s="43" t="n">
        <x:f>IF(D42=0,0,C42/D42)</x:f>
        <x:v>0</x:v>
      </x:c>
      <x:c r="F42" s="62" t="n">
        <x:f>E42*INDEX(Campaigns!E:E,MATCH(A42,Campaigns!A:A,0))</x:f>
        <x:v>0</x:v>
      </x:c>
      <x:c r="G42" s="27" t="str">
        <x:f>IF(F42&gt;=0,"PASS","FAIL")</x:f>
        <x:v>PASS</x:v>
      </x:c>
    </x:row>
    <x:row r="43" ht="15" hidden="0" customHeight="1">
      <x:c r="A43" s="29" t="str">
        <x:v>M4</x:v>
      </x:c>
      <x:c r="B43" s="29" t="str">
        <x:v>SCA-05</x:v>
      </x:c>
      <x:c r="C43" s="41" t="n">
        <x:v>0</x:v>
      </x:c>
      <x:c r="D43" s="41" t="n">
        <x:v>60413615</x:v>
      </x:c>
      <x:c r="E43" s="44" t="n">
        <x:f>IF(D43=0,0,C43/D43)</x:f>
        <x:v>0</x:v>
      </x:c>
      <x:c r="F43" s="63" t="n">
        <x:f>E43*INDEX(Campaigns!E:E,MATCH(A43,Campaigns!A:A,0))</x:f>
        <x:v>0</x:v>
      </x:c>
      <x:c r="G43" s="29" t="str">
        <x:f>IF(F43&gt;=0,"PASS","FAIL")</x:f>
        <x:v>PASS</x:v>
      </x:c>
    </x:row>
    <x:row r="44" ht="15" hidden="0" customHeight="1">
      <x:c r="A44" s="27" t="str">
        <x:v>M5</x:v>
      </x:c>
      <x:c r="B44" s="27" t="str">
        <x:v>SCA-05</x:v>
      </x:c>
      <x:c r="C44" s="40" t="n">
        <x:v>15966265</x:v>
      </x:c>
      <x:c r="D44" s="40" t="n">
        <x:v>87635538</x:v>
      </x:c>
      <x:c r="E44" s="43" t="n">
        <x:f>IF(D44=0,0,C44/D44)</x:f>
        <x:v>0.1821893875975292</x:v>
      </x:c>
      <x:c r="F44" s="62" t="n">
        <x:f>E44*INDEX(Campaigns!E:E,MATCH(A44,Campaigns!A:A,0))</x:f>
        <x:v>36.43787751950584</x:v>
      </x:c>
      <x:c r="G44" s="27" t="str">
        <x:f>IF(F44&gt;=0,"PASS","FAIL")</x:f>
        <x:v>PASS</x:v>
      </x:c>
    </x:row>
    <x:row r="45" ht="15" hidden="0" customHeight="1">
      <x:c r="A45" s="29" t="str">
        <x:v>C1</x:v>
      </x:c>
      <x:c r="B45" s="29" t="str">
        <x:v>SCA-06</x:v>
      </x:c>
      <x:c r="C45" s="41" t="n">
        <x:v>6008575</x:v>
      </x:c>
      <x:c r="D45" s="41" t="n">
        <x:v>39355309</x:v>
      </x:c>
      <x:c r="E45" s="44" t="n">
        <x:f>IF(D45=0,0,C45/D45)</x:f>
        <x:v>0.15267508127048374</x:v>
      </x:c>
      <x:c r="F45" s="63" t="n">
        <x:f>E45*INDEX(Campaigns!E:E,MATCH(A45,Campaigns!A:A,0))</x:f>
        <x:v>76.33754063524187</x:v>
      </x:c>
      <x:c r="G45" s="29" t="str">
        <x:f>IF(F45&gt;=0,"PASS","FAIL")</x:f>
        <x:v>PASS</x:v>
      </x:c>
    </x:row>
    <x:row r="46" ht="15" hidden="0" customHeight="1">
      <x:c r="A46" s="27" t="str">
        <x:v>C2</x:v>
      </x:c>
      <x:c r="B46" s="27" t="str">
        <x:v>SCA-06</x:v>
      </x:c>
      <x:c r="C46" s="40" t="n">
        <x:v>0</x:v>
      </x:c>
      <x:c r="D46" s="40" t="n">
        <x:v>44475258</x:v>
      </x:c>
      <x:c r="E46" s="43" t="n">
        <x:f>IF(D46=0,0,C46/D46)</x:f>
        <x:v>0</x:v>
      </x:c>
      <x:c r="F46" s="62" t="n">
        <x:f>E46*INDEX(Campaigns!E:E,MATCH(A46,Campaigns!A:A,0))</x:f>
        <x:v>0</x:v>
      </x:c>
      <x:c r="G46" s="27" t="str">
        <x:f>IF(F46&gt;=0,"PASS","FAIL")</x:f>
        <x:v>PASS</x:v>
      </x:c>
    </x:row>
    <x:row r="47" ht="15" hidden="0" customHeight="1">
      <x:c r="A47" s="29" t="str">
        <x:v>C3</x:v>
      </x:c>
      <x:c r="B47" s="29" t="str">
        <x:v>SCA-06</x:v>
      </x:c>
      <x:c r="C47" s="41" t="n">
        <x:v>0</x:v>
      </x:c>
      <x:c r="D47" s="41" t="n">
        <x:v>54567175</x:v>
      </x:c>
      <x:c r="E47" s="44" t="n">
        <x:f>IF(D47=0,0,C47/D47)</x:f>
        <x:v>0</x:v>
      </x:c>
      <x:c r="F47" s="63" t="n">
        <x:f>E47*INDEX(Campaigns!E:E,MATCH(A47,Campaigns!A:A,0))</x:f>
        <x:v>0</x:v>
      </x:c>
      <x:c r="G47" s="29" t="str">
        <x:f>IF(F47&gt;=0,"PASS","FAIL")</x:f>
        <x:v>PASS</x:v>
      </x:c>
    </x:row>
    <x:row r="48" ht="15" hidden="0" customHeight="1">
      <x:c r="A48" s="27" t="str">
        <x:v>M1</x:v>
      </x:c>
      <x:c r="B48" s="27" t="str">
        <x:v>SCA-06</x:v>
      </x:c>
      <x:c r="C48" s="40" t="n">
        <x:v>0</x:v>
      </x:c>
      <x:c r="D48" s="40" t="n">
        <x:v>12274606</x:v>
      </x:c>
      <x:c r="E48" s="43" t="n">
        <x:f>IF(D48=0,0,C48/D48)</x:f>
        <x:v>0</x:v>
      </x:c>
      <x:c r="F48" s="62" t="n">
        <x:f>E48*INDEX(Campaigns!E:E,MATCH(A48,Campaigns!A:A,0))</x:f>
        <x:v>0</x:v>
      </x:c>
      <x:c r="G48" s="27" t="str">
        <x:f>IF(F48&gt;=0,"PASS","FAIL")</x:f>
        <x:v>PASS</x:v>
      </x:c>
    </x:row>
    <x:row r="49" ht="15" hidden="0" customHeight="1">
      <x:c r="A49" s="29" t="str">
        <x:v>M2</x:v>
      </x:c>
      <x:c r="B49" s="29" t="str">
        <x:v>SCA-06</x:v>
      </x:c>
      <x:c r="C49" s="41" t="n">
        <x:v>0</x:v>
      </x:c>
      <x:c r="D49" s="41" t="n">
        <x:v>36980573</x:v>
      </x:c>
      <x:c r="E49" s="44" t="n">
        <x:f>IF(D49=0,0,C49/D49)</x:f>
        <x:v>0</x:v>
      </x:c>
      <x:c r="F49" s="63" t="n">
        <x:f>E49*INDEX(Campaigns!E:E,MATCH(A49,Campaigns!A:A,0))</x:f>
        <x:v>0</x:v>
      </x:c>
      <x:c r="G49" s="29" t="str">
        <x:f>IF(F49&gt;=0,"PASS","FAIL")</x:f>
        <x:v>PASS</x:v>
      </x:c>
    </x:row>
    <x:row r="50" ht="15" hidden="0" customHeight="1">
      <x:c r="A50" s="27" t="str">
        <x:v>M3</x:v>
      </x:c>
      <x:c r="B50" s="27" t="str">
        <x:v>SCA-06</x:v>
      </x:c>
      <x:c r="C50" s="40" t="n">
        <x:v>0</x:v>
      </x:c>
      <x:c r="D50" s="40" t="n">
        <x:v>40804919</x:v>
      </x:c>
      <x:c r="E50" s="43" t="n">
        <x:f>IF(D50=0,0,C50/D50)</x:f>
        <x:v>0</x:v>
      </x:c>
      <x:c r="F50" s="62" t="n">
        <x:f>E50*INDEX(Campaigns!E:E,MATCH(A50,Campaigns!A:A,0))</x:f>
        <x:v>0</x:v>
      </x:c>
      <x:c r="G50" s="27" t="str">
        <x:f>IF(F50&gt;=0,"PASS","FAIL")</x:f>
        <x:v>PASS</x:v>
      </x:c>
    </x:row>
    <x:row r="51" ht="15" hidden="0" customHeight="1">
      <x:c r="A51" s="29" t="str">
        <x:v>M4</x:v>
      </x:c>
      <x:c r="B51" s="29" t="str">
        <x:v>SCA-06</x:v>
      </x:c>
      <x:c r="C51" s="41" t="n">
        <x:v>0</x:v>
      </x:c>
      <x:c r="D51" s="41" t="n">
        <x:v>60413615</x:v>
      </x:c>
      <x:c r="E51" s="44" t="n">
        <x:f>IF(D51=0,0,C51/D51)</x:f>
        <x:v>0</x:v>
      </x:c>
      <x:c r="F51" s="63" t="n">
        <x:f>E51*INDEX(Campaigns!E:E,MATCH(A51,Campaigns!A:A,0))</x:f>
        <x:v>0</x:v>
      </x:c>
      <x:c r="G51" s="29" t="str">
        <x:f>IF(F51&gt;=0,"PASS","FAIL")</x:f>
        <x:v>PASS</x:v>
      </x:c>
    </x:row>
    <x:row r="52" ht="15" hidden="0" customHeight="1">
      <x:c r="A52" s="27" t="str">
        <x:v>M5</x:v>
      </x:c>
      <x:c r="B52" s="27" t="str">
        <x:v>SCA-06</x:v>
      </x:c>
      <x:c r="C52" s="40" t="n">
        <x:v>6008575</x:v>
      </x:c>
      <x:c r="D52" s="40" t="n">
        <x:v>87635538</x:v>
      </x:c>
      <x:c r="E52" s="43" t="n">
        <x:f>IF(D52=0,0,C52/D52)</x:f>
        <x:v>0.06856322374605608</x:v>
      </x:c>
      <x:c r="F52" s="62" t="n">
        <x:f>E52*INDEX(Campaigns!E:E,MATCH(A52,Campaigns!A:A,0))</x:f>
        <x:v>13.712644749211217</x:v>
      </x:c>
      <x:c r="G52" s="27" t="str">
        <x:f>IF(F52&gt;=0,"PASS","FAIL")</x:f>
        <x:v>PASS</x:v>
      </x:c>
    </x:row>
    <x:row r="53" ht="15" hidden="0" customHeight="1">
      <x:c r="A53" s="29" t="str">
        <x:v>C1</x:v>
      </x:c>
      <x:c r="B53" s="29" t="str">
        <x:v>SCA-07</x:v>
      </x:c>
      <x:c r="C53" s="41" t="n">
        <x:v>2242249</x:v>
      </x:c>
      <x:c r="D53" s="41" t="n">
        <x:v>39355309</x:v>
      </x:c>
      <x:c r="E53" s="44" t="n">
        <x:f>IF(D53=0,0,C53/D53)</x:f>
        <x:v>0.056974498662937696</x:v>
      </x:c>
      <x:c r="F53" s="63" t="n">
        <x:f>E53*INDEX(Campaigns!E:E,MATCH(A53,Campaigns!A:A,0))</x:f>
        <x:v>28.48724933146885</x:v>
      </x:c>
      <x:c r="G53" s="29" t="str">
        <x:f>IF(F53&gt;=0,"PASS","FAIL")</x:f>
        <x:v>PASS</x:v>
      </x:c>
    </x:row>
    <x:row r="54" ht="15" hidden="0" customHeight="1">
      <x:c r="A54" s="27" t="str">
        <x:v>C2</x:v>
      </x:c>
      <x:c r="B54" s="27" t="str">
        <x:v>SCA-07</x:v>
      </x:c>
      <x:c r="C54" s="40" t="n">
        <x:v>0</x:v>
      </x:c>
      <x:c r="D54" s="40" t="n">
        <x:v>44475258</x:v>
      </x:c>
      <x:c r="E54" s="43" t="n">
        <x:f>IF(D54=0,0,C54/D54)</x:f>
        <x:v>0</x:v>
      </x:c>
      <x:c r="F54" s="62" t="n">
        <x:f>E54*INDEX(Campaigns!E:E,MATCH(A54,Campaigns!A:A,0))</x:f>
        <x:v>0</x:v>
      </x:c>
      <x:c r="G54" s="27" t="str">
        <x:f>IF(F54&gt;=0,"PASS","FAIL")</x:f>
        <x:v>PASS</x:v>
      </x:c>
    </x:row>
    <x:row r="55" ht="15" hidden="0" customHeight="1">
      <x:c r="A55" s="29" t="str">
        <x:v>C3</x:v>
      </x:c>
      <x:c r="B55" s="29" t="str">
        <x:v>SCA-07</x:v>
      </x:c>
      <x:c r="C55" s="41" t="n">
        <x:v>0</x:v>
      </x:c>
      <x:c r="D55" s="41" t="n">
        <x:v>54567175</x:v>
      </x:c>
      <x:c r="E55" s="44" t="n">
        <x:f>IF(D55=0,0,C55/D55)</x:f>
        <x:v>0</x:v>
      </x:c>
      <x:c r="F55" s="63" t="n">
        <x:f>E55*INDEX(Campaigns!E:E,MATCH(A55,Campaigns!A:A,0))</x:f>
        <x:v>0</x:v>
      </x:c>
      <x:c r="G55" s="29" t="str">
        <x:f>IF(F55&gt;=0,"PASS","FAIL")</x:f>
        <x:v>PASS</x:v>
      </x:c>
    </x:row>
    <x:row r="56" ht="15" hidden="0" customHeight="1">
      <x:c r="A56" s="27" t="str">
        <x:v>M1</x:v>
      </x:c>
      <x:c r="B56" s="27" t="str">
        <x:v>SCA-07</x:v>
      </x:c>
      <x:c r="C56" s="40" t="n">
        <x:v>0</x:v>
      </x:c>
      <x:c r="D56" s="40" t="n">
        <x:v>12274606</x:v>
      </x:c>
      <x:c r="E56" s="43" t="n">
        <x:f>IF(D56=0,0,C56/D56)</x:f>
        <x:v>0</x:v>
      </x:c>
      <x:c r="F56" s="62" t="n">
        <x:f>E56*INDEX(Campaigns!E:E,MATCH(A56,Campaigns!A:A,0))</x:f>
        <x:v>0</x:v>
      </x:c>
      <x:c r="G56" s="27" t="str">
        <x:f>IF(F56&gt;=0,"PASS","FAIL")</x:f>
        <x:v>PASS</x:v>
      </x:c>
    </x:row>
    <x:row r="57" ht="15" hidden="0" customHeight="1">
      <x:c r="A57" s="29" t="str">
        <x:v>M2</x:v>
      </x:c>
      <x:c r="B57" s="29" t="str">
        <x:v>SCA-07</x:v>
      </x:c>
      <x:c r="C57" s="41" t="n">
        <x:v>0</x:v>
      </x:c>
      <x:c r="D57" s="41" t="n">
        <x:v>36980573</x:v>
      </x:c>
      <x:c r="E57" s="44" t="n">
        <x:f>IF(D57=0,0,C57/D57)</x:f>
        <x:v>0</x:v>
      </x:c>
      <x:c r="F57" s="63" t="n">
        <x:f>E57*INDEX(Campaigns!E:E,MATCH(A57,Campaigns!A:A,0))</x:f>
        <x:v>0</x:v>
      </x:c>
      <x:c r="G57" s="29" t="str">
        <x:f>IF(F57&gt;=0,"PASS","FAIL")</x:f>
        <x:v>PASS</x:v>
      </x:c>
    </x:row>
    <x:row r="58" ht="15" hidden="0" customHeight="1">
      <x:c r="A58" s="27" t="str">
        <x:v>M3</x:v>
      </x:c>
      <x:c r="B58" s="27" t="str">
        <x:v>SCA-07</x:v>
      </x:c>
      <x:c r="C58" s="40" t="n">
        <x:v>0</x:v>
      </x:c>
      <x:c r="D58" s="40" t="n">
        <x:v>40804919</x:v>
      </x:c>
      <x:c r="E58" s="43" t="n">
        <x:f>IF(D58=0,0,C58/D58)</x:f>
        <x:v>0</x:v>
      </x:c>
      <x:c r="F58" s="62" t="n">
        <x:f>E58*INDEX(Campaigns!E:E,MATCH(A58,Campaigns!A:A,0))</x:f>
        <x:v>0</x:v>
      </x:c>
      <x:c r="G58" s="27" t="str">
        <x:f>IF(F58&gt;=0,"PASS","FAIL")</x:f>
        <x:v>PASS</x:v>
      </x:c>
    </x:row>
    <x:row r="59" ht="15" hidden="0" customHeight="1">
      <x:c r="A59" s="29" t="str">
        <x:v>M4</x:v>
      </x:c>
      <x:c r="B59" s="29" t="str">
        <x:v>SCA-07</x:v>
      </x:c>
      <x:c r="C59" s="41" t="n">
        <x:v>0</x:v>
      </x:c>
      <x:c r="D59" s="41" t="n">
        <x:v>60413615</x:v>
      </x:c>
      <x:c r="E59" s="44" t="n">
        <x:f>IF(D59=0,0,C59/D59)</x:f>
        <x:v>0</x:v>
      </x:c>
      <x:c r="F59" s="63" t="n">
        <x:f>E59*INDEX(Campaigns!E:E,MATCH(A59,Campaigns!A:A,0))</x:f>
        <x:v>0</x:v>
      </x:c>
      <x:c r="G59" s="29" t="str">
        <x:f>IF(F59&gt;=0,"PASS","FAIL")</x:f>
        <x:v>PASS</x:v>
      </x:c>
    </x:row>
    <x:row r="60" ht="15" hidden="0" customHeight="1">
      <x:c r="A60" s="27" t="str">
        <x:v>M5</x:v>
      </x:c>
      <x:c r="B60" s="27" t="str">
        <x:v>SCA-07</x:v>
      </x:c>
      <x:c r="C60" s="40" t="n">
        <x:v>5229370</x:v>
      </x:c>
      <x:c r="D60" s="40" t="n">
        <x:v>87635538</x:v>
      </x:c>
      <x:c r="E60" s="43" t="n">
        <x:f>IF(D60=0,0,C60/D60)</x:f>
        <x:v>0.05967179661748639</x:v>
      </x:c>
      <x:c r="F60" s="62" t="n">
        <x:f>E60*INDEX(Campaigns!E:E,MATCH(A60,Campaigns!A:A,0))</x:f>
        <x:v>11.934359323497278</x:v>
      </x:c>
      <x:c r="G60" s="27" t="str">
        <x:f>IF(F60&gt;=0,"PASS","FAIL")</x:f>
        <x:v>PASS</x:v>
      </x:c>
    </x:row>
    <x:row r="61" ht="15" hidden="0" customHeight="1">
      <x:c r="A61" s="29" t="str">
        <x:v>C1</x:v>
      </x:c>
      <x:c r="B61" s="29" t="str">
        <x:v>SCA-08</x:v>
      </x:c>
      <x:c r="C61" s="41" t="n">
        <x:v>0</x:v>
      </x:c>
      <x:c r="D61" s="41" t="n">
        <x:v>39355309</x:v>
      </x:c>
      <x:c r="E61" s="44" t="n">
        <x:f>IF(D61=0,0,C61/D61)</x:f>
        <x:v>0</x:v>
      </x:c>
      <x:c r="F61" s="63" t="n">
        <x:f>E61*INDEX(Campaigns!E:E,MATCH(A61,Campaigns!A:A,0))</x:f>
        <x:v>0</x:v>
      </x:c>
      <x:c r="G61" s="29" t="str">
        <x:f>IF(F61&gt;=0,"PASS","FAIL")</x:f>
        <x:v>PASS</x:v>
      </x:c>
    </x:row>
    <x:row r="62" ht="15" hidden="0" customHeight="1">
      <x:c r="A62" s="27" t="str">
        <x:v>C2</x:v>
      </x:c>
      <x:c r="B62" s="27" t="str">
        <x:v>SCA-08</x:v>
      </x:c>
      <x:c r="C62" s="40" t="n">
        <x:v>0</x:v>
      </x:c>
      <x:c r="D62" s="40" t="n">
        <x:v>44475258</x:v>
      </x:c>
      <x:c r="E62" s="43" t="n">
        <x:f>IF(D62=0,0,C62/D62)</x:f>
        <x:v>0</x:v>
      </x:c>
      <x:c r="F62" s="62" t="n">
        <x:f>E62*INDEX(Campaigns!E:E,MATCH(A62,Campaigns!A:A,0))</x:f>
        <x:v>0</x:v>
      </x:c>
      <x:c r="G62" s="27" t="str">
        <x:f>IF(F62&gt;=0,"PASS","FAIL")</x:f>
        <x:v>PASS</x:v>
      </x:c>
    </x:row>
    <x:row r="63" ht="15" hidden="0" customHeight="1">
      <x:c r="A63" s="29" t="str">
        <x:v>C3</x:v>
      </x:c>
      <x:c r="B63" s="29" t="str">
        <x:v>SCA-08</x:v>
      </x:c>
      <x:c r="C63" s="41" t="n">
        <x:v>0</x:v>
      </x:c>
      <x:c r="D63" s="41" t="n">
        <x:v>54567175</x:v>
      </x:c>
      <x:c r="E63" s="44" t="n">
        <x:f>IF(D63=0,0,C63/D63)</x:f>
        <x:v>0</x:v>
      </x:c>
      <x:c r="F63" s="63" t="n">
        <x:f>E63*INDEX(Campaigns!E:E,MATCH(A63,Campaigns!A:A,0))</x:f>
        <x:v>0</x:v>
      </x:c>
      <x:c r="G63" s="29" t="str">
        <x:f>IF(F63&gt;=0,"PASS","FAIL")</x:f>
        <x:v>PASS</x:v>
      </x:c>
    </x:row>
    <x:row r="64" ht="15" hidden="0" customHeight="1">
      <x:c r="A64" s="27" t="str">
        <x:v>M1</x:v>
      </x:c>
      <x:c r="B64" s="27" t="str">
        <x:v>SCA-08</x:v>
      </x:c>
      <x:c r="C64" s="40" t="n">
        <x:v>308974</x:v>
      </x:c>
      <x:c r="D64" s="40" t="n">
        <x:v>12274606</x:v>
      </x:c>
      <x:c r="E64" s="43" t="n">
        <x:f>IF(D64=0,0,C64/D64)</x:f>
        <x:v>0.02517180592191717</x:v>
      </x:c>
      <x:c r="F64" s="62" t="n">
        <x:f>E64*INDEX(Campaigns!E:E,MATCH(A64,Campaigns!A:A,0))</x:f>
        <x:v>5.0343611843834335</x:v>
      </x:c>
      <x:c r="G64" s="27" t="str">
        <x:f>IF(F64&gt;=0,"PASS","FAIL")</x:f>
        <x:v>PASS</x:v>
      </x:c>
    </x:row>
    <x:row r="65" ht="15" hidden="0" customHeight="1">
      <x:c r="A65" s="29" t="str">
        <x:v>M2</x:v>
      </x:c>
      <x:c r="B65" s="29" t="str">
        <x:v>SCA-08</x:v>
      </x:c>
      <x:c r="C65" s="41" t="n">
        <x:v>0</x:v>
      </x:c>
      <x:c r="D65" s="41" t="n">
        <x:v>36980573</x:v>
      </x:c>
      <x:c r="E65" s="44" t="n">
        <x:f>IF(D65=0,0,C65/D65)</x:f>
        <x:v>0</x:v>
      </x:c>
      <x:c r="F65" s="63" t="n">
        <x:f>E65*INDEX(Campaigns!E:E,MATCH(A65,Campaigns!A:A,0))</x:f>
        <x:v>0</x:v>
      </x:c>
      <x:c r="G65" s="29" t="str">
        <x:f>IF(F65&gt;=0,"PASS","FAIL")</x:f>
        <x:v>PASS</x:v>
      </x:c>
    </x:row>
    <x:row r="66" ht="15" hidden="0" customHeight="1">
      <x:c r="A66" s="27" t="str">
        <x:v>M3</x:v>
      </x:c>
      <x:c r="B66" s="27" t="str">
        <x:v>SCA-08</x:v>
      </x:c>
      <x:c r="C66" s="40" t="n">
        <x:v>0</x:v>
      </x:c>
      <x:c r="D66" s="40" t="n">
        <x:v>40804919</x:v>
      </x:c>
      <x:c r="E66" s="43" t="n">
        <x:f>IF(D66=0,0,C66/D66)</x:f>
        <x:v>0</x:v>
      </x:c>
      <x:c r="F66" s="62" t="n">
        <x:f>E66*INDEX(Campaigns!E:E,MATCH(A66,Campaigns!A:A,0))</x:f>
        <x:v>0</x:v>
      </x:c>
      <x:c r="G66" s="27" t="str">
        <x:f>IF(F66&gt;=0,"PASS","FAIL")</x:f>
        <x:v>PASS</x:v>
      </x:c>
    </x:row>
    <x:row r="67" ht="15" hidden="0" customHeight="1">
      <x:c r="A67" s="29" t="str">
        <x:v>M4</x:v>
      </x:c>
      <x:c r="B67" s="29" t="str">
        <x:v>SCA-08</x:v>
      </x:c>
      <x:c r="C67" s="41" t="n">
        <x:v>0</x:v>
      </x:c>
      <x:c r="D67" s="41" t="n">
        <x:v>60413615</x:v>
      </x:c>
      <x:c r="E67" s="44" t="n">
        <x:f>IF(D67=0,0,C67/D67)</x:f>
        <x:v>0</x:v>
      </x:c>
      <x:c r="F67" s="63" t="n">
        <x:f>E67*INDEX(Campaigns!E:E,MATCH(A67,Campaigns!A:A,0))</x:f>
        <x:v>0</x:v>
      </x:c>
      <x:c r="G67" s="29" t="str">
        <x:f>IF(F67&gt;=0,"PASS","FAIL")</x:f>
        <x:v>PASS</x:v>
      </x:c>
    </x:row>
    <x:row r="68" ht="15" hidden="0" customHeight="1">
      <x:c r="A68" s="27" t="str">
        <x:v>M5</x:v>
      </x:c>
      <x:c r="B68" s="27" t="str">
        <x:v>SCA-08</x:v>
      </x:c>
      <x:c r="C68" s="40" t="n">
        <x:v>73949</x:v>
      </x:c>
      <x:c r="D68" s="40" t="n">
        <x:v>87635538</x:v>
      </x:c>
      <x:c r="E68" s="43" t="n">
        <x:f>IF(D68=0,0,C68/D68)</x:f>
        <x:v>0.000843824339847152</x:v>
      </x:c>
      <x:c r="F68" s="62" t="n">
        <x:f>E68*INDEX(Campaigns!E:E,MATCH(A68,Campaigns!A:A,0))</x:f>
        <x:v>0.1687648679694304</x:v>
      </x:c>
      <x:c r="G68" s="27" t="str">
        <x:f>IF(F68&gt;=0,"PASS","FAIL")</x:f>
        <x:v>PASS</x:v>
      </x:c>
    </x:row>
    <x:row r="69" ht="15" hidden="0" customHeight="1">
      <x:c r="A69" s="29" t="str">
        <x:v>C1</x:v>
      </x:c>
      <x:c r="B69" s="29" t="str">
        <x:v>SCA-09</x:v>
      </x:c>
      <x:c r="C69" s="41" t="n">
        <x:v>0</x:v>
      </x:c>
      <x:c r="D69" s="41" t="n">
        <x:v>39355309</x:v>
      </x:c>
      <x:c r="E69" s="44" t="n">
        <x:f>IF(D69=0,0,C69/D69)</x:f>
        <x:v>0</x:v>
      </x:c>
      <x:c r="F69" s="63" t="n">
        <x:f>E69*INDEX(Campaigns!E:E,MATCH(A69,Campaigns!A:A,0))</x:f>
        <x:v>0</x:v>
      </x:c>
      <x:c r="G69" s="29" t="str">
        <x:f>IF(F69&gt;=0,"PASS","FAIL")</x:f>
        <x:v>PASS</x:v>
      </x:c>
    </x:row>
    <x:row r="70" ht="15" hidden="0" customHeight="1">
      <x:c r="A70" s="27" t="str">
        <x:v>C2</x:v>
      </x:c>
      <x:c r="B70" s="27" t="str">
        <x:v>SCA-09</x:v>
      </x:c>
      <x:c r="C70" s="40" t="n">
        <x:v>0</x:v>
      </x:c>
      <x:c r="D70" s="40" t="n">
        <x:v>44475258</x:v>
      </x:c>
      <x:c r="E70" s="43" t="n">
        <x:f>IF(D70=0,0,C70/D70)</x:f>
        <x:v>0</x:v>
      </x:c>
      <x:c r="F70" s="62" t="n">
        <x:f>E70*INDEX(Campaigns!E:E,MATCH(A70,Campaigns!A:A,0))</x:f>
        <x:v>0</x:v>
      </x:c>
      <x:c r="G70" s="27" t="str">
        <x:f>IF(F70&gt;=0,"PASS","FAIL")</x:f>
        <x:v>PASS</x:v>
      </x:c>
    </x:row>
    <x:row r="71" ht="15" hidden="0" customHeight="1">
      <x:c r="A71" s="29" t="str">
        <x:v>C3</x:v>
      </x:c>
      <x:c r="B71" s="29" t="str">
        <x:v>SCA-09</x:v>
      </x:c>
      <x:c r="C71" s="41" t="n">
        <x:v>0</x:v>
      </x:c>
      <x:c r="D71" s="41" t="n">
        <x:v>54567175</x:v>
      </x:c>
      <x:c r="E71" s="44" t="n">
        <x:f>IF(D71=0,0,C71/D71)</x:f>
        <x:v>0</x:v>
      </x:c>
      <x:c r="F71" s="63" t="n">
        <x:f>E71*INDEX(Campaigns!E:E,MATCH(A71,Campaigns!A:A,0))</x:f>
        <x:v>0</x:v>
      </x:c>
      <x:c r="G71" s="29" t="str">
        <x:f>IF(F71&gt;=0,"PASS","FAIL")</x:f>
        <x:v>PASS</x:v>
      </x:c>
    </x:row>
    <x:row r="72" ht="15" hidden="0" customHeight="1">
      <x:c r="A72" s="27" t="str">
        <x:v>M1</x:v>
      </x:c>
      <x:c r="B72" s="27" t="str">
        <x:v>SCA-09</x:v>
      </x:c>
      <x:c r="C72" s="40" t="n">
        <x:v>0</x:v>
      </x:c>
      <x:c r="D72" s="40" t="n">
        <x:v>12274606</x:v>
      </x:c>
      <x:c r="E72" s="43" t="n">
        <x:f>IF(D72=0,0,C72/D72)</x:f>
        <x:v>0</x:v>
      </x:c>
      <x:c r="F72" s="62" t="n">
        <x:f>E72*INDEX(Campaigns!E:E,MATCH(A72,Campaigns!A:A,0))</x:f>
        <x:v>0</x:v>
      </x:c>
      <x:c r="G72" s="27" t="str">
        <x:f>IF(F72&gt;=0,"PASS","FAIL")</x:f>
        <x:v>PASS</x:v>
      </x:c>
    </x:row>
    <x:row r="73" ht="15" hidden="0" customHeight="1">
      <x:c r="A73" s="29" t="str">
        <x:v>M2</x:v>
      </x:c>
      <x:c r="B73" s="29" t="str">
        <x:v>SCA-09</x:v>
      </x:c>
      <x:c r="C73" s="41" t="n">
        <x:v>0</x:v>
      </x:c>
      <x:c r="D73" s="41" t="n">
        <x:v>36980573</x:v>
      </x:c>
      <x:c r="E73" s="44" t="n">
        <x:f>IF(D73=0,0,C73/D73)</x:f>
        <x:v>0</x:v>
      </x:c>
      <x:c r="F73" s="63" t="n">
        <x:f>E73*INDEX(Campaigns!E:E,MATCH(A73,Campaigns!A:A,0))</x:f>
        <x:v>0</x:v>
      </x:c>
      <x:c r="G73" s="29" t="str">
        <x:f>IF(F73&gt;=0,"PASS","FAIL")</x:f>
        <x:v>PASS</x:v>
      </x:c>
    </x:row>
    <x:row r="74" ht="15" hidden="0" customHeight="1">
      <x:c r="A74" s="27" t="str">
        <x:v>M3</x:v>
      </x:c>
      <x:c r="B74" s="27" t="str">
        <x:v>SCA-09</x:v>
      </x:c>
      <x:c r="C74" s="40" t="n">
        <x:v>0</x:v>
      </x:c>
      <x:c r="D74" s="40" t="n">
        <x:v>40804919</x:v>
      </x:c>
      <x:c r="E74" s="43" t="n">
        <x:f>IF(D74=0,0,C74/D74)</x:f>
        <x:v>0</x:v>
      </x:c>
      <x:c r="F74" s="62" t="n">
        <x:f>E74*INDEX(Campaigns!E:E,MATCH(A74,Campaigns!A:A,0))</x:f>
        <x:v>0</x:v>
      </x:c>
      <x:c r="G74" s="27" t="str">
        <x:f>IF(F74&gt;=0,"PASS","FAIL")</x:f>
        <x:v>PASS</x:v>
      </x:c>
    </x:row>
    <x:row r="75" ht="15" hidden="0" customHeight="1">
      <x:c r="A75" s="29" t="str">
        <x:v>M4</x:v>
      </x:c>
      <x:c r="B75" s="29" t="str">
        <x:v>SCA-09</x:v>
      </x:c>
      <x:c r="C75" s="41" t="n">
        <x:v>0</x:v>
      </x:c>
      <x:c r="D75" s="41" t="n">
        <x:v>60413615</x:v>
      </x:c>
      <x:c r="E75" s="44" t="n">
        <x:f>IF(D75=0,0,C75/D75)</x:f>
        <x:v>0</x:v>
      </x:c>
      <x:c r="F75" s="63" t="n">
        <x:f>E75*INDEX(Campaigns!E:E,MATCH(A75,Campaigns!A:A,0))</x:f>
        <x:v>0</x:v>
      </x:c>
      <x:c r="G75" s="29" t="str">
        <x:f>IF(F75&gt;=0,"PASS","FAIL")</x:f>
        <x:v>PASS</x:v>
      </x:c>
    </x:row>
    <x:row r="76" ht="15" hidden="0" customHeight="1">
      <x:c r="A76" s="27" t="str">
        <x:v>M5</x:v>
      </x:c>
      <x:c r="B76" s="27" t="str">
        <x:v>SCA-09</x:v>
      </x:c>
      <x:c r="C76" s="40" t="n">
        <x:v>7395716</x:v>
      </x:c>
      <x:c r="D76" s="40" t="n">
        <x:v>87635538</x:v>
      </x:c>
      <x:c r="E76" s="43" t="n">
        <x:f>IF(D76=0,0,C76/D76)</x:f>
        <x:v>0.08439174527575788</x:v>
      </x:c>
      <x:c r="F76" s="62" t="n">
        <x:f>E76*INDEX(Campaigns!E:E,MATCH(A76,Campaigns!A:A,0))</x:f>
        <x:v>16.878349055151574</x:v>
      </x:c>
      <x:c r="G76" s="27" t="str">
        <x:f>IF(F76&gt;=0,"PASS","FAIL")</x:f>
        <x:v>PASS</x:v>
      </x:c>
    </x:row>
    <x:row r="77" ht="15" hidden="0" customHeight="1">
      <x:c r="A77" s="29" t="str">
        <x:v>C1</x:v>
      </x:c>
      <x:c r="B77" s="29" t="str">
        <x:v>SCA-10</x:v>
      </x:c>
      <x:c r="C77" s="41" t="n">
        <x:v>0</x:v>
      </x:c>
      <x:c r="D77" s="41" t="n">
        <x:v>39355309</x:v>
      </x:c>
      <x:c r="E77" s="44" t="n">
        <x:f>IF(D77=0,0,C77/D77)</x:f>
        <x:v>0</x:v>
      </x:c>
      <x:c r="F77" s="63" t="n">
        <x:f>E77*INDEX(Campaigns!E:E,MATCH(A77,Campaigns!A:A,0))</x:f>
        <x:v>0</x:v>
      </x:c>
      <x:c r="G77" s="29" t="str">
        <x:f>IF(F77&gt;=0,"PASS","FAIL")</x:f>
        <x:v>PASS</x:v>
      </x:c>
    </x:row>
    <x:row r="78" ht="15" hidden="0" customHeight="1">
      <x:c r="A78" s="27" t="str">
        <x:v>C2</x:v>
      </x:c>
      <x:c r="B78" s="27" t="str">
        <x:v>SCA-10</x:v>
      </x:c>
      <x:c r="C78" s="40" t="n">
        <x:v>0</x:v>
      </x:c>
      <x:c r="D78" s="40" t="n">
        <x:v>44475258</x:v>
      </x:c>
      <x:c r="E78" s="43" t="n">
        <x:f>IF(D78=0,0,C78/D78)</x:f>
        <x:v>0</x:v>
      </x:c>
      <x:c r="F78" s="62" t="n">
        <x:f>E78*INDEX(Campaigns!E:E,MATCH(A78,Campaigns!A:A,0))</x:f>
        <x:v>0</x:v>
      </x:c>
      <x:c r="G78" s="27" t="str">
        <x:f>IF(F78&gt;=0,"PASS","FAIL")</x:f>
        <x:v>PASS</x:v>
      </x:c>
    </x:row>
    <x:row r="79" ht="15" hidden="0" customHeight="1">
      <x:c r="A79" s="29" t="str">
        <x:v>C3</x:v>
      </x:c>
      <x:c r="B79" s="29" t="str">
        <x:v>SCA-10</x:v>
      </x:c>
      <x:c r="C79" s="41" t="n">
        <x:v>0</x:v>
      </x:c>
      <x:c r="D79" s="41" t="n">
        <x:v>54567175</x:v>
      </x:c>
      <x:c r="E79" s="44" t="n">
        <x:f>IF(D79=0,0,C79/D79)</x:f>
        <x:v>0</x:v>
      </x:c>
      <x:c r="F79" s="63" t="n">
        <x:f>E79*INDEX(Campaigns!E:E,MATCH(A79,Campaigns!A:A,0))</x:f>
        <x:v>0</x:v>
      </x:c>
      <x:c r="G79" s="29" t="str">
        <x:f>IF(F79&gt;=0,"PASS","FAIL")</x:f>
        <x:v>PASS</x:v>
      </x:c>
    </x:row>
    <x:row r="80" ht="15" hidden="0" customHeight="1">
      <x:c r="A80" s="27" t="str">
        <x:v>M1</x:v>
      </x:c>
      <x:c r="B80" s="27" t="str">
        <x:v>SCA-10</x:v>
      </x:c>
      <x:c r="C80" s="40" t="n">
        <x:v>0</x:v>
      </x:c>
      <x:c r="D80" s="40" t="n">
        <x:v>12274606</x:v>
      </x:c>
      <x:c r="E80" s="43" t="n">
        <x:f>IF(D80=0,0,C80/D80)</x:f>
        <x:v>0</x:v>
      </x:c>
      <x:c r="F80" s="62" t="n">
        <x:f>E80*INDEX(Campaigns!E:E,MATCH(A80,Campaigns!A:A,0))</x:f>
        <x:v>0</x:v>
      </x:c>
      <x:c r="G80" s="27" t="str">
        <x:f>IF(F80&gt;=0,"PASS","FAIL")</x:f>
        <x:v>PASS</x:v>
      </x:c>
    </x:row>
    <x:row r="81" ht="15" hidden="0" customHeight="1">
      <x:c r="A81" s="29" t="str">
        <x:v>M2</x:v>
      </x:c>
      <x:c r="B81" s="29" t="str">
        <x:v>SCA-10</x:v>
      </x:c>
      <x:c r="C81" s="41" t="n">
        <x:v>0</x:v>
      </x:c>
      <x:c r="D81" s="41" t="n">
        <x:v>36980573</x:v>
      </x:c>
      <x:c r="E81" s="44" t="n">
        <x:f>IF(D81=0,0,C81/D81)</x:f>
        <x:v>0</x:v>
      </x:c>
      <x:c r="F81" s="63" t="n">
        <x:f>E81*INDEX(Campaigns!E:E,MATCH(A81,Campaigns!A:A,0))</x:f>
        <x:v>0</x:v>
      </x:c>
      <x:c r="G81" s="29" t="str">
        <x:f>IF(F81&gt;=0,"PASS","FAIL")</x:f>
        <x:v>PASS</x:v>
      </x:c>
    </x:row>
    <x:row r="82" ht="15" hidden="0" customHeight="1">
      <x:c r="A82" s="27" t="str">
        <x:v>M3</x:v>
      </x:c>
      <x:c r="B82" s="27" t="str">
        <x:v>SCA-10</x:v>
      </x:c>
      <x:c r="C82" s="40" t="n">
        <x:v>0</x:v>
      </x:c>
      <x:c r="D82" s="40" t="n">
        <x:v>40804919</x:v>
      </x:c>
      <x:c r="E82" s="43" t="n">
        <x:f>IF(D82=0,0,C82/D82)</x:f>
        <x:v>0</x:v>
      </x:c>
      <x:c r="F82" s="62" t="n">
        <x:f>E82*INDEX(Campaigns!E:E,MATCH(A82,Campaigns!A:A,0))</x:f>
        <x:v>0</x:v>
      </x:c>
      <x:c r="G82" s="27" t="str">
        <x:f>IF(F82&gt;=0,"PASS","FAIL")</x:f>
        <x:v>PASS</x:v>
      </x:c>
    </x:row>
    <x:row r="83" ht="15" hidden="0" customHeight="1">
      <x:c r="A83" s="29" t="str">
        <x:v>M4</x:v>
      </x:c>
      <x:c r="B83" s="29" t="str">
        <x:v>SCA-10</x:v>
      </x:c>
      <x:c r="C83" s="41" t="n">
        <x:v>0</x:v>
      </x:c>
      <x:c r="D83" s="41" t="n">
        <x:v>60413615</x:v>
      </x:c>
      <x:c r="E83" s="44" t="n">
        <x:f>IF(D83=0,0,C83/D83)</x:f>
        <x:v>0</x:v>
      </x:c>
      <x:c r="F83" s="63" t="n">
        <x:f>E83*INDEX(Campaigns!E:E,MATCH(A83,Campaigns!A:A,0))</x:f>
        <x:v>0</x:v>
      </x:c>
      <x:c r="G83" s="29" t="str">
        <x:f>IF(F83&gt;=0,"PASS","FAIL")</x:f>
        <x:v>PASS</x:v>
      </x:c>
    </x:row>
    <x:row r="84" ht="15" hidden="0" customHeight="1">
      <x:c r="A84" s="27" t="str">
        <x:v>M5</x:v>
      </x:c>
      <x:c r="B84" s="27" t="str">
        <x:v>SCA-10</x:v>
      </x:c>
      <x:c r="C84" s="40" t="n">
        <x:v>3258157</x:v>
      </x:c>
      <x:c r="D84" s="40" t="n">
        <x:v>87635538</x:v>
      </x:c>
      <x:c r="E84" s="43" t="n">
        <x:f>IF(D84=0,0,C84/D84)</x:f>
        <x:v>0.03717849030606739</x:v>
      </x:c>
      <x:c r="F84" s="62" t="n">
        <x:f>E84*INDEX(Campaigns!E:E,MATCH(A84,Campaigns!A:A,0))</x:f>
        <x:v>7.435698061213477</x:v>
      </x:c>
      <x:c r="G84" s="27" t="str">
        <x:f>IF(F84&gt;=0,"PASS","FAIL")</x:f>
        <x:v>PASS</x:v>
      </x:c>
    </x:row>
    <x:row r="85" ht="15" hidden="0" customHeight="1">
      <x:c r="A85" s="29" t="str">
        <x:v>C1</x:v>
      </x:c>
      <x:c r="B85" s="29" t="str">
        <x:v>SCA-11</x:v>
      </x:c>
      <x:c r="C85" s="41" t="n">
        <x:v>0</x:v>
      </x:c>
      <x:c r="D85" s="41" t="n">
        <x:v>39355309</x:v>
      </x:c>
      <x:c r="E85" s="44" t="n">
        <x:f>IF(D85=0,0,C85/D85)</x:f>
        <x:v>0</x:v>
      </x:c>
      <x:c r="F85" s="63" t="n">
        <x:f>E85*INDEX(Campaigns!E:E,MATCH(A85,Campaigns!A:A,0))</x:f>
        <x:v>0</x:v>
      </x:c>
      <x:c r="G85" s="29" t="str">
        <x:f>IF(F85&gt;=0,"PASS","FAIL")</x:f>
        <x:v>PASS</x:v>
      </x:c>
    </x:row>
    <x:row r="86" ht="15" hidden="0" customHeight="1">
      <x:c r="A86" s="27" t="str">
        <x:v>C2</x:v>
      </x:c>
      <x:c r="B86" s="27" t="str">
        <x:v>SCA-11</x:v>
      </x:c>
      <x:c r="C86" s="40" t="n">
        <x:v>1821407</x:v>
      </x:c>
      <x:c r="D86" s="40" t="n">
        <x:v>44475258</x:v>
      </x:c>
      <x:c r="E86" s="43" t="n">
        <x:f>IF(D86=0,0,C86/D86)</x:f>
        <x:v>0.04095326439702722</x:v>
      </x:c>
      <x:c r="F86" s="62" t="n">
        <x:f>E86*INDEX(Campaigns!E:E,MATCH(A86,Campaigns!A:A,0))</x:f>
        <x:v>20.47663219851361</x:v>
      </x:c>
      <x:c r="G86" s="27" t="str">
        <x:f>IF(F86&gt;=0,"PASS","FAIL")</x:f>
        <x:v>PASS</x:v>
      </x:c>
    </x:row>
    <x:row r="87" ht="15" hidden="0" customHeight="1">
      <x:c r="A87" s="29" t="str">
        <x:v>C3</x:v>
      </x:c>
      <x:c r="B87" s="29" t="str">
        <x:v>SCA-11</x:v>
      </x:c>
      <x:c r="C87" s="41" t="n">
        <x:v>0</x:v>
      </x:c>
      <x:c r="D87" s="41" t="n">
        <x:v>54567175</x:v>
      </x:c>
      <x:c r="E87" s="44" t="n">
        <x:f>IF(D87=0,0,C87/D87)</x:f>
        <x:v>0</x:v>
      </x:c>
      <x:c r="F87" s="63" t="n">
        <x:f>E87*INDEX(Campaigns!E:E,MATCH(A87,Campaigns!A:A,0))</x:f>
        <x:v>0</x:v>
      </x:c>
      <x:c r="G87" s="29" t="str">
        <x:f>IF(F87&gt;=0,"PASS","FAIL")</x:f>
        <x:v>PASS</x:v>
      </x:c>
    </x:row>
    <x:row r="88" ht="15" hidden="0" customHeight="1">
      <x:c r="A88" s="27" t="str">
        <x:v>M1</x:v>
      </x:c>
      <x:c r="B88" s="27" t="str">
        <x:v>SCA-11</x:v>
      </x:c>
      <x:c r="C88" s="40" t="n">
        <x:v>0</x:v>
      </x:c>
      <x:c r="D88" s="40" t="n">
        <x:v>12274606</x:v>
      </x:c>
      <x:c r="E88" s="43" t="n">
        <x:f>IF(D88=0,0,C88/D88)</x:f>
        <x:v>0</x:v>
      </x:c>
      <x:c r="F88" s="62" t="n">
        <x:f>E88*INDEX(Campaigns!E:E,MATCH(A88,Campaigns!A:A,0))</x:f>
        <x:v>0</x:v>
      </x:c>
      <x:c r="G88" s="27" t="str">
        <x:f>IF(F88&gt;=0,"PASS","FAIL")</x:f>
        <x:v>PASS</x:v>
      </x:c>
    </x:row>
    <x:row r="89" ht="15" hidden="0" customHeight="1">
      <x:c r="A89" s="29" t="str">
        <x:v>M2</x:v>
      </x:c>
      <x:c r="B89" s="29" t="str">
        <x:v>SCA-11</x:v>
      </x:c>
      <x:c r="C89" s="41" t="n">
        <x:v>0</x:v>
      </x:c>
      <x:c r="D89" s="41" t="n">
        <x:v>36980573</x:v>
      </x:c>
      <x:c r="E89" s="44" t="n">
        <x:f>IF(D89=0,0,C89/D89)</x:f>
        <x:v>0</x:v>
      </x:c>
      <x:c r="F89" s="63" t="n">
        <x:f>E89*INDEX(Campaigns!E:E,MATCH(A89,Campaigns!A:A,0))</x:f>
        <x:v>0</x:v>
      </x:c>
      <x:c r="G89" s="29" t="str">
        <x:f>IF(F89&gt;=0,"PASS","FAIL")</x:f>
        <x:v>PASS</x:v>
      </x:c>
    </x:row>
    <x:row r="90" ht="15" hidden="0" customHeight="1">
      <x:c r="A90" s="27" t="str">
        <x:v>M3</x:v>
      </x:c>
      <x:c r="B90" s="27" t="str">
        <x:v>SCA-11</x:v>
      </x:c>
      <x:c r="C90" s="40" t="n">
        <x:v>0</x:v>
      </x:c>
      <x:c r="D90" s="40" t="n">
        <x:v>40804919</x:v>
      </x:c>
      <x:c r="E90" s="43" t="n">
        <x:f>IF(D90=0,0,C90/D90)</x:f>
        <x:v>0</x:v>
      </x:c>
      <x:c r="F90" s="62" t="n">
        <x:f>E90*INDEX(Campaigns!E:E,MATCH(A90,Campaigns!A:A,0))</x:f>
        <x:v>0</x:v>
      </x:c>
      <x:c r="G90" s="27" t="str">
        <x:f>IF(F90&gt;=0,"PASS","FAIL")</x:f>
        <x:v>PASS</x:v>
      </x:c>
    </x:row>
    <x:row r="91" ht="15" hidden="0" customHeight="1">
      <x:c r="A91" s="29" t="str">
        <x:v>M4</x:v>
      </x:c>
      <x:c r="B91" s="29" t="str">
        <x:v>SCA-11</x:v>
      </x:c>
      <x:c r="C91" s="41" t="n">
        <x:v>0</x:v>
      </x:c>
      <x:c r="D91" s="41" t="n">
        <x:v>60413615</x:v>
      </x:c>
      <x:c r="E91" s="44" t="n">
        <x:f>IF(D91=0,0,C91/D91)</x:f>
        <x:v>0</x:v>
      </x:c>
      <x:c r="F91" s="63" t="n">
        <x:f>E91*INDEX(Campaigns!E:E,MATCH(A91,Campaigns!A:A,0))</x:f>
        <x:v>0</x:v>
      </x:c>
      <x:c r="G91" s="29" t="str">
        <x:f>IF(F91&gt;=0,"PASS","FAIL")</x:f>
        <x:v>PASS</x:v>
      </x:c>
    </x:row>
    <x:row r="92" ht="15" hidden="0" customHeight="1">
      <x:c r="A92" s="27" t="str">
        <x:v>M5</x:v>
      </x:c>
      <x:c r="B92" s="27" t="str">
        <x:v>SCA-11</x:v>
      </x:c>
      <x:c r="C92" s="40" t="n">
        <x:v>3517787</x:v>
      </x:c>
      <x:c r="D92" s="40" t="n">
        <x:v>87635538</x:v>
      </x:c>
      <x:c r="E92" s="43" t="n">
        <x:f>IF(D92=0,0,C92/D92)</x:f>
        <x:v>0.04014110120485596</x:v>
      </x:c>
      <x:c r="F92" s="62" t="n">
        <x:f>E92*INDEX(Campaigns!E:E,MATCH(A92,Campaigns!A:A,0))</x:f>
        <x:v>8.02822024097119</x:v>
      </x:c>
      <x:c r="G92" s="27" t="str">
        <x:f>IF(F92&gt;=0,"PASS","FAIL")</x:f>
        <x:v>PASS</x:v>
      </x:c>
    </x:row>
    <x:row r="93" ht="15" hidden="0" customHeight="1">
      <x:c r="A93" s="29" t="str">
        <x:v>C1</x:v>
      </x:c>
      <x:c r="B93" s="29" t="str">
        <x:v>SCA-12</x:v>
      </x:c>
      <x:c r="C93" s="41" t="n">
        <x:v>0</x:v>
      </x:c>
      <x:c r="D93" s="41" t="n">
        <x:v>39355309</x:v>
      </x:c>
      <x:c r="E93" s="44" t="n">
        <x:f>IF(D93=0,0,C93/D93)</x:f>
        <x:v>0</x:v>
      </x:c>
      <x:c r="F93" s="63" t="n">
        <x:f>E93*INDEX(Campaigns!E:E,MATCH(A93,Campaigns!A:A,0))</x:f>
        <x:v>0</x:v>
      </x:c>
      <x:c r="G93" s="29" t="str">
        <x:f>IF(F93&gt;=0,"PASS","FAIL")</x:f>
        <x:v>PASS</x:v>
      </x:c>
    </x:row>
    <x:row r="94" ht="15" hidden="0" customHeight="1">
      <x:c r="A94" s="27" t="str">
        <x:v>C2</x:v>
      </x:c>
      <x:c r="B94" s="27" t="str">
        <x:v>SCA-12</x:v>
      </x:c>
      <x:c r="C94" s="40" t="n">
        <x:v>324297</x:v>
      </x:c>
      <x:c r="D94" s="40" t="n">
        <x:v>44475258</x:v>
      </x:c>
      <x:c r="E94" s="43" t="n">
        <x:f>IF(D94=0,0,C94/D94)</x:f>
        <x:v>0.007291627178419066</x:v>
      </x:c>
      <x:c r="F94" s="62" t="n">
        <x:f>E94*INDEX(Campaigns!E:E,MATCH(A94,Campaigns!A:A,0))</x:f>
        <x:v>3.645813589209533</x:v>
      </x:c>
      <x:c r="G94" s="27" t="str">
        <x:f>IF(F94&gt;=0,"PASS","FAIL")</x:f>
        <x:v>PASS</x:v>
      </x:c>
    </x:row>
    <x:row r="95" ht="15" hidden="0" customHeight="1">
      <x:c r="A95" s="29" t="str">
        <x:v>C3</x:v>
      </x:c>
      <x:c r="B95" s="29" t="str">
        <x:v>SCA-12</x:v>
      </x:c>
      <x:c r="C95" s="41" t="n">
        <x:v>0</x:v>
      </x:c>
      <x:c r="D95" s="41" t="n">
        <x:v>54567175</x:v>
      </x:c>
      <x:c r="E95" s="44" t="n">
        <x:f>IF(D95=0,0,C95/D95)</x:f>
        <x:v>0</x:v>
      </x:c>
      <x:c r="F95" s="63" t="n">
        <x:f>E95*INDEX(Campaigns!E:E,MATCH(A95,Campaigns!A:A,0))</x:f>
        <x:v>0</x:v>
      </x:c>
      <x:c r="G95" s="29" t="str">
        <x:f>IF(F95&gt;=0,"PASS","FAIL")</x:f>
        <x:v>PASS</x:v>
      </x:c>
    </x:row>
    <x:row r="96" ht="15" hidden="0" customHeight="1">
      <x:c r="A96" s="27" t="str">
        <x:v>M1</x:v>
      </x:c>
      <x:c r="B96" s="27" t="str">
        <x:v>SCA-12</x:v>
      </x:c>
      <x:c r="C96" s="40" t="n">
        <x:v>0</x:v>
      </x:c>
      <x:c r="D96" s="40" t="n">
        <x:v>12274606</x:v>
      </x:c>
      <x:c r="E96" s="43" t="n">
        <x:f>IF(D96=0,0,C96/D96)</x:f>
        <x:v>0</x:v>
      </x:c>
      <x:c r="F96" s="62" t="n">
        <x:f>E96*INDEX(Campaigns!E:E,MATCH(A96,Campaigns!A:A,0))</x:f>
        <x:v>0</x:v>
      </x:c>
      <x:c r="G96" s="27" t="str">
        <x:f>IF(F96&gt;=0,"PASS","FAIL")</x:f>
        <x:v>PASS</x:v>
      </x:c>
    </x:row>
    <x:row r="97" ht="15" hidden="0" customHeight="1">
      <x:c r="A97" s="29" t="str">
        <x:v>M2</x:v>
      </x:c>
      <x:c r="B97" s="29" t="str">
        <x:v>SCA-12</x:v>
      </x:c>
      <x:c r="C97" s="41" t="n">
        <x:v>0</x:v>
      </x:c>
      <x:c r="D97" s="41" t="n">
        <x:v>36980573</x:v>
      </x:c>
      <x:c r="E97" s="44" t="n">
        <x:f>IF(D97=0,0,C97/D97)</x:f>
        <x:v>0</x:v>
      </x:c>
      <x:c r="F97" s="63" t="n">
        <x:f>E97*INDEX(Campaigns!E:E,MATCH(A97,Campaigns!A:A,0))</x:f>
        <x:v>0</x:v>
      </x:c>
      <x:c r="G97" s="29" t="str">
        <x:f>IF(F97&gt;=0,"PASS","FAIL")</x:f>
        <x:v>PASS</x:v>
      </x:c>
    </x:row>
    <x:row r="98" ht="15" hidden="0" customHeight="1">
      <x:c r="A98" s="27" t="str">
        <x:v>M3</x:v>
      </x:c>
      <x:c r="B98" s="27" t="str">
        <x:v>SCA-12</x:v>
      </x:c>
      <x:c r="C98" s="40" t="n">
        <x:v>0</x:v>
      </x:c>
      <x:c r="D98" s="40" t="n">
        <x:v>40804919</x:v>
      </x:c>
      <x:c r="E98" s="43" t="n">
        <x:f>IF(D98=0,0,C98/D98)</x:f>
        <x:v>0</x:v>
      </x:c>
      <x:c r="F98" s="62" t="n">
        <x:f>E98*INDEX(Campaigns!E:E,MATCH(A98,Campaigns!A:A,0))</x:f>
        <x:v>0</x:v>
      </x:c>
      <x:c r="G98" s="27" t="str">
        <x:f>IF(F98&gt;=0,"PASS","FAIL")</x:f>
        <x:v>PASS</x:v>
      </x:c>
    </x:row>
    <x:row r="99" ht="15" hidden="0" customHeight="1">
      <x:c r="A99" s="29" t="str">
        <x:v>M4</x:v>
      </x:c>
      <x:c r="B99" s="29" t="str">
        <x:v>SCA-12</x:v>
      </x:c>
      <x:c r="C99" s="41" t="n">
        <x:v>0</x:v>
      </x:c>
      <x:c r="D99" s="41" t="n">
        <x:v>60413615</x:v>
      </x:c>
      <x:c r="E99" s="44" t="n">
        <x:f>IF(D99=0,0,C99/D99)</x:f>
        <x:v>0</x:v>
      </x:c>
      <x:c r="F99" s="63" t="n">
        <x:f>E99*INDEX(Campaigns!E:E,MATCH(A99,Campaigns!A:A,0))</x:f>
        <x:v>0</x:v>
      </x:c>
      <x:c r="G99" s="29" t="str">
        <x:f>IF(F99&gt;=0,"PASS","FAIL")</x:f>
        <x:v>PASS</x:v>
      </x:c>
    </x:row>
    <x:row r="100" ht="15" hidden="0" customHeight="1">
      <x:c r="A100" s="27" t="str">
        <x:v>M5</x:v>
      </x:c>
      <x:c r="B100" s="27" t="str">
        <x:v>SCA-12</x:v>
      </x:c>
      <x:c r="C100" s="40" t="n">
        <x:v>753415</x:v>
      </x:c>
      <x:c r="D100" s="40" t="n">
        <x:v>87635538</x:v>
      </x:c>
      <x:c r="E100" s="43" t="n">
        <x:f>IF(D100=0,0,C100/D100)</x:f>
        <x:v>0.00859714012367905</x:v>
      </x:c>
      <x:c r="F100" s="62" t="n">
        <x:f>E100*INDEX(Campaigns!E:E,MATCH(A100,Campaigns!A:A,0))</x:f>
        <x:v>1.7194280247358098</x:v>
      </x:c>
      <x:c r="G100" s="27" t="str">
        <x:f>IF(F100&gt;=0,"PASS","FAIL")</x:f>
        <x:v>PASS</x:v>
      </x:c>
    </x:row>
    <x:row r="101" ht="15" hidden="0" customHeight="1">
      <x:c r="A101" s="29" t="str">
        <x:v>C1</x:v>
      </x:c>
      <x:c r="B101" s="29" t="str">
        <x:v>SCA-13</x:v>
      </x:c>
      <x:c r="C101" s="41" t="n">
        <x:v>0</x:v>
      </x:c>
      <x:c r="D101" s="41" t="n">
        <x:v>39355309</x:v>
      </x:c>
      <x:c r="E101" s="44" t="n">
        <x:f>IF(D101=0,0,C101/D101)</x:f>
        <x:v>0</x:v>
      </x:c>
      <x:c r="F101" s="63" t="n">
        <x:f>E101*INDEX(Campaigns!E:E,MATCH(A101,Campaigns!A:A,0))</x:f>
        <x:v>0</x:v>
      </x:c>
      <x:c r="G101" s="29" t="str">
        <x:f>IF(F101&gt;=0,"PASS","FAIL")</x:f>
        <x:v>PASS</x:v>
      </x:c>
    </x:row>
    <x:row r="102" ht="15" hidden="0" customHeight="1">
      <x:c r="A102" s="27" t="str">
        <x:v>C2</x:v>
      </x:c>
      <x:c r="B102" s="27" t="str">
        <x:v>SCA-13</x:v>
      </x:c>
      <x:c r="C102" s="40" t="n">
        <x:v>6759014</x:v>
      </x:c>
      <x:c r="D102" s="40" t="n">
        <x:v>44475258</x:v>
      </x:c>
      <x:c r="E102" s="43" t="n">
        <x:f>IF(D102=0,0,C102/D102)</x:f>
        <x:v>0.15197245173934684</x:v>
      </x:c>
      <x:c r="F102" s="62" t="n">
        <x:f>E102*INDEX(Campaigns!E:E,MATCH(A102,Campaigns!A:A,0))</x:f>
        <x:v>75.98622586967342</x:v>
      </x:c>
      <x:c r="G102" s="27" t="str">
        <x:f>IF(F102&gt;=0,"PASS","FAIL")</x:f>
        <x:v>PASS</x:v>
      </x:c>
    </x:row>
    <x:row r="103" ht="15" hidden="0" customHeight="1">
      <x:c r="A103" s="29" t="str">
        <x:v>C3</x:v>
      </x:c>
      <x:c r="B103" s="29" t="str">
        <x:v>SCA-13</x:v>
      </x:c>
      <x:c r="C103" s="41" t="n">
        <x:v>0</x:v>
      </x:c>
      <x:c r="D103" s="41" t="n">
        <x:v>54567175</x:v>
      </x:c>
      <x:c r="E103" s="44" t="n">
        <x:f>IF(D103=0,0,C103/D103)</x:f>
        <x:v>0</x:v>
      </x:c>
      <x:c r="F103" s="63" t="n">
        <x:f>E103*INDEX(Campaigns!E:E,MATCH(A103,Campaigns!A:A,0))</x:f>
        <x:v>0</x:v>
      </x:c>
      <x:c r="G103" s="29" t="str">
        <x:f>IF(F103&gt;=0,"PASS","FAIL")</x:f>
        <x:v>PASS</x:v>
      </x:c>
    </x:row>
    <x:row r="104" ht="15" hidden="0" customHeight="1">
      <x:c r="A104" s="27" t="str">
        <x:v>M1</x:v>
      </x:c>
      <x:c r="B104" s="27" t="str">
        <x:v>SCA-13</x:v>
      </x:c>
      <x:c r="C104" s="40" t="n">
        <x:v>0</x:v>
      </x:c>
      <x:c r="D104" s="40" t="n">
        <x:v>12274606</x:v>
      </x:c>
      <x:c r="E104" s="43" t="n">
        <x:f>IF(D104=0,0,C104/D104)</x:f>
        <x:v>0</x:v>
      </x:c>
      <x:c r="F104" s="62" t="n">
        <x:f>E104*INDEX(Campaigns!E:E,MATCH(A104,Campaigns!A:A,0))</x:f>
        <x:v>0</x:v>
      </x:c>
      <x:c r="G104" s="27" t="str">
        <x:f>IF(F104&gt;=0,"PASS","FAIL")</x:f>
        <x:v>PASS</x:v>
      </x:c>
    </x:row>
    <x:row r="105" ht="15" hidden="0" customHeight="1">
      <x:c r="A105" s="29" t="str">
        <x:v>M2</x:v>
      </x:c>
      <x:c r="B105" s="29" t="str">
        <x:v>SCA-13</x:v>
      </x:c>
      <x:c r="C105" s="41" t="n">
        <x:v>0</x:v>
      </x:c>
      <x:c r="D105" s="41" t="n">
        <x:v>36980573</x:v>
      </x:c>
      <x:c r="E105" s="44" t="n">
        <x:f>IF(D105=0,0,C105/D105)</x:f>
        <x:v>0</x:v>
      </x:c>
      <x:c r="F105" s="63" t="n">
        <x:f>E105*INDEX(Campaigns!E:E,MATCH(A105,Campaigns!A:A,0))</x:f>
        <x:v>0</x:v>
      </x:c>
      <x:c r="G105" s="29" t="str">
        <x:f>IF(F105&gt;=0,"PASS","FAIL")</x:f>
        <x:v>PASS</x:v>
      </x:c>
    </x:row>
    <x:row r="106" ht="15" hidden="0" customHeight="1">
      <x:c r="A106" s="27" t="str">
        <x:v>M3</x:v>
      </x:c>
      <x:c r="B106" s="27" t="str">
        <x:v>SCA-13</x:v>
      </x:c>
      <x:c r="C106" s="40" t="n">
        <x:v>0</x:v>
      </x:c>
      <x:c r="D106" s="40" t="n">
        <x:v>40804919</x:v>
      </x:c>
      <x:c r="E106" s="43" t="n">
        <x:f>IF(D106=0,0,C106/D106)</x:f>
        <x:v>0</x:v>
      </x:c>
      <x:c r="F106" s="62" t="n">
        <x:f>E106*INDEX(Campaigns!E:E,MATCH(A106,Campaigns!A:A,0))</x:f>
        <x:v>0</x:v>
      </x:c>
      <x:c r="G106" s="27" t="str">
        <x:f>IF(F106&gt;=0,"PASS","FAIL")</x:f>
        <x:v>PASS</x:v>
      </x:c>
    </x:row>
    <x:row r="107" ht="15" hidden="0" customHeight="1">
      <x:c r="A107" s="29" t="str">
        <x:v>M4</x:v>
      </x:c>
      <x:c r="B107" s="29" t="str">
        <x:v>SCA-13</x:v>
      </x:c>
      <x:c r="C107" s="41" t="n">
        <x:v>0</x:v>
      </x:c>
      <x:c r="D107" s="41" t="n">
        <x:v>60413615</x:v>
      </x:c>
      <x:c r="E107" s="44" t="n">
        <x:f>IF(D107=0,0,C107/D107)</x:f>
        <x:v>0</x:v>
      </x:c>
      <x:c r="F107" s="63" t="n">
        <x:f>E107*INDEX(Campaigns!E:E,MATCH(A107,Campaigns!A:A,0))</x:f>
        <x:v>0</x:v>
      </x:c>
      <x:c r="G107" s="29" t="str">
        <x:f>IF(F107&gt;=0,"PASS","FAIL")</x:f>
        <x:v>PASS</x:v>
      </x:c>
    </x:row>
    <x:row r="108" ht="15" hidden="0" customHeight="1">
      <x:c r="A108" s="27" t="str">
        <x:v>M5</x:v>
      </x:c>
      <x:c r="B108" s="27" t="str">
        <x:v>SCA-13</x:v>
      </x:c>
      <x:c r="C108" s="40" t="n">
        <x:v>6759014</x:v>
      </x:c>
      <x:c r="D108" s="40" t="n">
        <x:v>87635538</x:v>
      </x:c>
      <x:c r="E108" s="43" t="n">
        <x:f>IF(D108=0,0,C108/D108)</x:f>
        <x:v>0.07712640504357947</x:v>
      </x:c>
      <x:c r="F108" s="62" t="n">
        <x:f>E108*INDEX(Campaigns!E:E,MATCH(A108,Campaigns!A:A,0))</x:f>
        <x:v>15.425281008715894</x:v>
      </x:c>
      <x:c r="G108" s="27" t="str">
        <x:f>IF(F108&gt;=0,"PASS","FAIL")</x:f>
        <x:v>PASS</x:v>
      </x:c>
    </x:row>
    <x:row r="109" ht="15" hidden="0" customHeight="1">
      <x:c r="A109" s="29" t="str">
        <x:v>C1</x:v>
      </x:c>
      <x:c r="B109" s="29" t="str">
        <x:v>SCA-14</x:v>
      </x:c>
      <x:c r="C109" s="41" t="n">
        <x:v>0</x:v>
      </x:c>
      <x:c r="D109" s="41" t="n">
        <x:v>39355309</x:v>
      </x:c>
      <x:c r="E109" s="44" t="n">
        <x:f>IF(D109=0,0,C109/D109)</x:f>
        <x:v>0</x:v>
      </x:c>
      <x:c r="F109" s="63" t="n">
        <x:f>E109*INDEX(Campaigns!E:E,MATCH(A109,Campaigns!A:A,0))</x:f>
        <x:v>0</x:v>
      </x:c>
      <x:c r="G109" s="29" t="str">
        <x:f>IF(F109&gt;=0,"PASS","FAIL")</x:f>
        <x:v>PASS</x:v>
      </x:c>
    </x:row>
    <x:row r="110" ht="15" hidden="0" customHeight="1">
      <x:c r="A110" s="27" t="str">
        <x:v>C2</x:v>
      </x:c>
      <x:c r="B110" s="27" t="str">
        <x:v>SCA-14</x:v>
      </x:c>
      <x:c r="C110" s="40" t="n">
        <x:v>2179728</x:v>
      </x:c>
      <x:c r="D110" s="40" t="n">
        <x:v>44475258</x:v>
      </x:c>
      <x:c r="E110" s="43" t="n">
        <x:f>IF(D110=0,0,C110/D110)</x:f>
        <x:v>0.04900990119045515</x:v>
      </x:c>
      <x:c r="F110" s="62" t="n">
        <x:f>E110*INDEX(Campaigns!E:E,MATCH(A110,Campaigns!A:A,0))</x:f>
        <x:v>24.504950595227577</x:v>
      </x:c>
      <x:c r="G110" s="27" t="str">
        <x:f>IF(F110&gt;=0,"PASS","FAIL")</x:f>
        <x:v>PASS</x:v>
      </x:c>
    </x:row>
    <x:row r="111" ht="15" hidden="0" customHeight="1">
      <x:c r="A111" s="29" t="str">
        <x:v>C3</x:v>
      </x:c>
      <x:c r="B111" s="29" t="str">
        <x:v>SCA-14</x:v>
      </x:c>
      <x:c r="C111" s="41" t="n">
        <x:v>0</x:v>
      </x:c>
      <x:c r="D111" s="41" t="n">
        <x:v>54567175</x:v>
      </x:c>
      <x:c r="E111" s="44" t="n">
        <x:f>IF(D111=0,0,C111/D111)</x:f>
        <x:v>0</x:v>
      </x:c>
      <x:c r="F111" s="63" t="n">
        <x:f>E111*INDEX(Campaigns!E:E,MATCH(A111,Campaigns!A:A,0))</x:f>
        <x:v>0</x:v>
      </x:c>
      <x:c r="G111" s="29" t="str">
        <x:f>IF(F111&gt;=0,"PASS","FAIL")</x:f>
        <x:v>PASS</x:v>
      </x:c>
    </x:row>
    <x:row r="112" ht="15" hidden="0" customHeight="1">
      <x:c r="A112" s="27" t="str">
        <x:v>M1</x:v>
      </x:c>
      <x:c r="B112" s="27" t="str">
        <x:v>SCA-14</x:v>
      </x:c>
      <x:c r="C112" s="40" t="n">
        <x:v>0</x:v>
      </x:c>
      <x:c r="D112" s="40" t="n">
        <x:v>12274606</x:v>
      </x:c>
      <x:c r="E112" s="43" t="n">
        <x:f>IF(D112=0,0,C112/D112)</x:f>
        <x:v>0</x:v>
      </x:c>
      <x:c r="F112" s="62" t="n">
        <x:f>E112*INDEX(Campaigns!E:E,MATCH(A112,Campaigns!A:A,0))</x:f>
        <x:v>0</x:v>
      </x:c>
      <x:c r="G112" s="27" t="str">
        <x:f>IF(F112&gt;=0,"PASS","FAIL")</x:f>
        <x:v>PASS</x:v>
      </x:c>
    </x:row>
    <x:row r="113" ht="15" hidden="0" customHeight="1">
      <x:c r="A113" s="29" t="str">
        <x:v>M2</x:v>
      </x:c>
      <x:c r="B113" s="29" t="str">
        <x:v>SCA-14</x:v>
      </x:c>
      <x:c r="C113" s="41" t="n">
        <x:v>0</x:v>
      </x:c>
      <x:c r="D113" s="41" t="n">
        <x:v>36980573</x:v>
      </x:c>
      <x:c r="E113" s="44" t="n">
        <x:f>IF(D113=0,0,C113/D113)</x:f>
        <x:v>0</x:v>
      </x:c>
      <x:c r="F113" s="63" t="n">
        <x:f>E113*INDEX(Campaigns!E:E,MATCH(A113,Campaigns!A:A,0))</x:f>
        <x:v>0</x:v>
      </x:c>
      <x:c r="G113" s="29" t="str">
        <x:f>IF(F113&gt;=0,"PASS","FAIL")</x:f>
        <x:v>PASS</x:v>
      </x:c>
    </x:row>
    <x:row r="114" ht="15" hidden="0" customHeight="1">
      <x:c r="A114" s="27" t="str">
        <x:v>M3</x:v>
      </x:c>
      <x:c r="B114" s="27" t="str">
        <x:v>SCA-14</x:v>
      </x:c>
      <x:c r="C114" s="40" t="n">
        <x:v>0</x:v>
      </x:c>
      <x:c r="D114" s="40" t="n">
        <x:v>40804919</x:v>
      </x:c>
      <x:c r="E114" s="43" t="n">
        <x:f>IF(D114=0,0,C114/D114)</x:f>
        <x:v>0</x:v>
      </x:c>
      <x:c r="F114" s="62" t="n">
        <x:f>E114*INDEX(Campaigns!E:E,MATCH(A114,Campaigns!A:A,0))</x:f>
        <x:v>0</x:v>
      </x:c>
      <x:c r="G114" s="27" t="str">
        <x:f>IF(F114&gt;=0,"PASS","FAIL")</x:f>
        <x:v>PASS</x:v>
      </x:c>
    </x:row>
    <x:row r="115" ht="15" hidden="0" customHeight="1">
      <x:c r="A115" s="29" t="str">
        <x:v>M4</x:v>
      </x:c>
      <x:c r="B115" s="29" t="str">
        <x:v>SCA-14</x:v>
      </x:c>
      <x:c r="C115" s="41" t="n">
        <x:v>0</x:v>
      </x:c>
      <x:c r="D115" s="41" t="n">
        <x:v>60413615</x:v>
      </x:c>
      <x:c r="E115" s="44" t="n">
        <x:f>IF(D115=0,0,C115/D115)</x:f>
        <x:v>0</x:v>
      </x:c>
      <x:c r="F115" s="63" t="n">
        <x:f>E115*INDEX(Campaigns!E:E,MATCH(A115,Campaigns!A:A,0))</x:f>
        <x:v>0</x:v>
      </x:c>
      <x:c r="G115" s="29" t="str">
        <x:f>IF(F115&gt;=0,"PASS","FAIL")</x:f>
        <x:v>PASS</x:v>
      </x:c>
    </x:row>
    <x:row r="116" ht="15" hidden="0" customHeight="1">
      <x:c r="A116" s="27" t="str">
        <x:v>M5</x:v>
      </x:c>
      <x:c r="B116" s="27" t="str">
        <x:v>SCA-14</x:v>
      </x:c>
      <x:c r="C116" s="40" t="n">
        <x:v>2179728</x:v>
      </x:c>
      <x:c r="D116" s="40" t="n">
        <x:v>87635538</x:v>
      </x:c>
      <x:c r="E116" s="43" t="n">
        <x:f>IF(D116=0,0,C116/D116)</x:f>
        <x:v>0.024872649267013117</x:v>
      </x:c>
      <x:c r="F116" s="62" t="n">
        <x:f>E116*INDEX(Campaigns!E:E,MATCH(A116,Campaigns!A:A,0))</x:f>
        <x:v>4.974529853402624</x:v>
      </x:c>
      <x:c r="G116" s="27" t="str">
        <x:f>IF(F116&gt;=0,"PASS","FAIL")</x:f>
        <x:v>PASS</x:v>
      </x:c>
    </x:row>
    <x:row r="117" ht="15" hidden="0" customHeight="1">
      <x:c r="A117" s="29" t="str">
        <x:v>C1</x:v>
      </x:c>
      <x:c r="B117" s="29" t="str">
        <x:v>SCA-15</x:v>
      </x:c>
      <x:c r="C117" s="41" t="n">
        <x:v>0</x:v>
      </x:c>
      <x:c r="D117" s="41" t="n">
        <x:v>39355309</x:v>
      </x:c>
      <x:c r="E117" s="44" t="n">
        <x:f>IF(D117=0,0,C117/D117)</x:f>
        <x:v>0</x:v>
      </x:c>
      <x:c r="F117" s="63" t="n">
        <x:f>E117*INDEX(Campaigns!E:E,MATCH(A117,Campaigns!A:A,0))</x:f>
        <x:v>0</x:v>
      </x:c>
      <x:c r="G117" s="29" t="str">
        <x:f>IF(F117&gt;=0,"PASS","FAIL")</x:f>
        <x:v>PASS</x:v>
      </x:c>
    </x:row>
    <x:row r="118" ht="15" hidden="0" customHeight="1">
      <x:c r="A118" s="27" t="str">
        <x:v>C2</x:v>
      </x:c>
      <x:c r="B118" s="27" t="str">
        <x:v>SCA-15</x:v>
      </x:c>
      <x:c r="C118" s="40" t="n">
        <x:v>11709009</x:v>
      </x:c>
      <x:c r="D118" s="40" t="n">
        <x:v>44475258</x:v>
      </x:c>
      <x:c r="E118" s="43" t="n">
        <x:f>IF(D118=0,0,C118/D118)</x:f>
        <x:v>0.26327017597064867</x:v>
      </x:c>
      <x:c r="F118" s="62" t="n">
        <x:f>E118*INDEX(Campaigns!E:E,MATCH(A118,Campaigns!A:A,0))</x:f>
        <x:v>131.63508798532433</x:v>
      </x:c>
      <x:c r="G118" s="27" t="str">
        <x:f>IF(F118&gt;=0,"PASS","FAIL")</x:f>
        <x:v>PASS</x:v>
      </x:c>
    </x:row>
    <x:row r="119" ht="15" hidden="0" customHeight="1">
      <x:c r="A119" s="29" t="str">
        <x:v>C3</x:v>
      </x:c>
      <x:c r="B119" s="29" t="str">
        <x:v>SCA-15</x:v>
      </x:c>
      <x:c r="C119" s="41" t="n">
        <x:v>0</x:v>
      </x:c>
      <x:c r="D119" s="41" t="n">
        <x:v>54567175</x:v>
      </x:c>
      <x:c r="E119" s="44" t="n">
        <x:f>IF(D119=0,0,C119/D119)</x:f>
        <x:v>0</x:v>
      </x:c>
      <x:c r="F119" s="63" t="n">
        <x:f>E119*INDEX(Campaigns!E:E,MATCH(A119,Campaigns!A:A,0))</x:f>
        <x:v>0</x:v>
      </x:c>
      <x:c r="G119" s="29" t="str">
        <x:f>IF(F119&gt;=0,"PASS","FAIL")</x:f>
        <x:v>PASS</x:v>
      </x:c>
    </x:row>
    <x:row r="120" ht="15" hidden="0" customHeight="1">
      <x:c r="A120" s="27" t="str">
        <x:v>M1</x:v>
      </x:c>
      <x:c r="B120" s="27" t="str">
        <x:v>SCA-15</x:v>
      </x:c>
      <x:c r="C120" s="40" t="n">
        <x:v>0</x:v>
      </x:c>
      <x:c r="D120" s="40" t="n">
        <x:v>12274606</x:v>
      </x:c>
      <x:c r="E120" s="43" t="n">
        <x:f>IF(D120=0,0,C120/D120)</x:f>
        <x:v>0</x:v>
      </x:c>
      <x:c r="F120" s="62" t="n">
        <x:f>E120*INDEX(Campaigns!E:E,MATCH(A120,Campaigns!A:A,0))</x:f>
        <x:v>0</x:v>
      </x:c>
      <x:c r="G120" s="27" t="str">
        <x:f>IF(F120&gt;=0,"PASS","FAIL")</x:f>
        <x:v>PASS</x:v>
      </x:c>
    </x:row>
    <x:row r="121" ht="15" hidden="0" customHeight="1">
      <x:c r="A121" s="29" t="str">
        <x:v>M2</x:v>
      </x:c>
      <x:c r="B121" s="29" t="str">
        <x:v>SCA-15</x:v>
      </x:c>
      <x:c r="C121" s="41" t="n">
        <x:v>307044</x:v>
      </x:c>
      <x:c r="D121" s="41" t="n">
        <x:v>36980573</x:v>
      </x:c>
      <x:c r="E121" s="44" t="n">
        <x:f>IF(D121=0,0,C121/D121)</x:f>
        <x:v>0.008302845929401906</x:v>
      </x:c>
      <x:c r="F121" s="63" t="n">
        <x:f>E121*INDEX(Campaigns!E:E,MATCH(A121,Campaigns!A:A,0))</x:f>
        <x:v>1.660569185880381</x:v>
      </x:c>
      <x:c r="G121" s="29" t="str">
        <x:f>IF(F121&gt;=0,"PASS","FAIL")</x:f>
        <x:v>PASS</x:v>
      </x:c>
    </x:row>
    <x:row r="122" ht="15" hidden="0" customHeight="1">
      <x:c r="A122" s="27" t="str">
        <x:v>M3</x:v>
      </x:c>
      <x:c r="B122" s="27" t="str">
        <x:v>SCA-15</x:v>
      </x:c>
      <x:c r="C122" s="40" t="n">
        <x:v>0</x:v>
      </x:c>
      <x:c r="D122" s="40" t="n">
        <x:v>40804919</x:v>
      </x:c>
      <x:c r="E122" s="43" t="n">
        <x:f>IF(D122=0,0,C122/D122)</x:f>
        <x:v>0</x:v>
      </x:c>
      <x:c r="F122" s="62" t="n">
        <x:f>E122*INDEX(Campaigns!E:E,MATCH(A122,Campaigns!A:A,0))</x:f>
        <x:v>0</x:v>
      </x:c>
      <x:c r="G122" s="27" t="str">
        <x:f>IF(F122&gt;=0,"PASS","FAIL")</x:f>
        <x:v>PASS</x:v>
      </x:c>
    </x:row>
    <x:row r="123" ht="15" hidden="0" customHeight="1">
      <x:c r="A123" s="29" t="str">
        <x:v>M4</x:v>
      </x:c>
      <x:c r="B123" s="29" t="str">
        <x:v>SCA-15</x:v>
      </x:c>
      <x:c r="C123" s="41" t="n">
        <x:v>0</x:v>
      </x:c>
      <x:c r="D123" s="41" t="n">
        <x:v>60413615</x:v>
      </x:c>
      <x:c r="E123" s="44" t="n">
        <x:f>IF(D123=0,0,C123/D123)</x:f>
        <x:v>0</x:v>
      </x:c>
      <x:c r="F123" s="63" t="n">
        <x:f>E123*INDEX(Campaigns!E:E,MATCH(A123,Campaigns!A:A,0))</x:f>
        <x:v>0</x:v>
      </x:c>
      <x:c r="G123" s="29" t="str">
        <x:f>IF(F123&gt;=0,"PASS","FAIL")</x:f>
        <x:v>PASS</x:v>
      </x:c>
    </x:row>
    <x:row r="124" ht="15" hidden="0" customHeight="1">
      <x:c r="A124" s="27" t="str">
        <x:v>M5</x:v>
      </x:c>
      <x:c r="B124" s="27" t="str">
        <x:v>SCA-15</x:v>
      </x:c>
      <x:c r="C124" s="40" t="n">
        <x:v>11209439</x:v>
      </x:c>
      <x:c r="D124" s="40" t="n">
        <x:v>87635538</x:v>
      </x:c>
      <x:c r="E124" s="43" t="n">
        <x:f>IF(D124=0,0,C124/D124)</x:f>
        <x:v>0.12790974136542643</x:v>
      </x:c>
      <x:c r="F124" s="62" t="n">
        <x:f>E124*INDEX(Campaigns!E:E,MATCH(A124,Campaigns!A:A,0))</x:f>
        <x:v>25.58194827308529</x:v>
      </x:c>
      <x:c r="G124" s="27" t="str">
        <x:f>IF(F124&gt;=0,"PASS","FAIL")</x:f>
        <x:v>PASS</x:v>
      </x:c>
    </x:row>
    <x:row r="125" ht="15" hidden="0" customHeight="1">
      <x:c r="A125" s="29" t="str">
        <x:v>C1</x:v>
      </x:c>
      <x:c r="B125" s="29" t="str">
        <x:v>SCA-16</x:v>
      </x:c>
      <x:c r="C125" s="41" t="n">
        <x:v>0</x:v>
      </x:c>
      <x:c r="D125" s="41" t="n">
        <x:v>39355309</x:v>
      </x:c>
      <x:c r="E125" s="44" t="n">
        <x:f>IF(D125=0,0,C125/D125)</x:f>
        <x:v>0</x:v>
      </x:c>
      <x:c r="F125" s="63" t="n">
        <x:f>E125*INDEX(Campaigns!E:E,MATCH(A125,Campaigns!A:A,0))</x:f>
        <x:v>0</x:v>
      </x:c>
      <x:c r="G125" s="29" t="str">
        <x:f>IF(F125&gt;=0,"PASS","FAIL")</x:f>
        <x:v>PASS</x:v>
      </x:c>
    </x:row>
    <x:row r="126" ht="15" hidden="0" customHeight="1">
      <x:c r="A126" s="27" t="str">
        <x:v>C2</x:v>
      </x:c>
      <x:c r="B126" s="27" t="str">
        <x:v>SCA-16</x:v>
      </x:c>
      <x:c r="C126" s="40" t="n">
        <x:v>79806</x:v>
      </x:c>
      <x:c r="D126" s="40" t="n">
        <x:v>44475258</x:v>
      </x:c>
      <x:c r="E126" s="43" t="n">
        <x:f>IF(D126=0,0,C126/D126)</x:f>
        <x:v>0.0017943909397894892</x:v>
      </x:c>
      <x:c r="F126" s="62" t="n">
        <x:f>E126*INDEX(Campaigns!E:E,MATCH(A126,Campaigns!A:A,0))</x:f>
        <x:v>0.8971954698947446</x:v>
      </x:c>
      <x:c r="G126" s="27" t="str">
        <x:f>IF(F126&gt;=0,"PASS","FAIL")</x:f>
        <x:v>PASS</x:v>
      </x:c>
    </x:row>
    <x:row r="127" ht="15" hidden="0" customHeight="1">
      <x:c r="A127" s="29" t="str">
        <x:v>C3</x:v>
      </x:c>
      <x:c r="B127" s="29" t="str">
        <x:v>SCA-16</x:v>
      </x:c>
      <x:c r="C127" s="41" t="n">
        <x:v>0</x:v>
      </x:c>
      <x:c r="D127" s="41" t="n">
        <x:v>54567175</x:v>
      </x:c>
      <x:c r="E127" s="44" t="n">
        <x:f>IF(D127=0,0,C127/D127)</x:f>
        <x:v>0</x:v>
      </x:c>
      <x:c r="F127" s="63" t="n">
        <x:f>E127*INDEX(Campaigns!E:E,MATCH(A127,Campaigns!A:A,0))</x:f>
        <x:v>0</x:v>
      </x:c>
      <x:c r="G127" s="29" t="str">
        <x:f>IF(F127&gt;=0,"PASS","FAIL")</x:f>
        <x:v>PASS</x:v>
      </x:c>
    </x:row>
    <x:row r="128" ht="15" hidden="0" customHeight="1">
      <x:c r="A128" s="27" t="str">
        <x:v>M1</x:v>
      </x:c>
      <x:c r="B128" s="27" t="str">
        <x:v>SCA-16</x:v>
      </x:c>
      <x:c r="C128" s="40" t="n">
        <x:v>0</x:v>
      </x:c>
      <x:c r="D128" s="40" t="n">
        <x:v>12274606</x:v>
      </x:c>
      <x:c r="E128" s="43" t="n">
        <x:f>IF(D128=0,0,C128/D128)</x:f>
        <x:v>0</x:v>
      </x:c>
      <x:c r="F128" s="62" t="n">
        <x:f>E128*INDEX(Campaigns!E:E,MATCH(A128,Campaigns!A:A,0))</x:f>
        <x:v>0</x:v>
      </x:c>
      <x:c r="G128" s="27" t="str">
        <x:f>IF(F128&gt;=0,"PASS","FAIL")</x:f>
        <x:v>PASS</x:v>
      </x:c>
    </x:row>
    <x:row r="129" ht="15" hidden="0" customHeight="1">
      <x:c r="A129" s="29" t="str">
        <x:v>M2</x:v>
      </x:c>
      <x:c r="B129" s="29" t="str">
        <x:v>SCA-16</x:v>
      </x:c>
      <x:c r="C129" s="41" t="n">
        <x:v>2407929</x:v>
      </x:c>
      <x:c r="D129" s="41" t="n">
        <x:v>36980573</x:v>
      </x:c>
      <x:c r="E129" s="44" t="n">
        <x:f>IF(D129=0,0,C129/D129)</x:f>
        <x:v>0.0651133501906528</x:v>
      </x:c>
      <x:c r="F129" s="63" t="n">
        <x:f>E129*INDEX(Campaigns!E:E,MATCH(A129,Campaigns!A:A,0))</x:f>
        <x:v>13.02267003813056</x:v>
      </x:c>
      <x:c r="G129" s="29" t="str">
        <x:f>IF(F129&gt;=0,"PASS","FAIL")</x:f>
        <x:v>PASS</x:v>
      </x:c>
    </x:row>
    <x:row r="130" ht="15" hidden="0" customHeight="1">
      <x:c r="A130" s="27" t="str">
        <x:v>M3</x:v>
      </x:c>
      <x:c r="B130" s="27" t="str">
        <x:v>SCA-16</x:v>
      </x:c>
      <x:c r="C130" s="40" t="n">
        <x:v>0</x:v>
      </x:c>
      <x:c r="D130" s="40" t="n">
        <x:v>40804919</x:v>
      </x:c>
      <x:c r="E130" s="43" t="n">
        <x:f>IF(D130=0,0,C130/D130)</x:f>
        <x:v>0</x:v>
      </x:c>
      <x:c r="F130" s="62" t="n">
        <x:f>E130*INDEX(Campaigns!E:E,MATCH(A130,Campaigns!A:A,0))</x:f>
        <x:v>0</x:v>
      </x:c>
      <x:c r="G130" s="27" t="str">
        <x:f>IF(F130&gt;=0,"PASS","FAIL")</x:f>
        <x:v>PASS</x:v>
      </x:c>
    </x:row>
    <x:row r="131" ht="15" hidden="0" customHeight="1">
      <x:c r="A131" s="29" t="str">
        <x:v>M4</x:v>
      </x:c>
      <x:c r="B131" s="29" t="str">
        <x:v>SCA-16</x:v>
      </x:c>
      <x:c r="C131" s="41" t="n">
        <x:v>0</x:v>
      </x:c>
      <x:c r="D131" s="41" t="n">
        <x:v>60413615</x:v>
      </x:c>
      <x:c r="E131" s="44" t="n">
        <x:f>IF(D131=0,0,C131/D131)</x:f>
        <x:v>0</x:v>
      </x:c>
      <x:c r="F131" s="63" t="n">
        <x:f>E131*INDEX(Campaigns!E:E,MATCH(A131,Campaigns!A:A,0))</x:f>
        <x:v>0</x:v>
      </x:c>
      <x:c r="G131" s="29" t="str">
        <x:f>IF(F131&gt;=0,"PASS","FAIL")</x:f>
        <x:v>PASS</x:v>
      </x:c>
    </x:row>
    <x:row r="132" ht="15" hidden="0" customHeight="1">
      <x:c r="A132" s="27" t="str">
        <x:v>M5</x:v>
      </x:c>
      <x:c r="B132" s="27" t="str">
        <x:v>SCA-16</x:v>
      </x:c>
      <x:c r="C132" s="40" t="n">
        <x:v>79806</x:v>
      </x:c>
      <x:c r="D132" s="40" t="n">
        <x:v>87635538</x:v>
      </x:c>
      <x:c r="E132" s="43" t="n">
        <x:f>IF(D132=0,0,C132/D132)</x:f>
        <x:v>0.0009106579570493423</x:v>
      </x:c>
      <x:c r="F132" s="62" t="n">
        <x:f>E132*INDEX(Campaigns!E:E,MATCH(A132,Campaigns!A:A,0))</x:f>
        <x:v>0.18213159140986845</x:v>
      </x:c>
      <x:c r="G132" s="27" t="str">
        <x:f>IF(F132&gt;=0,"PASS","FAIL")</x:f>
        <x:v>PASS</x:v>
      </x:c>
    </x:row>
    <x:row r="133" ht="15" hidden="0" customHeight="1">
      <x:c r="A133" s="29" t="str">
        <x:v>C1</x:v>
      </x:c>
      <x:c r="B133" s="29" t="str">
        <x:v>SCA-17</x:v>
      </x:c>
      <x:c r="C133" s="41" t="n">
        <x:v>0</x:v>
      </x:c>
      <x:c r="D133" s="41" t="n">
        <x:v>39355309</x:v>
      </x:c>
      <x:c r="E133" s="44" t="n">
        <x:f>IF(D133=0,0,C133/D133)</x:f>
        <x:v>0</x:v>
      </x:c>
      <x:c r="F133" s="63" t="n">
        <x:f>E133*INDEX(Campaigns!E:E,MATCH(A133,Campaigns!A:A,0))</x:f>
        <x:v>0</x:v>
      </x:c>
      <x:c r="G133" s="29" t="str">
        <x:f>IF(F133&gt;=0,"PASS","FAIL")</x:f>
        <x:v>PASS</x:v>
      </x:c>
    </x:row>
    <x:row r="134" ht="15" hidden="0" customHeight="1">
      <x:c r="A134" s="27" t="str">
        <x:v>C2</x:v>
      </x:c>
      <x:c r="B134" s="27" t="str">
        <x:v>SCA-17</x:v>
      </x:c>
      <x:c r="C134" s="40" t="n">
        <x:v>12843509</x:v>
      </x:c>
      <x:c r="D134" s="40" t="n">
        <x:v>44475258</x:v>
      </x:c>
      <x:c r="E134" s="43" t="n">
        <x:f>IF(D134=0,0,C134/D134)</x:f>
        <x:v>0.28877874075514076</x:v>
      </x:c>
      <x:c r="F134" s="62" t="n">
        <x:f>E134*INDEX(Campaigns!E:E,MATCH(A134,Campaigns!A:A,0))</x:f>
        <x:v>144.38937037757037</x:v>
      </x:c>
      <x:c r="G134" s="27" t="str">
        <x:f>IF(F134&gt;=0,"PASS","FAIL")</x:f>
        <x:v>PASS</x:v>
      </x:c>
    </x:row>
    <x:row r="135" ht="15" hidden="0" customHeight="1">
      <x:c r="A135" s="29" t="str">
        <x:v>C3</x:v>
      </x:c>
      <x:c r="B135" s="29" t="str">
        <x:v>SCA-17</x:v>
      </x:c>
      <x:c r="C135" s="41" t="n">
        <x:v>0</x:v>
      </x:c>
      <x:c r="D135" s="41" t="n">
        <x:v>54567175</x:v>
      </x:c>
      <x:c r="E135" s="44" t="n">
        <x:f>IF(D135=0,0,C135/D135)</x:f>
        <x:v>0</x:v>
      </x:c>
      <x:c r="F135" s="63" t="n">
        <x:f>E135*INDEX(Campaigns!E:E,MATCH(A135,Campaigns!A:A,0))</x:f>
        <x:v>0</x:v>
      </x:c>
      <x:c r="G135" s="29" t="str">
        <x:f>IF(F135&gt;=0,"PASS","FAIL")</x:f>
        <x:v>PASS</x:v>
      </x:c>
    </x:row>
    <x:row r="136" ht="15" hidden="0" customHeight="1">
      <x:c r="A136" s="27" t="str">
        <x:v>M1</x:v>
      </x:c>
      <x:c r="B136" s="27" t="str">
        <x:v>SCA-17</x:v>
      </x:c>
      <x:c r="C136" s="40" t="n">
        <x:v>0</x:v>
      </x:c>
      <x:c r="D136" s="40" t="n">
        <x:v>12274606</x:v>
      </x:c>
      <x:c r="E136" s="43" t="n">
        <x:f>IF(D136=0,0,C136/D136)</x:f>
        <x:v>0</x:v>
      </x:c>
      <x:c r="F136" s="62" t="n">
        <x:f>E136*INDEX(Campaigns!E:E,MATCH(A136,Campaigns!A:A,0))</x:f>
        <x:v>0</x:v>
      </x:c>
      <x:c r="G136" s="27" t="str">
        <x:f>IF(F136&gt;=0,"PASS","FAIL")</x:f>
        <x:v>PASS</x:v>
      </x:c>
    </x:row>
    <x:row r="137" ht="15" hidden="0" customHeight="1">
      <x:c r="A137" s="29" t="str">
        <x:v>M2</x:v>
      </x:c>
      <x:c r="B137" s="29" t="str">
        <x:v>SCA-17</x:v>
      </x:c>
      <x:c r="C137" s="41" t="n">
        <x:v>37643</x:v>
      </x:c>
      <x:c r="D137" s="41" t="n">
        <x:v>36980573</x:v>
      </x:c>
      <x:c r="E137" s="44" t="n">
        <x:f>IF(D137=0,0,C137/D137)</x:f>
        <x:v>0.0010179128376404552</x:v>
      </x:c>
      <x:c r="F137" s="63" t="n">
        <x:f>E137*INDEX(Campaigns!E:E,MATCH(A137,Campaigns!A:A,0))</x:f>
        <x:v>0.20358256752809104</x:v>
      </x:c>
      <x:c r="G137" s="29" t="str">
        <x:f>IF(F137&gt;=0,"PASS","FAIL")</x:f>
        <x:v>PASS</x:v>
      </x:c>
    </x:row>
    <x:row r="138" ht="15" hidden="0" customHeight="1">
      <x:c r="A138" s="27" t="str">
        <x:v>M3</x:v>
      </x:c>
      <x:c r="B138" s="27" t="str">
        <x:v>SCA-17</x:v>
      </x:c>
      <x:c r="C138" s="40" t="n">
        <x:v>0</x:v>
      </x:c>
      <x:c r="D138" s="40" t="n">
        <x:v>40804919</x:v>
      </x:c>
      <x:c r="E138" s="43" t="n">
        <x:f>IF(D138=0,0,C138/D138)</x:f>
        <x:v>0</x:v>
      </x:c>
      <x:c r="F138" s="62" t="n">
        <x:f>E138*INDEX(Campaigns!E:E,MATCH(A138,Campaigns!A:A,0))</x:f>
        <x:v>0</x:v>
      </x:c>
      <x:c r="G138" s="27" t="str">
        <x:f>IF(F138&gt;=0,"PASS","FAIL")</x:f>
        <x:v>PASS</x:v>
      </x:c>
    </x:row>
    <x:row r="139" ht="15" hidden="0" customHeight="1">
      <x:c r="A139" s="29" t="str">
        <x:v>M4</x:v>
      </x:c>
      <x:c r="B139" s="29" t="str">
        <x:v>SCA-17</x:v>
      </x:c>
      <x:c r="C139" s="41" t="n">
        <x:v>0</x:v>
      </x:c>
      <x:c r="D139" s="41" t="n">
        <x:v>60413615</x:v>
      </x:c>
      <x:c r="E139" s="44" t="n">
        <x:f>IF(D139=0,0,C139/D139)</x:f>
        <x:v>0</x:v>
      </x:c>
      <x:c r="F139" s="63" t="n">
        <x:f>E139*INDEX(Campaigns!E:E,MATCH(A139,Campaigns!A:A,0))</x:f>
        <x:v>0</x:v>
      </x:c>
      <x:c r="G139" s="29" t="str">
        <x:f>IF(F139&gt;=0,"PASS","FAIL")</x:f>
        <x:v>PASS</x:v>
      </x:c>
    </x:row>
    <x:row r="140" ht="15" hidden="0" customHeight="1">
      <x:c r="A140" s="27" t="str">
        <x:v>M5</x:v>
      </x:c>
      <x:c r="B140" s="27" t="str">
        <x:v>SCA-17</x:v>
      </x:c>
      <x:c r="C140" s="40" t="n">
        <x:v>9336130</x:v>
      </x:c>
      <x:c r="D140" s="40" t="n">
        <x:v>87635538</x:v>
      </x:c>
      <x:c r="E140" s="43" t="n">
        <x:f>IF(D140=0,0,C140/D140)</x:f>
        <x:v>0.10653360740479507</x:v>
      </x:c>
      <x:c r="F140" s="62" t="n">
        <x:f>E140*INDEX(Campaigns!E:E,MATCH(A140,Campaigns!A:A,0))</x:f>
        <x:v>21.306721480959016</x:v>
      </x:c>
      <x:c r="G140" s="27" t="str">
        <x:f>IF(F140&gt;=0,"PASS","FAIL")</x:f>
        <x:v>PASS</x:v>
      </x:c>
    </x:row>
    <x:row r="141" ht="15" hidden="0" customHeight="1">
      <x:c r="A141" s="29" t="str">
        <x:v>C1</x:v>
      </x:c>
      <x:c r="B141" s="29" t="str">
        <x:v>SCA-18</x:v>
      </x:c>
      <x:c r="C141" s="41" t="n">
        <x:v>0</x:v>
      </x:c>
      <x:c r="D141" s="41" t="n">
        <x:v>39355309</x:v>
      </x:c>
      <x:c r="E141" s="44" t="n">
        <x:f>IF(D141=0,0,C141/D141)</x:f>
        <x:v>0</x:v>
      </x:c>
      <x:c r="F141" s="63" t="n">
        <x:f>E141*INDEX(Campaigns!E:E,MATCH(A141,Campaigns!A:A,0))</x:f>
        <x:v>0</x:v>
      </x:c>
      <x:c r="G141" s="29" t="str">
        <x:f>IF(F141&gt;=0,"PASS","FAIL")</x:f>
        <x:v>PASS</x:v>
      </x:c>
    </x:row>
    <x:row r="142" ht="15" hidden="0" customHeight="1">
      <x:c r="A142" s="27" t="str">
        <x:v>C2</x:v>
      </x:c>
      <x:c r="B142" s="27" t="str">
        <x:v>SCA-18</x:v>
      </x:c>
      <x:c r="C142" s="40" t="n">
        <x:v>0</x:v>
      </x:c>
      <x:c r="D142" s="40" t="n">
        <x:v>44475258</x:v>
      </x:c>
      <x:c r="E142" s="43" t="n">
        <x:f>IF(D142=0,0,C142/D142)</x:f>
        <x:v>0</x:v>
      </x:c>
      <x:c r="F142" s="62" t="n">
        <x:f>E142*INDEX(Campaigns!E:E,MATCH(A142,Campaigns!A:A,0))</x:f>
        <x:v>0</x:v>
      </x:c>
      <x:c r="G142" s="27" t="str">
        <x:f>IF(F142&gt;=0,"PASS","FAIL")</x:f>
        <x:v>PASS</x:v>
      </x:c>
    </x:row>
    <x:row r="143" ht="15" hidden="0" customHeight="1">
      <x:c r="A143" s="29" t="str">
        <x:v>C3</x:v>
      </x:c>
      <x:c r="B143" s="29" t="str">
        <x:v>SCA-18</x:v>
      </x:c>
      <x:c r="C143" s="41" t="n">
        <x:v>0</x:v>
      </x:c>
      <x:c r="D143" s="41" t="n">
        <x:v>54567175</x:v>
      </x:c>
      <x:c r="E143" s="44" t="n">
        <x:f>IF(D143=0,0,C143/D143)</x:f>
        <x:v>0</x:v>
      </x:c>
      <x:c r="F143" s="63" t="n">
        <x:f>E143*INDEX(Campaigns!E:E,MATCH(A143,Campaigns!A:A,0))</x:f>
        <x:v>0</x:v>
      </x:c>
      <x:c r="G143" s="29" t="str">
        <x:f>IF(F143&gt;=0,"PASS","FAIL")</x:f>
        <x:v>PASS</x:v>
      </x:c>
    </x:row>
    <x:row r="144" ht="15" hidden="0" customHeight="1">
      <x:c r="A144" s="27" t="str">
        <x:v>M1</x:v>
      </x:c>
      <x:c r="B144" s="27" t="str">
        <x:v>SCA-18</x:v>
      </x:c>
      <x:c r="C144" s="40" t="n">
        <x:v>0</x:v>
      </x:c>
      <x:c r="D144" s="40" t="n">
        <x:v>12274606</x:v>
      </x:c>
      <x:c r="E144" s="43" t="n">
        <x:f>IF(D144=0,0,C144/D144)</x:f>
        <x:v>0</x:v>
      </x:c>
      <x:c r="F144" s="62" t="n">
        <x:f>E144*INDEX(Campaigns!E:E,MATCH(A144,Campaigns!A:A,0))</x:f>
        <x:v>0</x:v>
      </x:c>
      <x:c r="G144" s="27" t="str">
        <x:f>IF(F144&gt;=0,"PASS","FAIL")</x:f>
        <x:v>PASS</x:v>
      </x:c>
    </x:row>
    <x:row r="145" ht="15" hidden="0" customHeight="1">
      <x:c r="A145" s="29" t="str">
        <x:v>M2</x:v>
      </x:c>
      <x:c r="B145" s="29" t="str">
        <x:v>SCA-18</x:v>
      </x:c>
      <x:c r="C145" s="41" t="n">
        <x:v>0</x:v>
      </x:c>
      <x:c r="D145" s="41" t="n">
        <x:v>36980573</x:v>
      </x:c>
      <x:c r="E145" s="44" t="n">
        <x:f>IF(D145=0,0,C145/D145)</x:f>
        <x:v>0</x:v>
      </x:c>
      <x:c r="F145" s="63" t="n">
        <x:f>E145*INDEX(Campaigns!E:E,MATCH(A145,Campaigns!A:A,0))</x:f>
        <x:v>0</x:v>
      </x:c>
      <x:c r="G145" s="29" t="str">
        <x:f>IF(F145&gt;=0,"PASS","FAIL")</x:f>
        <x:v>PASS</x:v>
      </x:c>
    </x:row>
    <x:row r="146" ht="15" hidden="0" customHeight="1">
      <x:c r="A146" s="27" t="str">
        <x:v>M3</x:v>
      </x:c>
      <x:c r="B146" s="27" t="str">
        <x:v>SCA-18</x:v>
      </x:c>
      <x:c r="C146" s="40" t="n">
        <x:v>7379550</x:v>
      </x:c>
      <x:c r="D146" s="40" t="n">
        <x:v>40804919</x:v>
      </x:c>
      <x:c r="E146" s="43" t="n">
        <x:f>IF(D146=0,0,C146/D146)</x:f>
        <x:v>0.18084951963757115</x:v>
      </x:c>
      <x:c r="F146" s="62" t="n">
        <x:f>E146*INDEX(Campaigns!E:E,MATCH(A146,Campaigns!A:A,0))</x:f>
        <x:v>36.16990392751423</x:v>
      </x:c>
      <x:c r="G146" s="27" t="str">
        <x:f>IF(F146&gt;=0,"PASS","FAIL")</x:f>
        <x:v>PASS</x:v>
      </x:c>
    </x:row>
    <x:row r="147" ht="15" hidden="0" customHeight="1">
      <x:c r="A147" s="29" t="str">
        <x:v>M4</x:v>
      </x:c>
      <x:c r="B147" s="29" t="str">
        <x:v>SCA-18</x:v>
      </x:c>
      <x:c r="C147" s="41" t="n">
        <x:v>0</x:v>
      </x:c>
      <x:c r="D147" s="41" t="n">
        <x:v>60413615</x:v>
      </x:c>
      <x:c r="E147" s="44" t="n">
        <x:f>IF(D147=0,0,C147/D147)</x:f>
        <x:v>0</x:v>
      </x:c>
      <x:c r="F147" s="63" t="n">
        <x:f>E147*INDEX(Campaigns!E:E,MATCH(A147,Campaigns!A:A,0))</x:f>
        <x:v>0</x:v>
      </x:c>
      <x:c r="G147" s="29" t="str">
        <x:f>IF(F147&gt;=0,"PASS","FAIL")</x:f>
        <x:v>PASS</x:v>
      </x:c>
    </x:row>
    <x:row r="148" ht="15" hidden="0" customHeight="1">
      <x:c r="A148" s="27" t="str">
        <x:v>M5</x:v>
      </x:c>
      <x:c r="B148" s="27" t="str">
        <x:v>SCA-18</x:v>
      </x:c>
      <x:c r="C148" s="40" t="n">
        <x:v>0</x:v>
      </x:c>
      <x:c r="D148" s="40" t="n">
        <x:v>87635538</x:v>
      </x:c>
      <x:c r="E148" s="43" t="n">
        <x:f>IF(D148=0,0,C148/D148)</x:f>
        <x:v>0</x:v>
      </x:c>
      <x:c r="F148" s="62" t="n">
        <x:f>E148*INDEX(Campaigns!E:E,MATCH(A148,Campaigns!A:A,0))</x:f>
        <x:v>0</x:v>
      </x:c>
      <x:c r="G148" s="27" t="str">
        <x:f>IF(F148&gt;=0,"PASS","FAIL")</x:f>
        <x:v>PASS</x:v>
      </x:c>
    </x:row>
    <x:row r="149" ht="15" hidden="0" customHeight="1">
      <x:c r="A149" s="29" t="str">
        <x:v>C1</x:v>
      </x:c>
      <x:c r="B149" s="29" t="str">
        <x:v>SCA-19</x:v>
      </x:c>
      <x:c r="C149" s="41" t="n">
        <x:v>0</x:v>
      </x:c>
      <x:c r="D149" s="41" t="n">
        <x:v>39355309</x:v>
      </x:c>
      <x:c r="E149" s="44" t="n">
        <x:f>IF(D149=0,0,C149/D149)</x:f>
        <x:v>0</x:v>
      </x:c>
      <x:c r="F149" s="63" t="n">
        <x:f>E149*INDEX(Campaigns!E:E,MATCH(A149,Campaigns!A:A,0))</x:f>
        <x:v>0</x:v>
      </x:c>
      <x:c r="G149" s="29" t="str">
        <x:f>IF(F149&gt;=0,"PASS","FAIL")</x:f>
        <x:v>PASS</x:v>
      </x:c>
    </x:row>
    <x:row r="150" ht="15" hidden="0" customHeight="1">
      <x:c r="A150" s="27" t="str">
        <x:v>C2</x:v>
      </x:c>
      <x:c r="B150" s="27" t="str">
        <x:v>SCA-19</x:v>
      </x:c>
      <x:c r="C150" s="40" t="n">
        <x:v>0</x:v>
      </x:c>
      <x:c r="D150" s="40" t="n">
        <x:v>44475258</x:v>
      </x:c>
      <x:c r="E150" s="43" t="n">
        <x:f>IF(D150=0,0,C150/D150)</x:f>
        <x:v>0</x:v>
      </x:c>
      <x:c r="F150" s="62" t="n">
        <x:f>E150*INDEX(Campaigns!E:E,MATCH(A150,Campaigns!A:A,0))</x:f>
        <x:v>0</x:v>
      </x:c>
      <x:c r="G150" s="27" t="str">
        <x:f>IF(F150&gt;=0,"PASS","FAIL")</x:f>
        <x:v>PASS</x:v>
      </x:c>
    </x:row>
    <x:row r="151" ht="15" hidden="0" customHeight="1">
      <x:c r="A151" s="29" t="str">
        <x:v>C3</x:v>
      </x:c>
      <x:c r="B151" s="29" t="str">
        <x:v>SCA-19</x:v>
      </x:c>
      <x:c r="C151" s="41" t="n">
        <x:v>0</x:v>
      </x:c>
      <x:c r="D151" s="41" t="n">
        <x:v>54567175</x:v>
      </x:c>
      <x:c r="E151" s="44" t="n">
        <x:f>IF(D151=0,0,C151/D151)</x:f>
        <x:v>0</x:v>
      </x:c>
      <x:c r="F151" s="63" t="n">
        <x:f>E151*INDEX(Campaigns!E:E,MATCH(A151,Campaigns!A:A,0))</x:f>
        <x:v>0</x:v>
      </x:c>
      <x:c r="G151" s="29" t="str">
        <x:f>IF(F151&gt;=0,"PASS","FAIL")</x:f>
        <x:v>PASS</x:v>
      </x:c>
    </x:row>
    <x:row r="152" ht="15" hidden="0" customHeight="1">
      <x:c r="A152" s="27" t="str">
        <x:v>M1</x:v>
      </x:c>
      <x:c r="B152" s="27" t="str">
        <x:v>SCA-19</x:v>
      </x:c>
      <x:c r="C152" s="40" t="n">
        <x:v>0</x:v>
      </x:c>
      <x:c r="D152" s="40" t="n">
        <x:v>12274606</x:v>
      </x:c>
      <x:c r="E152" s="43" t="n">
        <x:f>IF(D152=0,0,C152/D152)</x:f>
        <x:v>0</x:v>
      </x:c>
      <x:c r="F152" s="62" t="n">
        <x:f>E152*INDEX(Campaigns!E:E,MATCH(A152,Campaigns!A:A,0))</x:f>
        <x:v>0</x:v>
      </x:c>
      <x:c r="G152" s="27" t="str">
        <x:f>IF(F152&gt;=0,"PASS","FAIL")</x:f>
        <x:v>PASS</x:v>
      </x:c>
    </x:row>
    <x:row r="153" ht="15" hidden="0" customHeight="1">
      <x:c r="A153" s="29" t="str">
        <x:v>M2</x:v>
      </x:c>
      <x:c r="B153" s="29" t="str">
        <x:v>SCA-19</x:v>
      </x:c>
      <x:c r="C153" s="41" t="n">
        <x:v>6345387</x:v>
      </x:c>
      <x:c r="D153" s="41" t="n">
        <x:v>36980573</x:v>
      </x:c>
      <x:c r="E153" s="44" t="n">
        <x:f>IF(D153=0,0,C153/D153)</x:f>
        <x:v>0.17158703841608944</x:v>
      </x:c>
      <x:c r="F153" s="63" t="n">
        <x:f>E153*INDEX(Campaigns!E:E,MATCH(A153,Campaigns!A:A,0))</x:f>
        <x:v>34.31740768321789</x:v>
      </x:c>
      <x:c r="G153" s="29" t="str">
        <x:f>IF(F153&gt;=0,"PASS","FAIL")</x:f>
        <x:v>PASS</x:v>
      </x:c>
    </x:row>
    <x:row r="154" ht="15" hidden="0" customHeight="1">
      <x:c r="A154" s="27" t="str">
        <x:v>M3</x:v>
      </x:c>
      <x:c r="B154" s="27" t="str">
        <x:v>SCA-19</x:v>
      </x:c>
      <x:c r="C154" s="40" t="n">
        <x:v>0</x:v>
      </x:c>
      <x:c r="D154" s="40" t="n">
        <x:v>40804919</x:v>
      </x:c>
      <x:c r="E154" s="43" t="n">
        <x:f>IF(D154=0,0,C154/D154)</x:f>
        <x:v>0</x:v>
      </x:c>
      <x:c r="F154" s="62" t="n">
        <x:f>E154*INDEX(Campaigns!E:E,MATCH(A154,Campaigns!A:A,0))</x:f>
        <x:v>0</x:v>
      </x:c>
      <x:c r="G154" s="27" t="str">
        <x:f>IF(F154&gt;=0,"PASS","FAIL")</x:f>
        <x:v>PASS</x:v>
      </x:c>
    </x:row>
    <x:row r="155" ht="15" hidden="0" customHeight="1">
      <x:c r="A155" s="29" t="str">
        <x:v>M4</x:v>
      </x:c>
      <x:c r="B155" s="29" t="str">
        <x:v>SCA-19</x:v>
      </x:c>
      <x:c r="C155" s="41" t="n">
        <x:v>0</x:v>
      </x:c>
      <x:c r="D155" s="41" t="n">
        <x:v>60413615</x:v>
      </x:c>
      <x:c r="E155" s="44" t="n">
        <x:f>IF(D155=0,0,C155/D155)</x:f>
        <x:v>0</x:v>
      </x:c>
      <x:c r="F155" s="63" t="n">
        <x:f>E155*INDEX(Campaigns!E:E,MATCH(A155,Campaigns!A:A,0))</x:f>
        <x:v>0</x:v>
      </x:c>
      <x:c r="G155" s="29" t="str">
        <x:f>IF(F155&gt;=0,"PASS","FAIL")</x:f>
        <x:v>PASS</x:v>
      </x:c>
    </x:row>
    <x:row r="156" ht="15" hidden="0" customHeight="1">
      <x:c r="A156" s="27" t="str">
        <x:v>M5</x:v>
      </x:c>
      <x:c r="B156" s="27" t="str">
        <x:v>SCA-19</x:v>
      </x:c>
      <x:c r="C156" s="40" t="n">
        <x:v>0</x:v>
      </x:c>
      <x:c r="D156" s="40" t="n">
        <x:v>87635538</x:v>
      </x:c>
      <x:c r="E156" s="43" t="n">
        <x:f>IF(D156=0,0,C156/D156)</x:f>
        <x:v>0</x:v>
      </x:c>
      <x:c r="F156" s="62" t="n">
        <x:f>E156*INDEX(Campaigns!E:E,MATCH(A156,Campaigns!A:A,0))</x:f>
        <x:v>0</x:v>
      </x:c>
      <x:c r="G156" s="27" t="str">
        <x:f>IF(F156&gt;=0,"PASS","FAIL")</x:f>
        <x:v>PASS</x:v>
      </x:c>
    </x:row>
    <x:row r="157" ht="15" hidden="0" customHeight="1">
      <x:c r="A157" s="29" t="str">
        <x:v>C1</x:v>
      </x:c>
      <x:c r="B157" s="29" t="str">
        <x:v>SCA-20</x:v>
      </x:c>
      <x:c r="C157" s="41" t="n">
        <x:v>0</x:v>
      </x:c>
      <x:c r="D157" s="41" t="n">
        <x:v>39355309</x:v>
      </x:c>
      <x:c r="E157" s="44" t="n">
        <x:f>IF(D157=0,0,C157/D157)</x:f>
        <x:v>0</x:v>
      </x:c>
      <x:c r="F157" s="63" t="n">
        <x:f>E157*INDEX(Campaigns!E:E,MATCH(A157,Campaigns!A:A,0))</x:f>
        <x:v>0</x:v>
      </x:c>
      <x:c r="G157" s="29" t="str">
        <x:f>IF(F157&gt;=0,"PASS","FAIL")</x:f>
        <x:v>PASS</x:v>
      </x:c>
    </x:row>
    <x:row r="158" ht="15" hidden="0" customHeight="1">
      <x:c r="A158" s="27" t="str">
        <x:v>C2</x:v>
      </x:c>
      <x:c r="B158" s="27" t="str">
        <x:v>SCA-20</x:v>
      </x:c>
      <x:c r="C158" s="40" t="n">
        <x:v>4042394</x:v>
      </x:c>
      <x:c r="D158" s="40" t="n">
        <x:v>44475258</x:v>
      </x:c>
      <x:c r="E158" s="43" t="n">
        <x:f>IF(D158=0,0,C158/D158)</x:f>
        <x:v>0.0908908499192967</x:v>
      </x:c>
      <x:c r="F158" s="62" t="n">
        <x:f>E158*INDEX(Campaigns!E:E,MATCH(A158,Campaigns!A:A,0))</x:f>
        <x:v>45.44542495964835</x:v>
      </x:c>
      <x:c r="G158" s="27" t="str">
        <x:f>IF(F158&gt;=0,"PASS","FAIL")</x:f>
        <x:v>PASS</x:v>
      </x:c>
    </x:row>
    <x:row r="159" ht="15" hidden="0" customHeight="1">
      <x:c r="A159" s="29" t="str">
        <x:v>C3</x:v>
      </x:c>
      <x:c r="B159" s="29" t="str">
        <x:v>SCA-20</x:v>
      </x:c>
      <x:c r="C159" s="41" t="n">
        <x:v>0</x:v>
      </x:c>
      <x:c r="D159" s="41" t="n">
        <x:v>54567175</x:v>
      </x:c>
      <x:c r="E159" s="44" t="n">
        <x:f>IF(D159=0,0,C159/D159)</x:f>
        <x:v>0</x:v>
      </x:c>
      <x:c r="F159" s="63" t="n">
        <x:f>E159*INDEX(Campaigns!E:E,MATCH(A159,Campaigns!A:A,0))</x:f>
        <x:v>0</x:v>
      </x:c>
      <x:c r="G159" s="29" t="str">
        <x:f>IF(F159&gt;=0,"PASS","FAIL")</x:f>
        <x:v>PASS</x:v>
      </x:c>
    </x:row>
    <x:row r="160" ht="15" hidden="0" customHeight="1">
      <x:c r="A160" s="27" t="str">
        <x:v>M1</x:v>
      </x:c>
      <x:c r="B160" s="27" t="str">
        <x:v>SCA-20</x:v>
      </x:c>
      <x:c r="C160" s="40" t="n">
        <x:v>0</x:v>
      </x:c>
      <x:c r="D160" s="40" t="n">
        <x:v>12274606</x:v>
      </x:c>
      <x:c r="E160" s="43" t="n">
        <x:f>IF(D160=0,0,C160/D160)</x:f>
        <x:v>0</x:v>
      </x:c>
      <x:c r="F160" s="62" t="n">
        <x:f>E160*INDEX(Campaigns!E:E,MATCH(A160,Campaigns!A:A,0))</x:f>
        <x:v>0</x:v>
      </x:c>
      <x:c r="G160" s="27" t="str">
        <x:f>IF(F160&gt;=0,"PASS","FAIL")</x:f>
        <x:v>PASS</x:v>
      </x:c>
    </x:row>
    <x:row r="161" ht="15" hidden="0" customHeight="1">
      <x:c r="A161" s="29" t="str">
        <x:v>M2</x:v>
      </x:c>
      <x:c r="B161" s="29" t="str">
        <x:v>SCA-20</x:v>
      </x:c>
      <x:c r="C161" s="41" t="n">
        <x:v>7364897</x:v>
      </x:c>
      <x:c r="D161" s="41" t="n">
        <x:v>36980573</x:v>
      </x:c>
      <x:c r="E161" s="44" t="n">
        <x:f>IF(D161=0,0,C161/D161)</x:f>
        <x:v>0.19915583785032212</x:v>
      </x:c>
      <x:c r="F161" s="63" t="n">
        <x:f>E161*INDEX(Campaigns!E:E,MATCH(A161,Campaigns!A:A,0))</x:f>
        <x:v>39.83116757006442</x:v>
      </x:c>
      <x:c r="G161" s="29" t="str">
        <x:f>IF(F161&gt;=0,"PASS","FAIL")</x:f>
        <x:v>PASS</x:v>
      </x:c>
    </x:row>
    <x:row r="162" ht="15" hidden="0" customHeight="1">
      <x:c r="A162" s="27" t="str">
        <x:v>M3</x:v>
      </x:c>
      <x:c r="B162" s="27" t="str">
        <x:v>SCA-20</x:v>
      </x:c>
      <x:c r="C162" s="40" t="n">
        <x:v>0</x:v>
      </x:c>
      <x:c r="D162" s="40" t="n">
        <x:v>40804919</x:v>
      </x:c>
      <x:c r="E162" s="43" t="n">
        <x:f>IF(D162=0,0,C162/D162)</x:f>
        <x:v>0</x:v>
      </x:c>
      <x:c r="F162" s="62" t="n">
        <x:f>E162*INDEX(Campaigns!E:E,MATCH(A162,Campaigns!A:A,0))</x:f>
        <x:v>0</x:v>
      </x:c>
      <x:c r="G162" s="27" t="str">
        <x:f>IF(F162&gt;=0,"PASS","FAIL")</x:f>
        <x:v>PASS</x:v>
      </x:c>
    </x:row>
    <x:row r="163" ht="15" hidden="0" customHeight="1">
      <x:c r="A163" s="29" t="str">
        <x:v>M4</x:v>
      </x:c>
      <x:c r="B163" s="29" t="str">
        <x:v>SCA-20</x:v>
      </x:c>
      <x:c r="C163" s="41" t="n">
        <x:v>0</x:v>
      </x:c>
      <x:c r="D163" s="41" t="n">
        <x:v>60413615</x:v>
      </x:c>
      <x:c r="E163" s="44" t="n">
        <x:f>IF(D163=0,0,C163/D163)</x:f>
        <x:v>0</x:v>
      </x:c>
      <x:c r="F163" s="63" t="n">
        <x:f>E163*INDEX(Campaigns!E:E,MATCH(A163,Campaigns!A:A,0))</x:f>
        <x:v>0</x:v>
      </x:c>
      <x:c r="G163" s="29" t="str">
        <x:f>IF(F163&gt;=0,"PASS","FAIL")</x:f>
        <x:v>PASS</x:v>
      </x:c>
    </x:row>
    <x:row r="164" ht="15" hidden="0" customHeight="1">
      <x:c r="A164" s="27" t="str">
        <x:v>M5</x:v>
      </x:c>
      <x:c r="B164" s="27" t="str">
        <x:v>SCA-20</x:v>
      </x:c>
      <x:c r="C164" s="40" t="n">
        <x:v>0</x:v>
      </x:c>
      <x:c r="D164" s="40" t="n">
        <x:v>87635538</x:v>
      </x:c>
      <x:c r="E164" s="43" t="n">
        <x:f>IF(D164=0,0,C164/D164)</x:f>
        <x:v>0</x:v>
      </x:c>
      <x:c r="F164" s="62" t="n">
        <x:f>E164*INDEX(Campaigns!E:E,MATCH(A164,Campaigns!A:A,0))</x:f>
        <x:v>0</x:v>
      </x:c>
      <x:c r="G164" s="27" t="str">
        <x:f>IF(F164&gt;=0,"PASS","FAIL")</x:f>
        <x:v>PASS</x:v>
      </x:c>
    </x:row>
    <x:row r="165" ht="15" hidden="0" customHeight="1">
      <x:c r="A165" s="29" t="str">
        <x:v>C1</x:v>
      </x:c>
      <x:c r="B165" s="29" t="str">
        <x:v>SCA-21</x:v>
      </x:c>
      <x:c r="C165" s="41" t="n">
        <x:v>0</x:v>
      </x:c>
      <x:c r="D165" s="41" t="n">
        <x:v>39355309</x:v>
      </x:c>
      <x:c r="E165" s="44" t="n">
        <x:f>IF(D165=0,0,C165/D165)</x:f>
        <x:v>0</x:v>
      </x:c>
      <x:c r="F165" s="63" t="n">
        <x:f>E165*INDEX(Campaigns!E:E,MATCH(A165,Campaigns!A:A,0))</x:f>
        <x:v>0</x:v>
      </x:c>
      <x:c r="G165" s="29" t="str">
        <x:f>IF(F165&gt;=0,"PASS","FAIL")</x:f>
        <x:v>PASS</x:v>
      </x:c>
    </x:row>
    <x:row r="166" ht="15" hidden="0" customHeight="1">
      <x:c r="A166" s="27" t="str">
        <x:v>C2</x:v>
      </x:c>
      <x:c r="B166" s="27" t="str">
        <x:v>SCA-21</x:v>
      </x:c>
      <x:c r="C166" s="40" t="n">
        <x:v>0</x:v>
      </x:c>
      <x:c r="D166" s="40" t="n">
        <x:v>44475258</x:v>
      </x:c>
      <x:c r="E166" s="43" t="n">
        <x:f>IF(D166=0,0,C166/D166)</x:f>
        <x:v>0</x:v>
      </x:c>
      <x:c r="F166" s="62" t="n">
        <x:f>E166*INDEX(Campaigns!E:E,MATCH(A166,Campaigns!A:A,0))</x:f>
        <x:v>0</x:v>
      </x:c>
      <x:c r="G166" s="27" t="str">
        <x:f>IF(F166&gt;=0,"PASS","FAIL")</x:f>
        <x:v>PASS</x:v>
      </x:c>
    </x:row>
    <x:row r="167" ht="15" hidden="0" customHeight="1">
      <x:c r="A167" s="29" t="str">
        <x:v>C3</x:v>
      </x:c>
      <x:c r="B167" s="29" t="str">
        <x:v>SCA-21</x:v>
      </x:c>
      <x:c r="C167" s="41" t="n">
        <x:v>0</x:v>
      </x:c>
      <x:c r="D167" s="41" t="n">
        <x:v>54567175</x:v>
      </x:c>
      <x:c r="E167" s="44" t="n">
        <x:f>IF(D167=0,0,C167/D167)</x:f>
        <x:v>0</x:v>
      </x:c>
      <x:c r="F167" s="63" t="n">
        <x:f>E167*INDEX(Campaigns!E:E,MATCH(A167,Campaigns!A:A,0))</x:f>
        <x:v>0</x:v>
      </x:c>
      <x:c r="G167" s="29" t="str">
        <x:f>IF(F167&gt;=0,"PASS","FAIL")</x:f>
        <x:v>PASS</x:v>
      </x:c>
    </x:row>
    <x:row r="168" ht="15" hidden="0" customHeight="1">
      <x:c r="A168" s="27" t="str">
        <x:v>M1</x:v>
      </x:c>
      <x:c r="B168" s="27" t="str">
        <x:v>SCA-21</x:v>
      </x:c>
      <x:c r="C168" s="40" t="n">
        <x:v>0</x:v>
      </x:c>
      <x:c r="D168" s="40" t="n">
        <x:v>12274606</x:v>
      </x:c>
      <x:c r="E168" s="43" t="n">
        <x:f>IF(D168=0,0,C168/D168)</x:f>
        <x:v>0</x:v>
      </x:c>
      <x:c r="F168" s="62" t="n">
        <x:f>E168*INDEX(Campaigns!E:E,MATCH(A168,Campaigns!A:A,0))</x:f>
        <x:v>0</x:v>
      </x:c>
      <x:c r="G168" s="27" t="str">
        <x:f>IF(F168&gt;=0,"PASS","FAIL")</x:f>
        <x:v>PASS</x:v>
      </x:c>
    </x:row>
    <x:row r="169" ht="15" hidden="0" customHeight="1">
      <x:c r="A169" s="29" t="str">
        <x:v>M2</x:v>
      </x:c>
      <x:c r="B169" s="29" t="str">
        <x:v>SCA-21</x:v>
      </x:c>
      <x:c r="C169" s="41" t="n">
        <x:v>10687695</x:v>
      </x:c>
      <x:c r="D169" s="41" t="n">
        <x:v>36980573</x:v>
      </x:c>
      <x:c r="E169" s="44" t="n">
        <x:f>IF(D169=0,0,C169/D169)</x:f>
        <x:v>0.2890083666361795</x:v>
      </x:c>
      <x:c r="F169" s="63" t="n">
        <x:f>E169*INDEX(Campaigns!E:E,MATCH(A169,Campaigns!A:A,0))</x:f>
        <x:v>57.8016733272359</x:v>
      </x:c>
      <x:c r="G169" s="29" t="str">
        <x:f>IF(F169&gt;=0,"PASS","FAIL")</x:f>
        <x:v>PASS</x:v>
      </x:c>
    </x:row>
    <x:row r="170" ht="15" hidden="0" customHeight="1">
      <x:c r="A170" s="27" t="str">
        <x:v>M3</x:v>
      </x:c>
      <x:c r="B170" s="27" t="str">
        <x:v>SCA-21</x:v>
      </x:c>
      <x:c r="C170" s="40" t="n">
        <x:v>8047824</x:v>
      </x:c>
      <x:c r="D170" s="40" t="n">
        <x:v>40804919</x:v>
      </x:c>
      <x:c r="E170" s="43" t="n">
        <x:f>IF(D170=0,0,C170/D170)</x:f>
        <x:v>0.1972268098363337</x:v>
      </x:c>
      <x:c r="F170" s="62" t="n">
        <x:f>E170*INDEX(Campaigns!E:E,MATCH(A170,Campaigns!A:A,0))</x:f>
        <x:v>39.44536196726674</x:v>
      </x:c>
      <x:c r="G170" s="27" t="str">
        <x:f>IF(F170&gt;=0,"PASS","FAIL")</x:f>
        <x:v>PASS</x:v>
      </x:c>
    </x:row>
    <x:row r="171" ht="15" hidden="0" customHeight="1">
      <x:c r="A171" s="29" t="str">
        <x:v>M4</x:v>
      </x:c>
      <x:c r="B171" s="29" t="str">
        <x:v>SCA-21</x:v>
      </x:c>
      <x:c r="C171" s="41" t="n">
        <x:v>0</x:v>
      </x:c>
      <x:c r="D171" s="41" t="n">
        <x:v>60413615</x:v>
      </x:c>
      <x:c r="E171" s="44" t="n">
        <x:f>IF(D171=0,0,C171/D171)</x:f>
        <x:v>0</x:v>
      </x:c>
      <x:c r="F171" s="63" t="n">
        <x:f>E171*INDEX(Campaigns!E:E,MATCH(A171,Campaigns!A:A,0))</x:f>
        <x:v>0</x:v>
      </x:c>
      <x:c r="G171" s="29" t="str">
        <x:f>IF(F171&gt;=0,"PASS","FAIL")</x:f>
        <x:v>PASS</x:v>
      </x:c>
    </x:row>
    <x:row r="172" ht="15" hidden="0" customHeight="1">
      <x:c r="A172" s="27" t="str">
        <x:v>M5</x:v>
      </x:c>
      <x:c r="B172" s="27" t="str">
        <x:v>SCA-21</x:v>
      </x:c>
      <x:c r="C172" s="40" t="n">
        <x:v>0</x:v>
      </x:c>
      <x:c r="D172" s="40" t="n">
        <x:v>87635538</x:v>
      </x:c>
      <x:c r="E172" s="43" t="n">
        <x:f>IF(D172=0,0,C172/D172)</x:f>
        <x:v>0</x:v>
      </x:c>
      <x:c r="F172" s="62" t="n">
        <x:f>E172*INDEX(Campaigns!E:E,MATCH(A172,Campaigns!A:A,0))</x:f>
        <x:v>0</x:v>
      </x:c>
      <x:c r="G172" s="27" t="str">
        <x:f>IF(F172&gt;=0,"PASS","FAIL")</x:f>
        <x:v>PASS</x:v>
      </x:c>
    </x:row>
    <x:row r="173" ht="15" hidden="0" customHeight="1">
      <x:c r="A173" s="29" t="str">
        <x:v>C1</x:v>
      </x:c>
      <x:c r="B173" s="29" t="str">
        <x:v>SCA-22</x:v>
      </x:c>
      <x:c r="C173" s="41" t="n">
        <x:v>0</x:v>
      </x:c>
      <x:c r="D173" s="41" t="n">
        <x:v>39355309</x:v>
      </x:c>
      <x:c r="E173" s="44" t="n">
        <x:f>IF(D173=0,0,C173/D173)</x:f>
        <x:v>0</x:v>
      </x:c>
      <x:c r="F173" s="63" t="n">
        <x:f>E173*INDEX(Campaigns!E:E,MATCH(A173,Campaigns!A:A,0))</x:f>
        <x:v>0</x:v>
      </x:c>
      <x:c r="G173" s="29" t="str">
        <x:f>IF(F173&gt;=0,"PASS","FAIL")</x:f>
        <x:v>PASS</x:v>
      </x:c>
    </x:row>
    <x:row r="174" ht="15" hidden="0" customHeight="1">
      <x:c r="A174" s="27" t="str">
        <x:v>C2</x:v>
      </x:c>
      <x:c r="B174" s="27" t="str">
        <x:v>SCA-22</x:v>
      </x:c>
      <x:c r="C174" s="40" t="n">
        <x:v>0</x:v>
      </x:c>
      <x:c r="D174" s="40" t="n">
        <x:v>44475258</x:v>
      </x:c>
      <x:c r="E174" s="43" t="n">
        <x:f>IF(D174=0,0,C174/D174)</x:f>
        <x:v>0</x:v>
      </x:c>
      <x:c r="F174" s="62" t="n">
        <x:f>E174*INDEX(Campaigns!E:E,MATCH(A174,Campaigns!A:A,0))</x:f>
        <x:v>0</x:v>
      </x:c>
      <x:c r="G174" s="27" t="str">
        <x:f>IF(F174&gt;=0,"PASS","FAIL")</x:f>
        <x:v>PASS</x:v>
      </x:c>
    </x:row>
    <x:row r="175" ht="15" hidden="0" customHeight="1">
      <x:c r="A175" s="29" t="str">
        <x:v>C3</x:v>
      </x:c>
      <x:c r="B175" s="29" t="str">
        <x:v>SCA-22</x:v>
      </x:c>
      <x:c r="C175" s="41" t="n">
        <x:v>0</x:v>
      </x:c>
      <x:c r="D175" s="41" t="n">
        <x:v>54567175</x:v>
      </x:c>
      <x:c r="E175" s="44" t="n">
        <x:f>IF(D175=0,0,C175/D175)</x:f>
        <x:v>0</x:v>
      </x:c>
      <x:c r="F175" s="63" t="n">
        <x:f>E175*INDEX(Campaigns!E:E,MATCH(A175,Campaigns!A:A,0))</x:f>
        <x:v>0</x:v>
      </x:c>
      <x:c r="G175" s="29" t="str">
        <x:f>IF(F175&gt;=0,"PASS","FAIL")</x:f>
        <x:v>PASS</x:v>
      </x:c>
    </x:row>
    <x:row r="176" ht="15" hidden="0" customHeight="1">
      <x:c r="A176" s="27" t="str">
        <x:v>M1</x:v>
      </x:c>
      <x:c r="B176" s="27" t="str">
        <x:v>SCA-22</x:v>
      </x:c>
      <x:c r="C176" s="40" t="n">
        <x:v>0</x:v>
      </x:c>
      <x:c r="D176" s="40" t="n">
        <x:v>12274606</x:v>
      </x:c>
      <x:c r="E176" s="43" t="n">
        <x:f>IF(D176=0,0,C176/D176)</x:f>
        <x:v>0</x:v>
      </x:c>
      <x:c r="F176" s="62" t="n">
        <x:f>E176*INDEX(Campaigns!E:E,MATCH(A176,Campaigns!A:A,0))</x:f>
        <x:v>0</x:v>
      </x:c>
      <x:c r="G176" s="27" t="str">
        <x:f>IF(F176&gt;=0,"PASS","FAIL")</x:f>
        <x:v>PASS</x:v>
      </x:c>
    </x:row>
    <x:row r="177" ht="15" hidden="0" customHeight="1">
      <x:c r="A177" s="29" t="str">
        <x:v>M2</x:v>
      </x:c>
      <x:c r="B177" s="29" t="str">
        <x:v>SCA-22</x:v>
      </x:c>
      <x:c r="C177" s="41" t="n">
        <x:v>7103060</x:v>
      </x:c>
      <x:c r="D177" s="41" t="n">
        <x:v>36980573</x:v>
      </x:c>
      <x:c r="E177" s="44" t="n">
        <x:f>IF(D177=0,0,C177/D177)</x:f>
        <x:v>0.19207544458545842</x:v>
      </x:c>
      <x:c r="F177" s="63" t="n">
        <x:f>E177*INDEX(Campaigns!E:E,MATCH(A177,Campaigns!A:A,0))</x:f>
        <x:v>38.41508891709168</x:v>
      </x:c>
      <x:c r="G177" s="29" t="str">
        <x:f>IF(F177&gt;=0,"PASS","FAIL")</x:f>
        <x:v>PASS</x:v>
      </x:c>
    </x:row>
    <x:row r="178" ht="15" hidden="0" customHeight="1">
      <x:c r="A178" s="27" t="str">
        <x:v>M3</x:v>
      </x:c>
      <x:c r="B178" s="27" t="str">
        <x:v>SCA-22</x:v>
      </x:c>
      <x:c r="C178" s="40" t="n">
        <x:v>7316576</x:v>
      </x:c>
      <x:c r="D178" s="40" t="n">
        <x:v>40804919</x:v>
      </x:c>
      <x:c r="E178" s="43" t="n">
        <x:f>IF(D178=0,0,C178/D178)</x:f>
        <x:v>0.17930622531072785</x:v>
      </x:c>
      <x:c r="F178" s="62" t="n">
        <x:f>E178*INDEX(Campaigns!E:E,MATCH(A178,Campaigns!A:A,0))</x:f>
        <x:v>35.86124506214557</x:v>
      </x:c>
      <x:c r="G178" s="27" t="str">
        <x:f>IF(F178&gt;=0,"PASS","FAIL")</x:f>
        <x:v>PASS</x:v>
      </x:c>
    </x:row>
    <x:row r="179" ht="15" hidden="0" customHeight="1">
      <x:c r="A179" s="29" t="str">
        <x:v>M4</x:v>
      </x:c>
      <x:c r="B179" s="29" t="str">
        <x:v>SCA-22</x:v>
      </x:c>
      <x:c r="C179" s="41" t="n">
        <x:v>112871</x:v>
      </x:c>
      <x:c r="D179" s="41" t="n">
        <x:v>60413615</x:v>
      </x:c>
      <x:c r="E179" s="44" t="n">
        <x:f>IF(D179=0,0,C179/D179)</x:f>
        <x:v>0.0018683040238529013</x:v>
      </x:c>
      <x:c r="F179" s="63" t="n">
        <x:f>E179*INDEX(Campaigns!E:E,MATCH(A179,Campaigns!A:A,0))</x:f>
        <x:v>0.3736608047705803</x:v>
      </x:c>
      <x:c r="G179" s="29" t="str">
        <x:f>IF(F179&gt;=0,"PASS","FAIL")</x:f>
        <x:v>PASS</x:v>
      </x:c>
    </x:row>
    <x:row r="180" ht="15" hidden="0" customHeight="1">
      <x:c r="A180" s="27" t="str">
        <x:v>M5</x:v>
      </x:c>
      <x:c r="B180" s="27" t="str">
        <x:v>SCA-22</x:v>
      </x:c>
      <x:c r="C180" s="40" t="n">
        <x:v>0</x:v>
      </x:c>
      <x:c r="D180" s="40" t="n">
        <x:v>87635538</x:v>
      </x:c>
      <x:c r="E180" s="43" t="n">
        <x:f>IF(D180=0,0,C180/D180)</x:f>
        <x:v>0</x:v>
      </x:c>
      <x:c r="F180" s="62" t="n">
        <x:f>E180*INDEX(Campaigns!E:E,MATCH(A180,Campaigns!A:A,0))</x:f>
        <x:v>0</x:v>
      </x:c>
      <x:c r="G180" s="27" t="str">
        <x:f>IF(F180&gt;=0,"PASS","FAIL")</x:f>
        <x:v>PASS</x:v>
      </x:c>
    </x:row>
    <x:row r="181" ht="15" hidden="0" customHeight="1">
      <x:c r="A181" s="29" t="str">
        <x:v>C1</x:v>
      </x:c>
      <x:c r="B181" s="29" t="str">
        <x:v>SCA-23</x:v>
      </x:c>
      <x:c r="C181" s="41" t="n">
        <x:v>0</x:v>
      </x:c>
      <x:c r="D181" s="41" t="n">
        <x:v>39355309</x:v>
      </x:c>
      <x:c r="E181" s="44" t="n">
        <x:f>IF(D181=0,0,C181/D181)</x:f>
        <x:v>0</x:v>
      </x:c>
      <x:c r="F181" s="63" t="n">
        <x:f>E181*INDEX(Campaigns!E:E,MATCH(A181,Campaigns!A:A,0))</x:f>
        <x:v>0</x:v>
      </x:c>
      <x:c r="G181" s="29" t="str">
        <x:f>IF(F181&gt;=0,"PASS","FAIL")</x:f>
        <x:v>PASS</x:v>
      </x:c>
    </x:row>
    <x:row r="182" ht="15" hidden="0" customHeight="1">
      <x:c r="A182" s="27" t="str">
        <x:v>C2</x:v>
      </x:c>
      <x:c r="B182" s="27" t="str">
        <x:v>SCA-23</x:v>
      </x:c>
      <x:c r="C182" s="40" t="n">
        <x:v>4716094</x:v>
      </x:c>
      <x:c r="D182" s="40" t="n">
        <x:v>44475258</x:v>
      </x:c>
      <x:c r="E182" s="43" t="n">
        <x:f>IF(D182=0,0,C182/D182)</x:f>
        <x:v>0.10603859790987609</x:v>
      </x:c>
      <x:c r="F182" s="62" t="n">
        <x:f>E182*INDEX(Campaigns!E:E,MATCH(A182,Campaigns!A:A,0))</x:f>
        <x:v>53.019298954938044</x:v>
      </x:c>
      <x:c r="G182" s="27" t="str">
        <x:f>IF(F182&gt;=0,"PASS","FAIL")</x:f>
        <x:v>PASS</x:v>
      </x:c>
    </x:row>
    <x:row r="183" ht="15" hidden="0" customHeight="1">
      <x:c r="A183" s="29" t="str">
        <x:v>C3</x:v>
      </x:c>
      <x:c r="B183" s="29" t="str">
        <x:v>SCA-23</x:v>
      </x:c>
      <x:c r="C183" s="41" t="n">
        <x:v>0</x:v>
      </x:c>
      <x:c r="D183" s="41" t="n">
        <x:v>54567175</x:v>
      </x:c>
      <x:c r="E183" s="44" t="n">
        <x:f>IF(D183=0,0,C183/D183)</x:f>
        <x:v>0</x:v>
      </x:c>
      <x:c r="F183" s="63" t="n">
        <x:f>E183*INDEX(Campaigns!E:E,MATCH(A183,Campaigns!A:A,0))</x:f>
        <x:v>0</x:v>
      </x:c>
      <x:c r="G183" s="29" t="str">
        <x:f>IF(F183&gt;=0,"PASS","FAIL")</x:f>
        <x:v>PASS</x:v>
      </x:c>
    </x:row>
    <x:row r="184" ht="15" hidden="0" customHeight="1">
      <x:c r="A184" s="27" t="str">
        <x:v>M1</x:v>
      </x:c>
      <x:c r="B184" s="27" t="str">
        <x:v>SCA-23</x:v>
      </x:c>
      <x:c r="C184" s="40" t="n">
        <x:v>0</x:v>
      </x:c>
      <x:c r="D184" s="40" t="n">
        <x:v>12274606</x:v>
      </x:c>
      <x:c r="E184" s="43" t="n">
        <x:f>IF(D184=0,0,C184/D184)</x:f>
        <x:v>0</x:v>
      </x:c>
      <x:c r="F184" s="62" t="n">
        <x:f>E184*INDEX(Campaigns!E:E,MATCH(A184,Campaigns!A:A,0))</x:f>
        <x:v>0</x:v>
      </x:c>
      <x:c r="G184" s="27" t="str">
        <x:f>IF(F184&gt;=0,"PASS","FAIL")</x:f>
        <x:v>PASS</x:v>
      </x:c>
    </x:row>
    <x:row r="185" ht="15" hidden="0" customHeight="1">
      <x:c r="A185" s="29" t="str">
        <x:v>M2</x:v>
      </x:c>
      <x:c r="B185" s="29" t="str">
        <x:v>SCA-23</x:v>
      </x:c>
      <x:c r="C185" s="41" t="n">
        <x:v>2487080</x:v>
      </x:c>
      <x:c r="D185" s="41" t="n">
        <x:v>36980573</x:v>
      </x:c>
      <x:c r="E185" s="44" t="n">
        <x:f>IF(D185=0,0,C185/D185)</x:f>
        <x:v>0.06725369020106854</x:v>
      </x:c>
      <x:c r="F185" s="63" t="n">
        <x:f>E185*INDEX(Campaigns!E:E,MATCH(A185,Campaigns!A:A,0))</x:f>
        <x:v>13.45073804021371</x:v>
      </x:c>
      <x:c r="G185" s="29" t="str">
        <x:f>IF(F185&gt;=0,"PASS","FAIL")</x:f>
        <x:v>PASS</x:v>
      </x:c>
    </x:row>
    <x:row r="186" ht="15" hidden="0" customHeight="1">
      <x:c r="A186" s="27" t="str">
        <x:v>M3</x:v>
      </x:c>
      <x:c r="B186" s="27" t="str">
        <x:v>SCA-23</x:v>
      </x:c>
      <x:c r="C186" s="40" t="n">
        <x:v>0</x:v>
      </x:c>
      <x:c r="D186" s="40" t="n">
        <x:v>40804919</x:v>
      </x:c>
      <x:c r="E186" s="43" t="n">
        <x:f>IF(D186=0,0,C186/D186)</x:f>
        <x:v>0</x:v>
      </x:c>
      <x:c r="F186" s="62" t="n">
        <x:f>E186*INDEX(Campaigns!E:E,MATCH(A186,Campaigns!A:A,0))</x:f>
        <x:v>0</x:v>
      </x:c>
      <x:c r="G186" s="27" t="str">
        <x:f>IF(F186&gt;=0,"PASS","FAIL")</x:f>
        <x:v>PASS</x:v>
      </x:c>
    </x:row>
    <x:row r="187" ht="15" hidden="0" customHeight="1">
      <x:c r="A187" s="29" t="str">
        <x:v>M4</x:v>
      </x:c>
      <x:c r="B187" s="29" t="str">
        <x:v>SCA-23</x:v>
      </x:c>
      <x:c r="C187" s="41" t="n">
        <x:v>13666136</x:v>
      </x:c>
      <x:c r="D187" s="41" t="n">
        <x:v>60413615</x:v>
      </x:c>
      <x:c r="E187" s="44" t="n">
        <x:f>IF(D187=0,0,C187/D187)</x:f>
        <x:v>0.22620953902526772</x:v>
      </x:c>
      <x:c r="F187" s="63" t="n">
        <x:f>E187*INDEX(Campaigns!E:E,MATCH(A187,Campaigns!A:A,0))</x:f>
        <x:v>45.24190780505354</x:v>
      </x:c>
      <x:c r="G187" s="29" t="str">
        <x:f>IF(F187&gt;=0,"PASS","FAIL")</x:f>
        <x:v>PASS</x:v>
      </x:c>
    </x:row>
    <x:row r="188" ht="15" hidden="0" customHeight="1">
      <x:c r="A188" s="27" t="str">
        <x:v>M5</x:v>
      </x:c>
      <x:c r="B188" s="27" t="str">
        <x:v>SCA-23</x:v>
      </x:c>
      <x:c r="C188" s="40" t="n">
        <x:v>0</x:v>
      </x:c>
      <x:c r="D188" s="40" t="n">
        <x:v>87635538</x:v>
      </x:c>
      <x:c r="E188" s="43" t="n">
        <x:f>IF(D188=0,0,C188/D188)</x:f>
        <x:v>0</x:v>
      </x:c>
      <x:c r="F188" s="62" t="n">
        <x:f>E188*INDEX(Campaigns!E:E,MATCH(A188,Campaigns!A:A,0))</x:f>
        <x:v>0</x:v>
      </x:c>
      <x:c r="G188" s="27" t="str">
        <x:f>IF(F188&gt;=0,"PASS","FAIL")</x:f>
        <x:v>PASS</x:v>
      </x:c>
    </x:row>
    <x:row r="189" ht="15" hidden="0" customHeight="1">
      <x:c r="A189" s="29" t="str">
        <x:v>C1</x:v>
      </x:c>
      <x:c r="B189" s="29" t="str">
        <x:v>SCA-24</x:v>
      </x:c>
      <x:c r="C189" s="41" t="n">
        <x:v>0</x:v>
      </x:c>
      <x:c r="D189" s="41" t="n">
        <x:v>39355309</x:v>
      </x:c>
      <x:c r="E189" s="44" t="n">
        <x:f>IF(D189=0,0,C189/D189)</x:f>
        <x:v>0</x:v>
      </x:c>
      <x:c r="F189" s="63" t="n">
        <x:f>E189*INDEX(Campaigns!E:E,MATCH(A189,Campaigns!A:A,0))</x:f>
        <x:v>0</x:v>
      </x:c>
      <x:c r="G189" s="29" t="str">
        <x:f>IF(F189&gt;=0,"PASS","FAIL")</x:f>
        <x:v>PASS</x:v>
      </x:c>
    </x:row>
    <x:row r="190" ht="15" hidden="0" customHeight="1">
      <x:c r="A190" s="27" t="str">
        <x:v>C2</x:v>
      </x:c>
      <x:c r="B190" s="27" t="str">
        <x:v>SCA-24</x:v>
      </x:c>
      <x:c r="C190" s="40" t="n">
        <x:v>0</x:v>
      </x:c>
      <x:c r="D190" s="40" t="n">
        <x:v>44475258</x:v>
      </x:c>
      <x:c r="E190" s="43" t="n">
        <x:f>IF(D190=0,0,C190/D190)</x:f>
        <x:v>0</x:v>
      </x:c>
      <x:c r="F190" s="62" t="n">
        <x:f>E190*INDEX(Campaigns!E:E,MATCH(A190,Campaigns!A:A,0))</x:f>
        <x:v>0</x:v>
      </x:c>
      <x:c r="G190" s="27" t="str">
        <x:f>IF(F190&gt;=0,"PASS","FAIL")</x:f>
        <x:v>PASS</x:v>
      </x:c>
    </x:row>
    <x:row r="191" ht="15" hidden="0" customHeight="1">
      <x:c r="A191" s="29" t="str">
        <x:v>C3</x:v>
      </x:c>
      <x:c r="B191" s="29" t="str">
        <x:v>SCA-24</x:v>
      </x:c>
      <x:c r="C191" s="41" t="n">
        <x:v>0</x:v>
      </x:c>
      <x:c r="D191" s="41" t="n">
        <x:v>54567175</x:v>
      </x:c>
      <x:c r="E191" s="44" t="n">
        <x:f>IF(D191=0,0,C191/D191)</x:f>
        <x:v>0</x:v>
      </x:c>
      <x:c r="F191" s="63" t="n">
        <x:f>E191*INDEX(Campaigns!E:E,MATCH(A191,Campaigns!A:A,0))</x:f>
        <x:v>0</x:v>
      </x:c>
      <x:c r="G191" s="29" t="str">
        <x:f>IF(F191&gt;=0,"PASS","FAIL")</x:f>
        <x:v>PASS</x:v>
      </x:c>
    </x:row>
    <x:row r="192" ht="15" hidden="0" customHeight="1">
      <x:c r="A192" s="27" t="str">
        <x:v>M1</x:v>
      </x:c>
      <x:c r="B192" s="27" t="str">
        <x:v>SCA-24</x:v>
      </x:c>
      <x:c r="C192" s="40" t="n">
        <x:v>0</x:v>
      </x:c>
      <x:c r="D192" s="40" t="n">
        <x:v>12274606</x:v>
      </x:c>
      <x:c r="E192" s="43" t="n">
        <x:f>IF(D192=0,0,C192/D192)</x:f>
        <x:v>0</x:v>
      </x:c>
      <x:c r="F192" s="62" t="n">
        <x:f>E192*INDEX(Campaigns!E:E,MATCH(A192,Campaigns!A:A,0))</x:f>
        <x:v>0</x:v>
      </x:c>
      <x:c r="G192" s="27" t="str">
        <x:f>IF(F192&gt;=0,"PASS","FAIL")</x:f>
        <x:v>PASS</x:v>
      </x:c>
    </x:row>
    <x:row r="193" ht="15" hidden="0" customHeight="1">
      <x:c r="A193" s="29" t="str">
        <x:v>M2</x:v>
      </x:c>
      <x:c r="B193" s="29" t="str">
        <x:v>SCA-24</x:v>
      </x:c>
      <x:c r="C193" s="41" t="n">
        <x:v>0</x:v>
      </x:c>
      <x:c r="D193" s="41" t="n">
        <x:v>36980573</x:v>
      </x:c>
      <x:c r="E193" s="44" t="n">
        <x:f>IF(D193=0,0,C193/D193)</x:f>
        <x:v>0</x:v>
      </x:c>
      <x:c r="F193" s="63" t="n">
        <x:f>E193*INDEX(Campaigns!E:E,MATCH(A193,Campaigns!A:A,0))</x:f>
        <x:v>0</x:v>
      </x:c>
      <x:c r="G193" s="29" t="str">
        <x:f>IF(F193&gt;=0,"PASS","FAIL")</x:f>
        <x:v>PASS</x:v>
      </x:c>
    </x:row>
    <x:row r="194" ht="15" hidden="0" customHeight="1">
      <x:c r="A194" s="27" t="str">
        <x:v>M3</x:v>
      </x:c>
      <x:c r="B194" s="27" t="str">
        <x:v>SCA-24</x:v>
      </x:c>
      <x:c r="C194" s="40" t="n">
        <x:v>11816161</x:v>
      </x:c>
      <x:c r="D194" s="40" t="n">
        <x:v>40804919</x:v>
      </x:c>
      <x:c r="E194" s="43" t="n">
        <x:f>IF(D194=0,0,C194/D194)</x:f>
        <x:v>0.28957687674860966</x:v>
      </x:c>
      <x:c r="F194" s="62" t="n">
        <x:f>E194*INDEX(Campaigns!E:E,MATCH(A194,Campaigns!A:A,0))</x:f>
        <x:v>57.915375349721934</x:v>
      </x:c>
      <x:c r="G194" s="27" t="str">
        <x:f>IF(F194&gt;=0,"PASS","FAIL")</x:f>
        <x:v>PASS</x:v>
      </x:c>
    </x:row>
    <x:row r="195" ht="15" hidden="0" customHeight="1">
      <x:c r="A195" s="29" t="str">
        <x:v>M4</x:v>
      </x:c>
      <x:c r="B195" s="29" t="str">
        <x:v>SCA-24</x:v>
      </x:c>
      <x:c r="C195" s="41" t="n">
        <x:v>0</x:v>
      </x:c>
      <x:c r="D195" s="41" t="n">
        <x:v>60413615</x:v>
      </x:c>
      <x:c r="E195" s="44" t="n">
        <x:f>IF(D195=0,0,C195/D195)</x:f>
        <x:v>0</x:v>
      </x:c>
      <x:c r="F195" s="63" t="n">
        <x:f>E195*INDEX(Campaigns!E:E,MATCH(A195,Campaigns!A:A,0))</x:f>
        <x:v>0</x:v>
      </x:c>
      <x:c r="G195" s="29" t="str">
        <x:f>IF(F195&gt;=0,"PASS","FAIL")</x:f>
        <x:v>PASS</x:v>
      </x:c>
    </x:row>
    <x:row r="196" ht="15" hidden="0" customHeight="1">
      <x:c r="A196" s="27" t="str">
        <x:v>M5</x:v>
      </x:c>
      <x:c r="B196" s="27" t="str">
        <x:v>SCA-24</x:v>
      </x:c>
      <x:c r="C196" s="40" t="n">
        <x:v>0</x:v>
      </x:c>
      <x:c r="D196" s="40" t="n">
        <x:v>87635538</x:v>
      </x:c>
      <x:c r="E196" s="43" t="n">
        <x:f>IF(D196=0,0,C196/D196)</x:f>
        <x:v>0</x:v>
      </x:c>
      <x:c r="F196" s="62" t="n">
        <x:f>E196*INDEX(Campaigns!E:E,MATCH(A196,Campaigns!A:A,0))</x:f>
        <x:v>0</x:v>
      </x:c>
      <x:c r="G196" s="27" t="str">
        <x:f>IF(F196&gt;=0,"PASS","FAIL")</x:f>
        <x:v>PASS</x:v>
      </x:c>
    </x:row>
    <x:row r="197" ht="15" hidden="0" customHeight="1">
      <x:c r="A197" s="29" t="str">
        <x:v>C1</x:v>
      </x:c>
      <x:c r="B197" s="29" t="str">
        <x:v>SCA-25</x:v>
      </x:c>
      <x:c r="C197" s="41" t="n">
        <x:v>0</x:v>
      </x:c>
      <x:c r="D197" s="41" t="n">
        <x:v>39355309</x:v>
      </x:c>
      <x:c r="E197" s="44" t="n">
        <x:f>IF(D197=0,0,C197/D197)</x:f>
        <x:v>0</x:v>
      </x:c>
      <x:c r="F197" s="63" t="n">
        <x:f>E197*INDEX(Campaigns!E:E,MATCH(A197,Campaigns!A:A,0))</x:f>
        <x:v>0</x:v>
      </x:c>
      <x:c r="G197" s="29" t="str">
        <x:f>IF(F197&gt;=0,"PASS","FAIL")</x:f>
        <x:v>PASS</x:v>
      </x:c>
    </x:row>
    <x:row r="198" ht="15" hidden="0" customHeight="1">
      <x:c r="A198" s="27" t="str">
        <x:v>C2</x:v>
      </x:c>
      <x:c r="B198" s="27" t="str">
        <x:v>SCA-25</x:v>
      </x:c>
      <x:c r="C198" s="40" t="n">
        <x:v>0</x:v>
      </x:c>
      <x:c r="D198" s="40" t="n">
        <x:v>44475258</x:v>
      </x:c>
      <x:c r="E198" s="43" t="n">
        <x:f>IF(D198=0,0,C198/D198)</x:f>
        <x:v>0</x:v>
      </x:c>
      <x:c r="F198" s="62" t="n">
        <x:f>E198*INDEX(Campaigns!E:E,MATCH(A198,Campaigns!A:A,0))</x:f>
        <x:v>0</x:v>
      </x:c>
      <x:c r="G198" s="27" t="str">
        <x:f>IF(F198&gt;=0,"PASS","FAIL")</x:f>
        <x:v>PASS</x:v>
      </x:c>
    </x:row>
    <x:row r="199" ht="15" hidden="0" customHeight="1">
      <x:c r="A199" s="29" t="str">
        <x:v>C3</x:v>
      </x:c>
      <x:c r="B199" s="29" t="str">
        <x:v>SCA-25</x:v>
      </x:c>
      <x:c r="C199" s="41" t="n">
        <x:v>0</x:v>
      </x:c>
      <x:c r="D199" s="41" t="n">
        <x:v>54567175</x:v>
      </x:c>
      <x:c r="E199" s="44" t="n">
        <x:f>IF(D199=0,0,C199/D199)</x:f>
        <x:v>0</x:v>
      </x:c>
      <x:c r="F199" s="63" t="n">
        <x:f>E199*INDEX(Campaigns!E:E,MATCH(A199,Campaigns!A:A,0))</x:f>
        <x:v>0</x:v>
      </x:c>
      <x:c r="G199" s="29" t="str">
        <x:f>IF(F199&gt;=0,"PASS","FAIL")</x:f>
        <x:v>PASS</x:v>
      </x:c>
    </x:row>
    <x:row r="200" ht="15" hidden="0" customHeight="1">
      <x:c r="A200" s="27" t="str">
        <x:v>M1</x:v>
      </x:c>
      <x:c r="B200" s="27" t="str">
        <x:v>SCA-25</x:v>
      </x:c>
      <x:c r="C200" s="40" t="n">
        <x:v>0</x:v>
      </x:c>
      <x:c r="D200" s="40" t="n">
        <x:v>12274606</x:v>
      </x:c>
      <x:c r="E200" s="43" t="n">
        <x:f>IF(D200=0,0,C200/D200)</x:f>
        <x:v>0</x:v>
      </x:c>
      <x:c r="F200" s="62" t="n">
        <x:f>E200*INDEX(Campaigns!E:E,MATCH(A200,Campaigns!A:A,0))</x:f>
        <x:v>0</x:v>
      </x:c>
      <x:c r="G200" s="27" t="str">
        <x:f>IF(F200&gt;=0,"PASS","FAIL")</x:f>
        <x:v>PASS</x:v>
      </x:c>
    </x:row>
    <x:row r="201" ht="15" hidden="0" customHeight="1">
      <x:c r="A201" s="29" t="str">
        <x:v>M2</x:v>
      </x:c>
      <x:c r="B201" s="29" t="str">
        <x:v>SCA-25</x:v>
      </x:c>
      <x:c r="C201" s="41" t="n">
        <x:v>0</x:v>
      </x:c>
      <x:c r="D201" s="41" t="n">
        <x:v>36980573</x:v>
      </x:c>
      <x:c r="E201" s="44" t="n">
        <x:f>IF(D201=0,0,C201/D201)</x:f>
        <x:v>0</x:v>
      </x:c>
      <x:c r="F201" s="63" t="n">
        <x:f>E201*INDEX(Campaigns!E:E,MATCH(A201,Campaigns!A:A,0))</x:f>
        <x:v>0</x:v>
      </x:c>
      <x:c r="G201" s="29" t="str">
        <x:f>IF(F201&gt;=0,"PASS","FAIL")</x:f>
        <x:v>PASS</x:v>
      </x:c>
    </x:row>
    <x:row r="202" ht="15" hidden="0" customHeight="1">
      <x:c r="A202" s="27" t="str">
        <x:v>M3</x:v>
      </x:c>
      <x:c r="B202" s="27" t="str">
        <x:v>SCA-25</x:v>
      </x:c>
      <x:c r="C202" s="40" t="n">
        <x:v>0</x:v>
      </x:c>
      <x:c r="D202" s="40" t="n">
        <x:v>40804919</x:v>
      </x:c>
      <x:c r="E202" s="43" t="n">
        <x:f>IF(D202=0,0,C202/D202)</x:f>
        <x:v>0</x:v>
      </x:c>
      <x:c r="F202" s="62" t="n">
        <x:f>E202*INDEX(Campaigns!E:E,MATCH(A202,Campaigns!A:A,0))</x:f>
        <x:v>0</x:v>
      </x:c>
      <x:c r="G202" s="27" t="str">
        <x:f>IF(F202&gt;=0,"PASS","FAIL")</x:f>
        <x:v>PASS</x:v>
      </x:c>
    </x:row>
    <x:row r="203" ht="15" hidden="0" customHeight="1">
      <x:c r="A203" s="29" t="str">
        <x:v>M4</x:v>
      </x:c>
      <x:c r="B203" s="29" t="str">
        <x:v>SCA-25</x:v>
      </x:c>
      <x:c r="C203" s="41" t="n">
        <x:v>6408394</x:v>
      </x:c>
      <x:c r="D203" s="41" t="n">
        <x:v>60413615</x:v>
      </x:c>
      <x:c r="E203" s="44" t="n">
        <x:f>IF(D203=0,0,C203/D203)</x:f>
        <x:v>0.10607532755654499</x:v>
      </x:c>
      <x:c r="F203" s="63" t="n">
        <x:f>E203*INDEX(Campaigns!E:E,MATCH(A203,Campaigns!A:A,0))</x:f>
        <x:v>21.215065511308996</x:v>
      </x:c>
      <x:c r="G203" s="29" t="str">
        <x:f>IF(F203&gt;=0,"PASS","FAIL")</x:f>
        <x:v>PASS</x:v>
      </x:c>
    </x:row>
    <x:row r="204" ht="15" hidden="0" customHeight="1">
      <x:c r="A204" s="27" t="str">
        <x:v>M5</x:v>
      </x:c>
      <x:c r="B204" s="27" t="str">
        <x:v>SCA-25</x:v>
      </x:c>
      <x:c r="C204" s="40" t="n">
        <x:v>0</x:v>
      </x:c>
      <x:c r="D204" s="40" t="n">
        <x:v>87635538</x:v>
      </x:c>
      <x:c r="E204" s="43" t="n">
        <x:f>IF(D204=0,0,C204/D204)</x:f>
        <x:v>0</x:v>
      </x:c>
      <x:c r="F204" s="62" t="n">
        <x:f>E204*INDEX(Campaigns!E:E,MATCH(A204,Campaigns!A:A,0))</x:f>
        <x:v>0</x:v>
      </x:c>
      <x:c r="G204" s="27" t="str">
        <x:f>IF(F204&gt;=0,"PASS","FAIL")</x:f>
        <x:v>PASS</x:v>
      </x:c>
    </x:row>
    <x:row r="205" ht="15" hidden="0" customHeight="1">
      <x:c r="A205" s="29" t="str">
        <x:v>C1</x:v>
      </x:c>
      <x:c r="B205" s="29" t="str">
        <x:v>SCA-26</x:v>
      </x:c>
      <x:c r="C205" s="41" t="n">
        <x:v>0</x:v>
      </x:c>
      <x:c r="D205" s="41" t="n">
        <x:v>39355309</x:v>
      </x:c>
      <x:c r="E205" s="44" t="n">
        <x:f>IF(D205=0,0,C205/D205)</x:f>
        <x:v>0</x:v>
      </x:c>
      <x:c r="F205" s="63" t="n">
        <x:f>E205*INDEX(Campaigns!E:E,MATCH(A205,Campaigns!A:A,0))</x:f>
        <x:v>0</x:v>
      </x:c>
      <x:c r="G205" s="29" t="str">
        <x:f>IF(F205&gt;=0,"PASS","FAIL")</x:f>
        <x:v>PASS</x:v>
      </x:c>
    </x:row>
    <x:row r="206" ht="15" hidden="0" customHeight="1">
      <x:c r="A206" s="27" t="str">
        <x:v>C2</x:v>
      </x:c>
      <x:c r="B206" s="27" t="str">
        <x:v>SCA-26</x:v>
      </x:c>
      <x:c r="C206" s="40" t="n">
        <x:v>0</x:v>
      </x:c>
      <x:c r="D206" s="40" t="n">
        <x:v>44475258</x:v>
      </x:c>
      <x:c r="E206" s="43" t="n">
        <x:f>IF(D206=0,0,C206/D206)</x:f>
        <x:v>0</x:v>
      </x:c>
      <x:c r="F206" s="62" t="n">
        <x:f>E206*INDEX(Campaigns!E:E,MATCH(A206,Campaigns!A:A,0))</x:f>
        <x:v>0</x:v>
      </x:c>
      <x:c r="G206" s="27" t="str">
        <x:f>IF(F206&gt;=0,"PASS","FAIL")</x:f>
        <x:v>PASS</x:v>
      </x:c>
    </x:row>
    <x:row r="207" ht="15" hidden="0" customHeight="1">
      <x:c r="A207" s="29" t="str">
        <x:v>C3</x:v>
      </x:c>
      <x:c r="B207" s="29" t="str">
        <x:v>SCA-26</x:v>
      </x:c>
      <x:c r="C207" s="41" t="n">
        <x:v>0</x:v>
      </x:c>
      <x:c r="D207" s="41" t="n">
        <x:v>54567175</x:v>
      </x:c>
      <x:c r="E207" s="44" t="n">
        <x:f>IF(D207=0,0,C207/D207)</x:f>
        <x:v>0</x:v>
      </x:c>
      <x:c r="F207" s="63" t="n">
        <x:f>E207*INDEX(Campaigns!E:E,MATCH(A207,Campaigns!A:A,0))</x:f>
        <x:v>0</x:v>
      </x:c>
      <x:c r="G207" s="29" t="str">
        <x:f>IF(F207&gt;=0,"PASS","FAIL")</x:f>
        <x:v>PASS</x:v>
      </x:c>
    </x:row>
    <x:row r="208" ht="15" hidden="0" customHeight="1">
      <x:c r="A208" s="27" t="str">
        <x:v>M1</x:v>
      </x:c>
      <x:c r="B208" s="27" t="str">
        <x:v>SCA-26</x:v>
      </x:c>
      <x:c r="C208" s="40" t="n">
        <x:v>0</x:v>
      </x:c>
      <x:c r="D208" s="40" t="n">
        <x:v>12274606</x:v>
      </x:c>
      <x:c r="E208" s="43" t="n">
        <x:f>IF(D208=0,0,C208/D208)</x:f>
        <x:v>0</x:v>
      </x:c>
      <x:c r="F208" s="62" t="n">
        <x:f>E208*INDEX(Campaigns!E:E,MATCH(A208,Campaigns!A:A,0))</x:f>
        <x:v>0</x:v>
      </x:c>
      <x:c r="G208" s="27" t="str">
        <x:f>IF(F208&gt;=0,"PASS","FAIL")</x:f>
        <x:v>PASS</x:v>
      </x:c>
    </x:row>
    <x:row r="209" ht="15" hidden="0" customHeight="1">
      <x:c r="A209" s="29" t="str">
        <x:v>M2</x:v>
      </x:c>
      <x:c r="B209" s="29" t="str">
        <x:v>SCA-26</x:v>
      </x:c>
      <x:c r="C209" s="41" t="n">
        <x:v>0</x:v>
      </x:c>
      <x:c r="D209" s="41" t="n">
        <x:v>36980573</x:v>
      </x:c>
      <x:c r="E209" s="44" t="n">
        <x:f>IF(D209=0,0,C209/D209)</x:f>
        <x:v>0</x:v>
      </x:c>
      <x:c r="F209" s="63" t="n">
        <x:f>E209*INDEX(Campaigns!E:E,MATCH(A209,Campaigns!A:A,0))</x:f>
        <x:v>0</x:v>
      </x:c>
      <x:c r="G209" s="29" t="str">
        <x:f>IF(F209&gt;=0,"PASS","FAIL")</x:f>
        <x:v>PASS</x:v>
      </x:c>
    </x:row>
    <x:row r="210" ht="15" hidden="0" customHeight="1">
      <x:c r="A210" s="27" t="str">
        <x:v>M3</x:v>
      </x:c>
      <x:c r="B210" s="27" t="str">
        <x:v>SCA-26</x:v>
      </x:c>
      <x:c r="C210" s="40" t="n">
        <x:v>0</x:v>
      </x:c>
      <x:c r="D210" s="40" t="n">
        <x:v>40804919</x:v>
      </x:c>
      <x:c r="E210" s="43" t="n">
        <x:f>IF(D210=0,0,C210/D210)</x:f>
        <x:v>0</x:v>
      </x:c>
      <x:c r="F210" s="62" t="n">
        <x:f>E210*INDEX(Campaigns!E:E,MATCH(A210,Campaigns!A:A,0))</x:f>
        <x:v>0</x:v>
      </x:c>
      <x:c r="G210" s="27" t="str">
        <x:f>IF(F210&gt;=0,"PASS","FAIL")</x:f>
        <x:v>PASS</x:v>
      </x:c>
    </x:row>
    <x:row r="211" ht="15" hidden="0" customHeight="1">
      <x:c r="A211" s="29" t="str">
        <x:v>M4</x:v>
      </x:c>
      <x:c r="B211" s="29" t="str">
        <x:v>SCA-26</x:v>
      </x:c>
      <x:c r="C211" s="41" t="n">
        <x:v>10737083</x:v>
      </x:c>
      <x:c r="D211" s="41" t="n">
        <x:v>60413615</x:v>
      </x:c>
      <x:c r="E211" s="44" t="n">
        <x:f>IF(D211=0,0,C211/D211)</x:f>
        <x:v>0.17772621287436616</x:v>
      </x:c>
      <x:c r="F211" s="63" t="n">
        <x:f>E211*INDEX(Campaigns!E:E,MATCH(A211,Campaigns!A:A,0))</x:f>
        <x:v>35.54524257487323</x:v>
      </x:c>
      <x:c r="G211" s="29" t="str">
        <x:f>IF(F211&gt;=0,"PASS","FAIL")</x:f>
        <x:v>PASS</x:v>
      </x:c>
    </x:row>
    <x:row r="212" ht="15" hidden="0" customHeight="1">
      <x:c r="A212" s="27" t="str">
        <x:v>M5</x:v>
      </x:c>
      <x:c r="B212" s="27" t="str">
        <x:v>SCA-26</x:v>
      </x:c>
      <x:c r="C212" s="40" t="n">
        <x:v>0</x:v>
      </x:c>
      <x:c r="D212" s="40" t="n">
        <x:v>87635538</x:v>
      </x:c>
      <x:c r="E212" s="43" t="n">
        <x:f>IF(D212=0,0,C212/D212)</x:f>
        <x:v>0</x:v>
      </x:c>
      <x:c r="F212" s="62" t="n">
        <x:f>E212*INDEX(Campaigns!E:E,MATCH(A212,Campaigns!A:A,0))</x:f>
        <x:v>0</x:v>
      </x:c>
      <x:c r="G212" s="27" t="str">
        <x:f>IF(F212&gt;=0,"PASS","FAIL")</x:f>
        <x:v>PASS</x:v>
      </x:c>
    </x:row>
    <x:row r="213" ht="15" hidden="0" customHeight="1">
      <x:c r="A213" s="29" t="str">
        <x:v>C1</x:v>
      </x:c>
      <x:c r="B213" s="29" t="str">
        <x:v>SCA-27</x:v>
      </x:c>
      <x:c r="C213" s="41" t="n">
        <x:v>0</x:v>
      </x:c>
      <x:c r="D213" s="41" t="n">
        <x:v>39355309</x:v>
      </x:c>
      <x:c r="E213" s="44" t="n">
        <x:f>IF(D213=0,0,C213/D213)</x:f>
        <x:v>0</x:v>
      </x:c>
      <x:c r="F213" s="63" t="n">
        <x:f>E213*INDEX(Campaigns!E:E,MATCH(A213,Campaigns!A:A,0))</x:f>
        <x:v>0</x:v>
      </x:c>
      <x:c r="G213" s="29" t="str">
        <x:f>IF(F213&gt;=0,"PASS","FAIL")</x:f>
        <x:v>PASS</x:v>
      </x:c>
    </x:row>
    <x:row r="214" ht="15" hidden="0" customHeight="1">
      <x:c r="A214" s="27" t="str">
        <x:v>C2</x:v>
      </x:c>
      <x:c r="B214" s="27" t="str">
        <x:v>SCA-27</x:v>
      </x:c>
      <x:c r="C214" s="40" t="n">
        <x:v>0</x:v>
      </x:c>
      <x:c r="D214" s="40" t="n">
        <x:v>44475258</x:v>
      </x:c>
      <x:c r="E214" s="43" t="n">
        <x:f>IF(D214=0,0,C214/D214)</x:f>
        <x:v>0</x:v>
      </x:c>
      <x:c r="F214" s="62" t="n">
        <x:f>E214*INDEX(Campaigns!E:E,MATCH(A214,Campaigns!A:A,0))</x:f>
        <x:v>0</x:v>
      </x:c>
      <x:c r="G214" s="27" t="str">
        <x:f>IF(F214&gt;=0,"PASS","FAIL")</x:f>
        <x:v>PASS</x:v>
      </x:c>
    </x:row>
    <x:row r="215" ht="15" hidden="0" customHeight="1">
      <x:c r="A215" s="29" t="str">
        <x:v>C3</x:v>
      </x:c>
      <x:c r="B215" s="29" t="str">
        <x:v>SCA-27</x:v>
      </x:c>
      <x:c r="C215" s="41" t="n">
        <x:v>0</x:v>
      </x:c>
      <x:c r="D215" s="41" t="n">
        <x:v>54567175</x:v>
      </x:c>
      <x:c r="E215" s="44" t="n">
        <x:f>IF(D215=0,0,C215/D215)</x:f>
        <x:v>0</x:v>
      </x:c>
      <x:c r="F215" s="63" t="n">
        <x:f>E215*INDEX(Campaigns!E:E,MATCH(A215,Campaigns!A:A,0))</x:f>
        <x:v>0</x:v>
      </x:c>
      <x:c r="G215" s="29" t="str">
        <x:f>IF(F215&gt;=0,"PASS","FAIL")</x:f>
        <x:v>PASS</x:v>
      </x:c>
    </x:row>
    <x:row r="216" ht="15" hidden="0" customHeight="1">
      <x:c r="A216" s="27" t="str">
        <x:v>M1</x:v>
      </x:c>
      <x:c r="B216" s="27" t="str">
        <x:v>SCA-27</x:v>
      </x:c>
      <x:c r="C216" s="40" t="n">
        <x:v>0</x:v>
      </x:c>
      <x:c r="D216" s="40" t="n">
        <x:v>12274606</x:v>
      </x:c>
      <x:c r="E216" s="43" t="n">
        <x:f>IF(D216=0,0,C216/D216)</x:f>
        <x:v>0</x:v>
      </x:c>
      <x:c r="F216" s="62" t="n">
        <x:f>E216*INDEX(Campaigns!E:E,MATCH(A216,Campaigns!A:A,0))</x:f>
        <x:v>0</x:v>
      </x:c>
      <x:c r="G216" s="27" t="str">
        <x:f>IF(F216&gt;=0,"PASS","FAIL")</x:f>
        <x:v>PASS</x:v>
      </x:c>
    </x:row>
    <x:row r="217" ht="15" hidden="0" customHeight="1">
      <x:c r="A217" s="29" t="str">
        <x:v>M2</x:v>
      </x:c>
      <x:c r="B217" s="29" t="str">
        <x:v>SCA-27</x:v>
      </x:c>
      <x:c r="C217" s="41" t="n">
        <x:v>0</x:v>
      </x:c>
      <x:c r="D217" s="41" t="n">
        <x:v>36980573</x:v>
      </x:c>
      <x:c r="E217" s="44" t="n">
        <x:f>IF(D217=0,0,C217/D217)</x:f>
        <x:v>0</x:v>
      </x:c>
      <x:c r="F217" s="63" t="n">
        <x:f>E217*INDEX(Campaigns!E:E,MATCH(A217,Campaigns!A:A,0))</x:f>
        <x:v>0</x:v>
      </x:c>
      <x:c r="G217" s="29" t="str">
        <x:f>IF(F217&gt;=0,"PASS","FAIL")</x:f>
        <x:v>PASS</x:v>
      </x:c>
    </x:row>
    <x:row r="218" ht="15" hidden="0" customHeight="1">
      <x:c r="A218" s="27" t="str">
        <x:v>M3</x:v>
      </x:c>
      <x:c r="B218" s="27" t="str">
        <x:v>SCA-27</x:v>
      </x:c>
      <x:c r="C218" s="40" t="n">
        <x:v>0</x:v>
      </x:c>
      <x:c r="D218" s="40" t="n">
        <x:v>40804919</x:v>
      </x:c>
      <x:c r="E218" s="43" t="n">
        <x:f>IF(D218=0,0,C218/D218)</x:f>
        <x:v>0</x:v>
      </x:c>
      <x:c r="F218" s="62" t="n">
        <x:f>E218*INDEX(Campaigns!E:E,MATCH(A218,Campaigns!A:A,0))</x:f>
        <x:v>0</x:v>
      </x:c>
      <x:c r="G218" s="27" t="str">
        <x:f>IF(F218&gt;=0,"PASS","FAIL")</x:f>
        <x:v>PASS</x:v>
      </x:c>
    </x:row>
    <x:row r="219" ht="15" hidden="0" customHeight="1">
      <x:c r="A219" s="29" t="str">
        <x:v>M4</x:v>
      </x:c>
      <x:c r="B219" s="29" t="str">
        <x:v>SCA-27</x:v>
      </x:c>
      <x:c r="C219" s="41" t="n">
        <x:v>7505606</x:v>
      </x:c>
      <x:c r="D219" s="41" t="n">
        <x:v>60413615</x:v>
      </x:c>
      <x:c r="E219" s="44" t="n">
        <x:f>IF(D219=0,0,C219/D219)</x:f>
        <x:v>0.1242369952534706</x:v>
      </x:c>
      <x:c r="F219" s="63" t="n">
        <x:f>E219*INDEX(Campaigns!E:E,MATCH(A219,Campaigns!A:A,0))</x:f>
        <x:v>24.84739905069412</x:v>
      </x:c>
      <x:c r="G219" s="29" t="str">
        <x:f>IF(F219&gt;=0,"PASS","FAIL")</x:f>
        <x:v>PASS</x:v>
      </x:c>
    </x:row>
    <x:row r="220" ht="15" hidden="0" customHeight="1">
      <x:c r="A220" s="27" t="str">
        <x:v>M5</x:v>
      </x:c>
      <x:c r="B220" s="27" t="str">
        <x:v>SCA-27</x:v>
      </x:c>
      <x:c r="C220" s="40" t="n">
        <x:v>0</x:v>
      </x:c>
      <x:c r="D220" s="40" t="n">
        <x:v>87635538</x:v>
      </x:c>
      <x:c r="E220" s="43" t="n">
        <x:f>IF(D220=0,0,C220/D220)</x:f>
        <x:v>0</x:v>
      </x:c>
      <x:c r="F220" s="62" t="n">
        <x:f>E220*INDEX(Campaigns!E:E,MATCH(A220,Campaigns!A:A,0))</x:f>
        <x:v>0</x:v>
      </x:c>
      <x:c r="G220" s="27" t="str">
        <x:f>IF(F220&gt;=0,"PASS","FAIL")</x:f>
        <x:v>PASS</x:v>
      </x:c>
    </x:row>
    <x:row r="221" ht="15" hidden="0" customHeight="1">
      <x:c r="A221" s="29" t="str">
        <x:v>C1</x:v>
      </x:c>
      <x:c r="B221" s="29" t="str">
        <x:v>SCA-28</x:v>
      </x:c>
      <x:c r="C221" s="41" t="n">
        <x:v>0</x:v>
      </x:c>
      <x:c r="D221" s="41" t="n">
        <x:v>39355309</x:v>
      </x:c>
      <x:c r="E221" s="44" t="n">
        <x:f>IF(D221=0,0,C221/D221)</x:f>
        <x:v>0</x:v>
      </x:c>
      <x:c r="F221" s="63" t="n">
        <x:f>E221*INDEX(Campaigns!E:E,MATCH(A221,Campaigns!A:A,0))</x:f>
        <x:v>0</x:v>
      </x:c>
      <x:c r="G221" s="29" t="str">
        <x:f>IF(F221&gt;=0,"PASS","FAIL")</x:f>
        <x:v>PASS</x:v>
      </x:c>
    </x:row>
    <x:row r="222" ht="15" hidden="0" customHeight="1">
      <x:c r="A222" s="27" t="str">
        <x:v>C2</x:v>
      </x:c>
      <x:c r="B222" s="27" t="str">
        <x:v>SCA-28</x:v>
      </x:c>
      <x:c r="C222" s="40" t="n">
        <x:v>0</x:v>
      </x:c>
      <x:c r="D222" s="40" t="n">
        <x:v>44475258</x:v>
      </x:c>
      <x:c r="E222" s="43" t="n">
        <x:f>IF(D222=0,0,C222/D222)</x:f>
        <x:v>0</x:v>
      </x:c>
      <x:c r="F222" s="62" t="n">
        <x:f>E222*INDEX(Campaigns!E:E,MATCH(A222,Campaigns!A:A,0))</x:f>
        <x:v>0</x:v>
      </x:c>
      <x:c r="G222" s="27" t="str">
        <x:f>IF(F222&gt;=0,"PASS","FAIL")</x:f>
        <x:v>PASS</x:v>
      </x:c>
    </x:row>
    <x:row r="223" ht="15" hidden="0" customHeight="1">
      <x:c r="A223" s="29" t="str">
        <x:v>C3</x:v>
      </x:c>
      <x:c r="B223" s="29" t="str">
        <x:v>SCA-28</x:v>
      </x:c>
      <x:c r="C223" s="41" t="n">
        <x:v>7408819</x:v>
      </x:c>
      <x:c r="D223" s="41" t="n">
        <x:v>54567175</x:v>
      </x:c>
      <x:c r="E223" s="44" t="n">
        <x:f>IF(D223=0,0,C223/D223)</x:f>
        <x:v>0.13577428188283525</x:v>
      </x:c>
      <x:c r="F223" s="63" t="n">
        <x:f>E223*INDEX(Campaigns!E:E,MATCH(A223,Campaigns!A:A,0))</x:f>
        <x:v>67.88714094141763</x:v>
      </x:c>
      <x:c r="G223" s="29" t="str">
        <x:f>IF(F223&gt;=0,"PASS","FAIL")</x:f>
        <x:v>PASS</x:v>
      </x:c>
    </x:row>
    <x:row r="224" ht="15" hidden="0" customHeight="1">
      <x:c r="A224" s="27" t="str">
        <x:v>M1</x:v>
      </x:c>
      <x:c r="B224" s="27" t="str">
        <x:v>SCA-28</x:v>
      </x:c>
      <x:c r="C224" s="40" t="n">
        <x:v>0</x:v>
      </x:c>
      <x:c r="D224" s="40" t="n">
        <x:v>12274606</x:v>
      </x:c>
      <x:c r="E224" s="43" t="n">
        <x:f>IF(D224=0,0,C224/D224)</x:f>
        <x:v>0</x:v>
      </x:c>
      <x:c r="F224" s="62" t="n">
        <x:f>E224*INDEX(Campaigns!E:E,MATCH(A224,Campaigns!A:A,0))</x:f>
        <x:v>0</x:v>
      </x:c>
      <x:c r="G224" s="27" t="str">
        <x:f>IF(F224&gt;=0,"PASS","FAIL")</x:f>
        <x:v>PASS</x:v>
      </x:c>
    </x:row>
    <x:row r="225" ht="15" hidden="0" customHeight="1">
      <x:c r="A225" s="29" t="str">
        <x:v>M2</x:v>
      </x:c>
      <x:c r="B225" s="29" t="str">
        <x:v>SCA-28</x:v>
      </x:c>
      <x:c r="C225" s="41" t="n">
        <x:v>0</x:v>
      </x:c>
      <x:c r="D225" s="41" t="n">
        <x:v>36980573</x:v>
      </x:c>
      <x:c r="E225" s="44" t="n">
        <x:f>IF(D225=0,0,C225/D225)</x:f>
        <x:v>0</x:v>
      </x:c>
      <x:c r="F225" s="63" t="n">
        <x:f>E225*INDEX(Campaigns!E:E,MATCH(A225,Campaigns!A:A,0))</x:f>
        <x:v>0</x:v>
      </x:c>
      <x:c r="G225" s="29" t="str">
        <x:f>IF(F225&gt;=0,"PASS","FAIL")</x:f>
        <x:v>PASS</x:v>
      </x:c>
    </x:row>
    <x:row r="226" ht="15" hidden="0" customHeight="1">
      <x:c r="A226" s="27" t="str">
        <x:v>M3</x:v>
      </x:c>
      <x:c r="B226" s="27" t="str">
        <x:v>SCA-28</x:v>
      </x:c>
      <x:c r="C226" s="40" t="n">
        <x:v>6244808</x:v>
      </x:c>
      <x:c r="D226" s="40" t="n">
        <x:v>40804919</x:v>
      </x:c>
      <x:c r="E226" s="43" t="n">
        <x:f>IF(D226=0,0,C226/D226)</x:f>
        <x:v>0.15304056846675765</x:v>
      </x:c>
      <x:c r="F226" s="62" t="n">
        <x:f>E226*INDEX(Campaigns!E:E,MATCH(A226,Campaigns!A:A,0))</x:f>
        <x:v>30.60811369335153</x:v>
      </x:c>
      <x:c r="G226" s="27" t="str">
        <x:f>IF(F226&gt;=0,"PASS","FAIL")</x:f>
        <x:v>PASS</x:v>
      </x:c>
    </x:row>
    <x:row r="227" ht="15" hidden="0" customHeight="1">
      <x:c r="A227" s="29" t="str">
        <x:v>M4</x:v>
      </x:c>
      <x:c r="B227" s="29" t="str">
        <x:v>SCA-28</x:v>
      </x:c>
      <x:c r="C227" s="41" t="n">
        <x:v>3186575</x:v>
      </x:c>
      <x:c r="D227" s="41" t="n">
        <x:v>60413615</x:v>
      </x:c>
      <x:c r="E227" s="44" t="n">
        <x:f>IF(D227=0,0,C227/D227)</x:f>
        <x:v>0.05274597456219099</x:v>
      </x:c>
      <x:c r="F227" s="63" t="n">
        <x:f>E227*INDEX(Campaigns!E:E,MATCH(A227,Campaigns!A:A,0))</x:f>
        <x:v>10.549194912438198</x:v>
      </x:c>
      <x:c r="G227" s="29" t="str">
        <x:f>IF(F227&gt;=0,"PASS","FAIL")</x:f>
        <x:v>PASS</x:v>
      </x:c>
    </x:row>
    <x:row r="228" ht="15" hidden="0" customHeight="1">
      <x:c r="A228" s="27" t="str">
        <x:v>M5</x:v>
      </x:c>
      <x:c r="B228" s="27" t="str">
        <x:v>SCA-28</x:v>
      </x:c>
      <x:c r="C228" s="40" t="n">
        <x:v>0</x:v>
      </x:c>
      <x:c r="D228" s="40" t="n">
        <x:v>87635538</x:v>
      </x:c>
      <x:c r="E228" s="43" t="n">
        <x:f>IF(D228=0,0,C228/D228)</x:f>
        <x:v>0</x:v>
      </x:c>
      <x:c r="F228" s="62" t="n">
        <x:f>E228*INDEX(Campaigns!E:E,MATCH(A228,Campaigns!A:A,0))</x:f>
        <x:v>0</x:v>
      </x:c>
      <x:c r="G228" s="27" t="str">
        <x:f>IF(F228&gt;=0,"PASS","FAIL")</x:f>
        <x:v>PASS</x:v>
      </x:c>
    </x:row>
    <x:row r="229" ht="15" hidden="0" customHeight="1">
      <x:c r="A229" s="29" t="str">
        <x:v>C1</x:v>
      </x:c>
      <x:c r="B229" s="29" t="str">
        <x:v>SCA-29</x:v>
      </x:c>
      <x:c r="C229" s="41" t="n">
        <x:v>0</x:v>
      </x:c>
      <x:c r="D229" s="41" t="n">
        <x:v>39355309</x:v>
      </x:c>
      <x:c r="E229" s="44" t="n">
        <x:f>IF(D229=0,0,C229/D229)</x:f>
        <x:v>0</x:v>
      </x:c>
      <x:c r="F229" s="63" t="n">
        <x:f>E229*INDEX(Campaigns!E:E,MATCH(A229,Campaigns!A:A,0))</x:f>
        <x:v>0</x:v>
      </x:c>
      <x:c r="G229" s="29" t="str">
        <x:f>IF(F229&gt;=0,"PASS","FAIL")</x:f>
        <x:v>PASS</x:v>
      </x:c>
    </x:row>
    <x:row r="230" ht="15" hidden="0" customHeight="1">
      <x:c r="A230" s="27" t="str">
        <x:v>C2</x:v>
      </x:c>
      <x:c r="B230" s="27" t="str">
        <x:v>SCA-29</x:v>
      </x:c>
      <x:c r="C230" s="40" t="n">
        <x:v>0</x:v>
      </x:c>
      <x:c r="D230" s="40" t="n">
        <x:v>44475258</x:v>
      </x:c>
      <x:c r="E230" s="43" t="n">
        <x:f>IF(D230=0,0,C230/D230)</x:f>
        <x:v>0</x:v>
      </x:c>
      <x:c r="F230" s="62" t="n">
        <x:f>E230*INDEX(Campaigns!E:E,MATCH(A230,Campaigns!A:A,0))</x:f>
        <x:v>0</x:v>
      </x:c>
      <x:c r="G230" s="27" t="str">
        <x:f>IF(F230&gt;=0,"PASS","FAIL")</x:f>
        <x:v>PASS</x:v>
      </x:c>
    </x:row>
    <x:row r="231" ht="15" hidden="0" customHeight="1">
      <x:c r="A231" s="29" t="str">
        <x:v>C3</x:v>
      </x:c>
      <x:c r="B231" s="29" t="str">
        <x:v>SCA-29</x:v>
      </x:c>
      <x:c r="C231" s="41" t="n">
        <x:v>0</x:v>
      </x:c>
      <x:c r="D231" s="41" t="n">
        <x:v>54567175</x:v>
      </x:c>
      <x:c r="E231" s="44" t="n">
        <x:f>IF(D231=0,0,C231/D231)</x:f>
        <x:v>0</x:v>
      </x:c>
      <x:c r="F231" s="63" t="n">
        <x:f>E231*INDEX(Campaigns!E:E,MATCH(A231,Campaigns!A:A,0))</x:f>
        <x:v>0</x:v>
      </x:c>
      <x:c r="G231" s="29" t="str">
        <x:f>IF(F231&gt;=0,"PASS","FAIL")</x:f>
        <x:v>PASS</x:v>
      </x:c>
    </x:row>
    <x:row r="232" ht="15" hidden="0" customHeight="1">
      <x:c r="A232" s="27" t="str">
        <x:v>M1</x:v>
      </x:c>
      <x:c r="B232" s="27" t="str">
        <x:v>SCA-29</x:v>
      </x:c>
      <x:c r="C232" s="40" t="n">
        <x:v>0</x:v>
      </x:c>
      <x:c r="D232" s="40" t="n">
        <x:v>12274606</x:v>
      </x:c>
      <x:c r="E232" s="43" t="n">
        <x:f>IF(D232=0,0,C232/D232)</x:f>
        <x:v>0</x:v>
      </x:c>
      <x:c r="F232" s="62" t="n">
        <x:f>E232*INDEX(Campaigns!E:E,MATCH(A232,Campaigns!A:A,0))</x:f>
        <x:v>0</x:v>
      </x:c>
      <x:c r="G232" s="27" t="str">
        <x:f>IF(F232&gt;=0,"PASS","FAIL")</x:f>
        <x:v>PASS</x:v>
      </x:c>
    </x:row>
    <x:row r="233" ht="15" hidden="0" customHeight="1">
      <x:c r="A233" s="29" t="str">
        <x:v>M2</x:v>
      </x:c>
      <x:c r="B233" s="29" t="str">
        <x:v>SCA-29</x:v>
      </x:c>
      <x:c r="C233" s="41" t="n">
        <x:v>239838</x:v>
      </x:c>
      <x:c r="D233" s="41" t="n">
        <x:v>36980573</x:v>
      </x:c>
      <x:c r="E233" s="44" t="n">
        <x:f>IF(D233=0,0,C233/D233)</x:f>
        <x:v>0.006485513353186821</x:v>
      </x:c>
      <x:c r="F233" s="63" t="n">
        <x:f>E233*INDEX(Campaigns!E:E,MATCH(A233,Campaigns!A:A,0))</x:f>
        <x:v>1.2971026706373643</x:v>
      </x:c>
      <x:c r="G233" s="29" t="str">
        <x:f>IF(F233&gt;=0,"PASS","FAIL")</x:f>
        <x:v>PASS</x:v>
      </x:c>
    </x:row>
    <x:row r="234" ht="15" hidden="0" customHeight="1">
      <x:c r="A234" s="27" t="str">
        <x:v>M3</x:v>
      </x:c>
      <x:c r="B234" s="27" t="str">
        <x:v>SCA-29</x:v>
      </x:c>
      <x:c r="C234" s="40" t="n">
        <x:v>0</x:v>
      </x:c>
      <x:c r="D234" s="40" t="n">
        <x:v>40804919</x:v>
      </x:c>
      <x:c r="E234" s="43" t="n">
        <x:f>IF(D234=0,0,C234/D234)</x:f>
        <x:v>0</x:v>
      </x:c>
      <x:c r="F234" s="62" t="n">
        <x:f>E234*INDEX(Campaigns!E:E,MATCH(A234,Campaigns!A:A,0))</x:f>
        <x:v>0</x:v>
      </x:c>
      <x:c r="G234" s="27" t="str">
        <x:f>IF(F234&gt;=0,"PASS","FAIL")</x:f>
        <x:v>PASS</x:v>
      </x:c>
    </x:row>
    <x:row r="235" ht="15" hidden="0" customHeight="1">
      <x:c r="A235" s="29" t="str">
        <x:v>M4</x:v>
      </x:c>
      <x:c r="B235" s="29" t="str">
        <x:v>SCA-29</x:v>
      </x:c>
      <x:c r="C235" s="41" t="n">
        <x:v>18796950</x:v>
      </x:c>
      <x:c r="D235" s="41" t="n">
        <x:v>60413615</x:v>
      </x:c>
      <x:c r="E235" s="44" t="n">
        <x:f>IF(D235=0,0,C235/D235)</x:f>
        <x:v>0.31113764670430666</x:v>
      </x:c>
      <x:c r="F235" s="63" t="n">
        <x:f>E235*INDEX(Campaigns!E:E,MATCH(A235,Campaigns!A:A,0))</x:f>
        <x:v>62.22752934086133</x:v>
      </x:c>
      <x:c r="G235" s="29" t="str">
        <x:f>IF(F235&gt;=0,"PASS","FAIL")</x:f>
        <x:v>PASS</x:v>
      </x:c>
    </x:row>
    <x:row r="236" ht="15" hidden="0" customHeight="1">
      <x:c r="A236" s="27" t="str">
        <x:v>M5</x:v>
      </x:c>
      <x:c r="B236" s="27" t="str">
        <x:v>SCA-29</x:v>
      </x:c>
      <x:c r="C236" s="40" t="n">
        <x:v>0</x:v>
      </x:c>
      <x:c r="D236" s="40" t="n">
        <x:v>87635538</x:v>
      </x:c>
      <x:c r="E236" s="43" t="n">
        <x:f>IF(D236=0,0,C236/D236)</x:f>
        <x:v>0</x:v>
      </x:c>
      <x:c r="F236" s="62" t="n">
        <x:f>E236*INDEX(Campaigns!E:E,MATCH(A236,Campaigns!A:A,0))</x:f>
        <x:v>0</x:v>
      </x:c>
      <x:c r="G236" s="27" t="str">
        <x:f>IF(F236&gt;=0,"PASS","FAIL")</x:f>
        <x:v>PASS</x:v>
      </x:c>
    </x:row>
    <x:row r="237" ht="15" hidden="0" customHeight="1">
      <x:c r="A237" s="29" t="str">
        <x:v>C1</x:v>
      </x:c>
      <x:c r="B237" s="29" t="str">
        <x:v>SCA-30</x:v>
      </x:c>
      <x:c r="C237" s="41" t="n">
        <x:v>0</x:v>
      </x:c>
      <x:c r="D237" s="41" t="n">
        <x:v>39355309</x:v>
      </x:c>
      <x:c r="E237" s="44" t="n">
        <x:f>IF(D237=0,0,C237/D237)</x:f>
        <x:v>0</x:v>
      </x:c>
      <x:c r="F237" s="63" t="n">
        <x:f>E237*INDEX(Campaigns!E:E,MATCH(A237,Campaigns!A:A,0))</x:f>
        <x:v>0</x:v>
      </x:c>
      <x:c r="G237" s="29" t="str">
        <x:f>IF(F237&gt;=0,"PASS","FAIL")</x:f>
        <x:v>PASS</x:v>
      </x:c>
    </x:row>
    <x:row r="238" ht="15" hidden="0" customHeight="1">
      <x:c r="A238" s="27" t="str">
        <x:v>C2</x:v>
      </x:c>
      <x:c r="B238" s="27" t="str">
        <x:v>SCA-30</x:v>
      </x:c>
      <x:c r="C238" s="40" t="n">
        <x:v>0</x:v>
      </x:c>
      <x:c r="D238" s="40" t="n">
        <x:v>44475258</x:v>
      </x:c>
      <x:c r="E238" s="43" t="n">
        <x:f>IF(D238=0,0,C238/D238)</x:f>
        <x:v>0</x:v>
      </x:c>
      <x:c r="F238" s="62" t="n">
        <x:f>E238*INDEX(Campaigns!E:E,MATCH(A238,Campaigns!A:A,0))</x:f>
        <x:v>0</x:v>
      </x:c>
      <x:c r="G238" s="27" t="str">
        <x:f>IF(F238&gt;=0,"PASS","FAIL")</x:f>
        <x:v>PASS</x:v>
      </x:c>
    </x:row>
    <x:row r="239" ht="15" hidden="0" customHeight="1">
      <x:c r="A239" s="29" t="str">
        <x:v>C3</x:v>
      </x:c>
      <x:c r="B239" s="29" t="str">
        <x:v>SCA-30</x:v>
      </x:c>
      <x:c r="C239" s="41" t="n">
        <x:v>36406107</x:v>
      </x:c>
      <x:c r="D239" s="41" t="n">
        <x:v>54567175</x:v>
      </x:c>
      <x:c r="E239" s="44" t="n">
        <x:f>IF(D239=0,0,C239/D239)</x:f>
        <x:v>0.6671796185160768</x:v>
      </x:c>
      <x:c r="F239" s="63" t="n">
        <x:f>E239*INDEX(Campaigns!E:E,MATCH(A239,Campaigns!A:A,0))</x:f>
        <x:v>333.5898092580384</x:v>
      </x:c>
      <x:c r="G239" s="29" t="str">
        <x:f>IF(F239&gt;=0,"PASS","FAIL")</x:f>
        <x:v>PASS</x:v>
      </x:c>
    </x:row>
    <x:row r="240" ht="15" hidden="0" customHeight="1">
      <x:c r="A240" s="27" t="str">
        <x:v>M1</x:v>
      </x:c>
      <x:c r="B240" s="27" t="str">
        <x:v>SCA-30</x:v>
      </x:c>
      <x:c r="C240" s="40" t="n">
        <x:v>0</x:v>
      </x:c>
      <x:c r="D240" s="40" t="n">
        <x:v>12274606</x:v>
      </x:c>
      <x:c r="E240" s="43" t="n">
        <x:f>IF(D240=0,0,C240/D240)</x:f>
        <x:v>0</x:v>
      </x:c>
      <x:c r="F240" s="62" t="n">
        <x:f>E240*INDEX(Campaigns!E:E,MATCH(A240,Campaigns!A:A,0))</x:f>
        <x:v>0</x:v>
      </x:c>
      <x:c r="G240" s="27" t="str">
        <x:f>IF(F240&gt;=0,"PASS","FAIL")</x:f>
        <x:v>PASS</x:v>
      </x:c>
    </x:row>
    <x:row r="241" ht="15" hidden="0" customHeight="1">
      <x:c r="A241" s="29" t="str">
        <x:v>M2</x:v>
      </x:c>
      <x:c r="B241" s="29" t="str">
        <x:v>SCA-30</x:v>
      </x:c>
      <x:c r="C241" s="41" t="n">
        <x:v>0</x:v>
      </x:c>
      <x:c r="D241" s="41" t="n">
        <x:v>36980573</x:v>
      </x:c>
      <x:c r="E241" s="44" t="n">
        <x:f>IF(D241=0,0,C241/D241)</x:f>
        <x:v>0</x:v>
      </x:c>
      <x:c r="F241" s="63" t="n">
        <x:f>E241*INDEX(Campaigns!E:E,MATCH(A241,Campaigns!A:A,0))</x:f>
        <x:v>0</x:v>
      </x:c>
      <x:c r="G241" s="29" t="str">
        <x:f>IF(F241&gt;=0,"PASS","FAIL")</x:f>
        <x:v>PASS</x:v>
      </x:c>
    </x:row>
    <x:row r="242" ht="15" hidden="0" customHeight="1">
      <x:c r="A242" s="27" t="str">
        <x:v>M3</x:v>
      </x:c>
      <x:c r="B242" s="27" t="str">
        <x:v>SCA-30</x:v>
      </x:c>
      <x:c r="C242" s="40" t="n">
        <x:v>0</x:v>
      </x:c>
      <x:c r="D242" s="40" t="n">
        <x:v>40804919</x:v>
      </x:c>
      <x:c r="E242" s="43" t="n">
        <x:f>IF(D242=0,0,C242/D242)</x:f>
        <x:v>0</x:v>
      </x:c>
      <x:c r="F242" s="62" t="n">
        <x:f>E242*INDEX(Campaigns!E:E,MATCH(A242,Campaigns!A:A,0))</x:f>
        <x:v>0</x:v>
      </x:c>
      <x:c r="G242" s="27" t="str">
        <x:f>IF(F242&gt;=0,"PASS","FAIL")</x:f>
        <x:v>PASS</x:v>
      </x:c>
    </x:row>
    <x:row r="243" ht="15" hidden="0" customHeight="1">
      <x:c r="A243" s="29" t="str">
        <x:v>M4</x:v>
      </x:c>
      <x:c r="B243" s="29" t="str">
        <x:v>SCA-30</x:v>
      </x:c>
      <x:c r="C243" s="41" t="n">
        <x:v>0</x:v>
      </x:c>
      <x:c r="D243" s="41" t="n">
        <x:v>60413615</x:v>
      </x:c>
      <x:c r="E243" s="44" t="n">
        <x:f>IF(D243=0,0,C243/D243)</x:f>
        <x:v>0</x:v>
      </x:c>
      <x:c r="F243" s="63" t="n">
        <x:f>E243*INDEX(Campaigns!E:E,MATCH(A243,Campaigns!A:A,0))</x:f>
        <x:v>0</x:v>
      </x:c>
      <x:c r="G243" s="29" t="str">
        <x:f>IF(F243&gt;=0,"PASS","FAIL")</x:f>
        <x:v>PASS</x:v>
      </x:c>
    </x:row>
    <x:row r="244" ht="15" hidden="0" customHeight="1">
      <x:c r="A244" s="27" t="str">
        <x:v>M5</x:v>
      </x:c>
      <x:c r="B244" s="27" t="str">
        <x:v>SCA-30</x:v>
      </x:c>
      <x:c r="C244" s="40" t="n">
        <x:v>0</x:v>
      </x:c>
      <x:c r="D244" s="40" t="n">
        <x:v>87635538</x:v>
      </x:c>
      <x:c r="E244" s="43" t="n">
        <x:f>IF(D244=0,0,C244/D244)</x:f>
        <x:v>0</x:v>
      </x:c>
      <x:c r="F244" s="62" t="n">
        <x:f>E244*INDEX(Campaigns!E:E,MATCH(A244,Campaigns!A:A,0))</x:f>
        <x:v>0</x:v>
      </x:c>
      <x:c r="G244" s="27" t="str">
        <x:f>IF(F244&gt;=0,"PASS","FAIL")</x:f>
        <x:v>PASS</x:v>
      </x:c>
    </x:row>
    <x:row r="245" ht="15" hidden="0" customHeight="1">
      <x:c r="A245" s="29" t="str">
        <x:v>C1</x:v>
      </x:c>
      <x:c r="B245" s="29" t="str">
        <x:v>SCA-31</x:v>
      </x:c>
      <x:c r="C245" s="41" t="n">
        <x:v>0</x:v>
      </x:c>
      <x:c r="D245" s="41" t="n">
        <x:v>39355309</x:v>
      </x:c>
      <x:c r="E245" s="44" t="n">
        <x:f>IF(D245=0,0,C245/D245)</x:f>
        <x:v>0</x:v>
      </x:c>
      <x:c r="F245" s="63" t="n">
        <x:f>E245*INDEX(Campaigns!E:E,MATCH(A245,Campaigns!A:A,0))</x:f>
        <x:v>0</x:v>
      </x:c>
      <x:c r="G245" s="29" t="str">
        <x:f>IF(F245&gt;=0,"PASS","FAIL")</x:f>
        <x:v>PASS</x:v>
      </x:c>
    </x:row>
    <x:row r="246" ht="15" hidden="0" customHeight="1">
      <x:c r="A246" s="27" t="str">
        <x:v>C2</x:v>
      </x:c>
      <x:c r="B246" s="27" t="str">
        <x:v>SCA-31</x:v>
      </x:c>
      <x:c r="C246" s="40" t="n">
        <x:v>0</x:v>
      </x:c>
      <x:c r="D246" s="40" t="n">
        <x:v>44475258</x:v>
      </x:c>
      <x:c r="E246" s="43" t="n">
        <x:f>IF(D246=0,0,C246/D246)</x:f>
        <x:v>0</x:v>
      </x:c>
      <x:c r="F246" s="62" t="n">
        <x:f>E246*INDEX(Campaigns!E:E,MATCH(A246,Campaigns!A:A,0))</x:f>
        <x:v>0</x:v>
      </x:c>
      <x:c r="G246" s="27" t="str">
        <x:f>IF(F246&gt;=0,"PASS","FAIL")</x:f>
        <x:v>PASS</x:v>
      </x:c>
    </x:row>
    <x:row r="247" ht="15" hidden="0" customHeight="1">
      <x:c r="A247" s="29" t="str">
        <x:v>C3</x:v>
      </x:c>
      <x:c r="B247" s="29" t="str">
        <x:v>SCA-31</x:v>
      </x:c>
      <x:c r="C247" s="41" t="n">
        <x:v>10752249</x:v>
      </x:c>
      <x:c r="D247" s="41" t="n">
        <x:v>54567175</x:v>
      </x:c>
      <x:c r="E247" s="44" t="n">
        <x:f>IF(D247=0,0,C247/D247)</x:f>
        <x:v>0.19704609960108802</x:v>
      </x:c>
      <x:c r="F247" s="63" t="n">
        <x:f>E247*INDEX(Campaigns!E:E,MATCH(A247,Campaigns!A:A,0))</x:f>
        <x:v>98.523049800544</x:v>
      </x:c>
      <x:c r="G247" s="29" t="str">
        <x:f>IF(F247&gt;=0,"PASS","FAIL")</x:f>
        <x:v>PASS</x:v>
      </x:c>
    </x:row>
    <x:row r="248" ht="15" hidden="0" customHeight="1">
      <x:c r="A248" s="27" t="str">
        <x:v>M1</x:v>
      </x:c>
      <x:c r="B248" s="27" t="str">
        <x:v>SCA-31</x:v>
      </x:c>
      <x:c r="C248" s="40" t="n">
        <x:v>0</x:v>
      </x:c>
      <x:c r="D248" s="40" t="n">
        <x:v>12274606</x:v>
      </x:c>
      <x:c r="E248" s="43" t="n">
        <x:f>IF(D248=0,0,C248/D248)</x:f>
        <x:v>0</x:v>
      </x:c>
      <x:c r="F248" s="62" t="n">
        <x:f>E248*INDEX(Campaigns!E:E,MATCH(A248,Campaigns!A:A,0))</x:f>
        <x:v>0</x:v>
      </x:c>
      <x:c r="G248" s="27" t="str">
        <x:f>IF(F248&gt;=0,"PASS","FAIL")</x:f>
        <x:v>PASS</x:v>
      </x:c>
    </x:row>
    <x:row r="249" ht="15" hidden="0" customHeight="1">
      <x:c r="A249" s="29" t="str">
        <x:v>M2</x:v>
      </x:c>
      <x:c r="B249" s="29" t="str">
        <x:v>SCA-31</x:v>
      </x:c>
      <x:c r="C249" s="41" t="n">
        <x:v>0</x:v>
      </x:c>
      <x:c r="D249" s="41" t="n">
        <x:v>36980573</x:v>
      </x:c>
      <x:c r="E249" s="44" t="n">
        <x:f>IF(D249=0,0,C249/D249)</x:f>
        <x:v>0</x:v>
      </x:c>
      <x:c r="F249" s="63" t="n">
        <x:f>E249*INDEX(Campaigns!E:E,MATCH(A249,Campaigns!A:A,0))</x:f>
        <x:v>0</x:v>
      </x:c>
      <x:c r="G249" s="29" t="str">
        <x:f>IF(F249&gt;=0,"PASS","FAIL")</x:f>
        <x:v>PASS</x:v>
      </x:c>
    </x:row>
    <x:row r="250" ht="15" hidden="0" customHeight="1">
      <x:c r="A250" s="27" t="str">
        <x:v>M3</x:v>
      </x:c>
      <x:c r="B250" s="27" t="str">
        <x:v>SCA-31</x:v>
      </x:c>
      <x:c r="C250" s="40" t="n">
        <x:v>0</x:v>
      </x:c>
      <x:c r="D250" s="40" t="n">
        <x:v>40804919</x:v>
      </x:c>
      <x:c r="E250" s="43" t="n">
        <x:f>IF(D250=0,0,C250/D250)</x:f>
        <x:v>0</x:v>
      </x:c>
      <x:c r="F250" s="62" t="n">
        <x:f>E250*INDEX(Campaigns!E:E,MATCH(A250,Campaigns!A:A,0))</x:f>
        <x:v>0</x:v>
      </x:c>
      <x:c r="G250" s="27" t="str">
        <x:f>IF(F250&gt;=0,"PASS","FAIL")</x:f>
        <x:v>PASS</x:v>
      </x:c>
    </x:row>
    <x:row r="251" ht="15" hidden="0" customHeight="1">
      <x:c r="A251" s="29" t="str">
        <x:v>M4</x:v>
      </x:c>
      <x:c r="B251" s="29" t="str">
        <x:v>SCA-31</x:v>
      </x:c>
      <x:c r="C251" s="41" t="n">
        <x:v>0</x:v>
      </x:c>
      <x:c r="D251" s="41" t="n">
        <x:v>60413615</x:v>
      </x:c>
      <x:c r="E251" s="44" t="n">
        <x:f>IF(D251=0,0,C251/D251)</x:f>
        <x:v>0</x:v>
      </x:c>
      <x:c r="F251" s="63" t="n">
        <x:f>E251*INDEX(Campaigns!E:E,MATCH(A251,Campaigns!A:A,0))</x:f>
        <x:v>0</x:v>
      </x:c>
      <x:c r="G251" s="29" t="str">
        <x:f>IF(F251&gt;=0,"PASS","FAIL")</x:f>
        <x:v>PASS</x:v>
      </x:c>
    </x:row>
    <x:row r="252" ht="15" hidden="0" customHeight="1">
      <x:c r="A252" s="27" t="str">
        <x:v>M5</x:v>
      </x:c>
      <x:c r="B252" s="27" t="str">
        <x:v>SCA-31</x:v>
      </x:c>
      <x:c r="C252" s="40" t="n">
        <x:v>0</x:v>
      </x:c>
      <x:c r="D252" s="40" t="n">
        <x:v>87635538</x:v>
      </x:c>
      <x:c r="E252" s="43" t="n">
        <x:f>IF(D252=0,0,C252/D252)</x:f>
        <x:v>0</x:v>
      </x:c>
      <x:c r="F252" s="62" t="n">
        <x:f>E252*INDEX(Campaigns!E:E,MATCH(A252,Campaigns!A:A,0))</x:f>
        <x:v>0</x:v>
      </x:c>
      <x:c r="G252" s="27" t="str">
        <x:f>IF(F252&gt;=0,"PASS","FAIL")</x:f>
        <x:v>PASS</x:v>
      </x:c>
    </x:row>
    <x:row r="253" ht="15" hidden="0" customHeight="1">
      <x:c r="A253" s="29" t="str">
        <x:v>C1</x:v>
      </x:c>
      <x:c r="B253" s="29" t="str">
        <x:v>SCA-32</x:v>
      </x:c>
      <x:c r="C253" s="41" t="n">
        <x:v>0</x:v>
      </x:c>
      <x:c r="D253" s="41" t="n">
        <x:v>39355309</x:v>
      </x:c>
      <x:c r="E253" s="44" t="n">
        <x:f>IF(D253=0,0,C253/D253)</x:f>
        <x:v>0</x:v>
      </x:c>
      <x:c r="F253" s="63" t="n">
        <x:f>E253*INDEX(Campaigns!E:E,MATCH(A253,Campaigns!A:A,0))</x:f>
        <x:v>0</x:v>
      </x:c>
      <x:c r="G253" s="29" t="str">
        <x:f>IF(F253&gt;=0,"PASS","FAIL")</x:f>
        <x:v>PASS</x:v>
      </x:c>
    </x:row>
    <x:row r="254" ht="15" hidden="0" customHeight="1">
      <x:c r="A254" s="27" t="str">
        <x:v>C2</x:v>
      </x:c>
      <x:c r="B254" s="27" t="str">
        <x:v>SCA-32</x:v>
      </x:c>
      <x:c r="C254" s="40" t="n">
        <x:v>0</x:v>
      </x:c>
      <x:c r="D254" s="40" t="n">
        <x:v>44475258</x:v>
      </x:c>
      <x:c r="E254" s="43" t="n">
        <x:f>IF(D254=0,0,C254/D254)</x:f>
        <x:v>0</x:v>
      </x:c>
      <x:c r="F254" s="62" t="n">
        <x:f>E254*INDEX(Campaigns!E:E,MATCH(A254,Campaigns!A:A,0))</x:f>
        <x:v>0</x:v>
      </x:c>
      <x:c r="G254" s="27" t="str">
        <x:f>IF(F254&gt;=0,"PASS","FAIL")</x:f>
        <x:v>PASS</x:v>
      </x:c>
    </x:row>
    <x:row r="255" ht="15" hidden="0" customHeight="1">
      <x:c r="A255" s="29" t="str">
        <x:v>C3</x:v>
      </x:c>
      <x:c r="B255" s="29" t="str">
        <x:v>SCA-32</x:v>
      </x:c>
      <x:c r="C255" s="41" t="n">
        <x:v>0</x:v>
      </x:c>
      <x:c r="D255" s="41" t="n">
        <x:v>54567175</x:v>
      </x:c>
      <x:c r="E255" s="44" t="n">
        <x:f>IF(D255=0,0,C255/D255)</x:f>
        <x:v>0</x:v>
      </x:c>
      <x:c r="F255" s="63" t="n">
        <x:f>E255*INDEX(Campaigns!E:E,MATCH(A255,Campaigns!A:A,0))</x:f>
        <x:v>0</x:v>
      </x:c>
      <x:c r="G255" s="29" t="str">
        <x:f>IF(F255&gt;=0,"PASS","FAIL")</x:f>
        <x:v>PASS</x:v>
      </x:c>
    </x:row>
    <x:row r="256" ht="15" hidden="0" customHeight="1">
      <x:c r="A256" s="27" t="str">
        <x:v>M1</x:v>
      </x:c>
      <x:c r="B256" s="27" t="str">
        <x:v>SCA-32</x:v>
      </x:c>
      <x:c r="C256" s="40" t="n">
        <x:v>0</x:v>
      </x:c>
      <x:c r="D256" s="40" t="n">
        <x:v>12274606</x:v>
      </x:c>
      <x:c r="E256" s="43" t="n">
        <x:f>IF(D256=0,0,C256/D256)</x:f>
        <x:v>0</x:v>
      </x:c>
      <x:c r="F256" s="62" t="n">
        <x:f>E256*INDEX(Campaigns!E:E,MATCH(A256,Campaigns!A:A,0))</x:f>
        <x:v>0</x:v>
      </x:c>
      <x:c r="G256" s="27" t="str">
        <x:f>IF(F256&gt;=0,"PASS","FAIL")</x:f>
        <x:v>PASS</x:v>
      </x:c>
    </x:row>
    <x:row r="257" ht="15" hidden="0" customHeight="1">
      <x:c r="A257" s="29" t="str">
        <x:v>M2</x:v>
      </x:c>
      <x:c r="B257" s="29" t="str">
        <x:v>SCA-32</x:v>
      </x:c>
      <x:c r="C257" s="41" t="n">
        <x:v>0</x:v>
      </x:c>
      <x:c r="D257" s="41" t="n">
        <x:v>36980573</x:v>
      </x:c>
      <x:c r="E257" s="44" t="n">
        <x:f>IF(D257=0,0,C257/D257)</x:f>
        <x:v>0</x:v>
      </x:c>
      <x:c r="F257" s="63" t="n">
        <x:f>E257*INDEX(Campaigns!E:E,MATCH(A257,Campaigns!A:A,0))</x:f>
        <x:v>0</x:v>
      </x:c>
      <x:c r="G257" s="29" t="str">
        <x:f>IF(F257&gt;=0,"PASS","FAIL")</x:f>
        <x:v>PASS</x:v>
      </x:c>
    </x:row>
    <x:row r="258" ht="15" hidden="0" customHeight="1">
      <x:c r="A258" s="27" t="str">
        <x:v>M3</x:v>
      </x:c>
      <x:c r="B258" s="27" t="str">
        <x:v>SCA-32</x:v>
      </x:c>
      <x:c r="C258" s="40" t="n">
        <x:v>0</x:v>
      </x:c>
      <x:c r="D258" s="40" t="n">
        <x:v>40804919</x:v>
      </x:c>
      <x:c r="E258" s="43" t="n">
        <x:f>IF(D258=0,0,C258/D258)</x:f>
        <x:v>0</x:v>
      </x:c>
      <x:c r="F258" s="62" t="n">
        <x:f>E258*INDEX(Campaigns!E:E,MATCH(A258,Campaigns!A:A,0))</x:f>
        <x:v>0</x:v>
      </x:c>
      <x:c r="G258" s="27" t="str">
        <x:f>IF(F258&gt;=0,"PASS","FAIL")</x:f>
        <x:v>PASS</x:v>
      </x:c>
    </x:row>
    <x:row r="259" ht="15" hidden="0" customHeight="1">
      <x:c r="A259" s="29" t="str">
        <x:v>M4</x:v>
      </x:c>
      <x:c r="B259" s="29" t="str">
        <x:v>SCA-32</x:v>
      </x:c>
      <x:c r="C259" s="41" t="n">
        <x:v>0</x:v>
      </x:c>
      <x:c r="D259" s="41" t="n">
        <x:v>60413615</x:v>
      </x:c>
      <x:c r="E259" s="44" t="n">
        <x:f>IF(D259=0,0,C259/D259)</x:f>
        <x:v>0</x:v>
      </x:c>
      <x:c r="F259" s="63" t="n">
        <x:f>E259*INDEX(Campaigns!E:E,MATCH(A259,Campaigns!A:A,0))</x:f>
        <x:v>0</x:v>
      </x:c>
      <x:c r="G259" s="29" t="str">
        <x:f>IF(F259&gt;=0,"PASS","FAIL")</x:f>
        <x:v>PASS</x:v>
      </x:c>
    </x:row>
    <x:row r="260" ht="15" hidden="0" customHeight="1">
      <x:c r="A260" s="27" t="str">
        <x:v>M5</x:v>
      </x:c>
      <x:c r="B260" s="27" t="str">
        <x:v>SCA-32</x:v>
      </x:c>
      <x:c r="C260" s="40" t="n">
        <x:v>0</x:v>
      </x:c>
      <x:c r="D260" s="40" t="n">
        <x:v>87635538</x:v>
      </x:c>
      <x:c r="E260" s="43" t="n">
        <x:f>IF(D260=0,0,C260/D260)</x:f>
        <x:v>0</x:v>
      </x:c>
      <x:c r="F260" s="62" t="n">
        <x:f>E260*INDEX(Campaigns!E:E,MATCH(A260,Campaigns!A:A,0))</x:f>
        <x:v>0</x:v>
      </x:c>
      <x:c r="G260" s="27" t="str">
        <x:f>IF(F260&gt;=0,"PASS","FAIL")</x:f>
        <x:v>PASS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38" hidden="0" customWidth="1"/>
  </x:cols>
  <x:sheetData>
    <x:row r="1" ht="29" customHeight="1">
      <x:c r="A1" s="81" t="str">
        <x:v>Receiver survival under concurrent campaigns</x:v>
      </x:c>
      <x:c r="B1" s="81"/>
      <x:c r="C1" s="81"/>
      <x:c r="D1" s="81"/>
      <x:c r="E1" s="81"/>
      <x:c r="F1" s="81"/>
      <x:c r="G1" s="81"/>
    </x:row>
    <x:row r="2" ht="29" customHeight="1">
      <x:c r="A2" s="82" t="str">
        <x:v>Damage is an explicit stress rule based on population exposure. FEMA NRI scores are not used as failure probabilities.</x:v>
      </x:c>
      <x:c r="B2" s="82"/>
      <x:c r="C2" s="82"/>
      <x:c r="D2" s="82"/>
      <x:c r="E2" s="82"/>
      <x:c r="F2" s="82"/>
      <x:c r="G2" s="82"/>
    </x:row>
    <x:row r="3">
      <x:c r="A3" s="83"/>
      <x:c r="B3" s="83"/>
      <x:c r="C3" s="83"/>
      <x:c r="D3" s="83"/>
      <x:c r="E3" s="83"/>
      <x:c r="F3" s="83"/>
      <x:c r="G3" s="83"/>
    </x:row>
    <x:row r="4" ht="31" customHeight="1">
      <x:c r="A4" s="84" t="str">
        <x:v>Campaign</x:v>
      </x:c>
      <x:c r="B4" s="85" t="str">
        <x:v>SCA</x:v>
      </x:c>
      <x:c r="C4" s="85" t="str">
        <x:v>Exposure share</x:v>
      </x:c>
      <x:c r="D4" s="85" t="str">
        <x:v>Assumed loss</x:v>
      </x:c>
      <x:c r="E4" s="85" t="str">
        <x:v>Survival factor</x:v>
      </x:c>
      <x:c r="F4" s="85" t="str">
        <x:v>Compound rule</x:v>
      </x:c>
      <x:c r="G4" s="86" t="str">
        <x:v>Boundary</x:v>
      </x:c>
    </x:row>
    <x:row r="5" ht="75.5999984741211" hidden="0" customHeight="1">
      <x:c r="A5" s="28" t="str">
        <x:v>C1</x:v>
      </x:c>
      <x:c r="B5" s="28" t="str">
        <x:v>SCA-01</x:v>
      </x:c>
      <x:c r="C5" s="48" t="n">
        <x:v>0</x:v>
      </x:c>
      <x:c r="D5" s="48" t="n">
        <x:f>INDEX(Campaigns!F:F,MATCH(A5,Campaigns!A:A,0))</x:f>
        <x:v>0.5</x:v>
      </x:c>
      <x:c r="E5" s="48" t="n">
        <x:f>1-C5*D5</x:f>
        <x:v>1</x:v>
      </x:c>
      <x:c r="F5" s="28" t="str">
        <x:v>multiply across campaigns; floor combined survival at 25%</x:v>
      </x:c>
      <x:c r="G5" s="28" t="str">
        <x:v>stress assumption</x:v>
      </x:c>
    </x:row>
    <x:row r="6" ht="75.5999984741211" hidden="0" customHeight="1">
      <x:c r="A6" s="27" t="str">
        <x:v>C2</x:v>
      </x:c>
      <x:c r="B6" s="27" t="str">
        <x:v>SCA-01</x:v>
      </x:c>
      <x:c r="C6" s="49" t="n">
        <x:v>0</x:v>
      </x:c>
      <x:c r="D6" s="49" t="n">
        <x:f>INDEX(Campaigns!F:F,MATCH(A6,Campaigns!A:A,0))</x:f>
        <x:v>0.5</x:v>
      </x:c>
      <x:c r="E6" s="49" t="n">
        <x:f>1-C6*D6</x:f>
        <x:v>1</x:v>
      </x:c>
      <x:c r="F6" s="27" t="str">
        <x:v>multiply across campaigns; floor combined survival at 25%</x:v>
      </x:c>
      <x:c r="G6" s="27" t="str">
        <x:v>stress assumption</x:v>
      </x:c>
    </x:row>
    <x:row r="7" ht="75.5999984741211" hidden="0" customHeight="1">
      <x:c r="A7" s="29" t="str">
        <x:v>C3</x:v>
      </x:c>
      <x:c r="B7" s="29" t="str">
        <x:v>SCA-01</x:v>
      </x:c>
      <x:c r="C7" s="50" t="n">
        <x:v>0</x:v>
      </x:c>
      <x:c r="D7" s="50" t="n">
        <x:f>INDEX(Campaigns!F:F,MATCH(A7,Campaigns!A:A,0))</x:f>
        <x:v>0.5</x:v>
      </x:c>
      <x:c r="E7" s="50" t="n">
        <x:f>1-C7*D7</x:f>
        <x:v>1</x:v>
      </x:c>
      <x:c r="F7" s="29" t="str">
        <x:v>multiply across campaigns; floor combined survival at 25%</x:v>
      </x:c>
      <x:c r="G7" s="29" t="str">
        <x:v>stress assumption</x:v>
      </x:c>
    </x:row>
    <x:row r="8" ht="75.5999984741211" hidden="0" customHeight="1">
      <x:c r="A8" s="27" t="str">
        <x:v>M1</x:v>
      </x:c>
      <x:c r="B8" s="27" t="str">
        <x:v>SCA-01</x:v>
      </x:c>
      <x:c r="C8" s="49" t="n">
        <x:v>0</x:v>
      </x:c>
      <x:c r="D8" s="49" t="n">
        <x:f>INDEX(Campaigns!F:F,MATCH(A8,Campaigns!A:A,0))</x:f>
        <x:v>0.3</x:v>
      </x:c>
      <x:c r="E8" s="49" t="n">
        <x:f>1-C8*D8</x:f>
        <x:v>1</x:v>
      </x:c>
      <x:c r="F8" s="27" t="str">
        <x:v>multiply across campaigns; floor combined survival at 25%</x:v>
      </x:c>
      <x:c r="G8" s="27" t="str">
        <x:v>stress assumption</x:v>
      </x:c>
    </x:row>
    <x:row r="9" ht="75.5999984741211" hidden="0" customHeight="1">
      <x:c r="A9" s="29" t="str">
        <x:v>M2</x:v>
      </x:c>
      <x:c r="B9" s="29" t="str">
        <x:v>SCA-01</x:v>
      </x:c>
      <x:c r="C9" s="50" t="n">
        <x:v>0</x:v>
      </x:c>
      <x:c r="D9" s="50" t="n">
        <x:f>INDEX(Campaigns!F:F,MATCH(A9,Campaigns!A:A,0))</x:f>
        <x:v>0.3</x:v>
      </x:c>
      <x:c r="E9" s="50" t="n">
        <x:f>1-C9*D9</x:f>
        <x:v>1</x:v>
      </x:c>
      <x:c r="F9" s="29" t="str">
        <x:v>multiply across campaigns; floor combined survival at 25%</x:v>
      </x:c>
      <x:c r="G9" s="29" t="str">
        <x:v>stress assumption</x:v>
      </x:c>
    </x:row>
    <x:row r="10" ht="75.5999984741211" hidden="0" customHeight="1">
      <x:c r="A10" s="27" t="str">
        <x:v>M3</x:v>
      </x:c>
      <x:c r="B10" s="27" t="str">
        <x:v>SCA-01</x:v>
      </x:c>
      <x:c r="C10" s="49" t="n">
        <x:v>0</x:v>
      </x:c>
      <x:c r="D10" s="49" t="n">
        <x:f>INDEX(Campaigns!F:F,MATCH(A10,Campaigns!A:A,0))</x:f>
        <x:v>0.3</x:v>
      </x:c>
      <x:c r="E10" s="49" t="n">
        <x:f>1-C10*D10</x:f>
        <x:v>1</x:v>
      </x:c>
      <x:c r="F10" s="27" t="str">
        <x:v>multiply across campaigns; floor combined survival at 25%</x:v>
      </x:c>
      <x:c r="G10" s="27" t="str">
        <x:v>stress assumption</x:v>
      </x:c>
    </x:row>
    <x:row r="11" ht="75.5999984741211" hidden="0" customHeight="1">
      <x:c r="A11" s="29" t="str">
        <x:v>M4</x:v>
      </x:c>
      <x:c r="B11" s="29" t="str">
        <x:v>SCA-01</x:v>
      </x:c>
      <x:c r="C11" s="50" t="n">
        <x:v>0</x:v>
      </x:c>
      <x:c r="D11" s="50" t="n">
        <x:f>INDEX(Campaigns!F:F,MATCH(A11,Campaigns!A:A,0))</x:f>
        <x:v>0.3</x:v>
      </x:c>
      <x:c r="E11" s="50" t="n">
        <x:f>1-C11*D11</x:f>
        <x:v>1</x:v>
      </x:c>
      <x:c r="F11" s="29" t="str">
        <x:v>multiply across campaigns; floor combined survival at 25%</x:v>
      </x:c>
      <x:c r="G11" s="29" t="str">
        <x:v>stress assumption</x:v>
      </x:c>
    </x:row>
    <x:row r="12" ht="75.5999984741211" hidden="0" customHeight="1">
      <x:c r="A12" s="27" t="str">
        <x:v>M5</x:v>
      </x:c>
      <x:c r="B12" s="27" t="str">
        <x:v>SCA-01</x:v>
      </x:c>
      <x:c r="C12" s="49" t="n">
        <x:v>0</x:v>
      </x:c>
      <x:c r="D12" s="49" t="n">
        <x:f>INDEX(Campaigns!F:F,MATCH(A12,Campaigns!A:A,0))</x:f>
        <x:v>0.3</x:v>
      </x:c>
      <x:c r="E12" s="49" t="n">
        <x:f>1-C12*D12</x:f>
        <x:v>1</x:v>
      </x:c>
      <x:c r="F12" s="27" t="str">
        <x:v>multiply across campaigns; floor combined survival at 25%</x:v>
      </x:c>
      <x:c r="G12" s="27" t="str">
        <x:v>stress assumption</x:v>
      </x:c>
    </x:row>
    <x:row r="13" ht="75.5999984741211" hidden="0" customHeight="1">
      <x:c r="A13" s="29" t="str">
        <x:v>C1</x:v>
      </x:c>
      <x:c r="B13" s="29" t="str">
        <x:v>SCA-02</x:v>
      </x:c>
      <x:c r="C13" s="50" t="n">
        <x:v>0</x:v>
      </x:c>
      <x:c r="D13" s="50" t="n">
        <x:f>INDEX(Campaigns!F:F,MATCH(A13,Campaigns!A:A,0))</x:f>
        <x:v>0.5</x:v>
      </x:c>
      <x:c r="E13" s="50" t="n">
        <x:f>1-C13*D13</x:f>
        <x:v>1</x:v>
      </x:c>
      <x:c r="F13" s="29" t="str">
        <x:v>multiply across campaigns; floor combined survival at 25%</x:v>
      </x:c>
      <x:c r="G13" s="29" t="str">
        <x:v>stress assumption</x:v>
      </x:c>
    </x:row>
    <x:row r="14" ht="75.5999984741211" hidden="0" customHeight="1">
      <x:c r="A14" s="27" t="str">
        <x:v>C2</x:v>
      </x:c>
      <x:c r="B14" s="27" t="str">
        <x:v>SCA-02</x:v>
      </x:c>
      <x:c r="C14" s="49" t="n">
        <x:v>0</x:v>
      </x:c>
      <x:c r="D14" s="49" t="n">
        <x:f>INDEX(Campaigns!F:F,MATCH(A14,Campaigns!A:A,0))</x:f>
        <x:v>0.5</x:v>
      </x:c>
      <x:c r="E14" s="49" t="n">
        <x:f>1-C14*D14</x:f>
        <x:v>1</x:v>
      </x:c>
      <x:c r="F14" s="27" t="str">
        <x:v>multiply across campaigns; floor combined survival at 25%</x:v>
      </x:c>
      <x:c r="G14" s="27" t="str">
        <x:v>stress assumption</x:v>
      </x:c>
    </x:row>
    <x:row r="15" ht="75.5999984741211" hidden="0" customHeight="1">
      <x:c r="A15" s="29" t="str">
        <x:v>C3</x:v>
      </x:c>
      <x:c r="B15" s="29" t="str">
        <x:v>SCA-02</x:v>
      </x:c>
      <x:c r="C15" s="50" t="n">
        <x:v>0</x:v>
      </x:c>
      <x:c r="D15" s="50" t="n">
        <x:f>INDEX(Campaigns!F:F,MATCH(A15,Campaigns!A:A,0))</x:f>
        <x:v>0.5</x:v>
      </x:c>
      <x:c r="E15" s="50" t="n">
        <x:f>1-C15*D15</x:f>
        <x:v>1</x:v>
      </x:c>
      <x:c r="F15" s="29" t="str">
        <x:v>multiply across campaigns; floor combined survival at 25%</x:v>
      </x:c>
      <x:c r="G15" s="29" t="str">
        <x:v>stress assumption</x:v>
      </x:c>
    </x:row>
    <x:row r="16" ht="75.5999984741211" hidden="0" customHeight="1">
      <x:c r="A16" s="27" t="str">
        <x:v>M1</x:v>
      </x:c>
      <x:c r="B16" s="27" t="str">
        <x:v>SCA-02</x:v>
      </x:c>
      <x:c r="C16" s="49" t="n">
        <x:v>0</x:v>
      </x:c>
      <x:c r="D16" s="49" t="n">
        <x:f>INDEX(Campaigns!F:F,MATCH(A16,Campaigns!A:A,0))</x:f>
        <x:v>0.3</x:v>
      </x:c>
      <x:c r="E16" s="49" t="n">
        <x:f>1-C16*D16</x:f>
        <x:v>1</x:v>
      </x:c>
      <x:c r="F16" s="27" t="str">
        <x:v>multiply across campaigns; floor combined survival at 25%</x:v>
      </x:c>
      <x:c r="G16" s="27" t="str">
        <x:v>stress assumption</x:v>
      </x:c>
    </x:row>
    <x:row r="17" ht="75.5999984741211" hidden="0" customHeight="1">
      <x:c r="A17" s="29" t="str">
        <x:v>M2</x:v>
      </x:c>
      <x:c r="B17" s="29" t="str">
        <x:v>SCA-02</x:v>
      </x:c>
      <x:c r="C17" s="50" t="n">
        <x:v>0</x:v>
      </x:c>
      <x:c r="D17" s="50" t="n">
        <x:f>INDEX(Campaigns!F:F,MATCH(A17,Campaigns!A:A,0))</x:f>
        <x:v>0.3</x:v>
      </x:c>
      <x:c r="E17" s="50" t="n">
        <x:f>1-C17*D17</x:f>
        <x:v>1</x:v>
      </x:c>
      <x:c r="F17" s="29" t="str">
        <x:v>multiply across campaigns; floor combined survival at 25%</x:v>
      </x:c>
      <x:c r="G17" s="29" t="str">
        <x:v>stress assumption</x:v>
      </x:c>
    </x:row>
    <x:row r="18" ht="75.5999984741211" hidden="0" customHeight="1">
      <x:c r="A18" s="27" t="str">
        <x:v>M3</x:v>
      </x:c>
      <x:c r="B18" s="27" t="str">
        <x:v>SCA-02</x:v>
      </x:c>
      <x:c r="C18" s="49" t="n">
        <x:v>0</x:v>
      </x:c>
      <x:c r="D18" s="49" t="n">
        <x:f>INDEX(Campaigns!F:F,MATCH(A18,Campaigns!A:A,0))</x:f>
        <x:v>0.3</x:v>
      </x:c>
      <x:c r="E18" s="49" t="n">
        <x:f>1-C18*D18</x:f>
        <x:v>1</x:v>
      </x:c>
      <x:c r="F18" s="27" t="str">
        <x:v>multiply across campaigns; floor combined survival at 25%</x:v>
      </x:c>
      <x:c r="G18" s="27" t="str">
        <x:v>stress assumption</x:v>
      </x:c>
    </x:row>
    <x:row r="19" ht="75.5999984741211" hidden="0" customHeight="1">
      <x:c r="A19" s="29" t="str">
        <x:v>M4</x:v>
      </x:c>
      <x:c r="B19" s="29" t="str">
        <x:v>SCA-02</x:v>
      </x:c>
      <x:c r="C19" s="50" t="n">
        <x:v>0</x:v>
      </x:c>
      <x:c r="D19" s="50" t="n">
        <x:f>INDEX(Campaigns!F:F,MATCH(A19,Campaigns!A:A,0))</x:f>
        <x:v>0.3</x:v>
      </x:c>
      <x:c r="E19" s="50" t="n">
        <x:f>1-C19*D19</x:f>
        <x:v>1</x:v>
      </x:c>
      <x:c r="F19" s="29" t="str">
        <x:v>multiply across campaigns; floor combined survival at 25%</x:v>
      </x:c>
      <x:c r="G19" s="29" t="str">
        <x:v>stress assumption</x:v>
      </x:c>
    </x:row>
    <x:row r="20" ht="75.5999984741211" hidden="0" customHeight="1">
      <x:c r="A20" s="27" t="str">
        <x:v>M5</x:v>
      </x:c>
      <x:c r="B20" s="27" t="str">
        <x:v>SCA-02</x:v>
      </x:c>
      <x:c r="C20" s="49" t="n">
        <x:v>0</x:v>
      </x:c>
      <x:c r="D20" s="49" t="n">
        <x:f>INDEX(Campaigns!F:F,MATCH(A20,Campaigns!A:A,0))</x:f>
        <x:v>0.3</x:v>
      </x:c>
      <x:c r="E20" s="49" t="n">
        <x:f>1-C20*D20</x:f>
        <x:v>1</x:v>
      </x:c>
      <x:c r="F20" s="27" t="str">
        <x:v>multiply across campaigns; floor combined survival at 25%</x:v>
      </x:c>
      <x:c r="G20" s="27" t="str">
        <x:v>stress assumption</x:v>
      </x:c>
    </x:row>
    <x:row r="21" ht="75.5999984741211" hidden="0" customHeight="1">
      <x:c r="A21" s="29" t="str">
        <x:v>C1</x:v>
      </x:c>
      <x:c r="B21" s="29" t="str">
        <x:v>SCA-03</x:v>
      </x:c>
      <x:c r="C21" s="50" t="n">
        <x:v>0</x:v>
      </x:c>
      <x:c r="D21" s="50" t="n">
        <x:f>INDEX(Campaigns!F:F,MATCH(A21,Campaigns!A:A,0))</x:f>
        <x:v>0.5</x:v>
      </x:c>
      <x:c r="E21" s="50" t="n">
        <x:f>1-C21*D21</x:f>
        <x:v>1</x:v>
      </x:c>
      <x:c r="F21" s="29" t="str">
        <x:v>multiply across campaigns; floor combined survival at 25%</x:v>
      </x:c>
      <x:c r="G21" s="29" t="str">
        <x:v>stress assumption</x:v>
      </x:c>
    </x:row>
    <x:row r="22" ht="75.5999984741211" hidden="0" customHeight="1">
      <x:c r="A22" s="27" t="str">
        <x:v>C2</x:v>
      </x:c>
      <x:c r="B22" s="27" t="str">
        <x:v>SCA-03</x:v>
      </x:c>
      <x:c r="C22" s="49" t="n">
        <x:v>0</x:v>
      </x:c>
      <x:c r="D22" s="49" t="n">
        <x:f>INDEX(Campaigns!F:F,MATCH(A22,Campaigns!A:A,0))</x:f>
        <x:v>0.5</x:v>
      </x:c>
      <x:c r="E22" s="49" t="n">
        <x:f>1-C22*D22</x:f>
        <x:v>1</x:v>
      </x:c>
      <x:c r="F22" s="27" t="str">
        <x:v>multiply across campaigns; floor combined survival at 25%</x:v>
      </x:c>
      <x:c r="G22" s="27" t="str">
        <x:v>stress assumption</x:v>
      </x:c>
    </x:row>
    <x:row r="23" ht="75.5999984741211" hidden="0" customHeight="1">
      <x:c r="A23" s="29" t="str">
        <x:v>C3</x:v>
      </x:c>
      <x:c r="B23" s="29" t="str">
        <x:v>SCA-03</x:v>
      </x:c>
      <x:c r="C23" s="50" t="n">
        <x:v>0</x:v>
      </x:c>
      <x:c r="D23" s="50" t="n">
        <x:f>INDEX(Campaigns!F:F,MATCH(A23,Campaigns!A:A,0))</x:f>
        <x:v>0.5</x:v>
      </x:c>
      <x:c r="E23" s="50" t="n">
        <x:f>1-C23*D23</x:f>
        <x:v>1</x:v>
      </x:c>
      <x:c r="F23" s="29" t="str">
        <x:v>multiply across campaigns; floor combined survival at 25%</x:v>
      </x:c>
      <x:c r="G23" s="29" t="str">
        <x:v>stress assumption</x:v>
      </x:c>
    </x:row>
    <x:row r="24" ht="75.5999984741211" hidden="0" customHeight="1">
      <x:c r="A24" s="27" t="str">
        <x:v>M1</x:v>
      </x:c>
      <x:c r="B24" s="27" t="str">
        <x:v>SCA-03</x:v>
      </x:c>
      <x:c r="C24" s="49" t="n">
        <x:v>0.9720128358996108</x:v>
      </x:c>
      <x:c r="D24" s="49" t="n">
        <x:f>INDEX(Campaigns!F:F,MATCH(A24,Campaigns!A:A,0))</x:f>
        <x:v>0.3</x:v>
      </x:c>
      <x:c r="E24" s="49" t="n">
        <x:f>1-C24*D24</x:f>
        <x:v>0.7083961492301167</x:v>
      </x:c>
      <x:c r="F24" s="27" t="str">
        <x:v>multiply across campaigns; floor combined survival at 25%</x:v>
      </x:c>
      <x:c r="G24" s="27" t="str">
        <x:v>stress assumption</x:v>
      </x:c>
    </x:row>
    <x:row r="25" ht="75.5999984741211" hidden="0" customHeight="1">
      <x:c r="A25" s="29" t="str">
        <x:v>M2</x:v>
      </x:c>
      <x:c r="B25" s="29" t="str">
        <x:v>SCA-03</x:v>
      </x:c>
      <x:c r="C25" s="50" t="n">
        <x:v>0</x:v>
      </x:c>
      <x:c r="D25" s="50" t="n">
        <x:f>INDEX(Campaigns!F:F,MATCH(A25,Campaigns!A:A,0))</x:f>
        <x:v>0.3</x:v>
      </x:c>
      <x:c r="E25" s="50" t="n">
        <x:f>1-C25*D25</x:f>
        <x:v>1</x:v>
      </x:c>
      <x:c r="F25" s="29" t="str">
        <x:v>multiply across campaigns; floor combined survival at 25%</x:v>
      </x:c>
      <x:c r="G25" s="29" t="str">
        <x:v>stress assumption</x:v>
      </x:c>
    </x:row>
    <x:row r="26" ht="75.5999984741211" hidden="0" customHeight="1">
      <x:c r="A26" s="27" t="str">
        <x:v>M3</x:v>
      </x:c>
      <x:c r="B26" s="27" t="str">
        <x:v>SCA-03</x:v>
      </x:c>
      <x:c r="C26" s="49" t="n">
        <x:v>0</x:v>
      </x:c>
      <x:c r="D26" s="49" t="n">
        <x:f>INDEX(Campaigns!F:F,MATCH(A26,Campaigns!A:A,0))</x:f>
        <x:v>0.3</x:v>
      </x:c>
      <x:c r="E26" s="49" t="n">
        <x:f>1-C26*D26</x:f>
        <x:v>1</x:v>
      </x:c>
      <x:c r="F26" s="27" t="str">
        <x:v>multiply across campaigns; floor combined survival at 25%</x:v>
      </x:c>
      <x:c r="G26" s="27" t="str">
        <x:v>stress assumption</x:v>
      </x:c>
    </x:row>
    <x:row r="27" ht="75.5999984741211" hidden="0" customHeight="1">
      <x:c r="A27" s="29" t="str">
        <x:v>M4</x:v>
      </x:c>
      <x:c r="B27" s="29" t="str">
        <x:v>SCA-03</x:v>
      </x:c>
      <x:c r="C27" s="50" t="n">
        <x:v>0</x:v>
      </x:c>
      <x:c r="D27" s="50" t="n">
        <x:f>INDEX(Campaigns!F:F,MATCH(A27,Campaigns!A:A,0))</x:f>
        <x:v>0.3</x:v>
      </x:c>
      <x:c r="E27" s="50" t="n">
        <x:f>1-C27*D27</x:f>
        <x:v>1</x:v>
      </x:c>
      <x:c r="F27" s="29" t="str">
        <x:v>multiply across campaigns; floor combined survival at 25%</x:v>
      </x:c>
      <x:c r="G27" s="29" t="str">
        <x:v>stress assumption</x:v>
      </x:c>
    </x:row>
    <x:row r="28" ht="75.5999984741211" hidden="0" customHeight="1">
      <x:c r="A28" s="27" t="str">
        <x:v>M5</x:v>
      </x:c>
      <x:c r="B28" s="27" t="str">
        <x:v>SCA-03</x:v>
      </x:c>
      <x:c r="C28" s="49" t="n">
        <x:v>0</x:v>
      </x:c>
      <x:c r="D28" s="49" t="n">
        <x:f>INDEX(Campaigns!F:F,MATCH(A28,Campaigns!A:A,0))</x:f>
        <x:v>0.3</x:v>
      </x:c>
      <x:c r="E28" s="49" t="n">
        <x:f>1-C28*D28</x:f>
        <x:v>1</x:v>
      </x:c>
      <x:c r="F28" s="27" t="str">
        <x:v>multiply across campaigns; floor combined survival at 25%</x:v>
      </x:c>
      <x:c r="G28" s="27" t="str">
        <x:v>stress assumption</x:v>
      </x:c>
    </x:row>
    <x:row r="29" ht="75.5999984741211" hidden="0" customHeight="1">
      <x:c r="A29" s="29" t="str">
        <x:v>C1</x:v>
      </x:c>
      <x:c r="B29" s="29" t="str">
        <x:v>SCA-04</x:v>
      </x:c>
      <x:c r="C29" s="50" t="n">
        <x:v>0.9344309146586488</x:v>
      </x:c>
      <x:c r="D29" s="50" t="n">
        <x:f>INDEX(Campaigns!F:F,MATCH(A29,Campaigns!A:A,0))</x:f>
        <x:v>0.5</x:v>
      </x:c>
      <x:c r="E29" s="50" t="n">
        <x:f>1-C29*D29</x:f>
        <x:v>0.5327845426706757</x:v>
      </x:c>
      <x:c r="F29" s="29" t="str">
        <x:v>multiply across campaigns; floor combined survival at 25%</x:v>
      </x:c>
      <x:c r="G29" s="29" t="str">
        <x:v>stress assumption</x:v>
      </x:c>
    </x:row>
    <x:row r="30" ht="75.5999984741211" hidden="0" customHeight="1">
      <x:c r="A30" s="27" t="str">
        <x:v>C2</x:v>
      </x:c>
      <x:c r="B30" s="27" t="str">
        <x:v>SCA-04</x:v>
      </x:c>
      <x:c r="C30" s="49" t="n">
        <x:v>0</x:v>
      </x:c>
      <x:c r="D30" s="49" t="n">
        <x:f>INDEX(Campaigns!F:F,MATCH(A30,Campaigns!A:A,0))</x:f>
        <x:v>0.5</x:v>
      </x:c>
      <x:c r="E30" s="49" t="n">
        <x:f>1-C30*D30</x:f>
        <x:v>1</x:v>
      </x:c>
      <x:c r="F30" s="27" t="str">
        <x:v>multiply across campaigns; floor combined survival at 25%</x:v>
      </x:c>
      <x:c r="G30" s="27" t="str">
        <x:v>stress assumption</x:v>
      </x:c>
    </x:row>
    <x:row r="31" ht="75.5999984741211" hidden="0" customHeight="1">
      <x:c r="A31" s="29" t="str">
        <x:v>C3</x:v>
      </x:c>
      <x:c r="B31" s="29" t="str">
        <x:v>SCA-04</x:v>
      </x:c>
      <x:c r="C31" s="50" t="n">
        <x:v>0</x:v>
      </x:c>
      <x:c r="D31" s="50" t="n">
        <x:f>INDEX(Campaigns!F:F,MATCH(A31,Campaigns!A:A,0))</x:f>
        <x:v>0.5</x:v>
      </x:c>
      <x:c r="E31" s="50" t="n">
        <x:f>1-C31*D31</x:f>
        <x:v>1</x:v>
      </x:c>
      <x:c r="F31" s="29" t="str">
        <x:v>multiply across campaigns; floor combined survival at 25%</x:v>
      </x:c>
      <x:c r="G31" s="29" t="str">
        <x:v>stress assumption</x:v>
      </x:c>
    </x:row>
    <x:row r="32" ht="75.5999984741211" hidden="0" customHeight="1">
      <x:c r="A32" s="27" t="str">
        <x:v>M1</x:v>
      </x:c>
      <x:c r="B32" s="27" t="str">
        <x:v>SCA-04</x:v>
      </x:c>
      <x:c r="C32" s="49" t="n">
        <x:v>0.020510701232742012</x:v>
      </x:c>
      <x:c r="D32" s="49" t="n">
        <x:f>INDEX(Campaigns!F:F,MATCH(A32,Campaigns!A:A,0))</x:f>
        <x:v>0.3</x:v>
      </x:c>
      <x:c r="E32" s="49" t="n">
        <x:f>1-C32*D32</x:f>
        <x:v>0.9938467896301774</x:v>
      </x:c>
      <x:c r="F32" s="27" t="str">
        <x:v>multiply across campaigns; floor combined survival at 25%</x:v>
      </x:c>
      <x:c r="G32" s="27" t="str">
        <x:v>stress assumption</x:v>
      </x:c>
    </x:row>
    <x:row r="33" ht="75.5999984741211" hidden="0" customHeight="1">
      <x:c r="A33" s="29" t="str">
        <x:v>M2</x:v>
      </x:c>
      <x:c r="B33" s="29" t="str">
        <x:v>SCA-04</x:v>
      </x:c>
      <x:c r="C33" s="50" t="n">
        <x:v>0</x:v>
      </x:c>
      <x:c r="D33" s="50" t="n">
        <x:f>INDEX(Campaigns!F:F,MATCH(A33,Campaigns!A:A,0))</x:f>
        <x:v>0.3</x:v>
      </x:c>
      <x:c r="E33" s="50" t="n">
        <x:f>1-C33*D33</x:f>
        <x:v>1</x:v>
      </x:c>
      <x:c r="F33" s="29" t="str">
        <x:v>multiply across campaigns; floor combined survival at 25%</x:v>
      </x:c>
      <x:c r="G33" s="29" t="str">
        <x:v>stress assumption</x:v>
      </x:c>
    </x:row>
    <x:row r="34" ht="75.5999984741211" hidden="0" customHeight="1">
      <x:c r="A34" s="27" t="str">
        <x:v>M3</x:v>
      </x:c>
      <x:c r="B34" s="27" t="str">
        <x:v>SCA-04</x:v>
      </x:c>
      <x:c r="C34" s="49" t="n">
        <x:v>0</x:v>
      </x:c>
      <x:c r="D34" s="49" t="n">
        <x:f>INDEX(Campaigns!F:F,MATCH(A34,Campaigns!A:A,0))</x:f>
        <x:v>0.3</x:v>
      </x:c>
      <x:c r="E34" s="49" t="n">
        <x:f>1-C34*D34</x:f>
        <x:v>1</x:v>
      </x:c>
      <x:c r="F34" s="27" t="str">
        <x:v>multiply across campaigns; floor combined survival at 25%</x:v>
      </x:c>
      <x:c r="G34" s="27" t="str">
        <x:v>stress assumption</x:v>
      </x:c>
    </x:row>
    <x:row r="35" ht="75.5999984741211" hidden="0" customHeight="1">
      <x:c r="A35" s="29" t="str">
        <x:v>M4</x:v>
      </x:c>
      <x:c r="B35" s="29" t="str">
        <x:v>SCA-04</x:v>
      </x:c>
      <x:c r="C35" s="50" t="n">
        <x:v>0</x:v>
      </x:c>
      <x:c r="D35" s="50" t="n">
        <x:f>INDEX(Campaigns!F:F,MATCH(A35,Campaigns!A:A,0))</x:f>
        <x:v>0.3</x:v>
      </x:c>
      <x:c r="E35" s="50" t="n">
        <x:f>1-C35*D35</x:f>
        <x:v>1</x:v>
      </x:c>
      <x:c r="F35" s="29" t="str">
        <x:v>multiply across campaigns; floor combined survival at 25%</x:v>
      </x:c>
      <x:c r="G35" s="29" t="str">
        <x:v>stress assumption</x:v>
      </x:c>
    </x:row>
    <x:row r="36" ht="75.5999984741211" hidden="0" customHeight="1">
      <x:c r="A36" s="27" t="str">
        <x:v>M5</x:v>
      </x:c>
      <x:c r="B36" s="27" t="str">
        <x:v>SCA-04</x:v>
      </x:c>
      <x:c r="C36" s="49" t="n">
        <x:v>0.979489298767258</x:v>
      </x:c>
      <x:c r="D36" s="49" t="n">
        <x:f>INDEX(Campaigns!F:F,MATCH(A36,Campaigns!A:A,0))</x:f>
        <x:v>0.3</x:v>
      </x:c>
      <x:c r="E36" s="49" t="n">
        <x:f>1-C36*D36</x:f>
        <x:v>0.7061532103698226</x:v>
      </x:c>
      <x:c r="F36" s="27" t="str">
        <x:v>multiply across campaigns; floor combined survival at 25%</x:v>
      </x:c>
      <x:c r="G36" s="27" t="str">
        <x:v>stress assumption</x:v>
      </x:c>
    </x:row>
    <x:row r="37" ht="75.5999984741211" hidden="0" customHeight="1">
      <x:c r="A37" s="29" t="str">
        <x:v>C1</x:v>
      </x:c>
      <x:c r="B37" s="29" t="str">
        <x:v>SCA-05</x:v>
      </x:c>
      <x:c r="C37" s="50" t="n">
        <x:v>1</x:v>
      </x:c>
      <x:c r="D37" s="50" t="n">
        <x:f>INDEX(Campaigns!F:F,MATCH(A37,Campaigns!A:A,0))</x:f>
        <x:v>0.5</x:v>
      </x:c>
      <x:c r="E37" s="50" t="n">
        <x:f>1-C37*D37</x:f>
        <x:v>0.5</x:v>
      </x:c>
      <x:c r="F37" s="29" t="str">
        <x:v>multiply across campaigns; floor combined survival at 25%</x:v>
      </x:c>
      <x:c r="G37" s="29" t="str">
        <x:v>stress assumption</x:v>
      </x:c>
    </x:row>
    <x:row r="38" ht="75.5999984741211" hidden="0" customHeight="1">
      <x:c r="A38" s="27" t="str">
        <x:v>C2</x:v>
      </x:c>
      <x:c r="B38" s="27" t="str">
        <x:v>SCA-05</x:v>
      </x:c>
      <x:c r="C38" s="49" t="n">
        <x:v>0</x:v>
      </x:c>
      <x:c r="D38" s="49" t="n">
        <x:f>INDEX(Campaigns!F:F,MATCH(A38,Campaigns!A:A,0))</x:f>
        <x:v>0.5</x:v>
      </x:c>
      <x:c r="E38" s="49" t="n">
        <x:f>1-C38*D38</x:f>
        <x:v>1</x:v>
      </x:c>
      <x:c r="F38" s="27" t="str">
        <x:v>multiply across campaigns; floor combined survival at 25%</x:v>
      </x:c>
      <x:c r="G38" s="27" t="str">
        <x:v>stress assumption</x:v>
      </x:c>
    </x:row>
    <x:row r="39" ht="75.5999984741211" hidden="0" customHeight="1">
      <x:c r="A39" s="29" t="str">
        <x:v>C3</x:v>
      </x:c>
      <x:c r="B39" s="29" t="str">
        <x:v>SCA-05</x:v>
      </x:c>
      <x:c r="C39" s="50" t="n">
        <x:v>0</x:v>
      </x:c>
      <x:c r="D39" s="50" t="n">
        <x:f>INDEX(Campaigns!F:F,MATCH(A39,Campaigns!A:A,0))</x:f>
        <x:v>0.5</x:v>
      </x:c>
      <x:c r="E39" s="50" t="n">
        <x:f>1-C39*D39</x:f>
        <x:v>1</x:v>
      </x:c>
      <x:c r="F39" s="29" t="str">
        <x:v>multiply across campaigns; floor combined survival at 25%</x:v>
      </x:c>
      <x:c r="G39" s="29" t="str">
        <x:v>stress assumption</x:v>
      </x:c>
    </x:row>
    <x:row r="40" ht="75.5999984741211" hidden="0" customHeight="1">
      <x:c r="A40" s="27" t="str">
        <x:v>M1</x:v>
      </x:c>
      <x:c r="B40" s="27" t="str">
        <x:v>SCA-05</x:v>
      </x:c>
      <x:c r="C40" s="49" t="n">
        <x:v>0</x:v>
      </x:c>
      <x:c r="D40" s="49" t="n">
        <x:f>INDEX(Campaigns!F:F,MATCH(A40,Campaigns!A:A,0))</x:f>
        <x:v>0.3</x:v>
      </x:c>
      <x:c r="E40" s="49" t="n">
        <x:f>1-C40*D40</x:f>
        <x:v>1</x:v>
      </x:c>
      <x:c r="F40" s="27" t="str">
        <x:v>multiply across campaigns; floor combined survival at 25%</x:v>
      </x:c>
      <x:c r="G40" s="27" t="str">
        <x:v>stress assumption</x:v>
      </x:c>
    </x:row>
    <x:row r="41" ht="75.5999984741211" hidden="0" customHeight="1">
      <x:c r="A41" s="29" t="str">
        <x:v>M2</x:v>
      </x:c>
      <x:c r="B41" s="29" t="str">
        <x:v>SCA-05</x:v>
      </x:c>
      <x:c r="C41" s="50" t="n">
        <x:v>0</x:v>
      </x:c>
      <x:c r="D41" s="50" t="n">
        <x:f>INDEX(Campaigns!F:F,MATCH(A41,Campaigns!A:A,0))</x:f>
        <x:v>0.3</x:v>
      </x:c>
      <x:c r="E41" s="50" t="n">
        <x:f>1-C41*D41</x:f>
        <x:v>1</x:v>
      </x:c>
      <x:c r="F41" s="29" t="str">
        <x:v>multiply across campaigns; floor combined survival at 25%</x:v>
      </x:c>
      <x:c r="G41" s="29" t="str">
        <x:v>stress assumption</x:v>
      </x:c>
    </x:row>
    <x:row r="42" ht="75.5999984741211" hidden="0" customHeight="1">
      <x:c r="A42" s="27" t="str">
        <x:v>M3</x:v>
      </x:c>
      <x:c r="B42" s="27" t="str">
        <x:v>SCA-05</x:v>
      </x:c>
      <x:c r="C42" s="49" t="n">
        <x:v>0</x:v>
      </x:c>
      <x:c r="D42" s="49" t="n">
        <x:f>INDEX(Campaigns!F:F,MATCH(A42,Campaigns!A:A,0))</x:f>
        <x:v>0.3</x:v>
      </x:c>
      <x:c r="E42" s="49" t="n">
        <x:f>1-C42*D42</x:f>
        <x:v>1</x:v>
      </x:c>
      <x:c r="F42" s="27" t="str">
        <x:v>multiply across campaigns; floor combined survival at 25%</x:v>
      </x:c>
      <x:c r="G42" s="27" t="str">
        <x:v>stress assumption</x:v>
      </x:c>
    </x:row>
    <x:row r="43" ht="75.5999984741211" hidden="0" customHeight="1">
      <x:c r="A43" s="29" t="str">
        <x:v>M4</x:v>
      </x:c>
      <x:c r="B43" s="29" t="str">
        <x:v>SCA-05</x:v>
      </x:c>
      <x:c r="C43" s="50" t="n">
        <x:v>0</x:v>
      </x:c>
      <x:c r="D43" s="50" t="n">
        <x:f>INDEX(Campaigns!F:F,MATCH(A43,Campaigns!A:A,0))</x:f>
        <x:v>0.3</x:v>
      </x:c>
      <x:c r="E43" s="50" t="n">
        <x:f>1-C43*D43</x:f>
        <x:v>1</x:v>
      </x:c>
      <x:c r="F43" s="29" t="str">
        <x:v>multiply across campaigns; floor combined survival at 25%</x:v>
      </x:c>
      <x:c r="G43" s="29" t="str">
        <x:v>stress assumption</x:v>
      </x:c>
    </x:row>
    <x:row r="44" ht="75.5999984741211" hidden="0" customHeight="1">
      <x:c r="A44" s="27" t="str">
        <x:v>M5</x:v>
      </x:c>
      <x:c r="B44" s="27" t="str">
        <x:v>SCA-05</x:v>
      </x:c>
      <x:c r="C44" s="49" t="n">
        <x:v>1</x:v>
      </x:c>
      <x:c r="D44" s="49" t="n">
        <x:f>INDEX(Campaigns!F:F,MATCH(A44,Campaigns!A:A,0))</x:f>
        <x:v>0.3</x:v>
      </x:c>
      <x:c r="E44" s="49" t="n">
        <x:f>1-C44*D44</x:f>
        <x:v>0.7</x:v>
      </x:c>
      <x:c r="F44" s="27" t="str">
        <x:v>multiply across campaigns; floor combined survival at 25%</x:v>
      </x:c>
      <x:c r="G44" s="27" t="str">
        <x:v>stress assumption</x:v>
      </x:c>
    </x:row>
    <x:row r="45" ht="75.5999984741211" hidden="0" customHeight="1">
      <x:c r="A45" s="29" t="str">
        <x:v>C1</x:v>
      </x:c>
      <x:c r="B45" s="29" t="str">
        <x:v>SCA-06</x:v>
      </x:c>
      <x:c r="C45" s="50" t="n">
        <x:v>1</x:v>
      </x:c>
      <x:c r="D45" s="50" t="n">
        <x:f>INDEX(Campaigns!F:F,MATCH(A45,Campaigns!A:A,0))</x:f>
        <x:v>0.5</x:v>
      </x:c>
      <x:c r="E45" s="50" t="n">
        <x:f>1-C45*D45</x:f>
        <x:v>0.5</x:v>
      </x:c>
      <x:c r="F45" s="29" t="str">
        <x:v>multiply across campaigns; floor combined survival at 25%</x:v>
      </x:c>
      <x:c r="G45" s="29" t="str">
        <x:v>stress assumption</x:v>
      </x:c>
    </x:row>
    <x:row r="46" ht="75.5999984741211" hidden="0" customHeight="1">
      <x:c r="A46" s="27" t="str">
        <x:v>C2</x:v>
      </x:c>
      <x:c r="B46" s="27" t="str">
        <x:v>SCA-06</x:v>
      </x:c>
      <x:c r="C46" s="49" t="n">
        <x:v>0</x:v>
      </x:c>
      <x:c r="D46" s="49" t="n">
        <x:f>INDEX(Campaigns!F:F,MATCH(A46,Campaigns!A:A,0))</x:f>
        <x:v>0.5</x:v>
      </x:c>
      <x:c r="E46" s="49" t="n">
        <x:f>1-C46*D46</x:f>
        <x:v>1</x:v>
      </x:c>
      <x:c r="F46" s="27" t="str">
        <x:v>multiply across campaigns; floor combined survival at 25%</x:v>
      </x:c>
      <x:c r="G46" s="27" t="str">
        <x:v>stress assumption</x:v>
      </x:c>
    </x:row>
    <x:row r="47" ht="75.5999984741211" hidden="0" customHeight="1">
      <x:c r="A47" s="29" t="str">
        <x:v>C3</x:v>
      </x:c>
      <x:c r="B47" s="29" t="str">
        <x:v>SCA-06</x:v>
      </x:c>
      <x:c r="C47" s="50" t="n">
        <x:v>0</x:v>
      </x:c>
      <x:c r="D47" s="50" t="n">
        <x:f>INDEX(Campaigns!F:F,MATCH(A47,Campaigns!A:A,0))</x:f>
        <x:v>0.5</x:v>
      </x:c>
      <x:c r="E47" s="50" t="n">
        <x:f>1-C47*D47</x:f>
        <x:v>1</x:v>
      </x:c>
      <x:c r="F47" s="29" t="str">
        <x:v>multiply across campaigns; floor combined survival at 25%</x:v>
      </x:c>
      <x:c r="G47" s="29" t="str">
        <x:v>stress assumption</x:v>
      </x:c>
    </x:row>
    <x:row r="48" ht="75.5999984741211" hidden="0" customHeight="1">
      <x:c r="A48" s="27" t="str">
        <x:v>M1</x:v>
      </x:c>
      <x:c r="B48" s="27" t="str">
        <x:v>SCA-06</x:v>
      </x:c>
      <x:c r="C48" s="49" t="n">
        <x:v>0</x:v>
      </x:c>
      <x:c r="D48" s="49" t="n">
        <x:f>INDEX(Campaigns!F:F,MATCH(A48,Campaigns!A:A,0))</x:f>
        <x:v>0.3</x:v>
      </x:c>
      <x:c r="E48" s="49" t="n">
        <x:f>1-C48*D48</x:f>
        <x:v>1</x:v>
      </x:c>
      <x:c r="F48" s="27" t="str">
        <x:v>multiply across campaigns; floor combined survival at 25%</x:v>
      </x:c>
      <x:c r="G48" s="27" t="str">
        <x:v>stress assumption</x:v>
      </x:c>
    </x:row>
    <x:row r="49" ht="75.5999984741211" hidden="0" customHeight="1">
      <x:c r="A49" s="29" t="str">
        <x:v>M2</x:v>
      </x:c>
      <x:c r="B49" s="29" t="str">
        <x:v>SCA-06</x:v>
      </x:c>
      <x:c r="C49" s="50" t="n">
        <x:v>0</x:v>
      </x:c>
      <x:c r="D49" s="50" t="n">
        <x:f>INDEX(Campaigns!F:F,MATCH(A49,Campaigns!A:A,0))</x:f>
        <x:v>0.3</x:v>
      </x:c>
      <x:c r="E49" s="50" t="n">
        <x:f>1-C49*D49</x:f>
        <x:v>1</x:v>
      </x:c>
      <x:c r="F49" s="29" t="str">
        <x:v>multiply across campaigns; floor combined survival at 25%</x:v>
      </x:c>
      <x:c r="G49" s="29" t="str">
        <x:v>stress assumption</x:v>
      </x:c>
    </x:row>
    <x:row r="50" ht="75.5999984741211" hidden="0" customHeight="1">
      <x:c r="A50" s="27" t="str">
        <x:v>M3</x:v>
      </x:c>
      <x:c r="B50" s="27" t="str">
        <x:v>SCA-06</x:v>
      </x:c>
      <x:c r="C50" s="49" t="n">
        <x:v>0</x:v>
      </x:c>
      <x:c r="D50" s="49" t="n">
        <x:f>INDEX(Campaigns!F:F,MATCH(A50,Campaigns!A:A,0))</x:f>
        <x:v>0.3</x:v>
      </x:c>
      <x:c r="E50" s="49" t="n">
        <x:f>1-C50*D50</x:f>
        <x:v>1</x:v>
      </x:c>
      <x:c r="F50" s="27" t="str">
        <x:v>multiply across campaigns; floor combined survival at 25%</x:v>
      </x:c>
      <x:c r="G50" s="27" t="str">
        <x:v>stress assumption</x:v>
      </x:c>
    </x:row>
    <x:row r="51" ht="75.5999984741211" hidden="0" customHeight="1">
      <x:c r="A51" s="29" t="str">
        <x:v>M4</x:v>
      </x:c>
      <x:c r="B51" s="29" t="str">
        <x:v>SCA-06</x:v>
      </x:c>
      <x:c r="C51" s="50" t="n">
        <x:v>0</x:v>
      </x:c>
      <x:c r="D51" s="50" t="n">
        <x:f>INDEX(Campaigns!F:F,MATCH(A51,Campaigns!A:A,0))</x:f>
        <x:v>0.3</x:v>
      </x:c>
      <x:c r="E51" s="50" t="n">
        <x:f>1-C51*D51</x:f>
        <x:v>1</x:v>
      </x:c>
      <x:c r="F51" s="29" t="str">
        <x:v>multiply across campaigns; floor combined survival at 25%</x:v>
      </x:c>
      <x:c r="G51" s="29" t="str">
        <x:v>stress assumption</x:v>
      </x:c>
    </x:row>
    <x:row r="52" ht="75.5999984741211" hidden="0" customHeight="1">
      <x:c r="A52" s="27" t="str">
        <x:v>M5</x:v>
      </x:c>
      <x:c r="B52" s="27" t="str">
        <x:v>SCA-06</x:v>
      </x:c>
      <x:c r="C52" s="49" t="n">
        <x:v>1</x:v>
      </x:c>
      <x:c r="D52" s="49" t="n">
        <x:f>INDEX(Campaigns!F:F,MATCH(A52,Campaigns!A:A,0))</x:f>
        <x:v>0.3</x:v>
      </x:c>
      <x:c r="E52" s="49" t="n">
        <x:f>1-C52*D52</x:f>
        <x:v>0.7</x:v>
      </x:c>
      <x:c r="F52" s="27" t="str">
        <x:v>multiply across campaigns; floor combined survival at 25%</x:v>
      </x:c>
      <x:c r="G52" s="27" t="str">
        <x:v>stress assumption</x:v>
      </x:c>
    </x:row>
    <x:row r="53" ht="75.5999984741211" hidden="0" customHeight="1">
      <x:c r="A53" s="29" t="str">
        <x:v>C1</x:v>
      </x:c>
      <x:c r="B53" s="29" t="str">
        <x:v>SCA-07</x:v>
      </x:c>
      <x:c r="C53" s="50" t="n">
        <x:v>0.4287799486362602</x:v>
      </x:c>
      <x:c r="D53" s="50" t="n">
        <x:f>INDEX(Campaigns!F:F,MATCH(A53,Campaigns!A:A,0))</x:f>
        <x:v>0.5</x:v>
      </x:c>
      <x:c r="E53" s="50" t="n">
        <x:f>1-C53*D53</x:f>
        <x:v>0.7856100256818699</x:v>
      </x:c>
      <x:c r="F53" s="29" t="str">
        <x:v>multiply across campaigns; floor combined survival at 25%</x:v>
      </x:c>
      <x:c r="G53" s="29" t="str">
        <x:v>stress assumption</x:v>
      </x:c>
    </x:row>
    <x:row r="54" ht="75.5999984741211" hidden="0" customHeight="1">
      <x:c r="A54" s="27" t="str">
        <x:v>C2</x:v>
      </x:c>
      <x:c r="B54" s="27" t="str">
        <x:v>SCA-07</x:v>
      </x:c>
      <x:c r="C54" s="49" t="n">
        <x:v>0</x:v>
      </x:c>
      <x:c r="D54" s="49" t="n">
        <x:f>INDEX(Campaigns!F:F,MATCH(A54,Campaigns!A:A,0))</x:f>
        <x:v>0.5</x:v>
      </x:c>
      <x:c r="E54" s="49" t="n">
        <x:f>1-C54*D54</x:f>
        <x:v>1</x:v>
      </x:c>
      <x:c r="F54" s="27" t="str">
        <x:v>multiply across campaigns; floor combined survival at 25%</x:v>
      </x:c>
      <x:c r="G54" s="27" t="str">
        <x:v>stress assumption</x:v>
      </x:c>
    </x:row>
    <x:row r="55" ht="75.5999984741211" hidden="0" customHeight="1">
      <x:c r="A55" s="29" t="str">
        <x:v>C3</x:v>
      </x:c>
      <x:c r="B55" s="29" t="str">
        <x:v>SCA-07</x:v>
      </x:c>
      <x:c r="C55" s="50" t="n">
        <x:v>0</x:v>
      </x:c>
      <x:c r="D55" s="50" t="n">
        <x:f>INDEX(Campaigns!F:F,MATCH(A55,Campaigns!A:A,0))</x:f>
        <x:v>0.5</x:v>
      </x:c>
      <x:c r="E55" s="50" t="n">
        <x:f>1-C55*D55</x:f>
        <x:v>1</x:v>
      </x:c>
      <x:c r="F55" s="29" t="str">
        <x:v>multiply across campaigns; floor combined survival at 25%</x:v>
      </x:c>
      <x:c r="G55" s="29" t="str">
        <x:v>stress assumption</x:v>
      </x:c>
    </x:row>
    <x:row r="56" ht="75.5999984741211" hidden="0" customHeight="1">
      <x:c r="A56" s="27" t="str">
        <x:v>M1</x:v>
      </x:c>
      <x:c r="B56" s="27" t="str">
        <x:v>SCA-07</x:v>
      </x:c>
      <x:c r="C56" s="49" t="n">
        <x:v>0</x:v>
      </x:c>
      <x:c r="D56" s="49" t="n">
        <x:f>INDEX(Campaigns!F:F,MATCH(A56,Campaigns!A:A,0))</x:f>
        <x:v>0.3</x:v>
      </x:c>
      <x:c r="E56" s="49" t="n">
        <x:f>1-C56*D56</x:f>
        <x:v>1</x:v>
      </x:c>
      <x:c r="F56" s="27" t="str">
        <x:v>multiply across campaigns; floor combined survival at 25%</x:v>
      </x:c>
      <x:c r="G56" s="27" t="str">
        <x:v>stress assumption</x:v>
      </x:c>
    </x:row>
    <x:row r="57" ht="75.5999984741211" hidden="0" customHeight="1">
      <x:c r="A57" s="29" t="str">
        <x:v>M2</x:v>
      </x:c>
      <x:c r="B57" s="29" t="str">
        <x:v>SCA-07</x:v>
      </x:c>
      <x:c r="C57" s="50" t="n">
        <x:v>0</x:v>
      </x:c>
      <x:c r="D57" s="50" t="n">
        <x:f>INDEX(Campaigns!F:F,MATCH(A57,Campaigns!A:A,0))</x:f>
        <x:v>0.3</x:v>
      </x:c>
      <x:c r="E57" s="50" t="n">
        <x:f>1-C57*D57</x:f>
        <x:v>1</x:v>
      </x:c>
      <x:c r="F57" s="29" t="str">
        <x:v>multiply across campaigns; floor combined survival at 25%</x:v>
      </x:c>
      <x:c r="G57" s="29" t="str">
        <x:v>stress assumption</x:v>
      </x:c>
    </x:row>
    <x:row r="58" ht="75.5999984741211" hidden="0" customHeight="1">
      <x:c r="A58" s="27" t="str">
        <x:v>M3</x:v>
      </x:c>
      <x:c r="B58" s="27" t="str">
        <x:v>SCA-07</x:v>
      </x:c>
      <x:c r="C58" s="49" t="n">
        <x:v>0</x:v>
      </x:c>
      <x:c r="D58" s="49" t="n">
        <x:f>INDEX(Campaigns!F:F,MATCH(A58,Campaigns!A:A,0))</x:f>
        <x:v>0.3</x:v>
      </x:c>
      <x:c r="E58" s="49" t="n">
        <x:f>1-C58*D58</x:f>
        <x:v>1</x:v>
      </x:c>
      <x:c r="F58" s="27" t="str">
        <x:v>multiply across campaigns; floor combined survival at 25%</x:v>
      </x:c>
      <x:c r="G58" s="27" t="str">
        <x:v>stress assumption</x:v>
      </x:c>
    </x:row>
    <x:row r="59" ht="75.5999984741211" hidden="0" customHeight="1">
      <x:c r="A59" s="29" t="str">
        <x:v>M4</x:v>
      </x:c>
      <x:c r="B59" s="29" t="str">
        <x:v>SCA-07</x:v>
      </x:c>
      <x:c r="C59" s="50" t="n">
        <x:v>0</x:v>
      </x:c>
      <x:c r="D59" s="50" t="n">
        <x:f>INDEX(Campaigns!F:F,MATCH(A59,Campaigns!A:A,0))</x:f>
        <x:v>0.3</x:v>
      </x:c>
      <x:c r="E59" s="50" t="n">
        <x:f>1-C59*D59</x:f>
        <x:v>1</x:v>
      </x:c>
      <x:c r="F59" s="29" t="str">
        <x:v>multiply across campaigns; floor combined survival at 25%</x:v>
      </x:c>
      <x:c r="G59" s="29" t="str">
        <x:v>stress assumption</x:v>
      </x:c>
    </x:row>
    <x:row r="60" ht="75.5999984741211" hidden="0" customHeight="1">
      <x:c r="A60" s="27" t="str">
        <x:v>M5</x:v>
      </x:c>
      <x:c r="B60" s="27" t="str">
        <x:v>SCA-07</x:v>
      </x:c>
      <x:c r="C60" s="49" t="n">
        <x:v>1</x:v>
      </x:c>
      <x:c r="D60" s="49" t="n">
        <x:f>INDEX(Campaigns!F:F,MATCH(A60,Campaigns!A:A,0))</x:f>
        <x:v>0.3</x:v>
      </x:c>
      <x:c r="E60" s="49" t="n">
        <x:f>1-C60*D60</x:f>
        <x:v>0.7</x:v>
      </x:c>
      <x:c r="F60" s="27" t="str">
        <x:v>multiply across campaigns; floor combined survival at 25%</x:v>
      </x:c>
      <x:c r="G60" s="27" t="str">
        <x:v>stress assumption</x:v>
      </x:c>
    </x:row>
    <x:row r="61" ht="75.5999984741211" hidden="0" customHeight="1">
      <x:c r="A61" s="29" t="str">
        <x:v>C1</x:v>
      </x:c>
      <x:c r="B61" s="29" t="str">
        <x:v>SCA-08</x:v>
      </x:c>
      <x:c r="C61" s="50" t="n">
        <x:v>0</x:v>
      </x:c>
      <x:c r="D61" s="50" t="n">
        <x:f>INDEX(Campaigns!F:F,MATCH(A61,Campaigns!A:A,0))</x:f>
        <x:v>0.5</x:v>
      </x:c>
      <x:c r="E61" s="50" t="n">
        <x:f>1-C61*D61</x:f>
        <x:v>1</x:v>
      </x:c>
      <x:c r="F61" s="29" t="str">
        <x:v>multiply across campaigns; floor combined survival at 25%</x:v>
      </x:c>
      <x:c r="G61" s="29" t="str">
        <x:v>stress assumption</x:v>
      </x:c>
    </x:row>
    <x:row r="62" ht="75.5999984741211" hidden="0" customHeight="1">
      <x:c r="A62" s="27" t="str">
        <x:v>C2</x:v>
      </x:c>
      <x:c r="B62" s="27" t="str">
        <x:v>SCA-08</x:v>
      </x:c>
      <x:c r="C62" s="49" t="n">
        <x:v>0</x:v>
      </x:c>
      <x:c r="D62" s="49" t="n">
        <x:f>INDEX(Campaigns!F:F,MATCH(A62,Campaigns!A:A,0))</x:f>
        <x:v>0.5</x:v>
      </x:c>
      <x:c r="E62" s="49" t="n">
        <x:f>1-C62*D62</x:f>
        <x:v>1</x:v>
      </x:c>
      <x:c r="F62" s="27" t="str">
        <x:v>multiply across campaigns; floor combined survival at 25%</x:v>
      </x:c>
      <x:c r="G62" s="27" t="str">
        <x:v>stress assumption</x:v>
      </x:c>
    </x:row>
    <x:row r="63" ht="75.5999984741211" hidden="0" customHeight="1">
      <x:c r="A63" s="29" t="str">
        <x:v>C3</x:v>
      </x:c>
      <x:c r="B63" s="29" t="str">
        <x:v>SCA-08</x:v>
      </x:c>
      <x:c r="C63" s="50" t="n">
        <x:v>0</x:v>
      </x:c>
      <x:c r="D63" s="50" t="n">
        <x:f>INDEX(Campaigns!F:F,MATCH(A63,Campaigns!A:A,0))</x:f>
        <x:v>0.5</x:v>
      </x:c>
      <x:c r="E63" s="50" t="n">
        <x:f>1-C63*D63</x:f>
        <x:v>1</x:v>
      </x:c>
      <x:c r="F63" s="29" t="str">
        <x:v>multiply across campaigns; floor combined survival at 25%</x:v>
      </x:c>
      <x:c r="G63" s="29" t="str">
        <x:v>stress assumption</x:v>
      </x:c>
    </x:row>
    <x:row r="64" ht="75.5999984741211" hidden="0" customHeight="1">
      <x:c r="A64" s="27" t="str">
        <x:v>M1</x:v>
      </x:c>
      <x:c r="B64" s="27" t="str">
        <x:v>SCA-08</x:v>
      </x:c>
      <x:c r="C64" s="49" t="n">
        <x:v>0.11648903421710331</x:v>
      </x:c>
      <x:c r="D64" s="49" t="n">
        <x:f>INDEX(Campaigns!F:F,MATCH(A64,Campaigns!A:A,0))</x:f>
        <x:v>0.3</x:v>
      </x:c>
      <x:c r="E64" s="49" t="n">
        <x:f>1-C64*D64</x:f>
        <x:v>0.965053289734869</x:v>
      </x:c>
      <x:c r="F64" s="27" t="str">
        <x:v>multiply across campaigns; floor combined survival at 25%</x:v>
      </x:c>
      <x:c r="G64" s="27" t="str">
        <x:v>stress assumption</x:v>
      </x:c>
    </x:row>
    <x:row r="65" ht="75.5999984741211" hidden="0" customHeight="1">
      <x:c r="A65" s="29" t="str">
        <x:v>M2</x:v>
      </x:c>
      <x:c r="B65" s="29" t="str">
        <x:v>SCA-08</x:v>
      </x:c>
      <x:c r="C65" s="50" t="n">
        <x:v>0</x:v>
      </x:c>
      <x:c r="D65" s="50" t="n">
        <x:f>INDEX(Campaigns!F:F,MATCH(A65,Campaigns!A:A,0))</x:f>
        <x:v>0.3</x:v>
      </x:c>
      <x:c r="E65" s="50" t="n">
        <x:f>1-C65*D65</x:f>
        <x:v>1</x:v>
      </x:c>
      <x:c r="F65" s="29" t="str">
        <x:v>multiply across campaigns; floor combined survival at 25%</x:v>
      </x:c>
      <x:c r="G65" s="29" t="str">
        <x:v>stress assumption</x:v>
      </x:c>
    </x:row>
    <x:row r="66" ht="75.5999984741211" hidden="0" customHeight="1">
      <x:c r="A66" s="27" t="str">
        <x:v>M3</x:v>
      </x:c>
      <x:c r="B66" s="27" t="str">
        <x:v>SCA-08</x:v>
      </x:c>
      <x:c r="C66" s="49" t="n">
        <x:v>0</x:v>
      </x:c>
      <x:c r="D66" s="49" t="n">
        <x:f>INDEX(Campaigns!F:F,MATCH(A66,Campaigns!A:A,0))</x:f>
        <x:v>0.3</x:v>
      </x:c>
      <x:c r="E66" s="49" t="n">
        <x:f>1-C66*D66</x:f>
        <x:v>1</x:v>
      </x:c>
      <x:c r="F66" s="27" t="str">
        <x:v>multiply across campaigns; floor combined survival at 25%</x:v>
      </x:c>
      <x:c r="G66" s="27" t="str">
        <x:v>stress assumption</x:v>
      </x:c>
    </x:row>
    <x:row r="67" ht="75.5999984741211" hidden="0" customHeight="1">
      <x:c r="A67" s="29" t="str">
        <x:v>M4</x:v>
      </x:c>
      <x:c r="B67" s="29" t="str">
        <x:v>SCA-08</x:v>
      </x:c>
      <x:c r="C67" s="50" t="n">
        <x:v>0</x:v>
      </x:c>
      <x:c r="D67" s="50" t="n">
        <x:f>INDEX(Campaigns!F:F,MATCH(A67,Campaigns!A:A,0))</x:f>
        <x:v>0.3</x:v>
      </x:c>
      <x:c r="E67" s="50" t="n">
        <x:f>1-C67*D67</x:f>
        <x:v>1</x:v>
      </x:c>
      <x:c r="F67" s="29" t="str">
        <x:v>multiply across campaigns; floor combined survival at 25%</x:v>
      </x:c>
      <x:c r="G67" s="29" t="str">
        <x:v>stress assumption</x:v>
      </x:c>
    </x:row>
    <x:row r="68" ht="75.5999984741211" hidden="0" customHeight="1">
      <x:c r="A68" s="27" t="str">
        <x:v>M5</x:v>
      </x:c>
      <x:c r="B68" s="27" t="str">
        <x:v>SCA-08</x:v>
      </x:c>
      <x:c r="C68" s="49" t="n">
        <x:v>0.027880169824388373</x:v>
      </x:c>
      <x:c r="D68" s="49" t="n">
        <x:f>INDEX(Campaigns!F:F,MATCH(A68,Campaigns!A:A,0))</x:f>
        <x:v>0.3</x:v>
      </x:c>
      <x:c r="E68" s="49" t="n">
        <x:f>1-C68*D68</x:f>
        <x:v>0.9916359490526835</x:v>
      </x:c>
      <x:c r="F68" s="27" t="str">
        <x:v>multiply across campaigns; floor combined survival at 25%</x:v>
      </x:c>
      <x:c r="G68" s="27" t="str">
        <x:v>stress assumption</x:v>
      </x:c>
    </x:row>
    <x:row r="69" ht="75.5999984741211" hidden="0" customHeight="1">
      <x:c r="A69" s="29" t="str">
        <x:v>C1</x:v>
      </x:c>
      <x:c r="B69" s="29" t="str">
        <x:v>SCA-09</x:v>
      </x:c>
      <x:c r="C69" s="50" t="n">
        <x:v>0</x:v>
      </x:c>
      <x:c r="D69" s="50" t="n">
        <x:f>INDEX(Campaigns!F:F,MATCH(A69,Campaigns!A:A,0))</x:f>
        <x:v>0.5</x:v>
      </x:c>
      <x:c r="E69" s="50" t="n">
        <x:f>1-C69*D69</x:f>
        <x:v>1</x:v>
      </x:c>
      <x:c r="F69" s="29" t="str">
        <x:v>multiply across campaigns; floor combined survival at 25%</x:v>
      </x:c>
      <x:c r="G69" s="29" t="str">
        <x:v>stress assumption</x:v>
      </x:c>
    </x:row>
    <x:row r="70" ht="75.5999984741211" hidden="0" customHeight="1">
      <x:c r="A70" s="27" t="str">
        <x:v>C2</x:v>
      </x:c>
      <x:c r="B70" s="27" t="str">
        <x:v>SCA-09</x:v>
      </x:c>
      <x:c r="C70" s="49" t="n">
        <x:v>0</x:v>
      </x:c>
      <x:c r="D70" s="49" t="n">
        <x:f>INDEX(Campaigns!F:F,MATCH(A70,Campaigns!A:A,0))</x:f>
        <x:v>0.5</x:v>
      </x:c>
      <x:c r="E70" s="49" t="n">
        <x:f>1-C70*D70</x:f>
        <x:v>1</x:v>
      </x:c>
      <x:c r="F70" s="27" t="str">
        <x:v>multiply across campaigns; floor combined survival at 25%</x:v>
      </x:c>
      <x:c r="G70" s="27" t="str">
        <x:v>stress assumption</x:v>
      </x:c>
    </x:row>
    <x:row r="71" ht="75.5999984741211" hidden="0" customHeight="1">
      <x:c r="A71" s="29" t="str">
        <x:v>C3</x:v>
      </x:c>
      <x:c r="B71" s="29" t="str">
        <x:v>SCA-09</x:v>
      </x:c>
      <x:c r="C71" s="50" t="n">
        <x:v>0</x:v>
      </x:c>
      <x:c r="D71" s="50" t="n">
        <x:f>INDEX(Campaigns!F:F,MATCH(A71,Campaigns!A:A,0))</x:f>
        <x:v>0.5</x:v>
      </x:c>
      <x:c r="E71" s="50" t="n">
        <x:f>1-C71*D71</x:f>
        <x:v>1</x:v>
      </x:c>
      <x:c r="F71" s="29" t="str">
        <x:v>multiply across campaigns; floor combined survival at 25%</x:v>
      </x:c>
      <x:c r="G71" s="29" t="str">
        <x:v>stress assumption</x:v>
      </x:c>
    </x:row>
    <x:row r="72" ht="75.5999984741211" hidden="0" customHeight="1">
      <x:c r="A72" s="27" t="str">
        <x:v>M1</x:v>
      </x:c>
      <x:c r="B72" s="27" t="str">
        <x:v>SCA-09</x:v>
      </x:c>
      <x:c r="C72" s="49" t="n">
        <x:v>0</x:v>
      </x:c>
      <x:c r="D72" s="49" t="n">
        <x:f>INDEX(Campaigns!F:F,MATCH(A72,Campaigns!A:A,0))</x:f>
        <x:v>0.3</x:v>
      </x:c>
      <x:c r="E72" s="49" t="n">
        <x:f>1-C72*D72</x:f>
        <x:v>1</x:v>
      </x:c>
      <x:c r="F72" s="27" t="str">
        <x:v>multiply across campaigns; floor combined survival at 25%</x:v>
      </x:c>
      <x:c r="G72" s="27" t="str">
        <x:v>stress assumption</x:v>
      </x:c>
    </x:row>
    <x:row r="73" ht="75.5999984741211" hidden="0" customHeight="1">
      <x:c r="A73" s="29" t="str">
        <x:v>M2</x:v>
      </x:c>
      <x:c r="B73" s="29" t="str">
        <x:v>SCA-09</x:v>
      </x:c>
      <x:c r="C73" s="50" t="n">
        <x:v>0</x:v>
      </x:c>
      <x:c r="D73" s="50" t="n">
        <x:f>INDEX(Campaigns!F:F,MATCH(A73,Campaigns!A:A,0))</x:f>
        <x:v>0.3</x:v>
      </x:c>
      <x:c r="E73" s="50" t="n">
        <x:f>1-C73*D73</x:f>
        <x:v>1</x:v>
      </x:c>
      <x:c r="F73" s="29" t="str">
        <x:v>multiply across campaigns; floor combined survival at 25%</x:v>
      </x:c>
      <x:c r="G73" s="29" t="str">
        <x:v>stress assumption</x:v>
      </x:c>
    </x:row>
    <x:row r="74" ht="75.5999984741211" hidden="0" customHeight="1">
      <x:c r="A74" s="27" t="str">
        <x:v>M3</x:v>
      </x:c>
      <x:c r="B74" s="27" t="str">
        <x:v>SCA-09</x:v>
      </x:c>
      <x:c r="C74" s="49" t="n">
        <x:v>0</x:v>
      </x:c>
      <x:c r="D74" s="49" t="n">
        <x:f>INDEX(Campaigns!F:F,MATCH(A74,Campaigns!A:A,0))</x:f>
        <x:v>0.3</x:v>
      </x:c>
      <x:c r="E74" s="49" t="n">
        <x:f>1-C74*D74</x:f>
        <x:v>1</x:v>
      </x:c>
      <x:c r="F74" s="27" t="str">
        <x:v>multiply across campaigns; floor combined survival at 25%</x:v>
      </x:c>
      <x:c r="G74" s="27" t="str">
        <x:v>stress assumption</x:v>
      </x:c>
    </x:row>
    <x:row r="75" ht="75.5999984741211" hidden="0" customHeight="1">
      <x:c r="A75" s="29" t="str">
        <x:v>M4</x:v>
      </x:c>
      <x:c r="B75" s="29" t="str">
        <x:v>SCA-09</x:v>
      </x:c>
      <x:c r="C75" s="50" t="n">
        <x:v>0</x:v>
      </x:c>
      <x:c r="D75" s="50" t="n">
        <x:f>INDEX(Campaigns!F:F,MATCH(A75,Campaigns!A:A,0))</x:f>
        <x:v>0.3</x:v>
      </x:c>
      <x:c r="E75" s="50" t="n">
        <x:f>1-C75*D75</x:f>
        <x:v>1</x:v>
      </x:c>
      <x:c r="F75" s="29" t="str">
        <x:v>multiply across campaigns; floor combined survival at 25%</x:v>
      </x:c>
      <x:c r="G75" s="29" t="str">
        <x:v>stress assumption</x:v>
      </x:c>
    </x:row>
    <x:row r="76" ht="75.5999984741211" hidden="0" customHeight="1">
      <x:c r="A76" s="27" t="str">
        <x:v>M5</x:v>
      </x:c>
      <x:c r="B76" s="27" t="str">
        <x:v>SCA-09</x:v>
      </x:c>
      <x:c r="C76" s="49" t="n">
        <x:v>1</x:v>
      </x:c>
      <x:c r="D76" s="49" t="n">
        <x:f>INDEX(Campaigns!F:F,MATCH(A76,Campaigns!A:A,0))</x:f>
        <x:v>0.3</x:v>
      </x:c>
      <x:c r="E76" s="49" t="n">
        <x:f>1-C76*D76</x:f>
        <x:v>0.7</x:v>
      </x:c>
      <x:c r="F76" s="27" t="str">
        <x:v>multiply across campaigns; floor combined survival at 25%</x:v>
      </x:c>
      <x:c r="G76" s="27" t="str">
        <x:v>stress assumption</x:v>
      </x:c>
    </x:row>
    <x:row r="77" ht="75.5999984741211" hidden="0" customHeight="1">
      <x:c r="A77" s="29" t="str">
        <x:v>C1</x:v>
      </x:c>
      <x:c r="B77" s="29" t="str">
        <x:v>SCA-10</x:v>
      </x:c>
      <x:c r="C77" s="50" t="n">
        <x:v>0</x:v>
      </x:c>
      <x:c r="D77" s="50" t="n">
        <x:f>INDEX(Campaigns!F:F,MATCH(A77,Campaigns!A:A,0))</x:f>
        <x:v>0.5</x:v>
      </x:c>
      <x:c r="E77" s="50" t="n">
        <x:f>1-C77*D77</x:f>
        <x:v>1</x:v>
      </x:c>
      <x:c r="F77" s="29" t="str">
        <x:v>multiply across campaigns; floor combined survival at 25%</x:v>
      </x:c>
      <x:c r="G77" s="29" t="str">
        <x:v>stress assumption</x:v>
      </x:c>
    </x:row>
    <x:row r="78" ht="75.5999984741211" hidden="0" customHeight="1">
      <x:c r="A78" s="27" t="str">
        <x:v>C2</x:v>
      </x:c>
      <x:c r="B78" s="27" t="str">
        <x:v>SCA-10</x:v>
      </x:c>
      <x:c r="C78" s="49" t="n">
        <x:v>0</x:v>
      </x:c>
      <x:c r="D78" s="49" t="n">
        <x:f>INDEX(Campaigns!F:F,MATCH(A78,Campaigns!A:A,0))</x:f>
        <x:v>0.5</x:v>
      </x:c>
      <x:c r="E78" s="49" t="n">
        <x:f>1-C78*D78</x:f>
        <x:v>1</x:v>
      </x:c>
      <x:c r="F78" s="27" t="str">
        <x:v>multiply across campaigns; floor combined survival at 25%</x:v>
      </x:c>
      <x:c r="G78" s="27" t="str">
        <x:v>stress assumption</x:v>
      </x:c>
    </x:row>
    <x:row r="79" ht="75.5999984741211" hidden="0" customHeight="1">
      <x:c r="A79" s="29" t="str">
        <x:v>C3</x:v>
      </x:c>
      <x:c r="B79" s="29" t="str">
        <x:v>SCA-10</x:v>
      </x:c>
      <x:c r="C79" s="50" t="n">
        <x:v>0</x:v>
      </x:c>
      <x:c r="D79" s="50" t="n">
        <x:f>INDEX(Campaigns!F:F,MATCH(A79,Campaigns!A:A,0))</x:f>
        <x:v>0.5</x:v>
      </x:c>
      <x:c r="E79" s="50" t="n">
        <x:f>1-C79*D79</x:f>
        <x:v>1</x:v>
      </x:c>
      <x:c r="F79" s="29" t="str">
        <x:v>multiply across campaigns; floor combined survival at 25%</x:v>
      </x:c>
      <x:c r="G79" s="29" t="str">
        <x:v>stress assumption</x:v>
      </x:c>
    </x:row>
    <x:row r="80" ht="75.5999984741211" hidden="0" customHeight="1">
      <x:c r="A80" s="27" t="str">
        <x:v>M1</x:v>
      </x:c>
      <x:c r="B80" s="27" t="str">
        <x:v>SCA-10</x:v>
      </x:c>
      <x:c r="C80" s="49" t="n">
        <x:v>0</x:v>
      </x:c>
      <x:c r="D80" s="49" t="n">
        <x:f>INDEX(Campaigns!F:F,MATCH(A80,Campaigns!A:A,0))</x:f>
        <x:v>0.3</x:v>
      </x:c>
      <x:c r="E80" s="49" t="n">
        <x:f>1-C80*D80</x:f>
        <x:v>1</x:v>
      </x:c>
      <x:c r="F80" s="27" t="str">
        <x:v>multiply across campaigns; floor combined survival at 25%</x:v>
      </x:c>
      <x:c r="G80" s="27" t="str">
        <x:v>stress assumption</x:v>
      </x:c>
    </x:row>
    <x:row r="81" ht="75.5999984741211" hidden="0" customHeight="1">
      <x:c r="A81" s="29" t="str">
        <x:v>M2</x:v>
      </x:c>
      <x:c r="B81" s="29" t="str">
        <x:v>SCA-10</x:v>
      </x:c>
      <x:c r="C81" s="50" t="n">
        <x:v>0</x:v>
      </x:c>
      <x:c r="D81" s="50" t="n">
        <x:f>INDEX(Campaigns!F:F,MATCH(A81,Campaigns!A:A,0))</x:f>
        <x:v>0.3</x:v>
      </x:c>
      <x:c r="E81" s="50" t="n">
        <x:f>1-C81*D81</x:f>
        <x:v>1</x:v>
      </x:c>
      <x:c r="F81" s="29" t="str">
        <x:v>multiply across campaigns; floor combined survival at 25%</x:v>
      </x:c>
      <x:c r="G81" s="29" t="str">
        <x:v>stress assumption</x:v>
      </x:c>
    </x:row>
    <x:row r="82" ht="75.5999984741211" hidden="0" customHeight="1">
      <x:c r="A82" s="27" t="str">
        <x:v>M3</x:v>
      </x:c>
      <x:c r="B82" s="27" t="str">
        <x:v>SCA-10</x:v>
      </x:c>
      <x:c r="C82" s="49" t="n">
        <x:v>0</x:v>
      </x:c>
      <x:c r="D82" s="49" t="n">
        <x:f>INDEX(Campaigns!F:F,MATCH(A82,Campaigns!A:A,0))</x:f>
        <x:v>0.3</x:v>
      </x:c>
      <x:c r="E82" s="49" t="n">
        <x:f>1-C82*D82</x:f>
        <x:v>1</x:v>
      </x:c>
      <x:c r="F82" s="27" t="str">
        <x:v>multiply across campaigns; floor combined survival at 25%</x:v>
      </x:c>
      <x:c r="G82" s="27" t="str">
        <x:v>stress assumption</x:v>
      </x:c>
    </x:row>
    <x:row r="83" ht="75.5999984741211" hidden="0" customHeight="1">
      <x:c r="A83" s="29" t="str">
        <x:v>M4</x:v>
      </x:c>
      <x:c r="B83" s="29" t="str">
        <x:v>SCA-10</x:v>
      </x:c>
      <x:c r="C83" s="50" t="n">
        <x:v>0</x:v>
      </x:c>
      <x:c r="D83" s="50" t="n">
        <x:f>INDEX(Campaigns!F:F,MATCH(A83,Campaigns!A:A,0))</x:f>
        <x:v>0.3</x:v>
      </x:c>
      <x:c r="E83" s="50" t="n">
        <x:f>1-C83*D83</x:f>
        <x:v>1</x:v>
      </x:c>
      <x:c r="F83" s="29" t="str">
        <x:v>multiply across campaigns; floor combined survival at 25%</x:v>
      </x:c>
      <x:c r="G83" s="29" t="str">
        <x:v>stress assumption</x:v>
      </x:c>
    </x:row>
    <x:row r="84" ht="75.5999984741211" hidden="0" customHeight="1">
      <x:c r="A84" s="27" t="str">
        <x:v>M5</x:v>
      </x:c>
      <x:c r="B84" s="27" t="str">
        <x:v>SCA-10</x:v>
      </x:c>
      <x:c r="C84" s="49" t="n">
        <x:v>0.7894671547331945</x:v>
      </x:c>
      <x:c r="D84" s="49" t="n">
        <x:f>INDEX(Campaigns!F:F,MATCH(A84,Campaigns!A:A,0))</x:f>
        <x:v>0.3</x:v>
      </x:c>
      <x:c r="E84" s="49" t="n">
        <x:f>1-C84*D84</x:f>
        <x:v>0.7631598535800417</x:v>
      </x:c>
      <x:c r="F84" s="27" t="str">
        <x:v>multiply across campaigns; floor combined survival at 25%</x:v>
      </x:c>
      <x:c r="G84" s="27" t="str">
        <x:v>stress assumption</x:v>
      </x:c>
    </x:row>
    <x:row r="85" ht="75.5999984741211" hidden="0" customHeight="1">
      <x:c r="A85" s="29" t="str">
        <x:v>C1</x:v>
      </x:c>
      <x:c r="B85" s="29" t="str">
        <x:v>SCA-11</x:v>
      </x:c>
      <x:c r="C85" s="50" t="n">
        <x:v>0</x:v>
      </x:c>
      <x:c r="D85" s="50" t="n">
        <x:f>INDEX(Campaigns!F:F,MATCH(A85,Campaigns!A:A,0))</x:f>
        <x:v>0.5</x:v>
      </x:c>
      <x:c r="E85" s="50" t="n">
        <x:f>1-C85*D85</x:f>
        <x:v>1</x:v>
      </x:c>
      <x:c r="F85" s="29" t="str">
        <x:v>multiply across campaigns; floor combined survival at 25%</x:v>
      </x:c>
      <x:c r="G85" s="29" t="str">
        <x:v>stress assumption</x:v>
      </x:c>
    </x:row>
    <x:row r="86" ht="75.5999984741211" hidden="0" customHeight="1">
      <x:c r="A86" s="27" t="str">
        <x:v>C2</x:v>
      </x:c>
      <x:c r="B86" s="27" t="str">
        <x:v>SCA-11</x:v>
      </x:c>
      <x:c r="C86" s="49" t="n">
        <x:v>0.5177706893566894</x:v>
      </x:c>
      <x:c r="D86" s="49" t="n">
        <x:f>INDEX(Campaigns!F:F,MATCH(A86,Campaigns!A:A,0))</x:f>
        <x:v>0.5</x:v>
      </x:c>
      <x:c r="E86" s="49" t="n">
        <x:f>1-C86*D86</x:f>
        <x:v>0.7411146553216553</x:v>
      </x:c>
      <x:c r="F86" s="27" t="str">
        <x:v>multiply across campaigns; floor combined survival at 25%</x:v>
      </x:c>
      <x:c r="G86" s="27" t="str">
        <x:v>stress assumption</x:v>
      </x:c>
    </x:row>
    <x:row r="87" ht="75.5999984741211" hidden="0" customHeight="1">
      <x:c r="A87" s="29" t="str">
        <x:v>C3</x:v>
      </x:c>
      <x:c r="B87" s="29" t="str">
        <x:v>SCA-11</x:v>
      </x:c>
      <x:c r="C87" s="50" t="n">
        <x:v>0</x:v>
      </x:c>
      <x:c r="D87" s="50" t="n">
        <x:f>INDEX(Campaigns!F:F,MATCH(A87,Campaigns!A:A,0))</x:f>
        <x:v>0.5</x:v>
      </x:c>
      <x:c r="E87" s="50" t="n">
        <x:f>1-C87*D87</x:f>
        <x:v>1</x:v>
      </x:c>
      <x:c r="F87" s="29" t="str">
        <x:v>multiply across campaigns; floor combined survival at 25%</x:v>
      </x:c>
      <x:c r="G87" s="29" t="str">
        <x:v>stress assumption</x:v>
      </x:c>
    </x:row>
    <x:row r="88" ht="75.5999984741211" hidden="0" customHeight="1">
      <x:c r="A88" s="27" t="str">
        <x:v>M1</x:v>
      </x:c>
      <x:c r="B88" s="27" t="str">
        <x:v>SCA-11</x:v>
      </x:c>
      <x:c r="C88" s="49" t="n">
        <x:v>0</x:v>
      </x:c>
      <x:c r="D88" s="49" t="n">
        <x:f>INDEX(Campaigns!F:F,MATCH(A88,Campaigns!A:A,0))</x:f>
        <x:v>0.3</x:v>
      </x:c>
      <x:c r="E88" s="49" t="n">
        <x:f>1-C88*D88</x:f>
        <x:v>1</x:v>
      </x:c>
      <x:c r="F88" s="27" t="str">
        <x:v>multiply across campaigns; floor combined survival at 25%</x:v>
      </x:c>
      <x:c r="G88" s="27" t="str">
        <x:v>stress assumption</x:v>
      </x:c>
    </x:row>
    <x:row r="89" ht="75.5999984741211" hidden="0" customHeight="1">
      <x:c r="A89" s="29" t="str">
        <x:v>M2</x:v>
      </x:c>
      <x:c r="B89" s="29" t="str">
        <x:v>SCA-11</x:v>
      </x:c>
      <x:c r="C89" s="50" t="n">
        <x:v>0</x:v>
      </x:c>
      <x:c r="D89" s="50" t="n">
        <x:f>INDEX(Campaigns!F:F,MATCH(A89,Campaigns!A:A,0))</x:f>
        <x:v>0.3</x:v>
      </x:c>
      <x:c r="E89" s="50" t="n">
        <x:f>1-C89*D89</x:f>
        <x:v>1</x:v>
      </x:c>
      <x:c r="F89" s="29" t="str">
        <x:v>multiply across campaigns; floor combined survival at 25%</x:v>
      </x:c>
      <x:c r="G89" s="29" t="str">
        <x:v>stress assumption</x:v>
      </x:c>
    </x:row>
    <x:row r="90" ht="75.5999984741211" hidden="0" customHeight="1">
      <x:c r="A90" s="27" t="str">
        <x:v>M3</x:v>
      </x:c>
      <x:c r="B90" s="27" t="str">
        <x:v>SCA-11</x:v>
      </x:c>
      <x:c r="C90" s="49" t="n">
        <x:v>0</x:v>
      </x:c>
      <x:c r="D90" s="49" t="n">
        <x:f>INDEX(Campaigns!F:F,MATCH(A90,Campaigns!A:A,0))</x:f>
        <x:v>0.3</x:v>
      </x:c>
      <x:c r="E90" s="49" t="n">
        <x:f>1-C90*D90</x:f>
        <x:v>1</x:v>
      </x:c>
      <x:c r="F90" s="27" t="str">
        <x:v>multiply across campaigns; floor combined survival at 25%</x:v>
      </x:c>
      <x:c r="G90" s="27" t="str">
        <x:v>stress assumption</x:v>
      </x:c>
    </x:row>
    <x:row r="91" ht="75.5999984741211" hidden="0" customHeight="1">
      <x:c r="A91" s="29" t="str">
        <x:v>M4</x:v>
      </x:c>
      <x:c r="B91" s="29" t="str">
        <x:v>SCA-11</x:v>
      </x:c>
      <x:c r="C91" s="50" t="n">
        <x:v>0</x:v>
      </x:c>
      <x:c r="D91" s="50" t="n">
        <x:f>INDEX(Campaigns!F:F,MATCH(A91,Campaigns!A:A,0))</x:f>
        <x:v>0.3</x:v>
      </x:c>
      <x:c r="E91" s="50" t="n">
        <x:f>1-C91*D91</x:f>
        <x:v>1</x:v>
      </x:c>
      <x:c r="F91" s="29" t="str">
        <x:v>multiply across campaigns; floor combined survival at 25%</x:v>
      </x:c>
      <x:c r="G91" s="29" t="str">
        <x:v>stress assumption</x:v>
      </x:c>
    </x:row>
    <x:row r="92" ht="75.5999984741211" hidden="0" customHeight="1">
      <x:c r="A92" s="27" t="str">
        <x:v>M5</x:v>
      </x:c>
      <x:c r="B92" s="27" t="str">
        <x:v>SCA-11</x:v>
      </x:c>
      <x:c r="C92" s="49" t="n">
        <x:v>1</x:v>
      </x:c>
      <x:c r="D92" s="49" t="n">
        <x:f>INDEX(Campaigns!F:F,MATCH(A92,Campaigns!A:A,0))</x:f>
        <x:v>0.3</x:v>
      </x:c>
      <x:c r="E92" s="49" t="n">
        <x:f>1-C92*D92</x:f>
        <x:v>0.7</x:v>
      </x:c>
      <x:c r="F92" s="27" t="str">
        <x:v>multiply across campaigns; floor combined survival at 25%</x:v>
      </x:c>
      <x:c r="G92" s="27" t="str">
        <x:v>stress assumption</x:v>
      </x:c>
    </x:row>
    <x:row r="93" ht="75.5999984741211" hidden="0" customHeight="1">
      <x:c r="A93" s="29" t="str">
        <x:v>C1</x:v>
      </x:c>
      <x:c r="B93" s="29" t="str">
        <x:v>SCA-12</x:v>
      </x:c>
      <x:c r="C93" s="50" t="n">
        <x:v>0</x:v>
      </x:c>
      <x:c r="D93" s="50" t="n">
        <x:f>INDEX(Campaigns!F:F,MATCH(A93,Campaigns!A:A,0))</x:f>
        <x:v>0.5</x:v>
      </x:c>
      <x:c r="E93" s="50" t="n">
        <x:f>1-C93*D93</x:f>
        <x:v>1</x:v>
      </x:c>
      <x:c r="F93" s="29" t="str">
        <x:v>multiply across campaigns; floor combined survival at 25%</x:v>
      </x:c>
      <x:c r="G93" s="29" t="str">
        <x:v>stress assumption</x:v>
      </x:c>
    </x:row>
    <x:row r="94" ht="75.5999984741211" hidden="0" customHeight="1">
      <x:c r="A94" s="27" t="str">
        <x:v>C2</x:v>
      </x:c>
      <x:c r="B94" s="27" t="str">
        <x:v>SCA-12</x:v>
      </x:c>
      <x:c r="C94" s="49" t="n">
        <x:v>0.043441248483292984</x:v>
      </x:c>
      <x:c r="D94" s="49" t="n">
        <x:f>INDEX(Campaigns!F:F,MATCH(A94,Campaigns!A:A,0))</x:f>
        <x:v>0.5</x:v>
      </x:c>
      <x:c r="E94" s="49" t="n">
        <x:f>1-C94*D94</x:f>
        <x:v>0.9782793757583536</x:v>
      </x:c>
      <x:c r="F94" s="27" t="str">
        <x:v>multiply across campaigns; floor combined survival at 25%</x:v>
      </x:c>
      <x:c r="G94" s="27" t="str">
        <x:v>stress assumption</x:v>
      </x:c>
    </x:row>
    <x:row r="95" ht="75.5999984741211" hidden="0" customHeight="1">
      <x:c r="A95" s="29" t="str">
        <x:v>C3</x:v>
      </x:c>
      <x:c r="B95" s="29" t="str">
        <x:v>SCA-12</x:v>
      </x:c>
      <x:c r="C95" s="50" t="n">
        <x:v>0</x:v>
      </x:c>
      <x:c r="D95" s="50" t="n">
        <x:f>INDEX(Campaigns!F:F,MATCH(A95,Campaigns!A:A,0))</x:f>
        <x:v>0.5</x:v>
      </x:c>
      <x:c r="E95" s="50" t="n">
        <x:f>1-C95*D95</x:f>
        <x:v>1</x:v>
      </x:c>
      <x:c r="F95" s="29" t="str">
        <x:v>multiply across campaigns; floor combined survival at 25%</x:v>
      </x:c>
      <x:c r="G95" s="29" t="str">
        <x:v>stress assumption</x:v>
      </x:c>
    </x:row>
    <x:row r="96" ht="75.5999984741211" hidden="0" customHeight="1">
      <x:c r="A96" s="27" t="str">
        <x:v>M1</x:v>
      </x:c>
      <x:c r="B96" s="27" t="str">
        <x:v>SCA-12</x:v>
      </x:c>
      <x:c r="C96" s="49" t="n">
        <x:v>0</x:v>
      </x:c>
      <x:c r="D96" s="49" t="n">
        <x:f>INDEX(Campaigns!F:F,MATCH(A96,Campaigns!A:A,0))</x:f>
        <x:v>0.3</x:v>
      </x:c>
      <x:c r="E96" s="49" t="n">
        <x:f>1-C96*D96</x:f>
        <x:v>1</x:v>
      </x:c>
      <x:c r="F96" s="27" t="str">
        <x:v>multiply across campaigns; floor combined survival at 25%</x:v>
      </x:c>
      <x:c r="G96" s="27" t="str">
        <x:v>stress assumption</x:v>
      </x:c>
    </x:row>
    <x:row r="97" ht="75.5999984741211" hidden="0" customHeight="1">
      <x:c r="A97" s="29" t="str">
        <x:v>M2</x:v>
      </x:c>
      <x:c r="B97" s="29" t="str">
        <x:v>SCA-12</x:v>
      </x:c>
      <x:c r="C97" s="50" t="n">
        <x:v>0</x:v>
      </x:c>
      <x:c r="D97" s="50" t="n">
        <x:f>INDEX(Campaigns!F:F,MATCH(A97,Campaigns!A:A,0))</x:f>
        <x:v>0.3</x:v>
      </x:c>
      <x:c r="E97" s="50" t="n">
        <x:f>1-C97*D97</x:f>
        <x:v>1</x:v>
      </x:c>
      <x:c r="F97" s="29" t="str">
        <x:v>multiply across campaigns; floor combined survival at 25%</x:v>
      </x:c>
      <x:c r="G97" s="29" t="str">
        <x:v>stress assumption</x:v>
      </x:c>
    </x:row>
    <x:row r="98" ht="75.5999984741211" hidden="0" customHeight="1">
      <x:c r="A98" s="27" t="str">
        <x:v>M3</x:v>
      </x:c>
      <x:c r="B98" s="27" t="str">
        <x:v>SCA-12</x:v>
      </x:c>
      <x:c r="C98" s="49" t="n">
        <x:v>0</x:v>
      </x:c>
      <x:c r="D98" s="49" t="n">
        <x:f>INDEX(Campaigns!F:F,MATCH(A98,Campaigns!A:A,0))</x:f>
        <x:v>0.3</x:v>
      </x:c>
      <x:c r="E98" s="49" t="n">
        <x:f>1-C98*D98</x:f>
        <x:v>1</x:v>
      </x:c>
      <x:c r="F98" s="27" t="str">
        <x:v>multiply across campaigns; floor combined survival at 25%</x:v>
      </x:c>
      <x:c r="G98" s="27" t="str">
        <x:v>stress assumption</x:v>
      </x:c>
    </x:row>
    <x:row r="99" ht="75.5999984741211" hidden="0" customHeight="1">
      <x:c r="A99" s="29" t="str">
        <x:v>M4</x:v>
      </x:c>
      <x:c r="B99" s="29" t="str">
        <x:v>SCA-12</x:v>
      </x:c>
      <x:c r="C99" s="50" t="n">
        <x:v>0</x:v>
      </x:c>
      <x:c r="D99" s="50" t="n">
        <x:f>INDEX(Campaigns!F:F,MATCH(A99,Campaigns!A:A,0))</x:f>
        <x:v>0.3</x:v>
      </x:c>
      <x:c r="E99" s="50" t="n">
        <x:f>1-C99*D99</x:f>
        <x:v>1</x:v>
      </x:c>
      <x:c r="F99" s="29" t="str">
        <x:v>multiply across campaigns; floor combined survival at 25%</x:v>
      </x:c>
      <x:c r="G99" s="29" t="str">
        <x:v>stress assumption</x:v>
      </x:c>
    </x:row>
    <x:row r="100" ht="75.5999984741211" hidden="0" customHeight="1">
      <x:c r="A100" s="27" t="str">
        <x:v>M5</x:v>
      </x:c>
      <x:c r="B100" s="27" t="str">
        <x:v>SCA-12</x:v>
      </x:c>
      <x:c r="C100" s="49" t="n">
        <x:v>0.10092380819446428</x:v>
      </x:c>
      <x:c r="D100" s="49" t="n">
        <x:f>INDEX(Campaigns!F:F,MATCH(A100,Campaigns!A:A,0))</x:f>
        <x:v>0.3</x:v>
      </x:c>
      <x:c r="E100" s="49" t="n">
        <x:f>1-C100*D100</x:f>
        <x:v>0.9697228575416608</x:v>
      </x:c>
      <x:c r="F100" s="27" t="str">
        <x:v>multiply across campaigns; floor combined survival at 25%</x:v>
      </x:c>
      <x:c r="G100" s="27" t="str">
        <x:v>stress assumption</x:v>
      </x:c>
    </x:row>
    <x:row r="101" ht="75.5999984741211" hidden="0" customHeight="1">
      <x:c r="A101" s="29" t="str">
        <x:v>C1</x:v>
      </x:c>
      <x:c r="B101" s="29" t="str">
        <x:v>SCA-13</x:v>
      </x:c>
      <x:c r="C101" s="50" t="n">
        <x:v>0</x:v>
      </x:c>
      <x:c r="D101" s="50" t="n">
        <x:f>INDEX(Campaigns!F:F,MATCH(A101,Campaigns!A:A,0))</x:f>
        <x:v>0.5</x:v>
      </x:c>
      <x:c r="E101" s="50" t="n">
        <x:f>1-C101*D101</x:f>
        <x:v>1</x:v>
      </x:c>
      <x:c r="F101" s="29" t="str">
        <x:v>multiply across campaigns; floor combined survival at 25%</x:v>
      </x:c>
      <x:c r="G101" s="29" t="str">
        <x:v>stress assumption</x:v>
      </x:c>
    </x:row>
    <x:row r="102" ht="75.5999984741211" hidden="0" customHeight="1">
      <x:c r="A102" s="27" t="str">
        <x:v>C2</x:v>
      </x:c>
      <x:c r="B102" s="27" t="str">
        <x:v>SCA-13</x:v>
      </x:c>
      <x:c r="C102" s="49" t="n">
        <x:v>1</x:v>
      </x:c>
      <x:c r="D102" s="49" t="n">
        <x:f>INDEX(Campaigns!F:F,MATCH(A102,Campaigns!A:A,0))</x:f>
        <x:v>0.5</x:v>
      </x:c>
      <x:c r="E102" s="49" t="n">
        <x:f>1-C102*D102</x:f>
        <x:v>0.5</x:v>
      </x:c>
      <x:c r="F102" s="27" t="str">
        <x:v>multiply across campaigns; floor combined survival at 25%</x:v>
      </x:c>
      <x:c r="G102" s="27" t="str">
        <x:v>stress assumption</x:v>
      </x:c>
    </x:row>
    <x:row r="103" ht="75.5999984741211" hidden="0" customHeight="1">
      <x:c r="A103" s="29" t="str">
        <x:v>C3</x:v>
      </x:c>
      <x:c r="B103" s="29" t="str">
        <x:v>SCA-13</x:v>
      </x:c>
      <x:c r="C103" s="50" t="n">
        <x:v>0</x:v>
      </x:c>
      <x:c r="D103" s="50" t="n">
        <x:f>INDEX(Campaigns!F:F,MATCH(A103,Campaigns!A:A,0))</x:f>
        <x:v>0.5</x:v>
      </x:c>
      <x:c r="E103" s="50" t="n">
        <x:f>1-C103*D103</x:f>
        <x:v>1</x:v>
      </x:c>
      <x:c r="F103" s="29" t="str">
        <x:v>multiply across campaigns; floor combined survival at 25%</x:v>
      </x:c>
      <x:c r="G103" s="29" t="str">
        <x:v>stress assumption</x:v>
      </x:c>
    </x:row>
    <x:row r="104" ht="75.5999984741211" hidden="0" customHeight="1">
      <x:c r="A104" s="27" t="str">
        <x:v>M1</x:v>
      </x:c>
      <x:c r="B104" s="27" t="str">
        <x:v>SCA-13</x:v>
      </x:c>
      <x:c r="C104" s="49" t="n">
        <x:v>0</x:v>
      </x:c>
      <x:c r="D104" s="49" t="n">
        <x:f>INDEX(Campaigns!F:F,MATCH(A104,Campaigns!A:A,0))</x:f>
        <x:v>0.3</x:v>
      </x:c>
      <x:c r="E104" s="49" t="n">
        <x:f>1-C104*D104</x:f>
        <x:v>1</x:v>
      </x:c>
      <x:c r="F104" s="27" t="str">
        <x:v>multiply across campaigns; floor combined survival at 25%</x:v>
      </x:c>
      <x:c r="G104" s="27" t="str">
        <x:v>stress assumption</x:v>
      </x:c>
    </x:row>
    <x:row r="105" ht="75.5999984741211" hidden="0" customHeight="1">
      <x:c r="A105" s="29" t="str">
        <x:v>M2</x:v>
      </x:c>
      <x:c r="B105" s="29" t="str">
        <x:v>SCA-13</x:v>
      </x:c>
      <x:c r="C105" s="50" t="n">
        <x:v>0</x:v>
      </x:c>
      <x:c r="D105" s="50" t="n">
        <x:f>INDEX(Campaigns!F:F,MATCH(A105,Campaigns!A:A,0))</x:f>
        <x:v>0.3</x:v>
      </x:c>
      <x:c r="E105" s="50" t="n">
        <x:f>1-C105*D105</x:f>
        <x:v>1</x:v>
      </x:c>
      <x:c r="F105" s="29" t="str">
        <x:v>multiply across campaigns; floor combined survival at 25%</x:v>
      </x:c>
      <x:c r="G105" s="29" t="str">
        <x:v>stress assumption</x:v>
      </x:c>
    </x:row>
    <x:row r="106" ht="75.5999984741211" hidden="0" customHeight="1">
      <x:c r="A106" s="27" t="str">
        <x:v>M3</x:v>
      </x:c>
      <x:c r="B106" s="27" t="str">
        <x:v>SCA-13</x:v>
      </x:c>
      <x:c r="C106" s="49" t="n">
        <x:v>0</x:v>
      </x:c>
      <x:c r="D106" s="49" t="n">
        <x:f>INDEX(Campaigns!F:F,MATCH(A106,Campaigns!A:A,0))</x:f>
        <x:v>0.3</x:v>
      </x:c>
      <x:c r="E106" s="49" t="n">
        <x:f>1-C106*D106</x:f>
        <x:v>1</x:v>
      </x:c>
      <x:c r="F106" s="27" t="str">
        <x:v>multiply across campaigns; floor combined survival at 25%</x:v>
      </x:c>
      <x:c r="G106" s="27" t="str">
        <x:v>stress assumption</x:v>
      </x:c>
    </x:row>
    <x:row r="107" ht="75.5999984741211" hidden="0" customHeight="1">
      <x:c r="A107" s="29" t="str">
        <x:v>M4</x:v>
      </x:c>
      <x:c r="B107" s="29" t="str">
        <x:v>SCA-13</x:v>
      </x:c>
      <x:c r="C107" s="50" t="n">
        <x:v>0</x:v>
      </x:c>
      <x:c r="D107" s="50" t="n">
        <x:f>INDEX(Campaigns!F:F,MATCH(A107,Campaigns!A:A,0))</x:f>
        <x:v>0.3</x:v>
      </x:c>
      <x:c r="E107" s="50" t="n">
        <x:f>1-C107*D107</x:f>
        <x:v>1</x:v>
      </x:c>
      <x:c r="F107" s="29" t="str">
        <x:v>multiply across campaigns; floor combined survival at 25%</x:v>
      </x:c>
      <x:c r="G107" s="29" t="str">
        <x:v>stress assumption</x:v>
      </x:c>
    </x:row>
    <x:row r="108" ht="75.5999984741211" hidden="0" customHeight="1">
      <x:c r="A108" s="27" t="str">
        <x:v>M5</x:v>
      </x:c>
      <x:c r="B108" s="27" t="str">
        <x:v>SCA-13</x:v>
      </x:c>
      <x:c r="C108" s="49" t="n">
        <x:v>1</x:v>
      </x:c>
      <x:c r="D108" s="49" t="n">
        <x:f>INDEX(Campaigns!F:F,MATCH(A108,Campaigns!A:A,0))</x:f>
        <x:v>0.3</x:v>
      </x:c>
      <x:c r="E108" s="49" t="n">
        <x:f>1-C108*D108</x:f>
        <x:v>0.7</x:v>
      </x:c>
      <x:c r="F108" s="27" t="str">
        <x:v>multiply across campaigns; floor combined survival at 25%</x:v>
      </x:c>
      <x:c r="G108" s="27" t="str">
        <x:v>stress assumption</x:v>
      </x:c>
    </x:row>
    <x:row r="109" ht="75.5999984741211" hidden="0" customHeight="1">
      <x:c r="A109" s="29" t="str">
        <x:v>C1</x:v>
      </x:c>
      <x:c r="B109" s="29" t="str">
        <x:v>SCA-14</x:v>
      </x:c>
      <x:c r="C109" s="50" t="n">
        <x:v>0</x:v>
      </x:c>
      <x:c r="D109" s="50" t="n">
        <x:f>INDEX(Campaigns!F:F,MATCH(A109,Campaigns!A:A,0))</x:f>
        <x:v>0.5</x:v>
      </x:c>
      <x:c r="E109" s="50" t="n">
        <x:f>1-C109*D109</x:f>
        <x:v>1</x:v>
      </x:c>
      <x:c r="F109" s="29" t="str">
        <x:v>multiply across campaigns; floor combined survival at 25%</x:v>
      </x:c>
      <x:c r="G109" s="29" t="str">
        <x:v>stress assumption</x:v>
      </x:c>
    </x:row>
    <x:row r="110" ht="75.5999984741211" hidden="0" customHeight="1">
      <x:c r="A110" s="27" t="str">
        <x:v>C2</x:v>
      </x:c>
      <x:c r="B110" s="27" t="str">
        <x:v>SCA-14</x:v>
      </x:c>
      <x:c r="C110" s="49" t="n">
        <x:v>1</x:v>
      </x:c>
      <x:c r="D110" s="49" t="n">
        <x:f>INDEX(Campaigns!F:F,MATCH(A110,Campaigns!A:A,0))</x:f>
        <x:v>0.5</x:v>
      </x:c>
      <x:c r="E110" s="49" t="n">
        <x:f>1-C110*D110</x:f>
        <x:v>0.5</x:v>
      </x:c>
      <x:c r="F110" s="27" t="str">
        <x:v>multiply across campaigns; floor combined survival at 25%</x:v>
      </x:c>
      <x:c r="G110" s="27" t="str">
        <x:v>stress assumption</x:v>
      </x:c>
    </x:row>
    <x:row r="111" ht="75.5999984741211" hidden="0" customHeight="1">
      <x:c r="A111" s="29" t="str">
        <x:v>C3</x:v>
      </x:c>
      <x:c r="B111" s="29" t="str">
        <x:v>SCA-14</x:v>
      </x:c>
      <x:c r="C111" s="50" t="n">
        <x:v>0</x:v>
      </x:c>
      <x:c r="D111" s="50" t="n">
        <x:f>INDEX(Campaigns!F:F,MATCH(A111,Campaigns!A:A,0))</x:f>
        <x:v>0.5</x:v>
      </x:c>
      <x:c r="E111" s="50" t="n">
        <x:f>1-C111*D111</x:f>
        <x:v>1</x:v>
      </x:c>
      <x:c r="F111" s="29" t="str">
        <x:v>multiply across campaigns; floor combined survival at 25%</x:v>
      </x:c>
      <x:c r="G111" s="29" t="str">
        <x:v>stress assumption</x:v>
      </x:c>
    </x:row>
    <x:row r="112" ht="75.5999984741211" hidden="0" customHeight="1">
      <x:c r="A112" s="27" t="str">
        <x:v>M1</x:v>
      </x:c>
      <x:c r="B112" s="27" t="str">
        <x:v>SCA-14</x:v>
      </x:c>
      <x:c r="C112" s="49" t="n">
        <x:v>0</x:v>
      </x:c>
      <x:c r="D112" s="49" t="n">
        <x:f>INDEX(Campaigns!F:F,MATCH(A112,Campaigns!A:A,0))</x:f>
        <x:v>0.3</x:v>
      </x:c>
      <x:c r="E112" s="49" t="n">
        <x:f>1-C112*D112</x:f>
        <x:v>1</x:v>
      </x:c>
      <x:c r="F112" s="27" t="str">
        <x:v>multiply across campaigns; floor combined survival at 25%</x:v>
      </x:c>
      <x:c r="G112" s="27" t="str">
        <x:v>stress assumption</x:v>
      </x:c>
    </x:row>
    <x:row r="113" ht="75.5999984741211" hidden="0" customHeight="1">
      <x:c r="A113" s="29" t="str">
        <x:v>M2</x:v>
      </x:c>
      <x:c r="B113" s="29" t="str">
        <x:v>SCA-14</x:v>
      </x:c>
      <x:c r="C113" s="50" t="n">
        <x:v>0</x:v>
      </x:c>
      <x:c r="D113" s="50" t="n">
        <x:f>INDEX(Campaigns!F:F,MATCH(A113,Campaigns!A:A,0))</x:f>
        <x:v>0.3</x:v>
      </x:c>
      <x:c r="E113" s="50" t="n">
        <x:f>1-C113*D113</x:f>
        <x:v>1</x:v>
      </x:c>
      <x:c r="F113" s="29" t="str">
        <x:v>multiply across campaigns; floor combined survival at 25%</x:v>
      </x:c>
      <x:c r="G113" s="29" t="str">
        <x:v>stress assumption</x:v>
      </x:c>
    </x:row>
    <x:row r="114" ht="75.5999984741211" hidden="0" customHeight="1">
      <x:c r="A114" s="27" t="str">
        <x:v>M3</x:v>
      </x:c>
      <x:c r="B114" s="27" t="str">
        <x:v>SCA-14</x:v>
      </x:c>
      <x:c r="C114" s="49" t="n">
        <x:v>0</x:v>
      </x:c>
      <x:c r="D114" s="49" t="n">
        <x:f>INDEX(Campaigns!F:F,MATCH(A114,Campaigns!A:A,0))</x:f>
        <x:v>0.3</x:v>
      </x:c>
      <x:c r="E114" s="49" t="n">
        <x:f>1-C114*D114</x:f>
        <x:v>1</x:v>
      </x:c>
      <x:c r="F114" s="27" t="str">
        <x:v>multiply across campaigns; floor combined survival at 25%</x:v>
      </x:c>
      <x:c r="G114" s="27" t="str">
        <x:v>stress assumption</x:v>
      </x:c>
    </x:row>
    <x:row r="115" ht="75.5999984741211" hidden="0" customHeight="1">
      <x:c r="A115" s="29" t="str">
        <x:v>M4</x:v>
      </x:c>
      <x:c r="B115" s="29" t="str">
        <x:v>SCA-14</x:v>
      </x:c>
      <x:c r="C115" s="50" t="n">
        <x:v>0</x:v>
      </x:c>
      <x:c r="D115" s="50" t="n">
        <x:f>INDEX(Campaigns!F:F,MATCH(A115,Campaigns!A:A,0))</x:f>
        <x:v>0.3</x:v>
      </x:c>
      <x:c r="E115" s="50" t="n">
        <x:f>1-C115*D115</x:f>
        <x:v>1</x:v>
      </x:c>
      <x:c r="F115" s="29" t="str">
        <x:v>multiply across campaigns; floor combined survival at 25%</x:v>
      </x:c>
      <x:c r="G115" s="29" t="str">
        <x:v>stress assumption</x:v>
      </x:c>
    </x:row>
    <x:row r="116" ht="75.5999984741211" hidden="0" customHeight="1">
      <x:c r="A116" s="27" t="str">
        <x:v>M5</x:v>
      </x:c>
      <x:c r="B116" s="27" t="str">
        <x:v>SCA-14</x:v>
      </x:c>
      <x:c r="C116" s="49" t="n">
        <x:v>1</x:v>
      </x:c>
      <x:c r="D116" s="49" t="n">
        <x:f>INDEX(Campaigns!F:F,MATCH(A116,Campaigns!A:A,0))</x:f>
        <x:v>0.3</x:v>
      </x:c>
      <x:c r="E116" s="49" t="n">
        <x:f>1-C116*D116</x:f>
        <x:v>0.7</x:v>
      </x:c>
      <x:c r="F116" s="27" t="str">
        <x:v>multiply across campaigns; floor combined survival at 25%</x:v>
      </x:c>
      <x:c r="G116" s="27" t="str">
        <x:v>stress assumption</x:v>
      </x:c>
    </x:row>
    <x:row r="117" ht="75.5999984741211" hidden="0" customHeight="1">
      <x:c r="A117" s="29" t="str">
        <x:v>C1</x:v>
      </x:c>
      <x:c r="B117" s="29" t="str">
        <x:v>SCA-15</x:v>
      </x:c>
      <x:c r="C117" s="50" t="n">
        <x:v>0</x:v>
      </x:c>
      <x:c r="D117" s="50" t="n">
        <x:f>INDEX(Campaigns!F:F,MATCH(A117,Campaigns!A:A,0))</x:f>
        <x:v>0.5</x:v>
      </x:c>
      <x:c r="E117" s="50" t="n">
        <x:f>1-C117*D117</x:f>
        <x:v>1</x:v>
      </x:c>
      <x:c r="F117" s="29" t="str">
        <x:v>multiply across campaigns; floor combined survival at 25%</x:v>
      </x:c>
      <x:c r="G117" s="29" t="str">
        <x:v>stress assumption</x:v>
      </x:c>
    </x:row>
    <x:row r="118" ht="75.5999984741211" hidden="0" customHeight="1">
      <x:c r="A118" s="27" t="str">
        <x:v>C2</x:v>
      </x:c>
      <x:c r="B118" s="27" t="str">
        <x:v>SCA-15</x:v>
      </x:c>
      <x:c r="C118" s="49" t="n">
        <x:v>0.8875580960108354</x:v>
      </x:c>
      <x:c r="D118" s="49" t="n">
        <x:f>INDEX(Campaigns!F:F,MATCH(A118,Campaigns!A:A,0))</x:f>
        <x:v>0.5</x:v>
      </x:c>
      <x:c r="E118" s="49" t="n">
        <x:f>1-C118*D118</x:f>
        <x:v>0.5562209519945823</x:v>
      </x:c>
      <x:c r="F118" s="27" t="str">
        <x:v>multiply across campaigns; floor combined survival at 25%</x:v>
      </x:c>
      <x:c r="G118" s="27" t="str">
        <x:v>stress assumption</x:v>
      </x:c>
    </x:row>
    <x:row r="119" ht="75.5999984741211" hidden="0" customHeight="1">
      <x:c r="A119" s="29" t="str">
        <x:v>C3</x:v>
      </x:c>
      <x:c r="B119" s="29" t="str">
        <x:v>SCA-15</x:v>
      </x:c>
      <x:c r="C119" s="50" t="n">
        <x:v>0</x:v>
      </x:c>
      <x:c r="D119" s="50" t="n">
        <x:f>INDEX(Campaigns!F:F,MATCH(A119,Campaigns!A:A,0))</x:f>
        <x:v>0.5</x:v>
      </x:c>
      <x:c r="E119" s="50" t="n">
        <x:f>1-C119*D119</x:f>
        <x:v>1</x:v>
      </x:c>
      <x:c r="F119" s="29" t="str">
        <x:v>multiply across campaigns; floor combined survival at 25%</x:v>
      </x:c>
      <x:c r="G119" s="29" t="str">
        <x:v>stress assumption</x:v>
      </x:c>
    </x:row>
    <x:row r="120" ht="75.5999984741211" hidden="0" customHeight="1">
      <x:c r="A120" s="27" t="str">
        <x:v>M1</x:v>
      </x:c>
      <x:c r="B120" s="27" t="str">
        <x:v>SCA-15</x:v>
      </x:c>
      <x:c r="C120" s="49" t="n">
        <x:v>0</x:v>
      </x:c>
      <x:c r="D120" s="49" t="n">
        <x:f>INDEX(Campaigns!F:F,MATCH(A120,Campaigns!A:A,0))</x:f>
        <x:v>0.3</x:v>
      </x:c>
      <x:c r="E120" s="49" t="n">
        <x:f>1-C120*D120</x:f>
        <x:v>1</x:v>
      </x:c>
      <x:c r="F120" s="27" t="str">
        <x:v>multiply across campaigns; floor combined survival at 25%</x:v>
      </x:c>
      <x:c r="G120" s="27" t="str">
        <x:v>stress assumption</x:v>
      </x:c>
    </x:row>
    <x:row r="121" ht="75.5999984741211" hidden="0" customHeight="1">
      <x:c r="A121" s="29" t="str">
        <x:v>M2</x:v>
      </x:c>
      <x:c r="B121" s="29" t="str">
        <x:v>SCA-15</x:v>
      </x:c>
      <x:c r="C121" s="50" t="n">
        <x:v>0.02327433415001653</x:v>
      </x:c>
      <x:c r="D121" s="50" t="n">
        <x:f>INDEX(Campaigns!F:F,MATCH(A121,Campaigns!A:A,0))</x:f>
        <x:v>0.3</x:v>
      </x:c>
      <x:c r="E121" s="50" t="n">
        <x:f>1-C121*D121</x:f>
        <x:v>0.993017699754995</x:v>
      </x:c>
      <x:c r="F121" s="29" t="str">
        <x:v>multiply across campaigns; floor combined survival at 25%</x:v>
      </x:c>
      <x:c r="G121" s="29" t="str">
        <x:v>stress assumption</x:v>
      </x:c>
    </x:row>
    <x:row r="122" ht="75.5999984741211" hidden="0" customHeight="1">
      <x:c r="A122" s="27" t="str">
        <x:v>M3</x:v>
      </x:c>
      <x:c r="B122" s="27" t="str">
        <x:v>SCA-15</x:v>
      </x:c>
      <x:c r="C122" s="49" t="n">
        <x:v>0</x:v>
      </x:c>
      <x:c r="D122" s="49" t="n">
        <x:f>INDEX(Campaigns!F:F,MATCH(A122,Campaigns!A:A,0))</x:f>
        <x:v>0.3</x:v>
      </x:c>
      <x:c r="E122" s="49" t="n">
        <x:f>1-C122*D122</x:f>
        <x:v>1</x:v>
      </x:c>
      <x:c r="F122" s="27" t="str">
        <x:v>multiply across campaigns; floor combined survival at 25%</x:v>
      </x:c>
      <x:c r="G122" s="27" t="str">
        <x:v>stress assumption</x:v>
      </x:c>
    </x:row>
    <x:row r="123" ht="75.5999984741211" hidden="0" customHeight="1">
      <x:c r="A123" s="29" t="str">
        <x:v>M4</x:v>
      </x:c>
      <x:c r="B123" s="29" t="str">
        <x:v>SCA-15</x:v>
      </x:c>
      <x:c r="C123" s="50" t="n">
        <x:v>0</x:v>
      </x:c>
      <x:c r="D123" s="50" t="n">
        <x:f>INDEX(Campaigns!F:F,MATCH(A123,Campaigns!A:A,0))</x:f>
        <x:v>0.3</x:v>
      </x:c>
      <x:c r="E123" s="50" t="n">
        <x:f>1-C123*D123</x:f>
        <x:v>1</x:v>
      </x:c>
      <x:c r="F123" s="29" t="str">
        <x:v>multiply across campaigns; floor combined survival at 25%</x:v>
      </x:c>
      <x:c r="G123" s="29" t="str">
        <x:v>stress assumption</x:v>
      </x:c>
    </x:row>
    <x:row r="124" ht="75.5999984741211" hidden="0" customHeight="1">
      <x:c r="A124" s="27" t="str">
        <x:v>M5</x:v>
      </x:c>
      <x:c r="B124" s="27" t="str">
        <x:v>SCA-15</x:v>
      </x:c>
      <x:c r="C124" s="49" t="n">
        <x:v>0.8496900409069292</x:v>
      </x:c>
      <x:c r="D124" s="49" t="n">
        <x:f>INDEX(Campaigns!F:F,MATCH(A124,Campaigns!A:A,0))</x:f>
        <x:v>0.3</x:v>
      </x:c>
      <x:c r="E124" s="49" t="n">
        <x:f>1-C124*D124</x:f>
        <x:v>0.7450929877279213</x:v>
      </x:c>
      <x:c r="F124" s="27" t="str">
        <x:v>multiply across campaigns; floor combined survival at 25%</x:v>
      </x:c>
      <x:c r="G124" s="27" t="str">
        <x:v>stress assumption</x:v>
      </x:c>
    </x:row>
    <x:row r="125" ht="75.5999984741211" hidden="0" customHeight="1">
      <x:c r="A125" s="29" t="str">
        <x:v>C1</x:v>
      </x:c>
      <x:c r="B125" s="29" t="str">
        <x:v>SCA-16</x:v>
      </x:c>
      <x:c r="C125" s="50" t="n">
        <x:v>0</x:v>
      </x:c>
      <x:c r="D125" s="50" t="n">
        <x:f>INDEX(Campaigns!F:F,MATCH(A125,Campaigns!A:A,0))</x:f>
        <x:v>0.5</x:v>
      </x:c>
      <x:c r="E125" s="50" t="n">
        <x:f>1-C125*D125</x:f>
        <x:v>1</x:v>
      </x:c>
      <x:c r="F125" s="29" t="str">
        <x:v>multiply across campaigns; floor combined survival at 25%</x:v>
      </x:c>
      <x:c r="G125" s="29" t="str">
        <x:v>stress assumption</x:v>
      </x:c>
    </x:row>
    <x:row r="126" ht="75.5999984741211" hidden="0" customHeight="1">
      <x:c r="A126" s="27" t="str">
        <x:v>C2</x:v>
      </x:c>
      <x:c r="B126" s="27" t="str">
        <x:v>SCA-16</x:v>
      </x:c>
      <x:c r="C126" s="49" t="n">
        <x:v>0.007841053554004733</x:v>
      </x:c>
      <x:c r="D126" s="49" t="n">
        <x:f>INDEX(Campaigns!F:F,MATCH(A126,Campaigns!A:A,0))</x:f>
        <x:v>0.5</x:v>
      </x:c>
      <x:c r="E126" s="49" t="n">
        <x:f>1-C126*D126</x:f>
        <x:v>0.9960794732229976</x:v>
      </x:c>
      <x:c r="F126" s="27" t="str">
        <x:v>multiply across campaigns; floor combined survival at 25%</x:v>
      </x:c>
      <x:c r="G126" s="27" t="str">
        <x:v>stress assumption</x:v>
      </x:c>
    </x:row>
    <x:row r="127" ht="75.5999984741211" hidden="0" customHeight="1">
      <x:c r="A127" s="29" t="str">
        <x:v>C3</x:v>
      </x:c>
      <x:c r="B127" s="29" t="str">
        <x:v>SCA-16</x:v>
      </x:c>
      <x:c r="C127" s="50" t="n">
        <x:v>0</x:v>
      </x:c>
      <x:c r="D127" s="50" t="n">
        <x:f>INDEX(Campaigns!F:F,MATCH(A127,Campaigns!A:A,0))</x:f>
        <x:v>0.5</x:v>
      </x:c>
      <x:c r="E127" s="50" t="n">
        <x:f>1-C127*D127</x:f>
        <x:v>1</x:v>
      </x:c>
      <x:c r="F127" s="29" t="str">
        <x:v>multiply across campaigns; floor combined survival at 25%</x:v>
      </x:c>
      <x:c r="G127" s="29" t="str">
        <x:v>stress assumption</x:v>
      </x:c>
    </x:row>
    <x:row r="128" ht="75.5999984741211" hidden="0" customHeight="1">
      <x:c r="A128" s="27" t="str">
        <x:v>M1</x:v>
      </x:c>
      <x:c r="B128" s="27" t="str">
        <x:v>SCA-16</x:v>
      </x:c>
      <x:c r="C128" s="49" t="n">
        <x:v>0</x:v>
      </x:c>
      <x:c r="D128" s="49" t="n">
        <x:f>INDEX(Campaigns!F:F,MATCH(A128,Campaigns!A:A,0))</x:f>
        <x:v>0.3</x:v>
      </x:c>
      <x:c r="E128" s="49" t="n">
        <x:f>1-C128*D128</x:f>
        <x:v>1</x:v>
      </x:c>
      <x:c r="F128" s="27" t="str">
        <x:v>multiply across campaigns; floor combined survival at 25%</x:v>
      </x:c>
      <x:c r="G128" s="27" t="str">
        <x:v>stress assumption</x:v>
      </x:c>
    </x:row>
    <x:row r="129" ht="75.5999984741211" hidden="0" customHeight="1">
      <x:c r="A129" s="29" t="str">
        <x:v>M2</x:v>
      </x:c>
      <x:c r="B129" s="29" t="str">
        <x:v>SCA-16</x:v>
      </x:c>
      <x:c r="C129" s="50" t="n">
        <x:v>0.23658246551939782</x:v>
      </x:c>
      <x:c r="D129" s="50" t="n">
        <x:f>INDEX(Campaigns!F:F,MATCH(A129,Campaigns!A:A,0))</x:f>
        <x:v>0.3</x:v>
      </x:c>
      <x:c r="E129" s="50" t="n">
        <x:f>1-C129*D129</x:f>
        <x:v>0.9290252603441806</x:v>
      </x:c>
      <x:c r="F129" s="29" t="str">
        <x:v>multiply across campaigns; floor combined survival at 25%</x:v>
      </x:c>
      <x:c r="G129" s="29" t="str">
        <x:v>stress assumption</x:v>
      </x:c>
    </x:row>
    <x:row r="130" ht="75.5999984741211" hidden="0" customHeight="1">
      <x:c r="A130" s="27" t="str">
        <x:v>M3</x:v>
      </x:c>
      <x:c r="B130" s="27" t="str">
        <x:v>SCA-16</x:v>
      </x:c>
      <x:c r="C130" s="49" t="n">
        <x:v>0</x:v>
      </x:c>
      <x:c r="D130" s="49" t="n">
        <x:f>INDEX(Campaigns!F:F,MATCH(A130,Campaigns!A:A,0))</x:f>
        <x:v>0.3</x:v>
      </x:c>
      <x:c r="E130" s="49" t="n">
        <x:f>1-C130*D130</x:f>
        <x:v>1</x:v>
      </x:c>
      <x:c r="F130" s="27" t="str">
        <x:v>multiply across campaigns; floor combined survival at 25%</x:v>
      </x:c>
      <x:c r="G130" s="27" t="str">
        <x:v>stress assumption</x:v>
      </x:c>
    </x:row>
    <x:row r="131" ht="75.5999984741211" hidden="0" customHeight="1">
      <x:c r="A131" s="29" t="str">
        <x:v>M4</x:v>
      </x:c>
      <x:c r="B131" s="29" t="str">
        <x:v>SCA-16</x:v>
      </x:c>
      <x:c r="C131" s="50" t="n">
        <x:v>0</x:v>
      </x:c>
      <x:c r="D131" s="50" t="n">
        <x:f>INDEX(Campaigns!F:F,MATCH(A131,Campaigns!A:A,0))</x:f>
        <x:v>0.3</x:v>
      </x:c>
      <x:c r="E131" s="50" t="n">
        <x:f>1-C131*D131</x:f>
        <x:v>1</x:v>
      </x:c>
      <x:c r="F131" s="29" t="str">
        <x:v>multiply across campaigns; floor combined survival at 25%</x:v>
      </x:c>
      <x:c r="G131" s="29" t="str">
        <x:v>stress assumption</x:v>
      </x:c>
    </x:row>
    <x:row r="132" ht="75.5999984741211" hidden="0" customHeight="1">
      <x:c r="A132" s="27" t="str">
        <x:v>M5</x:v>
      </x:c>
      <x:c r="B132" s="27" t="str">
        <x:v>SCA-16</x:v>
      </x:c>
      <x:c r="C132" s="49" t="n">
        <x:v>0.007841053554004733</x:v>
      </x:c>
      <x:c r="D132" s="49" t="n">
        <x:f>INDEX(Campaigns!F:F,MATCH(A132,Campaigns!A:A,0))</x:f>
        <x:v>0.3</x:v>
      </x:c>
      <x:c r="E132" s="49" t="n">
        <x:f>1-C132*D132</x:f>
        <x:v>0.9976476839337985</x:v>
      </x:c>
      <x:c r="F132" s="27" t="str">
        <x:v>multiply across campaigns; floor combined survival at 25%</x:v>
      </x:c>
      <x:c r="G132" s="27" t="str">
        <x:v>stress assumption</x:v>
      </x:c>
    </x:row>
    <x:row r="133" ht="75.5999984741211" hidden="0" customHeight="1">
      <x:c r="A133" s="29" t="str">
        <x:v>C1</x:v>
      </x:c>
      <x:c r="B133" s="29" t="str">
        <x:v>SCA-17</x:v>
      </x:c>
      <x:c r="C133" s="50" t="n">
        <x:v>0</x:v>
      </x:c>
      <x:c r="D133" s="50" t="n">
        <x:f>INDEX(Campaigns!F:F,MATCH(A133,Campaigns!A:A,0))</x:f>
        <x:v>0.5</x:v>
      </x:c>
      <x:c r="E133" s="50" t="n">
        <x:f>1-C133*D133</x:f>
        <x:v>1</x:v>
      </x:c>
      <x:c r="F133" s="29" t="str">
        <x:v>multiply across campaigns; floor combined survival at 25%</x:v>
      </x:c>
      <x:c r="G133" s="29" t="str">
        <x:v>stress assumption</x:v>
      </x:c>
    </x:row>
    <x:row r="134" ht="75.5999984741211" hidden="0" customHeight="1">
      <x:c r="A134" s="27" t="str">
        <x:v>C2</x:v>
      </x:c>
      <x:c r="B134" s="27" t="str">
        <x:v>SCA-17</x:v>
      </x:c>
      <x:c r="C134" s="49" t="n">
        <x:v>1</x:v>
      </x:c>
      <x:c r="D134" s="49" t="n">
        <x:f>INDEX(Campaigns!F:F,MATCH(A134,Campaigns!A:A,0))</x:f>
        <x:v>0.5</x:v>
      </x:c>
      <x:c r="E134" s="49" t="n">
        <x:f>1-C134*D134</x:f>
        <x:v>0.5</x:v>
      </x:c>
      <x:c r="F134" s="27" t="str">
        <x:v>multiply across campaigns; floor combined survival at 25%</x:v>
      </x:c>
      <x:c r="G134" s="27" t="str">
        <x:v>stress assumption</x:v>
      </x:c>
    </x:row>
    <x:row r="135" ht="75.5999984741211" hidden="0" customHeight="1">
      <x:c r="A135" s="29" t="str">
        <x:v>C3</x:v>
      </x:c>
      <x:c r="B135" s="29" t="str">
        <x:v>SCA-17</x:v>
      </x:c>
      <x:c r="C135" s="50" t="n">
        <x:v>0</x:v>
      </x:c>
      <x:c r="D135" s="50" t="n">
        <x:f>INDEX(Campaigns!F:F,MATCH(A135,Campaigns!A:A,0))</x:f>
        <x:v>0.5</x:v>
      </x:c>
      <x:c r="E135" s="50" t="n">
        <x:f>1-C135*D135</x:f>
        <x:v>1</x:v>
      </x:c>
      <x:c r="F135" s="29" t="str">
        <x:v>multiply across campaigns; floor combined survival at 25%</x:v>
      </x:c>
      <x:c r="G135" s="29" t="str">
        <x:v>stress assumption</x:v>
      </x:c>
    </x:row>
    <x:row r="136" ht="75.5999984741211" hidden="0" customHeight="1">
      <x:c r="A136" s="27" t="str">
        <x:v>M1</x:v>
      </x:c>
      <x:c r="B136" s="27" t="str">
        <x:v>SCA-17</x:v>
      </x:c>
      <x:c r="C136" s="49" t="n">
        <x:v>0</x:v>
      </x:c>
      <x:c r="D136" s="49" t="n">
        <x:f>INDEX(Campaigns!F:F,MATCH(A136,Campaigns!A:A,0))</x:f>
        <x:v>0.3</x:v>
      </x:c>
      <x:c r="E136" s="49" t="n">
        <x:f>1-C136*D136</x:f>
        <x:v>1</x:v>
      </x:c>
      <x:c r="F136" s="27" t="str">
        <x:v>multiply across campaigns; floor combined survival at 25%</x:v>
      </x:c>
      <x:c r="G136" s="27" t="str">
        <x:v>stress assumption</x:v>
      </x:c>
    </x:row>
    <x:row r="137" ht="75.5999984741211" hidden="0" customHeight="1">
      <x:c r="A137" s="29" t="str">
        <x:v>M2</x:v>
      </x:c>
      <x:c r="B137" s="29" t="str">
        <x:v>SCA-17</x:v>
      </x:c>
      <x:c r="C137" s="50" t="n">
        <x:v>0.0029308968444682836</x:v>
      </x:c>
      <x:c r="D137" s="50" t="n">
        <x:f>INDEX(Campaigns!F:F,MATCH(A137,Campaigns!A:A,0))</x:f>
        <x:v>0.3</x:v>
      </x:c>
      <x:c r="E137" s="50" t="n">
        <x:f>1-C137*D137</x:f>
        <x:v>0.9991207309466595</x:v>
      </x:c>
      <x:c r="F137" s="29" t="str">
        <x:v>multiply across campaigns; floor combined survival at 25%</x:v>
      </x:c>
      <x:c r="G137" s="29" t="str">
        <x:v>stress assumption</x:v>
      </x:c>
    </x:row>
    <x:row r="138" ht="75.5999984741211" hidden="0" customHeight="1">
      <x:c r="A138" s="27" t="str">
        <x:v>M3</x:v>
      </x:c>
      <x:c r="B138" s="27" t="str">
        <x:v>SCA-17</x:v>
      </x:c>
      <x:c r="C138" s="49" t="n">
        <x:v>0</x:v>
      </x:c>
      <x:c r="D138" s="49" t="n">
        <x:f>INDEX(Campaigns!F:F,MATCH(A138,Campaigns!A:A,0))</x:f>
        <x:v>0.3</x:v>
      </x:c>
      <x:c r="E138" s="49" t="n">
        <x:f>1-C138*D138</x:f>
        <x:v>1</x:v>
      </x:c>
      <x:c r="F138" s="27" t="str">
        <x:v>multiply across campaigns; floor combined survival at 25%</x:v>
      </x:c>
      <x:c r="G138" s="27" t="str">
        <x:v>stress assumption</x:v>
      </x:c>
    </x:row>
    <x:row r="139" ht="75.5999984741211" hidden="0" customHeight="1">
      <x:c r="A139" s="29" t="str">
        <x:v>M4</x:v>
      </x:c>
      <x:c r="B139" s="29" t="str">
        <x:v>SCA-17</x:v>
      </x:c>
      <x:c r="C139" s="50" t="n">
        <x:v>0</x:v>
      </x:c>
      <x:c r="D139" s="50" t="n">
        <x:f>INDEX(Campaigns!F:F,MATCH(A139,Campaigns!A:A,0))</x:f>
        <x:v>0.3</x:v>
      </x:c>
      <x:c r="E139" s="50" t="n">
        <x:f>1-C139*D139</x:f>
        <x:v>1</x:v>
      </x:c>
      <x:c r="F139" s="29" t="str">
        <x:v>multiply across campaigns; floor combined survival at 25%</x:v>
      </x:c>
      <x:c r="G139" s="29" t="str">
        <x:v>stress assumption</x:v>
      </x:c>
    </x:row>
    <x:row r="140" ht="75.5999984741211" hidden="0" customHeight="1">
      <x:c r="A140" s="27" t="str">
        <x:v>M5</x:v>
      </x:c>
      <x:c r="B140" s="27" t="str">
        <x:v>SCA-17</x:v>
      </x:c>
      <x:c r="C140" s="49" t="n">
        <x:v>0.7269142724157394</x:v>
      </x:c>
      <x:c r="D140" s="49" t="n">
        <x:f>INDEX(Campaigns!F:F,MATCH(A140,Campaigns!A:A,0))</x:f>
        <x:v>0.3</x:v>
      </x:c>
      <x:c r="E140" s="49" t="n">
        <x:f>1-C140*D140</x:f>
        <x:v>0.7819257182752782</x:v>
      </x:c>
      <x:c r="F140" s="27" t="str">
        <x:v>multiply across campaigns; floor combined survival at 25%</x:v>
      </x:c>
      <x:c r="G140" s="27" t="str">
        <x:v>stress assumption</x:v>
      </x:c>
    </x:row>
    <x:row r="141" ht="75.5999984741211" hidden="0" customHeight="1">
      <x:c r="A141" s="29" t="str">
        <x:v>C1</x:v>
      </x:c>
      <x:c r="B141" s="29" t="str">
        <x:v>SCA-18</x:v>
      </x:c>
      <x:c r="C141" s="50" t="n">
        <x:v>0</x:v>
      </x:c>
      <x:c r="D141" s="50" t="n">
        <x:f>INDEX(Campaigns!F:F,MATCH(A141,Campaigns!A:A,0))</x:f>
        <x:v>0.5</x:v>
      </x:c>
      <x:c r="E141" s="50" t="n">
        <x:f>1-C141*D141</x:f>
        <x:v>1</x:v>
      </x:c>
      <x:c r="F141" s="29" t="str">
        <x:v>multiply across campaigns; floor combined survival at 25%</x:v>
      </x:c>
      <x:c r="G141" s="29" t="str">
        <x:v>stress assumption</x:v>
      </x:c>
    </x:row>
    <x:row r="142" ht="75.5999984741211" hidden="0" customHeight="1">
      <x:c r="A142" s="27" t="str">
        <x:v>C2</x:v>
      </x:c>
      <x:c r="B142" s="27" t="str">
        <x:v>SCA-18</x:v>
      </x:c>
      <x:c r="C142" s="49" t="n">
        <x:v>0</x:v>
      </x:c>
      <x:c r="D142" s="49" t="n">
        <x:f>INDEX(Campaigns!F:F,MATCH(A142,Campaigns!A:A,0))</x:f>
        <x:v>0.5</x:v>
      </x:c>
      <x:c r="E142" s="49" t="n">
        <x:f>1-C142*D142</x:f>
        <x:v>1</x:v>
      </x:c>
      <x:c r="F142" s="27" t="str">
        <x:v>multiply across campaigns; floor combined survival at 25%</x:v>
      </x:c>
      <x:c r="G142" s="27" t="str">
        <x:v>stress assumption</x:v>
      </x:c>
    </x:row>
    <x:row r="143" ht="75.5999984741211" hidden="0" customHeight="1">
      <x:c r="A143" s="29" t="str">
        <x:v>C3</x:v>
      </x:c>
      <x:c r="B143" s="29" t="str">
        <x:v>SCA-18</x:v>
      </x:c>
      <x:c r="C143" s="50" t="n">
        <x:v>0</x:v>
      </x:c>
      <x:c r="D143" s="50" t="n">
        <x:f>INDEX(Campaigns!F:F,MATCH(A143,Campaigns!A:A,0))</x:f>
        <x:v>0.5</x:v>
      </x:c>
      <x:c r="E143" s="50" t="n">
        <x:f>1-C143*D143</x:f>
        <x:v>1</x:v>
      </x:c>
      <x:c r="F143" s="29" t="str">
        <x:v>multiply across campaigns; floor combined survival at 25%</x:v>
      </x:c>
      <x:c r="G143" s="29" t="str">
        <x:v>stress assumption</x:v>
      </x:c>
    </x:row>
    <x:row r="144" ht="75.5999984741211" hidden="0" customHeight="1">
      <x:c r="A144" s="27" t="str">
        <x:v>M1</x:v>
      </x:c>
      <x:c r="B144" s="27" t="str">
        <x:v>SCA-18</x:v>
      </x:c>
      <x:c r="C144" s="49" t="n">
        <x:v>0</x:v>
      </x:c>
      <x:c r="D144" s="49" t="n">
        <x:f>INDEX(Campaigns!F:F,MATCH(A144,Campaigns!A:A,0))</x:f>
        <x:v>0.3</x:v>
      </x:c>
      <x:c r="E144" s="49" t="n">
        <x:f>1-C144*D144</x:f>
        <x:v>1</x:v>
      </x:c>
      <x:c r="F144" s="27" t="str">
        <x:v>multiply across campaigns; floor combined survival at 25%</x:v>
      </x:c>
      <x:c r="G144" s="27" t="str">
        <x:v>stress assumption</x:v>
      </x:c>
    </x:row>
    <x:row r="145" ht="75.5999984741211" hidden="0" customHeight="1">
      <x:c r="A145" s="29" t="str">
        <x:v>M2</x:v>
      </x:c>
      <x:c r="B145" s="29" t="str">
        <x:v>SCA-18</x:v>
      </x:c>
      <x:c r="C145" s="50" t="n">
        <x:v>0</x:v>
      </x:c>
      <x:c r="D145" s="50" t="n">
        <x:f>INDEX(Campaigns!F:F,MATCH(A145,Campaigns!A:A,0))</x:f>
        <x:v>0.3</x:v>
      </x:c>
      <x:c r="E145" s="50" t="n">
        <x:f>1-C145*D145</x:f>
        <x:v>1</x:v>
      </x:c>
      <x:c r="F145" s="29" t="str">
        <x:v>multiply across campaigns; floor combined survival at 25%</x:v>
      </x:c>
      <x:c r="G145" s="29" t="str">
        <x:v>stress assumption</x:v>
      </x:c>
    </x:row>
    <x:row r="146" ht="75.5999984741211" hidden="0" customHeight="1">
      <x:c r="A146" s="27" t="str">
        <x:v>M3</x:v>
      </x:c>
      <x:c r="B146" s="27" t="str">
        <x:v>SCA-18</x:v>
      </x:c>
      <x:c r="C146" s="49" t="n">
        <x:v>0.6705828792840864</x:v>
      </x:c>
      <x:c r="D146" s="49" t="n">
        <x:f>INDEX(Campaigns!F:F,MATCH(A146,Campaigns!A:A,0))</x:f>
        <x:v>0.3</x:v>
      </x:c>
      <x:c r="E146" s="49" t="n">
        <x:f>1-C146*D146</x:f>
        <x:v>0.798825136214774</x:v>
      </x:c>
      <x:c r="F146" s="27" t="str">
        <x:v>multiply across campaigns; floor combined survival at 25%</x:v>
      </x:c>
      <x:c r="G146" s="27" t="str">
        <x:v>stress assumption</x:v>
      </x:c>
    </x:row>
    <x:row r="147" ht="75.5999984741211" hidden="0" customHeight="1">
      <x:c r="A147" s="29" t="str">
        <x:v>M4</x:v>
      </x:c>
      <x:c r="B147" s="29" t="str">
        <x:v>SCA-18</x:v>
      </x:c>
      <x:c r="C147" s="50" t="n">
        <x:v>0</x:v>
      </x:c>
      <x:c r="D147" s="50" t="n">
        <x:f>INDEX(Campaigns!F:F,MATCH(A147,Campaigns!A:A,0))</x:f>
        <x:v>0.3</x:v>
      </x:c>
      <x:c r="E147" s="50" t="n">
        <x:f>1-C147*D147</x:f>
        <x:v>1</x:v>
      </x:c>
      <x:c r="F147" s="29" t="str">
        <x:v>multiply across campaigns; floor combined survival at 25%</x:v>
      </x:c>
      <x:c r="G147" s="29" t="str">
        <x:v>stress assumption</x:v>
      </x:c>
    </x:row>
    <x:row r="148" ht="75.5999984741211" hidden="0" customHeight="1">
      <x:c r="A148" s="27" t="str">
        <x:v>M5</x:v>
      </x:c>
      <x:c r="B148" s="27" t="str">
        <x:v>SCA-18</x:v>
      </x:c>
      <x:c r="C148" s="49" t="n">
        <x:v>0</x:v>
      </x:c>
      <x:c r="D148" s="49" t="n">
        <x:f>INDEX(Campaigns!F:F,MATCH(A148,Campaigns!A:A,0))</x:f>
        <x:v>0.3</x:v>
      </x:c>
      <x:c r="E148" s="49" t="n">
        <x:f>1-C148*D148</x:f>
        <x:v>1</x:v>
      </x:c>
      <x:c r="F148" s="27" t="str">
        <x:v>multiply across campaigns; floor combined survival at 25%</x:v>
      </x:c>
      <x:c r="G148" s="27" t="str">
        <x:v>stress assumption</x:v>
      </x:c>
    </x:row>
    <x:row r="149" ht="75.5999984741211" hidden="0" customHeight="1">
      <x:c r="A149" s="29" t="str">
        <x:v>C1</x:v>
      </x:c>
      <x:c r="B149" s="29" t="str">
        <x:v>SCA-19</x:v>
      </x:c>
      <x:c r="C149" s="50" t="n">
        <x:v>0</x:v>
      </x:c>
      <x:c r="D149" s="50" t="n">
        <x:f>INDEX(Campaigns!F:F,MATCH(A149,Campaigns!A:A,0))</x:f>
        <x:v>0.5</x:v>
      </x:c>
      <x:c r="E149" s="50" t="n">
        <x:f>1-C149*D149</x:f>
        <x:v>1</x:v>
      </x:c>
      <x:c r="F149" s="29" t="str">
        <x:v>multiply across campaigns; floor combined survival at 25%</x:v>
      </x:c>
      <x:c r="G149" s="29" t="str">
        <x:v>stress assumption</x:v>
      </x:c>
    </x:row>
    <x:row r="150" ht="75.5999984741211" hidden="0" customHeight="1">
      <x:c r="A150" s="27" t="str">
        <x:v>C2</x:v>
      </x:c>
      <x:c r="B150" s="27" t="str">
        <x:v>SCA-19</x:v>
      </x:c>
      <x:c r="C150" s="49" t="n">
        <x:v>0</x:v>
      </x:c>
      <x:c r="D150" s="49" t="n">
        <x:f>INDEX(Campaigns!F:F,MATCH(A150,Campaigns!A:A,0))</x:f>
        <x:v>0.5</x:v>
      </x:c>
      <x:c r="E150" s="49" t="n">
        <x:f>1-C150*D150</x:f>
        <x:v>1</x:v>
      </x:c>
      <x:c r="F150" s="27" t="str">
        <x:v>multiply across campaigns; floor combined survival at 25%</x:v>
      </x:c>
      <x:c r="G150" s="27" t="str">
        <x:v>stress assumption</x:v>
      </x:c>
    </x:row>
    <x:row r="151" ht="75.5999984741211" hidden="0" customHeight="1">
      <x:c r="A151" s="29" t="str">
        <x:v>C3</x:v>
      </x:c>
      <x:c r="B151" s="29" t="str">
        <x:v>SCA-19</x:v>
      </x:c>
      <x:c r="C151" s="50" t="n">
        <x:v>0</x:v>
      </x:c>
      <x:c r="D151" s="50" t="n">
        <x:f>INDEX(Campaigns!F:F,MATCH(A151,Campaigns!A:A,0))</x:f>
        <x:v>0.5</x:v>
      </x:c>
      <x:c r="E151" s="50" t="n">
        <x:f>1-C151*D151</x:f>
        <x:v>1</x:v>
      </x:c>
      <x:c r="F151" s="29" t="str">
        <x:v>multiply across campaigns; floor combined survival at 25%</x:v>
      </x:c>
      <x:c r="G151" s="29" t="str">
        <x:v>stress assumption</x:v>
      </x:c>
    </x:row>
    <x:row r="152" ht="75.5999984741211" hidden="0" customHeight="1">
      <x:c r="A152" s="27" t="str">
        <x:v>M1</x:v>
      </x:c>
      <x:c r="B152" s="27" t="str">
        <x:v>SCA-19</x:v>
      </x:c>
      <x:c r="C152" s="49" t="n">
        <x:v>0</x:v>
      </x:c>
      <x:c r="D152" s="49" t="n">
        <x:f>INDEX(Campaigns!F:F,MATCH(A152,Campaigns!A:A,0))</x:f>
        <x:v>0.3</x:v>
      </x:c>
      <x:c r="E152" s="49" t="n">
        <x:f>1-C152*D152</x:f>
        <x:v>1</x:v>
      </x:c>
      <x:c r="F152" s="27" t="str">
        <x:v>multiply across campaigns; floor combined survival at 25%</x:v>
      </x:c>
      <x:c r="G152" s="27" t="str">
        <x:v>stress assumption</x:v>
      </x:c>
    </x:row>
    <x:row r="153" ht="75.5999984741211" hidden="0" customHeight="1">
      <x:c r="A153" s="29" t="str">
        <x:v>M2</x:v>
      </x:c>
      <x:c r="B153" s="29" t="str">
        <x:v>SCA-19</x:v>
      </x:c>
      <x:c r="C153" s="50" t="n">
        <x:v>0.9502420985337213</x:v>
      </x:c>
      <x:c r="D153" s="50" t="n">
        <x:f>INDEX(Campaigns!F:F,MATCH(A153,Campaigns!A:A,0))</x:f>
        <x:v>0.3</x:v>
      </x:c>
      <x:c r="E153" s="50" t="n">
        <x:f>1-C153*D153</x:f>
        <x:v>0.7149273704398836</x:v>
      </x:c>
      <x:c r="F153" s="29" t="str">
        <x:v>multiply across campaigns; floor combined survival at 25%</x:v>
      </x:c>
      <x:c r="G153" s="29" t="str">
        <x:v>stress assumption</x:v>
      </x:c>
    </x:row>
    <x:row r="154" ht="75.5999984741211" hidden="0" customHeight="1">
      <x:c r="A154" s="27" t="str">
        <x:v>M3</x:v>
      </x:c>
      <x:c r="B154" s="27" t="str">
        <x:v>SCA-19</x:v>
      </x:c>
      <x:c r="C154" s="49" t="n">
        <x:v>0</x:v>
      </x:c>
      <x:c r="D154" s="49" t="n">
        <x:f>INDEX(Campaigns!F:F,MATCH(A154,Campaigns!A:A,0))</x:f>
        <x:v>0.3</x:v>
      </x:c>
      <x:c r="E154" s="49" t="n">
        <x:f>1-C154*D154</x:f>
        <x:v>1</x:v>
      </x:c>
      <x:c r="F154" s="27" t="str">
        <x:v>multiply across campaigns; floor combined survival at 25%</x:v>
      </x:c>
      <x:c r="G154" s="27" t="str">
        <x:v>stress assumption</x:v>
      </x:c>
    </x:row>
    <x:row r="155" ht="75.5999984741211" hidden="0" customHeight="1">
      <x:c r="A155" s="29" t="str">
        <x:v>M4</x:v>
      </x:c>
      <x:c r="B155" s="29" t="str">
        <x:v>SCA-19</x:v>
      </x:c>
      <x:c r="C155" s="50" t="n">
        <x:v>0</x:v>
      </x:c>
      <x:c r="D155" s="50" t="n">
        <x:f>INDEX(Campaigns!F:F,MATCH(A155,Campaigns!A:A,0))</x:f>
        <x:v>0.3</x:v>
      </x:c>
      <x:c r="E155" s="50" t="n">
        <x:f>1-C155*D155</x:f>
        <x:v>1</x:v>
      </x:c>
      <x:c r="F155" s="29" t="str">
        <x:v>multiply across campaigns; floor combined survival at 25%</x:v>
      </x:c>
      <x:c r="G155" s="29" t="str">
        <x:v>stress assumption</x:v>
      </x:c>
    </x:row>
    <x:row r="156" ht="75.5999984741211" hidden="0" customHeight="1">
      <x:c r="A156" s="27" t="str">
        <x:v>M5</x:v>
      </x:c>
      <x:c r="B156" s="27" t="str">
        <x:v>SCA-19</x:v>
      </x:c>
      <x:c r="C156" s="49" t="n">
        <x:v>0</x:v>
      </x:c>
      <x:c r="D156" s="49" t="n">
        <x:f>INDEX(Campaigns!F:F,MATCH(A156,Campaigns!A:A,0))</x:f>
        <x:v>0.3</x:v>
      </x:c>
      <x:c r="E156" s="49" t="n">
        <x:f>1-C156*D156</x:f>
        <x:v>1</x:v>
      </x:c>
      <x:c r="F156" s="27" t="str">
        <x:v>multiply across campaigns; floor combined survival at 25%</x:v>
      </x:c>
      <x:c r="G156" s="27" t="str">
        <x:v>stress assumption</x:v>
      </x:c>
    </x:row>
    <x:row r="157" ht="75.5999984741211" hidden="0" customHeight="1">
      <x:c r="A157" s="29" t="str">
        <x:v>C1</x:v>
      </x:c>
      <x:c r="B157" s="29" t="str">
        <x:v>SCA-20</x:v>
      </x:c>
      <x:c r="C157" s="50" t="n">
        <x:v>0</x:v>
      </x:c>
      <x:c r="D157" s="50" t="n">
        <x:f>INDEX(Campaigns!F:F,MATCH(A157,Campaigns!A:A,0))</x:f>
        <x:v>0.5</x:v>
      </x:c>
      <x:c r="E157" s="50" t="n">
        <x:f>1-C157*D157</x:f>
        <x:v>1</x:v>
      </x:c>
      <x:c r="F157" s="29" t="str">
        <x:v>multiply across campaigns; floor combined survival at 25%</x:v>
      </x:c>
      <x:c r="G157" s="29" t="str">
        <x:v>stress assumption</x:v>
      </x:c>
    </x:row>
    <x:row r="158" ht="75.5999984741211" hidden="0" customHeight="1">
      <x:c r="A158" s="27" t="str">
        <x:v>C2</x:v>
      </x:c>
      <x:c r="B158" s="27" t="str">
        <x:v>SCA-20</x:v>
      </x:c>
      <x:c r="C158" s="49" t="n">
        <x:v>0.4760925211294047</x:v>
      </x:c>
      <x:c r="D158" s="49" t="n">
        <x:f>INDEX(Campaigns!F:F,MATCH(A158,Campaigns!A:A,0))</x:f>
        <x:v>0.5</x:v>
      </x:c>
      <x:c r="E158" s="49" t="n">
        <x:f>1-C158*D158</x:f>
        <x:v>0.7619537394352977</x:v>
      </x:c>
      <x:c r="F158" s="27" t="str">
        <x:v>multiply across campaigns; floor combined survival at 25%</x:v>
      </x:c>
      <x:c r="G158" s="27" t="str">
        <x:v>stress assumption</x:v>
      </x:c>
    </x:row>
    <x:row r="159" ht="75.5999984741211" hidden="0" customHeight="1">
      <x:c r="A159" s="29" t="str">
        <x:v>C3</x:v>
      </x:c>
      <x:c r="B159" s="29" t="str">
        <x:v>SCA-20</x:v>
      </x:c>
      <x:c r="C159" s="50" t="n">
        <x:v>0</x:v>
      </x:c>
      <x:c r="D159" s="50" t="n">
        <x:f>INDEX(Campaigns!F:F,MATCH(A159,Campaigns!A:A,0))</x:f>
        <x:v>0.5</x:v>
      </x:c>
      <x:c r="E159" s="50" t="n">
        <x:f>1-C159*D159</x:f>
        <x:v>1</x:v>
      </x:c>
      <x:c r="F159" s="29" t="str">
        <x:v>multiply across campaigns; floor combined survival at 25%</x:v>
      </x:c>
      <x:c r="G159" s="29" t="str">
        <x:v>stress assumption</x:v>
      </x:c>
    </x:row>
    <x:row r="160" ht="75.5999984741211" hidden="0" customHeight="1">
      <x:c r="A160" s="27" t="str">
        <x:v>M1</x:v>
      </x:c>
      <x:c r="B160" s="27" t="str">
        <x:v>SCA-20</x:v>
      </x:c>
      <x:c r="C160" s="49" t="n">
        <x:v>0</x:v>
      </x:c>
      <x:c r="D160" s="49" t="n">
        <x:f>INDEX(Campaigns!F:F,MATCH(A160,Campaigns!A:A,0))</x:f>
        <x:v>0.3</x:v>
      </x:c>
      <x:c r="E160" s="49" t="n">
        <x:f>1-C160*D160</x:f>
        <x:v>1</x:v>
      </x:c>
      <x:c r="F160" s="27" t="str">
        <x:v>multiply across campaigns; floor combined survival at 25%</x:v>
      </x:c>
      <x:c r="G160" s="27" t="str">
        <x:v>stress assumption</x:v>
      </x:c>
    </x:row>
    <x:row r="161" ht="75.5999984741211" hidden="0" customHeight="1">
      <x:c r="A161" s="29" t="str">
        <x:v>M2</x:v>
      </x:c>
      <x:c r="B161" s="29" t="str">
        <x:v>SCA-20</x:v>
      </x:c>
      <x:c r="C161" s="50" t="n">
        <x:v>0.8673999567059493</x:v>
      </x:c>
      <x:c r="D161" s="50" t="n">
        <x:f>INDEX(Campaigns!F:F,MATCH(A161,Campaigns!A:A,0))</x:f>
        <x:v>0.3</x:v>
      </x:c>
      <x:c r="E161" s="50" t="n">
        <x:f>1-C161*D161</x:f>
        <x:v>0.7397800129882153</x:v>
      </x:c>
      <x:c r="F161" s="29" t="str">
        <x:v>multiply across campaigns; floor combined survival at 25%</x:v>
      </x:c>
      <x:c r="G161" s="29" t="str">
        <x:v>stress assumption</x:v>
      </x:c>
    </x:row>
    <x:row r="162" ht="75.5999984741211" hidden="0" customHeight="1">
      <x:c r="A162" s="27" t="str">
        <x:v>M3</x:v>
      </x:c>
      <x:c r="B162" s="27" t="str">
        <x:v>SCA-20</x:v>
      </x:c>
      <x:c r="C162" s="49" t="n">
        <x:v>0</x:v>
      </x:c>
      <x:c r="D162" s="49" t="n">
        <x:f>INDEX(Campaigns!F:F,MATCH(A162,Campaigns!A:A,0))</x:f>
        <x:v>0.3</x:v>
      </x:c>
      <x:c r="E162" s="49" t="n">
        <x:f>1-C162*D162</x:f>
        <x:v>1</x:v>
      </x:c>
      <x:c r="F162" s="27" t="str">
        <x:v>multiply across campaigns; floor combined survival at 25%</x:v>
      </x:c>
      <x:c r="G162" s="27" t="str">
        <x:v>stress assumption</x:v>
      </x:c>
    </x:row>
    <x:row r="163" ht="75.5999984741211" hidden="0" customHeight="1">
      <x:c r="A163" s="29" t="str">
        <x:v>M4</x:v>
      </x:c>
      <x:c r="B163" s="29" t="str">
        <x:v>SCA-20</x:v>
      </x:c>
      <x:c r="C163" s="50" t="n">
        <x:v>0</x:v>
      </x:c>
      <x:c r="D163" s="50" t="n">
        <x:f>INDEX(Campaigns!F:F,MATCH(A163,Campaigns!A:A,0))</x:f>
        <x:v>0.3</x:v>
      </x:c>
      <x:c r="E163" s="50" t="n">
        <x:f>1-C163*D163</x:f>
        <x:v>1</x:v>
      </x:c>
      <x:c r="F163" s="29" t="str">
        <x:v>multiply across campaigns; floor combined survival at 25%</x:v>
      </x:c>
      <x:c r="G163" s="29" t="str">
        <x:v>stress assumption</x:v>
      </x:c>
    </x:row>
    <x:row r="164" ht="75.5999984741211" hidden="0" customHeight="1">
      <x:c r="A164" s="27" t="str">
        <x:v>M5</x:v>
      </x:c>
      <x:c r="B164" s="27" t="str">
        <x:v>SCA-20</x:v>
      </x:c>
      <x:c r="C164" s="49" t="n">
        <x:v>0</x:v>
      </x:c>
      <x:c r="D164" s="49" t="n">
        <x:f>INDEX(Campaigns!F:F,MATCH(A164,Campaigns!A:A,0))</x:f>
        <x:v>0.3</x:v>
      </x:c>
      <x:c r="E164" s="49" t="n">
        <x:f>1-C164*D164</x:f>
        <x:v>1</x:v>
      </x:c>
      <x:c r="F164" s="27" t="str">
        <x:v>multiply across campaigns; floor combined survival at 25%</x:v>
      </x:c>
      <x:c r="G164" s="27" t="str">
        <x:v>stress assumption</x:v>
      </x:c>
    </x:row>
    <x:row r="165" ht="75.5999984741211" hidden="0" customHeight="1">
      <x:c r="A165" s="29" t="str">
        <x:v>C1</x:v>
      </x:c>
      <x:c r="B165" s="29" t="str">
        <x:v>SCA-21</x:v>
      </x:c>
      <x:c r="C165" s="50" t="n">
        <x:v>0</x:v>
      </x:c>
      <x:c r="D165" s="50" t="n">
        <x:f>INDEX(Campaigns!F:F,MATCH(A165,Campaigns!A:A,0))</x:f>
        <x:v>0.5</x:v>
      </x:c>
      <x:c r="E165" s="50" t="n">
        <x:f>1-C165*D165</x:f>
        <x:v>1</x:v>
      </x:c>
      <x:c r="F165" s="29" t="str">
        <x:v>multiply across campaigns; floor combined survival at 25%</x:v>
      </x:c>
      <x:c r="G165" s="29" t="str">
        <x:v>stress assumption</x:v>
      </x:c>
    </x:row>
    <x:row r="166" ht="75.5999984741211" hidden="0" customHeight="1">
      <x:c r="A166" s="27" t="str">
        <x:v>C2</x:v>
      </x:c>
      <x:c r="B166" s="27" t="str">
        <x:v>SCA-21</x:v>
      </x:c>
      <x:c r="C166" s="49" t="n">
        <x:v>0</x:v>
      </x:c>
      <x:c r="D166" s="49" t="n">
        <x:f>INDEX(Campaigns!F:F,MATCH(A166,Campaigns!A:A,0))</x:f>
        <x:v>0.5</x:v>
      </x:c>
      <x:c r="E166" s="49" t="n">
        <x:f>1-C166*D166</x:f>
        <x:v>1</x:v>
      </x:c>
      <x:c r="F166" s="27" t="str">
        <x:v>multiply across campaigns; floor combined survival at 25%</x:v>
      </x:c>
      <x:c r="G166" s="27" t="str">
        <x:v>stress assumption</x:v>
      </x:c>
    </x:row>
    <x:row r="167" ht="75.5999984741211" hidden="0" customHeight="1">
      <x:c r="A167" s="29" t="str">
        <x:v>C3</x:v>
      </x:c>
      <x:c r="B167" s="29" t="str">
        <x:v>SCA-21</x:v>
      </x:c>
      <x:c r="C167" s="50" t="n">
        <x:v>0</x:v>
      </x:c>
      <x:c r="D167" s="50" t="n">
        <x:f>INDEX(Campaigns!F:F,MATCH(A167,Campaigns!A:A,0))</x:f>
        <x:v>0.5</x:v>
      </x:c>
      <x:c r="E167" s="50" t="n">
        <x:f>1-C167*D167</x:f>
        <x:v>1</x:v>
      </x:c>
      <x:c r="F167" s="29" t="str">
        <x:v>multiply across campaigns; floor combined survival at 25%</x:v>
      </x:c>
      <x:c r="G167" s="29" t="str">
        <x:v>stress assumption</x:v>
      </x:c>
    </x:row>
    <x:row r="168" ht="75.5999984741211" hidden="0" customHeight="1">
      <x:c r="A168" s="27" t="str">
        <x:v>M1</x:v>
      </x:c>
      <x:c r="B168" s="27" t="str">
        <x:v>SCA-21</x:v>
      </x:c>
      <x:c r="C168" s="49" t="n">
        <x:v>0</x:v>
      </x:c>
      <x:c r="D168" s="49" t="n">
        <x:f>INDEX(Campaigns!F:F,MATCH(A168,Campaigns!A:A,0))</x:f>
        <x:v>0.3</x:v>
      </x:c>
      <x:c r="E168" s="49" t="n">
        <x:f>1-C168*D168</x:f>
        <x:v>1</x:v>
      </x:c>
      <x:c r="F168" s="27" t="str">
        <x:v>multiply across campaigns; floor combined survival at 25%</x:v>
      </x:c>
      <x:c r="G168" s="27" t="str">
        <x:v>stress assumption</x:v>
      </x:c>
    </x:row>
    <x:row r="169" ht="75.5999984741211" hidden="0" customHeight="1">
      <x:c r="A169" s="29" t="str">
        <x:v>M2</x:v>
      </x:c>
      <x:c r="B169" s="29" t="str">
        <x:v>SCA-21</x:v>
      </x:c>
      <x:c r="C169" s="50" t="n">
        <x:v>0.5454692302274521</x:v>
      </x:c>
      <x:c r="D169" s="50" t="n">
        <x:f>INDEX(Campaigns!F:F,MATCH(A169,Campaigns!A:A,0))</x:f>
        <x:v>0.3</x:v>
      </x:c>
      <x:c r="E169" s="50" t="n">
        <x:f>1-C169*D169</x:f>
        <x:v>0.8363592309317643</x:v>
      </x:c>
      <x:c r="F169" s="29" t="str">
        <x:v>multiply across campaigns; floor combined survival at 25%</x:v>
      </x:c>
      <x:c r="G169" s="29" t="str">
        <x:v>stress assumption</x:v>
      </x:c>
    </x:row>
    <x:row r="170" ht="75.5999984741211" hidden="0" customHeight="1">
      <x:c r="A170" s="27" t="str">
        <x:v>M3</x:v>
      </x:c>
      <x:c r="B170" s="27" t="str">
        <x:v>SCA-21</x:v>
      </x:c>
      <x:c r="C170" s="49" t="n">
        <x:v>0.4107378028925801</x:v>
      </x:c>
      <x:c r="D170" s="49" t="n">
        <x:f>INDEX(Campaigns!F:F,MATCH(A170,Campaigns!A:A,0))</x:f>
        <x:v>0.3</x:v>
      </x:c>
      <x:c r="E170" s="49" t="n">
        <x:f>1-C170*D170</x:f>
        <x:v>0.876778659132226</x:v>
      </x:c>
      <x:c r="F170" s="27" t="str">
        <x:v>multiply across campaigns; floor combined survival at 25%</x:v>
      </x:c>
      <x:c r="G170" s="27" t="str">
        <x:v>stress assumption</x:v>
      </x:c>
    </x:row>
    <x:row r="171" ht="75.5999984741211" hidden="0" customHeight="1">
      <x:c r="A171" s="29" t="str">
        <x:v>M4</x:v>
      </x:c>
      <x:c r="B171" s="29" t="str">
        <x:v>SCA-21</x:v>
      </x:c>
      <x:c r="C171" s="50" t="n">
        <x:v>0</x:v>
      </x:c>
      <x:c r="D171" s="50" t="n">
        <x:f>INDEX(Campaigns!F:F,MATCH(A171,Campaigns!A:A,0))</x:f>
        <x:v>0.3</x:v>
      </x:c>
      <x:c r="E171" s="50" t="n">
        <x:f>1-C171*D171</x:f>
        <x:v>1</x:v>
      </x:c>
      <x:c r="F171" s="29" t="str">
        <x:v>multiply across campaigns; floor combined survival at 25%</x:v>
      </x:c>
      <x:c r="G171" s="29" t="str">
        <x:v>stress assumption</x:v>
      </x:c>
    </x:row>
    <x:row r="172" ht="75.5999984741211" hidden="0" customHeight="1">
      <x:c r="A172" s="27" t="str">
        <x:v>M5</x:v>
      </x:c>
      <x:c r="B172" s="27" t="str">
        <x:v>SCA-21</x:v>
      </x:c>
      <x:c r="C172" s="49" t="n">
        <x:v>0</x:v>
      </x:c>
      <x:c r="D172" s="49" t="n">
        <x:f>INDEX(Campaigns!F:F,MATCH(A172,Campaigns!A:A,0))</x:f>
        <x:v>0.3</x:v>
      </x:c>
      <x:c r="E172" s="49" t="n">
        <x:f>1-C172*D172</x:f>
        <x:v>1</x:v>
      </x:c>
      <x:c r="F172" s="27" t="str">
        <x:v>multiply across campaigns; floor combined survival at 25%</x:v>
      </x:c>
      <x:c r="G172" s="27" t="str">
        <x:v>stress assumption</x:v>
      </x:c>
    </x:row>
    <x:row r="173" ht="75.5999984741211" hidden="0" customHeight="1">
      <x:c r="A173" s="29" t="str">
        <x:v>C1</x:v>
      </x:c>
      <x:c r="B173" s="29" t="str">
        <x:v>SCA-22</x:v>
      </x:c>
      <x:c r="C173" s="50" t="n">
        <x:v>0</x:v>
      </x:c>
      <x:c r="D173" s="50" t="n">
        <x:f>INDEX(Campaigns!F:F,MATCH(A173,Campaigns!A:A,0))</x:f>
        <x:v>0.5</x:v>
      </x:c>
      <x:c r="E173" s="50" t="n">
        <x:f>1-C173*D173</x:f>
        <x:v>1</x:v>
      </x:c>
      <x:c r="F173" s="29" t="str">
        <x:v>multiply across campaigns; floor combined survival at 25%</x:v>
      </x:c>
      <x:c r="G173" s="29" t="str">
        <x:v>stress assumption</x:v>
      </x:c>
    </x:row>
    <x:row r="174" ht="75.5999984741211" hidden="0" customHeight="1">
      <x:c r="A174" s="27" t="str">
        <x:v>C2</x:v>
      </x:c>
      <x:c r="B174" s="27" t="str">
        <x:v>SCA-22</x:v>
      </x:c>
      <x:c r="C174" s="49" t="n">
        <x:v>0</x:v>
      </x:c>
      <x:c r="D174" s="49" t="n">
        <x:f>INDEX(Campaigns!F:F,MATCH(A174,Campaigns!A:A,0))</x:f>
        <x:v>0.5</x:v>
      </x:c>
      <x:c r="E174" s="49" t="n">
        <x:f>1-C174*D174</x:f>
        <x:v>1</x:v>
      </x:c>
      <x:c r="F174" s="27" t="str">
        <x:v>multiply across campaigns; floor combined survival at 25%</x:v>
      </x:c>
      <x:c r="G174" s="27" t="str">
        <x:v>stress assumption</x:v>
      </x:c>
    </x:row>
    <x:row r="175" ht="75.5999984741211" hidden="0" customHeight="1">
      <x:c r="A175" s="29" t="str">
        <x:v>C3</x:v>
      </x:c>
      <x:c r="B175" s="29" t="str">
        <x:v>SCA-22</x:v>
      </x:c>
      <x:c r="C175" s="50" t="n">
        <x:v>0</x:v>
      </x:c>
      <x:c r="D175" s="50" t="n">
        <x:f>INDEX(Campaigns!F:F,MATCH(A175,Campaigns!A:A,0))</x:f>
        <x:v>0.5</x:v>
      </x:c>
      <x:c r="E175" s="50" t="n">
        <x:f>1-C175*D175</x:f>
        <x:v>1</x:v>
      </x:c>
      <x:c r="F175" s="29" t="str">
        <x:v>multiply across campaigns; floor combined survival at 25%</x:v>
      </x:c>
      <x:c r="G175" s="29" t="str">
        <x:v>stress assumption</x:v>
      </x:c>
    </x:row>
    <x:row r="176" ht="75.5999984741211" hidden="0" customHeight="1">
      <x:c r="A176" s="27" t="str">
        <x:v>M1</x:v>
      </x:c>
      <x:c r="B176" s="27" t="str">
        <x:v>SCA-22</x:v>
      </x:c>
      <x:c r="C176" s="49" t="n">
        <x:v>0</x:v>
      </x:c>
      <x:c r="D176" s="49" t="n">
        <x:f>INDEX(Campaigns!F:F,MATCH(A176,Campaigns!A:A,0))</x:f>
        <x:v>0.3</x:v>
      </x:c>
      <x:c r="E176" s="49" t="n">
        <x:f>1-C176*D176</x:f>
        <x:v>1</x:v>
      </x:c>
      <x:c r="F176" s="27" t="str">
        <x:v>multiply across campaigns; floor combined survival at 25%</x:v>
      </x:c>
      <x:c r="G176" s="27" t="str">
        <x:v>stress assumption</x:v>
      </x:c>
    </x:row>
    <x:row r="177" ht="75.5999984741211" hidden="0" customHeight="1">
      <x:c r="A177" s="29" t="str">
        <x:v>M2</x:v>
      </x:c>
      <x:c r="B177" s="29" t="str">
        <x:v>SCA-22</x:v>
      </x:c>
      <x:c r="C177" s="50" t="n">
        <x:v>0.48215158207239395</x:v>
      </x:c>
      <x:c r="D177" s="50" t="n">
        <x:f>INDEX(Campaigns!F:F,MATCH(A177,Campaigns!A:A,0))</x:f>
        <x:v>0.3</x:v>
      </x:c>
      <x:c r="E177" s="50" t="n">
        <x:f>1-C177*D177</x:f>
        <x:v>0.8553545253782818</x:v>
      </x:c>
      <x:c r="F177" s="29" t="str">
        <x:v>multiply across campaigns; floor combined survival at 25%</x:v>
      </x:c>
      <x:c r="G177" s="29" t="str">
        <x:v>stress assumption</x:v>
      </x:c>
    </x:row>
    <x:row r="178" ht="75.5999984741211" hidden="0" customHeight="1">
      <x:c r="A178" s="27" t="str">
        <x:v>M3</x:v>
      </x:c>
      <x:c r="B178" s="27" t="str">
        <x:v>SCA-22</x:v>
      </x:c>
      <x:c r="C178" s="49" t="n">
        <x:v>0.49664492398387566</x:v>
      </x:c>
      <x:c r="D178" s="49" t="n">
        <x:f>INDEX(Campaigns!F:F,MATCH(A178,Campaigns!A:A,0))</x:f>
        <x:v>0.3</x:v>
      </x:c>
      <x:c r="E178" s="49" t="n">
        <x:f>1-C178*D178</x:f>
        <x:v>0.8510065228048374</x:v>
      </x:c>
      <x:c r="F178" s="27" t="str">
        <x:v>multiply across campaigns; floor combined survival at 25%</x:v>
      </x:c>
      <x:c r="G178" s="27" t="str">
        <x:v>stress assumption</x:v>
      </x:c>
    </x:row>
    <x:row r="179" ht="75.5999984741211" hidden="0" customHeight="1">
      <x:c r="A179" s="29" t="str">
        <x:v>M4</x:v>
      </x:c>
      <x:c r="B179" s="29" t="str">
        <x:v>SCA-22</x:v>
      </x:c>
      <x:c r="C179" s="50" t="n">
        <x:v>0.007661617840774705</x:v>
      </x:c>
      <x:c r="D179" s="50" t="n">
        <x:f>INDEX(Campaigns!F:F,MATCH(A179,Campaigns!A:A,0))</x:f>
        <x:v>0.3</x:v>
      </x:c>
      <x:c r="E179" s="50" t="n">
        <x:f>1-C179*D179</x:f>
        <x:v>0.9977015146477676</x:v>
      </x:c>
      <x:c r="F179" s="29" t="str">
        <x:v>multiply across campaigns; floor combined survival at 25%</x:v>
      </x:c>
      <x:c r="G179" s="29" t="str">
        <x:v>stress assumption</x:v>
      </x:c>
    </x:row>
    <x:row r="180" ht="75.5999984741211" hidden="0" customHeight="1">
      <x:c r="A180" s="27" t="str">
        <x:v>M5</x:v>
      </x:c>
      <x:c r="B180" s="27" t="str">
        <x:v>SCA-22</x:v>
      </x:c>
      <x:c r="C180" s="49" t="n">
        <x:v>0</x:v>
      </x:c>
      <x:c r="D180" s="49" t="n">
        <x:f>INDEX(Campaigns!F:F,MATCH(A180,Campaigns!A:A,0))</x:f>
        <x:v>0.3</x:v>
      </x:c>
      <x:c r="E180" s="49" t="n">
        <x:f>1-C180*D180</x:f>
        <x:v>1</x:v>
      </x:c>
      <x:c r="F180" s="27" t="str">
        <x:v>multiply across campaigns; floor combined survival at 25%</x:v>
      </x:c>
      <x:c r="G180" s="27" t="str">
        <x:v>stress assumption</x:v>
      </x:c>
    </x:row>
    <x:row r="181" ht="75.5999984741211" hidden="0" customHeight="1">
      <x:c r="A181" s="29" t="str">
        <x:v>C1</x:v>
      </x:c>
      <x:c r="B181" s="29" t="str">
        <x:v>SCA-23</x:v>
      </x:c>
      <x:c r="C181" s="50" t="n">
        <x:v>0</x:v>
      </x:c>
      <x:c r="D181" s="50" t="n">
        <x:f>INDEX(Campaigns!F:F,MATCH(A181,Campaigns!A:A,0))</x:f>
        <x:v>0.5</x:v>
      </x:c>
      <x:c r="E181" s="50" t="n">
        <x:f>1-C181*D181</x:f>
        <x:v>1</x:v>
      </x:c>
      <x:c r="F181" s="29" t="str">
        <x:v>multiply across campaigns; floor combined survival at 25%</x:v>
      </x:c>
      <x:c r="G181" s="29" t="str">
        <x:v>stress assumption</x:v>
      </x:c>
    </x:row>
    <x:row r="182" ht="75.5999984741211" hidden="0" customHeight="1">
      <x:c r="A182" s="27" t="str">
        <x:v>C2</x:v>
      </x:c>
      <x:c r="B182" s="27" t="str">
        <x:v>SCA-23</x:v>
      </x:c>
      <x:c r="C182" s="49" t="n">
        <x:v>0.22598226774148258</x:v>
      </x:c>
      <x:c r="D182" s="49" t="n">
        <x:f>INDEX(Campaigns!F:F,MATCH(A182,Campaigns!A:A,0))</x:f>
        <x:v>0.5</x:v>
      </x:c>
      <x:c r="E182" s="49" t="n">
        <x:f>1-C182*D182</x:f>
        <x:v>0.8870088661292587</x:v>
      </x:c>
      <x:c r="F182" s="27" t="str">
        <x:v>multiply across campaigns; floor combined survival at 25%</x:v>
      </x:c>
      <x:c r="G182" s="27" t="str">
        <x:v>stress assumption</x:v>
      </x:c>
    </x:row>
    <x:row r="183" ht="75.5999984741211" hidden="0" customHeight="1">
      <x:c r="A183" s="29" t="str">
        <x:v>C3</x:v>
      </x:c>
      <x:c r="B183" s="29" t="str">
        <x:v>SCA-23</x:v>
      </x:c>
      <x:c r="C183" s="50" t="n">
        <x:v>0</x:v>
      </x:c>
      <x:c r="D183" s="50" t="n">
        <x:f>INDEX(Campaigns!F:F,MATCH(A183,Campaigns!A:A,0))</x:f>
        <x:v>0.5</x:v>
      </x:c>
      <x:c r="E183" s="50" t="n">
        <x:f>1-C183*D183</x:f>
        <x:v>1</x:v>
      </x:c>
      <x:c r="F183" s="29" t="str">
        <x:v>multiply across campaigns; floor combined survival at 25%</x:v>
      </x:c>
      <x:c r="G183" s="29" t="str">
        <x:v>stress assumption</x:v>
      </x:c>
    </x:row>
    <x:row r="184" ht="75.5999984741211" hidden="0" customHeight="1">
      <x:c r="A184" s="27" t="str">
        <x:v>M1</x:v>
      </x:c>
      <x:c r="B184" s="27" t="str">
        <x:v>SCA-23</x:v>
      </x:c>
      <x:c r="C184" s="49" t="n">
        <x:v>0</x:v>
      </x:c>
      <x:c r="D184" s="49" t="n">
        <x:f>INDEX(Campaigns!F:F,MATCH(A184,Campaigns!A:A,0))</x:f>
        <x:v>0.3</x:v>
      </x:c>
      <x:c r="E184" s="49" t="n">
        <x:f>1-C184*D184</x:f>
        <x:v>1</x:v>
      </x:c>
      <x:c r="F184" s="27" t="str">
        <x:v>multiply across campaigns; floor combined survival at 25%</x:v>
      </x:c>
      <x:c r="G184" s="27" t="str">
        <x:v>stress assumption</x:v>
      </x:c>
    </x:row>
    <x:row r="185" ht="75.5999984741211" hidden="0" customHeight="1">
      <x:c r="A185" s="29" t="str">
        <x:v>M2</x:v>
      </x:c>
      <x:c r="B185" s="29" t="str">
        <x:v>SCA-23</x:v>
      </x:c>
      <x:c r="C185" s="50" t="n">
        <x:v>0.11917404073253979</x:v>
      </x:c>
      <x:c r="D185" s="50" t="n">
        <x:f>INDEX(Campaigns!F:F,MATCH(A185,Campaigns!A:A,0))</x:f>
        <x:v>0.3</x:v>
      </x:c>
      <x:c r="E185" s="50" t="n">
        <x:f>1-C185*D185</x:f>
        <x:v>0.964247787780238</x:v>
      </x:c>
      <x:c r="F185" s="29" t="str">
        <x:v>multiply across campaigns; floor combined survival at 25%</x:v>
      </x:c>
      <x:c r="G185" s="29" t="str">
        <x:v>stress assumption</x:v>
      </x:c>
    </x:row>
    <x:row r="186" ht="75.5999984741211" hidden="0" customHeight="1">
      <x:c r="A186" s="27" t="str">
        <x:v>M3</x:v>
      </x:c>
      <x:c r="B186" s="27" t="str">
        <x:v>SCA-23</x:v>
      </x:c>
      <x:c r="C186" s="49" t="n">
        <x:v>0</x:v>
      </x:c>
      <x:c r="D186" s="49" t="n">
        <x:f>INDEX(Campaigns!F:F,MATCH(A186,Campaigns!A:A,0))</x:f>
        <x:v>0.3</x:v>
      </x:c>
      <x:c r="E186" s="49" t="n">
        <x:f>1-C186*D186</x:f>
        <x:v>1</x:v>
      </x:c>
      <x:c r="F186" s="27" t="str">
        <x:v>multiply across campaigns; floor combined survival at 25%</x:v>
      </x:c>
      <x:c r="G186" s="27" t="str">
        <x:v>stress assumption</x:v>
      </x:c>
    </x:row>
    <x:row r="187" ht="75.5999984741211" hidden="0" customHeight="1">
      <x:c r="A187" s="29" t="str">
        <x:v>M4</x:v>
      </x:c>
      <x:c r="B187" s="29" t="str">
        <x:v>SCA-23</x:v>
      </x:c>
      <x:c r="C187" s="50" t="n">
        <x:v>0.6548436915259777</x:v>
      </x:c>
      <x:c r="D187" s="50" t="n">
        <x:f>INDEX(Campaigns!F:F,MATCH(A187,Campaigns!A:A,0))</x:f>
        <x:v>0.3</x:v>
      </x:c>
      <x:c r="E187" s="50" t="n">
        <x:f>1-C187*D187</x:f>
        <x:v>0.8035468925422067</x:v>
      </x:c>
      <x:c r="F187" s="29" t="str">
        <x:v>multiply across campaigns; floor combined survival at 25%</x:v>
      </x:c>
      <x:c r="G187" s="29" t="str">
        <x:v>stress assumption</x:v>
      </x:c>
    </x:row>
    <x:row r="188" ht="75.5999984741211" hidden="0" customHeight="1">
      <x:c r="A188" s="27" t="str">
        <x:v>M5</x:v>
      </x:c>
      <x:c r="B188" s="27" t="str">
        <x:v>SCA-23</x:v>
      </x:c>
      <x:c r="C188" s="49" t="n">
        <x:v>0</x:v>
      </x:c>
      <x:c r="D188" s="49" t="n">
        <x:f>INDEX(Campaigns!F:F,MATCH(A188,Campaigns!A:A,0))</x:f>
        <x:v>0.3</x:v>
      </x:c>
      <x:c r="E188" s="49" t="n">
        <x:f>1-C188*D188</x:f>
        <x:v>1</x:v>
      </x:c>
      <x:c r="F188" s="27" t="str">
        <x:v>multiply across campaigns; floor combined survival at 25%</x:v>
      </x:c>
      <x:c r="G188" s="27" t="str">
        <x:v>stress assumption</x:v>
      </x:c>
    </x:row>
    <x:row r="189" ht="75.5999984741211" hidden="0" customHeight="1">
      <x:c r="A189" s="29" t="str">
        <x:v>C1</x:v>
      </x:c>
      <x:c r="B189" s="29" t="str">
        <x:v>SCA-24</x:v>
      </x:c>
      <x:c r="C189" s="50" t="n">
        <x:v>0</x:v>
      </x:c>
      <x:c r="D189" s="50" t="n">
        <x:f>INDEX(Campaigns!F:F,MATCH(A189,Campaigns!A:A,0))</x:f>
        <x:v>0.5</x:v>
      </x:c>
      <x:c r="E189" s="50" t="n">
        <x:f>1-C189*D189</x:f>
        <x:v>1</x:v>
      </x:c>
      <x:c r="F189" s="29" t="str">
        <x:v>multiply across campaigns; floor combined survival at 25%</x:v>
      </x:c>
      <x:c r="G189" s="29" t="str">
        <x:v>stress assumption</x:v>
      </x:c>
    </x:row>
    <x:row r="190" ht="75.5999984741211" hidden="0" customHeight="1">
      <x:c r="A190" s="27" t="str">
        <x:v>C2</x:v>
      </x:c>
      <x:c r="B190" s="27" t="str">
        <x:v>SCA-24</x:v>
      </x:c>
      <x:c r="C190" s="49" t="n">
        <x:v>0</x:v>
      </x:c>
      <x:c r="D190" s="49" t="n">
        <x:f>INDEX(Campaigns!F:F,MATCH(A190,Campaigns!A:A,0))</x:f>
        <x:v>0.5</x:v>
      </x:c>
      <x:c r="E190" s="49" t="n">
        <x:f>1-C190*D190</x:f>
        <x:v>1</x:v>
      </x:c>
      <x:c r="F190" s="27" t="str">
        <x:v>multiply across campaigns; floor combined survival at 25%</x:v>
      </x:c>
      <x:c r="G190" s="27" t="str">
        <x:v>stress assumption</x:v>
      </x:c>
    </x:row>
    <x:row r="191" ht="75.5999984741211" hidden="0" customHeight="1">
      <x:c r="A191" s="29" t="str">
        <x:v>C3</x:v>
      </x:c>
      <x:c r="B191" s="29" t="str">
        <x:v>SCA-24</x:v>
      </x:c>
      <x:c r="C191" s="50" t="n">
        <x:v>0</x:v>
      </x:c>
      <x:c r="D191" s="50" t="n">
        <x:f>INDEX(Campaigns!F:F,MATCH(A191,Campaigns!A:A,0))</x:f>
        <x:v>0.5</x:v>
      </x:c>
      <x:c r="E191" s="50" t="n">
        <x:f>1-C191*D191</x:f>
        <x:v>1</x:v>
      </x:c>
      <x:c r="F191" s="29" t="str">
        <x:v>multiply across campaigns; floor combined survival at 25%</x:v>
      </x:c>
      <x:c r="G191" s="29" t="str">
        <x:v>stress assumption</x:v>
      </x:c>
    </x:row>
    <x:row r="192" ht="75.5999984741211" hidden="0" customHeight="1">
      <x:c r="A192" s="27" t="str">
        <x:v>M1</x:v>
      </x:c>
      <x:c r="B192" s="27" t="str">
        <x:v>SCA-24</x:v>
      </x:c>
      <x:c r="C192" s="49" t="n">
        <x:v>0</x:v>
      </x:c>
      <x:c r="D192" s="49" t="n">
        <x:f>INDEX(Campaigns!F:F,MATCH(A192,Campaigns!A:A,0))</x:f>
        <x:v>0.3</x:v>
      </x:c>
      <x:c r="E192" s="49" t="n">
        <x:f>1-C192*D192</x:f>
        <x:v>1</x:v>
      </x:c>
      <x:c r="F192" s="27" t="str">
        <x:v>multiply across campaigns; floor combined survival at 25%</x:v>
      </x:c>
      <x:c r="G192" s="27" t="str">
        <x:v>stress assumption</x:v>
      </x:c>
    </x:row>
    <x:row r="193" ht="75.5999984741211" hidden="0" customHeight="1">
      <x:c r="A193" s="29" t="str">
        <x:v>M2</x:v>
      </x:c>
      <x:c r="B193" s="29" t="str">
        <x:v>SCA-24</x:v>
      </x:c>
      <x:c r="C193" s="50" t="n">
        <x:v>0</x:v>
      </x:c>
      <x:c r="D193" s="50" t="n">
        <x:f>INDEX(Campaigns!F:F,MATCH(A193,Campaigns!A:A,0))</x:f>
        <x:v>0.3</x:v>
      </x:c>
      <x:c r="E193" s="50" t="n">
        <x:f>1-C193*D193</x:f>
        <x:v>1</x:v>
      </x:c>
      <x:c r="F193" s="29" t="str">
        <x:v>multiply across campaigns; floor combined survival at 25%</x:v>
      </x:c>
      <x:c r="G193" s="29" t="str">
        <x:v>stress assumption</x:v>
      </x:c>
    </x:row>
    <x:row r="194" ht="75.5999984741211" hidden="0" customHeight="1">
      <x:c r="A194" s="27" t="str">
        <x:v>M3</x:v>
      </x:c>
      <x:c r="B194" s="27" t="str">
        <x:v>SCA-24</x:v>
      </x:c>
      <x:c r="C194" s="49" t="n">
        <x:v>1</x:v>
      </x:c>
      <x:c r="D194" s="49" t="n">
        <x:f>INDEX(Campaigns!F:F,MATCH(A194,Campaigns!A:A,0))</x:f>
        <x:v>0.3</x:v>
      </x:c>
      <x:c r="E194" s="49" t="n">
        <x:f>1-C194*D194</x:f>
        <x:v>0.7</x:v>
      </x:c>
      <x:c r="F194" s="27" t="str">
        <x:v>multiply across campaigns; floor combined survival at 25%</x:v>
      </x:c>
      <x:c r="G194" s="27" t="str">
        <x:v>stress assumption</x:v>
      </x:c>
    </x:row>
    <x:row r="195" ht="75.5999984741211" hidden="0" customHeight="1">
      <x:c r="A195" s="29" t="str">
        <x:v>M4</x:v>
      </x:c>
      <x:c r="B195" s="29" t="str">
        <x:v>SCA-24</x:v>
      </x:c>
      <x:c r="C195" s="50" t="n">
        <x:v>0</x:v>
      </x:c>
      <x:c r="D195" s="50" t="n">
        <x:f>INDEX(Campaigns!F:F,MATCH(A195,Campaigns!A:A,0))</x:f>
        <x:v>0.3</x:v>
      </x:c>
      <x:c r="E195" s="50" t="n">
        <x:f>1-C195*D195</x:f>
        <x:v>1</x:v>
      </x:c>
      <x:c r="F195" s="29" t="str">
        <x:v>multiply across campaigns; floor combined survival at 25%</x:v>
      </x:c>
      <x:c r="G195" s="29" t="str">
        <x:v>stress assumption</x:v>
      </x:c>
    </x:row>
    <x:row r="196" ht="75.5999984741211" hidden="0" customHeight="1">
      <x:c r="A196" s="27" t="str">
        <x:v>M5</x:v>
      </x:c>
      <x:c r="B196" s="27" t="str">
        <x:v>SCA-24</x:v>
      </x:c>
      <x:c r="C196" s="49" t="n">
        <x:v>0</x:v>
      </x:c>
      <x:c r="D196" s="49" t="n">
        <x:f>INDEX(Campaigns!F:F,MATCH(A196,Campaigns!A:A,0))</x:f>
        <x:v>0.3</x:v>
      </x:c>
      <x:c r="E196" s="49" t="n">
        <x:f>1-C196*D196</x:f>
        <x:v>1</x:v>
      </x:c>
      <x:c r="F196" s="27" t="str">
        <x:v>multiply across campaigns; floor combined survival at 25%</x:v>
      </x:c>
      <x:c r="G196" s="27" t="str">
        <x:v>stress assumption</x:v>
      </x:c>
    </x:row>
    <x:row r="197" ht="75.5999984741211" hidden="0" customHeight="1">
      <x:c r="A197" s="29" t="str">
        <x:v>C1</x:v>
      </x:c>
      <x:c r="B197" s="29" t="str">
        <x:v>SCA-25</x:v>
      </x:c>
      <x:c r="C197" s="50" t="n">
        <x:v>0</x:v>
      </x:c>
      <x:c r="D197" s="50" t="n">
        <x:f>INDEX(Campaigns!F:F,MATCH(A197,Campaigns!A:A,0))</x:f>
        <x:v>0.5</x:v>
      </x:c>
      <x:c r="E197" s="50" t="n">
        <x:f>1-C197*D197</x:f>
        <x:v>1</x:v>
      </x:c>
      <x:c r="F197" s="29" t="str">
        <x:v>multiply across campaigns; floor combined survival at 25%</x:v>
      </x:c>
      <x:c r="G197" s="29" t="str">
        <x:v>stress assumption</x:v>
      </x:c>
    </x:row>
    <x:row r="198" ht="75.5999984741211" hidden="0" customHeight="1">
      <x:c r="A198" s="27" t="str">
        <x:v>C2</x:v>
      </x:c>
      <x:c r="B198" s="27" t="str">
        <x:v>SCA-25</x:v>
      </x:c>
      <x:c r="C198" s="49" t="n">
        <x:v>0</x:v>
      </x:c>
      <x:c r="D198" s="49" t="n">
        <x:f>INDEX(Campaigns!F:F,MATCH(A198,Campaigns!A:A,0))</x:f>
        <x:v>0.5</x:v>
      </x:c>
      <x:c r="E198" s="49" t="n">
        <x:f>1-C198*D198</x:f>
        <x:v>1</x:v>
      </x:c>
      <x:c r="F198" s="27" t="str">
        <x:v>multiply across campaigns; floor combined survival at 25%</x:v>
      </x:c>
      <x:c r="G198" s="27" t="str">
        <x:v>stress assumption</x:v>
      </x:c>
    </x:row>
    <x:row r="199" ht="75.5999984741211" hidden="0" customHeight="1">
      <x:c r="A199" s="29" t="str">
        <x:v>C3</x:v>
      </x:c>
      <x:c r="B199" s="29" t="str">
        <x:v>SCA-25</x:v>
      </x:c>
      <x:c r="C199" s="50" t="n">
        <x:v>0</x:v>
      </x:c>
      <x:c r="D199" s="50" t="n">
        <x:f>INDEX(Campaigns!F:F,MATCH(A199,Campaigns!A:A,0))</x:f>
        <x:v>0.5</x:v>
      </x:c>
      <x:c r="E199" s="50" t="n">
        <x:f>1-C199*D199</x:f>
        <x:v>1</x:v>
      </x:c>
      <x:c r="F199" s="29" t="str">
        <x:v>multiply across campaigns; floor combined survival at 25%</x:v>
      </x:c>
      <x:c r="G199" s="29" t="str">
        <x:v>stress assumption</x:v>
      </x:c>
    </x:row>
    <x:row r="200" ht="75.5999984741211" hidden="0" customHeight="1">
      <x:c r="A200" s="27" t="str">
        <x:v>M1</x:v>
      </x:c>
      <x:c r="B200" s="27" t="str">
        <x:v>SCA-25</x:v>
      </x:c>
      <x:c r="C200" s="49" t="n">
        <x:v>0</x:v>
      </x:c>
      <x:c r="D200" s="49" t="n">
        <x:f>INDEX(Campaigns!F:F,MATCH(A200,Campaigns!A:A,0))</x:f>
        <x:v>0.3</x:v>
      </x:c>
      <x:c r="E200" s="49" t="n">
        <x:f>1-C200*D200</x:f>
        <x:v>1</x:v>
      </x:c>
      <x:c r="F200" s="27" t="str">
        <x:v>multiply across campaigns; floor combined survival at 25%</x:v>
      </x:c>
      <x:c r="G200" s="27" t="str">
        <x:v>stress assumption</x:v>
      </x:c>
    </x:row>
    <x:row r="201" ht="75.5999984741211" hidden="0" customHeight="1">
      <x:c r="A201" s="29" t="str">
        <x:v>M2</x:v>
      </x:c>
      <x:c r="B201" s="29" t="str">
        <x:v>SCA-25</x:v>
      </x:c>
      <x:c r="C201" s="50" t="n">
        <x:v>0</x:v>
      </x:c>
      <x:c r="D201" s="50" t="n">
        <x:f>INDEX(Campaigns!F:F,MATCH(A201,Campaigns!A:A,0))</x:f>
        <x:v>0.3</x:v>
      </x:c>
      <x:c r="E201" s="50" t="n">
        <x:f>1-C201*D201</x:f>
        <x:v>1</x:v>
      </x:c>
      <x:c r="F201" s="29" t="str">
        <x:v>multiply across campaigns; floor combined survival at 25%</x:v>
      </x:c>
      <x:c r="G201" s="29" t="str">
        <x:v>stress assumption</x:v>
      </x:c>
    </x:row>
    <x:row r="202" ht="75.5999984741211" hidden="0" customHeight="1">
      <x:c r="A202" s="27" t="str">
        <x:v>M3</x:v>
      </x:c>
      <x:c r="B202" s="27" t="str">
        <x:v>SCA-25</x:v>
      </x:c>
      <x:c r="C202" s="49" t="n">
        <x:v>0</x:v>
      </x:c>
      <x:c r="D202" s="49" t="n">
        <x:f>INDEX(Campaigns!F:F,MATCH(A202,Campaigns!A:A,0))</x:f>
        <x:v>0.3</x:v>
      </x:c>
      <x:c r="E202" s="49" t="n">
        <x:f>1-C202*D202</x:f>
        <x:v>1</x:v>
      </x:c>
      <x:c r="F202" s="27" t="str">
        <x:v>multiply across campaigns; floor combined survival at 25%</x:v>
      </x:c>
      <x:c r="G202" s="27" t="str">
        <x:v>stress assumption</x:v>
      </x:c>
    </x:row>
    <x:row r="203" ht="75.5999984741211" hidden="0" customHeight="1">
      <x:c r="A203" s="29" t="str">
        <x:v>M4</x:v>
      </x:c>
      <x:c r="B203" s="29" t="str">
        <x:v>SCA-25</x:v>
      </x:c>
      <x:c r="C203" s="50" t="n">
        <x:v>1</x:v>
      </x:c>
      <x:c r="D203" s="50" t="n">
        <x:f>INDEX(Campaigns!F:F,MATCH(A203,Campaigns!A:A,0))</x:f>
        <x:v>0.3</x:v>
      </x:c>
      <x:c r="E203" s="50" t="n">
        <x:f>1-C203*D203</x:f>
        <x:v>0.7</x:v>
      </x:c>
      <x:c r="F203" s="29" t="str">
        <x:v>multiply across campaigns; floor combined survival at 25%</x:v>
      </x:c>
      <x:c r="G203" s="29" t="str">
        <x:v>stress assumption</x:v>
      </x:c>
    </x:row>
    <x:row r="204" ht="75.5999984741211" hidden="0" customHeight="1">
      <x:c r="A204" s="27" t="str">
        <x:v>M5</x:v>
      </x:c>
      <x:c r="B204" s="27" t="str">
        <x:v>SCA-25</x:v>
      </x:c>
      <x:c r="C204" s="49" t="n">
        <x:v>0</x:v>
      </x:c>
      <x:c r="D204" s="49" t="n">
        <x:f>INDEX(Campaigns!F:F,MATCH(A204,Campaigns!A:A,0))</x:f>
        <x:v>0.3</x:v>
      </x:c>
      <x:c r="E204" s="49" t="n">
        <x:f>1-C204*D204</x:f>
        <x:v>1</x:v>
      </x:c>
      <x:c r="F204" s="27" t="str">
        <x:v>multiply across campaigns; floor combined survival at 25%</x:v>
      </x:c>
      <x:c r="G204" s="27" t="str">
        <x:v>stress assumption</x:v>
      </x:c>
    </x:row>
    <x:row r="205" ht="75.5999984741211" hidden="0" customHeight="1">
      <x:c r="A205" s="29" t="str">
        <x:v>C1</x:v>
      </x:c>
      <x:c r="B205" s="29" t="str">
        <x:v>SCA-26</x:v>
      </x:c>
      <x:c r="C205" s="50" t="n">
        <x:v>0</x:v>
      </x:c>
      <x:c r="D205" s="50" t="n">
        <x:f>INDEX(Campaigns!F:F,MATCH(A205,Campaigns!A:A,0))</x:f>
        <x:v>0.5</x:v>
      </x:c>
      <x:c r="E205" s="50" t="n">
        <x:f>1-C205*D205</x:f>
        <x:v>1</x:v>
      </x:c>
      <x:c r="F205" s="29" t="str">
        <x:v>multiply across campaigns; floor combined survival at 25%</x:v>
      </x:c>
      <x:c r="G205" s="29" t="str">
        <x:v>stress assumption</x:v>
      </x:c>
    </x:row>
    <x:row r="206" ht="75.5999984741211" hidden="0" customHeight="1">
      <x:c r="A206" s="27" t="str">
        <x:v>C2</x:v>
      </x:c>
      <x:c r="B206" s="27" t="str">
        <x:v>SCA-26</x:v>
      </x:c>
      <x:c r="C206" s="49" t="n">
        <x:v>0</x:v>
      </x:c>
      <x:c r="D206" s="49" t="n">
        <x:f>INDEX(Campaigns!F:F,MATCH(A206,Campaigns!A:A,0))</x:f>
        <x:v>0.5</x:v>
      </x:c>
      <x:c r="E206" s="49" t="n">
        <x:f>1-C206*D206</x:f>
        <x:v>1</x:v>
      </x:c>
      <x:c r="F206" s="27" t="str">
        <x:v>multiply across campaigns; floor combined survival at 25%</x:v>
      </x:c>
      <x:c r="G206" s="27" t="str">
        <x:v>stress assumption</x:v>
      </x:c>
    </x:row>
    <x:row r="207" ht="75.5999984741211" hidden="0" customHeight="1">
      <x:c r="A207" s="29" t="str">
        <x:v>C3</x:v>
      </x:c>
      <x:c r="B207" s="29" t="str">
        <x:v>SCA-26</x:v>
      </x:c>
      <x:c r="C207" s="50" t="n">
        <x:v>0</x:v>
      </x:c>
      <x:c r="D207" s="50" t="n">
        <x:f>INDEX(Campaigns!F:F,MATCH(A207,Campaigns!A:A,0))</x:f>
        <x:v>0.5</x:v>
      </x:c>
      <x:c r="E207" s="50" t="n">
        <x:f>1-C207*D207</x:f>
        <x:v>1</x:v>
      </x:c>
      <x:c r="F207" s="29" t="str">
        <x:v>multiply across campaigns; floor combined survival at 25%</x:v>
      </x:c>
      <x:c r="G207" s="29" t="str">
        <x:v>stress assumption</x:v>
      </x:c>
    </x:row>
    <x:row r="208" ht="75.5999984741211" hidden="0" customHeight="1">
      <x:c r="A208" s="27" t="str">
        <x:v>M1</x:v>
      </x:c>
      <x:c r="B208" s="27" t="str">
        <x:v>SCA-26</x:v>
      </x:c>
      <x:c r="C208" s="49" t="n">
        <x:v>0</x:v>
      </x:c>
      <x:c r="D208" s="49" t="n">
        <x:f>INDEX(Campaigns!F:F,MATCH(A208,Campaigns!A:A,0))</x:f>
        <x:v>0.3</x:v>
      </x:c>
      <x:c r="E208" s="49" t="n">
        <x:f>1-C208*D208</x:f>
        <x:v>1</x:v>
      </x:c>
      <x:c r="F208" s="27" t="str">
        <x:v>multiply across campaigns; floor combined survival at 25%</x:v>
      </x:c>
      <x:c r="G208" s="27" t="str">
        <x:v>stress assumption</x:v>
      </x:c>
    </x:row>
    <x:row r="209" ht="75.5999984741211" hidden="0" customHeight="1">
      <x:c r="A209" s="29" t="str">
        <x:v>M2</x:v>
      </x:c>
      <x:c r="B209" s="29" t="str">
        <x:v>SCA-26</x:v>
      </x:c>
      <x:c r="C209" s="50" t="n">
        <x:v>0</x:v>
      </x:c>
      <x:c r="D209" s="50" t="n">
        <x:f>INDEX(Campaigns!F:F,MATCH(A209,Campaigns!A:A,0))</x:f>
        <x:v>0.3</x:v>
      </x:c>
      <x:c r="E209" s="50" t="n">
        <x:f>1-C209*D209</x:f>
        <x:v>1</x:v>
      </x:c>
      <x:c r="F209" s="29" t="str">
        <x:v>multiply across campaigns; floor combined survival at 25%</x:v>
      </x:c>
      <x:c r="G209" s="29" t="str">
        <x:v>stress assumption</x:v>
      </x:c>
    </x:row>
    <x:row r="210" ht="75.5999984741211" hidden="0" customHeight="1">
      <x:c r="A210" s="27" t="str">
        <x:v>M3</x:v>
      </x:c>
      <x:c r="B210" s="27" t="str">
        <x:v>SCA-26</x:v>
      </x:c>
      <x:c r="C210" s="49" t="n">
        <x:v>0</x:v>
      </x:c>
      <x:c r="D210" s="49" t="n">
        <x:f>INDEX(Campaigns!F:F,MATCH(A210,Campaigns!A:A,0))</x:f>
        <x:v>0.3</x:v>
      </x:c>
      <x:c r="E210" s="49" t="n">
        <x:f>1-C210*D210</x:f>
        <x:v>1</x:v>
      </x:c>
      <x:c r="F210" s="27" t="str">
        <x:v>multiply across campaigns; floor combined survival at 25%</x:v>
      </x:c>
      <x:c r="G210" s="27" t="str">
        <x:v>stress assumption</x:v>
      </x:c>
    </x:row>
    <x:row r="211" ht="75.5999984741211" hidden="0" customHeight="1">
      <x:c r="A211" s="29" t="str">
        <x:v>M4</x:v>
      </x:c>
      <x:c r="B211" s="29" t="str">
        <x:v>SCA-26</x:v>
      </x:c>
      <x:c r="C211" s="50" t="n">
        <x:v>1</x:v>
      </x:c>
      <x:c r="D211" s="50" t="n">
        <x:f>INDEX(Campaigns!F:F,MATCH(A211,Campaigns!A:A,0))</x:f>
        <x:v>0.3</x:v>
      </x:c>
      <x:c r="E211" s="50" t="n">
        <x:f>1-C211*D211</x:f>
        <x:v>0.7</x:v>
      </x:c>
      <x:c r="F211" s="29" t="str">
        <x:v>multiply across campaigns; floor combined survival at 25%</x:v>
      </x:c>
      <x:c r="G211" s="29" t="str">
        <x:v>stress assumption</x:v>
      </x:c>
    </x:row>
    <x:row r="212" ht="75.5999984741211" hidden="0" customHeight="1">
      <x:c r="A212" s="27" t="str">
        <x:v>M5</x:v>
      </x:c>
      <x:c r="B212" s="27" t="str">
        <x:v>SCA-26</x:v>
      </x:c>
      <x:c r="C212" s="49" t="n">
        <x:v>0</x:v>
      </x:c>
      <x:c r="D212" s="49" t="n">
        <x:f>INDEX(Campaigns!F:F,MATCH(A212,Campaigns!A:A,0))</x:f>
        <x:v>0.3</x:v>
      </x:c>
      <x:c r="E212" s="49" t="n">
        <x:f>1-C212*D212</x:f>
        <x:v>1</x:v>
      </x:c>
      <x:c r="F212" s="27" t="str">
        <x:v>multiply across campaigns; floor combined survival at 25%</x:v>
      </x:c>
      <x:c r="G212" s="27" t="str">
        <x:v>stress assumption</x:v>
      </x:c>
    </x:row>
    <x:row r="213" ht="75.5999984741211" hidden="0" customHeight="1">
      <x:c r="A213" s="29" t="str">
        <x:v>C1</x:v>
      </x:c>
      <x:c r="B213" s="29" t="str">
        <x:v>SCA-27</x:v>
      </x:c>
      <x:c r="C213" s="50" t="n">
        <x:v>0</x:v>
      </x:c>
      <x:c r="D213" s="50" t="n">
        <x:f>INDEX(Campaigns!F:F,MATCH(A213,Campaigns!A:A,0))</x:f>
        <x:v>0.5</x:v>
      </x:c>
      <x:c r="E213" s="50" t="n">
        <x:f>1-C213*D213</x:f>
        <x:v>1</x:v>
      </x:c>
      <x:c r="F213" s="29" t="str">
        <x:v>multiply across campaigns; floor combined survival at 25%</x:v>
      </x:c>
      <x:c r="G213" s="29" t="str">
        <x:v>stress assumption</x:v>
      </x:c>
    </x:row>
    <x:row r="214" ht="75.5999984741211" hidden="0" customHeight="1">
      <x:c r="A214" s="27" t="str">
        <x:v>C2</x:v>
      </x:c>
      <x:c r="B214" s="27" t="str">
        <x:v>SCA-27</x:v>
      </x:c>
      <x:c r="C214" s="49" t="n">
        <x:v>0</x:v>
      </x:c>
      <x:c r="D214" s="49" t="n">
        <x:f>INDEX(Campaigns!F:F,MATCH(A214,Campaigns!A:A,0))</x:f>
        <x:v>0.5</x:v>
      </x:c>
      <x:c r="E214" s="49" t="n">
        <x:f>1-C214*D214</x:f>
        <x:v>1</x:v>
      </x:c>
      <x:c r="F214" s="27" t="str">
        <x:v>multiply across campaigns; floor combined survival at 25%</x:v>
      </x:c>
      <x:c r="G214" s="27" t="str">
        <x:v>stress assumption</x:v>
      </x:c>
    </x:row>
    <x:row r="215" ht="75.5999984741211" hidden="0" customHeight="1">
      <x:c r="A215" s="29" t="str">
        <x:v>C3</x:v>
      </x:c>
      <x:c r="B215" s="29" t="str">
        <x:v>SCA-27</x:v>
      </x:c>
      <x:c r="C215" s="50" t="n">
        <x:v>0</x:v>
      </x:c>
      <x:c r="D215" s="50" t="n">
        <x:f>INDEX(Campaigns!F:F,MATCH(A215,Campaigns!A:A,0))</x:f>
        <x:v>0.5</x:v>
      </x:c>
      <x:c r="E215" s="50" t="n">
        <x:f>1-C215*D215</x:f>
        <x:v>1</x:v>
      </x:c>
      <x:c r="F215" s="29" t="str">
        <x:v>multiply across campaigns; floor combined survival at 25%</x:v>
      </x:c>
      <x:c r="G215" s="29" t="str">
        <x:v>stress assumption</x:v>
      </x:c>
    </x:row>
    <x:row r="216" ht="75.5999984741211" hidden="0" customHeight="1">
      <x:c r="A216" s="27" t="str">
        <x:v>M1</x:v>
      </x:c>
      <x:c r="B216" s="27" t="str">
        <x:v>SCA-27</x:v>
      </x:c>
      <x:c r="C216" s="49" t="n">
        <x:v>0</x:v>
      </x:c>
      <x:c r="D216" s="49" t="n">
        <x:f>INDEX(Campaigns!F:F,MATCH(A216,Campaigns!A:A,0))</x:f>
        <x:v>0.3</x:v>
      </x:c>
      <x:c r="E216" s="49" t="n">
        <x:f>1-C216*D216</x:f>
        <x:v>1</x:v>
      </x:c>
      <x:c r="F216" s="27" t="str">
        <x:v>multiply across campaigns; floor combined survival at 25%</x:v>
      </x:c>
      <x:c r="G216" s="27" t="str">
        <x:v>stress assumption</x:v>
      </x:c>
    </x:row>
    <x:row r="217" ht="75.5999984741211" hidden="0" customHeight="1">
      <x:c r="A217" s="29" t="str">
        <x:v>M2</x:v>
      </x:c>
      <x:c r="B217" s="29" t="str">
        <x:v>SCA-27</x:v>
      </x:c>
      <x:c r="C217" s="50" t="n">
        <x:v>0</x:v>
      </x:c>
      <x:c r="D217" s="50" t="n">
        <x:f>INDEX(Campaigns!F:F,MATCH(A217,Campaigns!A:A,0))</x:f>
        <x:v>0.3</x:v>
      </x:c>
      <x:c r="E217" s="50" t="n">
        <x:f>1-C217*D217</x:f>
        <x:v>1</x:v>
      </x:c>
      <x:c r="F217" s="29" t="str">
        <x:v>multiply across campaigns; floor combined survival at 25%</x:v>
      </x:c>
      <x:c r="G217" s="29" t="str">
        <x:v>stress assumption</x:v>
      </x:c>
    </x:row>
    <x:row r="218" ht="75.5999984741211" hidden="0" customHeight="1">
      <x:c r="A218" s="27" t="str">
        <x:v>M3</x:v>
      </x:c>
      <x:c r="B218" s="27" t="str">
        <x:v>SCA-27</x:v>
      </x:c>
      <x:c r="C218" s="49" t="n">
        <x:v>0</x:v>
      </x:c>
      <x:c r="D218" s="49" t="n">
        <x:f>INDEX(Campaigns!F:F,MATCH(A218,Campaigns!A:A,0))</x:f>
        <x:v>0.3</x:v>
      </x:c>
      <x:c r="E218" s="49" t="n">
        <x:f>1-C218*D218</x:f>
        <x:v>1</x:v>
      </x:c>
      <x:c r="F218" s="27" t="str">
        <x:v>multiply across campaigns; floor combined survival at 25%</x:v>
      </x:c>
      <x:c r="G218" s="27" t="str">
        <x:v>stress assumption</x:v>
      </x:c>
    </x:row>
    <x:row r="219" ht="75.5999984741211" hidden="0" customHeight="1">
      <x:c r="A219" s="29" t="str">
        <x:v>M4</x:v>
      </x:c>
      <x:c r="B219" s="29" t="str">
        <x:v>SCA-27</x:v>
      </x:c>
      <x:c r="C219" s="50" t="n">
        <x:v>1</x:v>
      </x:c>
      <x:c r="D219" s="50" t="n">
        <x:f>INDEX(Campaigns!F:F,MATCH(A219,Campaigns!A:A,0))</x:f>
        <x:v>0.3</x:v>
      </x:c>
      <x:c r="E219" s="50" t="n">
        <x:f>1-C219*D219</x:f>
        <x:v>0.7</x:v>
      </x:c>
      <x:c r="F219" s="29" t="str">
        <x:v>multiply across campaigns; floor combined survival at 25%</x:v>
      </x:c>
      <x:c r="G219" s="29" t="str">
        <x:v>stress assumption</x:v>
      </x:c>
    </x:row>
    <x:row r="220" ht="75.5999984741211" hidden="0" customHeight="1">
      <x:c r="A220" s="27" t="str">
        <x:v>M5</x:v>
      </x:c>
      <x:c r="B220" s="27" t="str">
        <x:v>SCA-27</x:v>
      </x:c>
      <x:c r="C220" s="49" t="n">
        <x:v>0</x:v>
      </x:c>
      <x:c r="D220" s="49" t="n">
        <x:f>INDEX(Campaigns!F:F,MATCH(A220,Campaigns!A:A,0))</x:f>
        <x:v>0.3</x:v>
      </x:c>
      <x:c r="E220" s="49" t="n">
        <x:f>1-C220*D220</x:f>
        <x:v>1</x:v>
      </x:c>
      <x:c r="F220" s="27" t="str">
        <x:v>multiply across campaigns; floor combined survival at 25%</x:v>
      </x:c>
      <x:c r="G220" s="27" t="str">
        <x:v>stress assumption</x:v>
      </x:c>
    </x:row>
    <x:row r="221" ht="75.5999984741211" hidden="0" customHeight="1">
      <x:c r="A221" s="29" t="str">
        <x:v>C1</x:v>
      </x:c>
      <x:c r="B221" s="29" t="str">
        <x:v>SCA-28</x:v>
      </x:c>
      <x:c r="C221" s="50" t="n">
        <x:v>0</x:v>
      </x:c>
      <x:c r="D221" s="50" t="n">
        <x:f>INDEX(Campaigns!F:F,MATCH(A221,Campaigns!A:A,0))</x:f>
        <x:v>0.5</x:v>
      </x:c>
      <x:c r="E221" s="50" t="n">
        <x:f>1-C221*D221</x:f>
        <x:v>1</x:v>
      </x:c>
      <x:c r="F221" s="29" t="str">
        <x:v>multiply across campaigns; floor combined survival at 25%</x:v>
      </x:c>
      <x:c r="G221" s="29" t="str">
        <x:v>stress assumption</x:v>
      </x:c>
    </x:row>
    <x:row r="222" ht="75.5999984741211" hidden="0" customHeight="1">
      <x:c r="A222" s="27" t="str">
        <x:v>C2</x:v>
      </x:c>
      <x:c r="B222" s="27" t="str">
        <x:v>SCA-28</x:v>
      </x:c>
      <x:c r="C222" s="49" t="n">
        <x:v>0</x:v>
      </x:c>
      <x:c r="D222" s="49" t="n">
        <x:f>INDEX(Campaigns!F:F,MATCH(A222,Campaigns!A:A,0))</x:f>
        <x:v>0.5</x:v>
      </x:c>
      <x:c r="E222" s="49" t="n">
        <x:f>1-C222*D222</x:f>
        <x:v>1</x:v>
      </x:c>
      <x:c r="F222" s="27" t="str">
        <x:v>multiply across campaigns; floor combined survival at 25%</x:v>
      </x:c>
      <x:c r="G222" s="27" t="str">
        <x:v>stress assumption</x:v>
      </x:c>
    </x:row>
    <x:row r="223" ht="75.5999984741211" hidden="0" customHeight="1">
      <x:c r="A223" s="29" t="str">
        <x:v>C3</x:v>
      </x:c>
      <x:c r="B223" s="29" t="str">
        <x:v>SCA-28</x:v>
      </x:c>
      <x:c r="C223" s="50" t="n">
        <x:v>0.3477476838119522</x:v>
      </x:c>
      <x:c r="D223" s="50" t="n">
        <x:f>INDEX(Campaigns!F:F,MATCH(A223,Campaigns!A:A,0))</x:f>
        <x:v>0.5</x:v>
      </x:c>
      <x:c r="E223" s="50" t="n">
        <x:f>1-C223*D223</x:f>
        <x:v>0.8261261580940239</x:v>
      </x:c>
      <x:c r="F223" s="29" t="str">
        <x:v>multiply across campaigns; floor combined survival at 25%</x:v>
      </x:c>
      <x:c r="G223" s="29" t="str">
        <x:v>stress assumption</x:v>
      </x:c>
    </x:row>
    <x:row r="224" ht="75.5999984741211" hidden="0" customHeight="1">
      <x:c r="A224" s="27" t="str">
        <x:v>M1</x:v>
      </x:c>
      <x:c r="B224" s="27" t="str">
        <x:v>SCA-28</x:v>
      </x:c>
      <x:c r="C224" s="49" t="n">
        <x:v>0</x:v>
      </x:c>
      <x:c r="D224" s="49" t="n">
        <x:f>INDEX(Campaigns!F:F,MATCH(A224,Campaigns!A:A,0))</x:f>
        <x:v>0.3</x:v>
      </x:c>
      <x:c r="E224" s="49" t="n">
        <x:f>1-C224*D224</x:f>
        <x:v>1</x:v>
      </x:c>
      <x:c r="F224" s="27" t="str">
        <x:v>multiply across campaigns; floor combined survival at 25%</x:v>
      </x:c>
      <x:c r="G224" s="27" t="str">
        <x:v>stress assumption</x:v>
      </x:c>
    </x:row>
    <x:row r="225" ht="75.5999984741211" hidden="0" customHeight="1">
      <x:c r="A225" s="29" t="str">
        <x:v>M2</x:v>
      </x:c>
      <x:c r="B225" s="29" t="str">
        <x:v>SCA-28</x:v>
      </x:c>
      <x:c r="C225" s="50" t="n">
        <x:v>0</x:v>
      </x:c>
      <x:c r="D225" s="50" t="n">
        <x:f>INDEX(Campaigns!F:F,MATCH(A225,Campaigns!A:A,0))</x:f>
        <x:v>0.3</x:v>
      </x:c>
      <x:c r="E225" s="50" t="n">
        <x:f>1-C225*D225</x:f>
        <x:v>1</x:v>
      </x:c>
      <x:c r="F225" s="29" t="str">
        <x:v>multiply across campaigns; floor combined survival at 25%</x:v>
      </x:c>
      <x:c r="G225" s="29" t="str">
        <x:v>stress assumption</x:v>
      </x:c>
    </x:row>
    <x:row r="226" ht="75.5999984741211" hidden="0" customHeight="1">
      <x:c r="A226" s="27" t="str">
        <x:v>M3</x:v>
      </x:c>
      <x:c r="B226" s="27" t="str">
        <x:v>SCA-28</x:v>
      </x:c>
      <x:c r="C226" s="49" t="n">
        <x:v>0.29311250792472454</x:v>
      </x:c>
      <x:c r="D226" s="49" t="n">
        <x:f>INDEX(Campaigns!F:F,MATCH(A226,Campaigns!A:A,0))</x:f>
        <x:v>0.3</x:v>
      </x:c>
      <x:c r="E226" s="49" t="n">
        <x:f>1-C226*D226</x:f>
        <x:v>0.9120662476225826</x:v>
      </x:c>
      <x:c r="F226" s="27" t="str">
        <x:v>multiply across campaigns; floor combined survival at 25%</x:v>
      </x:c>
      <x:c r="G226" s="27" t="str">
        <x:v>stress assumption</x:v>
      </x:c>
    </x:row>
    <x:row r="227" ht="75.5999984741211" hidden="0" customHeight="1">
      <x:c r="A227" s="29" t="str">
        <x:v>M4</x:v>
      </x:c>
      <x:c r="B227" s="29" t="str">
        <x:v>SCA-28</x:v>
      </x:c>
      <x:c r="C227" s="50" t="n">
        <x:v>0.1495682477251869</x:v>
      </x:c>
      <x:c r="D227" s="50" t="n">
        <x:f>INDEX(Campaigns!F:F,MATCH(A227,Campaigns!A:A,0))</x:f>
        <x:v>0.3</x:v>
      </x:c>
      <x:c r="E227" s="50" t="n">
        <x:f>1-C227*D227</x:f>
        <x:v>0.9551295256824439</x:v>
      </x:c>
      <x:c r="F227" s="29" t="str">
        <x:v>multiply across campaigns; floor combined survival at 25%</x:v>
      </x:c>
      <x:c r="G227" s="29" t="str">
        <x:v>stress assumption</x:v>
      </x:c>
    </x:row>
    <x:row r="228" ht="75.5999984741211" hidden="0" customHeight="1">
      <x:c r="A228" s="27" t="str">
        <x:v>M5</x:v>
      </x:c>
      <x:c r="B228" s="27" t="str">
        <x:v>SCA-28</x:v>
      </x:c>
      <x:c r="C228" s="49" t="n">
        <x:v>0</x:v>
      </x:c>
      <x:c r="D228" s="49" t="n">
        <x:f>INDEX(Campaigns!F:F,MATCH(A228,Campaigns!A:A,0))</x:f>
        <x:v>0.3</x:v>
      </x:c>
      <x:c r="E228" s="49" t="n">
        <x:f>1-C228*D228</x:f>
        <x:v>1</x:v>
      </x:c>
      <x:c r="F228" s="27" t="str">
        <x:v>multiply across campaigns; floor combined survival at 25%</x:v>
      </x:c>
      <x:c r="G228" s="27" t="str">
        <x:v>stress assumption</x:v>
      </x:c>
    </x:row>
    <x:row r="229" ht="75.5999984741211" hidden="0" customHeight="1">
      <x:c r="A229" s="29" t="str">
        <x:v>C1</x:v>
      </x:c>
      <x:c r="B229" s="29" t="str">
        <x:v>SCA-29</x:v>
      </x:c>
      <x:c r="C229" s="50" t="n">
        <x:v>0</x:v>
      </x:c>
      <x:c r="D229" s="50" t="n">
        <x:f>INDEX(Campaigns!F:F,MATCH(A229,Campaigns!A:A,0))</x:f>
        <x:v>0.5</x:v>
      </x:c>
      <x:c r="E229" s="50" t="n">
        <x:f>1-C229*D229</x:f>
        <x:v>1</x:v>
      </x:c>
      <x:c r="F229" s="29" t="str">
        <x:v>multiply across campaigns; floor combined survival at 25%</x:v>
      </x:c>
      <x:c r="G229" s="29" t="str">
        <x:v>stress assumption</x:v>
      </x:c>
    </x:row>
    <x:row r="230" ht="75.5999984741211" hidden="0" customHeight="1">
      <x:c r="A230" s="27" t="str">
        <x:v>C2</x:v>
      </x:c>
      <x:c r="B230" s="27" t="str">
        <x:v>SCA-29</x:v>
      </x:c>
      <x:c r="C230" s="49" t="n">
        <x:v>0</x:v>
      </x:c>
      <x:c r="D230" s="49" t="n">
        <x:f>INDEX(Campaigns!F:F,MATCH(A230,Campaigns!A:A,0))</x:f>
        <x:v>0.5</x:v>
      </x:c>
      <x:c r="E230" s="49" t="n">
        <x:f>1-C230*D230</x:f>
        <x:v>1</x:v>
      </x:c>
      <x:c r="F230" s="27" t="str">
        <x:v>multiply across campaigns; floor combined survival at 25%</x:v>
      </x:c>
      <x:c r="G230" s="27" t="str">
        <x:v>stress assumption</x:v>
      </x:c>
    </x:row>
    <x:row r="231" ht="75.5999984741211" hidden="0" customHeight="1">
      <x:c r="A231" s="29" t="str">
        <x:v>C3</x:v>
      </x:c>
      <x:c r="B231" s="29" t="str">
        <x:v>SCA-29</x:v>
      </x:c>
      <x:c r="C231" s="50" t="n">
        <x:v>0</x:v>
      </x:c>
      <x:c r="D231" s="50" t="n">
        <x:f>INDEX(Campaigns!F:F,MATCH(A231,Campaigns!A:A,0))</x:f>
        <x:v>0.5</x:v>
      </x:c>
      <x:c r="E231" s="50" t="n">
        <x:f>1-C231*D231</x:f>
        <x:v>1</x:v>
      </x:c>
      <x:c r="F231" s="29" t="str">
        <x:v>multiply across campaigns; floor combined survival at 25%</x:v>
      </x:c>
      <x:c r="G231" s="29" t="str">
        <x:v>stress assumption</x:v>
      </x:c>
    </x:row>
    <x:row r="232" ht="75.5999984741211" hidden="0" customHeight="1">
      <x:c r="A232" s="27" t="str">
        <x:v>M1</x:v>
      </x:c>
      <x:c r="B232" s="27" t="str">
        <x:v>SCA-29</x:v>
      </x:c>
      <x:c r="C232" s="49" t="n">
        <x:v>0</x:v>
      </x:c>
      <x:c r="D232" s="49" t="n">
        <x:f>INDEX(Campaigns!F:F,MATCH(A232,Campaigns!A:A,0))</x:f>
        <x:v>0.3</x:v>
      </x:c>
      <x:c r="E232" s="49" t="n">
        <x:f>1-C232*D232</x:f>
        <x:v>1</x:v>
      </x:c>
      <x:c r="F232" s="27" t="str">
        <x:v>multiply across campaigns; floor combined survival at 25%</x:v>
      </x:c>
      <x:c r="G232" s="27" t="str">
        <x:v>stress assumption</x:v>
      </x:c>
    </x:row>
    <x:row r="233" ht="75.5999984741211" hidden="0" customHeight="1">
      <x:c r="A233" s="29" t="str">
        <x:v>M2</x:v>
      </x:c>
      <x:c r="B233" s="29" t="str">
        <x:v>SCA-29</x:v>
      </x:c>
      <x:c r="C233" s="50" t="n">
        <x:v>0.012445097561526145</x:v>
      </x:c>
      <x:c r="D233" s="50" t="n">
        <x:f>INDEX(Campaigns!F:F,MATCH(A233,Campaigns!A:A,0))</x:f>
        <x:v>0.3</x:v>
      </x:c>
      <x:c r="E233" s="50" t="n">
        <x:f>1-C233*D233</x:f>
        <x:v>0.9962664707315422</x:v>
      </x:c>
      <x:c r="F233" s="29" t="str">
        <x:v>multiply across campaigns; floor combined survival at 25%</x:v>
      </x:c>
      <x:c r="G233" s="29" t="str">
        <x:v>stress assumption</x:v>
      </x:c>
    </x:row>
    <x:row r="234" ht="75.5999984741211" hidden="0" customHeight="1">
      <x:c r="A234" s="27" t="str">
        <x:v>M3</x:v>
      </x:c>
      <x:c r="B234" s="27" t="str">
        <x:v>SCA-29</x:v>
      </x:c>
      <x:c r="C234" s="49" t="n">
        <x:v>0</x:v>
      </x:c>
      <x:c r="D234" s="49" t="n">
        <x:f>INDEX(Campaigns!F:F,MATCH(A234,Campaigns!A:A,0))</x:f>
        <x:v>0.3</x:v>
      </x:c>
      <x:c r="E234" s="49" t="n">
        <x:f>1-C234*D234</x:f>
        <x:v>1</x:v>
      </x:c>
      <x:c r="F234" s="27" t="str">
        <x:v>multiply across campaigns; floor combined survival at 25%</x:v>
      </x:c>
      <x:c r="G234" s="27" t="str">
        <x:v>stress assumption</x:v>
      </x:c>
    </x:row>
    <x:row r="235" ht="75.5999984741211" hidden="0" customHeight="1">
      <x:c r="A235" s="29" t="str">
        <x:v>M4</x:v>
      </x:c>
      <x:c r="B235" s="29" t="str">
        <x:v>SCA-29</x:v>
      </x:c>
      <x:c r="C235" s="50" t="n">
        <x:v>0.9753661913838878</x:v>
      </x:c>
      <x:c r="D235" s="50" t="n">
        <x:f>INDEX(Campaigns!F:F,MATCH(A235,Campaigns!A:A,0))</x:f>
        <x:v>0.3</x:v>
      </x:c>
      <x:c r="E235" s="50" t="n">
        <x:f>1-C235*D235</x:f>
        <x:v>0.7073901425848337</x:v>
      </x:c>
      <x:c r="F235" s="29" t="str">
        <x:v>multiply across campaigns; floor combined survival at 25%</x:v>
      </x:c>
      <x:c r="G235" s="29" t="str">
        <x:v>stress assumption</x:v>
      </x:c>
    </x:row>
    <x:row r="236" ht="75.5999984741211" hidden="0" customHeight="1">
      <x:c r="A236" s="27" t="str">
        <x:v>M5</x:v>
      </x:c>
      <x:c r="B236" s="27" t="str">
        <x:v>SCA-29</x:v>
      </x:c>
      <x:c r="C236" s="49" t="n">
        <x:v>0</x:v>
      </x:c>
      <x:c r="D236" s="49" t="n">
        <x:f>INDEX(Campaigns!F:F,MATCH(A236,Campaigns!A:A,0))</x:f>
        <x:v>0.3</x:v>
      </x:c>
      <x:c r="E236" s="49" t="n">
        <x:f>1-C236*D236</x:f>
        <x:v>1</x:v>
      </x:c>
      <x:c r="F236" s="27" t="str">
        <x:v>multiply across campaigns; floor combined survival at 25%</x:v>
      </x:c>
      <x:c r="G236" s="27" t="str">
        <x:v>stress assumption</x:v>
      </x:c>
    </x:row>
    <x:row r="237" ht="75.5999984741211" hidden="0" customHeight="1">
      <x:c r="A237" s="29" t="str">
        <x:v>C1</x:v>
      </x:c>
      <x:c r="B237" s="29" t="str">
        <x:v>SCA-30</x:v>
      </x:c>
      <x:c r="C237" s="50" t="n">
        <x:v>0</x:v>
      </x:c>
      <x:c r="D237" s="50" t="n">
        <x:f>INDEX(Campaigns!F:F,MATCH(A237,Campaigns!A:A,0))</x:f>
        <x:v>0.5</x:v>
      </x:c>
      <x:c r="E237" s="50" t="n">
        <x:f>1-C237*D237</x:f>
        <x:v>1</x:v>
      </x:c>
      <x:c r="F237" s="29" t="str">
        <x:v>multiply across campaigns; floor combined survival at 25%</x:v>
      </x:c>
      <x:c r="G237" s="29" t="str">
        <x:v>stress assumption</x:v>
      </x:c>
    </x:row>
    <x:row r="238" ht="75.5999984741211" hidden="0" customHeight="1">
      <x:c r="A238" s="27" t="str">
        <x:v>C2</x:v>
      </x:c>
      <x:c r="B238" s="27" t="str">
        <x:v>SCA-30</x:v>
      </x:c>
      <x:c r="C238" s="49" t="n">
        <x:v>0</x:v>
      </x:c>
      <x:c r="D238" s="49" t="n">
        <x:f>INDEX(Campaigns!F:F,MATCH(A238,Campaigns!A:A,0))</x:f>
        <x:v>0.5</x:v>
      </x:c>
      <x:c r="E238" s="49" t="n">
        <x:f>1-C238*D238</x:f>
        <x:v>1</x:v>
      </x:c>
      <x:c r="F238" s="27" t="str">
        <x:v>multiply across campaigns; floor combined survival at 25%</x:v>
      </x:c>
      <x:c r="G238" s="27" t="str">
        <x:v>stress assumption</x:v>
      </x:c>
    </x:row>
    <x:row r="239" ht="75.5999984741211" hidden="0" customHeight="1">
      <x:c r="A239" s="29" t="str">
        <x:v>C3</x:v>
      </x:c>
      <x:c r="B239" s="29" t="str">
        <x:v>SCA-30</x:v>
      </x:c>
      <x:c r="C239" s="50" t="n">
        <x:v>0.8816778527732121</x:v>
      </x:c>
      <x:c r="D239" s="50" t="n">
        <x:f>INDEX(Campaigns!F:F,MATCH(A239,Campaigns!A:A,0))</x:f>
        <x:v>0.5</x:v>
      </x:c>
      <x:c r="E239" s="50" t="n">
        <x:f>1-C239*D239</x:f>
        <x:v>0.559161073613394</x:v>
      </x:c>
      <x:c r="F239" s="29" t="str">
        <x:v>multiply across campaigns; floor combined survival at 25%</x:v>
      </x:c>
      <x:c r="G239" s="29" t="str">
        <x:v>stress assumption</x:v>
      </x:c>
    </x:row>
    <x:row r="240" ht="75.5999984741211" hidden="0" customHeight="1">
      <x:c r="A240" s="27" t="str">
        <x:v>M1</x:v>
      </x:c>
      <x:c r="B240" s="27" t="str">
        <x:v>SCA-30</x:v>
      </x:c>
      <x:c r="C240" s="49" t="n">
        <x:v>0</x:v>
      </x:c>
      <x:c r="D240" s="49" t="n">
        <x:f>INDEX(Campaigns!F:F,MATCH(A240,Campaigns!A:A,0))</x:f>
        <x:v>0.3</x:v>
      </x:c>
      <x:c r="E240" s="49" t="n">
        <x:f>1-C240*D240</x:f>
        <x:v>1</x:v>
      </x:c>
      <x:c r="F240" s="27" t="str">
        <x:v>multiply across campaigns; floor combined survival at 25%</x:v>
      </x:c>
      <x:c r="G240" s="27" t="str">
        <x:v>stress assumption</x:v>
      </x:c>
    </x:row>
    <x:row r="241" ht="75.5999984741211" hidden="0" customHeight="1">
      <x:c r="A241" s="29" t="str">
        <x:v>M2</x:v>
      </x:c>
      <x:c r="B241" s="29" t="str">
        <x:v>SCA-30</x:v>
      </x:c>
      <x:c r="C241" s="50" t="n">
        <x:v>0</x:v>
      </x:c>
      <x:c r="D241" s="50" t="n">
        <x:f>INDEX(Campaigns!F:F,MATCH(A241,Campaigns!A:A,0))</x:f>
        <x:v>0.3</x:v>
      </x:c>
      <x:c r="E241" s="50" t="n">
        <x:f>1-C241*D241</x:f>
        <x:v>1</x:v>
      </x:c>
      <x:c r="F241" s="29" t="str">
        <x:v>multiply across campaigns; floor combined survival at 25%</x:v>
      </x:c>
      <x:c r="G241" s="29" t="str">
        <x:v>stress assumption</x:v>
      </x:c>
    </x:row>
    <x:row r="242" ht="75.5999984741211" hidden="0" customHeight="1">
      <x:c r="A242" s="27" t="str">
        <x:v>M3</x:v>
      </x:c>
      <x:c r="B242" s="27" t="str">
        <x:v>SCA-30</x:v>
      </x:c>
      <x:c r="C242" s="49" t="n">
        <x:v>0</x:v>
      </x:c>
      <x:c r="D242" s="49" t="n">
        <x:f>INDEX(Campaigns!F:F,MATCH(A242,Campaigns!A:A,0))</x:f>
        <x:v>0.3</x:v>
      </x:c>
      <x:c r="E242" s="49" t="n">
        <x:f>1-C242*D242</x:f>
        <x:v>1</x:v>
      </x:c>
      <x:c r="F242" s="27" t="str">
        <x:v>multiply across campaigns; floor combined survival at 25%</x:v>
      </x:c>
      <x:c r="G242" s="27" t="str">
        <x:v>stress assumption</x:v>
      </x:c>
    </x:row>
    <x:row r="243" ht="75.5999984741211" hidden="0" customHeight="1">
      <x:c r="A243" s="29" t="str">
        <x:v>M4</x:v>
      </x:c>
      <x:c r="B243" s="29" t="str">
        <x:v>SCA-30</x:v>
      </x:c>
      <x:c r="C243" s="50" t="n">
        <x:v>0</x:v>
      </x:c>
      <x:c r="D243" s="50" t="n">
        <x:f>INDEX(Campaigns!F:F,MATCH(A243,Campaigns!A:A,0))</x:f>
        <x:v>0.3</x:v>
      </x:c>
      <x:c r="E243" s="50" t="n">
        <x:f>1-C243*D243</x:f>
        <x:v>1</x:v>
      </x:c>
      <x:c r="F243" s="29" t="str">
        <x:v>multiply across campaigns; floor combined survival at 25%</x:v>
      </x:c>
      <x:c r="G243" s="29" t="str">
        <x:v>stress assumption</x:v>
      </x:c>
    </x:row>
    <x:row r="244" ht="75.5999984741211" hidden="0" customHeight="1">
      <x:c r="A244" s="27" t="str">
        <x:v>M5</x:v>
      </x:c>
      <x:c r="B244" s="27" t="str">
        <x:v>SCA-30</x:v>
      </x:c>
      <x:c r="C244" s="49" t="n">
        <x:v>0</x:v>
      </x:c>
      <x:c r="D244" s="49" t="n">
        <x:f>INDEX(Campaigns!F:F,MATCH(A244,Campaigns!A:A,0))</x:f>
        <x:v>0.3</x:v>
      </x:c>
      <x:c r="E244" s="49" t="n">
        <x:f>1-C244*D244</x:f>
        <x:v>1</x:v>
      </x:c>
      <x:c r="F244" s="27" t="str">
        <x:v>multiply across campaigns; floor combined survival at 25%</x:v>
      </x:c>
      <x:c r="G244" s="27" t="str">
        <x:v>stress assumption</x:v>
      </x:c>
    </x:row>
    <x:row r="245" ht="75.5999984741211" hidden="0" customHeight="1">
      <x:c r="A245" s="29" t="str">
        <x:v>C1</x:v>
      </x:c>
      <x:c r="B245" s="29" t="str">
        <x:v>SCA-31</x:v>
      </x:c>
      <x:c r="C245" s="50" t="n">
        <x:v>0</x:v>
      </x:c>
      <x:c r="D245" s="50" t="n">
        <x:f>INDEX(Campaigns!F:F,MATCH(A245,Campaigns!A:A,0))</x:f>
        <x:v>0.5</x:v>
      </x:c>
      <x:c r="E245" s="50" t="n">
        <x:f>1-C245*D245</x:f>
        <x:v>1</x:v>
      </x:c>
      <x:c r="F245" s="29" t="str">
        <x:v>multiply across campaigns; floor combined survival at 25%</x:v>
      </x:c>
      <x:c r="G245" s="29" t="str">
        <x:v>stress assumption</x:v>
      </x:c>
    </x:row>
    <x:row r="246" ht="75.5999984741211" hidden="0" customHeight="1">
      <x:c r="A246" s="27" t="str">
        <x:v>C2</x:v>
      </x:c>
      <x:c r="B246" s="27" t="str">
        <x:v>SCA-31</x:v>
      </x:c>
      <x:c r="C246" s="49" t="n">
        <x:v>0</x:v>
      </x:c>
      <x:c r="D246" s="49" t="n">
        <x:f>INDEX(Campaigns!F:F,MATCH(A246,Campaigns!A:A,0))</x:f>
        <x:v>0.5</x:v>
      </x:c>
      <x:c r="E246" s="49" t="n">
        <x:f>1-C246*D246</x:f>
        <x:v>1</x:v>
      </x:c>
      <x:c r="F246" s="27" t="str">
        <x:v>multiply across campaigns; floor combined survival at 25%</x:v>
      </x:c>
      <x:c r="G246" s="27" t="str">
        <x:v>stress assumption</x:v>
      </x:c>
    </x:row>
    <x:row r="247" ht="75.5999984741211" hidden="0" customHeight="1">
      <x:c r="A247" s="29" t="str">
        <x:v>C3</x:v>
      </x:c>
      <x:c r="B247" s="29" t="str">
        <x:v>SCA-31</x:v>
      </x:c>
      <x:c r="C247" s="50" t="n">
        <x:v>0.7557568189447652</x:v>
      </x:c>
      <x:c r="D247" s="50" t="n">
        <x:f>INDEX(Campaigns!F:F,MATCH(A247,Campaigns!A:A,0))</x:f>
        <x:v>0.5</x:v>
      </x:c>
      <x:c r="E247" s="50" t="n">
        <x:f>1-C247*D247</x:f>
        <x:v>0.6221215905276174</x:v>
      </x:c>
      <x:c r="F247" s="29" t="str">
        <x:v>multiply across campaigns; floor combined survival at 25%</x:v>
      </x:c>
      <x:c r="G247" s="29" t="str">
        <x:v>stress assumption</x:v>
      </x:c>
    </x:row>
    <x:row r="248" ht="75.5999984741211" hidden="0" customHeight="1">
      <x:c r="A248" s="27" t="str">
        <x:v>M1</x:v>
      </x:c>
      <x:c r="B248" s="27" t="str">
        <x:v>SCA-31</x:v>
      </x:c>
      <x:c r="C248" s="49" t="n">
        <x:v>0</x:v>
      </x:c>
      <x:c r="D248" s="49" t="n">
        <x:f>INDEX(Campaigns!F:F,MATCH(A248,Campaigns!A:A,0))</x:f>
        <x:v>0.3</x:v>
      </x:c>
      <x:c r="E248" s="49" t="n">
        <x:f>1-C248*D248</x:f>
        <x:v>1</x:v>
      </x:c>
      <x:c r="F248" s="27" t="str">
        <x:v>multiply across campaigns; floor combined survival at 25%</x:v>
      </x:c>
      <x:c r="G248" s="27" t="str">
        <x:v>stress assumption</x:v>
      </x:c>
    </x:row>
    <x:row r="249" ht="75.5999984741211" hidden="0" customHeight="1">
      <x:c r="A249" s="29" t="str">
        <x:v>M2</x:v>
      </x:c>
      <x:c r="B249" s="29" t="str">
        <x:v>SCA-31</x:v>
      </x:c>
      <x:c r="C249" s="50" t="n">
        <x:v>0</x:v>
      </x:c>
      <x:c r="D249" s="50" t="n">
        <x:f>INDEX(Campaigns!F:F,MATCH(A249,Campaigns!A:A,0))</x:f>
        <x:v>0.3</x:v>
      </x:c>
      <x:c r="E249" s="50" t="n">
        <x:f>1-C249*D249</x:f>
        <x:v>1</x:v>
      </x:c>
      <x:c r="F249" s="29" t="str">
        <x:v>multiply across campaigns; floor combined survival at 25%</x:v>
      </x:c>
      <x:c r="G249" s="29" t="str">
        <x:v>stress assumption</x:v>
      </x:c>
    </x:row>
    <x:row r="250" ht="75.5999984741211" hidden="0" customHeight="1">
      <x:c r="A250" s="27" t="str">
        <x:v>M3</x:v>
      </x:c>
      <x:c r="B250" s="27" t="str">
        <x:v>SCA-31</x:v>
      </x:c>
      <x:c r="C250" s="49" t="n">
        <x:v>0</x:v>
      </x:c>
      <x:c r="D250" s="49" t="n">
        <x:f>INDEX(Campaigns!F:F,MATCH(A250,Campaigns!A:A,0))</x:f>
        <x:v>0.3</x:v>
      </x:c>
      <x:c r="E250" s="49" t="n">
        <x:f>1-C250*D250</x:f>
        <x:v>1</x:v>
      </x:c>
      <x:c r="F250" s="27" t="str">
        <x:v>multiply across campaigns; floor combined survival at 25%</x:v>
      </x:c>
      <x:c r="G250" s="27" t="str">
        <x:v>stress assumption</x:v>
      </x:c>
    </x:row>
    <x:row r="251" ht="75.5999984741211" hidden="0" customHeight="1">
      <x:c r="A251" s="29" t="str">
        <x:v>M4</x:v>
      </x:c>
      <x:c r="B251" s="29" t="str">
        <x:v>SCA-31</x:v>
      </x:c>
      <x:c r="C251" s="50" t="n">
        <x:v>0</x:v>
      </x:c>
      <x:c r="D251" s="50" t="n">
        <x:f>INDEX(Campaigns!F:F,MATCH(A251,Campaigns!A:A,0))</x:f>
        <x:v>0.3</x:v>
      </x:c>
      <x:c r="E251" s="50" t="n">
        <x:f>1-C251*D251</x:f>
        <x:v>1</x:v>
      </x:c>
      <x:c r="F251" s="29" t="str">
        <x:v>multiply across campaigns; floor combined survival at 25%</x:v>
      </x:c>
      <x:c r="G251" s="29" t="str">
        <x:v>stress assumption</x:v>
      </x:c>
    </x:row>
    <x:row r="252" ht="75.5999984741211" hidden="0" customHeight="1">
      <x:c r="A252" s="27" t="str">
        <x:v>M5</x:v>
      </x:c>
      <x:c r="B252" s="27" t="str">
        <x:v>SCA-31</x:v>
      </x:c>
      <x:c r="C252" s="49" t="n">
        <x:v>0</x:v>
      </x:c>
      <x:c r="D252" s="49" t="n">
        <x:f>INDEX(Campaigns!F:F,MATCH(A252,Campaigns!A:A,0))</x:f>
        <x:v>0.3</x:v>
      </x:c>
      <x:c r="E252" s="49" t="n">
        <x:f>1-C252*D252</x:f>
        <x:v>1</x:v>
      </x:c>
      <x:c r="F252" s="27" t="str">
        <x:v>multiply across campaigns; floor combined survival at 25%</x:v>
      </x:c>
      <x:c r="G252" s="27" t="str">
        <x:v>stress assumption</x:v>
      </x:c>
    </x:row>
    <x:row r="253" ht="75.5999984741211" hidden="0" customHeight="1">
      <x:c r="A253" s="29" t="str">
        <x:v>C1</x:v>
      </x:c>
      <x:c r="B253" s="29" t="str">
        <x:v>SCA-32</x:v>
      </x:c>
      <x:c r="C253" s="50" t="n">
        <x:v>0</x:v>
      </x:c>
      <x:c r="D253" s="50" t="n">
        <x:f>INDEX(Campaigns!F:F,MATCH(A253,Campaigns!A:A,0))</x:f>
        <x:v>0.5</x:v>
      </x:c>
      <x:c r="E253" s="50" t="n">
        <x:f>1-C253*D253</x:f>
        <x:v>1</x:v>
      </x:c>
      <x:c r="F253" s="29" t="str">
        <x:v>multiply across campaigns; floor combined survival at 25%</x:v>
      </x:c>
      <x:c r="G253" s="29" t="str">
        <x:v>stress assumption</x:v>
      </x:c>
    </x:row>
    <x:row r="254" ht="75.5999984741211" hidden="0" customHeight="1">
      <x:c r="A254" s="27" t="str">
        <x:v>C2</x:v>
      </x:c>
      <x:c r="B254" s="27" t="str">
        <x:v>SCA-32</x:v>
      </x:c>
      <x:c r="C254" s="49" t="n">
        <x:v>0</x:v>
      </x:c>
      <x:c r="D254" s="49" t="n">
        <x:f>INDEX(Campaigns!F:F,MATCH(A254,Campaigns!A:A,0))</x:f>
        <x:v>0.5</x:v>
      </x:c>
      <x:c r="E254" s="49" t="n">
        <x:f>1-C254*D254</x:f>
        <x:v>1</x:v>
      </x:c>
      <x:c r="F254" s="27" t="str">
        <x:v>multiply across campaigns; floor combined survival at 25%</x:v>
      </x:c>
      <x:c r="G254" s="27" t="str">
        <x:v>stress assumption</x:v>
      </x:c>
    </x:row>
    <x:row r="255" ht="75.5999984741211" hidden="0" customHeight="1">
      <x:c r="A255" s="29" t="str">
        <x:v>C3</x:v>
      </x:c>
      <x:c r="B255" s="29" t="str">
        <x:v>SCA-32</x:v>
      </x:c>
      <x:c r="C255" s="50" t="n">
        <x:v>0</x:v>
      </x:c>
      <x:c r="D255" s="50" t="n">
        <x:f>INDEX(Campaigns!F:F,MATCH(A255,Campaigns!A:A,0))</x:f>
        <x:v>0.5</x:v>
      </x:c>
      <x:c r="E255" s="50" t="n">
        <x:f>1-C255*D255</x:f>
        <x:v>1</x:v>
      </x:c>
      <x:c r="F255" s="29" t="str">
        <x:v>multiply across campaigns; floor combined survival at 25%</x:v>
      </x:c>
      <x:c r="G255" s="29" t="str">
        <x:v>stress assumption</x:v>
      </x:c>
    </x:row>
    <x:row r="256" ht="75.5999984741211" hidden="0" customHeight="1">
      <x:c r="A256" s="27" t="str">
        <x:v>M1</x:v>
      </x:c>
      <x:c r="B256" s="27" t="str">
        <x:v>SCA-32</x:v>
      </x:c>
      <x:c r="C256" s="49" t="n">
        <x:v>0</x:v>
      </x:c>
      <x:c r="D256" s="49" t="n">
        <x:f>INDEX(Campaigns!F:F,MATCH(A256,Campaigns!A:A,0))</x:f>
        <x:v>0.3</x:v>
      </x:c>
      <x:c r="E256" s="49" t="n">
        <x:f>1-C256*D256</x:f>
        <x:v>1</x:v>
      </x:c>
      <x:c r="F256" s="27" t="str">
        <x:v>multiply across campaigns; floor combined survival at 25%</x:v>
      </x:c>
      <x:c r="G256" s="27" t="str">
        <x:v>stress assumption</x:v>
      </x:c>
    </x:row>
    <x:row r="257" ht="75.5999984741211" hidden="0" customHeight="1">
      <x:c r="A257" s="29" t="str">
        <x:v>M2</x:v>
      </x:c>
      <x:c r="B257" s="29" t="str">
        <x:v>SCA-32</x:v>
      </x:c>
      <x:c r="C257" s="50" t="n">
        <x:v>0</x:v>
      </x:c>
      <x:c r="D257" s="50" t="n">
        <x:f>INDEX(Campaigns!F:F,MATCH(A257,Campaigns!A:A,0))</x:f>
        <x:v>0.3</x:v>
      </x:c>
      <x:c r="E257" s="50" t="n">
        <x:f>1-C257*D257</x:f>
        <x:v>1</x:v>
      </x:c>
      <x:c r="F257" s="29" t="str">
        <x:v>multiply across campaigns; floor combined survival at 25%</x:v>
      </x:c>
      <x:c r="G257" s="29" t="str">
        <x:v>stress assumption</x:v>
      </x:c>
    </x:row>
    <x:row r="258" ht="75.5999984741211" hidden="0" customHeight="1">
      <x:c r="A258" s="27" t="str">
        <x:v>M3</x:v>
      </x:c>
      <x:c r="B258" s="27" t="str">
        <x:v>SCA-32</x:v>
      </x:c>
      <x:c r="C258" s="49" t="n">
        <x:v>0</x:v>
      </x:c>
      <x:c r="D258" s="49" t="n">
        <x:f>INDEX(Campaigns!F:F,MATCH(A258,Campaigns!A:A,0))</x:f>
        <x:v>0.3</x:v>
      </x:c>
      <x:c r="E258" s="49" t="n">
        <x:f>1-C258*D258</x:f>
        <x:v>1</x:v>
      </x:c>
      <x:c r="F258" s="27" t="str">
        <x:v>multiply across campaigns; floor combined survival at 25%</x:v>
      </x:c>
      <x:c r="G258" s="27" t="str">
        <x:v>stress assumption</x:v>
      </x:c>
    </x:row>
    <x:row r="259" ht="75.5999984741211" hidden="0" customHeight="1">
      <x:c r="A259" s="29" t="str">
        <x:v>M4</x:v>
      </x:c>
      <x:c r="B259" s="29" t="str">
        <x:v>SCA-32</x:v>
      </x:c>
      <x:c r="C259" s="50" t="n">
        <x:v>0</x:v>
      </x:c>
      <x:c r="D259" s="50" t="n">
        <x:f>INDEX(Campaigns!F:F,MATCH(A259,Campaigns!A:A,0))</x:f>
        <x:v>0.3</x:v>
      </x:c>
      <x:c r="E259" s="50" t="n">
        <x:f>1-C259*D259</x:f>
        <x:v>1</x:v>
      </x:c>
      <x:c r="F259" s="29" t="str">
        <x:v>multiply across campaigns; floor combined survival at 25%</x:v>
      </x:c>
      <x:c r="G259" s="29" t="str">
        <x:v>stress assumption</x:v>
      </x:c>
    </x:row>
    <x:row r="260" ht="75.5999984741211" hidden="0" customHeight="1">
      <x:c r="A260" s="27" t="str">
        <x:v>M5</x:v>
      </x:c>
      <x:c r="B260" s="27" t="str">
        <x:v>SCA-32</x:v>
      </x:c>
      <x:c r="C260" s="49" t="n">
        <x:v>0</x:v>
      </x:c>
      <x:c r="D260" s="49" t="n">
        <x:f>INDEX(Campaigns!F:F,MATCH(A260,Campaigns!A:A,0))</x:f>
        <x:v>0.3</x:v>
      </x:c>
      <x:c r="E260" s="49" t="n">
        <x:f>1-C260*D260</x:f>
        <x:v>1</x:v>
      </x:c>
      <x:c r="F260" s="27" t="str">
        <x:v>multiply across campaigns; floor combined survival at 25%</x:v>
      </x:c>
      <x:c r="G260" s="27" t="str">
        <x:v>stress assumption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9" customHeight="1">
      <x:c r="A1" s="81" t="str">
        <x:v>Surviving local receiving capacity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29" customHeight="1">
      <x:c r="A2" s="82" t="str">
        <x:v>The local screen applies concurrent receiver damage to baseline assured capacity before any population relocation.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31" customHeight="1">
      <x:c r="A4" s="84" t="str">
        <x:v>SCA</x:v>
      </x:c>
      <x:c r="B4" s="85" t="str">
        <x:v>Population</x:v>
      </x:c>
      <x:c r="C4" s="85" t="str">
        <x:v>Baseline assured CDE</x:v>
      </x:c>
      <x:c r="D4" s="85" t="str">
        <x:v>Campaign demand CDE</x:v>
      </x:c>
      <x:c r="E4" s="85" t="str">
        <x:v>Combined survival</x:v>
      </x:c>
      <x:c r="F4" s="85" t="str">
        <x:v>Scenario capacity</x:v>
      </x:c>
      <x:c r="G4" s="85" t="str">
        <x:v>Local served</x:v>
      </x:c>
      <x:c r="H4" s="85" t="str">
        <x:v>Local shortfall</x:v>
      </x:c>
      <x:c r="I4" s="85" t="str">
        <x:v>Spare capacity</x:v>
      </x:c>
      <x:c r="J4" s="86" t="str">
        <x:v>Local closure</x:v>
      </x:c>
    </x:row>
    <x:row r="5" ht="15" hidden="0" customHeight="1">
      <x:c r="A5" s="28" t="str">
        <x:v>SCA-01</x:v>
      </x:c>
      <x:c r="B5" s="39" t="n">
        <x:v>1432820</x:v>
      </x:c>
      <x:c r="C5" s="45" t="n">
        <x:f>INDEX(Catchments!N:N,MATCH(A5,Catchments!A:A,0))</x:f>
        <x:v>31.02444949998931</x:v>
      </x:c>
      <x:c r="D5" s="45" t="n">
        <x:f>SUMIF('Demand Allocation'!B:B,A5,'Demand Allocation'!F:F)</x:f>
        <x:v>0</x:v>
      </x:c>
      <x:c r="E5" s="48" t="n">
        <x:f>MAX(0.25,PRODUCT('Receiver Survival'!E5:E12))</x:f>
        <x:v>1</x:v>
      </x:c>
      <x:c r="F5" s="45" t="n">
        <x:f>C5*E5</x:f>
        <x:v>31.02444949998931</x:v>
      </x:c>
      <x:c r="G5" s="45" t="n">
        <x:f>MIN(D5,F5)</x:f>
        <x:v>0</x:v>
      </x:c>
      <x:c r="H5" s="45" t="n">
        <x:f>D5-G5</x:f>
        <x:v>0</x:v>
      </x:c>
      <x:c r="I5" s="45" t="n">
        <x:f>MAX(0,F5-G5)</x:f>
        <x:v>31.02444949998931</x:v>
      </x:c>
      <x:c r="J5" s="48" t="n">
        <x:f>IF(D5=0,1,G5/D5)</x:f>
        <x:v>1</x:v>
      </x:c>
    </x:row>
    <x:row r="6" ht="15" hidden="0" customHeight="1">
      <x:c r="A6" s="27" t="str">
        <x:v>SCA-02</x:v>
      </x:c>
      <x:c r="B6" s="40" t="n">
        <x:v>737270</x:v>
      </x:c>
      <x:c r="C6" s="46" t="n">
        <x:f>INDEX(Catchments!N:N,MATCH(A6,Catchments!A:A,0))</x:f>
        <x:v>24.712320593568982</x:v>
      </x:c>
      <x:c r="D6" s="46" t="n">
        <x:f>SUMIF('Demand Allocation'!B:B,A6,'Demand Allocation'!F:F)</x:f>
        <x:v>0</x:v>
      </x:c>
      <x:c r="E6" s="49" t="n">
        <x:f>MAX(0.25,PRODUCT('Receiver Survival'!E13:E20))</x:f>
        <x:v>1</x:v>
      </x:c>
      <x:c r="F6" s="46" t="n">
        <x:f>C6*E6</x:f>
        <x:v>24.712320593568982</x:v>
      </x:c>
      <x:c r="G6" s="46" t="n">
        <x:f>MIN(D6,F6)</x:f>
        <x:v>0</x:v>
      </x:c>
      <x:c r="H6" s="46" t="n">
        <x:f>D6-G6</x:f>
        <x:v>0</x:v>
      </x:c>
      <x:c r="I6" s="46" t="n">
        <x:f>MAX(0,F6-G6)</x:f>
        <x:v>24.712320593568982</x:v>
      </x:c>
      <x:c r="J6" s="49" t="n">
        <x:f>IF(D6=0,1,G6/D6)</x:f>
        <x:v>1</x:v>
      </x:c>
    </x:row>
    <x:row r="7" ht="15" hidden="0" customHeight="1">
      <x:c r="A7" s="29" t="str">
        <x:v>SCA-03</x:v>
      </x:c>
      <x:c r="B7" s="41" t="n">
        <x:v>11968308</x:v>
      </x:c>
      <x:c r="C7" s="47" t="n">
        <x:f>INDEX(Catchments!N:N,MATCH(A7,Catchments!A:A,0))</x:f>
        <x:v>126.63419480664507</x:v>
      </x:c>
      <x:c r="D7" s="47" t="n">
        <x:f>SUMIF('Demand Allocation'!B:B,A7,'Demand Allocation'!F:F)</x:f>
        <x:v>189.55148540002017</x:v>
      </x:c>
      <x:c r="E7" s="50" t="n">
        <x:f>MAX(0.25,PRODUCT('Receiver Survival'!E21:E28))</x:f>
        <x:v>0.7083961492301167</x:v>
      </x:c>
      <x:c r="F7" s="47" t="n">
        <x:f>C7*E7</x:f>
        <x:v>89.70717596188382</x:v>
      </x:c>
      <x:c r="G7" s="47" t="n">
        <x:f>MIN(D7,F7)</x:f>
        <x:v>89.70717596188382</x:v>
      </x:c>
      <x:c r="H7" s="47" t="n">
        <x:f>D7-G7</x:f>
        <x:v>99.84430943813635</x:v>
      </x:c>
      <x:c r="I7" s="47" t="n">
        <x:f>MAX(0,F7-G7)</x:f>
        <x:v>0</x:v>
      </x:c>
      <x:c r="J7" s="50" t="n">
        <x:f>IF(D7=0,1,G7/D7)</x:f>
        <x:v>0.47326021092670517</x:v>
      </x:c>
    </x:row>
    <x:row r="8" ht="15" hidden="0" customHeight="1">
      <x:c r="A8" s="27" t="str">
        <x:v>SCA-04</x:v>
      </x:c>
      <x:c r="B8" s="40" t="n">
        <x:v>16200470</x:v>
      </x:c>
      <x:c r="C8" s="46" t="n">
        <x:f>INDEX(Catchments!N:N,MATCH(A8,Catchments!A:A,0))</x:f>
        <x:v>165.04114196623624</x:v>
      </x:c>
      <x:c r="D8" s="46" t="n">
        <x:f>SUMIF('Demand Allocation'!B:B,A8,'Demand Allocation'!F:F)</x:f>
        <x:v>233.95574531388888</x:v>
      </x:c>
      <x:c r="E8" s="49" t="n">
        <x:f>MAX(0.25,PRODUCT('Receiver Survival'!E29:E36))</x:f>
        <x:v>0.37391250819411376</x:v>
      </x:c>
      <x:c r="F8" s="46" t="n">
        <x:f>C8*E8</x:f>
        <x:v>61.7109473478162</x:v>
      </x:c>
      <x:c r="G8" s="46" t="n">
        <x:f>MIN(D8,F8)</x:f>
        <x:v>61.7109473478162</x:v>
      </x:c>
      <x:c r="H8" s="46" t="n">
        <x:f>D8-G8</x:f>
        <x:v>172.24479796607267</x:v>
      </x:c>
      <x:c r="I8" s="46" t="n">
        <x:f>MAX(0,F8-G8)</x:f>
        <x:v>0</x:v>
      </x:c>
      <x:c r="J8" s="49" t="n">
        <x:f>IF(D8=0,1,G8/D8)</x:f>
        <x:v>0.26377188243452254</x:v>
      </x:c>
    </x:row>
    <x:row r="9" ht="15" hidden="0" customHeight="1">
      <x:c r="A9" s="29" t="str">
        <x:v>SCA-05</x:v>
      </x:c>
      <x:c r="B9" s="41" t="n">
        <x:v>15966265</x:v>
      </x:c>
      <x:c r="C9" s="47" t="n">
        <x:f>INDEX(Catchments!N:N,MATCH(A9,Catchments!A:A,0))</x:f>
        <x:v>162.91572732957724</x:v>
      </x:c>
      <x:c r="D9" s="47" t="n">
        <x:f>SUMIF('Demand Allocation'!B:B,A9,'Demand Allocation'!F:F)</x:f>
        <x:v>239.2855416046741</x:v>
      </x:c>
      <x:c r="E9" s="50" t="n">
        <x:f>MAX(0.25,PRODUCT('Receiver Survival'!E37:E44))</x:f>
        <x:v>0.35</x:v>
      </x:c>
      <x:c r="F9" s="47" t="n">
        <x:f>C9*E9</x:f>
        <x:v>57.02050456535203</x:v>
      </x:c>
      <x:c r="G9" s="47" t="n">
        <x:f>MIN(D9,F9)</x:f>
        <x:v>57.02050456535203</x:v>
      </x:c>
      <x:c r="H9" s="47" t="n">
        <x:f>D9-G9</x:f>
        <x:v>182.26503703932207</x:v>
      </x:c>
      <x:c r="I9" s="47" t="n">
        <x:f>MAX(0,F9-G9)</x:f>
        <x:v>0</x:v>
      </x:c>
      <x:c r="J9" s="50" t="n">
        <x:f>IF(D9=0,1,G9/D9)</x:f>
        <x:v>0.23829481791071247</x:v>
      </x:c>
    </x:row>
    <x:row r="10" ht="15" hidden="0" customHeight="1">
      <x:c r="A10" s="27" t="str">
        <x:v>SCA-06</x:v>
      </x:c>
      <x:c r="B10" s="40" t="n">
        <x:v>6008575</x:v>
      </x:c>
      <x:c r="C10" s="46" t="n">
        <x:f>INDEX(Catchments!N:N,MATCH(A10,Catchments!A:A,0))</x:f>
        <x:v>72.54950938669381</x:v>
      </x:c>
      <x:c r="D10" s="46" t="n">
        <x:f>SUMIF('Demand Allocation'!B:B,A10,'Demand Allocation'!F:F)</x:f>
        <x:v>90.05018538445309</x:v>
      </x:c>
      <x:c r="E10" s="49" t="n">
        <x:f>MAX(0.25,PRODUCT('Receiver Survival'!E45:E52))</x:f>
        <x:v>0.35</x:v>
      </x:c>
      <x:c r="F10" s="46" t="n">
        <x:f>C10*E10</x:f>
        <x:v>25.392328285342835</x:v>
      </x:c>
      <x:c r="G10" s="46" t="n">
        <x:f>MIN(D10,F10)</x:f>
        <x:v>25.392328285342835</x:v>
      </x:c>
      <x:c r="H10" s="46" t="n">
        <x:f>D10-G10</x:f>
        <x:v>64.65785709911026</x:v>
      </x:c>
      <x:c r="I10" s="46" t="n">
        <x:f>MAX(0,F10-G10)</x:f>
        <x:v>0</x:v>
      </x:c>
      <x:c r="J10" s="49" t="n">
        <x:f>IF(D10=0,1,G10/D10)</x:f>
        <x:v>0.2819797447049648</x:v>
      </x:c>
    </x:row>
    <x:row r="11" ht="15" hidden="0" customHeight="1">
      <x:c r="A11" s="29" t="str">
        <x:v>SCA-07</x:v>
      </x:c>
      <x:c r="B11" s="41" t="n">
        <x:v>5229370</x:v>
      </x:c>
      <x:c r="C11" s="47" t="n">
        <x:f>INDEX(Catchments!N:N,MATCH(A11,Catchments!A:A,0))</x:f>
        <x:v>65.47820983306394</x:v>
      </x:c>
      <x:c r="D11" s="47" t="n">
        <x:f>SUMIF('Demand Allocation'!B:B,A11,'Demand Allocation'!F:F)</x:f>
        <x:v>40.42160865496613</x:v>
      </x:c>
      <x:c r="E11" s="50" t="n">
        <x:f>MAX(0.25,PRODUCT('Receiver Survival'!E53:E60))</x:f>
        <x:v>0.5499270179773089</x:v>
      </x:c>
      <x:c r="F11" s="47" t="n">
        <x:f>C11*E11</x:f>
        <x:v>36.00823667598936</x:v>
      </x:c>
      <x:c r="G11" s="47" t="n">
        <x:f>MIN(D11,F11)</x:f>
        <x:v>36.00823667598936</x:v>
      </x:c>
      <x:c r="H11" s="47" t="n">
        <x:f>D11-G11</x:f>
        <x:v>4.41337197897677</x:v>
      </x:c>
      <x:c r="I11" s="47" t="n">
        <x:f>MAX(0,F11-G11)</x:f>
        <x:v>0</x:v>
      </x:c>
      <x:c r="J11" s="50" t="n">
        <x:f>IF(D11=0,1,G11/D11)</x:f>
        <x:v>0.8908165180498191</x:v>
      </x:c>
    </x:row>
    <x:row r="12" ht="15" hidden="0" customHeight="1">
      <x:c r="A12" s="27" t="str">
        <x:v>SCA-08</x:v>
      </x:c>
      <x:c r="B12" s="40" t="n">
        <x:v>2652387</x:v>
      </x:c>
      <x:c r="C12" s="46" t="n">
        <x:f>INDEX(Catchments!N:N,MATCH(A12,Catchments!A:A,0))</x:f>
        <x:v>42.092042216568004</x:v>
      </x:c>
      <x:c r="D12" s="46" t="n">
        <x:f>SUMIF('Demand Allocation'!B:B,A12,'Demand Allocation'!F:F)</x:f>
        <x:v>5.2031260523528635</x:v>
      </x:c>
      <x:c r="E12" s="49" t="n">
        <x:f>MAX(0.25,PRODUCT('Receiver Survival'!E61:E68))</x:f>
        <x:v>0.9569815348526511</x:v>
      </x:c>
      <x:c r="F12" s="46" t="n">
        <x:f>C12*E12</x:f>
        <x:v>40.281307165493835</x:v>
      </x:c>
      <x:c r="G12" s="46" t="n">
        <x:f>MIN(D12,F12)</x:f>
        <x:v>5.2031260523528635</x:v>
      </x:c>
      <x:c r="H12" s="46" t="n">
        <x:f>D12-G12</x:f>
        <x:v>0</x:v>
      </x:c>
      <x:c r="I12" s="46" t="n">
        <x:f>MAX(0,F12-G12)</x:f>
        <x:v>35.07818111314097</x:v>
      </x:c>
      <x:c r="J12" s="49" t="n">
        <x:f>IF(D12=0,1,G12/D12)</x:f>
        <x:v>1</x:v>
      </x:c>
    </x:row>
    <x:row r="13" ht="15" hidden="0" customHeight="1">
      <x:c r="A13" s="29" t="str">
        <x:v>SCA-09</x:v>
      </x:c>
      <x:c r="B13" s="41" t="n">
        <x:v>7395716</x:v>
      </x:c>
      <x:c r="C13" s="47" t="n">
        <x:f>INDEX(Catchments!N:N,MATCH(A13,Catchments!A:A,0))</x:f>
        <x:v>85.13783920249539</x:v>
      </x:c>
      <x:c r="D13" s="47" t="n">
        <x:f>SUMIF('Demand Allocation'!B:B,A13,'Demand Allocation'!F:F)</x:f>
        <x:v>16.878349055151574</x:v>
      </x:c>
      <x:c r="E13" s="50" t="n">
        <x:f>MAX(0.25,PRODUCT('Receiver Survival'!E69:E76))</x:f>
        <x:v>0.7</x:v>
      </x:c>
      <x:c r="F13" s="47" t="n">
        <x:f>C13*E13</x:f>
        <x:v>59.59648744174677</x:v>
      </x:c>
      <x:c r="G13" s="47" t="n">
        <x:f>MIN(D13,F13)</x:f>
        <x:v>16.878349055151574</x:v>
      </x:c>
      <x:c r="H13" s="47" t="n">
        <x:f>D13-G13</x:f>
        <x:v>0</x:v>
      </x:c>
      <x:c r="I13" s="47" t="n">
        <x:f>MAX(0,F13-G13)</x:f>
        <x:v>42.71813838659519</x:v>
      </x:c>
      <x:c r="J13" s="50" t="n">
        <x:f>IF(D13=0,1,G13/D13)</x:f>
        <x:v>1</x:v>
      </x:c>
    </x:row>
    <x:row r="14" ht="15" hidden="0" customHeight="1">
      <x:c r="A14" s="27" t="str">
        <x:v>SCA-10</x:v>
      </x:c>
      <x:c r="B14" s="40" t="n">
        <x:v>4127033</x:v>
      </x:c>
      <x:c r="C14" s="46" t="n">
        <x:f>INDEX(Catchments!N:N,MATCH(A14,Catchments!A:A,0))</x:f>
        <x:v>55.47448149963478</x:v>
      </x:c>
      <x:c r="D14" s="46" t="n">
        <x:f>SUMIF('Demand Allocation'!B:B,A14,'Demand Allocation'!F:F)</x:f>
        <x:v>7.435698061213477</x:v>
      </x:c>
      <x:c r="E14" s="49" t="n">
        <x:f>MAX(0.25,PRODUCT('Receiver Survival'!E77:E84))</x:f>
        <x:v>0.7631598535800417</x:v>
      </x:c>
      <x:c r="F14" s="46" t="n">
        <x:f>C14*E14</x:f>
        <x:v>42.335897178690004</x:v>
      </x:c>
      <x:c r="G14" s="46" t="n">
        <x:f>MIN(D14,F14)</x:f>
        <x:v>7.435698061213477</x:v>
      </x:c>
      <x:c r="H14" s="46" t="n">
        <x:f>D14-G14</x:f>
        <x:v>0</x:v>
      </x:c>
      <x:c r="I14" s="46" t="n">
        <x:f>MAX(0,F14-G14)</x:f>
        <x:v>34.900199117476525</x:v>
      </x:c>
      <x:c r="J14" s="49" t="n">
        <x:f>IF(D14=0,1,G14/D14)</x:f>
        <x:v>1</x:v>
      </x:c>
    </x:row>
    <x:row r="15" ht="15" hidden="0" customHeight="1">
      <x:c r="A15" s="29" t="str">
        <x:v>SCA-11</x:v>
      </x:c>
      <x:c r="B15" s="41" t="n">
        <x:v>3517787</x:v>
      </x:c>
      <x:c r="C15" s="47" t="n">
        <x:f>INDEX(Catchments!N:N,MATCH(A15,Catchments!A:A,0))</x:f>
        <x:v>49.94556296362594</x:v>
      </x:c>
      <x:c r="D15" s="47" t="n">
        <x:f>SUMIF('Demand Allocation'!B:B,A15,'Demand Allocation'!F:F)</x:f>
        <x:v>28.5048524394848</x:v>
      </x:c>
      <x:c r="E15" s="50" t="n">
        <x:f>MAX(0.25,PRODUCT('Receiver Survival'!E85:E92))</x:f>
        <x:v>0.5187802587251586</x:v>
      </x:c>
      <x:c r="F15" s="47" t="n">
        <x:f>C15*E15</x:f>
        <x:v>25.910772076443568</x:v>
      </x:c>
      <x:c r="G15" s="47" t="n">
        <x:f>MIN(D15,F15)</x:f>
        <x:v>25.910772076443568</x:v>
      </x:c>
      <x:c r="H15" s="47" t="n">
        <x:f>D15-G15</x:f>
        <x:v>2.5940803630412326</x:v>
      </x:c>
      <x:c r="I15" s="47" t="n">
        <x:f>MAX(0,F15-G15)</x:f>
        <x:v>0</x:v>
      </x:c>
      <x:c r="J15" s="50" t="n">
        <x:f>IF(D15=0,1,G15/D15)</x:f>
        <x:v>0.908995130967669</x:v>
      </x:c>
    </x:row>
    <x:row r="16" ht="15" hidden="0" customHeight="1">
      <x:c r="A16" s="27" t="str">
        <x:v>SCA-12</x:v>
      </x:c>
      <x:c r="B16" s="40" t="n">
        <x:v>7465186</x:v>
      </x:c>
      <x:c r="C16" s="46" t="n">
        <x:f>INDEX(Catchments!N:N,MATCH(A16,Catchments!A:A,0))</x:f>
        <x:v>85.76828071659074</x:v>
      </x:c>
      <x:c r="D16" s="46" t="n">
        <x:f>SUMIF('Demand Allocation'!B:B,A16,'Demand Allocation'!F:F)</x:f>
        <x:v>5.365241613945343</x:v>
      </x:c>
      <x:c r="E16" s="49" t="n">
        <x:f>MAX(0.25,PRODUCT('Receiver Survival'!E93:E100))</x:f>
        <x:v>0.9486598717344628</x:v>
      </x:c>
      <x:c r="F16" s="46" t="n">
        <x:f>C16*E16</x:f>
        <x:v>81.36492618348636</x:v>
      </x:c>
      <x:c r="G16" s="46" t="n">
        <x:f>MIN(D16,F16)</x:f>
        <x:v>5.365241613945343</x:v>
      </x:c>
      <x:c r="H16" s="46" t="n">
        <x:f>D16-G16</x:f>
        <x:v>0</x:v>
      </x:c>
      <x:c r="I16" s="46" t="n">
        <x:f>MAX(0,F16-G16)</x:f>
        <x:v>75.99968456954102</x:v>
      </x:c>
      <x:c r="J16" s="49" t="n">
        <x:f>IF(D16=0,1,G16/D16)</x:f>
        <x:v>1</x:v>
      </x:c>
    </x:row>
    <x:row r="17" ht="15" hidden="0" customHeight="1">
      <x:c r="A17" s="29" t="str">
        <x:v>SCA-13</x:v>
      </x:c>
      <x:c r="B17" s="41" t="n">
        <x:v>6759014</x:v>
      </x:c>
      <x:c r="C17" s="47" t="n">
        <x:f>INDEX(Catchments!N:N,MATCH(A17,Catchments!A:A,0))</x:f>
        <x:v>79.35975696688955</x:v>
      </x:c>
      <x:c r="D17" s="47" t="n">
        <x:f>SUMIF('Demand Allocation'!B:B,A17,'Demand Allocation'!F:F)</x:f>
        <x:v>91.41150687838932</x:v>
      </x:c>
      <x:c r="E17" s="50" t="n">
        <x:f>MAX(0.25,PRODUCT('Receiver Survival'!E101:E108))</x:f>
        <x:v>0.35</x:v>
      </x:c>
      <x:c r="F17" s="47" t="n">
        <x:f>C17*E17</x:f>
        <x:v>27.77591493841134</x:v>
      </x:c>
      <x:c r="G17" s="47" t="n">
        <x:f>MIN(D17,F17)</x:f>
        <x:v>27.77591493841134</x:v>
      </x:c>
      <x:c r="H17" s="47" t="n">
        <x:f>D17-G17</x:f>
        <x:v>63.63559193997798</x:v>
      </x:c>
      <x:c r="I17" s="47" t="n">
        <x:f>MAX(0,F17-G17)</x:f>
        <x:v>0</x:v>
      </x:c>
      <x:c r="J17" s="50" t="n">
        <x:f>IF(D17=0,1,G17/D17)</x:f>
        <x:v>0.30385578235094024</x:v>
      </x:c>
    </x:row>
    <x:row r="18" ht="15" hidden="0" customHeight="1">
      <x:c r="A18" s="27" t="str">
        <x:v>SCA-14</x:v>
      </x:c>
      <x:c r="B18" s="40" t="n">
        <x:v>2179728</x:v>
      </x:c>
      <x:c r="C18" s="46" t="n">
        <x:f>INDEX(Catchments!N:N,MATCH(A18,Catchments!A:A,0))</x:f>
        <x:v>37.80265319093401</x:v>
      </x:c>
      <x:c r="D18" s="46" t="n">
        <x:f>SUMIF('Demand Allocation'!B:B,A18,'Demand Allocation'!F:F)</x:f>
        <x:v>29.4794804486302</x:v>
      </x:c>
      <x:c r="E18" s="49" t="n">
        <x:f>MAX(0.25,PRODUCT('Receiver Survival'!E109:E116))</x:f>
        <x:v>0.35</x:v>
      </x:c>
      <x:c r="F18" s="46" t="n">
        <x:f>C18*E18</x:f>
        <x:v>13.230928616826903</x:v>
      </x:c>
      <x:c r="G18" s="46" t="n">
        <x:f>MIN(D18,F18)</x:f>
        <x:v>13.230928616826903</x:v>
      </x:c>
      <x:c r="H18" s="46" t="n">
        <x:f>D18-G18</x:f>
        <x:v>16.248551831803297</x:v>
      </x:c>
      <x:c r="I18" s="46" t="n">
        <x:f>MAX(0,F18-G18)</x:f>
        <x:v>0</x:v>
      </x:c>
      <x:c r="J18" s="49" t="n">
        <x:f>IF(D18=0,1,G18/D18)</x:f>
        <x:v>0.44881824290908406</x:v>
      </x:c>
    </x:row>
    <x:row r="19" ht="15" hidden="0" customHeight="1">
      <x:c r="A19" s="29" t="str">
        <x:v>SCA-15</x:v>
      </x:c>
      <x:c r="B19" s="41" t="n">
        <x:v>13192386</x:v>
      </x:c>
      <x:c r="C19" s="47" t="n">
        <x:f>INDEX(Catchments!N:N,MATCH(A19,Catchments!A:A,0))</x:f>
        <x:v>137.74272493030716</x:v>
      </x:c>
      <x:c r="D19" s="47" t="n">
        <x:f>SUMIF('Demand Allocation'!B:B,A19,'Demand Allocation'!F:F)</x:f>
        <x:v>158.87760544429</x:v>
      </x:c>
      <x:c r="E19" s="50" t="n">
        <x:f>MAX(0.25,PRODUCT('Receiver Survival'!E117:E124))</x:f>
        <x:v>0.41154261206332143</x:v>
      </x:c>
      <x:c r="F19" s="47" t="n">
        <x:f>C19*E19</x:f>
        <x:v>56.687000810538194</x:v>
      </x:c>
      <x:c r="G19" s="47" t="n">
        <x:f>MIN(D19,F19)</x:f>
        <x:v>56.687000810538194</x:v>
      </x:c>
      <x:c r="H19" s="47" t="n">
        <x:f>D19-G19</x:f>
        <x:v>102.1906046337518</x:v>
      </x:c>
      <x:c r="I19" s="47" t="n">
        <x:f>MAX(0,F19-G19)</x:f>
        <x:v>0</x:v>
      </x:c>
      <x:c r="J19" s="50" t="n">
        <x:f>IF(D19=0,1,G19/D19)</x:f>
        <x:v>0.35679667157631817</x:v>
      </x:c>
    </x:row>
    <x:row r="20" ht="15" hidden="0" customHeight="1">
      <x:c r="A20" s="27" t="str">
        <x:v>SCA-16</x:v>
      </x:c>
      <x:c r="B20" s="40" t="n">
        <x:v>10177969</x:v>
      </x:c>
      <x:c r="C20" s="46" t="n">
        <x:f>INDEX(Catchments!N:N,MATCH(A20,Catchments!A:A,0))</x:f>
        <x:v>110.38683580414107</x:v>
      </x:c>
      <x:c r="D20" s="46" t="n">
        <x:f>SUMIF('Demand Allocation'!B:B,A20,'Demand Allocation'!F:F)</x:f>
        <x:v>14.101997099435174</x:v>
      </x:c>
      <x:c r="E20" s="49" t="n">
        <x:f>MAX(0.25,PRODUCT('Receiver Survival'!E125:E132))</x:f>
        <x:v>0.9232061986551726</x:v>
      </x:c>
      <x:c r="F20" s="46" t="n">
        <x:f>C20*E20</x:f>
        <x:v>101.90981106431379</x:v>
      </x:c>
      <x:c r="G20" s="46" t="n">
        <x:f>MIN(D20,F20)</x:f>
        <x:v>14.101997099435174</x:v>
      </x:c>
      <x:c r="H20" s="46" t="n">
        <x:f>D20-G20</x:f>
        <x:v>0</x:v>
      </x:c>
      <x:c r="I20" s="46" t="n">
        <x:f>MAX(0,F20-G20)</x:f>
        <x:v>87.80781396487862</x:v>
      </x:c>
      <x:c r="J20" s="49" t="n">
        <x:f>IF(D20=0,1,G20/D20)</x:f>
        <x:v>1</x:v>
      </x:c>
    </x:row>
    <x:row r="21" ht="15" hidden="0" customHeight="1">
      <x:c r="A21" s="29" t="str">
        <x:v>SCA-17</x:v>
      </x:c>
      <x:c r="B21" s="41" t="n">
        <x:v>12843509</x:v>
      </x:c>
      <x:c r="C21" s="47" t="n">
        <x:f>INDEX(Catchments!N:N,MATCH(A21,Catchments!A:A,0))</x:f>
        <x:v>134.5766598070447</x:v>
      </x:c>
      <x:c r="D21" s="47" t="n">
        <x:f>SUMIF('Demand Allocation'!B:B,A21,'Demand Allocation'!F:F)</x:f>
        <x:v>165.8996744260575</x:v>
      </x:c>
      <x:c r="E21" s="50" t="n">
        <x:f>MAX(0.25,PRODUCT('Receiver Survival'!E133:E140))</x:f>
        <x:v>0.3906190975945939</x:v>
      </x:c>
      <x:c r="F21" s="47" t="n">
        <x:f>C21*E21</x:f>
        <x:v>52.56821341112246</x:v>
      </x:c>
      <x:c r="G21" s="47" t="n">
        <x:f>MIN(D21,F21)</x:f>
        <x:v>52.56821341112246</x:v>
      </x:c>
      <x:c r="H21" s="47" t="n">
        <x:f>D21-G21</x:f>
        <x:v>113.33146101493503</x:v>
      </x:c>
      <x:c r="I21" s="47" t="n">
        <x:f>MAX(0,F21-G21)</x:f>
        <x:v>0</x:v>
      </x:c>
      <x:c r="J21" s="50" t="n">
        <x:f>IF(D21=0,1,G21/D21)</x:f>
        <x:v>0.31686748990307656</x:v>
      </x:c>
    </x:row>
    <x:row r="22" ht="15" hidden="0" customHeight="1">
      <x:c r="A22" s="27" t="str">
        <x:v>SCA-18</x:v>
      </x:c>
      <x:c r="B22" s="40" t="n">
        <x:v>11004680</x:v>
      </x:c>
      <x:c r="C22" s="46" t="n">
        <x:f>INDEX(Catchments!N:N,MATCH(A22,Catchments!A:A,0))</x:f>
        <x:v>117.88925317220325</x:v>
      </x:c>
      <x:c r="D22" s="46" t="n">
        <x:f>SUMIF('Demand Allocation'!B:B,A22,'Demand Allocation'!F:F)</x:f>
        <x:v>36.16990392751423</x:v>
      </x:c>
      <x:c r="E22" s="49" t="n">
        <x:f>MAX(0.25,PRODUCT('Receiver Survival'!E141:E148))</x:f>
        <x:v>0.798825136214774</x:v>
      </x:c>
      <x:c r="F22" s="46" t="n">
        <x:f>C22*E22</x:f>
        <x:v>94.17289872354324</x:v>
      </x:c>
      <x:c r="G22" s="46" t="n">
        <x:f>MIN(D22,F22)</x:f>
        <x:v>36.16990392751423</x:v>
      </x:c>
      <x:c r="H22" s="46" t="n">
        <x:f>D22-G22</x:f>
        <x:v>0</x:v>
      </x:c>
      <x:c r="I22" s="46" t="n">
        <x:f>MAX(0,F22-G22)</x:f>
        <x:v>58.002994796029014</x:v>
      </x:c>
      <x:c r="J22" s="49" t="n">
        <x:f>IF(D22=0,1,G22/D22)</x:f>
        <x:v>1</x:v>
      </x:c>
    </x:row>
    <x:row r="23" ht="15" hidden="0" customHeight="1">
      <x:c r="A23" s="29" t="str">
        <x:v>SCA-19</x:v>
      </x:c>
      <x:c r="B23" s="41" t="n">
        <x:v>6677653</x:v>
      </x:c>
      <x:c r="C23" s="47" t="n">
        <x:f>INDEX(Catchments!N:N,MATCH(A23,Catchments!A:A,0))</x:f>
        <x:v>78.62140441142228</x:v>
      </x:c>
      <x:c r="D23" s="47" t="n">
        <x:f>SUMIF('Demand Allocation'!B:B,A23,'Demand Allocation'!F:F)</x:f>
        <x:v>34.31740768321789</x:v>
      </x:c>
      <x:c r="E23" s="50" t="n">
        <x:f>MAX(0.25,PRODUCT('Receiver Survival'!E149:E156))</x:f>
        <x:v>0.7149273704398836</x:v>
      </x:c>
      <x:c r="F23" s="47" t="n">
        <x:f>C23*E23</x:f>
        <x:v>56.20859391614879</x:v>
      </x:c>
      <x:c r="G23" s="47" t="n">
        <x:f>MIN(D23,F23)</x:f>
        <x:v>34.31740768321789</x:v>
      </x:c>
      <x:c r="H23" s="47" t="n">
        <x:f>D23-G23</x:f>
        <x:v>0</x:v>
      </x:c>
      <x:c r="I23" s="47" t="n">
        <x:f>MAX(0,F23-G23)</x:f>
        <x:v>21.891186232930906</x:v>
      </x:c>
      <x:c r="J23" s="50" t="n">
        <x:f>IF(D23=0,1,G23/D23)</x:f>
        <x:v>1</x:v>
      </x:c>
    </x:row>
    <x:row r="24" ht="15" hidden="0" customHeight="1">
      <x:c r="A24" s="27" t="str">
        <x:v>SCA-20</x:v>
      </x:c>
      <x:c r="B24" s="40" t="n">
        <x:v>8490774</x:v>
      </x:c>
      <x:c r="C24" s="46" t="n">
        <x:f>INDEX(Catchments!N:N,MATCH(A24,Catchments!A:A,0))</x:f>
        <x:v>95.07551047847387</x:v>
      </x:c>
      <x:c r="D24" s="46" t="n">
        <x:f>SUMIF('Demand Allocation'!B:B,A24,'Demand Allocation'!F:F)</x:f>
        <x:v>85.27659252971277</x:v>
      </x:c>
      <x:c r="E24" s="49" t="n">
        <x:f>MAX(0.25,PRODUCT('Receiver Survival'!E157:E164))</x:f>
        <x:v>0.5636781472558637</x:v>
      </x:c>
      <x:c r="F24" s="46" t="n">
        <x:f>C24*E24</x:f>
        <x:v>53.59198759591161</x:v>
      </x:c>
      <x:c r="G24" s="46" t="n">
        <x:f>MIN(D24,F24)</x:f>
        <x:v>53.59198759591161</x:v>
      </x:c>
      <x:c r="H24" s="46" t="n">
        <x:f>D24-G24</x:f>
        <x:v>31.68460493380116</x:v>
      </x:c>
      <x:c r="I24" s="46" t="n">
        <x:f>MAX(0,F24-G24)</x:f>
        <x:v>0</x:v>
      </x:c>
      <x:c r="J24" s="49" t="n">
        <x:f>IF(D24=0,1,G24/D24)</x:f>
        <x:v>0.6284489800321073</x:v>
      </x:c>
    </x:row>
    <x:row r="25" ht="15" hidden="0" customHeight="1">
      <x:c r="A25" s="29" t="str">
        <x:v>SCA-21</x:v>
      </x:c>
      <x:c r="B25" s="41" t="n">
        <x:v>19593580</x:v>
      </x:c>
      <x:c r="C25" s="47" t="n">
        <x:f>INDEX(Catchments!N:N,MATCH(A25,Catchments!A:A,0))</x:f>
        <x:v>195.83367695820496</x:v>
      </x:c>
      <x:c r="D25" s="47" t="n">
        <x:f>SUMIF('Demand Allocation'!B:B,A25,'Demand Allocation'!F:F)</x:f>
        <x:v>97.24703529450264</x:v>
      </x:c>
      <x:c r="E25" s="50" t="n">
        <x:f>MAX(0.25,PRODUCT('Receiver Survival'!E165:E172))</x:f>
        <x:v>0.7333019250492121</x:v>
      </x:c>
      <x:c r="F25" s="47" t="n">
        <x:f>C25*E25</x:f>
        <x:v>143.60521230291724</x:v>
      </x:c>
      <x:c r="G25" s="47" t="n">
        <x:f>MIN(D25,F25)</x:f>
        <x:v>97.24703529450264</x:v>
      </x:c>
      <x:c r="H25" s="47" t="n">
        <x:f>D25-G25</x:f>
        <x:v>0</x:v>
      </x:c>
      <x:c r="I25" s="47" t="n">
        <x:f>MAX(0,F25-G25)</x:f>
        <x:v>46.3581770084146</x:v>
      </x:c>
      <x:c r="J25" s="50" t="n">
        <x:f>IF(D25=0,1,G25/D25)</x:f>
        <x:v>1</x:v>
      </x:c>
    </x:row>
    <x:row r="26" ht="15" hidden="0" customHeight="1">
      <x:c r="A26" s="27" t="str">
        <x:v>SCA-22</x:v>
      </x:c>
      <x:c r="B26" s="40" t="n">
        <x:v>14732006</x:v>
      </x:c>
      <x:c r="C26" s="46" t="n">
        <x:f>INDEX(Catchments!N:N,MATCH(A26,Catchments!A:A,0))</x:f>
        <x:v>151.71480444565884</x:v>
      </x:c>
      <x:c r="D26" s="46" t="n">
        <x:f>SUMIF('Demand Allocation'!B:B,A26,'Demand Allocation'!F:F)</x:f>
        <x:v>74.64999478400783</x:v>
      </x:c>
      <x:c r="E26" s="49" t="n">
        <x:f>MAX(0.25,PRODUCT('Receiver Survival'!E173:E180))</x:f>
        <x:v>0.7262391846933267</x:v>
      </x:c>
      <x:c r="F26" s="46" t="n">
        <x:f>C26*E26</x:f>
        <x:v>110.18123588652277</x:v>
      </x:c>
      <x:c r="G26" s="46" t="n">
        <x:f>MIN(D26,F26)</x:f>
        <x:v>74.64999478400783</x:v>
      </x:c>
      <x:c r="H26" s="46" t="n">
        <x:f>D26-G26</x:f>
        <x:v>0</x:v>
      </x:c>
      <x:c r="I26" s="46" t="n">
        <x:f>MAX(0,F26-G26)</x:f>
        <x:v>35.53124110251494</x:v>
      </x:c>
      <x:c r="J26" s="49" t="n">
        <x:f>IF(D26=0,1,G26/D26)</x:f>
        <x:v>1</x:v>
      </x:c>
    </x:row>
    <x:row r="27" ht="15" hidden="0" customHeight="1">
      <x:c r="A27" s="29" t="str">
        <x:v>SCA-23</x:v>
      </x:c>
      <x:c r="B27" s="41" t="n">
        <x:v>20869310</x:v>
      </x:c>
      <x:c r="C27" s="47" t="n">
        <x:f>INDEX(Catchments!N:N,MATCH(A27,Catchments!A:A,0))</x:f>
        <x:v>207.41094992174118</x:v>
      </x:c>
      <x:c r="D27" s="47" t="n">
        <x:f>SUMIF('Demand Allocation'!B:B,A27,'Demand Allocation'!F:F)</x:f>
        <x:v>111.7119448002053</x:v>
      </x:c>
      <x:c r="E27" s="50" t="n">
        <x:f>MAX(0.25,PRODUCT('Receiver Survival'!E181:E188))</x:f>
        <x:v>0.6872707137240266</x:v>
      </x:c>
      <x:c r="F27" s="47" t="n">
        <x:f>C27*E27</x:f>
        <x:v>142.5474715868934</x:v>
      </x:c>
      <x:c r="G27" s="47" t="n">
        <x:f>MIN(D27,F27)</x:f>
        <x:v>111.7119448002053</x:v>
      </x:c>
      <x:c r="H27" s="47" t="n">
        <x:f>D27-G27</x:f>
        <x:v>0</x:v>
      </x:c>
      <x:c r="I27" s="47" t="n">
        <x:f>MAX(0,F27-G27)</x:f>
        <x:v>30.835526786688106</x:v>
      </x:c>
      <x:c r="J27" s="50" t="n">
        <x:f>IF(D27=0,1,G27/D27)</x:f>
        <x:v>1</x:v>
      </x:c>
    </x:row>
    <x:row r="28" ht="15" hidden="0" customHeight="1">
      <x:c r="A28" s="27" t="str">
        <x:v>SCA-24</x:v>
      </x:c>
      <x:c r="B28" s="40" t="n">
        <x:v>11816161</x:v>
      </x:c>
      <x:c r="C28" s="46" t="n">
        <x:f>INDEX(Catchments!N:N,MATCH(A28,Catchments!A:A,0))</x:f>
        <x:v>125.25345801313614</x:v>
      </x:c>
      <x:c r="D28" s="46" t="n">
        <x:f>SUMIF('Demand Allocation'!B:B,A28,'Demand Allocation'!F:F)</x:f>
        <x:v>57.915375349721934</x:v>
      </x:c>
      <x:c r="E28" s="49" t="n">
        <x:f>MAX(0.25,PRODUCT('Receiver Survival'!E189:E196))</x:f>
        <x:v>0.7</x:v>
      </x:c>
      <x:c r="F28" s="46" t="n">
        <x:f>C28*E28</x:f>
        <x:v>87.6774206091953</x:v>
      </x:c>
      <x:c r="G28" s="46" t="n">
        <x:f>MIN(D28,F28)</x:f>
        <x:v>57.915375349721934</x:v>
      </x:c>
      <x:c r="H28" s="46" t="n">
        <x:f>D28-G28</x:f>
        <x:v>0</x:v>
      </x:c>
      <x:c r="I28" s="46" t="n">
        <x:f>MAX(0,F28-G28)</x:f>
        <x:v>29.76204525947336</x:v>
      </x:c>
      <x:c r="J28" s="49" t="n">
        <x:f>IF(D28=0,1,G28/D28)</x:f>
        <x:v>1</x:v>
      </x:c>
    </x:row>
    <x:row r="29" ht="15" hidden="0" customHeight="1">
      <x:c r="A29" s="29" t="str">
        <x:v>SCA-25</x:v>
      </x:c>
      <x:c r="B29" s="41" t="n">
        <x:v>6408394</x:v>
      </x:c>
      <x:c r="C29" s="47" t="n">
        <x:f>INDEX(Catchments!N:N,MATCH(A29,Catchments!A:A,0))</x:f>
        <x:v>76.177874086911</x:v>
      </x:c>
      <x:c r="D29" s="47" t="n">
        <x:f>SUMIF('Demand Allocation'!B:B,A29,'Demand Allocation'!F:F)</x:f>
        <x:v>21.215065511308996</x:v>
      </x:c>
      <x:c r="E29" s="50" t="n">
        <x:f>MAX(0.25,PRODUCT('Receiver Survival'!E197:E204))</x:f>
        <x:v>0.7</x:v>
      </x:c>
      <x:c r="F29" s="47" t="n">
        <x:f>C29*E29</x:f>
        <x:v>53.3245118608377</x:v>
      </x:c>
      <x:c r="G29" s="47" t="n">
        <x:f>MIN(D29,F29)</x:f>
        <x:v>21.215065511308996</x:v>
      </x:c>
      <x:c r="H29" s="47" t="n">
        <x:f>D29-G29</x:f>
        <x:v>0</x:v>
      </x:c>
      <x:c r="I29" s="47" t="n">
        <x:f>MAX(0,F29-G29)</x:f>
        <x:v>32.10944634952871</x:v>
      </x:c>
      <x:c r="J29" s="50" t="n">
        <x:f>IF(D29=0,1,G29/D29)</x:f>
        <x:v>1</x:v>
      </x:c>
    </x:row>
    <x:row r="30" ht="15" hidden="0" customHeight="1">
      <x:c r="A30" s="27" t="str">
        <x:v>SCA-26</x:v>
      </x:c>
      <x:c r="B30" s="40" t="n">
        <x:v>10737083</x:v>
      </x:c>
      <x:c r="C30" s="46" t="n">
        <x:f>INDEX(Catchments!N:N,MATCH(A30,Catchments!A:A,0))</x:f>
        <x:v>115.46080552793418</x:v>
      </x:c>
      <x:c r="D30" s="46" t="n">
        <x:f>SUMIF('Demand Allocation'!B:B,A30,'Demand Allocation'!F:F)</x:f>
        <x:v>35.54524257487323</x:v>
      </x:c>
      <x:c r="E30" s="49" t="n">
        <x:f>MAX(0.25,PRODUCT('Receiver Survival'!E205:E212))</x:f>
        <x:v>0.7</x:v>
      </x:c>
      <x:c r="F30" s="46" t="n">
        <x:f>C30*E30</x:f>
        <x:v>80.82256386955392</x:v>
      </x:c>
      <x:c r="G30" s="46" t="n">
        <x:f>MIN(D30,F30)</x:f>
        <x:v>35.54524257487323</x:v>
      </x:c>
      <x:c r="H30" s="46" t="n">
        <x:f>D30-G30</x:f>
        <x:v>0</x:v>
      </x:c>
      <x:c r="I30" s="46" t="n">
        <x:f>MAX(0,F30-G30)</x:f>
        <x:v>45.27732129468069</x:v>
      </x:c>
      <x:c r="J30" s="49" t="n">
        <x:f>IF(D30=0,1,G30/D30)</x:f>
        <x:v>1</x:v>
      </x:c>
    </x:row>
    <x:row r="31" ht="15" hidden="0" customHeight="1">
      <x:c r="A31" s="29" t="str">
        <x:v>SCA-27</x:v>
      </x:c>
      <x:c r="B31" s="41" t="n">
        <x:v>7505606</x:v>
      </x:c>
      <x:c r="C31" s="47" t="n">
        <x:f>INDEX(Catchments!N:N,MATCH(A31,Catchments!A:A,0))</x:f>
        <x:v>86.13509295208424</x:v>
      </x:c>
      <x:c r="D31" s="47" t="n">
        <x:f>SUMIF('Demand Allocation'!B:B,A31,'Demand Allocation'!F:F)</x:f>
        <x:v>24.84739905069412</x:v>
      </x:c>
      <x:c r="E31" s="50" t="n">
        <x:f>MAX(0.25,PRODUCT('Receiver Survival'!E213:E220))</x:f>
        <x:v>0.7</x:v>
      </x:c>
      <x:c r="F31" s="47" t="n">
        <x:f>C31*E31</x:f>
        <x:v>60.29456506645896</x:v>
      </x:c>
      <x:c r="G31" s="47" t="n">
        <x:f>MIN(D31,F31)</x:f>
        <x:v>24.84739905069412</x:v>
      </x:c>
      <x:c r="H31" s="47" t="n">
        <x:f>D31-G31</x:f>
        <x:v>0</x:v>
      </x:c>
      <x:c r="I31" s="47" t="n">
        <x:f>MAX(0,F31-G31)</x:f>
        <x:v>35.447166015764836</x:v>
      </x:c>
      <x:c r="J31" s="50" t="n">
        <x:f>IF(D31=0,1,G31/D31)</x:f>
        <x:v>1</x:v>
      </x:c>
    </x:row>
    <x:row r="32" ht="15" hidden="0" customHeight="1">
      <x:c r="A32" s="27" t="str">
        <x:v>SCA-28</x:v>
      </x:c>
      <x:c r="B32" s="40" t="n">
        <x:v>21305157</x:v>
      </x:c>
      <x:c r="C32" s="46" t="n">
        <x:f>INDEX(Catchments!N:N,MATCH(A32,Catchments!A:A,0))</x:f>
        <x:v>211.3662693775338</x:v>
      </x:c>
      <x:c r="D32" s="46" t="n">
        <x:f>SUMIF('Demand Allocation'!B:B,A32,'Demand Allocation'!F:F)</x:f>
        <x:v>109.04444954720735</x:v>
      </x:c>
      <x:c r="E32" s="49" t="n">
        <x:f>MAX(0.25,PRODUCT('Receiver Survival'!E221:E228))</x:f>
        <x:v>0.7196726999896924</x:v>
      </x:c>
      <x:c r="F32" s="46" t="n">
        <x:f>C32*E32</x:f>
        <x:v>152.1145337696784</x:v>
      </x:c>
      <x:c r="G32" s="46" t="n">
        <x:f>MIN(D32,F32)</x:f>
        <x:v>109.04444954720735</x:v>
      </x:c>
      <x:c r="H32" s="46" t="n">
        <x:f>D32-G32</x:f>
        <x:v>0</x:v>
      </x:c>
      <x:c r="I32" s="46" t="n">
        <x:f>MAX(0,F32-G32)</x:f>
        <x:v>43.07008422247104</x:v>
      </x:c>
      <x:c r="J32" s="49" t="n">
        <x:f>IF(D32=0,1,G32/D32)</x:f>
        <x:v>1</x:v>
      </x:c>
    </x:row>
    <x:row r="33" ht="15" hidden="0" customHeight="1">
      <x:c r="A33" s="29" t="str">
        <x:v>SCA-29</x:v>
      </x:c>
      <x:c r="B33" s="41" t="n">
        <x:v>19271685</x:v>
      </x:c>
      <x:c r="C33" s="47" t="n">
        <x:f>INDEX(Catchments!N:N,MATCH(A33,Catchments!A:A,0))</x:f>
        <x:v>192.91247397591445</x:v>
      </x:c>
      <x:c r="D33" s="47" t="n">
        <x:f>SUMIF('Demand Allocation'!B:B,A33,'Demand Allocation'!F:F)</x:f>
        <x:v>63.524632011498696</x:v>
      </x:c>
      <x:c r="E33" s="50" t="n">
        <x:f>MAX(0.25,PRODUCT('Receiver Survival'!E229:E236))</x:f>
        <x:v>0.7047490807832747</x:v>
      </x:c>
      <x:c r="F33" s="47" t="n">
        <x:f>C33*E33</x:f>
        <x:v>135.9548887061531</x:v>
      </x:c>
      <x:c r="G33" s="47" t="n">
        <x:f>MIN(D33,F33)</x:f>
        <x:v>63.524632011498696</x:v>
      </x:c>
      <x:c r="H33" s="47" t="n">
        <x:f>D33-G33</x:f>
        <x:v>0</x:v>
      </x:c>
      <x:c r="I33" s="47" t="n">
        <x:f>MAX(0,F33-G33)</x:f>
        <x:v>72.4302566946544</x:v>
      </x:c>
      <x:c r="J33" s="50" t="n">
        <x:f>IF(D33=0,1,G33/D33)</x:f>
        <x:v>1</x:v>
      </x:c>
    </x:row>
    <x:row r="34" ht="15" hidden="0" customHeight="1">
      <x:c r="A34" s="27" t="str">
        <x:v>SCA-30</x:v>
      </x:c>
      <x:c r="B34" s="40" t="n">
        <x:v>41291847</x:v>
      </x:c>
      <x:c r="C34" s="46" t="n">
        <x:f>INDEX(Catchments!N:N,MATCH(A34,Catchments!A:A,0))</x:f>
        <x:v>392.74584481087714</x:v>
      </x:c>
      <x:c r="D34" s="46" t="n">
        <x:f>SUMIF('Demand Allocation'!B:B,A34,'Demand Allocation'!F:F)</x:f>
        <x:v>333.5898092580384</x:v>
      </x:c>
      <x:c r="E34" s="49" t="n">
        <x:f>MAX(0.25,PRODUCT('Receiver Survival'!E237:E244))</x:f>
        <x:v>0.559161073613394</x:v>
      </x:c>
      <x:c r="F34" s="46" t="n">
        <x:f>C34*E34</x:f>
        <x:v>219.6081882416495</x:v>
      </x:c>
      <x:c r="G34" s="46" t="n">
        <x:f>MIN(D34,F34)</x:f>
        <x:v>219.6081882416495</x:v>
      </x:c>
      <x:c r="H34" s="46" t="n">
        <x:f>D34-G34</x:f>
        <x:v>113.98162101638889</x:v>
      </x:c>
      <x:c r="I34" s="46" t="n">
        <x:f>MAX(0,F34-G34)</x:f>
        <x:v>0</x:v>
      </x:c>
      <x:c r="J34" s="49" t="n">
        <x:f>IF(D34=0,1,G34/D34)</x:f>
        <x:v>0.658318036543431</x:v>
      </x:c>
    </x:row>
    <x:row r="35" ht="15" hidden="0" customHeight="1">
      <x:c r="A35" s="29" t="str">
        <x:v>SCA-31</x:v>
      </x:c>
      <x:c r="B35" s="41" t="n">
        <x:v>14227128</x:v>
      </x:c>
      <x:c r="C35" s="47" t="n">
        <x:f>INDEX(Catchments!N:N,MATCH(A35,Catchments!A:A,0))</x:f>
        <x:v>147.133027408759</x:v>
      </x:c>
      <x:c r="D35" s="47" t="n">
        <x:f>SUMIF('Demand Allocation'!B:B,A35,'Demand Allocation'!F:F)</x:f>
        <x:v>98.523049800544</x:v>
      </x:c>
      <x:c r="E35" s="50" t="n">
        <x:f>MAX(0.25,PRODUCT('Receiver Survival'!E245:E252))</x:f>
        <x:v>0.6221215905276174</x:v>
      </x:c>
      <x:c r="F35" s="47" t="n">
        <x:f>C35*E35</x:f>
        <x:v>91.53463303068068</x:v>
      </x:c>
      <x:c r="G35" s="47" t="n">
        <x:f>MIN(D35,F35)</x:f>
        <x:v>91.53463303068068</x:v>
      </x:c>
      <x:c r="H35" s="47" t="n">
        <x:f>D35-G35</x:f>
        <x:v>6.988416769863321</x:v>
      </x:c>
      <x:c r="I35" s="47" t="n">
        <x:f>MAX(0,F35-G35)</x:f>
        <x:v>0</x:v>
      </x:c>
      <x:c r="J35" s="50" t="n">
        <x:f>IF(D35=0,1,G35/D35)</x:f>
        <x:v>0.929068205013841</x:v>
      </x:c>
    </x:row>
    <x:row r="36" ht="15" hidden="0" customHeight="1">
      <x:c r="A36" s="27" t="str">
        <x:v>SCA-32</x:v>
      </x:c>
      <x:c r="B36" s="40" t="n">
        <x:v>3184835</x:v>
      </x:c>
      <x:c r="C36" s="46" t="n">
        <x:f>INDEX(Catchments!N:N,MATCH(A36,Catchments!A:A,0))</x:f>
        <x:v>46.92401750513919</x:v>
      </x:c>
      <x:c r="D36" s="46" t="n">
        <x:f>SUMIF('Demand Allocation'!B:B,A36,'Demand Allocation'!F:F)</x:f>
        <x:v>0</x:v>
      </x:c>
      <x:c r="E36" s="49" t="n">
        <x:f>MAX(0.25,PRODUCT('Receiver Survival'!E253:E260))</x:f>
        <x:v>1</x:v>
      </x:c>
      <x:c r="F36" s="46" t="n">
        <x:f>C36*E36</x:f>
        <x:v>46.92401750513919</x:v>
      </x:c>
      <x:c r="G36" s="46" t="n">
        <x:f>MIN(D36,F36)</x:f>
        <x:v>0</x:v>
      </x:c>
      <x:c r="H36" s="46" t="n">
        <x:f>D36-G36</x:f>
        <x:v>0</x:v>
      </x:c>
      <x:c r="I36" s="46" t="n">
        <x:f>MAX(0,F36-G36)</x:f>
        <x:v>46.92401750513919</x:v>
      </x:c>
      <x:c r="J36" s="49" t="n">
        <x:f>IF(D36=0,1,G36/D36)</x:f>
        <x:v>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1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9" customHeight="1">
      <x:c r="A1" s="81" t="str">
        <x:v>Catchment surface adjacency</x:v>
      </x:c>
      <x:c r="B1" s="81"/>
      <x:c r="C1" s="81"/>
      <x:c r="D1" s="81"/>
      <x:c r="E1" s="81"/>
      <x:c r="F1" s="81"/>
    </x:row>
    <x:row r="2" ht="29" customHeight="1">
      <x:c r="A2" s="82" t="str">
        <x:v>County shared boundaries define a connected screening graph. Edge distances are centroid-based penalties, not road or rail measurements.</x:v>
      </x:c>
      <x:c r="B2" s="82"/>
      <x:c r="C2" s="82"/>
      <x:c r="D2" s="82"/>
      <x:c r="E2" s="82"/>
      <x:c r="F2" s="82"/>
    </x:row>
    <x:row r="3">
      <x:c r="A3" s="83"/>
      <x:c r="B3" s="83"/>
      <x:c r="C3" s="83"/>
      <x:c r="D3" s="83"/>
      <x:c r="E3" s="83"/>
      <x:c r="F3" s="83"/>
    </x:row>
    <x:row r="4" ht="31" customHeight="1">
      <x:c r="A4" s="84" t="str">
        <x:v>From SCA</x:v>
      </x:c>
      <x:c r="B4" s="85" t="str">
        <x:v>To SCA</x:v>
      </x:c>
      <x:c r="C4" s="85" t="str">
        <x:v>Screen distance km</x:v>
      </x:c>
      <x:c r="D4" s="85" t="str">
        <x:v>Observed basis</x:v>
      </x:c>
      <x:c r="E4" s="85" t="str">
        <x:v>Permitted use</x:v>
      </x:c>
      <x:c r="F4" s="86" t="str">
        <x:v>Prohibited use</x:v>
      </x:c>
    </x:row>
    <x:row r="5" ht="43.20000076293945" hidden="0" customHeight="1">
      <x:c r="A5" s="28" t="str">
        <x:v>SCA-03</x:v>
      </x:c>
      <x:c r="B5" s="28" t="str">
        <x:v>SCA-04</x:v>
      </x:c>
      <x:c r="C5" s="64" t="n">
        <x:v>1089.1382340922758</x:v>
      </x:c>
      <x:c r="D5" s="28" t="str">
        <x:v>2025 county adjacency</x:v>
      </x:c>
      <x:c r="E5" s="28" t="str">
        <x:v>surface reachability screen</x:v>
      </x:c>
      <x:c r="F5" s="28" t="str">
        <x:v>open or undamaged corridor claim</x:v>
      </x:c>
    </x:row>
    <x:row r="6" ht="43.20000076293945" hidden="0" customHeight="1">
      <x:c r="A6" s="27" t="str">
        <x:v>SCA-03</x:v>
      </x:c>
      <x:c r="B6" s="27" t="str">
        <x:v>SCA-08</x:v>
      </x:c>
      <x:c r="C6" s="65" t="n">
        <x:v>644.65487507251</x:v>
      </x:c>
      <x:c r="D6" s="27" t="str">
        <x:v>2025 county adjacency</x:v>
      </x:c>
      <x:c r="E6" s="27" t="str">
        <x:v>surface reachability screen</x:v>
      </x:c>
      <x:c r="F6" s="27" t="str">
        <x:v>open or undamaged corridor claim</x:v>
      </x:c>
    </x:row>
    <x:row r="7" ht="43.20000076293945" hidden="0" customHeight="1">
      <x:c r="A7" s="29" t="str">
        <x:v>SCA-04</x:v>
      </x:c>
      <x:c r="B7" s="29" t="str">
        <x:v>SCA-05</x:v>
      </x:c>
      <x:c r="C7" s="66" t="n">
        <x:v>589.3331503114186</x:v>
      </x:c>
      <x:c r="D7" s="29" t="str">
        <x:v>2025 county adjacency</x:v>
      </x:c>
      <x:c r="E7" s="29" t="str">
        <x:v>surface reachability screen</x:v>
      </x:c>
      <x:c r="F7" s="29" t="str">
        <x:v>open or undamaged corridor claim</x:v>
      </x:c>
    </x:row>
    <x:row r="8" ht="43.20000076293945" hidden="0" customHeight="1">
      <x:c r="A8" s="27" t="str">
        <x:v>SCA-04</x:v>
      </x:c>
      <x:c r="B8" s="27" t="str">
        <x:v>SCA-07</x:v>
      </x:c>
      <x:c r="C8" s="65" t="n">
        <x:v>700.6041866526447</x:v>
      </x:c>
      <x:c r="D8" s="27" t="str">
        <x:v>2025 county adjacency</x:v>
      </x:c>
      <x:c r="E8" s="27" t="str">
        <x:v>surface reachability screen</x:v>
      </x:c>
      <x:c r="F8" s="27" t="str">
        <x:v>open or undamaged corridor claim</x:v>
      </x:c>
    </x:row>
    <x:row r="9" ht="43.20000076293945" hidden="0" customHeight="1">
      <x:c r="A9" s="29" t="str">
        <x:v>SCA-04</x:v>
      </x:c>
      <x:c r="B9" s="29" t="str">
        <x:v>SCA-08</x:v>
      </x:c>
      <x:c r="C9" s="66" t="n">
        <x:v>1055.1636743112826</x:v>
      </x:c>
      <x:c r="D9" s="29" t="str">
        <x:v>2025 county adjacency</x:v>
      </x:c>
      <x:c r="E9" s="29" t="str">
        <x:v>surface reachability screen</x:v>
      </x:c>
      <x:c r="F9" s="29" t="str">
        <x:v>open or undamaged corridor claim</x:v>
      </x:c>
    </x:row>
    <x:row r="10" ht="43.20000076293945" hidden="0" customHeight="1">
      <x:c r="A10" s="27" t="str">
        <x:v>SCA-05</x:v>
      </x:c>
      <x:c r="B10" s="27" t="str">
        <x:v>SCA-06</x:v>
      </x:c>
      <x:c r="C10" s="65" t="n">
        <x:v>240.75737228012326</x:v>
      </x:c>
      <x:c r="D10" s="27" t="str">
        <x:v>2025 county adjacency</x:v>
      </x:c>
      <x:c r="E10" s="27" t="str">
        <x:v>surface reachability screen</x:v>
      </x:c>
      <x:c r="F10" s="27" t="str">
        <x:v>open or undamaged corridor claim</x:v>
      </x:c>
    </x:row>
    <x:row r="11" ht="43.20000076293945" hidden="0" customHeight="1">
      <x:c r="A11" s="29" t="str">
        <x:v>SCA-05</x:v>
      </x:c>
      <x:c r="B11" s="29" t="str">
        <x:v>SCA-07</x:v>
      </x:c>
      <x:c r="C11" s="66" t="n">
        <x:v>360.20109461621297</x:v>
      </x:c>
      <x:c r="D11" s="29" t="str">
        <x:v>2025 county adjacency</x:v>
      </x:c>
      <x:c r="E11" s="29" t="str">
        <x:v>surface reachability screen</x:v>
      </x:c>
      <x:c r="F11" s="29" t="str">
        <x:v>open or undamaged corridor claim</x:v>
      </x:c>
    </x:row>
    <x:row r="12" ht="43.20000076293945" hidden="0" customHeight="1">
      <x:c r="A12" s="27" t="str">
        <x:v>SCA-06</x:v>
      </x:c>
      <x:c r="B12" s="27" t="str">
        <x:v>SCA-07</x:v>
      </x:c>
      <x:c r="C12" s="65" t="n">
        <x:v>322.58414406801626</x:v>
      </x:c>
      <x:c r="D12" s="27" t="str">
        <x:v>2025 county adjacency</x:v>
      </x:c>
      <x:c r="E12" s="27" t="str">
        <x:v>surface reachability screen</x:v>
      </x:c>
      <x:c r="F12" s="27" t="str">
        <x:v>open or undamaged corridor claim</x:v>
      </x:c>
    </x:row>
    <x:row r="13" ht="43.20000076293945" hidden="0" customHeight="1">
      <x:c r="A13" s="29" t="str">
        <x:v>SCA-06</x:v>
      </x:c>
      <x:c r="B13" s="29" t="str">
        <x:v>SCA-09</x:v>
      </x:c>
      <x:c r="C13" s="66" t="n">
        <x:v>449.719451761831</x:v>
      </x:c>
      <x:c r="D13" s="29" t="str">
        <x:v>2025 county adjacency</x:v>
      </x:c>
      <x:c r="E13" s="29" t="str">
        <x:v>surface reachability screen</x:v>
      </x:c>
      <x:c r="F13" s="29" t="str">
        <x:v>open or undamaged corridor claim</x:v>
      </x:c>
    </x:row>
    <x:row r="14" ht="43.20000076293945" hidden="0" customHeight="1">
      <x:c r="A14" s="27" t="str">
        <x:v>SCA-07</x:v>
      </x:c>
      <x:c r="B14" s="27" t="str">
        <x:v>SCA-08</x:v>
      </x:c>
      <x:c r="C14" s="65" t="n">
        <x:v>1154.381024963696</x:v>
      </x:c>
      <x:c r="D14" s="27" t="str">
        <x:v>2025 county adjacency</x:v>
      </x:c>
      <x:c r="E14" s="27" t="str">
        <x:v>surface reachability screen</x:v>
      </x:c>
      <x:c r="F14" s="27" t="str">
        <x:v>open or undamaged corridor claim</x:v>
      </x:c>
    </x:row>
    <x:row r="15" ht="43.20000076293945" hidden="0" customHeight="1">
      <x:c r="A15" s="29" t="str">
        <x:v>SCA-07</x:v>
      </x:c>
      <x:c r="B15" s="29" t="str">
        <x:v>SCA-09</x:v>
      </x:c>
      <x:c r="C15" s="66" t="n">
        <x:v>462.13619267402527</x:v>
      </x:c>
      <x:c r="D15" s="29" t="str">
        <x:v>2025 county adjacency</x:v>
      </x:c>
      <x:c r="E15" s="29" t="str">
        <x:v>surface reachability screen</x:v>
      </x:c>
      <x:c r="F15" s="29" t="str">
        <x:v>open or undamaged corridor claim</x:v>
      </x:c>
    </x:row>
    <x:row r="16" ht="43.20000076293945" hidden="0" customHeight="1">
      <x:c r="A16" s="27" t="str">
        <x:v>SCA-07</x:v>
      </x:c>
      <x:c r="B16" s="27" t="str">
        <x:v>SCA-10</x:v>
      </x:c>
      <x:c r="C16" s="65" t="n">
        <x:v>814.1993026094544</x:v>
      </x:c>
      <x:c r="D16" s="27" t="str">
        <x:v>2025 county adjacency</x:v>
      </x:c>
      <x:c r="E16" s="27" t="str">
        <x:v>surface reachability screen</x:v>
      </x:c>
      <x:c r="F16" s="27" t="str">
        <x:v>open or undamaged corridor claim</x:v>
      </x:c>
    </x:row>
    <x:row r="17" ht="43.20000076293945" hidden="0" customHeight="1">
      <x:c r="A17" s="29" t="str">
        <x:v>SCA-08</x:v>
      </x:c>
      <x:c r="B17" s="29" t="str">
        <x:v>SCA-10</x:v>
      </x:c>
      <x:c r="C17" s="66" t="n">
        <x:v>556.5297166239362</x:v>
      </x:c>
      <x:c r="D17" s="29" t="str">
        <x:v>2025 county adjacency</x:v>
      </x:c>
      <x:c r="E17" s="29" t="str">
        <x:v>surface reachability screen</x:v>
      </x:c>
      <x:c r="F17" s="29" t="str">
        <x:v>open or undamaged corridor claim</x:v>
      </x:c>
    </x:row>
    <x:row r="18" ht="43.20000076293945" hidden="0" customHeight="1">
      <x:c r="A18" s="27" t="str">
        <x:v>SCA-08</x:v>
      </x:c>
      <x:c r="B18" s="27" t="str">
        <x:v>SCA-12</x:v>
      </x:c>
      <x:c r="C18" s="65" t="n">
        <x:v>1171.8343946623772</x:v>
      </x:c>
      <x:c r="D18" s="27" t="str">
        <x:v>2025 county adjacency</x:v>
      </x:c>
      <x:c r="E18" s="27" t="str">
        <x:v>surface reachability screen</x:v>
      </x:c>
      <x:c r="F18" s="27" t="str">
        <x:v>open or undamaged corridor claim</x:v>
      </x:c>
    </x:row>
    <x:row r="19" ht="43.20000076293945" hidden="0" customHeight="1">
      <x:c r="A19" s="29" t="str">
        <x:v>SCA-08</x:v>
      </x:c>
      <x:c r="B19" s="29" t="str">
        <x:v>SCA-18</x:v>
      </x:c>
      <x:c r="C19" s="66" t="n">
        <x:v>1903.9325673959372</x:v>
      </x:c>
      <x:c r="D19" s="29" t="str">
        <x:v>2025 county adjacency</x:v>
      </x:c>
      <x:c r="E19" s="29" t="str">
        <x:v>surface reachability screen</x:v>
      </x:c>
      <x:c r="F19" s="29" t="str">
        <x:v>open or undamaged corridor claim</x:v>
      </x:c>
    </x:row>
    <x:row r="20" ht="43.20000076293945" hidden="0" customHeight="1">
      <x:c r="A20" s="27" t="str">
        <x:v>SCA-09</x:v>
      </x:c>
      <x:c r="B20" s="27" t="str">
        <x:v>SCA-10</x:v>
      </x:c>
      <x:c r="C20" s="65" t="n">
        <x:v>1029.8175444495755</x:v>
      </x:c>
      <x:c r="D20" s="27" t="str">
        <x:v>2025 county adjacency</x:v>
      </x:c>
      <x:c r="E20" s="27" t="str">
        <x:v>surface reachability screen</x:v>
      </x:c>
      <x:c r="F20" s="27" t="str">
        <x:v>open or undamaged corridor claim</x:v>
      </x:c>
    </x:row>
    <x:row r="21" ht="43.20000076293945" hidden="0" customHeight="1">
      <x:c r="A21" s="29" t="str">
        <x:v>SCA-09</x:v>
      </x:c>
      <x:c r="B21" s="29" t="str">
        <x:v>SCA-11</x:v>
      </x:c>
      <x:c r="C21" s="66" t="n">
        <x:v>751.7523514696105</x:v>
      </x:c>
      <x:c r="D21" s="29" t="str">
        <x:v>2025 county adjacency</x:v>
      </x:c>
      <x:c r="E21" s="29" t="str">
        <x:v>surface reachability screen</x:v>
      </x:c>
      <x:c r="F21" s="29" t="str">
        <x:v>open or undamaged corridor claim</x:v>
      </x:c>
    </x:row>
    <x:row r="22" ht="43.20000076293945" hidden="0" customHeight="1">
      <x:c r="A22" s="27" t="str">
        <x:v>SCA-09</x:v>
      </x:c>
      <x:c r="B22" s="27" t="str">
        <x:v>SCA-12</x:v>
      </x:c>
      <x:c r="C22" s="65" t="n">
        <x:v>1096.0763414588143</x:v>
      </x:c>
      <x:c r="D22" s="27" t="str">
        <x:v>2025 county adjacency</x:v>
      </x:c>
      <x:c r="E22" s="27" t="str">
        <x:v>surface reachability screen</x:v>
      </x:c>
      <x:c r="F22" s="27" t="str">
        <x:v>open or undamaged corridor claim</x:v>
      </x:c>
    </x:row>
    <x:row r="23" ht="43.20000076293945" hidden="0" customHeight="1">
      <x:c r="A23" s="29" t="str">
        <x:v>SCA-10</x:v>
      </x:c>
      <x:c r="B23" s="29" t="str">
        <x:v>SCA-12</x:v>
      </x:c>
      <x:c r="C23" s="66" t="n">
        <x:v>676.2579622464422</x:v>
      </x:c>
      <x:c r="D23" s="29" t="str">
        <x:v>2025 county adjacency</x:v>
      </x:c>
      <x:c r="E23" s="29" t="str">
        <x:v>surface reachability screen</x:v>
      </x:c>
      <x:c r="F23" s="29" t="str">
        <x:v>open or undamaged corridor claim</x:v>
      </x:c>
    </x:row>
    <x:row r="24" ht="43.20000076293945" hidden="0" customHeight="1">
      <x:c r="A24" s="27" t="str">
        <x:v>SCA-11</x:v>
      </x:c>
      <x:c r="B24" s="27" t="str">
        <x:v>SCA-12</x:v>
      </x:c>
      <x:c r="C24" s="65" t="n">
        <x:v>800.139186020009</x:v>
      </x:c>
      <x:c r="D24" s="27" t="str">
        <x:v>2025 county adjacency</x:v>
      </x:c>
      <x:c r="E24" s="27" t="str">
        <x:v>surface reachability screen</x:v>
      </x:c>
      <x:c r="F24" s="27" t="str">
        <x:v>open or undamaged corridor claim</x:v>
      </x:c>
    </x:row>
    <x:row r="25" ht="43.20000076293945" hidden="0" customHeight="1">
      <x:c r="A25" s="29" t="str">
        <x:v>SCA-11</x:v>
      </x:c>
      <x:c r="B25" s="29" t="str">
        <x:v>SCA-13</x:v>
      </x:c>
      <x:c r="C25" s="66" t="n">
        <x:v>868.5507251076488</x:v>
      </x:c>
      <x:c r="D25" s="29" t="str">
        <x:v>2025 county adjacency</x:v>
      </x:c>
      <x:c r="E25" s="29" t="str">
        <x:v>surface reachability screen</x:v>
      </x:c>
      <x:c r="F25" s="29" t="str">
        <x:v>open or undamaged corridor claim</x:v>
      </x:c>
    </x:row>
    <x:row r="26" ht="43.20000076293945" hidden="0" customHeight="1">
      <x:c r="A26" s="27" t="str">
        <x:v>SCA-11</x:v>
      </x:c>
      <x:c r="B26" s="27" t="str">
        <x:v>SCA-15</x:v>
      </x:c>
      <x:c r="C26" s="65" t="n">
        <x:v>905.3776684644371</x:v>
      </x:c>
      <x:c r="D26" s="27" t="str">
        <x:v>2025 county adjacency</x:v>
      </x:c>
      <x:c r="E26" s="27" t="str">
        <x:v>surface reachability screen</x:v>
      </x:c>
      <x:c r="F26" s="27" t="str">
        <x:v>open or undamaged corridor claim</x:v>
      </x:c>
    </x:row>
    <x:row r="27" ht="43.20000076293945" hidden="0" customHeight="1">
      <x:c r="A27" s="29" t="str">
        <x:v>SCA-12</x:v>
      </x:c>
      <x:c r="B27" s="29" t="str">
        <x:v>SCA-15</x:v>
      </x:c>
      <x:c r="C27" s="66" t="n">
        <x:v>1175.6494045863742</x:v>
      </x:c>
      <x:c r="D27" s="29" t="str">
        <x:v>2025 county adjacency</x:v>
      </x:c>
      <x:c r="E27" s="29" t="str">
        <x:v>surface reachability screen</x:v>
      </x:c>
      <x:c r="F27" s="29" t="str">
        <x:v>open or undamaged corridor claim</x:v>
      </x:c>
    </x:row>
    <x:row r="28" ht="43.20000076293945" hidden="0" customHeight="1">
      <x:c r="A28" s="27" t="str">
        <x:v>SCA-12</x:v>
      </x:c>
      <x:c r="B28" s="27" t="str">
        <x:v>SCA-16</x:v>
      </x:c>
      <x:c r="C28" s="65" t="n">
        <x:v>892.117241993101</x:v>
      </x:c>
      <x:c r="D28" s="27" t="str">
        <x:v>2025 county adjacency</x:v>
      </x:c>
      <x:c r="E28" s="27" t="str">
        <x:v>surface reachability screen</x:v>
      </x:c>
      <x:c r="F28" s="27" t="str">
        <x:v>open or undamaged corridor claim</x:v>
      </x:c>
    </x:row>
    <x:row r="29" ht="43.20000076293945" hidden="0" customHeight="1">
      <x:c r="A29" s="29" t="str">
        <x:v>SCA-12</x:v>
      </x:c>
      <x:c r="B29" s="29" t="str">
        <x:v>SCA-18</x:v>
      </x:c>
      <x:c r="C29" s="66" t="n">
        <x:v>1231.454291671457</x:v>
      </x:c>
      <x:c r="D29" s="29" t="str">
        <x:v>2025 county adjacency</x:v>
      </x:c>
      <x:c r="E29" s="29" t="str">
        <x:v>surface reachability screen</x:v>
      </x:c>
      <x:c r="F29" s="29" t="str">
        <x:v>open or undamaged corridor claim</x:v>
      </x:c>
    </x:row>
    <x:row r="30" ht="43.20000076293945" hidden="0" customHeight="1">
      <x:c r="A30" s="27" t="str">
        <x:v>SCA-13</x:v>
      </x:c>
      <x:c r="B30" s="27" t="str">
        <x:v>SCA-14</x:v>
      </x:c>
      <x:c r="C30" s="65" t="n">
        <x:v>403.56481372711147</x:v>
      </x:c>
      <x:c r="D30" s="27" t="str">
        <x:v>2025 county adjacency</x:v>
      </x:c>
      <x:c r="E30" s="27" t="str">
        <x:v>surface reachability screen</x:v>
      </x:c>
      <x:c r="F30" s="27" t="str">
        <x:v>open or undamaged corridor claim</x:v>
      </x:c>
    </x:row>
    <x:row r="31" ht="43.20000076293945" hidden="0" customHeight="1">
      <x:c r="A31" s="29" t="str">
        <x:v>SCA-13</x:v>
      </x:c>
      <x:c r="B31" s="29" t="str">
        <x:v>SCA-15</x:v>
      </x:c>
      <x:c r="C31" s="66" t="n">
        <x:v>422.83260134913814</x:v>
      </x:c>
      <x:c r="D31" s="29" t="str">
        <x:v>2025 county adjacency</x:v>
      </x:c>
      <x:c r="E31" s="29" t="str">
        <x:v>surface reachability screen</x:v>
      </x:c>
      <x:c r="F31" s="29" t="str">
        <x:v>open or undamaged corridor claim</x:v>
      </x:c>
    </x:row>
    <x:row r="32" ht="43.20000076293945" hidden="0" customHeight="1">
      <x:c r="A32" s="27" t="str">
        <x:v>SCA-13</x:v>
      </x:c>
      <x:c r="B32" s="27" t="str">
        <x:v>SCA-17</x:v>
      </x:c>
      <x:c r="C32" s="65" t="n">
        <x:v>432.3356409454717</x:v>
      </x:c>
      <x:c r="D32" s="27" t="str">
        <x:v>2025 county adjacency</x:v>
      </x:c>
      <x:c r="E32" s="27" t="str">
        <x:v>surface reachability screen</x:v>
      </x:c>
      <x:c r="F32" s="27" t="str">
        <x:v>open or undamaged corridor claim</x:v>
      </x:c>
    </x:row>
    <x:row r="33" ht="43.20000076293945" hidden="0" customHeight="1">
      <x:c r="A33" s="29" t="str">
        <x:v>SCA-15</x:v>
      </x:c>
      <x:c r="B33" s="29" t="str">
        <x:v>SCA-16</x:v>
      </x:c>
      <x:c r="C33" s="66" t="n">
        <x:v>650.0266869489054</x:v>
      </x:c>
      <x:c r="D33" s="29" t="str">
        <x:v>2025 county adjacency</x:v>
      </x:c>
      <x:c r="E33" s="29" t="str">
        <x:v>surface reachability screen</x:v>
      </x:c>
      <x:c r="F33" s="29" t="str">
        <x:v>open or undamaged corridor claim</x:v>
      </x:c>
    </x:row>
    <x:row r="34" ht="43.20000076293945" hidden="0" customHeight="1">
      <x:c r="A34" s="27" t="str">
        <x:v>SCA-15</x:v>
      </x:c>
      <x:c r="B34" s="27" t="str">
        <x:v>SCA-17</x:v>
      </x:c>
      <x:c r="C34" s="65" t="n">
        <x:v>468.812392822971</x:v>
      </x:c>
      <x:c r="D34" s="27" t="str">
        <x:v>2025 county adjacency</x:v>
      </x:c>
      <x:c r="E34" s="27" t="str">
        <x:v>surface reachability screen</x:v>
      </x:c>
      <x:c r="F34" s="27" t="str">
        <x:v>open or undamaged corridor claim</x:v>
      </x:c>
    </x:row>
    <x:row r="35" ht="43.20000076293945" hidden="0" customHeight="1">
      <x:c r="A35" s="29" t="str">
        <x:v>SCA-15</x:v>
      </x:c>
      <x:c r="B35" s="29" t="str">
        <x:v>SCA-20</x:v>
      </x:c>
      <x:c r="C35" s="66" t="n">
        <x:v>722.9933446804496</x:v>
      </x:c>
      <x:c r="D35" s="29" t="str">
        <x:v>2025 county adjacency</x:v>
      </x:c>
      <x:c r="E35" s="29" t="str">
        <x:v>surface reachability screen</x:v>
      </x:c>
      <x:c r="F35" s="29" t="str">
        <x:v>open or undamaged corridor claim</x:v>
      </x:c>
    </x:row>
    <x:row r="36" ht="43.20000076293945" hidden="0" customHeight="1">
      <x:c r="A36" s="27" t="str">
        <x:v>SCA-16</x:v>
      </x:c>
      <x:c r="B36" s="27" t="str">
        <x:v>SCA-18</x:v>
      </x:c>
      <x:c r="C36" s="65" t="n">
        <x:v>871.6972650281631</x:v>
      </x:c>
      <x:c r="D36" s="27" t="str">
        <x:v>2025 county adjacency</x:v>
      </x:c>
      <x:c r="E36" s="27" t="str">
        <x:v>surface reachability screen</x:v>
      </x:c>
      <x:c r="F36" s="27" t="str">
        <x:v>open or undamaged corridor claim</x:v>
      </x:c>
    </x:row>
    <x:row r="37" ht="43.20000076293945" hidden="0" customHeight="1">
      <x:c r="A37" s="29" t="str">
        <x:v>SCA-16</x:v>
      </x:c>
      <x:c r="B37" s="29" t="str">
        <x:v>SCA-19</x:v>
      </x:c>
      <x:c r="C37" s="66" t="n">
        <x:v>521.4851739290159</x:v>
      </x:c>
      <x:c r="D37" s="29" t="str">
        <x:v>2025 county adjacency</x:v>
      </x:c>
      <x:c r="E37" s="29" t="str">
        <x:v>surface reachability screen</x:v>
      </x:c>
      <x:c r="F37" s="29" t="str">
        <x:v>open or undamaged corridor claim</x:v>
      </x:c>
    </x:row>
    <x:row r="38" ht="43.20000076293945" hidden="0" customHeight="1">
      <x:c r="A38" s="27" t="str">
        <x:v>SCA-16</x:v>
      </x:c>
      <x:c r="B38" s="27" t="str">
        <x:v>SCA-20</x:v>
      </x:c>
      <x:c r="C38" s="65" t="n">
        <x:v>809.125688550762</x:v>
      </x:c>
      <x:c r="D38" s="27" t="str">
        <x:v>2025 county adjacency</x:v>
      </x:c>
      <x:c r="E38" s="27" t="str">
        <x:v>surface reachability screen</x:v>
      </x:c>
      <x:c r="F38" s="27" t="str">
        <x:v>open or undamaged corridor claim</x:v>
      </x:c>
    </x:row>
    <x:row r="39" ht="43.20000076293945" hidden="0" customHeight="1">
      <x:c r="A39" s="29" t="str">
        <x:v>SCA-17</x:v>
      </x:c>
      <x:c r="B39" s="29" t="str">
        <x:v>SCA-20</x:v>
      </x:c>
      <x:c r="C39" s="66" t="n">
        <x:v>690.2900245636336</x:v>
      </x:c>
      <x:c r="D39" s="29" t="str">
        <x:v>2025 county adjacency</x:v>
      </x:c>
      <x:c r="E39" s="29" t="str">
        <x:v>surface reachability screen</x:v>
      </x:c>
      <x:c r="F39" s="29" t="str">
        <x:v>open or undamaged corridor claim</x:v>
      </x:c>
    </x:row>
    <x:row r="40" ht="43.20000076293945" hidden="0" customHeight="1">
      <x:c r="A40" s="27" t="str">
        <x:v>SCA-18</x:v>
      </x:c>
      <x:c r="B40" s="27" t="str">
        <x:v>SCA-19</x:v>
      </x:c>
      <x:c r="C40" s="65" t="n">
        <x:v>819.8756982586646</x:v>
      </x:c>
      <x:c r="D40" s="27" t="str">
        <x:v>2025 county adjacency</x:v>
      </x:c>
      <x:c r="E40" s="27" t="str">
        <x:v>surface reachability screen</x:v>
      </x:c>
      <x:c r="F40" s="27" t="str">
        <x:v>open or undamaged corridor claim</x:v>
      </x:c>
    </x:row>
    <x:row r="41" ht="43.20000076293945" hidden="0" customHeight="1">
      <x:c r="A41" s="29" t="str">
        <x:v>SCA-18</x:v>
      </x:c>
      <x:c r="B41" s="29" t="str">
        <x:v>SCA-21</x:v>
      </x:c>
      <x:c r="C41" s="66" t="n">
        <x:v>641.6015461058649</x:v>
      </x:c>
      <x:c r="D41" s="29" t="str">
        <x:v>2025 county adjacency</x:v>
      </x:c>
      <x:c r="E41" s="29" t="str">
        <x:v>surface reachability screen</x:v>
      </x:c>
      <x:c r="F41" s="29" t="str">
        <x:v>open or undamaged corridor claim</x:v>
      </x:c>
    </x:row>
    <x:row r="42" ht="43.20000076293945" hidden="0" customHeight="1">
      <x:c r="A42" s="27" t="str">
        <x:v>SCA-19</x:v>
      </x:c>
      <x:c r="B42" s="27" t="str">
        <x:v>SCA-20</x:v>
      </x:c>
      <x:c r="C42" s="65" t="n">
        <x:v>601.5460798157927</x:v>
      </x:c>
      <x:c r="D42" s="27" t="str">
        <x:v>2025 county adjacency</x:v>
      </x:c>
      <x:c r="E42" s="27" t="str">
        <x:v>surface reachability screen</x:v>
      </x:c>
      <x:c r="F42" s="27" t="str">
        <x:v>open or undamaged corridor claim</x:v>
      </x:c>
    </x:row>
    <x:row r="43" ht="43.20000076293945" hidden="0" customHeight="1">
      <x:c r="A43" s="29" t="str">
        <x:v>SCA-19</x:v>
      </x:c>
      <x:c r="B43" s="29" t="str">
        <x:v>SCA-21</x:v>
      </x:c>
      <x:c r="C43" s="66" t="n">
        <x:v>525.5273611751038</x:v>
      </x:c>
      <x:c r="D43" s="29" t="str">
        <x:v>2025 county adjacency</x:v>
      </x:c>
      <x:c r="E43" s="29" t="str">
        <x:v>surface reachability screen</x:v>
      </x:c>
      <x:c r="F43" s="29" t="str">
        <x:v>open or undamaged corridor claim</x:v>
      </x:c>
    </x:row>
    <x:row r="44" ht="43.20000076293945" hidden="0" customHeight="1">
      <x:c r="A44" s="27" t="str">
        <x:v>SCA-19</x:v>
      </x:c>
      <x:c r="B44" s="27" t="str">
        <x:v>SCA-22</x:v>
      </x:c>
      <x:c r="C44" s="65" t="n">
        <x:v>557.5826308603289</x:v>
      </x:c>
      <x:c r="D44" s="27" t="str">
        <x:v>2025 county adjacency</x:v>
      </x:c>
      <x:c r="E44" s="27" t="str">
        <x:v>surface reachability screen</x:v>
      </x:c>
      <x:c r="F44" s="27" t="str">
        <x:v>open or undamaged corridor claim</x:v>
      </x:c>
    </x:row>
    <x:row r="45" ht="43.20000076293945" hidden="0" customHeight="1">
      <x:c r="A45" s="29" t="str">
        <x:v>SCA-20</x:v>
      </x:c>
      <x:c r="B45" s="29" t="str">
        <x:v>SCA-22</x:v>
      </x:c>
      <x:c r="C45" s="66" t="n">
        <x:v>729.489881041236</x:v>
      </x:c>
      <x:c r="D45" s="29" t="str">
        <x:v>2025 county adjacency</x:v>
      </x:c>
      <x:c r="E45" s="29" t="str">
        <x:v>surface reachability screen</x:v>
      </x:c>
      <x:c r="F45" s="29" t="str">
        <x:v>open or undamaged corridor claim</x:v>
      </x:c>
    </x:row>
    <x:row r="46" ht="43.20000076293945" hidden="0" customHeight="1">
      <x:c r="A46" s="27" t="str">
        <x:v>SCA-20</x:v>
      </x:c>
      <x:c r="B46" s="27" t="str">
        <x:v>SCA-23</x:v>
      </x:c>
      <x:c r="C46" s="65" t="n">
        <x:v>579.4989938491954</x:v>
      </x:c>
      <x:c r="D46" s="27" t="str">
        <x:v>2025 county adjacency</x:v>
      </x:c>
      <x:c r="E46" s="27" t="str">
        <x:v>surface reachability screen</x:v>
      </x:c>
      <x:c r="F46" s="27" t="str">
        <x:v>open or undamaged corridor claim</x:v>
      </x:c>
    </x:row>
    <x:row r="47" ht="43.20000076293945" hidden="0" customHeight="1">
      <x:c r="A47" s="29" t="str">
        <x:v>SCA-21</x:v>
      </x:c>
      <x:c r="B47" s="29" t="str">
        <x:v>SCA-22</x:v>
      </x:c>
      <x:c r="C47" s="66" t="n">
        <x:v>549.329737241581</x:v>
      </x:c>
      <x:c r="D47" s="29" t="str">
        <x:v>2025 county adjacency</x:v>
      </x:c>
      <x:c r="E47" s="29" t="str">
        <x:v>surface reachability screen</x:v>
      </x:c>
      <x:c r="F47" s="29" t="str">
        <x:v>open or undamaged corridor claim</x:v>
      </x:c>
    </x:row>
    <x:row r="48" ht="43.20000076293945" hidden="0" customHeight="1">
      <x:c r="A48" s="27" t="str">
        <x:v>SCA-21</x:v>
      </x:c>
      <x:c r="B48" s="27" t="str">
        <x:v>SCA-24</x:v>
      </x:c>
      <x:c r="C48" s="65" t="n">
        <x:v>397.24005316303743</x:v>
      </x:c>
      <x:c r="D48" s="27" t="str">
        <x:v>2025 county adjacency</x:v>
      </x:c>
      <x:c r="E48" s="27" t="str">
        <x:v>surface reachability screen</x:v>
      </x:c>
      <x:c r="F48" s="27" t="str">
        <x:v>open or undamaged corridor claim</x:v>
      </x:c>
    </x:row>
    <x:row r="49" ht="43.20000076293945" hidden="0" customHeight="1">
      <x:c r="A49" s="29" t="str">
        <x:v>SCA-22</x:v>
      </x:c>
      <x:c r="B49" s="29" t="str">
        <x:v>SCA-23</x:v>
      </x:c>
      <x:c r="C49" s="66" t="n">
        <x:v>588.9128931834357</x:v>
      </x:c>
      <x:c r="D49" s="29" t="str">
        <x:v>2025 county adjacency</x:v>
      </x:c>
      <x:c r="E49" s="29" t="str">
        <x:v>surface reachability screen</x:v>
      </x:c>
      <x:c r="F49" s="29" t="str">
        <x:v>open or undamaged corridor claim</x:v>
      </x:c>
    </x:row>
    <x:row r="50" ht="43.20000076293945" hidden="0" customHeight="1">
      <x:c r="A50" s="27" t="str">
        <x:v>SCA-22</x:v>
      </x:c>
      <x:c r="B50" s="27" t="str">
        <x:v>SCA-24</x:v>
      </x:c>
      <x:c r="C50" s="65" t="n">
        <x:v>535.8124778138437</x:v>
      </x:c>
      <x:c r="D50" s="27" t="str">
        <x:v>2025 county adjacency</x:v>
      </x:c>
      <x:c r="E50" s="27" t="str">
        <x:v>surface reachability screen</x:v>
      </x:c>
      <x:c r="F50" s="27" t="str">
        <x:v>open or undamaged corridor claim</x:v>
      </x:c>
    </x:row>
    <x:row r="51" ht="43.20000076293945" hidden="0" customHeight="1">
      <x:c r="A51" s="29" t="str">
        <x:v>SCA-22</x:v>
      </x:c>
      <x:c r="B51" s="29" t="str">
        <x:v>SCA-28</x:v>
      </x:c>
      <x:c r="C51" s="66" t="n">
        <x:v>644.6549752643382</x:v>
      </x:c>
      <x:c r="D51" s="29" t="str">
        <x:v>2025 county adjacency</x:v>
      </x:c>
      <x:c r="E51" s="29" t="str">
        <x:v>surface reachability screen</x:v>
      </x:c>
      <x:c r="F51" s="29" t="str">
        <x:v>open or undamaged corridor claim</x:v>
      </x:c>
    </x:row>
    <x:row r="52" ht="43.20000076293945" hidden="0" customHeight="1">
      <x:c r="A52" s="27" t="str">
        <x:v>SCA-22</x:v>
      </x:c>
      <x:c r="B52" s="27" t="str">
        <x:v>SCA-29</x:v>
      </x:c>
      <x:c r="C52" s="65" t="n">
        <x:v>717.5425247141446</x:v>
      </x:c>
      <x:c r="D52" s="27" t="str">
        <x:v>2025 county adjacency</x:v>
      </x:c>
      <x:c r="E52" s="27" t="str">
        <x:v>surface reachability screen</x:v>
      </x:c>
      <x:c r="F52" s="27" t="str">
        <x:v>open or undamaged corridor claim</x:v>
      </x:c>
    </x:row>
    <x:row r="53" ht="43.20000076293945" hidden="0" customHeight="1">
      <x:c r="A53" s="29" t="str">
        <x:v>SCA-23</x:v>
      </x:c>
      <x:c r="B53" s="29" t="str">
        <x:v>SCA-25</x:v>
      </x:c>
      <x:c r="C53" s="66" t="n">
        <x:v>494.58417991943935</x:v>
      </x:c>
      <x:c r="D53" s="29" t="str">
        <x:v>2025 county adjacency</x:v>
      </x:c>
      <x:c r="E53" s="29" t="str">
        <x:v>surface reachability screen</x:v>
      </x:c>
      <x:c r="F53" s="29" t="str">
        <x:v>open or undamaged corridor claim</x:v>
      </x:c>
    </x:row>
    <x:row r="54" ht="43.20000076293945" hidden="0" customHeight="1">
      <x:c r="A54" s="27" t="str">
        <x:v>SCA-23</x:v>
      </x:c>
      <x:c r="B54" s="27" t="str">
        <x:v>SCA-29</x:v>
      </x:c>
      <x:c r="C54" s="65" t="n">
        <x:v>635.454949023049</x:v>
      </x:c>
      <x:c r="D54" s="27" t="str">
        <x:v>2025 county adjacency</x:v>
      </x:c>
      <x:c r="E54" s="27" t="str">
        <x:v>surface reachability screen</x:v>
      </x:c>
      <x:c r="F54" s="27" t="str">
        <x:v>open or undamaged corridor claim</x:v>
      </x:c>
    </x:row>
    <x:row r="55" ht="43.20000076293945" hidden="0" customHeight="1">
      <x:c r="A55" s="29" t="str">
        <x:v>SCA-24</x:v>
      </x:c>
      <x:c r="B55" s="29" t="str">
        <x:v>SCA-28</x:v>
      </x:c>
      <x:c r="C55" s="66" t="n">
        <x:v>495.8154965586643</x:v>
      </x:c>
      <x:c r="D55" s="29" t="str">
        <x:v>2025 county adjacency</x:v>
      </x:c>
      <x:c r="E55" s="29" t="str">
        <x:v>surface reachability screen</x:v>
      </x:c>
      <x:c r="F55" s="29" t="str">
        <x:v>open or undamaged corridor claim</x:v>
      </x:c>
    </x:row>
    <x:row r="56" ht="43.20000076293945" hidden="0" customHeight="1">
      <x:c r="A56" s="27" t="str">
        <x:v>SCA-25</x:v>
      </x:c>
      <x:c r="B56" s="27" t="str">
        <x:v>SCA-26</x:v>
      </x:c>
      <x:c r="C56" s="65" t="n">
        <x:v>328.49945576482247</x:v>
      </x:c>
      <x:c r="D56" s="27" t="str">
        <x:v>2025 county adjacency</x:v>
      </x:c>
      <x:c r="E56" s="27" t="str">
        <x:v>surface reachability screen</x:v>
      </x:c>
      <x:c r="F56" s="27" t="str">
        <x:v>open or undamaged corridor claim</x:v>
      </x:c>
    </x:row>
    <x:row r="57" ht="43.20000076293945" hidden="0" customHeight="1">
      <x:c r="A57" s="29" t="str">
        <x:v>SCA-25</x:v>
      </x:c>
      <x:c r="B57" s="29" t="str">
        <x:v>SCA-29</x:v>
      </x:c>
      <x:c r="C57" s="66" t="n">
        <x:v>752.6041945304078</x:v>
      </x:c>
      <x:c r="D57" s="29" t="str">
        <x:v>2025 county adjacency</x:v>
      </x:c>
      <x:c r="E57" s="29" t="str">
        <x:v>surface reachability screen</x:v>
      </x:c>
      <x:c r="F57" s="29" t="str">
        <x:v>open or undamaged corridor claim</x:v>
      </x:c>
    </x:row>
    <x:row r="58" ht="43.20000076293945" hidden="0" customHeight="1">
      <x:c r="A58" s="27" t="str">
        <x:v>SCA-26</x:v>
      </x:c>
      <x:c r="B58" s="27" t="str">
        <x:v>SCA-27</x:v>
      </x:c>
      <x:c r="C58" s="65" t="n">
        <x:v>279.62826411954865</x:v>
      </x:c>
      <x:c r="D58" s="27" t="str">
        <x:v>2025 county adjacency</x:v>
      </x:c>
      <x:c r="E58" s="27" t="str">
        <x:v>surface reachability screen</x:v>
      </x:c>
      <x:c r="F58" s="27" t="str">
        <x:v>open or undamaged corridor claim</x:v>
      </x:c>
    </x:row>
    <x:row r="59" ht="43.20000076293945" hidden="0" customHeight="1">
      <x:c r="A59" s="29" t="str">
        <x:v>SCA-28</x:v>
      </x:c>
      <x:c r="B59" s="29" t="str">
        <x:v>SCA-29</x:v>
      </x:c>
      <x:c r="C59" s="66" t="n">
        <x:v>576.2552915773059</x:v>
      </x:c>
      <x:c r="D59" s="29" t="str">
        <x:v>2025 county adjacency</x:v>
      </x:c>
      <x:c r="E59" s="29" t="str">
        <x:v>surface reachability screen</x:v>
      </x:c>
      <x:c r="F59" s="29" t="str">
        <x:v>open or undamaged corridor claim</x:v>
      </x:c>
    </x:row>
    <x:row r="60" ht="43.20000076293945" hidden="0" customHeight="1">
      <x:c r="A60" s="27" t="str">
        <x:v>SCA-28</x:v>
      </x:c>
      <x:c r="B60" s="27" t="str">
        <x:v>SCA-30</x:v>
      </x:c>
      <x:c r="C60" s="65" t="n">
        <x:v>463.56371593124004</x:v>
      </x:c>
      <x:c r="D60" s="27" t="str">
        <x:v>2025 county adjacency</x:v>
      </x:c>
      <x:c r="E60" s="27" t="str">
        <x:v>surface reachability screen</x:v>
      </x:c>
      <x:c r="F60" s="27" t="str">
        <x:v>open or undamaged corridor claim</x:v>
      </x:c>
    </x:row>
    <x:row r="61" ht="43.20000076293945" hidden="0" customHeight="1">
      <x:c r="A61" s="29" t="str">
        <x:v>SCA-29</x:v>
      </x:c>
      <x:c r="B61" s="29" t="str">
        <x:v>SCA-30</x:v>
      </x:c>
      <x:c r="C61" s="66" t="n">
        <x:v>751.0293219451112</x:v>
      </x:c>
      <x:c r="D61" s="29" t="str">
        <x:v>2025 county adjacency</x:v>
      </x:c>
      <x:c r="E61" s="29" t="str">
        <x:v>surface reachability screen</x:v>
      </x:c>
      <x:c r="F61" s="29" t="str">
        <x:v>open or undamaged corridor claim</x:v>
      </x:c>
    </x:row>
    <x:row r="62" ht="43.20000076293945" hidden="0" customHeight="1">
      <x:c r="A62" s="27" t="str">
        <x:v>SCA-30</x:v>
      </x:c>
      <x:c r="B62" s="27" t="str">
        <x:v>SCA-31</x:v>
      </x:c>
      <x:c r="C62" s="65" t="n">
        <x:v>393.0821451865061</x:v>
      </x:c>
      <x:c r="D62" s="27" t="str">
        <x:v>2025 county adjacency</x:v>
      </x:c>
      <x:c r="E62" s="27" t="str">
        <x:v>surface reachability screen</x:v>
      </x:c>
      <x:c r="F62" s="27" t="str">
        <x:v>open or undamaged corridor claim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44" hidden="0" customWidth="1"/>
    <x:col min="9" max="9" width="44" hidden="0" customWidth="1"/>
  </x:cols>
  <x:sheetData>
    <x:row r="1" ht="29" customHeight="1">
      <x:c r="A1" s="81" t="str">
        <x:v>Multimodal planning envelopes</x:v>
      </x:c>
      <x:c r="B1" s="81"/>
      <x:c r="C1" s="81"/>
      <x:c r="D1" s="81"/>
      <x:c r="E1" s="81"/>
      <x:c r="F1" s="81"/>
      <x:c r="G1" s="81"/>
      <x:c r="H1" s="81"/>
      <x:c r="I1" s="81"/>
    </x:row>
    <x:row r="2" ht="29" customHeight="1">
      <x:c r="A2" s="82" t="str">
        <x:v>Rates are transparent stress assumptions for architecture comparison, not validated performance or asset requirements.</x:v>
      </x:c>
      <x:c r="B2" s="82"/>
      <x:c r="C2" s="82"/>
      <x:c r="D2" s="82"/>
      <x:c r="E2" s="82"/>
      <x:c r="F2" s="82"/>
      <x:c r="G2" s="82"/>
      <x:c r="H2" s="82"/>
      <x:c r="I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</x:row>
    <x:row r="4" ht="31" customHeight="1">
      <x:c r="A4" s="84" t="str">
        <x:v>Mode</x:v>
      </x:c>
      <x:c r="B4" s="85" t="str">
        <x:v>Speed km/h</x:v>
      </x:c>
      <x:c r="C4" s="85" t="str">
        <x:v>Mobilization h</x:v>
      </x:c>
      <x:c r="D4" s="85" t="str">
        <x:v>Reception h</x:v>
      </x:c>
      <x:c r="E4" s="85" t="str">
        <x:v>Arc cap CDE</x:v>
      </x:c>
      <x:c r="F4" s="85" t="str">
        <x:v>Origin-mode cap CDE</x:v>
      </x:c>
      <x:c r="G4" s="85" t="str">
        <x:v>Availability rule</x:v>
      </x:c>
      <x:c r="H4" s="85" t="str">
        <x:v>Required future proof</x:v>
      </x:c>
      <x:c r="I4" s="86" t="str">
        <x:v>Status</x:v>
      </x:c>
    </x:row>
    <x:row r="5" ht="64.80000305175781" hidden="0" customHeight="1">
      <x:c r="A5" s="28" t="str">
        <x:v>Road</x:v>
      </x:c>
      <x:c r="B5" s="28" t="n">
        <x:v>55</x:v>
      </x:c>
      <x:c r="C5" s="28" t="n">
        <x:v>8</x:v>
      </x:c>
      <x:c r="D5" s="28" t="n">
        <x:v>6</x:v>
      </x:c>
      <x:c r="E5" s="28" t="n">
        <x:v>40</x:v>
      </x:c>
      <x:c r="F5" s="28" t="n">
        <x:v>80</x:v>
      </x:c>
      <x:c r="G5" s="28" t="str">
        <x:v>contiguous SCA surface path</x:v>
      </x:c>
      <x:c r="H5" s="28" t="str">
        <x:v>route, fleet, accessible passenger, crew and damage-state exercises</x:v>
      </x:c>
      <x:c r="I5" s="28" t="str">
        <x:v>OPEN</x:v>
      </x:c>
    </x:row>
    <x:row r="6" ht="64.80000305175781" hidden="0" customHeight="1">
      <x:c r="A6" s="27" t="str">
        <x:v>Rail</x:v>
      </x:c>
      <x:c r="B6" s="27" t="n">
        <x:v>70</x:v>
      </x:c>
      <x:c r="C6" s="27" t="n">
        <x:v>12</x:v>
      </x:c>
      <x:c r="D6" s="27" t="n">
        <x:v>8</x:v>
      </x:c>
      <x:c r="E6" s="27" t="n">
        <x:v>60</x:v>
      </x:c>
      <x:c r="F6" s="27" t="n">
        <x:v>120</x:v>
      </x:c>
      <x:c r="G6" s="27" t="str">
        <x:v>contiguous SCA surface path</x:v>
      </x:c>
      <x:c r="H6" s="27" t="str">
        <x:v>route, fleet, accessible passenger, crew and damage-state exercises</x:v>
      </x:c>
      <x:c r="I6" s="27" t="str">
        <x:v>OPEN</x:v>
      </x:c>
    </x:row>
    <x:row r="7" ht="64.80000305175781" hidden="0" customHeight="1">
      <x:c r="A7" s="29" t="str">
        <x:v>Air</x:v>
      </x:c>
      <x:c r="B7" s="29" t="n">
        <x:v>650</x:v>
      </x:c>
      <x:c r="C7" s="29" t="n">
        <x:v>6</x:v>
      </x:c>
      <x:c r="D7" s="29" t="n">
        <x:v>6</x:v>
      </x:c>
      <x:c r="E7" s="29" t="n">
        <x:v>15</x:v>
      </x:c>
      <x:c r="F7" s="29" t="n">
        <x:v>30</x:v>
      </x:c>
      <x:c r="G7" s="29" t="str">
        <x:v>all SCA pairs</x:v>
      </x:c>
      <x:c r="H7" s="29" t="str">
        <x:v>route, fleet, accessible passenger, crew and damage-state exercises</x:v>
      </x:c>
      <x:c r="I7" s="29" t="str">
        <x:v>OPEN</x:v>
      </x:c>
    </x:row>
    <x:row r="8" ht="64.80000305175781" hidden="0" customHeight="1">
      <x:c r="A8" s="27" t="str">
        <x:v>Water</x:v>
      </x:c>
      <x:c r="B8" s="27" t="n">
        <x:v>35</x:v>
      </x:c>
      <x:c r="C8" s="27" t="n">
        <x:v>18</x:v>
      </x:c>
      <x:c r="D8" s="27" t="n">
        <x:v>10</x:v>
      </x:c>
      <x:c r="E8" s="27" t="n">
        <x:v>25</x:v>
      </x:c>
      <x:c r="F8" s="27" t="n">
        <x:v>50</x:v>
      </x:c>
      <x:c r="G8" s="27" t="str">
        <x:v>both SCAs pass planning water-access flag</x:v>
      </x:c>
      <x:c r="H8" s="27" t="str">
        <x:v>route, fleet, accessible passenger, crew and damage-state exercises</x:v>
      </x:c>
      <x:c r="I8" s="27" t="str">
        <x:v>OPEN</x:v>
      </x:c>
    </x:row>
    <x:row r="9">
      <x:c r="A9" s="83"/>
      <x:c r="B9" s="83"/>
      <x:c r="C9" s="83"/>
      <x:c r="D9" s="83"/>
      <x:c r="E9" s="83"/>
      <x:c r="F9" s="83"/>
      <x:c r="G9" s="83"/>
      <x:c r="H9" s="83"/>
      <x:c r="I9" s="83"/>
    </x:row>
    <x:row r="10" ht="36" customHeight="1">
      <x:c r="A10" s="90" t="str">
        <x:v>Mode envelopes are generator inputs. Change them in the source model and regenerate the dispatch; they are not live workbook controls.</x:v>
      </x:c>
      <x:c r="B10" s="90"/>
      <x:c r="C10" s="90"/>
      <x:c r="D10" s="90"/>
      <x:c r="E10" s="90"/>
      <x:c r="F10" s="90"/>
      <x:c r="G10" s="90"/>
      <x:c r="H10" s="90"/>
      <x:c r="I10" s="90"/>
    </x:row>
  </x:sheetData>
  <x:mergeCells>
    <x:mergeCell ref="A1:I1"/>
    <x:mergeCell ref="A2:I2"/>
    <x:mergeCell ref="A10:I1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9" customHeight="1">
      <x:c r="A1" s="81" t="str">
        <x:v>Origin-destination path matrix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  <x:c r="N1" s="81"/>
    </x:row>
    <x:row r="2" ht="29" customHeight="1">
      <x:c r="A2" s="82" t="str">
        <x:v>One row per ordered catchment pair. Mode hours combine mobilization, screening distance/speed and reception.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</x:row>
    <x:row r="4" ht="31" customHeight="1">
      <x:c r="A4" s="84" t="str">
        <x:v>Origin</x:v>
      </x:c>
      <x:c r="B4" s="85" t="str">
        <x:v>Destination</x:v>
      </x:c>
      <x:c r="C4" s="85" t="str">
        <x:v>Road h</x:v>
      </x:c>
      <x:c r="D4" s="85" t="str">
        <x:v>Road timely</x:v>
      </x:c>
      <x:c r="E4" s="85" t="str">
        <x:v>Rail h</x:v>
      </x:c>
      <x:c r="F4" s="85" t="str">
        <x:v>Rail timely</x:v>
      </x:c>
      <x:c r="G4" s="85" t="str">
        <x:v>Air h</x:v>
      </x:c>
      <x:c r="H4" s="85" t="str">
        <x:v>Air timely</x:v>
      </x:c>
      <x:c r="I4" s="85" t="str">
        <x:v>Water h</x:v>
      </x:c>
      <x:c r="J4" s="85" t="str">
        <x:v>Water timely</x:v>
      </x:c>
      <x:c r="K4" s="85" t="str">
        <x:v>Fastest timely mode</x:v>
      </x:c>
      <x:c r="L4" s="85" t="str">
        <x:v>Fastest h</x:v>
      </x:c>
      <x:c r="M4" s="85" t="str">
        <x:v>Origin population</x:v>
      </x:c>
      <x:c r="N4" s="86" t="str">
        <x:v>Destination population</x:v>
      </x:c>
    </x:row>
    <x:row r="5" ht="15" hidden="0" customHeight="1">
      <x:c r="A5" s="28" t="str">
        <x:v>SCA-01</x:v>
      </x:c>
      <x:c r="B5" s="28" t="str">
        <x:v>SCA-02</x:v>
      </x:c>
      <x:c r="C5" s="51"/>
      <x:c r="D5" s="28" t="str">
        <x:v>NO</x:v>
      </x:c>
      <x:c r="E5" s="51"/>
      <x:c r="F5" s="28" t="str">
        <x:v>NO</x:v>
      </x:c>
      <x:c r="G5" s="51" t="n">
        <x:v>19.031808667395513</x:v>
      </x:c>
      <x:c r="H5" s="28" t="str">
        <x:v>YES</x:v>
      </x:c>
      <x:c r="I5" s="51" t="n">
        <x:v>191.23841549311012</x:v>
      </x:c>
      <x:c r="J5" s="28" t="str">
        <x:v>NO</x:v>
      </x:c>
      <x:c r="K5" s="28" t="str">
        <x:v>Air</x:v>
      </x:c>
      <x:c r="L5" s="51" t="n">
        <x:v>19.031808667395513</x:v>
      </x:c>
      <x:c r="M5" s="39" t="n">
        <x:f>INDEX(Catchments!C:C,MATCH(A5,Catchments!A:A,0))</x:f>
        <x:v>1432820</x:v>
      </x:c>
      <x:c r="N5" s="39" t="n">
        <x:f>INDEX(Catchments!C:C,MATCH(B5,Catchments!A:A,0))</x:f>
        <x:v>737270</x:v>
      </x:c>
    </x:row>
    <x:row r="6" ht="15" hidden="0" customHeight="1">
      <x:c r="A6" s="27" t="str">
        <x:v>SCA-01</x:v>
      </x:c>
      <x:c r="B6" s="27" t="str">
        <x:v>SCA-03</x:v>
      </x:c>
      <x:c r="C6" s="52"/>
      <x:c r="D6" s="27" t="str">
        <x:v>NO</x:v>
      </x:c>
      <x:c r="E6" s="52"/>
      <x:c r="F6" s="27" t="str">
        <x:v>NO</x:v>
      </x:c>
      <x:c r="G6" s="52" t="n">
        <x:v>18.622469010806824</x:v>
      </x:c>
      <x:c r="H6" s="27" t="str">
        <x:v>YES</x:v>
      </x:c>
      <x:c r="I6" s="52" t="n">
        <x:v>181.73588775087273</x:v>
      </x:c>
      <x:c r="J6" s="27" t="str">
        <x:v>NO</x:v>
      </x:c>
      <x:c r="K6" s="27" t="str">
        <x:v>Air</x:v>
      </x:c>
      <x:c r="L6" s="52" t="n">
        <x:v>18.622469010806824</x:v>
      </x:c>
      <x:c r="M6" s="40" t="n">
        <x:f>INDEX(Catchments!C:C,MATCH(A6,Catchments!A:A,0))</x:f>
        <x:v>1432820</x:v>
      </x:c>
      <x:c r="N6" s="40" t="n">
        <x:f>INDEX(Catchments!C:C,MATCH(B6,Catchments!A:A,0))</x:f>
        <x:v>11968308</x:v>
      </x:c>
    </x:row>
    <x:row r="7" ht="15" hidden="0" customHeight="1">
      <x:c r="A7" s="29" t="str">
        <x:v>SCA-01</x:v>
      </x:c>
      <x:c r="B7" s="29" t="str">
        <x:v>SCA-04</x:v>
      </x:c>
      <x:c r="C7" s="53"/>
      <x:c r="D7" s="29" t="str">
        <x:v>NO</x:v>
      </x:c>
      <x:c r="E7" s="53"/>
      <x:c r="F7" s="29" t="str">
        <x:v>NO</x:v>
      </x:c>
      <x:c r="G7" s="53" t="n">
        <x:v>18.053624823650345</x:v>
      </x:c>
      <x:c r="H7" s="29" t="str">
        <x:v>YES</x:v>
      </x:c>
      <x:c r="I7" s="53" t="n">
        <x:v>168.53057626331156</x:v>
      </x:c>
      <x:c r="J7" s="29" t="str">
        <x:v>NO</x:v>
      </x:c>
      <x:c r="K7" s="29" t="str">
        <x:v>Air</x:v>
      </x:c>
      <x:c r="L7" s="53" t="n">
        <x:v>18.053624823650345</x:v>
      </x:c>
      <x:c r="M7" s="41" t="n">
        <x:f>INDEX(Catchments!C:C,MATCH(A7,Catchments!A:A,0))</x:f>
        <x:v>1432820</x:v>
      </x:c>
      <x:c r="N7" s="41" t="n">
        <x:f>INDEX(Catchments!C:C,MATCH(B7,Catchments!A:A,0))</x:f>
        <x:v>16200470</x:v>
      </x:c>
    </x:row>
    <x:row r="8" ht="15" hidden="0" customHeight="1">
      <x:c r="A8" s="27" t="str">
        <x:v>SCA-01</x:v>
      </x:c>
      <x:c r="B8" s="27" t="str">
        <x:v>SCA-05</x:v>
      </x:c>
      <x:c r="C8" s="52"/>
      <x:c r="D8" s="27" t="str">
        <x:v>NO</x:v>
      </x:c>
      <x:c r="E8" s="52"/>
      <x:c r="F8" s="27" t="str">
        <x:v>NO</x:v>
      </x:c>
      <x:c r="G8" s="52" t="n">
        <x:v>18.320880938136636</x:v>
      </x:c>
      <x:c r="H8" s="27" t="str">
        <x:v>YES</x:v>
      </x:c>
      <x:c r="I8" s="52" t="n">
        <x:v>174.7347360638862</x:v>
      </x:c>
      <x:c r="J8" s="27" t="str">
        <x:v>NO</x:v>
      </x:c>
      <x:c r="K8" s="27" t="str">
        <x:v>Air</x:v>
      </x:c>
      <x:c r="L8" s="52" t="n">
        <x:v>18.320880938136636</x:v>
      </x:c>
      <x:c r="M8" s="40" t="n">
        <x:f>INDEX(Catchments!C:C,MATCH(A8,Catchments!A:A,0))</x:f>
        <x:v>1432820</x:v>
      </x:c>
      <x:c r="N8" s="40" t="n">
        <x:f>INDEX(Catchments!C:C,MATCH(B8,Catchments!A:A,0))</x:f>
        <x:v>15966265</x:v>
      </x:c>
    </x:row>
    <x:row r="9" ht="15" hidden="0" customHeight="1">
      <x:c r="A9" s="29" t="str">
        <x:v>SCA-01</x:v>
      </x:c>
      <x:c r="B9" s="29" t="str">
        <x:v>SCA-06</x:v>
      </x:c>
      <x:c r="C9" s="53"/>
      <x:c r="D9" s="29" t="str">
        <x:v>NO</x:v>
      </x:c>
      <x:c r="E9" s="53"/>
      <x:c r="F9" s="29" t="str">
        <x:v>NO</x:v>
      </x:c>
      <x:c r="G9" s="53" t="n">
        <x:v>18.569244727175</x:v>
      </x:c>
      <x:c r="H9" s="29" t="str">
        <x:v>YES</x:v>
      </x:c>
      <x:c r="I9" s="53" t="n">
        <x:v>180.50032402370536</x:v>
      </x:c>
      <x:c r="J9" s="29" t="str">
        <x:v>NO</x:v>
      </x:c>
      <x:c r="K9" s="29" t="str">
        <x:v>Air</x:v>
      </x:c>
      <x:c r="L9" s="53" t="n">
        <x:v>18.569244727175</x:v>
      </x:c>
      <x:c r="M9" s="41" t="n">
        <x:f>INDEX(Catchments!C:C,MATCH(A9,Catchments!A:A,0))</x:f>
        <x:v>1432820</x:v>
      </x:c>
      <x:c r="N9" s="41" t="n">
        <x:f>INDEX(Catchments!C:C,MATCH(B9,Catchments!A:A,0))</x:f>
        <x:v>6008575</x:v>
      </x:c>
    </x:row>
    <x:row r="10" ht="15" hidden="0" customHeight="1">
      <x:c r="A10" s="27" t="str">
        <x:v>SCA-01</x:v>
      </x:c>
      <x:c r="B10" s="27" t="str">
        <x:v>SCA-07</x:v>
      </x:c>
      <x:c r="C10" s="52"/>
      <x:c r="D10" s="27" t="str">
        <x:v>NO</x:v>
      </x:c>
      <x:c r="E10" s="52"/>
      <x:c r="F10" s="27" t="str">
        <x:v>NO</x:v>
      </x:c>
      <x:c r="G10" s="52" t="n">
        <x:v>18.773065860618047</x:v>
      </x:c>
      <x:c r="H10" s="27" t="str">
        <x:v>YES</x:v>
      </x:c>
      <x:c r="I10" s="52" t="n">
        <x:v>185.23188605006183</x:v>
      </x:c>
      <x:c r="J10" s="27" t="str">
        <x:v>NO</x:v>
      </x:c>
      <x:c r="K10" s="27" t="str">
        <x:v>Air</x:v>
      </x:c>
      <x:c r="L10" s="52" t="n">
        <x:v>18.773065860618047</x:v>
      </x:c>
      <x:c r="M10" s="40" t="n">
        <x:f>INDEX(Catchments!C:C,MATCH(A10,Catchments!A:A,0))</x:f>
        <x:v>1432820</x:v>
      </x:c>
      <x:c r="N10" s="40" t="n">
        <x:f>INDEX(Catchments!C:C,MATCH(B10,Catchments!A:A,0))</x:f>
        <x:v>5229370</x:v>
      </x:c>
    </x:row>
    <x:row r="11" ht="15" hidden="0" customHeight="1">
      <x:c r="A11" s="29" t="str">
        <x:v>SCA-01</x:v>
      </x:c>
      <x:c r="B11" s="29" t="str">
        <x:v>SCA-08</x:v>
      </x:c>
      <x:c r="C11" s="53"/>
      <x:c r="D11" s="29" t="str">
        <x:v>NO</x:v>
      </x:c>
      <x:c r="E11" s="53"/>
      <x:c r="F11" s="29" t="str">
        <x:v>NO</x:v>
      </x:c>
      <x:c r="G11" s="53" t="n">
        <x:v>19.22042308313616</x:v>
      </x:c>
      <x:c r="H11" s="29" t="str">
        <x:v>YES</x:v>
      </x:c>
      <x:c r="I11" s="53" t="n">
        <x:v>195.61696442994665</x:v>
      </x:c>
      <x:c r="J11" s="29" t="str">
        <x:v>NO</x:v>
      </x:c>
      <x:c r="K11" s="29" t="str">
        <x:v>Air</x:v>
      </x:c>
      <x:c r="L11" s="53" t="n">
        <x:v>19.22042308313616</x:v>
      </x:c>
      <x:c r="M11" s="41" t="n">
        <x:f>INDEX(Catchments!C:C,MATCH(A11,Catchments!A:A,0))</x:f>
        <x:v>1432820</x:v>
      </x:c>
      <x:c r="N11" s="41" t="n">
        <x:f>INDEX(Catchments!C:C,MATCH(B11,Catchments!A:A,0))</x:f>
        <x:v>2652387</x:v>
      </x:c>
    </x:row>
    <x:row r="12" ht="15" hidden="0" customHeight="1">
      <x:c r="A12" s="27" t="str">
        <x:v>SCA-01</x:v>
      </x:c>
      <x:c r="B12" s="27" t="str">
        <x:v>SCA-09</x:v>
      </x:c>
      <x:c r="C12" s="52"/>
      <x:c r="D12" s="27" t="str">
        <x:v>NO</x:v>
      </x:c>
      <x:c r="E12" s="52"/>
      <x:c r="F12" s="27" t="str">
        <x:v>NO</x:v>
      </x:c>
      <x:c r="G12" s="52" t="n">
        <x:v>19.16518456942364</x:v>
      </x:c>
      <x:c r="H12" s="27" t="str">
        <x:v>YES</x:v>
      </x:c>
      <x:c r="I12" s="52"/>
      <x:c r="J12" s="27" t="str">
        <x:v>NO</x:v>
      </x:c>
      <x:c r="K12" s="27" t="str">
        <x:v>Air</x:v>
      </x:c>
      <x:c r="L12" s="52" t="n">
        <x:v>19.16518456942364</x:v>
      </x:c>
      <x:c r="M12" s="40" t="n">
        <x:f>INDEX(Catchments!C:C,MATCH(A12,Catchments!A:A,0))</x:f>
        <x:v>1432820</x:v>
      </x:c>
      <x:c r="N12" s="40" t="n">
        <x:f>INDEX(Catchments!C:C,MATCH(B12,Catchments!A:A,0))</x:f>
        <x:v>7395716</x:v>
      </x:c>
    </x:row>
    <x:row r="13" ht="15" hidden="0" customHeight="1">
      <x:c r="A13" s="29" t="str">
        <x:v>SCA-01</x:v>
      </x:c>
      <x:c r="B13" s="29" t="str">
        <x:v>SCA-10</x:v>
      </x:c>
      <x:c r="C13" s="53"/>
      <x:c r="D13" s="29" t="str">
        <x:v>NO</x:v>
      </x:c>
      <x:c r="E13" s="53"/>
      <x:c r="F13" s="29" t="str">
        <x:v>NO</x:v>
      </x:c>
      <x:c r="G13" s="53" t="n">
        <x:v>19.48570720932337</x:v>
      </x:c>
      <x:c r="H13" s="29" t="str">
        <x:v>YES</x:v>
      </x:c>
      <x:c r="I13" s="53"/>
      <x:c r="J13" s="29" t="str">
        <x:v>NO</x:v>
      </x:c>
      <x:c r="K13" s="29" t="str">
        <x:v>Air</x:v>
      </x:c>
      <x:c r="L13" s="53" t="n">
        <x:v>19.48570720932337</x:v>
      </x:c>
      <x:c r="M13" s="41" t="n">
        <x:f>INDEX(Catchments!C:C,MATCH(A13,Catchments!A:A,0))</x:f>
        <x:v>1432820</x:v>
      </x:c>
      <x:c r="N13" s="41" t="n">
        <x:f>INDEX(Catchments!C:C,MATCH(B13,Catchments!A:A,0))</x:f>
        <x:v>4127033</x:v>
      </x:c>
    </x:row>
    <x:row r="14" ht="15" hidden="0" customHeight="1">
      <x:c r="A14" s="27" t="str">
        <x:v>SCA-01</x:v>
      </x:c>
      <x:c r="B14" s="27" t="str">
        <x:v>SCA-11</x:v>
      </x:c>
      <x:c r="C14" s="52"/>
      <x:c r="D14" s="27" t="str">
        <x:v>NO</x:v>
      </x:c>
      <x:c r="E14" s="52"/>
      <x:c r="F14" s="27" t="str">
        <x:v>NO</x:v>
      </x:c>
      <x:c r="G14" s="52" t="n">
        <x:v>20.169460190046173</x:v>
      </x:c>
      <x:c r="H14" s="27" t="str">
        <x:v>YES</x:v>
      </x:c>
      <x:c r="I14" s="52" t="n">
        <x:v>217.64818298321475</x:v>
      </x:c>
      <x:c r="J14" s="27" t="str">
        <x:v>NO</x:v>
      </x:c>
      <x:c r="K14" s="27" t="str">
        <x:v>Air</x:v>
      </x:c>
      <x:c r="L14" s="52" t="n">
        <x:v>20.169460190046173</x:v>
      </x:c>
      <x:c r="M14" s="40" t="n">
        <x:f>INDEX(Catchments!C:C,MATCH(A14,Catchments!A:A,0))</x:f>
        <x:v>1432820</x:v>
      </x:c>
      <x:c r="N14" s="40" t="n">
        <x:f>INDEX(Catchments!C:C,MATCH(B14,Catchments!A:A,0))</x:f>
        <x:v>3517787</x:v>
      </x:c>
    </x:row>
    <x:row r="15" ht="15" hidden="0" customHeight="1">
      <x:c r="A15" s="29" t="str">
        <x:v>SCA-01</x:v>
      </x:c>
      <x:c r="B15" s="29" t="str">
        <x:v>SCA-12</x:v>
      </x:c>
      <x:c r="C15" s="53"/>
      <x:c r="D15" s="29" t="str">
        <x:v>NO</x:v>
      </x:c>
      <x:c r="E15" s="53"/>
      <x:c r="F15" s="29" t="str">
        <x:v>NO</x:v>
      </x:c>
      <x:c r="G15" s="53" t="n">
        <x:v>20.27426677531661</x:v>
      </x:c>
      <x:c r="H15" s="29" t="str">
        <x:v>YES</x:v>
      </x:c>
      <x:c r="I15" s="53"/>
      <x:c r="J15" s="29" t="str">
        <x:v>NO</x:v>
      </x:c>
      <x:c r="K15" s="29" t="str">
        <x:v>Air</x:v>
      </x:c>
      <x:c r="L15" s="53" t="n">
        <x:v>20.27426677531661</x:v>
      </x:c>
      <x:c r="M15" s="41" t="n">
        <x:f>INDEX(Catchments!C:C,MATCH(A15,Catchments!A:A,0))</x:f>
        <x:v>1432820</x:v>
      </x:c>
      <x:c r="N15" s="41" t="n">
        <x:f>INDEX(Catchments!C:C,MATCH(B15,Catchments!A:A,0))</x:f>
        <x:v>7465186</x:v>
      </x:c>
    </x:row>
    <x:row r="16" ht="15" hidden="0" customHeight="1">
      <x:c r="A16" s="27" t="str">
        <x:v>SCA-01</x:v>
      </x:c>
      <x:c r="B16" s="27" t="str">
        <x:v>SCA-13</x:v>
      </x:c>
      <x:c r="C16" s="52"/>
      <x:c r="D16" s="27" t="str">
        <x:v>NO</x:v>
      </x:c>
      <x:c r="E16" s="52"/>
      <x:c r="F16" s="27" t="str">
        <x:v>NO</x:v>
      </x:c>
      <x:c r="G16" s="52" t="n">
        <x:v>21.21270256279375</x:v>
      </x:c>
      <x:c r="H16" s="27" t="str">
        <x:v>YES</x:v>
      </x:c>
      <x:c r="I16" s="52" t="n">
        <x:v>241.86630949342631</x:v>
      </x:c>
      <x:c r="J16" s="27" t="str">
        <x:v>NO</x:v>
      </x:c>
      <x:c r="K16" s="27" t="str">
        <x:v>Air</x:v>
      </x:c>
      <x:c r="L16" s="52" t="n">
        <x:v>21.21270256279375</x:v>
      </x:c>
      <x:c r="M16" s="40" t="n">
        <x:f>INDEX(Catchments!C:C,MATCH(A16,Catchments!A:A,0))</x:f>
        <x:v>1432820</x:v>
      </x:c>
      <x:c r="N16" s="40" t="n">
        <x:f>INDEX(Catchments!C:C,MATCH(B16,Catchments!A:A,0))</x:f>
        <x:v>6759014</x:v>
      </x:c>
    </x:row>
    <x:row r="17" ht="15" hidden="0" customHeight="1">
      <x:c r="A17" s="29" t="str">
        <x:v>SCA-01</x:v>
      </x:c>
      <x:c r="B17" s="29" t="str">
        <x:v>SCA-14</x:v>
      </x:c>
      <x:c r="C17" s="53"/>
      <x:c r="D17" s="29" t="str">
        <x:v>NO</x:v>
      </x:c>
      <x:c r="E17" s="53"/>
      <x:c r="F17" s="29" t="str">
        <x:v>NO</x:v>
      </x:c>
      <x:c r="G17" s="53" t="n">
        <x:v>21.286039234947022</x:v>
      </x:c>
      <x:c r="H17" s="29" t="str">
        <x:v>YES</x:v>
      </x:c>
      <x:c r="I17" s="53" t="n">
        <x:v>243.56876795412728</x:v>
      </x:c>
      <x:c r="J17" s="29" t="str">
        <x:v>NO</x:v>
      </x:c>
      <x:c r="K17" s="29" t="str">
        <x:v>Air</x:v>
      </x:c>
      <x:c r="L17" s="53" t="n">
        <x:v>21.286039234947022</x:v>
      </x:c>
      <x:c r="M17" s="41" t="n">
        <x:f>INDEX(Catchments!C:C,MATCH(A17,Catchments!A:A,0))</x:f>
        <x:v>1432820</x:v>
      </x:c>
      <x:c r="N17" s="41" t="n">
        <x:f>INDEX(Catchments!C:C,MATCH(B17,Catchments!A:A,0))</x:f>
        <x:v>2179728</x:v>
      </x:c>
    </x:row>
    <x:row r="18" ht="15" hidden="0" customHeight="1">
      <x:c r="A18" s="27" t="str">
        <x:v>SCA-01</x:v>
      </x:c>
      <x:c r="B18" s="27" t="str">
        <x:v>SCA-15</x:v>
      </x:c>
      <x:c r="C18" s="52"/>
      <x:c r="D18" s="27" t="str">
        <x:v>NO</x:v>
      </x:c>
      <x:c r="E18" s="52"/>
      <x:c r="F18" s="27" t="str">
        <x:v>NO</x:v>
      </x:c>
      <x:c r="G18" s="52" t="n">
        <x:v>21.380664358692215</x:v>
      </x:c>
      <x:c r="H18" s="27" t="str">
        <x:v>YES</x:v>
      </x:c>
      <x:c r="I18" s="52" t="n">
        <x:v>245.76542261249782</x:v>
      </x:c>
      <x:c r="J18" s="27" t="str">
        <x:v>NO</x:v>
      </x:c>
      <x:c r="K18" s="27" t="str">
        <x:v>Air</x:v>
      </x:c>
      <x:c r="L18" s="52" t="n">
        <x:v>21.380664358692215</x:v>
      </x:c>
      <x:c r="M18" s="40" t="n">
        <x:f>INDEX(Catchments!C:C,MATCH(A18,Catchments!A:A,0))</x:f>
        <x:v>1432820</x:v>
      </x:c>
      <x:c r="N18" s="40" t="n">
        <x:f>INDEX(Catchments!C:C,MATCH(B18,Catchments!A:A,0))</x:f>
        <x:v>13192386</x:v>
      </x:c>
    </x:row>
    <x:row r="19" ht="15" hidden="0" customHeight="1">
      <x:c r="A19" s="29" t="str">
        <x:v>SCA-01</x:v>
      </x:c>
      <x:c r="B19" s="29" t="str">
        <x:v>SCA-16</x:v>
      </x:c>
      <x:c r="C19" s="53"/>
      <x:c r="D19" s="29" t="str">
        <x:v>NO</x:v>
      </x:c>
      <x:c r="E19" s="53"/>
      <x:c r="F19" s="29" t="str">
        <x:v>NO</x:v>
      </x:c>
      <x:c r="G19" s="53" t="n">
        <x:v>21.432157988501928</x:v>
      </x:c>
      <x:c r="H19" s="29" t="str">
        <x:v>YES</x:v>
      </x:c>
      <x:c r="I19" s="53"/>
      <x:c r="J19" s="29" t="str">
        <x:v>NO</x:v>
      </x:c>
      <x:c r="K19" s="29" t="str">
        <x:v>Air</x:v>
      </x:c>
      <x:c r="L19" s="53" t="n">
        <x:v>21.432157988501928</x:v>
      </x:c>
      <x:c r="M19" s="41" t="n">
        <x:f>INDEX(Catchments!C:C,MATCH(A19,Catchments!A:A,0))</x:f>
        <x:v>1432820</x:v>
      </x:c>
      <x:c r="N19" s="41" t="n">
        <x:f>INDEX(Catchments!C:C,MATCH(B19,Catchments!A:A,0))</x:f>
        <x:v>10177969</x:v>
      </x:c>
    </x:row>
    <x:row r="20" ht="15" hidden="0" customHeight="1">
      <x:c r="A20" s="27" t="str">
        <x:v>SCA-01</x:v>
      </x:c>
      <x:c r="B20" s="27" t="str">
        <x:v>SCA-17</x:v>
      </x:c>
      <x:c r="C20" s="52"/>
      <x:c r="D20" s="27" t="str">
        <x:v>NO</x:v>
      </x:c>
      <x:c r="E20" s="52"/>
      <x:c r="F20" s="27" t="str">
        <x:v>NO</x:v>
      </x:c>
      <x:c r="G20" s="52" t="n">
        <x:v>21.786503788200488</x:v>
      </x:c>
      <x:c r="H20" s="27" t="str">
        <x:v>YES</x:v>
      </x:c>
      <x:c r="I20" s="52" t="n">
        <x:v>255.1866950832256</x:v>
      </x:c>
      <x:c r="J20" s="27" t="str">
        <x:v>NO</x:v>
      </x:c>
      <x:c r="K20" s="27" t="str">
        <x:v>Air</x:v>
      </x:c>
      <x:c r="L20" s="52" t="n">
        <x:v>21.786503788200488</x:v>
      </x:c>
      <x:c r="M20" s="40" t="n">
        <x:f>INDEX(Catchments!C:C,MATCH(A20,Catchments!A:A,0))</x:f>
        <x:v>1432820</x:v>
      </x:c>
      <x:c r="N20" s="40" t="n">
        <x:f>INDEX(Catchments!C:C,MATCH(B20,Catchments!A:A,0))</x:f>
        <x:v>12843509</x:v>
      </x:c>
    </x:row>
    <x:row r="21" ht="15" hidden="0" customHeight="1">
      <x:c r="A21" s="29" t="str">
        <x:v>SCA-01</x:v>
      </x:c>
      <x:c r="B21" s="29" t="str">
        <x:v>SCA-18</x:v>
      </x:c>
      <x:c r="C21" s="53"/>
      <x:c r="D21" s="29" t="str">
        <x:v>NO</x:v>
      </x:c>
      <x:c r="E21" s="53"/>
      <x:c r="F21" s="29" t="str">
        <x:v>NO</x:v>
      </x:c>
      <x:c r="G21" s="53" t="n">
        <x:v>21.72099903692027</x:v>
      </x:c>
      <x:c r="H21" s="29" t="str">
        <x:v>YES</x:v>
      </x:c>
      <x:c r="I21" s="53" t="n">
        <x:v>253.6660490713634</x:v>
      </x:c>
      <x:c r="J21" s="29" t="str">
        <x:v>NO</x:v>
      </x:c>
      <x:c r="K21" s="29" t="str">
        <x:v>Air</x:v>
      </x:c>
      <x:c r="L21" s="53" t="n">
        <x:v>21.72099903692027</x:v>
      </x:c>
      <x:c r="M21" s="41" t="n">
        <x:f>INDEX(Catchments!C:C,MATCH(A21,Catchments!A:A,0))</x:f>
        <x:v>1432820</x:v>
      </x:c>
      <x:c r="N21" s="41" t="n">
        <x:f>INDEX(Catchments!C:C,MATCH(B21,Catchments!A:A,0))</x:f>
        <x:v>11004680</x:v>
      </x:c>
    </x:row>
    <x:row r="22" ht="15" hidden="0" customHeight="1">
      <x:c r="A22" s="27" t="str">
        <x:v>SCA-01</x:v>
      </x:c>
      <x:c r="B22" s="27" t="str">
        <x:v>SCA-19</x:v>
      </x:c>
      <x:c r="C22" s="52"/>
      <x:c r="D22" s="27" t="str">
        <x:v>NO</x:v>
      </x:c>
      <x:c r="E22" s="52"/>
      <x:c r="F22" s="27" t="str">
        <x:v>NO</x:v>
      </x:c>
      <x:c r="G22" s="52" t="n">
        <x:v>22.117238389415643</x:v>
      </x:c>
      <x:c r="H22" s="27" t="str">
        <x:v>YES</x:v>
      </x:c>
      <x:c r="I22" s="52" t="n">
        <x:v>262.8644626114346</x:v>
      </x:c>
      <x:c r="J22" s="27" t="str">
        <x:v>NO</x:v>
      </x:c>
      <x:c r="K22" s="27" t="str">
        <x:v>Air</x:v>
      </x:c>
      <x:c r="L22" s="52" t="n">
        <x:v>22.117238389415643</x:v>
      </x:c>
      <x:c r="M22" s="40" t="n">
        <x:f>INDEX(Catchments!C:C,MATCH(A22,Catchments!A:A,0))</x:f>
        <x:v>1432820</x:v>
      </x:c>
      <x:c r="N22" s="40" t="n">
        <x:f>INDEX(Catchments!C:C,MATCH(B22,Catchments!A:A,0))</x:f>
        <x:v>6677653</x:v>
      </x:c>
    </x:row>
    <x:row r="23" ht="15" hidden="0" customHeight="1">
      <x:c r="A23" s="29" t="str">
        <x:v>SCA-01</x:v>
      </x:c>
      <x:c r="B23" s="29" t="str">
        <x:v>SCA-20</x:v>
      </x:c>
      <x:c r="C23" s="53"/>
      <x:c r="D23" s="29" t="str">
        <x:v>NO</x:v>
      </x:c>
      <x:c r="E23" s="53"/>
      <x:c r="F23" s="29" t="str">
        <x:v>NO</x:v>
      </x:c>
      <x:c r="G23" s="53" t="n">
        <x:v>22.311309785798123</x:v>
      </x:c>
      <x:c r="H23" s="29" t="str">
        <x:v>YES</x:v>
      </x:c>
      <x:c r="I23" s="53" t="n">
        <x:v>267.36969145602785</x:v>
      </x:c>
      <x:c r="J23" s="29" t="str">
        <x:v>NO</x:v>
      </x:c>
      <x:c r="K23" s="29" t="str">
        <x:v>Air</x:v>
      </x:c>
      <x:c r="L23" s="53" t="n">
        <x:v>22.311309785798123</x:v>
      </x:c>
      <x:c r="M23" s="41" t="n">
        <x:f>INDEX(Catchments!C:C,MATCH(A23,Catchments!A:A,0))</x:f>
        <x:v>1432820</x:v>
      </x:c>
      <x:c r="N23" s="41" t="n">
        <x:f>INDEX(Catchments!C:C,MATCH(B23,Catchments!A:A,0))</x:f>
        <x:v>8490774</x:v>
      </x:c>
    </x:row>
    <x:row r="24" ht="15" hidden="0" customHeight="1">
      <x:c r="A24" s="27" t="str">
        <x:v>SCA-01</x:v>
      </x:c>
      <x:c r="B24" s="27" t="str">
        <x:v>SCA-21</x:v>
      </x:c>
      <x:c r="C24" s="52"/>
      <x:c r="D24" s="27" t="str">
        <x:v>NO</x:v>
      </x:c>
      <x:c r="E24" s="52"/>
      <x:c r="F24" s="27" t="str">
        <x:v>NO</x:v>
      </x:c>
      <x:c r="G24" s="52" t="n">
        <x:v>22.464082376749595</x:v>
      </x:c>
      <x:c r="H24" s="27" t="str">
        <x:v>YES</x:v>
      </x:c>
      <x:c r="I24" s="52" t="n">
        <x:v>270.91619803168703</x:v>
      </x:c>
      <x:c r="J24" s="27" t="str">
        <x:v>NO</x:v>
      </x:c>
      <x:c r="K24" s="27" t="str">
        <x:v>Air</x:v>
      </x:c>
      <x:c r="L24" s="52" t="n">
        <x:v>22.464082376749595</x:v>
      </x:c>
      <x:c r="M24" s="40" t="n">
        <x:f>INDEX(Catchments!C:C,MATCH(A24,Catchments!A:A,0))</x:f>
        <x:v>1432820</x:v>
      </x:c>
      <x:c r="N24" s="40" t="n">
        <x:f>INDEX(Catchments!C:C,MATCH(B24,Catchments!A:A,0))</x:f>
        <x:v>19593580</x:v>
      </x:c>
    </x:row>
    <x:row r="25" ht="15" hidden="0" customHeight="1">
      <x:c r="A25" s="29" t="str">
        <x:v>SCA-01</x:v>
      </x:c>
      <x:c r="B25" s="29" t="str">
        <x:v>SCA-22</x:v>
      </x:c>
      <x:c r="C25" s="53"/>
      <x:c r="D25" s="29" t="str">
        <x:v>NO</x:v>
      </x:c>
      <x:c r="E25" s="53"/>
      <x:c r="F25" s="29" t="str">
        <x:v>NO</x:v>
      </x:c>
      <x:c r="G25" s="53" t="n">
        <x:v>22.86313307970418</x:v>
      </x:c>
      <x:c r="H25" s="29" t="str">
        <x:v>YES</x:v>
      </x:c>
      <x:c r="I25" s="53" t="n">
        <x:v>280.1798750645613</x:v>
      </x:c>
      <x:c r="J25" s="29" t="str">
        <x:v>NO</x:v>
      </x:c>
      <x:c r="K25" s="29" t="str">
        <x:v>Air</x:v>
      </x:c>
      <x:c r="L25" s="53" t="n">
        <x:v>22.86313307970418</x:v>
      </x:c>
      <x:c r="M25" s="41" t="n">
        <x:f>INDEX(Catchments!C:C,MATCH(A25,Catchments!A:A,0))</x:f>
        <x:v>1432820</x:v>
      </x:c>
      <x:c r="N25" s="41" t="n">
        <x:f>INDEX(Catchments!C:C,MATCH(B25,Catchments!A:A,0))</x:f>
        <x:v>14732006</x:v>
      </x:c>
    </x:row>
    <x:row r="26" ht="15" hidden="0" customHeight="1">
      <x:c r="A26" s="27" t="str">
        <x:v>SCA-01</x:v>
      </x:c>
      <x:c r="B26" s="27" t="str">
        <x:v>SCA-23</x:v>
      </x:c>
      <x:c r="C26" s="52"/>
      <x:c r="D26" s="27" t="str">
        <x:v>NO</x:v>
      </x:c>
      <x:c r="E26" s="52"/>
      <x:c r="F26" s="27" t="str">
        <x:v>NO</x:v>
      </x:c>
      <x:c r="G26" s="52" t="n">
        <x:v>23.083896405451043</x:v>
      </x:c>
      <x:c r="H26" s="27" t="str">
        <x:v>YES</x:v>
      </x:c>
      <x:c r="I26" s="52" t="n">
        <x:v>285.3047379836849</x:v>
      </x:c>
      <x:c r="J26" s="27" t="str">
        <x:v>NO</x:v>
      </x:c>
      <x:c r="K26" s="27" t="str">
        <x:v>Air</x:v>
      </x:c>
      <x:c r="L26" s="52" t="n">
        <x:v>23.083896405451043</x:v>
      </x:c>
      <x:c r="M26" s="40" t="n">
        <x:f>INDEX(Catchments!C:C,MATCH(A26,Catchments!A:A,0))</x:f>
        <x:v>1432820</x:v>
      </x:c>
      <x:c r="N26" s="40" t="n">
        <x:f>INDEX(Catchments!C:C,MATCH(B26,Catchments!A:A,0))</x:f>
        <x:v>20869310</x:v>
      </x:c>
    </x:row>
    <x:row r="27" ht="15" hidden="0" customHeight="1">
      <x:c r="A27" s="29" t="str">
        <x:v>SCA-01</x:v>
      </x:c>
      <x:c r="B27" s="29" t="str">
        <x:v>SCA-24</x:v>
      </x:c>
      <x:c r="C27" s="53"/>
      <x:c r="D27" s="29" t="str">
        <x:v>NO</x:v>
      </x:c>
      <x:c r="E27" s="53"/>
      <x:c r="F27" s="29" t="str">
        <x:v>NO</x:v>
      </x:c>
      <x:c r="G27" s="53" t="n">
        <x:v>22.989585345630346</x:v>
      </x:c>
      <x:c r="H27" s="29" t="str">
        <x:v>YES</x:v>
      </x:c>
      <x:c r="I27" s="53" t="n">
        <x:v>283.1153740949902</x:v>
      </x:c>
      <x:c r="J27" s="29" t="str">
        <x:v>NO</x:v>
      </x:c>
      <x:c r="K27" s="29" t="str">
        <x:v>Air</x:v>
      </x:c>
      <x:c r="L27" s="53" t="n">
        <x:v>22.989585345630346</x:v>
      </x:c>
      <x:c r="M27" s="41" t="n">
        <x:f>INDEX(Catchments!C:C,MATCH(A27,Catchments!A:A,0))</x:f>
        <x:v>1432820</x:v>
      </x:c>
      <x:c r="N27" s="41" t="n">
        <x:f>INDEX(Catchments!C:C,MATCH(B27,Catchments!A:A,0))</x:f>
        <x:v>11816161</x:v>
      </x:c>
    </x:row>
    <x:row r="28" ht="15" hidden="0" customHeight="1">
      <x:c r="A28" s="27" t="str">
        <x:v>SCA-01</x:v>
      </x:c>
      <x:c r="B28" s="27" t="str">
        <x:v>SCA-25</x:v>
      </x:c>
      <x:c r="C28" s="52"/>
      <x:c r="D28" s="27" t="str">
        <x:v>NO</x:v>
      </x:c>
      <x:c r="E28" s="52"/>
      <x:c r="F28" s="27" t="str">
        <x:v>NO</x:v>
      </x:c>
      <x:c r="G28" s="52" t="n">
        <x:v>23.54105408853379</x:v>
      </x:c>
      <x:c r="H28" s="27" t="str">
        <x:v>YES</x:v>
      </x:c>
      <x:c r="I28" s="52" t="n">
        <x:v>295.91732705524873</x:v>
      </x:c>
      <x:c r="J28" s="27" t="str">
        <x:v>NO</x:v>
      </x:c>
      <x:c r="K28" s="27" t="str">
        <x:v>Air</x:v>
      </x:c>
      <x:c r="L28" s="52" t="n">
        <x:v>23.54105408853379</x:v>
      </x:c>
      <x:c r="M28" s="40" t="n">
        <x:f>INDEX(Catchments!C:C,MATCH(A28,Catchments!A:A,0))</x:f>
        <x:v>1432820</x:v>
      </x:c>
      <x:c r="N28" s="40" t="n">
        <x:f>INDEX(Catchments!C:C,MATCH(B28,Catchments!A:A,0))</x:f>
        <x:v>6408394</x:v>
      </x:c>
    </x:row>
    <x:row r="29" ht="15" hidden="0" customHeight="1">
      <x:c r="A29" s="29" t="str">
        <x:v>SCA-01</x:v>
      </x:c>
      <x:c r="B29" s="29" t="str">
        <x:v>SCA-26</x:v>
      </x:c>
      <x:c r="C29" s="53"/>
      <x:c r="D29" s="29" t="str">
        <x:v>NO</x:v>
      </x:c>
      <x:c r="E29" s="53"/>
      <x:c r="F29" s="29" t="str">
        <x:v>NO</x:v>
      </x:c>
      <x:c r="G29" s="53" t="n">
        <x:v>23.669853819524306</x:v>
      </x:c>
      <x:c r="H29" s="29" t="str">
        <x:v>YES</x:v>
      </x:c>
      <x:c r="I29" s="53" t="n">
        <x:v>298.9073208103857</x:v>
      </x:c>
      <x:c r="J29" s="29" t="str">
        <x:v>NO</x:v>
      </x:c>
      <x:c r="K29" s="29" t="str">
        <x:v>Air</x:v>
      </x:c>
      <x:c r="L29" s="53" t="n">
        <x:v>23.669853819524306</x:v>
      </x:c>
      <x:c r="M29" s="41" t="n">
        <x:f>INDEX(Catchments!C:C,MATCH(A29,Catchments!A:A,0))</x:f>
        <x:v>1432820</x:v>
      </x:c>
      <x:c r="N29" s="41" t="n">
        <x:f>INDEX(Catchments!C:C,MATCH(B29,Catchments!A:A,0))</x:f>
        <x:v>10737083</x:v>
      </x:c>
    </x:row>
    <x:row r="30" ht="15" hidden="0" customHeight="1">
      <x:c r="A30" s="27" t="str">
        <x:v>SCA-01</x:v>
      </x:c>
      <x:c r="B30" s="27" t="str">
        <x:v>SCA-27</x:v>
      </x:c>
      <x:c r="C30" s="52"/>
      <x:c r="D30" s="27" t="str">
        <x:v>NO</x:v>
      </x:c>
      <x:c r="E30" s="52"/>
      <x:c r="F30" s="27" t="str">
        <x:v>NO</x:v>
      </x:c>
      <x:c r="G30" s="52" t="n">
        <x:v>23.943993549123235</x:v>
      </x:c>
      <x:c r="H30" s="27" t="str">
        <x:v>YES</x:v>
      </x:c>
      <x:c r="I30" s="52" t="n">
        <x:v>305.2712788189323</x:v>
      </x:c>
      <x:c r="J30" s="27" t="str">
        <x:v>NO</x:v>
      </x:c>
      <x:c r="K30" s="27" t="str">
        <x:v>Air</x:v>
      </x:c>
      <x:c r="L30" s="52" t="n">
        <x:v>23.943993549123235</x:v>
      </x:c>
      <x:c r="M30" s="40" t="n">
        <x:f>INDEX(Catchments!C:C,MATCH(A30,Catchments!A:A,0))</x:f>
        <x:v>1432820</x:v>
      </x:c>
      <x:c r="N30" s="40" t="n">
        <x:f>INDEX(Catchments!C:C,MATCH(B30,Catchments!A:A,0))</x:f>
        <x:v>7505606</x:v>
      </x:c>
    </x:row>
    <x:row r="31" ht="15" hidden="0" customHeight="1">
      <x:c r="A31" s="29" t="str">
        <x:v>SCA-01</x:v>
      </x:c>
      <x:c r="B31" s="29" t="str">
        <x:v>SCA-28</x:v>
      </x:c>
      <x:c r="C31" s="53"/>
      <x:c r="D31" s="29" t="str">
        <x:v>NO</x:v>
      </x:c>
      <x:c r="E31" s="53"/>
      <x:c r="F31" s="29" t="str">
        <x:v>NO</x:v>
      </x:c>
      <x:c r="G31" s="53" t="n">
        <x:v>23.597753292356188</x:v>
      </x:c>
      <x:c r="H31" s="29" t="str">
        <x:v>YES</x:v>
      </x:c>
      <x:c r="I31" s="53" t="n">
        <x:v>297.2335585725544</x:v>
      </x:c>
      <x:c r="J31" s="29" t="str">
        <x:v>NO</x:v>
      </x:c>
      <x:c r="K31" s="29" t="str">
        <x:v>Air</x:v>
      </x:c>
      <x:c r="L31" s="53" t="n">
        <x:v>23.597753292356188</x:v>
      </x:c>
      <x:c r="M31" s="41" t="n">
        <x:f>INDEX(Catchments!C:C,MATCH(A31,Catchments!A:A,0))</x:f>
        <x:v>1432820</x:v>
      </x:c>
      <x:c r="N31" s="41" t="n">
        <x:f>INDEX(Catchments!C:C,MATCH(B31,Catchments!A:A,0))</x:f>
        <x:v>21305157</x:v>
      </x:c>
    </x:row>
    <x:row r="32" ht="15" hidden="0" customHeight="1">
      <x:c r="A32" s="27" t="str">
        <x:v>SCA-01</x:v>
      </x:c>
      <x:c r="B32" s="27" t="str">
        <x:v>SCA-29</x:v>
      </x:c>
      <x:c r="C32" s="52"/>
      <x:c r="D32" s="27" t="str">
        <x:v>NO</x:v>
      </x:c>
      <x:c r="E32" s="52"/>
      <x:c r="F32" s="27" t="str">
        <x:v>NO</x:v>
      </x:c>
      <x:c r="G32" s="52" t="n">
        <x:v>23.780279864317954</x:v>
      </x:c>
      <x:c r="H32" s="27" t="str">
        <x:v>YES</x:v>
      </x:c>
      <x:c r="I32" s="52" t="n">
        <x:v>301.470782564524</x:v>
      </x:c>
      <x:c r="J32" s="27" t="str">
        <x:v>NO</x:v>
      </x:c>
      <x:c r="K32" s="27" t="str">
        <x:v>Air</x:v>
      </x:c>
      <x:c r="L32" s="52" t="n">
        <x:v>23.780279864317954</x:v>
      </x:c>
      <x:c r="M32" s="40" t="n">
        <x:f>INDEX(Catchments!C:C,MATCH(A32,Catchments!A:A,0))</x:f>
        <x:v>1432820</x:v>
      </x:c>
      <x:c r="N32" s="40" t="n">
        <x:f>INDEX(Catchments!C:C,MATCH(B32,Catchments!A:A,0))</x:f>
        <x:v>19271685</x:v>
      </x:c>
    </x:row>
    <x:row r="33" ht="15" hidden="0" customHeight="1">
      <x:c r="A33" s="29" t="str">
        <x:v>SCA-01</x:v>
      </x:c>
      <x:c r="B33" s="29" t="str">
        <x:v>SCA-30</x:v>
      </x:c>
      <x:c r="C33" s="53"/>
      <x:c r="D33" s="29" t="str">
        <x:v>NO</x:v>
      </x:c>
      <x:c r="E33" s="53"/>
      <x:c r="F33" s="29" t="str">
        <x:v>NO</x:v>
      </x:c>
      <x:c r="G33" s="53" t="n">
        <x:v>24.198093068231366</x:v>
      </x:c>
      <x:c r="H33" s="29" t="str">
        <x:v>YES</x:v>
      </x:c>
      <x:c r="I33" s="53" t="n">
        <x:v>311.170017655371</x:v>
      </x:c>
      <x:c r="J33" s="29" t="str">
        <x:v>NO</x:v>
      </x:c>
      <x:c r="K33" s="29" t="str">
        <x:v>Air</x:v>
      </x:c>
      <x:c r="L33" s="53" t="n">
        <x:v>24.198093068231366</x:v>
      </x:c>
      <x:c r="M33" s="41" t="n">
        <x:f>INDEX(Catchments!C:C,MATCH(A33,Catchments!A:A,0))</x:f>
        <x:v>1432820</x:v>
      </x:c>
      <x:c r="N33" s="41" t="n">
        <x:f>INDEX(Catchments!C:C,MATCH(B33,Catchments!A:A,0))</x:f>
        <x:v>41291847</x:v>
      </x:c>
    </x:row>
    <x:row r="34" ht="15" hidden="0" customHeight="1">
      <x:c r="A34" s="27" t="str">
        <x:v>SCA-01</x:v>
      </x:c>
      <x:c r="B34" s="27" t="str">
        <x:v>SCA-31</x:v>
      </x:c>
      <x:c r="C34" s="52"/>
      <x:c r="D34" s="27" t="str">
        <x:v>NO</x:v>
      </x:c>
      <x:c r="E34" s="52"/>
      <x:c r="F34" s="27" t="str">
        <x:v>NO</x:v>
      </x:c>
      <x:c r="G34" s="52" t="n">
        <x:v>24.496797998972603</x:v>
      </x:c>
      <x:c r="H34" s="27" t="str">
        <x:v>YES</x:v>
      </x:c>
      <x:c r="I34" s="52" t="n">
        <x:v>318.10423926186405</x:v>
      </x:c>
      <x:c r="J34" s="27" t="str">
        <x:v>NO</x:v>
      </x:c>
      <x:c r="K34" s="27" t="str">
        <x:v>Air</x:v>
      </x:c>
      <x:c r="L34" s="52" t="n">
        <x:v>24.496797998972603</x:v>
      </x:c>
      <x:c r="M34" s="40" t="n">
        <x:f>INDEX(Catchments!C:C,MATCH(A34,Catchments!A:A,0))</x:f>
        <x:v>1432820</x:v>
      </x:c>
      <x:c r="N34" s="40" t="n">
        <x:f>INDEX(Catchments!C:C,MATCH(B34,Catchments!A:A,0))</x:f>
        <x:v>14227128</x:v>
      </x:c>
    </x:row>
    <x:row r="35" ht="15" hidden="0" customHeight="1">
      <x:c r="A35" s="29" t="str">
        <x:v>SCA-01</x:v>
      </x:c>
      <x:c r="B35" s="29" t="str">
        <x:v>SCA-32</x:v>
      </x:c>
      <x:c r="C35" s="53"/>
      <x:c r="D35" s="29" t="str">
        <x:v>NO</x:v>
      </x:c>
      <x:c r="E35" s="53"/>
      <x:c r="F35" s="29" t="str">
        <x:v>NO</x:v>
      </x:c>
      <x:c r="G35" s="53" t="n">
        <x:v>26.48862512440352</x:v>
      </x:c>
      <x:c r="H35" s="29" t="str">
        <x:v>YES</x:v>
      </x:c>
      <x:c r="I35" s="53" t="n">
        <x:v>364.34308324508163</x:v>
      </x:c>
      <x:c r="J35" s="29" t="str">
        <x:v>NO</x:v>
      </x:c>
      <x:c r="K35" s="29" t="str">
        <x:v>Air</x:v>
      </x:c>
      <x:c r="L35" s="53" t="n">
        <x:v>26.48862512440352</x:v>
      </x:c>
      <x:c r="M35" s="41" t="n">
        <x:f>INDEX(Catchments!C:C,MATCH(A35,Catchments!A:A,0))</x:f>
        <x:v>1432820</x:v>
      </x:c>
      <x:c r="N35" s="41" t="n">
        <x:f>INDEX(Catchments!C:C,MATCH(B35,Catchments!A:A,0))</x:f>
        <x:v>3184835</x:v>
      </x:c>
    </x:row>
    <x:row r="36" ht="15" hidden="0" customHeight="1">
      <x:c r="A36" s="27" t="str">
        <x:v>SCA-02</x:v>
      </x:c>
      <x:c r="B36" s="27" t="str">
        <x:v>SCA-01</x:v>
      </x:c>
      <x:c r="C36" s="52"/>
      <x:c r="D36" s="27" t="str">
        <x:v>NO</x:v>
      </x:c>
      <x:c r="E36" s="52"/>
      <x:c r="F36" s="27" t="str">
        <x:v>NO</x:v>
      </x:c>
      <x:c r="G36" s="52" t="n">
        <x:v>19.031808667395513</x:v>
      </x:c>
      <x:c r="H36" s="27" t="str">
        <x:v>YES</x:v>
      </x:c>
      <x:c r="I36" s="52" t="n">
        <x:v>191.23841549311012</x:v>
      </x:c>
      <x:c r="J36" s="27" t="str">
        <x:v>NO</x:v>
      </x:c>
      <x:c r="K36" s="27" t="str">
        <x:v>Air</x:v>
      </x:c>
      <x:c r="L36" s="52" t="n">
        <x:v>19.031808667395513</x:v>
      </x:c>
      <x:c r="M36" s="40" t="n">
        <x:f>INDEX(Catchments!C:C,MATCH(A36,Catchments!A:A,0))</x:f>
        <x:v>737270</x:v>
      </x:c>
      <x:c r="N36" s="40" t="n">
        <x:f>INDEX(Catchments!C:C,MATCH(B36,Catchments!A:A,0))</x:f>
        <x:v>1432820</x:v>
      </x:c>
    </x:row>
    <x:row r="37" ht="15" hidden="0" customHeight="1">
      <x:c r="A37" s="29" t="str">
        <x:v>SCA-02</x:v>
      </x:c>
      <x:c r="B37" s="29" t="str">
        <x:v>SCA-03</x:v>
      </x:c>
      <x:c r="C37" s="53"/>
      <x:c r="D37" s="29" t="str">
        <x:v>NO</x:v>
      </x:c>
      <x:c r="E37" s="53"/>
      <x:c r="F37" s="29" t="str">
        <x:v>NO</x:v>
      </x:c>
      <x:c r="G37" s="53" t="n">
        <x:v>15.505528922167255</x:v>
      </x:c>
      <x:c r="H37" s="29" t="str">
        <x:v>YES</x:v>
      </x:c>
      <x:c r="I37" s="53" t="n">
        <x:v>109.37834997888268</x:v>
      </x:c>
      <x:c r="J37" s="29" t="str">
        <x:v>NO</x:v>
      </x:c>
      <x:c r="K37" s="29" t="str">
        <x:v>Air</x:v>
      </x:c>
      <x:c r="L37" s="53" t="n">
        <x:v>15.505528922167255</x:v>
      </x:c>
      <x:c r="M37" s="41" t="n">
        <x:f>INDEX(Catchments!C:C,MATCH(A37,Catchments!A:A,0))</x:f>
        <x:v>737270</x:v>
      </x:c>
      <x:c r="N37" s="41" t="n">
        <x:f>INDEX(Catchments!C:C,MATCH(B37,Catchments!A:A,0))</x:f>
        <x:v>11968308</x:v>
      </x:c>
    </x:row>
    <x:row r="38" ht="15" hidden="0" customHeight="1">
      <x:c r="A38" s="27" t="str">
        <x:v>SCA-02</x:v>
      </x:c>
      <x:c r="B38" s="27" t="str">
        <x:v>SCA-04</x:v>
      </x:c>
      <x:c r="C38" s="52"/>
      <x:c r="D38" s="27" t="str">
        <x:v>NO</x:v>
      </x:c>
      <x:c r="E38" s="52"/>
      <x:c r="F38" s="27" t="str">
        <x:v>NO</x:v>
      </x:c>
      <x:c r="G38" s="52" t="n">
        <x:v>16.78057870586929</x:v>
      </x:c>
      <x:c r="H38" s="27" t="str">
        <x:v>YES</x:v>
      </x:c>
      <x:c r="I38" s="52" t="n">
        <x:v>138.97771995767988</x:v>
      </x:c>
      <x:c r="J38" s="27" t="str">
        <x:v>NO</x:v>
      </x:c>
      <x:c r="K38" s="27" t="str">
        <x:v>Air</x:v>
      </x:c>
      <x:c r="L38" s="52" t="n">
        <x:v>16.78057870586929</x:v>
      </x:c>
      <x:c r="M38" s="40" t="n">
        <x:f>INDEX(Catchments!C:C,MATCH(A38,Catchments!A:A,0))</x:f>
        <x:v>737270</x:v>
      </x:c>
      <x:c r="N38" s="40" t="n">
        <x:f>INDEX(Catchments!C:C,MATCH(B38,Catchments!A:A,0))</x:f>
        <x:v>16200470</x:v>
      </x:c>
    </x:row>
    <x:row r="39" ht="15" hidden="0" customHeight="1">
      <x:c r="A39" s="29" t="str">
        <x:v>SCA-02</x:v>
      </x:c>
      <x:c r="B39" s="29" t="str">
        <x:v>SCA-05</x:v>
      </x:c>
      <x:c r="C39" s="53"/>
      <x:c r="D39" s="29" t="str">
        <x:v>NO</x:v>
      </x:c>
      <x:c r="E39" s="53"/>
      <x:c r="F39" s="29" t="str">
        <x:v>NO</x:v>
      </x:c>
      <x:c r="G39" s="53" t="n">
        <x:v>17.559053285895004</x:v>
      </x:c>
      <x:c r="H39" s="29" t="str">
        <x:v>YES</x:v>
      </x:c>
      <x:c r="I39" s="53" t="n">
        <x:v>157.0494512797054</x:v>
      </x:c>
      <x:c r="J39" s="29" t="str">
        <x:v>NO</x:v>
      </x:c>
      <x:c r="K39" s="29" t="str">
        <x:v>Air</x:v>
      </x:c>
      <x:c r="L39" s="53" t="n">
        <x:v>17.559053285895004</x:v>
      </x:c>
      <x:c r="M39" s="41" t="n">
        <x:f>INDEX(Catchments!C:C,MATCH(A39,Catchments!A:A,0))</x:f>
        <x:v>737270</x:v>
      </x:c>
      <x:c r="N39" s="41" t="n">
        <x:f>INDEX(Catchments!C:C,MATCH(B39,Catchments!A:A,0))</x:f>
        <x:v>15966265</x:v>
      </x:c>
    </x:row>
    <x:row r="40" ht="15" hidden="0" customHeight="1">
      <x:c r="A40" s="27" t="str">
        <x:v>SCA-02</x:v>
      </x:c>
      <x:c r="B40" s="27" t="str">
        <x:v>SCA-06</x:v>
      </x:c>
      <x:c r="C40" s="52"/>
      <x:c r="D40" s="27" t="str">
        <x:v>NO</x:v>
      </x:c>
      <x:c r="E40" s="52"/>
      <x:c r="F40" s="27" t="str">
        <x:v>NO</x:v>
      </x:c>
      <x:c r="G40" s="52" t="n">
        <x:v>17.824176900216735</x:v>
      </x:c>
      <x:c r="H40" s="27" t="str">
        <x:v>YES</x:v>
      </x:c>
      <x:c r="I40" s="52" t="n">
        <x:v>163.2041066121742</x:v>
      </x:c>
      <x:c r="J40" s="27" t="str">
        <x:v>NO</x:v>
      </x:c>
      <x:c r="K40" s="27" t="str">
        <x:v>Air</x:v>
      </x:c>
      <x:c r="L40" s="52" t="n">
        <x:v>17.824176900216735</x:v>
      </x:c>
      <x:c r="M40" s="40" t="n">
        <x:f>INDEX(Catchments!C:C,MATCH(A40,Catchments!A:A,0))</x:f>
        <x:v>737270</x:v>
      </x:c>
      <x:c r="N40" s="40" t="n">
        <x:f>INDEX(Catchments!C:C,MATCH(B40,Catchments!A:A,0))</x:f>
        <x:v>6008575</x:v>
      </x:c>
    </x:row>
    <x:row r="41" ht="15" hidden="0" customHeight="1">
      <x:c r="A41" s="29" t="str">
        <x:v>SCA-02</x:v>
      </x:c>
      <x:c r="B41" s="29" t="str">
        <x:v>SCA-07</x:v>
      </x:c>
      <x:c r="C41" s="53"/>
      <x:c r="D41" s="29" t="str">
        <x:v>NO</x:v>
      </x:c>
      <x:c r="E41" s="53"/>
      <x:c r="F41" s="29" t="str">
        <x:v>NO</x:v>
      </x:c>
      <x:c r="G41" s="53" t="n">
        <x:v>17.522148207883063</x:v>
      </x:c>
      <x:c r="H41" s="29" t="str">
        <x:v>YES</x:v>
      </x:c>
      <x:c r="I41" s="53" t="n">
        <x:v>156.19272625442827</x:v>
      </x:c>
      <x:c r="J41" s="29" t="str">
        <x:v>NO</x:v>
      </x:c>
      <x:c r="K41" s="29" t="str">
        <x:v>Air</x:v>
      </x:c>
      <x:c r="L41" s="53" t="n">
        <x:v>17.522148207883063</x:v>
      </x:c>
      <x:c r="M41" s="41" t="n">
        <x:f>INDEX(Catchments!C:C,MATCH(A41,Catchments!A:A,0))</x:f>
        <x:v>737270</x:v>
      </x:c>
      <x:c r="N41" s="41" t="n">
        <x:f>INDEX(Catchments!C:C,MATCH(B41,Catchments!A:A,0))</x:f>
        <x:v>5229370</x:v>
      </x:c>
    </x:row>
    <x:row r="42" ht="15" hidden="0" customHeight="1">
      <x:c r="A42" s="27" t="str">
        <x:v>SCA-02</x:v>
      </x:c>
      <x:c r="B42" s="27" t="str">
        <x:v>SCA-08</x:v>
      </x:c>
      <x:c r="C42" s="52"/>
      <x:c r="D42" s="27" t="str">
        <x:v>NO</x:v>
      </x:c>
      <x:c r="E42" s="52"/>
      <x:c r="F42" s="27" t="str">
        <x:v>NO</x:v>
      </x:c>
      <x:c r="G42" s="52" t="n">
        <x:v>16.233965254889196</x:v>
      </x:c>
      <x:c r="H42" s="27" t="str">
        <x:v>YES</x:v>
      </x:c>
      <x:c r="I42" s="52" t="n">
        <x:v>126.28847913135631</x:v>
      </x:c>
      <x:c r="J42" s="27" t="str">
        <x:v>NO</x:v>
      </x:c>
      <x:c r="K42" s="27" t="str">
        <x:v>Air</x:v>
      </x:c>
      <x:c r="L42" s="52" t="n">
        <x:v>16.233965254889196</x:v>
      </x:c>
      <x:c r="M42" s="40" t="n">
        <x:f>INDEX(Catchments!C:C,MATCH(A42,Catchments!A:A,0))</x:f>
        <x:v>737270</x:v>
      </x:c>
      <x:c r="N42" s="40" t="n">
        <x:f>INDEX(Catchments!C:C,MATCH(B42,Catchments!A:A,0))</x:f>
        <x:v>2652387</x:v>
      </x:c>
    </x:row>
    <x:row r="43" ht="15" hidden="0" customHeight="1">
      <x:c r="A43" s="29" t="str">
        <x:v>SCA-02</x:v>
      </x:c>
      <x:c r="B43" s="29" t="str">
        <x:v>SCA-09</x:v>
      </x:c>
      <x:c r="C43" s="53"/>
      <x:c r="D43" s="29" t="str">
        <x:v>NO</x:v>
      </x:c>
      <x:c r="E43" s="53"/>
      <x:c r="F43" s="29" t="str">
        <x:v>NO</x:v>
      </x:c>
      <x:c r="G43" s="53" t="n">
        <x:v>18.10544005363822</x:v>
      </x:c>
      <x:c r="H43" s="29" t="str">
        <x:v>YES</x:v>
      </x:c>
      <x:c r="I43" s="53"/>
      <x:c r="J43" s="29" t="str">
        <x:v>NO</x:v>
      </x:c>
      <x:c r="K43" s="29" t="str">
        <x:v>Air</x:v>
      </x:c>
      <x:c r="L43" s="53" t="n">
        <x:v>18.10544005363822</x:v>
      </x:c>
      <x:c r="M43" s="41" t="n">
        <x:f>INDEX(Catchments!C:C,MATCH(A43,Catchments!A:A,0))</x:f>
        <x:v>737270</x:v>
      </x:c>
      <x:c r="N43" s="41" t="n">
        <x:f>INDEX(Catchments!C:C,MATCH(B43,Catchments!A:A,0))</x:f>
        <x:v>7395716</x:v>
      </x:c>
    </x:row>
    <x:row r="44" ht="15" hidden="0" customHeight="1">
      <x:c r="A44" s="27" t="str">
        <x:v>SCA-02</x:v>
      </x:c>
      <x:c r="B44" s="27" t="str">
        <x:v>SCA-10</x:v>
      </x:c>
      <x:c r="C44" s="52"/>
      <x:c r="D44" s="27" t="str">
        <x:v>NO</x:v>
      </x:c>
      <x:c r="E44" s="52"/>
      <x:c r="F44" s="27" t="str">
        <x:v>NO</x:v>
      </x:c>
      <x:c r="G44" s="52" t="n">
        <x:v>16.978110434538927</x:v>
      </x:c>
      <x:c r="H44" s="27" t="str">
        <x:v>YES</x:v>
      </x:c>
      <x:c r="I44" s="52"/>
      <x:c r="J44" s="27" t="str">
        <x:v>NO</x:v>
      </x:c>
      <x:c r="K44" s="27" t="str">
        <x:v>Air</x:v>
      </x:c>
      <x:c r="L44" s="52" t="n">
        <x:v>16.978110434538927</x:v>
      </x:c>
      <x:c r="M44" s="40" t="n">
        <x:f>INDEX(Catchments!C:C,MATCH(A44,Catchments!A:A,0))</x:f>
        <x:v>737270</x:v>
      </x:c>
      <x:c r="N44" s="40" t="n">
        <x:f>INDEX(Catchments!C:C,MATCH(B44,Catchments!A:A,0))</x:f>
        <x:v>4127033</x:v>
      </x:c>
    </x:row>
    <x:row r="45" ht="15" hidden="0" customHeight="1">
      <x:c r="A45" s="29" t="str">
        <x:v>SCA-02</x:v>
      </x:c>
      <x:c r="B45" s="29" t="str">
        <x:v>SCA-11</x:v>
      </x:c>
      <x:c r="C45" s="53"/>
      <x:c r="D45" s="29" t="str">
        <x:v>NO</x:v>
      </x:c>
      <x:c r="E45" s="53"/>
      <x:c r="F45" s="29" t="str">
        <x:v>NO</x:v>
      </x:c>
      <x:c r="G45" s="53" t="n">
        <x:v>18.595228816246667</x:v>
      </x:c>
      <x:c r="H45" s="29" t="str">
        <x:v>YES</x:v>
      </x:c>
      <x:c r="I45" s="53" t="n">
        <x:v>181.10352609144047</x:v>
      </x:c>
      <x:c r="J45" s="29" t="str">
        <x:v>NO</x:v>
      </x:c>
      <x:c r="K45" s="29" t="str">
        <x:v>Air</x:v>
      </x:c>
      <x:c r="L45" s="53" t="n">
        <x:v>18.595228816246667</x:v>
      </x:c>
      <x:c r="M45" s="41" t="n">
        <x:f>INDEX(Catchments!C:C,MATCH(A45,Catchments!A:A,0))</x:f>
        <x:v>737270</x:v>
      </x:c>
      <x:c r="N45" s="41" t="n">
        <x:f>INDEX(Catchments!C:C,MATCH(B45,Catchments!A:A,0))</x:f>
        <x:v>3517787</x:v>
      </x:c>
    </x:row>
    <x:row r="46" ht="15" hidden="0" customHeight="1">
      <x:c r="A46" s="27" t="str">
        <x:v>SCA-02</x:v>
      </x:c>
      <x:c r="B46" s="27" t="str">
        <x:v>SCA-12</x:v>
      </x:c>
      <x:c r="C46" s="52"/>
      <x:c r="D46" s="27" t="str">
        <x:v>NO</x:v>
      </x:c>
      <x:c r="E46" s="52"/>
      <x:c r="F46" s="27" t="str">
        <x:v>NO</x:v>
      </x:c>
      <x:c r="G46" s="52" t="n">
        <x:v>17.7156915843579</x:v>
      </x:c>
      <x:c r="H46" s="27" t="str">
        <x:v>YES</x:v>
      </x:c>
      <x:c r="I46" s="52"/>
      <x:c r="J46" s="27" t="str">
        <x:v>NO</x:v>
      </x:c>
      <x:c r="K46" s="27" t="str">
        <x:v>Air</x:v>
      </x:c>
      <x:c r="L46" s="52" t="n">
        <x:v>17.7156915843579</x:v>
      </x:c>
      <x:c r="M46" s="40" t="n">
        <x:f>INDEX(Catchments!C:C,MATCH(A46,Catchments!A:A,0))</x:f>
        <x:v>737270</x:v>
      </x:c>
      <x:c r="N46" s="40" t="n">
        <x:f>INDEX(Catchments!C:C,MATCH(B46,Catchments!A:A,0))</x:f>
        <x:v>7465186</x:v>
      </x:c>
    </x:row>
    <x:row r="47" ht="15" hidden="0" customHeight="1">
      <x:c r="A47" s="29" t="str">
        <x:v>SCA-02</x:v>
      </x:c>
      <x:c r="B47" s="29" t="str">
        <x:v>SCA-13</x:v>
      </x:c>
      <x:c r="C47" s="53"/>
      <x:c r="D47" s="29" t="str">
        <x:v>NO</x:v>
      </x:c>
      <x:c r="E47" s="53"/>
      <x:c r="F47" s="29" t="str">
        <x:v>NO</x:v>
      </x:c>
      <x:c r="G47" s="53" t="n">
        <x:v>19.59173485115433</x:v>
      </x:c>
      <x:c r="H47" s="29" t="str">
        <x:v>YES</x:v>
      </x:c>
      <x:c r="I47" s="53" t="n">
        <x:v>204.236701901797</x:v>
      </x:c>
      <x:c r="J47" s="29" t="str">
        <x:v>NO</x:v>
      </x:c>
      <x:c r="K47" s="29" t="str">
        <x:v>Air</x:v>
      </x:c>
      <x:c r="L47" s="53" t="n">
        <x:v>19.59173485115433</x:v>
      </x:c>
      <x:c r="M47" s="41" t="n">
        <x:f>INDEX(Catchments!C:C,MATCH(A47,Catchments!A:A,0))</x:f>
        <x:v>737270</x:v>
      </x:c>
      <x:c r="N47" s="41" t="n">
        <x:f>INDEX(Catchments!C:C,MATCH(B47,Catchments!A:A,0))</x:f>
        <x:v>6759014</x:v>
      </x:c>
    </x:row>
    <x:row r="48" ht="15" hidden="0" customHeight="1">
      <x:c r="A48" s="27" t="str">
        <x:v>SCA-02</x:v>
      </x:c>
      <x:c r="B48" s="27" t="str">
        <x:v>SCA-14</x:v>
      </x:c>
      <x:c r="C48" s="52"/>
      <x:c r="D48" s="27" t="str">
        <x:v>NO</x:v>
      </x:c>
      <x:c r="E48" s="52"/>
      <x:c r="F48" s="27" t="str">
        <x:v>NO</x:v>
      </x:c>
      <x:c r="G48" s="52" t="n">
        <x:v>20.065862900889513</x:v>
      </x:c>
      <x:c r="H48" s="27" t="str">
        <x:v>YES</x:v>
      </x:c>
      <x:c r="I48" s="52" t="n">
        <x:v>215.2432459135065</x:v>
      </x:c>
      <x:c r="J48" s="27" t="str">
        <x:v>NO</x:v>
      </x:c>
      <x:c r="K48" s="27" t="str">
        <x:v>Air</x:v>
      </x:c>
      <x:c r="L48" s="52" t="n">
        <x:v>20.065862900889513</x:v>
      </x:c>
      <x:c r="M48" s="40" t="n">
        <x:f>INDEX(Catchments!C:C,MATCH(A48,Catchments!A:A,0))</x:f>
        <x:v>737270</x:v>
      </x:c>
      <x:c r="N48" s="40" t="n">
        <x:f>INDEX(Catchments!C:C,MATCH(B48,Catchments!A:A,0))</x:f>
        <x:v>2179728</x:v>
      </x:c>
    </x:row>
    <x:row r="49" ht="15" hidden="0" customHeight="1">
      <x:c r="A49" s="29" t="str">
        <x:v>SCA-02</x:v>
      </x:c>
      <x:c r="B49" s="29" t="str">
        <x:v>SCA-15</x:v>
      </x:c>
      <x:c r="C49" s="53"/>
      <x:c r="D49" s="29" t="str">
        <x:v>NO</x:v>
      </x:c>
      <x:c r="E49" s="53"/>
      <x:c r="F49" s="29" t="str">
        <x:v>NO</x:v>
      </x:c>
      <x:c r="G49" s="53" t="n">
        <x:v>19.25536925594659</x:v>
      </x:c>
      <x:c r="H49" s="29" t="str">
        <x:v>YES</x:v>
      </x:c>
      <x:c r="I49" s="53" t="n">
        <x:v>196.42821487018867</x:v>
      </x:c>
      <x:c r="J49" s="29" t="str">
        <x:v>NO</x:v>
      </x:c>
      <x:c r="K49" s="29" t="str">
        <x:v>Air</x:v>
      </x:c>
      <x:c r="L49" s="53" t="n">
        <x:v>19.25536925594659</x:v>
      </x:c>
      <x:c r="M49" s="41" t="n">
        <x:f>INDEX(Catchments!C:C,MATCH(A49,Catchments!A:A,0))</x:f>
        <x:v>737270</x:v>
      </x:c>
      <x:c r="N49" s="41" t="n">
        <x:f>INDEX(Catchments!C:C,MATCH(B49,Catchments!A:A,0))</x:f>
        <x:v>13192386</x:v>
      </x:c>
    </x:row>
    <x:row r="50" ht="15" hidden="0" customHeight="1">
      <x:c r="A50" s="27" t="str">
        <x:v>SCA-02</x:v>
      </x:c>
      <x:c r="B50" s="27" t="str">
        <x:v>SCA-16</x:v>
      </x:c>
      <x:c r="C50" s="52"/>
      <x:c r="D50" s="27" t="str">
        <x:v>NO</x:v>
      </x:c>
      <x:c r="E50" s="52"/>
      <x:c r="F50" s="27" t="str">
        <x:v>NO</x:v>
      </x:c>
      <x:c r="G50" s="52" t="n">
        <x:v>18.589380398675814</x:v>
      </x:c>
      <x:c r="H50" s="27" t="str">
        <x:v>YES</x:v>
      </x:c>
      <x:c r="I50" s="52"/>
      <x:c r="J50" s="27" t="str">
        <x:v>NO</x:v>
      </x:c>
      <x:c r="K50" s="27" t="str">
        <x:v>Air</x:v>
      </x:c>
      <x:c r="L50" s="52" t="n">
        <x:v>18.589380398675814</x:v>
      </x:c>
      <x:c r="M50" s="40" t="n">
        <x:f>INDEX(Catchments!C:C,MATCH(A50,Catchments!A:A,0))</x:f>
        <x:v>737270</x:v>
      </x:c>
      <x:c r="N50" s="40" t="n">
        <x:f>INDEX(Catchments!C:C,MATCH(B50,Catchments!A:A,0))</x:f>
        <x:v>10177969</x:v>
      </x:c>
    </x:row>
    <x:row r="51" ht="15" hidden="0" customHeight="1">
      <x:c r="A51" s="29" t="str">
        <x:v>SCA-02</x:v>
      </x:c>
      <x:c r="B51" s="29" t="str">
        <x:v>SCA-17</x:v>
      </x:c>
      <x:c r="C51" s="53"/>
      <x:c r="D51" s="29" t="str">
        <x:v>NO</x:v>
      </x:c>
      <x:c r="E51" s="53"/>
      <x:c r="F51" s="29" t="str">
        <x:v>NO</x:v>
      </x:c>
      <x:c r="G51" s="53" t="n">
        <x:v>19.881831234028187</x:v>
      </x:c>
      <x:c r="H51" s="29" t="str">
        <x:v>YES</x:v>
      </x:c>
      <x:c r="I51" s="53" t="n">
        <x:v>210.97108221851147</x:v>
      </x:c>
      <x:c r="J51" s="29" t="str">
        <x:v>NO</x:v>
      </x:c>
      <x:c r="K51" s="29" t="str">
        <x:v>Air</x:v>
      </x:c>
      <x:c r="L51" s="53" t="n">
        <x:v>19.881831234028187</x:v>
      </x:c>
      <x:c r="M51" s="41" t="n">
        <x:f>INDEX(Catchments!C:C,MATCH(A51,Catchments!A:A,0))</x:f>
        <x:v>737270</x:v>
      </x:c>
      <x:c r="N51" s="41" t="n">
        <x:f>INDEX(Catchments!C:C,MATCH(B51,Catchments!A:A,0))</x:f>
        <x:v>12843509</x:v>
      </x:c>
    </x:row>
    <x:row r="52" ht="15" hidden="0" customHeight="1">
      <x:c r="A52" s="27" t="str">
        <x:v>SCA-02</x:v>
      </x:c>
      <x:c r="B52" s="27" t="str">
        <x:v>SCA-18</x:v>
      </x:c>
      <x:c r="C52" s="52"/>
      <x:c r="D52" s="27" t="str">
        <x:v>NO</x:v>
      </x:c>
      <x:c r="E52" s="52"/>
      <x:c r="F52" s="27" t="str">
        <x:v>NO</x:v>
      </x:c>
      <x:c r="G52" s="52" t="n">
        <x:v>17.878734577532086</x:v>
      </x:c>
      <x:c r="H52" s="27" t="str">
        <x:v>YES</x:v>
      </x:c>
      <x:c r="I52" s="52" t="n">
        <x:v>164.47062412128057</x:v>
      </x:c>
      <x:c r="J52" s="27" t="str">
        <x:v>NO</x:v>
      </x:c>
      <x:c r="K52" s="27" t="str">
        <x:v>Air</x:v>
      </x:c>
      <x:c r="L52" s="52" t="n">
        <x:v>17.878734577532086</x:v>
      </x:c>
      <x:c r="M52" s="40" t="n">
        <x:f>INDEX(Catchments!C:C,MATCH(A52,Catchments!A:A,0))</x:f>
        <x:v>737270</x:v>
      </x:c>
      <x:c r="N52" s="40" t="n">
        <x:f>INDEX(Catchments!C:C,MATCH(B52,Catchments!A:A,0))</x:f>
        <x:v>11004680</x:v>
      </x:c>
    </x:row>
    <x:row r="53" ht="15" hidden="0" customHeight="1">
      <x:c r="A53" s="29" t="str">
        <x:v>SCA-02</x:v>
      </x:c>
      <x:c r="B53" s="29" t="str">
        <x:v>SCA-19</x:v>
      </x:c>
      <x:c r="C53" s="53"/>
      <x:c r="D53" s="29" t="str">
        <x:v>NO</x:v>
      </x:c>
      <x:c r="E53" s="53"/>
      <x:c r="F53" s="29" t="str">
        <x:v>NO</x:v>
      </x:c>
      <x:c r="G53" s="53" t="n">
        <x:v>18.915843178496225</x:v>
      </x:c>
      <x:c r="H53" s="29" t="str">
        <x:v>YES</x:v>
      </x:c>
      <x:c r="I53" s="53" t="n">
        <x:v>188.54635950080515</x:v>
      </x:c>
      <x:c r="J53" s="29" t="str">
        <x:v>NO</x:v>
      </x:c>
      <x:c r="K53" s="29" t="str">
        <x:v>Air</x:v>
      </x:c>
      <x:c r="L53" s="53" t="n">
        <x:v>18.915843178496225</x:v>
      </x:c>
      <x:c r="M53" s="41" t="n">
        <x:f>INDEX(Catchments!C:C,MATCH(A53,Catchments!A:A,0))</x:f>
        <x:v>737270</x:v>
      </x:c>
      <x:c r="N53" s="41" t="n">
        <x:f>INDEX(Catchments!C:C,MATCH(B53,Catchments!A:A,0))</x:f>
        <x:v>6677653</x:v>
      </x:c>
    </x:row>
    <x:row r="54" ht="15" hidden="0" customHeight="1">
      <x:c r="A54" s="27" t="str">
        <x:v>SCA-02</x:v>
      </x:c>
      <x:c r="B54" s="27" t="str">
        <x:v>SCA-20</x:v>
      </x:c>
      <x:c r="C54" s="52"/>
      <x:c r="D54" s="27" t="str">
        <x:v>NO</x:v>
      </x:c>
      <x:c r="E54" s="52"/>
      <x:c r="F54" s="27" t="str">
        <x:v>NO</x:v>
      </x:c>
      <x:c r="G54" s="52" t="n">
        <x:v>19.633524568992563</x:v>
      </x:c>
      <x:c r="H54" s="27" t="str">
        <x:v>YES</x:v>
      </x:c>
      <x:c r="I54" s="52" t="n">
        <x:v>205.2068203516131</x:v>
      </x:c>
      <x:c r="J54" s="27" t="str">
        <x:v>NO</x:v>
      </x:c>
      <x:c r="K54" s="27" t="str">
        <x:v>Air</x:v>
      </x:c>
      <x:c r="L54" s="52" t="n">
        <x:v>19.633524568992563</x:v>
      </x:c>
      <x:c r="M54" s="40" t="n">
        <x:f>INDEX(Catchments!C:C,MATCH(A54,Catchments!A:A,0))</x:f>
        <x:v>737270</x:v>
      </x:c>
      <x:c r="N54" s="40" t="n">
        <x:f>INDEX(Catchments!C:C,MATCH(B54,Catchments!A:A,0))</x:f>
        <x:v>8490774</x:v>
      </x:c>
    </x:row>
    <x:row r="55" ht="15" hidden="0" customHeight="1">
      <x:c r="A55" s="29" t="str">
        <x:v>SCA-02</x:v>
      </x:c>
      <x:c r="B55" s="29" t="str">
        <x:v>SCA-21</x:v>
      </x:c>
      <x:c r="C55" s="53"/>
      <x:c r="D55" s="29" t="str">
        <x:v>NO</x:v>
      </x:c>
      <x:c r="E55" s="53"/>
      <x:c r="F55" s="29" t="str">
        <x:v>NO</x:v>
      </x:c>
      <x:c r="G55" s="53" t="n">
        <x:v>18.693281884116022</x:v>
      </x:c>
      <x:c r="H55" s="29" t="str">
        <x:v>YES</x:v>
      </x:c>
      <x:c r="I55" s="53" t="n">
        <x:v>183.37975802412194</x:v>
      </x:c>
      <x:c r="J55" s="29" t="str">
        <x:v>NO</x:v>
      </x:c>
      <x:c r="K55" s="29" t="str">
        <x:v>Air</x:v>
      </x:c>
      <x:c r="L55" s="53" t="n">
        <x:v>18.693281884116022</x:v>
      </x:c>
      <x:c r="M55" s="41" t="n">
        <x:f>INDEX(Catchments!C:C,MATCH(A55,Catchments!A:A,0))</x:f>
        <x:v>737270</x:v>
      </x:c>
      <x:c r="N55" s="41" t="n">
        <x:f>INDEX(Catchments!C:C,MATCH(B55,Catchments!A:A,0))</x:f>
        <x:v>19593580</x:v>
      </x:c>
    </x:row>
    <x:row r="56" ht="15" hidden="0" customHeight="1">
      <x:c r="A56" s="27" t="str">
        <x:v>SCA-02</x:v>
      </x:c>
      <x:c r="B56" s="27" t="str">
        <x:v>SCA-22</x:v>
      </x:c>
      <x:c r="C56" s="52"/>
      <x:c r="D56" s="27" t="str">
        <x:v>NO</x:v>
      </x:c>
      <x:c r="E56" s="52"/>
      <x:c r="F56" s="27" t="str">
        <x:v>NO</x:v>
      </x:c>
      <x:c r="G56" s="52" t="n">
        <x:v>19.414828577713614</x:v>
      </x:c>
      <x:c r="H56" s="27" t="str">
        <x:v>YES</x:v>
      </x:c>
      <x:c r="I56" s="52" t="n">
        <x:v>200.12994912549465</x:v>
      </x:c>
      <x:c r="J56" s="27" t="str">
        <x:v>NO</x:v>
      </x:c>
      <x:c r="K56" s="27" t="str">
        <x:v>Air</x:v>
      </x:c>
      <x:c r="L56" s="52" t="n">
        <x:v>19.414828577713614</x:v>
      </x:c>
      <x:c r="M56" s="40" t="n">
        <x:f>INDEX(Catchments!C:C,MATCH(A56,Catchments!A:A,0))</x:f>
        <x:v>737270</x:v>
      </x:c>
      <x:c r="N56" s="40" t="n">
        <x:f>INDEX(Catchments!C:C,MATCH(B56,Catchments!A:A,0))</x:f>
        <x:v>14732006</x:v>
      </x:c>
    </x:row>
    <x:row r="57" ht="15" hidden="0" customHeight="1">
      <x:c r="A57" s="29" t="str">
        <x:v>SCA-02</x:v>
      </x:c>
      <x:c r="B57" s="29" t="str">
        <x:v>SCA-23</x:v>
      </x:c>
      <x:c r="C57" s="53"/>
      <x:c r="D57" s="29" t="str">
        <x:v>NO</x:v>
      </x:c>
      <x:c r="E57" s="53"/>
      <x:c r="F57" s="29" t="str">
        <x:v>NO</x:v>
      </x:c>
      <x:c r="G57" s="53" t="n">
        <x:v>20.110382319739557</x:v>
      </x:c>
      <x:c r="H57" s="29" t="str">
        <x:v>YES</x:v>
      </x:c>
      <x:c r="I57" s="53" t="n">
        <x:v>216.27673242252538</x:v>
      </x:c>
      <x:c r="J57" s="29" t="str">
        <x:v>NO</x:v>
      </x:c>
      <x:c r="K57" s="29" t="str">
        <x:v>Air</x:v>
      </x:c>
      <x:c r="L57" s="53" t="n">
        <x:v>20.110382319739557</x:v>
      </x:c>
      <x:c r="M57" s="41" t="n">
        <x:f>INDEX(Catchments!C:C,MATCH(A57,Catchments!A:A,0))</x:f>
        <x:v>737270</x:v>
      </x:c>
      <x:c r="N57" s="41" t="n">
        <x:f>INDEX(Catchments!C:C,MATCH(B57,Catchments!A:A,0))</x:f>
        <x:v>20869310</x:v>
      </x:c>
    </x:row>
    <x:row r="58" ht="15" hidden="0" customHeight="1">
      <x:c r="A58" s="27" t="str">
        <x:v>SCA-02</x:v>
      </x:c>
      <x:c r="B58" s="27" t="str">
        <x:v>SCA-24</x:v>
      </x:c>
      <x:c r="C58" s="52"/>
      <x:c r="D58" s="27" t="str">
        <x:v>NO</x:v>
      </x:c>
      <x:c r="E58" s="52"/>
      <x:c r="F58" s="27" t="str">
        <x:v>NO</x:v>
      </x:c>
      <x:c r="G58" s="52" t="n">
        <x:v>19.006922686784662</x:v>
      </x:c>
      <x:c r="H58" s="27" t="str">
        <x:v>YES</x:v>
      </x:c>
      <x:c r="I58" s="52" t="n">
        <x:v>190.6607052289297</x:v>
      </x:c>
      <x:c r="J58" s="27" t="str">
        <x:v>NO</x:v>
      </x:c>
      <x:c r="K58" s="27" t="str">
        <x:v>Air</x:v>
      </x:c>
      <x:c r="L58" s="52" t="n">
        <x:v>19.006922686784662</x:v>
      </x:c>
      <x:c r="M58" s="40" t="n">
        <x:f>INDEX(Catchments!C:C,MATCH(A58,Catchments!A:A,0))</x:f>
        <x:v>737270</x:v>
      </x:c>
      <x:c r="N58" s="40" t="n">
        <x:f>INDEX(Catchments!C:C,MATCH(B58,Catchments!A:A,0))</x:f>
        <x:v>11816161</x:v>
      </x:c>
    </x:row>
    <x:row r="59" ht="15" hidden="0" customHeight="1">
      <x:c r="A59" s="29" t="str">
        <x:v>SCA-02</x:v>
      </x:c>
      <x:c r="B59" s="29" t="str">
        <x:v>SCA-25</x:v>
      </x:c>
      <x:c r="C59" s="53"/>
      <x:c r="D59" s="29" t="str">
        <x:v>NO</x:v>
      </x:c>
      <x:c r="E59" s="53"/>
      <x:c r="F59" s="29" t="str">
        <x:v>NO</x:v>
      </x:c>
      <x:c r="G59" s="53" t="n">
        <x:v>20.771888257371202</x:v>
      </x:c>
      <x:c r="H59" s="29" t="str">
        <x:v>YES</x:v>
      </x:c>
      <x:c r="I59" s="53" t="n">
        <x:v>231.63312026040293</x:v>
      </x:c>
      <x:c r="J59" s="29" t="str">
        <x:v>NO</x:v>
      </x:c>
      <x:c r="K59" s="29" t="str">
        <x:v>Air</x:v>
      </x:c>
      <x:c r="L59" s="53" t="n">
        <x:v>20.771888257371202</x:v>
      </x:c>
      <x:c r="M59" s="41" t="n">
        <x:f>INDEX(Catchments!C:C,MATCH(A59,Catchments!A:A,0))</x:f>
        <x:v>737270</x:v>
      </x:c>
      <x:c r="N59" s="41" t="n">
        <x:f>INDEX(Catchments!C:C,MATCH(B59,Catchments!A:A,0))</x:f>
        <x:v>6408394</x:v>
      </x:c>
    </x:row>
    <x:row r="60" ht="15" hidden="0" customHeight="1">
      <x:c r="A60" s="27" t="str">
        <x:v>SCA-02</x:v>
      </x:c>
      <x:c r="B60" s="27" t="str">
        <x:v>SCA-26</x:v>
      </x:c>
      <x:c r="C60" s="52"/>
      <x:c r="D60" s="27" t="str">
        <x:v>NO</x:v>
      </x:c>
      <x:c r="E60" s="52"/>
      <x:c r="F60" s="27" t="str">
        <x:v>NO</x:v>
      </x:c>
      <x:c r="G60" s="52" t="n">
        <x:v>21.158252929568448</x:v>
      </x:c>
      <x:c r="H60" s="27" t="str">
        <x:v>YES</x:v>
      </x:c>
      <x:c r="I60" s="52" t="n">
        <x:v>240.6023001506961</x:v>
      </x:c>
      <x:c r="J60" s="27" t="str">
        <x:v>NO</x:v>
      </x:c>
      <x:c r="K60" s="27" t="str">
        <x:v>Air</x:v>
      </x:c>
      <x:c r="L60" s="52" t="n">
        <x:v>21.158252929568448</x:v>
      </x:c>
      <x:c r="M60" s="40" t="n">
        <x:f>INDEX(Catchments!C:C,MATCH(A60,Catchments!A:A,0))</x:f>
        <x:v>737270</x:v>
      </x:c>
      <x:c r="N60" s="40" t="n">
        <x:f>INDEX(Catchments!C:C,MATCH(B60,Catchments!A:A,0))</x:f>
        <x:v>10737083</x:v>
      </x:c>
    </x:row>
    <x:row r="61" ht="15" hidden="0" customHeight="1">
      <x:c r="A61" s="29" t="str">
        <x:v>SCA-02</x:v>
      </x:c>
      <x:c r="B61" s="29" t="str">
        <x:v>SCA-27</x:v>
      </x:c>
      <x:c r="C61" s="53"/>
      <x:c r="D61" s="29" t="str">
        <x:v>NO</x:v>
      </x:c>
      <x:c r="E61" s="53"/>
      <x:c r="F61" s="29" t="str">
        <x:v>NO</x:v>
      </x:c>
      <x:c r="G61" s="53" t="n">
        <x:v>21.532243674933408</x:v>
      </x:c>
      <x:c r="H61" s="29" t="str">
        <x:v>YES</x:v>
      </x:c>
      <x:c r="I61" s="53" t="n">
        <x:v>249.284228168097</x:v>
      </x:c>
      <x:c r="J61" s="29" t="str">
        <x:v>NO</x:v>
      </x:c>
      <x:c r="K61" s="29" t="str">
        <x:v>Air</x:v>
      </x:c>
      <x:c r="L61" s="53" t="n">
        <x:v>21.532243674933408</x:v>
      </x:c>
      <x:c r="M61" s="41" t="n">
        <x:f>INDEX(Catchments!C:C,MATCH(A61,Catchments!A:A,0))</x:f>
        <x:v>737270</x:v>
      </x:c>
      <x:c r="N61" s="41" t="n">
        <x:f>INDEX(Catchments!C:C,MATCH(B61,Catchments!A:A,0))</x:f>
        <x:v>7505606</x:v>
      </x:c>
    </x:row>
    <x:row r="62" ht="15" hidden="0" customHeight="1">
      <x:c r="A62" s="27" t="str">
        <x:v>SCA-02</x:v>
      </x:c>
      <x:c r="B62" s="27" t="str">
        <x:v>SCA-28</x:v>
      </x:c>
      <x:c r="C62" s="52"/>
      <x:c r="D62" s="27" t="str">
        <x:v>NO</x:v>
      </x:c>
      <x:c r="E62" s="52"/>
      <x:c r="F62" s="27" t="str">
        <x:v>NO</x:v>
      </x:c>
      <x:c r="G62" s="52" t="n">
        <x:v>19.63286852901745</x:v>
      </x:c>
      <x:c r="H62" s="27" t="str">
        <x:v>YES</x:v>
      </x:c>
      <x:c r="I62" s="52" t="n">
        <x:v>205.1915908521908</x:v>
      </x:c>
      <x:c r="J62" s="27" t="str">
        <x:v>NO</x:v>
      </x:c>
      <x:c r="K62" s="27" t="str">
        <x:v>Air</x:v>
      </x:c>
      <x:c r="L62" s="52" t="n">
        <x:v>19.63286852901745</x:v>
      </x:c>
      <x:c r="M62" s="40" t="n">
        <x:f>INDEX(Catchments!C:C,MATCH(A62,Catchments!A:A,0))</x:f>
        <x:v>737270</x:v>
      </x:c>
      <x:c r="N62" s="40" t="n">
        <x:f>INDEX(Catchments!C:C,MATCH(B62,Catchments!A:A,0))</x:f>
        <x:v>21305157</x:v>
      </x:c>
    </x:row>
    <x:row r="63" ht="15" hidden="0" customHeight="1">
      <x:c r="A63" s="29" t="str">
        <x:v>SCA-02</x:v>
      </x:c>
      <x:c r="B63" s="29" t="str">
        <x:v>SCA-29</x:v>
      </x:c>
      <x:c r="C63" s="53"/>
      <x:c r="D63" s="29" t="str">
        <x:v>NO</x:v>
      </x:c>
      <x:c r="E63" s="53"/>
      <x:c r="F63" s="29" t="str">
        <x:v>NO</x:v>
      </x:c>
      <x:c r="G63" s="53" t="n">
        <x:v>20.271128530192634</x:v>
      </x:c>
      <x:c r="H63" s="29" t="str">
        <x:v>YES</x:v>
      </x:c>
      <x:c r="I63" s="53" t="n">
        <x:v>220.00834087947183</x:v>
      </x:c>
      <x:c r="J63" s="29" t="str">
        <x:v>NO</x:v>
      </x:c>
      <x:c r="K63" s="29" t="str">
        <x:v>Air</x:v>
      </x:c>
      <x:c r="L63" s="53" t="n">
        <x:v>20.271128530192634</x:v>
      </x:c>
      <x:c r="M63" s="41" t="n">
        <x:f>INDEX(Catchments!C:C,MATCH(A63,Catchments!A:A,0))</x:f>
        <x:v>737270</x:v>
      </x:c>
      <x:c r="N63" s="41" t="n">
        <x:f>INDEX(Catchments!C:C,MATCH(B63,Catchments!A:A,0))</x:f>
        <x:v>19271685</x:v>
      </x:c>
    </x:row>
    <x:row r="64" ht="15" hidden="0" customHeight="1">
      <x:c r="A64" s="27" t="str">
        <x:v>SCA-02</x:v>
      </x:c>
      <x:c r="B64" s="27" t="str">
        <x:v>SCA-30</x:v>
      </x:c>
      <x:c r="C64" s="52"/>
      <x:c r="D64" s="27" t="str">
        <x:v>NO</x:v>
      </x:c>
      <x:c r="E64" s="52"/>
      <x:c r="F64" s="27" t="str">
        <x:v>NO</x:v>
      </x:c>
      <x:c r="G64" s="52" t="n">
        <x:v>19.98806058227262</x:v>
      </x:c>
      <x:c r="H64" s="27" t="str">
        <x:v>YES</x:v>
      </x:c>
      <x:c r="I64" s="52" t="n">
        <x:v>213.43712065990013</x:v>
      </x:c>
      <x:c r="J64" s="27" t="str">
        <x:v>NO</x:v>
      </x:c>
      <x:c r="K64" s="27" t="str">
        <x:v>Air</x:v>
      </x:c>
      <x:c r="L64" s="52" t="n">
        <x:v>19.98806058227262</x:v>
      </x:c>
      <x:c r="M64" s="40" t="n">
        <x:f>INDEX(Catchments!C:C,MATCH(A64,Catchments!A:A,0))</x:f>
        <x:v>737270</x:v>
      </x:c>
      <x:c r="N64" s="40" t="n">
        <x:f>INDEX(Catchments!C:C,MATCH(B64,Catchments!A:A,0))</x:f>
        <x:v>41291847</x:v>
      </x:c>
    </x:row>
    <x:row r="65" ht="15" hidden="0" customHeight="1">
      <x:c r="A65" s="29" t="str">
        <x:v>SCA-02</x:v>
      </x:c>
      <x:c r="B65" s="29" t="str">
        <x:v>SCA-31</x:v>
      </x:c>
      <x:c r="C65" s="53"/>
      <x:c r="D65" s="29" t="str">
        <x:v>NO</x:v>
      </x:c>
      <x:c r="E65" s="53"/>
      <x:c r="F65" s="29" t="str">
        <x:v>NO</x:v>
      </x:c>
      <x:c r="G65" s="53" t="n">
        <x:v>19.95485005764377</x:v>
      </x:c>
      <x:c r="H65" s="29" t="str">
        <x:v>YES</x:v>
      </x:c>
      <x:c r="I65" s="53" t="n">
        <x:v>212.66616205244466</x:v>
      </x:c>
      <x:c r="J65" s="29" t="str">
        <x:v>NO</x:v>
      </x:c>
      <x:c r="K65" s="29" t="str">
        <x:v>Air</x:v>
      </x:c>
      <x:c r="L65" s="53" t="n">
        <x:v>19.95485005764377</x:v>
      </x:c>
      <x:c r="M65" s="41" t="n">
        <x:f>INDEX(Catchments!C:C,MATCH(A65,Catchments!A:A,0))</x:f>
        <x:v>737270</x:v>
      </x:c>
      <x:c r="N65" s="41" t="n">
        <x:f>INDEX(Catchments!C:C,MATCH(B65,Catchments!A:A,0))</x:f>
        <x:v>14227128</x:v>
      </x:c>
    </x:row>
    <x:row r="66" ht="15" hidden="0" customHeight="1">
      <x:c r="A66" s="27" t="str">
        <x:v>SCA-02</x:v>
      </x:c>
      <x:c r="B66" s="27" t="str">
        <x:v>SCA-32</x:v>
      </x:c>
      <x:c r="C66" s="52"/>
      <x:c r="D66" s="27" t="str">
        <x:v>NO</x:v>
      </x:c>
      <x:c r="E66" s="52"/>
      <x:c r="F66" s="27" t="str">
        <x:v>NO</x:v>
      </x:c>
      <x:c r="G66" s="52" t="n">
        <x:v>23.840611119586914</x:v>
      </x:c>
      <x:c r="H66" s="27" t="str">
        <x:v>YES</x:v>
      </x:c>
      <x:c r="I66" s="52" t="n">
        <x:v>302.87132956183905</x:v>
      </x:c>
      <x:c r="J66" s="27" t="str">
        <x:v>NO</x:v>
      </x:c>
      <x:c r="K66" s="27" t="str">
        <x:v>Air</x:v>
      </x:c>
      <x:c r="L66" s="52" t="n">
        <x:v>23.840611119586914</x:v>
      </x:c>
      <x:c r="M66" s="40" t="n">
        <x:f>INDEX(Catchments!C:C,MATCH(A66,Catchments!A:A,0))</x:f>
        <x:v>737270</x:v>
      </x:c>
      <x:c r="N66" s="40" t="n">
        <x:f>INDEX(Catchments!C:C,MATCH(B66,Catchments!A:A,0))</x:f>
        <x:v>3184835</x:v>
      </x:c>
    </x:row>
    <x:row r="67" ht="15" hidden="0" customHeight="1">
      <x:c r="A67" s="29" t="str">
        <x:v>SCA-03</x:v>
      </x:c>
      <x:c r="B67" s="29" t="str">
        <x:v>SCA-01</x:v>
      </x:c>
      <x:c r="C67" s="53"/>
      <x:c r="D67" s="29" t="str">
        <x:v>NO</x:v>
      </x:c>
      <x:c r="E67" s="53"/>
      <x:c r="F67" s="29" t="str">
        <x:v>NO</x:v>
      </x:c>
      <x:c r="G67" s="53" t="n">
        <x:v>18.622469010806824</x:v>
      </x:c>
      <x:c r="H67" s="29" t="str">
        <x:v>YES</x:v>
      </x:c>
      <x:c r="I67" s="53" t="n">
        <x:v>181.73588775087273</x:v>
      </x:c>
      <x:c r="J67" s="29" t="str">
        <x:v>NO</x:v>
      </x:c>
      <x:c r="K67" s="29" t="str">
        <x:v>Air</x:v>
      </x:c>
      <x:c r="L67" s="53" t="n">
        <x:v>18.622469010806824</x:v>
      </x:c>
      <x:c r="M67" s="41" t="n">
        <x:f>INDEX(Catchments!C:C,MATCH(A67,Catchments!A:A,0))</x:f>
        <x:v>11968308</x:v>
      </x:c>
      <x:c r="N67" s="41" t="n">
        <x:f>INDEX(Catchments!C:C,MATCH(B67,Catchments!A:A,0))</x:f>
        <x:v>1432820</x:v>
      </x:c>
    </x:row>
    <x:row r="68" ht="15" hidden="0" customHeight="1">
      <x:c r="A68" s="27" t="str">
        <x:v>SCA-03</x:v>
      </x:c>
      <x:c r="B68" s="27" t="str">
        <x:v>SCA-02</x:v>
      </x:c>
      <x:c r="C68" s="52"/>
      <x:c r="D68" s="27" t="str">
        <x:v>NO</x:v>
      </x:c>
      <x:c r="E68" s="52"/>
      <x:c r="F68" s="27" t="str">
        <x:v>NO</x:v>
      </x:c>
      <x:c r="G68" s="52" t="n">
        <x:v>15.505528922167255</x:v>
      </x:c>
      <x:c r="H68" s="27" t="str">
        <x:v>YES</x:v>
      </x:c>
      <x:c r="I68" s="52" t="n">
        <x:v>109.37834997888268</x:v>
      </x:c>
      <x:c r="J68" s="27" t="str">
        <x:v>NO</x:v>
      </x:c>
      <x:c r="K68" s="27" t="str">
        <x:v>Air</x:v>
      </x:c>
      <x:c r="L68" s="52" t="n">
        <x:v>15.505528922167255</x:v>
      </x:c>
      <x:c r="M68" s="40" t="n">
        <x:f>INDEX(Catchments!C:C,MATCH(A68,Catchments!A:A,0))</x:f>
        <x:v>11968308</x:v>
      </x:c>
      <x:c r="N68" s="40" t="n">
        <x:f>INDEX(Catchments!C:C,MATCH(B68,Catchments!A:A,0))</x:f>
        <x:v>737270</x:v>
      </x:c>
    </x:row>
    <x:row r="69" ht="15" hidden="0" customHeight="1">
      <x:c r="A69" s="29" t="str">
        <x:v>SCA-03</x:v>
      </x:c>
      <x:c r="B69" s="29" t="str">
        <x:v>SCA-04</x:v>
      </x:c>
      <x:c r="C69" s="53" t="n">
        <x:v>33.80251334713229</x:v>
      </x:c>
      <x:c r="D69" s="29" t="str">
        <x:v>YES</x:v>
      </x:c>
      <x:c r="E69" s="53" t="n">
        <x:v>35.559117629889656</x:v>
      </x:c>
      <x:c r="F69" s="29" t="str">
        <x:v>YES</x:v>
      </x:c>
      <x:c r="G69" s="53" t="n">
        <x:v>13.45704111584251</x:v>
      </x:c>
      <x:c r="H69" s="29" t="str">
        <x:v>YES</x:v>
      </x:c>
      <x:c r="I69" s="53" t="n">
        <x:v>61.82416876062968</x:v>
      </x:c>
      <x:c r="J69" s="29" t="str">
        <x:v>YES</x:v>
      </x:c>
      <x:c r="K69" s="29" t="str">
        <x:v>Air</x:v>
      </x:c>
      <x:c r="L69" s="53" t="n">
        <x:v>13.45704111584251</x:v>
      </x:c>
      <x:c r="M69" s="41" t="n">
        <x:f>INDEX(Catchments!C:C,MATCH(A69,Catchments!A:A,0))</x:f>
        <x:v>11968308</x:v>
      </x:c>
      <x:c r="N69" s="41" t="n">
        <x:f>INDEX(Catchments!C:C,MATCH(B69,Catchments!A:A,0))</x:f>
        <x:v>16200470</x:v>
      </x:c>
    </x:row>
    <x:row r="70" ht="15" hidden="0" customHeight="1">
      <x:c r="A70" s="27" t="str">
        <x:v>SCA-03</x:v>
      </x:c>
      <x:c r="B70" s="27" t="str">
        <x:v>SCA-05</x:v>
      </x:c>
      <x:c r="C70" s="52" t="n">
        <x:v>44.51766153461263</x:v>
      </x:c>
      <x:c r="D70" s="27" t="str">
        <x:v>YES</x:v>
      </x:c>
      <x:c r="E70" s="52" t="n">
        <x:v>43.97816263433849</x:v>
      </x:c>
      <x:c r="F70" s="27" t="str">
        <x:v>YES</x:v>
      </x:c>
      <x:c r="G70" s="52" t="n">
        <x:v>14.153598107846662</x:v>
      </x:c>
      <x:c r="H70" s="27" t="str">
        <x:v>YES</x:v>
      </x:c>
      <x:c r="I70" s="52" t="n">
        <x:v>77.99424178929749</x:v>
      </x:c>
      <x:c r="J70" s="27" t="str">
        <x:v>NO</x:v>
      </x:c>
      <x:c r="K70" s="27" t="str">
        <x:v>Air</x:v>
      </x:c>
      <x:c r="L70" s="52" t="n">
        <x:v>14.153598107846662</x:v>
      </x:c>
      <x:c r="M70" s="40" t="n">
        <x:f>INDEX(Catchments!C:C,MATCH(A70,Catchments!A:A,0))</x:f>
        <x:v>11968308</x:v>
      </x:c>
      <x:c r="N70" s="40" t="n">
        <x:f>INDEX(Catchments!C:C,MATCH(B70,Catchments!A:A,0))</x:f>
        <x:v>15966265</x:v>
      </x:c>
    </x:row>
    <x:row r="71" ht="15" hidden="0" customHeight="1">
      <x:c r="A71" s="29" t="str">
        <x:v>SCA-03</x:v>
      </x:c>
      <x:c r="B71" s="29" t="str">
        <x:v>SCA-06</x:v>
      </x:c>
      <x:c r="C71" s="53" t="n">
        <x:v>48.89506830334214</x:v>
      </x:c>
      <x:c r="D71" s="29" t="str">
        <x:v>YES</x:v>
      </x:c>
      <x:c r="E71" s="53" t="n">
        <x:v>47.41755366691168</x:v>
      </x:c>
      <x:c r="F71" s="29" t="str">
        <x:v>YES</x:v>
      </x:c>
      <x:c r="G71" s="53" t="n">
        <x:v>14.375155029681737</x:v>
      </x:c>
      <x:c r="H71" s="29" t="str">
        <x:v>YES</x:v>
      </x:c>
      <x:c r="I71" s="53" t="n">
        <x:v>83.13752747475462</x:v>
      </x:c>
      <x:c r="J71" s="29" t="str">
        <x:v>NO</x:v>
      </x:c>
      <x:c r="K71" s="29" t="str">
        <x:v>Air</x:v>
      </x:c>
      <x:c r="L71" s="53" t="n">
        <x:v>14.375155029681737</x:v>
      </x:c>
      <x:c r="M71" s="41" t="n">
        <x:f>INDEX(Catchments!C:C,MATCH(A71,Catchments!A:A,0))</x:f>
        <x:v>11968308</x:v>
      </x:c>
      <x:c r="N71" s="41" t="n">
        <x:f>INDEX(Catchments!C:C,MATCH(B71,Catchments!A:A,0))</x:f>
        <x:v>6008575</x:v>
      </x:c>
    </x:row>
    <x:row r="72" ht="15" hidden="0" customHeight="1">
      <x:c r="A72" s="27" t="str">
        <x:v>SCA-03</x:v>
      </x:c>
      <x:c r="B72" s="27" t="str">
        <x:v>SCA-07</x:v>
      </x:c>
      <x:c r="C72" s="52" t="n">
        <x:v>46.54077128627128</x:v>
      </x:c>
      <x:c r="D72" s="27" t="str">
        <x:v>YES</x:v>
      </x:c>
      <x:c r="E72" s="52" t="n">
        <x:v>45.56774886778457</x:v>
      </x:c>
      <x:c r="F72" s="27" t="str">
        <x:v>YES</x:v>
      </x:c>
      <x:c r="G72" s="52" t="n">
        <x:v>14.033058723556163</x:v>
      </x:c>
      <x:c r="H72" s="27" t="str">
        <x:v>YES</x:v>
      </x:c>
      <x:c r="I72" s="52" t="n">
        <x:v>75.1960060825538</x:v>
      </x:c>
      <x:c r="J72" s="27" t="str">
        <x:v>NO</x:v>
      </x:c>
      <x:c r="K72" s="27" t="str">
        <x:v>Air</x:v>
      </x:c>
      <x:c r="L72" s="52" t="n">
        <x:v>14.033058723556163</x:v>
      </x:c>
      <x:c r="M72" s="40" t="n">
        <x:f>INDEX(Catchments!C:C,MATCH(A72,Catchments!A:A,0))</x:f>
        <x:v>11968308</x:v>
      </x:c>
      <x:c r="N72" s="40" t="n">
        <x:f>INDEX(Catchments!C:C,MATCH(B72,Catchments!A:A,0))</x:f>
        <x:v>5229370</x:v>
      </x:c>
    </x:row>
    <x:row r="73" ht="15" hidden="0" customHeight="1">
      <x:c r="A73" s="29" t="str">
        <x:v>SCA-03</x:v>
      </x:c>
      <x:c r="B73" s="29" t="str">
        <x:v>SCA-08</x:v>
      </x:c>
      <x:c r="C73" s="53" t="n">
        <x:v>25.72099772859109</x:v>
      </x:c>
      <x:c r="D73" s="29" t="str">
        <x:v>YES</x:v>
      </x:c>
      <x:c r="E73" s="53" t="n">
        <x:v>29.209355358178712</x:v>
      </x:c>
      <x:c r="F73" s="29" t="str">
        <x:v>YES</x:v>
      </x:c>
      <x:c r="G73" s="53" t="n">
        <x:v>12.862414548591985</x:v>
      </x:c>
      <x:c r="H73" s="29" t="str">
        <x:v>YES</x:v>
      </x:c>
      <x:c r="I73" s="53" t="n">
        <x:v>48.02033773517111</x:v>
      </x:c>
      <x:c r="J73" s="29" t="str">
        <x:v>YES</x:v>
      </x:c>
      <x:c r="K73" s="29" t="str">
        <x:v>Air</x:v>
      </x:c>
      <x:c r="L73" s="53" t="n">
        <x:v>12.862414548591985</x:v>
      </x:c>
      <x:c r="M73" s="41" t="n">
        <x:f>INDEX(Catchments!C:C,MATCH(A73,Catchments!A:A,0))</x:f>
        <x:v>11968308</x:v>
      </x:c>
      <x:c r="N73" s="41" t="n">
        <x:f>INDEX(Catchments!C:C,MATCH(B73,Catchments!A:A,0))</x:f>
        <x:v>2652387</x:v>
      </x:c>
    </x:row>
    <x:row r="74" ht="15" hidden="0" customHeight="1">
      <x:c r="A74" s="27" t="str">
        <x:v>SCA-03</x:v>
      </x:c>
      <x:c r="B74" s="27" t="str">
        <x:v>SCA-09</x:v>
      </x:c>
      <x:c r="C74" s="52" t="n">
        <x:v>54.56367520265494</x:v>
      </x:c>
      <x:c r="D74" s="27" t="str">
        <x:v>YES</x:v>
      </x:c>
      <x:c r="E74" s="52" t="n">
        <x:v>51.87145908780031</x:v>
      </x:c>
      <x:c r="F74" s="27" t="str">
        <x:v>YES</x:v>
      </x:c>
      <x:c r="G74" s="52" t="n">
        <x:v>14.601970102646824</x:v>
      </x:c>
      <x:c r="H74" s="27" t="str">
        <x:v>YES</x:v>
      </x:c>
      <x:c r="I74" s="52"/>
      <x:c r="J74" s="27" t="str">
        <x:v>NO</x:v>
      </x:c>
      <x:c r="K74" s="27" t="str">
        <x:v>Air</x:v>
      </x:c>
      <x:c r="L74" s="52" t="n">
        <x:v>14.601970102646824</x:v>
      </x:c>
      <x:c r="M74" s="40" t="n">
        <x:f>INDEX(Catchments!C:C,MATCH(A74,Catchments!A:A,0))</x:f>
        <x:v>11968308</x:v>
      </x:c>
      <x:c r="N74" s="40" t="n">
        <x:f>INDEX(Catchments!C:C,MATCH(B74,Catchments!A:A,0))</x:f>
        <x:v>7395716</x:v>
      </x:c>
    </x:row>
    <x:row r="75" ht="15" hidden="0" customHeight="1">
      <x:c r="A75" s="29" t="str">
        <x:v>SCA-03</x:v>
      </x:c>
      <x:c r="B75" s="29" t="str">
        <x:v>SCA-10</x:v>
      </x:c>
      <x:c r="C75" s="53" t="n">
        <x:v>35.839719849026295</x:v>
      </x:c>
      <x:c r="D75" s="29" t="str">
        <x:v>YES</x:v>
      </x:c>
      <x:c r="E75" s="53" t="n">
        <x:v>37.1597798813778</x:v>
      </x:c>
      <x:c r="F75" s="29" t="str">
        <x:v>YES</x:v>
      </x:c>
      <x:c r="G75" s="53" t="n">
        <x:v>13.561675630632529</x:v>
      </x:c>
      <x:c r="H75" s="29" t="str">
        <x:v>YES</x:v>
      </x:c>
      <x:c r="I75" s="53"/>
      <x:c r="J75" s="29" t="str">
        <x:v>NO</x:v>
      </x:c>
      <x:c r="K75" s="29" t="str">
        <x:v>Air</x:v>
      </x:c>
      <x:c r="L75" s="53" t="n">
        <x:v>13.561675630632529</x:v>
      </x:c>
      <x:c r="M75" s="41" t="n">
        <x:f>INDEX(Catchments!C:C,MATCH(A75,Catchments!A:A,0))</x:f>
        <x:v>11968308</x:v>
      </x:c>
      <x:c r="N75" s="41" t="n">
        <x:f>INDEX(Catchments!C:C,MATCH(B75,Catchments!A:A,0))</x:f>
        <x:v>4127033</x:v>
      </x:c>
    </x:row>
    <x:row r="76" ht="15" hidden="0" customHeight="1">
      <x:c r="A76" s="27" t="str">
        <x:v>SCA-03</x:v>
      </x:c>
      <x:c r="B76" s="27" t="str">
        <x:v>SCA-11</x:v>
      </x:c>
      <x:c r="C76" s="52" t="n">
        <x:v>61.5750628319072</x:v>
      </x:c>
      <x:c r="D76" s="27" t="str">
        <x:v>YES</x:v>
      </x:c>
      <x:c r="E76" s="52" t="n">
        <x:v>57.38040651078423</x:v>
      </x:c>
      <x:c r="F76" s="27" t="str">
        <x:v>YES</x:v>
      </x:c>
      <x:c r="G76" s="52" t="n">
        <x:v>15.143450332900592</x:v>
      </x:c>
      <x:c r="H76" s="27" t="str">
        <x:v>YES</x:v>
      </x:c>
      <x:c r="I76" s="52" t="n">
        <x:v>100.97295415662092</x:v>
      </x:c>
      <x:c r="J76" s="27" t="str">
        <x:v>NO</x:v>
      </x:c>
      <x:c r="K76" s="27" t="str">
        <x:v>Air</x:v>
      </x:c>
      <x:c r="L76" s="52" t="n">
        <x:v>15.143450332900592</x:v>
      </x:c>
      <x:c r="M76" s="40" t="n">
        <x:f>INDEX(Catchments!C:C,MATCH(A76,Catchments!A:A,0))</x:f>
        <x:v>11968308</x:v>
      </x:c>
      <x:c r="N76" s="40" t="n">
        <x:f>INDEX(Catchments!C:C,MATCH(B76,Catchments!A:A,0))</x:f>
        <x:v>3517787</x:v>
      </x:c>
    </x:row>
    <x:row r="77" ht="15" hidden="0" customHeight="1">
      <x:c r="A77" s="29" t="str">
        <x:v>SCA-03</x:v>
      </x:c>
      <x:c r="B77" s="29" t="str">
        <x:v>SCA-12</x:v>
      </x:c>
      <x:c r="C77" s="53" t="n">
        <x:v>47.027077631543406</x:v>
      </x:c>
      <x:c r="D77" s="29" t="str">
        <x:v>YES</x:v>
      </x:c>
      <x:c r="E77" s="53" t="n">
        <x:v>45.94984671049839</x:v>
      </x:c>
      <x:c r="F77" s="29" t="str">
        <x:v>YES</x:v>
      </x:c>
      <x:c r="G77" s="53" t="n">
        <x:v>14.425601440282097</x:v>
      </x:c>
      <x:c r="H77" s="29" t="str">
        <x:v>YES</x:v>
      </x:c>
      <x:c r="I77" s="53"/>
      <x:c r="J77" s="29" t="str">
        <x:v>NO</x:v>
      </x:c>
      <x:c r="K77" s="29" t="str">
        <x:v>Air</x:v>
      </x:c>
      <x:c r="L77" s="53" t="n">
        <x:v>14.425601440282097</x:v>
      </x:c>
      <x:c r="M77" s="41" t="n">
        <x:f>INDEX(Catchments!C:C,MATCH(A77,Catchments!A:A,0))</x:f>
        <x:v>11968308</x:v>
      </x:c>
      <x:c r="N77" s="41" t="n">
        <x:f>INDEX(Catchments!C:C,MATCH(B77,Catchments!A:A,0))</x:f>
        <x:v>7465186</x:v>
      </x:c>
    </x:row>
    <x:row r="78" ht="15" hidden="0" customHeight="1">
      <x:c r="A78" s="27" t="str">
        <x:v>SCA-03</x:v>
      </x:c>
      <x:c r="B78" s="27" t="str">
        <x:v>SCA-13</x:v>
      </x:c>
      <x:c r="C78" s="52" t="n">
        <x:v>76.0903868303709</x:v>
      </x:c>
      <x:c r="D78" s="27" t="str">
        <x:v>NO</x:v>
      </x:c>
      <x:c r="E78" s="52" t="n">
        <x:v>68.78530393814856</x:v>
      </x:c>
      <x:c r="F78" s="27" t="str">
        <x:v>YES</x:v>
      </x:c>
      <x:c r="G78" s="52" t="n">
        <x:v>16.223946047369125</x:v>
      </x:c>
      <x:c r="H78" s="27" t="str">
        <x:v>YES</x:v>
      </x:c>
      <x:c r="I78" s="52" t="n">
        <x:v>126.05589038535467</x:v>
      </x:c>
      <x:c r="J78" s="27" t="str">
        <x:v>NO</x:v>
      </x:c>
      <x:c r="K78" s="27" t="str">
        <x:v>Air</x:v>
      </x:c>
      <x:c r="L78" s="52" t="n">
        <x:v>16.223946047369125</x:v>
      </x:c>
      <x:c r="M78" s="40" t="n">
        <x:f>INDEX(Catchments!C:C,MATCH(A78,Catchments!A:A,0))</x:f>
        <x:v>11968308</x:v>
      </x:c>
      <x:c r="N78" s="40" t="n">
        <x:f>INDEX(Catchments!C:C,MATCH(B78,Catchments!A:A,0))</x:f>
        <x:v>6759014</x:v>
      </x:c>
    </x:row>
    <x:row r="79" ht="15" hidden="0" customHeight="1">
      <x:c r="A79" s="29" t="str">
        <x:v>SCA-03</x:v>
      </x:c>
      <x:c r="B79" s="29" t="str">
        <x:v>SCA-14</x:v>
      </x:c>
      <x:c r="C79" s="53" t="n">
        <x:v>83.42792889813657</x:v>
      </x:c>
      <x:c r="D79" s="29" t="str">
        <x:v>NO</x:v>
      </x:c>
      <x:c r="E79" s="53" t="n">
        <x:v>74.55051556282159</x:v>
      </x:c>
      <x:c r="F79" s="29" t="str">
        <x:v>NO</x:v>
      </x:c>
      <x:c r="G79" s="53" t="n">
        <x:v>16.65103326989143</x:v>
      </x:c>
      <x:c r="H79" s="29" t="str">
        <x:v>YES</x:v>
      </x:c>
      <x:c r="I79" s="53" t="n">
        <x:v>135.97041519390814</x:v>
      </x:c>
      <x:c r="J79" s="29" t="str">
        <x:v>NO</x:v>
      </x:c>
      <x:c r="K79" s="29" t="str">
        <x:v>Air</x:v>
      </x:c>
      <x:c r="L79" s="53" t="n">
        <x:v>16.65103326989143</x:v>
      </x:c>
      <x:c r="M79" s="41" t="n">
        <x:f>INDEX(Catchments!C:C,MATCH(A79,Catchments!A:A,0))</x:f>
        <x:v>11968308</x:v>
      </x:c>
      <x:c r="N79" s="41" t="n">
        <x:f>INDEX(Catchments!C:C,MATCH(B79,Catchments!A:A,0))</x:f>
        <x:v>2179728</x:v>
      </x:c>
    </x:row>
    <x:row r="80" ht="15" hidden="0" customHeight="1">
      <x:c r="A80" s="27" t="str">
        <x:v>SCA-03</x:v>
      </x:c>
      <x:c r="B80" s="27" t="str">
        <x:v>SCA-15</x:v>
      </x:c>
      <x:c r="C80" s="52" t="n">
        <x:v>68.40252135129566</x:v>
      </x:c>
      <x:c r="D80" s="27" t="str">
        <x:v>YES</x:v>
      </x:c>
      <x:c r="E80" s="52" t="n">
        <x:v>62.74483820458945</x:v>
      </x:c>
      <x:c r="F80" s="27" t="str">
        <x:v>YES</x:v>
      </x:c>
      <x:c r="G80" s="52" t="n">
        <x:v>15.992938233861157</x:v>
      </x:c>
      <x:c r="H80" s="27" t="str">
        <x:v>YES</x:v>
      </x:c>
      <x:c r="I80" s="52" t="n">
        <x:v>120.69320900034826</x:v>
      </x:c>
      <x:c r="J80" s="27" t="str">
        <x:v>NO</x:v>
      </x:c>
      <x:c r="K80" s="27" t="str">
        <x:v>Air</x:v>
      </x:c>
      <x:c r="L80" s="52" t="n">
        <x:v>15.992938233861157</x:v>
      </x:c>
      <x:c r="M80" s="40" t="n">
        <x:f>INDEX(Catchments!C:C,MATCH(A80,Catchments!A:A,0))</x:f>
        <x:v>11968308</x:v>
      </x:c>
      <x:c r="N80" s="40" t="n">
        <x:f>INDEX(Catchments!C:C,MATCH(B80,Catchments!A:A,0))</x:f>
        <x:v>13192386</x:v>
      </x:c>
    </x:row>
    <x:row r="81" ht="15" hidden="0" customHeight="1">
      <x:c r="A81" s="29" t="str">
        <x:v>SCA-03</x:v>
      </x:c>
      <x:c r="B81" s="29" t="str">
        <x:v>SCA-16</x:v>
      </x:c>
      <x:c r="C81" s="53" t="n">
        <x:v>63.24739112232706</x:v>
      </x:c>
      <x:c r="D81" s="29" t="str">
        <x:v>YES</x:v>
      </x:c>
      <x:c r="E81" s="53" t="n">
        <x:v>58.69437873897126</x:v>
      </x:c>
      <x:c r="F81" s="29" t="str">
        <x:v>YES</x:v>
      </x:c>
      <x:c r="G81" s="53" t="n">
        <x:v>15.528557722492199</x:v>
      </x:c>
      <x:c r="H81" s="29" t="str">
        <x:v>YES</x:v>
      </x:c>
      <x:c r="I81" s="53"/>
      <x:c r="J81" s="29" t="str">
        <x:v>NO</x:v>
      </x:c>
      <x:c r="K81" s="29" t="str">
        <x:v>Air</x:v>
      </x:c>
      <x:c r="L81" s="53" t="n">
        <x:v>15.528557722492199</x:v>
      </x:c>
      <x:c r="M81" s="41" t="n">
        <x:f>INDEX(Catchments!C:C,MATCH(A81,Catchments!A:A,0))</x:f>
        <x:v>11968308</x:v>
      </x:c>
      <x:c r="N81" s="41" t="n">
        <x:f>INDEX(Catchments!C:C,MATCH(B81,Catchments!A:A,0))</x:f>
        <x:v>10177969</x:v>
      </x:c>
    </x:row>
    <x:row r="82" ht="15" hidden="0" customHeight="1">
      <x:c r="A82" s="27" t="str">
        <x:v>SCA-03</x:v>
      </x:c>
      <x:c r="B82" s="27" t="str">
        <x:v>SCA-17</x:v>
      </x:c>
      <x:c r="C82" s="52" t="n">
        <x:v>76.92638303898605</x:v>
      </x:c>
      <x:c r="D82" s="27" t="str">
        <x:v>NO</x:v>
      </x:c>
      <x:c r="E82" s="52" t="n">
        <x:v>69.44215810206046</x:v>
      </x:c>
      <x:c r="F82" s="27" t="str">
        <x:v>YES</x:v>
      </x:c>
      <x:c r="G82" s="52" t="n">
        <x:v>16.608975929762074</x:v>
      </x:c>
      <x:c r="H82" s="27" t="str">
        <x:v>YES</x:v>
      </x:c>
      <x:c r="I82" s="52" t="n">
        <x:v>134.99408408376246</x:v>
      </x:c>
      <x:c r="J82" s="27" t="str">
        <x:v>NO</x:v>
      </x:c>
      <x:c r="K82" s="27" t="str">
        <x:v>Air</x:v>
      </x:c>
      <x:c r="L82" s="52" t="n">
        <x:v>16.608975929762074</x:v>
      </x:c>
      <x:c r="M82" s="40" t="n">
        <x:f>INDEX(Catchments!C:C,MATCH(A82,Catchments!A:A,0))</x:f>
        <x:v>11968308</x:v>
      </x:c>
      <x:c r="N82" s="40" t="n">
        <x:f>INDEX(Catchments!C:C,MATCH(B82,Catchments!A:A,0))</x:f>
        <x:v>12843509</x:v>
      </x:c>
    </x:row>
    <x:row r="83" ht="15" hidden="0" customHeight="1">
      <x:c r="A83" s="29" t="str">
        <x:v>SCA-03</x:v>
      </x:c>
      <x:c r="B83" s="29" t="str">
        <x:v>SCA-18</x:v>
      </x:c>
      <x:c r="C83" s="53" t="n">
        <x:v>60.33795349942631</x:v>
      </x:c>
      <x:c r="D83" s="29" t="str">
        <x:v>YES</x:v>
      </x:c>
      <x:c r="E83" s="53" t="n">
        <x:v>56.40839203526353</x:v>
      </x:c>
      <x:c r="F83" s="29" t="str">
        <x:v>YES</x:v>
      </x:c>
      <x:c r="G83" s="53" t="n">
        <x:v>15.311228434676009</x:v>
      </x:c>
      <x:c r="H83" s="29" t="str">
        <x:v>YES</x:v>
      </x:c>
      <x:c r="I83" s="53" t="n">
        <x:v>104.86780294783593</x:v>
      </x:c>
      <x:c r="J83" s="29" t="str">
        <x:v>NO</x:v>
      </x:c>
      <x:c r="K83" s="29" t="str">
        <x:v>Air</x:v>
      </x:c>
      <x:c r="L83" s="53" t="n">
        <x:v>15.311228434676009</x:v>
      </x:c>
      <x:c r="M83" s="41" t="n">
        <x:f>INDEX(Catchments!C:C,MATCH(A83,Catchments!A:A,0))</x:f>
        <x:v>11968308</x:v>
      </x:c>
      <x:c r="N83" s="41" t="n">
        <x:f>INDEX(Catchments!C:C,MATCH(B83,Catchments!A:A,0))</x:f>
        <x:v>11004680</x:v>
      </x:c>
    </x:row>
    <x:row r="84" ht="15" hidden="0" customHeight="1">
      <x:c r="A84" s="27" t="str">
        <x:v>SCA-03</x:v>
      </x:c>
      <x:c r="B84" s="27" t="str">
        <x:v>SCA-19</x:v>
      </x:c>
      <x:c r="C84" s="52" t="n">
        <x:v>72.72893973921825</x:v>
      </x:c>
      <x:c r="D84" s="27" t="str">
        <x:v>NO</x:v>
      </x:c>
      <x:c r="E84" s="52" t="n">
        <x:v>66.1441669379572</x:v>
      </x:c>
      <x:c r="F84" s="27" t="str">
        <x:v>YES</x:v>
      </x:c>
      <x:c r="G84" s="52" t="n">
        <x:v>16.064959121695388</x:v>
      </x:c>
      <x:c r="H84" s="27" t="str">
        <x:v>YES</x:v>
      </x:c>
      <x:c r="I84" s="52" t="n">
        <x:v>122.36512246792867</x:v>
      </x:c>
      <x:c r="J84" s="27" t="str">
        <x:v>NO</x:v>
      </x:c>
      <x:c r="K84" s="27" t="str">
        <x:v>Air</x:v>
      </x:c>
      <x:c r="L84" s="52" t="n">
        <x:v>16.064959121695388</x:v>
      </x:c>
      <x:c r="M84" s="40" t="n">
        <x:f>INDEX(Catchments!C:C,MATCH(A84,Catchments!A:A,0))</x:f>
        <x:v>11968308</x:v>
      </x:c>
      <x:c r="N84" s="40" t="n">
        <x:f>INDEX(Catchments!C:C,MATCH(B84,Catchments!A:A,0))</x:f>
        <x:v>6677653</x:v>
      </x:c>
    </x:row>
    <x:row r="85" ht="15" hidden="0" customHeight="1">
      <x:c r="A85" s="29" t="str">
        <x:v>SCA-03</x:v>
      </x:c>
      <x:c r="B85" s="29" t="str">
        <x:v>SCA-20</x:v>
      </x:c>
      <x:c r="C85" s="53" t="n">
        <x:v>77.95876727779546</x:v>
      </x:c>
      <x:c r="D85" s="29" t="str">
        <x:v>NO</x:v>
      </x:c>
      <x:c r="E85" s="53" t="n">
        <x:v>70.2533171468393</x:v>
      </x:c>
      <x:c r="F85" s="29" t="str">
        <x:v>YES</x:v>
      </x:c>
      <x:c r="G85" s="53" t="n">
        <x:v>16.607837450441725</x:v>
      </x:c>
      <x:c r="H85" s="29" t="str">
        <x:v>YES</x:v>
      </x:c>
      <x:c r="I85" s="53" t="n">
        <x:v>134.96765509954002</x:v>
      </x:c>
      <x:c r="J85" s="29" t="str">
        <x:v>NO</x:v>
      </x:c>
      <x:c r="K85" s="29" t="str">
        <x:v>Air</x:v>
      </x:c>
      <x:c r="L85" s="53" t="n">
        <x:v>16.607837450441725</x:v>
      </x:c>
      <x:c r="M85" s="41" t="n">
        <x:f>INDEX(Catchments!C:C,MATCH(A85,Catchments!A:A,0))</x:f>
        <x:v>11968308</x:v>
      </x:c>
      <x:c r="N85" s="41" t="n">
        <x:f>INDEX(Catchments!C:C,MATCH(B85,Catchments!A:A,0))</x:f>
        <x:v>8490774</x:v>
      </x:c>
    </x:row>
    <x:row r="86" ht="15" hidden="0" customHeight="1">
      <x:c r="A86" s="27" t="str">
        <x:v>SCA-03</x:v>
      </x:c>
      <x:c r="B86" s="27" t="str">
        <x:v>SCA-21</x:v>
      </x:c>
      <x:c r="C86" s="52" t="n">
        <x:v>72.0034361558966</x:v>
      </x:c>
      <x:c r="D86" s="27" t="str">
        <x:v>NO</x:v>
      </x:c>
      <x:c r="E86" s="52" t="n">
        <x:v>65.57412840820446</x:v>
      </x:c>
      <x:c r="F86" s="27" t="str">
        <x:v>YES</x:v>
      </x:c>
      <x:c r="G86" s="52" t="n">
        <x:v>16.152035635054578</x:v>
      </x:c>
      <x:c r="H86" s="27" t="str">
        <x:v>YES</x:v>
      </x:c>
      <x:c r="I86" s="52" t="n">
        <x:v>124.38654152805267</x:v>
      </x:c>
      <x:c r="J86" s="27" t="str">
        <x:v>NO</x:v>
      </x:c>
      <x:c r="K86" s="27" t="str">
        <x:v>Air</x:v>
      </x:c>
      <x:c r="L86" s="52" t="n">
        <x:v>16.152035635054578</x:v>
      </x:c>
      <x:c r="M86" s="40" t="n">
        <x:f>INDEX(Catchments!C:C,MATCH(A86,Catchments!A:A,0))</x:f>
        <x:v>11968308</x:v>
      </x:c>
      <x:c r="N86" s="40" t="n">
        <x:f>INDEX(Catchments!C:C,MATCH(B86,Catchments!A:A,0))</x:f>
        <x:v>19593580</x:v>
      </x:c>
    </x:row>
    <x:row r="87" ht="15" hidden="0" customHeight="1">
      <x:c r="A87" s="29" t="str">
        <x:v>SCA-03</x:v>
      </x:c>
      <x:c r="B87" s="29" t="str">
        <x:v>SCA-22</x:v>
      </x:c>
      <x:c r="C87" s="53" t="n">
        <x:v>81.99124956028896</x:v>
      </x:c>
      <x:c r="D87" s="29" t="str">
        <x:v>NO</x:v>
      </x:c>
      <x:c r="E87" s="53" t="n">
        <x:v>73.42169608308419</x:v>
      </x:c>
      <x:c r="F87" s="29" t="str">
        <x:v>NO</x:v>
      </x:c>
      <x:c r="G87" s="53" t="n">
        <x:v>16.743110424952818</x:v>
      </x:c>
      <x:c r="H87" s="29" t="str">
        <x:v>YES</x:v>
      </x:c>
      <x:c r="I87" s="53" t="n">
        <x:v>138.10792057926187</x:v>
      </x:c>
      <x:c r="J87" s="29" t="str">
        <x:v>NO</x:v>
      </x:c>
      <x:c r="K87" s="29" t="str">
        <x:v>Air</x:v>
      </x:c>
      <x:c r="L87" s="53" t="n">
        <x:v>16.743110424952818</x:v>
      </x:c>
      <x:c r="M87" s="41" t="n">
        <x:f>INDEX(Catchments!C:C,MATCH(A87,Catchments!A:A,0))</x:f>
        <x:v>11968308</x:v>
      </x:c>
      <x:c r="N87" s="41" t="n">
        <x:f>INDEX(Catchments!C:C,MATCH(B87,Catchments!A:A,0))</x:f>
        <x:v>14732006</x:v>
      </x:c>
    </x:row>
    <x:row r="88" ht="15" hidden="0" customHeight="1">
      <x:c r="A88" s="27" t="str">
        <x:v>SCA-03</x:v>
      </x:c>
      <x:c r="B88" s="27" t="str">
        <x:v>SCA-23</x:v>
      </x:c>
      <x:c r="C88" s="52" t="n">
        <x:v>88.49511262050811</x:v>
      </x:c>
      <x:c r="D88" s="27" t="str">
        <x:v>NO</x:v>
      </x:c>
      <x:c r="E88" s="52" t="n">
        <x:v>78.5318742018278</x:v>
      </x:c>
      <x:c r="F88" s="27" t="str">
        <x:v>NO</x:v>
      </x:c>
      <x:c r="G88" s="52" t="n">
        <x:v>17.25648829672746</x:v>
      </x:c>
      <x:c r="H88" s="27" t="str">
        <x:v>YES</x:v>
      </x:c>
      <x:c r="I88" s="52" t="n">
        <x:v>150.02562117403036</x:v>
      </x:c>
      <x:c r="J88" s="27" t="str">
        <x:v>NO</x:v>
      </x:c>
      <x:c r="K88" s="27" t="str">
        <x:v>Air</x:v>
      </x:c>
      <x:c r="L88" s="52" t="n">
        <x:v>17.25648829672746</x:v>
      </x:c>
      <x:c r="M88" s="40" t="n">
        <x:f>INDEX(Catchments!C:C,MATCH(A88,Catchments!A:A,0))</x:f>
        <x:v>11968308</x:v>
      </x:c>
      <x:c r="N88" s="40" t="n">
        <x:f>INDEX(Catchments!C:C,MATCH(B88,Catchments!A:A,0))</x:f>
        <x:v>20869310</x:v>
      </x:c>
    </x:row>
    <x:row r="89" ht="15" hidden="0" customHeight="1">
      <x:c r="A89" s="29" t="str">
        <x:v>SCA-03</x:v>
      </x:c>
      <x:c r="B89" s="29" t="str">
        <x:v>SCA-24</x:v>
      </x:c>
      <x:c r="C89" s="53" t="n">
        <x:v>79.22598257704271</x:v>
      </x:c>
      <x:c r="D89" s="29" t="str">
        <x:v>NO</x:v>
      </x:c>
      <x:c r="E89" s="53" t="n">
        <x:v>71.24898631053357</x:v>
      </x:c>
      <x:c r="F89" s="29" t="str">
        <x:v>YES</x:v>
      </x:c>
      <x:c r="G89" s="53" t="n">
        <x:v>16.62920613853708</x:v>
      </x:c>
      <x:c r="H89" s="29" t="str">
        <x:v>YES</x:v>
      </x:c>
      <x:c r="I89" s="53" t="n">
        <x:v>135.463713930325</x:v>
      </x:c>
      <x:c r="J89" s="29" t="str">
        <x:v>NO</x:v>
      </x:c>
      <x:c r="K89" s="29" t="str">
        <x:v>Air</x:v>
      </x:c>
      <x:c r="L89" s="53" t="n">
        <x:v>16.62920613853708</x:v>
      </x:c>
      <x:c r="M89" s="41" t="n">
        <x:f>INDEX(Catchments!C:C,MATCH(A89,Catchments!A:A,0))</x:f>
        <x:v>11968308</x:v>
      </x:c>
      <x:c r="N89" s="41" t="n">
        <x:f>INDEX(Catchments!C:C,MATCH(B89,Catchments!A:A,0))</x:f>
        <x:v>11816161</x:v>
      </x:c>
    </x:row>
    <x:row r="90" ht="15" hidden="0" customHeight="1">
      <x:c r="A90" s="27" t="str">
        <x:v>SCA-03</x:v>
      </x:c>
      <x:c r="B90" s="27" t="str">
        <x:v>SCA-25</x:v>
      </x:c>
      <x:c r="C90" s="52" t="n">
        <x:v>97.48755225540701</x:v>
      </x:c>
      <x:c r="D90" s="27" t="str">
        <x:v>NO</x:v>
      </x:c>
      <x:c r="E90" s="52" t="n">
        <x:v>85.59736248639122</x:v>
      </x:c>
      <x:c r="F90" s="27" t="str">
        <x:v>NO</x:v>
      </x:c>
      <x:c r="G90" s="52" t="n">
        <x:v>17.880143847437623</x:v>
      </x:c>
      <x:c r="H90" s="27" t="str">
        <x:v>YES</x:v>
      </x:c>
      <x:c r="I90" s="52" t="n">
        <x:v>164.50333931551629</x:v>
      </x:c>
      <x:c r="J90" s="27" t="str">
        <x:v>NO</x:v>
      </x:c>
      <x:c r="K90" s="27" t="str">
        <x:v>Air</x:v>
      </x:c>
      <x:c r="L90" s="52" t="n">
        <x:v>17.880143847437623</x:v>
      </x:c>
      <x:c r="M90" s="40" t="n">
        <x:f>INDEX(Catchments!C:C,MATCH(A90,Catchments!A:A,0))</x:f>
        <x:v>11968308</x:v>
      </x:c>
      <x:c r="N90" s="40" t="n">
        <x:f>INDEX(Catchments!C:C,MATCH(B90,Catchments!A:A,0))</x:f>
        <x:v>6408394</x:v>
      </x:c>
    </x:row>
    <x:row r="91" ht="15" hidden="0" customHeight="1">
      <x:c r="A91" s="29" t="str">
        <x:v>SCA-03</x:v>
      </x:c>
      <x:c r="B91" s="29" t="str">
        <x:v>SCA-26</x:v>
      </x:c>
      <x:c r="C91" s="53" t="n">
        <x:v>103.46026963294923</x:v>
      </x:c>
      <x:c r="D91" s="29" t="str">
        <x:v>NO</x:v>
      </x:c>
      <x:c r="E91" s="53" t="n">
        <x:v>90.29021185446011</x:v>
      </x:c>
      <x:c r="F91" s="29" t="str">
        <x:v>NO</x:v>
      </x:c>
      <x:c r="G91" s="53" t="n">
        <x:v>18.19091225265143</x:v>
      </x:c>
      <x:c r="H91" s="29" t="str">
        <x:v>YES</x:v>
      </x:c>
      <x:c r="I91" s="53" t="n">
        <x:v>171.71760586512252</x:v>
      </x:c>
      <x:c r="J91" s="29" t="str">
        <x:v>NO</x:v>
      </x:c>
      <x:c r="K91" s="29" t="str">
        <x:v>Air</x:v>
      </x:c>
      <x:c r="L91" s="53" t="n">
        <x:v>18.19091225265143</x:v>
      </x:c>
      <x:c r="M91" s="41" t="n">
        <x:f>INDEX(Catchments!C:C,MATCH(A91,Catchments!A:A,0))</x:f>
        <x:v>11968308</x:v>
      </x:c>
      <x:c r="N91" s="41" t="n">
        <x:f>INDEX(Catchments!C:C,MATCH(B91,Catchments!A:A,0))</x:f>
        <x:v>10737083</x:v>
      </x:c>
    </x:row>
    <x:row r="92" ht="15" hidden="0" customHeight="1">
      <x:c r="A92" s="27" t="str">
        <x:v>SCA-03</x:v>
      </x:c>
      <x:c r="B92" s="27" t="str">
        <x:v>SCA-27</x:v>
      </x:c>
      <x:c r="C92" s="52" t="n">
        <x:v>108.54441988966829</x:v>
      </x:c>
      <x:c r="D92" s="27" t="str">
        <x:v>NO</x:v>
      </x:c>
      <x:c r="E92" s="52" t="n">
        <x:v>94.28490134188223</x:v>
      </x:c>
      <x:c r="F92" s="27" t="str">
        <x:v>NO</x:v>
      </x:c>
      <x:c r="G92" s="52" t="n">
        <x:v>18.553757719182926</x:v>
      </x:c>
      <x:c r="H92" s="27" t="str">
        <x:v>YES</x:v>
      </x:c>
      <x:c r="I92" s="52" t="n">
        <x:v>180.14080419531788</x:v>
      </x:c>
      <x:c r="J92" s="27" t="str">
        <x:v>NO</x:v>
      </x:c>
      <x:c r="K92" s="27" t="str">
        <x:v>Air</x:v>
      </x:c>
      <x:c r="L92" s="52" t="n">
        <x:v>18.553757719182926</x:v>
      </x:c>
      <x:c r="M92" s="40" t="n">
        <x:f>INDEX(Catchments!C:C,MATCH(A92,Catchments!A:A,0))</x:f>
        <x:v>11968308</x:v>
      </x:c>
      <x:c r="N92" s="40" t="n">
        <x:f>INDEX(Catchments!C:C,MATCH(B92,Catchments!A:A,0))</x:f>
        <x:v>7505606</x:v>
      </x:c>
    </x:row>
    <x:row r="93" ht="15" hidden="0" customHeight="1">
      <x:c r="A93" s="29" t="str">
        <x:v>SCA-03</x:v>
      </x:c>
      <x:c r="B93" s="29" t="str">
        <x:v>SCA-28</x:v>
      </x:c>
      <x:c r="C93" s="53" t="n">
        <x:v>88.24080978720025</x:v>
      </x:c>
      <x:c r="D93" s="29" t="str">
        <x:v>NO</x:v>
      </x:c>
      <x:c r="E93" s="53" t="n">
        <x:v>78.3320648328002</x:v>
      </x:c>
      <x:c r="F93" s="29" t="str">
        <x:v>NO</x:v>
      </x:c>
      <x:c r="G93" s="53" t="n">
        <x:v>17.28735923223985</x:v>
      </x:c>
      <x:c r="H93" s="29" t="str">
        <x:v>YES</x:v>
      </x:c>
      <x:c r="I93" s="53" t="n">
        <x:v>150.74226789128227</x:v>
      </x:c>
      <x:c r="J93" s="29" t="str">
        <x:v>NO</x:v>
      </x:c>
      <x:c r="K93" s="29" t="str">
        <x:v>Air</x:v>
      </x:c>
      <x:c r="L93" s="53" t="n">
        <x:v>17.28735923223985</x:v>
      </x:c>
      <x:c r="M93" s="41" t="n">
        <x:f>INDEX(Catchments!C:C,MATCH(A93,Catchments!A:A,0))</x:f>
        <x:v>11968308</x:v>
      </x:c>
      <x:c r="N93" s="41" t="n">
        <x:f>INDEX(Catchments!C:C,MATCH(B93,Catchments!A:A,0))</x:f>
        <x:v>21305157</x:v>
      </x:c>
    </x:row>
    <x:row r="94" ht="15" hidden="0" customHeight="1">
      <x:c r="A94" s="27" t="str">
        <x:v>SCA-03</x:v>
      </x:c>
      <x:c r="B94" s="27" t="str">
        <x:v>SCA-29</x:v>
      </x:c>
      <x:c r="C94" s="52" t="n">
        <x:v>95.03747728236432</x:v>
      </x:c>
      <x:c r="D94" s="27" t="str">
        <x:v>NO</x:v>
      </x:c>
      <x:c r="E94" s="52" t="n">
        <x:v>83.67230357900054</x:v>
      </x:c>
      <x:c r="F94" s="27" t="str">
        <x:v>NO</x:v>
      </x:c>
      <x:c r="G94" s="52" t="n">
        <x:v>17.70029956903676</x:v>
      </x:c>
      <x:c r="H94" s="27" t="str">
        <x:v>YES</x:v>
      </x:c>
      <x:c r="I94" s="52" t="n">
        <x:v>160.328382852639</x:v>
      </x:c>
      <x:c r="J94" s="27" t="str">
        <x:v>NO</x:v>
      </x:c>
      <x:c r="K94" s="27" t="str">
        <x:v>Air</x:v>
      </x:c>
      <x:c r="L94" s="52" t="n">
        <x:v>17.70029956903676</x:v>
      </x:c>
      <x:c r="M94" s="40" t="n">
        <x:f>INDEX(Catchments!C:C,MATCH(A94,Catchments!A:A,0))</x:f>
        <x:v>11968308</x:v>
      </x:c>
      <x:c r="N94" s="40" t="n">
        <x:f>INDEX(Catchments!C:C,MATCH(B94,Catchments!A:A,0))</x:f>
        <x:v>19271685</x:v>
      </x:c>
    </x:row>
    <x:row r="95" ht="15" hidden="0" customHeight="1">
      <x:c r="A95" s="29" t="str">
        <x:v>SCA-03</x:v>
      </x:c>
      <x:c r="B95" s="29" t="str">
        <x:v>SCA-30</x:v>
      </x:c>
      <x:c r="C95" s="53" t="n">
        <x:v>96.66924098595005</x:v>
      </x:c>
      <x:c r="D95" s="29" t="str">
        <x:v>NO</x:v>
      </x:c>
      <x:c r="E95" s="53" t="n">
        <x:v>84.9544036318179</x:v>
      </x:c>
      <x:c r="F95" s="29" t="str">
        <x:v>NO</x:v>
      </x:c>
      <x:c r="G95" s="53" t="n">
        <x:v>17.825963138959445</x:v>
      </x:c>
      <x:c r="H95" s="29" t="str">
        <x:v>YES</x:v>
      </x:c>
      <x:c r="I95" s="53" t="n">
        <x:v>163.24557286870143</x:v>
      </x:c>
      <x:c r="J95" s="29" t="str">
        <x:v>NO</x:v>
      </x:c>
      <x:c r="K95" s="29" t="str">
        <x:v>Air</x:v>
      </x:c>
      <x:c r="L95" s="53" t="n">
        <x:v>17.825963138959445</x:v>
      </x:c>
      <x:c r="M95" s="41" t="n">
        <x:f>INDEX(Catchments!C:C,MATCH(A95,Catchments!A:A,0))</x:f>
        <x:v>11968308</x:v>
      </x:c>
      <x:c r="N95" s="41" t="n">
        <x:f>INDEX(Catchments!C:C,MATCH(B95,Catchments!A:A,0))</x:f>
        <x:v>41291847</x:v>
      </x:c>
    </x:row>
    <x:row r="96" ht="15" hidden="0" customHeight="1">
      <x:c r="A96" s="27" t="str">
        <x:v>SCA-03</x:v>
      </x:c>
      <x:c r="B96" s="27" t="str">
        <x:v>SCA-31</x:v>
      </x:c>
      <x:c r="C96" s="52" t="n">
        <x:v>103.81618908025017</x:v>
      </x:c>
      <x:c r="D96" s="27" t="str">
        <x:v>NO</x:v>
      </x:c>
      <x:c r="E96" s="52" t="n">
        <x:v>90.56986284876798</x:v>
      </x:c>
      <x:c r="F96" s="27" t="str">
        <x:v>NO</x:v>
      </x:c>
      <x:c r="G96" s="52" t="n">
        <x:v>18.02547093318951</x:v>
      </x:c>
      <x:c r="H96" s="27" t="str">
        <x:v>YES</x:v>
      </x:c>
      <x:c r="I96" s="52" t="n">
        <x:v>167.87700380618506</x:v>
      </x:c>
      <x:c r="J96" s="27" t="str">
        <x:v>NO</x:v>
      </x:c>
      <x:c r="K96" s="27" t="str">
        <x:v>Air</x:v>
      </x:c>
      <x:c r="L96" s="52" t="n">
        <x:v>18.02547093318951</x:v>
      </x:c>
      <x:c r="M96" s="40" t="n">
        <x:f>INDEX(Catchments!C:C,MATCH(A96,Catchments!A:A,0))</x:f>
        <x:v>11968308</x:v>
      </x:c>
      <x:c r="N96" s="40" t="n">
        <x:f>INDEX(Catchments!C:C,MATCH(B96,Catchments!A:A,0))</x:f>
        <x:v>14227128</x:v>
      </x:c>
    </x:row>
    <x:row r="97" ht="15" hidden="0" customHeight="1">
      <x:c r="A97" s="29" t="str">
        <x:v>SCA-03</x:v>
      </x:c>
      <x:c r="B97" s="29" t="str">
        <x:v>SCA-32</x:v>
      </x:c>
      <x:c r="C97" s="53"/>
      <x:c r="D97" s="29" t="str">
        <x:v>NO</x:v>
      </x:c>
      <x:c r="E97" s="53"/>
      <x:c r="F97" s="29" t="str">
        <x:v>NO</x:v>
      </x:c>
      <x:c r="G97" s="53" t="n">
        <x:v>21.099418062121927</x:v>
      </x:c>
      <x:c r="H97" s="29" t="str">
        <x:v>YES</x:v>
      </x:c>
      <x:c r="I97" s="53" t="n">
        <x:v>239.23649072783047</x:v>
      </x:c>
      <x:c r="J97" s="29" t="str">
        <x:v>NO</x:v>
      </x:c>
      <x:c r="K97" s="29" t="str">
        <x:v>Air</x:v>
      </x:c>
      <x:c r="L97" s="53" t="n">
        <x:v>21.099418062121927</x:v>
      </x:c>
      <x:c r="M97" s="41" t="n">
        <x:f>INDEX(Catchments!C:C,MATCH(A97,Catchments!A:A,0))</x:f>
        <x:v>11968308</x:v>
      </x:c>
      <x:c r="N97" s="41" t="n">
        <x:f>INDEX(Catchments!C:C,MATCH(B97,Catchments!A:A,0))</x:f>
        <x:v>3184835</x:v>
      </x:c>
    </x:row>
    <x:row r="98" ht="15" hidden="0" customHeight="1">
      <x:c r="A98" s="27" t="str">
        <x:v>SCA-04</x:v>
      </x:c>
      <x:c r="B98" s="27" t="str">
        <x:v>SCA-01</x:v>
      </x:c>
      <x:c r="C98" s="52"/>
      <x:c r="D98" s="27" t="str">
        <x:v>NO</x:v>
      </x:c>
      <x:c r="E98" s="52"/>
      <x:c r="F98" s="27" t="str">
        <x:v>NO</x:v>
      </x:c>
      <x:c r="G98" s="52" t="n">
        <x:v>18.053624823650345</x:v>
      </x:c>
      <x:c r="H98" s="27" t="str">
        <x:v>YES</x:v>
      </x:c>
      <x:c r="I98" s="52" t="n">
        <x:v>168.53057626331156</x:v>
      </x:c>
      <x:c r="J98" s="27" t="str">
        <x:v>NO</x:v>
      </x:c>
      <x:c r="K98" s="27" t="str">
        <x:v>Air</x:v>
      </x:c>
      <x:c r="L98" s="52" t="n">
        <x:v>18.053624823650345</x:v>
      </x:c>
      <x:c r="M98" s="40" t="n">
        <x:f>INDEX(Catchments!C:C,MATCH(A98,Catchments!A:A,0))</x:f>
        <x:v>16200470</x:v>
      </x:c>
      <x:c r="N98" s="40" t="n">
        <x:f>INDEX(Catchments!C:C,MATCH(B98,Catchments!A:A,0))</x:f>
        <x:v>1432820</x:v>
      </x:c>
    </x:row>
    <x:row r="99" ht="15" hidden="0" customHeight="1">
      <x:c r="A99" s="29" t="str">
        <x:v>SCA-04</x:v>
      </x:c>
      <x:c r="B99" s="29" t="str">
        <x:v>SCA-02</x:v>
      </x:c>
      <x:c r="C99" s="53"/>
      <x:c r="D99" s="29" t="str">
        <x:v>NO</x:v>
      </x:c>
      <x:c r="E99" s="53"/>
      <x:c r="F99" s="29" t="str">
        <x:v>NO</x:v>
      </x:c>
      <x:c r="G99" s="53" t="n">
        <x:v>16.78057870586929</x:v>
      </x:c>
      <x:c r="H99" s="29" t="str">
        <x:v>YES</x:v>
      </x:c>
      <x:c r="I99" s="53" t="n">
        <x:v>138.97771995767988</x:v>
      </x:c>
      <x:c r="J99" s="29" t="str">
        <x:v>NO</x:v>
      </x:c>
      <x:c r="K99" s="29" t="str">
        <x:v>Air</x:v>
      </x:c>
      <x:c r="L99" s="53" t="n">
        <x:v>16.78057870586929</x:v>
      </x:c>
      <x:c r="M99" s="41" t="n">
        <x:f>INDEX(Catchments!C:C,MATCH(A99,Catchments!A:A,0))</x:f>
        <x:v>16200470</x:v>
      </x:c>
      <x:c r="N99" s="41" t="n">
        <x:f>INDEX(Catchments!C:C,MATCH(B99,Catchments!A:A,0))</x:f>
        <x:v>737270</x:v>
      </x:c>
    </x:row>
    <x:row r="100" ht="15" hidden="0" customHeight="1">
      <x:c r="A100" s="27" t="str">
        <x:v>SCA-04</x:v>
      </x:c>
      <x:c r="B100" s="27" t="str">
        <x:v>SCA-03</x:v>
      </x:c>
      <x:c r="C100" s="52" t="n">
        <x:v>33.80251334713229</x:v>
      </x:c>
      <x:c r="D100" s="27" t="str">
        <x:v>YES</x:v>
      </x:c>
      <x:c r="E100" s="52" t="n">
        <x:v>35.559117629889656</x:v>
      </x:c>
      <x:c r="F100" s="27" t="str">
        <x:v>YES</x:v>
      </x:c>
      <x:c r="G100" s="52" t="n">
        <x:v>13.45704111584251</x:v>
      </x:c>
      <x:c r="H100" s="27" t="str">
        <x:v>YES</x:v>
      </x:c>
      <x:c r="I100" s="52" t="n">
        <x:v>61.82416876062968</x:v>
      </x:c>
      <x:c r="J100" s="27" t="str">
        <x:v>YES</x:v>
      </x:c>
      <x:c r="K100" s="27" t="str">
        <x:v>Air</x:v>
      </x:c>
      <x:c r="L100" s="52" t="n">
        <x:v>13.45704111584251</x:v>
      </x:c>
      <x:c r="M100" s="40" t="n">
        <x:f>INDEX(Catchments!C:C,MATCH(A100,Catchments!A:A,0))</x:f>
        <x:v>16200470</x:v>
      </x:c>
      <x:c r="N100" s="40" t="n">
        <x:f>INDEX(Catchments!C:C,MATCH(B100,Catchments!A:A,0))</x:f>
        <x:v>11968308</x:v>
      </x:c>
    </x:row>
    <x:row r="101" ht="15" hidden="0" customHeight="1">
      <x:c r="A101" s="29" t="str">
        <x:v>SCA-04</x:v>
      </x:c>
      <x:c r="B101" s="29" t="str">
        <x:v>SCA-05</x:v>
      </x:c>
      <x:c r="C101" s="53" t="n">
        <x:v>24.715148187480338</x:v>
      </x:c>
      <x:c r="D101" s="29" t="str">
        <x:v>YES</x:v>
      </x:c>
      <x:c r="E101" s="53" t="n">
        <x:v>28.41904500444884</x:v>
      </x:c>
      <x:c r="F101" s="29" t="str">
        <x:v>YES</x:v>
      </x:c>
      <x:c r="G101" s="53" t="n">
        <x:v>12.788405552256078</x:v>
      </x:c>
      <x:c r="H101" s="29" t="str">
        <x:v>YES</x:v>
      </x:c>
      <x:c r="I101" s="53" t="n">
        <x:v>46.30227174880182</x:v>
      </x:c>
      <x:c r="J101" s="29" t="str">
        <x:v>YES</x:v>
      </x:c>
      <x:c r="K101" s="29" t="str">
        <x:v>Air</x:v>
      </x:c>
      <x:c r="L101" s="53" t="n">
        <x:v>12.788405552256078</x:v>
      </x:c>
      <x:c r="M101" s="41" t="n">
        <x:f>INDEX(Catchments!C:C,MATCH(A101,Catchments!A:A,0))</x:f>
        <x:v>16200470</x:v>
      </x:c>
      <x:c r="N101" s="41" t="n">
        <x:f>INDEX(Catchments!C:C,MATCH(B101,Catchments!A:A,0))</x:f>
        <x:v>15966265</x:v>
      </x:c>
    </x:row>
    <x:row r="102" ht="15" hidden="0" customHeight="1">
      <x:c r="A102" s="27" t="str">
        <x:v>SCA-04</x:v>
      </x:c>
      <x:c r="B102" s="27" t="str">
        <x:v>SCA-06</x:v>
      </x:c>
      <x:c r="C102" s="52" t="n">
        <x:v>29.092554956209852</x:v>
      </x:c>
      <x:c r="D102" s="27" t="str">
        <x:v>YES</x:v>
      </x:c>
      <x:c r="E102" s="52" t="n">
        <x:v>31.858436037022027</x:v>
      </x:c>
      <x:c r="F102" s="27" t="str">
        <x:v>YES</x:v>
      </x:c>
      <x:c r="G102" s="52" t="n">
        <x:v>13.085402213425613</x:v>
      </x:c>
      <x:c r="H102" s="27" t="str">
        <x:v>YES</x:v>
      </x:c>
      <x:c r="I102" s="52" t="n">
        <x:v>53.19683709738029</x:v>
      </x:c>
      <x:c r="J102" s="27" t="str">
        <x:v>YES</x:v>
      </x:c>
      <x:c r="K102" s="27" t="str">
        <x:v>Air</x:v>
      </x:c>
      <x:c r="L102" s="52" t="n">
        <x:v>13.085402213425613</x:v>
      </x:c>
      <x:c r="M102" s="40" t="n">
        <x:f>INDEX(Catchments!C:C,MATCH(A102,Catchments!A:A,0))</x:f>
        <x:v>16200470</x:v>
      </x:c>
      <x:c r="N102" s="40" t="n">
        <x:f>INDEX(Catchments!C:C,MATCH(B102,Catchments!A:A,0))</x:f>
        <x:v>6008575</x:v>
      </x:c>
    </x:row>
    <x:row r="103" ht="15" hidden="0" customHeight="1">
      <x:c r="A103" s="29" t="str">
        <x:v>SCA-04</x:v>
      </x:c>
      <x:c r="B103" s="29" t="str">
        <x:v>SCA-07</x:v>
      </x:c>
      <x:c r="C103" s="53" t="n">
        <x:v>26.738257939138993</x:v>
      </x:c>
      <x:c r="D103" s="29" t="str">
        <x:v>YES</x:v>
      </x:c>
      <x:c r="E103" s="53" t="n">
        <x:v>30.008631237894924</x:v>
      </x:c>
      <x:c r="F103" s="29" t="str">
        <x:v>YES</x:v>
      </x:c>
      <x:c r="G103" s="53" t="n">
        <x:v>12.937263125956715</x:v>
      </x:c>
      <x:c r="H103" s="29" t="str">
        <x:v>YES</x:v>
      </x:c>
      <x:c r="I103" s="53" t="n">
        <x:v>49.75789399542374</x:v>
      </x:c>
      <x:c r="J103" s="29" t="str">
        <x:v>YES</x:v>
      </x:c>
      <x:c r="K103" s="29" t="str">
        <x:v>Air</x:v>
      </x:c>
      <x:c r="L103" s="53" t="n">
        <x:v>12.937263125956715</x:v>
      </x:c>
      <x:c r="M103" s="41" t="n">
        <x:f>INDEX(Catchments!C:C,MATCH(A103,Catchments!A:A,0))</x:f>
        <x:v>16200470</x:v>
      </x:c>
      <x:c r="N103" s="41" t="n">
        <x:f>INDEX(Catchments!C:C,MATCH(B103,Catchments!A:A,0))</x:f>
        <x:v>5229370</x:v>
      </x:c>
    </x:row>
    <x:row r="104" ht="15" hidden="0" customHeight="1">
      <x:c r="A104" s="27" t="str">
        <x:v>SCA-04</x:v>
      </x:c>
      <x:c r="B104" s="27" t="str">
        <x:v>SCA-08</x:v>
      </x:c>
      <x:c r="C104" s="52" t="n">
        <x:v>33.18479407838696</x:v>
      </x:c>
      <x:c r="D104" s="27" t="str">
        <x:v>YES</x:v>
      </x:c>
      <x:c r="E104" s="52" t="n">
        <x:v>35.07376677587547</x:v>
      </x:c>
      <x:c r="F104" s="27" t="str">
        <x:v>YES</x:v>
      </x:c>
      <x:c r="G104" s="52" t="n">
        <x:v>13.411590199747536</x:v>
      </x:c>
      <x:c r="H104" s="27" t="str">
        <x:v>YES</x:v>
      </x:c>
      <x:c r="I104" s="52" t="n">
        <x:v>60.76905820842493</x:v>
      </x:c>
      <x:c r="J104" s="27" t="str">
        <x:v>YES</x:v>
      </x:c>
      <x:c r="K104" s="27" t="str">
        <x:v>Air</x:v>
      </x:c>
      <x:c r="L104" s="52" t="n">
        <x:v>13.411590199747536</x:v>
      </x:c>
      <x:c r="M104" s="40" t="n">
        <x:f>INDEX(Catchments!C:C,MATCH(A104,Catchments!A:A,0))</x:f>
        <x:v>16200470</x:v>
      </x:c>
      <x:c r="N104" s="40" t="n">
        <x:f>INDEX(Catchments!C:C,MATCH(B104,Catchments!A:A,0))</x:f>
        <x:v>2652387</x:v>
      </x:c>
    </x:row>
    <x:row r="105" ht="15" hidden="0" customHeight="1">
      <x:c r="A105" s="29" t="str">
        <x:v>SCA-04</x:v>
      </x:c>
      <x:c r="B105" s="29" t="str">
        <x:v>SCA-09</x:v>
      </x:c>
      <x:c r="C105" s="53" t="n">
        <x:v>35.140734169575815</x:v>
      </x:c>
      <x:c r="D105" s="29" t="str">
        <x:v>YES</x:v>
      </x:c>
      <x:c r="E105" s="53" t="n">
        <x:v>36.61057684752386</x:v>
      </x:c>
      <x:c r="F105" s="29" t="str">
        <x:v>YES</x:v>
      </x:c>
      <x:c r="G105" s="53" t="n">
        <x:v>13.543331681274537</x:v>
      </x:c>
      <x:c r="H105" s="29" t="str">
        <x:v>YES</x:v>
      </x:c>
      <x:c r="I105" s="53"/>
      <x:c r="J105" s="29" t="str">
        <x:v>NO</x:v>
      </x:c>
      <x:c r="K105" s="29" t="str">
        <x:v>Air</x:v>
      </x:c>
      <x:c r="L105" s="53" t="n">
        <x:v>13.543331681274537</x:v>
      </x:c>
      <x:c r="M105" s="41" t="n">
        <x:f>INDEX(Catchments!C:C,MATCH(A105,Catchments!A:A,0))</x:f>
        <x:v>16200470</x:v>
      </x:c>
      <x:c r="N105" s="41" t="n">
        <x:f>INDEX(Catchments!C:C,MATCH(B105,Catchments!A:A,0))</x:f>
        <x:v>7395716</x:v>
      </x:c>
    </x:row>
    <x:row r="106" ht="15" hidden="0" customHeight="1">
      <x:c r="A106" s="27" t="str">
        <x:v>SCA-04</x:v>
      </x:c>
      <x:c r="B106" s="27" t="str">
        <x:v>SCA-10</x:v>
      </x:c>
      <x:c r="C106" s="52" t="n">
        <x:v>41.54188162294726</x:v>
      </x:c>
      <x:c r="D106" s="27" t="str">
        <x:v>YES</x:v>
      </x:c>
      <x:c r="E106" s="52" t="n">
        <x:v>41.640049846601414</x:v>
      </x:c>
      <x:c r="F106" s="27" t="str">
        <x:v>YES</x:v>
      </x:c>
      <x:c r="G106" s="52" t="n">
        <x:v>13.440967612336589</x:v>
      </x:c>
      <x:c r="H106" s="27" t="str">
        <x:v>YES</x:v>
      </x:c>
      <x:c r="I106" s="52"/>
      <x:c r="J106" s="27" t="str">
        <x:v>NO</x:v>
      </x:c>
      <x:c r="K106" s="27" t="str">
        <x:v>Air</x:v>
      </x:c>
      <x:c r="L106" s="52" t="n">
        <x:v>13.440967612336589</x:v>
      </x:c>
      <x:c r="M106" s="40" t="n">
        <x:f>INDEX(Catchments!C:C,MATCH(A106,Catchments!A:A,0))</x:f>
        <x:v>16200470</x:v>
      </x:c>
      <x:c r="N106" s="40" t="n">
        <x:f>INDEX(Catchments!C:C,MATCH(B106,Catchments!A:A,0))</x:f>
        <x:v>4127033</x:v>
      </x:c>
    </x:row>
    <x:row r="107" ht="15" hidden="0" customHeight="1">
      <x:c r="A107" s="29" t="str">
        <x:v>SCA-04</x:v>
      </x:c>
      <x:c r="B107" s="29" t="str">
        <x:v>SCA-11</x:v>
      </x:c>
      <x:c r="C107" s="53" t="n">
        <x:v>48.80895874175055</x:v>
      </x:c>
      <x:c r="D107" s="29" t="str">
        <x:v>YES</x:v>
      </x:c>
      <x:c r="E107" s="53" t="n">
        <x:v>47.349896154232574</x:v>
      </x:c>
      <x:c r="F107" s="29" t="str">
        <x:v>YES</x:v>
      </x:c>
      <x:c r="G107" s="53" t="n">
        <x:v>14.422791699226073</x:v>
      </x:c>
      <x:c r="H107" s="29" t="str">
        <x:v>YES</x:v>
      </x:c>
      <x:c r="I107" s="53" t="n">
        <x:v>84.24337873203385</x:v>
      </x:c>
      <x:c r="J107" s="29" t="str">
        <x:v>NO</x:v>
      </x:c>
      <x:c r="K107" s="29" t="str">
        <x:v>Air</x:v>
      </x:c>
      <x:c r="L107" s="53" t="n">
        <x:v>14.422791699226073</x:v>
      </x:c>
      <x:c r="M107" s="41" t="n">
        <x:f>INDEX(Catchments!C:C,MATCH(A107,Catchments!A:A,0))</x:f>
        <x:v>16200470</x:v>
      </x:c>
      <x:c r="N107" s="41" t="n">
        <x:f>INDEX(Catchments!C:C,MATCH(B107,Catchments!A:A,0))</x:f>
        <x:v>3517787</x:v>
      </x:c>
    </x:row>
    <x:row r="108" ht="15" hidden="0" customHeight="1">
      <x:c r="A108" s="27" t="str">
        <x:v>SCA-04</x:v>
      </x:c>
      <x:c r="B108" s="27" t="str">
        <x:v>SCA-12</x:v>
      </x:c>
      <x:c r="C108" s="52" t="n">
        <x:v>53.83748093651893</x:v>
      </x:c>
      <x:c r="D108" s="27" t="str">
        <x:v>YES</x:v>
      </x:c>
      <x:c r="E108" s="52" t="n">
        <x:v>51.30087787869344</x:v>
      </x:c>
      <x:c r="F108" s="27" t="str">
        <x:v>YES</x:v>
      </x:c>
      <x:c r="G108" s="52" t="n">
        <x:v>14.23366007400611</x:v>
      </x:c>
      <x:c r="H108" s="27" t="str">
        <x:v>YES</x:v>
      </x:c>
      <x:c r="I108" s="52"/>
      <x:c r="J108" s="27" t="str">
        <x:v>NO</x:v>
      </x:c>
      <x:c r="K108" s="27" t="str">
        <x:v>Air</x:v>
      </x:c>
      <x:c r="L108" s="52" t="n">
        <x:v>14.23366007400611</x:v>
      </x:c>
      <x:c r="M108" s="40" t="n">
        <x:f>INDEX(Catchments!C:C,MATCH(A108,Catchments!A:A,0))</x:f>
        <x:v>16200470</x:v>
      </x:c>
      <x:c r="N108" s="40" t="n">
        <x:f>INDEX(Catchments!C:C,MATCH(B108,Catchments!A:A,0))</x:f>
        <x:v>7465186</x:v>
      </x:c>
    </x:row>
    <x:row r="109" ht="15" hidden="0" customHeight="1">
      <x:c r="A109" s="29" t="str">
        <x:v>SCA-04</x:v>
      </x:c>
      <x:c r="B109" s="29" t="str">
        <x:v>SCA-13</x:v>
      </x:c>
      <x:c r="C109" s="53" t="n">
        <x:v>64.60079010734417</x:v>
      </x:c>
      <x:c r="D109" s="29" t="str">
        <x:v>YES</x:v>
      </x:c>
      <x:c r="E109" s="53" t="n">
        <x:v>59.75776365577042</x:v>
      </x:c>
      <x:c r="F109" s="29" t="str">
        <x:v>YES</x:v>
      </x:c>
      <x:c r="G109" s="53" t="n">
        <x:v>15.584325606663562</x:v>
      </x:c>
      <x:c r="H109" s="29" t="str">
        <x:v>YES</x:v>
      </x:c>
      <x:c r="I109" s="53" t="n">
        <x:v>111.20755872611842</x:v>
      </x:c>
      <x:c r="J109" s="29" t="str">
        <x:v>NO</x:v>
      </x:c>
      <x:c r="K109" s="29" t="str">
        <x:v>Air</x:v>
      </x:c>
      <x:c r="L109" s="53" t="n">
        <x:v>15.584325606663562</x:v>
      </x:c>
      <x:c r="M109" s="41" t="n">
        <x:f>INDEX(Catchments!C:C,MATCH(A109,Catchments!A:A,0))</x:f>
        <x:v>16200470</x:v>
      </x:c>
      <x:c r="N109" s="41" t="n">
        <x:f>INDEX(Catchments!C:C,MATCH(B109,Catchments!A:A,0))</x:f>
        <x:v>6759014</x:v>
      </x:c>
    </x:row>
    <x:row r="110" ht="15" hidden="0" customHeight="1">
      <x:c r="A110" s="27" t="str">
        <x:v>SCA-04</x:v>
      </x:c>
      <x:c r="B110" s="27" t="str">
        <x:v>SCA-14</x:v>
      </x:c>
      <x:c r="C110" s="52" t="n">
        <x:v>71.93833217510982</x:v>
      </x:c>
      <x:c r="D110" s="27" t="str">
        <x:v>YES</x:v>
      </x:c>
      <x:c r="E110" s="52" t="n">
        <x:v>65.52297528044343</x:v>
      </x:c>
      <x:c r="F110" s="27" t="str">
        <x:v>YES</x:v>
      </x:c>
      <x:c r="G110" s="52" t="n">
        <x:v>15.884032440745285</x:v>
      </x:c>
      <x:c r="H110" s="27" t="str">
        <x:v>YES</x:v>
      </x:c>
      <x:c r="I110" s="52" t="n">
        <x:v>118.16503880301555</x:v>
      </x:c>
      <x:c r="J110" s="27" t="str">
        <x:v>NO</x:v>
      </x:c>
      <x:c r="K110" s="27" t="str">
        <x:v>Air</x:v>
      </x:c>
      <x:c r="L110" s="52" t="n">
        <x:v>15.884032440745285</x:v>
      </x:c>
      <x:c r="M110" s="40" t="n">
        <x:f>INDEX(Catchments!C:C,MATCH(A110,Catchments!A:A,0))</x:f>
        <x:v>16200470</x:v>
      </x:c>
      <x:c r="N110" s="40" t="n">
        <x:f>INDEX(Catchments!C:C,MATCH(B110,Catchments!A:A,0))</x:f>
        <x:v>2179728</x:v>
      </x:c>
    </x:row>
    <x:row r="111" ht="15" hidden="0" customHeight="1">
      <x:c r="A111" s="29" t="str">
        <x:v>SCA-04</x:v>
      </x:c>
      <x:c r="B111" s="29" t="str">
        <x:v>SCA-15</x:v>
      </x:c>
      <x:c r="C111" s="53" t="n">
        <x:v>65.2703708956494</x:v>
      </x:c>
      <x:c r="D111" s="29" t="str">
        <x:v>YES</x:v>
      </x:c>
      <x:c r="E111" s="53" t="n">
        <x:v>60.28386284658168</x:v>
      </x:c>
      <x:c r="F111" s="29" t="str">
        <x:v>YES</x:v>
      </x:c>
      <x:c r="G111" s="53" t="n">
        <x:v>15.552368612118473</x:v>
      </x:c>
      <x:c r="H111" s="29" t="str">
        <x:v>YES</x:v>
      </x:c>
      <x:c r="I111" s="53" t="n">
        <x:v>110.46569992417882</x:v>
      </x:c>
      <x:c r="J111" s="29" t="str">
        <x:v>NO</x:v>
      </x:c>
      <x:c r="K111" s="29" t="str">
        <x:v>Air</x:v>
      </x:c>
      <x:c r="L111" s="53" t="n">
        <x:v>15.552368612118473</x:v>
      </x:c>
      <x:c r="M111" s="41" t="n">
        <x:f>INDEX(Catchments!C:C,MATCH(A111,Catchments!A:A,0))</x:f>
        <x:v>16200470</x:v>
      </x:c>
      <x:c r="N111" s="41" t="n">
        <x:f>INDEX(Catchments!C:C,MATCH(B111,Catchments!A:A,0))</x:f>
        <x:v>13192386</x:v>
      </x:c>
    </x:row>
    <x:row r="112" ht="15" hidden="0" customHeight="1">
      <x:c r="A112" s="27" t="str">
        <x:v>SCA-04</x:v>
      </x:c>
      <x:c r="B112" s="27" t="str">
        <x:v>SCA-16</x:v>
      </x:c>
      <x:c r="C112" s="52" t="n">
        <x:v>70.05779442730258</x:v>
      </x:c>
      <x:c r="D112" s="27" t="str">
        <x:v>YES</x:v>
      </x:c>
      <x:c r="E112" s="52" t="n">
        <x:v>64.04540990716632</x:v>
      </x:c>
      <x:c r="F112" s="27" t="str">
        <x:v>YES</x:v>
      </x:c>
      <x:c r="G112" s="52" t="n">
        <x:v>15.416886627149893</x:v>
      </x:c>
      <x:c r="H112" s="27" t="str">
        <x:v>YES</x:v>
      </x:c>
      <x:c r="I112" s="52"/>
      <x:c r="J112" s="27" t="str">
        <x:v>NO</x:v>
      </x:c>
      <x:c r="K112" s="27" t="str">
        <x:v>Air</x:v>
      </x:c>
      <x:c r="L112" s="52" t="n">
        <x:v>15.416886627149893</x:v>
      </x:c>
      <x:c r="M112" s="40" t="n">
        <x:f>INDEX(Catchments!C:C,MATCH(A112,Catchments!A:A,0))</x:f>
        <x:v>16200470</x:v>
      </x:c>
      <x:c r="N112" s="40" t="n">
        <x:f>INDEX(Catchments!C:C,MATCH(B112,Catchments!A:A,0))</x:f>
        <x:v>10177969</x:v>
      </x:c>
    </x:row>
    <x:row r="113" ht="15" hidden="0" customHeight="1">
      <x:c r="A113" s="29" t="str">
        <x:v>SCA-04</x:v>
      </x:c>
      <x:c r="B113" s="29" t="str">
        <x:v>SCA-17</x:v>
      </x:c>
      <x:c r="C113" s="53" t="n">
        <x:v>72.46143812453457</x:v>
      </x:c>
      <x:c r="D113" s="29" t="str">
        <x:v>NO</x:v>
      </x:c>
      <x:c r="E113" s="53" t="n">
        <x:v>65.93398709784859</x:v>
      </x:c>
      <x:c r="F113" s="29" t="str">
        <x:v>YES</x:v>
      </x:c>
      <x:c r="G113" s="53" t="n">
        <x:v>16.09019298901145</x:v>
      </x:c>
      <x:c r="H113" s="29" t="str">
        <x:v>YES</x:v>
      </x:c>
      <x:c r="I113" s="53" t="n">
        <x:v>122.9509086734801</x:v>
      </x:c>
      <x:c r="J113" s="29" t="str">
        <x:v>NO</x:v>
      </x:c>
      <x:c r="K113" s="29" t="str">
        <x:v>Air</x:v>
      </x:c>
      <x:c r="L113" s="53" t="n">
        <x:v>16.09019298901145</x:v>
      </x:c>
      <x:c r="M113" s="41" t="n">
        <x:f>INDEX(Catchments!C:C,MATCH(A113,Catchments!A:A,0))</x:f>
        <x:v>16200470</x:v>
      </x:c>
      <x:c r="N113" s="41" t="n">
        <x:f>INDEX(Catchments!C:C,MATCH(B113,Catchments!A:A,0))</x:f>
        <x:v>12843509</x:v>
      </x:c>
    </x:row>
    <x:row r="114" ht="15" hidden="0" customHeight="1">
      <x:c r="A114" s="27" t="str">
        <x:v>SCA-04</x:v>
      </x:c>
      <x:c r="B114" s="27" t="str">
        <x:v>SCA-18</x:v>
      </x:c>
      <x:c r="C114" s="52" t="n">
        <x:v>67.80174984922218</x:v>
      </x:c>
      <x:c r="D114" s="27" t="str">
        <x:v>YES</x:v>
      </x:c>
      <x:c r="E114" s="52" t="n">
        <x:v>62.27280345296028</x:v>
      </x:c>
      <x:c r="F114" s="27" t="str">
        <x:v>YES</x:v>
      </x:c>
      <x:c r="G114" s="52" t="n">
        <x:v>15.694139274182472</x:v>
      </x:c>
      <x:c r="H114" s="27" t="str">
        <x:v>YES</x:v>
      </x:c>
      <x:c r="I114" s="52" t="n">
        <x:v>113.75680457923598</x:v>
      </x:c>
      <x:c r="J114" s="27" t="str">
        <x:v>NO</x:v>
      </x:c>
      <x:c r="K114" s="27" t="str">
        <x:v>Air</x:v>
      </x:c>
      <x:c r="L114" s="52" t="n">
        <x:v>15.694139274182472</x:v>
      </x:c>
      <x:c r="M114" s="40" t="n">
        <x:f>INDEX(Catchments!C:C,MATCH(A114,Catchments!A:A,0))</x:f>
        <x:v>16200470</x:v>
      </x:c>
      <x:c r="N114" s="40" t="n">
        <x:f>INDEX(Catchments!C:C,MATCH(B114,Catchments!A:A,0))</x:f>
        <x:v>11004680</x:v>
      </x:c>
    </x:row>
    <x:row r="115" ht="15" hidden="0" customHeight="1">
      <x:c r="A115" s="29" t="str">
        <x:v>SCA-04</x:v>
      </x:c>
      <x:c r="B115" s="29" t="str">
        <x:v>SCA-19</x:v>
      </x:c>
      <x:c r="C115" s="53" t="n">
        <x:v>79.53934304419377</x:v>
      </x:c>
      <x:c r="D115" s="29" t="str">
        <x:v>NO</x:v>
      </x:c>
      <x:c r="E115" s="53" t="n">
        <x:v>71.49519810615226</x:v>
      </x:c>
      <x:c r="F115" s="29" t="str">
        <x:v>YES</x:v>
      </x:c>
      <x:c r="G115" s="53" t="n">
        <x:v>16.084474721577568</x:v>
      </x:c>
      <x:c r="H115" s="29" t="str">
        <x:v>YES</x:v>
      </x:c>
      <x:c r="I115" s="53" t="n">
        <x:v>122.81816317947926</x:v>
      </x:c>
      <x:c r="J115" s="29" t="str">
        <x:v>NO</x:v>
      </x:c>
      <x:c r="K115" s="29" t="str">
        <x:v>Air</x:v>
      </x:c>
      <x:c r="L115" s="53" t="n">
        <x:v>16.084474721577568</x:v>
      </x:c>
      <x:c r="M115" s="41" t="n">
        <x:f>INDEX(Catchments!C:C,MATCH(A115,Catchments!A:A,0))</x:f>
        <x:v>16200470</x:v>
      </x:c>
      <x:c r="N115" s="41" t="n">
        <x:f>INDEX(Catchments!C:C,MATCH(B115,Catchments!A:A,0))</x:f>
        <x:v>6677653</x:v>
      </x:c>
    </x:row>
    <x:row r="116" ht="15" hidden="0" customHeight="1">
      <x:c r="A116" s="27" t="str">
        <x:v>SCA-04</x:v>
      </x:c>
      <x:c r="B116" s="27" t="str">
        <x:v>SCA-20</x:v>
      </x:c>
      <x:c r="C116" s="52" t="n">
        <x:v>78.41570443529395</x:v>
      </x:c>
      <x:c r="D116" s="27" t="str">
        <x:v>NO</x:v>
      </x:c>
      <x:c r="E116" s="52" t="n">
        <x:v>70.61233919915952</x:v>
      </x:c>
      <x:c r="F116" s="27" t="str">
        <x:v>YES</x:v>
      </x:c>
      <x:c r="G116" s="52" t="n">
        <x:v>16.389235301767236</x:v>
      </x:c>
      <x:c r="H116" s="27" t="str">
        <x:v>YES</x:v>
      </x:c>
      <x:c r="I116" s="52" t="n">
        <x:v>129.89296236245374</x:v>
      </x:c>
      <x:c r="J116" s="27" t="str">
        <x:v>NO</x:v>
      </x:c>
      <x:c r="K116" s="27" t="str">
        <x:v>Air</x:v>
      </x:c>
      <x:c r="L116" s="52" t="n">
        <x:v>16.389235301767236</x:v>
      </x:c>
      <x:c r="M116" s="40" t="n">
        <x:f>INDEX(Catchments!C:C,MATCH(A116,Catchments!A:A,0))</x:f>
        <x:v>16200470</x:v>
      </x:c>
      <x:c r="N116" s="40" t="n">
        <x:f>INDEX(Catchments!C:C,MATCH(B116,Catchments!A:A,0))</x:f>
        <x:v>8490774</x:v>
      </x:c>
    </x:row>
    <x:row r="117" ht="15" hidden="0" customHeight="1">
      <x:c r="A117" s="29" t="str">
        <x:v>SCA-04</x:v>
      </x:c>
      <x:c r="B117" s="29" t="str">
        <x:v>SCA-21</x:v>
      </x:c>
      <x:c r="C117" s="53" t="n">
        <x:v>79.46723250569245</x:v>
      </x:c>
      <x:c r="D117" s="29" t="str">
        <x:v>NO</x:v>
      </x:c>
      <x:c r="E117" s="53" t="n">
        <x:v>71.43853982590122</x:v>
      </x:c>
      <x:c r="F117" s="29" t="str">
        <x:v>YES</x:v>
      </x:c>
      <x:c r="G117" s="53" t="n">
        <x:v>16.411443400680994</x:v>
      </x:c>
      <x:c r="H117" s="29" t="str">
        <x:v>YES</x:v>
      </x:c>
      <x:c r="I117" s="53" t="n">
        <x:v>130.40850751580882</x:v>
      </x:c>
      <x:c r="J117" s="29" t="str">
        <x:v>NO</x:v>
      </x:c>
      <x:c r="K117" s="29" t="str">
        <x:v>Air</x:v>
      </x:c>
      <x:c r="L117" s="53" t="n">
        <x:v>16.411443400680994</x:v>
      </x:c>
      <x:c r="M117" s="41" t="n">
        <x:f>INDEX(Catchments!C:C,MATCH(A117,Catchments!A:A,0))</x:f>
        <x:v>16200470</x:v>
      </x:c>
      <x:c r="N117" s="41" t="n">
        <x:f>INDEX(Catchments!C:C,MATCH(B117,Catchments!A:A,0))</x:f>
        <x:v>19593580</x:v>
      </x:c>
    </x:row>
    <x:row r="118" ht="15" hidden="0" customHeight="1">
      <x:c r="A118" s="27" t="str">
        <x:v>SCA-04</x:v>
      </x:c>
      <x:c r="B118" s="27" t="str">
        <x:v>SCA-22</x:v>
      </x:c>
      <x:c r="C118" s="52" t="n">
        <x:v>89.45504591008483</x:v>
      </x:c>
      <x:c r="D118" s="27" t="str">
        <x:v>NO</x:v>
      </x:c>
      <x:c r="E118" s="52" t="n">
        <x:v>79.28610750078093</x:v>
      </x:c>
      <x:c r="F118" s="27" t="str">
        <x:v>NO</x:v>
      </x:c>
      <x:c r="G118" s="52" t="n">
        <x:v>16.827582013556125</x:v>
      </x:c>
      <x:c r="H118" s="27" t="str">
        <x:v>YES</x:v>
      </x:c>
      <x:c r="I118" s="52" t="n">
        <x:v>140.06886817183863</x:v>
      </x:c>
      <x:c r="J118" s="27" t="str">
        <x:v>NO</x:v>
      </x:c>
      <x:c r="K118" s="27" t="str">
        <x:v>Air</x:v>
      </x:c>
      <x:c r="L118" s="52" t="n">
        <x:v>16.827582013556125</x:v>
      </x:c>
      <x:c r="M118" s="40" t="n">
        <x:f>INDEX(Catchments!C:C,MATCH(A118,Catchments!A:A,0))</x:f>
        <x:v>16200470</x:v>
      </x:c>
      <x:c r="N118" s="40" t="n">
        <x:f>INDEX(Catchments!C:C,MATCH(B118,Catchments!A:A,0))</x:f>
        <x:v>14732006</x:v>
      </x:c>
    </x:row>
    <x:row r="119" ht="15" hidden="0" customHeight="1">
      <x:c r="A119" s="29" t="str">
        <x:v>SCA-04</x:v>
      </x:c>
      <x:c r="B119" s="29" t="str">
        <x:v>SCA-23</x:v>
      </x:c>
      <x:c r="C119" s="53" t="n">
        <x:v>88.95204977800658</x:v>
      </x:c>
      <x:c r="D119" s="29" t="str">
        <x:v>NO</x:v>
      </x:c>
      <x:c r="E119" s="53" t="n">
        <x:v>78.89089625414803</x:v>
      </x:c>
      <x:c r="F119" s="29" t="str">
        <x:v>NO</x:v>
      </x:c>
      <x:c r="G119" s="53" t="n">
        <x:v>17.137072520066365</x:v>
      </x:c>
      <x:c r="H119" s="29" t="str">
        <x:v>YES</x:v>
      </x:c>
      <x:c r="I119" s="53" t="n">
        <x:v>147.25346921582633</x:v>
      </x:c>
      <x:c r="J119" s="29" t="str">
        <x:v>NO</x:v>
      </x:c>
      <x:c r="K119" s="29" t="str">
        <x:v>Air</x:v>
      </x:c>
      <x:c r="L119" s="53" t="n">
        <x:v>17.137072520066365</x:v>
      </x:c>
      <x:c r="M119" s="41" t="n">
        <x:f>INDEX(Catchments!C:C,MATCH(A119,Catchments!A:A,0))</x:f>
        <x:v>16200470</x:v>
      </x:c>
      <x:c r="N119" s="41" t="n">
        <x:f>INDEX(Catchments!C:C,MATCH(B119,Catchments!A:A,0))</x:f>
        <x:v>20869310</x:v>
      </x:c>
    </x:row>
    <x:row r="120" ht="15" hidden="0" customHeight="1">
      <x:c r="A120" s="27" t="str">
        <x:v>SCA-04</x:v>
      </x:c>
      <x:c r="B120" s="27" t="str">
        <x:v>SCA-24</x:v>
      </x:c>
      <x:c r="C120" s="52" t="n">
        <x:v>86.68977892683858</x:v>
      </x:c>
      <x:c r="D120" s="27" t="str">
        <x:v>NO</x:v>
      </x:c>
      <x:c r="E120" s="52" t="n">
        <x:v>77.11339772823032</x:v>
      </x:c>
      <x:c r="F120" s="27" t="str">
        <x:v>NO</x:v>
      </x:c>
      <x:c r="G120" s="52" t="n">
        <x:v>16.93857444809176</x:v>
      </x:c>
      <x:c r="H120" s="27" t="str">
        <x:v>YES</x:v>
      </x:c>
      <x:c r="I120" s="52" t="n">
        <x:v>142.64547825927298</x:v>
      </x:c>
      <x:c r="J120" s="27" t="str">
        <x:v>NO</x:v>
      </x:c>
      <x:c r="K120" s="27" t="str">
        <x:v>Air</x:v>
      </x:c>
      <x:c r="L120" s="52" t="n">
        <x:v>16.93857444809176</x:v>
      </x:c>
      <x:c r="M120" s="40" t="n">
        <x:f>INDEX(Catchments!C:C,MATCH(A120,Catchments!A:A,0))</x:f>
        <x:v>16200470</x:v>
      </x:c>
      <x:c r="N120" s="40" t="n">
        <x:f>INDEX(Catchments!C:C,MATCH(B120,Catchments!A:A,0))</x:f>
        <x:v>11816161</x:v>
      </x:c>
    </x:row>
    <x:row r="121" ht="15" hidden="0" customHeight="1">
      <x:c r="A121" s="29" t="str">
        <x:v>SCA-04</x:v>
      </x:c>
      <x:c r="B121" s="29" t="str">
        <x:v>SCA-25</x:v>
      </x:c>
      <x:c r="C121" s="53" t="n">
        <x:v>97.94448941290548</x:v>
      </x:c>
      <x:c r="D121" s="29" t="str">
        <x:v>NO</x:v>
      </x:c>
      <x:c r="E121" s="53" t="n">
        <x:v>85.95638453871145</x:v>
      </x:c>
      <x:c r="F121" s="29" t="str">
        <x:v>NO</x:v>
      </x:c>
      <x:c r="G121" s="53" t="n">
        <x:v>17.675670535194282</x:v>
      </x:c>
      <x:c r="H121" s="29" t="str">
        <x:v>YES</x:v>
      </x:c>
      <x:c r="I121" s="53" t="n">
        <x:v>159.75663742415298</x:v>
      </x:c>
      <x:c r="J121" s="29" t="str">
        <x:v>NO</x:v>
      </x:c>
      <x:c r="K121" s="29" t="str">
        <x:v>Air</x:v>
      </x:c>
      <x:c r="L121" s="53" t="n">
        <x:v>17.675670535194282</x:v>
      </x:c>
      <x:c r="M121" s="41" t="n">
        <x:f>INDEX(Catchments!C:C,MATCH(A121,Catchments!A:A,0))</x:f>
        <x:v>16200470</x:v>
      </x:c>
      <x:c r="N121" s="41" t="n">
        <x:f>INDEX(Catchments!C:C,MATCH(B121,Catchments!A:A,0))</x:f>
        <x:v>6408394</x:v>
      </x:c>
    </x:row>
    <x:row r="122" ht="15" hidden="0" customHeight="1">
      <x:c r="A122" s="27" t="str">
        <x:v>SCA-04</x:v>
      </x:c>
      <x:c r="B122" s="27" t="str">
        <x:v>SCA-26</x:v>
      </x:c>
      <x:c r="C122" s="52" t="n">
        <x:v>103.91720679044771</x:v>
      </x:c>
      <x:c r="D122" s="27" t="str">
        <x:v>NO</x:v>
      </x:c>
      <x:c r="E122" s="52" t="n">
        <x:v>90.64923390678034</x:v>
      </x:c>
      <x:c r="F122" s="27" t="str">
        <x:v>NO</x:v>
      </x:c>
      <x:c r="G122" s="52" t="n">
        <x:v>17.896560654971108</x:v>
      </x:c>
      <x:c r="H122" s="27" t="str">
        <x:v>YES</x:v>
      </x:c>
      <x:c r="I122" s="52" t="n">
        <x:v>164.88444377611498</x:v>
      </x:c>
      <x:c r="J122" s="27" t="str">
        <x:v>NO</x:v>
      </x:c>
      <x:c r="K122" s="27" t="str">
        <x:v>Air</x:v>
      </x:c>
      <x:c r="L122" s="52" t="n">
        <x:v>17.896560654971108</x:v>
      </x:c>
      <x:c r="M122" s="40" t="n">
        <x:f>INDEX(Catchments!C:C,MATCH(A122,Catchments!A:A,0))</x:f>
        <x:v>16200470</x:v>
      </x:c>
      <x:c r="N122" s="40" t="n">
        <x:f>INDEX(Catchments!C:C,MATCH(B122,Catchments!A:A,0))</x:f>
        <x:v>10737083</x:v>
      </x:c>
    </x:row>
    <x:row r="123" ht="15" hidden="0" customHeight="1">
      <x:c r="A123" s="29" t="str">
        <x:v>SCA-04</x:v>
      </x:c>
      <x:c r="B123" s="29" t="str">
        <x:v>SCA-27</x:v>
      </x:c>
      <x:c r="C123" s="53" t="n">
        <x:v>109.00135704716678</x:v>
      </x:c>
      <x:c r="D123" s="29" t="str">
        <x:v>NO</x:v>
      </x:c>
      <x:c r="E123" s="53" t="n">
        <x:v>94.64392339420246</x:v>
      </x:c>
      <x:c r="F123" s="29" t="str">
        <x:v>NO</x:v>
      </x:c>
      <x:c r="G123" s="53" t="n">
        <x:v>18.226385287209915</x:v>
      </x:c>
      <x:c r="H123" s="29" t="str">
        <x:v>YES</x:v>
      </x:c>
      <x:c r="I123" s="53" t="n">
        <x:v>172.54108702451592</x:v>
      </x:c>
      <x:c r="J123" s="29" t="str">
        <x:v>NO</x:v>
      </x:c>
      <x:c r="K123" s="29" t="str">
        <x:v>Air</x:v>
      </x:c>
      <x:c r="L123" s="53" t="n">
        <x:v>18.226385287209915</x:v>
      </x:c>
      <x:c r="M123" s="41" t="n">
        <x:f>INDEX(Catchments!C:C,MATCH(A123,Catchments!A:A,0))</x:f>
        <x:v>16200470</x:v>
      </x:c>
      <x:c r="N123" s="41" t="n">
        <x:f>INDEX(Catchments!C:C,MATCH(B123,Catchments!A:A,0))</x:f>
        <x:v>7505606</x:v>
      </x:c>
    </x:row>
    <x:row r="124" ht="15" hidden="0" customHeight="1">
      <x:c r="A124" s="27" t="str">
        <x:v>SCA-04</x:v>
      </x:c>
      <x:c r="B124" s="27" t="str">
        <x:v>SCA-28</x:v>
      </x:c>
      <x:c r="C124" s="52" t="n">
        <x:v>95.70460613699612</x:v>
      </x:c>
      <x:c r="D124" s="27" t="str">
        <x:v>NO</x:v>
      </x:c>
      <x:c r="E124" s="52" t="n">
        <x:v>84.19647625049696</x:v>
      </x:c>
      <x:c r="F124" s="27" t="str">
        <x:v>NO</x:v>
      </x:c>
      <x:c r="G124" s="52" t="n">
        <x:v>17.544393557469533</x:v>
      </x:c>
      <x:c r="H124" s="27" t="str">
        <x:v>YES</x:v>
      </x:c>
      <x:c r="I124" s="52" t="n">
        <x:v>156.70913615554278</x:v>
      </x:c>
      <x:c r="J124" s="27" t="str">
        <x:v>NO</x:v>
      </x:c>
      <x:c r="K124" s="27" t="str">
        <x:v>Air</x:v>
      </x:c>
      <x:c r="L124" s="52" t="n">
        <x:v>17.544393557469533</x:v>
      </x:c>
      <x:c r="M124" s="40" t="n">
        <x:f>INDEX(Catchments!C:C,MATCH(A124,Catchments!A:A,0))</x:f>
        <x:v>16200470</x:v>
      </x:c>
      <x:c r="N124" s="40" t="n">
        <x:f>INDEX(Catchments!C:C,MATCH(B124,Catchments!A:A,0))</x:f>
        <x:v>21305157</x:v>
      </x:c>
    </x:row>
    <x:row r="125" ht="15" hidden="0" customHeight="1">
      <x:c r="A125" s="29" t="str">
        <x:v>SCA-04</x:v>
      </x:c>
      <x:c r="B125" s="29" t="str">
        <x:v>SCA-29</x:v>
      </x:c>
      <x:c r="C125" s="53" t="n">
        <x:v>100.50577612388021</x:v>
      </x:c>
      <x:c r="D125" s="29" t="str">
        <x:v>NO</x:v>
      </x:c>
      <x:c r="E125" s="53" t="n">
        <x:v>87.96882409733445</x:v>
      </x:c>
      <x:c r="F125" s="29" t="str">
        <x:v>NO</x:v>
      </x:c>
      <x:c r="G125" s="53" t="n">
        <x:v>17.76503094874164</x:v>
      </x:c>
      <x:c r="H125" s="29" t="str">
        <x:v>YES</x:v>
      </x:c>
      <x:c r="I125" s="53" t="n">
        <x:v>161.831075595788</x:v>
      </x:c>
      <x:c r="J125" s="29" t="str">
        <x:v>NO</x:v>
      </x:c>
      <x:c r="K125" s="29" t="str">
        <x:v>Air</x:v>
      </x:c>
      <x:c r="L125" s="53" t="n">
        <x:v>17.76503094874164</x:v>
      </x:c>
      <x:c r="M125" s="41" t="n">
        <x:f>INDEX(Catchments!C:C,MATCH(A125,Catchments!A:A,0))</x:f>
        <x:v>16200470</x:v>
      </x:c>
      <x:c r="N125" s="41" t="n">
        <x:f>INDEX(Catchments!C:C,MATCH(B125,Catchments!A:A,0))</x:f>
        <x:v>19271685</x:v>
      </x:c>
    </x:row>
    <x:row r="126" ht="15" hidden="0" customHeight="1">
      <x:c r="A126" s="27" t="str">
        <x:v>SCA-04</x:v>
      </x:c>
      <x:c r="B126" s="27" t="str">
        <x:v>SCA-30</x:v>
      </x:c>
      <x:c r="C126" s="52" t="n">
        <x:v>104.13303733574594</x:v>
      </x:c>
      <x:c r="D126" s="27" t="str">
        <x:v>NO</x:v>
      </x:c>
      <x:c r="E126" s="52" t="n">
        <x:v>90.81881504951467</x:v>
      </x:c>
      <x:c r="F126" s="27" t="str">
        <x:v>NO</x:v>
      </x:c>
      <x:c r="G126" s="52" t="n">
        <x:v>18.144889019360008</x:v>
      </x:c>
      <x:c r="H126" s="27" t="str">
        <x:v>YES</x:v>
      </x:c>
      <x:c r="I126" s="52" t="n">
        <x:v>170.64920937800017</x:v>
      </x:c>
      <x:c r="J126" s="27" t="str">
        <x:v>NO</x:v>
      </x:c>
      <x:c r="K126" s="27" t="str">
        <x:v>Air</x:v>
      </x:c>
      <x:c r="L126" s="52" t="n">
        <x:v>18.144889019360008</x:v>
      </x:c>
      <x:c r="M126" s="40" t="n">
        <x:f>INDEX(Catchments!C:C,MATCH(A126,Catchments!A:A,0))</x:f>
        <x:v>16200470</x:v>
      </x:c>
      <x:c r="N126" s="40" t="n">
        <x:f>INDEX(Catchments!C:C,MATCH(B126,Catchments!A:A,0))</x:f>
        <x:v>41291847</x:v>
      </x:c>
    </x:row>
    <x:row r="127" ht="15" hidden="0" customHeight="1">
      <x:c r="A127" s="29" t="str">
        <x:v>SCA-04</x:v>
      </x:c>
      <x:c r="B127" s="29" t="str">
        <x:v>SCA-31</x:v>
      </x:c>
      <x:c r="C127" s="53" t="n">
        <x:v>111.27998543004604</x:v>
      </x:c>
      <x:c r="D127" s="29" t="str">
        <x:v>NO</x:v>
      </x:c>
      <x:c r="E127" s="53" t="n">
        <x:v>96.43427426646475</x:v>
      </x:c>
      <x:c r="F127" s="29" t="str">
        <x:v>NO</x:v>
      </x:c>
      <x:c r="G127" s="53" t="n">
        <x:v>18.457072846845517</x:v>
      </x:c>
      <x:c r="H127" s="29" t="str">
        <x:v>YES</x:v>
      </x:c>
      <x:c r="I127" s="53" t="n">
        <x:v>177.89633394462805</x:v>
      </x:c>
      <x:c r="J127" s="29" t="str">
        <x:v>NO</x:v>
      </x:c>
      <x:c r="K127" s="29" t="str">
        <x:v>Air</x:v>
      </x:c>
      <x:c r="L127" s="53" t="n">
        <x:v>18.457072846845517</x:v>
      </x:c>
      <x:c r="M127" s="41" t="n">
        <x:f>INDEX(Catchments!C:C,MATCH(A127,Catchments!A:A,0))</x:f>
        <x:v>16200470</x:v>
      </x:c>
      <x:c r="N127" s="41" t="n">
        <x:f>INDEX(Catchments!C:C,MATCH(B127,Catchments!A:A,0))</x:f>
        <x:v>14227128</x:v>
      </x:c>
    </x:row>
    <x:row r="128" ht="15" hidden="0" customHeight="1">
      <x:c r="A128" s="27" t="str">
        <x:v>SCA-04</x:v>
      </x:c>
      <x:c r="B128" s="27" t="str">
        <x:v>SCA-32</x:v>
      </x:c>
      <x:c r="C128" s="52"/>
      <x:c r="D128" s="27" t="str">
        <x:v>NO</x:v>
      </x:c>
      <x:c r="E128" s="52"/>
      <x:c r="F128" s="27" t="str">
        <x:v>NO</x:v>
      </x:c>
      <x:c r="G128" s="52" t="n">
        <x:v>20.840329903939008</x:v>
      </x:c>
      <x:c r="H128" s="27" t="str">
        <x:v>YES</x:v>
      </x:c>
      <x:c r="I128" s="52" t="n">
        <x:v>233.22194419858417</x:v>
      </x:c>
      <x:c r="J128" s="27" t="str">
        <x:v>NO</x:v>
      </x:c>
      <x:c r="K128" s="27" t="str">
        <x:v>Air</x:v>
      </x:c>
      <x:c r="L128" s="52" t="n">
        <x:v>20.840329903939008</x:v>
      </x:c>
      <x:c r="M128" s="40" t="n">
        <x:f>INDEX(Catchments!C:C,MATCH(A128,Catchments!A:A,0))</x:f>
        <x:v>16200470</x:v>
      </x:c>
      <x:c r="N128" s="40" t="n">
        <x:f>INDEX(Catchments!C:C,MATCH(B128,Catchments!A:A,0))</x:f>
        <x:v>3184835</x:v>
      </x:c>
    </x:row>
    <x:row r="129" ht="15" hidden="0" customHeight="1">
      <x:c r="A129" s="29" t="str">
        <x:v>SCA-05</x:v>
      </x:c>
      <x:c r="B129" s="29" t="str">
        <x:v>SCA-01</x:v>
      </x:c>
      <x:c r="C129" s="53"/>
      <x:c r="D129" s="29" t="str">
        <x:v>NO</x:v>
      </x:c>
      <x:c r="E129" s="53"/>
      <x:c r="F129" s="29" t="str">
        <x:v>NO</x:v>
      </x:c>
      <x:c r="G129" s="53" t="n">
        <x:v>18.320880938136636</x:v>
      </x:c>
      <x:c r="H129" s="29" t="str">
        <x:v>YES</x:v>
      </x:c>
      <x:c r="I129" s="53" t="n">
        <x:v>174.7347360638862</x:v>
      </x:c>
      <x:c r="J129" s="29" t="str">
        <x:v>NO</x:v>
      </x:c>
      <x:c r="K129" s="29" t="str">
        <x:v>Air</x:v>
      </x:c>
      <x:c r="L129" s="53" t="n">
        <x:v>18.320880938136636</x:v>
      </x:c>
      <x:c r="M129" s="41" t="n">
        <x:f>INDEX(Catchments!C:C,MATCH(A129,Catchments!A:A,0))</x:f>
        <x:v>15966265</x:v>
      </x:c>
      <x:c r="N129" s="41" t="n">
        <x:f>INDEX(Catchments!C:C,MATCH(B129,Catchments!A:A,0))</x:f>
        <x:v>1432820</x:v>
      </x:c>
    </x:row>
    <x:row r="130" ht="15" hidden="0" customHeight="1">
      <x:c r="A130" s="27" t="str">
        <x:v>SCA-05</x:v>
      </x:c>
      <x:c r="B130" s="27" t="str">
        <x:v>SCA-02</x:v>
      </x:c>
      <x:c r="C130" s="52"/>
      <x:c r="D130" s="27" t="str">
        <x:v>NO</x:v>
      </x:c>
      <x:c r="E130" s="52"/>
      <x:c r="F130" s="27" t="str">
        <x:v>NO</x:v>
      </x:c>
      <x:c r="G130" s="52" t="n">
        <x:v>17.559053285895004</x:v>
      </x:c>
      <x:c r="H130" s="27" t="str">
        <x:v>YES</x:v>
      </x:c>
      <x:c r="I130" s="52" t="n">
        <x:v>157.0494512797054</x:v>
      </x:c>
      <x:c r="J130" s="27" t="str">
        <x:v>NO</x:v>
      </x:c>
      <x:c r="K130" s="27" t="str">
        <x:v>Air</x:v>
      </x:c>
      <x:c r="L130" s="52" t="n">
        <x:v>17.559053285895004</x:v>
      </x:c>
      <x:c r="M130" s="40" t="n">
        <x:f>INDEX(Catchments!C:C,MATCH(A130,Catchments!A:A,0))</x:f>
        <x:v>15966265</x:v>
      </x:c>
      <x:c r="N130" s="40" t="n">
        <x:f>INDEX(Catchments!C:C,MATCH(B130,Catchments!A:A,0))</x:f>
        <x:v>737270</x:v>
      </x:c>
    </x:row>
    <x:row r="131" ht="15" hidden="0" customHeight="1">
      <x:c r="A131" s="29" t="str">
        <x:v>SCA-05</x:v>
      </x:c>
      <x:c r="B131" s="29" t="str">
        <x:v>SCA-03</x:v>
      </x:c>
      <x:c r="C131" s="53" t="n">
        <x:v>44.51766153461263</x:v>
      </x:c>
      <x:c r="D131" s="29" t="str">
        <x:v>YES</x:v>
      </x:c>
      <x:c r="E131" s="53" t="n">
        <x:v>43.97816263433849</x:v>
      </x:c>
      <x:c r="F131" s="29" t="str">
        <x:v>YES</x:v>
      </x:c>
      <x:c r="G131" s="53" t="n">
        <x:v>14.153598107846662</x:v>
      </x:c>
      <x:c r="H131" s="29" t="str">
        <x:v>YES</x:v>
      </x:c>
      <x:c r="I131" s="53" t="n">
        <x:v>77.99424178929749</x:v>
      </x:c>
      <x:c r="J131" s="29" t="str">
        <x:v>NO</x:v>
      </x:c>
      <x:c r="K131" s="29" t="str">
        <x:v>Air</x:v>
      </x:c>
      <x:c r="L131" s="53" t="n">
        <x:v>14.153598107846662</x:v>
      </x:c>
      <x:c r="M131" s="41" t="n">
        <x:f>INDEX(Catchments!C:C,MATCH(A131,Catchments!A:A,0))</x:f>
        <x:v>15966265</x:v>
      </x:c>
      <x:c r="N131" s="41" t="n">
        <x:f>INDEX(Catchments!C:C,MATCH(B131,Catchments!A:A,0))</x:f>
        <x:v>11968308</x:v>
      </x:c>
    </x:row>
    <x:row r="132" ht="15" hidden="0" customHeight="1">
      <x:c r="A132" s="27" t="str">
        <x:v>SCA-05</x:v>
      </x:c>
      <x:c r="B132" s="27" t="str">
        <x:v>SCA-04</x:v>
      </x:c>
      <x:c r="C132" s="52" t="n">
        <x:v>24.715148187480338</x:v>
      </x:c>
      <x:c r="D132" s="27" t="str">
        <x:v>YES</x:v>
      </x:c>
      <x:c r="E132" s="52" t="n">
        <x:v>28.41904500444884</x:v>
      </x:c>
      <x:c r="F132" s="27" t="str">
        <x:v>YES</x:v>
      </x:c>
      <x:c r="G132" s="52" t="n">
        <x:v>12.788405552256078</x:v>
      </x:c>
      <x:c r="H132" s="27" t="str">
        <x:v>YES</x:v>
      </x:c>
      <x:c r="I132" s="52" t="n">
        <x:v>46.30227174880182</x:v>
      </x:c>
      <x:c r="J132" s="27" t="str">
        <x:v>YES</x:v>
      </x:c>
      <x:c r="K132" s="27" t="str">
        <x:v>Air</x:v>
      </x:c>
      <x:c r="L132" s="52" t="n">
        <x:v>12.788405552256078</x:v>
      </x:c>
      <x:c r="M132" s="40" t="n">
        <x:f>INDEX(Catchments!C:C,MATCH(A132,Catchments!A:A,0))</x:f>
        <x:v>15966265</x:v>
      </x:c>
      <x:c r="N132" s="40" t="n">
        <x:f>INDEX(Catchments!C:C,MATCH(B132,Catchments!A:A,0))</x:f>
        <x:v>16200470</x:v>
      </x:c>
    </x:row>
    <x:row r="133" ht="15" hidden="0" customHeight="1">
      <x:c r="A133" s="29" t="str">
        <x:v>SCA-05</x:v>
      </x:c>
      <x:c r="B133" s="29" t="str">
        <x:v>SCA-06</x:v>
      </x:c>
      <x:c r="C133" s="53" t="n">
        <x:v>18.377406768729514</x:v>
      </x:c>
      <x:c r="D133" s="29" t="str">
        <x:v>YES</x:v>
      </x:c>
      <x:c r="E133" s="53" t="n">
        <x:v>23.43939103257319</x:v>
      </x:c>
      <x:c r="F133" s="29" t="str">
        <x:v>YES</x:v>
      </x:c>
      <x:c r="G133" s="53" t="n">
        <x:v>12.322083441177423</x:v>
      </x:c>
      <x:c r="H133" s="29" t="str">
        <x:v>YES</x:v>
      </x:c>
      <x:c r="I133" s="53" t="n">
        <x:v>35.47693702733302</x:v>
      </x:c>
      <x:c r="J133" s="29" t="str">
        <x:v>YES</x:v>
      </x:c>
      <x:c r="K133" s="29" t="str">
        <x:v>Air</x:v>
      </x:c>
      <x:c r="L133" s="53" t="n">
        <x:v>12.322083441177423</x:v>
      </x:c>
      <x:c r="M133" s="41" t="n">
        <x:f>INDEX(Catchments!C:C,MATCH(A133,Catchments!A:A,0))</x:f>
        <x:v>15966265</x:v>
      </x:c>
      <x:c r="N133" s="41" t="n">
        <x:f>INDEX(Catchments!C:C,MATCH(B133,Catchments!A:A,0))</x:f>
        <x:v>6008575</x:v>
      </x:c>
    </x:row>
    <x:row r="134" ht="15" hidden="0" customHeight="1">
      <x:c r="A134" s="27" t="str">
        <x:v>SCA-05</x:v>
      </x:c>
      <x:c r="B134" s="27" t="str">
        <x:v>SCA-07</x:v>
      </x:c>
      <x:c r="C134" s="52" t="n">
        <x:v>20.54911081120387</x:v>
      </x:c>
      <x:c r="D134" s="27" t="str">
        <x:v>YES</x:v>
      </x:c>
      <x:c r="E134" s="52" t="n">
        <x:v>25.14572992308876</x:v>
      </x:c>
      <x:c r="F134" s="27" t="str">
        <x:v>YES</x:v>
      </x:c>
      <x:c r="G134" s="52" t="n">
        <x:v>12.481874374068513</x:v>
      </x:c>
      <x:c r="H134" s="27" t="str">
        <x:v>YES</x:v>
      </x:c>
      <x:c r="I134" s="52" t="n">
        <x:v>39.18636939801904</x:v>
      </x:c>
      <x:c r="J134" s="27" t="str">
        <x:v>YES</x:v>
      </x:c>
      <x:c r="K134" s="27" t="str">
        <x:v>Air</x:v>
      </x:c>
      <x:c r="L134" s="52" t="n">
        <x:v>12.481874374068513</x:v>
      </x:c>
      <x:c r="M134" s="40" t="n">
        <x:f>INDEX(Catchments!C:C,MATCH(A134,Catchments!A:A,0))</x:f>
        <x:v>15966265</x:v>
      </x:c>
      <x:c r="N134" s="40" t="n">
        <x:f>INDEX(Catchments!C:C,MATCH(B134,Catchments!A:A,0))</x:f>
        <x:v>5229370</x:v>
      </x:c>
    </x:row>
    <x:row r="135" ht="15" hidden="0" customHeight="1">
      <x:c r="A135" s="29" t="str">
        <x:v>SCA-05</x:v>
      </x:c>
      <x:c r="B135" s="29" t="str">
        <x:v>SCA-08</x:v>
      </x:c>
      <x:c r="C135" s="53" t="n">
        <x:v>41.5378567196347</x:v>
      </x:c>
      <x:c r="D135" s="29" t="str">
        <x:v>YES</x:v>
      </x:c>
      <x:c r="E135" s="53" t="n">
        <x:v>41.636887422570126</x:v>
      </x:c>
      <x:c r="F135" s="29" t="str">
        <x:v>YES</x:v>
      </x:c>
      <x:c r="G135" s="53" t="n">
        <x:v>13.841186873993465</x:v>
      </x:c>
      <x:c r="H135" s="29" t="str">
        <x:v>YES</x:v>
      </x:c>
      <x:c r="I135" s="53" t="n">
        <x:v>70.74183814627683</x:v>
      </x:c>
      <x:c r="J135" s="29" t="str">
        <x:v>YES</x:v>
      </x:c>
      <x:c r="K135" s="29" t="str">
        <x:v>Air</x:v>
      </x:c>
      <x:c r="L135" s="53" t="n">
        <x:v>13.841186873993465</x:v>
      </x:c>
      <x:c r="M135" s="41" t="n">
        <x:f>INDEX(Catchments!C:C,MATCH(A135,Catchments!A:A,0))</x:f>
        <x:v>15966265</x:v>
      </x:c>
      <x:c r="N135" s="41" t="n">
        <x:f>INDEX(Catchments!C:C,MATCH(B135,Catchments!A:A,0))</x:f>
        <x:v>2652387</x:v>
      </x:c>
    </x:row>
    <x:row r="136" ht="15" hidden="0" customHeight="1">
      <x:c r="A136" s="27" t="str">
        <x:v>SCA-05</x:v>
      </x:c>
      <x:c r="B136" s="27" t="str">
        <x:v>SCA-09</x:v>
      </x:c>
      <x:c r="C136" s="52" t="n">
        <x:v>26.55412407349008</x:v>
      </x:c>
      <x:c r="D136" s="27" t="str">
        <x:v>YES</x:v>
      </x:c>
      <x:c r="E136" s="52" t="n">
        <x:v>29.863954629170777</x:v>
      </x:c>
      <x:c r="F136" s="27" t="str">
        <x:v>YES</x:v>
      </x:c>
      <x:c r="G136" s="52" t="n">
        <x:v>12.894011588283213</x:v>
      </x:c>
      <x:c r="H136" s="27" t="str">
        <x:v>YES</x:v>
      </x:c>
      <x:c r="I136" s="52"/>
      <x:c r="J136" s="27" t="str">
        <x:v>NO</x:v>
      </x:c>
      <x:c r="K136" s="27" t="str">
        <x:v>Air</x:v>
      </x:c>
      <x:c r="L136" s="52" t="n">
        <x:v>12.894011588283213</x:v>
      </x:c>
      <x:c r="M136" s="40" t="n">
        <x:f>INDEX(Catchments!C:C,MATCH(A136,Catchments!A:A,0))</x:f>
        <x:v>15966265</x:v>
      </x:c>
      <x:c r="N136" s="40" t="n">
        <x:f>INDEX(Catchments!C:C,MATCH(B136,Catchments!A:A,0))</x:f>
        <x:v>7395716</x:v>
      </x:c>
    </x:row>
    <x:row r="137" ht="15" hidden="0" customHeight="1">
      <x:c r="A137" s="29" t="str">
        <x:v>SCA-05</x:v>
      </x:c>
      <x:c r="B137" s="29" t="str">
        <x:v>SCA-10</x:v>
      </x:c>
      <x:c r="C137" s="53" t="n">
        <x:v>35.35273449501213</x:v>
      </x:c>
      <x:c r="D137" s="29" t="str">
        <x:v>YES</x:v>
      </x:c>
      <x:c r="E137" s="53" t="n">
        <x:v>36.77714853179525</x:v>
      </x:c>
      <x:c r="F137" s="29" t="str">
        <x:v>YES</x:v>
      </x:c>
      <x:c r="G137" s="53" t="n">
        <x:v>13.51837520951911</x:v>
      </x:c>
      <x:c r="H137" s="29" t="str">
        <x:v>YES</x:v>
      </x:c>
      <x:c r="I137" s="53"/>
      <x:c r="J137" s="29" t="str">
        <x:v>NO</x:v>
      </x:c>
      <x:c r="K137" s="29" t="str">
        <x:v>Air</x:v>
      </x:c>
      <x:c r="L137" s="53" t="n">
        <x:v>13.51837520951911</x:v>
      </x:c>
      <x:c r="M137" s="41" t="n">
        <x:f>INDEX(Catchments!C:C,MATCH(A137,Catchments!A:A,0))</x:f>
        <x:v>15966265</x:v>
      </x:c>
      <x:c r="N137" s="41" t="n">
        <x:f>INDEX(Catchments!C:C,MATCH(B137,Catchments!A:A,0))</x:f>
        <x:v>4127033</x:v>
      </x:c>
    </x:row>
    <x:row r="138" ht="15" hidden="0" customHeight="1">
      <x:c r="A138" s="27" t="str">
        <x:v>SCA-05</x:v>
      </x:c>
      <x:c r="B138" s="27" t="str">
        <x:v>SCA-11</x:v>
      </x:c>
      <x:c r="C138" s="52" t="n">
        <x:v>40.222348645664816</x:v>
      </x:c>
      <x:c r="D138" s="27" t="str">
        <x:v>YES</x:v>
      </x:c>
      <x:c r="E138" s="52" t="n">
        <x:v>40.6032739358795</x:v>
      </x:c>
      <x:c r="F138" s="27" t="str">
        <x:v>YES</x:v>
      </x:c>
      <x:c r="G138" s="52" t="n">
        <x:v>13.883484751094736</x:v>
      </x:c>
      <x:c r="H138" s="27" t="str">
        <x:v>YES</x:v>
      </x:c>
      <x:c r="I138" s="52" t="n">
        <x:v>71.7237531504135</x:v>
      </x:c>
      <x:c r="J138" s="27" t="str">
        <x:v>YES</x:v>
      </x:c>
      <x:c r="K138" s="27" t="str">
        <x:v>Air</x:v>
      </x:c>
      <x:c r="L138" s="52" t="n">
        <x:v>13.883484751094736</x:v>
      </x:c>
      <x:c r="M138" s="40" t="n">
        <x:f>INDEX(Catchments!C:C,MATCH(A138,Catchments!A:A,0))</x:f>
        <x:v>15966265</x:v>
      </x:c>
      <x:c r="N138" s="40" t="n">
        <x:f>INDEX(Catchments!C:C,MATCH(B138,Catchments!A:A,0))</x:f>
        <x:v>3517787</x:v>
      </x:c>
    </x:row>
    <x:row r="139" ht="15" hidden="0" customHeight="1">
      <x:c r="A139" s="29" t="str">
        <x:v>SCA-05</x:v>
      </x:c>
      <x:c r="B139" s="29" t="str">
        <x:v>SCA-12</x:v>
      </x:c>
      <x:c r="C139" s="53" t="n">
        <x:v>46.4827848272867</x:v>
      </x:c>
      <x:c r="D139" s="29" t="str">
        <x:v>YES</x:v>
      </x:c>
      <x:c r="E139" s="53" t="n">
        <x:v>45.5221880785824</x:v>
      </x:c>
      <x:c r="F139" s="29" t="str">
        <x:v>YES</x:v>
      </x:c>
      <x:c r="G139" s="53" t="n">
        <x:v>14.043622029197104</x:v>
      </x:c>
      <x:c r="H139" s="29" t="str">
        <x:v>YES</x:v>
      </x:c>
      <x:c r="I139" s="53"/>
      <x:c r="J139" s="29" t="str">
        <x:v>NO</x:v>
      </x:c>
      <x:c r="K139" s="29" t="str">
        <x:v>Air</x:v>
      </x:c>
      <x:c r="L139" s="53" t="n">
        <x:v>14.043622029197104</x:v>
      </x:c>
      <x:c r="M139" s="41" t="n">
        <x:f>INDEX(Catchments!C:C,MATCH(A139,Catchments!A:A,0))</x:f>
        <x:v>15966265</x:v>
      </x:c>
      <x:c r="N139" s="41" t="n">
        <x:f>INDEX(Catchments!C:C,MATCH(B139,Catchments!A:A,0))</x:f>
        <x:v>7465186</x:v>
      </x:c>
    </x:row>
    <x:row r="140" ht="15" hidden="0" customHeight="1">
      <x:c r="A140" s="27" t="str">
        <x:v>SCA-05</x:v>
      </x:c>
      <x:c r="B140" s="27" t="str">
        <x:v>SCA-13</x:v>
      </x:c>
      <x:c r="C140" s="52" t="n">
        <x:v>56.014180011258425</x:v>
      </x:c>
      <x:c r="D140" s="27" t="str">
        <x:v>YES</x:v>
      </x:c>
      <x:c r="E140" s="52" t="n">
        <x:v>53.011141437417336</x:v>
      </x:c>
      <x:c r="F140" s="27" t="str">
        <x:v>YES</x:v>
      </x:c>
      <x:c r="G140" s="52" t="n">
        <x:v>15.01200312885971</x:v>
      </x:c>
      <x:c r="H140" s="27" t="str">
        <x:v>YES</x:v>
      </x:c>
      <x:c r="I140" s="52" t="n">
        <x:v>97.92150120567186</x:v>
      </x:c>
      <x:c r="J140" s="27" t="str">
        <x:v>NO</x:v>
      </x:c>
      <x:c r="K140" s="27" t="str">
        <x:v>Air</x:v>
      </x:c>
      <x:c r="L140" s="52" t="n">
        <x:v>15.01200312885971</x:v>
      </x:c>
      <x:c r="M140" s="40" t="n">
        <x:f>INDEX(Catchments!C:C,MATCH(A140,Catchments!A:A,0))</x:f>
        <x:v>15966265</x:v>
      </x:c>
      <x:c r="N140" s="40" t="n">
        <x:f>INDEX(Catchments!C:C,MATCH(B140,Catchments!A:A,0))</x:f>
        <x:v>6759014</x:v>
      </x:c>
    </x:row>
    <x:row r="141" ht="15" hidden="0" customHeight="1">
      <x:c r="A141" s="29" t="str">
        <x:v>SCA-05</x:v>
      </x:c>
      <x:c r="B141" s="29" t="str">
        <x:v>SCA-14</x:v>
      </x:c>
      <x:c r="C141" s="53" t="n">
        <x:v>63.35172207902409</x:v>
      </x:c>
      <x:c r="D141" s="29" t="str">
        <x:v>YES</x:v>
      </x:c>
      <x:c r="E141" s="53" t="n">
        <x:v>58.77635306209036</x:v>
      </x:c>
      <x:c r="F141" s="29" t="str">
        <x:v>YES</x:v>
      </x:c>
      <x:c r="G141" s="53" t="n">
        <x:v>15.241353049421761</x:v>
      </x:c>
      <x:c r="H141" s="29" t="str">
        <x:v>YES</x:v>
      </x:c>
      <x:c r="I141" s="53" t="n">
        <x:v>103.24569579014802</x:v>
      </x:c>
      <x:c r="J141" s="29" t="str">
        <x:v>NO</x:v>
      </x:c>
      <x:c r="K141" s="29" t="str">
        <x:v>Air</x:v>
      </x:c>
      <x:c r="L141" s="53" t="n">
        <x:v>15.241353049421761</x:v>
      </x:c>
      <x:c r="M141" s="41" t="n">
        <x:f>INDEX(Catchments!C:C,MATCH(A141,Catchments!A:A,0))</x:f>
        <x:v>15966265</x:v>
      </x:c>
      <x:c r="N141" s="41" t="n">
        <x:f>INDEX(Catchments!C:C,MATCH(B141,Catchments!A:A,0))</x:f>
        <x:v>2179728</x:v>
      </x:c>
    </x:row>
    <x:row r="142" ht="15" hidden="0" customHeight="1">
      <x:c r="A142" s="27" t="str">
        <x:v>SCA-05</x:v>
      </x:c>
      <x:c r="B142" s="27" t="str">
        <x:v>SCA-15</x:v>
      </x:c>
      <x:c r="C142" s="52" t="n">
        <x:v>56.68376079956367</x:v>
      </x:c>
      <x:c r="D142" s="27" t="str">
        <x:v>YES</x:v>
      </x:c>
      <x:c r="E142" s="52" t="n">
        <x:v>53.5372406282286</x:v>
      </x:c>
      <x:c r="F142" s="27" t="str">
        <x:v>YES</x:v>
      </x:c>
      <x:c r="G142" s="52" t="n">
        <x:v>15.083123503679833</x:v>
      </x:c>
      <x:c r="H142" s="27" t="str">
        <x:v>YES</x:v>
      </x:c>
      <x:c r="I142" s="52" t="n">
        <x:v>99.57250990685324</x:v>
      </x:c>
      <x:c r="J142" s="27" t="str">
        <x:v>NO</x:v>
      </x:c>
      <x:c r="K142" s="27" t="str">
        <x:v>Air</x:v>
      </x:c>
      <x:c r="L142" s="52" t="n">
        <x:v>15.083123503679833</x:v>
      </x:c>
      <x:c r="M142" s="40" t="n">
        <x:f>INDEX(Catchments!C:C,MATCH(A142,Catchments!A:A,0))</x:f>
        <x:v>15966265</x:v>
      </x:c>
      <x:c r="N142" s="40" t="n">
        <x:f>INDEX(Catchments!C:C,MATCH(B142,Catchments!A:A,0))</x:f>
        <x:v>13192386</x:v>
      </x:c>
    </x:row>
    <x:row r="143" ht="15" hidden="0" customHeight="1">
      <x:c r="A143" s="29" t="str">
        <x:v>SCA-05</x:v>
      </x:c>
      <x:c r="B143" s="29" t="str">
        <x:v>SCA-16</x:v>
      </x:c>
      <x:c r="C143" s="53" t="n">
        <x:v>62.70309831807035</x:v>
      </x:c>
      <x:c r="D143" s="29" t="str">
        <x:v>YES</x:v>
      </x:c>
      <x:c r="E143" s="53" t="n">
        <x:v>58.26672010705528</x:v>
      </x:c>
      <x:c r="F143" s="29" t="str">
        <x:v>YES</x:v>
      </x:c>
      <x:c r="G143" s="53" t="n">
        <x:v>15.133352838090122</x:v>
      </x:c>
      <x:c r="H143" s="29" t="str">
        <x:v>YES</x:v>
      </x:c>
      <x:c r="I143" s="53"/>
      <x:c r="J143" s="29" t="str">
        <x:v>NO</x:v>
      </x:c>
      <x:c r="K143" s="29" t="str">
        <x:v>Air</x:v>
      </x:c>
      <x:c r="L143" s="53" t="n">
        <x:v>15.133352838090122</x:v>
      </x:c>
      <x:c r="M143" s="41" t="n">
        <x:f>INDEX(Catchments!C:C,MATCH(A143,Catchments!A:A,0))</x:f>
        <x:v>15966265</x:v>
      </x:c>
      <x:c r="N143" s="41" t="n">
        <x:f>INDEX(Catchments!C:C,MATCH(B143,Catchments!A:A,0))</x:f>
        <x:v>10177969</x:v>
      </x:c>
    </x:row>
    <x:row r="144" ht="15" hidden="0" customHeight="1">
      <x:c r="A144" s="27" t="str">
        <x:v>SCA-05</x:v>
      </x:c>
      <x:c r="B144" s="27" t="str">
        <x:v>SCA-17</x:v>
      </x:c>
      <x:c r="C144" s="52" t="n">
        <x:v>63.874828028448825</x:v>
      </x:c>
      <x:c r="D144" s="27" t="str">
        <x:v>YES</x:v>
      </x:c>
      <x:c r="E144" s="52" t="n">
        <x:v>59.187364879495505</x:v>
      </x:c>
      <x:c r="F144" s="27" t="str">
        <x:v>YES</x:v>
      </x:c>
      <x:c r="G144" s="52" t="n">
        <x:v>15.556529509458398</x:v>
      </x:c>
      <x:c r="H144" s="27" t="str">
        <x:v>YES</x:v>
      </x:c>
      <x:c r="I144" s="52" t="n">
        <x:v>110.56229218385569</x:v>
      </x:c>
      <x:c r="J144" s="27" t="str">
        <x:v>NO</x:v>
      </x:c>
      <x:c r="K144" s="27" t="str">
        <x:v>Air</x:v>
      </x:c>
      <x:c r="L144" s="52" t="n">
        <x:v>15.556529509458398</x:v>
      </x:c>
      <x:c r="M144" s="40" t="n">
        <x:f>INDEX(Catchments!C:C,MATCH(A144,Catchments!A:A,0))</x:f>
        <x:v>15966265</x:v>
      </x:c>
      <x:c r="N144" s="40" t="n">
        <x:f>INDEX(Catchments!C:C,MATCH(B144,Catchments!A:A,0))</x:f>
        <x:v>12843509</x:v>
      </x:c>
    </x:row>
    <x:row r="145" ht="15" hidden="0" customHeight="1">
      <x:c r="A145" s="29" t="str">
        <x:v>SCA-05</x:v>
      </x:c>
      <x:c r="B145" s="29" t="str">
        <x:v>SCA-18</x:v>
      </x:c>
      <x:c r="C145" s="53" t="n">
        <x:v>68.87286285767682</x:v>
      </x:c>
      <x:c r="D145" s="29" t="str">
        <x:v>YES</x:v>
      </x:c>
      <x:c r="E145" s="53" t="n">
        <x:v>63.114392245317504</x:v>
      </x:c>
      <x:c r="F145" s="29" t="str">
        <x:v>YES</x:v>
      </x:c>
      <x:c r="G145" s="53" t="n">
        <x:v>15.658917286465172</x:v>
      </x:c>
      <x:c r="H145" s="29" t="str">
        <x:v>YES</x:v>
      </x:c>
      <x:c r="I145" s="53" t="n">
        <x:v>112.93915129294147</x:v>
      </x:c>
      <x:c r="J145" s="29" t="str">
        <x:v>NO</x:v>
      </x:c>
      <x:c r="K145" s="29" t="str">
        <x:v>Air</x:v>
      </x:c>
      <x:c r="L145" s="53" t="n">
        <x:v>15.658917286465172</x:v>
      </x:c>
      <x:c r="M145" s="41" t="n">
        <x:f>INDEX(Catchments!C:C,MATCH(A145,Catchments!A:A,0))</x:f>
        <x:v>15966265</x:v>
      </x:c>
      <x:c r="N145" s="41" t="n">
        <x:f>INDEX(Catchments!C:C,MATCH(B145,Catchments!A:A,0))</x:f>
        <x:v>11004680</x:v>
      </x:c>
    </x:row>
    <x:row r="146" ht="15" hidden="0" customHeight="1">
      <x:c r="A146" s="27" t="str">
        <x:v>SCA-05</x:v>
      </x:c>
      <x:c r="B146" s="27" t="str">
        <x:v>SCA-19</x:v>
      </x:c>
      <x:c r="C146" s="52" t="n">
        <x:v>72.18464693496155</x:v>
      </x:c>
      <x:c r="D146" s="27" t="str">
        <x:v>NO</x:v>
      </x:c>
      <x:c r="E146" s="52" t="n">
        <x:v>65.71650830604122</x:v>
      </x:c>
      <x:c r="F146" s="27" t="str">
        <x:v>YES</x:v>
      </x:c>
      <x:c r="G146" s="52" t="n">
        <x:v>15.828556151833784</x:v>
      </x:c>
      <x:c r="H146" s="27" t="str">
        <x:v>YES</x:v>
      </x:c>
      <x:c r="I146" s="52" t="n">
        <x:v>116.8771963818557</x:v>
      </x:c>
      <x:c r="J146" s="27" t="str">
        <x:v>NO</x:v>
      </x:c>
      <x:c r="K146" s="27" t="str">
        <x:v>Air</x:v>
      </x:c>
      <x:c r="L146" s="52" t="n">
        <x:v>15.828556151833784</x:v>
      </x:c>
      <x:c r="M146" s="40" t="n">
        <x:f>INDEX(Catchments!C:C,MATCH(A146,Catchments!A:A,0))</x:f>
        <x:v>15966265</x:v>
      </x:c>
      <x:c r="N146" s="40" t="n">
        <x:f>INDEX(Catchments!C:C,MATCH(B146,Catchments!A:A,0))</x:f>
        <x:v>6677653</x:v>
      </x:c>
    </x:row>
    <x:row r="147" ht="15" hidden="0" customHeight="1">
      <x:c r="A147" s="29" t="str">
        <x:v>SCA-05</x:v>
      </x:c>
      <x:c r="B147" s="29" t="str">
        <x:v>SCA-20</x:v>
      </x:c>
      <x:c r="C147" s="53" t="n">
        <x:v>69.82909433920821</x:v>
      </x:c>
      <x:c r="D147" s="29" t="str">
        <x:v>YES</x:v>
      </x:c>
      <x:c r="E147" s="53" t="n">
        <x:v>63.865716980806454</x:v>
      </x:c>
      <x:c r="F147" s="29" t="str">
        <x:v>YES</x:v>
      </x:c>
      <x:c r="G147" s="53" t="n">
        <x:v>15.993782708266226</x:v>
      </x:c>
      <x:c r="H147" s="29" t="str">
        <x:v>YES</x:v>
      </x:c>
      <x:c r="I147" s="53" t="n">
        <x:v>120.71281287046595</x:v>
      </x:c>
      <x:c r="J147" s="29" t="str">
        <x:v>NO</x:v>
      </x:c>
      <x:c r="K147" s="29" t="str">
        <x:v>Air</x:v>
      </x:c>
      <x:c r="L147" s="53" t="n">
        <x:v>15.993782708266226</x:v>
      </x:c>
      <x:c r="M147" s="41" t="n">
        <x:f>INDEX(Catchments!C:C,MATCH(A147,Catchments!A:A,0))</x:f>
        <x:v>15966265</x:v>
      </x:c>
      <x:c r="N147" s="41" t="n">
        <x:f>INDEX(Catchments!C:C,MATCH(B147,Catchments!A:A,0))</x:f>
        <x:v>8490774</x:v>
      </x:c>
    </x:row>
    <x:row r="148" ht="15" hidden="0" customHeight="1">
      <x:c r="A148" s="27" t="str">
        <x:v>SCA-05</x:v>
      </x:c>
      <x:c r="B148" s="27" t="str">
        <x:v>SCA-21</x:v>
      </x:c>
      <x:c r="C148" s="52" t="n">
        <x:v>80.5383455141471</x:v>
      </x:c>
      <x:c r="D148" s="27" t="str">
        <x:v>NO</x:v>
      </x:c>
      <x:c r="E148" s="52" t="n">
        <x:v>72.28012861825843</x:v>
      </x:c>
      <x:c r="F148" s="27" t="str">
        <x:v>NO</x:v>
      </x:c>
      <x:c r="G148" s="52" t="n">
        <x:v>16.26711326547497</x:v>
      </x:c>
      <x:c r="H148" s="27" t="str">
        <x:v>YES</x:v>
      </x:c>
      <x:c r="I148" s="52" t="n">
        <x:v>127.05798651995467</x:v>
      </x:c>
      <x:c r="J148" s="27" t="str">
        <x:v>NO</x:v>
      </x:c>
      <x:c r="K148" s="27" t="str">
        <x:v>Air</x:v>
      </x:c>
      <x:c r="L148" s="52" t="n">
        <x:v>16.26711326547497</x:v>
      </x:c>
      <x:c r="M148" s="40" t="n">
        <x:f>INDEX(Catchments!C:C,MATCH(A148,Catchments!A:A,0))</x:f>
        <x:v>15966265</x:v>
      </x:c>
      <x:c r="N148" s="40" t="n">
        <x:f>INDEX(Catchments!C:C,MATCH(B148,Catchments!A:A,0))</x:f>
        <x:v>19593580</x:v>
      </x:c>
    </x:row>
    <x:row r="149" ht="15" hidden="0" customHeight="1">
      <x:c r="A149" s="29" t="str">
        <x:v>SCA-05</x:v>
      </x:c>
      <x:c r="B149" s="29" t="str">
        <x:v>SCA-22</x:v>
      </x:c>
      <x:c r="C149" s="53" t="n">
        <x:v>82.3225129506039</x:v>
      </x:c>
      <x:c r="D149" s="29" t="str">
        <x:v>NO</x:v>
      </x:c>
      <x:c r="E149" s="53" t="n">
        <x:v>73.68197446118877</x:v>
      </x:c>
      <x:c r="F149" s="29" t="str">
        <x:v>NO</x:v>
      </x:c>
      <x:c r="G149" s="53" t="n">
        <x:v>16.571339316640763</x:v>
      </x:c>
      <x:c r="H149" s="29" t="str">
        <x:v>YES</x:v>
      </x:c>
      <x:c r="I149" s="53" t="n">
        <x:v>134.1203769934463</x:v>
      </x:c>
      <x:c r="J149" s="29" t="str">
        <x:v>NO</x:v>
      </x:c>
      <x:c r="K149" s="29" t="str">
        <x:v>Air</x:v>
      </x:c>
      <x:c r="L149" s="53" t="n">
        <x:v>16.571339316640763</x:v>
      </x:c>
      <x:c r="M149" s="41" t="n">
        <x:f>INDEX(Catchments!C:C,MATCH(A149,Catchments!A:A,0))</x:f>
        <x:v>15966265</x:v>
      </x:c>
      <x:c r="N149" s="41" t="n">
        <x:f>INDEX(Catchments!C:C,MATCH(B149,Catchments!A:A,0))</x:f>
        <x:v>14732006</x:v>
      </x:c>
    </x:row>
    <x:row r="150" ht="15" hidden="0" customHeight="1">
      <x:c r="A150" s="27" t="str">
        <x:v>SCA-05</x:v>
      </x:c>
      <x:c r="B150" s="27" t="str">
        <x:v>SCA-23</x:v>
      </x:c>
      <x:c r="C150" s="52" t="n">
        <x:v>80.36543968192086</x:v>
      </x:c>
      <x:c r="D150" s="27" t="str">
        <x:v>NO</x:v>
      </x:c>
      <x:c r="E150" s="52" t="n">
        <x:v>72.14427403579495</x:v>
      </x:c>
      <x:c r="F150" s="27" t="str">
        <x:v>NO</x:v>
      </x:c>
      <x:c r="G150" s="52" t="n">
        <x:v>16.764369293237213</x:v>
      </x:c>
      <x:c r="H150" s="27" t="str">
        <x:v>YES</x:v>
      </x:c>
      <x:c r="I150" s="52" t="n">
        <x:v>138.60143002157812</x:v>
      </x:c>
      <x:c r="J150" s="27" t="str">
        <x:v>NO</x:v>
      </x:c>
      <x:c r="K150" s="27" t="str">
        <x:v>Air</x:v>
      </x:c>
      <x:c r="L150" s="52" t="n">
        <x:v>16.764369293237213</x:v>
      </x:c>
      <x:c r="M150" s="40" t="n">
        <x:f>INDEX(Catchments!C:C,MATCH(A150,Catchments!A:A,0))</x:f>
        <x:v>15966265</x:v>
      </x:c>
      <x:c r="N150" s="40" t="n">
        <x:f>INDEX(Catchments!C:C,MATCH(B150,Catchments!A:A,0))</x:f>
        <x:v>20869310</x:v>
      </x:c>
    </x:row>
    <x:row r="151" ht="15" hidden="0" customHeight="1">
      <x:c r="A151" s="29" t="str">
        <x:v>SCA-05</x:v>
      </x:c>
      <x:c r="B151" s="29" t="str">
        <x:v>SCA-24</x:v>
      </x:c>
      <x:c r="C151" s="53" t="n">
        <x:v>87.76089193529323</x:v>
      </x:c>
      <x:c r="D151" s="29" t="str">
        <x:v>NO</x:v>
      </x:c>
      <x:c r="E151" s="53" t="n">
        <x:v>77.95498652058754</x:v>
      </x:c>
      <x:c r="F151" s="29" t="str">
        <x:v>NO</x:v>
      </x:c>
      <x:c r="G151" s="53" t="n">
        <x:v>16.79792467884456</x:v>
      </x:c>
      <x:c r="H151" s="29" t="str">
        <x:v>YES</x:v>
      </x:c>
      <x:c r="I151" s="53" t="n">
        <x:v>139.38039433032012</x:v>
      </x:c>
      <x:c r="J151" s="29" t="str">
        <x:v>NO</x:v>
      </x:c>
      <x:c r="K151" s="29" t="str">
        <x:v>Air</x:v>
      </x:c>
      <x:c r="L151" s="53" t="n">
        <x:v>16.79792467884456</x:v>
      </x:c>
      <x:c r="M151" s="41" t="n">
        <x:f>INDEX(Catchments!C:C,MATCH(A151,Catchments!A:A,0))</x:f>
        <x:v>15966265</x:v>
      </x:c>
      <x:c r="N151" s="41" t="n">
        <x:f>INDEX(Catchments!C:C,MATCH(B151,Catchments!A:A,0))</x:f>
        <x:v>11816161</x:v>
      </x:c>
    </x:row>
    <x:row r="152" ht="15" hidden="0" customHeight="1">
      <x:c r="A152" s="27" t="str">
        <x:v>SCA-05</x:v>
      </x:c>
      <x:c r="B152" s="27" t="str">
        <x:v>SCA-25</x:v>
      </x:c>
      <x:c r="C152" s="52" t="n">
        <x:v>89.35787931681976</x:v>
      </x:c>
      <x:c r="D152" s="27" t="str">
        <x:v>NO</x:v>
      </x:c>
      <x:c r="E152" s="52" t="n">
        <x:v>79.20976232035838</x:v>
      </x:c>
      <x:c r="F152" s="27" t="str">
        <x:v>NO</x:v>
      </x:c>
      <x:c r="G152" s="52" t="n">
        <x:v>17.245456493208522</x:v>
      </x:c>
      <x:c r="H152" s="27" t="str">
        <x:v>YES</x:v>
      </x:c>
      <x:c r="I152" s="52" t="n">
        <x:v>149.76952573519782</x:v>
      </x:c>
      <x:c r="J152" s="27" t="str">
        <x:v>NO</x:v>
      </x:c>
      <x:c r="K152" s="27" t="str">
        <x:v>Air</x:v>
      </x:c>
      <x:c r="L152" s="52" t="n">
        <x:v>17.245456493208522</x:v>
      </x:c>
      <x:c r="M152" s="40" t="n">
        <x:f>INDEX(Catchments!C:C,MATCH(A152,Catchments!A:A,0))</x:f>
        <x:v>15966265</x:v>
      </x:c>
      <x:c r="N152" s="40" t="n">
        <x:f>INDEX(Catchments!C:C,MATCH(B152,Catchments!A:A,0))</x:f>
        <x:v>6408394</x:v>
      </x:c>
    </x:row>
    <x:row r="153" ht="15" hidden="0" customHeight="1">
      <x:c r="A153" s="29" t="str">
        <x:v>SCA-05</x:v>
      </x:c>
      <x:c r="B153" s="29" t="str">
        <x:v>SCA-26</x:v>
      </x:c>
      <x:c r="C153" s="53" t="n">
        <x:v>95.33059669436199</x:v>
      </x:c>
      <x:c r="D153" s="29" t="str">
        <x:v>NO</x:v>
      </x:c>
      <x:c r="E153" s="53" t="n">
        <x:v>83.90261168842727</x:v>
      </x:c>
      <x:c r="F153" s="29" t="str">
        <x:v>NO</x:v>
      </x:c>
      <x:c r="G153" s="53" t="n">
        <x:v>17.418272743782673</x:v>
      </x:c>
      <x:c r="H153" s="29" t="str">
        <x:v>YES</x:v>
      </x:c>
      <x:c r="I153" s="53" t="n">
        <x:v>153.78133155209775</x:v>
      </x:c>
      <x:c r="J153" s="29" t="str">
        <x:v>NO</x:v>
      </x:c>
      <x:c r="K153" s="29" t="str">
        <x:v>Air</x:v>
      </x:c>
      <x:c r="L153" s="53" t="n">
        <x:v>17.418272743782673</x:v>
      </x:c>
      <x:c r="M153" s="41" t="n">
        <x:f>INDEX(Catchments!C:C,MATCH(A153,Catchments!A:A,0))</x:f>
        <x:v>15966265</x:v>
      </x:c>
      <x:c r="N153" s="41" t="n">
        <x:f>INDEX(Catchments!C:C,MATCH(B153,Catchments!A:A,0))</x:f>
        <x:v>10737083</x:v>
      </x:c>
    </x:row>
    <x:row r="154" ht="15" hidden="0" customHeight="1">
      <x:c r="A154" s="27" t="str">
        <x:v>SCA-05</x:v>
      </x:c>
      <x:c r="B154" s="27" t="str">
        <x:v>SCA-27</x:v>
      </x:c>
      <x:c r="C154" s="52" t="n">
        <x:v>100.41474695108104</x:v>
      </x:c>
      <x:c r="D154" s="27" t="str">
        <x:v>NO</x:v>
      </x:c>
      <x:c r="E154" s="52" t="n">
        <x:v>87.89730117584939</x:v>
      </x:c>
      <x:c r="F154" s="27" t="str">
        <x:v>NO</x:v>
      </x:c>
      <x:c r="G154" s="52" t="n">
        <x:v>17.726103713720203</x:v>
      </x:c>
      <x:c r="H154" s="27" t="str">
        <x:v>YES</x:v>
      </x:c>
      <x:c r="I154" s="52" t="n">
        <x:v>160.9274076399333</x:v>
      </x:c>
      <x:c r="J154" s="27" t="str">
        <x:v>NO</x:v>
      </x:c>
      <x:c r="K154" s="27" t="str">
        <x:v>Air</x:v>
      </x:c>
      <x:c r="L154" s="52" t="n">
        <x:v>17.726103713720203</x:v>
      </x:c>
      <x:c r="M154" s="40" t="n">
        <x:f>INDEX(Catchments!C:C,MATCH(A154,Catchments!A:A,0))</x:f>
        <x:v>15966265</x:v>
      </x:c>
      <x:c r="N154" s="40" t="n">
        <x:f>INDEX(Catchments!C:C,MATCH(B154,Catchments!A:A,0))</x:f>
        <x:v>7505606</x:v>
      </x:c>
    </x:row>
    <x:row r="155" ht="15" hidden="0" customHeight="1">
      <x:c r="A155" s="29" t="str">
        <x:v>SCA-05</x:v>
      </x:c>
      <x:c r="B155" s="29" t="str">
        <x:v>SCA-28</x:v>
      </x:c>
      <x:c r="C155" s="53" t="n">
        <x:v>94.04351250086458</x:v>
      </x:c>
      <x:c r="D155" s="29" t="str">
        <x:v>NO</x:v>
      </x:c>
      <x:c r="E155" s="53" t="n">
        <x:v>82.89133125067931</x:v>
      </x:c>
      <x:c r="F155" s="29" t="str">
        <x:v>NO</x:v>
      </x:c>
      <x:c r="G155" s="53" t="n">
        <x:v>17.35409523130751</x:v>
      </x:c>
      <x:c r="H155" s="29" t="str">
        <x:v>YES</x:v>
      </x:c>
      <x:c r="I155" s="53" t="n">
        <x:v>152.29149644106724</x:v>
      </x:c>
      <x:c r="J155" s="29" t="str">
        <x:v>NO</x:v>
      </x:c>
      <x:c r="K155" s="29" t="str">
        <x:v>Air</x:v>
      </x:c>
      <x:c r="L155" s="53" t="n">
        <x:v>17.35409523130751</x:v>
      </x:c>
      <x:c r="M155" s="41" t="n">
        <x:f>INDEX(Catchments!C:C,MATCH(A155,Catchments!A:A,0))</x:f>
        <x:v>15966265</x:v>
      </x:c>
      <x:c r="N155" s="41" t="n">
        <x:f>INDEX(Catchments!C:C,MATCH(B155,Catchments!A:A,0))</x:f>
        <x:v>21305157</x:v>
      </x:c>
    </x:row>
    <x:row r="156" ht="15" hidden="0" customHeight="1">
      <x:c r="A156" s="27" t="str">
        <x:v>SCA-05</x:v>
      </x:c>
      <x:c r="B156" s="27" t="str">
        <x:v>SCA-29</x:v>
      </x:c>
      <x:c r="C156" s="52" t="n">
        <x:v>91.91916602779447</x:v>
      </x:c>
      <x:c r="D156" s="27" t="str">
        <x:v>NO</x:v>
      </x:c>
      <x:c r="E156" s="52" t="n">
        <x:v>81.22220187898138</x:v>
      </x:c>
      <x:c r="F156" s="27" t="str">
        <x:v>NO</x:v>
      </x:c>
      <x:c r="G156" s="52" t="n">
        <x:v>17.46718785869551</x:v>
      </x:c>
      <x:c r="H156" s="27" t="str">
        <x:v>YES</x:v>
      </x:c>
      <x:c r="I156" s="52" t="n">
        <x:v>154.91686100543149</x:v>
      </x:c>
      <x:c r="J156" s="27" t="str">
        <x:v>NO</x:v>
      </x:c>
      <x:c r="K156" s="27" t="str">
        <x:v>Air</x:v>
      </x:c>
      <x:c r="L156" s="52" t="n">
        <x:v>17.46718785869551</x:v>
      </x:c>
      <x:c r="M156" s="40" t="n">
        <x:f>INDEX(Catchments!C:C,MATCH(A156,Catchments!A:A,0))</x:f>
        <x:v>15966265</x:v>
      </x:c>
      <x:c r="N156" s="40" t="n">
        <x:f>INDEX(Catchments!C:C,MATCH(B156,Catchments!A:A,0))</x:f>
        <x:v>19271685</x:v>
      </x:c>
    </x:row>
    <x:row r="157" ht="15" hidden="0" customHeight="1">
      <x:c r="A157" s="29" t="str">
        <x:v>SCA-05</x:v>
      </x:c>
      <x:c r="B157" s="29" t="str">
        <x:v>SCA-30</x:v>
      </x:c>
      <x:c r="C157" s="53" t="n">
        <x:v>102.4719436996144</x:v>
      </x:c>
      <x:c r="D157" s="29" t="str">
        <x:v>NO</x:v>
      </x:c>
      <x:c r="E157" s="53" t="n">
        <x:v>89.51367004969703</x:v>
      </x:c>
      <x:c r="F157" s="29" t="str">
        <x:v>NO</x:v>
      </x:c>
      <x:c r="G157" s="53" t="n">
        <x:v>17.97043874297845</x:v>
      </x:c>
      <x:c r="H157" s="29" t="str">
        <x:v>YES</x:v>
      </x:c>
      <x:c r="I157" s="53" t="n">
        <x:v>166.59947081914257</x:v>
      </x:c>
      <x:c r="J157" s="29" t="str">
        <x:v>NO</x:v>
      </x:c>
      <x:c r="K157" s="29" t="str">
        <x:v>Air</x:v>
      </x:c>
      <x:c r="L157" s="53" t="n">
        <x:v>17.97043874297845</x:v>
      </x:c>
      <x:c r="M157" s="41" t="n">
        <x:f>INDEX(Catchments!C:C,MATCH(A157,Catchments!A:A,0))</x:f>
        <x:v>15966265</x:v>
      </x:c>
      <x:c r="N157" s="41" t="n">
        <x:f>INDEX(Catchments!C:C,MATCH(B157,Catchments!A:A,0))</x:f>
        <x:v>41291847</x:v>
      </x:c>
    </x:row>
    <x:row r="158" ht="15" hidden="0" customHeight="1">
      <x:c r="A158" s="27" t="str">
        <x:v>SCA-05</x:v>
      </x:c>
      <x:c r="B158" s="27" t="str">
        <x:v>SCA-31</x:v>
      </x:c>
      <x:c r="C158" s="52" t="n">
        <x:v>109.6188917939145</x:v>
      </x:c>
      <x:c r="D158" s="27" t="str">
        <x:v>NO</x:v>
      </x:c>
      <x:c r="E158" s="52" t="n">
        <x:v>95.12912926664711</x:v>
      </x:c>
      <x:c r="F158" s="27" t="str">
        <x:v>NO</x:v>
      </x:c>
      <x:c r="G158" s="52" t="n">
        <x:v>18.33607477810498</x:v>
      </x:c>
      <x:c r="H158" s="27" t="str">
        <x:v>YES</x:v>
      </x:c>
      <x:c r="I158" s="52" t="n">
        <x:v>175.08745020600844</x:v>
      </x:c>
      <x:c r="J158" s="27" t="str">
        <x:v>NO</x:v>
      </x:c>
      <x:c r="K158" s="27" t="str">
        <x:v>Air</x:v>
      </x:c>
      <x:c r="L158" s="52" t="n">
        <x:v>18.33607477810498</x:v>
      </x:c>
      <x:c r="M158" s="40" t="n">
        <x:f>INDEX(Catchments!C:C,MATCH(A158,Catchments!A:A,0))</x:f>
        <x:v>15966265</x:v>
      </x:c>
      <x:c r="N158" s="40" t="n">
        <x:f>INDEX(Catchments!C:C,MATCH(B158,Catchments!A:A,0))</x:f>
        <x:v>14227128</x:v>
      </x:c>
    </x:row>
    <x:row r="159" ht="15" hidden="0" customHeight="1">
      <x:c r="A159" s="29" t="str">
        <x:v>SCA-05</x:v>
      </x:c>
      <x:c r="B159" s="29" t="str">
        <x:v>SCA-32</x:v>
      </x:c>
      <x:c r="C159" s="53"/>
      <x:c r="D159" s="29" t="str">
        <x:v>NO</x:v>
      </x:c>
      <x:c r="E159" s="53"/>
      <x:c r="F159" s="29" t="str">
        <x:v>NO</x:v>
      </x:c>
      <x:c r="G159" s="53" t="n">
        <x:v>20.33388374436125</x:v>
      </x:c>
      <x:c r="H159" s="29" t="str">
        <x:v>YES</x:v>
      </x:c>
      <x:c r="I159" s="53" t="n">
        <x:v>221.46515835124328</x:v>
      </x:c>
      <x:c r="J159" s="29" t="str">
        <x:v>NO</x:v>
      </x:c>
      <x:c r="K159" s="29" t="str">
        <x:v>Air</x:v>
      </x:c>
      <x:c r="L159" s="53" t="n">
        <x:v>20.33388374436125</x:v>
      </x:c>
      <x:c r="M159" s="41" t="n">
        <x:f>INDEX(Catchments!C:C,MATCH(A159,Catchments!A:A,0))</x:f>
        <x:v>15966265</x:v>
      </x:c>
      <x:c r="N159" s="41" t="n">
        <x:f>INDEX(Catchments!C:C,MATCH(B159,Catchments!A:A,0))</x:f>
        <x:v>3184835</x:v>
      </x:c>
    </x:row>
    <x:row r="160" ht="15" hidden="0" customHeight="1">
      <x:c r="A160" s="27" t="str">
        <x:v>SCA-06</x:v>
      </x:c>
      <x:c r="B160" s="27" t="str">
        <x:v>SCA-01</x:v>
      </x:c>
      <x:c r="C160" s="52"/>
      <x:c r="D160" s="27" t="str">
        <x:v>NO</x:v>
      </x:c>
      <x:c r="E160" s="52"/>
      <x:c r="F160" s="27" t="str">
        <x:v>NO</x:v>
      </x:c>
      <x:c r="G160" s="52" t="n">
        <x:v>18.569244727175</x:v>
      </x:c>
      <x:c r="H160" s="27" t="str">
        <x:v>YES</x:v>
      </x:c>
      <x:c r="I160" s="52" t="n">
        <x:v>180.50032402370536</x:v>
      </x:c>
      <x:c r="J160" s="27" t="str">
        <x:v>NO</x:v>
      </x:c>
      <x:c r="K160" s="27" t="str">
        <x:v>Air</x:v>
      </x:c>
      <x:c r="L160" s="52" t="n">
        <x:v>18.569244727175</x:v>
      </x:c>
      <x:c r="M160" s="40" t="n">
        <x:f>INDEX(Catchments!C:C,MATCH(A160,Catchments!A:A,0))</x:f>
        <x:v>6008575</x:v>
      </x:c>
      <x:c r="N160" s="40" t="n">
        <x:f>INDEX(Catchments!C:C,MATCH(B160,Catchments!A:A,0))</x:f>
        <x:v>1432820</x:v>
      </x:c>
    </x:row>
    <x:row r="161" ht="15" hidden="0" customHeight="1">
      <x:c r="A161" s="29" t="str">
        <x:v>SCA-06</x:v>
      </x:c>
      <x:c r="B161" s="29" t="str">
        <x:v>SCA-02</x:v>
      </x:c>
      <x:c r="C161" s="53"/>
      <x:c r="D161" s="29" t="str">
        <x:v>NO</x:v>
      </x:c>
      <x:c r="E161" s="53"/>
      <x:c r="F161" s="29" t="str">
        <x:v>NO</x:v>
      </x:c>
      <x:c r="G161" s="53" t="n">
        <x:v>17.824176900216735</x:v>
      </x:c>
      <x:c r="H161" s="29" t="str">
        <x:v>YES</x:v>
      </x:c>
      <x:c r="I161" s="53" t="n">
        <x:v>163.2041066121742</x:v>
      </x:c>
      <x:c r="J161" s="29" t="str">
        <x:v>NO</x:v>
      </x:c>
      <x:c r="K161" s="29" t="str">
        <x:v>Air</x:v>
      </x:c>
      <x:c r="L161" s="53" t="n">
        <x:v>17.824176900216735</x:v>
      </x:c>
      <x:c r="M161" s="41" t="n">
        <x:f>INDEX(Catchments!C:C,MATCH(A161,Catchments!A:A,0))</x:f>
        <x:v>6008575</x:v>
      </x:c>
      <x:c r="N161" s="41" t="n">
        <x:f>INDEX(Catchments!C:C,MATCH(B161,Catchments!A:A,0))</x:f>
        <x:v>737270</x:v>
      </x:c>
    </x:row>
    <x:row r="162" ht="15" hidden="0" customHeight="1">
      <x:c r="A162" s="27" t="str">
        <x:v>SCA-06</x:v>
      </x:c>
      <x:c r="B162" s="27" t="str">
        <x:v>SCA-03</x:v>
      </x:c>
      <x:c r="C162" s="52" t="n">
        <x:v>48.89506830334214</x:v>
      </x:c>
      <x:c r="D162" s="27" t="str">
        <x:v>YES</x:v>
      </x:c>
      <x:c r="E162" s="52" t="n">
        <x:v>47.41755366691168</x:v>
      </x:c>
      <x:c r="F162" s="27" t="str">
        <x:v>YES</x:v>
      </x:c>
      <x:c r="G162" s="52" t="n">
        <x:v>14.375155029681737</x:v>
      </x:c>
      <x:c r="H162" s="27" t="str">
        <x:v>YES</x:v>
      </x:c>
      <x:c r="I162" s="52" t="n">
        <x:v>83.13752747475462</x:v>
      </x:c>
      <x:c r="J162" s="27" t="str">
        <x:v>NO</x:v>
      </x:c>
      <x:c r="K162" s="27" t="str">
        <x:v>Air</x:v>
      </x:c>
      <x:c r="L162" s="52" t="n">
        <x:v>14.375155029681737</x:v>
      </x:c>
      <x:c r="M162" s="40" t="n">
        <x:f>INDEX(Catchments!C:C,MATCH(A162,Catchments!A:A,0))</x:f>
        <x:v>6008575</x:v>
      </x:c>
      <x:c r="N162" s="40" t="n">
        <x:f>INDEX(Catchments!C:C,MATCH(B162,Catchments!A:A,0))</x:f>
        <x:v>11968308</x:v>
      </x:c>
    </x:row>
    <x:row r="163" ht="15" hidden="0" customHeight="1">
      <x:c r="A163" s="29" t="str">
        <x:v>SCA-06</x:v>
      </x:c>
      <x:c r="B163" s="29" t="str">
        <x:v>SCA-04</x:v>
      </x:c>
      <x:c r="C163" s="53" t="n">
        <x:v>29.092554956209852</x:v>
      </x:c>
      <x:c r="D163" s="29" t="str">
        <x:v>YES</x:v>
      </x:c>
      <x:c r="E163" s="53" t="n">
        <x:v>31.858436037022027</x:v>
      </x:c>
      <x:c r="F163" s="29" t="str">
        <x:v>YES</x:v>
      </x:c>
      <x:c r="G163" s="53" t="n">
        <x:v>13.085402213425613</x:v>
      </x:c>
      <x:c r="H163" s="29" t="str">
        <x:v>YES</x:v>
      </x:c>
      <x:c r="I163" s="53" t="n">
        <x:v>53.19683709738029</x:v>
      </x:c>
      <x:c r="J163" s="29" t="str">
        <x:v>YES</x:v>
      </x:c>
      <x:c r="K163" s="29" t="str">
        <x:v>Air</x:v>
      </x:c>
      <x:c r="L163" s="53" t="n">
        <x:v>13.085402213425613</x:v>
      </x:c>
      <x:c r="M163" s="41" t="n">
        <x:f>INDEX(Catchments!C:C,MATCH(A163,Catchments!A:A,0))</x:f>
        <x:v>6008575</x:v>
      </x:c>
      <x:c r="N163" s="41" t="n">
        <x:f>INDEX(Catchments!C:C,MATCH(B163,Catchments!A:A,0))</x:f>
        <x:v>16200470</x:v>
      </x:c>
    </x:row>
    <x:row r="164" ht="15" hidden="0" customHeight="1">
      <x:c r="A164" s="27" t="str">
        <x:v>SCA-06</x:v>
      </x:c>
      <x:c r="B164" s="27" t="str">
        <x:v>SCA-05</x:v>
      </x:c>
      <x:c r="C164" s="52" t="n">
        <x:v>18.377406768729514</x:v>
      </x:c>
      <x:c r="D164" s="27" t="str">
        <x:v>YES</x:v>
      </x:c>
      <x:c r="E164" s="52" t="n">
        <x:v>23.43939103257319</x:v>
      </x:c>
      <x:c r="F164" s="27" t="str">
        <x:v>YES</x:v>
      </x:c>
      <x:c r="G164" s="52" t="n">
        <x:v>12.322083441177423</x:v>
      </x:c>
      <x:c r="H164" s="27" t="str">
        <x:v>YES</x:v>
      </x:c>
      <x:c r="I164" s="52" t="n">
        <x:v>35.47693702733302</x:v>
      </x:c>
      <x:c r="J164" s="27" t="str">
        <x:v>YES</x:v>
      </x:c>
      <x:c r="K164" s="27" t="str">
        <x:v>Air</x:v>
      </x:c>
      <x:c r="L164" s="52" t="n">
        <x:v>12.322083441177423</x:v>
      </x:c>
      <x:c r="M164" s="40" t="n">
        <x:f>INDEX(Catchments!C:C,MATCH(A164,Catchments!A:A,0))</x:f>
        <x:v>6008575</x:v>
      </x:c>
      <x:c r="N164" s="40" t="n">
        <x:f>INDEX(Catchments!C:C,MATCH(B164,Catchments!A:A,0))</x:f>
        <x:v>15966265</x:v>
      </x:c>
    </x:row>
    <x:row r="165" ht="15" hidden="0" customHeight="1">
      <x:c r="A165" s="29" t="str">
        <x:v>SCA-06</x:v>
      </x:c>
      <x:c r="B165" s="29" t="str">
        <x:v>SCA-07</x:v>
      </x:c>
      <x:c r="C165" s="53" t="n">
        <x:v>19.865166255782114</x:v>
      </x:c>
      <x:c r="D165" s="29" t="str">
        <x:v>YES</x:v>
      </x:c>
      <x:c r="E165" s="53" t="n">
        <x:v>24.608344915257376</x:v>
      </x:c>
      <x:c r="F165" s="29" t="str">
        <x:v>YES</x:v>
      </x:c>
      <x:c r="G165" s="53" t="n">
        <x:v>12.431550694405374</x:v>
      </x:c>
      <x:c r="H165" s="29" t="str">
        <x:v>YES</x:v>
      </x:c>
      <x:c r="I165" s="53" t="n">
        <x:v>38.018141120124724</x:v>
      </x:c>
      <x:c r="J165" s="29" t="str">
        <x:v>YES</x:v>
      </x:c>
      <x:c r="K165" s="29" t="str">
        <x:v>Air</x:v>
      </x:c>
      <x:c r="L165" s="53" t="n">
        <x:v>12.431550694405374</x:v>
      </x:c>
      <x:c r="M165" s="41" t="n">
        <x:f>INDEX(Catchments!C:C,MATCH(A165,Catchments!A:A,0))</x:f>
        <x:v>6008575</x:v>
      </x:c>
      <x:c r="N165" s="41" t="n">
        <x:f>INDEX(Catchments!C:C,MATCH(B165,Catchments!A:A,0))</x:f>
        <x:v>5229370</x:v>
      </x:c>
    </x:row>
    <x:row r="166" ht="15" hidden="0" customHeight="1">
      <x:c r="A166" s="27" t="str">
        <x:v>SCA-06</x:v>
      </x:c>
      <x:c r="B166" s="27" t="str">
        <x:v>SCA-08</x:v>
      </x:c>
      <x:c r="C166" s="52" t="n">
        <x:v>40.85391216421295</x:v>
      </x:c>
      <x:c r="D166" s="27" t="str">
        <x:v>YES</x:v>
      </x:c>
      <x:c r="E166" s="52" t="n">
        <x:v>41.09950241473875</x:v>
      </x:c>
      <x:c r="F166" s="27" t="str">
        <x:v>YES</x:v>
      </x:c>
      <x:c r="G166" s="52" t="n">
        <x:v>13.959602339323473</x:v>
      </x:c>
      <x:c r="H166" s="27" t="str">
        <x:v>YES</x:v>
      </x:c>
      <x:c r="I166" s="52" t="n">
        <x:v>73.49076859143776</x:v>
      </x:c>
      <x:c r="J166" s="27" t="str">
        <x:v>NO</x:v>
      </x:c>
      <x:c r="K166" s="27" t="str">
        <x:v>Air</x:v>
      </x:c>
      <x:c r="L166" s="52" t="n">
        <x:v>13.959602339323473</x:v>
      </x:c>
      <x:c r="M166" s="40" t="n">
        <x:f>INDEX(Catchments!C:C,MATCH(A166,Catchments!A:A,0))</x:f>
        <x:v>6008575</x:v>
      </x:c>
      <x:c r="N166" s="40" t="n">
        <x:f>INDEX(Catchments!C:C,MATCH(B166,Catchments!A:A,0))</x:f>
        <x:v>2652387</x:v>
      </x:c>
    </x:row>
    <x:row r="167" ht="15" hidden="0" customHeight="1">
      <x:c r="A167" s="29" t="str">
        <x:v>SCA-06</x:v>
      </x:c>
      <x:c r="B167" s="29" t="str">
        <x:v>SCA-09</x:v>
      </x:c>
      <x:c r="C167" s="53" t="n">
        <x:v>22.176717304760565</x:v>
      </x:c>
      <x:c r="D167" s="29" t="str">
        <x:v>YES</x:v>
      </x:c>
      <x:c r="E167" s="53" t="n">
        <x:v>26.424563596597586</x:v>
      </x:c>
      <x:c r="F167" s="29" t="str">
        <x:v>YES</x:v>
      </x:c>
      <x:c r="G167" s="53" t="n">
        <x:v>12.601631373594422</x:v>
      </x:c>
      <x:c r="H167" s="29" t="str">
        <x:v>YES</x:v>
      </x:c>
      <x:c r="I167" s="53"/>
      <x:c r="J167" s="29" t="str">
        <x:v>NO</x:v>
      </x:c>
      <x:c r="K167" s="29" t="str">
        <x:v>Air</x:v>
      </x:c>
      <x:c r="L167" s="53" t="n">
        <x:v>12.601631373594422</x:v>
      </x:c>
      <x:c r="M167" s="41" t="n">
        <x:f>INDEX(Catchments!C:C,MATCH(A167,Catchments!A:A,0))</x:f>
        <x:v>6008575</x:v>
      </x:c>
      <x:c r="N167" s="41" t="n">
        <x:f>INDEX(Catchments!C:C,MATCH(B167,Catchments!A:A,0))</x:f>
        <x:v>7395716</x:v>
      </x:c>
    </x:row>
    <x:row r="168" ht="15" hidden="0" customHeight="1">
      <x:c r="A168" s="27" t="str">
        <x:v>SCA-06</x:v>
      </x:c>
      <x:c r="B168" s="27" t="str">
        <x:v>SCA-10</x:v>
      </x:c>
      <x:c r="C168" s="52" t="n">
        <x:v>34.668789939590376</x:v>
      </x:c>
      <x:c r="D168" s="27" t="str">
        <x:v>YES</x:v>
      </x:c>
      <x:c r="E168" s="52" t="n">
        <x:v>36.239763523963866</x:v>
      </x:c>
      <x:c r="F168" s="27" t="str">
        <x:v>YES</x:v>
      </x:c>
      <x:c r="G168" s="52" t="n">
        <x:v>13.517358008269625</x:v>
      </x:c>
      <x:c r="H168" s="27" t="str">
        <x:v>YES</x:v>
      </x:c>
      <x:c r="I168" s="52"/>
      <x:c r="J168" s="27" t="str">
        <x:v>NO</x:v>
      </x:c>
      <x:c r="K168" s="27" t="str">
        <x:v>Air</x:v>
      </x:c>
      <x:c r="L168" s="52" t="n">
        <x:v>13.517358008269625</x:v>
      </x:c>
      <x:c r="M168" s="40" t="n">
        <x:f>INDEX(Catchments!C:C,MATCH(A168,Catchments!A:A,0))</x:f>
        <x:v>6008575</x:v>
      </x:c>
      <x:c r="N168" s="40" t="n">
        <x:f>INDEX(Catchments!C:C,MATCH(B168,Catchments!A:A,0))</x:f>
        <x:v>4127033</x:v>
      </x:c>
    </x:row>
    <x:row r="169" ht="15" hidden="0" customHeight="1">
      <x:c r="A169" s="29" t="str">
        <x:v>SCA-06</x:v>
      </x:c>
      <x:c r="B169" s="29" t="str">
        <x:v>SCA-11</x:v>
      </x:c>
      <x:c r="C169" s="53" t="n">
        <x:v>35.8449418769353</x:v>
      </x:c>
      <x:c r="D169" s="29" t="str">
        <x:v>YES</x:v>
      </x:c>
      <x:c r="E169" s="53" t="n">
        <x:v>37.16388290330631</x:v>
      </x:c>
      <x:c r="F169" s="29" t="str">
        <x:v>YES</x:v>
      </x:c>
      <x:c r="G169" s="53" t="n">
        <x:v>13.606204550500035</x:v>
      </x:c>
      <x:c r="H169" s="29" t="str">
        <x:v>YES</x:v>
      </x:c>
      <x:c r="I169" s="53" t="n">
        <x:v>65.28689135089365</x:v>
      </x:c>
      <x:c r="J169" s="29" t="str">
        <x:v>YES</x:v>
      </x:c>
      <x:c r="K169" s="29" t="str">
        <x:v>Air</x:v>
      </x:c>
      <x:c r="L169" s="53" t="n">
        <x:v>13.606204550500035</x:v>
      </x:c>
      <x:c r="M169" s="41" t="n">
        <x:f>INDEX(Catchments!C:C,MATCH(A169,Catchments!A:A,0))</x:f>
        <x:v>6008575</x:v>
      </x:c>
      <x:c r="N169" s="41" t="n">
        <x:f>INDEX(Catchments!C:C,MATCH(B169,Catchments!A:A,0))</x:f>
        <x:v>3517787</x:v>
      </x:c>
    </x:row>
    <x:row r="170" ht="15" hidden="0" customHeight="1">
      <x:c r="A170" s="27" t="str">
        <x:v>SCA-06</x:v>
      </x:c>
      <x:c r="B170" s="27" t="str">
        <x:v>SCA-12</x:v>
      </x:c>
      <x:c r="C170" s="52" t="n">
        <x:v>42.10537805855719</x:v>
      </x:c>
      <x:c r="D170" s="27" t="str">
        <x:v>YES</x:v>
      </x:c>
      <x:c r="E170" s="52" t="n">
        <x:v>42.08279704600922</x:v>
      </x:c>
      <x:c r="F170" s="27" t="str">
        <x:v>YES</x:v>
      </x:c>
      <x:c r="G170" s="52" t="n">
        <x:v>13.900304322907221</x:v>
      </x:c>
      <x:c r="H170" s="27" t="str">
        <x:v>YES</x:v>
      </x:c>
      <x:c r="I170" s="52"/>
      <x:c r="J170" s="27" t="str">
        <x:v>NO</x:v>
      </x:c>
      <x:c r="K170" s="27" t="str">
        <x:v>Air</x:v>
      </x:c>
      <x:c r="L170" s="52" t="n">
        <x:v>13.900304322907221</x:v>
      </x:c>
      <x:c r="M170" s="40" t="n">
        <x:f>INDEX(Catchments!C:C,MATCH(A170,Catchments!A:A,0))</x:f>
        <x:v>6008575</x:v>
      </x:c>
      <x:c r="N170" s="40" t="n">
        <x:f>INDEX(Catchments!C:C,MATCH(B170,Catchments!A:A,0))</x:f>
        <x:v>7465186</x:v>
      </x:c>
    </x:row>
    <x:row r="171" ht="15" hidden="0" customHeight="1">
      <x:c r="A171" s="29" t="str">
        <x:v>SCA-06</x:v>
      </x:c>
      <x:c r="B171" s="29" t="str">
        <x:v>SCA-13</x:v>
      </x:c>
      <x:c r="C171" s="53" t="n">
        <x:v>51.63677324252891</x:v>
      </x:c>
      <x:c r="D171" s="29" t="str">
        <x:v>YES</x:v>
      </x:c>
      <x:c r="E171" s="53" t="n">
        <x:v>49.57175040484414</x:v>
      </x:c>
      <x:c r="F171" s="29" t="str">
        <x:v>YES</x:v>
      </x:c>
      <x:c r="G171" s="53" t="n">
        <x:v>14.714348197476767</x:v>
      </x:c>
      <x:c r="H171" s="29" t="str">
        <x:v>YES</x:v>
      </x:c>
      <x:c r="I171" s="53" t="n">
        <x:v>91.0116545842821</x:v>
      </x:c>
      <x:c r="J171" s="29" t="str">
        <x:v>NO</x:v>
      </x:c>
      <x:c r="K171" s="29" t="str">
        <x:v>Air</x:v>
      </x:c>
      <x:c r="L171" s="53" t="n">
        <x:v>14.714348197476767</x:v>
      </x:c>
      <x:c r="M171" s="41" t="n">
        <x:f>INDEX(Catchments!C:C,MATCH(A171,Catchments!A:A,0))</x:f>
        <x:v>6008575</x:v>
      </x:c>
      <x:c r="N171" s="41" t="n">
        <x:f>INDEX(Catchments!C:C,MATCH(B171,Catchments!A:A,0))</x:f>
        <x:v>6759014</x:v>
      </x:c>
    </x:row>
    <x:row r="172" ht="15" hidden="0" customHeight="1">
      <x:c r="A172" s="27" t="str">
        <x:v>SCA-06</x:v>
      </x:c>
      <x:c r="B172" s="27" t="str">
        <x:v>SCA-14</x:v>
      </x:c>
      <x:c r="C172" s="52" t="n">
        <x:v>58.97431531029457</x:v>
      </x:c>
      <x:c r="D172" s="27" t="str">
        <x:v>YES</x:v>
      </x:c>
      <x:c r="E172" s="52" t="n">
        <x:v>55.33696202951717</x:v>
      </x:c>
      <x:c r="F172" s="27" t="str">
        <x:v>YES</x:v>
      </x:c>
      <x:c r="G172" s="52" t="n">
        <x:v>14.927264836787016</x:v>
      </x:c>
      <x:c r="H172" s="27" t="str">
        <x:v>YES</x:v>
      </x:c>
      <x:c r="I172" s="52" t="n">
        <x:v>95.95436228255572</x:v>
      </x:c>
      <x:c r="J172" s="27" t="str">
        <x:v>NO</x:v>
      </x:c>
      <x:c r="K172" s="27" t="str">
        <x:v>Air</x:v>
      </x:c>
      <x:c r="L172" s="52" t="n">
        <x:v>14.927264836787016</x:v>
      </x:c>
      <x:c r="M172" s="40" t="n">
        <x:f>INDEX(Catchments!C:C,MATCH(A172,Catchments!A:A,0))</x:f>
        <x:v>6008575</x:v>
      </x:c>
      <x:c r="N172" s="40" t="n">
        <x:f>INDEX(Catchments!C:C,MATCH(B172,Catchments!A:A,0))</x:f>
        <x:v>2179728</x:v>
      </x:c>
    </x:row>
    <x:row r="173" ht="15" hidden="0" customHeight="1">
      <x:c r="A173" s="29" t="str">
        <x:v>SCA-06</x:v>
      </x:c>
      <x:c r="B173" s="29" t="str">
        <x:v>SCA-15</x:v>
      </x:c>
      <x:c r="C173" s="53" t="n">
        <x:v>52.30635403083416</x:v>
      </x:c>
      <x:c r="D173" s="29" t="str">
        <x:v>YES</x:v>
      </x:c>
      <x:c r="E173" s="53" t="n">
        <x:v>50.097849595655404</x:v>
      </x:c>
      <x:c r="F173" s="29" t="str">
        <x:v>YES</x:v>
      </x:c>
      <x:c r="G173" s="53" t="n">
        <x:v>14.815087417780646</x:v>
      </x:c>
      <x:c r="H173" s="29" t="str">
        <x:v>YES</x:v>
      </x:c>
      <x:c r="I173" s="53" t="n">
        <x:v>93.35024362705072</x:v>
      </x:c>
      <x:c r="J173" s="29" t="str">
        <x:v>NO</x:v>
      </x:c>
      <x:c r="K173" s="29" t="str">
        <x:v>Air</x:v>
      </x:c>
      <x:c r="L173" s="53" t="n">
        <x:v>14.815087417780646</x:v>
      </x:c>
      <x:c r="M173" s="41" t="n">
        <x:f>INDEX(Catchments!C:C,MATCH(A173,Catchments!A:A,0))</x:f>
        <x:v>6008575</x:v>
      </x:c>
      <x:c r="N173" s="41" t="n">
        <x:f>INDEX(Catchments!C:C,MATCH(B173,Catchments!A:A,0))</x:f>
        <x:v>13192386</x:v>
      </x:c>
    </x:row>
    <x:row r="174" ht="15" hidden="0" customHeight="1">
      <x:c r="A174" s="27" t="str">
        <x:v>SCA-06</x:v>
      </x:c>
      <x:c r="B174" s="27" t="str">
        <x:v>SCA-16</x:v>
      </x:c>
      <x:c r="C174" s="52" t="n">
        <x:v>58.32569154934084</x:v>
      </x:c>
      <x:c r="D174" s="27" t="str">
        <x:v>YES</x:v>
      </x:c>
      <x:c r="E174" s="52" t="n">
        <x:v>54.82732907448209</x:v>
      </x:c>
      <x:c r="F174" s="27" t="str">
        <x:v>YES</x:v>
      </x:c>
      <x:c r="G174" s="52" t="n">
        <x:v>14.92889122361424</x:v>
      </x:c>
      <x:c r="H174" s="27" t="str">
        <x:v>YES</x:v>
      </x:c>
      <x:c r="I174" s="52"/>
      <x:c r="J174" s="27" t="str">
        <x:v>NO</x:v>
      </x:c>
      <x:c r="K174" s="27" t="str">
        <x:v>Air</x:v>
      </x:c>
      <x:c r="L174" s="52" t="n">
        <x:v>14.92889122361424</x:v>
      </x:c>
      <x:c r="M174" s="40" t="n">
        <x:f>INDEX(Catchments!C:C,MATCH(A174,Catchments!A:A,0))</x:f>
        <x:v>6008575</x:v>
      </x:c>
      <x:c r="N174" s="40" t="n">
        <x:f>INDEX(Catchments!C:C,MATCH(B174,Catchments!A:A,0))</x:f>
        <x:v>10177969</x:v>
      </x:c>
    </x:row>
    <x:row r="175" ht="15" hidden="0" customHeight="1">
      <x:c r="A175" s="29" t="str">
        <x:v>SCA-06</x:v>
      </x:c>
      <x:c r="B175" s="29" t="str">
        <x:v>SCA-17</x:v>
      </x:c>
      <x:c r="C175" s="53" t="n">
        <x:v>59.49742125971931</x:v>
      </x:c>
      <x:c r="D175" s="29" t="str">
        <x:v>YES</x:v>
      </x:c>
      <x:c r="E175" s="53" t="n">
        <x:v>55.747973846922314</x:v>
      </x:c>
      <x:c r="F175" s="29" t="str">
        <x:v>YES</x:v>
      </x:c>
      <x:c r="G175" s="53" t="n">
        <x:v>15.266746023102057</x:v>
      </x:c>
      <x:c r="H175" s="29" t="str">
        <x:v>YES</x:v>
      </x:c>
      <x:c r="I175" s="53" t="n">
        <x:v>103.83517553629774</x:v>
      </x:c>
      <x:c r="J175" s="29" t="str">
        <x:v>NO</x:v>
      </x:c>
      <x:c r="K175" s="29" t="str">
        <x:v>Air</x:v>
      </x:c>
      <x:c r="L175" s="53" t="n">
        <x:v>15.266746023102057</x:v>
      </x:c>
      <x:c r="M175" s="41" t="n">
        <x:f>INDEX(Catchments!C:C,MATCH(A175,Catchments!A:A,0))</x:f>
        <x:v>6008575</x:v>
      </x:c>
      <x:c r="N175" s="41" t="n">
        <x:f>INDEX(Catchments!C:C,MATCH(B175,Catchments!A:A,0))</x:f>
        <x:v>12843509</x:v>
      </x:c>
    </x:row>
    <x:row r="176" ht="15" hidden="0" customHeight="1">
      <x:c r="A176" s="27" t="str">
        <x:v>SCA-06</x:v>
      </x:c>
      <x:c r="B176" s="27" t="str">
        <x:v>SCA-18</x:v>
      </x:c>
      <x:c r="C176" s="52" t="n">
        <x:v>64.49545608894732</x:v>
      </x:c>
      <x:c r="D176" s="27" t="str">
        <x:v>YES</x:v>
      </x:c>
      <x:c r="E176" s="52" t="n">
        <x:v>59.67500121274433</x:v>
      </x:c>
      <x:c r="F176" s="27" t="str">
        <x:v>YES</x:v>
      </x:c>
      <x:c r="G176" s="52" t="n">
        <x:v>15.541670029643008</x:v>
      </x:c>
      <x:c r="H176" s="27" t="str">
        <x:v>YES</x:v>
      </x:c>
      <x:c r="I176" s="52" t="n">
        <x:v>110.21733997385556</x:v>
      </x:c>
      <x:c r="J176" s="27" t="str">
        <x:v>NO</x:v>
      </x:c>
      <x:c r="K176" s="27" t="str">
        <x:v>Air</x:v>
      </x:c>
      <x:c r="L176" s="52" t="n">
        <x:v>15.541670029643008</x:v>
      </x:c>
      <x:c r="M176" s="40" t="n">
        <x:f>INDEX(Catchments!C:C,MATCH(A176,Catchments!A:A,0))</x:f>
        <x:v>6008575</x:v>
      </x:c>
      <x:c r="N176" s="40" t="n">
        <x:f>INDEX(Catchments!C:C,MATCH(B176,Catchments!A:A,0))</x:f>
        <x:v>11004680</x:v>
      </x:c>
    </x:row>
    <x:row r="177" ht="15" hidden="0" customHeight="1">
      <x:c r="A177" s="29" t="str">
        <x:v>SCA-06</x:v>
      </x:c>
      <x:c r="B177" s="29" t="str">
        <x:v>SCA-19</x:v>
      </x:c>
      <x:c r="C177" s="53" t="n">
        <x:v>67.80724016623205</x:v>
      </x:c>
      <x:c r="D177" s="29" t="str">
        <x:v>YES</x:v>
      </x:c>
      <x:c r="E177" s="53" t="n">
        <x:v>62.277117273468036</x:v>
      </x:c>
      <x:c r="F177" s="29" t="str">
        <x:v>YES</x:v>
      </x:c>
      <x:c r="G177" s="53" t="n">
        <x:v>15.6265094154328</x:v>
      </x:c>
      <x:c r="H177" s="29" t="str">
        <x:v>YES</x:v>
      </x:c>
      <x:c r="I177" s="53" t="n">
        <x:v>112.18682571540428</x:v>
      </x:c>
      <x:c r="J177" s="29" t="str">
        <x:v>NO</x:v>
      </x:c>
      <x:c r="K177" s="29" t="str">
        <x:v>Air</x:v>
      </x:c>
      <x:c r="L177" s="53" t="n">
        <x:v>15.6265094154328</x:v>
      </x:c>
      <x:c r="M177" s="41" t="n">
        <x:f>INDEX(Catchments!C:C,MATCH(A177,Catchments!A:A,0))</x:f>
        <x:v>6008575</x:v>
      </x:c>
      <x:c r="N177" s="41" t="n">
        <x:f>INDEX(Catchments!C:C,MATCH(B177,Catchments!A:A,0))</x:f>
        <x:v>6677653</x:v>
      </x:c>
    </x:row>
    <x:row r="178" ht="15" hidden="0" customHeight="1">
      <x:c r="A178" s="27" t="str">
        <x:v>SCA-06</x:v>
      </x:c>
      <x:c r="B178" s="27" t="str">
        <x:v>SCA-20</x:v>
      </x:c>
      <x:c r="C178" s="52" t="n">
        <x:v>65.4516875704787</x:v>
      </x:c>
      <x:c r="D178" s="27" t="str">
        <x:v>YES</x:v>
      </x:c>
      <x:c r="E178" s="52" t="n">
        <x:v>60.42632594823326</x:v>
      </x:c>
      <x:c r="F178" s="27" t="str">
        <x:v>YES</x:v>
      </x:c>
      <x:c r="G178" s="52" t="n">
        <x:v>15.742995121734207</x:v>
      </x:c>
      <x:c r="H178" s="27" t="str">
        <x:v>YES</x:v>
      </x:c>
      <x:c r="I178" s="52" t="n">
        <x:v>114.89095818311553</x:v>
      </x:c>
      <x:c r="J178" s="27" t="str">
        <x:v>NO</x:v>
      </x:c>
      <x:c r="K178" s="27" t="str">
        <x:v>Air</x:v>
      </x:c>
      <x:c r="L178" s="52" t="n">
        <x:v>15.742995121734207</x:v>
      </x:c>
      <x:c r="M178" s="40" t="n">
        <x:f>INDEX(Catchments!C:C,MATCH(A178,Catchments!A:A,0))</x:f>
        <x:v>6008575</x:v>
      </x:c>
      <x:c r="N178" s="40" t="n">
        <x:f>INDEX(Catchments!C:C,MATCH(B178,Catchments!A:A,0))</x:f>
        <x:v>8490774</x:v>
      </x:c>
    </x:row>
    <x:row r="179" ht="15" hidden="0" customHeight="1">
      <x:c r="A179" s="29" t="str">
        <x:v>SCA-06</x:v>
      </x:c>
      <x:c r="B179" s="29" t="str">
        <x:v>SCA-21</x:v>
      </x:c>
      <x:c r="C179" s="53" t="n">
        <x:v>76.1609387454176</x:v>
      </x:c>
      <x:c r="D179" s="29" t="str">
        <x:v>NO</x:v>
      </x:c>
      <x:c r="E179" s="53" t="n">
        <x:v>68.84073758568525</x:v>
      </x:c>
      <x:c r="F179" s="29" t="str">
        <x:v>YES</x:v>
      </x:c>
      <x:c r="G179" s="53" t="n">
        <x:v>16.10179326842192</x:v>
      </x:c>
      <x:c r="H179" s="29" t="str">
        <x:v>YES</x:v>
      </x:c>
      <x:c r="I179" s="53" t="n">
        <x:v>123.22020087408023</x:v>
      </x:c>
      <x:c r="J179" s="29" t="str">
        <x:v>NO</x:v>
      </x:c>
      <x:c r="K179" s="29" t="str">
        <x:v>Air</x:v>
      </x:c>
      <x:c r="L179" s="53" t="n">
        <x:v>16.10179326842192</x:v>
      </x:c>
      <x:c r="M179" s="41" t="n">
        <x:f>INDEX(Catchments!C:C,MATCH(A179,Catchments!A:A,0))</x:f>
        <x:v>6008575</x:v>
      </x:c>
      <x:c r="N179" s="41" t="n">
        <x:f>INDEX(Catchments!C:C,MATCH(B179,Catchments!A:A,0))</x:f>
        <x:v>19593580</x:v>
      </x:c>
    </x:row>
    <x:row r="180" ht="15" hidden="0" customHeight="1">
      <x:c r="A180" s="27" t="str">
        <x:v>SCA-06</x:v>
      </x:c>
      <x:c r="B180" s="27" t="str">
        <x:v>SCA-22</x:v>
      </x:c>
      <x:c r="C180" s="52" t="n">
        <x:v>77.9451061818744</x:v>
      </x:c>
      <x:c r="D180" s="27" t="str">
        <x:v>NO</x:v>
      </x:c>
      <x:c r="E180" s="52" t="n">
        <x:v>70.2425834286156</x:v>
      </x:c>
      <x:c r="F180" s="27" t="str">
        <x:v>YES</x:v>
      </x:c>
      <x:c r="G180" s="52" t="n">
        <x:v>16.363542900059006</x:v>
      </x:c>
      <x:c r="H180" s="27" t="str">
        <x:v>YES</x:v>
      </x:c>
      <x:c r="I180" s="52" t="n">
        <x:v>129.29653160851262</x:v>
      </x:c>
      <x:c r="J180" s="27" t="str">
        <x:v>NO</x:v>
      </x:c>
      <x:c r="K180" s="27" t="str">
        <x:v>Air</x:v>
      </x:c>
      <x:c r="L180" s="52" t="n">
        <x:v>16.363542900059006</x:v>
      </x:c>
      <x:c r="M180" s="40" t="n">
        <x:f>INDEX(Catchments!C:C,MATCH(A180,Catchments!A:A,0))</x:f>
        <x:v>6008575</x:v>
      </x:c>
      <x:c r="N180" s="40" t="n">
        <x:f>INDEX(Catchments!C:C,MATCH(B180,Catchments!A:A,0))</x:f>
        <x:v>14732006</x:v>
      </x:c>
    </x:row>
    <x:row r="181" ht="15" hidden="0" customHeight="1">
      <x:c r="A181" s="29" t="str">
        <x:v>SCA-06</x:v>
      </x:c>
      <x:c r="B181" s="29" t="str">
        <x:v>SCA-23</x:v>
      </x:c>
      <x:c r="C181" s="53" t="n">
        <x:v>75.98803291319135</x:v>
      </x:c>
      <x:c r="D181" s="29" t="str">
        <x:v>NO</x:v>
      </x:c>
      <x:c r="E181" s="53" t="n">
        <x:v>68.70488300322177</x:v>
      </x:c>
      <x:c r="F181" s="29" t="str">
        <x:v>YES</x:v>
      </x:c>
      <x:c r="G181" s="53" t="n">
        <x:v>16.516849404483832</x:v>
      </x:c>
      <x:c r="H181" s="29" t="str">
        <x:v>YES</x:v>
      </x:c>
      <x:c r="I181" s="53" t="n">
        <x:v>132.85543260408895</x:v>
      </x:c>
      <x:c r="J181" s="29" t="str">
        <x:v>NO</x:v>
      </x:c>
      <x:c r="K181" s="29" t="str">
        <x:v>Air</x:v>
      </x:c>
      <x:c r="L181" s="53" t="n">
        <x:v>16.516849404483832</x:v>
      </x:c>
      <x:c r="M181" s="41" t="n">
        <x:f>INDEX(Catchments!C:C,MATCH(A181,Catchments!A:A,0))</x:f>
        <x:v>6008575</x:v>
      </x:c>
      <x:c r="N181" s="41" t="n">
        <x:f>INDEX(Catchments!C:C,MATCH(B181,Catchments!A:A,0))</x:f>
        <x:v>20869310</x:v>
      </x:c>
    </x:row>
    <x:row r="182" ht="15" hidden="0" customHeight="1">
      <x:c r="A182" s="27" t="str">
        <x:v>SCA-06</x:v>
      </x:c>
      <x:c r="B182" s="27" t="str">
        <x:v>SCA-24</x:v>
      </x:c>
      <x:c r="C182" s="52" t="n">
        <x:v>83.38348516656373</x:v>
      </x:c>
      <x:c r="D182" s="27" t="str">
        <x:v>NO</x:v>
      </x:c>
      <x:c r="E182" s="52" t="n">
        <x:v>74.51559548801436</x:v>
      </x:c>
      <x:c r="F182" s="27" t="str">
        <x:v>NO</x:v>
      </x:c>
      <x:c r="G182" s="52" t="n">
        <x:v>16.62987062389937</x:v>
      </x:c>
      <x:c r="H182" s="27" t="str">
        <x:v>YES</x:v>
      </x:c>
      <x:c r="I182" s="52" t="n">
        <x:v>135.47913948337828</x:v>
      </x:c>
      <x:c r="J182" s="27" t="str">
        <x:v>NO</x:v>
      </x:c>
      <x:c r="K182" s="27" t="str">
        <x:v>Air</x:v>
      </x:c>
      <x:c r="L182" s="52" t="n">
        <x:v>16.62987062389937</x:v>
      </x:c>
      <x:c r="M182" s="40" t="n">
        <x:f>INDEX(Catchments!C:C,MATCH(A182,Catchments!A:A,0))</x:f>
        <x:v>6008575</x:v>
      </x:c>
      <x:c r="N182" s="40" t="n">
        <x:f>INDEX(Catchments!C:C,MATCH(B182,Catchments!A:A,0))</x:f>
        <x:v>11816161</x:v>
      </x:c>
    </x:row>
    <x:row r="183" ht="15" hidden="0" customHeight="1">
      <x:c r="A183" s="29" t="str">
        <x:v>SCA-06</x:v>
      </x:c>
      <x:c r="B183" s="29" t="str">
        <x:v>SCA-25</x:v>
      </x:c>
      <x:c r="C183" s="53" t="n">
        <x:v>84.98047254809023</x:v>
      </x:c>
      <x:c r="D183" s="29" t="str">
        <x:v>NO</x:v>
      </x:c>
      <x:c r="E183" s="53" t="n">
        <x:v>75.7703712877852</x:v>
      </x:c>
      <x:c r="F183" s="29" t="str">
        <x:v>NO</x:v>
      </x:c>
      <x:c r="G183" s="53" t="n">
        <x:v>16.978709297516573</x:v>
      </x:c>
      <x:c r="H183" s="29" t="str">
        <x:v>YES</x:v>
      </x:c>
      <x:c r="I183" s="53" t="n">
        <x:v>143.5771801209204</x:v>
      </x:c>
      <x:c r="J183" s="29" t="str">
        <x:v>NO</x:v>
      </x:c>
      <x:c r="K183" s="29" t="str">
        <x:v>Air</x:v>
      </x:c>
      <x:c r="L183" s="53" t="n">
        <x:v>16.978709297516573</x:v>
      </x:c>
      <x:c r="M183" s="41" t="n">
        <x:f>INDEX(Catchments!C:C,MATCH(A183,Catchments!A:A,0))</x:f>
        <x:v>6008575</x:v>
      </x:c>
      <x:c r="N183" s="41" t="n">
        <x:f>INDEX(Catchments!C:C,MATCH(B183,Catchments!A:A,0))</x:f>
        <x:v>6408394</x:v>
      </x:c>
    </x:row>
    <x:row r="184" ht="15" hidden="0" customHeight="1">
      <x:c r="A184" s="27" t="str">
        <x:v>SCA-06</x:v>
      </x:c>
      <x:c r="B184" s="27" t="str">
        <x:v>SCA-26</x:v>
      </x:c>
      <x:c r="C184" s="52" t="n">
        <x:v>90.95318992563247</x:v>
      </x:c>
      <x:c r="D184" s="27" t="str">
        <x:v>NO</x:v>
      </x:c>
      <x:c r="E184" s="52" t="n">
        <x:v>80.46322065585409</x:v>
      </x:c>
      <x:c r="F184" s="27" t="str">
        <x:v>NO</x:v>
      </x:c>
      <x:c r="G184" s="52" t="n">
        <x:v>17.13760837116346</x:v>
      </x:c>
      <x:c r="H184" s="27" t="str">
        <x:v>YES</x:v>
      </x:c>
      <x:c r="I184" s="52" t="n">
        <x:v>147.26590861629455</x:v>
      </x:c>
      <x:c r="J184" s="27" t="str">
        <x:v>NO</x:v>
      </x:c>
      <x:c r="K184" s="27" t="str">
        <x:v>Air</x:v>
      </x:c>
      <x:c r="L184" s="52" t="n">
        <x:v>17.13760837116346</x:v>
      </x:c>
      <x:c r="M184" s="40" t="n">
        <x:f>INDEX(Catchments!C:C,MATCH(A184,Catchments!A:A,0))</x:f>
        <x:v>6008575</x:v>
      </x:c>
      <x:c r="N184" s="40" t="n">
        <x:f>INDEX(Catchments!C:C,MATCH(B184,Catchments!A:A,0))</x:f>
        <x:v>10737083</x:v>
      </x:c>
    </x:row>
    <x:row r="185" ht="15" hidden="0" customHeight="1">
      <x:c r="A185" s="29" t="str">
        <x:v>SCA-06</x:v>
      </x:c>
      <x:c r="B185" s="29" t="str">
        <x:v>SCA-27</x:v>
      </x:c>
      <x:c r="C185" s="53" t="n">
        <x:v>96.03734018235153</x:v>
      </x:c>
      <x:c r="D185" s="29" t="str">
        <x:v>NO</x:v>
      </x:c>
      <x:c r="E185" s="53" t="n">
        <x:v>84.4579101432762</x:v>
      </x:c>
      <x:c r="F185" s="29" t="str">
        <x:v>NO</x:v>
      </x:c>
      <x:c r="G185" s="53" t="n">
        <x:v>17.43903434902997</x:v>
      </x:c>
      <x:c r="H185" s="29" t="str">
        <x:v>YES</x:v>
      </x:c>
      <x:c r="I185" s="53" t="n">
        <x:v>154.26329738819575</x:v>
      </x:c>
      <x:c r="J185" s="29" t="str">
        <x:v>NO</x:v>
      </x:c>
      <x:c r="K185" s="29" t="str">
        <x:v>Air</x:v>
      </x:c>
      <x:c r="L185" s="53" t="n">
        <x:v>17.43903434902997</x:v>
      </x:c>
      <x:c r="M185" s="41" t="n">
        <x:f>INDEX(Catchments!C:C,MATCH(A185,Catchments!A:A,0))</x:f>
        <x:v>6008575</x:v>
      </x:c>
      <x:c r="N185" s="41" t="n">
        <x:f>INDEX(Catchments!C:C,MATCH(B185,Catchments!A:A,0))</x:f>
        <x:v>7505606</x:v>
      </x:c>
    </x:row>
    <x:row r="186" ht="15" hidden="0" customHeight="1">
      <x:c r="A186" s="27" t="str">
        <x:v>SCA-06</x:v>
      </x:c>
      <x:c r="B186" s="27" t="str">
        <x:v>SCA-28</x:v>
      </x:c>
      <x:c r="C186" s="52" t="n">
        <x:v>89.66610573213508</x:v>
      </x:c>
      <x:c r="D186" s="27" t="str">
        <x:v>NO</x:v>
      </x:c>
      <x:c r="E186" s="52" t="n">
        <x:v>79.45194021810613</x:v>
      </x:c>
      <x:c r="F186" s="27" t="str">
        <x:v>NO</x:v>
      </x:c>
      <x:c r="G186" s="52" t="n">
        <x:v>17.16486012088211</x:v>
      </x:c>
      <x:c r="H186" s="27" t="str">
        <x:v>YES</x:v>
      </x:c>
      <x:c r="I186" s="52" t="n">
        <x:v>147.8985385204776</x:v>
      </x:c>
      <x:c r="J186" s="27" t="str">
        <x:v>NO</x:v>
      </x:c>
      <x:c r="K186" s="27" t="str">
        <x:v>Air</x:v>
      </x:c>
      <x:c r="L186" s="52" t="n">
        <x:v>17.16486012088211</x:v>
      </x:c>
      <x:c r="M186" s="40" t="n">
        <x:f>INDEX(Catchments!C:C,MATCH(A186,Catchments!A:A,0))</x:f>
        <x:v>6008575</x:v>
      </x:c>
      <x:c r="N186" s="40" t="n">
        <x:f>INDEX(Catchments!C:C,MATCH(B186,Catchments!A:A,0))</x:f>
        <x:v>21305157</x:v>
      </x:c>
    </x:row>
    <x:row r="187" ht="15" hidden="0" customHeight="1">
      <x:c r="A187" s="29" t="str">
        <x:v>SCA-06</x:v>
      </x:c>
      <x:c r="B187" s="29" t="str">
        <x:v>SCA-29</x:v>
      </x:c>
      <x:c r="C187" s="53" t="n">
        <x:v>87.54175925906496</x:v>
      </x:c>
      <x:c r="D187" s="29" t="str">
        <x:v>NO</x:v>
      </x:c>
      <x:c r="E187" s="53" t="n">
        <x:v>77.78281084640818</x:v>
      </x:c>
      <x:c r="F187" s="29" t="str">
        <x:v>NO</x:v>
      </x:c>
      <x:c r="G187" s="53" t="n">
        <x:v>17.24076259154541</x:v>
      </x:c>
      <x:c r="H187" s="29" t="str">
        <x:v>YES</x:v>
      </x:c>
      <x:c r="I187" s="53" t="n">
        <x:v>149.66056016087555</x:v>
      </x:c>
      <x:c r="J187" s="29" t="str">
        <x:v>NO</x:v>
      </x:c>
      <x:c r="K187" s="29" t="str">
        <x:v>Air</x:v>
      </x:c>
      <x:c r="L187" s="53" t="n">
        <x:v>17.24076259154541</x:v>
      </x:c>
      <x:c r="M187" s="41" t="n">
        <x:f>INDEX(Catchments!C:C,MATCH(A187,Catchments!A:A,0))</x:f>
        <x:v>6008575</x:v>
      </x:c>
      <x:c r="N187" s="41" t="n">
        <x:f>INDEX(Catchments!C:C,MATCH(B187,Catchments!A:A,0))</x:f>
        <x:v>19271685</x:v>
      </x:c>
    </x:row>
    <x:row r="188" ht="15" hidden="0" customHeight="1">
      <x:c r="A188" s="27" t="str">
        <x:v>SCA-06</x:v>
      </x:c>
      <x:c r="B188" s="27" t="str">
        <x:v>SCA-30</x:v>
      </x:c>
      <x:c r="C188" s="52" t="n">
        <x:v>98.0945369308849</x:v>
      </x:c>
      <x:c r="D188" s="27" t="str">
        <x:v>NO</x:v>
      </x:c>
      <x:c r="E188" s="52" t="n">
        <x:v>86.07427901712384</x:v>
      </x:c>
      <x:c r="F188" s="27" t="str">
        <x:v>NO</x:v>
      </x:c>
      <x:c r="G188" s="52" t="n">
        <x:v>17.783851114925106</x:v>
      </x:c>
      <x:c r="H188" s="27" t="str">
        <x:v>YES</x:v>
      </x:c>
      <x:c r="I188" s="52" t="n">
        <x:v>162.26797231076142</x:v>
      </x:c>
      <x:c r="J188" s="27" t="str">
        <x:v>NO</x:v>
      </x:c>
      <x:c r="K188" s="27" t="str">
        <x:v>Air</x:v>
      </x:c>
      <x:c r="L188" s="52" t="n">
        <x:v>17.783851114925106</x:v>
      </x:c>
      <x:c r="M188" s="40" t="n">
        <x:f>INDEX(Catchments!C:C,MATCH(A188,Catchments!A:A,0))</x:f>
        <x:v>6008575</x:v>
      </x:c>
      <x:c r="N188" s="40" t="n">
        <x:f>INDEX(Catchments!C:C,MATCH(B188,Catchments!A:A,0))</x:f>
        <x:v>41291847</x:v>
      </x:c>
    </x:row>
    <x:row r="189" ht="15" hidden="0" customHeight="1">
      <x:c r="A189" s="29" t="str">
        <x:v>SCA-06</x:v>
      </x:c>
      <x:c r="B189" s="29" t="str">
        <x:v>SCA-31</x:v>
      </x:c>
      <x:c r="C189" s="53" t="n">
        <x:v>105.241485025185</x:v>
      </x:c>
      <x:c r="D189" s="29" t="str">
        <x:v>NO</x:v>
      </x:c>
      <x:c r="E189" s="53" t="n">
        <x:v>91.68973823407393</x:v>
      </x:c>
      <x:c r="F189" s="29" t="str">
        <x:v>NO</x:v>
      </x:c>
      <x:c r="G189" s="53" t="n">
        <x:v>18.16692959207905</x:v>
      </x:c>
      <x:c r="H189" s="29" t="str">
        <x:v>YES</x:v>
      </x:c>
      <x:c r="I189" s="53" t="n">
        <x:v>171.16086553040654</x:v>
      </x:c>
      <x:c r="J189" s="29" t="str">
        <x:v>NO</x:v>
      </x:c>
      <x:c r="K189" s="29" t="str">
        <x:v>Air</x:v>
      </x:c>
      <x:c r="L189" s="53" t="n">
        <x:v>18.16692959207905</x:v>
      </x:c>
      <x:c r="M189" s="41" t="n">
        <x:f>INDEX(Catchments!C:C,MATCH(A189,Catchments!A:A,0))</x:f>
        <x:v>6008575</x:v>
      </x:c>
      <x:c r="N189" s="41" t="n">
        <x:f>INDEX(Catchments!C:C,MATCH(B189,Catchments!A:A,0))</x:f>
        <x:v>14227128</x:v>
      </x:c>
    </x:row>
    <x:row r="190" ht="15" hidden="0" customHeight="1">
      <x:c r="A190" s="27" t="str">
        <x:v>SCA-06</x:v>
      </x:c>
      <x:c r="B190" s="27" t="str">
        <x:v>SCA-32</x:v>
      </x:c>
      <x:c r="C190" s="52"/>
      <x:c r="D190" s="27" t="str">
        <x:v>NO</x:v>
      </x:c>
      <x:c r="E190" s="52"/>
      <x:c r="F190" s="27" t="str">
        <x:v>NO</x:v>
      </x:c>
      <x:c r="G190" s="52" t="n">
        <x:v>20.04190236602569</x:v>
      </x:c>
      <x:c r="H190" s="27" t="str">
        <x:v>YES</x:v>
      </x:c>
      <x:c r="I190" s="52" t="n">
        <x:v>214.68701921131063</x:v>
      </x:c>
      <x:c r="J190" s="27" t="str">
        <x:v>NO</x:v>
      </x:c>
      <x:c r="K190" s="27" t="str">
        <x:v>Air</x:v>
      </x:c>
      <x:c r="L190" s="52" t="n">
        <x:v>20.04190236602569</x:v>
      </x:c>
      <x:c r="M190" s="40" t="n">
        <x:f>INDEX(Catchments!C:C,MATCH(A190,Catchments!A:A,0))</x:f>
        <x:v>6008575</x:v>
      </x:c>
      <x:c r="N190" s="40" t="n">
        <x:f>INDEX(Catchments!C:C,MATCH(B190,Catchments!A:A,0))</x:f>
        <x:v>3184835</x:v>
      </x:c>
    </x:row>
    <x:row r="191" ht="15" hidden="0" customHeight="1">
      <x:c r="A191" s="29" t="str">
        <x:v>SCA-07</x:v>
      </x:c>
      <x:c r="B191" s="29" t="str">
        <x:v>SCA-01</x:v>
      </x:c>
      <x:c r="C191" s="53"/>
      <x:c r="D191" s="29" t="str">
        <x:v>NO</x:v>
      </x:c>
      <x:c r="E191" s="53"/>
      <x:c r="F191" s="29" t="str">
        <x:v>NO</x:v>
      </x:c>
      <x:c r="G191" s="53" t="n">
        <x:v>18.773065860618047</x:v>
      </x:c>
      <x:c r="H191" s="29" t="str">
        <x:v>YES</x:v>
      </x:c>
      <x:c r="I191" s="53" t="n">
        <x:v>185.23188605006183</x:v>
      </x:c>
      <x:c r="J191" s="29" t="str">
        <x:v>NO</x:v>
      </x:c>
      <x:c r="K191" s="29" t="str">
        <x:v>Air</x:v>
      </x:c>
      <x:c r="L191" s="53" t="n">
        <x:v>18.773065860618047</x:v>
      </x:c>
      <x:c r="M191" s="41" t="n">
        <x:f>INDEX(Catchments!C:C,MATCH(A191,Catchments!A:A,0))</x:f>
        <x:v>5229370</x:v>
      </x:c>
      <x:c r="N191" s="41" t="n">
        <x:f>INDEX(Catchments!C:C,MATCH(B191,Catchments!A:A,0))</x:f>
        <x:v>1432820</x:v>
      </x:c>
    </x:row>
    <x:row r="192" ht="15" hidden="0" customHeight="1">
      <x:c r="A192" s="27" t="str">
        <x:v>SCA-07</x:v>
      </x:c>
      <x:c r="B192" s="27" t="str">
        <x:v>SCA-02</x:v>
      </x:c>
      <x:c r="C192" s="52"/>
      <x:c r="D192" s="27" t="str">
        <x:v>NO</x:v>
      </x:c>
      <x:c r="E192" s="52"/>
      <x:c r="F192" s="27" t="str">
        <x:v>NO</x:v>
      </x:c>
      <x:c r="G192" s="52" t="n">
        <x:v>17.522148207883063</x:v>
      </x:c>
      <x:c r="H192" s="27" t="str">
        <x:v>YES</x:v>
      </x:c>
      <x:c r="I192" s="52" t="n">
        <x:v>156.19272625442827</x:v>
      </x:c>
      <x:c r="J192" s="27" t="str">
        <x:v>NO</x:v>
      </x:c>
      <x:c r="K192" s="27" t="str">
        <x:v>Air</x:v>
      </x:c>
      <x:c r="L192" s="52" t="n">
        <x:v>17.522148207883063</x:v>
      </x:c>
      <x:c r="M192" s="40" t="n">
        <x:f>INDEX(Catchments!C:C,MATCH(A192,Catchments!A:A,0))</x:f>
        <x:v>5229370</x:v>
      </x:c>
      <x:c r="N192" s="40" t="n">
        <x:f>INDEX(Catchments!C:C,MATCH(B192,Catchments!A:A,0))</x:f>
        <x:v>737270</x:v>
      </x:c>
    </x:row>
    <x:row r="193" ht="15" hidden="0" customHeight="1">
      <x:c r="A193" s="29" t="str">
        <x:v>SCA-07</x:v>
      </x:c>
      <x:c r="B193" s="29" t="str">
        <x:v>SCA-03</x:v>
      </x:c>
      <x:c r="C193" s="53" t="n">
        <x:v>46.54077128627128</x:v>
      </x:c>
      <x:c r="D193" s="29" t="str">
        <x:v>YES</x:v>
      </x:c>
      <x:c r="E193" s="53" t="n">
        <x:v>45.56774886778457</x:v>
      </x:c>
      <x:c r="F193" s="29" t="str">
        <x:v>YES</x:v>
      </x:c>
      <x:c r="G193" s="53" t="n">
        <x:v>14.033058723556163</x:v>
      </x:c>
      <x:c r="H193" s="29" t="str">
        <x:v>YES</x:v>
      </x:c>
      <x:c r="I193" s="53" t="n">
        <x:v>75.1960060825538</x:v>
      </x:c>
      <x:c r="J193" s="29" t="str">
        <x:v>NO</x:v>
      </x:c>
      <x:c r="K193" s="29" t="str">
        <x:v>Air</x:v>
      </x:c>
      <x:c r="L193" s="53" t="n">
        <x:v>14.033058723556163</x:v>
      </x:c>
      <x:c r="M193" s="41" t="n">
        <x:f>INDEX(Catchments!C:C,MATCH(A193,Catchments!A:A,0))</x:f>
        <x:v>5229370</x:v>
      </x:c>
      <x:c r="N193" s="41" t="n">
        <x:f>INDEX(Catchments!C:C,MATCH(B193,Catchments!A:A,0))</x:f>
        <x:v>11968308</x:v>
      </x:c>
    </x:row>
    <x:row r="194" ht="15" hidden="0" customHeight="1">
      <x:c r="A194" s="27" t="str">
        <x:v>SCA-07</x:v>
      </x:c>
      <x:c r="B194" s="27" t="str">
        <x:v>SCA-04</x:v>
      </x:c>
      <x:c r="C194" s="52" t="n">
        <x:v>26.738257939138993</x:v>
      </x:c>
      <x:c r="D194" s="27" t="str">
        <x:v>YES</x:v>
      </x:c>
      <x:c r="E194" s="52" t="n">
        <x:v>30.008631237894924</x:v>
      </x:c>
      <x:c r="F194" s="27" t="str">
        <x:v>YES</x:v>
      </x:c>
      <x:c r="G194" s="52" t="n">
        <x:v>12.937263125956715</x:v>
      </x:c>
      <x:c r="H194" s="27" t="str">
        <x:v>YES</x:v>
      </x:c>
      <x:c r="I194" s="52" t="n">
        <x:v>49.75789399542374</x:v>
      </x:c>
      <x:c r="J194" s="27" t="str">
        <x:v>YES</x:v>
      </x:c>
      <x:c r="K194" s="27" t="str">
        <x:v>Air</x:v>
      </x:c>
      <x:c r="L194" s="52" t="n">
        <x:v>12.937263125956715</x:v>
      </x:c>
      <x:c r="M194" s="40" t="n">
        <x:f>INDEX(Catchments!C:C,MATCH(A194,Catchments!A:A,0))</x:f>
        <x:v>5229370</x:v>
      </x:c>
      <x:c r="N194" s="40" t="n">
        <x:f>INDEX(Catchments!C:C,MATCH(B194,Catchments!A:A,0))</x:f>
        <x:v>16200470</x:v>
      </x:c>
    </x:row>
    <x:row r="195" ht="15" hidden="0" customHeight="1">
      <x:c r="A195" s="29" t="str">
        <x:v>SCA-07</x:v>
      </x:c>
      <x:c r="B195" s="29" t="str">
        <x:v>SCA-05</x:v>
      </x:c>
      <x:c r="C195" s="53" t="n">
        <x:v>20.54911081120387</x:v>
      </x:c>
      <x:c r="D195" s="29" t="str">
        <x:v>YES</x:v>
      </x:c>
      <x:c r="E195" s="53" t="n">
        <x:v>25.14572992308876</x:v>
      </x:c>
      <x:c r="F195" s="29" t="str">
        <x:v>YES</x:v>
      </x:c>
      <x:c r="G195" s="53" t="n">
        <x:v>12.481874374068513</x:v>
      </x:c>
      <x:c r="H195" s="29" t="str">
        <x:v>YES</x:v>
      </x:c>
      <x:c r="I195" s="53" t="n">
        <x:v>39.18636939801904</x:v>
      </x:c>
      <x:c r="J195" s="29" t="str">
        <x:v>YES</x:v>
      </x:c>
      <x:c r="K195" s="29" t="str">
        <x:v>Air</x:v>
      </x:c>
      <x:c r="L195" s="53" t="n">
        <x:v>12.481874374068513</x:v>
      </x:c>
      <x:c r="M195" s="41" t="n">
        <x:f>INDEX(Catchments!C:C,MATCH(A195,Catchments!A:A,0))</x:f>
        <x:v>5229370</x:v>
      </x:c>
      <x:c r="N195" s="41" t="n">
        <x:f>INDEX(Catchments!C:C,MATCH(B195,Catchments!A:A,0))</x:f>
        <x:v>15966265</x:v>
      </x:c>
    </x:row>
    <x:row r="196" ht="15" hidden="0" customHeight="1">
      <x:c r="A196" s="27" t="str">
        <x:v>SCA-07</x:v>
      </x:c>
      <x:c r="B196" s="27" t="str">
        <x:v>SCA-06</x:v>
      </x:c>
      <x:c r="C196" s="52" t="n">
        <x:v>19.865166255782114</x:v>
      </x:c>
      <x:c r="D196" s="27" t="str">
        <x:v>YES</x:v>
      </x:c>
      <x:c r="E196" s="52" t="n">
        <x:v>24.608344915257376</x:v>
      </x:c>
      <x:c r="F196" s="27" t="str">
        <x:v>YES</x:v>
      </x:c>
      <x:c r="G196" s="52" t="n">
        <x:v>12.431550694405374</x:v>
      </x:c>
      <x:c r="H196" s="27" t="str">
        <x:v>YES</x:v>
      </x:c>
      <x:c r="I196" s="52" t="n">
        <x:v>38.018141120124724</x:v>
      </x:c>
      <x:c r="J196" s="27" t="str">
        <x:v>YES</x:v>
      </x:c>
      <x:c r="K196" s="27" t="str">
        <x:v>Air</x:v>
      </x:c>
      <x:c r="L196" s="52" t="n">
        <x:v>12.431550694405374</x:v>
      </x:c>
      <x:c r="M196" s="40" t="n">
        <x:f>INDEX(Catchments!C:C,MATCH(A196,Catchments!A:A,0))</x:f>
        <x:v>5229370</x:v>
      </x:c>
      <x:c r="N196" s="40" t="n">
        <x:f>INDEX(Catchments!C:C,MATCH(B196,Catchments!A:A,0))</x:f>
        <x:v>6008575</x:v>
      </x:c>
    </x:row>
    <x:row r="197" ht="15" hidden="0" customHeight="1">
      <x:c r="A197" s="29" t="str">
        <x:v>SCA-07</x:v>
      </x:c>
      <x:c r="B197" s="29" t="str">
        <x:v>SCA-08</x:v>
      </x:c>
      <x:c r="C197" s="53" t="n">
        <x:v>34.988745908430836</x:v>
      </x:c>
      <x:c r="D197" s="29" t="str">
        <x:v>YES</x:v>
      </x:c>
      <x:c r="E197" s="53" t="n">
        <x:v>36.491157499481375</x:v>
      </x:c>
      <x:c r="F197" s="29" t="str">
        <x:v>YES</x:v>
      </x:c>
      <x:c r="G197" s="53" t="n">
        <x:v>13.544322441423006</x:v>
      </x:c>
      <x:c r="H197" s="29" t="str">
        <x:v>YES</x:v>
      </x:c>
      <x:c r="I197" s="53" t="n">
        <x:v>63.8503423901769</x:v>
      </x:c>
      <x:c r="J197" s="29" t="str">
        <x:v>YES</x:v>
      </x:c>
      <x:c r="K197" s="29" t="str">
        <x:v>Air</x:v>
      </x:c>
      <x:c r="L197" s="53" t="n">
        <x:v>13.544322441423006</x:v>
      </x:c>
      <x:c r="M197" s="41" t="n">
        <x:f>INDEX(Catchments!C:C,MATCH(A197,Catchments!A:A,0))</x:f>
        <x:v>5229370</x:v>
      </x:c>
      <x:c r="N197" s="41" t="n">
        <x:f>INDEX(Catchments!C:C,MATCH(B197,Catchments!A:A,0))</x:f>
        <x:v>2652387</x:v>
      </x:c>
    </x:row>
    <x:row r="198" ht="15" hidden="0" customHeight="1">
      <x:c r="A198" s="27" t="str">
        <x:v>SCA-07</x:v>
      </x:c>
      <x:c r="B198" s="27" t="str">
        <x:v>SCA-09</x:v>
      </x:c>
      <x:c r="C198" s="52" t="n">
        <x:v>22.402476230436825</x:v>
      </x:c>
      <x:c r="D198" s="27" t="str">
        <x:v>YES</x:v>
      </x:c>
      <x:c r="E198" s="52" t="n">
        <x:v>26.60194560962893</x:v>
      </x:c>
      <x:c r="F198" s="27" t="str">
        <x:v>YES</x:v>
      </x:c>
      <x:c r="G198" s="52" t="n">
        <x:v>12.618242398226121</x:v>
      </x:c>
      <x:c r="H198" s="27" t="str">
        <x:v>YES</x:v>
      </x:c>
      <x:c r="I198" s="52"/>
      <x:c r="J198" s="27" t="str">
        <x:v>NO</x:v>
      </x:c>
      <x:c r="K198" s="27" t="str">
        <x:v>Air</x:v>
      </x:c>
      <x:c r="L198" s="52" t="n">
        <x:v>12.618242398226121</x:v>
      </x:c>
      <x:c r="M198" s="40" t="n">
        <x:f>INDEX(Catchments!C:C,MATCH(A198,Catchments!A:A,0))</x:f>
        <x:v>5229370</x:v>
      </x:c>
      <x:c r="N198" s="40" t="n">
        <x:f>INDEX(Catchments!C:C,MATCH(B198,Catchments!A:A,0))</x:f>
        <x:v>7395716</x:v>
      </x:c>
    </x:row>
    <x:row r="199" ht="15" hidden="0" customHeight="1">
      <x:c r="A199" s="29" t="str">
        <x:v>SCA-07</x:v>
      </x:c>
      <x:c r="B199" s="29" t="str">
        <x:v>SCA-10</x:v>
      </x:c>
      <x:c r="C199" s="53" t="n">
        <x:v>28.80362368380826</x:v>
      </x:c>
      <x:c r="D199" s="29" t="str">
        <x:v>YES</x:v>
      </x:c>
      <x:c r="E199" s="53" t="n">
        <x:v>31.63141860870649</x:v>
      </x:c>
      <x:c r="F199" s="29" t="str">
        <x:v>YES</x:v>
      </x:c>
      <x:c r="G199" s="53" t="n">
        <x:v>13.089229836266828</x:v>
      </x:c>
      <x:c r="H199" s="29" t="str">
        <x:v>YES</x:v>
      </x:c>
      <x:c r="I199" s="53"/>
      <x:c r="J199" s="29" t="str">
        <x:v>NO</x:v>
      </x:c>
      <x:c r="K199" s="29" t="str">
        <x:v>Air</x:v>
      </x:c>
      <x:c r="L199" s="53" t="n">
        <x:v>13.089229836266828</x:v>
      </x:c>
      <x:c r="M199" s="41" t="n">
        <x:f>INDEX(Catchments!C:C,MATCH(A199,Catchments!A:A,0))</x:f>
        <x:v>5229370</x:v>
      </x:c>
      <x:c r="N199" s="41" t="n">
        <x:f>INDEX(Catchments!C:C,MATCH(B199,Catchments!A:A,0))</x:f>
        <x:v>4127033</x:v>
      </x:c>
    </x:row>
    <x:row r="200" ht="15" hidden="0" customHeight="1">
      <x:c r="A200" s="27" t="str">
        <x:v>SCA-07</x:v>
      </x:c>
      <x:c r="B200" s="27" t="str">
        <x:v>SCA-11</x:v>
      </x:c>
      <x:c r="C200" s="52" t="n">
        <x:v>36.070700802611555</x:v>
      </x:c>
      <x:c r="D200" s="27" t="str">
        <x:v>YES</x:v>
      </x:c>
      <x:c r="E200" s="52" t="n">
        <x:v>37.34126491633765</x:v>
      </x:c>
      <x:c r="F200" s="27" t="str">
        <x:v>YES</x:v>
      </x:c>
      <x:c r="G200" s="52" t="n">
        <x:v>13.503088367526638</x:v>
      </x:c>
      <x:c r="H200" s="27" t="str">
        <x:v>YES</x:v>
      </x:c>
      <x:c r="I200" s="52" t="n">
        <x:v>62.89312281758268</x:v>
      </x:c>
      <x:c r="J200" s="27" t="str">
        <x:v>YES</x:v>
      </x:c>
      <x:c r="K200" s="27" t="str">
        <x:v>Air</x:v>
      </x:c>
      <x:c r="L200" s="52" t="n">
        <x:v>13.503088367526638</x:v>
      </x:c>
      <x:c r="M200" s="40" t="n">
        <x:f>INDEX(Catchments!C:C,MATCH(A200,Catchments!A:A,0))</x:f>
        <x:v>5229370</x:v>
      </x:c>
      <x:c r="N200" s="40" t="n">
        <x:f>INDEX(Catchments!C:C,MATCH(B200,Catchments!A:A,0))</x:f>
        <x:v>3517787</x:v>
      </x:c>
    </x:row>
    <x:row r="201" ht="15" hidden="0" customHeight="1">
      <x:c r="A201" s="29" t="str">
        <x:v>SCA-07</x:v>
      </x:c>
      <x:c r="B201" s="29" t="str">
        <x:v>SCA-12</x:v>
      </x:c>
      <x:c r="C201" s="53" t="n">
        <x:v>41.09922299737994</x:v>
      </x:c>
      <x:c r="D201" s="29" t="str">
        <x:v>YES</x:v>
      </x:c>
      <x:c r="E201" s="53" t="n">
        <x:v>41.292246640798524</x:v>
      </x:c>
      <x:c r="F201" s="29" t="str">
        <x:v>YES</x:v>
      </x:c>
      <x:c r="G201" s="53" t="n">
        <x:v>13.56201273150511</x:v>
      </x:c>
      <x:c r="H201" s="29" t="str">
        <x:v>YES</x:v>
      </x:c>
      <x:c r="I201" s="53"/>
      <x:c r="J201" s="29" t="str">
        <x:v>NO</x:v>
      </x:c>
      <x:c r="K201" s="29" t="str">
        <x:v>Air</x:v>
      </x:c>
      <x:c r="L201" s="53" t="n">
        <x:v>13.56201273150511</x:v>
      </x:c>
      <x:c r="M201" s="41" t="n">
        <x:f>INDEX(Catchments!C:C,MATCH(A201,Catchments!A:A,0))</x:f>
        <x:v>5229370</x:v>
      </x:c>
      <x:c r="N201" s="41" t="n">
        <x:f>INDEX(Catchments!C:C,MATCH(B201,Catchments!A:A,0))</x:f>
        <x:v>7465186</x:v>
      </x:c>
    </x:row>
    <x:row r="202" ht="15" hidden="0" customHeight="1">
      <x:c r="A202" s="27" t="str">
        <x:v>SCA-07</x:v>
      </x:c>
      <x:c r="B202" s="27" t="str">
        <x:v>SCA-13</x:v>
      </x:c>
      <x:c r="C202" s="52" t="n">
        <x:v>51.86253216820518</x:v>
      </x:c>
      <x:c r="D202" s="27" t="str">
        <x:v>YES</x:v>
      </x:c>
      <x:c r="E202" s="52" t="n">
        <x:v>49.7491324178755</x:v>
      </x:c>
      <x:c r="F202" s="27" t="str">
        <x:v>YES</x:v>
      </x:c>
      <x:c r="G202" s="52" t="n">
        <x:v>14.659689245364486</x:v>
      </x:c>
      <x:c r="H202" s="27" t="str">
        <x:v>YES</x:v>
      </x:c>
      <x:c r="I202" s="52" t="n">
        <x:v>89.74278605310417</x:v>
      </x:c>
      <x:c r="J202" s="27" t="str">
        <x:v>NO</x:v>
      </x:c>
      <x:c r="K202" s="27" t="str">
        <x:v>Air</x:v>
      </x:c>
      <x:c r="L202" s="52" t="n">
        <x:v>14.659689245364486</x:v>
      </x:c>
      <x:c r="M202" s="40" t="n">
        <x:f>INDEX(Catchments!C:C,MATCH(A202,Catchments!A:A,0))</x:f>
        <x:v>5229370</x:v>
      </x:c>
      <x:c r="N202" s="40" t="n">
        <x:f>INDEX(Catchments!C:C,MATCH(B202,Catchments!A:A,0))</x:f>
        <x:v>6759014</x:v>
      </x:c>
    </x:row>
    <x:row r="203" ht="15" hidden="0" customHeight="1">
      <x:c r="A203" s="29" t="str">
        <x:v>SCA-07</x:v>
      </x:c>
      <x:c r="B203" s="29" t="str">
        <x:v>SCA-14</x:v>
      </x:c>
      <x:c r="C203" s="53" t="n">
        <x:v>59.20007423597084</x:v>
      </x:c>
      <x:c r="D203" s="29" t="str">
        <x:v>YES</x:v>
      </x:c>
      <x:c r="E203" s="53" t="n">
        <x:v>55.514344042548515</x:v>
      </x:c>
      <x:c r="F203" s="29" t="str">
        <x:v>YES</x:v>
      </x:c>
      <x:c r="G203" s="53" t="n">
        <x:v>14.946984821241008</x:v>
      </x:c>
      <x:c r="H203" s="29" t="str">
        <x:v>YES</x:v>
      </x:c>
      <x:c r="I203" s="53" t="n">
        <x:v>96.41214763595197</x:v>
      </x:c>
      <x:c r="J203" s="29" t="str">
        <x:v>NO</x:v>
      </x:c>
      <x:c r="K203" s="29" t="str">
        <x:v>Air</x:v>
      </x:c>
      <x:c r="L203" s="53" t="n">
        <x:v>14.946984821241008</x:v>
      </x:c>
      <x:c r="M203" s="41" t="n">
        <x:f>INDEX(Catchments!C:C,MATCH(A203,Catchments!A:A,0))</x:f>
        <x:v>5229370</x:v>
      </x:c>
      <x:c r="N203" s="41" t="n">
        <x:f>INDEX(Catchments!C:C,MATCH(B203,Catchments!A:A,0))</x:f>
        <x:v>2179728</x:v>
      </x:c>
    </x:row>
    <x:row r="204" ht="15" hidden="0" customHeight="1">
      <x:c r="A204" s="27" t="str">
        <x:v>SCA-07</x:v>
      </x:c>
      <x:c r="B204" s="27" t="str">
        <x:v>SCA-15</x:v>
      </x:c>
      <x:c r="C204" s="52" t="n">
        <x:v>52.53211295651041</x:v>
      </x:c>
      <x:c r="D204" s="27" t="str">
        <x:v>YES</x:v>
      </x:c>
      <x:c r="E204" s="52" t="n">
        <x:v>50.27523160868675</x:v>
      </x:c>
      <x:c r="F204" s="27" t="str">
        <x:v>YES</x:v>
      </x:c>
      <x:c r="G204" s="52" t="n">
        <x:v>14.67225841243506</x:v>
      </x:c>
      <x:c r="H204" s="27" t="str">
        <x:v>YES</x:v>
      </x:c>
      <x:c r="I204" s="52" t="n">
        <x:v>90.03457028867102</x:v>
      </x:c>
      <x:c r="J204" s="27" t="str">
        <x:v>NO</x:v>
      </x:c>
      <x:c r="K204" s="27" t="str">
        <x:v>Air</x:v>
      </x:c>
      <x:c r="L204" s="52" t="n">
        <x:v>14.67225841243506</x:v>
      </x:c>
      <x:c r="M204" s="40" t="n">
        <x:f>INDEX(Catchments!C:C,MATCH(A204,Catchments!A:A,0))</x:f>
        <x:v>5229370</x:v>
      </x:c>
      <x:c r="N204" s="40" t="n">
        <x:f>INDEX(Catchments!C:C,MATCH(B204,Catchments!A:A,0))</x:f>
        <x:v>13192386</x:v>
      </x:c>
    </x:row>
    <x:row r="205" ht="15" hidden="0" customHeight="1">
      <x:c r="A205" s="29" t="str">
        <x:v>SCA-07</x:v>
      </x:c>
      <x:c r="B205" s="29" t="str">
        <x:v>SCA-16</x:v>
      </x:c>
      <x:c r="C205" s="53" t="n">
        <x:v>57.319536488163585</x:v>
      </x:c>
      <x:c r="D205" s="29" t="str">
        <x:v>YES</x:v>
      </x:c>
      <x:c r="E205" s="53" t="n">
        <x:v>54.03677866927139</x:v>
      </x:c>
      <x:c r="F205" s="29" t="str">
        <x:v>YES</x:v>
      </x:c>
      <x:c r="G205" s="53" t="n">
        <x:v>14.665570622886483</x:v>
      </x:c>
      <x:c r="H205" s="29" t="str">
        <x:v>YES</x:v>
      </x:c>
      <x:c r="I205" s="53"/>
      <x:c r="J205" s="29" t="str">
        <x:v>NO</x:v>
      </x:c>
      <x:c r="K205" s="29" t="str">
        <x:v>Air</x:v>
      </x:c>
      <x:c r="L205" s="53" t="n">
        <x:v>14.665570622886483</x:v>
      </x:c>
      <x:c r="M205" s="41" t="n">
        <x:f>INDEX(Catchments!C:C,MATCH(A205,Catchments!A:A,0))</x:f>
        <x:v>5229370</x:v>
      </x:c>
      <x:c r="N205" s="41" t="n">
        <x:f>INDEX(Catchments!C:C,MATCH(B205,Catchments!A:A,0))</x:f>
        <x:v>10177969</x:v>
      </x:c>
    </x:row>
    <x:row r="206" ht="15" hidden="0" customHeight="1">
      <x:c r="A206" s="27" t="str">
        <x:v>SCA-07</x:v>
      </x:c>
      <x:c r="B206" s="27" t="str">
        <x:v>SCA-17</x:v>
      </x:c>
      <x:c r="C206" s="52" t="n">
        <x:v>59.72318018539557</x:v>
      </x:c>
      <x:c r="D206" s="27" t="str">
        <x:v>YES</x:v>
      </x:c>
      <x:c r="E206" s="52" t="n">
        <x:v>55.92535585995366</x:v>
      </x:c>
      <x:c r="F206" s="27" t="str">
        <x:v>YES</x:v>
      </x:c>
      <x:c r="G206" s="52" t="n">
        <x:v>15.181026000542172</x:v>
      </x:c>
      <x:c r="H206" s="27" t="str">
        <x:v>YES</x:v>
      </x:c>
      <x:c r="I206" s="52" t="n">
        <x:v>101.84524644115756</x:v>
      </x:c>
      <x:c r="J206" s="27" t="str">
        <x:v>NO</x:v>
      </x:c>
      <x:c r="K206" s="27" t="str">
        <x:v>Air</x:v>
      </x:c>
      <x:c r="L206" s="52" t="n">
        <x:v>15.181026000542172</x:v>
      </x:c>
      <x:c r="M206" s="40" t="n">
        <x:f>INDEX(Catchments!C:C,MATCH(A206,Catchments!A:A,0))</x:f>
        <x:v>5229370</x:v>
      </x:c>
      <x:c r="N206" s="40" t="n">
        <x:f>INDEX(Catchments!C:C,MATCH(B206,Catchments!A:A,0))</x:f>
        <x:v>12843509</x:v>
      </x:c>
    </x:row>
    <x:row r="207" ht="15" hidden="0" customHeight="1">
      <x:c r="A207" s="29" t="str">
        <x:v>SCA-07</x:v>
      </x:c>
      <x:c r="B207" s="29" t="str">
        <x:v>SCA-18</x:v>
      </x:c>
      <x:c r="C207" s="53" t="n">
        <x:v>63.48930102777006</x:v>
      </x:c>
      <x:c r="D207" s="29" t="str">
        <x:v>YES</x:v>
      </x:c>
      <x:c r="E207" s="53" t="n">
        <x:v>58.88445080753362</x:v>
      </x:c>
      <x:c r="F207" s="29" t="str">
        <x:v>YES</x:v>
      </x:c>
      <x:c r="G207" s="53" t="n">
        <x:v>15.179323544597509</x:v>
      </x:c>
      <x:c r="H207" s="29" t="str">
        <x:v>YES</x:v>
      </x:c>
      <x:c r="I207" s="53" t="n">
        <x:v>101.80572514244217</x:v>
      </x:c>
      <x:c r="J207" s="29" t="str">
        <x:v>NO</x:v>
      </x:c>
      <x:c r="K207" s="29" t="str">
        <x:v>Air</x:v>
      </x:c>
      <x:c r="L207" s="53" t="n">
        <x:v>15.179323544597509</x:v>
      </x:c>
      <x:c r="M207" s="41" t="n">
        <x:f>INDEX(Catchments!C:C,MATCH(A207,Catchments!A:A,0))</x:f>
        <x:v>5229370</x:v>
      </x:c>
      <x:c r="N207" s="41" t="n">
        <x:f>INDEX(Catchments!C:C,MATCH(B207,Catchments!A:A,0))</x:f>
        <x:v>11004680</x:v>
      </x:c>
    </x:row>
    <x:row r="208" ht="15" hidden="0" customHeight="1">
      <x:c r="A208" s="27" t="str">
        <x:v>SCA-07</x:v>
      </x:c>
      <x:c r="B208" s="27" t="str">
        <x:v>SCA-19</x:v>
      </x:c>
      <x:c r="C208" s="52" t="n">
        <x:v>66.80108510505478</x:v>
      </x:c>
      <x:c r="D208" s="27" t="str">
        <x:v>YES</x:v>
      </x:c>
      <x:c r="E208" s="52" t="n">
        <x:v>61.48656686825733</x:v>
      </x:c>
      <x:c r="F208" s="27" t="str">
        <x:v>YES</x:v>
      </x:c>
      <x:c r="G208" s="52" t="n">
        <x:v>15.358314741259827</x:v>
      </x:c>
      <x:c r="H208" s="27" t="str">
        <x:v>YES</x:v>
      </x:c>
      <x:c r="I208" s="52" t="n">
        <x:v>105.96087792210312</x:v>
      </x:c>
      <x:c r="J208" s="27" t="str">
        <x:v>NO</x:v>
      </x:c>
      <x:c r="K208" s="27" t="str">
        <x:v>Air</x:v>
      </x:c>
      <x:c r="L208" s="52" t="n">
        <x:v>15.358314741259827</x:v>
      </x:c>
      <x:c r="M208" s="40" t="n">
        <x:f>INDEX(Catchments!C:C,MATCH(A208,Catchments!A:A,0))</x:f>
        <x:v>5229370</x:v>
      </x:c>
      <x:c r="N208" s="40" t="n">
        <x:f>INDEX(Catchments!C:C,MATCH(B208,Catchments!A:A,0))</x:f>
        <x:v>6677653</x:v>
      </x:c>
    </x:row>
    <x:row r="209" ht="15" hidden="0" customHeight="1">
      <x:c r="A209" s="29" t="str">
        <x:v>SCA-07</x:v>
      </x:c>
      <x:c r="B209" s="29" t="str">
        <x:v>SCA-20</x:v>
      </x:c>
      <x:c r="C209" s="53" t="n">
        <x:v>65.67744649615494</x:v>
      </x:c>
      <x:c r="D209" s="29" t="str">
        <x:v>YES</x:v>
      </x:c>
      <x:c r="E209" s="53" t="n">
        <x:v>60.603707961264604</x:v>
      </x:c>
      <x:c r="F209" s="29" t="str">
        <x:v>YES</x:v>
      </x:c>
      <x:c r="G209" s="53" t="n">
        <x:v>15.557568650453739</x:v>
      </x:c>
      <x:c r="H209" s="29" t="str">
        <x:v>YES</x:v>
      </x:c>
      <x:c r="I209" s="53" t="n">
        <x:v>110.58641509981894</x:v>
      </x:c>
      <x:c r="J209" s="29" t="str">
        <x:v>NO</x:v>
      </x:c>
      <x:c r="K209" s="29" t="str">
        <x:v>Air</x:v>
      </x:c>
      <x:c r="L209" s="53" t="n">
        <x:v>15.557568650453739</x:v>
      </x:c>
      <x:c r="M209" s="41" t="n">
        <x:f>INDEX(Catchments!C:C,MATCH(A209,Catchments!A:A,0))</x:f>
        <x:v>5229370</x:v>
      </x:c>
      <x:c r="N209" s="41" t="n">
        <x:f>INDEX(Catchments!C:C,MATCH(B209,Catchments!A:A,0))</x:f>
        <x:v>8490774</x:v>
      </x:c>
    </x:row>
    <x:row r="210" ht="15" hidden="0" customHeight="1">
      <x:c r="A210" s="27" t="str">
        <x:v>SCA-07</x:v>
      </x:c>
      <x:c r="B210" s="27" t="str">
        <x:v>SCA-21</x:v>
      </x:c>
      <x:c r="C210" s="52" t="n">
        <x:v>75.15478368424033</x:v>
      </x:c>
      <x:c r="D210" s="27" t="str">
        <x:v>NO</x:v>
      </x:c>
      <x:c r="E210" s="52" t="n">
        <x:v>68.05018718047455</x:v>
      </x:c>
      <x:c r="F210" s="27" t="str">
        <x:v>YES</x:v>
      </x:c>
      <x:c r="G210" s="52" t="n">
        <x:v>15.786436718799507</x:v>
      </x:c>
      <x:c r="H210" s="27" t="str">
        <x:v>YES</x:v>
      </x:c>
      <x:c r="I210" s="52" t="n">
        <x:v>115.89942382927428</x:v>
      </x:c>
      <x:c r="J210" s="27" t="str">
        <x:v>NO</x:v>
      </x:c>
      <x:c r="K210" s="27" t="str">
        <x:v>Air</x:v>
      </x:c>
      <x:c r="L210" s="52" t="n">
        <x:v>15.786436718799507</x:v>
      </x:c>
      <x:c r="M210" s="40" t="n">
        <x:f>INDEX(Catchments!C:C,MATCH(A210,Catchments!A:A,0))</x:f>
        <x:v>5229370</x:v>
      </x:c>
      <x:c r="N210" s="40" t="n">
        <x:f>INDEX(Catchments!C:C,MATCH(B210,Catchments!A:A,0))</x:f>
        <x:v>19593580</x:v>
      </x:c>
    </x:row>
    <x:row r="211" ht="15" hidden="0" customHeight="1">
      <x:c r="A211" s="29" t="str">
        <x:v>SCA-07</x:v>
      </x:c>
      <x:c r="B211" s="29" t="str">
        <x:v>SCA-22</x:v>
      </x:c>
      <x:c r="C211" s="53" t="n">
        <x:v>76.93895112069713</x:v>
      </x:c>
      <x:c r="D211" s="29" t="str">
        <x:v>NO</x:v>
      </x:c>
      <x:c r="E211" s="53" t="n">
        <x:v>69.45203302340488</x:v>
      </x:c>
      <x:c r="F211" s="29" t="str">
        <x:v>YES</x:v>
      </x:c>
      <x:c r="G211" s="53" t="n">
        <x:v>16.102740306441152</x:v>
      </x:c>
      <x:c r="H211" s="29" t="str">
        <x:v>YES</x:v>
      </x:c>
      <x:c r="I211" s="53" t="n">
        <x:v>123.24218568524103</x:v>
      </x:c>
      <x:c r="J211" s="29" t="str">
        <x:v>NO</x:v>
      </x:c>
      <x:c r="K211" s="29" t="str">
        <x:v>Air</x:v>
      </x:c>
      <x:c r="L211" s="53" t="n">
        <x:v>16.102740306441152</x:v>
      </x:c>
      <x:c r="M211" s="41" t="n">
        <x:f>INDEX(Catchments!C:C,MATCH(A211,Catchments!A:A,0))</x:f>
        <x:v>5229370</x:v>
      </x:c>
      <x:c r="N211" s="41" t="n">
        <x:f>INDEX(Catchments!C:C,MATCH(B211,Catchments!A:A,0))</x:f>
        <x:v>14732006</x:v>
      </x:c>
    </x:row>
    <x:row r="212" ht="15" hidden="0" customHeight="1">
      <x:c r="A212" s="27" t="str">
        <x:v>SCA-07</x:v>
      </x:c>
      <x:c r="B212" s="27" t="str">
        <x:v>SCA-23</x:v>
      </x:c>
      <x:c r="C212" s="52" t="n">
        <x:v>76.21379183886759</x:v>
      </x:c>
      <x:c r="D212" s="27" t="str">
        <x:v>NO</x:v>
      </x:c>
      <x:c r="E212" s="52" t="n">
        <x:v>68.88226501625311</x:v>
      </x:c>
      <x:c r="F212" s="27" t="str">
        <x:v>YES</x:v>
      </x:c>
      <x:c r="G212" s="52" t="n">
        <x:v>16.322998714864152</x:v>
      </x:c>
      <x:c r="H212" s="27" t="str">
        <x:v>YES</x:v>
      </x:c>
      <x:c r="I212" s="52" t="n">
        <x:v>128.3553273093464</x:v>
      </x:c>
      <x:c r="J212" s="27" t="str">
        <x:v>NO</x:v>
      </x:c>
      <x:c r="K212" s="27" t="str">
        <x:v>Air</x:v>
      </x:c>
      <x:c r="L212" s="52" t="n">
        <x:v>16.322998714864152</x:v>
      </x:c>
      <x:c r="M212" s="40" t="n">
        <x:f>INDEX(Catchments!C:C,MATCH(A212,Catchments!A:A,0))</x:f>
        <x:v>5229370</x:v>
      </x:c>
      <x:c r="N212" s="40" t="n">
        <x:f>INDEX(Catchments!C:C,MATCH(B212,Catchments!A:A,0))</x:f>
        <x:v>20869310</x:v>
      </x:c>
    </x:row>
    <x:row r="213" ht="15" hidden="0" customHeight="1">
      <x:c r="A213" s="29" t="str">
        <x:v>SCA-07</x:v>
      </x:c>
      <x:c r="B213" s="29" t="str">
        <x:v>SCA-24</x:v>
      </x:c>
      <x:c r="C213" s="53" t="n">
        <x:v>82.37733010538646</x:v>
      </x:c>
      <x:c r="D213" s="29" t="str">
        <x:v>NO</x:v>
      </x:c>
      <x:c r="E213" s="53" t="n">
        <x:v>73.72504508280366</x:v>
      </x:c>
      <x:c r="F213" s="29" t="str">
        <x:v>NO</x:v>
      </x:c>
      <x:c r="G213" s="53" t="n">
        <x:v>16.317446391684296</x:v>
      </x:c>
      <x:c r="H213" s="29" t="str">
        <x:v>YES</x:v>
      </x:c>
      <x:c r="I213" s="53" t="n">
        <x:v>128.22643409267118</x:v>
      </x:c>
      <x:c r="J213" s="29" t="str">
        <x:v>NO</x:v>
      </x:c>
      <x:c r="K213" s="29" t="str">
        <x:v>Air</x:v>
      </x:c>
      <x:c r="L213" s="53" t="n">
        <x:v>16.317446391684296</x:v>
      </x:c>
      <x:c r="M213" s="41" t="n">
        <x:f>INDEX(Catchments!C:C,MATCH(A213,Catchments!A:A,0))</x:f>
        <x:v>5229370</x:v>
      </x:c>
      <x:c r="N213" s="41" t="n">
        <x:f>INDEX(Catchments!C:C,MATCH(B213,Catchments!A:A,0))</x:f>
        <x:v>11816161</x:v>
      </x:c>
    </x:row>
    <x:row r="214" ht="15" hidden="0" customHeight="1">
      <x:c r="A214" s="27" t="str">
        <x:v>SCA-07</x:v>
      </x:c>
      <x:c r="B214" s="27" t="str">
        <x:v>SCA-25</x:v>
      </x:c>
      <x:c r="C214" s="52" t="n">
        <x:v>85.2062314737665</x:v>
      </x:c>
      <x:c r="D214" s="27" t="str">
        <x:v>NO</x:v>
      </x:c>
      <x:c r="E214" s="52" t="n">
        <x:v>75.94775330081653</x:v>
      </x:c>
      <x:c r="F214" s="27" t="str">
        <x:v>NO</x:v>
      </x:c>
      <x:c r="G214" s="52" t="n">
        <x:v>16.824769707172305</x:v>
      </x:c>
      <x:c r="H214" s="27" t="str">
        <x:v>YES</x:v>
      </x:c>
      <x:c r="I214" s="52" t="n">
        <x:v>140.00358248792853</x:v>
      </x:c>
      <x:c r="J214" s="27" t="str">
        <x:v>NO</x:v>
      </x:c>
      <x:c r="K214" s="27" t="str">
        <x:v>Air</x:v>
      </x:c>
      <x:c r="L214" s="52" t="n">
        <x:v>16.824769707172305</x:v>
      </x:c>
      <x:c r="M214" s="40" t="n">
        <x:f>INDEX(Catchments!C:C,MATCH(A214,Catchments!A:A,0))</x:f>
        <x:v>5229370</x:v>
      </x:c>
      <x:c r="N214" s="40" t="n">
        <x:f>INDEX(Catchments!C:C,MATCH(B214,Catchments!A:A,0))</x:f>
        <x:v>6408394</x:v>
      </x:c>
    </x:row>
    <x:row r="215" ht="15" hidden="0" customHeight="1">
      <x:c r="A215" s="29" t="str">
        <x:v>SCA-07</x:v>
      </x:c>
      <x:c r="B215" s="29" t="str">
        <x:v>SCA-26</x:v>
      </x:c>
      <x:c r="C215" s="53" t="n">
        <x:v>91.17894885130872</x:v>
      </x:c>
      <x:c r="D215" s="29" t="str">
        <x:v>NO</x:v>
      </x:c>
      <x:c r="E215" s="53" t="n">
        <x:v>80.64060266888542</x:v>
      </x:c>
      <x:c r="F215" s="29" t="str">
        <x:v>NO</x:v>
      </x:c>
      <x:c r="G215" s="53" t="n">
        <x:v>17.01816129828286</x:v>
      </x:c>
      <x:c r="H215" s="29" t="str">
        <x:v>YES</x:v>
      </x:c>
      <x:c r="I215" s="53" t="n">
        <x:v>144.49303013870923</x:v>
      </x:c>
      <x:c r="J215" s="29" t="str">
        <x:v>NO</x:v>
      </x:c>
      <x:c r="K215" s="29" t="str">
        <x:v>Air</x:v>
      </x:c>
      <x:c r="L215" s="53" t="n">
        <x:v>17.01816129828286</x:v>
      </x:c>
      <x:c r="M215" s="41" t="n">
        <x:f>INDEX(Catchments!C:C,MATCH(A215,Catchments!A:A,0))</x:f>
        <x:v>5229370</x:v>
      </x:c>
      <x:c r="N215" s="41" t="n">
        <x:f>INDEX(Catchments!C:C,MATCH(B215,Catchments!A:A,0))</x:f>
        <x:v>10737083</x:v>
      </x:c>
    </x:row>
    <x:row r="216" ht="15" hidden="0" customHeight="1">
      <x:c r="A216" s="27" t="str">
        <x:v>SCA-07</x:v>
      </x:c>
      <x:c r="B216" s="27" t="str">
        <x:v>SCA-27</x:v>
      </x:c>
      <x:c r="C216" s="52" t="n">
        <x:v>96.26309910802777</x:v>
      </x:c>
      <x:c r="D216" s="27" t="str">
        <x:v>NO</x:v>
      </x:c>
      <x:c r="E216" s="52" t="n">
        <x:v>84.63529215630754</x:v>
      </x:c>
      <x:c r="F216" s="27" t="str">
        <x:v>NO</x:v>
      </x:c>
      <x:c r="G216" s="52" t="n">
        <x:v>17.337049127993776</x:v>
      </x:c>
      <x:c r="H216" s="27" t="str">
        <x:v>YES</x:v>
      </x:c>
      <x:c r="I216" s="52" t="n">
        <x:v>151.89578332842694</x:v>
      </x:c>
      <x:c r="J216" s="27" t="str">
        <x:v>NO</x:v>
      </x:c>
      <x:c r="K216" s="27" t="str">
        <x:v>Air</x:v>
      </x:c>
      <x:c r="L216" s="52" t="n">
        <x:v>17.337049127993776</x:v>
      </x:c>
      <x:c r="M216" s="40" t="n">
        <x:f>INDEX(Catchments!C:C,MATCH(A216,Catchments!A:A,0))</x:f>
        <x:v>5229370</x:v>
      </x:c>
      <x:c r="N216" s="40" t="n">
        <x:f>INDEX(Catchments!C:C,MATCH(B216,Catchments!A:A,0))</x:f>
        <x:v>7505606</x:v>
      </x:c>
    </x:row>
    <x:row r="217" ht="15" hidden="0" customHeight="1">
      <x:c r="A217" s="29" t="str">
        <x:v>SCA-07</x:v>
      </x:c>
      <x:c r="B217" s="29" t="str">
        <x:v>SCA-28</x:v>
      </x:c>
      <x:c r="C217" s="53" t="n">
        <x:v>88.65995067095781</x:v>
      </x:c>
      <x:c r="D217" s="29" t="str">
        <x:v>NO</x:v>
      </x:c>
      <x:c r="E217" s="53" t="n">
        <x:v>78.66138981289544</x:v>
      </x:c>
      <x:c r="F217" s="29" t="str">
        <x:v>NO</x:v>
      </x:c>
      <x:c r="G217" s="53" t="n">
        <x:v>16.877886268277457</x:v>
      </x:c>
      <x:c r="H217" s="29" t="str">
        <x:v>YES</x:v>
      </x:c>
      <x:c r="I217" s="53" t="n">
        <x:v>141.23664551358382</x:v>
      </x:c>
      <x:c r="J217" s="29" t="str">
        <x:v>NO</x:v>
      </x:c>
      <x:c r="K217" s="29" t="str">
        <x:v>Air</x:v>
      </x:c>
      <x:c r="L217" s="53" t="n">
        <x:v>16.877886268277457</x:v>
      </x:c>
      <x:c r="M217" s="41" t="n">
        <x:f>INDEX(Catchments!C:C,MATCH(A217,Catchments!A:A,0))</x:f>
        <x:v>5229370</x:v>
      </x:c>
      <x:c r="N217" s="41" t="n">
        <x:f>INDEX(Catchments!C:C,MATCH(B217,Catchments!A:A,0))</x:f>
        <x:v>21305157</x:v>
      </x:c>
    </x:row>
    <x:row r="218" ht="15" hidden="0" customHeight="1">
      <x:c r="A218" s="27" t="str">
        <x:v>SCA-07</x:v>
      </x:c>
      <x:c r="B218" s="27" t="str">
        <x:v>SCA-29</x:v>
      </x:c>
      <x:c r="C218" s="52" t="n">
        <x:v>87.7675181847412</x:v>
      </x:c>
      <x:c r="D218" s="27" t="str">
        <x:v>NO</x:v>
      </x:c>
      <x:c r="E218" s="52" t="n">
        <x:v>77.96019285943953</x:v>
      </x:c>
      <x:c r="F218" s="27" t="str">
        <x:v>NO</x:v>
      </x:c>
      <x:c r="G218" s="52" t="n">
        <x:v>17.007972130884454</x:v>
      </x:c>
      <x:c r="H218" s="27" t="str">
        <x:v>YES</x:v>
      </x:c>
      <x:c r="I218" s="52" t="n">
        <x:v>144.25649589553197</x:v>
      </x:c>
      <x:c r="J218" s="27" t="str">
        <x:v>NO</x:v>
      </x:c>
      <x:c r="K218" s="27" t="str">
        <x:v>Air</x:v>
      </x:c>
      <x:c r="L218" s="52" t="n">
        <x:v>17.007972130884454</x:v>
      </x:c>
      <x:c r="M218" s="40" t="n">
        <x:f>INDEX(Catchments!C:C,MATCH(A218,Catchments!A:A,0))</x:f>
        <x:v>5229370</x:v>
      </x:c>
      <x:c r="N218" s="40" t="n">
        <x:f>INDEX(Catchments!C:C,MATCH(B218,Catchments!A:A,0))</x:f>
        <x:v>19271685</x:v>
      </x:c>
    </x:row>
    <x:row r="219" ht="15" hidden="0" customHeight="1">
      <x:c r="A219" s="29" t="str">
        <x:v>SCA-07</x:v>
      </x:c>
      <x:c r="B219" s="29" t="str">
        <x:v>SCA-30</x:v>
      </x:c>
      <x:c r="C219" s="53" t="n">
        <x:v>97.08838186970763</x:v>
      </x:c>
      <x:c r="D219" s="29" t="str">
        <x:v>NO</x:v>
      </x:c>
      <x:c r="E219" s="53" t="n">
        <x:v>85.28372861191315</x:v>
      </x:c>
      <x:c r="F219" s="29" t="str">
        <x:v>NO</x:v>
      </x:c>
      <x:c r="G219" s="53" t="n">
        <x:v>17.493233455252966</x:v>
      </x:c>
      <x:c r="H219" s="29" t="str">
        <x:v>YES</x:v>
      </x:c>
      <x:c r="I219" s="53" t="n">
        <x:v>155.52149092551528</x:v>
      </x:c>
      <x:c r="J219" s="29" t="str">
        <x:v>NO</x:v>
      </x:c>
      <x:c r="K219" s="29" t="str">
        <x:v>Air</x:v>
      </x:c>
      <x:c r="L219" s="53" t="n">
        <x:v>17.493233455252966</x:v>
      </x:c>
      <x:c r="M219" s="41" t="n">
        <x:f>INDEX(Catchments!C:C,MATCH(A219,Catchments!A:A,0))</x:f>
        <x:v>5229370</x:v>
      </x:c>
      <x:c r="N219" s="41" t="n">
        <x:f>INDEX(Catchments!C:C,MATCH(B219,Catchments!A:A,0))</x:f>
        <x:v>41291847</x:v>
      </x:c>
    </x:row>
    <x:row r="220" ht="15" hidden="0" customHeight="1">
      <x:c r="A220" s="27" t="str">
        <x:v>SCA-07</x:v>
      </x:c>
      <x:c r="B220" s="27" t="str">
        <x:v>SCA-31</x:v>
      </x:c>
      <x:c r="C220" s="52" t="n">
        <x:v>104.23532996400775</x:v>
      </x:c>
      <x:c r="D220" s="27" t="str">
        <x:v>NO</x:v>
      </x:c>
      <x:c r="E220" s="52" t="n">
        <x:v>90.89918782886322</x:v>
      </x:c>
      <x:c r="F220" s="27" t="str">
        <x:v>NO</x:v>
      </x:c>
      <x:c r="G220" s="52" t="n">
        <x:v>17.855413665362303</x:v>
      </x:c>
      <x:c r="H220" s="27" t="str">
        <x:v>YES</x:v>
      </x:c>
      <x:c r="I220" s="52" t="n">
        <x:v>163.92924580305348</x:v>
      </x:c>
      <x:c r="J220" s="27" t="str">
        <x:v>NO</x:v>
      </x:c>
      <x:c r="K220" s="27" t="str">
        <x:v>Air</x:v>
      </x:c>
      <x:c r="L220" s="52" t="n">
        <x:v>17.855413665362303</x:v>
      </x:c>
      <x:c r="M220" s="40" t="n">
        <x:f>INDEX(Catchments!C:C,MATCH(A220,Catchments!A:A,0))</x:f>
        <x:v>5229370</x:v>
      </x:c>
      <x:c r="N220" s="40" t="n">
        <x:f>INDEX(Catchments!C:C,MATCH(B220,Catchments!A:A,0))</x:f>
        <x:v>14227128</x:v>
      </x:c>
    </x:row>
    <x:row r="221" ht="15" hidden="0" customHeight="1">
      <x:c r="A221" s="29" t="str">
        <x:v>SCA-07</x:v>
      </x:c>
      <x:c r="B221" s="29" t="str">
        <x:v>SCA-32</x:v>
      </x:c>
      <x:c r="C221" s="53"/>
      <x:c r="D221" s="29" t="str">
        <x:v>NO</x:v>
      </x:c>
      <x:c r="E221" s="53"/>
      <x:c r="F221" s="29" t="str">
        <x:v>NO</x:v>
      </x:c>
      <x:c r="G221" s="53" t="n">
        <x:v>19.950735669974286</x:v>
      </x:c>
      <x:c r="H221" s="29" t="str">
        <x:v>YES</x:v>
      </x:c>
      <x:c r="I221" s="53" t="n">
        <x:v>212.57064948154596</x:v>
      </x:c>
      <x:c r="J221" s="29" t="str">
        <x:v>NO</x:v>
      </x:c>
      <x:c r="K221" s="29" t="str">
        <x:v>Air</x:v>
      </x:c>
      <x:c r="L221" s="53" t="n">
        <x:v>19.950735669974286</x:v>
      </x:c>
      <x:c r="M221" s="41" t="n">
        <x:f>INDEX(Catchments!C:C,MATCH(A221,Catchments!A:A,0))</x:f>
        <x:v>5229370</x:v>
      </x:c>
      <x:c r="N221" s="41" t="n">
        <x:f>INDEX(Catchments!C:C,MATCH(B221,Catchments!A:A,0))</x:f>
        <x:v>3184835</x:v>
      </x:c>
    </x:row>
    <x:row r="222" ht="15" hidden="0" customHeight="1">
      <x:c r="A222" s="27" t="str">
        <x:v>SCA-08</x:v>
      </x:c>
      <x:c r="B222" s="27" t="str">
        <x:v>SCA-01</x:v>
      </x:c>
      <x:c r="C222" s="52"/>
      <x:c r="D222" s="27" t="str">
        <x:v>NO</x:v>
      </x:c>
      <x:c r="E222" s="52"/>
      <x:c r="F222" s="27" t="str">
        <x:v>NO</x:v>
      </x:c>
      <x:c r="G222" s="52" t="n">
        <x:v>19.22042308313616</x:v>
      </x:c>
      <x:c r="H222" s="27" t="str">
        <x:v>YES</x:v>
      </x:c>
      <x:c r="I222" s="52" t="n">
        <x:v>195.61696442994665</x:v>
      </x:c>
      <x:c r="J222" s="27" t="str">
        <x:v>NO</x:v>
      </x:c>
      <x:c r="K222" s="27" t="str">
        <x:v>Air</x:v>
      </x:c>
      <x:c r="L222" s="52" t="n">
        <x:v>19.22042308313616</x:v>
      </x:c>
      <x:c r="M222" s="40" t="n">
        <x:f>INDEX(Catchments!C:C,MATCH(A222,Catchments!A:A,0))</x:f>
        <x:v>2652387</x:v>
      </x:c>
      <x:c r="N222" s="40" t="n">
        <x:f>INDEX(Catchments!C:C,MATCH(B222,Catchments!A:A,0))</x:f>
        <x:v>1432820</x:v>
      </x:c>
    </x:row>
    <x:row r="223" ht="15" hidden="0" customHeight="1">
      <x:c r="A223" s="29" t="str">
        <x:v>SCA-08</x:v>
      </x:c>
      <x:c r="B223" s="29" t="str">
        <x:v>SCA-02</x:v>
      </x:c>
      <x:c r="C223" s="53"/>
      <x:c r="D223" s="29" t="str">
        <x:v>NO</x:v>
      </x:c>
      <x:c r="E223" s="53"/>
      <x:c r="F223" s="29" t="str">
        <x:v>NO</x:v>
      </x:c>
      <x:c r="G223" s="53" t="n">
        <x:v>16.233965254889196</x:v>
      </x:c>
      <x:c r="H223" s="29" t="str">
        <x:v>YES</x:v>
      </x:c>
      <x:c r="I223" s="53" t="n">
        <x:v>126.28847913135631</x:v>
      </x:c>
      <x:c r="J223" s="29" t="str">
        <x:v>NO</x:v>
      </x:c>
      <x:c r="K223" s="29" t="str">
        <x:v>Air</x:v>
      </x:c>
      <x:c r="L223" s="53" t="n">
        <x:v>16.233965254889196</x:v>
      </x:c>
      <x:c r="M223" s="41" t="n">
        <x:f>INDEX(Catchments!C:C,MATCH(A223,Catchments!A:A,0))</x:f>
        <x:v>2652387</x:v>
      </x:c>
      <x:c r="N223" s="41" t="n">
        <x:f>INDEX(Catchments!C:C,MATCH(B223,Catchments!A:A,0))</x:f>
        <x:v>737270</x:v>
      </x:c>
    </x:row>
    <x:row r="224" ht="15" hidden="0" customHeight="1">
      <x:c r="A224" s="27" t="str">
        <x:v>SCA-08</x:v>
      </x:c>
      <x:c r="B224" s="27" t="str">
        <x:v>SCA-03</x:v>
      </x:c>
      <x:c r="C224" s="52" t="n">
        <x:v>25.72099772859109</x:v>
      </x:c>
      <x:c r="D224" s="27" t="str">
        <x:v>YES</x:v>
      </x:c>
      <x:c r="E224" s="52" t="n">
        <x:v>29.209355358178712</x:v>
      </x:c>
      <x:c r="F224" s="27" t="str">
        <x:v>YES</x:v>
      </x:c>
      <x:c r="G224" s="52" t="n">
        <x:v>12.862414548591985</x:v>
      </x:c>
      <x:c r="H224" s="27" t="str">
        <x:v>YES</x:v>
      </x:c>
      <x:c r="I224" s="52" t="n">
        <x:v>48.02033773517111</x:v>
      </x:c>
      <x:c r="J224" s="27" t="str">
        <x:v>YES</x:v>
      </x:c>
      <x:c r="K224" s="27" t="str">
        <x:v>Air</x:v>
      </x:c>
      <x:c r="L224" s="52" t="n">
        <x:v>12.862414548591985</x:v>
      </x:c>
      <x:c r="M224" s="40" t="n">
        <x:f>INDEX(Catchments!C:C,MATCH(A224,Catchments!A:A,0))</x:f>
        <x:v>2652387</x:v>
      </x:c>
      <x:c r="N224" s="40" t="n">
        <x:f>INDEX(Catchments!C:C,MATCH(B224,Catchments!A:A,0))</x:f>
        <x:v>11968308</x:v>
      </x:c>
    </x:row>
    <x:row r="225" ht="15" hidden="0" customHeight="1">
      <x:c r="A225" s="29" t="str">
        <x:v>SCA-08</x:v>
      </x:c>
      <x:c r="B225" s="29" t="str">
        <x:v>SCA-04</x:v>
      </x:c>
      <x:c r="C225" s="53" t="n">
        <x:v>33.18479407838696</x:v>
      </x:c>
      <x:c r="D225" s="29" t="str">
        <x:v>YES</x:v>
      </x:c>
      <x:c r="E225" s="53" t="n">
        <x:v>35.07376677587547</x:v>
      </x:c>
      <x:c r="F225" s="29" t="str">
        <x:v>YES</x:v>
      </x:c>
      <x:c r="G225" s="53" t="n">
        <x:v>13.411590199747536</x:v>
      </x:c>
      <x:c r="H225" s="29" t="str">
        <x:v>YES</x:v>
      </x:c>
      <x:c r="I225" s="53" t="n">
        <x:v>60.76905820842493</x:v>
      </x:c>
      <x:c r="J225" s="29" t="str">
        <x:v>YES</x:v>
      </x:c>
      <x:c r="K225" s="29" t="str">
        <x:v>Air</x:v>
      </x:c>
      <x:c r="L225" s="53" t="n">
        <x:v>13.411590199747536</x:v>
      </x:c>
      <x:c r="M225" s="41" t="n">
        <x:f>INDEX(Catchments!C:C,MATCH(A225,Catchments!A:A,0))</x:f>
        <x:v>2652387</x:v>
      </x:c>
      <x:c r="N225" s="41" t="n">
        <x:f>INDEX(Catchments!C:C,MATCH(B225,Catchments!A:A,0))</x:f>
        <x:v>16200470</x:v>
      </x:c>
    </x:row>
    <x:row r="226" ht="15" hidden="0" customHeight="1">
      <x:c r="A226" s="27" t="str">
        <x:v>SCA-08</x:v>
      </x:c>
      <x:c r="B226" s="27" t="str">
        <x:v>SCA-05</x:v>
      </x:c>
      <x:c r="C226" s="52" t="n">
        <x:v>41.5378567196347</x:v>
      </x:c>
      <x:c r="D226" s="27" t="str">
        <x:v>YES</x:v>
      </x:c>
      <x:c r="E226" s="52" t="n">
        <x:v>41.636887422570126</x:v>
      </x:c>
      <x:c r="F226" s="27" t="str">
        <x:v>YES</x:v>
      </x:c>
      <x:c r="G226" s="52" t="n">
        <x:v>13.841186873993465</x:v>
      </x:c>
      <x:c r="H226" s="27" t="str">
        <x:v>YES</x:v>
      </x:c>
      <x:c r="I226" s="52" t="n">
        <x:v>70.74183814627683</x:v>
      </x:c>
      <x:c r="J226" s="27" t="str">
        <x:v>YES</x:v>
      </x:c>
      <x:c r="K226" s="27" t="str">
        <x:v>Air</x:v>
      </x:c>
      <x:c r="L226" s="52" t="n">
        <x:v>13.841186873993465</x:v>
      </x:c>
      <x:c r="M226" s="40" t="n">
        <x:f>INDEX(Catchments!C:C,MATCH(A226,Catchments!A:A,0))</x:f>
        <x:v>2652387</x:v>
      </x:c>
      <x:c r="N226" s="40" t="n">
        <x:f>INDEX(Catchments!C:C,MATCH(B226,Catchments!A:A,0))</x:f>
        <x:v>15966265</x:v>
      </x:c>
    </x:row>
    <x:row r="227" ht="15" hidden="0" customHeight="1">
      <x:c r="A227" s="29" t="str">
        <x:v>SCA-08</x:v>
      </x:c>
      <x:c r="B227" s="29" t="str">
        <x:v>SCA-06</x:v>
      </x:c>
      <x:c r="C227" s="53" t="n">
        <x:v>40.85391216421295</x:v>
      </x:c>
      <x:c r="D227" s="29" t="str">
        <x:v>YES</x:v>
      </x:c>
      <x:c r="E227" s="53" t="n">
        <x:v>41.09950241473875</x:v>
      </x:c>
      <x:c r="F227" s="29" t="str">
        <x:v>YES</x:v>
      </x:c>
      <x:c r="G227" s="53" t="n">
        <x:v>13.959602339323473</x:v>
      </x:c>
      <x:c r="H227" s="29" t="str">
        <x:v>YES</x:v>
      </x:c>
      <x:c r="I227" s="53" t="n">
        <x:v>73.49076859143776</x:v>
      </x:c>
      <x:c r="J227" s="29" t="str">
        <x:v>NO</x:v>
      </x:c>
      <x:c r="K227" s="29" t="str">
        <x:v>Air</x:v>
      </x:c>
      <x:c r="L227" s="53" t="n">
        <x:v>13.959602339323473</x:v>
      </x:c>
      <x:c r="M227" s="41" t="n">
        <x:f>INDEX(Catchments!C:C,MATCH(A227,Catchments!A:A,0))</x:f>
        <x:v>2652387</x:v>
      </x:c>
      <x:c r="N227" s="41" t="n">
        <x:f>INDEX(Catchments!C:C,MATCH(B227,Catchments!A:A,0))</x:f>
        <x:v>6008575</x:v>
      </x:c>
    </x:row>
    <x:row r="228" ht="15" hidden="0" customHeight="1">
      <x:c r="A228" s="27" t="str">
        <x:v>SCA-08</x:v>
      </x:c>
      <x:c r="B228" s="27" t="str">
        <x:v>SCA-07</x:v>
      </x:c>
      <x:c r="C228" s="52" t="n">
        <x:v>34.988745908430836</x:v>
      </x:c>
      <x:c r="D228" s="27" t="str">
        <x:v>YES</x:v>
      </x:c>
      <x:c r="E228" s="52" t="n">
        <x:v>36.491157499481375</x:v>
      </x:c>
      <x:c r="F228" s="27" t="str">
        <x:v>YES</x:v>
      </x:c>
      <x:c r="G228" s="52" t="n">
        <x:v>13.544322441423006</x:v>
      </x:c>
      <x:c r="H228" s="27" t="str">
        <x:v>YES</x:v>
      </x:c>
      <x:c r="I228" s="52" t="n">
        <x:v>63.8503423901769</x:v>
      </x:c>
      <x:c r="J228" s="27" t="str">
        <x:v>YES</x:v>
      </x:c>
      <x:c r="K228" s="27" t="str">
        <x:v>Air</x:v>
      </x:c>
      <x:c r="L228" s="52" t="n">
        <x:v>13.544322441423006</x:v>
      </x:c>
      <x:c r="M228" s="40" t="n">
        <x:f>INDEX(Catchments!C:C,MATCH(A228,Catchments!A:A,0))</x:f>
        <x:v>2652387</x:v>
      </x:c>
      <x:c r="N228" s="40" t="n">
        <x:f>INDEX(Catchments!C:C,MATCH(B228,Catchments!A:A,0))</x:f>
        <x:v>5229370</x:v>
      </x:c>
    </x:row>
    <x:row r="229" ht="15" hidden="0" customHeight="1">
      <x:c r="A229" s="29" t="str">
        <x:v>SCA-08</x:v>
      </x:c>
      <x:c r="B229" s="29" t="str">
        <x:v>SCA-09</x:v>
      </x:c>
      <x:c r="C229" s="53" t="n">
        <x:v>42.84267747406385</x:v>
      </x:c>
      <x:c r="D229" s="29" t="str">
        <x:v>YES</x:v>
      </x:c>
      <x:c r="E229" s="53" t="n">
        <x:v>42.66210372962159</x:v>
      </x:c>
      <x:c r="F229" s="29" t="str">
        <x:v>YES</x:v>
      </x:c>
      <x:c r="G229" s="53" t="n">
        <x:v>14.001708885204938</x:v>
      </x:c>
      <x:c r="H229" s="29" t="str">
        <x:v>YES</x:v>
      </x:c>
      <x:c r="I229" s="53"/>
      <x:c r="J229" s="29" t="str">
        <x:v>NO</x:v>
      </x:c>
      <x:c r="K229" s="29" t="str">
        <x:v>Air</x:v>
      </x:c>
      <x:c r="L229" s="53" t="n">
        <x:v>14.001708885204938</x:v>
      </x:c>
      <x:c r="M229" s="41" t="n">
        <x:f>INDEX(Catchments!C:C,MATCH(A229,Catchments!A:A,0))</x:f>
        <x:v>2652387</x:v>
      </x:c>
      <x:c r="N229" s="41" t="n">
        <x:f>INDEX(Catchments!C:C,MATCH(B229,Catchments!A:A,0))</x:f>
        <x:v>7395716</x:v>
      </x:c>
    </x:row>
    <x:row r="230" ht="15" hidden="0" customHeight="1">
      <x:c r="A230" s="27" t="str">
        <x:v>SCA-08</x:v>
      </x:c>
      <x:c r="B230" s="27" t="str">
        <x:v>SCA-10</x:v>
      </x:c>
      <x:c r="C230" s="52" t="n">
        <x:v>24.118722120435205</x:v>
      </x:c>
      <x:c r="D230" s="27" t="str">
        <x:v>YES</x:v>
      </x:c>
      <x:c r="E230" s="52" t="n">
        <x:v>27.95042452319909</x:v>
      </x:c>
      <x:c r="F230" s="27" t="str">
        <x:v>YES</x:v>
      </x:c>
      <x:c r="G230" s="52" t="n">
        <x:v>12.74452136003202</x:v>
      </x:c>
      <x:c r="H230" s="27" t="str">
        <x:v>YES</x:v>
      </x:c>
      <x:c r="I230" s="52"/>
      <x:c r="J230" s="27" t="str">
        <x:v>NO</x:v>
      </x:c>
      <x:c r="K230" s="27" t="str">
        <x:v>Air</x:v>
      </x:c>
      <x:c r="L230" s="52" t="n">
        <x:v>12.74452136003202</x:v>
      </x:c>
      <x:c r="M230" s="40" t="n">
        <x:f>INDEX(Catchments!C:C,MATCH(A230,Catchments!A:A,0))</x:f>
        <x:v>2652387</x:v>
      </x:c>
      <x:c r="N230" s="40" t="n">
        <x:f>INDEX(Catchments!C:C,MATCH(B230,Catchments!A:A,0))</x:f>
        <x:v>4127033</x:v>
      </x:c>
    </x:row>
    <x:row r="231" ht="15" hidden="0" customHeight="1">
      <x:c r="A231" s="29" t="str">
        <x:v>SCA-08</x:v>
      </x:c>
      <x:c r="B231" s="29" t="str">
        <x:v>SCA-11</x:v>
      </x:c>
      <x:c r="C231" s="53" t="n">
        <x:v>49.85406510331611</x:v>
      </x:c>
      <x:c r="D231" s="29" t="str">
        <x:v>YES</x:v>
      </x:c>
      <x:c r="E231" s="53" t="n">
        <x:v>48.171051152605514</x:v>
      </x:c>
      <x:c r="F231" s="29" t="str">
        <x:v>YES</x:v>
      </x:c>
      <x:c r="G231" s="53" t="n">
        <x:v>14.361294480243775</x:v>
      </x:c>
      <x:c r="H231" s="29" t="str">
        <x:v>YES</x:v>
      </x:c>
      <x:c r="I231" s="53" t="n">
        <x:v>82.81576471994478</x:v>
      </x:c>
      <x:c r="J231" s="29" t="str">
        <x:v>NO</x:v>
      </x:c>
      <x:c r="K231" s="29" t="str">
        <x:v>Air</x:v>
      </x:c>
      <x:c r="L231" s="53" t="n">
        <x:v>14.361294480243775</x:v>
      </x:c>
      <x:c r="M231" s="41" t="n">
        <x:f>INDEX(Catchments!C:C,MATCH(A231,Catchments!A:A,0))</x:f>
        <x:v>2652387</x:v>
      </x:c>
      <x:c r="N231" s="41" t="n">
        <x:f>INDEX(Catchments!C:C,MATCH(B231,Catchments!A:A,0))</x:f>
        <x:v>3517787</x:v>
      </x:c>
    </x:row>
    <x:row r="232" ht="15" hidden="0" customHeight="1">
      <x:c r="A232" s="27" t="str">
        <x:v>SCA-08</x:v>
      </x:c>
      <x:c r="B232" s="27" t="str">
        <x:v>SCA-12</x:v>
      </x:c>
      <x:c r="C232" s="52" t="n">
        <x:v>35.30607990295231</x:v>
      </x:c>
      <x:c r="D232" s="27" t="str">
        <x:v>YES</x:v>
      </x:c>
      <x:c r="E232" s="52" t="n">
        <x:v>36.74049135231968</x:v>
      </x:c>
      <x:c r="F232" s="27" t="str">
        <x:v>YES</x:v>
      </x:c>
      <x:c r="G232" s="52" t="n">
        <x:v>13.567671430986458</x:v>
      </x:c>
      <x:c r="H232" s="27" t="str">
        <x:v>YES</x:v>
      </x:c>
      <x:c r="I232" s="52"/>
      <x:c r="J232" s="27" t="str">
        <x:v>NO</x:v>
      </x:c>
      <x:c r="K232" s="27" t="str">
        <x:v>Air</x:v>
      </x:c>
      <x:c r="L232" s="52" t="n">
        <x:v>13.567671430986458</x:v>
      </x:c>
      <x:c r="M232" s="40" t="n">
        <x:f>INDEX(Catchments!C:C,MATCH(A232,Catchments!A:A,0))</x:f>
        <x:v>2652387</x:v>
      </x:c>
      <x:c r="N232" s="40" t="n">
        <x:f>INDEX(Catchments!C:C,MATCH(B232,Catchments!A:A,0))</x:f>
        <x:v>7465186</x:v>
      </x:c>
    </x:row>
    <x:row r="233" ht="15" hidden="0" customHeight="1">
      <x:c r="A233" s="29" t="str">
        <x:v>SCA-08</x:v>
      </x:c>
      <x:c r="B233" s="29" t="str">
        <x:v>SCA-13</x:v>
      </x:c>
      <x:c r="C233" s="53" t="n">
        <x:v>64.3693891017798</x:v>
      </x:c>
      <x:c r="D233" s="29" t="str">
        <x:v>YES</x:v>
      </x:c>
      <x:c r="E233" s="53" t="n">
        <x:v>59.575948579969854</x:v>
      </x:c>
      <x:c r="F233" s="29" t="str">
        <x:v>YES</x:v>
      </x:c>
      <x:c r="G233" s="53" t="n">
        <x:v>15.395830956556633</x:v>
      </x:c>
      <x:c r="H233" s="29" t="str">
        <x:v>YES</x:v>
      </x:c>
      <x:c r="I233" s="53" t="n">
        <x:v>106.83179006292183</x:v>
      </x:c>
      <x:c r="J233" s="29" t="str">
        <x:v>NO</x:v>
      </x:c>
      <x:c r="K233" s="29" t="str">
        <x:v>Air</x:v>
      </x:c>
      <x:c r="L233" s="53" t="n">
        <x:v>15.395830956556633</x:v>
      </x:c>
      <x:c r="M233" s="41" t="n">
        <x:f>INDEX(Catchments!C:C,MATCH(A233,Catchments!A:A,0))</x:f>
        <x:v>2652387</x:v>
      </x:c>
      <x:c r="N233" s="41" t="n">
        <x:f>INDEX(Catchments!C:C,MATCH(B233,Catchments!A:A,0))</x:f>
        <x:v>6759014</x:v>
      </x:c>
    </x:row>
    <x:row r="234" ht="15" hidden="0" customHeight="1">
      <x:c r="A234" s="27" t="str">
        <x:v>SCA-08</x:v>
      </x:c>
      <x:c r="B234" s="27" t="str">
        <x:v>SCA-14</x:v>
      </x:c>
      <x:c r="C234" s="52" t="n">
        <x:v>71.70693116954547</x:v>
      </x:c>
      <x:c r="D234" s="27" t="str">
        <x:v>YES</x:v>
      </x:c>
      <x:c r="E234" s="52" t="n">
        <x:v>65.34116020464288</x:v>
      </x:c>
      <x:c r="F234" s="27" t="str">
        <x:v>YES</x:v>
      </x:c>
      <x:c r="G234" s="52" t="n">
        <x:v>15.845104637454986</x:v>
      </x:c>
      <x:c r="H234" s="27" t="str">
        <x:v>YES</x:v>
      </x:c>
      <x:c r="I234" s="52" t="n">
        <x:v>117.26135765520503</x:v>
      </x:c>
      <x:c r="J234" s="27" t="str">
        <x:v>NO</x:v>
      </x:c>
      <x:c r="K234" s="27" t="str">
        <x:v>Air</x:v>
      </x:c>
      <x:c r="L234" s="52" t="n">
        <x:v>15.845104637454986</x:v>
      </x:c>
      <x:c r="M234" s="40" t="n">
        <x:f>INDEX(Catchments!C:C,MATCH(A234,Catchments!A:A,0))</x:f>
        <x:v>2652387</x:v>
      </x:c>
      <x:c r="N234" s="40" t="n">
        <x:f>INDEX(Catchments!C:C,MATCH(B234,Catchments!A:A,0))</x:f>
        <x:v>2179728</x:v>
      </x:c>
    </x:row>
    <x:row r="235" ht="15" hidden="0" customHeight="1">
      <x:c r="A235" s="29" t="str">
        <x:v>SCA-08</x:v>
      </x:c>
      <x:c r="B235" s="29" t="str">
        <x:v>SCA-15</x:v>
      </x:c>
      <x:c r="C235" s="53" t="n">
        <x:v>56.681523622704574</x:v>
      </x:c>
      <x:c r="D235" s="29" t="str">
        <x:v>YES</x:v>
      </x:c>
      <x:c r="E235" s="53" t="n">
        <x:v>53.53548284641074</x:v>
      </x:c>
      <x:c r="F235" s="29" t="str">
        <x:v>YES</x:v>
      </x:c>
      <x:c r="G235" s="53" t="n">
        <x:v>15.138986455445458</x:v>
      </x:c>
      <x:c r="H235" s="29" t="str">
        <x:v>YES</x:v>
      </x:c>
      <x:c r="I235" s="53" t="n">
        <x:v>100.86932842998382</x:v>
      </x:c>
      <x:c r="J235" s="29" t="str">
        <x:v>NO</x:v>
      </x:c>
      <x:c r="K235" s="29" t="str">
        <x:v>Air</x:v>
      </x:c>
      <x:c r="L235" s="53" t="n">
        <x:v>15.138986455445458</x:v>
      </x:c>
      <x:c r="M235" s="41" t="n">
        <x:f>INDEX(Catchments!C:C,MATCH(A235,Catchments!A:A,0))</x:f>
        <x:v>2652387</x:v>
      </x:c>
      <x:c r="N235" s="41" t="n">
        <x:f>INDEX(Catchments!C:C,MATCH(B235,Catchments!A:A,0))</x:f>
        <x:v>13192386</x:v>
      </x:c>
    </x:row>
    <x:row r="236" ht="15" hidden="0" customHeight="1">
      <x:c r="A236" s="27" t="str">
        <x:v>SCA-08</x:v>
      </x:c>
      <x:c r="B236" s="27" t="str">
        <x:v>SCA-16</x:v>
      </x:c>
      <x:c r="C236" s="52" t="n">
        <x:v>51.526393393735965</x:v>
      </x:c>
      <x:c r="D236" s="27" t="str">
        <x:v>YES</x:v>
      </x:c>
      <x:c r="E236" s="52" t="n">
        <x:v>49.48502338079254</x:v>
      </x:c>
      <x:c r="F236" s="27" t="str">
        <x:v>YES</x:v>
      </x:c>
      <x:c r="G236" s="52" t="n">
        <x:v>14.669408034798895</x:v>
      </x:c>
      <x:c r="H236" s="27" t="str">
        <x:v>YES</x:v>
      </x:c>
      <x:c r="I236" s="52"/>
      <x:c r="J236" s="27" t="str">
        <x:v>NO</x:v>
      </x:c>
      <x:c r="K236" s="27" t="str">
        <x:v>Air</x:v>
      </x:c>
      <x:c r="L236" s="52" t="n">
        <x:v>14.669408034798895</x:v>
      </x:c>
      <x:c r="M236" s="40" t="n">
        <x:f>INDEX(Catchments!C:C,MATCH(A236,Catchments!A:A,0))</x:f>
        <x:v>2652387</x:v>
      </x:c>
      <x:c r="N236" s="40" t="n">
        <x:f>INDEX(Catchments!C:C,MATCH(B236,Catchments!A:A,0))</x:f>
        <x:v>10177969</x:v>
      </x:c>
    </x:row>
    <x:row r="237" ht="15" hidden="0" customHeight="1">
      <x:c r="A237" s="29" t="str">
        <x:v>SCA-08</x:v>
      </x:c>
      <x:c r="B237" s="29" t="str">
        <x:v>SCA-17</x:v>
      </x:c>
      <x:c r="C237" s="53" t="n">
        <x:v>65.20538531039495</x:v>
      </x:c>
      <x:c r="D237" s="29" t="str">
        <x:v>YES</x:v>
      </x:c>
      <x:c r="E237" s="53" t="n">
        <x:v>60.23280274388175</x:v>
      </x:c>
      <x:c r="F237" s="29" t="str">
        <x:v>YES</x:v>
      </x:c>
      <x:c r="G237" s="53" t="n">
        <x:v>15.758808905967381</x:v>
      </x:c>
      <x:c r="H237" s="29" t="str">
        <x:v>YES</x:v>
      </x:c>
      <x:c r="I237" s="53" t="n">
        <x:v>115.25806388852847</x:v>
      </x:c>
      <x:c r="J237" s="29" t="str">
        <x:v>NO</x:v>
      </x:c>
      <x:c r="K237" s="29" t="str">
        <x:v>Air</x:v>
      </x:c>
      <x:c r="L237" s="53" t="n">
        <x:v>15.758808905967381</x:v>
      </x:c>
      <x:c r="M237" s="41" t="n">
        <x:f>INDEX(Catchments!C:C,MATCH(A237,Catchments!A:A,0))</x:f>
        <x:v>2652387</x:v>
      </x:c>
      <x:c r="N237" s="41" t="n">
        <x:f>INDEX(Catchments!C:C,MATCH(B237,Catchments!A:A,0))</x:f>
        <x:v>12843509</x:v>
      </x:c>
    </x:row>
    <x:row r="238" ht="15" hidden="0" customHeight="1">
      <x:c r="A238" s="27" t="str">
        <x:v>SCA-08</x:v>
      </x:c>
      <x:c r="B238" s="27" t="str">
        <x:v>SCA-18</x:v>
      </x:c>
      <x:c r="C238" s="52" t="n">
        <x:v>48.61695577083522</x:v>
      </x:c>
      <x:c r="D238" s="27" t="str">
        <x:v>YES</x:v>
      </x:c>
      <x:c r="E238" s="52" t="n">
        <x:v>47.19903667708482</x:v>
      </x:c>
      <x:c r="F238" s="27" t="str">
        <x:v>YES</x:v>
      </x:c>
      <x:c r="G238" s="52" t="n">
        <x:v>14.547066979793897</x:v>
      </x:c>
      <x:c r="H238" s="27" t="str">
        <x:v>YES</x:v>
      </x:c>
      <x:c r="I238" s="52" t="n">
        <x:v>87.12834060235829</x:v>
      </x:c>
      <x:c r="J238" s="27" t="str">
        <x:v>NO</x:v>
      </x:c>
      <x:c r="K238" s="27" t="str">
        <x:v>Air</x:v>
      </x:c>
      <x:c r="L238" s="52" t="n">
        <x:v>14.547066979793897</x:v>
      </x:c>
      <x:c r="M238" s="40" t="n">
        <x:f>INDEX(Catchments!C:C,MATCH(A238,Catchments!A:A,0))</x:f>
        <x:v>2652387</x:v>
      </x:c>
      <x:c r="N238" s="40" t="n">
        <x:f>INDEX(Catchments!C:C,MATCH(B238,Catchments!A:A,0))</x:f>
        <x:v>11004680</x:v>
      </x:c>
    </x:row>
    <x:row r="239" ht="15" hidden="0" customHeight="1">
      <x:c r="A239" s="29" t="str">
        <x:v>SCA-08</x:v>
      </x:c>
      <x:c r="B239" s="29" t="str">
        <x:v>SCA-19</x:v>
      </x:c>
      <x:c r="C239" s="53" t="n">
        <x:v>61.00794201062717</x:v>
      </x:c>
      <x:c r="D239" s="29" t="str">
        <x:v>YES</x:v>
      </x:c>
      <x:c r="E239" s="53" t="n">
        <x:v>56.93481157977849</x:v>
      </x:c>
      <x:c r="F239" s="29" t="str">
        <x:v>YES</x:v>
      </x:c>
      <x:c r="G239" s="53" t="n">
        <x:v>15.22337403694302</x:v>
      </x:c>
      <x:c r="H239" s="29" t="str">
        <x:v>YES</x:v>
      </x:c>
      <x:c r="I239" s="53" t="n">
        <x:v>102.82832585760583</x:v>
      </x:c>
      <x:c r="J239" s="29" t="str">
        <x:v>NO</x:v>
      </x:c>
      <x:c r="K239" s="29" t="str">
        <x:v>Air</x:v>
      </x:c>
      <x:c r="L239" s="53" t="n">
        <x:v>15.22337403694302</x:v>
      </x:c>
      <x:c r="M239" s="41" t="n">
        <x:f>INDEX(Catchments!C:C,MATCH(A239,Catchments!A:A,0))</x:f>
        <x:v>2652387</x:v>
      </x:c>
      <x:c r="N239" s="41" t="n">
        <x:f>INDEX(Catchments!C:C,MATCH(B239,Catchments!A:A,0))</x:f>
        <x:v>6677653</x:v>
      </x:c>
    </x:row>
    <x:row r="240" ht="15" hidden="0" customHeight="1">
      <x:c r="A240" s="27" t="str">
        <x:v>SCA-08</x:v>
      </x:c>
      <x:c r="B240" s="27" t="str">
        <x:v>SCA-20</x:v>
      </x:c>
      <x:c r="C240" s="52" t="n">
        <x:v>66.23776954920436</x:v>
      </x:c>
      <x:c r="D240" s="27" t="str">
        <x:v>YES</x:v>
      </x:c>
      <x:c r="E240" s="52" t="n">
        <x:v>61.04396178866057</x:v>
      </x:c>
      <x:c r="F240" s="27" t="str">
        <x:v>YES</x:v>
      </x:c>
      <x:c r="G240" s="52" t="n">
        <x:v>15.747003779934568</x:v>
      </x:c>
      <x:c r="H240" s="27" t="str">
        <x:v>YES</x:v>
      </x:c>
      <x:c r="I240" s="52" t="n">
        <x:v>114.98401631990963</x:v>
      </x:c>
      <x:c r="J240" s="27" t="str">
        <x:v>NO</x:v>
      </x:c>
      <x:c r="K240" s="27" t="str">
        <x:v>Air</x:v>
      </x:c>
      <x:c r="L240" s="52" t="n">
        <x:v>15.747003779934568</x:v>
      </x:c>
      <x:c r="M240" s="40" t="n">
        <x:f>INDEX(Catchments!C:C,MATCH(A240,Catchments!A:A,0))</x:f>
        <x:v>2652387</x:v>
      </x:c>
      <x:c r="N240" s="40" t="n">
        <x:f>INDEX(Catchments!C:C,MATCH(B240,Catchments!A:A,0))</x:f>
        <x:v>8490774</x:v>
      </x:c>
    </x:row>
    <x:row r="241" ht="15" hidden="0" customHeight="1">
      <x:c r="A241" s="29" t="str">
        <x:v>SCA-08</x:v>
      </x:c>
      <x:c r="B241" s="29" t="str">
        <x:v>SCA-21</x:v>
      </x:c>
      <x:c r="C241" s="53" t="n">
        <x:v>60.28243842730549</x:v>
      </x:c>
      <x:c r="D241" s="29" t="str">
        <x:v>YES</x:v>
      </x:c>
      <x:c r="E241" s="53" t="n">
        <x:v>56.36477305002575</x:v>
      </x:c>
      <x:c r="F241" s="29" t="str">
        <x:v>YES</x:v>
      </x:c>
      <x:c r="G241" s="53" t="n">
        <x:v>15.36236469282563</x:v>
      </x:c>
      <x:c r="H241" s="29" t="str">
        <x:v>YES</x:v>
      </x:c>
      <x:c r="I241" s="53" t="n">
        <x:v>106.0548946548807</x:v>
      </x:c>
      <x:c r="J241" s="29" t="str">
        <x:v>NO</x:v>
      </x:c>
      <x:c r="K241" s="29" t="str">
        <x:v>Air</x:v>
      </x:c>
      <x:c r="L241" s="53" t="n">
        <x:v>15.36236469282563</x:v>
      </x:c>
      <x:c r="M241" s="41" t="n">
        <x:f>INDEX(Catchments!C:C,MATCH(A241,Catchments!A:A,0))</x:f>
        <x:v>2652387</x:v>
      </x:c>
      <x:c r="N241" s="41" t="n">
        <x:f>INDEX(Catchments!C:C,MATCH(B241,Catchments!A:A,0))</x:f>
        <x:v>19593580</x:v>
      </x:c>
    </x:row>
    <x:row r="242" ht="15" hidden="0" customHeight="1">
      <x:c r="A242" s="27" t="str">
        <x:v>SCA-08</x:v>
      </x:c>
      <x:c r="B242" s="27" t="str">
        <x:v>SCA-22</x:v>
      </x:c>
      <x:c r="C242" s="52" t="n">
        <x:v>70.27025183169786</x:v>
      </x:c>
      <x:c r="D242" s="27" t="str">
        <x:v>YES</x:v>
      </x:c>
      <x:c r="E242" s="52" t="n">
        <x:v>64.21234072490547</x:v>
      </x:c>
      <x:c r="F242" s="27" t="str">
        <x:v>YES</x:v>
      </x:c>
      <x:c r="G242" s="52" t="n">
        <x:v>15.918195081404045</x:v>
      </x:c>
      <x:c r="H242" s="27" t="str">
        <x:v>YES</x:v>
      </x:c>
      <x:c r="I242" s="52" t="n">
        <x:v>118.95810010402248</x:v>
      </x:c>
      <x:c r="J242" s="27" t="str">
        <x:v>NO</x:v>
      </x:c>
      <x:c r="K242" s="27" t="str">
        <x:v>Air</x:v>
      </x:c>
      <x:c r="L242" s="52" t="n">
        <x:v>15.918195081404045</x:v>
      </x:c>
      <x:c r="M242" s="40" t="n">
        <x:f>INDEX(Catchments!C:C,MATCH(A242,Catchments!A:A,0))</x:f>
        <x:v>2652387</x:v>
      </x:c>
      <x:c r="N242" s="40" t="n">
        <x:f>INDEX(Catchments!C:C,MATCH(B242,Catchments!A:A,0))</x:f>
        <x:v>14732006</x:v>
      </x:c>
    </x:row>
    <x:row r="243" ht="15" hidden="0" customHeight="1">
      <x:c r="A243" s="29" t="str">
        <x:v>SCA-08</x:v>
      </x:c>
      <x:c r="B243" s="29" t="str">
        <x:v>SCA-23</x:v>
      </x:c>
      <x:c r="C243" s="53" t="n">
        <x:v>76.77411489191701</x:v>
      </x:c>
      <x:c r="D243" s="29" t="str">
        <x:v>NO</x:v>
      </x:c>
      <x:c r="E243" s="53" t="n">
        <x:v>69.32251884364908</x:v>
      </x:c>
      <x:c r="F243" s="29" t="str">
        <x:v>YES</x:v>
      </x:c>
      <x:c r="G243" s="53" t="n">
        <x:v>16.404718557365282</x:v>
      </x:c>
      <x:c r="H243" s="29" t="str">
        <x:v>YES</x:v>
      </x:c>
      <x:c r="I243" s="53" t="n">
        <x:v>130.25239508169403</x:v>
      </x:c>
      <x:c r="J243" s="29" t="str">
        <x:v>NO</x:v>
      </x:c>
      <x:c r="K243" s="29" t="str">
        <x:v>Air</x:v>
      </x:c>
      <x:c r="L243" s="53" t="n">
        <x:v>16.404718557365282</x:v>
      </x:c>
      <x:c r="M243" s="41" t="n">
        <x:f>INDEX(Catchments!C:C,MATCH(A243,Catchments!A:A,0))</x:f>
        <x:v>2652387</x:v>
      </x:c>
      <x:c r="N243" s="41" t="n">
        <x:f>INDEX(Catchments!C:C,MATCH(B243,Catchments!A:A,0))</x:f>
        <x:v>20869310</x:v>
      </x:c>
    </x:row>
    <x:row r="244" ht="15" hidden="0" customHeight="1">
      <x:c r="A244" s="27" t="str">
        <x:v>SCA-08</x:v>
      </x:c>
      <x:c r="B244" s="27" t="str">
        <x:v>SCA-24</x:v>
      </x:c>
      <x:c r="C244" s="52" t="n">
        <x:v>67.50498484845163</x:v>
      </x:c>
      <x:c r="D244" s="27" t="str">
        <x:v>YES</x:v>
      </x:c>
      <x:c r="E244" s="52" t="n">
        <x:v>62.03963095235485</x:v>
      </x:c>
      <x:c r="F244" s="27" t="str">
        <x:v>YES</x:v>
      </x:c>
      <x:c r="G244" s="52" t="n">
        <x:v>15.85961699395109</x:v>
      </x:c>
      <x:c r="H244" s="27" t="str">
        <x:v>YES</x:v>
      </x:c>
      <x:c r="I244" s="52" t="n">
        <x:v>117.59825164529313</x:v>
      </x:c>
      <x:c r="J244" s="27" t="str">
        <x:v>NO</x:v>
      </x:c>
      <x:c r="K244" s="27" t="str">
        <x:v>Air</x:v>
      </x:c>
      <x:c r="L244" s="52" t="n">
        <x:v>15.85961699395109</x:v>
      </x:c>
      <x:c r="M244" s="40" t="n">
        <x:f>INDEX(Catchments!C:C,MATCH(A244,Catchments!A:A,0))</x:f>
        <x:v>2652387</x:v>
      </x:c>
      <x:c r="N244" s="40" t="n">
        <x:f>INDEX(Catchments!C:C,MATCH(B244,Catchments!A:A,0))</x:f>
        <x:v>11816161</x:v>
      </x:c>
    </x:row>
    <x:row r="245" ht="15" hidden="0" customHeight="1">
      <x:c r="A245" s="29" t="str">
        <x:v>SCA-08</x:v>
      </x:c>
      <x:c r="B245" s="29" t="str">
        <x:v>SCA-25</x:v>
      </x:c>
      <x:c r="C245" s="53" t="n">
        <x:v>85.76655452681591</x:v>
      </x:c>
      <x:c r="D245" s="29" t="str">
        <x:v>NO</x:v>
      </x:c>
      <x:c r="E245" s="53" t="n">
        <x:v>76.38800712821251</x:v>
      </x:c>
      <x:c r="F245" s="29" t="str">
        <x:v>NO</x:v>
      </x:c>
      <x:c r="G245" s="53" t="n">
        <x:v>17.022992452319944</x:v>
      </x:c>
      <x:c r="H245" s="29" t="str">
        <x:v>YES</x:v>
      </x:c>
      <x:c r="I245" s="53" t="n">
        <x:v>144.6051819288558</x:v>
      </x:c>
      <x:c r="J245" s="29" t="str">
        <x:v>NO</x:v>
      </x:c>
      <x:c r="K245" s="29" t="str">
        <x:v>Air</x:v>
      </x:c>
      <x:c r="L245" s="53" t="n">
        <x:v>17.022992452319944</x:v>
      </x:c>
      <x:c r="M245" s="41" t="n">
        <x:f>INDEX(Catchments!C:C,MATCH(A245,Catchments!A:A,0))</x:f>
        <x:v>2652387</x:v>
      </x:c>
      <x:c r="N245" s="41" t="n">
        <x:f>INDEX(Catchments!C:C,MATCH(B245,Catchments!A:A,0))</x:f>
        <x:v>6408394</x:v>
      </x:c>
    </x:row>
    <x:row r="246" ht="15" hidden="0" customHeight="1">
      <x:c r="A246" s="27" t="str">
        <x:v>SCA-08</x:v>
      </x:c>
      <x:c r="B246" s="27" t="str">
        <x:v>SCA-26</x:v>
      </x:c>
      <x:c r="C246" s="52" t="n">
        <x:v>91.73927190435813</x:v>
      </x:c>
      <x:c r="D246" s="27" t="str">
        <x:v>NO</x:v>
      </x:c>
      <x:c r="E246" s="52" t="n">
        <x:v>81.0808564962814</x:v>
      </x:c>
      <x:c r="F246" s="27" t="str">
        <x:v>NO</x:v>
      </x:c>
      <x:c r="G246" s="52" t="n">
        <x:v>17.329636587108137</x:v>
      </x:c>
      <x:c r="H246" s="27" t="str">
        <x:v>YES</x:v>
      </x:c>
      <x:c r="I246" s="52" t="n">
        <x:v>151.7237064864389</x:v>
      </x:c>
      <x:c r="J246" s="27" t="str">
        <x:v>NO</x:v>
      </x:c>
      <x:c r="K246" s="27" t="str">
        <x:v>Air</x:v>
      </x:c>
      <x:c r="L246" s="52" t="n">
        <x:v>17.329636587108137</x:v>
      </x:c>
      <x:c r="M246" s="40" t="n">
        <x:f>INDEX(Catchments!C:C,MATCH(A246,Catchments!A:A,0))</x:f>
        <x:v>2652387</x:v>
      </x:c>
      <x:c r="N246" s="40" t="n">
        <x:f>INDEX(Catchments!C:C,MATCH(B246,Catchments!A:A,0))</x:f>
        <x:v>10737083</x:v>
      </x:c>
    </x:row>
    <x:row r="247" ht="15" hidden="0" customHeight="1">
      <x:c r="A247" s="29" t="str">
        <x:v>SCA-08</x:v>
      </x:c>
      <x:c r="B247" s="29" t="str">
        <x:v>SCA-27</x:v>
      </x:c>
      <x:c r="C247" s="53" t="n">
        <x:v>96.82342216107719</x:v>
      </x:c>
      <x:c r="D247" s="29" t="str">
        <x:v>NO</x:v>
      </x:c>
      <x:c r="E247" s="53" t="n">
        <x:v>85.0755459837035</x:v>
      </x:c>
      <x:c r="F247" s="29" t="str">
        <x:v>NO</x:v>
      </x:c>
      <x:c r="G247" s="53" t="n">
        <x:v>17.691866472273286</x:v>
      </x:c>
      <x:c r="H247" s="29" t="str">
        <x:v>YES</x:v>
      </x:c>
      <x:c r="I247" s="53" t="n">
        <x:v>160.13261453491558</x:v>
      </x:c>
      <x:c r="J247" s="29" t="str">
        <x:v>NO</x:v>
      </x:c>
      <x:c r="K247" s="29" t="str">
        <x:v>Air</x:v>
      </x:c>
      <x:c r="L247" s="53" t="n">
        <x:v>17.691866472273286</x:v>
      </x:c>
      <x:c r="M247" s="41" t="n">
        <x:f>INDEX(Catchments!C:C,MATCH(A247,Catchments!A:A,0))</x:f>
        <x:v>2652387</x:v>
      </x:c>
      <x:c r="N247" s="41" t="n">
        <x:f>INDEX(Catchments!C:C,MATCH(B247,Catchments!A:A,0))</x:f>
        <x:v>7505606</x:v>
      </x:c>
    </x:row>
    <x:row r="248" ht="15" hidden="0" customHeight="1">
      <x:c r="A248" s="27" t="str">
        <x:v>SCA-08</x:v>
      </x:c>
      <x:c r="B248" s="27" t="str">
        <x:v>SCA-28</x:v>
      </x:c>
      <x:c r="C248" s="52" t="n">
        <x:v>76.51981205860915</x:v>
      </x:c>
      <x:c r="D248" s="27" t="str">
        <x:v>NO</x:v>
      </x:c>
      <x:c r="E248" s="52" t="n">
        <x:v>69.12270947462147</x:v>
      </x:c>
      <x:c r="F248" s="27" t="str">
        <x:v>YES</x:v>
      </x:c>
      <x:c r="G248" s="52" t="n">
        <x:v>16.50816928932565</x:v>
      </x:c>
      <x:c r="H248" s="27" t="str">
        <x:v>YES</x:v>
      </x:c>
      <x:c r="I248" s="52" t="n">
        <x:v>132.65392993077404</x:v>
      </x:c>
      <x:c r="J248" s="27" t="str">
        <x:v>NO</x:v>
      </x:c>
      <x:c r="K248" s="27" t="str">
        <x:v>Air</x:v>
      </x:c>
      <x:c r="L248" s="52" t="n">
        <x:v>16.50816928932565</x:v>
      </x:c>
      <x:c r="M248" s="40" t="n">
        <x:f>INDEX(Catchments!C:C,MATCH(A248,Catchments!A:A,0))</x:f>
        <x:v>2652387</x:v>
      </x:c>
      <x:c r="N248" s="40" t="n">
        <x:f>INDEX(Catchments!C:C,MATCH(B248,Catchments!A:A,0))</x:f>
        <x:v>21305157</x:v>
      </x:c>
    </x:row>
    <x:row r="249" ht="15" hidden="0" customHeight="1">
      <x:c r="A249" s="29" t="str">
        <x:v>SCA-08</x:v>
      </x:c>
      <x:c r="B249" s="29" t="str">
        <x:v>SCA-29</x:v>
      </x:c>
      <x:c r="C249" s="53" t="n">
        <x:v>83.31647955377323</x:v>
      </x:c>
      <x:c r="D249" s="29" t="str">
        <x:v>NO</x:v>
      </x:c>
      <x:c r="E249" s="53" t="n">
        <x:v>74.46294822082183</x:v>
      </x:c>
      <x:c r="F249" s="29" t="str">
        <x:v>NO</x:v>
      </x:c>
      <x:c r="G249" s="53" t="n">
        <x:v>16.87793210105898</x:v>
      </x:c>
      <x:c r="H249" s="29" t="str">
        <x:v>YES</x:v>
      </x:c>
      <x:c r="I249" s="53" t="n">
        <x:v>141.23770948886917</x:v>
      </x:c>
      <x:c r="J249" s="29" t="str">
        <x:v>NO</x:v>
      </x:c>
      <x:c r="K249" s="29" t="str">
        <x:v>Air</x:v>
      </x:c>
      <x:c r="L249" s="53" t="n">
        <x:v>16.87793210105898</x:v>
      </x:c>
      <x:c r="M249" s="41" t="n">
        <x:f>INDEX(Catchments!C:C,MATCH(A249,Catchments!A:A,0))</x:f>
        <x:v>2652387</x:v>
      </x:c>
      <x:c r="N249" s="41" t="n">
        <x:f>INDEX(Catchments!C:C,MATCH(B249,Catchments!A:A,0))</x:f>
        <x:v>19271685</x:v>
      </x:c>
    </x:row>
    <x:row r="250" ht="15" hidden="0" customHeight="1">
      <x:c r="A250" s="27" t="str">
        <x:v>SCA-08</x:v>
      </x:c>
      <x:c r="B250" s="27" t="str">
        <x:v>SCA-30</x:v>
      </x:c>
      <x:c r="C250" s="52" t="n">
        <x:v>84.94824325735897</x:v>
      </x:c>
      <x:c r="D250" s="27" t="str">
        <x:v>NO</x:v>
      </x:c>
      <x:c r="E250" s="52" t="n">
        <x:v>75.74504827363918</x:v>
      </x:c>
      <x:c r="F250" s="27" t="str">
        <x:v>NO</x:v>
      </x:c>
      <x:c r="G250" s="52" t="n">
        <x:v>17.06955190063089</x:v>
      </x:c>
      <x:c r="H250" s="27" t="str">
        <x:v>YES</x:v>
      </x:c>
      <x:c r="I250" s="52" t="n">
        <x:v>145.68602626464568</x:v>
      </x:c>
      <x:c r="J250" s="27" t="str">
        <x:v>NO</x:v>
      </x:c>
      <x:c r="K250" s="27" t="str">
        <x:v>Air</x:v>
      </x:c>
      <x:c r="L250" s="52" t="n">
        <x:v>17.06955190063089</x:v>
      </x:c>
      <x:c r="M250" s="40" t="n">
        <x:f>INDEX(Catchments!C:C,MATCH(A250,Catchments!A:A,0))</x:f>
        <x:v>2652387</x:v>
      </x:c>
      <x:c r="N250" s="40" t="n">
        <x:f>INDEX(Catchments!C:C,MATCH(B250,Catchments!A:A,0))</x:f>
        <x:v>41291847</x:v>
      </x:c>
    </x:row>
    <x:row r="251" ht="15" hidden="0" customHeight="1">
      <x:c r="A251" s="29" t="str">
        <x:v>SCA-08</x:v>
      </x:c>
      <x:c r="B251" s="29" t="str">
        <x:v>SCA-31</x:v>
      </x:c>
      <x:c r="C251" s="53" t="n">
        <x:v>92.09519135165908</x:v>
      </x:c>
      <x:c r="D251" s="29" t="str">
        <x:v>NO</x:v>
      </x:c>
      <x:c r="E251" s="53" t="n">
        <x:v>81.36050749058927</x:v>
      </x:c>
      <x:c r="F251" s="29" t="str">
        <x:v>NO</x:v>
      </x:c>
      <x:c r="G251" s="53" t="n">
        <x:v>17.30979938480978</x:v>
      </x:c>
      <x:c r="H251" s="29" t="str">
        <x:v>YES</x:v>
      </x:c>
      <x:c r="I251" s="53" t="n">
        <x:v>151.26320000451267</x:v>
      </x:c>
      <x:c r="J251" s="29" t="str">
        <x:v>NO</x:v>
      </x:c>
      <x:c r="K251" s="29" t="str">
        <x:v>Air</x:v>
      </x:c>
      <x:c r="L251" s="53" t="n">
        <x:v>17.30979938480978</x:v>
      </x:c>
      <x:c r="M251" s="41" t="n">
        <x:f>INDEX(Catchments!C:C,MATCH(A251,Catchments!A:A,0))</x:f>
        <x:v>2652387</x:v>
      </x:c>
      <x:c r="N251" s="41" t="n">
        <x:f>INDEX(Catchments!C:C,MATCH(B251,Catchments!A:A,0))</x:f>
        <x:v>14227128</x:v>
      </x:c>
    </x:row>
    <x:row r="252" ht="15" hidden="0" customHeight="1">
      <x:c r="A252" s="27" t="str">
        <x:v>SCA-08</x:v>
      </x:c>
      <x:c r="B252" s="27" t="str">
        <x:v>SCA-32</x:v>
      </x:c>
      <x:c r="C252" s="52"/>
      <x:c r="D252" s="27" t="str">
        <x:v>NO</x:v>
      </x:c>
      <x:c r="E252" s="52"/>
      <x:c r="F252" s="27" t="str">
        <x:v>NO</x:v>
      </x:c>
      <x:c r="G252" s="52" t="n">
        <x:v>20.243509997479542</x:v>
      </x:c>
      <x:c r="H252" s="27" t="str">
        <x:v>YES</x:v>
      </x:c>
      <x:c r="I252" s="52" t="n">
        <x:v>219.3671963700608</x:v>
      </x:c>
      <x:c r="J252" s="27" t="str">
        <x:v>NO</x:v>
      </x:c>
      <x:c r="K252" s="27" t="str">
        <x:v>Air</x:v>
      </x:c>
      <x:c r="L252" s="52" t="n">
        <x:v>20.243509997479542</x:v>
      </x:c>
      <x:c r="M252" s="40" t="n">
        <x:f>INDEX(Catchments!C:C,MATCH(A252,Catchments!A:A,0))</x:f>
        <x:v>2652387</x:v>
      </x:c>
      <x:c r="N252" s="40" t="n">
        <x:f>INDEX(Catchments!C:C,MATCH(B252,Catchments!A:A,0))</x:f>
        <x:v>3184835</x:v>
      </x:c>
    </x:row>
    <x:row r="253" ht="15" hidden="0" customHeight="1">
      <x:c r="A253" s="29" t="str">
        <x:v>SCA-09</x:v>
      </x:c>
      <x:c r="B253" s="29" t="str">
        <x:v>SCA-01</x:v>
      </x:c>
      <x:c r="C253" s="53"/>
      <x:c r="D253" s="29" t="str">
        <x:v>NO</x:v>
      </x:c>
      <x:c r="E253" s="53"/>
      <x:c r="F253" s="29" t="str">
        <x:v>NO</x:v>
      </x:c>
      <x:c r="G253" s="53" t="n">
        <x:v>19.16518456942364</x:v>
      </x:c>
      <x:c r="H253" s="29" t="str">
        <x:v>YES</x:v>
      </x:c>
      <x:c r="I253" s="53"/>
      <x:c r="J253" s="29" t="str">
        <x:v>NO</x:v>
      </x:c>
      <x:c r="K253" s="29" t="str">
        <x:v>Air</x:v>
      </x:c>
      <x:c r="L253" s="53" t="n">
        <x:v>19.16518456942364</x:v>
      </x:c>
      <x:c r="M253" s="41" t="n">
        <x:f>INDEX(Catchments!C:C,MATCH(A253,Catchments!A:A,0))</x:f>
        <x:v>7395716</x:v>
      </x:c>
      <x:c r="N253" s="41" t="n">
        <x:f>INDEX(Catchments!C:C,MATCH(B253,Catchments!A:A,0))</x:f>
        <x:v>1432820</x:v>
      </x:c>
    </x:row>
    <x:row r="254" ht="15" hidden="0" customHeight="1">
      <x:c r="A254" s="27" t="str">
        <x:v>SCA-09</x:v>
      </x:c>
      <x:c r="B254" s="27" t="str">
        <x:v>SCA-02</x:v>
      </x:c>
      <x:c r="C254" s="52"/>
      <x:c r="D254" s="27" t="str">
        <x:v>NO</x:v>
      </x:c>
      <x:c r="E254" s="52"/>
      <x:c r="F254" s="27" t="str">
        <x:v>NO</x:v>
      </x:c>
      <x:c r="G254" s="52" t="n">
        <x:v>18.10544005363822</x:v>
      </x:c>
      <x:c r="H254" s="27" t="str">
        <x:v>YES</x:v>
      </x:c>
      <x:c r="I254" s="52"/>
      <x:c r="J254" s="27" t="str">
        <x:v>NO</x:v>
      </x:c>
      <x:c r="K254" s="27" t="str">
        <x:v>Air</x:v>
      </x:c>
      <x:c r="L254" s="52" t="n">
        <x:v>18.10544005363822</x:v>
      </x:c>
      <x:c r="M254" s="40" t="n">
        <x:f>INDEX(Catchments!C:C,MATCH(A254,Catchments!A:A,0))</x:f>
        <x:v>7395716</x:v>
      </x:c>
      <x:c r="N254" s="40" t="n">
        <x:f>INDEX(Catchments!C:C,MATCH(B254,Catchments!A:A,0))</x:f>
        <x:v>737270</x:v>
      </x:c>
    </x:row>
    <x:row r="255" ht="15" hidden="0" customHeight="1">
      <x:c r="A255" s="29" t="str">
        <x:v>SCA-09</x:v>
      </x:c>
      <x:c r="B255" s="29" t="str">
        <x:v>SCA-03</x:v>
      </x:c>
      <x:c r="C255" s="53" t="n">
        <x:v>54.56367520265494</x:v>
      </x:c>
      <x:c r="D255" s="29" t="str">
        <x:v>YES</x:v>
      </x:c>
      <x:c r="E255" s="53" t="n">
        <x:v>51.87145908780031</x:v>
      </x:c>
      <x:c r="F255" s="29" t="str">
        <x:v>YES</x:v>
      </x:c>
      <x:c r="G255" s="53" t="n">
        <x:v>14.601970102646824</x:v>
      </x:c>
      <x:c r="H255" s="29" t="str">
        <x:v>YES</x:v>
      </x:c>
      <x:c r="I255" s="53"/>
      <x:c r="J255" s="29" t="str">
        <x:v>NO</x:v>
      </x:c>
      <x:c r="K255" s="29" t="str">
        <x:v>Air</x:v>
      </x:c>
      <x:c r="L255" s="53" t="n">
        <x:v>14.601970102646824</x:v>
      </x:c>
      <x:c r="M255" s="41" t="n">
        <x:f>INDEX(Catchments!C:C,MATCH(A255,Catchments!A:A,0))</x:f>
        <x:v>7395716</x:v>
      </x:c>
      <x:c r="N255" s="41" t="n">
        <x:f>INDEX(Catchments!C:C,MATCH(B255,Catchments!A:A,0))</x:f>
        <x:v>11968308</x:v>
      </x:c>
    </x:row>
    <x:row r="256" ht="15" hidden="0" customHeight="1">
      <x:c r="A256" s="27" t="str">
        <x:v>SCA-09</x:v>
      </x:c>
      <x:c r="B256" s="27" t="str">
        <x:v>SCA-04</x:v>
      </x:c>
      <x:c r="C256" s="52" t="n">
        <x:v>35.140734169575815</x:v>
      </x:c>
      <x:c r="D256" s="27" t="str">
        <x:v>YES</x:v>
      </x:c>
      <x:c r="E256" s="52" t="n">
        <x:v>36.61057684752386</x:v>
      </x:c>
      <x:c r="F256" s="27" t="str">
        <x:v>YES</x:v>
      </x:c>
      <x:c r="G256" s="52" t="n">
        <x:v>13.543331681274537</x:v>
      </x:c>
      <x:c r="H256" s="27" t="str">
        <x:v>YES</x:v>
      </x:c>
      <x:c r="I256" s="52"/>
      <x:c r="J256" s="27" t="str">
        <x:v>NO</x:v>
      </x:c>
      <x:c r="K256" s="27" t="str">
        <x:v>Air</x:v>
      </x:c>
      <x:c r="L256" s="52" t="n">
        <x:v>13.543331681274537</x:v>
      </x:c>
      <x:c r="M256" s="40" t="n">
        <x:f>INDEX(Catchments!C:C,MATCH(A256,Catchments!A:A,0))</x:f>
        <x:v>7395716</x:v>
      </x:c>
      <x:c r="N256" s="40" t="n">
        <x:f>INDEX(Catchments!C:C,MATCH(B256,Catchments!A:A,0))</x:f>
        <x:v>16200470</x:v>
      </x:c>
    </x:row>
    <x:row r="257" ht="15" hidden="0" customHeight="1">
      <x:c r="A257" s="29" t="str">
        <x:v>SCA-09</x:v>
      </x:c>
      <x:c r="B257" s="29" t="str">
        <x:v>SCA-05</x:v>
      </x:c>
      <x:c r="C257" s="53" t="n">
        <x:v>26.55412407349008</x:v>
      </x:c>
      <x:c r="D257" s="29" t="str">
        <x:v>YES</x:v>
      </x:c>
      <x:c r="E257" s="53" t="n">
        <x:v>29.863954629170777</x:v>
      </x:c>
      <x:c r="F257" s="29" t="str">
        <x:v>YES</x:v>
      </x:c>
      <x:c r="G257" s="53" t="n">
        <x:v>12.894011588283213</x:v>
      </x:c>
      <x:c r="H257" s="29" t="str">
        <x:v>YES</x:v>
      </x:c>
      <x:c r="I257" s="53"/>
      <x:c r="J257" s="29" t="str">
        <x:v>NO</x:v>
      </x:c>
      <x:c r="K257" s="29" t="str">
        <x:v>Air</x:v>
      </x:c>
      <x:c r="L257" s="53" t="n">
        <x:v>12.894011588283213</x:v>
      </x:c>
      <x:c r="M257" s="41" t="n">
        <x:f>INDEX(Catchments!C:C,MATCH(A257,Catchments!A:A,0))</x:f>
        <x:v>7395716</x:v>
      </x:c>
      <x:c r="N257" s="41" t="n">
        <x:f>INDEX(Catchments!C:C,MATCH(B257,Catchments!A:A,0))</x:f>
        <x:v>15966265</x:v>
      </x:c>
    </x:row>
    <x:row r="258" ht="15" hidden="0" customHeight="1">
      <x:c r="A258" s="27" t="str">
        <x:v>SCA-09</x:v>
      </x:c>
      <x:c r="B258" s="27" t="str">
        <x:v>SCA-06</x:v>
      </x:c>
      <x:c r="C258" s="52" t="n">
        <x:v>22.176717304760565</x:v>
      </x:c>
      <x:c r="D258" s="27" t="str">
        <x:v>YES</x:v>
      </x:c>
      <x:c r="E258" s="52" t="n">
        <x:v>26.424563596597586</x:v>
      </x:c>
      <x:c r="F258" s="27" t="str">
        <x:v>YES</x:v>
      </x:c>
      <x:c r="G258" s="52" t="n">
        <x:v>12.601631373594422</x:v>
      </x:c>
      <x:c r="H258" s="27" t="str">
        <x:v>YES</x:v>
      </x:c>
      <x:c r="I258" s="52"/>
      <x:c r="J258" s="27" t="str">
        <x:v>NO</x:v>
      </x:c>
      <x:c r="K258" s="27" t="str">
        <x:v>Air</x:v>
      </x:c>
      <x:c r="L258" s="52" t="n">
        <x:v>12.601631373594422</x:v>
      </x:c>
      <x:c r="M258" s="40" t="n">
        <x:f>INDEX(Catchments!C:C,MATCH(A258,Catchments!A:A,0))</x:f>
        <x:v>7395716</x:v>
      </x:c>
      <x:c r="N258" s="40" t="n">
        <x:f>INDEX(Catchments!C:C,MATCH(B258,Catchments!A:A,0))</x:f>
        <x:v>6008575</x:v>
      </x:c>
    </x:row>
    <x:row r="259" ht="15" hidden="0" customHeight="1">
      <x:c r="A259" s="29" t="str">
        <x:v>SCA-09</x:v>
      </x:c>
      <x:c r="B259" s="29" t="str">
        <x:v>SCA-07</x:v>
      </x:c>
      <x:c r="C259" s="53" t="n">
        <x:v>22.402476230436825</x:v>
      </x:c>
      <x:c r="D259" s="29" t="str">
        <x:v>YES</x:v>
      </x:c>
      <x:c r="E259" s="53" t="n">
        <x:v>26.60194560962893</x:v>
      </x:c>
      <x:c r="F259" s="29" t="str">
        <x:v>YES</x:v>
      </x:c>
      <x:c r="G259" s="53" t="n">
        <x:v>12.618242398226121</x:v>
      </x:c>
      <x:c r="H259" s="29" t="str">
        <x:v>YES</x:v>
      </x:c>
      <x:c r="I259" s="53"/>
      <x:c r="J259" s="29" t="str">
        <x:v>NO</x:v>
      </x:c>
      <x:c r="K259" s="29" t="str">
        <x:v>Air</x:v>
      </x:c>
      <x:c r="L259" s="53" t="n">
        <x:v>12.618242398226121</x:v>
      </x:c>
      <x:c r="M259" s="41" t="n">
        <x:f>INDEX(Catchments!C:C,MATCH(A259,Catchments!A:A,0))</x:f>
        <x:v>7395716</x:v>
      </x:c>
      <x:c r="N259" s="41" t="n">
        <x:f>INDEX(Catchments!C:C,MATCH(B259,Catchments!A:A,0))</x:f>
        <x:v>5229370</x:v>
      </x:c>
    </x:row>
    <x:row r="260" ht="15" hidden="0" customHeight="1">
      <x:c r="A260" s="27" t="str">
        <x:v>SCA-09</x:v>
      </x:c>
      <x:c r="B260" s="27" t="str">
        <x:v>SCA-08</x:v>
      </x:c>
      <x:c r="C260" s="52" t="n">
        <x:v>42.84267747406385</x:v>
      </x:c>
      <x:c r="D260" s="27" t="str">
        <x:v>YES</x:v>
      </x:c>
      <x:c r="E260" s="52" t="n">
        <x:v>42.66210372962159</x:v>
      </x:c>
      <x:c r="F260" s="27" t="str">
        <x:v>YES</x:v>
      </x:c>
      <x:c r="G260" s="52" t="n">
        <x:v>14.001708885204938</x:v>
      </x:c>
      <x:c r="H260" s="27" t="str">
        <x:v>YES</x:v>
      </x:c>
      <x:c r="I260" s="52"/>
      <x:c r="J260" s="27" t="str">
        <x:v>NO</x:v>
      </x:c>
      <x:c r="K260" s="27" t="str">
        <x:v>Air</x:v>
      </x:c>
      <x:c r="L260" s="52" t="n">
        <x:v>14.001708885204938</x:v>
      </x:c>
      <x:c r="M260" s="40" t="n">
        <x:f>INDEX(Catchments!C:C,MATCH(A260,Catchments!A:A,0))</x:f>
        <x:v>7395716</x:v>
      </x:c>
      <x:c r="N260" s="40" t="n">
        <x:f>INDEX(Catchments!C:C,MATCH(B260,Catchments!A:A,0))</x:f>
        <x:v>2652387</x:v>
      </x:c>
    </x:row>
    <x:row r="261" ht="15" hidden="0" customHeight="1">
      <x:c r="A261" s="29" t="str">
        <x:v>SCA-09</x:v>
      </x:c>
      <x:c r="B261" s="29" t="str">
        <x:v>SCA-10</x:v>
      </x:c>
      <x:c r="C261" s="53" t="n">
        <x:v>32.72395535362865</x:v>
      </x:c>
      <x:c r="D261" s="29" t="str">
        <x:v>YES</x:v>
      </x:c>
      <x:c r="E261" s="53" t="n">
        <x:v>34.71167920642251</x:v>
      </x:c>
      <x:c r="F261" s="29" t="str">
        <x:v>YES</x:v>
      </x:c>
      <x:c r="G261" s="53" t="n">
        <x:v>13.377682333711807</x:v>
      </x:c>
      <x:c r="H261" s="29" t="str">
        <x:v>YES</x:v>
      </x:c>
      <x:c r="I261" s="53"/>
      <x:c r="J261" s="29" t="str">
        <x:v>NO</x:v>
      </x:c>
      <x:c r="K261" s="29" t="str">
        <x:v>Air</x:v>
      </x:c>
      <x:c r="L261" s="53" t="n">
        <x:v>13.377682333711807</x:v>
      </x:c>
      <x:c r="M261" s="41" t="n">
        <x:f>INDEX(Catchments!C:C,MATCH(A261,Catchments!A:A,0))</x:f>
        <x:v>7395716</x:v>
      </x:c>
      <x:c r="N261" s="41" t="n">
        <x:f>INDEX(Catchments!C:C,MATCH(B261,Catchments!A:A,0))</x:f>
        <x:v>4127033</x:v>
      </x:c>
    </x:row>
    <x:row r="262" ht="15" hidden="0" customHeight="1">
      <x:c r="A262" s="27" t="str">
        <x:v>SCA-09</x:v>
      </x:c>
      <x:c r="B262" s="27" t="str">
        <x:v>SCA-11</x:v>
      </x:c>
      <x:c r="C262" s="52" t="n">
        <x:v>27.668224572174736</x:v>
      </x:c>
      <x:c r="D262" s="27" t="str">
        <x:v>YES</x:v>
      </x:c>
      <x:c r="E262" s="52" t="n">
        <x:v>30.739319306708722</x:v>
      </x:c>
      <x:c r="F262" s="27" t="str">
        <x:v>YES</x:v>
      </x:c>
      <x:c r="G262" s="52" t="n">
        <x:v>13.005688764507841</x:v>
      </x:c>
      <x:c r="H262" s="27" t="str">
        <x:v>YES</x:v>
      </x:c>
      <x:c r="I262" s="52"/>
      <x:c r="J262" s="27" t="str">
        <x:v>NO</x:v>
      </x:c>
      <x:c r="K262" s="27" t="str">
        <x:v>Air</x:v>
      </x:c>
      <x:c r="L262" s="52" t="n">
        <x:v>13.005688764507841</x:v>
      </x:c>
      <x:c r="M262" s="40" t="n">
        <x:f>INDEX(Catchments!C:C,MATCH(A262,Catchments!A:A,0))</x:f>
        <x:v>7395716</x:v>
      </x:c>
      <x:c r="N262" s="40" t="n">
        <x:f>INDEX(Catchments!C:C,MATCH(B262,Catchments!A:A,0))</x:f>
        <x:v>3517787</x:v>
      </x:c>
    </x:row>
    <x:row r="263" ht="15" hidden="0" customHeight="1">
      <x:c r="A263" s="29" t="str">
        <x:v>SCA-09</x:v>
      </x:c>
      <x:c r="B263" s="29" t="str">
        <x:v>SCA-12</x:v>
      </x:c>
      <x:c r="C263" s="53" t="n">
        <x:v>33.92866075379662</x:v>
      </x:c>
      <x:c r="D263" s="29" t="str">
        <x:v>YES</x:v>
      </x:c>
      <x:c r="E263" s="53" t="n">
        <x:v>35.65823344941163</x:v>
      </x:c>
      <x:c r="F263" s="29" t="str">
        <x:v>YES</x:v>
      </x:c>
      <x:c r="G263" s="53" t="n">
        <x:v>13.466322864827845</x:v>
      </x:c>
      <x:c r="H263" s="29" t="str">
        <x:v>YES</x:v>
      </x:c>
      <x:c r="I263" s="53"/>
      <x:c r="J263" s="29" t="str">
        <x:v>NO</x:v>
      </x:c>
      <x:c r="K263" s="29" t="str">
        <x:v>Air</x:v>
      </x:c>
      <x:c r="L263" s="53" t="n">
        <x:v>13.466322864827845</x:v>
      </x:c>
      <x:c r="M263" s="41" t="n">
        <x:f>INDEX(Catchments!C:C,MATCH(A263,Catchments!A:A,0))</x:f>
        <x:v>7395716</x:v>
      </x:c>
      <x:c r="N263" s="41" t="n">
        <x:f>INDEX(Catchments!C:C,MATCH(B263,Catchments!A:A,0))</x:f>
        <x:v>7465186</x:v>
      </x:c>
    </x:row>
    <x:row r="264" ht="15" hidden="0" customHeight="1">
      <x:c r="A264" s="27" t="str">
        <x:v>SCA-09</x:v>
      </x:c>
      <x:c r="B264" s="27" t="str">
        <x:v>SCA-13</x:v>
      </x:c>
      <x:c r="C264" s="52" t="n">
        <x:v>43.460055937768345</x:v>
      </x:c>
      <x:c r="D264" s="27" t="str">
        <x:v>YES</x:v>
      </x:c>
      <x:c r="E264" s="52" t="n">
        <x:v>43.14718680824656</x:v>
      </x:c>
      <x:c r="F264" s="27" t="str">
        <x:v>YES</x:v>
      </x:c>
      <x:c r="G264" s="52" t="n">
        <x:v>14.118289402118634</x:v>
      </x:c>
      <x:c r="H264" s="27" t="str">
        <x:v>YES</x:v>
      </x:c>
      <x:c r="I264" s="52"/>
      <x:c r="J264" s="27" t="str">
        <x:v>NO</x:v>
      </x:c>
      <x:c r="K264" s="27" t="str">
        <x:v>Air</x:v>
      </x:c>
      <x:c r="L264" s="52" t="n">
        <x:v>14.118289402118634</x:v>
      </x:c>
      <x:c r="M264" s="40" t="n">
        <x:f>INDEX(Catchments!C:C,MATCH(A264,Catchments!A:A,0))</x:f>
        <x:v>7395716</x:v>
      </x:c>
      <x:c r="N264" s="40" t="n">
        <x:f>INDEX(Catchments!C:C,MATCH(B264,Catchments!A:A,0))</x:f>
        <x:v>6759014</x:v>
      </x:c>
    </x:row>
    <x:row r="265" ht="15" hidden="0" customHeight="1">
      <x:c r="A265" s="29" t="str">
        <x:v>SCA-09</x:v>
      </x:c>
      <x:c r="B265" s="29" t="str">
        <x:v>SCA-14</x:v>
      </x:c>
      <x:c r="C265" s="53" t="n">
        <x:v>50.79759800553401</x:v>
      </x:c>
      <x:c r="D265" s="29" t="str">
        <x:v>YES</x:v>
      </x:c>
      <x:c r="E265" s="53" t="n">
        <x:v>48.91239843291958</x:v>
      </x:c>
      <x:c r="F265" s="29" t="str">
        <x:v>YES</x:v>
      </x:c>
      <x:c r="G265" s="53" t="n">
        <x:v>14.35884900242183</x:v>
      </x:c>
      <x:c r="H265" s="29" t="str">
        <x:v>YES</x:v>
      </x:c>
      <x:c r="I265" s="53"/>
      <x:c r="J265" s="29" t="str">
        <x:v>NO</x:v>
      </x:c>
      <x:c r="K265" s="29" t="str">
        <x:v>Air</x:v>
      </x:c>
      <x:c r="L265" s="53" t="n">
        <x:v>14.35884900242183</x:v>
      </x:c>
      <x:c r="M265" s="41" t="n">
        <x:f>INDEX(Catchments!C:C,MATCH(A265,Catchments!A:A,0))</x:f>
        <x:v>7395716</x:v>
      </x:c>
      <x:c r="N265" s="41" t="n">
        <x:f>INDEX(Catchments!C:C,MATCH(B265,Catchments!A:A,0))</x:f>
        <x:v>2179728</x:v>
      </x:c>
    </x:row>
    <x:row r="266" ht="15" hidden="0" customHeight="1">
      <x:c r="A266" s="27" t="str">
        <x:v>SCA-09</x:v>
      </x:c>
      <x:c r="B266" s="27" t="str">
        <x:v>SCA-15</x:v>
      </x:c>
      <x:c r="C266" s="52" t="n">
        <x:v>44.12963672607359</x:v>
      </x:c>
      <x:c r="D266" s="27" t="str">
        <x:v>YES</x:v>
      </x:c>
      <x:c r="E266" s="52" t="n">
        <x:v>43.673285999057825</x:v>
      </x:c>
      <x:c r="F266" s="27" t="str">
        <x:v>YES</x:v>
      </x:c>
      <x:c r="G266" s="52" t="n">
        <x:v>14.216124614466803</x:v>
      </x:c>
      <x:c r="H266" s="27" t="str">
        <x:v>YES</x:v>
      </x:c>
      <x:c r="I266" s="52"/>
      <x:c r="J266" s="27" t="str">
        <x:v>NO</x:v>
      </x:c>
      <x:c r="K266" s="27" t="str">
        <x:v>Air</x:v>
      </x:c>
      <x:c r="L266" s="52" t="n">
        <x:v>14.216124614466803</x:v>
      </x:c>
      <x:c r="M266" s="40" t="n">
        <x:f>INDEX(Catchments!C:C,MATCH(A266,Catchments!A:A,0))</x:f>
        <x:v>7395716</x:v>
      </x:c>
      <x:c r="N266" s="40" t="n">
        <x:f>INDEX(Catchments!C:C,MATCH(B266,Catchments!A:A,0))</x:f>
        <x:v>13192386</x:v>
      </x:c>
    </x:row>
    <x:row r="267" ht="15" hidden="0" customHeight="1">
      <x:c r="A267" s="29" t="str">
        <x:v>SCA-09</x:v>
      </x:c>
      <x:c r="B267" s="29" t="str">
        <x:v>SCA-16</x:v>
      </x:c>
      <x:c r="C267" s="53" t="n">
        <x:v>50.14897424458028</x:v>
      </x:c>
      <x:c r="D267" s="29" t="str">
        <x:v>YES</x:v>
      </x:c>
      <x:c r="E267" s="53" t="n">
        <x:v>48.4027654778845</x:v>
      </x:c>
      <x:c r="F267" s="29" t="str">
        <x:v>YES</x:v>
      </x:c>
      <x:c r="G267" s="53" t="n">
        <x:v>14.382966450069295</x:v>
      </x:c>
      <x:c r="H267" s="29" t="str">
        <x:v>YES</x:v>
      </x:c>
      <x:c r="I267" s="53"/>
      <x:c r="J267" s="29" t="str">
        <x:v>NO</x:v>
      </x:c>
      <x:c r="K267" s="29" t="str">
        <x:v>Air</x:v>
      </x:c>
      <x:c r="L267" s="53" t="n">
        <x:v>14.382966450069295</x:v>
      </x:c>
      <x:c r="M267" s="41" t="n">
        <x:f>INDEX(Catchments!C:C,MATCH(A267,Catchments!A:A,0))</x:f>
        <x:v>7395716</x:v>
      </x:c>
      <x:c r="N267" s="41" t="n">
        <x:f>INDEX(Catchments!C:C,MATCH(B267,Catchments!A:A,0))</x:f>
        <x:v>10177969</x:v>
      </x:c>
    </x:row>
    <x:row r="268" ht="15" hidden="0" customHeight="1">
      <x:c r="A268" s="27" t="str">
        <x:v>SCA-09</x:v>
      </x:c>
      <x:c r="B268" s="27" t="str">
        <x:v>SCA-17</x:v>
      </x:c>
      <x:c r="C268" s="52" t="n">
        <x:v>51.320703954958745</x:v>
      </x:c>
      <x:c r="D268" s="27" t="str">
        <x:v>YES</x:v>
      </x:c>
      <x:c r="E268" s="52" t="n">
        <x:v>49.32341025032473</x:v>
      </x:c>
      <x:c r="F268" s="27" t="str">
        <x:v>YES</x:v>
      </x:c>
      <x:c r="G268" s="52" t="n">
        <x:v>14.666526608537021</x:v>
      </x:c>
      <x:c r="H268" s="27" t="str">
        <x:v>YES</x:v>
      </x:c>
      <x:c r="I268" s="52"/>
      <x:c r="J268" s="27" t="str">
        <x:v>NO</x:v>
      </x:c>
      <x:c r="K268" s="27" t="str">
        <x:v>Air</x:v>
      </x:c>
      <x:c r="L268" s="52" t="n">
        <x:v>14.666526608537021</x:v>
      </x:c>
      <x:c r="M268" s="40" t="n">
        <x:f>INDEX(Catchments!C:C,MATCH(A268,Catchments!A:A,0))</x:f>
        <x:v>7395716</x:v>
      </x:c>
      <x:c r="N268" s="40" t="n">
        <x:f>INDEX(Catchments!C:C,MATCH(B268,Catchments!A:A,0))</x:f>
        <x:v>12843509</x:v>
      </x:c>
    </x:row>
    <x:row r="269" ht="15" hidden="0" customHeight="1">
      <x:c r="A269" s="29" t="str">
        <x:v>SCA-09</x:v>
      </x:c>
      <x:c r="B269" s="29" t="str">
        <x:v>SCA-18</x:v>
      </x:c>
      <x:c r="C269" s="53" t="n">
        <x:v>56.31873878418675</x:v>
      </x:c>
      <x:c r="D269" s="29" t="str">
        <x:v>YES</x:v>
      </x:c>
      <x:c r="E269" s="53" t="n">
        <x:v>53.25043761614673</x:v>
      </x:c>
      <x:c r="F269" s="29" t="str">
        <x:v>YES</x:v>
      </x:c>
      <x:c r="G269" s="53" t="n">
        <x:v>15.106642682574087</x:v>
      </x:c>
      <x:c r="H269" s="29" t="str">
        <x:v>YES</x:v>
      </x:c>
      <x:c r="I269" s="53"/>
      <x:c r="J269" s="29" t="str">
        <x:v>NO</x:v>
      </x:c>
      <x:c r="K269" s="29" t="str">
        <x:v>Air</x:v>
      </x:c>
      <x:c r="L269" s="53" t="n">
        <x:v>15.106642682574087</x:v>
      </x:c>
      <x:c r="M269" s="41" t="n">
        <x:f>INDEX(Catchments!C:C,MATCH(A269,Catchments!A:A,0))</x:f>
        <x:v>7395716</x:v>
      </x:c>
      <x:c r="N269" s="41" t="n">
        <x:f>INDEX(Catchments!C:C,MATCH(B269,Catchments!A:A,0))</x:f>
        <x:v>11004680</x:v>
      </x:c>
    </x:row>
    <x:row r="270" ht="15" hidden="0" customHeight="1">
      <x:c r="A270" s="27" t="str">
        <x:v>SCA-09</x:v>
      </x:c>
      <x:c r="B270" s="27" t="str">
        <x:v>SCA-19</x:v>
      </x:c>
      <x:c r="C270" s="52" t="n">
        <x:v>59.63052286147148</x:v>
      </x:c>
      <x:c r="D270" s="27" t="str">
        <x:v>YES</x:v>
      </x:c>
      <x:c r="E270" s="52" t="n">
        <x:v>55.85255367687045</x:v>
      </x:c>
      <x:c r="F270" s="27" t="str">
        <x:v>YES</x:v>
      </x:c>
      <x:c r="G270" s="52" t="n">
        <x:v>15.078488262340086</x:v>
      </x:c>
      <x:c r="H270" s="27" t="str">
        <x:v>YES</x:v>
      </x:c>
      <x:c r="I270" s="52"/>
      <x:c r="J270" s="27" t="str">
        <x:v>NO</x:v>
      </x:c>
      <x:c r="K270" s="27" t="str">
        <x:v>Air</x:v>
      </x:c>
      <x:c r="L270" s="52" t="n">
        <x:v>15.078488262340086</x:v>
      </x:c>
      <x:c r="M270" s="40" t="n">
        <x:f>INDEX(Catchments!C:C,MATCH(A270,Catchments!A:A,0))</x:f>
        <x:v>7395716</x:v>
      </x:c>
      <x:c r="N270" s="40" t="n">
        <x:f>INDEX(Catchments!C:C,MATCH(B270,Catchments!A:A,0))</x:f>
        <x:v>6677653</x:v>
      </x:c>
    </x:row>
    <x:row r="271" ht="15" hidden="0" customHeight="1">
      <x:c r="A271" s="29" t="str">
        <x:v>SCA-09</x:v>
      </x:c>
      <x:c r="B271" s="29" t="str">
        <x:v>SCA-20</x:v>
      </x:c>
      <x:c r="C271" s="53" t="n">
        <x:v>57.27497026571813</x:v>
      </x:c>
      <x:c r="D271" s="29" t="str">
        <x:v>YES</x:v>
      </x:c>
      <x:c r="E271" s="53" t="n">
        <x:v>54.001762351635676</x:v>
      </x:c>
      <x:c r="F271" s="29" t="str">
        <x:v>YES</x:v>
      </x:c>
      <x:c r="G271" s="53" t="n">
        <x:v>15.151537551033334</x:v>
      </x:c>
      <x:c r="H271" s="29" t="str">
        <x:v>YES</x:v>
      </x:c>
      <x:c r="I271" s="53"/>
      <x:c r="J271" s="29" t="str">
        <x:v>NO</x:v>
      </x:c>
      <x:c r="K271" s="29" t="str">
        <x:v>Air</x:v>
      </x:c>
      <x:c r="L271" s="53" t="n">
        <x:v>15.151537551033334</x:v>
      </x:c>
      <x:c r="M271" s="41" t="n">
        <x:f>INDEX(Catchments!C:C,MATCH(A271,Catchments!A:A,0))</x:f>
        <x:v>7395716</x:v>
      </x:c>
      <x:c r="N271" s="41" t="n">
        <x:f>INDEX(Catchments!C:C,MATCH(B271,Catchments!A:A,0))</x:f>
        <x:v>8490774</x:v>
      </x:c>
    </x:row>
    <x:row r="272" ht="15" hidden="0" customHeight="1">
      <x:c r="A272" s="27" t="str">
        <x:v>SCA-09</x:v>
      </x:c>
      <x:c r="B272" s="27" t="str">
        <x:v>SCA-21</x:v>
      </x:c>
      <x:c r="C272" s="52" t="n">
        <x:v>67.98422144065702</x:v>
      </x:c>
      <x:c r="D272" s="27" t="str">
        <x:v>YES</x:v>
      </x:c>
      <x:c r="E272" s="52" t="n">
        <x:v>62.41617398908766</x:v>
      </x:c>
      <x:c r="F272" s="27" t="str">
        <x:v>YES</x:v>
      </x:c>
      <x:c r="G272" s="52" t="n">
        <x:v>15.594527612139188</x:v>
      </x:c>
      <x:c r="H272" s="27" t="str">
        <x:v>YES</x:v>
      </x:c>
      <x:c r="I272" s="52"/>
      <x:c r="J272" s="27" t="str">
        <x:v>NO</x:v>
      </x:c>
      <x:c r="K272" s="27" t="str">
        <x:v>Air</x:v>
      </x:c>
      <x:c r="L272" s="52" t="n">
        <x:v>15.594527612139188</x:v>
      </x:c>
      <x:c r="M272" s="40" t="n">
        <x:f>INDEX(Catchments!C:C,MATCH(A272,Catchments!A:A,0))</x:f>
        <x:v>7395716</x:v>
      </x:c>
      <x:c r="N272" s="40" t="n">
        <x:f>INDEX(Catchments!C:C,MATCH(B272,Catchments!A:A,0))</x:f>
        <x:v>19593580</x:v>
      </x:c>
    </x:row>
    <x:row r="273" ht="15" hidden="0" customHeight="1">
      <x:c r="A273" s="29" t="str">
        <x:v>SCA-09</x:v>
      </x:c>
      <x:c r="B273" s="29" t="str">
        <x:v>SCA-22</x:v>
      </x:c>
      <x:c r="C273" s="53" t="n">
        <x:v>69.76838887711384</x:v>
      </x:c>
      <x:c r="D273" s="29" t="str">
        <x:v>YES</x:v>
      </x:c>
      <x:c r="E273" s="53" t="n">
        <x:v>63.81801983201801</x:v>
      </x:c>
      <x:c r="F273" s="29" t="str">
        <x:v>YES</x:v>
      </x:c>
      <x:c r="G273" s="53" t="n">
        <x:v>15.806349148306918</x:v>
      </x:c>
      <x:c r="H273" s="29" t="str">
        <x:v>YES</x:v>
      </x:c>
      <x:c r="I273" s="53"/>
      <x:c r="J273" s="29" t="str">
        <x:v>NO</x:v>
      </x:c>
      <x:c r="K273" s="29" t="str">
        <x:v>Air</x:v>
      </x:c>
      <x:c r="L273" s="53" t="n">
        <x:v>15.806349148306918</x:v>
      </x:c>
      <x:c r="M273" s="41" t="n">
        <x:f>INDEX(Catchments!C:C,MATCH(A273,Catchments!A:A,0))</x:f>
        <x:v>7395716</x:v>
      </x:c>
      <x:c r="N273" s="41" t="n">
        <x:f>INDEX(Catchments!C:C,MATCH(B273,Catchments!A:A,0))</x:f>
        <x:v>14732006</x:v>
      </x:c>
    </x:row>
    <x:row r="274" ht="15" hidden="0" customHeight="1">
      <x:c r="A274" s="27" t="str">
        <x:v>SCA-09</x:v>
      </x:c>
      <x:c r="B274" s="27" t="str">
        <x:v>SCA-23</x:v>
      </x:c>
      <x:c r="C274" s="52" t="n">
        <x:v>67.81131560843077</x:v>
      </x:c>
      <x:c r="D274" s="27" t="str">
        <x:v>YES</x:v>
      </x:c>
      <x:c r="E274" s="52" t="n">
        <x:v>62.28031940662418</x:v>
      </x:c>
      <x:c r="F274" s="27" t="str">
        <x:v>YES</x:v>
      </x:c>
      <x:c r="G274" s="52" t="n">
        <x:v>15.926448625515413</x:v>
      </x:c>
      <x:c r="H274" s="27" t="str">
        <x:v>YES</x:v>
      </x:c>
      <x:c r="I274" s="52"/>
      <x:c r="J274" s="27" t="str">
        <x:v>NO</x:v>
      </x:c>
      <x:c r="K274" s="27" t="str">
        <x:v>Air</x:v>
      </x:c>
      <x:c r="L274" s="52" t="n">
        <x:v>15.926448625515413</x:v>
      </x:c>
      <x:c r="M274" s="40" t="n">
        <x:f>INDEX(Catchments!C:C,MATCH(A274,Catchments!A:A,0))</x:f>
        <x:v>7395716</x:v>
      </x:c>
      <x:c r="N274" s="40" t="n">
        <x:f>INDEX(Catchments!C:C,MATCH(B274,Catchments!A:A,0))</x:f>
        <x:v>20869310</x:v>
      </x:c>
    </x:row>
    <x:row r="275" ht="15" hidden="0" customHeight="1">
      <x:c r="A275" s="29" t="str">
        <x:v>SCA-09</x:v>
      </x:c>
      <x:c r="B275" s="29" t="str">
        <x:v>SCA-24</x:v>
      </x:c>
      <x:c r="C275" s="53" t="n">
        <x:v>75.20676786180316</x:v>
      </x:c>
      <x:c r="D275" s="29" t="str">
        <x:v>NO</x:v>
      </x:c>
      <x:c r="E275" s="53" t="n">
        <x:v>68.09103189141678</x:v>
      </x:c>
      <x:c r="F275" s="29" t="str">
        <x:v>YES</x:v>
      </x:c>
      <x:c r="G275" s="53" t="n">
        <x:v>16.11614907107017</x:v>
      </x:c>
      <x:c r="H275" s="29" t="str">
        <x:v>YES</x:v>
      </x:c>
      <x:c r="I275" s="53"/>
      <x:c r="J275" s="29" t="str">
        <x:v>NO</x:v>
      </x:c>
      <x:c r="K275" s="29" t="str">
        <x:v>Air</x:v>
      </x:c>
      <x:c r="L275" s="53" t="n">
        <x:v>16.11614907107017</x:v>
      </x:c>
      <x:c r="M275" s="41" t="n">
        <x:f>INDEX(Catchments!C:C,MATCH(A275,Catchments!A:A,0))</x:f>
        <x:v>7395716</x:v>
      </x:c>
      <x:c r="N275" s="41" t="n">
        <x:f>INDEX(Catchments!C:C,MATCH(B275,Catchments!A:A,0))</x:f>
        <x:v>11816161</x:v>
      </x:c>
    </x:row>
    <x:row r="276" ht="15" hidden="0" customHeight="1">
      <x:c r="A276" s="27" t="str">
        <x:v>SCA-09</x:v>
      </x:c>
      <x:c r="B276" s="27" t="str">
        <x:v>SCA-25</x:v>
      </x:c>
      <x:c r="C276" s="52" t="n">
        <x:v>76.80375524332968</x:v>
      </x:c>
      <x:c r="D276" s="27" t="str">
        <x:v>NO</x:v>
      </x:c>
      <x:c r="E276" s="52" t="n">
        <x:v>69.3458076911876</x:v>
      </x:c>
      <x:c r="F276" s="27" t="str">
        <x:v>YES</x:v>
      </x:c>
      <x:c r="G276" s="52" t="n">
        <x:v>16.379092753109127</x:v>
      </x:c>
      <x:c r="H276" s="27" t="str">
        <x:v>YES</x:v>
      </x:c>
      <x:c r="I276" s="52"/>
      <x:c r="J276" s="27" t="str">
        <x:v>NO</x:v>
      </x:c>
      <x:c r="K276" s="27" t="str">
        <x:v>Air</x:v>
      </x:c>
      <x:c r="L276" s="52" t="n">
        <x:v>16.379092753109127</x:v>
      </x:c>
      <x:c r="M276" s="40" t="n">
        <x:f>INDEX(Catchments!C:C,MATCH(A276,Catchments!A:A,0))</x:f>
        <x:v>7395716</x:v>
      </x:c>
      <x:c r="N276" s="40" t="n">
        <x:f>INDEX(Catchments!C:C,MATCH(B276,Catchments!A:A,0))</x:f>
        <x:v>6408394</x:v>
      </x:c>
    </x:row>
    <x:row r="277" ht="15" hidden="0" customHeight="1">
      <x:c r="A277" s="29" t="str">
        <x:v>SCA-09</x:v>
      </x:c>
      <x:c r="B277" s="29" t="str">
        <x:v>SCA-26</x:v>
      </x:c>
      <x:c r="C277" s="53" t="n">
        <x:v>82.7764726208719</x:v>
      </x:c>
      <x:c r="D277" s="29" t="str">
        <x:v>NO</x:v>
      </x:c>
      <x:c r="E277" s="53" t="n">
        <x:v>74.0386570592565</x:v>
      </x:c>
      <x:c r="F277" s="29" t="str">
        <x:v>NO</x:v>
      </x:c>
      <x:c r="G277" s="53" t="n">
        <x:v>16.535996328273704</x:v>
      </x:c>
      <x:c r="H277" s="29" t="str">
        <x:v>YES</x:v>
      </x:c>
      <x:c r="I277" s="53"/>
      <x:c r="J277" s="29" t="str">
        <x:v>NO</x:v>
      </x:c>
      <x:c r="K277" s="29" t="str">
        <x:v>Air</x:v>
      </x:c>
      <x:c r="L277" s="53" t="n">
        <x:v>16.535996328273704</x:v>
      </x:c>
      <x:c r="M277" s="41" t="n">
        <x:f>INDEX(Catchments!C:C,MATCH(A277,Catchments!A:A,0))</x:f>
        <x:v>7395716</x:v>
      </x:c>
      <x:c r="N277" s="41" t="n">
        <x:f>INDEX(Catchments!C:C,MATCH(B277,Catchments!A:A,0))</x:f>
        <x:v>10737083</x:v>
      </x:c>
    </x:row>
    <x:row r="278" ht="15" hidden="0" customHeight="1">
      <x:c r="A278" s="27" t="str">
        <x:v>SCA-09</x:v>
      </x:c>
      <x:c r="B278" s="27" t="str">
        <x:v>SCA-27</x:v>
      </x:c>
      <x:c r="C278" s="52" t="n">
        <x:v>87.86062287759097</x:v>
      </x:c>
      <x:c r="D278" s="27" t="str">
        <x:v>NO</x:v>
      </x:c>
      <x:c r="E278" s="52" t="n">
        <x:v>78.03334654667862</x:v>
      </x:c>
      <x:c r="F278" s="27" t="str">
        <x:v>NO</x:v>
      </x:c>
      <x:c r="G278" s="52" t="n">
        <x:v>16.83829253409479</x:v>
      </x:c>
      <x:c r="H278" s="27" t="str">
        <x:v>YES</x:v>
      </x:c>
      <x:c r="I278" s="52"/>
      <x:c r="J278" s="27" t="str">
        <x:v>NO</x:v>
      </x:c>
      <x:c r="K278" s="27" t="str">
        <x:v>Air</x:v>
      </x:c>
      <x:c r="L278" s="52" t="n">
        <x:v>16.83829253409479</x:v>
      </x:c>
      <x:c r="M278" s="40" t="n">
        <x:f>INDEX(Catchments!C:C,MATCH(A278,Catchments!A:A,0))</x:f>
        <x:v>7395716</x:v>
      </x:c>
      <x:c r="N278" s="40" t="n">
        <x:f>INDEX(Catchments!C:C,MATCH(B278,Catchments!A:A,0))</x:f>
        <x:v>7505606</x:v>
      </x:c>
    </x:row>
    <x:row r="279" ht="15" hidden="0" customHeight="1">
      <x:c r="A279" s="29" t="str">
        <x:v>SCA-09</x:v>
      </x:c>
      <x:c r="B279" s="29" t="str">
        <x:v>SCA-28</x:v>
      </x:c>
      <x:c r="C279" s="53" t="n">
        <x:v>81.48938842737452</x:v>
      </x:c>
      <x:c r="D279" s="29" t="str">
        <x:v>NO</x:v>
      </x:c>
      <x:c r="E279" s="53" t="n">
        <x:v>73.02737662150855</x:v>
      </x:c>
      <x:c r="F279" s="29" t="str">
        <x:v>NO</x:v>
      </x:c>
      <x:c r="G279" s="53" t="n">
        <x:v>16.624543647087695</x:v>
      </x:c>
      <x:c r="H279" s="29" t="str">
        <x:v>YES</x:v>
      </x:c>
      <x:c r="I279" s="53"/>
      <x:c r="J279" s="29" t="str">
        <x:v>NO</x:v>
      </x:c>
      <x:c r="K279" s="29" t="str">
        <x:v>Air</x:v>
      </x:c>
      <x:c r="L279" s="53" t="n">
        <x:v>16.624543647087695</x:v>
      </x:c>
      <x:c r="M279" s="41" t="n">
        <x:f>INDEX(Catchments!C:C,MATCH(A279,Catchments!A:A,0))</x:f>
        <x:v>7395716</x:v>
      </x:c>
      <x:c r="N279" s="41" t="n">
        <x:f>INDEX(Catchments!C:C,MATCH(B279,Catchments!A:A,0))</x:f>
        <x:v>21305157</x:v>
      </x:c>
    </x:row>
    <x:row r="280" ht="15" hidden="0" customHeight="1">
      <x:c r="A280" s="27" t="str">
        <x:v>SCA-09</x:v>
      </x:c>
      <x:c r="B280" s="27" t="str">
        <x:v>SCA-29</x:v>
      </x:c>
      <x:c r="C280" s="52" t="n">
        <x:v>79.3650419543044</x:v>
      </x:c>
      <x:c r="D280" s="27" t="str">
        <x:v>NO</x:v>
      </x:c>
      <x:c r="E280" s="52" t="n">
        <x:v>71.3582472498106</x:v>
      </x:c>
      <x:c r="F280" s="27" t="str">
        <x:v>YES</x:v>
      </x:c>
      <x:c r="G280" s="52" t="n">
        <x:v>16.6646198755323</x:v>
      </x:c>
      <x:c r="H280" s="27" t="str">
        <x:v>YES</x:v>
      </x:c>
      <x:c r="I280" s="52"/>
      <x:c r="J280" s="27" t="str">
        <x:v>NO</x:v>
      </x:c>
      <x:c r="K280" s="27" t="str">
        <x:v>Air</x:v>
      </x:c>
      <x:c r="L280" s="52" t="n">
        <x:v>16.6646198755323</x:v>
      </x:c>
      <x:c r="M280" s="40" t="n">
        <x:f>INDEX(Catchments!C:C,MATCH(A280,Catchments!A:A,0))</x:f>
        <x:v>7395716</x:v>
      </x:c>
      <x:c r="N280" s="40" t="n">
        <x:f>INDEX(Catchments!C:C,MATCH(B280,Catchments!A:A,0))</x:f>
        <x:v>19271685</x:v>
      </x:c>
    </x:row>
    <x:row r="281" ht="15" hidden="0" customHeight="1">
      <x:c r="A281" s="29" t="str">
        <x:v>SCA-09</x:v>
      </x:c>
      <x:c r="B281" s="29" t="str">
        <x:v>SCA-30</x:v>
      </x:c>
      <x:c r="C281" s="53" t="n">
        <x:v>89.91781962612434</x:v>
      </x:c>
      <x:c r="D281" s="29" t="str">
        <x:v>NO</x:v>
      </x:c>
      <x:c r="E281" s="53" t="n">
        <x:v>79.64971542052626</x:v>
      </x:c>
      <x:c r="F281" s="29" t="str">
        <x:v>NO</x:v>
      </x:c>
      <x:c r="G281" s="53" t="n">
        <x:v>17.24467834079661</x:v>
      </x:c>
      <x:c r="H281" s="29" t="str">
        <x:v>YES</x:v>
      </x:c>
      <x:c r="I281" s="53"/>
      <x:c r="J281" s="29" t="str">
        <x:v>NO</x:v>
      </x:c>
      <x:c r="K281" s="29" t="str">
        <x:v>Air</x:v>
      </x:c>
      <x:c r="L281" s="53" t="n">
        <x:v>17.24467834079661</x:v>
      </x:c>
      <x:c r="M281" s="41" t="n">
        <x:f>INDEX(Catchments!C:C,MATCH(A281,Catchments!A:A,0))</x:f>
        <x:v>7395716</x:v>
      </x:c>
      <x:c r="N281" s="41" t="n">
        <x:f>INDEX(Catchments!C:C,MATCH(B281,Catchments!A:A,0))</x:f>
        <x:v>41291847</x:v>
      </x:c>
    </x:row>
    <x:row r="282" ht="15" hidden="0" customHeight="1">
      <x:c r="A282" s="27" t="str">
        <x:v>SCA-09</x:v>
      </x:c>
      <x:c r="B282" s="27" t="str">
        <x:v>SCA-31</x:v>
      </x:c>
      <x:c r="C282" s="52" t="n">
        <x:v>97.06476772042444</x:v>
      </x:c>
      <x:c r="D282" s="27" t="str">
        <x:v>NO</x:v>
      </x:c>
      <x:c r="E282" s="52" t="n">
        <x:v>85.26517463747635</x:v>
      </x:c>
      <x:c r="F282" s="27" t="str">
        <x:v>NO</x:v>
      </x:c>
      <x:c r="G282" s="52" t="n">
        <x:v>17.646235889544627</x:v>
      </x:c>
      <x:c r="H282" s="27" t="str">
        <x:v>YES</x:v>
      </x:c>
      <x:c r="I282" s="52"/>
      <x:c r="J282" s="27" t="str">
        <x:v>NO</x:v>
      </x:c>
      <x:c r="K282" s="27" t="str">
        <x:v>Air</x:v>
      </x:c>
      <x:c r="L282" s="52" t="n">
        <x:v>17.646235889544627</x:v>
      </x:c>
      <x:c r="M282" s="40" t="n">
        <x:f>INDEX(Catchments!C:C,MATCH(A282,Catchments!A:A,0))</x:f>
        <x:v>7395716</x:v>
      </x:c>
      <x:c r="N282" s="40" t="n">
        <x:f>INDEX(Catchments!C:C,MATCH(B282,Catchments!A:A,0))</x:f>
        <x:v>14227128</x:v>
      </x:c>
    </x:row>
    <x:row r="283" ht="15" hidden="0" customHeight="1">
      <x:c r="A283" s="29" t="str">
        <x:v>SCA-09</x:v>
      </x:c>
      <x:c r="B283" s="29" t="str">
        <x:v>SCA-32</x:v>
      </x:c>
      <x:c r="C283" s="53"/>
      <x:c r="D283" s="29" t="str">
        <x:v>NO</x:v>
      </x:c>
      <x:c r="E283" s="53"/>
      <x:c r="F283" s="29" t="str">
        <x:v>NO</x:v>
      </x:c>
      <x:c r="G283" s="53" t="n">
        <x:v>19.44296578076521</x:v>
      </x:c>
      <x:c r="H283" s="29" t="str">
        <x:v>YES</x:v>
      </x:c>
      <x:c r="I283" s="53"/>
      <x:c r="J283" s="29" t="str">
        <x:v>NO</x:v>
      </x:c>
      <x:c r="K283" s="29" t="str">
        <x:v>Air</x:v>
      </x:c>
      <x:c r="L283" s="53" t="n">
        <x:v>19.44296578076521</x:v>
      </x:c>
      <x:c r="M283" s="41" t="n">
        <x:f>INDEX(Catchments!C:C,MATCH(A283,Catchments!A:A,0))</x:f>
        <x:v>7395716</x:v>
      </x:c>
      <x:c r="N283" s="41" t="n">
        <x:f>INDEX(Catchments!C:C,MATCH(B283,Catchments!A:A,0))</x:f>
        <x:v>3184835</x:v>
      </x:c>
    </x:row>
    <x:row r="284" ht="15" hidden="0" customHeight="1">
      <x:c r="A284" s="27" t="str">
        <x:v>SCA-10</x:v>
      </x:c>
      <x:c r="B284" s="27" t="str">
        <x:v>SCA-01</x:v>
      </x:c>
      <x:c r="C284" s="52"/>
      <x:c r="D284" s="27" t="str">
        <x:v>NO</x:v>
      </x:c>
      <x:c r="E284" s="52"/>
      <x:c r="F284" s="27" t="str">
        <x:v>NO</x:v>
      </x:c>
      <x:c r="G284" s="52" t="n">
        <x:v>19.48570720932337</x:v>
      </x:c>
      <x:c r="H284" s="27" t="str">
        <x:v>YES</x:v>
      </x:c>
      <x:c r="I284" s="52"/>
      <x:c r="J284" s="27" t="str">
        <x:v>NO</x:v>
      </x:c>
      <x:c r="K284" s="27" t="str">
        <x:v>Air</x:v>
      </x:c>
      <x:c r="L284" s="52" t="n">
        <x:v>19.48570720932337</x:v>
      </x:c>
      <x:c r="M284" s="40" t="n">
        <x:f>INDEX(Catchments!C:C,MATCH(A284,Catchments!A:A,0))</x:f>
        <x:v>4127033</x:v>
      </x:c>
      <x:c r="N284" s="40" t="n">
        <x:f>INDEX(Catchments!C:C,MATCH(B284,Catchments!A:A,0))</x:f>
        <x:v>1432820</x:v>
      </x:c>
    </x:row>
    <x:row r="285" ht="15" hidden="0" customHeight="1">
      <x:c r="A285" s="29" t="str">
        <x:v>SCA-10</x:v>
      </x:c>
      <x:c r="B285" s="29" t="str">
        <x:v>SCA-02</x:v>
      </x:c>
      <x:c r="C285" s="53"/>
      <x:c r="D285" s="29" t="str">
        <x:v>NO</x:v>
      </x:c>
      <x:c r="E285" s="53"/>
      <x:c r="F285" s="29" t="str">
        <x:v>NO</x:v>
      </x:c>
      <x:c r="G285" s="53" t="n">
        <x:v>16.978110434538927</x:v>
      </x:c>
      <x:c r="H285" s="29" t="str">
        <x:v>YES</x:v>
      </x:c>
      <x:c r="I285" s="53"/>
      <x:c r="J285" s="29" t="str">
        <x:v>NO</x:v>
      </x:c>
      <x:c r="K285" s="29" t="str">
        <x:v>Air</x:v>
      </x:c>
      <x:c r="L285" s="53" t="n">
        <x:v>16.978110434538927</x:v>
      </x:c>
      <x:c r="M285" s="41" t="n">
        <x:f>INDEX(Catchments!C:C,MATCH(A285,Catchments!A:A,0))</x:f>
        <x:v>4127033</x:v>
      </x:c>
      <x:c r="N285" s="41" t="n">
        <x:f>INDEX(Catchments!C:C,MATCH(B285,Catchments!A:A,0))</x:f>
        <x:v>737270</x:v>
      </x:c>
    </x:row>
    <x:row r="286" ht="15" hidden="0" customHeight="1">
      <x:c r="A286" s="27" t="str">
        <x:v>SCA-10</x:v>
      </x:c>
      <x:c r="B286" s="27" t="str">
        <x:v>SCA-03</x:v>
      </x:c>
      <x:c r="C286" s="52" t="n">
        <x:v>35.839719849026295</x:v>
      </x:c>
      <x:c r="D286" s="27" t="str">
        <x:v>YES</x:v>
      </x:c>
      <x:c r="E286" s="52" t="n">
        <x:v>37.1597798813778</x:v>
      </x:c>
      <x:c r="F286" s="27" t="str">
        <x:v>YES</x:v>
      </x:c>
      <x:c r="G286" s="52" t="n">
        <x:v>13.561675630632529</x:v>
      </x:c>
      <x:c r="H286" s="27" t="str">
        <x:v>YES</x:v>
      </x:c>
      <x:c r="I286" s="52"/>
      <x:c r="J286" s="27" t="str">
        <x:v>NO</x:v>
      </x:c>
      <x:c r="K286" s="27" t="str">
        <x:v>Air</x:v>
      </x:c>
      <x:c r="L286" s="52" t="n">
        <x:v>13.561675630632529</x:v>
      </x:c>
      <x:c r="M286" s="40" t="n">
        <x:f>INDEX(Catchments!C:C,MATCH(A286,Catchments!A:A,0))</x:f>
        <x:v>4127033</x:v>
      </x:c>
      <x:c r="N286" s="40" t="n">
        <x:f>INDEX(Catchments!C:C,MATCH(B286,Catchments!A:A,0))</x:f>
        <x:v>11968308</x:v>
      </x:c>
    </x:row>
    <x:row r="287" ht="15" hidden="0" customHeight="1">
      <x:c r="A287" s="29" t="str">
        <x:v>SCA-10</x:v>
      </x:c>
      <x:c r="B287" s="29" t="str">
        <x:v>SCA-04</x:v>
      </x:c>
      <x:c r="C287" s="53" t="n">
        <x:v>41.54188162294726</x:v>
      </x:c>
      <x:c r="D287" s="29" t="str">
        <x:v>YES</x:v>
      </x:c>
      <x:c r="E287" s="53" t="n">
        <x:v>41.640049846601414</x:v>
      </x:c>
      <x:c r="F287" s="29" t="str">
        <x:v>YES</x:v>
      </x:c>
      <x:c r="G287" s="53" t="n">
        <x:v>13.440967612336589</x:v>
      </x:c>
      <x:c r="H287" s="29" t="str">
        <x:v>YES</x:v>
      </x:c>
      <x:c r="I287" s="53"/>
      <x:c r="J287" s="29" t="str">
        <x:v>NO</x:v>
      </x:c>
      <x:c r="K287" s="29" t="str">
        <x:v>Air</x:v>
      </x:c>
      <x:c r="L287" s="53" t="n">
        <x:v>13.440967612336589</x:v>
      </x:c>
      <x:c r="M287" s="41" t="n">
        <x:f>INDEX(Catchments!C:C,MATCH(A287,Catchments!A:A,0))</x:f>
        <x:v>4127033</x:v>
      </x:c>
      <x:c r="N287" s="41" t="n">
        <x:f>INDEX(Catchments!C:C,MATCH(B287,Catchments!A:A,0))</x:f>
        <x:v>16200470</x:v>
      </x:c>
    </x:row>
    <x:row r="288" ht="15" hidden="0" customHeight="1">
      <x:c r="A288" s="27" t="str">
        <x:v>SCA-10</x:v>
      </x:c>
      <x:c r="B288" s="27" t="str">
        <x:v>SCA-05</x:v>
      </x:c>
      <x:c r="C288" s="52" t="n">
        <x:v>35.35273449501213</x:v>
      </x:c>
      <x:c r="D288" s="27" t="str">
        <x:v>YES</x:v>
      </x:c>
      <x:c r="E288" s="52" t="n">
        <x:v>36.77714853179525</x:v>
      </x:c>
      <x:c r="F288" s="27" t="str">
        <x:v>YES</x:v>
      </x:c>
      <x:c r="G288" s="52" t="n">
        <x:v>13.51837520951911</x:v>
      </x:c>
      <x:c r="H288" s="27" t="str">
        <x:v>YES</x:v>
      </x:c>
      <x:c r="I288" s="52"/>
      <x:c r="J288" s="27" t="str">
        <x:v>NO</x:v>
      </x:c>
      <x:c r="K288" s="27" t="str">
        <x:v>Air</x:v>
      </x:c>
      <x:c r="L288" s="52" t="n">
        <x:v>13.51837520951911</x:v>
      </x:c>
      <x:c r="M288" s="40" t="n">
        <x:f>INDEX(Catchments!C:C,MATCH(A288,Catchments!A:A,0))</x:f>
        <x:v>4127033</x:v>
      </x:c>
      <x:c r="N288" s="40" t="n">
        <x:f>INDEX(Catchments!C:C,MATCH(B288,Catchments!A:A,0))</x:f>
        <x:v>15966265</x:v>
      </x:c>
    </x:row>
    <x:row r="289" ht="15" hidden="0" customHeight="1">
      <x:c r="A289" s="29" t="str">
        <x:v>SCA-10</x:v>
      </x:c>
      <x:c r="B289" s="29" t="str">
        <x:v>SCA-06</x:v>
      </x:c>
      <x:c r="C289" s="53" t="n">
        <x:v>34.668789939590376</x:v>
      </x:c>
      <x:c r="D289" s="29" t="str">
        <x:v>YES</x:v>
      </x:c>
      <x:c r="E289" s="53" t="n">
        <x:v>36.239763523963866</x:v>
      </x:c>
      <x:c r="F289" s="29" t="str">
        <x:v>YES</x:v>
      </x:c>
      <x:c r="G289" s="53" t="n">
        <x:v>13.517358008269625</x:v>
      </x:c>
      <x:c r="H289" s="29" t="str">
        <x:v>YES</x:v>
      </x:c>
      <x:c r="I289" s="53"/>
      <x:c r="J289" s="29" t="str">
        <x:v>NO</x:v>
      </x:c>
      <x:c r="K289" s="29" t="str">
        <x:v>Air</x:v>
      </x:c>
      <x:c r="L289" s="53" t="n">
        <x:v>13.517358008269625</x:v>
      </x:c>
      <x:c r="M289" s="41" t="n">
        <x:f>INDEX(Catchments!C:C,MATCH(A289,Catchments!A:A,0))</x:f>
        <x:v>4127033</x:v>
      </x:c>
      <x:c r="N289" s="41" t="n">
        <x:f>INDEX(Catchments!C:C,MATCH(B289,Catchments!A:A,0))</x:f>
        <x:v>6008575</x:v>
      </x:c>
    </x:row>
    <x:row r="290" ht="15" hidden="0" customHeight="1">
      <x:c r="A290" s="27" t="str">
        <x:v>SCA-10</x:v>
      </x:c>
      <x:c r="B290" s="27" t="str">
        <x:v>SCA-07</x:v>
      </x:c>
      <x:c r="C290" s="52" t="n">
        <x:v>28.80362368380826</x:v>
      </x:c>
      <x:c r="D290" s="27" t="str">
        <x:v>YES</x:v>
      </x:c>
      <x:c r="E290" s="52" t="n">
        <x:v>31.63141860870649</x:v>
      </x:c>
      <x:c r="F290" s="27" t="str">
        <x:v>YES</x:v>
      </x:c>
      <x:c r="G290" s="52" t="n">
        <x:v>13.089229836266828</x:v>
      </x:c>
      <x:c r="H290" s="27" t="str">
        <x:v>YES</x:v>
      </x:c>
      <x:c r="I290" s="52"/>
      <x:c r="J290" s="27" t="str">
        <x:v>NO</x:v>
      </x:c>
      <x:c r="K290" s="27" t="str">
        <x:v>Air</x:v>
      </x:c>
      <x:c r="L290" s="52" t="n">
        <x:v>13.089229836266828</x:v>
      </x:c>
      <x:c r="M290" s="40" t="n">
        <x:f>INDEX(Catchments!C:C,MATCH(A290,Catchments!A:A,0))</x:f>
        <x:v>4127033</x:v>
      </x:c>
      <x:c r="N290" s="40" t="n">
        <x:f>INDEX(Catchments!C:C,MATCH(B290,Catchments!A:A,0))</x:f>
        <x:v>5229370</x:v>
      </x:c>
    </x:row>
    <x:row r="291" ht="15" hidden="0" customHeight="1">
      <x:c r="A291" s="29" t="str">
        <x:v>SCA-10</x:v>
      </x:c>
      <x:c r="B291" s="29" t="str">
        <x:v>SCA-08</x:v>
      </x:c>
      <x:c r="C291" s="53" t="n">
        <x:v>24.118722120435205</x:v>
      </x:c>
      <x:c r="D291" s="29" t="str">
        <x:v>YES</x:v>
      </x:c>
      <x:c r="E291" s="53" t="n">
        <x:v>27.95042452319909</x:v>
      </x:c>
      <x:c r="F291" s="29" t="str">
        <x:v>YES</x:v>
      </x:c>
      <x:c r="G291" s="53" t="n">
        <x:v>12.74452136003202</x:v>
      </x:c>
      <x:c r="H291" s="29" t="str">
        <x:v>YES</x:v>
      </x:c>
      <x:c r="I291" s="53"/>
      <x:c r="J291" s="29" t="str">
        <x:v>NO</x:v>
      </x:c>
      <x:c r="K291" s="29" t="str">
        <x:v>Air</x:v>
      </x:c>
      <x:c r="L291" s="53" t="n">
        <x:v>12.74452136003202</x:v>
      </x:c>
      <x:c r="M291" s="41" t="n">
        <x:f>INDEX(Catchments!C:C,MATCH(A291,Catchments!A:A,0))</x:f>
        <x:v>4127033</x:v>
      </x:c>
      <x:c r="N291" s="41" t="n">
        <x:f>INDEX(Catchments!C:C,MATCH(B291,Catchments!A:A,0))</x:f>
        <x:v>2652387</x:v>
      </x:c>
    </x:row>
    <x:row r="292" ht="15" hidden="0" customHeight="1">
      <x:c r="A292" s="27" t="str">
        <x:v>SCA-10</x:v>
      </x:c>
      <x:c r="B292" s="27" t="str">
        <x:v>SCA-09</x:v>
      </x:c>
      <x:c r="C292" s="52" t="n">
        <x:v>32.72395535362865</x:v>
      </x:c>
      <x:c r="D292" s="27" t="str">
        <x:v>YES</x:v>
      </x:c>
      <x:c r="E292" s="52" t="n">
        <x:v>34.71167920642251</x:v>
      </x:c>
      <x:c r="F292" s="27" t="str">
        <x:v>YES</x:v>
      </x:c>
      <x:c r="G292" s="52" t="n">
        <x:v>13.377682333711807</x:v>
      </x:c>
      <x:c r="H292" s="27" t="str">
        <x:v>YES</x:v>
      </x:c>
      <x:c r="I292" s="52"/>
      <x:c r="J292" s="27" t="str">
        <x:v>NO</x:v>
      </x:c>
      <x:c r="K292" s="27" t="str">
        <x:v>Air</x:v>
      </x:c>
      <x:c r="L292" s="52" t="n">
        <x:v>13.377682333711807</x:v>
      </x:c>
      <x:c r="M292" s="40" t="n">
        <x:f>INDEX(Catchments!C:C,MATCH(A292,Catchments!A:A,0))</x:f>
        <x:v>4127033</x:v>
      </x:c>
      <x:c r="N292" s="40" t="n">
        <x:f>INDEX(Catchments!C:C,MATCH(B292,Catchments!A:A,0))</x:f>
        <x:v>7395716</x:v>
      </x:c>
    </x:row>
    <x:row r="293" ht="15" hidden="0" customHeight="1">
      <x:c r="A293" s="29" t="str">
        <x:v>SCA-10</x:v>
      </x:c>
      <x:c r="B293" s="29" t="str">
        <x:v>SCA-11</x:v>
      </x:c>
      <x:c r="C293" s="53" t="n">
        <x:v>40.84358451393547</x:v>
      </x:c>
      <x:c r="D293" s="29" t="str">
        <x:v>YES</x:v>
      </x:c>
      <x:c r="E293" s="53" t="n">
        <x:v>41.091387832377876</x:v>
      </x:c>
      <x:c r="F293" s="29" t="str">
        <x:v>YES</x:v>
      </x:c>
      <x:c r="G293" s="53" t="n">
        <x:v>13.617196886477998</x:v>
      </x:c>
      <x:c r="H293" s="29" t="str">
        <x:v>YES</x:v>
      </x:c>
      <x:c r="I293" s="53"/>
      <x:c r="J293" s="29" t="str">
        <x:v>NO</x:v>
      </x:c>
      <x:c r="K293" s="29" t="str">
        <x:v>Air</x:v>
      </x:c>
      <x:c r="L293" s="53" t="n">
        <x:v>13.617196886477998</x:v>
      </x:c>
      <x:c r="M293" s="41" t="n">
        <x:f>INDEX(Catchments!C:C,MATCH(A293,Catchments!A:A,0))</x:f>
        <x:v>4127033</x:v>
      </x:c>
      <x:c r="N293" s="41" t="n">
        <x:f>INDEX(Catchments!C:C,MATCH(B293,Catchments!A:A,0))</x:f>
        <x:v>3517787</x:v>
      </x:c>
    </x:row>
    <x:row r="294" ht="15" hidden="0" customHeight="1">
      <x:c r="A294" s="27" t="str">
        <x:v>SCA-10</x:v>
      </x:c>
      <x:c r="B294" s="27" t="str">
        <x:v>SCA-12</x:v>
      </x:c>
      <x:c r="C294" s="52" t="n">
        <x:v>26.295599313571678</x:v>
      </x:c>
      <x:c r="D294" s="27" t="str">
        <x:v>YES</x:v>
      </x:c>
      <x:c r="E294" s="52" t="n">
        <x:v>29.66082803209203</x:v>
      </x:c>
      <x:c r="F294" s="27" t="str">
        <x:v>YES</x:v>
      </x:c>
      <x:c r="G294" s="52" t="n">
        <x:v>12.904692926082197</x:v>
      </x:c>
      <x:c r="H294" s="27" t="str">
        <x:v>YES</x:v>
      </x:c>
      <x:c r="I294" s="52"/>
      <x:c r="J294" s="27" t="str">
        <x:v>NO</x:v>
      </x:c>
      <x:c r="K294" s="27" t="str">
        <x:v>Air</x:v>
      </x:c>
      <x:c r="L294" s="52" t="n">
        <x:v>12.904692926082197</x:v>
      </x:c>
      <x:c r="M294" s="40" t="n">
        <x:f>INDEX(Catchments!C:C,MATCH(A294,Catchments!A:A,0))</x:f>
        <x:v>4127033</x:v>
      </x:c>
      <x:c r="N294" s="40" t="n">
        <x:f>INDEX(Catchments!C:C,MATCH(B294,Catchments!A:A,0))</x:f>
        <x:v>7465186</x:v>
      </x:c>
    </x:row>
    <x:row r="295" ht="15" hidden="0" customHeight="1">
      <x:c r="A295" s="29" t="str">
        <x:v>SCA-10</x:v>
      </x:c>
      <x:c r="B295" s="29" t="str">
        <x:v>SCA-13</x:v>
      </x:c>
      <x:c r="C295" s="53" t="n">
        <x:v>55.358908512399175</x:v>
      </x:c>
      <x:c r="D295" s="29" t="str">
        <x:v>YES</x:v>
      </x:c>
      <x:c r="E295" s="53" t="n">
        <x:v>52.49628525974221</x:v>
      </x:c>
      <x:c r="F295" s="29" t="str">
        <x:v>YES</x:v>
      </x:c>
      <x:c r="G295" s="53" t="n">
        <x:v>14.663611187296455</x:v>
      </x:c>
      <x:c r="H295" s="29" t="str">
        <x:v>YES</x:v>
      </x:c>
      <x:c r="I295" s="53"/>
      <x:c r="J295" s="29" t="str">
        <x:v>NO</x:v>
      </x:c>
      <x:c r="K295" s="29" t="str">
        <x:v>Air</x:v>
      </x:c>
      <x:c r="L295" s="53" t="n">
        <x:v>14.663611187296455</x:v>
      </x:c>
      <x:c r="M295" s="41" t="n">
        <x:f>INDEX(Catchments!C:C,MATCH(A295,Catchments!A:A,0))</x:f>
        <x:v>4127033</x:v>
      </x:c>
      <x:c r="N295" s="41" t="n">
        <x:f>INDEX(Catchments!C:C,MATCH(B295,Catchments!A:A,0))</x:f>
        <x:v>6759014</x:v>
      </x:c>
    </x:row>
    <x:row r="296" ht="15" hidden="0" customHeight="1">
      <x:c r="A296" s="27" t="str">
        <x:v>SCA-10</x:v>
      </x:c>
      <x:c r="B296" s="27" t="str">
        <x:v>SCA-14</x:v>
      </x:c>
      <x:c r="C296" s="52" t="n">
        <x:v>62.696450580164836</x:v>
      </x:c>
      <x:c r="D296" s="27" t="str">
        <x:v>YES</x:v>
      </x:c>
      <x:c r="E296" s="52" t="n">
        <x:v>58.26149688441523</x:v>
      </x:c>
      <x:c r="F296" s="27" t="str">
        <x:v>YES</x:v>
      </x:c>
      <x:c r="G296" s="52" t="n">
        <x:v>15.103284569615724</x:v>
      </x:c>
      <x:c r="H296" s="27" t="str">
        <x:v>YES</x:v>
      </x:c>
      <x:c r="I296" s="52"/>
      <x:c r="J296" s="27" t="str">
        <x:v>NO</x:v>
      </x:c>
      <x:c r="K296" s="27" t="str">
        <x:v>Air</x:v>
      </x:c>
      <x:c r="L296" s="52" t="n">
        <x:v>15.103284569615724</x:v>
      </x:c>
      <x:c r="M296" s="40" t="n">
        <x:f>INDEX(Catchments!C:C,MATCH(A296,Catchments!A:A,0))</x:f>
        <x:v>4127033</x:v>
      </x:c>
      <x:c r="N296" s="40" t="n">
        <x:f>INDEX(Catchments!C:C,MATCH(B296,Catchments!A:A,0))</x:f>
        <x:v>2179728</x:v>
      </x:c>
    </x:row>
    <x:row r="297" ht="15" hidden="0" customHeight="1">
      <x:c r="A297" s="29" t="str">
        <x:v>SCA-10</x:v>
      </x:c>
      <x:c r="B297" s="29" t="str">
        <x:v>SCA-15</x:v>
      </x:c>
      <x:c r="C297" s="53" t="n">
        <x:v>47.67104303332393</x:v>
      </x:c>
      <x:c r="D297" s="29" t="str">
        <x:v>YES</x:v>
      </x:c>
      <x:c r="E297" s="53" t="n">
        <x:v>46.45581952618309</x:v>
      </x:c>
      <x:c r="F297" s="29" t="str">
        <x:v>YES</x:v>
      </x:c>
      <x:c r="G297" s="53" t="n">
        <x:v>14.442856836937857</x:v>
      </x:c>
      <x:c r="H297" s="29" t="str">
        <x:v>YES</x:v>
      </x:c>
      <x:c r="I297" s="53"/>
      <x:c r="J297" s="29" t="str">
        <x:v>NO</x:v>
      </x:c>
      <x:c r="K297" s="29" t="str">
        <x:v>Air</x:v>
      </x:c>
      <x:c r="L297" s="53" t="n">
        <x:v>14.442856836937857</x:v>
      </x:c>
      <x:c r="M297" s="41" t="n">
        <x:f>INDEX(Catchments!C:C,MATCH(A297,Catchments!A:A,0))</x:f>
        <x:v>4127033</x:v>
      </x:c>
      <x:c r="N297" s="41" t="n">
        <x:f>INDEX(Catchments!C:C,MATCH(B297,Catchments!A:A,0))</x:f>
        <x:v>13192386</x:v>
      </x:c>
    </x:row>
    <x:row r="298" ht="15" hidden="0" customHeight="1">
      <x:c r="A298" s="27" t="str">
        <x:v>SCA-10</x:v>
      </x:c>
      <x:c r="B298" s="27" t="str">
        <x:v>SCA-16</x:v>
      </x:c>
      <x:c r="C298" s="52" t="n">
        <x:v>42.51591280435533</x:v>
      </x:c>
      <x:c r="D298" s="27" t="str">
        <x:v>YES</x:v>
      </x:c>
      <x:c r="E298" s="52" t="n">
        <x:v>42.4053600605649</x:v>
      </x:c>
      <x:c r="F298" s="27" t="str">
        <x:v>YES</x:v>
      </x:c>
      <x:c r="G298" s="52" t="n">
        <x:v>14.084019226748106</x:v>
      </x:c>
      <x:c r="H298" s="27" t="str">
        <x:v>YES</x:v>
      </x:c>
      <x:c r="I298" s="52"/>
      <x:c r="J298" s="27" t="str">
        <x:v>NO</x:v>
      </x:c>
      <x:c r="K298" s="27" t="str">
        <x:v>Air</x:v>
      </x:c>
      <x:c r="L298" s="52" t="n">
        <x:v>14.084019226748106</x:v>
      </x:c>
      <x:c r="M298" s="40" t="n">
        <x:f>INDEX(Catchments!C:C,MATCH(A298,Catchments!A:A,0))</x:f>
        <x:v>4127033</x:v>
      </x:c>
      <x:c r="N298" s="40" t="n">
        <x:f>INDEX(Catchments!C:C,MATCH(B298,Catchments!A:A,0))</x:f>
        <x:v>10177969</x:v>
      </x:c>
    </x:row>
    <x:row r="299" ht="15" hidden="0" customHeight="1">
      <x:c r="A299" s="29" t="str">
        <x:v>SCA-10</x:v>
      </x:c>
      <x:c r="B299" s="29" t="str">
        <x:v>SCA-17</x:v>
      </x:c>
      <x:c r="C299" s="53" t="n">
        <x:v>56.19490472101432</x:v>
      </x:c>
      <x:c r="D299" s="29" t="str">
        <x:v>YES</x:v>
      </x:c>
      <x:c r="E299" s="53" t="n">
        <x:v>53.15313942365411</x:v>
      </x:c>
      <x:c r="F299" s="29" t="str">
        <x:v>YES</x:v>
      </x:c>
      <x:c r="G299" s="53" t="n">
        <x:v>15.052611044857011</x:v>
      </x:c>
      <x:c r="H299" s="29" t="str">
        <x:v>YES</x:v>
      </x:c>
      <x:c r="I299" s="53"/>
      <x:c r="J299" s="29" t="str">
        <x:v>NO</x:v>
      </x:c>
      <x:c r="K299" s="29" t="str">
        <x:v>Air</x:v>
      </x:c>
      <x:c r="L299" s="53" t="n">
        <x:v>15.052611044857011</x:v>
      </x:c>
      <x:c r="M299" s="41" t="n">
        <x:f>INDEX(Catchments!C:C,MATCH(A299,Catchments!A:A,0))</x:f>
        <x:v>4127033</x:v>
      </x:c>
      <x:c r="N299" s="41" t="n">
        <x:f>INDEX(Catchments!C:C,MATCH(B299,Catchments!A:A,0))</x:f>
        <x:v>12843509</x:v>
      </x:c>
    </x:row>
    <x:row r="300" ht="15" hidden="0" customHeight="1">
      <x:c r="A300" s="27" t="str">
        <x:v>SCA-10</x:v>
      </x:c>
      <x:c r="B300" s="27" t="str">
        <x:v>SCA-18</x:v>
      </x:c>
      <x:c r="C300" s="52" t="n">
        <x:v>48.6856773439618</x:v>
      </x:c>
      <x:c r="D300" s="27" t="str">
        <x:v>YES</x:v>
      </x:c>
      <x:c r="E300" s="52" t="n">
        <x:v>47.25303219882713</x:v>
      </x:c>
      <x:c r="F300" s="27" t="str">
        <x:v>YES</x:v>
      </x:c>
      <x:c r="G300" s="52" t="n">
        <x:v>14.253894175563353</x:v>
      </x:c>
      <x:c r="H300" s="27" t="str">
        <x:v>YES</x:v>
      </x:c>
      <x:c r="I300" s="52"/>
      <x:c r="J300" s="27" t="str">
        <x:v>NO</x:v>
      </x:c>
      <x:c r="K300" s="27" t="str">
        <x:v>Air</x:v>
      </x:c>
      <x:c r="L300" s="52" t="n">
        <x:v>14.253894175563353</x:v>
      </x:c>
      <x:c r="M300" s="40" t="n">
        <x:f>INDEX(Catchments!C:C,MATCH(A300,Catchments!A:A,0))</x:f>
        <x:v>4127033</x:v>
      </x:c>
      <x:c r="N300" s="40" t="n">
        <x:f>INDEX(Catchments!C:C,MATCH(B300,Catchments!A:A,0))</x:f>
        <x:v>11004680</x:v>
      </x:c>
    </x:row>
    <x:row r="301" ht="15" hidden="0" customHeight="1">
      <x:c r="A301" s="29" t="str">
        <x:v>SCA-10</x:v>
      </x:c>
      <x:c r="B301" s="29" t="str">
        <x:v>SCA-19</x:v>
      </x:c>
      <x:c r="C301" s="53" t="n">
        <x:v>51.99746142124652</x:v>
      </x:c>
      <x:c r="D301" s="29" t="str">
        <x:v>YES</x:v>
      </x:c>
      <x:c r="E301" s="53" t="n">
        <x:v>49.855148259550845</x:v>
      </x:c>
      <x:c r="F301" s="29" t="str">
        <x:v>YES</x:v>
      </x:c>
      <x:c r="G301" s="53" t="n">
        <x:v>14.708739028154477</x:v>
      </x:c>
      <x:c r="H301" s="29" t="str">
        <x:v>YES</x:v>
      </x:c>
      <x:c r="I301" s="53"/>
      <x:c r="J301" s="29" t="str">
        <x:v>NO</x:v>
      </x:c>
      <x:c r="K301" s="29" t="str">
        <x:v>Air</x:v>
      </x:c>
      <x:c r="L301" s="53" t="n">
        <x:v>14.708739028154477</x:v>
      </x:c>
      <x:c r="M301" s="41" t="n">
        <x:f>INDEX(Catchments!C:C,MATCH(A301,Catchments!A:A,0))</x:f>
        <x:v>4127033</x:v>
      </x:c>
      <x:c r="N301" s="41" t="n">
        <x:f>INDEX(Catchments!C:C,MATCH(B301,Catchments!A:A,0))</x:f>
        <x:v>6677653</x:v>
      </x:c>
    </x:row>
    <x:row r="302" ht="15" hidden="0" customHeight="1">
      <x:c r="A302" s="27" t="str">
        <x:v>SCA-10</x:v>
      </x:c>
      <x:c r="B302" s="27" t="str">
        <x:v>SCA-20</x:v>
      </x:c>
      <x:c r="C302" s="52" t="n">
        <x:v>57.227288959823724</x:v>
      </x:c>
      <x:c r="D302" s="27" t="str">
        <x:v>YES</x:v>
      </x:c>
      <x:c r="E302" s="52" t="n">
        <x:v>53.96429846843293</x:v>
      </x:c>
      <x:c r="F302" s="27" t="str">
        <x:v>YES</x:v>
      </x:c>
      <x:c r="G302" s="52" t="n">
        <x:v>15.132300311811932</x:v>
      </x:c>
      <x:c r="H302" s="27" t="str">
        <x:v>YES</x:v>
      </x:c>
      <x:c r="I302" s="52"/>
      <x:c r="J302" s="27" t="str">
        <x:v>NO</x:v>
      </x:c>
      <x:c r="K302" s="27" t="str">
        <x:v>Air</x:v>
      </x:c>
      <x:c r="L302" s="52" t="n">
        <x:v>15.132300311811932</x:v>
      </x:c>
      <x:c r="M302" s="40" t="n">
        <x:f>INDEX(Catchments!C:C,MATCH(A302,Catchments!A:A,0))</x:f>
        <x:v>4127033</x:v>
      </x:c>
      <x:c r="N302" s="40" t="n">
        <x:f>INDEX(Catchments!C:C,MATCH(B302,Catchments!A:A,0))</x:f>
        <x:v>8490774</x:v>
      </x:c>
    </x:row>
    <x:row r="303" ht="15" hidden="0" customHeight="1">
      <x:c r="A303" s="29" t="str">
        <x:v>SCA-10</x:v>
      </x:c>
      <x:c r="B303" s="29" t="str">
        <x:v>SCA-21</x:v>
      </x:c>
      <x:c r="C303" s="53" t="n">
        <x:v>60.351160000432074</x:v>
      </x:c>
      <x:c r="D303" s="29" t="str">
        <x:v>YES</x:v>
      </x:c>
      <x:c r="E303" s="53" t="n">
        <x:v>56.418768571768055</x:v>
      </x:c>
      <x:c r="F303" s="29" t="str">
        <x:v>YES</x:v>
      </x:c>
      <x:c r="G303" s="53" t="n">
        <x:v>14.979944910828737</x:v>
      </x:c>
      <x:c r="H303" s="29" t="str">
        <x:v>YES</x:v>
      </x:c>
      <x:c r="I303" s="53"/>
      <x:c r="J303" s="29" t="str">
        <x:v>NO</x:v>
      </x:c>
      <x:c r="K303" s="29" t="str">
        <x:v>Air</x:v>
      </x:c>
      <x:c r="L303" s="53" t="n">
        <x:v>14.979944910828737</x:v>
      </x:c>
      <x:c r="M303" s="41" t="n">
        <x:f>INDEX(Catchments!C:C,MATCH(A303,Catchments!A:A,0))</x:f>
        <x:v>4127033</x:v>
      </x:c>
      <x:c r="N303" s="41" t="n">
        <x:f>INDEX(Catchments!C:C,MATCH(B303,Catchments!A:A,0))</x:f>
        <x:v>19593580</x:v>
      </x:c>
    </x:row>
    <x:row r="304" ht="15" hidden="0" customHeight="1">
      <x:c r="A304" s="27" t="str">
        <x:v>SCA-10</x:v>
      </x:c>
      <x:c r="B304" s="27" t="str">
        <x:v>SCA-22</x:v>
      </x:c>
      <x:c r="C304" s="52" t="n">
        <x:v>62.13532743688887</x:v>
      </x:c>
      <x:c r="D304" s="27" t="str">
        <x:v>YES</x:v>
      </x:c>
      <x:c r="E304" s="52" t="n">
        <x:v>57.8206144146984</x:v>
      </x:c>
      <x:c r="F304" s="27" t="str">
        <x:v>YES</x:v>
      </x:c>
      <x:c r="G304" s="52" t="n">
        <x:v>15.439714257392682</x:v>
      </x:c>
      <x:c r="H304" s="27" t="str">
        <x:v>YES</x:v>
      </x:c>
      <x:c r="I304" s="52"/>
      <x:c r="J304" s="27" t="str">
        <x:v>NO</x:v>
      </x:c>
      <x:c r="K304" s="27" t="str">
        <x:v>Air</x:v>
      </x:c>
      <x:c r="L304" s="52" t="n">
        <x:v>15.439714257392682</x:v>
      </x:c>
      <x:c r="M304" s="40" t="n">
        <x:f>INDEX(Catchments!C:C,MATCH(A304,Catchments!A:A,0))</x:f>
        <x:v>4127033</x:v>
      </x:c>
      <x:c r="N304" s="40" t="n">
        <x:f>INDEX(Catchments!C:C,MATCH(B304,Catchments!A:A,0))</x:f>
        <x:v>14732006</x:v>
      </x:c>
    </x:row>
    <x:row r="305" ht="15" hidden="0" customHeight="1">
      <x:c r="A305" s="29" t="str">
        <x:v>SCA-10</x:v>
      </x:c>
      <x:c r="B305" s="29" t="str">
        <x:v>SCA-23</x:v>
      </x:c>
      <x:c r="C305" s="53" t="n">
        <x:v>67.76363430253636</x:v>
      </x:c>
      <x:c r="D305" s="29" t="str">
        <x:v>YES</x:v>
      </x:c>
      <x:c r="E305" s="53" t="n">
        <x:v>62.24285552342143</x:v>
      </x:c>
      <x:c r="F305" s="29" t="str">
        <x:v>YES</x:v>
      </x:c>
      <x:c r="G305" s="53" t="n">
        <x:v>15.835428388802324</x:v>
      </x:c>
      <x:c r="H305" s="29" t="str">
        <x:v>YES</x:v>
      </x:c>
      <x:c r="I305" s="53"/>
      <x:c r="J305" s="29" t="str">
        <x:v>NO</x:v>
      </x:c>
      <x:c r="K305" s="29" t="str">
        <x:v>Air</x:v>
      </x:c>
      <x:c r="L305" s="53" t="n">
        <x:v>15.835428388802324</x:v>
      </x:c>
      <x:c r="M305" s="41" t="n">
        <x:f>INDEX(Catchments!C:C,MATCH(A305,Catchments!A:A,0))</x:f>
        <x:v>4127033</x:v>
      </x:c>
      <x:c r="N305" s="41" t="n">
        <x:f>INDEX(Catchments!C:C,MATCH(B305,Catchments!A:A,0))</x:f>
        <x:v>20869310</x:v>
      </x:c>
    </x:row>
    <x:row r="306" ht="15" hidden="0" customHeight="1">
      <x:c r="A306" s="27" t="str">
        <x:v>SCA-10</x:v>
      </x:c>
      <x:c r="B306" s="27" t="str">
        <x:v>SCA-24</x:v>
      </x:c>
      <x:c r="C306" s="52" t="n">
        <x:v>67.57370642157821</x:v>
      </x:c>
      <x:c r="D306" s="27" t="str">
        <x:v>YES</x:v>
      </x:c>
      <x:c r="E306" s="52" t="n">
        <x:v>62.093626474097164</x:v>
      </x:c>
      <x:c r="F306" s="27" t="str">
        <x:v>YES</x:v>
      </x:c>
      <x:c r="G306" s="52" t="n">
        <x:v>15.503984625228743</x:v>
      </x:c>
      <x:c r="H306" s="27" t="str">
        <x:v>YES</x:v>
      </x:c>
      <x:c r="I306" s="52"/>
      <x:c r="J306" s="27" t="str">
        <x:v>NO</x:v>
      </x:c>
      <x:c r="K306" s="27" t="str">
        <x:v>Air</x:v>
      </x:c>
      <x:c r="L306" s="52" t="n">
        <x:v>15.503984625228743</x:v>
      </x:c>
      <x:c r="M306" s="40" t="n">
        <x:f>INDEX(Catchments!C:C,MATCH(A306,Catchments!A:A,0))</x:f>
        <x:v>4127033</x:v>
      </x:c>
      <x:c r="N306" s="40" t="n">
        <x:f>INDEX(Catchments!C:C,MATCH(B306,Catchments!A:A,0))</x:f>
        <x:v>11816161</x:v>
      </x:c>
    </x:row>
    <x:row r="307" ht="15" hidden="0" customHeight="1">
      <x:c r="A307" s="29" t="str">
        <x:v>SCA-10</x:v>
      </x:c>
      <x:c r="B307" s="29" t="str">
        <x:v>SCA-25</x:v>
      </x:c>
      <x:c r="C307" s="53" t="n">
        <x:v>76.75607393743527</x:v>
      </x:c>
      <x:c r="D307" s="29" t="str">
        <x:v>NO</x:v>
      </x:c>
      <x:c r="E307" s="53" t="n">
        <x:v>69.30834380798485</x:v>
      </x:c>
      <x:c r="F307" s="29" t="str">
        <x:v>YES</x:v>
      </x:c>
      <x:c r="G307" s="53" t="n">
        <x:v>16.424546802593376</x:v>
      </x:c>
      <x:c r="H307" s="29" t="str">
        <x:v>YES</x:v>
      </x:c>
      <x:c r="I307" s="53"/>
      <x:c r="J307" s="29" t="str">
        <x:v>NO</x:v>
      </x:c>
      <x:c r="K307" s="29" t="str">
        <x:v>Air</x:v>
      </x:c>
      <x:c r="L307" s="53" t="n">
        <x:v>16.424546802593376</x:v>
      </x:c>
      <x:c r="M307" s="41" t="n">
        <x:f>INDEX(Catchments!C:C,MATCH(A307,Catchments!A:A,0))</x:f>
        <x:v>4127033</x:v>
      </x:c>
      <x:c r="N307" s="41" t="n">
        <x:f>INDEX(Catchments!C:C,MATCH(B307,Catchments!A:A,0))</x:f>
        <x:v>6408394</x:v>
      </x:c>
    </x:row>
    <x:row r="308" ht="15" hidden="0" customHeight="1">
      <x:c r="A308" s="27" t="str">
        <x:v>SCA-10</x:v>
      </x:c>
      <x:c r="B308" s="27" t="str">
        <x:v>SCA-26</x:v>
      </x:c>
      <x:c r="C308" s="52" t="n">
        <x:v>82.7287913149775</x:v>
      </x:c>
      <x:c r="D308" s="27" t="str">
        <x:v>NO</x:v>
      </x:c>
      <x:c r="E308" s="52" t="n">
        <x:v>74.00119317605375</x:v>
      </x:c>
      <x:c r="F308" s="27" t="str">
        <x:v>NO</x:v>
      </x:c>
      <x:c r="G308" s="52" t="n">
        <x:v>16.70149938800827</x:v>
      </x:c>
      <x:c r="H308" s="27" t="str">
        <x:v>YES</x:v>
      </x:c>
      <x:c r="I308" s="52"/>
      <x:c r="J308" s="27" t="str">
        <x:v>NO</x:v>
      </x:c>
      <x:c r="K308" s="27" t="str">
        <x:v>Air</x:v>
      </x:c>
      <x:c r="L308" s="52" t="n">
        <x:v>16.70149938800827</x:v>
      </x:c>
      <x:c r="M308" s="40" t="n">
        <x:f>INDEX(Catchments!C:C,MATCH(A308,Catchments!A:A,0))</x:f>
        <x:v>4127033</x:v>
      </x:c>
      <x:c r="N308" s="40" t="n">
        <x:f>INDEX(Catchments!C:C,MATCH(B308,Catchments!A:A,0))</x:f>
        <x:v>10737083</x:v>
      </x:c>
    </x:row>
    <x:row r="309" ht="15" hidden="0" customHeight="1">
      <x:c r="A309" s="29" t="str">
        <x:v>SCA-10</x:v>
      </x:c>
      <x:c r="B309" s="29" t="str">
        <x:v>SCA-27</x:v>
      </x:c>
      <x:c r="C309" s="53" t="n">
        <x:v>87.81294157169656</x:v>
      </x:c>
      <x:c r="D309" s="29" t="str">
        <x:v>NO</x:v>
      </x:c>
      <x:c r="E309" s="53" t="n">
        <x:v>77.99588266347587</x:v>
      </x:c>
      <x:c r="F309" s="29" t="str">
        <x:v>NO</x:v>
      </x:c>
      <x:c r="G309" s="53" t="n">
        <x:v>17.05516846397283</x:v>
      </x:c>
      <x:c r="H309" s="29" t="str">
        <x:v>YES</x:v>
      </x:c>
      <x:c r="I309" s="53"/>
      <x:c r="J309" s="29" t="str">
        <x:v>NO</x:v>
      </x:c>
      <x:c r="K309" s="29" t="str">
        <x:v>Air</x:v>
      </x:c>
      <x:c r="L309" s="53" t="n">
        <x:v>17.05516846397283</x:v>
      </x:c>
      <x:c r="M309" s="41" t="n">
        <x:f>INDEX(Catchments!C:C,MATCH(A309,Catchments!A:A,0))</x:f>
        <x:v>4127033</x:v>
      </x:c>
      <x:c r="N309" s="41" t="n">
        <x:f>INDEX(Catchments!C:C,MATCH(B309,Catchments!A:A,0))</x:f>
        <x:v>7505606</x:v>
      </x:c>
    </x:row>
    <x:row r="310" ht="15" hidden="0" customHeight="1">
      <x:c r="A310" s="27" t="str">
        <x:v>SCA-10</x:v>
      </x:c>
      <x:c r="B310" s="27" t="str">
        <x:v>SCA-28</x:v>
      </x:c>
      <x:c r="C310" s="52" t="n">
        <x:v>73.85632698714957</x:v>
      </x:c>
      <x:c r="D310" s="27" t="str">
        <x:v>NO</x:v>
      </x:c>
      <x:c r="E310" s="52" t="n">
        <x:v>67.02997120418894</x:v>
      </x:c>
      <x:c r="F310" s="27" t="str">
        <x:v>YES</x:v>
      </x:c>
      <x:c r="G310" s="52" t="n">
        <x:v>16.12046026888857</x:v>
      </x:c>
      <x:c r="H310" s="27" t="str">
        <x:v>YES</x:v>
      </x:c>
      <x:c r="I310" s="52"/>
      <x:c r="J310" s="27" t="str">
        <x:v>NO</x:v>
      </x:c>
      <x:c r="K310" s="27" t="str">
        <x:v>Air</x:v>
      </x:c>
      <x:c r="L310" s="52" t="n">
        <x:v>16.12046026888857</x:v>
      </x:c>
      <x:c r="M310" s="40" t="n">
        <x:f>INDEX(Catchments!C:C,MATCH(A310,Catchments!A:A,0))</x:f>
        <x:v>4127033</x:v>
      </x:c>
      <x:c r="N310" s="40" t="n">
        <x:f>INDEX(Catchments!C:C,MATCH(B310,Catchments!A:A,0))</x:f>
        <x:v>21305157</x:v>
      </x:c>
    </x:row>
    <x:row r="311" ht="15" hidden="0" customHeight="1">
      <x:c r="A311" s="29" t="str">
        <x:v>SCA-10</x:v>
      </x:c>
      <x:c r="B311" s="29" t="str">
        <x:v>SCA-29</x:v>
      </x:c>
      <x:c r="C311" s="53" t="n">
        <x:v>75.18155515896423</x:v>
      </x:c>
      <x:c r="D311" s="29" t="str">
        <x:v>NO</x:v>
      </x:c>
      <x:c r="E311" s="53" t="n">
        <x:v>68.07122191061475</x:v>
      </x:c>
      <x:c r="F311" s="29" t="str">
        <x:v>YES</x:v>
      </x:c>
      <x:c r="G311" s="53" t="n">
        <x:v>16.392477531626096</x:v>
      </x:c>
      <x:c r="H311" s="29" t="str">
        <x:v>YES</x:v>
      </x:c>
      <x:c r="I311" s="53"/>
      <x:c r="J311" s="29" t="str">
        <x:v>NO</x:v>
      </x:c>
      <x:c r="K311" s="29" t="str">
        <x:v>Air</x:v>
      </x:c>
      <x:c r="L311" s="53" t="n">
        <x:v>16.392477531626096</x:v>
      </x:c>
      <x:c r="M311" s="41" t="n">
        <x:f>INDEX(Catchments!C:C,MATCH(A311,Catchments!A:A,0))</x:f>
        <x:v>4127033</x:v>
      </x:c>
      <x:c r="N311" s="41" t="n">
        <x:f>INDEX(Catchments!C:C,MATCH(B311,Catchments!A:A,0))</x:f>
        <x:v>19271685</x:v>
      </x:c>
    </x:row>
    <x:row r="312" ht="15" hidden="0" customHeight="1">
      <x:c r="A312" s="27" t="str">
        <x:v>SCA-10</x:v>
      </x:c>
      <x:c r="B312" s="27" t="str">
        <x:v>SCA-30</x:v>
      </x:c>
      <x:c r="C312" s="52" t="n">
        <x:v>82.28475818589938</x:v>
      </x:c>
      <x:c r="D312" s="27" t="str">
        <x:v>NO</x:v>
      </x:c>
      <x:c r="E312" s="52" t="n">
        <x:v>73.65231000320665</x:v>
      </x:c>
      <x:c r="F312" s="27" t="str">
        <x:v>NO</x:v>
      </x:c>
      <x:c r="G312" s="52" t="n">
        <x:v>16.71419164846526</x:v>
      </x:c>
      <x:c r="H312" s="27" t="str">
        <x:v>YES</x:v>
      </x:c>
      <x:c r="I312" s="52"/>
      <x:c r="J312" s="27" t="str">
        <x:v>NO</x:v>
      </x:c>
      <x:c r="K312" s="27" t="str">
        <x:v>Air</x:v>
      </x:c>
      <x:c r="L312" s="52" t="n">
        <x:v>16.71419164846526</x:v>
      </x:c>
      <x:c r="M312" s="40" t="n">
        <x:f>INDEX(Catchments!C:C,MATCH(A312,Catchments!A:A,0))</x:f>
        <x:v>4127033</x:v>
      </x:c>
      <x:c r="N312" s="40" t="n">
        <x:f>INDEX(Catchments!C:C,MATCH(B312,Catchments!A:A,0))</x:f>
        <x:v>41291847</x:v>
      </x:c>
    </x:row>
    <x:row r="313" ht="15" hidden="0" customHeight="1">
      <x:c r="A313" s="29" t="str">
        <x:v>SCA-10</x:v>
      </x:c>
      <x:c r="B313" s="29" t="str">
        <x:v>SCA-31</x:v>
      </x:c>
      <x:c r="C313" s="53" t="n">
        <x:v>89.43170628019949</x:v>
      </x:c>
      <x:c r="D313" s="29" t="str">
        <x:v>NO</x:v>
      </x:c>
      <x:c r="E313" s="53" t="n">
        <x:v>79.26776922015675</x:v>
      </x:c>
      <x:c r="F313" s="29" t="str">
        <x:v>NO</x:v>
      </x:c>
      <x:c r="G313" s="53" t="n">
        <x:v>17.017152428220054</x:v>
      </x:c>
      <x:c r="H313" s="29" t="str">
        <x:v>YES</x:v>
      </x:c>
      <x:c r="I313" s="53"/>
      <x:c r="J313" s="29" t="str">
        <x:v>NO</x:v>
      </x:c>
      <x:c r="K313" s="29" t="str">
        <x:v>Air</x:v>
      </x:c>
      <x:c r="L313" s="53" t="n">
        <x:v>17.017152428220054</x:v>
      </x:c>
      <x:c r="M313" s="41" t="n">
        <x:f>INDEX(Catchments!C:C,MATCH(A313,Catchments!A:A,0))</x:f>
        <x:v>4127033</x:v>
      </x:c>
      <x:c r="N313" s="41" t="n">
        <x:f>INDEX(Catchments!C:C,MATCH(B313,Catchments!A:A,0))</x:f>
        <x:v>14227128</x:v>
      </x:c>
    </x:row>
    <x:row r="314" ht="15" hidden="0" customHeight="1">
      <x:c r="A314" s="27" t="str">
        <x:v>SCA-10</x:v>
      </x:c>
      <x:c r="B314" s="27" t="str">
        <x:v>SCA-32</x:v>
      </x:c>
      <x:c r="C314" s="52"/>
      <x:c r="D314" s="27" t="str">
        <x:v>NO</x:v>
      </x:c>
      <x:c r="E314" s="52"/>
      <x:c r="F314" s="27" t="str">
        <x:v>NO</x:v>
      </x:c>
      <x:c r="G314" s="52" t="n">
        <x:v>19.639611456493412</x:v>
      </x:c>
      <x:c r="H314" s="27" t="str">
        <x:v>YES</x:v>
      </x:c>
      <x:c r="I314" s="52"/>
      <x:c r="J314" s="27" t="str">
        <x:v>NO</x:v>
      </x:c>
      <x:c r="K314" s="27" t="str">
        <x:v>Air</x:v>
      </x:c>
      <x:c r="L314" s="52" t="n">
        <x:v>19.639611456493412</x:v>
      </x:c>
      <x:c r="M314" s="40" t="n">
        <x:f>INDEX(Catchments!C:C,MATCH(A314,Catchments!A:A,0))</x:f>
        <x:v>4127033</x:v>
      </x:c>
      <x:c r="N314" s="40" t="n">
        <x:f>INDEX(Catchments!C:C,MATCH(B314,Catchments!A:A,0))</x:f>
        <x:v>3184835</x:v>
      </x:c>
    </x:row>
    <x:row r="315" ht="15" hidden="0" customHeight="1">
      <x:c r="A315" s="29" t="str">
        <x:v>SCA-11</x:v>
      </x:c>
      <x:c r="B315" s="29" t="str">
        <x:v>SCA-01</x:v>
      </x:c>
      <x:c r="C315" s="53"/>
      <x:c r="D315" s="29" t="str">
        <x:v>NO</x:v>
      </x:c>
      <x:c r="E315" s="53"/>
      <x:c r="F315" s="29" t="str">
        <x:v>NO</x:v>
      </x:c>
      <x:c r="G315" s="53" t="n">
        <x:v>20.169460190046173</x:v>
      </x:c>
      <x:c r="H315" s="29" t="str">
        <x:v>YES</x:v>
      </x:c>
      <x:c r="I315" s="53" t="n">
        <x:v>217.64818298321475</x:v>
      </x:c>
      <x:c r="J315" s="29" t="str">
        <x:v>NO</x:v>
      </x:c>
      <x:c r="K315" s="29" t="str">
        <x:v>Air</x:v>
      </x:c>
      <x:c r="L315" s="53" t="n">
        <x:v>20.169460190046173</x:v>
      </x:c>
      <x:c r="M315" s="41" t="n">
        <x:f>INDEX(Catchments!C:C,MATCH(A315,Catchments!A:A,0))</x:f>
        <x:v>3517787</x:v>
      </x:c>
      <x:c r="N315" s="41" t="n">
        <x:f>INDEX(Catchments!C:C,MATCH(B315,Catchments!A:A,0))</x:f>
        <x:v>1432820</x:v>
      </x:c>
    </x:row>
    <x:row r="316" ht="15" hidden="0" customHeight="1">
      <x:c r="A316" s="27" t="str">
        <x:v>SCA-11</x:v>
      </x:c>
      <x:c r="B316" s="27" t="str">
        <x:v>SCA-02</x:v>
      </x:c>
      <x:c r="C316" s="52"/>
      <x:c r="D316" s="27" t="str">
        <x:v>NO</x:v>
      </x:c>
      <x:c r="E316" s="52"/>
      <x:c r="F316" s="27" t="str">
        <x:v>NO</x:v>
      </x:c>
      <x:c r="G316" s="52" t="n">
        <x:v>18.595228816246667</x:v>
      </x:c>
      <x:c r="H316" s="27" t="str">
        <x:v>YES</x:v>
      </x:c>
      <x:c r="I316" s="52" t="n">
        <x:v>181.10352609144047</x:v>
      </x:c>
      <x:c r="J316" s="27" t="str">
        <x:v>NO</x:v>
      </x:c>
      <x:c r="K316" s="27" t="str">
        <x:v>Air</x:v>
      </x:c>
      <x:c r="L316" s="52" t="n">
        <x:v>18.595228816246667</x:v>
      </x:c>
      <x:c r="M316" s="40" t="n">
        <x:f>INDEX(Catchments!C:C,MATCH(A316,Catchments!A:A,0))</x:f>
        <x:v>3517787</x:v>
      </x:c>
      <x:c r="N316" s="40" t="n">
        <x:f>INDEX(Catchments!C:C,MATCH(B316,Catchments!A:A,0))</x:f>
        <x:v>737270</x:v>
      </x:c>
    </x:row>
    <x:row r="317" ht="15" hidden="0" customHeight="1">
      <x:c r="A317" s="29" t="str">
        <x:v>SCA-11</x:v>
      </x:c>
      <x:c r="B317" s="29" t="str">
        <x:v>SCA-03</x:v>
      </x:c>
      <x:c r="C317" s="53" t="n">
        <x:v>61.5750628319072</x:v>
      </x:c>
      <x:c r="D317" s="29" t="str">
        <x:v>YES</x:v>
      </x:c>
      <x:c r="E317" s="53" t="n">
        <x:v>57.38040651078423</x:v>
      </x:c>
      <x:c r="F317" s="29" t="str">
        <x:v>YES</x:v>
      </x:c>
      <x:c r="G317" s="53" t="n">
        <x:v>15.143450332900592</x:v>
      </x:c>
      <x:c r="H317" s="29" t="str">
        <x:v>YES</x:v>
      </x:c>
      <x:c r="I317" s="53" t="n">
        <x:v>100.97295415662092</x:v>
      </x:c>
      <x:c r="J317" s="29" t="str">
        <x:v>NO</x:v>
      </x:c>
      <x:c r="K317" s="29" t="str">
        <x:v>Air</x:v>
      </x:c>
      <x:c r="L317" s="53" t="n">
        <x:v>15.143450332900592</x:v>
      </x:c>
      <x:c r="M317" s="41" t="n">
        <x:f>INDEX(Catchments!C:C,MATCH(A317,Catchments!A:A,0))</x:f>
        <x:v>3517787</x:v>
      </x:c>
      <x:c r="N317" s="41" t="n">
        <x:f>INDEX(Catchments!C:C,MATCH(B317,Catchments!A:A,0))</x:f>
        <x:v>11968308</x:v>
      </x:c>
    </x:row>
    <x:row r="318" ht="15" hidden="0" customHeight="1">
      <x:c r="A318" s="27" t="str">
        <x:v>SCA-11</x:v>
      </x:c>
      <x:c r="B318" s="27" t="str">
        <x:v>SCA-04</x:v>
      </x:c>
      <x:c r="C318" s="52" t="n">
        <x:v>48.80895874175055</x:v>
      </x:c>
      <x:c r="D318" s="27" t="str">
        <x:v>YES</x:v>
      </x:c>
      <x:c r="E318" s="52" t="n">
        <x:v>47.349896154232574</x:v>
      </x:c>
      <x:c r="F318" s="27" t="str">
        <x:v>YES</x:v>
      </x:c>
      <x:c r="G318" s="52" t="n">
        <x:v>14.422791699226073</x:v>
      </x:c>
      <x:c r="H318" s="27" t="str">
        <x:v>YES</x:v>
      </x:c>
      <x:c r="I318" s="52" t="n">
        <x:v>84.24337873203385</x:v>
      </x:c>
      <x:c r="J318" s="27" t="str">
        <x:v>NO</x:v>
      </x:c>
      <x:c r="K318" s="27" t="str">
        <x:v>Air</x:v>
      </x:c>
      <x:c r="L318" s="52" t="n">
        <x:v>14.422791699226073</x:v>
      </x:c>
      <x:c r="M318" s="40" t="n">
        <x:f>INDEX(Catchments!C:C,MATCH(A318,Catchments!A:A,0))</x:f>
        <x:v>3517787</x:v>
      </x:c>
      <x:c r="N318" s="40" t="n">
        <x:f>INDEX(Catchments!C:C,MATCH(B318,Catchments!A:A,0))</x:f>
        <x:v>16200470</x:v>
      </x:c>
    </x:row>
    <x:row r="319" ht="15" hidden="0" customHeight="1">
      <x:c r="A319" s="29" t="str">
        <x:v>SCA-11</x:v>
      </x:c>
      <x:c r="B319" s="29" t="str">
        <x:v>SCA-05</x:v>
      </x:c>
      <x:c r="C319" s="53" t="n">
        <x:v>40.222348645664816</x:v>
      </x:c>
      <x:c r="D319" s="29" t="str">
        <x:v>YES</x:v>
      </x:c>
      <x:c r="E319" s="53" t="n">
        <x:v>40.6032739358795</x:v>
      </x:c>
      <x:c r="F319" s="29" t="str">
        <x:v>YES</x:v>
      </x:c>
      <x:c r="G319" s="53" t="n">
        <x:v>13.883484751094736</x:v>
      </x:c>
      <x:c r="H319" s="29" t="str">
        <x:v>YES</x:v>
      </x:c>
      <x:c r="I319" s="53" t="n">
        <x:v>71.7237531504135</x:v>
      </x:c>
      <x:c r="J319" s="29" t="str">
        <x:v>YES</x:v>
      </x:c>
      <x:c r="K319" s="29" t="str">
        <x:v>Air</x:v>
      </x:c>
      <x:c r="L319" s="53" t="n">
        <x:v>13.883484751094736</x:v>
      </x:c>
      <x:c r="M319" s="41" t="n">
        <x:f>INDEX(Catchments!C:C,MATCH(A319,Catchments!A:A,0))</x:f>
        <x:v>3517787</x:v>
      </x:c>
      <x:c r="N319" s="41" t="n">
        <x:f>INDEX(Catchments!C:C,MATCH(B319,Catchments!A:A,0))</x:f>
        <x:v>15966265</x:v>
      </x:c>
    </x:row>
    <x:row r="320" ht="15" hidden="0" customHeight="1">
      <x:c r="A320" s="27" t="str">
        <x:v>SCA-11</x:v>
      </x:c>
      <x:c r="B320" s="27" t="str">
        <x:v>SCA-06</x:v>
      </x:c>
      <x:c r="C320" s="52" t="n">
        <x:v>35.8449418769353</x:v>
      </x:c>
      <x:c r="D320" s="27" t="str">
        <x:v>YES</x:v>
      </x:c>
      <x:c r="E320" s="52" t="n">
        <x:v>37.16388290330631</x:v>
      </x:c>
      <x:c r="F320" s="27" t="str">
        <x:v>YES</x:v>
      </x:c>
      <x:c r="G320" s="52" t="n">
        <x:v>13.606204550500035</x:v>
      </x:c>
      <x:c r="H320" s="27" t="str">
        <x:v>YES</x:v>
      </x:c>
      <x:c r="I320" s="52" t="n">
        <x:v>65.28689135089365</x:v>
      </x:c>
      <x:c r="J320" s="27" t="str">
        <x:v>YES</x:v>
      </x:c>
      <x:c r="K320" s="27" t="str">
        <x:v>Air</x:v>
      </x:c>
      <x:c r="L320" s="52" t="n">
        <x:v>13.606204550500035</x:v>
      </x:c>
      <x:c r="M320" s="40" t="n">
        <x:f>INDEX(Catchments!C:C,MATCH(A320,Catchments!A:A,0))</x:f>
        <x:v>3517787</x:v>
      </x:c>
      <x:c r="N320" s="40" t="n">
        <x:f>INDEX(Catchments!C:C,MATCH(B320,Catchments!A:A,0))</x:f>
        <x:v>6008575</x:v>
      </x:c>
    </x:row>
    <x:row r="321" ht="15" hidden="0" customHeight="1">
      <x:c r="A321" s="29" t="str">
        <x:v>SCA-11</x:v>
      </x:c>
      <x:c r="B321" s="29" t="str">
        <x:v>SCA-07</x:v>
      </x:c>
      <x:c r="C321" s="53" t="n">
        <x:v>36.070700802611555</x:v>
      </x:c>
      <x:c r="D321" s="29" t="str">
        <x:v>YES</x:v>
      </x:c>
      <x:c r="E321" s="53" t="n">
        <x:v>37.34126491633765</x:v>
      </x:c>
      <x:c r="F321" s="29" t="str">
        <x:v>YES</x:v>
      </x:c>
      <x:c r="G321" s="53" t="n">
        <x:v>13.503088367526638</x:v>
      </x:c>
      <x:c r="H321" s="29" t="str">
        <x:v>YES</x:v>
      </x:c>
      <x:c r="I321" s="53" t="n">
        <x:v>62.89312281758268</x:v>
      </x:c>
      <x:c r="J321" s="29" t="str">
        <x:v>YES</x:v>
      </x:c>
      <x:c r="K321" s="29" t="str">
        <x:v>Air</x:v>
      </x:c>
      <x:c r="L321" s="53" t="n">
        <x:v>13.503088367526638</x:v>
      </x:c>
      <x:c r="M321" s="41" t="n">
        <x:f>INDEX(Catchments!C:C,MATCH(A321,Catchments!A:A,0))</x:f>
        <x:v>3517787</x:v>
      </x:c>
      <x:c r="N321" s="41" t="n">
        <x:f>INDEX(Catchments!C:C,MATCH(B321,Catchments!A:A,0))</x:f>
        <x:v>5229370</x:v>
      </x:c>
    </x:row>
    <x:row r="322" ht="15" hidden="0" customHeight="1">
      <x:c r="A322" s="27" t="str">
        <x:v>SCA-11</x:v>
      </x:c>
      <x:c r="B322" s="27" t="str">
        <x:v>SCA-08</x:v>
      </x:c>
      <x:c r="C322" s="52" t="n">
        <x:v>49.85406510331611</x:v>
      </x:c>
      <x:c r="D322" s="27" t="str">
        <x:v>YES</x:v>
      </x:c>
      <x:c r="E322" s="52" t="n">
        <x:v>48.171051152605514</x:v>
      </x:c>
      <x:c r="F322" s="27" t="str">
        <x:v>YES</x:v>
      </x:c>
      <x:c r="G322" s="52" t="n">
        <x:v>14.361294480243775</x:v>
      </x:c>
      <x:c r="H322" s="27" t="str">
        <x:v>YES</x:v>
      </x:c>
      <x:c r="I322" s="52" t="n">
        <x:v>82.81576471994478</x:v>
      </x:c>
      <x:c r="J322" s="27" t="str">
        <x:v>NO</x:v>
      </x:c>
      <x:c r="K322" s="27" t="str">
        <x:v>Air</x:v>
      </x:c>
      <x:c r="L322" s="52" t="n">
        <x:v>14.361294480243775</x:v>
      </x:c>
      <x:c r="M322" s="40" t="n">
        <x:f>INDEX(Catchments!C:C,MATCH(A322,Catchments!A:A,0))</x:f>
        <x:v>3517787</x:v>
      </x:c>
      <x:c r="N322" s="40" t="n">
        <x:f>INDEX(Catchments!C:C,MATCH(B322,Catchments!A:A,0))</x:f>
        <x:v>2652387</x:v>
      </x:c>
    </x:row>
    <x:row r="323" ht="15" hidden="0" customHeight="1">
      <x:c r="A323" s="29" t="str">
        <x:v>SCA-11</x:v>
      </x:c>
      <x:c r="B323" s="29" t="str">
        <x:v>SCA-09</x:v>
      </x:c>
      <x:c r="C323" s="53" t="n">
        <x:v>27.668224572174736</x:v>
      </x:c>
      <x:c r="D323" s="29" t="str">
        <x:v>YES</x:v>
      </x:c>
      <x:c r="E323" s="53" t="n">
        <x:v>30.739319306708722</x:v>
      </x:c>
      <x:c r="F323" s="29" t="str">
        <x:v>YES</x:v>
      </x:c>
      <x:c r="G323" s="53" t="n">
        <x:v>13.005688764507841</x:v>
      </x:c>
      <x:c r="H323" s="29" t="str">
        <x:v>YES</x:v>
      </x:c>
      <x:c r="I323" s="53"/>
      <x:c r="J323" s="29" t="str">
        <x:v>NO</x:v>
      </x:c>
      <x:c r="K323" s="29" t="str">
        <x:v>Air</x:v>
      </x:c>
      <x:c r="L323" s="53" t="n">
        <x:v>13.005688764507841</x:v>
      </x:c>
      <x:c r="M323" s="41" t="n">
        <x:f>INDEX(Catchments!C:C,MATCH(A323,Catchments!A:A,0))</x:f>
        <x:v>3517787</x:v>
      </x:c>
      <x:c r="N323" s="41" t="n">
        <x:f>INDEX(Catchments!C:C,MATCH(B323,Catchments!A:A,0))</x:f>
        <x:v>7395716</x:v>
      </x:c>
    </x:row>
    <x:row r="324" ht="15" hidden="0" customHeight="1">
      <x:c r="A324" s="27" t="str">
        <x:v>SCA-11</x:v>
      </x:c>
      <x:c r="B324" s="27" t="str">
        <x:v>SCA-10</x:v>
      </x:c>
      <x:c r="C324" s="52" t="n">
        <x:v>40.84358451393547</x:v>
      </x:c>
      <x:c r="D324" s="27" t="str">
        <x:v>YES</x:v>
      </x:c>
      <x:c r="E324" s="52" t="n">
        <x:v>41.091387832377876</x:v>
      </x:c>
      <x:c r="F324" s="27" t="str">
        <x:v>YES</x:v>
      </x:c>
      <x:c r="G324" s="52" t="n">
        <x:v>13.617196886477998</x:v>
      </x:c>
      <x:c r="H324" s="27" t="str">
        <x:v>YES</x:v>
      </x:c>
      <x:c r="I324" s="52"/>
      <x:c r="J324" s="27" t="str">
        <x:v>NO</x:v>
      </x:c>
      <x:c r="K324" s="27" t="str">
        <x:v>Air</x:v>
      </x:c>
      <x:c r="L324" s="52" t="n">
        <x:v>13.617196886477998</x:v>
      </x:c>
      <x:c r="M324" s="40" t="n">
        <x:f>INDEX(Catchments!C:C,MATCH(A324,Catchments!A:A,0))</x:f>
        <x:v>3517787</x:v>
      </x:c>
      <x:c r="N324" s="40" t="n">
        <x:f>INDEX(Catchments!C:C,MATCH(B324,Catchments!A:A,0))</x:f>
        <x:v>4127033</x:v>
      </x:c>
    </x:row>
    <x:row r="325" ht="15" hidden="0" customHeight="1">
      <x:c r="A325" s="29" t="str">
        <x:v>SCA-11</x:v>
      </x:c>
      <x:c r="B325" s="29" t="str">
        <x:v>SCA-12</x:v>
      </x:c>
      <x:c r="C325" s="53" t="n">
        <x:v>28.547985200363797</x:v>
      </x:c>
      <x:c r="D325" s="29" t="str">
        <x:v>YES</x:v>
      </x:c>
      <x:c r="E325" s="53" t="n">
        <x:v>31.43055980028584</x:v>
      </x:c>
      <x:c r="F325" s="29" t="str">
        <x:v>YES</x:v>
      </x:c>
      <x:c r="G325" s="53" t="n">
        <x:v>13.070420315745832</x:v>
      </x:c>
      <x:c r="H325" s="29" t="str">
        <x:v>YES</x:v>
      </x:c>
      <x:c r="I325" s="53"/>
      <x:c r="J325" s="29" t="str">
        <x:v>NO</x:v>
      </x:c>
      <x:c r="K325" s="29" t="str">
        <x:v>Air</x:v>
      </x:c>
      <x:c r="L325" s="53" t="n">
        <x:v>13.070420315745832</x:v>
      </x:c>
      <x:c r="M325" s="41" t="n">
        <x:f>INDEX(Catchments!C:C,MATCH(A325,Catchments!A:A,0))</x:f>
        <x:v>3517787</x:v>
      </x:c>
      <x:c r="N325" s="41" t="n">
        <x:f>INDEX(Catchments!C:C,MATCH(B325,Catchments!A:A,0))</x:f>
        <x:v>7465186</x:v>
      </x:c>
    </x:row>
    <x:row r="326" ht="15" hidden="0" customHeight="1">
      <x:c r="A326" s="27" t="str">
        <x:v>SCA-11</x:v>
      </x:c>
      <x:c r="B326" s="27" t="str">
        <x:v>SCA-13</x:v>
      </x:c>
      <x:c r="C326" s="52" t="n">
        <x:v>29.791831365593616</x:v>
      </x:c>
      <x:c r="D326" s="27" t="str">
        <x:v>YES</x:v>
      </x:c>
      <x:c r="E326" s="52" t="n">
        <x:v>32.40786750153784</x:v>
      </x:c>
      <x:c r="F326" s="27" t="str">
        <x:v>YES</x:v>
      </x:c>
      <x:c r="G326" s="52" t="n">
        <x:v>13.16194076937478</x:v>
      </x:c>
      <x:c r="H326" s="27" t="str">
        <x:v>YES</x:v>
      </x:c>
      <x:c r="I326" s="52" t="n">
        <x:v>54.97362500334313</x:v>
      </x:c>
      <x:c r="J326" s="27" t="str">
        <x:v>YES</x:v>
      </x:c>
      <x:c r="K326" s="27" t="str">
        <x:v>Air</x:v>
      </x:c>
      <x:c r="L326" s="52" t="n">
        <x:v>13.16194076937478</x:v>
      </x:c>
      <x:c r="M326" s="40" t="n">
        <x:f>INDEX(Catchments!C:C,MATCH(A326,Catchments!A:A,0))</x:f>
        <x:v>3517787</x:v>
      </x:c>
      <x:c r="N326" s="40" t="n">
        <x:f>INDEX(Catchments!C:C,MATCH(B326,Catchments!A:A,0))</x:f>
        <x:v>6759014</x:v>
      </x:c>
    </x:row>
    <x:row r="327" ht="15" hidden="0" customHeight="1">
      <x:c r="A327" s="29" t="str">
        <x:v>SCA-11</x:v>
      </x:c>
      <x:c r="B327" s="29" t="str">
        <x:v>SCA-14</x:v>
      </x:c>
      <x:c r="C327" s="53" t="n">
        <x:v>37.12937343335928</x:v>
      </x:c>
      <x:c r="D327" s="29" t="str">
        <x:v>YES</x:v>
      </x:c>
      <x:c r="E327" s="53" t="n">
        <x:v>38.17307912621086</x:v>
      </x:c>
      <x:c r="F327" s="29" t="str">
        <x:v>YES</x:v>
      </x:c>
      <x:c r="G327" s="53" t="n">
        <x:v>13.516062650366845</x:v>
      </x:c>
      <x:c r="H327" s="29" t="str">
        <x:v>YES</x:v>
      </x:c>
      <x:c r="I327" s="53" t="n">
        <x:v>63.194311526373156</x:v>
      </x:c>
      <x:c r="J327" s="29" t="str">
        <x:v>YES</x:v>
      </x:c>
      <x:c r="K327" s="29" t="str">
        <x:v>Air</x:v>
      </x:c>
      <x:c r="L327" s="53" t="n">
        <x:v>13.516062650366845</x:v>
      </x:c>
      <x:c r="M327" s="41" t="n">
        <x:f>INDEX(Catchments!C:C,MATCH(A327,Catchments!A:A,0))</x:f>
        <x:v>3517787</x:v>
      </x:c>
      <x:c r="N327" s="41" t="n">
        <x:f>INDEX(Catchments!C:C,MATCH(B327,Catchments!A:A,0))</x:f>
        <x:v>2179728</x:v>
      </x:c>
    </x:row>
    <x:row r="328" ht="15" hidden="0" customHeight="1">
      <x:c r="A328" s="27" t="str">
        <x:v>SCA-11</x:v>
      </x:c>
      <x:c r="B328" s="27" t="str">
        <x:v>SCA-15</x:v>
      </x:c>
      <x:c r="C328" s="52" t="n">
        <x:v>30.461412153898856</x:v>
      </x:c>
      <x:c r="D328" s="27" t="str">
        <x:v>YES</x:v>
      </x:c>
      <x:c r="E328" s="52" t="n">
        <x:v>32.9339666923491</x:v>
      </x:c>
      <x:c r="F328" s="27" t="str">
        <x:v>YES</x:v>
      </x:c>
      <x:c r="G328" s="52" t="n">
        <x:v>13.211207583230017</x:v>
      </x:c>
      <x:c r="H328" s="27" t="str">
        <x:v>YES</x:v>
      </x:c>
      <x:c r="I328" s="52" t="n">
        <x:v>56.11731889641109</x:v>
      </x:c>
      <x:c r="J328" s="27" t="str">
        <x:v>YES</x:v>
      </x:c>
      <x:c r="K328" s="27" t="str">
        <x:v>Air</x:v>
      </x:c>
      <x:c r="L328" s="52" t="n">
        <x:v>13.211207583230017</x:v>
      </x:c>
      <x:c r="M328" s="40" t="n">
        <x:f>INDEX(Catchments!C:C,MATCH(A328,Catchments!A:A,0))</x:f>
        <x:v>3517787</x:v>
      </x:c>
      <x:c r="N328" s="40" t="n">
        <x:f>INDEX(Catchments!C:C,MATCH(B328,Catchments!A:A,0))</x:f>
        <x:v>13192386</x:v>
      </x:c>
    </x:row>
    <x:row r="329" ht="15" hidden="0" customHeight="1">
      <x:c r="A329" s="29" t="str">
        <x:v>SCA-11</x:v>
      </x:c>
      <x:c r="B329" s="29" t="str">
        <x:v>SCA-16</x:v>
      </x:c>
      <x:c r="C329" s="53" t="n">
        <x:v>42.2800791893335</x:v>
      </x:c>
      <x:c r="D329" s="29" t="str">
        <x:v>YES</x:v>
      </x:c>
      <x:c r="E329" s="53" t="n">
        <x:v>42.220062220190606</x:v>
      </x:c>
      <x:c r="F329" s="29" t="str">
        <x:v>YES</x:v>
      </x:c>
      <x:c r="G329" s="53" t="n">
        <x:v>13.511091948230156</x:v>
      </x:c>
      <x:c r="H329" s="29" t="str">
        <x:v>YES</x:v>
      </x:c>
      <x:c r="I329" s="53"/>
      <x:c r="J329" s="29" t="str">
        <x:v>NO</x:v>
      </x:c>
      <x:c r="K329" s="29" t="str">
        <x:v>Air</x:v>
      </x:c>
      <x:c r="L329" s="53" t="n">
        <x:v>13.511091948230156</x:v>
      </x:c>
      <x:c r="M329" s="41" t="n">
        <x:f>INDEX(Catchments!C:C,MATCH(A329,Catchments!A:A,0))</x:f>
        <x:v>3517787</x:v>
      </x:c>
      <x:c r="N329" s="41" t="n">
        <x:f>INDEX(Catchments!C:C,MATCH(B329,Catchments!A:A,0))</x:f>
        <x:v>10177969</x:v>
      </x:c>
    </x:row>
    <x:row r="330" ht="15" hidden="0" customHeight="1">
      <x:c r="A330" s="27" t="str">
        <x:v>SCA-11</x:v>
      </x:c>
      <x:c r="B330" s="27" t="str">
        <x:v>SCA-17</x:v>
      </x:c>
      <x:c r="C330" s="52" t="n">
        <x:v>37.65247938278401</x:v>
      </x:c>
      <x:c r="D330" s="27" t="str">
        <x:v>YES</x:v>
      </x:c>
      <x:c r="E330" s="52" t="n">
        <x:v>38.584090943616005</x:v>
      </x:c>
      <x:c r="F330" s="27" t="str">
        <x:v>YES</x:v>
      </x:c>
      <x:c r="G330" s="52" t="n">
        <x:v>13.679315160779572</x:v>
      </x:c>
      <x:c r="H330" s="27" t="str">
        <x:v>YES</x:v>
      </x:c>
      <x:c r="I330" s="52" t="n">
        <x:v>66.98410194666864</x:v>
      </x:c>
      <x:c r="J330" s="27" t="str">
        <x:v>YES</x:v>
      </x:c>
      <x:c r="K330" s="27" t="str">
        <x:v>Air</x:v>
      </x:c>
      <x:c r="L330" s="52" t="n">
        <x:v>13.679315160779572</x:v>
      </x:c>
      <x:c r="M330" s="40" t="n">
        <x:f>INDEX(Catchments!C:C,MATCH(A330,Catchments!A:A,0))</x:f>
        <x:v>3517787</x:v>
      </x:c>
      <x:c r="N330" s="40" t="n">
        <x:f>INDEX(Catchments!C:C,MATCH(B330,Catchments!A:A,0))</x:f>
        <x:v>12843509</x:v>
      </x:c>
    </x:row>
    <x:row r="331" ht="15" hidden="0" customHeight="1">
      <x:c r="A331" s="29" t="str">
        <x:v>SCA-11</x:v>
      </x:c>
      <x:c r="B331" s="29" t="str">
        <x:v>SCA-18</x:v>
      </x:c>
      <x:c r="C331" s="53" t="n">
        <x:v>50.938063230753926</x:v>
      </x:c>
      <x:c r="D331" s="29" t="str">
        <x:v>YES</x:v>
      </x:c>
      <x:c r="E331" s="53" t="n">
        <x:v>49.02276396702094</x:v>
      </x:c>
      <x:c r="F331" s="29" t="str">
        <x:v>YES</x:v>
      </x:c>
      <x:c r="G331" s="53" t="n">
        <x:v>14.462977402031544</x:v>
      </x:c>
      <x:c r="H331" s="29" t="str">
        <x:v>YES</x:v>
      </x:c>
      <x:c r="I331" s="53" t="n">
        <x:v>85.17626111858944</x:v>
      </x:c>
      <x:c r="J331" s="29" t="str">
        <x:v>NO</x:v>
      </x:c>
      <x:c r="K331" s="29" t="str">
        <x:v>Air</x:v>
      </x:c>
      <x:c r="L331" s="53" t="n">
        <x:v>14.462977402031544</x:v>
      </x:c>
      <x:c r="M331" s="41" t="n">
        <x:f>INDEX(Catchments!C:C,MATCH(A331,Catchments!A:A,0))</x:f>
        <x:v>3517787</x:v>
      </x:c>
      <x:c r="N331" s="41" t="n">
        <x:f>INDEX(Catchments!C:C,MATCH(B331,Catchments!A:A,0))</x:f>
        <x:v>11004680</x:v>
      </x:c>
    </x:row>
    <x:row r="332" ht="15" hidden="0" customHeight="1">
      <x:c r="A332" s="27" t="str">
        <x:v>SCA-11</x:v>
      </x:c>
      <x:c r="B332" s="27" t="str">
        <x:v>SCA-19</x:v>
      </x:c>
      <x:c r="C332" s="52" t="n">
        <x:v>51.761627806224695</x:v>
      </x:c>
      <x:c r="D332" s="27" t="str">
        <x:v>YES</x:v>
      </x:c>
      <x:c r="E332" s="52" t="n">
        <x:v>49.66985041917655</x:v>
      </x:c>
      <x:c r="F332" s="27" t="str">
        <x:v>YES</x:v>
      </x:c>
      <x:c r="G332" s="52" t="n">
        <x:v>14.178676329209479</x:v>
      </x:c>
      <x:c r="H332" s="27" t="str">
        <x:v>YES</x:v>
      </x:c>
      <x:c r="I332" s="52" t="n">
        <x:v>78.57641478522007</x:v>
      </x:c>
      <x:c r="J332" s="27" t="str">
        <x:v>NO</x:v>
      </x:c>
      <x:c r="K332" s="27" t="str">
        <x:v>Air</x:v>
      </x:c>
      <x:c r="L332" s="52" t="n">
        <x:v>14.178676329209479</x:v>
      </x:c>
      <x:c r="M332" s="40" t="n">
        <x:f>INDEX(Catchments!C:C,MATCH(A332,Catchments!A:A,0))</x:f>
        <x:v>3517787</x:v>
      </x:c>
      <x:c r="N332" s="40" t="n">
        <x:f>INDEX(Catchments!C:C,MATCH(B332,Catchments!A:A,0))</x:f>
        <x:v>6677653</x:v>
      </x:c>
    </x:row>
    <x:row r="333" ht="15" hidden="0" customHeight="1">
      <x:c r="A333" s="29" t="str">
        <x:v>SCA-11</x:v>
      </x:c>
      <x:c r="B333" s="29" t="str">
        <x:v>SCA-20</x:v>
      </x:c>
      <x:c r="C333" s="53" t="n">
        <x:v>43.60674569354339</x:v>
      </x:c>
      <x:c r="D333" s="29" t="str">
        <x:v>YES</x:v>
      </x:c>
      <x:c r="E333" s="53" t="n">
        <x:v>43.262443044926954</x:v>
      </x:c>
      <x:c r="F333" s="29" t="str">
        <x:v>YES</x:v>
      </x:c>
      <x:c r="G333" s="53" t="n">
        <x:v>14.156914323372689</x:v>
      </x:c>
      <x:c r="H333" s="29" t="str">
        <x:v>YES</x:v>
      </x:c>
      <x:c r="I333" s="53" t="n">
        <x:v>78.07122536400885</x:v>
      </x:c>
      <x:c r="J333" s="29" t="str">
        <x:v>NO</x:v>
      </x:c>
      <x:c r="K333" s="29" t="str">
        <x:v>Air</x:v>
      </x:c>
      <x:c r="L333" s="53" t="n">
        <x:v>14.156914323372689</x:v>
      </x:c>
      <x:c r="M333" s="41" t="n">
        <x:f>INDEX(Catchments!C:C,MATCH(A333,Catchments!A:A,0))</x:f>
        <x:v>3517787</x:v>
      </x:c>
      <x:c r="N333" s="41" t="n">
        <x:f>INDEX(Catchments!C:C,MATCH(B333,Catchments!A:A,0))</x:f>
        <x:v>8490774</x:v>
      </x:c>
    </x:row>
    <x:row r="334" ht="15" hidden="0" customHeight="1">
      <x:c r="A334" s="27" t="str">
        <x:v>SCA-11</x:v>
      </x:c>
      <x:c r="B334" s="27" t="str">
        <x:v>SCA-21</x:v>
      </x:c>
      <x:c r="C334" s="52" t="n">
        <x:v>61.316670736681125</x:v>
      </x:c>
      <x:c r="D334" s="27" t="str">
        <x:v>YES</x:v>
      </x:c>
      <x:c r="E334" s="52" t="n">
        <x:v>57.17738415024946</x:v>
      </x:c>
      <x:c r="F334" s="27" t="str">
        <x:v>YES</x:v>
      </x:c>
      <x:c r="G334" s="52" t="n">
        <x:v>14.77309629826976</x:v>
      </x:c>
      <x:c r="H334" s="27" t="str">
        <x:v>YES</x:v>
      </x:c>
      <x:c r="I334" s="52" t="n">
        <x:v>92.37544978126229</x:v>
      </x:c>
      <x:c r="J334" s="27" t="str">
        <x:v>NO</x:v>
      </x:c>
      <x:c r="K334" s="27" t="str">
        <x:v>Air</x:v>
      </x:c>
      <x:c r="L334" s="52" t="n">
        <x:v>14.77309629826976</x:v>
      </x:c>
      <x:c r="M334" s="40" t="n">
        <x:f>INDEX(Catchments!C:C,MATCH(A334,Catchments!A:A,0))</x:f>
        <x:v>3517787</x:v>
      </x:c>
      <x:c r="N334" s="40" t="n">
        <x:f>INDEX(Catchments!C:C,MATCH(B334,Catchments!A:A,0))</x:f>
        <x:v>19593580</x:v>
      </x:c>
    </x:row>
    <x:row r="335" ht="15" hidden="0" customHeight="1">
      <x:c r="A335" s="29" t="str">
        <x:v>SCA-11</x:v>
      </x:c>
      <x:c r="B335" s="29" t="str">
        <x:v>SCA-22</x:v>
      </x:c>
      <x:c r="C335" s="53" t="n">
        <x:v>56.87019807611132</x:v>
      </x:c>
      <x:c r="D335" s="29" t="str">
        <x:v>YES</x:v>
      </x:c>
      <x:c r="E335" s="53" t="n">
        <x:v>53.683727059801754</x:v>
      </x:c>
      <x:c r="F335" s="29" t="str">
        <x:v>YES</x:v>
      </x:c>
      <x:c r="G335" s="53" t="n">
        <x:v>14.875555325721082</x:v>
      </x:c>
      <x:c r="H335" s="29" t="str">
        <x:v>YES</x:v>
      </x:c>
      <x:c r="I335" s="53" t="n">
        <x:v>94.75396291852512</x:v>
      </x:c>
      <x:c r="J335" s="29" t="str">
        <x:v>NO</x:v>
      </x:c>
      <x:c r="K335" s="29" t="str">
        <x:v>Air</x:v>
      </x:c>
      <x:c r="L335" s="53" t="n">
        <x:v>14.875555325721082</x:v>
      </x:c>
      <x:c r="M335" s="41" t="n">
        <x:f>INDEX(Catchments!C:C,MATCH(A335,Catchments!A:A,0))</x:f>
        <x:v>3517787</x:v>
      </x:c>
      <x:c r="N335" s="41" t="n">
        <x:f>INDEX(Catchments!C:C,MATCH(B335,Catchments!A:A,0))</x:f>
        <x:v>14732006</x:v>
      </x:c>
    </x:row>
    <x:row r="336" ht="15" hidden="0" customHeight="1">
      <x:c r="A336" s="27" t="str">
        <x:v>SCA-11</x:v>
      </x:c>
      <x:c r="B336" s="27" t="str">
        <x:v>SCA-23</x:v>
      </x:c>
      <x:c r="C336" s="52" t="n">
        <x:v>54.14309103625603</x:v>
      </x:c>
      <x:c r="D336" s="27" t="str">
        <x:v>YES</x:v>
      </x:c>
      <x:c r="E336" s="52" t="n">
        <x:v>51.54100009991545</x:v>
      </x:c>
      <x:c r="F336" s="27" t="str">
        <x:v>YES</x:v>
      </x:c>
      <x:c r="G336" s="52" t="n">
        <x:v>14.93198588095704</x:v>
      </x:c>
      <x:c r="H336" s="27" t="str">
        <x:v>YES</x:v>
      </x:c>
      <x:c r="I336" s="52" t="n">
        <x:v>96.0639579507884</x:v>
      </x:c>
      <x:c r="J336" s="27" t="str">
        <x:v>NO</x:v>
      </x:c>
      <x:c r="K336" s="27" t="str">
        <x:v>Air</x:v>
      </x:c>
      <x:c r="L336" s="52" t="n">
        <x:v>14.93198588095704</x:v>
      </x:c>
      <x:c r="M336" s="40" t="n">
        <x:f>INDEX(Catchments!C:C,MATCH(A336,Catchments!A:A,0))</x:f>
        <x:v>3517787</x:v>
      </x:c>
      <x:c r="N336" s="40" t="n">
        <x:f>INDEX(Catchments!C:C,MATCH(B336,Catchments!A:A,0))</x:f>
        <x:v>20869310</x:v>
      </x:c>
    </x:row>
    <x:row r="337" ht="15" hidden="0" customHeight="1">
      <x:c r="A337" s="29" t="str">
        <x:v>SCA-11</x:v>
      </x:c>
      <x:c r="B337" s="29" t="str">
        <x:v>SCA-24</x:v>
      </x:c>
      <x:c r="C337" s="53" t="n">
        <x:v>66.61224312727211</x:v>
      </x:c>
      <x:c r="D337" s="29" t="str">
        <x:v>YES</x:v>
      </x:c>
      <x:c r="E337" s="53" t="n">
        <x:v>61.33819102857095</x:v>
      </x:c>
      <x:c r="F337" s="29" t="str">
        <x:v>YES</x:v>
      </x:c>
      <x:c r="G337" s="53" t="n">
        <x:v>15.27024684214356</x:v>
      </x:c>
      <x:c r="H337" s="29" t="str">
        <x:v>YES</x:v>
      </x:c>
      <x:c r="I337" s="53" t="n">
        <x:v>103.91644454976124</x:v>
      </x:c>
      <x:c r="J337" s="29" t="str">
        <x:v>NO</x:v>
      </x:c>
      <x:c r="K337" s="29" t="str">
        <x:v>Air</x:v>
      </x:c>
      <x:c r="L337" s="53" t="n">
        <x:v>15.27024684214356</x:v>
      </x:c>
      <x:c r="M337" s="41" t="n">
        <x:f>INDEX(Catchments!C:C,MATCH(A337,Catchments!A:A,0))</x:f>
        <x:v>3517787</x:v>
      </x:c>
      <x:c r="N337" s="41" t="n">
        <x:f>INDEX(Catchments!C:C,MATCH(B337,Catchments!A:A,0))</x:f>
        <x:v>11816161</x:v>
      </x:c>
    </x:row>
    <x:row r="338" ht="15" hidden="0" customHeight="1">
      <x:c r="A338" s="27" t="str">
        <x:v>SCA-11</x:v>
      </x:c>
      <x:c r="B338" s="27" t="str">
        <x:v>SCA-25</x:v>
      </x:c>
      <x:c r="C338" s="52" t="n">
        <x:v>63.13553067115493</x:v>
      </x:c>
      <x:c r="D338" s="27" t="str">
        <x:v>YES</x:v>
      </x:c>
      <x:c r="E338" s="52" t="n">
        <x:v>58.60648838447888</x:v>
      </x:c>
      <x:c r="F338" s="27" t="str">
        <x:v>YES</x:v>
      </x:c>
      <x:c r="G338" s="52" t="n">
        <x:v>15.373468056568669</x:v>
      </x:c>
      <x:c r="H338" s="27" t="str">
        <x:v>YES</x:v>
      </x:c>
      <x:c r="I338" s="52" t="n">
        <x:v>106.31265131320124</x:v>
      </x:c>
      <x:c r="J338" s="27" t="str">
        <x:v>NO</x:v>
      </x:c>
      <x:c r="K338" s="27" t="str">
        <x:v>Air</x:v>
      </x:c>
      <x:c r="L338" s="52" t="n">
        <x:v>15.373468056568669</x:v>
      </x:c>
      <x:c r="M338" s="40" t="n">
        <x:f>INDEX(Catchments!C:C,MATCH(A338,Catchments!A:A,0))</x:f>
        <x:v>3517787</x:v>
      </x:c>
      <x:c r="N338" s="40" t="n">
        <x:f>INDEX(Catchments!C:C,MATCH(B338,Catchments!A:A,0))</x:f>
        <x:v>6408394</x:v>
      </x:c>
    </x:row>
    <x:row r="339" ht="15" hidden="0" customHeight="1">
      <x:c r="A339" s="29" t="str">
        <x:v>SCA-11</x:v>
      </x:c>
      <x:c r="B339" s="29" t="str">
        <x:v>SCA-26</x:v>
      </x:c>
      <x:c r="C339" s="53" t="n">
        <x:v>69.10824804869716</x:v>
      </x:c>
      <x:c r="D339" s="29" t="str">
        <x:v>YES</x:v>
      </x:c>
      <x:c r="E339" s="53" t="n">
        <x:v>63.29933775254777</x:v>
      </x:c>
      <x:c r="F339" s="29" t="str">
        <x:v>YES</x:v>
      </x:c>
      <x:c r="G339" s="53" t="n">
        <x:v>15.534939435707333</x:v>
      </x:c>
      <x:c r="H339" s="29" t="str">
        <x:v>YES</x:v>
      </x:c>
      <x:c r="I339" s="53" t="n">
        <x:v>110.06109404320594</x:v>
      </x:c>
      <x:c r="J339" s="29" t="str">
        <x:v>NO</x:v>
      </x:c>
      <x:c r="K339" s="29" t="str">
        <x:v>Air</x:v>
      </x:c>
      <x:c r="L339" s="53" t="n">
        <x:v>15.534939435707333</x:v>
      </x:c>
      <x:c r="M339" s="41" t="n">
        <x:f>INDEX(Catchments!C:C,MATCH(A339,Catchments!A:A,0))</x:f>
        <x:v>3517787</x:v>
      </x:c>
      <x:c r="N339" s="41" t="n">
        <x:f>INDEX(Catchments!C:C,MATCH(B339,Catchments!A:A,0))</x:f>
        <x:v>10737083</x:v>
      </x:c>
    </x:row>
    <x:row r="340" ht="15" hidden="0" customHeight="1">
      <x:c r="A340" s="27" t="str">
        <x:v>SCA-11</x:v>
      </x:c>
      <x:c r="B340" s="27" t="str">
        <x:v>SCA-27</x:v>
      </x:c>
      <x:c r="C340" s="52" t="n">
        <x:v>74.19239830541622</x:v>
      </x:c>
      <x:c r="D340" s="27" t="str">
        <x:v>NO</x:v>
      </x:c>
      <x:c r="E340" s="52" t="n">
        <x:v>67.29402723996989</x:v>
      </x:c>
      <x:c r="F340" s="27" t="str">
        <x:v>YES</x:v>
      </x:c>
      <x:c r="G340" s="52" t="n">
        <x:v>15.843824009036812</x:v>
      </x:c>
      <x:c r="H340" s="27" t="str">
        <x:v>YES</x:v>
      </x:c>
      <x:c r="I340" s="52" t="n">
        <x:v>117.23162878121171</x:v>
      </x:c>
      <x:c r="J340" s="27" t="str">
        <x:v>NO</x:v>
      </x:c>
      <x:c r="K340" s="27" t="str">
        <x:v>Air</x:v>
      </x:c>
      <x:c r="L340" s="52" t="n">
        <x:v>15.843824009036812</x:v>
      </x:c>
      <x:c r="M340" s="40" t="n">
        <x:f>INDEX(Catchments!C:C,MATCH(A340,Catchments!A:A,0))</x:f>
        <x:v>3517787</x:v>
      </x:c>
      <x:c r="N340" s="40" t="n">
        <x:f>INDEX(Catchments!C:C,MATCH(B340,Catchments!A:A,0))</x:f>
        <x:v>7505606</x:v>
      </x:c>
    </x:row>
    <x:row r="341" ht="15" hidden="0" customHeight="1">
      <x:c r="A341" s="29" t="str">
        <x:v>SCA-11</x:v>
      </x:c>
      <x:c r="B341" s="29" t="str">
        <x:v>SCA-28</x:v>
      </x:c>
      <x:c r="C341" s="53" t="n">
        <x:v>68.59119762637201</x:v>
      </x:c>
      <x:c r="D341" s="29" t="str">
        <x:v>YES</x:v>
      </x:c>
      <x:c r="E341" s="53" t="n">
        <x:v>62.893083849292296</x:v>
      </x:c>
      <x:c r="F341" s="29" t="str">
        <x:v>YES</x:v>
      </x:c>
      <x:c r="G341" s="53" t="n">
        <x:v>15.71932869057314</x:v>
      </x:c>
      <x:c r="H341" s="29" t="str">
        <x:v>YES</x:v>
      </x:c>
      <x:c r="I341" s="53" t="n">
        <x:v>114.34155888830506</x:v>
      </x:c>
      <x:c r="J341" s="29" t="str">
        <x:v>NO</x:v>
      </x:c>
      <x:c r="K341" s="29" t="str">
        <x:v>Air</x:v>
      </x:c>
      <x:c r="L341" s="53" t="n">
        <x:v>15.71932869057314</x:v>
      </x:c>
      <x:c r="M341" s="41" t="n">
        <x:f>INDEX(Catchments!C:C,MATCH(A341,Catchments!A:A,0))</x:f>
        <x:v>3517787</x:v>
      </x:c>
      <x:c r="N341" s="41" t="n">
        <x:f>INDEX(Catchments!C:C,MATCH(B341,Catchments!A:A,0))</x:f>
        <x:v>21305157</x:v>
      </x:c>
    </x:row>
    <x:row r="342" ht="15" hidden="0" customHeight="1">
      <x:c r="A342" s="27" t="str">
        <x:v>SCA-11</x:v>
      </x:c>
      <x:c r="B342" s="27" t="str">
        <x:v>SCA-29</x:v>
      </x:c>
      <x:c r="C342" s="52" t="n">
        <x:v>65.69681738212965</x:v>
      </x:c>
      <x:c r="D342" s="27" t="str">
        <x:v>YES</x:v>
      </x:c>
      <x:c r="E342" s="52" t="n">
        <x:v>60.618927943101866</x:v>
      </x:c>
      <x:c r="F342" s="27" t="str">
        <x:v>YES</x:v>
      </x:c>
      <x:c r="G342" s="52" t="n">
        <x:v>15.69249656536182</x:v>
      </x:c>
      <x:c r="H342" s="27" t="str">
        <x:v>YES</x:v>
      </x:c>
      <x:c r="I342" s="52" t="n">
        <x:v>113.71867026732797</x:v>
      </x:c>
      <x:c r="J342" s="27" t="str">
        <x:v>NO</x:v>
      </x:c>
      <x:c r="K342" s="27" t="str">
        <x:v>Air</x:v>
      </x:c>
      <x:c r="L342" s="52" t="n">
        <x:v>15.69249656536182</x:v>
      </x:c>
      <x:c r="M342" s="40" t="n">
        <x:f>INDEX(Catchments!C:C,MATCH(A342,Catchments!A:A,0))</x:f>
        <x:v>3517787</x:v>
      </x:c>
      <x:c r="N342" s="40" t="n">
        <x:f>INDEX(Catchments!C:C,MATCH(B342,Catchments!A:A,0))</x:f>
        <x:v>19271685</x:v>
      </x:c>
    </x:row>
    <x:row r="343" ht="15" hidden="0" customHeight="1">
      <x:c r="A343" s="29" t="str">
        <x:v>SCA-11</x:v>
      </x:c>
      <x:c r="B343" s="29" t="str">
        <x:v>SCA-30</x:v>
      </x:c>
      <x:c r="C343" s="53" t="n">
        <x:v>77.01962882512183</x:v>
      </x:c>
      <x:c r="D343" s="29" t="str">
        <x:v>NO</x:v>
      </x:c>
      <x:c r="E343" s="53" t="n">
        <x:v>69.51542264831002</x:v>
      </x:c>
      <x:c r="F343" s="29" t="str">
        <x:v>YES</x:v>
      </x:c>
      <x:c r="G343" s="53" t="n">
        <x:v>16.336750654551143</x:v>
      </x:c>
      <x:c r="H343" s="29" t="str">
        <x:v>YES</x:v>
      </x:c>
      <x:c r="I343" s="53" t="n">
        <x:v>128.67456876636584</x:v>
      </x:c>
      <x:c r="J343" s="29" t="str">
        <x:v>NO</x:v>
      </x:c>
      <x:c r="K343" s="29" t="str">
        <x:v>Air</x:v>
      </x:c>
      <x:c r="L343" s="53" t="n">
        <x:v>16.336750654551143</x:v>
      </x:c>
      <x:c r="M343" s="41" t="n">
        <x:f>INDEX(Catchments!C:C,MATCH(A343,Catchments!A:A,0))</x:f>
        <x:v>3517787</x:v>
      </x:c>
      <x:c r="N343" s="41" t="n">
        <x:f>INDEX(Catchments!C:C,MATCH(B343,Catchments!A:A,0))</x:f>
        <x:v>41291847</x:v>
      </x:c>
    </x:row>
    <x:row r="344" ht="15" hidden="0" customHeight="1">
      <x:c r="A344" s="27" t="str">
        <x:v>SCA-11</x:v>
      </x:c>
      <x:c r="B344" s="27" t="str">
        <x:v>SCA-31</x:v>
      </x:c>
      <x:c r="C344" s="52" t="n">
        <x:v>84.16657691942194</x:v>
      </x:c>
      <x:c r="D344" s="27" t="str">
        <x:v>NO</x:v>
      </x:c>
      <x:c r="E344" s="52" t="n">
        <x:v>75.13088186526011</x:v>
      </x:c>
      <x:c r="F344" s="27" t="str">
        <x:v>NO</x:v>
      </x:c>
      <x:c r="G344" s="52" t="n">
        <x:v>16.769351333653706</x:v>
      </x:c>
      <x:c r="H344" s="27" t="str">
        <x:v>YES</x:v>
      </x:c>
      <x:c r="I344" s="52" t="n">
        <x:v>138.71708453124677</x:v>
      </x:c>
      <x:c r="J344" s="27" t="str">
        <x:v>NO</x:v>
      </x:c>
      <x:c r="K344" s="27" t="str">
        <x:v>Air</x:v>
      </x:c>
      <x:c r="L344" s="52" t="n">
        <x:v>16.769351333653706</x:v>
      </x:c>
      <x:c r="M344" s="40" t="n">
        <x:f>INDEX(Catchments!C:C,MATCH(A344,Catchments!A:A,0))</x:f>
        <x:v>3517787</x:v>
      </x:c>
      <x:c r="N344" s="40" t="n">
        <x:f>INDEX(Catchments!C:C,MATCH(B344,Catchments!A:A,0))</x:f>
        <x:v>14227128</x:v>
      </x:c>
    </x:row>
    <x:row r="345" ht="15" hidden="0" customHeight="1">
      <x:c r="A345" s="29" t="str">
        <x:v>SCA-11</x:v>
      </x:c>
      <x:c r="B345" s="29" t="str">
        <x:v>SCA-32</x:v>
      </x:c>
      <x:c r="C345" s="53"/>
      <x:c r="D345" s="29" t="str">
        <x:v>NO</x:v>
      </x:c>
      <x:c r="E345" s="53"/>
      <x:c r="F345" s="29" t="str">
        <x:v>NO</x:v>
      </x:c>
      <x:c r="G345" s="53" t="n">
        <x:v>18.454458416509457</x:v>
      </x:c>
      <x:c r="H345" s="29" t="str">
        <x:v>YES</x:v>
      </x:c>
      <x:c r="I345" s="53" t="n">
        <x:v>177.8356418118267</x:v>
      </x:c>
      <x:c r="J345" s="29" t="str">
        <x:v>NO</x:v>
      </x:c>
      <x:c r="K345" s="29" t="str">
        <x:v>Air</x:v>
      </x:c>
      <x:c r="L345" s="53" t="n">
        <x:v>18.454458416509457</x:v>
      </x:c>
      <x:c r="M345" s="41" t="n">
        <x:f>INDEX(Catchments!C:C,MATCH(A345,Catchments!A:A,0))</x:f>
        <x:v>3517787</x:v>
      </x:c>
      <x:c r="N345" s="41" t="n">
        <x:f>INDEX(Catchments!C:C,MATCH(B345,Catchments!A:A,0))</x:f>
        <x:v>3184835</x:v>
      </x:c>
    </x:row>
    <x:row r="346" ht="15" hidden="0" customHeight="1">
      <x:c r="A346" s="27" t="str">
        <x:v>SCA-12</x:v>
      </x:c>
      <x:c r="B346" s="27" t="str">
        <x:v>SCA-01</x:v>
      </x:c>
      <x:c r="C346" s="52"/>
      <x:c r="D346" s="27" t="str">
        <x:v>NO</x:v>
      </x:c>
      <x:c r="E346" s="52"/>
      <x:c r="F346" s="27" t="str">
        <x:v>NO</x:v>
      </x:c>
      <x:c r="G346" s="52" t="n">
        <x:v>20.27426677531661</x:v>
      </x:c>
      <x:c r="H346" s="27" t="str">
        <x:v>YES</x:v>
      </x:c>
      <x:c r="I346" s="52"/>
      <x:c r="J346" s="27" t="str">
        <x:v>NO</x:v>
      </x:c>
      <x:c r="K346" s="27" t="str">
        <x:v>Air</x:v>
      </x:c>
      <x:c r="L346" s="52" t="n">
        <x:v>20.27426677531661</x:v>
      </x:c>
      <x:c r="M346" s="40" t="n">
        <x:f>INDEX(Catchments!C:C,MATCH(A346,Catchments!A:A,0))</x:f>
        <x:v>7465186</x:v>
      </x:c>
      <x:c r="N346" s="40" t="n">
        <x:f>INDEX(Catchments!C:C,MATCH(B346,Catchments!A:A,0))</x:f>
        <x:v>1432820</x:v>
      </x:c>
    </x:row>
    <x:row r="347" ht="15" hidden="0" customHeight="1">
      <x:c r="A347" s="29" t="str">
        <x:v>SCA-12</x:v>
      </x:c>
      <x:c r="B347" s="29" t="str">
        <x:v>SCA-02</x:v>
      </x:c>
      <x:c r="C347" s="53"/>
      <x:c r="D347" s="29" t="str">
        <x:v>NO</x:v>
      </x:c>
      <x:c r="E347" s="53"/>
      <x:c r="F347" s="29" t="str">
        <x:v>NO</x:v>
      </x:c>
      <x:c r="G347" s="53" t="n">
        <x:v>17.7156915843579</x:v>
      </x:c>
      <x:c r="H347" s="29" t="str">
        <x:v>YES</x:v>
      </x:c>
      <x:c r="I347" s="53"/>
      <x:c r="J347" s="29" t="str">
        <x:v>NO</x:v>
      </x:c>
      <x:c r="K347" s="29" t="str">
        <x:v>Air</x:v>
      </x:c>
      <x:c r="L347" s="53" t="n">
        <x:v>17.7156915843579</x:v>
      </x:c>
      <x:c r="M347" s="41" t="n">
        <x:f>INDEX(Catchments!C:C,MATCH(A347,Catchments!A:A,0))</x:f>
        <x:v>7465186</x:v>
      </x:c>
      <x:c r="N347" s="41" t="n">
        <x:f>INDEX(Catchments!C:C,MATCH(B347,Catchments!A:A,0))</x:f>
        <x:v>737270</x:v>
      </x:c>
    </x:row>
    <x:row r="348" ht="15" hidden="0" customHeight="1">
      <x:c r="A348" s="27" t="str">
        <x:v>SCA-12</x:v>
      </x:c>
      <x:c r="B348" s="27" t="str">
        <x:v>SCA-03</x:v>
      </x:c>
      <x:c r="C348" s="52" t="n">
        <x:v>47.027077631543406</x:v>
      </x:c>
      <x:c r="D348" s="27" t="str">
        <x:v>YES</x:v>
      </x:c>
      <x:c r="E348" s="52" t="n">
        <x:v>45.94984671049839</x:v>
      </x:c>
      <x:c r="F348" s="27" t="str">
        <x:v>YES</x:v>
      </x:c>
      <x:c r="G348" s="52" t="n">
        <x:v>14.425601440282097</x:v>
      </x:c>
      <x:c r="H348" s="27" t="str">
        <x:v>YES</x:v>
      </x:c>
      <x:c r="I348" s="52"/>
      <x:c r="J348" s="27" t="str">
        <x:v>NO</x:v>
      </x:c>
      <x:c r="K348" s="27" t="str">
        <x:v>Air</x:v>
      </x:c>
      <x:c r="L348" s="52" t="n">
        <x:v>14.425601440282097</x:v>
      </x:c>
      <x:c r="M348" s="40" t="n">
        <x:f>INDEX(Catchments!C:C,MATCH(A348,Catchments!A:A,0))</x:f>
        <x:v>7465186</x:v>
      </x:c>
      <x:c r="N348" s="40" t="n">
        <x:f>INDEX(Catchments!C:C,MATCH(B348,Catchments!A:A,0))</x:f>
        <x:v>11968308</x:v>
      </x:c>
    </x:row>
    <x:row r="349" ht="15" hidden="0" customHeight="1">
      <x:c r="A349" s="29" t="str">
        <x:v>SCA-12</x:v>
      </x:c>
      <x:c r="B349" s="29" t="str">
        <x:v>SCA-04</x:v>
      </x:c>
      <x:c r="C349" s="53" t="n">
        <x:v>53.83748093651893</x:v>
      </x:c>
      <x:c r="D349" s="29" t="str">
        <x:v>YES</x:v>
      </x:c>
      <x:c r="E349" s="53" t="n">
        <x:v>51.30087787869344</x:v>
      </x:c>
      <x:c r="F349" s="29" t="str">
        <x:v>YES</x:v>
      </x:c>
      <x:c r="G349" s="53" t="n">
        <x:v>14.23366007400611</x:v>
      </x:c>
      <x:c r="H349" s="29" t="str">
        <x:v>YES</x:v>
      </x:c>
      <x:c r="I349" s="53"/>
      <x:c r="J349" s="29" t="str">
        <x:v>NO</x:v>
      </x:c>
      <x:c r="K349" s="29" t="str">
        <x:v>Air</x:v>
      </x:c>
      <x:c r="L349" s="53" t="n">
        <x:v>14.23366007400611</x:v>
      </x:c>
      <x:c r="M349" s="41" t="n">
        <x:f>INDEX(Catchments!C:C,MATCH(A349,Catchments!A:A,0))</x:f>
        <x:v>7465186</x:v>
      </x:c>
      <x:c r="N349" s="41" t="n">
        <x:f>INDEX(Catchments!C:C,MATCH(B349,Catchments!A:A,0))</x:f>
        <x:v>16200470</x:v>
      </x:c>
    </x:row>
    <x:row r="350" ht="15" hidden="0" customHeight="1">
      <x:c r="A350" s="27" t="str">
        <x:v>SCA-12</x:v>
      </x:c>
      <x:c r="B350" s="27" t="str">
        <x:v>SCA-05</x:v>
      </x:c>
      <x:c r="C350" s="52" t="n">
        <x:v>46.48278482728671</x:v>
      </x:c>
      <x:c r="D350" s="27" t="str">
        <x:v>YES</x:v>
      </x:c>
      <x:c r="E350" s="52" t="n">
        <x:v>45.52218807858241</x:v>
      </x:c>
      <x:c r="F350" s="27" t="str">
        <x:v>YES</x:v>
      </x:c>
      <x:c r="G350" s="52" t="n">
        <x:v>14.043622029197104</x:v>
      </x:c>
      <x:c r="H350" s="27" t="str">
        <x:v>YES</x:v>
      </x:c>
      <x:c r="I350" s="52"/>
      <x:c r="J350" s="27" t="str">
        <x:v>NO</x:v>
      </x:c>
      <x:c r="K350" s="27" t="str">
        <x:v>Air</x:v>
      </x:c>
      <x:c r="L350" s="52" t="n">
        <x:v>14.043622029197104</x:v>
      </x:c>
      <x:c r="M350" s="40" t="n">
        <x:f>INDEX(Catchments!C:C,MATCH(A350,Catchments!A:A,0))</x:f>
        <x:v>7465186</x:v>
      </x:c>
      <x:c r="N350" s="40" t="n">
        <x:f>INDEX(Catchments!C:C,MATCH(B350,Catchments!A:A,0))</x:f>
        <x:v>15966265</x:v>
      </x:c>
    </x:row>
    <x:row r="351" ht="15" hidden="0" customHeight="1">
      <x:c r="A351" s="29" t="str">
        <x:v>SCA-12</x:v>
      </x:c>
      <x:c r="B351" s="29" t="str">
        <x:v>SCA-06</x:v>
      </x:c>
      <x:c r="C351" s="53" t="n">
        <x:v>42.10537805855719</x:v>
      </x:c>
      <x:c r="D351" s="29" t="str">
        <x:v>YES</x:v>
      </x:c>
      <x:c r="E351" s="53" t="n">
        <x:v>42.08279704600922</x:v>
      </x:c>
      <x:c r="F351" s="29" t="str">
        <x:v>YES</x:v>
      </x:c>
      <x:c r="G351" s="53" t="n">
        <x:v>13.900304322907221</x:v>
      </x:c>
      <x:c r="H351" s="29" t="str">
        <x:v>YES</x:v>
      </x:c>
      <x:c r="I351" s="53"/>
      <x:c r="J351" s="29" t="str">
        <x:v>NO</x:v>
      </x:c>
      <x:c r="K351" s="29" t="str">
        <x:v>Air</x:v>
      </x:c>
      <x:c r="L351" s="53" t="n">
        <x:v>13.900304322907221</x:v>
      </x:c>
      <x:c r="M351" s="41" t="n">
        <x:f>INDEX(Catchments!C:C,MATCH(A351,Catchments!A:A,0))</x:f>
        <x:v>7465186</x:v>
      </x:c>
      <x:c r="N351" s="41" t="n">
        <x:f>INDEX(Catchments!C:C,MATCH(B351,Catchments!A:A,0))</x:f>
        <x:v>6008575</x:v>
      </x:c>
    </x:row>
    <x:row r="352" ht="15" hidden="0" customHeight="1">
      <x:c r="A352" s="27" t="str">
        <x:v>SCA-12</x:v>
      </x:c>
      <x:c r="B352" s="27" t="str">
        <x:v>SCA-07</x:v>
      </x:c>
      <x:c r="C352" s="52" t="n">
        <x:v>41.09922299737994</x:v>
      </x:c>
      <x:c r="D352" s="27" t="str">
        <x:v>YES</x:v>
      </x:c>
      <x:c r="E352" s="52" t="n">
        <x:v>41.292246640798524</x:v>
      </x:c>
      <x:c r="F352" s="27" t="str">
        <x:v>YES</x:v>
      </x:c>
      <x:c r="G352" s="52" t="n">
        <x:v>13.56201273150511</x:v>
      </x:c>
      <x:c r="H352" s="27" t="str">
        <x:v>YES</x:v>
      </x:c>
      <x:c r="I352" s="52"/>
      <x:c r="J352" s="27" t="str">
        <x:v>NO</x:v>
      </x:c>
      <x:c r="K352" s="27" t="str">
        <x:v>Air</x:v>
      </x:c>
      <x:c r="L352" s="52" t="n">
        <x:v>13.56201273150511</x:v>
      </x:c>
      <x:c r="M352" s="40" t="n">
        <x:f>INDEX(Catchments!C:C,MATCH(A352,Catchments!A:A,0))</x:f>
        <x:v>7465186</x:v>
      </x:c>
      <x:c r="N352" s="40" t="n">
        <x:f>INDEX(Catchments!C:C,MATCH(B352,Catchments!A:A,0))</x:f>
        <x:v>5229370</x:v>
      </x:c>
    </x:row>
    <x:row r="353" ht="15" hidden="0" customHeight="1">
      <x:c r="A353" s="29" t="str">
        <x:v>SCA-12</x:v>
      </x:c>
      <x:c r="B353" s="29" t="str">
        <x:v>SCA-08</x:v>
      </x:c>
      <x:c r="C353" s="53" t="n">
        <x:v>35.30607990295231</x:v>
      </x:c>
      <x:c r="D353" s="29" t="str">
        <x:v>YES</x:v>
      </x:c>
      <x:c r="E353" s="53" t="n">
        <x:v>36.74049135231968</x:v>
      </x:c>
      <x:c r="F353" s="29" t="str">
        <x:v>YES</x:v>
      </x:c>
      <x:c r="G353" s="53" t="n">
        <x:v>13.567671430986458</x:v>
      </x:c>
      <x:c r="H353" s="29" t="str">
        <x:v>YES</x:v>
      </x:c>
      <x:c r="I353" s="53"/>
      <x:c r="J353" s="29" t="str">
        <x:v>NO</x:v>
      </x:c>
      <x:c r="K353" s="29" t="str">
        <x:v>Air</x:v>
      </x:c>
      <x:c r="L353" s="53" t="n">
        <x:v>13.567671430986458</x:v>
      </x:c>
      <x:c r="M353" s="41" t="n">
        <x:f>INDEX(Catchments!C:C,MATCH(A353,Catchments!A:A,0))</x:f>
        <x:v>7465186</x:v>
      </x:c>
      <x:c r="N353" s="41" t="n">
        <x:f>INDEX(Catchments!C:C,MATCH(B353,Catchments!A:A,0))</x:f>
        <x:v>2652387</x:v>
      </x:c>
    </x:row>
    <x:row r="354" ht="15" hidden="0" customHeight="1">
      <x:c r="A354" s="27" t="str">
        <x:v>SCA-12</x:v>
      </x:c>
      <x:c r="B354" s="27" t="str">
        <x:v>SCA-09</x:v>
      </x:c>
      <x:c r="C354" s="52" t="n">
        <x:v>33.92866075379662</x:v>
      </x:c>
      <x:c r="D354" s="27" t="str">
        <x:v>YES</x:v>
      </x:c>
      <x:c r="E354" s="52" t="n">
        <x:v>35.65823344941163</x:v>
      </x:c>
      <x:c r="F354" s="27" t="str">
        <x:v>YES</x:v>
      </x:c>
      <x:c r="G354" s="52" t="n">
        <x:v>13.466322864827845</x:v>
      </x:c>
      <x:c r="H354" s="27" t="str">
        <x:v>YES</x:v>
      </x:c>
      <x:c r="I354" s="52"/>
      <x:c r="J354" s="27" t="str">
        <x:v>NO</x:v>
      </x:c>
      <x:c r="K354" s="27" t="str">
        <x:v>Air</x:v>
      </x:c>
      <x:c r="L354" s="52" t="n">
        <x:v>13.466322864827845</x:v>
      </x:c>
      <x:c r="M354" s="40" t="n">
        <x:f>INDEX(Catchments!C:C,MATCH(A354,Catchments!A:A,0))</x:f>
        <x:v>7465186</x:v>
      </x:c>
      <x:c r="N354" s="40" t="n">
        <x:f>INDEX(Catchments!C:C,MATCH(B354,Catchments!A:A,0))</x:f>
        <x:v>7395716</x:v>
      </x:c>
    </x:row>
    <x:row r="355" ht="15" hidden="0" customHeight="1">
      <x:c r="A355" s="29" t="str">
        <x:v>SCA-12</x:v>
      </x:c>
      <x:c r="B355" s="29" t="str">
        <x:v>SCA-10</x:v>
      </x:c>
      <x:c r="C355" s="53" t="n">
        <x:v>26.295599313571678</x:v>
      </x:c>
      <x:c r="D355" s="29" t="str">
        <x:v>YES</x:v>
      </x:c>
      <x:c r="E355" s="53" t="n">
        <x:v>29.66082803209203</x:v>
      </x:c>
      <x:c r="F355" s="29" t="str">
        <x:v>YES</x:v>
      </x:c>
      <x:c r="G355" s="53" t="n">
        <x:v>12.904692926082197</x:v>
      </x:c>
      <x:c r="H355" s="29" t="str">
        <x:v>YES</x:v>
      </x:c>
      <x:c r="I355" s="53"/>
      <x:c r="J355" s="29" t="str">
        <x:v>NO</x:v>
      </x:c>
      <x:c r="K355" s="29" t="str">
        <x:v>Air</x:v>
      </x:c>
      <x:c r="L355" s="53" t="n">
        <x:v>12.904692926082197</x:v>
      </x:c>
      <x:c r="M355" s="41" t="n">
        <x:f>INDEX(Catchments!C:C,MATCH(A355,Catchments!A:A,0))</x:f>
        <x:v>7465186</x:v>
      </x:c>
      <x:c r="N355" s="41" t="n">
        <x:f>INDEX(Catchments!C:C,MATCH(B355,Catchments!A:A,0))</x:f>
        <x:v>4127033</x:v>
      </x:c>
    </x:row>
    <x:row r="356" ht="15" hidden="0" customHeight="1">
      <x:c r="A356" s="27" t="str">
        <x:v>SCA-12</x:v>
      </x:c>
      <x:c r="B356" s="27" t="str">
        <x:v>SCA-11</x:v>
      </x:c>
      <x:c r="C356" s="52" t="n">
        <x:v>28.547985200363797</x:v>
      </x:c>
      <x:c r="D356" s="27" t="str">
        <x:v>YES</x:v>
      </x:c>
      <x:c r="E356" s="52" t="n">
        <x:v>31.43055980028584</x:v>
      </x:c>
      <x:c r="F356" s="27" t="str">
        <x:v>YES</x:v>
      </x:c>
      <x:c r="G356" s="52" t="n">
        <x:v>13.070420315745832</x:v>
      </x:c>
      <x:c r="H356" s="27" t="str">
        <x:v>YES</x:v>
      </x:c>
      <x:c r="I356" s="52"/>
      <x:c r="J356" s="27" t="str">
        <x:v>NO</x:v>
      </x:c>
      <x:c r="K356" s="27" t="str">
        <x:v>Air</x:v>
      </x:c>
      <x:c r="L356" s="52" t="n">
        <x:v>13.070420315745832</x:v>
      </x:c>
      <x:c r="M356" s="40" t="n">
        <x:f>INDEX(Catchments!C:C,MATCH(A356,Catchments!A:A,0))</x:f>
        <x:v>7465186</x:v>
      </x:c>
      <x:c r="N356" s="40" t="n">
        <x:f>INDEX(Catchments!C:C,MATCH(B356,Catchments!A:A,0))</x:f>
        <x:v>3517787</x:v>
      </x:c>
    </x:row>
    <x:row r="357" ht="15" hidden="0" customHeight="1">
      <x:c r="A357" s="29" t="str">
        <x:v>SCA-12</x:v>
      </x:c>
      <x:c r="B357" s="29" t="str">
        <x:v>SCA-13</x:v>
      </x:c>
      <x:c r="C357" s="53" t="n">
        <x:v>43.0633091988275</x:v>
      </x:c>
      <x:c r="D357" s="29" t="str">
        <x:v>YES</x:v>
      </x:c>
      <x:c r="E357" s="53" t="n">
        <x:v>42.83545722765018</x:v>
      </x:c>
      <x:c r="F357" s="29" t="str">
        <x:v>YES</x:v>
      </x:c>
      <x:c r="G357" s="53" t="n">
        <x:v>13.877967952879313</x:v>
      </x:c>
      <x:c r="H357" s="29" t="str">
        <x:v>YES</x:v>
      </x:c>
      <x:c r="I357" s="53"/>
      <x:c r="J357" s="29" t="str">
        <x:v>NO</x:v>
      </x:c>
      <x:c r="K357" s="29" t="str">
        <x:v>Air</x:v>
      </x:c>
      <x:c r="L357" s="53" t="n">
        <x:v>13.877967952879313</x:v>
      </x:c>
      <x:c r="M357" s="41" t="n">
        <x:f>INDEX(Catchments!C:C,MATCH(A357,Catchments!A:A,0))</x:f>
        <x:v>7465186</x:v>
      </x:c>
      <x:c r="N357" s="41" t="n">
        <x:f>INDEX(Catchments!C:C,MATCH(B357,Catchments!A:A,0))</x:f>
        <x:v>6759014</x:v>
      </x:c>
    </x:row>
    <x:row r="358" ht="15" hidden="0" customHeight="1">
      <x:c r="A358" s="27" t="str">
        <x:v>SCA-12</x:v>
      </x:c>
      <x:c r="B358" s="27" t="str">
        <x:v>SCA-14</x:v>
      </x:c>
      <x:c r="C358" s="52" t="n">
        <x:v>50.400851266593165</x:v>
      </x:c>
      <x:c r="D358" s="27" t="str">
        <x:v>YES</x:v>
      </x:c>
      <x:c r="E358" s="52" t="n">
        <x:v>48.600668852323196</x:v>
      </x:c>
      <x:c r="F358" s="27" t="str">
        <x:v>YES</x:v>
      </x:c>
      <x:c r="G358" s="52" t="n">
        <x:v>14.371500828222771</x:v>
      </x:c>
      <x:c r="H358" s="27" t="str">
        <x:v>YES</x:v>
      </x:c>
      <x:c r="I358" s="52"/>
      <x:c r="J358" s="27" t="str">
        <x:v>NO</x:v>
      </x:c>
      <x:c r="K358" s="27" t="str">
        <x:v>Air</x:v>
      </x:c>
      <x:c r="L358" s="52" t="n">
        <x:v>14.371500828222771</x:v>
      </x:c>
      <x:c r="M358" s="40" t="n">
        <x:f>INDEX(Catchments!C:C,MATCH(A358,Catchments!A:A,0))</x:f>
        <x:v>7465186</x:v>
      </x:c>
      <x:c r="N358" s="40" t="n">
        <x:f>INDEX(Catchments!C:C,MATCH(B358,Catchments!A:A,0))</x:f>
        <x:v>2179728</x:v>
      </x:c>
    </x:row>
    <x:row r="359" ht="15" hidden="0" customHeight="1">
      <x:c r="A359" s="29" t="str">
        <x:v>SCA-12</x:v>
      </x:c>
      <x:c r="B359" s="29" t="str">
        <x:v>SCA-15</x:v>
      </x:c>
      <x:c r="C359" s="53" t="n">
        <x:v>35.375443719752255</x:v>
      </x:c>
      <x:c r="D359" s="29" t="str">
        <x:v>YES</x:v>
      </x:c>
      <x:c r="E359" s="53" t="n">
        <x:v>36.794991494091065</x:v>
      </x:c>
      <x:c r="F359" s="29" t="str">
        <x:v>YES</x:v>
      </x:c>
      <x:c r="G359" s="53" t="n">
        <x:v>13.572775123192475</x:v>
      </x:c>
      <x:c r="H359" s="29" t="str">
        <x:v>YES</x:v>
      </x:c>
      <x:c r="I359" s="53"/>
      <x:c r="J359" s="29" t="str">
        <x:v>NO</x:v>
      </x:c>
      <x:c r="K359" s="29" t="str">
        <x:v>Air</x:v>
      </x:c>
      <x:c r="L359" s="53" t="n">
        <x:v>13.572775123192475</x:v>
      </x:c>
      <x:c r="M359" s="41" t="n">
        <x:f>INDEX(Catchments!C:C,MATCH(A359,Catchments!A:A,0))</x:f>
        <x:v>7465186</x:v>
      </x:c>
      <x:c r="N359" s="41" t="n">
        <x:f>INDEX(Catchments!C:C,MATCH(B359,Catchments!A:A,0))</x:f>
        <x:v>13192386</x:v>
      </x:c>
    </x:row>
    <x:row r="360" ht="15" hidden="0" customHeight="1">
      <x:c r="A360" s="27" t="str">
        <x:v>SCA-12</x:v>
      </x:c>
      <x:c r="B360" s="27" t="str">
        <x:v>SCA-16</x:v>
      </x:c>
      <x:c r="C360" s="52" t="n">
        <x:v>30.220313490783653</x:v>
      </x:c>
      <x:c r="D360" s="27" t="str">
        <x:v>YES</x:v>
      </x:c>
      <x:c r="E360" s="52" t="n">
        <x:v>32.74453202847287</x:v>
      </x:c>
      <x:c r="F360" s="27" t="str">
        <x:v>YES</x:v>
      </x:c>
      <x:c r="G360" s="52" t="n">
        <x:v>13.193467882265018</x:v>
      </x:c>
      <x:c r="H360" s="27" t="str">
        <x:v>YES</x:v>
      </x:c>
      <x:c r="I360" s="52"/>
      <x:c r="J360" s="27" t="str">
        <x:v>NO</x:v>
      </x:c>
      <x:c r="K360" s="27" t="str">
        <x:v>Air</x:v>
      </x:c>
      <x:c r="L360" s="52" t="n">
        <x:v>13.193467882265018</x:v>
      </x:c>
      <x:c r="M360" s="40" t="n">
        <x:f>INDEX(Catchments!C:C,MATCH(A360,Catchments!A:A,0))</x:f>
        <x:v>7465186</x:v>
      </x:c>
      <x:c r="N360" s="40" t="n">
        <x:f>INDEX(Catchments!C:C,MATCH(B360,Catchments!A:A,0))</x:f>
        <x:v>10177969</x:v>
      </x:c>
    </x:row>
    <x:row r="361" ht="15" hidden="0" customHeight="1">
      <x:c r="A361" s="29" t="str">
        <x:v>SCA-12</x:v>
      </x:c>
      <x:c r="B361" s="29" t="str">
        <x:v>SCA-17</x:v>
      </x:c>
      <x:c r="C361" s="53" t="n">
        <x:v>43.89930540744264</x:v>
      </x:c>
      <x:c r="D361" s="29" t="str">
        <x:v>YES</x:v>
      </x:c>
      <x:c r="E361" s="53" t="n">
        <x:v>43.492311391562076</x:v>
      </x:c>
      <x:c r="F361" s="29" t="str">
        <x:v>YES</x:v>
      </x:c>
      <x:c r="G361" s="53" t="n">
        <x:v>14.19575741896091</x:v>
      </x:c>
      <x:c r="H361" s="29" t="str">
        <x:v>YES</x:v>
      </x:c>
      <x:c r="I361" s="53"/>
      <x:c r="J361" s="29" t="str">
        <x:v>NO</x:v>
      </x:c>
      <x:c r="K361" s="29" t="str">
        <x:v>Air</x:v>
      </x:c>
      <x:c r="L361" s="53" t="n">
        <x:v>14.19575741896091</x:v>
      </x:c>
      <x:c r="M361" s="41" t="n">
        <x:f>INDEX(Catchments!C:C,MATCH(A361,Catchments!A:A,0))</x:f>
        <x:v>7465186</x:v>
      </x:c>
      <x:c r="N361" s="41" t="n">
        <x:f>INDEX(Catchments!C:C,MATCH(B361,Catchments!A:A,0))</x:f>
        <x:v>12843509</x:v>
      </x:c>
    </x:row>
    <x:row r="362" ht="15" hidden="0" customHeight="1">
      <x:c r="A362" s="27" t="str">
        <x:v>SCA-12</x:v>
      </x:c>
      <x:c r="B362" s="27" t="str">
        <x:v>SCA-18</x:v>
      </x:c>
      <x:c r="C362" s="52" t="n">
        <x:v>36.39007803039013</x:v>
      </x:c>
      <x:c r="D362" s="27" t="str">
        <x:v>YES</x:v>
      </x:c>
      <x:c r="E362" s="52" t="n">
        <x:v>37.5922041667351</x:v>
      </x:c>
      <x:c r="F362" s="27" t="str">
        <x:v>YES</x:v>
      </x:c>
      <x:c r="G362" s="52" t="n">
        <x:v>13.647430490530377</x:v>
      </x:c>
      <x:c r="H362" s="27" t="str">
        <x:v>YES</x:v>
      </x:c>
      <x:c r="I362" s="52"/>
      <x:c r="J362" s="27" t="str">
        <x:v>NO</x:v>
      </x:c>
      <x:c r="K362" s="27" t="str">
        <x:v>Air</x:v>
      </x:c>
      <x:c r="L362" s="52" t="n">
        <x:v>13.647430490530377</x:v>
      </x:c>
      <x:c r="M362" s="40" t="n">
        <x:f>INDEX(Catchments!C:C,MATCH(A362,Catchments!A:A,0))</x:f>
        <x:v>7465186</x:v>
      </x:c>
      <x:c r="N362" s="40" t="n">
        <x:f>INDEX(Catchments!C:C,MATCH(B362,Catchments!A:A,0))</x:f>
        <x:v>11004680</x:v>
      </x:c>
    </x:row>
    <x:row r="363" ht="15" hidden="0" customHeight="1">
      <x:c r="A363" s="29" t="str">
        <x:v>SCA-12</x:v>
      </x:c>
      <x:c r="B363" s="29" t="str">
        <x:v>SCA-19</x:v>
      </x:c>
      <x:c r="C363" s="53" t="n">
        <x:v>39.701862107674856</x:v>
      </x:c>
      <x:c r="D363" s="29" t="str">
        <x:v>YES</x:v>
      </x:c>
      <x:c r="E363" s="53" t="n">
        <x:v>40.19432022745882</x:v>
      </x:c>
      <x:c r="F363" s="29" t="str">
        <x:v>YES</x:v>
      </x:c>
      <x:c r="G363" s="53" t="n">
        <x:v>13.850821347674056</x:v>
      </x:c>
      <x:c r="H363" s="29" t="str">
        <x:v>YES</x:v>
      </x:c>
      <x:c r="I363" s="53"/>
      <x:c r="J363" s="29" t="str">
        <x:v>NO</x:v>
      </x:c>
      <x:c r="K363" s="29" t="str">
        <x:v>Air</x:v>
      </x:c>
      <x:c r="L363" s="53" t="n">
        <x:v>13.850821347674056</x:v>
      </x:c>
      <x:c r="M363" s="41" t="n">
        <x:f>INDEX(Catchments!C:C,MATCH(A363,Catchments!A:A,0))</x:f>
        <x:v>7465186</x:v>
      </x:c>
      <x:c r="N363" s="41" t="n">
        <x:f>INDEX(Catchments!C:C,MATCH(B363,Catchments!A:A,0))</x:f>
        <x:v>6677653</x:v>
      </x:c>
    </x:row>
    <x:row r="364" ht="15" hidden="0" customHeight="1">
      <x:c r="A364" s="27" t="str">
        <x:v>SCA-12</x:v>
      </x:c>
      <x:c r="B364" s="27" t="str">
        <x:v>SCA-20</x:v>
      </x:c>
      <x:c r="C364" s="52" t="n">
        <x:v>44.93168964625205</x:v>
      </x:c>
      <x:c r="D364" s="27" t="str">
        <x:v>YES</x:v>
      </x:c>
      <x:c r="E364" s="52" t="n">
        <x:v>44.3034704363409</x:v>
      </x:c>
      <x:c r="F364" s="27" t="str">
        <x:v>YES</x:v>
      </x:c>
      <x:c r="G364" s="52" t="n">
        <x:v>14.228069595606835</x:v>
      </x:c>
      <x:c r="H364" s="27" t="str">
        <x:v>YES</x:v>
      </x:c>
      <x:c r="I364" s="52"/>
      <x:c r="J364" s="27" t="str">
        <x:v>NO</x:v>
      </x:c>
      <x:c r="K364" s="27" t="str">
        <x:v>Air</x:v>
      </x:c>
      <x:c r="L364" s="52" t="n">
        <x:v>14.228069595606835</x:v>
      </x:c>
      <x:c r="M364" s="40" t="n">
        <x:f>INDEX(Catchments!C:C,MATCH(A364,Catchments!A:A,0))</x:f>
        <x:v>7465186</x:v>
      </x:c>
      <x:c r="N364" s="40" t="n">
        <x:f>INDEX(Catchments!C:C,MATCH(B364,Catchments!A:A,0))</x:f>
        <x:v>8490774</x:v>
      </x:c>
    </x:row>
    <x:row r="365" ht="15" hidden="0" customHeight="1">
      <x:c r="A365" s="29" t="str">
        <x:v>SCA-12</x:v>
      </x:c>
      <x:c r="B365" s="29" t="str">
        <x:v>SCA-21</x:v>
      </x:c>
      <x:c r="C365" s="53" t="n">
        <x:v>48.055560686860396</x:v>
      </x:c>
      <x:c r="D365" s="29" t="str">
        <x:v>YES</x:v>
      </x:c>
      <x:c r="E365" s="53" t="n">
        <x:v>46.75794053967603</x:v>
      </x:c>
      <x:c r="F365" s="29" t="str">
        <x:v>YES</x:v>
      </x:c>
      <x:c r="G365" s="53" t="n">
        <x:v>14.226181060129054</x:v>
      </x:c>
      <x:c r="H365" s="29" t="str">
        <x:v>YES</x:v>
      </x:c>
      <x:c r="I365" s="53"/>
      <x:c r="J365" s="29" t="str">
        <x:v>NO</x:v>
      </x:c>
      <x:c r="K365" s="29" t="str">
        <x:v>Air</x:v>
      </x:c>
      <x:c r="L365" s="53" t="n">
        <x:v>14.226181060129054</x:v>
      </x:c>
      <x:c r="M365" s="41" t="n">
        <x:f>INDEX(Catchments!C:C,MATCH(A365,Catchments!A:A,0))</x:f>
        <x:v>7465186</x:v>
      </x:c>
      <x:c r="N365" s="41" t="n">
        <x:f>INDEX(Catchments!C:C,MATCH(B365,Catchments!A:A,0))</x:f>
        <x:v>19593580</x:v>
      </x:c>
    </x:row>
    <x:row r="366" ht="15" hidden="0" customHeight="1">
      <x:c r="A366" s="27" t="str">
        <x:v>SCA-12</x:v>
      </x:c>
      <x:c r="B366" s="27" t="str">
        <x:v>SCA-22</x:v>
      </x:c>
      <x:c r="C366" s="52" t="n">
        <x:v>49.839728123317194</x:v>
      </x:c>
      <x:c r="D366" s="27" t="str">
        <x:v>YES</x:v>
      </x:c>
      <x:c r="E366" s="52" t="n">
        <x:v>48.15978638260637</x:v>
      </x:c>
      <x:c r="F366" s="27" t="str">
        <x:v>YES</x:v>
      </x:c>
      <x:c r="G366" s="52" t="n">
        <x:v>14.594283278241132</x:v>
      </x:c>
      <x:c r="H366" s="27" t="str">
        <x:v>YES</x:v>
      </x:c>
      <x:c r="I366" s="52"/>
      <x:c r="J366" s="27" t="str">
        <x:v>NO</x:v>
      </x:c>
      <x:c r="K366" s="27" t="str">
        <x:v>Air</x:v>
      </x:c>
      <x:c r="L366" s="52" t="n">
        <x:v>14.594283278241132</x:v>
      </x:c>
      <x:c r="M366" s="40" t="n">
        <x:f>INDEX(Catchments!C:C,MATCH(A366,Catchments!A:A,0))</x:f>
        <x:v>7465186</x:v>
      </x:c>
      <x:c r="N366" s="40" t="n">
        <x:f>INDEX(Catchments!C:C,MATCH(B366,Catchments!A:A,0))</x:f>
        <x:v>14732006</x:v>
      </x:c>
    </x:row>
    <x:row r="367" ht="15" hidden="0" customHeight="1">
      <x:c r="A367" s="29" t="str">
        <x:v>SCA-12</x:v>
      </x:c>
      <x:c r="B367" s="29" t="str">
        <x:v>SCA-23</x:v>
      </x:c>
      <x:c r="C367" s="53" t="n">
        <x:v>55.46803498896469</x:v>
      </x:c>
      <x:c r="D367" s="29" t="str">
        <x:v>YES</x:v>
      </x:c>
      <x:c r="E367" s="53" t="n">
        <x:v>52.5820274913294</x:v>
      </x:c>
      <x:c r="F367" s="29" t="str">
        <x:v>YES</x:v>
      </x:c>
      <x:c r="G367" s="53" t="n">
        <x:v>14.939606305897719</x:v>
      </x:c>
      <x:c r="H367" s="29" t="str">
        <x:v>YES</x:v>
      </x:c>
      <x:c r="I367" s="53"/>
      <x:c r="J367" s="29" t="str">
        <x:v>NO</x:v>
      </x:c>
      <x:c r="K367" s="29" t="str">
        <x:v>Air</x:v>
      </x:c>
      <x:c r="L367" s="53" t="n">
        <x:v>14.939606305897719</x:v>
      </x:c>
      <x:c r="M367" s="41" t="n">
        <x:f>INDEX(Catchments!C:C,MATCH(A367,Catchments!A:A,0))</x:f>
        <x:v>7465186</x:v>
      </x:c>
      <x:c r="N367" s="41" t="n">
        <x:f>INDEX(Catchments!C:C,MATCH(B367,Catchments!A:A,0))</x:f>
        <x:v>20869310</x:v>
      </x:c>
    </x:row>
    <x:row r="368" ht="15" hidden="0" customHeight="1">
      <x:c r="A368" s="27" t="str">
        <x:v>SCA-12</x:v>
      </x:c>
      <x:c r="B368" s="27" t="str">
        <x:v>SCA-24</x:v>
      </x:c>
      <x:c r="C368" s="52" t="n">
        <x:v>55.27810710800653</x:v>
      </x:c>
      <x:c r="D368" s="27" t="str">
        <x:v>YES</x:v>
      </x:c>
      <x:c r="E368" s="52" t="n">
        <x:v>52.43279844200513</x:v>
      </x:c>
      <x:c r="F368" s="27" t="str">
        <x:v>YES</x:v>
      </x:c>
      <x:c r="G368" s="52" t="n">
        <x:v>14.757549538182603</x:v>
      </x:c>
      <x:c r="H368" s="27" t="str">
        <x:v>YES</x:v>
      </x:c>
      <x:c r="I368" s="52"/>
      <x:c r="J368" s="27" t="str">
        <x:v>NO</x:v>
      </x:c>
      <x:c r="K368" s="27" t="str">
        <x:v>Air</x:v>
      </x:c>
      <x:c r="L368" s="52" t="n">
        <x:v>14.757549538182603</x:v>
      </x:c>
      <x:c r="M368" s="40" t="n">
        <x:f>INDEX(Catchments!C:C,MATCH(A368,Catchments!A:A,0))</x:f>
        <x:v>7465186</x:v>
      </x:c>
      <x:c r="N368" s="40" t="n">
        <x:f>INDEX(Catchments!C:C,MATCH(B368,Catchments!A:A,0))</x:f>
        <x:v>11816161</x:v>
      </x:c>
    </x:row>
    <x:row r="369" ht="15" hidden="0" customHeight="1">
      <x:c r="A369" s="29" t="str">
        <x:v>SCA-12</x:v>
      </x:c>
      <x:c r="B369" s="29" t="str">
        <x:v>SCA-25</x:v>
      </x:c>
      <x:c r="C369" s="53" t="n">
        <x:v>64.46047462386359</x:v>
      </x:c>
      <x:c r="D369" s="29" t="str">
        <x:v>YES</x:v>
      </x:c>
      <x:c r="E369" s="53" t="n">
        <x:v>59.64751577589282</x:v>
      </x:c>
      <x:c r="F369" s="29" t="str">
        <x:v>YES</x:v>
      </x:c>
      <x:c r="G369" s="53" t="n">
        <x:v>15.521145054727658</x:v>
      </x:c>
      <x:c r="H369" s="29" t="str">
        <x:v>YES</x:v>
      </x:c>
      <x:c r="I369" s="53"/>
      <x:c r="J369" s="29" t="str">
        <x:v>NO</x:v>
      </x:c>
      <x:c r="K369" s="29" t="str">
        <x:v>Air</x:v>
      </x:c>
      <x:c r="L369" s="53" t="n">
        <x:v>15.521145054727658</x:v>
      </x:c>
      <x:c r="M369" s="41" t="n">
        <x:f>INDEX(Catchments!C:C,MATCH(A369,Catchments!A:A,0))</x:f>
        <x:v>7465186</x:v>
      </x:c>
      <x:c r="N369" s="41" t="n">
        <x:f>INDEX(Catchments!C:C,MATCH(B369,Catchments!A:A,0))</x:f>
        <x:v>6408394</x:v>
      </x:c>
    </x:row>
    <x:row r="370" ht="15" hidden="0" customHeight="1">
      <x:c r="A370" s="27" t="str">
        <x:v>SCA-12</x:v>
      </x:c>
      <x:c r="B370" s="27" t="str">
        <x:v>SCA-26</x:v>
      </x:c>
      <x:c r="C370" s="52" t="n">
        <x:v>70.43319200140581</x:v>
      </x:c>
      <x:c r="D370" s="27" t="str">
        <x:v>YES</x:v>
      </x:c>
      <x:c r="E370" s="52" t="n">
        <x:v>64.34036514396172</x:v>
      </x:c>
      <x:c r="F370" s="27" t="str">
        <x:v>YES</x:v>
      </x:c>
      <x:c r="G370" s="52" t="n">
        <x:v>15.797289914210468</x:v>
      </x:c>
      <x:c r="H370" s="27" t="str">
        <x:v>YES</x:v>
      </x:c>
      <x:c r="I370" s="52"/>
      <x:c r="J370" s="27" t="str">
        <x:v>NO</x:v>
      </x:c>
      <x:c r="K370" s="27" t="str">
        <x:v>Air</x:v>
      </x:c>
      <x:c r="L370" s="52" t="n">
        <x:v>15.797289914210468</x:v>
      </x:c>
      <x:c r="M370" s="40" t="n">
        <x:f>INDEX(Catchments!C:C,MATCH(A370,Catchments!A:A,0))</x:f>
        <x:v>7465186</x:v>
      </x:c>
      <x:c r="N370" s="40" t="n">
        <x:f>INDEX(Catchments!C:C,MATCH(B370,Catchments!A:A,0))</x:f>
        <x:v>10737083</x:v>
      </x:c>
    </x:row>
    <x:row r="371" ht="15" hidden="0" customHeight="1">
      <x:c r="A371" s="29" t="str">
        <x:v>SCA-12</x:v>
      </x:c>
      <x:c r="B371" s="29" t="str">
        <x:v>SCA-27</x:v>
      </x:c>
      <x:c r="C371" s="53" t="n">
        <x:v>75.51734225812488</x:v>
      </x:c>
      <x:c r="D371" s="29" t="str">
        <x:v>NO</x:v>
      </x:c>
      <x:c r="E371" s="53" t="n">
        <x:v>68.33505463138383</x:v>
      </x:c>
      <x:c r="F371" s="29" t="str">
        <x:v>YES</x:v>
      </x:c>
      <x:c r="G371" s="53" t="n">
        <x:v>16.152154734047475</x:v>
      </x:c>
      <x:c r="H371" s="29" t="str">
        <x:v>YES</x:v>
      </x:c>
      <x:c r="I371" s="53"/>
      <x:c r="J371" s="29" t="str">
        <x:v>NO</x:v>
      </x:c>
      <x:c r="K371" s="29" t="str">
        <x:v>Air</x:v>
      </x:c>
      <x:c r="L371" s="53" t="n">
        <x:v>16.152154734047475</x:v>
      </x:c>
      <x:c r="M371" s="41" t="n">
        <x:f>INDEX(Catchments!C:C,MATCH(A371,Catchments!A:A,0))</x:f>
        <x:v>7465186</x:v>
      </x:c>
      <x:c r="N371" s="41" t="n">
        <x:f>INDEX(Catchments!C:C,MATCH(B371,Catchments!A:A,0))</x:f>
        <x:v>7505606</x:v>
      </x:c>
    </x:row>
    <x:row r="372" ht="15" hidden="0" customHeight="1">
      <x:c r="A372" s="27" t="str">
        <x:v>SCA-12</x:v>
      </x:c>
      <x:c r="B372" s="27" t="str">
        <x:v>SCA-28</x:v>
      </x:c>
      <x:c r="C372" s="52" t="n">
        <x:v>61.56072767357789</x:v>
      </x:c>
      <x:c r="D372" s="27" t="str">
        <x:v>YES</x:v>
      </x:c>
      <x:c r="E372" s="52" t="n">
        <x:v>57.36914317209691</x:v>
      </x:c>
      <x:c r="F372" s="27" t="str">
        <x:v>YES</x:v>
      </x:c>
      <x:c r="G372" s="52" t="n">
        <x:v>15.33254728204437</x:v>
      </x:c>
      <x:c r="H372" s="27" t="str">
        <x:v>YES</x:v>
      </x:c>
      <x:c r="I372" s="52"/>
      <x:c r="J372" s="27" t="str">
        <x:v>NO</x:v>
      </x:c>
      <x:c r="K372" s="27" t="str">
        <x:v>Air</x:v>
      </x:c>
      <x:c r="L372" s="52" t="n">
        <x:v>15.33254728204437</x:v>
      </x:c>
      <x:c r="M372" s="40" t="n">
        <x:f>INDEX(Catchments!C:C,MATCH(A372,Catchments!A:A,0))</x:f>
        <x:v>7465186</x:v>
      </x:c>
      <x:c r="N372" s="40" t="n">
        <x:f>INDEX(Catchments!C:C,MATCH(B372,Catchments!A:A,0))</x:f>
        <x:v>21305157</x:v>
      </x:c>
    </x:row>
    <x:row r="373" ht="15" hidden="0" customHeight="1">
      <x:c r="A373" s="29" t="str">
        <x:v>SCA-12</x:v>
      </x:c>
      <x:c r="B373" s="29" t="str">
        <x:v>SCA-29</x:v>
      </x:c>
      <x:c r="C373" s="53" t="n">
        <x:v>62.88595584539255</x:v>
      </x:c>
      <x:c r="D373" s="29" t="str">
        <x:v>YES</x:v>
      </x:c>
      <x:c r="E373" s="53" t="n">
        <x:v>58.41039387852272</x:v>
      </x:c>
      <x:c r="F373" s="29" t="str">
        <x:v>YES</x:v>
      </x:c>
      <x:c r="G373" s="53" t="n">
        <x:v>15.5327042433134</x:v>
      </x:c>
      <x:c r="H373" s="29" t="str">
        <x:v>YES</x:v>
      </x:c>
      <x:c r="I373" s="53"/>
      <x:c r="J373" s="29" t="str">
        <x:v>NO</x:v>
      </x:c>
      <x:c r="K373" s="29" t="str">
        <x:v>Air</x:v>
      </x:c>
      <x:c r="L373" s="53" t="n">
        <x:v>15.5327042433134</x:v>
      </x:c>
      <x:c r="M373" s="41" t="n">
        <x:f>INDEX(Catchments!C:C,MATCH(A373,Catchments!A:A,0))</x:f>
        <x:v>7465186</x:v>
      </x:c>
      <x:c r="N373" s="41" t="n">
        <x:f>INDEX(Catchments!C:C,MATCH(B373,Catchments!A:A,0))</x:f>
        <x:v>19271685</x:v>
      </x:c>
    </x:row>
    <x:row r="374" ht="15" hidden="0" customHeight="1">
      <x:c r="A374" s="27" t="str">
        <x:v>SCA-12</x:v>
      </x:c>
      <x:c r="B374" s="27" t="str">
        <x:v>SCA-30</x:v>
      </x:c>
      <x:c r="C374" s="52" t="n">
        <x:v>69.9891588723277</x:v>
      </x:c>
      <x:c r="D374" s="27" t="str">
        <x:v>YES</x:v>
      </x:c>
      <x:c r="E374" s="52" t="n">
        <x:v>63.991481971114624</x:v>
      </x:c>
      <x:c r="F374" s="27" t="str">
        <x:v>YES</x:v>
      </x:c>
      <x:c r="G374" s="52" t="n">
        <x:v>15.94324970096211</x:v>
      </x:c>
      <x:c r="H374" s="27" t="str">
        <x:v>YES</x:v>
      </x:c>
      <x:c r="I374" s="52"/>
      <x:c r="J374" s="27" t="str">
        <x:v>NO</x:v>
      </x:c>
      <x:c r="K374" s="27" t="str">
        <x:v>Air</x:v>
      </x:c>
      <x:c r="L374" s="52" t="n">
        <x:v>15.94324970096211</x:v>
      </x:c>
      <x:c r="M374" s="40" t="n">
        <x:f>INDEX(Catchments!C:C,MATCH(A374,Catchments!A:A,0))</x:f>
        <x:v>7465186</x:v>
      </x:c>
      <x:c r="N374" s="40" t="n">
        <x:f>INDEX(Catchments!C:C,MATCH(B374,Catchments!A:A,0))</x:f>
        <x:v>41291847</x:v>
      </x:c>
    </x:row>
    <x:row r="375" ht="15" hidden="0" customHeight="1">
      <x:c r="A375" s="29" t="str">
        <x:v>SCA-12</x:v>
      </x:c>
      <x:c r="B375" s="29" t="str">
        <x:v>SCA-31</x:v>
      </x:c>
      <x:c r="C375" s="53" t="n">
        <x:v>77.13610696662782</x:v>
      </x:c>
      <x:c r="D375" s="29" t="str">
        <x:v>NO</x:v>
      </x:c>
      <x:c r="E375" s="53" t="n">
        <x:v>69.60694118806472</x:v>
      </x:c>
      <x:c r="F375" s="29" t="str">
        <x:v>YES</x:v>
      </x:c>
      <x:c r="G375" s="53" t="n">
        <x:v>16.294705762476575</x:v>
      </x:c>
      <x:c r="H375" s="29" t="str">
        <x:v>YES</x:v>
      </x:c>
      <x:c r="I375" s="53"/>
      <x:c r="J375" s="29" t="str">
        <x:v>NO</x:v>
      </x:c>
      <x:c r="K375" s="29" t="str">
        <x:v>Air</x:v>
      </x:c>
      <x:c r="L375" s="53" t="n">
        <x:v>16.294705762476575</x:v>
      </x:c>
      <x:c r="M375" s="41" t="n">
        <x:f>INDEX(Catchments!C:C,MATCH(A375,Catchments!A:A,0))</x:f>
        <x:v>7465186</x:v>
      </x:c>
      <x:c r="N375" s="41" t="n">
        <x:f>INDEX(Catchments!C:C,MATCH(B375,Catchments!A:A,0))</x:f>
        <x:v>14227128</x:v>
      </x:c>
    </x:row>
    <x:row r="376" ht="15" hidden="0" customHeight="1">
      <x:c r="A376" s="27" t="str">
        <x:v>SCA-12</x:v>
      </x:c>
      <x:c r="B376" s="27" t="str">
        <x:v>SCA-32</x:v>
      </x:c>
      <x:c r="C376" s="52"/>
      <x:c r="D376" s="27" t="str">
        <x:v>NO</x:v>
      </x:c>
      <x:c r="E376" s="52"/>
      <x:c r="F376" s="27" t="str">
        <x:v>NO</x:v>
      </x:c>
      <x:c r="G376" s="52" t="n">
        <x:v>18.73499638289445</x:v>
      </x:c>
      <x:c r="H376" s="27" t="str">
        <x:v>YES</x:v>
      </x:c>
      <x:c r="I376" s="52"/>
      <x:c r="J376" s="27" t="str">
        <x:v>NO</x:v>
      </x:c>
      <x:c r="K376" s="27" t="str">
        <x:v>Air</x:v>
      </x:c>
      <x:c r="L376" s="52" t="n">
        <x:v>18.73499638289445</x:v>
      </x:c>
      <x:c r="M376" s="40" t="n">
        <x:f>INDEX(Catchments!C:C,MATCH(A376,Catchments!A:A,0))</x:f>
        <x:v>7465186</x:v>
      </x:c>
      <x:c r="N376" s="40" t="n">
        <x:f>INDEX(Catchments!C:C,MATCH(B376,Catchments!A:A,0))</x:f>
        <x:v>3184835</x:v>
      </x:c>
    </x:row>
    <x:row r="377" ht="15" hidden="0" customHeight="1">
      <x:c r="A377" s="29" t="str">
        <x:v>SCA-13</x:v>
      </x:c>
      <x:c r="B377" s="29" t="str">
        <x:v>SCA-01</x:v>
      </x:c>
      <x:c r="C377" s="53"/>
      <x:c r="D377" s="29" t="str">
        <x:v>NO</x:v>
      </x:c>
      <x:c r="E377" s="53"/>
      <x:c r="F377" s="29" t="str">
        <x:v>NO</x:v>
      </x:c>
      <x:c r="G377" s="53" t="n">
        <x:v>21.21270256279375</x:v>
      </x:c>
      <x:c r="H377" s="29" t="str">
        <x:v>YES</x:v>
      </x:c>
      <x:c r="I377" s="53" t="n">
        <x:v>241.86630949342631</x:v>
      </x:c>
      <x:c r="J377" s="29" t="str">
        <x:v>NO</x:v>
      </x:c>
      <x:c r="K377" s="29" t="str">
        <x:v>Air</x:v>
      </x:c>
      <x:c r="L377" s="53" t="n">
        <x:v>21.21270256279375</x:v>
      </x:c>
      <x:c r="M377" s="41" t="n">
        <x:f>INDEX(Catchments!C:C,MATCH(A377,Catchments!A:A,0))</x:f>
        <x:v>6759014</x:v>
      </x:c>
      <x:c r="N377" s="41" t="n">
        <x:f>INDEX(Catchments!C:C,MATCH(B377,Catchments!A:A,0))</x:f>
        <x:v>1432820</x:v>
      </x:c>
    </x:row>
    <x:row r="378" ht="15" hidden="0" customHeight="1">
      <x:c r="A378" s="27" t="str">
        <x:v>SCA-13</x:v>
      </x:c>
      <x:c r="B378" s="27" t="str">
        <x:v>SCA-02</x:v>
      </x:c>
      <x:c r="C378" s="52"/>
      <x:c r="D378" s="27" t="str">
        <x:v>NO</x:v>
      </x:c>
      <x:c r="E378" s="52"/>
      <x:c r="F378" s="27" t="str">
        <x:v>NO</x:v>
      </x:c>
      <x:c r="G378" s="52" t="n">
        <x:v>19.59173485115433</x:v>
      </x:c>
      <x:c r="H378" s="27" t="str">
        <x:v>YES</x:v>
      </x:c>
      <x:c r="I378" s="52" t="n">
        <x:v>204.236701901797</x:v>
      </x:c>
      <x:c r="J378" s="27" t="str">
        <x:v>NO</x:v>
      </x:c>
      <x:c r="K378" s="27" t="str">
        <x:v>Air</x:v>
      </x:c>
      <x:c r="L378" s="52" t="n">
        <x:v>19.59173485115433</x:v>
      </x:c>
      <x:c r="M378" s="40" t="n">
        <x:f>INDEX(Catchments!C:C,MATCH(A378,Catchments!A:A,0))</x:f>
        <x:v>6759014</x:v>
      </x:c>
      <x:c r="N378" s="40" t="n">
        <x:f>INDEX(Catchments!C:C,MATCH(B378,Catchments!A:A,0))</x:f>
        <x:v>737270</x:v>
      </x:c>
    </x:row>
    <x:row r="379" ht="15" hidden="0" customHeight="1">
      <x:c r="A379" s="29" t="str">
        <x:v>SCA-13</x:v>
      </x:c>
      <x:c r="B379" s="29" t="str">
        <x:v>SCA-03</x:v>
      </x:c>
      <x:c r="C379" s="53" t="n">
        <x:v>76.0903868303709</x:v>
      </x:c>
      <x:c r="D379" s="29" t="str">
        <x:v>NO</x:v>
      </x:c>
      <x:c r="E379" s="53" t="n">
        <x:v>68.78530393814856</x:v>
      </x:c>
      <x:c r="F379" s="29" t="str">
        <x:v>YES</x:v>
      </x:c>
      <x:c r="G379" s="53" t="n">
        <x:v>16.223946047369125</x:v>
      </x:c>
      <x:c r="H379" s="29" t="str">
        <x:v>YES</x:v>
      </x:c>
      <x:c r="I379" s="53" t="n">
        <x:v>126.05589038535467</x:v>
      </x:c>
      <x:c r="J379" s="29" t="str">
        <x:v>NO</x:v>
      </x:c>
      <x:c r="K379" s="29" t="str">
        <x:v>Air</x:v>
      </x:c>
      <x:c r="L379" s="53" t="n">
        <x:v>16.223946047369125</x:v>
      </x:c>
      <x:c r="M379" s="41" t="n">
        <x:f>INDEX(Catchments!C:C,MATCH(A379,Catchments!A:A,0))</x:f>
        <x:v>6759014</x:v>
      </x:c>
      <x:c r="N379" s="41" t="n">
        <x:f>INDEX(Catchments!C:C,MATCH(B379,Catchments!A:A,0))</x:f>
        <x:v>11968308</x:v>
      </x:c>
    </x:row>
    <x:row r="380" ht="15" hidden="0" customHeight="1">
      <x:c r="A380" s="27" t="str">
        <x:v>SCA-13</x:v>
      </x:c>
      <x:c r="B380" s="27" t="str">
        <x:v>SCA-04</x:v>
      </x:c>
      <x:c r="C380" s="52" t="n">
        <x:v>64.60079010734417</x:v>
      </x:c>
      <x:c r="D380" s="27" t="str">
        <x:v>YES</x:v>
      </x:c>
      <x:c r="E380" s="52" t="n">
        <x:v>59.75776365577042</x:v>
      </x:c>
      <x:c r="F380" s="27" t="str">
        <x:v>YES</x:v>
      </x:c>
      <x:c r="G380" s="52" t="n">
        <x:v>15.584325606663562</x:v>
      </x:c>
      <x:c r="H380" s="27" t="str">
        <x:v>YES</x:v>
      </x:c>
      <x:c r="I380" s="52" t="n">
        <x:v>111.20755872611842</x:v>
      </x:c>
      <x:c r="J380" s="27" t="str">
        <x:v>NO</x:v>
      </x:c>
      <x:c r="K380" s="27" t="str">
        <x:v>Air</x:v>
      </x:c>
      <x:c r="L380" s="52" t="n">
        <x:v>15.584325606663562</x:v>
      </x:c>
      <x:c r="M380" s="40" t="n">
        <x:f>INDEX(Catchments!C:C,MATCH(A380,Catchments!A:A,0))</x:f>
        <x:v>6759014</x:v>
      </x:c>
      <x:c r="N380" s="40" t="n">
        <x:f>INDEX(Catchments!C:C,MATCH(B380,Catchments!A:A,0))</x:f>
        <x:v>16200470</x:v>
      </x:c>
    </x:row>
    <x:row r="381" ht="15" hidden="0" customHeight="1">
      <x:c r="A381" s="29" t="str">
        <x:v>SCA-13</x:v>
      </x:c>
      <x:c r="B381" s="29" t="str">
        <x:v>SCA-05</x:v>
      </x:c>
      <x:c r="C381" s="53" t="n">
        <x:v>56.014180011258425</x:v>
      </x:c>
      <x:c r="D381" s="29" t="str">
        <x:v>YES</x:v>
      </x:c>
      <x:c r="E381" s="53" t="n">
        <x:v>53.011141437417336</x:v>
      </x:c>
      <x:c r="F381" s="29" t="str">
        <x:v>YES</x:v>
      </x:c>
      <x:c r="G381" s="53" t="n">
        <x:v>15.01200312885971</x:v>
      </x:c>
      <x:c r="H381" s="29" t="str">
        <x:v>YES</x:v>
      </x:c>
      <x:c r="I381" s="53" t="n">
        <x:v>97.92150120567186</x:v>
      </x:c>
      <x:c r="J381" s="29" t="str">
        <x:v>NO</x:v>
      </x:c>
      <x:c r="K381" s="29" t="str">
        <x:v>Air</x:v>
      </x:c>
      <x:c r="L381" s="53" t="n">
        <x:v>15.01200312885971</x:v>
      </x:c>
      <x:c r="M381" s="41" t="n">
        <x:f>INDEX(Catchments!C:C,MATCH(A381,Catchments!A:A,0))</x:f>
        <x:v>6759014</x:v>
      </x:c>
      <x:c r="N381" s="41" t="n">
        <x:f>INDEX(Catchments!C:C,MATCH(B381,Catchments!A:A,0))</x:f>
        <x:v>15966265</x:v>
      </x:c>
    </x:row>
    <x:row r="382" ht="15" hidden="0" customHeight="1">
      <x:c r="A382" s="27" t="str">
        <x:v>SCA-13</x:v>
      </x:c>
      <x:c r="B382" s="27" t="str">
        <x:v>SCA-06</x:v>
      </x:c>
      <x:c r="C382" s="52" t="n">
        <x:v>51.63677324252891</x:v>
      </x:c>
      <x:c r="D382" s="27" t="str">
        <x:v>YES</x:v>
      </x:c>
      <x:c r="E382" s="52" t="n">
        <x:v>49.57175040484414</x:v>
      </x:c>
      <x:c r="F382" s="27" t="str">
        <x:v>YES</x:v>
      </x:c>
      <x:c r="G382" s="52" t="n">
        <x:v>14.714348197476767</x:v>
      </x:c>
      <x:c r="H382" s="27" t="str">
        <x:v>YES</x:v>
      </x:c>
      <x:c r="I382" s="52" t="n">
        <x:v>91.0116545842821</x:v>
      </x:c>
      <x:c r="J382" s="27" t="str">
        <x:v>NO</x:v>
      </x:c>
      <x:c r="K382" s="27" t="str">
        <x:v>Air</x:v>
      </x:c>
      <x:c r="L382" s="52" t="n">
        <x:v>14.714348197476767</x:v>
      </x:c>
      <x:c r="M382" s="40" t="n">
        <x:f>INDEX(Catchments!C:C,MATCH(A382,Catchments!A:A,0))</x:f>
        <x:v>6759014</x:v>
      </x:c>
      <x:c r="N382" s="40" t="n">
        <x:f>INDEX(Catchments!C:C,MATCH(B382,Catchments!A:A,0))</x:f>
        <x:v>6008575</x:v>
      </x:c>
    </x:row>
    <x:row r="383" ht="15" hidden="0" customHeight="1">
      <x:c r="A383" s="29" t="str">
        <x:v>SCA-13</x:v>
      </x:c>
      <x:c r="B383" s="29" t="str">
        <x:v>SCA-07</x:v>
      </x:c>
      <x:c r="C383" s="53" t="n">
        <x:v>51.86253216820517</x:v>
      </x:c>
      <x:c r="D383" s="29" t="str">
        <x:v>YES</x:v>
      </x:c>
      <x:c r="E383" s="53" t="n">
        <x:v>49.74913241787549</x:v>
      </x:c>
      <x:c r="F383" s="29" t="str">
        <x:v>YES</x:v>
      </x:c>
      <x:c r="G383" s="53" t="n">
        <x:v>14.659689245364486</x:v>
      </x:c>
      <x:c r="H383" s="29" t="str">
        <x:v>YES</x:v>
      </x:c>
      <x:c r="I383" s="53" t="n">
        <x:v>89.74278605310417</x:v>
      </x:c>
      <x:c r="J383" s="29" t="str">
        <x:v>NO</x:v>
      </x:c>
      <x:c r="K383" s="29" t="str">
        <x:v>Air</x:v>
      </x:c>
      <x:c r="L383" s="53" t="n">
        <x:v>14.659689245364486</x:v>
      </x:c>
      <x:c r="M383" s="41" t="n">
        <x:f>INDEX(Catchments!C:C,MATCH(A383,Catchments!A:A,0))</x:f>
        <x:v>6759014</x:v>
      </x:c>
      <x:c r="N383" s="41" t="n">
        <x:f>INDEX(Catchments!C:C,MATCH(B383,Catchments!A:A,0))</x:f>
        <x:v>5229370</x:v>
      </x:c>
    </x:row>
    <x:row r="384" ht="15" hidden="0" customHeight="1">
      <x:c r="A384" s="27" t="str">
        <x:v>SCA-13</x:v>
      </x:c>
      <x:c r="B384" s="27" t="str">
        <x:v>SCA-08</x:v>
      </x:c>
      <x:c r="C384" s="52" t="n">
        <x:v>64.3693891017798</x:v>
      </x:c>
      <x:c r="D384" s="27" t="str">
        <x:v>YES</x:v>
      </x:c>
      <x:c r="E384" s="52" t="n">
        <x:v>59.575948579969854</x:v>
      </x:c>
      <x:c r="F384" s="27" t="str">
        <x:v>YES</x:v>
      </x:c>
      <x:c r="G384" s="52" t="n">
        <x:v>15.395830956556633</x:v>
      </x:c>
      <x:c r="H384" s="27" t="str">
        <x:v>YES</x:v>
      </x:c>
      <x:c r="I384" s="52" t="n">
        <x:v>106.83179006292183</x:v>
      </x:c>
      <x:c r="J384" s="27" t="str">
        <x:v>NO</x:v>
      </x:c>
      <x:c r="K384" s="27" t="str">
        <x:v>Air</x:v>
      </x:c>
      <x:c r="L384" s="52" t="n">
        <x:v>15.395830956556633</x:v>
      </x:c>
      <x:c r="M384" s="40" t="n">
        <x:f>INDEX(Catchments!C:C,MATCH(A384,Catchments!A:A,0))</x:f>
        <x:v>6759014</x:v>
      </x:c>
      <x:c r="N384" s="40" t="n">
        <x:f>INDEX(Catchments!C:C,MATCH(B384,Catchments!A:A,0))</x:f>
        <x:v>2652387</x:v>
      </x:c>
    </x:row>
    <x:row r="385" ht="15" hidden="0" customHeight="1">
      <x:c r="A385" s="29" t="str">
        <x:v>SCA-13</x:v>
      </x:c>
      <x:c r="B385" s="29" t="str">
        <x:v>SCA-09</x:v>
      </x:c>
      <x:c r="C385" s="53" t="n">
        <x:v>43.460055937768345</x:v>
      </x:c>
      <x:c r="D385" s="29" t="str">
        <x:v>YES</x:v>
      </x:c>
      <x:c r="E385" s="53" t="n">
        <x:v>43.14718680824656</x:v>
      </x:c>
      <x:c r="F385" s="29" t="str">
        <x:v>YES</x:v>
      </x:c>
      <x:c r="G385" s="53" t="n">
        <x:v>14.118289402118634</x:v>
      </x:c>
      <x:c r="H385" s="29" t="str">
        <x:v>YES</x:v>
      </x:c>
      <x:c r="I385" s="53"/>
      <x:c r="J385" s="29" t="str">
        <x:v>NO</x:v>
      </x:c>
      <x:c r="K385" s="29" t="str">
        <x:v>Air</x:v>
      </x:c>
      <x:c r="L385" s="53" t="n">
        <x:v>14.118289402118634</x:v>
      </x:c>
      <x:c r="M385" s="41" t="n">
        <x:f>INDEX(Catchments!C:C,MATCH(A385,Catchments!A:A,0))</x:f>
        <x:v>6759014</x:v>
      </x:c>
      <x:c r="N385" s="41" t="n">
        <x:f>INDEX(Catchments!C:C,MATCH(B385,Catchments!A:A,0))</x:f>
        <x:v>7395716</x:v>
      </x:c>
    </x:row>
    <x:row r="386" ht="15" hidden="0" customHeight="1">
      <x:c r="A386" s="27" t="str">
        <x:v>SCA-13</x:v>
      </x:c>
      <x:c r="B386" s="27" t="str">
        <x:v>SCA-10</x:v>
      </x:c>
      <x:c r="C386" s="52" t="n">
        <x:v>55.358908512399175</x:v>
      </x:c>
      <x:c r="D386" s="27" t="str">
        <x:v>YES</x:v>
      </x:c>
      <x:c r="E386" s="52" t="n">
        <x:v>52.49628525974221</x:v>
      </x:c>
      <x:c r="F386" s="27" t="str">
        <x:v>YES</x:v>
      </x:c>
      <x:c r="G386" s="52" t="n">
        <x:v>14.663611187296455</x:v>
      </x:c>
      <x:c r="H386" s="27" t="str">
        <x:v>YES</x:v>
      </x:c>
      <x:c r="I386" s="52"/>
      <x:c r="J386" s="27" t="str">
        <x:v>NO</x:v>
      </x:c>
      <x:c r="K386" s="27" t="str">
        <x:v>Air</x:v>
      </x:c>
      <x:c r="L386" s="52" t="n">
        <x:v>14.663611187296455</x:v>
      </x:c>
      <x:c r="M386" s="40" t="n">
        <x:f>INDEX(Catchments!C:C,MATCH(A386,Catchments!A:A,0))</x:f>
        <x:v>6759014</x:v>
      </x:c>
      <x:c r="N386" s="40" t="n">
        <x:f>INDEX(Catchments!C:C,MATCH(B386,Catchments!A:A,0))</x:f>
        <x:v>4127033</x:v>
      </x:c>
    </x:row>
    <x:row r="387" ht="15" hidden="0" customHeight="1">
      <x:c r="A387" s="29" t="str">
        <x:v>SCA-13</x:v>
      </x:c>
      <x:c r="B387" s="29" t="str">
        <x:v>SCA-11</x:v>
      </x:c>
      <x:c r="C387" s="53" t="n">
        <x:v>29.791831365593616</x:v>
      </x:c>
      <x:c r="D387" s="29" t="str">
        <x:v>YES</x:v>
      </x:c>
      <x:c r="E387" s="53" t="n">
        <x:v>32.40786750153784</x:v>
      </x:c>
      <x:c r="F387" s="29" t="str">
        <x:v>YES</x:v>
      </x:c>
      <x:c r="G387" s="53" t="n">
        <x:v>13.16194076937478</x:v>
      </x:c>
      <x:c r="H387" s="29" t="str">
        <x:v>YES</x:v>
      </x:c>
      <x:c r="I387" s="53" t="n">
        <x:v>54.97362500334313</x:v>
      </x:c>
      <x:c r="J387" s="29" t="str">
        <x:v>YES</x:v>
      </x:c>
      <x:c r="K387" s="29" t="str">
        <x:v>Air</x:v>
      </x:c>
      <x:c r="L387" s="53" t="n">
        <x:v>13.16194076937478</x:v>
      </x:c>
      <x:c r="M387" s="41" t="n">
        <x:f>INDEX(Catchments!C:C,MATCH(A387,Catchments!A:A,0))</x:f>
        <x:v>6759014</x:v>
      </x:c>
      <x:c r="N387" s="41" t="n">
        <x:f>INDEX(Catchments!C:C,MATCH(B387,Catchments!A:A,0))</x:f>
        <x:v>3517787</x:v>
      </x:c>
    </x:row>
    <x:row r="388" ht="15" hidden="0" customHeight="1">
      <x:c r="A388" s="27" t="str">
        <x:v>SCA-13</x:v>
      </x:c>
      <x:c r="B388" s="27" t="str">
        <x:v>SCA-12</x:v>
      </x:c>
      <x:c r="C388" s="52" t="n">
        <x:v>43.0633091988275</x:v>
      </x:c>
      <x:c r="D388" s="27" t="str">
        <x:v>YES</x:v>
      </x:c>
      <x:c r="E388" s="52" t="n">
        <x:v>42.83545722765018</x:v>
      </x:c>
      <x:c r="F388" s="27" t="str">
        <x:v>YES</x:v>
      </x:c>
      <x:c r="G388" s="52" t="n">
        <x:v>13.877967952879313</x:v>
      </x:c>
      <x:c r="H388" s="27" t="str">
        <x:v>YES</x:v>
      </x:c>
      <x:c r="I388" s="52"/>
      <x:c r="J388" s="27" t="str">
        <x:v>NO</x:v>
      </x:c>
      <x:c r="K388" s="27" t="str">
        <x:v>Air</x:v>
      </x:c>
      <x:c r="L388" s="52" t="n">
        <x:v>13.877967952879313</x:v>
      </x:c>
      <x:c r="M388" s="40" t="n">
        <x:f>INDEX(Catchments!C:C,MATCH(A388,Catchments!A:A,0))</x:f>
        <x:v>6759014</x:v>
      </x:c>
      <x:c r="N388" s="40" t="n">
        <x:f>INDEX(Catchments!C:C,MATCH(B388,Catchments!A:A,0))</x:f>
        <x:v>7465186</x:v>
      </x:c>
    </x:row>
    <x:row r="389" ht="15" hidden="0" customHeight="1">
      <x:c r="A389" s="29" t="str">
        <x:v>SCA-13</x:v>
      </x:c>
      <x:c r="B389" s="29" t="str">
        <x:v>SCA-14</x:v>
      </x:c>
      <x:c r="C389" s="53" t="n">
        <x:v>21.337542067765664</x:v>
      </x:c>
      <x:c r="D389" s="29" t="str">
        <x:v>YES</x:v>
      </x:c>
      <x:c r="E389" s="53" t="n">
        <x:v>25.76521162467302</x:v>
      </x:c>
      <x:c r="F389" s="29" t="str">
        <x:v>YES</x:v>
      </x:c>
      <x:c r="G389" s="53" t="n">
        <x:v>12.539886038430918</x:v>
      </x:c>
      <x:c r="H389" s="29" t="str">
        <x:v>YES</x:v>
      </x:c>
      <x:c r="I389" s="53" t="n">
        <x:v>40.53306874928918</x:v>
      </x:c>
      <x:c r="J389" s="29" t="str">
        <x:v>YES</x:v>
      </x:c>
      <x:c r="K389" s="29" t="str">
        <x:v>Air</x:v>
      </x:c>
      <x:c r="L389" s="53" t="n">
        <x:v>12.539886038430918</x:v>
      </x:c>
      <x:c r="M389" s="41" t="n">
        <x:f>INDEX(Catchments!C:C,MATCH(A389,Catchments!A:A,0))</x:f>
        <x:v>6759014</x:v>
      </x:c>
      <x:c r="N389" s="41" t="n">
        <x:f>INDEX(Catchments!C:C,MATCH(B389,Catchments!A:A,0))</x:f>
        <x:v>2179728</x:v>
      </x:c>
    </x:row>
    <x:row r="390" ht="15" hidden="0" customHeight="1">
      <x:c r="A390" s="27" t="str">
        <x:v>SCA-13</x:v>
      </x:c>
      <x:c r="B390" s="27" t="str">
        <x:v>SCA-15</x:v>
      </x:c>
      <x:c r="C390" s="52" t="n">
        <x:v>21.68786547907524</x:v>
      </x:c>
      <x:c r="D390" s="27" t="str">
        <x:v>YES</x:v>
      </x:c>
      <x:c r="E390" s="52" t="n">
        <x:v>26.040465733559117</x:v>
      </x:c>
      <x:c r="F390" s="27" t="str">
        <x:v>YES</x:v>
      </x:c>
      <x:c r="G390" s="52" t="n">
        <x:v>12.565662342941991</x:v>
      </x:c>
      <x:c r="H390" s="27" t="str">
        <x:v>YES</x:v>
      </x:c>
      <x:c r="I390" s="52" t="n">
        <x:v>41.131447246867644</x:v>
      </x:c>
      <x:c r="J390" s="27" t="str">
        <x:v>YES</x:v>
      </x:c>
      <x:c r="K390" s="27" t="str">
        <x:v>Air</x:v>
      </x:c>
      <x:c r="L390" s="52" t="n">
        <x:v>12.565662342941991</x:v>
      </x:c>
      <x:c r="M390" s="40" t="n">
        <x:f>INDEX(Catchments!C:C,MATCH(A390,Catchments!A:A,0))</x:f>
        <x:v>6759014</x:v>
      </x:c>
      <x:c r="N390" s="40" t="n">
        <x:f>INDEX(Catchments!C:C,MATCH(B390,Catchments!A:A,0))</x:f>
        <x:v>13192386</x:v>
      </x:c>
    </x:row>
    <x:row r="391" ht="15" hidden="0" customHeight="1">
      <x:c r="A391" s="29" t="str">
        <x:v>SCA-13</x:v>
      </x:c>
      <x:c r="B391" s="29" t="str">
        <x:v>SCA-16</x:v>
      </x:c>
      <x:c r="C391" s="53" t="n">
        <x:v>33.506532514509885</x:v>
      </x:c>
      <x:c r="D391" s="29" t="str">
        <x:v>YES</x:v>
      </x:c>
      <x:c r="E391" s="53" t="n">
        <x:v>35.32656126140062</x:v>
      </x:c>
      <x:c r="F391" s="29" t="str">
        <x:v>YES</x:v>
      </x:c>
      <x:c r="G391" s="53" t="n">
        <x:v>13.420559423783708</x:v>
      </x:c>
      <x:c r="H391" s="29" t="str">
        <x:v>YES</x:v>
      </x:c>
      <x:c r="I391" s="53"/>
      <x:c r="J391" s="29" t="str">
        <x:v>NO</x:v>
      </x:c>
      <x:c r="K391" s="29" t="str">
        <x:v>Air</x:v>
      </x:c>
      <x:c r="L391" s="53" t="n">
        <x:v>13.420559423783708</x:v>
      </x:c>
      <x:c r="M391" s="41" t="n">
        <x:f>INDEX(Catchments!C:C,MATCH(A391,Catchments!A:A,0))</x:f>
        <x:v>6759014</x:v>
      </x:c>
      <x:c r="N391" s="41" t="n">
        <x:f>INDEX(Catchments!C:C,MATCH(B391,Catchments!A:A,0))</x:f>
        <x:v>10177969</x:v>
      </x:c>
    </x:row>
    <x:row r="392" ht="15" hidden="0" customHeight="1">
      <x:c r="A392" s="27" t="str">
        <x:v>SCA-13</x:v>
      </x:c>
      <x:c r="B392" s="27" t="str">
        <x:v>SCA-17</x:v>
      </x:c>
      <x:c r="C392" s="52" t="n">
        <x:v>21.860648017190393</x:v>
      </x:c>
      <x:c r="D392" s="27" t="str">
        <x:v>YES</x:v>
      </x:c>
      <x:c r="E392" s="52" t="n">
        <x:v>26.176223442078168</x:v>
      </x:c>
      <x:c r="F392" s="27" t="str">
        <x:v>YES</x:v>
      </x:c>
      <x:c r="G392" s="52" t="n">
        <x:v>12.578375439391936</x:v>
      </x:c>
      <x:c r="H392" s="27" t="str">
        <x:v>YES</x:v>
      </x:c>
      <x:c r="I392" s="52" t="n">
        <x:v>41.42657270016993</x:v>
      </x:c>
      <x:c r="J392" s="27" t="str">
        <x:v>YES</x:v>
      </x:c>
      <x:c r="K392" s="27" t="str">
        <x:v>Air</x:v>
      </x:c>
      <x:c r="L392" s="52" t="n">
        <x:v>12.578375439391936</x:v>
      </x:c>
      <x:c r="M392" s="40" t="n">
        <x:f>INDEX(Catchments!C:C,MATCH(A392,Catchments!A:A,0))</x:f>
        <x:v>6759014</x:v>
      </x:c>
      <x:c r="N392" s="40" t="n">
        <x:f>INDEX(Catchments!C:C,MATCH(B392,Catchments!A:A,0))</x:f>
        <x:v>12843509</x:v>
      </x:c>
    </x:row>
    <x:row r="393" ht="15" hidden="0" customHeight="1">
      <x:c r="A393" s="29" t="str">
        <x:v>SCA-13</x:v>
      </x:c>
      <x:c r="B393" s="29" t="str">
        <x:v>SCA-18</x:v>
      </x:c>
      <x:c r="C393" s="53" t="n">
        <x:v>49.35557369684012</x:v>
      </x:c>
      <x:c r="D393" s="29" t="str">
        <x:v>YES</x:v>
      </x:c>
      <x:c r="E393" s="53" t="n">
        <x:v>47.77937933323152</x:v>
      </x:c>
      <x:c r="F393" s="29" t="str">
        <x:v>YES</x:v>
      </x:c>
      <x:c r="G393" s="53" t="n">
        <x:v>14.586701483809101</x:v>
      </x:c>
      <x:c r="H393" s="29" t="str">
        <x:v>YES</x:v>
      </x:c>
      <x:c r="I393" s="53" t="n">
        <x:v>88.04842730271127</x:v>
      </x:c>
      <x:c r="J393" s="29" t="str">
        <x:v>NO</x:v>
      </x:c>
      <x:c r="K393" s="29" t="str">
        <x:v>Air</x:v>
      </x:c>
      <x:c r="L393" s="53" t="n">
        <x:v>14.586701483809101</x:v>
      </x:c>
      <x:c r="M393" s="41" t="n">
        <x:f>INDEX(Catchments!C:C,MATCH(A393,Catchments!A:A,0))</x:f>
        <x:v>6759014</x:v>
      </x:c>
      <x:c r="N393" s="41" t="n">
        <x:f>INDEX(Catchments!C:C,MATCH(B393,Catchments!A:A,0))</x:f>
        <x:v>11004680</x:v>
      </x:c>
    </x:row>
    <x:row r="394" ht="15" hidden="0" customHeight="1">
      <x:c r="A394" s="27" t="str">
        <x:v>SCA-13</x:v>
      </x:c>
      <x:c r="B394" s="27" t="str">
        <x:v>SCA-19</x:v>
      </x:c>
      <x:c r="C394" s="52" t="n">
        <x:v>42.98808113140108</x:v>
      </x:c>
      <x:c r="D394" s="27" t="str">
        <x:v>YES</x:v>
      </x:c>
      <x:c r="E394" s="52" t="n">
        <x:v>42.77634946038656</x:v>
      </x:c>
      <x:c r="F394" s="27" t="str">
        <x:v>YES</x:v>
      </x:c>
      <x:c r="G394" s="52" t="n">
        <x:v>13.809490961191244</x:v>
      </x:c>
      <x:c r="H394" s="27" t="str">
        <x:v>YES</x:v>
      </x:c>
      <x:c r="I394" s="52" t="n">
        <x:v>70.006040170511</x:v>
      </x:c>
      <x:c r="J394" s="27" t="str">
        <x:v>YES</x:v>
      </x:c>
      <x:c r="K394" s="27" t="str">
        <x:v>Air</x:v>
      </x:c>
      <x:c r="L394" s="52" t="n">
        <x:v>13.809490961191244</x:v>
      </x:c>
      <x:c r="M394" s="40" t="n">
        <x:f>INDEX(Catchments!C:C,MATCH(A394,Catchments!A:A,0))</x:f>
        <x:v>6759014</x:v>
      </x:c>
      <x:c r="N394" s="40" t="n">
        <x:f>INDEX(Catchments!C:C,MATCH(B394,Catchments!A:A,0))</x:f>
        <x:v>6677653</x:v>
      </x:c>
    </x:row>
    <x:row r="395" ht="15" hidden="0" customHeight="1">
      <x:c r="A395" s="29" t="str">
        <x:v>SCA-13</x:v>
      </x:c>
      <x:c r="B395" s="29" t="str">
        <x:v>SCA-20</x:v>
      </x:c>
      <x:c r="C395" s="53" t="n">
        <x:v>34.41137573652918</x:v>
      </x:c>
      <x:c r="D395" s="29" t="str">
        <x:v>YES</x:v>
      </x:c>
      <x:c r="E395" s="53" t="n">
        <x:v>36.03750950727293</x:v>
      </x:c>
      <x:c r="F395" s="29" t="str">
        <x:v>YES</x:v>
      </x:c>
      <x:c r="G395" s="53" t="n">
        <x:v>13.370373441600567</x:v>
      </x:c>
      <x:c r="H395" s="29" t="str">
        <x:v>YES</x:v>
      </x:c>
      <x:c r="I395" s="53" t="n">
        <x:v>59.81224060858459</x:v>
      </x:c>
      <x:c r="J395" s="29" t="str">
        <x:v>YES</x:v>
      </x:c>
      <x:c r="K395" s="29" t="str">
        <x:v>Air</x:v>
      </x:c>
      <x:c r="L395" s="53" t="n">
        <x:v>13.370373441600567</x:v>
      </x:c>
      <x:c r="M395" s="41" t="n">
        <x:f>INDEX(Catchments!C:C,MATCH(A395,Catchments!A:A,0))</x:f>
        <x:v>6759014</x:v>
      </x:c>
      <x:c r="N395" s="41" t="n">
        <x:f>INDEX(Catchments!C:C,MATCH(B395,Catchments!A:A,0))</x:f>
        <x:v>8490774</x:v>
      </x:c>
    </x:row>
    <x:row r="396" ht="15" hidden="0" customHeight="1">
      <x:c r="A396" s="27" t="str">
        <x:v>SCA-13</x:v>
      </x:c>
      <x:c r="B396" s="27" t="str">
        <x:v>SCA-21</x:v>
      </x:c>
      <x:c r="C396" s="52" t="n">
        <x:v>52.54312406185752</x:v>
      </x:c>
      <x:c r="D396" s="27" t="str">
        <x:v>YES</x:v>
      </x:c>
      <x:c r="E396" s="52" t="n">
        <x:v>50.28388319145948</x:v>
      </x:c>
      <x:c r="F396" s="27" t="str">
        <x:v>YES</x:v>
      </x:c>
      <x:c r="G396" s="52" t="n">
        <x:v>14.51103670740808</x:v>
      </x:c>
      <x:c r="H396" s="27" t="str">
        <x:v>YES</x:v>
      </x:c>
      <x:c r="I396" s="52" t="n">
        <x:v>86.29192356483043</x:v>
      </x:c>
      <x:c r="J396" s="27" t="str">
        <x:v>NO</x:v>
      </x:c>
      <x:c r="K396" s="27" t="str">
        <x:v>Air</x:v>
      </x:c>
      <x:c r="L396" s="52" t="n">
        <x:v>14.51103670740808</x:v>
      </x:c>
      <x:c r="M396" s="40" t="n">
        <x:f>INDEX(Catchments!C:C,MATCH(A396,Catchments!A:A,0))</x:f>
        <x:v>6759014</x:v>
      </x:c>
      <x:c r="N396" s="40" t="n">
        <x:f>INDEX(Catchments!C:C,MATCH(B396,Catchments!A:A,0))</x:f>
        <x:v>19593580</x:v>
      </x:c>
    </x:row>
    <x:row r="397" ht="15" hidden="0" customHeight="1">
      <x:c r="A397" s="29" t="str">
        <x:v>SCA-13</x:v>
      </x:c>
      <x:c r="B397" s="29" t="str">
        <x:v>SCA-22</x:v>
      </x:c>
      <x:c r="C397" s="53" t="n">
        <x:v>47.674828119097114</x:v>
      </x:c>
      <x:c r="D397" s="29" t="str">
        <x:v>YES</x:v>
      </x:c>
      <x:c r="E397" s="53" t="n">
        <x:v>46.45879352214773</x:v>
      </x:c>
      <x:c r="F397" s="29" t="str">
        <x:v>YES</x:v>
      </x:c>
      <x:c r="G397" s="53" t="n">
        <x:v>14.305605612771453</x:v>
      </x:c>
      <x:c r="H397" s="29" t="str">
        <x:v>YES</x:v>
      </x:c>
      <x:c r="I397" s="53" t="n">
        <x:v>81.52298743933731</x:v>
      </x:c>
      <x:c r="J397" s="29" t="str">
        <x:v>NO</x:v>
      </x:c>
      <x:c r="K397" s="29" t="str">
        <x:v>Air</x:v>
      </x:c>
      <x:c r="L397" s="53" t="n">
        <x:v>14.305605612771453</x:v>
      </x:c>
      <x:c r="M397" s="41" t="n">
        <x:f>INDEX(Catchments!C:C,MATCH(A397,Catchments!A:A,0))</x:f>
        <x:v>6759014</x:v>
      </x:c>
      <x:c r="N397" s="41" t="n">
        <x:f>INDEX(Catchments!C:C,MATCH(B397,Catchments!A:A,0))</x:f>
        <x:v>14732006</x:v>
      </x:c>
    </x:row>
    <x:row r="398" ht="15" hidden="0" customHeight="1">
      <x:c r="A398" s="27" t="str">
        <x:v>SCA-13</x:v>
      </x:c>
      <x:c r="B398" s="27" t="str">
        <x:v>SCA-23</x:v>
      </x:c>
      <x:c r="C398" s="52" t="n">
        <x:v>44.94772107924183</x:v>
      </x:c>
      <x:c r="D398" s="27" t="str">
        <x:v>YES</x:v>
      </x:c>
      <x:c r="E398" s="52" t="n">
        <x:v>44.31606656226144</x:v>
      </x:c>
      <x:c r="F398" s="27" t="str">
        <x:v>YES</x:v>
      </x:c>
      <x:c r="G398" s="52" t="n">
        <x:v>14.076307430686596</x:v>
      </x:c>
      <x:c r="H398" s="27" t="str">
        <x:v>YES</x:v>
      </x:c>
      <x:c r="I398" s="52" t="n">
        <x:v>76.19999392665311</x:v>
      </x:c>
      <x:c r="J398" s="27" t="str">
        <x:v>NO</x:v>
      </x:c>
      <x:c r="K398" s="27" t="str">
        <x:v>Air</x:v>
      </x:c>
      <x:c r="L398" s="52" t="n">
        <x:v>14.076307430686596</x:v>
      </x:c>
      <x:c r="M398" s="40" t="n">
        <x:f>INDEX(Catchments!C:C,MATCH(A398,Catchments!A:A,0))</x:f>
        <x:v>6759014</x:v>
      </x:c>
      <x:c r="N398" s="40" t="n">
        <x:f>INDEX(Catchments!C:C,MATCH(B398,Catchments!A:A,0))</x:f>
        <x:v>20869310</x:v>
      </x:c>
    </x:row>
    <x:row r="399" ht="15" hidden="0" customHeight="1">
      <x:c r="A399" s="29" t="str">
        <x:v>SCA-13</x:v>
      </x:c>
      <x:c r="B399" s="29" t="str">
        <x:v>SCA-24</x:v>
      </x:c>
      <x:c r="C399" s="53" t="n">
        <x:v>57.4168731702579</x:v>
      </x:c>
      <x:c r="D399" s="29" t="str">
        <x:v>YES</x:v>
      </x:c>
      <x:c r="E399" s="53" t="n">
        <x:v>54.11325749091692</x:v>
      </x:c>
      <x:c r="F399" s="29" t="str">
        <x:v>YES</x:v>
      </x:c>
      <x:c r="G399" s="53" t="n">
        <x:v>14.895756284632123</x:v>
      </x:c>
      <x:c r="H399" s="29" t="str">
        <x:v>YES</x:v>
      </x:c>
      <x:c r="I399" s="53" t="n">
        <x:v>95.22291375038856</x:v>
      </x:c>
      <x:c r="J399" s="29" t="str">
        <x:v>NO</x:v>
      </x:c>
      <x:c r="K399" s="29" t="str">
        <x:v>Air</x:v>
      </x:c>
      <x:c r="L399" s="53" t="n">
        <x:v>14.895756284632123</x:v>
      </x:c>
      <x:c r="M399" s="41" t="n">
        <x:f>INDEX(Catchments!C:C,MATCH(A399,Catchments!A:A,0))</x:f>
        <x:v>6759014</x:v>
      </x:c>
      <x:c r="N399" s="41" t="n">
        <x:f>INDEX(Catchments!C:C,MATCH(B399,Catchments!A:A,0))</x:f>
        <x:v>11816161</x:v>
      </x:c>
    </x:row>
    <x:row r="400" ht="15" hidden="0" customHeight="1">
      <x:c r="A400" s="27" t="str">
        <x:v>SCA-13</x:v>
      </x:c>
      <x:c r="B400" s="27" t="str">
        <x:v>SCA-25</x:v>
      </x:c>
      <x:c r="C400" s="52" t="n">
        <x:v>53.94016071414073</x:v>
      </x:c>
      <x:c r="D400" s="27" t="str">
        <x:v>YES</x:v>
      </x:c>
      <x:c r="E400" s="52" t="n">
        <x:v>51.381554846824855</x:v>
      </x:c>
      <x:c r="F400" s="27" t="str">
        <x:v>YES</x:v>
      </x:c>
      <x:c r="G400" s="52" t="n">
        <x:v>14.372746454907007</x:v>
      </x:c>
      <x:c r="H400" s="27" t="str">
        <x:v>YES</x:v>
      </x:c>
      <x:c r="I400" s="52" t="n">
        <x:v>83.08161413176984</x:v>
      </x:c>
      <x:c r="J400" s="27" t="str">
        <x:v>NO</x:v>
      </x:c>
      <x:c r="K400" s="27" t="str">
        <x:v>Air</x:v>
      </x:c>
      <x:c r="L400" s="52" t="n">
        <x:v>14.372746454907007</x:v>
      </x:c>
      <x:c r="M400" s="40" t="n">
        <x:f>INDEX(Catchments!C:C,MATCH(A400,Catchments!A:A,0))</x:f>
        <x:v>6759014</x:v>
      </x:c>
      <x:c r="N400" s="40" t="n">
        <x:f>INDEX(Catchments!C:C,MATCH(B400,Catchments!A:A,0))</x:f>
        <x:v>6408394</x:v>
      </x:c>
    </x:row>
    <x:row r="401" ht="15" hidden="0" customHeight="1">
      <x:c r="A401" s="29" t="str">
        <x:v>SCA-13</x:v>
      </x:c>
      <x:c r="B401" s="29" t="str">
        <x:v>SCA-26</x:v>
      </x:c>
      <x:c r="C401" s="53" t="n">
        <x:v>59.912878091682956</x:v>
      </x:c>
      <x:c r="D401" s="29" t="str">
        <x:v>YES</x:v>
      </x:c>
      <x:c r="E401" s="53" t="n">
        <x:v>56.07440421489375</x:v>
      </x:c>
      <x:c r="F401" s="29" t="str">
        <x:v>YES</x:v>
      </x:c>
      <x:c r="G401" s="53" t="n">
        <x:v>14.457968886893877</x:v>
      </x:c>
      <x:c r="H401" s="29" t="str">
        <x:v>YES</x:v>
      </x:c>
      <x:c r="I401" s="53" t="n">
        <x:v>85.05999201717925</x:v>
      </x:c>
      <x:c r="J401" s="29" t="str">
        <x:v>NO</x:v>
      </x:c>
      <x:c r="K401" s="29" t="str">
        <x:v>Air</x:v>
      </x:c>
      <x:c r="L401" s="53" t="n">
        <x:v>14.457968886893877</x:v>
      </x:c>
      <x:c r="M401" s="41" t="n">
        <x:f>INDEX(Catchments!C:C,MATCH(A401,Catchments!A:A,0))</x:f>
        <x:v>6759014</x:v>
      </x:c>
      <x:c r="N401" s="41" t="n">
        <x:f>INDEX(Catchments!C:C,MATCH(B401,Catchments!A:A,0))</x:f>
        <x:v>10737083</x:v>
      </x:c>
    </x:row>
    <x:row r="402" ht="15" hidden="0" customHeight="1">
      <x:c r="A402" s="27" t="str">
        <x:v>SCA-13</x:v>
      </x:c>
      <x:c r="B402" s="27" t="str">
        <x:v>SCA-27</x:v>
      </x:c>
      <x:c r="C402" s="52" t="n">
        <x:v>64.99702834840201</x:v>
      </x:c>
      <x:c r="D402" s="27" t="str">
        <x:v>YES</x:v>
      </x:c>
      <x:c r="E402" s="52" t="n">
        <x:v>60.06909370231587</x:v>
      </x:c>
      <x:c r="F402" s="27" t="str">
        <x:v>YES</x:v>
      </x:c>
      <x:c r="G402" s="52" t="n">
        <x:v>14.73689630998133</x:v>
      </x:c>
      <x:c r="H402" s="27" t="str">
        <x:v>YES</x:v>
      </x:c>
      <x:c r="I402" s="52" t="n">
        <x:v>91.53509291028084</x:v>
      </x:c>
      <x:c r="J402" s="27" t="str">
        <x:v>NO</x:v>
      </x:c>
      <x:c r="K402" s="27" t="str">
        <x:v>Air</x:v>
      </x:c>
      <x:c r="L402" s="52" t="n">
        <x:v>14.73689630998133</x:v>
      </x:c>
      <x:c r="M402" s="40" t="n">
        <x:f>INDEX(Catchments!C:C,MATCH(A402,Catchments!A:A,0))</x:f>
        <x:v>6759014</x:v>
      </x:c>
      <x:c r="N402" s="40" t="n">
        <x:f>INDEX(Catchments!C:C,MATCH(B402,Catchments!A:A,0))</x:f>
        <x:v>7505606</x:v>
      </x:c>
    </x:row>
    <x:row r="403" ht="15" hidden="0" customHeight="1">
      <x:c r="A403" s="29" t="str">
        <x:v>SCA-13</x:v>
      </x:c>
      <x:c r="B403" s="29" t="str">
        <x:v>SCA-28</x:v>
      </x:c>
      <x:c r="C403" s="53" t="n">
        <x:v>59.39582766935781</x:v>
      </x:c>
      <x:c r="D403" s="29" t="str">
        <x:v>YES</x:v>
      </x:c>
      <x:c r="E403" s="53" t="n">
        <x:v>55.66815031163828</x:v>
      </x:c>
      <x:c r="F403" s="29" t="str">
        <x:v>YES</x:v>
      </x:c>
      <x:c r="G403" s="53" t="n">
        <x:v>15.159529198680406</x:v>
      </x:c>
      <x:c r="H403" s="29" t="str">
        <x:v>YES</x:v>
      </x:c>
      <x:c r="I403" s="53" t="n">
        <x:v>101.34621354079516</x:v>
      </x:c>
      <x:c r="J403" s="29" t="str">
        <x:v>NO</x:v>
      </x:c>
      <x:c r="K403" s="29" t="str">
        <x:v>Air</x:v>
      </x:c>
      <x:c r="L403" s="53" t="n">
        <x:v>15.159529198680406</x:v>
      </x:c>
      <x:c r="M403" s="41" t="n">
        <x:f>INDEX(Catchments!C:C,MATCH(A403,Catchments!A:A,0))</x:f>
        <x:v>6759014</x:v>
      </x:c>
      <x:c r="N403" s="41" t="n">
        <x:f>INDEX(Catchments!C:C,MATCH(B403,Catchments!A:A,0))</x:f>
        <x:v>21305157</x:v>
      </x:c>
    </x:row>
    <x:row r="404" ht="15" hidden="0" customHeight="1">
      <x:c r="A404" s="27" t="str">
        <x:v>SCA-13</x:v>
      </x:c>
      <x:c r="B404" s="27" t="str">
        <x:v>SCA-29</x:v>
      </x:c>
      <x:c r="C404" s="52" t="n">
        <x:v>56.501447425115444</x:v>
      </x:c>
      <x:c r="D404" s="27" t="str">
        <x:v>YES</x:v>
      </x:c>
      <x:c r="E404" s="52" t="n">
        <x:v>53.39399440544785</x:v>
      </x:c>
      <x:c r="F404" s="27" t="str">
        <x:v>YES</x:v>
      </x:c>
      <x:c r="G404" s="52" t="n">
        <x:v>14.914432062426327</x:v>
      </x:c>
      <x:c r="H404" s="27" t="str">
        <x:v>YES</x:v>
      </x:c>
      <x:c r="I404" s="52" t="n">
        <x:v>95.65645859203973</x:v>
      </x:c>
      <x:c r="J404" s="27" t="str">
        <x:v>NO</x:v>
      </x:c>
      <x:c r="K404" s="27" t="str">
        <x:v>Air</x:v>
      </x:c>
      <x:c r="L404" s="52" t="n">
        <x:v>14.914432062426327</x:v>
      </x:c>
      <x:c r="M404" s="40" t="n">
        <x:f>INDEX(Catchments!C:C,MATCH(A404,Catchments!A:A,0))</x:f>
        <x:v>6759014</x:v>
      </x:c>
      <x:c r="N404" s="40" t="n">
        <x:f>INDEX(Catchments!C:C,MATCH(B404,Catchments!A:A,0))</x:f>
        <x:v>19271685</x:v>
      </x:c>
    </x:row>
    <x:row r="405" ht="15" hidden="0" customHeight="1">
      <x:c r="A405" s="29" t="str">
        <x:v>SCA-13</x:v>
      </x:c>
      <x:c r="B405" s="29" t="str">
        <x:v>SCA-30</x:v>
      </x:c>
      <x:c r="C405" s="53" t="n">
        <x:v>67.82425886810762</x:v>
      </x:c>
      <x:c r="D405" s="29" t="str">
        <x:v>YES</x:v>
      </x:c>
      <x:c r="E405" s="53" t="n">
        <x:v>62.29048911065599</x:v>
      </x:c>
      <x:c r="F405" s="29" t="str">
        <x:v>YES</x:v>
      </x:c>
      <x:c r="G405" s="53" t="n">
        <x:v>15.737192051313578</x:v>
      </x:c>
      <x:c r="H405" s="29" t="str">
        <x:v>YES</x:v>
      </x:c>
      <x:c r="I405" s="53" t="n">
        <x:v>114.7562440483509</x:v>
      </x:c>
      <x:c r="J405" s="29" t="str">
        <x:v>NO</x:v>
      </x:c>
      <x:c r="K405" s="29" t="str">
        <x:v>Air</x:v>
      </x:c>
      <x:c r="L405" s="53" t="n">
        <x:v>15.737192051313578</x:v>
      </x:c>
      <x:c r="M405" s="41" t="n">
        <x:f>INDEX(Catchments!C:C,MATCH(A405,Catchments!A:A,0))</x:f>
        <x:v>6759014</x:v>
      </x:c>
      <x:c r="N405" s="41" t="n">
        <x:f>INDEX(Catchments!C:C,MATCH(B405,Catchments!A:A,0))</x:f>
        <x:v>41291847</x:v>
      </x:c>
    </x:row>
    <x:row r="406" ht="15" hidden="0" customHeight="1">
      <x:c r="A406" s="27" t="str">
        <x:v>SCA-13</x:v>
      </x:c>
      <x:c r="B406" s="27" t="str">
        <x:v>SCA-31</x:v>
      </x:c>
      <x:c r="C406" s="52" t="n">
        <x:v>74.97120696240773</x:v>
      </x:c>
      <x:c r="D406" s="27" t="str">
        <x:v>NO</x:v>
      </x:c>
      <x:c r="E406" s="52" t="n">
        <x:v>67.90594832760608</x:v>
      </x:c>
      <x:c r="F406" s="27" t="str">
        <x:v>YES</x:v>
      </x:c>
      <x:c r="G406" s="52" t="n">
        <x:v>16.229628407237033</x:v>
      </x:c>
      <x:c r="H406" s="27" t="str">
        <x:v>YES</x:v>
      </x:c>
      <x:c r="I406" s="52" t="n">
        <x:v>126.1878023108597</x:v>
      </x:c>
      <x:c r="J406" s="27" t="str">
        <x:v>NO</x:v>
      </x:c>
      <x:c r="K406" s="27" t="str">
        <x:v>Air</x:v>
      </x:c>
      <x:c r="L406" s="52" t="n">
        <x:v>16.229628407237033</x:v>
      </x:c>
      <x:c r="M406" s="40" t="n">
        <x:f>INDEX(Catchments!C:C,MATCH(A406,Catchments!A:A,0))</x:f>
        <x:v>6759014</x:v>
      </x:c>
      <x:c r="N406" s="40" t="n">
        <x:f>INDEX(Catchments!C:C,MATCH(B406,Catchments!A:A,0))</x:f>
        <x:v>14227128</x:v>
      </x:c>
    </x:row>
    <x:row r="407" ht="15" hidden="0" customHeight="1">
      <x:c r="A407" s="29" t="str">
        <x:v>SCA-13</x:v>
      </x:c>
      <x:c r="B407" s="29" t="str">
        <x:v>SCA-32</x:v>
      </x:c>
      <x:c r="C407" s="53"/>
      <x:c r="D407" s="29" t="str">
        <x:v>NO</x:v>
      </x:c>
      <x:c r="E407" s="53"/>
      <x:c r="F407" s="29" t="str">
        <x:v>NO</x:v>
      </x:c>
      <x:c r="G407" s="53" t="n">
        <x:v>17.329114134934347</x:v>
      </x:c>
      <x:c r="H407" s="29" t="str">
        <x:v>YES</x:v>
      </x:c>
      <x:c r="I407" s="53" t="n">
        <x:v>151.7115781324045</x:v>
      </x:c>
      <x:c r="J407" s="29" t="str">
        <x:v>NO</x:v>
      </x:c>
      <x:c r="K407" s="29" t="str">
        <x:v>Air</x:v>
      </x:c>
      <x:c r="L407" s="53" t="n">
        <x:v>17.329114134934347</x:v>
      </x:c>
      <x:c r="M407" s="41" t="n">
        <x:f>INDEX(Catchments!C:C,MATCH(A407,Catchments!A:A,0))</x:f>
        <x:v>6759014</x:v>
      </x:c>
      <x:c r="N407" s="41" t="n">
        <x:f>INDEX(Catchments!C:C,MATCH(B407,Catchments!A:A,0))</x:f>
        <x:v>3184835</x:v>
      </x:c>
    </x:row>
    <x:row r="408" ht="15" hidden="0" customHeight="1">
      <x:c r="A408" s="27" t="str">
        <x:v>SCA-14</x:v>
      </x:c>
      <x:c r="B408" s="27" t="str">
        <x:v>SCA-01</x:v>
      </x:c>
      <x:c r="C408" s="52"/>
      <x:c r="D408" s="27" t="str">
        <x:v>NO</x:v>
      </x:c>
      <x:c r="E408" s="52"/>
      <x:c r="F408" s="27" t="str">
        <x:v>NO</x:v>
      </x:c>
      <x:c r="G408" s="52" t="n">
        <x:v>21.286039234947022</x:v>
      </x:c>
      <x:c r="H408" s="27" t="str">
        <x:v>YES</x:v>
      </x:c>
      <x:c r="I408" s="52" t="n">
        <x:v>243.56876795412728</x:v>
      </x:c>
      <x:c r="J408" s="27" t="str">
        <x:v>NO</x:v>
      </x:c>
      <x:c r="K408" s="27" t="str">
        <x:v>Air</x:v>
      </x:c>
      <x:c r="L408" s="52" t="n">
        <x:v>21.286039234947022</x:v>
      </x:c>
      <x:c r="M408" s="40" t="n">
        <x:f>INDEX(Catchments!C:C,MATCH(A408,Catchments!A:A,0))</x:f>
        <x:v>2179728</x:v>
      </x:c>
      <x:c r="N408" s="40" t="n">
        <x:f>INDEX(Catchments!C:C,MATCH(B408,Catchments!A:A,0))</x:f>
        <x:v>1432820</x:v>
      </x:c>
    </x:row>
    <x:row r="409" ht="15" hidden="0" customHeight="1">
      <x:c r="A409" s="29" t="str">
        <x:v>SCA-14</x:v>
      </x:c>
      <x:c r="B409" s="29" t="str">
        <x:v>SCA-02</x:v>
      </x:c>
      <x:c r="C409" s="53"/>
      <x:c r="D409" s="29" t="str">
        <x:v>NO</x:v>
      </x:c>
      <x:c r="E409" s="53"/>
      <x:c r="F409" s="29" t="str">
        <x:v>NO</x:v>
      </x:c>
      <x:c r="G409" s="53" t="n">
        <x:v>20.065862900889513</x:v>
      </x:c>
      <x:c r="H409" s="29" t="str">
        <x:v>YES</x:v>
      </x:c>
      <x:c r="I409" s="53" t="n">
        <x:v>215.2432459135065</x:v>
      </x:c>
      <x:c r="J409" s="29" t="str">
        <x:v>NO</x:v>
      </x:c>
      <x:c r="K409" s="29" t="str">
        <x:v>Air</x:v>
      </x:c>
      <x:c r="L409" s="53" t="n">
        <x:v>20.065862900889513</x:v>
      </x:c>
      <x:c r="M409" s="41" t="n">
        <x:f>INDEX(Catchments!C:C,MATCH(A409,Catchments!A:A,0))</x:f>
        <x:v>2179728</x:v>
      </x:c>
      <x:c r="N409" s="41" t="n">
        <x:f>INDEX(Catchments!C:C,MATCH(B409,Catchments!A:A,0))</x:f>
        <x:v>737270</x:v>
      </x:c>
    </x:row>
    <x:row r="410" ht="15" hidden="0" customHeight="1">
      <x:c r="A410" s="27" t="str">
        <x:v>SCA-14</x:v>
      </x:c>
      <x:c r="B410" s="27" t="str">
        <x:v>SCA-03</x:v>
      </x:c>
      <x:c r="C410" s="52" t="n">
        <x:v>83.42792889813657</x:v>
      </x:c>
      <x:c r="D410" s="27" t="str">
        <x:v>NO</x:v>
      </x:c>
      <x:c r="E410" s="52" t="n">
        <x:v>74.55051556282159</x:v>
      </x:c>
      <x:c r="F410" s="27" t="str">
        <x:v>NO</x:v>
      </x:c>
      <x:c r="G410" s="52" t="n">
        <x:v>16.65103326989143</x:v>
      </x:c>
      <x:c r="H410" s="27" t="str">
        <x:v>YES</x:v>
      </x:c>
      <x:c r="I410" s="52" t="n">
        <x:v>135.97041519390814</x:v>
      </x:c>
      <x:c r="J410" s="27" t="str">
        <x:v>NO</x:v>
      </x:c>
      <x:c r="K410" s="27" t="str">
        <x:v>Air</x:v>
      </x:c>
      <x:c r="L410" s="52" t="n">
        <x:v>16.65103326989143</x:v>
      </x:c>
      <x:c r="M410" s="40" t="n">
        <x:f>INDEX(Catchments!C:C,MATCH(A410,Catchments!A:A,0))</x:f>
        <x:v>2179728</x:v>
      </x:c>
      <x:c r="N410" s="40" t="n">
        <x:f>INDEX(Catchments!C:C,MATCH(B410,Catchments!A:A,0))</x:f>
        <x:v>11968308</x:v>
      </x:c>
    </x:row>
    <x:row r="411" ht="15" hidden="0" customHeight="1">
      <x:c r="A411" s="29" t="str">
        <x:v>SCA-14</x:v>
      </x:c>
      <x:c r="B411" s="29" t="str">
        <x:v>SCA-04</x:v>
      </x:c>
      <x:c r="C411" s="53" t="n">
        <x:v>71.93833217510982</x:v>
      </x:c>
      <x:c r="D411" s="29" t="str">
        <x:v>YES</x:v>
      </x:c>
      <x:c r="E411" s="53" t="n">
        <x:v>65.52297528044343</x:v>
      </x:c>
      <x:c r="F411" s="29" t="str">
        <x:v>YES</x:v>
      </x:c>
      <x:c r="G411" s="53" t="n">
        <x:v>15.884032440745285</x:v>
      </x:c>
      <x:c r="H411" s="29" t="str">
        <x:v>YES</x:v>
      </x:c>
      <x:c r="I411" s="53" t="n">
        <x:v>118.16503880301555</x:v>
      </x:c>
      <x:c r="J411" s="29" t="str">
        <x:v>NO</x:v>
      </x:c>
      <x:c r="K411" s="29" t="str">
        <x:v>Air</x:v>
      </x:c>
      <x:c r="L411" s="53" t="n">
        <x:v>15.884032440745285</x:v>
      </x:c>
      <x:c r="M411" s="41" t="n">
        <x:f>INDEX(Catchments!C:C,MATCH(A411,Catchments!A:A,0))</x:f>
        <x:v>2179728</x:v>
      </x:c>
      <x:c r="N411" s="41" t="n">
        <x:f>INDEX(Catchments!C:C,MATCH(B411,Catchments!A:A,0))</x:f>
        <x:v>16200470</x:v>
      </x:c>
    </x:row>
    <x:row r="412" ht="15" hidden="0" customHeight="1">
      <x:c r="A412" s="27" t="str">
        <x:v>SCA-14</x:v>
      </x:c>
      <x:c r="B412" s="27" t="str">
        <x:v>SCA-05</x:v>
      </x:c>
      <x:c r="C412" s="52" t="n">
        <x:v>63.35172207902408</x:v>
      </x:c>
      <x:c r="D412" s="27" t="str">
        <x:v>YES</x:v>
      </x:c>
      <x:c r="E412" s="52" t="n">
        <x:v>58.77635306209035</x:v>
      </x:c>
      <x:c r="F412" s="27" t="str">
        <x:v>YES</x:v>
      </x:c>
      <x:c r="G412" s="52" t="n">
        <x:v>15.241353049421761</x:v>
      </x:c>
      <x:c r="H412" s="27" t="str">
        <x:v>YES</x:v>
      </x:c>
      <x:c r="I412" s="52" t="n">
        <x:v>103.24569579014802</x:v>
      </x:c>
      <x:c r="J412" s="27" t="str">
        <x:v>NO</x:v>
      </x:c>
      <x:c r="K412" s="27" t="str">
        <x:v>Air</x:v>
      </x:c>
      <x:c r="L412" s="52" t="n">
        <x:v>15.241353049421761</x:v>
      </x:c>
      <x:c r="M412" s="40" t="n">
        <x:f>INDEX(Catchments!C:C,MATCH(A412,Catchments!A:A,0))</x:f>
        <x:v>2179728</x:v>
      </x:c>
      <x:c r="N412" s="40" t="n">
        <x:f>INDEX(Catchments!C:C,MATCH(B412,Catchments!A:A,0))</x:f>
        <x:v>15966265</x:v>
      </x:c>
    </x:row>
    <x:row r="413" ht="15" hidden="0" customHeight="1">
      <x:c r="A413" s="29" t="str">
        <x:v>SCA-14</x:v>
      </x:c>
      <x:c r="B413" s="29" t="str">
        <x:v>SCA-06</x:v>
      </x:c>
      <x:c r="C413" s="53" t="n">
        <x:v>58.97431531029457</x:v>
      </x:c>
      <x:c r="D413" s="29" t="str">
        <x:v>YES</x:v>
      </x:c>
      <x:c r="E413" s="53" t="n">
        <x:v>55.33696202951717</x:v>
      </x:c>
      <x:c r="F413" s="29" t="str">
        <x:v>YES</x:v>
      </x:c>
      <x:c r="G413" s="53" t="n">
        <x:v>14.927264836787016</x:v>
      </x:c>
      <x:c r="H413" s="29" t="str">
        <x:v>YES</x:v>
      </x:c>
      <x:c r="I413" s="53" t="n">
        <x:v>95.95436228255572</x:v>
      </x:c>
      <x:c r="J413" s="29" t="str">
        <x:v>NO</x:v>
      </x:c>
      <x:c r="K413" s="29" t="str">
        <x:v>Air</x:v>
      </x:c>
      <x:c r="L413" s="53" t="n">
        <x:v>14.927264836787016</x:v>
      </x:c>
      <x:c r="M413" s="41" t="n">
        <x:f>INDEX(Catchments!C:C,MATCH(A413,Catchments!A:A,0))</x:f>
        <x:v>2179728</x:v>
      </x:c>
      <x:c r="N413" s="41" t="n">
        <x:f>INDEX(Catchments!C:C,MATCH(B413,Catchments!A:A,0))</x:f>
        <x:v>6008575</x:v>
      </x:c>
    </x:row>
    <x:row r="414" ht="15" hidden="0" customHeight="1">
      <x:c r="A414" s="27" t="str">
        <x:v>SCA-14</x:v>
      </x:c>
      <x:c r="B414" s="27" t="str">
        <x:v>SCA-07</x:v>
      </x:c>
      <x:c r="C414" s="52" t="n">
        <x:v>59.20007423597083</x:v>
      </x:c>
      <x:c r="D414" s="27" t="str">
        <x:v>YES</x:v>
      </x:c>
      <x:c r="E414" s="52" t="n">
        <x:v>55.51434404254851</x:v>
      </x:c>
      <x:c r="F414" s="27" t="str">
        <x:v>YES</x:v>
      </x:c>
      <x:c r="G414" s="52" t="n">
        <x:v>14.946984821241008</x:v>
      </x:c>
      <x:c r="H414" s="27" t="str">
        <x:v>YES</x:v>
      </x:c>
      <x:c r="I414" s="52" t="n">
        <x:v>96.41214763595197</x:v>
      </x:c>
      <x:c r="J414" s="27" t="str">
        <x:v>NO</x:v>
      </x:c>
      <x:c r="K414" s="27" t="str">
        <x:v>Air</x:v>
      </x:c>
      <x:c r="L414" s="52" t="n">
        <x:v>14.946984821241008</x:v>
      </x:c>
      <x:c r="M414" s="40" t="n">
        <x:f>INDEX(Catchments!C:C,MATCH(A414,Catchments!A:A,0))</x:f>
        <x:v>2179728</x:v>
      </x:c>
      <x:c r="N414" s="40" t="n">
        <x:f>INDEX(Catchments!C:C,MATCH(B414,Catchments!A:A,0))</x:f>
        <x:v>5229370</x:v>
      </x:c>
    </x:row>
    <x:row r="415" ht="15" hidden="0" customHeight="1">
      <x:c r="A415" s="29" t="str">
        <x:v>SCA-14</x:v>
      </x:c>
      <x:c r="B415" s="29" t="str">
        <x:v>SCA-08</x:v>
      </x:c>
      <x:c r="C415" s="53" t="n">
        <x:v>71.70693116954547</x:v>
      </x:c>
      <x:c r="D415" s="29" t="str">
        <x:v>YES</x:v>
      </x:c>
      <x:c r="E415" s="53" t="n">
        <x:v>65.34116020464288</x:v>
      </x:c>
      <x:c r="F415" s="29" t="str">
        <x:v>YES</x:v>
      </x:c>
      <x:c r="G415" s="53" t="n">
        <x:v>15.845104637454986</x:v>
      </x:c>
      <x:c r="H415" s="29" t="str">
        <x:v>YES</x:v>
      </x:c>
      <x:c r="I415" s="53" t="n">
        <x:v>117.26135765520503</x:v>
      </x:c>
      <x:c r="J415" s="29" t="str">
        <x:v>NO</x:v>
      </x:c>
      <x:c r="K415" s="29" t="str">
        <x:v>Air</x:v>
      </x:c>
      <x:c r="L415" s="53" t="n">
        <x:v>15.845104637454986</x:v>
      </x:c>
      <x:c r="M415" s="41" t="n">
        <x:f>INDEX(Catchments!C:C,MATCH(A415,Catchments!A:A,0))</x:f>
        <x:v>2179728</x:v>
      </x:c>
      <x:c r="N415" s="41" t="n">
        <x:f>INDEX(Catchments!C:C,MATCH(B415,Catchments!A:A,0))</x:f>
        <x:v>2652387</x:v>
      </x:c>
    </x:row>
    <x:row r="416" ht="15" hidden="0" customHeight="1">
      <x:c r="A416" s="27" t="str">
        <x:v>SCA-14</x:v>
      </x:c>
      <x:c r="B416" s="27" t="str">
        <x:v>SCA-09</x:v>
      </x:c>
      <x:c r="C416" s="52" t="n">
        <x:v>50.79759800553401</x:v>
      </x:c>
      <x:c r="D416" s="27" t="str">
        <x:v>YES</x:v>
      </x:c>
      <x:c r="E416" s="52" t="n">
        <x:v>48.91239843291958</x:v>
      </x:c>
      <x:c r="F416" s="27" t="str">
        <x:v>YES</x:v>
      </x:c>
      <x:c r="G416" s="52" t="n">
        <x:v>14.35884900242183</x:v>
      </x:c>
      <x:c r="H416" s="27" t="str">
        <x:v>YES</x:v>
      </x:c>
      <x:c r="I416" s="52"/>
      <x:c r="J416" s="27" t="str">
        <x:v>NO</x:v>
      </x:c>
      <x:c r="K416" s="27" t="str">
        <x:v>Air</x:v>
      </x:c>
      <x:c r="L416" s="52" t="n">
        <x:v>14.35884900242183</x:v>
      </x:c>
      <x:c r="M416" s="40" t="n">
        <x:f>INDEX(Catchments!C:C,MATCH(A416,Catchments!A:A,0))</x:f>
        <x:v>2179728</x:v>
      </x:c>
      <x:c r="N416" s="40" t="n">
        <x:f>INDEX(Catchments!C:C,MATCH(B416,Catchments!A:A,0))</x:f>
        <x:v>7395716</x:v>
      </x:c>
    </x:row>
    <x:row r="417" ht="15" hidden="0" customHeight="1">
      <x:c r="A417" s="29" t="str">
        <x:v>SCA-14</x:v>
      </x:c>
      <x:c r="B417" s="29" t="str">
        <x:v>SCA-10</x:v>
      </x:c>
      <x:c r="C417" s="53" t="n">
        <x:v>62.696450580164836</x:v>
      </x:c>
      <x:c r="D417" s="29" t="str">
        <x:v>YES</x:v>
      </x:c>
      <x:c r="E417" s="53" t="n">
        <x:v>58.26149688441523</x:v>
      </x:c>
      <x:c r="F417" s="29" t="str">
        <x:v>YES</x:v>
      </x:c>
      <x:c r="G417" s="53" t="n">
        <x:v>15.103284569615724</x:v>
      </x:c>
      <x:c r="H417" s="29" t="str">
        <x:v>YES</x:v>
      </x:c>
      <x:c r="I417" s="53"/>
      <x:c r="J417" s="29" t="str">
        <x:v>NO</x:v>
      </x:c>
      <x:c r="K417" s="29" t="str">
        <x:v>Air</x:v>
      </x:c>
      <x:c r="L417" s="53" t="n">
        <x:v>15.103284569615724</x:v>
      </x:c>
      <x:c r="M417" s="41" t="n">
        <x:f>INDEX(Catchments!C:C,MATCH(A417,Catchments!A:A,0))</x:f>
        <x:v>2179728</x:v>
      </x:c>
      <x:c r="N417" s="41" t="n">
        <x:f>INDEX(Catchments!C:C,MATCH(B417,Catchments!A:A,0))</x:f>
        <x:v>4127033</x:v>
      </x:c>
    </x:row>
    <x:row r="418" ht="15" hidden="0" customHeight="1">
      <x:c r="A418" s="27" t="str">
        <x:v>SCA-14</x:v>
      </x:c>
      <x:c r="B418" s="27" t="str">
        <x:v>SCA-11</x:v>
      </x:c>
      <x:c r="C418" s="52" t="n">
        <x:v>37.12937343335928</x:v>
      </x:c>
      <x:c r="D418" s="27" t="str">
        <x:v>YES</x:v>
      </x:c>
      <x:c r="E418" s="52" t="n">
        <x:v>38.17307912621086</x:v>
      </x:c>
      <x:c r="F418" s="27" t="str">
        <x:v>YES</x:v>
      </x:c>
      <x:c r="G418" s="52" t="n">
        <x:v>13.516062650366845</x:v>
      </x:c>
      <x:c r="H418" s="27" t="str">
        <x:v>YES</x:v>
      </x:c>
      <x:c r="I418" s="52" t="n">
        <x:v>63.194311526373156</x:v>
      </x:c>
      <x:c r="J418" s="27" t="str">
        <x:v>YES</x:v>
      </x:c>
      <x:c r="K418" s="27" t="str">
        <x:v>Air</x:v>
      </x:c>
      <x:c r="L418" s="52" t="n">
        <x:v>13.516062650366845</x:v>
      </x:c>
      <x:c r="M418" s="40" t="n">
        <x:f>INDEX(Catchments!C:C,MATCH(A418,Catchments!A:A,0))</x:f>
        <x:v>2179728</x:v>
      </x:c>
      <x:c r="N418" s="40" t="n">
        <x:f>INDEX(Catchments!C:C,MATCH(B418,Catchments!A:A,0))</x:f>
        <x:v>3517787</x:v>
      </x:c>
    </x:row>
    <x:row r="419" ht="15" hidden="0" customHeight="1">
      <x:c r="A419" s="29" t="str">
        <x:v>SCA-14</x:v>
      </x:c>
      <x:c r="B419" s="29" t="str">
        <x:v>SCA-12</x:v>
      </x:c>
      <x:c r="C419" s="53" t="n">
        <x:v>50.400851266593165</x:v>
      </x:c>
      <x:c r="D419" s="29" t="str">
        <x:v>YES</x:v>
      </x:c>
      <x:c r="E419" s="53" t="n">
        <x:v>48.600668852323196</x:v>
      </x:c>
      <x:c r="F419" s="29" t="str">
        <x:v>YES</x:v>
      </x:c>
      <x:c r="G419" s="53" t="n">
        <x:v>14.371500828222771</x:v>
      </x:c>
      <x:c r="H419" s="29" t="str">
        <x:v>YES</x:v>
      </x:c>
      <x:c r="I419" s="53"/>
      <x:c r="J419" s="29" t="str">
        <x:v>NO</x:v>
      </x:c>
      <x:c r="K419" s="29" t="str">
        <x:v>Air</x:v>
      </x:c>
      <x:c r="L419" s="53" t="n">
        <x:v>14.371500828222771</x:v>
      </x:c>
      <x:c r="M419" s="41" t="n">
        <x:f>INDEX(Catchments!C:C,MATCH(A419,Catchments!A:A,0))</x:f>
        <x:v>2179728</x:v>
      </x:c>
      <x:c r="N419" s="41" t="n">
        <x:f>INDEX(Catchments!C:C,MATCH(B419,Catchments!A:A,0))</x:f>
        <x:v>7465186</x:v>
      </x:c>
    </x:row>
    <x:row r="420" ht="15" hidden="0" customHeight="1">
      <x:c r="A420" s="27" t="str">
        <x:v>SCA-14</x:v>
      </x:c>
      <x:c r="B420" s="27" t="str">
        <x:v>SCA-13</x:v>
      </x:c>
      <x:c r="C420" s="52" t="n">
        <x:v>21.337542067765664</x:v>
      </x:c>
      <x:c r="D420" s="27" t="str">
        <x:v>YES</x:v>
      </x:c>
      <x:c r="E420" s="52" t="n">
        <x:v>25.76521162467302</x:v>
      </x:c>
      <x:c r="F420" s="27" t="str">
        <x:v>YES</x:v>
      </x:c>
      <x:c r="G420" s="52" t="n">
        <x:v>12.539886038430918</x:v>
      </x:c>
      <x:c r="H420" s="27" t="str">
        <x:v>YES</x:v>
      </x:c>
      <x:c r="I420" s="52" t="n">
        <x:v>40.53306874928918</x:v>
      </x:c>
      <x:c r="J420" s="27" t="str">
        <x:v>YES</x:v>
      </x:c>
      <x:c r="K420" s="27" t="str">
        <x:v>Air</x:v>
      </x:c>
      <x:c r="L420" s="52" t="n">
        <x:v>12.539886038430918</x:v>
      </x:c>
      <x:c r="M420" s="40" t="n">
        <x:f>INDEX(Catchments!C:C,MATCH(A420,Catchments!A:A,0))</x:f>
        <x:v>2179728</x:v>
      </x:c>
      <x:c r="N420" s="40" t="n">
        <x:f>INDEX(Catchments!C:C,MATCH(B420,Catchments!A:A,0))</x:f>
        <x:v>6759014</x:v>
      </x:c>
    </x:row>
    <x:row r="421" ht="15" hidden="0" customHeight="1">
      <x:c r="A421" s="29" t="str">
        <x:v>SCA-14</x:v>
      </x:c>
      <x:c r="B421" s="29" t="str">
        <x:v>SCA-15</x:v>
      </x:c>
      <x:c r="C421" s="53" t="n">
        <x:v>29.025407546840903</x:v>
      </x:c>
      <x:c r="D421" s="29" t="str">
        <x:v>YES</x:v>
      </x:c>
      <x:c r="E421" s="53" t="n">
        <x:v>31.80567735823214</x:v>
      </x:c>
      <x:c r="F421" s="29" t="str">
        <x:v>YES</x:v>
      </x:c>
      <x:c r="G421" s="53" t="n">
        <x:v>13.083722099401658</x:v>
      </x:c>
      <x:c r="H421" s="29" t="str">
        <x:v>YES</x:v>
      </x:c>
      <x:c r="I421" s="53" t="n">
        <x:v>53.15783445039564</x:v>
      </x:c>
      <x:c r="J421" s="29" t="str">
        <x:v>YES</x:v>
      </x:c>
      <x:c r="K421" s="29" t="str">
        <x:v>Air</x:v>
      </x:c>
      <x:c r="L421" s="53" t="n">
        <x:v>13.083722099401658</x:v>
      </x:c>
      <x:c r="M421" s="41" t="n">
        <x:f>INDEX(Catchments!C:C,MATCH(A421,Catchments!A:A,0))</x:f>
        <x:v>2179728</x:v>
      </x:c>
      <x:c r="N421" s="41" t="n">
        <x:f>INDEX(Catchments!C:C,MATCH(B421,Catchments!A:A,0))</x:f>
        <x:v>13192386</x:v>
      </x:c>
    </x:row>
    <x:row r="422" ht="15" hidden="0" customHeight="1">
      <x:c r="A422" s="27" t="str">
        <x:v>SCA-14</x:v>
      </x:c>
      <x:c r="B422" s="27" t="str">
        <x:v>SCA-16</x:v>
      </x:c>
      <x:c r="C422" s="52" t="n">
        <x:v>40.84407458227555</x:v>
      </x:c>
      <x:c r="D422" s="27" t="str">
        <x:v>YES</x:v>
      </x:c>
      <x:c r="E422" s="52" t="n">
        <x:v>41.09177288607364</x:v>
      </x:c>
      <x:c r="F422" s="27" t="str">
        <x:v>YES</x:v>
      </x:c>
      <x:c r="G422" s="52" t="n">
        <x:v>13.950980875952611</x:v>
      </x:c>
      <x:c r="H422" s="27" t="str">
        <x:v>YES</x:v>
      </x:c>
      <x:c r="I422" s="52"/>
      <x:c r="J422" s="27" t="str">
        <x:v>NO</x:v>
      </x:c>
      <x:c r="K422" s="27" t="str">
        <x:v>Air</x:v>
      </x:c>
      <x:c r="L422" s="52" t="n">
        <x:v>13.950980875952611</x:v>
      </x:c>
      <x:c r="M422" s="40" t="n">
        <x:f>INDEX(Catchments!C:C,MATCH(A422,Catchments!A:A,0))</x:f>
        <x:v>2179728</x:v>
      </x:c>
      <x:c r="N422" s="40" t="n">
        <x:f>INDEX(Catchments!C:C,MATCH(B422,Catchments!A:A,0))</x:f>
        <x:v>10177969</x:v>
      </x:c>
    </x:row>
    <x:row r="423" ht="15" hidden="0" customHeight="1">
      <x:c r="A423" s="29" t="str">
        <x:v>SCA-14</x:v>
      </x:c>
      <x:c r="B423" s="29" t="str">
        <x:v>SCA-17</x:v>
      </x:c>
      <x:c r="C423" s="53" t="n">
        <x:v>29.19819008495606</x:v>
      </x:c>
      <x:c r="D423" s="29" t="str">
        <x:v>YES</x:v>
      </x:c>
      <x:c r="E423" s="53" t="n">
        <x:v>31.94143506675119</x:v>
      </x:c>
      <x:c r="F423" s="29" t="str">
        <x:v>YES</x:v>
      </x:c>
      <x:c r="G423" s="53" t="n">
        <x:v>12.79572332894239</x:v>
      </x:c>
      <x:c r="H423" s="29" t="str">
        <x:v>YES</x:v>
      </x:c>
      <x:c r="I423" s="53" t="n">
        <x:v>46.47214870759122</x:v>
      </x:c>
      <x:c r="J423" s="29" t="str">
        <x:v>YES</x:v>
      </x:c>
      <x:c r="K423" s="29" t="str">
        <x:v>Air</x:v>
      </x:c>
      <x:c r="L423" s="53" t="n">
        <x:v>12.79572332894239</x:v>
      </x:c>
      <x:c r="M423" s="41" t="n">
        <x:f>INDEX(Catchments!C:C,MATCH(A423,Catchments!A:A,0))</x:f>
        <x:v>2179728</x:v>
      </x:c>
      <x:c r="N423" s="41" t="n">
        <x:f>INDEX(Catchments!C:C,MATCH(B423,Catchments!A:A,0))</x:f>
        <x:v>12843509</x:v>
      </x:c>
    </x:row>
    <x:row r="424" ht="15" hidden="0" customHeight="1">
      <x:c r="A424" s="27" t="str">
        <x:v>SCA-14</x:v>
      </x:c>
      <x:c r="B424" s="27" t="str">
        <x:v>SCA-18</x:v>
      </x:c>
      <x:c r="C424" s="52" t="n">
        <x:v>56.69311576460579</x:v>
      </x:c>
      <x:c r="D424" s="27" t="str">
        <x:v>YES</x:v>
      </x:c>
      <x:c r="E424" s="52" t="n">
        <x:v>53.544590957904546</x:v>
      </x:c>
      <x:c r="F424" s="27" t="str">
        <x:v>YES</x:v>
      </x:c>
      <x:c r="G424" s="52" t="n">
        <x:v>15.11553947662964</x:v>
      </x:c>
      <x:c r="H424" s="27" t="str">
        <x:v>YES</x:v>
      </x:c>
      <x:c r="I424" s="52" t="n">
        <x:v>100.32502356461666</x:v>
      </x:c>
      <x:c r="J424" s="27" t="str">
        <x:v>NO</x:v>
      </x:c>
      <x:c r="K424" s="27" t="str">
        <x:v>Air</x:v>
      </x:c>
      <x:c r="L424" s="52" t="n">
        <x:v>15.11553947662964</x:v>
      </x:c>
      <x:c r="M424" s="40" t="n">
        <x:f>INDEX(Catchments!C:C,MATCH(A424,Catchments!A:A,0))</x:f>
        <x:v>2179728</x:v>
      </x:c>
      <x:c r="N424" s="40" t="n">
        <x:f>INDEX(Catchments!C:C,MATCH(B424,Catchments!A:A,0))</x:f>
        <x:v>11004680</x:v>
      </x:c>
    </x:row>
    <x:row r="425" ht="15" hidden="0" customHeight="1">
      <x:c r="A425" s="29" t="str">
        <x:v>SCA-14</x:v>
      </x:c>
      <x:c r="B425" s="29" t="str">
        <x:v>SCA-19</x:v>
      </x:c>
      <x:c r="C425" s="53" t="n">
        <x:v>50.32562319916675</x:v>
      </x:c>
      <x:c r="D425" s="29" t="str">
        <x:v>YES</x:v>
      </x:c>
      <x:c r="E425" s="53" t="n">
        <x:v>48.541561085059584</x:v>
      </x:c>
      <x:c r="F425" s="29" t="str">
        <x:v>YES</x:v>
      </x:c>
      <x:c r="G425" s="53" t="n">
        <x:v>14.279036012768183</x:v>
      </x:c>
      <x:c r="H425" s="29" t="str">
        <x:v>YES</x:v>
      </x:c>
      <x:c r="I425" s="53" t="n">
        <x:v>80.9061931535471</x:v>
      </x:c>
      <x:c r="J425" s="29" t="str">
        <x:v>NO</x:v>
      </x:c>
      <x:c r="K425" s="29" t="str">
        <x:v>Air</x:v>
      </x:c>
      <x:c r="L425" s="53" t="n">
        <x:v>14.279036012768183</x:v>
      </x:c>
      <x:c r="M425" s="41" t="n">
        <x:f>INDEX(Catchments!C:C,MATCH(A425,Catchments!A:A,0))</x:f>
        <x:v>2179728</x:v>
      </x:c>
      <x:c r="N425" s="41" t="n">
        <x:f>INDEX(Catchments!C:C,MATCH(B425,Catchments!A:A,0))</x:f>
        <x:v>6677653</x:v>
      </x:c>
    </x:row>
    <x:row r="426" ht="15" hidden="0" customHeight="1">
      <x:c r="A426" s="27" t="str">
        <x:v>SCA-14</x:v>
      </x:c>
      <x:c r="B426" s="27" t="str">
        <x:v>SCA-20</x:v>
      </x:c>
      <x:c r="C426" s="52" t="n">
        <x:v>41.74891780429485</x:v>
      </x:c>
      <x:c r="D426" s="27" t="str">
        <x:v>YES</x:v>
      </x:c>
      <x:c r="E426" s="52" t="n">
        <x:v>41.80272113194596</x:v>
      </x:c>
      <x:c r="F426" s="27" t="str">
        <x:v>YES</x:v>
      </x:c>
      <x:c r="G426" s="52" t="n">
        <x:v>13.716057215998653</x:v>
      </x:c>
      <x:c r="H426" s="27" t="str">
        <x:v>YES</x:v>
      </x:c>
      <x:c r="I426" s="52" t="n">
        <x:v>67.83704251425445</x:v>
      </x:c>
      <x:c r="J426" s="27" t="str">
        <x:v>YES</x:v>
      </x:c>
      <x:c r="K426" s="27" t="str">
        <x:v>Air</x:v>
      </x:c>
      <x:c r="L426" s="52" t="n">
        <x:v>13.716057215998653</x:v>
      </x:c>
      <x:c r="M426" s="40" t="n">
        <x:f>INDEX(Catchments!C:C,MATCH(A426,Catchments!A:A,0))</x:f>
        <x:v>2179728</x:v>
      </x:c>
      <x:c r="N426" s="40" t="n">
        <x:f>INDEX(Catchments!C:C,MATCH(B426,Catchments!A:A,0))</x:f>
        <x:v>8490774</x:v>
      </x:c>
    </x:row>
    <x:row r="427" ht="15" hidden="0" customHeight="1">
      <x:c r="A427" s="29" t="str">
        <x:v>SCA-14</x:v>
      </x:c>
      <x:c r="B427" s="29" t="str">
        <x:v>SCA-21</x:v>
      </x:c>
      <x:c r="C427" s="53" t="n">
        <x:v>59.88066612962318</x:v>
      </x:c>
      <x:c r="D427" s="29" t="str">
        <x:v>YES</x:v>
      </x:c>
      <x:c r="E427" s="53" t="n">
        <x:v>56.0490948161325</x:v>
      </x:c>
      <x:c r="F427" s="29" t="str">
        <x:v>YES</x:v>
      </x:c>
      <x:c r="G427" s="53" t="n">
        <x:v>14.981253062801796</x:v>
      </x:c>
      <x:c r="H427" s="29" t="str">
        <x:v>YES</x:v>
      </x:c>
      <x:c r="I427" s="53" t="n">
        <x:v>97.20766038647027</x:v>
      </x:c>
      <x:c r="J427" s="29" t="str">
        <x:v>NO</x:v>
      </x:c>
      <x:c r="K427" s="29" t="str">
        <x:v>Air</x:v>
      </x:c>
      <x:c r="L427" s="53" t="n">
        <x:v>14.981253062801796</x:v>
      </x:c>
      <x:c r="M427" s="41" t="n">
        <x:f>INDEX(Catchments!C:C,MATCH(A427,Catchments!A:A,0))</x:f>
        <x:v>2179728</x:v>
      </x:c>
      <x:c r="N427" s="41" t="n">
        <x:f>INDEX(Catchments!C:C,MATCH(B427,Catchments!A:A,0))</x:f>
        <x:v>19593580</x:v>
      </x:c>
    </x:row>
    <x:row r="428" ht="15" hidden="0" customHeight="1">
      <x:c r="A428" s="27" t="str">
        <x:v>SCA-14</x:v>
      </x:c>
      <x:c r="B428" s="27" t="str">
        <x:v>SCA-22</x:v>
      </x:c>
      <x:c r="C428" s="52" t="n">
        <x:v>55.012370186862775</x:v>
      </x:c>
      <x:c r="D428" s="27" t="str">
        <x:v>YES</x:v>
      </x:c>
      <x:c r="E428" s="52" t="n">
        <x:v>52.22400514682075</x:v>
      </x:c>
      <x:c r="F428" s="27" t="str">
        <x:v>YES</x:v>
      </x:c>
      <x:c r="G428" s="52" t="n">
        <x:v>14.688503228019151</x:v>
      </x:c>
      <x:c r="H428" s="27" t="str">
        <x:v>YES</x:v>
      </x:c>
      <x:c r="I428" s="52" t="n">
        <x:v>90.411682079016</x:v>
      </x:c>
      <x:c r="J428" s="27" t="str">
        <x:v>NO</x:v>
      </x:c>
      <x:c r="K428" s="27" t="str">
        <x:v>Air</x:v>
      </x:c>
      <x:c r="L428" s="52" t="n">
        <x:v>14.688503228019151</x:v>
      </x:c>
      <x:c r="M428" s="40" t="n">
        <x:f>INDEX(Catchments!C:C,MATCH(A428,Catchments!A:A,0))</x:f>
        <x:v>2179728</x:v>
      </x:c>
      <x:c r="N428" s="40" t="n">
        <x:f>INDEX(Catchments!C:C,MATCH(B428,Catchments!A:A,0))</x:f>
        <x:v>14732006</x:v>
      </x:c>
    </x:row>
    <x:row r="429" ht="15" hidden="0" customHeight="1">
      <x:c r="A429" s="29" t="str">
        <x:v>SCA-14</x:v>
      </x:c>
      <x:c r="B429" s="29" t="str">
        <x:v>SCA-23</x:v>
      </x:c>
      <x:c r="C429" s="53" t="n">
        <x:v>52.28526314700749</x:v>
      </x:c>
      <x:c r="D429" s="29" t="str">
        <x:v>YES</x:v>
      </x:c>
      <x:c r="E429" s="53" t="n">
        <x:v>50.081278186934455</x:v>
      </x:c>
      <x:c r="F429" s="29" t="str">
        <x:v>YES</x:v>
      </x:c>
      <x:c r="G429" s="53" t="n">
        <x:v>14.322000132175674</x:v>
      </x:c>
      <x:c r="H429" s="29" t="str">
        <x:v>YES</x:v>
      </x:c>
      <x:c r="I429" s="53" t="n">
        <x:v>81.9035744969353</x:v>
      </x:c>
      <x:c r="J429" s="29" t="str">
        <x:v>NO</x:v>
      </x:c>
      <x:c r="K429" s="29" t="str">
        <x:v>Air</x:v>
      </x:c>
      <x:c r="L429" s="53" t="n">
        <x:v>14.322000132175674</x:v>
      </x:c>
      <x:c r="M429" s="41" t="n">
        <x:f>INDEX(Catchments!C:C,MATCH(A429,Catchments!A:A,0))</x:f>
        <x:v>2179728</x:v>
      </x:c>
      <x:c r="N429" s="41" t="n">
        <x:f>INDEX(Catchments!C:C,MATCH(B429,Catchments!A:A,0))</x:f>
        <x:v>20869310</x:v>
      </x:c>
    </x:row>
    <x:row r="430" ht="15" hidden="0" customHeight="1">
      <x:c r="A430" s="27" t="str">
        <x:v>SCA-14</x:v>
      </x:c>
      <x:c r="B430" s="27" t="str">
        <x:v>SCA-24</x:v>
      </x:c>
      <x:c r="C430" s="52" t="n">
        <x:v>64.75441523802357</x:v>
      </x:c>
      <x:c r="D430" s="27" t="str">
        <x:v>YES</x:v>
      </x:c>
      <x:c r="E430" s="52" t="n">
        <x:v>59.878469115589944</x:v>
      </x:c>
      <x:c r="F430" s="27" t="str">
        <x:v>YES</x:v>
      </x:c>
      <x:c r="G430" s="52" t="n">
        <x:v>15.32615033449655</x:v>
      </x:c>
      <x:c r="H430" s="27" t="str">
        <x:v>YES</x:v>
      </x:c>
      <x:c r="I430" s="52" t="n">
        <x:v>105.2142041936699</x:v>
      </x:c>
      <x:c r="J430" s="27" t="str">
        <x:v>NO</x:v>
      </x:c>
      <x:c r="K430" s="27" t="str">
        <x:v>Air</x:v>
      </x:c>
      <x:c r="L430" s="52" t="n">
        <x:v>15.32615033449655</x:v>
      </x:c>
      <x:c r="M430" s="40" t="n">
        <x:f>INDEX(Catchments!C:C,MATCH(A430,Catchments!A:A,0))</x:f>
        <x:v>2179728</x:v>
      </x:c>
      <x:c r="N430" s="40" t="n">
        <x:f>INDEX(Catchments!C:C,MATCH(B430,Catchments!A:A,0))</x:f>
        <x:v>11816161</x:v>
      </x:c>
    </x:row>
    <x:row r="431" ht="15" hidden="0" customHeight="1">
      <x:c r="A431" s="29" t="str">
        <x:v>SCA-14</x:v>
      </x:c>
      <x:c r="B431" s="29" t="str">
        <x:v>SCA-25</x:v>
      </x:c>
      <x:c r="C431" s="53" t="n">
        <x:v>61.27770278190639</x:v>
      </x:c>
      <x:c r="D431" s="29" t="str">
        <x:v>YES</x:v>
      </x:c>
      <x:c r="E431" s="53" t="n">
        <x:v>57.14676647149788</x:v>
      </x:c>
      <x:c r="F431" s="29" t="str">
        <x:v>YES</x:v>
      </x:c>
      <x:c r="G431" s="53" t="n">
        <x:v>14.480121270058786</x:v>
      </x:c>
      <x:c r="H431" s="29" t="str">
        <x:v>YES</x:v>
      </x:c>
      <x:c r="I431" s="53" t="n">
        <x:v>85.57424376922182</x:v>
      </x:c>
      <x:c r="J431" s="29" t="str">
        <x:v>NO</x:v>
      </x:c>
      <x:c r="K431" s="29" t="str">
        <x:v>Air</x:v>
      </x:c>
      <x:c r="L431" s="53" t="n">
        <x:v>14.480121270058786</x:v>
      </x:c>
      <x:c r="M431" s="41" t="n">
        <x:f>INDEX(Catchments!C:C,MATCH(A431,Catchments!A:A,0))</x:f>
        <x:v>2179728</x:v>
      </x:c>
      <x:c r="N431" s="41" t="n">
        <x:f>INDEX(Catchments!C:C,MATCH(B431,Catchments!A:A,0))</x:f>
        <x:v>6408394</x:v>
      </x:c>
    </x:row>
    <x:row r="432" ht="15" hidden="0" customHeight="1">
      <x:c r="A432" s="27" t="str">
        <x:v>SCA-14</x:v>
      </x:c>
      <x:c r="B432" s="27" t="str">
        <x:v>SCA-26</x:v>
      </x:c>
      <x:c r="C432" s="52" t="n">
        <x:v>67.25042015944862</x:v>
      </x:c>
      <x:c r="D432" s="27" t="str">
        <x:v>YES</x:v>
      </x:c>
      <x:c r="E432" s="52" t="n">
        <x:v>61.83961583956677</x:v>
      </x:c>
      <x:c r="F432" s="27" t="str">
        <x:v>YES</x:v>
      </x:c>
      <x:c r="G432" s="52" t="n">
        <x:v>14.468224630609662</x:v>
      </x:c>
      <x:c r="H432" s="27" t="str">
        <x:v>YES</x:v>
      </x:c>
      <x:c r="I432" s="52" t="n">
        <x:v>85.29807178200998</x:v>
      </x:c>
      <x:c r="J432" s="27" t="str">
        <x:v>NO</x:v>
      </x:c>
      <x:c r="K432" s="27" t="str">
        <x:v>Air</x:v>
      </x:c>
      <x:c r="L432" s="52" t="n">
        <x:v>14.468224630609662</x:v>
      </x:c>
      <x:c r="M432" s="40" t="n">
        <x:f>INDEX(Catchments!C:C,MATCH(A432,Catchments!A:A,0))</x:f>
        <x:v>2179728</x:v>
      </x:c>
      <x:c r="N432" s="40" t="n">
        <x:f>INDEX(Catchments!C:C,MATCH(B432,Catchments!A:A,0))</x:f>
        <x:v>10737083</x:v>
      </x:c>
    </x:row>
    <x:row r="433" ht="15" hidden="0" customHeight="1">
      <x:c r="A433" s="29" t="str">
        <x:v>SCA-14</x:v>
      </x:c>
      <x:c r="B433" s="29" t="str">
        <x:v>SCA-27</x:v>
      </x:c>
      <x:c r="C433" s="53" t="n">
        <x:v>72.33457041616768</x:v>
      </x:c>
      <x:c r="D433" s="29" t="str">
        <x:v>NO</x:v>
      </x:c>
      <x:c r="E433" s="53" t="n">
        <x:v>65.8343053269889</x:v>
      </x:c>
      <x:c r="F433" s="29" t="str">
        <x:v>YES</x:v>
      </x:c>
      <x:c r="G433" s="53" t="n">
        <x:v>14.688596450742143</x:v>
      </x:c>
      <x:c r="H433" s="29" t="str">
        <x:v>YES</x:v>
      </x:c>
      <x:c r="I433" s="53" t="n">
        <x:v>90.41384617794257</x:v>
      </x:c>
      <x:c r="J433" s="29" t="str">
        <x:v>NO</x:v>
      </x:c>
      <x:c r="K433" s="29" t="str">
        <x:v>Air</x:v>
      </x:c>
      <x:c r="L433" s="53" t="n">
        <x:v>14.688596450742143</x:v>
      </x:c>
      <x:c r="M433" s="41" t="n">
        <x:f>INDEX(Catchments!C:C,MATCH(A433,Catchments!A:A,0))</x:f>
        <x:v>2179728</x:v>
      </x:c>
      <x:c r="N433" s="41" t="n">
        <x:f>INDEX(Catchments!C:C,MATCH(B433,Catchments!A:A,0))</x:f>
        <x:v>7505606</x:v>
      </x:c>
    </x:row>
    <x:row r="434" ht="15" hidden="0" customHeight="1">
      <x:c r="A434" s="27" t="str">
        <x:v>SCA-14</x:v>
      </x:c>
      <x:c r="B434" s="27" t="str">
        <x:v>SCA-28</x:v>
      </x:c>
      <x:c r="C434" s="52" t="n">
        <x:v>66.73336973712347</x:v>
      </x:c>
      <x:c r="D434" s="27" t="str">
        <x:v>YES</x:v>
      </x:c>
      <x:c r="E434" s="52" t="n">
        <x:v>61.43336193631129</x:v>
      </x:c>
      <x:c r="F434" s="27" t="str">
        <x:v>YES</x:v>
      </x:c>
      <x:c r="G434" s="52" t="n">
        <x:v>15.51762563161477</x:v>
      </x:c>
      <x:c r="H434" s="27" t="str">
        <x:v>YES</x:v>
      </x:c>
      <x:c r="I434" s="52" t="n">
        <x:v>109.65916644820004</x:v>
      </x:c>
      <x:c r="J434" s="27" t="str">
        <x:v>NO</x:v>
      </x:c>
      <x:c r="K434" s="27" t="str">
        <x:v>Air</x:v>
      </x:c>
      <x:c r="L434" s="52" t="n">
        <x:v>15.51762563161477</x:v>
      </x:c>
      <x:c r="M434" s="40" t="n">
        <x:f>INDEX(Catchments!C:C,MATCH(A434,Catchments!A:A,0))</x:f>
        <x:v>2179728</x:v>
      </x:c>
      <x:c r="N434" s="40" t="n">
        <x:f>INDEX(Catchments!C:C,MATCH(B434,Catchments!A:A,0))</x:f>
        <x:v>21305157</x:v>
      </x:c>
    </x:row>
    <x:row r="435" ht="15" hidden="0" customHeight="1">
      <x:c r="A435" s="29" t="str">
        <x:v>SCA-14</x:v>
      </x:c>
      <x:c r="B435" s="29" t="str">
        <x:v>SCA-29</x:v>
      </x:c>
      <x:c r="C435" s="53" t="n">
        <x:v>63.83898949288111</x:v>
      </x:c>
      <x:c r="D435" s="29" t="str">
        <x:v>YES</x:v>
      </x:c>
      <x:c r="E435" s="53" t="n">
        <x:v>59.15920603012088</x:v>
      </x:c>
      <x:c r="F435" s="29" t="str">
        <x:v>YES</x:v>
      </x:c>
      <x:c r="G435" s="53" t="n">
        <x:v>15.171950327190727</x:v>
      </x:c>
      <x:c r="H435" s="29" t="str">
        <x:v>YES</x:v>
      </x:c>
      <x:c r="I435" s="53" t="n">
        <x:v>101.6345611669276</x:v>
      </x:c>
      <x:c r="J435" s="29" t="str">
        <x:v>NO</x:v>
      </x:c>
      <x:c r="K435" s="29" t="str">
        <x:v>Air</x:v>
      </x:c>
      <x:c r="L435" s="53" t="n">
        <x:v>15.171950327190727</x:v>
      </x:c>
      <x:c r="M435" s="41" t="n">
        <x:f>INDEX(Catchments!C:C,MATCH(A435,Catchments!A:A,0))</x:f>
        <x:v>2179728</x:v>
      </x:c>
      <x:c r="N435" s="41" t="n">
        <x:f>INDEX(Catchments!C:C,MATCH(B435,Catchments!A:A,0))</x:f>
        <x:v>19271685</x:v>
      </x:c>
    </x:row>
    <x:row r="436" ht="15" hidden="0" customHeight="1">
      <x:c r="A436" s="27" t="str">
        <x:v>SCA-14</x:v>
      </x:c>
      <x:c r="B436" s="27" t="str">
        <x:v>SCA-30</x:v>
      </x:c>
      <x:c r="C436" s="52" t="n">
        <x:v>75.16180093587329</x:v>
      </x:c>
      <x:c r="D436" s="27" t="str">
        <x:v>NO</x:v>
      </x:c>
      <x:c r="E436" s="52" t="n">
        <x:v>68.05570073532901</x:v>
      </x:c>
      <x:c r="F436" s="27" t="str">
        <x:v>YES</x:v>
      </x:c>
      <x:c r="G436" s="52" t="n">
        <x:v>16.064603746428297</x:v>
      </x:c>
      <x:c r="H436" s="27" t="str">
        <x:v>YES</x:v>
      </x:c>
      <x:c r="I436" s="52" t="n">
        <x:v>122.3568726849426</x:v>
      </x:c>
      <x:c r="J436" s="27" t="str">
        <x:v>NO</x:v>
      </x:c>
      <x:c r="K436" s="27" t="str">
        <x:v>Air</x:v>
      </x:c>
      <x:c r="L436" s="52" t="n">
        <x:v>16.064603746428297</x:v>
      </x:c>
      <x:c r="M436" s="40" t="n">
        <x:f>INDEX(Catchments!C:C,MATCH(A436,Catchments!A:A,0))</x:f>
        <x:v>2179728</x:v>
      </x:c>
      <x:c r="N436" s="40" t="n">
        <x:f>INDEX(Catchments!C:C,MATCH(B436,Catchments!A:A,0))</x:f>
        <x:v>41291847</x:v>
      </x:c>
    </x:row>
    <x:row r="437" ht="15" hidden="0" customHeight="1">
      <x:c r="A437" s="29" t="str">
        <x:v>SCA-14</x:v>
      </x:c>
      <x:c r="B437" s="29" t="str">
        <x:v>SCA-31</x:v>
      </x:c>
      <x:c r="C437" s="53" t="n">
        <x:v>82.3087490301734</x:v>
      </x:c>
      <x:c r="D437" s="29" t="str">
        <x:v>NO</x:v>
      </x:c>
      <x:c r="E437" s="53" t="n">
        <x:v>73.67115995227911</x:v>
      </x:c>
      <x:c r="F437" s="29" t="str">
        <x:v>NO</x:v>
      </x:c>
      <x:c r="G437" s="53" t="n">
        <x:v>16.573696628521276</x:v>
      </x:c>
      <x:c r="H437" s="29" t="str">
        <x:v>YES</x:v>
      </x:c>
      <x:c r="I437" s="53" t="n">
        <x:v>134.17510030495822</x:v>
      </x:c>
      <x:c r="J437" s="29" t="str">
        <x:v>NO</x:v>
      </x:c>
      <x:c r="K437" s="29" t="str">
        <x:v>Air</x:v>
      </x:c>
      <x:c r="L437" s="53" t="n">
        <x:v>16.573696628521276</x:v>
      </x:c>
      <x:c r="M437" s="41" t="n">
        <x:f>INDEX(Catchments!C:C,MATCH(A437,Catchments!A:A,0))</x:f>
        <x:v>2179728</x:v>
      </x:c>
      <x:c r="N437" s="41" t="n">
        <x:f>INDEX(Catchments!C:C,MATCH(B437,Catchments!A:A,0))</x:f>
        <x:v>14227128</x:v>
      </x:c>
    </x:row>
    <x:row r="438" ht="15" hidden="0" customHeight="1">
      <x:c r="A438" s="27" t="str">
        <x:v>SCA-14</x:v>
      </x:c>
      <x:c r="B438" s="27" t="str">
        <x:v>SCA-32</x:v>
      </x:c>
      <x:c r="C438" s="52"/>
      <x:c r="D438" s="27" t="str">
        <x:v>NO</x:v>
      </x:c>
      <x:c r="E438" s="52"/>
      <x:c r="F438" s="27" t="str">
        <x:v>NO</x:v>
      </x:c>
      <x:c r="G438" s="52" t="n">
        <x:v>17.204589105643127</x:v>
      </x:c>
      <x:c r="H438" s="27" t="str">
        <x:v>YES</x:v>
      </x:c>
      <x:c r="I438" s="52" t="n">
        <x:v>148.8208185238583</x:v>
      </x:c>
      <x:c r="J438" s="27" t="str">
        <x:v>NO</x:v>
      </x:c>
      <x:c r="K438" s="27" t="str">
        <x:v>Air</x:v>
      </x:c>
      <x:c r="L438" s="52" t="n">
        <x:v>17.204589105643127</x:v>
      </x:c>
      <x:c r="M438" s="40" t="n">
        <x:f>INDEX(Catchments!C:C,MATCH(A438,Catchments!A:A,0))</x:f>
        <x:v>2179728</x:v>
      </x:c>
      <x:c r="N438" s="40" t="n">
        <x:f>INDEX(Catchments!C:C,MATCH(B438,Catchments!A:A,0))</x:f>
        <x:v>3184835</x:v>
      </x:c>
    </x:row>
    <x:row r="439" ht="15" hidden="0" customHeight="1">
      <x:c r="A439" s="29" t="str">
        <x:v>SCA-15</x:v>
      </x:c>
      <x:c r="B439" s="29" t="str">
        <x:v>SCA-01</x:v>
      </x:c>
      <x:c r="C439" s="53"/>
      <x:c r="D439" s="29" t="str">
        <x:v>NO</x:v>
      </x:c>
      <x:c r="E439" s="53"/>
      <x:c r="F439" s="29" t="str">
        <x:v>NO</x:v>
      </x:c>
      <x:c r="G439" s="53" t="n">
        <x:v>21.380664358692215</x:v>
      </x:c>
      <x:c r="H439" s="29" t="str">
        <x:v>YES</x:v>
      </x:c>
      <x:c r="I439" s="53" t="n">
        <x:v>245.76542261249782</x:v>
      </x:c>
      <x:c r="J439" s="29" t="str">
        <x:v>NO</x:v>
      </x:c>
      <x:c r="K439" s="29" t="str">
        <x:v>Air</x:v>
      </x:c>
      <x:c r="L439" s="53" t="n">
        <x:v>21.380664358692215</x:v>
      </x:c>
      <x:c r="M439" s="41" t="n">
        <x:f>INDEX(Catchments!C:C,MATCH(A439,Catchments!A:A,0))</x:f>
        <x:v>13192386</x:v>
      </x:c>
      <x:c r="N439" s="41" t="n">
        <x:f>INDEX(Catchments!C:C,MATCH(B439,Catchments!A:A,0))</x:f>
        <x:v>1432820</x:v>
      </x:c>
    </x:row>
    <x:row r="440" ht="15" hidden="0" customHeight="1">
      <x:c r="A440" s="27" t="str">
        <x:v>SCA-15</x:v>
      </x:c>
      <x:c r="B440" s="27" t="str">
        <x:v>SCA-02</x:v>
      </x:c>
      <x:c r="C440" s="52"/>
      <x:c r="D440" s="27" t="str">
        <x:v>NO</x:v>
      </x:c>
      <x:c r="E440" s="52"/>
      <x:c r="F440" s="27" t="str">
        <x:v>NO</x:v>
      </x:c>
      <x:c r="G440" s="52" t="n">
        <x:v>19.25536925594659</x:v>
      </x:c>
      <x:c r="H440" s="27" t="str">
        <x:v>YES</x:v>
      </x:c>
      <x:c r="I440" s="52" t="n">
        <x:v>196.42821487018867</x:v>
      </x:c>
      <x:c r="J440" s="27" t="str">
        <x:v>NO</x:v>
      </x:c>
      <x:c r="K440" s="27" t="str">
        <x:v>Air</x:v>
      </x:c>
      <x:c r="L440" s="52" t="n">
        <x:v>19.25536925594659</x:v>
      </x:c>
      <x:c r="M440" s="40" t="n">
        <x:f>INDEX(Catchments!C:C,MATCH(A440,Catchments!A:A,0))</x:f>
        <x:v>13192386</x:v>
      </x:c>
      <x:c r="N440" s="40" t="n">
        <x:f>INDEX(Catchments!C:C,MATCH(B440,Catchments!A:A,0))</x:f>
        <x:v>737270</x:v>
      </x:c>
    </x:row>
    <x:row r="441" ht="15" hidden="0" customHeight="1">
      <x:c r="A441" s="29" t="str">
        <x:v>SCA-15</x:v>
      </x:c>
      <x:c r="B441" s="29" t="str">
        <x:v>SCA-03</x:v>
      </x:c>
      <x:c r="C441" s="53" t="n">
        <x:v>68.40252135129566</x:v>
      </x:c>
      <x:c r="D441" s="29" t="str">
        <x:v>YES</x:v>
      </x:c>
      <x:c r="E441" s="53" t="n">
        <x:v>62.74483820458945</x:v>
      </x:c>
      <x:c r="F441" s="29" t="str">
        <x:v>YES</x:v>
      </x:c>
      <x:c r="G441" s="53" t="n">
        <x:v>15.992938233861157</x:v>
      </x:c>
      <x:c r="H441" s="29" t="str">
        <x:v>YES</x:v>
      </x:c>
      <x:c r="I441" s="53" t="n">
        <x:v>120.69320900034826</x:v>
      </x:c>
      <x:c r="J441" s="29" t="str">
        <x:v>NO</x:v>
      </x:c>
      <x:c r="K441" s="29" t="str">
        <x:v>Air</x:v>
      </x:c>
      <x:c r="L441" s="53" t="n">
        <x:v>15.992938233861157</x:v>
      </x:c>
      <x:c r="M441" s="41" t="n">
        <x:f>INDEX(Catchments!C:C,MATCH(A441,Catchments!A:A,0))</x:f>
        <x:v>13192386</x:v>
      </x:c>
      <x:c r="N441" s="41" t="n">
        <x:f>INDEX(Catchments!C:C,MATCH(B441,Catchments!A:A,0))</x:f>
        <x:v>11968308</x:v>
      </x:c>
    </x:row>
    <x:row r="442" ht="15" hidden="0" customHeight="1">
      <x:c r="A442" s="27" t="str">
        <x:v>SCA-15</x:v>
      </x:c>
      <x:c r="B442" s="27" t="str">
        <x:v>SCA-04</x:v>
      </x:c>
      <x:c r="C442" s="52" t="n">
        <x:v>65.2703708956494</x:v>
      </x:c>
      <x:c r="D442" s="27" t="str">
        <x:v>YES</x:v>
      </x:c>
      <x:c r="E442" s="52" t="n">
        <x:v>60.28386284658168</x:v>
      </x:c>
      <x:c r="F442" s="27" t="str">
        <x:v>YES</x:v>
      </x:c>
      <x:c r="G442" s="52" t="n">
        <x:v>15.552368612118473</x:v>
      </x:c>
      <x:c r="H442" s="27" t="str">
        <x:v>YES</x:v>
      </x:c>
      <x:c r="I442" s="52" t="n">
        <x:v>110.46569992417882</x:v>
      </x:c>
      <x:c r="J442" s="27" t="str">
        <x:v>NO</x:v>
      </x:c>
      <x:c r="K442" s="27" t="str">
        <x:v>Air</x:v>
      </x:c>
      <x:c r="L442" s="52" t="n">
        <x:v>15.552368612118473</x:v>
      </x:c>
      <x:c r="M442" s="40" t="n">
        <x:f>INDEX(Catchments!C:C,MATCH(A442,Catchments!A:A,0))</x:f>
        <x:v>13192386</x:v>
      </x:c>
      <x:c r="N442" s="40" t="n">
        <x:f>INDEX(Catchments!C:C,MATCH(B442,Catchments!A:A,0))</x:f>
        <x:v>16200470</x:v>
      </x:c>
    </x:row>
    <x:row r="443" ht="15" hidden="0" customHeight="1">
      <x:c r="A443" s="29" t="str">
        <x:v>SCA-15</x:v>
      </x:c>
      <x:c r="B443" s="29" t="str">
        <x:v>SCA-05</x:v>
      </x:c>
      <x:c r="C443" s="53" t="n">
        <x:v>56.68376079956367</x:v>
      </x:c>
      <x:c r="D443" s="29" t="str">
        <x:v>YES</x:v>
      </x:c>
      <x:c r="E443" s="53" t="n">
        <x:v>53.5372406282286</x:v>
      </x:c>
      <x:c r="F443" s="29" t="str">
        <x:v>YES</x:v>
      </x:c>
      <x:c r="G443" s="53" t="n">
        <x:v>15.083123503679833</x:v>
      </x:c>
      <x:c r="H443" s="29" t="str">
        <x:v>YES</x:v>
      </x:c>
      <x:c r="I443" s="53" t="n">
        <x:v>99.57250990685324</x:v>
      </x:c>
      <x:c r="J443" s="29" t="str">
        <x:v>NO</x:v>
      </x:c>
      <x:c r="K443" s="29" t="str">
        <x:v>Air</x:v>
      </x:c>
      <x:c r="L443" s="53" t="n">
        <x:v>15.083123503679833</x:v>
      </x:c>
      <x:c r="M443" s="41" t="n">
        <x:f>INDEX(Catchments!C:C,MATCH(A443,Catchments!A:A,0))</x:f>
        <x:v>13192386</x:v>
      </x:c>
      <x:c r="N443" s="41" t="n">
        <x:f>INDEX(Catchments!C:C,MATCH(B443,Catchments!A:A,0))</x:f>
        <x:v>15966265</x:v>
      </x:c>
    </x:row>
    <x:row r="444" ht="15" hidden="0" customHeight="1">
      <x:c r="A444" s="27" t="str">
        <x:v>SCA-15</x:v>
      </x:c>
      <x:c r="B444" s="27" t="str">
        <x:v>SCA-06</x:v>
      </x:c>
      <x:c r="C444" s="52" t="n">
        <x:v>52.30635403083416</x:v>
      </x:c>
      <x:c r="D444" s="27" t="str">
        <x:v>YES</x:v>
      </x:c>
      <x:c r="E444" s="52" t="n">
        <x:v>50.097849595655404</x:v>
      </x:c>
      <x:c r="F444" s="27" t="str">
        <x:v>YES</x:v>
      </x:c>
      <x:c r="G444" s="52" t="n">
        <x:v>14.815087417780646</x:v>
      </x:c>
      <x:c r="H444" s="27" t="str">
        <x:v>YES</x:v>
      </x:c>
      <x:c r="I444" s="52" t="n">
        <x:v>93.35024362705072</x:v>
      </x:c>
      <x:c r="J444" s="27" t="str">
        <x:v>NO</x:v>
      </x:c>
      <x:c r="K444" s="27" t="str">
        <x:v>Air</x:v>
      </x:c>
      <x:c r="L444" s="52" t="n">
        <x:v>14.815087417780646</x:v>
      </x:c>
      <x:c r="M444" s="40" t="n">
        <x:f>INDEX(Catchments!C:C,MATCH(A444,Catchments!A:A,0))</x:f>
        <x:v>13192386</x:v>
      </x:c>
      <x:c r="N444" s="40" t="n">
        <x:f>INDEX(Catchments!C:C,MATCH(B444,Catchments!A:A,0))</x:f>
        <x:v>6008575</x:v>
      </x:c>
    </x:row>
    <x:row r="445" ht="15" hidden="0" customHeight="1">
      <x:c r="A445" s="29" t="str">
        <x:v>SCA-15</x:v>
      </x:c>
      <x:c r="B445" s="29" t="str">
        <x:v>SCA-07</x:v>
      </x:c>
      <x:c r="C445" s="53" t="n">
        <x:v>52.53211295651041</x:v>
      </x:c>
      <x:c r="D445" s="29" t="str">
        <x:v>YES</x:v>
      </x:c>
      <x:c r="E445" s="53" t="n">
        <x:v>50.27523160868675</x:v>
      </x:c>
      <x:c r="F445" s="29" t="str">
        <x:v>YES</x:v>
      </x:c>
      <x:c r="G445" s="53" t="n">
        <x:v>14.67225841243506</x:v>
      </x:c>
      <x:c r="H445" s="29" t="str">
        <x:v>YES</x:v>
      </x:c>
      <x:c r="I445" s="53" t="n">
        <x:v>90.03457028867102</x:v>
      </x:c>
      <x:c r="J445" s="29" t="str">
        <x:v>NO</x:v>
      </x:c>
      <x:c r="K445" s="29" t="str">
        <x:v>Air</x:v>
      </x:c>
      <x:c r="L445" s="53" t="n">
        <x:v>14.67225841243506</x:v>
      </x:c>
      <x:c r="M445" s="41" t="n">
        <x:f>INDEX(Catchments!C:C,MATCH(A445,Catchments!A:A,0))</x:f>
        <x:v>13192386</x:v>
      </x:c>
      <x:c r="N445" s="41" t="n">
        <x:f>INDEX(Catchments!C:C,MATCH(B445,Catchments!A:A,0))</x:f>
        <x:v>5229370</x:v>
      </x:c>
    </x:row>
    <x:row r="446" ht="15" hidden="0" customHeight="1">
      <x:c r="A446" s="27" t="str">
        <x:v>SCA-15</x:v>
      </x:c>
      <x:c r="B446" s="27" t="str">
        <x:v>SCA-08</x:v>
      </x:c>
      <x:c r="C446" s="52" t="n">
        <x:v>56.681523622704574</x:v>
      </x:c>
      <x:c r="D446" s="27" t="str">
        <x:v>YES</x:v>
      </x:c>
      <x:c r="E446" s="52" t="n">
        <x:v>53.53548284641074</x:v>
      </x:c>
      <x:c r="F446" s="27" t="str">
        <x:v>YES</x:v>
      </x:c>
      <x:c r="G446" s="52" t="n">
        <x:v>15.138986455445458</x:v>
      </x:c>
      <x:c r="H446" s="27" t="str">
        <x:v>YES</x:v>
      </x:c>
      <x:c r="I446" s="52" t="n">
        <x:v>100.86932842998382</x:v>
      </x:c>
      <x:c r="J446" s="27" t="str">
        <x:v>NO</x:v>
      </x:c>
      <x:c r="K446" s="27" t="str">
        <x:v>Air</x:v>
      </x:c>
      <x:c r="L446" s="52" t="n">
        <x:v>15.138986455445458</x:v>
      </x:c>
      <x:c r="M446" s="40" t="n">
        <x:f>INDEX(Catchments!C:C,MATCH(A446,Catchments!A:A,0))</x:f>
        <x:v>13192386</x:v>
      </x:c>
      <x:c r="N446" s="40" t="n">
        <x:f>INDEX(Catchments!C:C,MATCH(B446,Catchments!A:A,0))</x:f>
        <x:v>2652387</x:v>
      </x:c>
    </x:row>
    <x:row r="447" ht="15" hidden="0" customHeight="1">
      <x:c r="A447" s="29" t="str">
        <x:v>SCA-15</x:v>
      </x:c>
      <x:c r="B447" s="29" t="str">
        <x:v>SCA-09</x:v>
      </x:c>
      <x:c r="C447" s="53" t="n">
        <x:v>44.12963672607359</x:v>
      </x:c>
      <x:c r="D447" s="29" t="str">
        <x:v>YES</x:v>
      </x:c>
      <x:c r="E447" s="53" t="n">
        <x:v>43.673285999057825</x:v>
      </x:c>
      <x:c r="F447" s="29" t="str">
        <x:v>YES</x:v>
      </x:c>
      <x:c r="G447" s="53" t="n">
        <x:v>14.216124614466803</x:v>
      </x:c>
      <x:c r="H447" s="29" t="str">
        <x:v>YES</x:v>
      </x:c>
      <x:c r="I447" s="53"/>
      <x:c r="J447" s="29" t="str">
        <x:v>NO</x:v>
      </x:c>
      <x:c r="K447" s="29" t="str">
        <x:v>Air</x:v>
      </x:c>
      <x:c r="L447" s="53" t="n">
        <x:v>14.216124614466803</x:v>
      </x:c>
      <x:c r="M447" s="41" t="n">
        <x:f>INDEX(Catchments!C:C,MATCH(A447,Catchments!A:A,0))</x:f>
        <x:v>13192386</x:v>
      </x:c>
      <x:c r="N447" s="41" t="n">
        <x:f>INDEX(Catchments!C:C,MATCH(B447,Catchments!A:A,0))</x:f>
        <x:v>7395716</x:v>
      </x:c>
    </x:row>
    <x:row r="448" ht="15" hidden="0" customHeight="1">
      <x:c r="A448" s="27" t="str">
        <x:v>SCA-15</x:v>
      </x:c>
      <x:c r="B448" s="27" t="str">
        <x:v>SCA-10</x:v>
      </x:c>
      <x:c r="C448" s="52" t="n">
        <x:v>47.67104303332393</x:v>
      </x:c>
      <x:c r="D448" s="27" t="str">
        <x:v>YES</x:v>
      </x:c>
      <x:c r="E448" s="52" t="n">
        <x:v>46.45581952618309</x:v>
      </x:c>
      <x:c r="F448" s="27" t="str">
        <x:v>YES</x:v>
      </x:c>
      <x:c r="G448" s="52" t="n">
        <x:v>14.442856836937857</x:v>
      </x:c>
      <x:c r="H448" s="27" t="str">
        <x:v>YES</x:v>
      </x:c>
      <x:c r="I448" s="52"/>
      <x:c r="J448" s="27" t="str">
        <x:v>NO</x:v>
      </x:c>
      <x:c r="K448" s="27" t="str">
        <x:v>Air</x:v>
      </x:c>
      <x:c r="L448" s="52" t="n">
        <x:v>14.442856836937857</x:v>
      </x:c>
      <x:c r="M448" s="40" t="n">
        <x:f>INDEX(Catchments!C:C,MATCH(A448,Catchments!A:A,0))</x:f>
        <x:v>13192386</x:v>
      </x:c>
      <x:c r="N448" s="40" t="n">
        <x:f>INDEX(Catchments!C:C,MATCH(B448,Catchments!A:A,0))</x:f>
        <x:v>4127033</x:v>
      </x:c>
    </x:row>
    <x:row r="449" ht="15" hidden="0" customHeight="1">
      <x:c r="A449" s="29" t="str">
        <x:v>SCA-15</x:v>
      </x:c>
      <x:c r="B449" s="29" t="str">
        <x:v>SCA-11</x:v>
      </x:c>
      <x:c r="C449" s="53" t="n">
        <x:v>30.461412153898856</x:v>
      </x:c>
      <x:c r="D449" s="29" t="str">
        <x:v>YES</x:v>
      </x:c>
      <x:c r="E449" s="53" t="n">
        <x:v>32.9339666923491</x:v>
      </x:c>
      <x:c r="F449" s="29" t="str">
        <x:v>YES</x:v>
      </x:c>
      <x:c r="G449" s="53" t="n">
        <x:v>13.211207583230017</x:v>
      </x:c>
      <x:c r="H449" s="29" t="str">
        <x:v>YES</x:v>
      </x:c>
      <x:c r="I449" s="53" t="n">
        <x:v>56.11731889641109</x:v>
      </x:c>
      <x:c r="J449" s="29" t="str">
        <x:v>YES</x:v>
      </x:c>
      <x:c r="K449" s="29" t="str">
        <x:v>Air</x:v>
      </x:c>
      <x:c r="L449" s="53" t="n">
        <x:v>13.211207583230017</x:v>
      </x:c>
      <x:c r="M449" s="41" t="n">
        <x:f>INDEX(Catchments!C:C,MATCH(A449,Catchments!A:A,0))</x:f>
        <x:v>13192386</x:v>
      </x:c>
      <x:c r="N449" s="41" t="n">
        <x:f>INDEX(Catchments!C:C,MATCH(B449,Catchments!A:A,0))</x:f>
        <x:v>3517787</x:v>
      </x:c>
    </x:row>
    <x:row r="450" ht="15" hidden="0" customHeight="1">
      <x:c r="A450" s="27" t="str">
        <x:v>SCA-15</x:v>
      </x:c>
      <x:c r="B450" s="27" t="str">
        <x:v>SCA-12</x:v>
      </x:c>
      <x:c r="C450" s="52" t="n">
        <x:v>35.375443719752255</x:v>
      </x:c>
      <x:c r="D450" s="27" t="str">
        <x:v>YES</x:v>
      </x:c>
      <x:c r="E450" s="52" t="n">
        <x:v>36.794991494091065</x:v>
      </x:c>
      <x:c r="F450" s="27" t="str">
        <x:v>YES</x:v>
      </x:c>
      <x:c r="G450" s="52" t="n">
        <x:v>13.572775123192475</x:v>
      </x:c>
      <x:c r="H450" s="27" t="str">
        <x:v>YES</x:v>
      </x:c>
      <x:c r="I450" s="52"/>
      <x:c r="J450" s="27" t="str">
        <x:v>NO</x:v>
      </x:c>
      <x:c r="K450" s="27" t="str">
        <x:v>Air</x:v>
      </x:c>
      <x:c r="L450" s="52" t="n">
        <x:v>13.572775123192475</x:v>
      </x:c>
      <x:c r="M450" s="40" t="n">
        <x:f>INDEX(Catchments!C:C,MATCH(A450,Catchments!A:A,0))</x:f>
        <x:v>13192386</x:v>
      </x:c>
      <x:c r="N450" s="40" t="n">
        <x:f>INDEX(Catchments!C:C,MATCH(B450,Catchments!A:A,0))</x:f>
        <x:v>7465186</x:v>
      </x:c>
    </x:row>
    <x:row r="451" ht="15" hidden="0" customHeight="1">
      <x:c r="A451" s="29" t="str">
        <x:v>SCA-15</x:v>
      </x:c>
      <x:c r="B451" s="29" t="str">
        <x:v>SCA-13</x:v>
      </x:c>
      <x:c r="C451" s="53" t="n">
        <x:v>21.68786547907524</x:v>
      </x:c>
      <x:c r="D451" s="29" t="str">
        <x:v>YES</x:v>
      </x:c>
      <x:c r="E451" s="53" t="n">
        <x:v>26.040465733559117</x:v>
      </x:c>
      <x:c r="F451" s="29" t="str">
        <x:v>YES</x:v>
      </x:c>
      <x:c r="G451" s="53" t="n">
        <x:v>12.565662342941991</x:v>
      </x:c>
      <x:c r="H451" s="29" t="str">
        <x:v>YES</x:v>
      </x:c>
      <x:c r="I451" s="53" t="n">
        <x:v>41.131447246867644</x:v>
      </x:c>
      <x:c r="J451" s="29" t="str">
        <x:v>YES</x:v>
      </x:c>
      <x:c r="K451" s="29" t="str">
        <x:v>Air</x:v>
      </x:c>
      <x:c r="L451" s="53" t="n">
        <x:v>12.565662342941991</x:v>
      </x:c>
      <x:c r="M451" s="41" t="n">
        <x:f>INDEX(Catchments!C:C,MATCH(A451,Catchments!A:A,0))</x:f>
        <x:v>13192386</x:v>
      </x:c>
      <x:c r="N451" s="41" t="n">
        <x:f>INDEX(Catchments!C:C,MATCH(B451,Catchments!A:A,0))</x:f>
        <x:v>6759014</x:v>
      </x:c>
    </x:row>
    <x:row r="452" ht="15" hidden="0" customHeight="1">
      <x:c r="A452" s="27" t="str">
        <x:v>SCA-15</x:v>
      </x:c>
      <x:c r="B452" s="27" t="str">
        <x:v>SCA-14</x:v>
      </x:c>
      <x:c r="C452" s="52" t="n">
        <x:v>29.025407546840903</x:v>
      </x:c>
      <x:c r="D452" s="27" t="str">
        <x:v>YES</x:v>
      </x:c>
      <x:c r="E452" s="52" t="n">
        <x:v>31.80567735823214</x:v>
      </x:c>
      <x:c r="F452" s="27" t="str">
        <x:v>YES</x:v>
      </x:c>
      <x:c r="G452" s="52" t="n">
        <x:v>13.083722099401658</x:v>
      </x:c>
      <x:c r="H452" s="27" t="str">
        <x:v>YES</x:v>
      </x:c>
      <x:c r="I452" s="52" t="n">
        <x:v>53.15783445039564</x:v>
      </x:c>
      <x:c r="J452" s="27" t="str">
        <x:v>YES</x:v>
      </x:c>
      <x:c r="K452" s="27" t="str">
        <x:v>Air</x:v>
      </x:c>
      <x:c r="L452" s="52" t="n">
        <x:v>13.083722099401658</x:v>
      </x:c>
      <x:c r="M452" s="40" t="n">
        <x:f>INDEX(Catchments!C:C,MATCH(A452,Catchments!A:A,0))</x:f>
        <x:v>13192386</x:v>
      </x:c>
      <x:c r="N452" s="40" t="n">
        <x:f>INDEX(Catchments!C:C,MATCH(B452,Catchments!A:A,0))</x:f>
        <x:v>2179728</x:v>
      </x:c>
    </x:row>
    <x:row r="453" ht="15" hidden="0" customHeight="1">
      <x:c r="A453" s="29" t="str">
        <x:v>SCA-15</x:v>
      </x:c>
      <x:c r="B453" s="29" t="str">
        <x:v>SCA-16</x:v>
      </x:c>
      <x:c r="C453" s="53" t="n">
        <x:v>25.818667035434643</x:v>
      </x:c>
      <x:c r="D453" s="29" t="str">
        <x:v>YES</x:v>
      </x:c>
      <x:c r="E453" s="53" t="n">
        <x:v>29.286095527841503</x:v>
      </x:c>
      <x:c r="F453" s="29" t="str">
        <x:v>YES</x:v>
      </x:c>
      <x:c r="G453" s="53" t="n">
        <x:v>12.869600918995191</x:v>
      </x:c>
      <x:c r="H453" s="29" t="str">
        <x:v>YES</x:v>
      </x:c>
      <x:c r="I453" s="53"/>
      <x:c r="J453" s="29" t="str">
        <x:v>NO</x:v>
      </x:c>
      <x:c r="K453" s="29" t="str">
        <x:v>Air</x:v>
      </x:c>
      <x:c r="L453" s="53" t="n">
        <x:v>12.869600918995191</x:v>
      </x:c>
      <x:c r="M453" s="41" t="n">
        <x:f>INDEX(Catchments!C:C,MATCH(A453,Catchments!A:A,0))</x:f>
        <x:v>13192386</x:v>
      </x:c>
      <x:c r="N453" s="41" t="n">
        <x:f>INDEX(Catchments!C:C,MATCH(B453,Catchments!A:A,0))</x:f>
        <x:v>10177969</x:v>
      </x:c>
    </x:row>
    <x:row r="454" ht="15" hidden="0" customHeight="1">
      <x:c r="A454" s="27" t="str">
        <x:v>SCA-15</x:v>
      </x:c>
      <x:c r="B454" s="27" t="str">
        <x:v>SCA-17</x:v>
      </x:c>
      <x:c r="C454" s="52" t="n">
        <x:v>22.52386168769038</x:v>
      </x:c>
      <x:c r="D454" s="27" t="str">
        <x:v>YES</x:v>
      </x:c>
      <x:c r="E454" s="52" t="n">
        <x:v>26.697319897471015</x:v>
      </x:c>
      <x:c r="F454" s="27" t="str">
        <x:v>YES</x:v>
      </x:c>
      <x:c r="G454" s="52" t="n">
        <x:v>12.627173769662837</x:v>
      </x:c>
      <x:c r="H454" s="27" t="str">
        <x:v>YES</x:v>
      </x:c>
      <x:c r="I454" s="52" t="n">
        <x:v>42.55939108145873</x:v>
      </x:c>
      <x:c r="J454" s="27" t="str">
        <x:v>YES</x:v>
      </x:c>
      <x:c r="K454" s="27" t="str">
        <x:v>Air</x:v>
      </x:c>
      <x:c r="L454" s="52" t="n">
        <x:v>12.627173769662837</x:v>
      </x:c>
      <x:c r="M454" s="40" t="n">
        <x:f>INDEX(Catchments!C:C,MATCH(A454,Catchments!A:A,0))</x:f>
        <x:v>13192386</x:v>
      </x:c>
      <x:c r="N454" s="40" t="n">
        <x:f>INDEX(Catchments!C:C,MATCH(B454,Catchments!A:A,0))</x:f>
        <x:v>12843509</x:v>
      </x:c>
    </x:row>
    <x:row r="455" ht="15" hidden="0" customHeight="1">
      <x:c r="A455" s="29" t="str">
        <x:v>SCA-15</x:v>
      </x:c>
      <x:c r="B455" s="29" t="str">
        <x:v>SCA-18</x:v>
      </x:c>
      <x:c r="C455" s="53" t="n">
        <x:v>41.66770821776488</x:v>
      </x:c>
      <x:c r="D455" s="29" t="str">
        <x:v>YES</x:v>
      </x:c>
      <x:c r="E455" s="53" t="n">
        <x:v>41.73891359967241</x:v>
      </x:c>
      <x:c r="F455" s="29" t="str">
        <x:v>YES</x:v>
      </x:c>
      <x:c r="G455" s="53" t="n">
        <x:v>14.03211569744531</x:v>
      </x:c>
      <x:c r="H455" s="29" t="str">
        <x:v>YES</x:v>
      </x:c>
      <x:c r="I455" s="53" t="n">
        <x:v>75.1741144049804</x:v>
      </x:c>
      <x:c r="J455" s="29" t="str">
        <x:v>NO</x:v>
      </x:c>
      <x:c r="K455" s="29" t="str">
        <x:v>Air</x:v>
      </x:c>
      <x:c r="L455" s="53" t="n">
        <x:v>14.03211569744531</x:v>
      </x:c>
      <x:c r="M455" s="41" t="n">
        <x:f>INDEX(Catchments!C:C,MATCH(A455,Catchments!A:A,0))</x:f>
        <x:v>13192386</x:v>
      </x:c>
      <x:c r="N455" s="41" t="n">
        <x:f>INDEX(Catchments!C:C,MATCH(B455,Catchments!A:A,0))</x:f>
        <x:v>11004680</x:v>
      </x:c>
    </x:row>
    <x:row r="456" ht="15" hidden="0" customHeight="1">
      <x:c r="A456" s="27" t="str">
        <x:v>SCA-15</x:v>
      </x:c>
      <x:c r="B456" s="27" t="str">
        <x:v>SCA-19</x:v>
      </x:c>
      <x:c r="C456" s="52" t="n">
        <x:v>35.30021565232584</x:v>
      </x:c>
      <x:c r="D456" s="27" t="str">
        <x:v>YES</x:v>
      </x:c>
      <x:c r="E456" s="52" t="n">
        <x:v>36.735883726827446</x:v>
      </x:c>
      <x:c r="F456" s="27" t="str">
        <x:v>YES</x:v>
      </x:c>
      <x:c r="G456" s="52" t="n">
        <x:v>13.257998292336463</x:v>
      </x:c>
      <x:c r="H456" s="27" t="str">
        <x:v>YES</x:v>
      </x:c>
      <x:c r="I456" s="52" t="n">
        <x:v>57.2035317863822</x:v>
      </x:c>
      <x:c r="J456" s="27" t="str">
        <x:v>YES</x:v>
      </x:c>
      <x:c r="K456" s="27" t="str">
        <x:v>Air</x:v>
      </x:c>
      <x:c r="L456" s="52" t="n">
        <x:v>13.257998292336463</x:v>
      </x:c>
      <x:c r="M456" s="40" t="n">
        <x:f>INDEX(Catchments!C:C,MATCH(A456,Catchments!A:A,0))</x:f>
        <x:v>13192386</x:v>
      </x:c>
      <x:c r="N456" s="40" t="n">
        <x:f>INDEX(Catchments!C:C,MATCH(B456,Catchments!A:A,0))</x:f>
        <x:v>6677653</x:v>
      </x:c>
    </x:row>
    <x:row r="457" ht="15" hidden="0" customHeight="1">
      <x:c r="A457" s="29" t="str">
        <x:v>SCA-15</x:v>
      </x:c>
      <x:c r="B457" s="29" t="str">
        <x:v>SCA-20</x:v>
      </x:c>
      <x:c r="C457" s="53" t="n">
        <x:v>27.14533353964454</x:v>
      </x:c>
      <x:c r="D457" s="29" t="str">
        <x:v>YES</x:v>
      </x:c>
      <x:c r="E457" s="53" t="n">
        <x:v>30.32847635257785</x:v>
      </x:c>
      <x:c r="F457" s="29" t="str">
        <x:v>YES</x:v>
      </x:c>
      <x:c r="G457" s="53" t="n">
        <x:v>12.967215176830033</x:v>
      </x:c>
      <x:c r="H457" s="29" t="str">
        <x:v>YES</x:v>
      </x:c>
      <x:c r="I457" s="53" t="n">
        <x:v>50.45320946212577</x:v>
      </x:c>
      <x:c r="J457" s="29" t="str">
        <x:v>YES</x:v>
      </x:c>
      <x:c r="K457" s="29" t="str">
        <x:v>Air</x:v>
      </x:c>
      <x:c r="L457" s="53" t="n">
        <x:v>12.967215176830033</x:v>
      </x:c>
      <x:c r="M457" s="41" t="n">
        <x:f>INDEX(Catchments!C:C,MATCH(A457,Catchments!A:A,0))</x:f>
        <x:v>13192386</x:v>
      </x:c>
      <x:c r="N457" s="41" t="n">
        <x:f>INDEX(Catchments!C:C,MATCH(B457,Catchments!A:A,0))</x:f>
        <x:v>8490774</x:v>
      </x:c>
    </x:row>
    <x:row r="458" ht="15" hidden="0" customHeight="1">
      <x:c r="A458" s="27" t="str">
        <x:v>SCA-15</x:v>
      </x:c>
      <x:c r="B458" s="27" t="str">
        <x:v>SCA-21</x:v>
      </x:c>
      <x:c r="C458" s="52" t="n">
        <x:v>44.85525858278227</x:v>
      </x:c>
      <x:c r="D458" s="27" t="str">
        <x:v>YES</x:v>
      </x:c>
      <x:c r="E458" s="52" t="n">
        <x:v>44.24341745790036</x:v>
      </x:c>
      <x:c r="F458" s="27" t="str">
        <x:v>YES</x:v>
      </x:c>
      <x:c r="G458" s="52" t="n">
        <x:v>13.95521628971499</x:v>
      </x:c>
      <x:c r="H458" s="27" t="str">
        <x:v>YES</x:v>
      </x:c>
      <x:c r="I458" s="52" t="n">
        <x:v>73.38894958266943</x:v>
      </x:c>
      <x:c r="J458" s="27" t="str">
        <x:v>NO</x:v>
      </x:c>
      <x:c r="K458" s="27" t="str">
        <x:v>Air</x:v>
      </x:c>
      <x:c r="L458" s="52" t="n">
        <x:v>13.95521628971499</x:v>
      </x:c>
      <x:c r="M458" s="40" t="n">
        <x:f>INDEX(Catchments!C:C,MATCH(A458,Catchments!A:A,0))</x:f>
        <x:v>13192386</x:v>
      </x:c>
      <x:c r="N458" s="40" t="n">
        <x:f>INDEX(Catchments!C:C,MATCH(B458,Catchments!A:A,0))</x:f>
        <x:v>19593580</x:v>
      </x:c>
    </x:row>
    <x:row r="459" ht="15" hidden="0" customHeight="1">
      <x:c r="A459" s="29" t="str">
        <x:v>SCA-15</x:v>
      </x:c>
      <x:c r="B459" s="29" t="str">
        <x:v>SCA-22</x:v>
      </x:c>
      <x:c r="C459" s="53" t="n">
        <x:v>40.408785922212466</x:v>
      </x:c>
      <x:c r="D459" s="29" t="str">
        <x:v>YES</x:v>
      </x:c>
      <x:c r="E459" s="53" t="n">
        <x:v>40.74976036745265</x:v>
      </x:c>
      <x:c r="F459" s="29" t="str">
        <x:v>YES</x:v>
      </x:c>
      <x:c r="G459" s="53" t="n">
        <x:v>13.816578096179901</x:v>
      </x:c>
      <x:c r="H459" s="29" t="str">
        <x:v>YES</x:v>
      </x:c>
      <x:c r="I459" s="53" t="n">
        <x:v>70.17056294703343</x:v>
      </x:c>
      <x:c r="J459" s="29" t="str">
        <x:v>YES</x:v>
      </x:c>
      <x:c r="K459" s="29" t="str">
        <x:v>Air</x:v>
      </x:c>
      <x:c r="L459" s="53" t="n">
        <x:v>13.816578096179901</x:v>
      </x:c>
      <x:c r="M459" s="41" t="n">
        <x:f>INDEX(Catchments!C:C,MATCH(A459,Catchments!A:A,0))</x:f>
        <x:v>13192386</x:v>
      </x:c>
      <x:c r="N459" s="41" t="n">
        <x:f>INDEX(Catchments!C:C,MATCH(B459,Catchments!A:A,0))</x:f>
        <x:v>14732006</x:v>
      </x:c>
    </x:row>
    <x:row r="460" ht="15" hidden="0" customHeight="1">
      <x:c r="A460" s="27" t="str">
        <x:v>SCA-15</x:v>
      </x:c>
      <x:c r="B460" s="27" t="str">
        <x:v>SCA-23</x:v>
      </x:c>
      <x:c r="C460" s="52" t="n">
        <x:v>37.681678882357176</x:v>
      </x:c>
      <x:c r="D460" s="27" t="str">
        <x:v>YES</x:v>
      </x:c>
      <x:c r="E460" s="52" t="n">
        <x:v>38.607033407566355</x:v>
      </x:c>
      <x:c r="F460" s="27" t="str">
        <x:v>YES</x:v>
      </x:c>
      <x:c r="G460" s="52" t="n">
        <x:v>13.735247827034561</x:v>
      </x:c>
      <x:c r="H460" s="27" t="str">
        <x:v>YES</x:v>
      </x:c>
      <x:c r="I460" s="52" t="n">
        <x:v>68.28253884187373</x:v>
      </x:c>
      <x:c r="J460" s="27" t="str">
        <x:v>YES</x:v>
      </x:c>
      <x:c r="K460" s="27" t="str">
        <x:v>Air</x:v>
      </x:c>
      <x:c r="L460" s="52" t="n">
        <x:v>13.735247827034561</x:v>
      </x:c>
      <x:c r="M460" s="40" t="n">
        <x:f>INDEX(Catchments!C:C,MATCH(A460,Catchments!A:A,0))</x:f>
        <x:v>13192386</x:v>
      </x:c>
      <x:c r="N460" s="40" t="n">
        <x:f>INDEX(Catchments!C:C,MATCH(B460,Catchments!A:A,0))</x:f>
        <x:v>20869310</x:v>
      </x:c>
    </x:row>
    <x:row r="461" ht="15" hidden="0" customHeight="1">
      <x:c r="A461" s="29" t="str">
        <x:v>SCA-15</x:v>
      </x:c>
      <x:c r="B461" s="29" t="str">
        <x:v>SCA-24</x:v>
      </x:c>
      <x:c r="C461" s="53" t="n">
        <x:v>50.15083097337326</x:v>
      </x:c>
      <x:c r="D461" s="29" t="str">
        <x:v>YES</x:v>
      </x:c>
      <x:c r="E461" s="53" t="n">
        <x:v>48.404224336221844</x:v>
      </x:c>
      <x:c r="F461" s="29" t="str">
        <x:v>YES</x:v>
      </x:c>
      <x:c r="G461" s="53" t="n">
        <x:v>14.361679343257025</x:v>
      </x:c>
      <x:c r="H461" s="29" t="str">
        <x:v>YES</x:v>
      </x:c>
      <x:c r="I461" s="53" t="n">
        <x:v>82.82469903989524</x:v>
      </x:c>
      <x:c r="J461" s="29" t="str">
        <x:v>NO</x:v>
      </x:c>
      <x:c r="K461" s="29" t="str">
        <x:v>Air</x:v>
      </x:c>
      <x:c r="L461" s="53" t="n">
        <x:v>14.361679343257025</x:v>
      </x:c>
      <x:c r="M461" s="41" t="n">
        <x:f>INDEX(Catchments!C:C,MATCH(A461,Catchments!A:A,0))</x:f>
        <x:v>13192386</x:v>
      </x:c>
      <x:c r="N461" s="41" t="n">
        <x:f>INDEX(Catchments!C:C,MATCH(B461,Catchments!A:A,0))</x:f>
        <x:v>11816161</x:v>
      </x:c>
    </x:row>
    <x:row r="462" ht="15" hidden="0" customHeight="1">
      <x:c r="A462" s="27" t="str">
        <x:v>SCA-15</x:v>
      </x:c>
      <x:c r="B462" s="27" t="str">
        <x:v>SCA-25</x:v>
      </x:c>
      <x:c r="C462" s="52" t="n">
        <x:v>46.674118517256076</x:v>
      </x:c>
      <x:c r="D462" s="27" t="str">
        <x:v>YES</x:v>
      </x:c>
      <x:c r="E462" s="52" t="n">
        <x:v>45.67252169212978</x:v>
      </x:c>
      <x:c r="F462" s="27" t="str">
        <x:v>YES</x:v>
      </x:c>
      <x:c r="G462" s="52" t="n">
        <x:v>14.16375801141565</x:v>
      </x:c>
      <x:c r="H462" s="27" t="str">
        <x:v>YES</x:v>
      </x:c>
      <x:c r="I462" s="52" t="n">
        <x:v>78.23009669357761</x:v>
      </x:c>
      <x:c r="J462" s="27" t="str">
        <x:v>NO</x:v>
      </x:c>
      <x:c r="K462" s="27" t="str">
        <x:v>Air</x:v>
      </x:c>
      <x:c r="L462" s="52" t="n">
        <x:v>14.16375801141565</x:v>
      </x:c>
      <x:c r="M462" s="40" t="n">
        <x:f>INDEX(Catchments!C:C,MATCH(A462,Catchments!A:A,0))</x:f>
        <x:v>13192386</x:v>
      </x:c>
      <x:c r="N462" s="40" t="n">
        <x:f>INDEX(Catchments!C:C,MATCH(B462,Catchments!A:A,0))</x:f>
        <x:v>6408394</x:v>
      </x:c>
    </x:row>
    <x:row r="463" ht="15" hidden="0" customHeight="1">
      <x:c r="A463" s="29" t="str">
        <x:v>SCA-15</x:v>
      </x:c>
      <x:c r="B463" s="29" t="str">
        <x:v>SCA-26</x:v>
      </x:c>
      <x:c r="C463" s="53" t="n">
        <x:v>52.6468358947983</x:v>
      </x:c>
      <x:c r="D463" s="29" t="str">
        <x:v>YES</x:v>
      </x:c>
      <x:c r="E463" s="53" t="n">
        <x:v>50.36537106019867</x:v>
      </x:c>
      <x:c r="F463" s="29" t="str">
        <x:v>YES</x:v>
      </x:c>
      <x:c r="G463" s="53" t="n">
        <x:v>14.347096119840332</x:v>
      </x:c>
      <x:c r="H463" s="29" t="str">
        <x:v>YES</x:v>
      </x:c>
      <x:c r="I463" s="53" t="n">
        <x:v>82.48615992486486</x:v>
      </x:c>
      <x:c r="J463" s="29" t="str">
        <x:v>NO</x:v>
      </x:c>
      <x:c r="K463" s="29" t="str">
        <x:v>Air</x:v>
      </x:c>
      <x:c r="L463" s="53" t="n">
        <x:v>14.347096119840332</x:v>
      </x:c>
      <x:c r="M463" s="41" t="n">
        <x:f>INDEX(Catchments!C:C,MATCH(A463,Catchments!A:A,0))</x:f>
        <x:v>13192386</x:v>
      </x:c>
      <x:c r="N463" s="41" t="n">
        <x:f>INDEX(Catchments!C:C,MATCH(B463,Catchments!A:A,0))</x:f>
        <x:v>10737083</x:v>
      </x:c>
    </x:row>
    <x:row r="464" ht="15" hidden="0" customHeight="1">
      <x:c r="A464" s="27" t="str">
        <x:v>SCA-15</x:v>
      </x:c>
      <x:c r="B464" s="27" t="str">
        <x:v>SCA-27</x:v>
      </x:c>
      <x:c r="C464" s="52" t="n">
        <x:v>57.730986151517364</x:v>
      </x:c>
      <x:c r="D464" s="27" t="str">
        <x:v>YES</x:v>
      </x:c>
      <x:c r="E464" s="52" t="n">
        <x:v>54.36006054762079</x:v>
      </x:c>
      <x:c r="F464" s="27" t="str">
        <x:v>YES</x:v>
      </x:c>
      <x:c r="G464" s="52" t="n">
        <x:v>14.674098159303885</x:v>
      </x:c>
      <x:c r="H464" s="27" t="str">
        <x:v>YES</x:v>
      </x:c>
      <x:c r="I464" s="52" t="n">
        <x:v>90.07727869812591</x:v>
      </x:c>
      <x:c r="J464" s="27" t="str">
        <x:v>NO</x:v>
      </x:c>
      <x:c r="K464" s="27" t="str">
        <x:v>Air</x:v>
      </x:c>
      <x:c r="L464" s="52" t="n">
        <x:v>14.674098159303885</x:v>
      </x:c>
      <x:c r="M464" s="40" t="n">
        <x:f>INDEX(Catchments!C:C,MATCH(A464,Catchments!A:A,0))</x:f>
        <x:v>13192386</x:v>
      </x:c>
      <x:c r="N464" s="40" t="n">
        <x:f>INDEX(Catchments!C:C,MATCH(B464,Catchments!A:A,0))</x:f>
        <x:v>7505606</x:v>
      </x:c>
    </x:row>
    <x:row r="465" ht="15" hidden="0" customHeight="1">
      <x:c r="A465" s="29" t="str">
        <x:v>SCA-15</x:v>
      </x:c>
      <x:c r="B465" s="29" t="str">
        <x:v>SCA-28</x:v>
      </x:c>
      <x:c r="C465" s="53" t="n">
        <x:v>52.12978547247315</x:v>
      </x:c>
      <x:c r="D465" s="29" t="str">
        <x:v>YES</x:v>
      </x:c>
      <x:c r="E465" s="53" t="n">
        <x:v>49.95911715694319</x:v>
      </x:c>
      <x:c r="F465" s="29" t="str">
        <x:v>YES</x:v>
      </x:c>
      <x:c r="G465" s="53" t="n">
        <x:v>14.678824052491564</x:v>
      </x:c>
      <x:c r="H465" s="29" t="str">
        <x:v>YES</x:v>
      </x:c>
      <x:c r="I465" s="53" t="n">
        <x:v>90.18698693283989</x:v>
      </x:c>
      <x:c r="J465" s="29" t="str">
        <x:v>NO</x:v>
      </x:c>
      <x:c r="K465" s="29" t="str">
        <x:v>Air</x:v>
      </x:c>
      <x:c r="L465" s="53" t="n">
        <x:v>14.678824052491564</x:v>
      </x:c>
      <x:c r="M465" s="41" t="n">
        <x:f>INDEX(Catchments!C:C,MATCH(A465,Catchments!A:A,0))</x:f>
        <x:v>13192386</x:v>
      </x:c>
      <x:c r="N465" s="41" t="n">
        <x:f>INDEX(Catchments!C:C,MATCH(B465,Catchments!A:A,0))</x:f>
        <x:v>21305157</x:v>
      </x:c>
    </x:row>
    <x:row r="466" ht="15" hidden="0" customHeight="1">
      <x:c r="A466" s="27" t="str">
        <x:v>SCA-15</x:v>
      </x:c>
      <x:c r="B466" s="27" t="str">
        <x:v>SCA-29</x:v>
      </x:c>
      <x:c r="C466" s="52" t="n">
        <x:v>49.235405228230796</x:v>
      </x:c>
      <x:c r="D466" s="27" t="str">
        <x:v>YES</x:v>
      </x:c>
      <x:c r="E466" s="52" t="n">
        <x:v>47.68496125075277</x:v>
      </x:c>
      <x:c r="F466" s="27" t="str">
        <x:v>YES</x:v>
      </x:c>
      <x:c r="G466" s="52" t="n">
        <x:v>14.530490871748437</x:v>
      </x:c>
      <x:c r="H466" s="27" t="str">
        <x:v>YES</x:v>
      </x:c>
      <x:c r="I466" s="52" t="n">
        <x:v>86.74353809416016</x:v>
      </x:c>
      <x:c r="J466" s="27" t="str">
        <x:v>NO</x:v>
      </x:c>
      <x:c r="K466" s="27" t="str">
        <x:v>Air</x:v>
      </x:c>
      <x:c r="L466" s="52" t="n">
        <x:v>14.530490871748437</x:v>
      </x:c>
      <x:c r="M466" s="40" t="n">
        <x:f>INDEX(Catchments!C:C,MATCH(A466,Catchments!A:A,0))</x:f>
        <x:v>13192386</x:v>
      </x:c>
      <x:c r="N466" s="40" t="n">
        <x:f>INDEX(Catchments!C:C,MATCH(B466,Catchments!A:A,0))</x:f>
        <x:v>19271685</x:v>
      </x:c>
    </x:row>
    <x:row r="467" ht="15" hidden="0" customHeight="1">
      <x:c r="A467" s="29" t="str">
        <x:v>SCA-15</x:v>
      </x:c>
      <x:c r="B467" s="29" t="str">
        <x:v>SCA-30</x:v>
      </x:c>
      <x:c r="C467" s="53" t="n">
        <x:v>60.55821667122297</x:v>
      </x:c>
      <x:c r="D467" s="29" t="str">
        <x:v>YES</x:v>
      </x:c>
      <x:c r="E467" s="53" t="n">
        <x:v>56.581455955960905</x:v>
      </x:c>
      <x:c r="F467" s="29" t="str">
        <x:v>YES</x:v>
      </x:c>
      <x:c r="G467" s="53" t="n">
        <x:v>15.276108531257286</x:v>
      </x:c>
      <x:c r="H467" s="29" t="str">
        <x:v>YES</x:v>
      </x:c>
      <x:c r="I467" s="53" t="n">
        <x:v>104.05251947561558</x:v>
      </x:c>
      <x:c r="J467" s="29" t="str">
        <x:v>NO</x:v>
      </x:c>
      <x:c r="K467" s="29" t="str">
        <x:v>Air</x:v>
      </x:c>
      <x:c r="L467" s="53" t="n">
        <x:v>15.276108531257286</x:v>
      </x:c>
      <x:c r="M467" s="41" t="n">
        <x:f>INDEX(Catchments!C:C,MATCH(A467,Catchments!A:A,0))</x:f>
        <x:v>13192386</x:v>
      </x:c>
      <x:c r="N467" s="41" t="n">
        <x:f>INDEX(Catchments!C:C,MATCH(B467,Catchments!A:A,0))</x:f>
        <x:v>41291847</x:v>
      </x:c>
    </x:row>
    <x:row r="468" ht="15" hidden="0" customHeight="1">
      <x:c r="A468" s="27" t="str">
        <x:v>SCA-15</x:v>
      </x:c>
      <x:c r="B468" s="27" t="str">
        <x:v>SCA-31</x:v>
      </x:c>
      <x:c r="C468" s="52" t="n">
        <x:v>67.70516476552308</x:v>
      </x:c>
      <x:c r="D468" s="27" t="str">
        <x:v>YES</x:v>
      </x:c>
      <x:c r="E468" s="52" t="n">
        <x:v>62.196915172911</x:v>
      </x:c>
      <x:c r="F468" s="27" t="str">
        <x:v>YES</x:v>
      </x:c>
      <x:c r="G468" s="52" t="n">
        <x:v>15.750798763985037</x:v>
      </x:c>
      <x:c r="H468" s="27" t="str">
        <x:v>YES</x:v>
      </x:c>
      <x:c r="I468" s="52" t="n">
        <x:v>115.07211416393835</x:v>
      </x:c>
      <x:c r="J468" s="27" t="str">
        <x:v>NO</x:v>
      </x:c>
      <x:c r="K468" s="27" t="str">
        <x:v>Air</x:v>
      </x:c>
      <x:c r="L468" s="52" t="n">
        <x:v>15.750798763985037</x:v>
      </x:c>
      <x:c r="M468" s="40" t="n">
        <x:f>INDEX(Catchments!C:C,MATCH(A468,Catchments!A:A,0))</x:f>
        <x:v>13192386</x:v>
      </x:c>
      <x:c r="N468" s="40" t="n">
        <x:f>INDEX(Catchments!C:C,MATCH(B468,Catchments!A:A,0))</x:f>
        <x:v>14227128</x:v>
      </x:c>
    </x:row>
    <x:row r="469" ht="15" hidden="0" customHeight="1">
      <x:c r="A469" s="29" t="str">
        <x:v>SCA-15</x:v>
      </x:c>
      <x:c r="B469" s="29" t="str">
        <x:v>SCA-32</x:v>
      </x:c>
      <x:c r="C469" s="53"/>
      <x:c r="D469" s="29" t="str">
        <x:v>NO</x:v>
      </x:c>
      <x:c r="E469" s="53"/>
      <x:c r="F469" s="29" t="str">
        <x:v>NO</x:v>
      </x:c>
      <x:c r="G469" s="53" t="n">
        <x:v>17.28799483674941</x:v>
      </x:c>
      <x:c r="H469" s="29" t="str">
        <x:v>YES</x:v>
      </x:c>
      <x:c r="I469" s="53" t="n">
        <x:v>150.75702299596838</x:v>
      </x:c>
      <x:c r="J469" s="29" t="str">
        <x:v>NO</x:v>
      </x:c>
      <x:c r="K469" s="29" t="str">
        <x:v>Air</x:v>
      </x:c>
      <x:c r="L469" s="53" t="n">
        <x:v>17.28799483674941</x:v>
      </x:c>
      <x:c r="M469" s="41" t="n">
        <x:f>INDEX(Catchments!C:C,MATCH(A469,Catchments!A:A,0))</x:f>
        <x:v>13192386</x:v>
      </x:c>
      <x:c r="N469" s="41" t="n">
        <x:f>INDEX(Catchments!C:C,MATCH(B469,Catchments!A:A,0))</x:f>
        <x:v>3184835</x:v>
      </x:c>
    </x:row>
    <x:row r="470" ht="15" hidden="0" customHeight="1">
      <x:c r="A470" s="27" t="str">
        <x:v>SCA-16</x:v>
      </x:c>
      <x:c r="B470" s="27" t="str">
        <x:v>SCA-01</x:v>
      </x:c>
      <x:c r="C470" s="52"/>
      <x:c r="D470" s="27" t="str">
        <x:v>NO</x:v>
      </x:c>
      <x:c r="E470" s="52"/>
      <x:c r="F470" s="27" t="str">
        <x:v>NO</x:v>
      </x:c>
      <x:c r="G470" s="52" t="n">
        <x:v>21.432157988501928</x:v>
      </x:c>
      <x:c r="H470" s="27" t="str">
        <x:v>YES</x:v>
      </x:c>
      <x:c r="I470" s="52"/>
      <x:c r="J470" s="27" t="str">
        <x:v>NO</x:v>
      </x:c>
      <x:c r="K470" s="27" t="str">
        <x:v>Air</x:v>
      </x:c>
      <x:c r="L470" s="52" t="n">
        <x:v>21.432157988501928</x:v>
      </x:c>
      <x:c r="M470" s="40" t="n">
        <x:f>INDEX(Catchments!C:C,MATCH(A470,Catchments!A:A,0))</x:f>
        <x:v>10177969</x:v>
      </x:c>
      <x:c r="N470" s="40" t="n">
        <x:f>INDEX(Catchments!C:C,MATCH(B470,Catchments!A:A,0))</x:f>
        <x:v>1432820</x:v>
      </x:c>
    </x:row>
    <x:row r="471" ht="15" hidden="0" customHeight="1">
      <x:c r="A471" s="29" t="str">
        <x:v>SCA-16</x:v>
      </x:c>
      <x:c r="B471" s="29" t="str">
        <x:v>SCA-02</x:v>
      </x:c>
      <x:c r="C471" s="53"/>
      <x:c r="D471" s="29" t="str">
        <x:v>NO</x:v>
      </x:c>
      <x:c r="E471" s="53"/>
      <x:c r="F471" s="29" t="str">
        <x:v>NO</x:v>
      </x:c>
      <x:c r="G471" s="53" t="n">
        <x:v>18.589380398675814</x:v>
      </x:c>
      <x:c r="H471" s="29" t="str">
        <x:v>YES</x:v>
      </x:c>
      <x:c r="I471" s="53"/>
      <x:c r="J471" s="29" t="str">
        <x:v>NO</x:v>
      </x:c>
      <x:c r="K471" s="29" t="str">
        <x:v>Air</x:v>
      </x:c>
      <x:c r="L471" s="53" t="n">
        <x:v>18.589380398675814</x:v>
      </x:c>
      <x:c r="M471" s="41" t="n">
        <x:f>INDEX(Catchments!C:C,MATCH(A471,Catchments!A:A,0))</x:f>
        <x:v>10177969</x:v>
      </x:c>
      <x:c r="N471" s="41" t="n">
        <x:f>INDEX(Catchments!C:C,MATCH(B471,Catchments!A:A,0))</x:f>
        <x:v>737270</x:v>
      </x:c>
    </x:row>
    <x:row r="472" ht="15" hidden="0" customHeight="1">
      <x:c r="A472" s="27" t="str">
        <x:v>SCA-16</x:v>
      </x:c>
      <x:c r="B472" s="27" t="str">
        <x:v>SCA-03</x:v>
      </x:c>
      <x:c r="C472" s="52" t="n">
        <x:v>63.24739112232706</x:v>
      </x:c>
      <x:c r="D472" s="27" t="str">
        <x:v>YES</x:v>
      </x:c>
      <x:c r="E472" s="52" t="n">
        <x:v>58.69437873897126</x:v>
      </x:c>
      <x:c r="F472" s="27" t="str">
        <x:v>YES</x:v>
      </x:c>
      <x:c r="G472" s="52" t="n">
        <x:v>15.528557722492199</x:v>
      </x:c>
      <x:c r="H472" s="27" t="str">
        <x:v>YES</x:v>
      </x:c>
      <x:c r="I472" s="52"/>
      <x:c r="J472" s="27" t="str">
        <x:v>NO</x:v>
      </x:c>
      <x:c r="K472" s="27" t="str">
        <x:v>Air</x:v>
      </x:c>
      <x:c r="L472" s="52" t="n">
        <x:v>15.528557722492199</x:v>
      </x:c>
      <x:c r="M472" s="40" t="n">
        <x:f>INDEX(Catchments!C:C,MATCH(A472,Catchments!A:A,0))</x:f>
        <x:v>10177969</x:v>
      </x:c>
      <x:c r="N472" s="40" t="n">
        <x:f>INDEX(Catchments!C:C,MATCH(B472,Catchments!A:A,0))</x:f>
        <x:v>11968308</x:v>
      </x:c>
    </x:row>
    <x:row r="473" ht="15" hidden="0" customHeight="1">
      <x:c r="A473" s="29" t="str">
        <x:v>SCA-16</x:v>
      </x:c>
      <x:c r="B473" s="29" t="str">
        <x:v>SCA-04</x:v>
      </x:c>
      <x:c r="C473" s="53" t="n">
        <x:v>70.05779442730258</x:v>
      </x:c>
      <x:c r="D473" s="29" t="str">
        <x:v>YES</x:v>
      </x:c>
      <x:c r="E473" s="53" t="n">
        <x:v>64.04540990716632</x:v>
      </x:c>
      <x:c r="F473" s="29" t="str">
        <x:v>YES</x:v>
      </x:c>
      <x:c r="G473" s="53" t="n">
        <x:v>15.416886627149893</x:v>
      </x:c>
      <x:c r="H473" s="29" t="str">
        <x:v>YES</x:v>
      </x:c>
      <x:c r="I473" s="53"/>
      <x:c r="J473" s="29" t="str">
        <x:v>NO</x:v>
      </x:c>
      <x:c r="K473" s="29" t="str">
        <x:v>Air</x:v>
      </x:c>
      <x:c r="L473" s="53" t="n">
        <x:v>15.416886627149893</x:v>
      </x:c>
      <x:c r="M473" s="41" t="n">
        <x:f>INDEX(Catchments!C:C,MATCH(A473,Catchments!A:A,0))</x:f>
        <x:v>10177969</x:v>
      </x:c>
      <x:c r="N473" s="41" t="n">
        <x:f>INDEX(Catchments!C:C,MATCH(B473,Catchments!A:A,0))</x:f>
        <x:v>16200470</x:v>
      </x:c>
    </x:row>
    <x:row r="474" ht="15" hidden="0" customHeight="1">
      <x:c r="A474" s="27" t="str">
        <x:v>SCA-16</x:v>
      </x:c>
      <x:c r="B474" s="27" t="str">
        <x:v>SCA-05</x:v>
      </x:c>
      <x:c r="C474" s="52" t="n">
        <x:v>62.70309831807036</x:v>
      </x:c>
      <x:c r="D474" s="27" t="str">
        <x:v>YES</x:v>
      </x:c>
      <x:c r="E474" s="52" t="n">
        <x:v>58.266720107055285</x:v>
      </x:c>
      <x:c r="F474" s="27" t="str">
        <x:v>YES</x:v>
      </x:c>
      <x:c r="G474" s="52" t="n">
        <x:v>15.133352838090122</x:v>
      </x:c>
      <x:c r="H474" s="27" t="str">
        <x:v>YES</x:v>
      </x:c>
      <x:c r="I474" s="52"/>
      <x:c r="J474" s="27" t="str">
        <x:v>NO</x:v>
      </x:c>
      <x:c r="K474" s="27" t="str">
        <x:v>Air</x:v>
      </x:c>
      <x:c r="L474" s="52" t="n">
        <x:v>15.133352838090122</x:v>
      </x:c>
      <x:c r="M474" s="40" t="n">
        <x:f>INDEX(Catchments!C:C,MATCH(A474,Catchments!A:A,0))</x:f>
        <x:v>10177969</x:v>
      </x:c>
      <x:c r="N474" s="40" t="n">
        <x:f>INDEX(Catchments!C:C,MATCH(B474,Catchments!A:A,0))</x:f>
        <x:v>15966265</x:v>
      </x:c>
    </x:row>
    <x:row r="475" ht="15" hidden="0" customHeight="1">
      <x:c r="A475" s="29" t="str">
        <x:v>SCA-16</x:v>
      </x:c>
      <x:c r="B475" s="29" t="str">
        <x:v>SCA-06</x:v>
      </x:c>
      <x:c r="C475" s="53" t="n">
        <x:v>58.32569154934084</x:v>
      </x:c>
      <x:c r="D475" s="29" t="str">
        <x:v>YES</x:v>
      </x:c>
      <x:c r="E475" s="53" t="n">
        <x:v>54.82732907448209</x:v>
      </x:c>
      <x:c r="F475" s="29" t="str">
        <x:v>YES</x:v>
      </x:c>
      <x:c r="G475" s="53" t="n">
        <x:v>14.92889122361424</x:v>
      </x:c>
      <x:c r="H475" s="29" t="str">
        <x:v>YES</x:v>
      </x:c>
      <x:c r="I475" s="53"/>
      <x:c r="J475" s="29" t="str">
        <x:v>NO</x:v>
      </x:c>
      <x:c r="K475" s="29" t="str">
        <x:v>Air</x:v>
      </x:c>
      <x:c r="L475" s="53" t="n">
        <x:v>14.92889122361424</x:v>
      </x:c>
      <x:c r="M475" s="41" t="n">
        <x:f>INDEX(Catchments!C:C,MATCH(A475,Catchments!A:A,0))</x:f>
        <x:v>10177969</x:v>
      </x:c>
      <x:c r="N475" s="41" t="n">
        <x:f>INDEX(Catchments!C:C,MATCH(B475,Catchments!A:A,0))</x:f>
        <x:v>6008575</x:v>
      </x:c>
    </x:row>
    <x:row r="476" ht="15" hidden="0" customHeight="1">
      <x:c r="A476" s="27" t="str">
        <x:v>SCA-16</x:v>
      </x:c>
      <x:c r="B476" s="27" t="str">
        <x:v>SCA-07</x:v>
      </x:c>
      <x:c r="C476" s="52" t="n">
        <x:v>57.31953648816359</x:v>
      </x:c>
      <x:c r="D476" s="27" t="str">
        <x:v>YES</x:v>
      </x:c>
      <x:c r="E476" s="52" t="n">
        <x:v>54.0367786692714</x:v>
      </x:c>
      <x:c r="F476" s="27" t="str">
        <x:v>YES</x:v>
      </x:c>
      <x:c r="G476" s="52" t="n">
        <x:v>14.665570622886483</x:v>
      </x:c>
      <x:c r="H476" s="27" t="str">
        <x:v>YES</x:v>
      </x:c>
      <x:c r="I476" s="52"/>
      <x:c r="J476" s="27" t="str">
        <x:v>NO</x:v>
      </x:c>
      <x:c r="K476" s="27" t="str">
        <x:v>Air</x:v>
      </x:c>
      <x:c r="L476" s="52" t="n">
        <x:v>14.665570622886483</x:v>
      </x:c>
      <x:c r="M476" s="40" t="n">
        <x:f>INDEX(Catchments!C:C,MATCH(A476,Catchments!A:A,0))</x:f>
        <x:v>10177969</x:v>
      </x:c>
      <x:c r="N476" s="40" t="n">
        <x:f>INDEX(Catchments!C:C,MATCH(B476,Catchments!A:A,0))</x:f>
        <x:v>5229370</x:v>
      </x:c>
    </x:row>
    <x:row r="477" ht="15" hidden="0" customHeight="1">
      <x:c r="A477" s="29" t="str">
        <x:v>SCA-16</x:v>
      </x:c>
      <x:c r="B477" s="29" t="str">
        <x:v>SCA-08</x:v>
      </x:c>
      <x:c r="C477" s="53" t="n">
        <x:v>51.526393393735965</x:v>
      </x:c>
      <x:c r="D477" s="29" t="str">
        <x:v>YES</x:v>
      </x:c>
      <x:c r="E477" s="53" t="n">
        <x:v>49.48502338079254</x:v>
      </x:c>
      <x:c r="F477" s="29" t="str">
        <x:v>YES</x:v>
      </x:c>
      <x:c r="G477" s="53" t="n">
        <x:v>14.669408034798895</x:v>
      </x:c>
      <x:c r="H477" s="29" t="str">
        <x:v>YES</x:v>
      </x:c>
      <x:c r="I477" s="53"/>
      <x:c r="J477" s="29" t="str">
        <x:v>NO</x:v>
      </x:c>
      <x:c r="K477" s="29" t="str">
        <x:v>Air</x:v>
      </x:c>
      <x:c r="L477" s="53" t="n">
        <x:v>14.669408034798895</x:v>
      </x:c>
      <x:c r="M477" s="41" t="n">
        <x:f>INDEX(Catchments!C:C,MATCH(A477,Catchments!A:A,0))</x:f>
        <x:v>10177969</x:v>
      </x:c>
      <x:c r="N477" s="41" t="n">
        <x:f>INDEX(Catchments!C:C,MATCH(B477,Catchments!A:A,0))</x:f>
        <x:v>2652387</x:v>
      </x:c>
    </x:row>
    <x:row r="478" ht="15" hidden="0" customHeight="1">
      <x:c r="A478" s="27" t="str">
        <x:v>SCA-16</x:v>
      </x:c>
      <x:c r="B478" s="27" t="str">
        <x:v>SCA-09</x:v>
      </x:c>
      <x:c r="C478" s="52" t="n">
        <x:v>50.14897424458028</x:v>
      </x:c>
      <x:c r="D478" s="27" t="str">
        <x:v>YES</x:v>
      </x:c>
      <x:c r="E478" s="52" t="n">
        <x:v>48.4027654778845</x:v>
      </x:c>
      <x:c r="F478" s="27" t="str">
        <x:v>YES</x:v>
      </x:c>
      <x:c r="G478" s="52" t="n">
        <x:v>14.382966450069295</x:v>
      </x:c>
      <x:c r="H478" s="27" t="str">
        <x:v>YES</x:v>
      </x:c>
      <x:c r="I478" s="52"/>
      <x:c r="J478" s="27" t="str">
        <x:v>NO</x:v>
      </x:c>
      <x:c r="K478" s="27" t="str">
        <x:v>Air</x:v>
      </x:c>
      <x:c r="L478" s="52" t="n">
        <x:v>14.382966450069295</x:v>
      </x:c>
      <x:c r="M478" s="40" t="n">
        <x:f>INDEX(Catchments!C:C,MATCH(A478,Catchments!A:A,0))</x:f>
        <x:v>10177969</x:v>
      </x:c>
      <x:c r="N478" s="40" t="n">
        <x:f>INDEX(Catchments!C:C,MATCH(B478,Catchments!A:A,0))</x:f>
        <x:v>7395716</x:v>
      </x:c>
    </x:row>
    <x:row r="479" ht="15" hidden="0" customHeight="1">
      <x:c r="A479" s="29" t="str">
        <x:v>SCA-16</x:v>
      </x:c>
      <x:c r="B479" s="29" t="str">
        <x:v>SCA-10</x:v>
      </x:c>
      <x:c r="C479" s="53" t="n">
        <x:v>42.51591280435533</x:v>
      </x:c>
      <x:c r="D479" s="29" t="str">
        <x:v>YES</x:v>
      </x:c>
      <x:c r="E479" s="53" t="n">
        <x:v>42.4053600605649</x:v>
      </x:c>
      <x:c r="F479" s="29" t="str">
        <x:v>YES</x:v>
      </x:c>
      <x:c r="G479" s="53" t="n">
        <x:v>14.084019226748106</x:v>
      </x:c>
      <x:c r="H479" s="29" t="str">
        <x:v>YES</x:v>
      </x:c>
      <x:c r="I479" s="53"/>
      <x:c r="J479" s="29" t="str">
        <x:v>NO</x:v>
      </x:c>
      <x:c r="K479" s="29" t="str">
        <x:v>Air</x:v>
      </x:c>
      <x:c r="L479" s="53" t="n">
        <x:v>14.084019226748106</x:v>
      </x:c>
      <x:c r="M479" s="41" t="n">
        <x:f>INDEX(Catchments!C:C,MATCH(A479,Catchments!A:A,0))</x:f>
        <x:v>10177969</x:v>
      </x:c>
      <x:c r="N479" s="41" t="n">
        <x:f>INDEX(Catchments!C:C,MATCH(B479,Catchments!A:A,0))</x:f>
        <x:v>4127033</x:v>
      </x:c>
    </x:row>
    <x:row r="480" ht="15" hidden="0" customHeight="1">
      <x:c r="A480" s="27" t="str">
        <x:v>SCA-16</x:v>
      </x:c>
      <x:c r="B480" s="27" t="str">
        <x:v>SCA-11</x:v>
      </x:c>
      <x:c r="C480" s="52" t="n">
        <x:v>42.2800791893335</x:v>
      </x:c>
      <x:c r="D480" s="27" t="str">
        <x:v>YES</x:v>
      </x:c>
      <x:c r="E480" s="52" t="n">
        <x:v>42.220062220190606</x:v>
      </x:c>
      <x:c r="F480" s="27" t="str">
        <x:v>YES</x:v>
      </x:c>
      <x:c r="G480" s="52" t="n">
        <x:v>13.511091948230156</x:v>
      </x:c>
      <x:c r="H480" s="27" t="str">
        <x:v>YES</x:v>
      </x:c>
      <x:c r="I480" s="52"/>
      <x:c r="J480" s="27" t="str">
        <x:v>NO</x:v>
      </x:c>
      <x:c r="K480" s="27" t="str">
        <x:v>Air</x:v>
      </x:c>
      <x:c r="L480" s="52" t="n">
        <x:v>13.511091948230156</x:v>
      </x:c>
      <x:c r="M480" s="40" t="n">
        <x:f>INDEX(Catchments!C:C,MATCH(A480,Catchments!A:A,0))</x:f>
        <x:v>10177969</x:v>
      </x:c>
      <x:c r="N480" s="40" t="n">
        <x:f>INDEX(Catchments!C:C,MATCH(B480,Catchments!A:A,0))</x:f>
        <x:v>3517787</x:v>
      </x:c>
    </x:row>
    <x:row r="481" ht="15" hidden="0" customHeight="1">
      <x:c r="A481" s="29" t="str">
        <x:v>SCA-16</x:v>
      </x:c>
      <x:c r="B481" s="29" t="str">
        <x:v>SCA-12</x:v>
      </x:c>
      <x:c r="C481" s="53" t="n">
        <x:v>30.220313490783653</x:v>
      </x:c>
      <x:c r="D481" s="29" t="str">
        <x:v>YES</x:v>
      </x:c>
      <x:c r="E481" s="53" t="n">
        <x:v>32.74453202847287</x:v>
      </x:c>
      <x:c r="F481" s="29" t="str">
        <x:v>YES</x:v>
      </x:c>
      <x:c r="G481" s="53" t="n">
        <x:v>13.193467882265018</x:v>
      </x:c>
      <x:c r="H481" s="29" t="str">
        <x:v>YES</x:v>
      </x:c>
      <x:c r="I481" s="53"/>
      <x:c r="J481" s="29" t="str">
        <x:v>NO</x:v>
      </x:c>
      <x:c r="K481" s="29" t="str">
        <x:v>Air</x:v>
      </x:c>
      <x:c r="L481" s="53" t="n">
        <x:v>13.193467882265018</x:v>
      </x:c>
      <x:c r="M481" s="41" t="n">
        <x:f>INDEX(Catchments!C:C,MATCH(A481,Catchments!A:A,0))</x:f>
        <x:v>10177969</x:v>
      </x:c>
      <x:c r="N481" s="41" t="n">
        <x:f>INDEX(Catchments!C:C,MATCH(B481,Catchments!A:A,0))</x:f>
        <x:v>7465186</x:v>
      </x:c>
    </x:row>
    <x:row r="482" ht="15" hidden="0" customHeight="1">
      <x:c r="A482" s="27" t="str">
        <x:v>SCA-16</x:v>
      </x:c>
      <x:c r="B482" s="27" t="str">
        <x:v>SCA-13</x:v>
      </x:c>
      <x:c r="C482" s="52" t="n">
        <x:v>33.506532514509885</x:v>
      </x:c>
      <x:c r="D482" s="27" t="str">
        <x:v>YES</x:v>
      </x:c>
      <x:c r="E482" s="52" t="n">
        <x:v>35.32656126140062</x:v>
      </x:c>
      <x:c r="F482" s="27" t="str">
        <x:v>YES</x:v>
      </x:c>
      <x:c r="G482" s="52" t="n">
        <x:v>13.420559423783708</x:v>
      </x:c>
      <x:c r="H482" s="27" t="str">
        <x:v>YES</x:v>
      </x:c>
      <x:c r="I482" s="52"/>
      <x:c r="J482" s="27" t="str">
        <x:v>NO</x:v>
      </x:c>
      <x:c r="K482" s="27" t="str">
        <x:v>Air</x:v>
      </x:c>
      <x:c r="L482" s="52" t="n">
        <x:v>13.420559423783708</x:v>
      </x:c>
      <x:c r="M482" s="40" t="n">
        <x:f>INDEX(Catchments!C:C,MATCH(A482,Catchments!A:A,0))</x:f>
        <x:v>10177969</x:v>
      </x:c>
      <x:c r="N482" s="40" t="n">
        <x:f>INDEX(Catchments!C:C,MATCH(B482,Catchments!A:A,0))</x:f>
        <x:v>6759014</x:v>
      </x:c>
    </x:row>
    <x:row r="483" ht="15" hidden="0" customHeight="1">
      <x:c r="A483" s="29" t="str">
        <x:v>SCA-16</x:v>
      </x:c>
      <x:c r="B483" s="29" t="str">
        <x:v>SCA-14</x:v>
      </x:c>
      <x:c r="C483" s="53" t="n">
        <x:v>40.844074582275546</x:v>
      </x:c>
      <x:c r="D483" s="29" t="str">
        <x:v>YES</x:v>
      </x:c>
      <x:c r="E483" s="53" t="n">
        <x:v>41.09177288607364</x:v>
      </x:c>
      <x:c r="F483" s="29" t="str">
        <x:v>YES</x:v>
      </x:c>
      <x:c r="G483" s="53" t="n">
        <x:v>13.950980875952611</x:v>
      </x:c>
      <x:c r="H483" s="29" t="str">
        <x:v>YES</x:v>
      </x:c>
      <x:c r="I483" s="53"/>
      <x:c r="J483" s="29" t="str">
        <x:v>NO</x:v>
      </x:c>
      <x:c r="K483" s="29" t="str">
        <x:v>Air</x:v>
      </x:c>
      <x:c r="L483" s="53" t="n">
        <x:v>13.950980875952611</x:v>
      </x:c>
      <x:c r="M483" s="41" t="n">
        <x:f>INDEX(Catchments!C:C,MATCH(A483,Catchments!A:A,0))</x:f>
        <x:v>10177969</x:v>
      </x:c>
      <x:c r="N483" s="41" t="n">
        <x:f>INDEX(Catchments!C:C,MATCH(B483,Catchments!A:A,0))</x:f>
        <x:v>2179728</x:v>
      </x:c>
    </x:row>
    <x:row r="484" ht="15" hidden="0" customHeight="1">
      <x:c r="A484" s="27" t="str">
        <x:v>SCA-16</x:v>
      </x:c>
      <x:c r="B484" s="27" t="str">
        <x:v>SCA-15</x:v>
      </x:c>
      <x:c r="C484" s="52" t="n">
        <x:v>25.818667035434643</x:v>
      </x:c>
      <x:c r="D484" s="27" t="str">
        <x:v>YES</x:v>
      </x:c>
      <x:c r="E484" s="52" t="n">
        <x:v>29.286095527841503</x:v>
      </x:c>
      <x:c r="F484" s="27" t="str">
        <x:v>YES</x:v>
      </x:c>
      <x:c r="G484" s="52" t="n">
        <x:v>12.869600918995191</x:v>
      </x:c>
      <x:c r="H484" s="27" t="str">
        <x:v>YES</x:v>
      </x:c>
      <x:c r="I484" s="52"/>
      <x:c r="J484" s="27" t="str">
        <x:v>NO</x:v>
      </x:c>
      <x:c r="K484" s="27" t="str">
        <x:v>Air</x:v>
      </x:c>
      <x:c r="L484" s="52" t="n">
        <x:v>12.869600918995191</x:v>
      </x:c>
      <x:c r="M484" s="40" t="n">
        <x:f>INDEX(Catchments!C:C,MATCH(A484,Catchments!A:A,0))</x:f>
        <x:v>10177969</x:v>
      </x:c>
      <x:c r="N484" s="40" t="n">
        <x:f>INDEX(Catchments!C:C,MATCH(B484,Catchments!A:A,0))</x:f>
        <x:v>13192386</x:v>
      </x:c>
    </x:row>
    <x:row r="485" ht="15" hidden="0" customHeight="1">
      <x:c r="A485" s="29" t="str">
        <x:v>SCA-16</x:v>
      </x:c>
      <x:c r="B485" s="29" t="str">
        <x:v>SCA-17</x:v>
      </x:c>
      <x:c r="C485" s="53" t="n">
        <x:v>34.34252872312503</x:v>
      </x:c>
      <x:c r="D485" s="29" t="str">
        <x:v>YES</x:v>
      </x:c>
      <x:c r="E485" s="53" t="n">
        <x:v>35.98341542531252</x:v>
      </x:c>
      <x:c r="F485" s="29" t="str">
        <x:v>YES</x:v>
      </x:c>
      <x:c r="G485" s="53" t="n">
        <x:v>13.404503992663443</x:v>
      </x:c>
      <x:c r="H485" s="29" t="str">
        <x:v>YES</x:v>
      </x:c>
      <x:c r="I485" s="53"/>
      <x:c r="J485" s="29" t="str">
        <x:v>NO</x:v>
      </x:c>
      <x:c r="K485" s="29" t="str">
        <x:v>Air</x:v>
      </x:c>
      <x:c r="L485" s="53" t="n">
        <x:v>13.404503992663443</x:v>
      </x:c>
      <x:c r="M485" s="41" t="n">
        <x:f>INDEX(Catchments!C:C,MATCH(A485,Catchments!A:A,0))</x:f>
        <x:v>10177969</x:v>
      </x:c>
      <x:c r="N485" s="41" t="n">
        <x:f>INDEX(Catchments!C:C,MATCH(B485,Catchments!A:A,0))</x:f>
        <x:v>12843509</x:v>
      </x:c>
    </x:row>
    <x:row r="486" ht="15" hidden="0" customHeight="1">
      <x:c r="A486" s="27" t="str">
        <x:v>SCA-16</x:v>
      </x:c>
      <x:c r="B486" s="27" t="str">
        <x:v>SCA-18</x:v>
      </x:c>
      <x:c r="C486" s="52" t="n">
        <x:v>29.84904118233024</x:v>
      </x:c>
      <x:c r="D486" s="27" t="str">
        <x:v>YES</x:v>
      </x:c>
      <x:c r="E486" s="52" t="n">
        <x:v>32.452818071830905</x:v>
      </x:c>
      <x:c r="F486" s="27" t="str">
        <x:v>YES</x:v>
      </x:c>
      <x:c r="G486" s="52" t="n">
        <x:v>13.166150187328647</x:v>
      </x:c>
      <x:c r="H486" s="27" t="str">
        <x:v>YES</x:v>
      </x:c>
      <x:c r="I486" s="52"/>
      <x:c r="J486" s="27" t="str">
        <x:v>NO</x:v>
      </x:c>
      <x:c r="K486" s="27" t="str">
        <x:v>Air</x:v>
      </x:c>
      <x:c r="L486" s="52" t="n">
        <x:v>13.166150187328647</x:v>
      </x:c>
      <x:c r="M486" s="40" t="n">
        <x:f>INDEX(Catchments!C:C,MATCH(A486,Catchments!A:A,0))</x:f>
        <x:v>10177969</x:v>
      </x:c>
      <x:c r="N486" s="40" t="n">
        <x:f>INDEX(Catchments!C:C,MATCH(B486,Catchments!A:A,0))</x:f>
        <x:v>11004680</x:v>
      </x:c>
    </x:row>
    <x:row r="487" ht="15" hidden="0" customHeight="1">
      <x:c r="A487" s="29" t="str">
        <x:v>SCA-16</x:v>
      </x:c>
      <x:c r="B487" s="29" t="str">
        <x:v>SCA-19</x:v>
      </x:c>
      <x:c r="C487" s="53" t="n">
        <x:v>23.481548616891196</x:v>
      </x:c>
      <x:c r="D487" s="29" t="str">
        <x:v>YES</x:v>
      </x:c>
      <x:c r="E487" s="53" t="n">
        <x:v>27.449788198985942</x:v>
      </x:c>
      <x:c r="F487" s="29" t="str">
        <x:v>YES</x:v>
      </x:c>
      <x:c r="G487" s="53" t="n">
        <x:v>12.69763902866758</x:v>
      </x:c>
      <x:c r="H487" s="29" t="str">
        <x:v>YES</x:v>
      </x:c>
      <x:c r="I487" s="53"/>
      <x:c r="J487" s="29" t="str">
        <x:v>NO</x:v>
      </x:c>
      <x:c r="K487" s="29" t="str">
        <x:v>Air</x:v>
      </x:c>
      <x:c r="L487" s="53" t="n">
        <x:v>12.69763902866758</x:v>
      </x:c>
      <x:c r="M487" s="41" t="n">
        <x:f>INDEX(Catchments!C:C,MATCH(A487,Catchments!A:A,0))</x:f>
        <x:v>10177969</x:v>
      </x:c>
      <x:c r="N487" s="41" t="n">
        <x:f>INDEX(Catchments!C:C,MATCH(B487,Catchments!A:A,0))</x:f>
        <x:v>6677653</x:v>
      </x:c>
    </x:row>
    <x:row r="488" ht="15" hidden="0" customHeight="1">
      <x:c r="A488" s="27" t="str">
        <x:v>SCA-16</x:v>
      </x:c>
      <x:c r="B488" s="27" t="str">
        <x:v>SCA-20</x:v>
      </x:c>
      <x:c r="C488" s="52" t="n">
        <x:v>28.7113761554684</x:v>
      </x:c>
      <x:c r="D488" s="27" t="str">
        <x:v>YES</x:v>
      </x:c>
      <x:c r="E488" s="52" t="n">
        <x:v>31.558938407868027</x:v>
      </x:c>
      <x:c r="F488" s="27" t="str">
        <x:v>YES</x:v>
      </x:c>
      <x:c r="G488" s="52" t="n">
        <x:v>13.08244239271005</x:v>
      </x:c>
      <x:c r="H488" s="27" t="str">
        <x:v>YES</x:v>
      </x:c>
      <x:c r="I488" s="52"/>
      <x:c r="J488" s="27" t="str">
        <x:v>NO</x:v>
      </x:c>
      <x:c r="K488" s="27" t="str">
        <x:v>Air</x:v>
      </x:c>
      <x:c r="L488" s="52" t="n">
        <x:v>13.08244239271005</x:v>
      </x:c>
      <x:c r="M488" s="40" t="n">
        <x:f>INDEX(Catchments!C:C,MATCH(A488,Catchments!A:A,0))</x:f>
        <x:v>10177969</x:v>
      </x:c>
      <x:c r="N488" s="40" t="n">
        <x:f>INDEX(Catchments!C:C,MATCH(B488,Catchments!A:A,0))</x:f>
        <x:v>8490774</x:v>
      </x:c>
    </x:row>
    <x:row r="489" ht="15" hidden="0" customHeight="1">
      <x:c r="A489" s="29" t="str">
        <x:v>SCA-16</x:v>
      </x:c>
      <x:c r="B489" s="29" t="str">
        <x:v>SCA-21</x:v>
      </x:c>
      <x:c r="C489" s="53" t="n">
        <x:v>33.036591547347626</x:v>
      </x:c>
      <x:c r="D489" s="29" t="str">
        <x:v>YES</x:v>
      </x:c>
      <x:c r="E489" s="53" t="n">
        <x:v>34.95732193005885</x:v>
      </x:c>
      <x:c r="F489" s="29" t="str">
        <x:v>YES</x:v>
      </x:c>
      <x:c r="G489" s="53" t="n">
        <x:v>13.26490824490949</x:v>
      </x:c>
      <x:c r="H489" s="29" t="str">
        <x:v>YES</x:v>
      </x:c>
      <x:c r="I489" s="53"/>
      <x:c r="J489" s="29" t="str">
        <x:v>NO</x:v>
      </x:c>
      <x:c r="K489" s="29" t="str">
        <x:v>Air</x:v>
      </x:c>
      <x:c r="L489" s="53" t="n">
        <x:v>13.26490824490949</x:v>
      </x:c>
      <x:c r="M489" s="41" t="n">
        <x:f>INDEX(Catchments!C:C,MATCH(A489,Catchments!A:A,0))</x:f>
        <x:v>10177969</x:v>
      </x:c>
      <x:c r="N489" s="41" t="n">
        <x:f>INDEX(Catchments!C:C,MATCH(B489,Catchments!A:A,0))</x:f>
        <x:v>19593580</x:v>
      </x:c>
    </x:row>
    <x:row r="490" ht="15" hidden="0" customHeight="1">
      <x:c r="A490" s="27" t="str">
        <x:v>SCA-16</x:v>
      </x:c>
      <x:c r="B490" s="27" t="str">
        <x:v>SCA-22</x:v>
      </x:c>
      <x:c r="C490" s="52" t="n">
        <x:v>33.61941463253354</x:v>
      </x:c>
      <x:c r="D490" s="27" t="str">
        <x:v>YES</x:v>
      </x:c>
      <x:c r="E490" s="52" t="n">
        <x:v>35.415254354133495</x:v>
      </x:c>
      <x:c r="F490" s="27" t="str">
        <x:v>YES</x:v>
      </x:c>
      <x:c r="G490" s="52" t="n">
        <x:v>13.437986915578783</x:v>
      </x:c>
      <x:c r="H490" s="27" t="str">
        <x:v>YES</x:v>
      </x:c>
      <x:c r="I490" s="52"/>
      <x:c r="J490" s="27" t="str">
        <x:v>NO</x:v>
      </x:c>
      <x:c r="K490" s="27" t="str">
        <x:v>Air</x:v>
      </x:c>
      <x:c r="L490" s="52" t="n">
        <x:v>13.437986915578783</x:v>
      </x:c>
      <x:c r="M490" s="40" t="n">
        <x:f>INDEX(Catchments!C:C,MATCH(A490,Catchments!A:A,0))</x:f>
        <x:v>10177969</x:v>
      </x:c>
      <x:c r="N490" s="40" t="n">
        <x:f>INDEX(Catchments!C:C,MATCH(B490,Catchments!A:A,0))</x:f>
        <x:v>14732006</x:v>
      </x:c>
    </x:row>
    <x:row r="491" ht="15" hidden="0" customHeight="1">
      <x:c r="A491" s="29" t="str">
        <x:v>SCA-16</x:v>
      </x:c>
      <x:c r="B491" s="29" t="str">
        <x:v>SCA-23</x:v>
      </x:c>
      <x:c r="C491" s="53" t="n">
        <x:v>39.247721498181036</x:v>
      </x:c>
      <x:c r="D491" s="29" t="str">
        <x:v>YES</x:v>
      </x:c>
      <x:c r="E491" s="53" t="n">
        <x:v>39.83749546285653</x:v>
      </x:c>
      <x:c r="F491" s="29" t="str">
        <x:v>YES</x:v>
      </x:c>
      <x:c r="G491" s="53" t="n">
        <x:v>13.751659263653654</x:v>
      </x:c>
      <x:c r="H491" s="29" t="str">
        <x:v>YES</x:v>
      </x:c>
      <x:c r="I491" s="53"/>
      <x:c r="J491" s="29" t="str">
        <x:v>NO</x:v>
      </x:c>
      <x:c r="K491" s="29" t="str">
        <x:v>Air</x:v>
      </x:c>
      <x:c r="L491" s="53" t="n">
        <x:v>13.751659263653654</x:v>
      </x:c>
      <x:c r="M491" s="41" t="n">
        <x:f>INDEX(Catchments!C:C,MATCH(A491,Catchments!A:A,0))</x:f>
        <x:v>10177969</x:v>
      </x:c>
      <x:c r="N491" s="41" t="n">
        <x:f>INDEX(Catchments!C:C,MATCH(B491,Catchments!A:A,0))</x:f>
        <x:v>20869310</x:v>
      </x:c>
    </x:row>
    <x:row r="492" ht="15" hidden="0" customHeight="1">
      <x:c r="A492" s="27" t="str">
        <x:v>SCA-16</x:v>
      </x:c>
      <x:c r="B492" s="27" t="str">
        <x:v>SCA-24</x:v>
      </x:c>
      <x:c r="C492" s="52" t="n">
        <x:v>40.25913796849376</x:v>
      </x:c>
      <x:c r="D492" s="27" t="str">
        <x:v>YES</x:v>
      </x:c>
      <x:c r="E492" s="52" t="n">
        <x:v>40.63217983238796</x:v>
      </x:c>
      <x:c r="F492" s="27" t="str">
        <x:v>YES</x:v>
      </x:c>
      <x:c r="G492" s="52" t="n">
        <x:v>13.759774968852941</x:v>
      </x:c>
      <x:c r="H492" s="27" t="str">
        <x:v>YES</x:v>
      </x:c>
      <x:c r="I492" s="52"/>
      <x:c r="J492" s="27" t="str">
        <x:v>NO</x:v>
      </x:c>
      <x:c r="K492" s="27" t="str">
        <x:v>Air</x:v>
      </x:c>
      <x:c r="L492" s="52" t="n">
        <x:v>13.759774968852941</x:v>
      </x:c>
      <x:c r="M492" s="40" t="n">
        <x:f>INDEX(Catchments!C:C,MATCH(A492,Catchments!A:A,0))</x:f>
        <x:v>10177969</x:v>
      </x:c>
      <x:c r="N492" s="40" t="n">
        <x:f>INDEX(Catchments!C:C,MATCH(B492,Catchments!A:A,0))</x:f>
        <x:v>11816161</x:v>
      </x:c>
    </x:row>
    <x:row r="493" ht="15" hidden="0" customHeight="1">
      <x:c r="A493" s="29" t="str">
        <x:v>SCA-16</x:v>
      </x:c>
      <x:c r="B493" s="29" t="str">
        <x:v>SCA-25</x:v>
      </x:c>
      <x:c r="C493" s="53" t="n">
        <x:v>48.24016113307994</x:v>
      </x:c>
      <x:c r="D493" s="29" t="str">
        <x:v>YES</x:v>
      </x:c>
      <x:c r="E493" s="53" t="n">
        <x:v>46.90298374741995</x:v>
      </x:c>
      <x:c r="F493" s="29" t="str">
        <x:v>YES</x:v>
      </x:c>
      <x:c r="G493" s="53" t="n">
        <x:v>14.35456672419354</x:v>
      </x:c>
      <x:c r="H493" s="29" t="str">
        <x:v>YES</x:v>
      </x:c>
      <x:c r="I493" s="53"/>
      <x:c r="J493" s="29" t="str">
        <x:v>NO</x:v>
      </x:c>
      <x:c r="K493" s="29" t="str">
        <x:v>Air</x:v>
      </x:c>
      <x:c r="L493" s="53" t="n">
        <x:v>14.35456672419354</x:v>
      </x:c>
      <x:c r="M493" s="41" t="n">
        <x:f>INDEX(Catchments!C:C,MATCH(A493,Catchments!A:A,0))</x:f>
        <x:v>10177969</x:v>
      </x:c>
      <x:c r="N493" s="41" t="n">
        <x:f>INDEX(Catchments!C:C,MATCH(B493,Catchments!A:A,0))</x:f>
        <x:v>6408394</x:v>
      </x:c>
    </x:row>
    <x:row r="494" ht="15" hidden="0" customHeight="1">
      <x:c r="A494" s="27" t="str">
        <x:v>SCA-16</x:v>
      </x:c>
      <x:c r="B494" s="27" t="str">
        <x:v>SCA-26</x:v>
      </x:c>
      <x:c r="C494" s="52" t="n">
        <x:v>54.21287851062217</x:v>
      </x:c>
      <x:c r="D494" s="27" t="str">
        <x:v>YES</x:v>
      </x:c>
      <x:c r="E494" s="52" t="n">
        <x:v>51.595833115488844</x:v>
      </x:c>
      <x:c r="F494" s="27" t="str">
        <x:v>YES</x:v>
      </x:c>
      <x:c r="G494" s="52" t="n">
        <x:v>14.665319044840151</x:v>
      </x:c>
      <x:c r="H494" s="27" t="str">
        <x:v>YES</x:v>
      </x:c>
      <x:c r="I494" s="52"/>
      <x:c r="J494" s="27" t="str">
        <x:v>NO</x:v>
      </x:c>
      <x:c r="K494" s="27" t="str">
        <x:v>Air</x:v>
      </x:c>
      <x:c r="L494" s="52" t="n">
        <x:v>14.665319044840151</x:v>
      </x:c>
      <x:c r="M494" s="40" t="n">
        <x:f>INDEX(Catchments!C:C,MATCH(A494,Catchments!A:A,0))</x:f>
        <x:v>10177969</x:v>
      </x:c>
      <x:c r="N494" s="40" t="n">
        <x:f>INDEX(Catchments!C:C,MATCH(B494,Catchments!A:A,0))</x:f>
        <x:v>10737083</x:v>
      </x:c>
    </x:row>
    <x:row r="495" ht="15" hidden="0" customHeight="1">
      <x:c r="A495" s="29" t="str">
        <x:v>SCA-16</x:v>
      </x:c>
      <x:c r="B495" s="29" t="str">
        <x:v>SCA-27</x:v>
      </x:c>
      <x:c r="C495" s="53" t="n">
        <x:v>59.29702876734123</x:v>
      </x:c>
      <x:c r="D495" s="29" t="str">
        <x:v>YES</x:v>
      </x:c>
      <x:c r="E495" s="53" t="n">
        <x:v>55.590522602910966</x:v>
      </x:c>
      <x:c r="F495" s="29" t="str">
        <x:v>YES</x:v>
      </x:c>
      <x:c r="G495" s="53" t="n">
        <x:v>15.031793671419704</x:v>
      </x:c>
      <x:c r="H495" s="29" t="str">
        <x:v>YES</x:v>
      </x:c>
      <x:c r="I495" s="53"/>
      <x:c r="J495" s="29" t="str">
        <x:v>NO</x:v>
      </x:c>
      <x:c r="K495" s="29" t="str">
        <x:v>Air</x:v>
      </x:c>
      <x:c r="L495" s="53" t="n">
        <x:v>15.031793671419704</x:v>
      </x:c>
      <x:c r="M495" s="41" t="n">
        <x:f>INDEX(Catchments!C:C,MATCH(A495,Catchments!A:A,0))</x:f>
        <x:v>10177969</x:v>
      </x:c>
      <x:c r="N495" s="41" t="n">
        <x:f>INDEX(Catchments!C:C,MATCH(B495,Catchments!A:A,0))</x:f>
        <x:v>7505606</x:v>
      </x:c>
    </x:row>
    <x:row r="496" ht="15" hidden="0" customHeight="1">
      <x:c r="A496" s="27" t="str">
        <x:v>SCA-16</x:v>
      </x:c>
      <x:c r="B496" s="27" t="str">
        <x:v>SCA-28</x:v>
      </x:c>
      <x:c r="C496" s="52" t="n">
        <x:v>45.340414182794234</x:v>
      </x:c>
      <x:c r="D496" s="27" t="str">
        <x:v>YES</x:v>
      </x:c>
      <x:c r="E496" s="52" t="n">
        <x:v>44.624611143624044</x:v>
      </x:c>
      <x:c r="F496" s="27" t="str">
        <x:v>YES</x:v>
      </x:c>
      <x:c r="G496" s="52" t="n">
        <x:v>14.241586230201131</x:v>
      </x:c>
      <x:c r="H496" s="27" t="str">
        <x:v>YES</x:v>
      </x:c>
      <x:c r="I496" s="52"/>
      <x:c r="J496" s="27" t="str">
        <x:v>NO</x:v>
      </x:c>
      <x:c r="K496" s="27" t="str">
        <x:v>Air</x:v>
      </x:c>
      <x:c r="L496" s="52" t="n">
        <x:v>14.241586230201131</x:v>
      </x:c>
      <x:c r="M496" s="40" t="n">
        <x:f>INDEX(Catchments!C:C,MATCH(A496,Catchments!A:A,0))</x:f>
        <x:v>10177969</x:v>
      </x:c>
      <x:c r="N496" s="40" t="n">
        <x:f>INDEX(Catchments!C:C,MATCH(B496,Catchments!A:A,0))</x:f>
        <x:v>21305157</x:v>
      </x:c>
    </x:row>
    <x:row r="497" ht="15" hidden="0" customHeight="1">
      <x:c r="A497" s="29" t="str">
        <x:v>SCA-16</x:v>
      </x:c>
      <x:c r="B497" s="29" t="str">
        <x:v>SCA-29</x:v>
      </x:c>
      <x:c r="C497" s="53" t="n">
        <x:v>46.6656423546089</x:v>
      </x:c>
      <x:c r="D497" s="29" t="str">
        <x:v>YES</x:v>
      </x:c>
      <x:c r="E497" s="53" t="n">
        <x:v>45.66586185004985</x:v>
      </x:c>
      <x:c r="F497" s="29" t="str">
        <x:v>YES</x:v>
      </x:c>
      <x:c r="G497" s="53" t="n">
        <x:v>14.35156442524156</x:v>
      </x:c>
      <x:c r="H497" s="29" t="str">
        <x:v>YES</x:v>
      </x:c>
      <x:c r="I497" s="53"/>
      <x:c r="J497" s="29" t="str">
        <x:v>NO</x:v>
      </x:c>
      <x:c r="K497" s="29" t="str">
        <x:v>Air</x:v>
      </x:c>
      <x:c r="L497" s="53" t="n">
        <x:v>14.35156442524156</x:v>
      </x:c>
      <x:c r="M497" s="41" t="n">
        <x:f>INDEX(Catchments!C:C,MATCH(A497,Catchments!A:A,0))</x:f>
        <x:v>10177969</x:v>
      </x:c>
      <x:c r="N497" s="41" t="n">
        <x:f>INDEX(Catchments!C:C,MATCH(B497,Catchments!A:A,0))</x:f>
        <x:v>19271685</x:v>
      </x:c>
    </x:row>
    <x:row r="498" ht="15" hidden="0" customHeight="1">
      <x:c r="A498" s="27" t="str">
        <x:v>SCA-16</x:v>
      </x:c>
      <x:c r="B498" s="27" t="str">
        <x:v>SCA-30</x:v>
      </x:c>
      <x:c r="C498" s="52" t="n">
        <x:v>53.768845381544054</x:v>
      </x:c>
      <x:c r="D498" s="27" t="str">
        <x:v>YES</x:v>
      </x:c>
      <x:c r="E498" s="52" t="n">
        <x:v>51.24694994264176</x:v>
      </x:c>
      <x:c r="F498" s="27" t="str">
        <x:v>YES</x:v>
      </x:c>
      <x:c r="G498" s="52" t="n">
        <x:v>14.861713853612056</x:v>
      </x:c>
      <x:c r="H498" s="27" t="str">
        <x:v>YES</x:v>
      </x:c>
      <x:c r="I498" s="52"/>
      <x:c r="J498" s="27" t="str">
        <x:v>NO</x:v>
      </x:c>
      <x:c r="K498" s="27" t="str">
        <x:v>Air</x:v>
      </x:c>
      <x:c r="L498" s="52" t="n">
        <x:v>14.861713853612056</x:v>
      </x:c>
      <x:c r="M498" s="40" t="n">
        <x:f>INDEX(Catchments!C:C,MATCH(A498,Catchments!A:A,0))</x:f>
        <x:v>10177969</x:v>
      </x:c>
      <x:c r="N498" s="40" t="n">
        <x:f>INDEX(Catchments!C:C,MATCH(B498,Catchments!A:A,0))</x:f>
        <x:v>41291847</x:v>
      </x:c>
    </x:row>
    <x:row r="499" ht="15" hidden="0" customHeight="1">
      <x:c r="A499" s="29" t="str">
        <x:v>SCA-16</x:v>
      </x:c>
      <x:c r="B499" s="29" t="str">
        <x:v>SCA-31</x:v>
      </x:c>
      <x:c r="C499" s="53" t="n">
        <x:v>60.91579347584417</x:v>
      </x:c>
      <x:c r="D499" s="29" t="str">
        <x:v>YES</x:v>
      </x:c>
      <x:c r="E499" s="53" t="n">
        <x:v>56.86240915959185</x:v>
      </x:c>
      <x:c r="F499" s="29" t="str">
        <x:v>YES</x:v>
      </x:c>
      <x:c r="G499" s="53" t="n">
        <x:v>15.271502915632542</x:v>
      </x:c>
      <x:c r="H499" s="29" t="str">
        <x:v>YES</x:v>
      </x:c>
      <x:c r="I499" s="53"/>
      <x:c r="J499" s="29" t="str">
        <x:v>NO</x:v>
      </x:c>
      <x:c r="K499" s="29" t="str">
        <x:v>Air</x:v>
      </x:c>
      <x:c r="L499" s="53" t="n">
        <x:v>15.271502915632542</x:v>
      </x:c>
      <x:c r="M499" s="41" t="n">
        <x:f>INDEX(Catchments!C:C,MATCH(A499,Catchments!A:A,0))</x:f>
        <x:v>10177969</x:v>
      </x:c>
      <x:c r="N499" s="41" t="n">
        <x:f>INDEX(Catchments!C:C,MATCH(B499,Catchments!A:A,0))</x:f>
        <x:v>14227128</x:v>
      </x:c>
    </x:row>
    <x:row r="500" ht="15" hidden="0" customHeight="1">
      <x:c r="A500" s="27" t="str">
        <x:v>SCA-16</x:v>
      </x:c>
      <x:c r="B500" s="27" t="str">
        <x:v>SCA-32</x:v>
      </x:c>
      <x:c r="C500" s="52"/>
      <x:c r="D500" s="27" t="str">
        <x:v>NO</x:v>
      </x:c>
      <x:c r="E500" s="52"/>
      <x:c r="F500" s="27" t="str">
        <x:v>NO</x:v>
      </x:c>
      <x:c r="G500" s="52" t="n">
        <x:v>17.575510977685674</x:v>
      </x:c>
      <x:c r="H500" s="27" t="str">
        <x:v>YES</x:v>
      </x:c>
      <x:c r="I500" s="52"/>
      <x:c r="J500" s="27" t="str">
        <x:v>NO</x:v>
      </x:c>
      <x:c r="K500" s="27" t="str">
        <x:v>Air</x:v>
      </x:c>
      <x:c r="L500" s="52" t="n">
        <x:v>17.575510977685674</x:v>
      </x:c>
      <x:c r="M500" s="40" t="n">
        <x:f>INDEX(Catchments!C:C,MATCH(A500,Catchments!A:A,0))</x:f>
        <x:v>10177969</x:v>
      </x:c>
      <x:c r="N500" s="40" t="n">
        <x:f>INDEX(Catchments!C:C,MATCH(B500,Catchments!A:A,0))</x:f>
        <x:v>3184835</x:v>
      </x:c>
    </x:row>
    <x:row r="501" ht="15" hidden="0" customHeight="1">
      <x:c r="A501" s="29" t="str">
        <x:v>SCA-17</x:v>
      </x:c>
      <x:c r="B501" s="29" t="str">
        <x:v>SCA-01</x:v>
      </x:c>
      <x:c r="C501" s="53"/>
      <x:c r="D501" s="29" t="str">
        <x:v>NO</x:v>
      </x:c>
      <x:c r="E501" s="53"/>
      <x:c r="F501" s="29" t="str">
        <x:v>NO</x:v>
      </x:c>
      <x:c r="G501" s="53" t="n">
        <x:v>21.786503788200488</x:v>
      </x:c>
      <x:c r="H501" s="29" t="str">
        <x:v>YES</x:v>
      </x:c>
      <x:c r="I501" s="53" t="n">
        <x:v>255.1866950832256</x:v>
      </x:c>
      <x:c r="J501" s="29" t="str">
        <x:v>NO</x:v>
      </x:c>
      <x:c r="K501" s="29" t="str">
        <x:v>Air</x:v>
      </x:c>
      <x:c r="L501" s="53" t="n">
        <x:v>21.786503788200488</x:v>
      </x:c>
      <x:c r="M501" s="41" t="n">
        <x:f>INDEX(Catchments!C:C,MATCH(A501,Catchments!A:A,0))</x:f>
        <x:v>12843509</x:v>
      </x:c>
      <x:c r="N501" s="41" t="n">
        <x:f>INDEX(Catchments!C:C,MATCH(B501,Catchments!A:A,0))</x:f>
        <x:v>1432820</x:v>
      </x:c>
    </x:row>
    <x:row r="502" ht="15" hidden="0" customHeight="1">
      <x:c r="A502" s="27" t="str">
        <x:v>SCA-17</x:v>
      </x:c>
      <x:c r="B502" s="27" t="str">
        <x:v>SCA-02</x:v>
      </x:c>
      <x:c r="C502" s="52"/>
      <x:c r="D502" s="27" t="str">
        <x:v>NO</x:v>
      </x:c>
      <x:c r="E502" s="52"/>
      <x:c r="F502" s="27" t="str">
        <x:v>NO</x:v>
      </x:c>
      <x:c r="G502" s="52" t="n">
        <x:v>19.881831234028187</x:v>
      </x:c>
      <x:c r="H502" s="27" t="str">
        <x:v>YES</x:v>
      </x:c>
      <x:c r="I502" s="52" t="n">
        <x:v>210.97108221851147</x:v>
      </x:c>
      <x:c r="J502" s="27" t="str">
        <x:v>NO</x:v>
      </x:c>
      <x:c r="K502" s="27" t="str">
        <x:v>Air</x:v>
      </x:c>
      <x:c r="L502" s="52" t="n">
        <x:v>19.881831234028187</x:v>
      </x:c>
      <x:c r="M502" s="40" t="n">
        <x:f>INDEX(Catchments!C:C,MATCH(A502,Catchments!A:A,0))</x:f>
        <x:v>12843509</x:v>
      </x:c>
      <x:c r="N502" s="40" t="n">
        <x:f>INDEX(Catchments!C:C,MATCH(B502,Catchments!A:A,0))</x:f>
        <x:v>737270</x:v>
      </x:c>
    </x:row>
    <x:row r="503" ht="15" hidden="0" customHeight="1">
      <x:c r="A503" s="29" t="str">
        <x:v>SCA-17</x:v>
      </x:c>
      <x:c r="B503" s="29" t="str">
        <x:v>SCA-03</x:v>
      </x:c>
      <x:c r="C503" s="53" t="n">
        <x:v>76.92638303898605</x:v>
      </x:c>
      <x:c r="D503" s="29" t="str">
        <x:v>NO</x:v>
      </x:c>
      <x:c r="E503" s="53" t="n">
        <x:v>69.44215810206046</x:v>
      </x:c>
      <x:c r="F503" s="29" t="str">
        <x:v>YES</x:v>
      </x:c>
      <x:c r="G503" s="53" t="n">
        <x:v>16.608975929762074</x:v>
      </x:c>
      <x:c r="H503" s="29" t="str">
        <x:v>YES</x:v>
      </x:c>
      <x:c r="I503" s="53" t="n">
        <x:v>134.99408408376246</x:v>
      </x:c>
      <x:c r="J503" s="29" t="str">
        <x:v>NO</x:v>
      </x:c>
      <x:c r="K503" s="29" t="str">
        <x:v>Air</x:v>
      </x:c>
      <x:c r="L503" s="53" t="n">
        <x:v>16.608975929762074</x:v>
      </x:c>
      <x:c r="M503" s="41" t="n">
        <x:f>INDEX(Catchments!C:C,MATCH(A503,Catchments!A:A,0))</x:f>
        <x:v>12843509</x:v>
      </x:c>
      <x:c r="N503" s="41" t="n">
        <x:f>INDEX(Catchments!C:C,MATCH(B503,Catchments!A:A,0))</x:f>
        <x:v>11968308</x:v>
      </x:c>
    </x:row>
    <x:row r="504" ht="15" hidden="0" customHeight="1">
      <x:c r="A504" s="27" t="str">
        <x:v>SCA-17</x:v>
      </x:c>
      <x:c r="B504" s="27" t="str">
        <x:v>SCA-04</x:v>
      </x:c>
      <x:c r="C504" s="52" t="n">
        <x:v>72.46143812453457</x:v>
      </x:c>
      <x:c r="D504" s="27" t="str">
        <x:v>NO</x:v>
      </x:c>
      <x:c r="E504" s="52" t="n">
        <x:v>65.93398709784859</x:v>
      </x:c>
      <x:c r="F504" s="27" t="str">
        <x:v>YES</x:v>
      </x:c>
      <x:c r="G504" s="52" t="n">
        <x:v>16.09019298901145</x:v>
      </x:c>
      <x:c r="H504" s="27" t="str">
        <x:v>YES</x:v>
      </x:c>
      <x:c r="I504" s="52" t="n">
        <x:v>122.9509086734801</x:v>
      </x:c>
      <x:c r="J504" s="27" t="str">
        <x:v>NO</x:v>
      </x:c>
      <x:c r="K504" s="27" t="str">
        <x:v>Air</x:v>
      </x:c>
      <x:c r="L504" s="52" t="n">
        <x:v>16.09019298901145</x:v>
      </x:c>
      <x:c r="M504" s="40" t="n">
        <x:f>INDEX(Catchments!C:C,MATCH(A504,Catchments!A:A,0))</x:f>
        <x:v>12843509</x:v>
      </x:c>
      <x:c r="N504" s="40" t="n">
        <x:f>INDEX(Catchments!C:C,MATCH(B504,Catchments!A:A,0))</x:f>
        <x:v>16200470</x:v>
      </x:c>
    </x:row>
    <x:row r="505" ht="15" hidden="0" customHeight="1">
      <x:c r="A505" s="29" t="str">
        <x:v>SCA-17</x:v>
      </x:c>
      <x:c r="B505" s="29" t="str">
        <x:v>SCA-05</x:v>
      </x:c>
      <x:c r="C505" s="53" t="n">
        <x:v>63.874828028448825</x:v>
      </x:c>
      <x:c r="D505" s="29" t="str">
        <x:v>YES</x:v>
      </x:c>
      <x:c r="E505" s="53" t="n">
        <x:v>59.187364879495505</x:v>
      </x:c>
      <x:c r="F505" s="29" t="str">
        <x:v>YES</x:v>
      </x:c>
      <x:c r="G505" s="53" t="n">
        <x:v>15.556529509458398</x:v>
      </x:c>
      <x:c r="H505" s="29" t="str">
        <x:v>YES</x:v>
      </x:c>
      <x:c r="I505" s="53" t="n">
        <x:v>110.56229218385569</x:v>
      </x:c>
      <x:c r="J505" s="29" t="str">
        <x:v>NO</x:v>
      </x:c>
      <x:c r="K505" s="29" t="str">
        <x:v>Air</x:v>
      </x:c>
      <x:c r="L505" s="53" t="n">
        <x:v>15.556529509458398</x:v>
      </x:c>
      <x:c r="M505" s="41" t="n">
        <x:f>INDEX(Catchments!C:C,MATCH(A505,Catchments!A:A,0))</x:f>
        <x:v>12843509</x:v>
      </x:c>
      <x:c r="N505" s="41" t="n">
        <x:f>INDEX(Catchments!C:C,MATCH(B505,Catchments!A:A,0))</x:f>
        <x:v>15966265</x:v>
      </x:c>
    </x:row>
    <x:row r="506" ht="15" hidden="0" customHeight="1">
      <x:c r="A506" s="27" t="str">
        <x:v>SCA-17</x:v>
      </x:c>
      <x:c r="B506" s="27" t="str">
        <x:v>SCA-06</x:v>
      </x:c>
      <x:c r="C506" s="52" t="n">
        <x:v>59.49742125971931</x:v>
      </x:c>
      <x:c r="D506" s="27" t="str">
        <x:v>YES</x:v>
      </x:c>
      <x:c r="E506" s="52" t="n">
        <x:v>55.747973846922314</x:v>
      </x:c>
      <x:c r="F506" s="27" t="str">
        <x:v>YES</x:v>
      </x:c>
      <x:c r="G506" s="52" t="n">
        <x:v>15.266746023102057</x:v>
      </x:c>
      <x:c r="H506" s="27" t="str">
        <x:v>YES</x:v>
      </x:c>
      <x:c r="I506" s="52" t="n">
        <x:v>103.83517553629774</x:v>
      </x:c>
      <x:c r="J506" s="27" t="str">
        <x:v>NO</x:v>
      </x:c>
      <x:c r="K506" s="27" t="str">
        <x:v>Air</x:v>
      </x:c>
      <x:c r="L506" s="52" t="n">
        <x:v>15.266746023102057</x:v>
      </x:c>
      <x:c r="M506" s="40" t="n">
        <x:f>INDEX(Catchments!C:C,MATCH(A506,Catchments!A:A,0))</x:f>
        <x:v>12843509</x:v>
      </x:c>
      <x:c r="N506" s="40" t="n">
        <x:f>INDEX(Catchments!C:C,MATCH(B506,Catchments!A:A,0))</x:f>
        <x:v>6008575</x:v>
      </x:c>
    </x:row>
    <x:row r="507" ht="15" hidden="0" customHeight="1">
      <x:c r="A507" s="29" t="str">
        <x:v>SCA-17</x:v>
      </x:c>
      <x:c r="B507" s="29" t="str">
        <x:v>SCA-07</x:v>
      </x:c>
      <x:c r="C507" s="53" t="n">
        <x:v>59.72318018539556</x:v>
      </x:c>
      <x:c r="D507" s="29" t="str">
        <x:v>YES</x:v>
      </x:c>
      <x:c r="E507" s="53" t="n">
        <x:v>55.92535585995366</x:v>
      </x:c>
      <x:c r="F507" s="29" t="str">
        <x:v>YES</x:v>
      </x:c>
      <x:c r="G507" s="53" t="n">
        <x:v>15.181026000542172</x:v>
      </x:c>
      <x:c r="H507" s="29" t="str">
        <x:v>YES</x:v>
      </x:c>
      <x:c r="I507" s="53" t="n">
        <x:v>101.84524644115756</x:v>
      </x:c>
      <x:c r="J507" s="29" t="str">
        <x:v>NO</x:v>
      </x:c>
      <x:c r="K507" s="29" t="str">
        <x:v>Air</x:v>
      </x:c>
      <x:c r="L507" s="53" t="n">
        <x:v>15.181026000542172</x:v>
      </x:c>
      <x:c r="M507" s="41" t="n">
        <x:f>INDEX(Catchments!C:C,MATCH(A507,Catchments!A:A,0))</x:f>
        <x:v>12843509</x:v>
      </x:c>
      <x:c r="N507" s="41" t="n">
        <x:f>INDEX(Catchments!C:C,MATCH(B507,Catchments!A:A,0))</x:f>
        <x:v>5229370</x:v>
      </x:c>
    </x:row>
    <x:row r="508" ht="15" hidden="0" customHeight="1">
      <x:c r="A508" s="27" t="str">
        <x:v>SCA-17</x:v>
      </x:c>
      <x:c r="B508" s="27" t="str">
        <x:v>SCA-08</x:v>
      </x:c>
      <x:c r="C508" s="52" t="n">
        <x:v>65.20538531039495</x:v>
      </x:c>
      <x:c r="D508" s="27" t="str">
        <x:v>YES</x:v>
      </x:c>
      <x:c r="E508" s="52" t="n">
        <x:v>60.23280274388175</x:v>
      </x:c>
      <x:c r="F508" s="27" t="str">
        <x:v>YES</x:v>
      </x:c>
      <x:c r="G508" s="52" t="n">
        <x:v>15.758808905967381</x:v>
      </x:c>
      <x:c r="H508" s="27" t="str">
        <x:v>YES</x:v>
      </x:c>
      <x:c r="I508" s="52" t="n">
        <x:v>115.25806388852847</x:v>
      </x:c>
      <x:c r="J508" s="27" t="str">
        <x:v>NO</x:v>
      </x:c>
      <x:c r="K508" s="27" t="str">
        <x:v>Air</x:v>
      </x:c>
      <x:c r="L508" s="52" t="n">
        <x:v>15.758808905967381</x:v>
      </x:c>
      <x:c r="M508" s="40" t="n">
        <x:f>INDEX(Catchments!C:C,MATCH(A508,Catchments!A:A,0))</x:f>
        <x:v>12843509</x:v>
      </x:c>
      <x:c r="N508" s="40" t="n">
        <x:f>INDEX(Catchments!C:C,MATCH(B508,Catchments!A:A,0))</x:f>
        <x:v>2652387</x:v>
      </x:c>
    </x:row>
    <x:row r="509" ht="15" hidden="0" customHeight="1">
      <x:c r="A509" s="29" t="str">
        <x:v>SCA-17</x:v>
      </x:c>
      <x:c r="B509" s="29" t="str">
        <x:v>SCA-09</x:v>
      </x:c>
      <x:c r="C509" s="53" t="n">
        <x:v>51.320703954958745</x:v>
      </x:c>
      <x:c r="D509" s="29" t="str">
        <x:v>YES</x:v>
      </x:c>
      <x:c r="E509" s="53" t="n">
        <x:v>49.32341025032473</x:v>
      </x:c>
      <x:c r="F509" s="29" t="str">
        <x:v>YES</x:v>
      </x:c>
      <x:c r="G509" s="53" t="n">
        <x:v>14.666526608537021</x:v>
      </x:c>
      <x:c r="H509" s="29" t="str">
        <x:v>YES</x:v>
      </x:c>
      <x:c r="I509" s="53"/>
      <x:c r="J509" s="29" t="str">
        <x:v>NO</x:v>
      </x:c>
      <x:c r="K509" s="29" t="str">
        <x:v>Air</x:v>
      </x:c>
      <x:c r="L509" s="53" t="n">
        <x:v>14.666526608537021</x:v>
      </x:c>
      <x:c r="M509" s="41" t="n">
        <x:f>INDEX(Catchments!C:C,MATCH(A509,Catchments!A:A,0))</x:f>
        <x:v>12843509</x:v>
      </x:c>
      <x:c r="N509" s="41" t="n">
        <x:f>INDEX(Catchments!C:C,MATCH(B509,Catchments!A:A,0))</x:f>
        <x:v>7395716</x:v>
      </x:c>
    </x:row>
    <x:row r="510" ht="15" hidden="0" customHeight="1">
      <x:c r="A510" s="27" t="str">
        <x:v>SCA-17</x:v>
      </x:c>
      <x:c r="B510" s="27" t="str">
        <x:v>SCA-10</x:v>
      </x:c>
      <x:c r="C510" s="52" t="n">
        <x:v>56.19490472101432</x:v>
      </x:c>
      <x:c r="D510" s="27" t="str">
        <x:v>YES</x:v>
      </x:c>
      <x:c r="E510" s="52" t="n">
        <x:v>53.15313942365411</x:v>
      </x:c>
      <x:c r="F510" s="27" t="str">
        <x:v>YES</x:v>
      </x:c>
      <x:c r="G510" s="52" t="n">
        <x:v>15.052611044857011</x:v>
      </x:c>
      <x:c r="H510" s="27" t="str">
        <x:v>YES</x:v>
      </x:c>
      <x:c r="I510" s="52"/>
      <x:c r="J510" s="27" t="str">
        <x:v>NO</x:v>
      </x:c>
      <x:c r="K510" s="27" t="str">
        <x:v>Air</x:v>
      </x:c>
      <x:c r="L510" s="52" t="n">
        <x:v>15.052611044857011</x:v>
      </x:c>
      <x:c r="M510" s="40" t="n">
        <x:f>INDEX(Catchments!C:C,MATCH(A510,Catchments!A:A,0))</x:f>
        <x:v>12843509</x:v>
      </x:c>
      <x:c r="N510" s="40" t="n">
        <x:f>INDEX(Catchments!C:C,MATCH(B510,Catchments!A:A,0))</x:f>
        <x:v>4127033</x:v>
      </x:c>
    </x:row>
    <x:row r="511" ht="15" hidden="0" customHeight="1">
      <x:c r="A511" s="29" t="str">
        <x:v>SCA-17</x:v>
      </x:c>
      <x:c r="B511" s="29" t="str">
        <x:v>SCA-11</x:v>
      </x:c>
      <x:c r="C511" s="53" t="n">
        <x:v>37.65247938278401</x:v>
      </x:c>
      <x:c r="D511" s="29" t="str">
        <x:v>YES</x:v>
      </x:c>
      <x:c r="E511" s="53" t="n">
        <x:v>38.584090943616005</x:v>
      </x:c>
      <x:c r="F511" s="29" t="str">
        <x:v>YES</x:v>
      </x:c>
      <x:c r="G511" s="53" t="n">
        <x:v>13.679315160779572</x:v>
      </x:c>
      <x:c r="H511" s="29" t="str">
        <x:v>YES</x:v>
      </x:c>
      <x:c r="I511" s="53" t="n">
        <x:v>66.98410194666864</x:v>
      </x:c>
      <x:c r="J511" s="29" t="str">
        <x:v>YES</x:v>
      </x:c>
      <x:c r="K511" s="29" t="str">
        <x:v>Air</x:v>
      </x:c>
      <x:c r="L511" s="53" t="n">
        <x:v>13.679315160779572</x:v>
      </x:c>
      <x:c r="M511" s="41" t="n">
        <x:f>INDEX(Catchments!C:C,MATCH(A511,Catchments!A:A,0))</x:f>
        <x:v>12843509</x:v>
      </x:c>
      <x:c r="N511" s="41" t="n">
        <x:f>INDEX(Catchments!C:C,MATCH(B511,Catchments!A:A,0))</x:f>
        <x:v>3517787</x:v>
      </x:c>
    </x:row>
    <x:row r="512" ht="15" hidden="0" customHeight="1">
      <x:c r="A512" s="27" t="str">
        <x:v>SCA-17</x:v>
      </x:c>
      <x:c r="B512" s="27" t="str">
        <x:v>SCA-12</x:v>
      </x:c>
      <x:c r="C512" s="52" t="n">
        <x:v>43.89930540744264</x:v>
      </x:c>
      <x:c r="D512" s="27" t="str">
        <x:v>YES</x:v>
      </x:c>
      <x:c r="E512" s="52" t="n">
        <x:v>43.492311391562076</x:v>
      </x:c>
      <x:c r="F512" s="27" t="str">
        <x:v>YES</x:v>
      </x:c>
      <x:c r="G512" s="52" t="n">
        <x:v>14.19575741896091</x:v>
      </x:c>
      <x:c r="H512" s="27" t="str">
        <x:v>YES</x:v>
      </x:c>
      <x:c r="I512" s="52"/>
      <x:c r="J512" s="27" t="str">
        <x:v>NO</x:v>
      </x:c>
      <x:c r="K512" s="27" t="str">
        <x:v>Air</x:v>
      </x:c>
      <x:c r="L512" s="52" t="n">
        <x:v>14.19575741896091</x:v>
      </x:c>
      <x:c r="M512" s="40" t="n">
        <x:f>INDEX(Catchments!C:C,MATCH(A512,Catchments!A:A,0))</x:f>
        <x:v>12843509</x:v>
      </x:c>
      <x:c r="N512" s="40" t="n">
        <x:f>INDEX(Catchments!C:C,MATCH(B512,Catchments!A:A,0))</x:f>
        <x:v>7465186</x:v>
      </x:c>
    </x:row>
    <x:row r="513" ht="15" hidden="0" customHeight="1">
      <x:c r="A513" s="29" t="str">
        <x:v>SCA-17</x:v>
      </x:c>
      <x:c r="B513" s="29" t="str">
        <x:v>SCA-13</x:v>
      </x:c>
      <x:c r="C513" s="53" t="n">
        <x:v>21.860648017190393</x:v>
      </x:c>
      <x:c r="D513" s="29" t="str">
        <x:v>YES</x:v>
      </x:c>
      <x:c r="E513" s="53" t="n">
        <x:v>26.176223442078168</x:v>
      </x:c>
      <x:c r="F513" s="29" t="str">
        <x:v>YES</x:v>
      </x:c>
      <x:c r="G513" s="53" t="n">
        <x:v>12.578375439391936</x:v>
      </x:c>
      <x:c r="H513" s="29" t="str">
        <x:v>YES</x:v>
      </x:c>
      <x:c r="I513" s="53" t="n">
        <x:v>41.42657270016993</x:v>
      </x:c>
      <x:c r="J513" s="29" t="str">
        <x:v>YES</x:v>
      </x:c>
      <x:c r="K513" s="29" t="str">
        <x:v>Air</x:v>
      </x:c>
      <x:c r="L513" s="53" t="n">
        <x:v>12.578375439391936</x:v>
      </x:c>
      <x:c r="M513" s="41" t="n">
        <x:f>INDEX(Catchments!C:C,MATCH(A513,Catchments!A:A,0))</x:f>
        <x:v>12843509</x:v>
      </x:c>
      <x:c r="N513" s="41" t="n">
        <x:f>INDEX(Catchments!C:C,MATCH(B513,Catchments!A:A,0))</x:f>
        <x:v>6759014</x:v>
      </x:c>
    </x:row>
    <x:row r="514" ht="15" hidden="0" customHeight="1">
      <x:c r="A514" s="27" t="str">
        <x:v>SCA-17</x:v>
      </x:c>
      <x:c r="B514" s="27" t="str">
        <x:v>SCA-14</x:v>
      </x:c>
      <x:c r="C514" s="52" t="n">
        <x:v>29.19819008495606</x:v>
      </x:c>
      <x:c r="D514" s="27" t="str">
        <x:v>YES</x:v>
      </x:c>
      <x:c r="E514" s="52" t="n">
        <x:v>31.94143506675119</x:v>
      </x:c>
      <x:c r="F514" s="27" t="str">
        <x:v>YES</x:v>
      </x:c>
      <x:c r="G514" s="52" t="n">
        <x:v>12.79572332894239</x:v>
      </x:c>
      <x:c r="H514" s="27" t="str">
        <x:v>YES</x:v>
      </x:c>
      <x:c r="I514" s="52" t="n">
        <x:v>46.47214870759122</x:v>
      </x:c>
      <x:c r="J514" s="27" t="str">
        <x:v>YES</x:v>
      </x:c>
      <x:c r="K514" s="27" t="str">
        <x:v>Air</x:v>
      </x:c>
      <x:c r="L514" s="52" t="n">
        <x:v>12.79572332894239</x:v>
      </x:c>
      <x:c r="M514" s="40" t="n">
        <x:f>INDEX(Catchments!C:C,MATCH(A514,Catchments!A:A,0))</x:f>
        <x:v>12843509</x:v>
      </x:c>
      <x:c r="N514" s="40" t="n">
        <x:f>INDEX(Catchments!C:C,MATCH(B514,Catchments!A:A,0))</x:f>
        <x:v>2179728</x:v>
      </x:c>
    </x:row>
    <x:row r="515" ht="15" hidden="0" customHeight="1">
      <x:c r="A515" s="29" t="str">
        <x:v>SCA-17</x:v>
      </x:c>
      <x:c r="B515" s="29" t="str">
        <x:v>SCA-15</x:v>
      </x:c>
      <x:c r="C515" s="53" t="n">
        <x:v>22.52386168769038</x:v>
      </x:c>
      <x:c r="D515" s="29" t="str">
        <x:v>YES</x:v>
      </x:c>
      <x:c r="E515" s="53" t="n">
        <x:v>26.697319897471015</x:v>
      </x:c>
      <x:c r="F515" s="29" t="str">
        <x:v>YES</x:v>
      </x:c>
      <x:c r="G515" s="53" t="n">
        <x:v>12.627173769662837</x:v>
      </x:c>
      <x:c r="H515" s="29" t="str">
        <x:v>YES</x:v>
      </x:c>
      <x:c r="I515" s="53" t="n">
        <x:v>42.55939108145873</x:v>
      </x:c>
      <x:c r="J515" s="29" t="str">
        <x:v>YES</x:v>
      </x:c>
      <x:c r="K515" s="29" t="str">
        <x:v>Air</x:v>
      </x:c>
      <x:c r="L515" s="53" t="n">
        <x:v>12.627173769662837</x:v>
      </x:c>
      <x:c r="M515" s="41" t="n">
        <x:f>INDEX(Catchments!C:C,MATCH(A515,Catchments!A:A,0))</x:f>
        <x:v>12843509</x:v>
      </x:c>
      <x:c r="N515" s="41" t="n">
        <x:f>INDEX(Catchments!C:C,MATCH(B515,Catchments!A:A,0))</x:f>
        <x:v>13192386</x:v>
      </x:c>
    </x:row>
    <x:row r="516" ht="15" hidden="0" customHeight="1">
      <x:c r="A516" s="27" t="str">
        <x:v>SCA-17</x:v>
      </x:c>
      <x:c r="B516" s="27" t="str">
        <x:v>SCA-16</x:v>
      </x:c>
      <x:c r="C516" s="52" t="n">
        <x:v>34.34252872312503</x:v>
      </x:c>
      <x:c r="D516" s="27" t="str">
        <x:v>YES</x:v>
      </x:c>
      <x:c r="E516" s="52" t="n">
        <x:v>35.98341542531252</x:v>
      </x:c>
      <x:c r="F516" s="27" t="str">
        <x:v>YES</x:v>
      </x:c>
      <x:c r="G516" s="52" t="n">
        <x:v>13.404503992663443</x:v>
      </x:c>
      <x:c r="H516" s="27" t="str">
        <x:v>YES</x:v>
      </x:c>
      <x:c r="I516" s="52"/>
      <x:c r="J516" s="27" t="str">
        <x:v>NO</x:v>
      </x:c>
      <x:c r="K516" s="27" t="str">
        <x:v>Air</x:v>
      </x:c>
      <x:c r="L516" s="52" t="n">
        <x:v>13.404503992663443</x:v>
      </x:c>
      <x:c r="M516" s="40" t="n">
        <x:f>INDEX(Catchments!C:C,MATCH(A516,Catchments!A:A,0))</x:f>
        <x:v>12843509</x:v>
      </x:c>
      <x:c r="N516" s="40" t="n">
        <x:f>INDEX(Catchments!C:C,MATCH(B516,Catchments!A:A,0))</x:f>
        <x:v>10177969</x:v>
      </x:c>
    </x:row>
    <x:row r="517" ht="15" hidden="0" customHeight="1">
      <x:c r="A517" s="29" t="str">
        <x:v>SCA-17</x:v>
      </x:c>
      <x:c r="B517" s="29" t="str">
        <x:v>SCA-18</x:v>
      </x:c>
      <x:c r="C517" s="53" t="n">
        <x:v>50.19156990545526</x:v>
      </x:c>
      <x:c r="D517" s="29" t="str">
        <x:v>YES</x:v>
      </x:c>
      <x:c r="E517" s="53" t="n">
        <x:v>48.43623349714342</x:v>
      </x:c>
      <x:c r="F517" s="29" t="str">
        <x:v>YES</x:v>
      </x:c>
      <x:c r="G517" s="53" t="n">
        <x:v>14.514724327317627</x:v>
      </x:c>
      <x:c r="H517" s="29" t="str">
        <x:v>YES</x:v>
      </x:c>
      <x:c r="I517" s="53" t="n">
        <x:v>86.37752902701634</x:v>
      </x:c>
      <x:c r="J517" s="29" t="str">
        <x:v>NO</x:v>
      </x:c>
      <x:c r="K517" s="29" t="str">
        <x:v>Air</x:v>
      </x:c>
      <x:c r="L517" s="53" t="n">
        <x:v>14.514724327317627</x:v>
      </x:c>
      <x:c r="M517" s="41" t="n">
        <x:f>INDEX(Catchments!C:C,MATCH(A517,Catchments!A:A,0))</x:f>
        <x:v>12843509</x:v>
      </x:c>
      <x:c r="N517" s="41" t="n">
        <x:f>INDEX(Catchments!C:C,MATCH(B517,Catchments!A:A,0))</x:f>
        <x:v>11004680</x:v>
      </x:c>
    </x:row>
    <x:row r="518" ht="15" hidden="0" customHeight="1">
      <x:c r="A518" s="27" t="str">
        <x:v>SCA-17</x:v>
      </x:c>
      <x:c r="B518" s="27" t="str">
        <x:v>SCA-19</x:v>
      </x:c>
      <x:c r="C518" s="52" t="n">
        <x:v>37.487929170535025</x:v>
      </x:c>
      <x:c r="D518" s="27" t="str">
        <x:v>YES</x:v>
      </x:c>
      <x:c r="E518" s="52" t="n">
        <x:v>38.45480149113466</x:v>
      </x:c>
      <x:c r="F518" s="27" t="str">
        <x:v>YES</x:v>
      </x:c>
      <x:c r="G518" s="52" t="n">
        <x:v>13.558838328517822</x:v>
      </x:c>
      <x:c r="H518" s="27" t="str">
        <x:v>YES</x:v>
      </x:c>
      <x:c r="I518" s="52" t="n">
        <x:v>64.18731834059228</x:v>
      </x:c>
      <x:c r="J518" s="27" t="str">
        <x:v>YES</x:v>
      </x:c>
      <x:c r="K518" s="27" t="str">
        <x:v>Air</x:v>
      </x:c>
      <x:c r="L518" s="52" t="n">
        <x:v>13.558838328517822</x:v>
      </x:c>
      <x:c r="M518" s="40" t="n">
        <x:f>INDEX(Catchments!C:C,MATCH(A518,Catchments!A:A,0))</x:f>
        <x:v>12843509</x:v>
      </x:c>
      <x:c r="N518" s="40" t="n">
        <x:f>INDEX(Catchments!C:C,MATCH(B518,Catchments!A:A,0))</x:f>
        <x:v>6677653</x:v>
      </x:c>
    </x:row>
    <x:row r="519" ht="15" hidden="0" customHeight="1">
      <x:c r="A519" s="29" t="str">
        <x:v>SCA-17</x:v>
      </x:c>
      <x:c r="B519" s="29" t="str">
        <x:v>SCA-20</x:v>
      </x:c>
      <x:c r="C519" s="53" t="n">
        <x:v>26.55072771933879</x:v>
      </x:c>
      <x:c r="D519" s="29" t="str">
        <x:v>YES</x:v>
      </x:c>
      <x:c r="E519" s="53" t="n">
        <x:v>29.861286065194765</x:v>
      </x:c>
      <x:c r="F519" s="29" t="str">
        <x:v>YES</x:v>
      </x:c>
      <x:c r="G519" s="53" t="n">
        <x:v>12.923464915804193</x:v>
      </x:c>
      <x:c r="H519" s="29" t="str">
        <x:v>YES</x:v>
      </x:c>
      <x:c r="I519" s="53" t="n">
        <x:v>49.43757840259731</x:v>
      </x:c>
      <x:c r="J519" s="29" t="str">
        <x:v>YES</x:v>
      </x:c>
      <x:c r="K519" s="29" t="str">
        <x:v>Air</x:v>
      </x:c>
      <x:c r="L519" s="53" t="n">
        <x:v>12.923464915804193</x:v>
      </x:c>
      <x:c r="M519" s="41" t="n">
        <x:f>INDEX(Catchments!C:C,MATCH(A519,Catchments!A:A,0))</x:f>
        <x:v>12843509</x:v>
      </x:c>
      <x:c r="N519" s="41" t="n">
        <x:f>INDEX(Catchments!C:C,MATCH(B519,Catchments!A:A,0))</x:f>
        <x:v>8490774</x:v>
      </x:c>
    </x:row>
    <x:row r="520" ht="15" hidden="0" customHeight="1">
      <x:c r="A520" s="27" t="str">
        <x:v>SCA-17</x:v>
      </x:c>
      <x:c r="B520" s="27" t="str">
        <x:v>SCA-21</x:v>
      </x:c>
      <x:c r="C520" s="52" t="n">
        <x:v>47.042972100991456</x:v>
      </x:c>
      <x:c r="D520" s="27" t="str">
        <x:v>YES</x:v>
      </x:c>
      <x:c r="E520" s="52" t="n">
        <x:v>45.96233522220757</x:v>
      </x:c>
      <x:c r="F520" s="27" t="str">
        <x:v>YES</x:v>
      </x:c>
      <x:c r="G520" s="52" t="n">
        <x:v>14.24833074949092</x:v>
      </x:c>
      <x:c r="H520" s="27" t="str">
        <x:v>YES</x:v>
      </x:c>
      <x:c r="I520" s="52" t="n">
        <x:v>80.19339239889635</x:v>
      </x:c>
      <x:c r="J520" s="27" t="str">
        <x:v>NO</x:v>
      </x:c>
      <x:c r="K520" s="27" t="str">
        <x:v>Air</x:v>
      </x:c>
      <x:c r="L520" s="52" t="n">
        <x:v>14.24833074949092</x:v>
      </x:c>
      <x:c r="M520" s="40" t="n">
        <x:f>INDEX(Catchments!C:C,MATCH(A520,Catchments!A:A,0))</x:f>
        <x:v>12843509</x:v>
      </x:c>
      <x:c r="N520" s="40" t="n">
        <x:f>INDEX(Catchments!C:C,MATCH(B520,Catchments!A:A,0))</x:f>
        <x:v>19593580</x:v>
      </x:c>
    </x:row>
    <x:row r="521" ht="15" hidden="0" customHeight="1">
      <x:c r="A521" s="29" t="str">
        <x:v>SCA-17</x:v>
      </x:c>
      <x:c r="B521" s="29" t="str">
        <x:v>SCA-22</x:v>
      </x:c>
      <x:c r="C521" s="53" t="n">
        <x:v>39.814180101906715</x:v>
      </x:c>
      <x:c r="D521" s="29" t="str">
        <x:v>YES</x:v>
      </x:c>
      <x:c r="E521" s="53" t="n">
        <x:v>40.28257008006956</x:v>
      </x:c>
      <x:c r="F521" s="29" t="str">
        <x:v>YES</x:v>
      </x:c>
      <x:c r="G521" s="53" t="n">
        <x:v>13.898799795985507</x:v>
      </x:c>
      <x:c r="H521" s="29" t="str">
        <x:v>YES</x:v>
      </x:c>
      <x:c r="I521" s="53" t="n">
        <x:v>72.07928097823498</x:v>
      </x:c>
      <x:c r="J521" s="29" t="str">
        <x:v>NO</x:v>
      </x:c>
      <x:c r="K521" s="29" t="str">
        <x:v>Air</x:v>
      </x:c>
      <x:c r="L521" s="53" t="n">
        <x:v>13.898799795985507</x:v>
      </x:c>
      <x:c r="M521" s="41" t="n">
        <x:f>INDEX(Catchments!C:C,MATCH(A521,Catchments!A:A,0))</x:f>
        <x:v>12843509</x:v>
      </x:c>
      <x:c r="N521" s="41" t="n">
        <x:f>INDEX(Catchments!C:C,MATCH(B521,Catchments!A:A,0))</x:f>
        <x:v>14732006</x:v>
      </x:c>
    </x:row>
    <x:row r="522" ht="15" hidden="0" customHeight="1">
      <x:c r="A522" s="27" t="str">
        <x:v>SCA-17</x:v>
      </x:c>
      <x:c r="B522" s="27" t="str">
        <x:v>SCA-23</x:v>
      </x:c>
      <x:c r="C522" s="52" t="n">
        <x:v>37.08707306205143</x:v>
      </x:c>
      <x:c r="D522" s="27" t="str">
        <x:v>YES</x:v>
      </x:c>
      <x:c r="E522" s="52" t="n">
        <x:v>38.13984312018327</x:v>
      </x:c>
      <x:c r="F522" s="27" t="str">
        <x:v>YES</x:v>
      </x:c>
      <x:c r="G522" s="52" t="n">
        <x:v>13.54544699284797</x:v>
      </x:c>
      <x:c r="H522" s="27" t="str">
        <x:v>YES</x:v>
      </x:c>
      <x:c r="I522" s="52" t="n">
        <x:v>63.87644804825643</x:v>
      </x:c>
      <x:c r="J522" s="27" t="str">
        <x:v>YES</x:v>
      </x:c>
      <x:c r="K522" s="27" t="str">
        <x:v>Air</x:v>
      </x:c>
      <x:c r="L522" s="52" t="n">
        <x:v>13.54544699284797</x:v>
      </x:c>
      <x:c r="M522" s="40" t="n">
        <x:f>INDEX(Catchments!C:C,MATCH(A522,Catchments!A:A,0))</x:f>
        <x:v>12843509</x:v>
      </x:c>
      <x:c r="N522" s="40" t="n">
        <x:f>INDEX(Catchments!C:C,MATCH(B522,Catchments!A:A,0))</x:f>
        <x:v>20869310</x:v>
      </x:c>
    </x:row>
    <x:row r="523" ht="15" hidden="0" customHeight="1">
      <x:c r="A523" s="29" t="str">
        <x:v>SCA-17</x:v>
      </x:c>
      <x:c r="B523" s="29" t="str">
        <x:v>SCA-24</x:v>
      </x:c>
      <x:c r="C523" s="53" t="n">
        <x:v>49.556225153067516</x:v>
      </x:c>
      <x:c r="D523" s="29" t="str">
        <x:v>YES</x:v>
      </x:c>
      <x:c r="E523" s="53" t="n">
        <x:v>47.93703404883876</x:v>
      </x:c>
      <x:c r="F523" s="29" t="str">
        <x:v>YES</x:v>
      </x:c>
      <x:c r="G523" s="53" t="n">
        <x:v>14.55417626836546</x:v>
      </x:c>
      <x:c r="H523" s="29" t="str">
        <x:v>YES</x:v>
      </x:c>
      <x:c r="I523" s="53" t="n">
        <x:v>87.29337765848388</x:v>
      </x:c>
      <x:c r="J523" s="29" t="str">
        <x:v>NO</x:v>
      </x:c>
      <x:c r="K523" s="29" t="str">
        <x:v>Air</x:v>
      </x:c>
      <x:c r="L523" s="53" t="n">
        <x:v>14.55417626836546</x:v>
      </x:c>
      <x:c r="M523" s="41" t="n">
        <x:f>INDEX(Catchments!C:C,MATCH(A523,Catchments!A:A,0))</x:f>
        <x:v>12843509</x:v>
      </x:c>
      <x:c r="N523" s="41" t="n">
        <x:f>INDEX(Catchments!C:C,MATCH(B523,Catchments!A:A,0))</x:f>
        <x:v>11816161</x:v>
      </x:c>
    </x:row>
    <x:row r="524" ht="15" hidden="0" customHeight="1">
      <x:c r="A524" s="27" t="str">
        <x:v>SCA-17</x:v>
      </x:c>
      <x:c r="B524" s="27" t="str">
        <x:v>SCA-25</x:v>
      </x:c>
      <x:c r="C524" s="52" t="n">
        <x:v>46.07951269695033</x:v>
      </x:c>
      <x:c r="D524" s="27" t="str">
        <x:v>YES</x:v>
      </x:c>
      <x:c r="E524" s="52" t="n">
        <x:v>45.20533140474669</x:v>
      </x:c>
      <x:c r="F524" s="27" t="str">
        <x:v>YES</x:v>
      </x:c>
      <x:c r="G524" s="52" t="n">
        <x:v>13.796798886920138</x:v>
      </x:c>
      <x:c r="H524" s="27" t="str">
        <x:v>YES</x:v>
      </x:c>
      <x:c r="I524" s="52" t="n">
        <x:v>69.71140273207465</x:v>
      </x:c>
      <x:c r="J524" s="27" t="str">
        <x:v>YES</x:v>
      </x:c>
      <x:c r="K524" s="27" t="str">
        <x:v>Air</x:v>
      </x:c>
      <x:c r="L524" s="52" t="n">
        <x:v>13.796798886920138</x:v>
      </x:c>
      <x:c r="M524" s="40" t="n">
        <x:f>INDEX(Catchments!C:C,MATCH(A524,Catchments!A:A,0))</x:f>
        <x:v>12843509</x:v>
      </x:c>
      <x:c r="N524" s="40" t="n">
        <x:f>INDEX(Catchments!C:C,MATCH(B524,Catchments!A:A,0))</x:f>
        <x:v>6408394</x:v>
      </x:c>
    </x:row>
    <x:row r="525" ht="15" hidden="0" customHeight="1">
      <x:c r="A525" s="29" t="str">
        <x:v>SCA-17</x:v>
      </x:c>
      <x:c r="B525" s="29" t="str">
        <x:v>SCA-26</x:v>
      </x:c>
      <x:c r="C525" s="53" t="n">
        <x:v>52.052230074492556</x:v>
      </x:c>
      <x:c r="D525" s="29" t="str">
        <x:v>YES</x:v>
      </x:c>
      <x:c r="E525" s="53" t="n">
        <x:v>49.89818077281558</x:v>
      </x:c>
      <x:c r="F525" s="29" t="str">
        <x:v>YES</x:v>
      </x:c>
      <x:c r="G525" s="53" t="n">
        <x:v>13.88339860709564</x:v>
      </x:c>
      <x:c r="H525" s="29" t="str">
        <x:v>YES</x:v>
      </x:c>
      <x:c r="I525" s="53" t="n">
        <x:v>71.72175337900589</x:v>
      </x:c>
      <x:c r="J525" s="29" t="str">
        <x:v>YES</x:v>
      </x:c>
      <x:c r="K525" s="29" t="str">
        <x:v>Air</x:v>
      </x:c>
      <x:c r="L525" s="53" t="n">
        <x:v>13.88339860709564</x:v>
      </x:c>
      <x:c r="M525" s="41" t="n">
        <x:f>INDEX(Catchments!C:C,MATCH(A525,Catchments!A:A,0))</x:f>
        <x:v>12843509</x:v>
      </x:c>
      <x:c r="N525" s="41" t="n">
        <x:f>INDEX(Catchments!C:C,MATCH(B525,Catchments!A:A,0))</x:f>
        <x:v>10737083</x:v>
      </x:c>
    </x:row>
    <x:row r="526" ht="15" hidden="0" customHeight="1">
      <x:c r="A526" s="27" t="str">
        <x:v>SCA-17</x:v>
      </x:c>
      <x:c r="B526" s="27" t="str">
        <x:v>SCA-27</x:v>
      </x:c>
      <x:c r="C526" s="52" t="n">
        <x:v>57.13638033121162</x:v>
      </x:c>
      <x:c r="D526" s="27" t="str">
        <x:v>YES</x:v>
      </x:c>
      <x:c r="E526" s="52" t="n">
        <x:v>53.8928702602377</x:v>
      </x:c>
      <x:c r="F526" s="27" t="str">
        <x:v>YES</x:v>
      </x:c>
      <x:c r="G526" s="52" t="n">
        <x:v>14.172713814771695</x:v>
      </x:c>
      <x:c r="H526" s="27" t="str">
        <x:v>YES</x:v>
      </x:c>
      <x:c r="I526" s="52" t="n">
        <x:v>78.43799927148578</x:v>
      </x:c>
      <x:c r="J526" s="27" t="str">
        <x:v>NO</x:v>
      </x:c>
      <x:c r="K526" s="27" t="str">
        <x:v>Air</x:v>
      </x:c>
      <x:c r="L526" s="52" t="n">
        <x:v>14.172713814771695</x:v>
      </x:c>
      <x:c r="M526" s="40" t="n">
        <x:f>INDEX(Catchments!C:C,MATCH(A526,Catchments!A:A,0))</x:f>
        <x:v>12843509</x:v>
      </x:c>
      <x:c r="N526" s="40" t="n">
        <x:f>INDEX(Catchments!C:C,MATCH(B526,Catchments!A:A,0))</x:f>
        <x:v>7505606</x:v>
      </x:c>
    </x:row>
    <x:row r="527" ht="15" hidden="0" customHeight="1">
      <x:c r="A527" s="29" t="str">
        <x:v>SCA-17</x:v>
      </x:c>
      <x:c r="B527" s="29" t="str">
        <x:v>SCA-28</x:v>
      </x:c>
      <x:c r="C527" s="53" t="n">
        <x:v>51.53517965216741</x:v>
      </x:c>
      <x:c r="D527" s="29" t="str">
        <x:v>YES</x:v>
      </x:c>
      <x:c r="E527" s="53" t="n">
        <x:v>49.4919268695601</x:v>
      </x:c>
      <x:c r="F527" s="29" t="str">
        <x:v>YES</x:v>
      </x:c>
      <x:c r="G527" s="53" t="n">
        <x:v>14.722227061581203</x:v>
      </x:c>
      <x:c r="H527" s="29" t="str">
        <x:v>YES</x:v>
      </x:c>
      <x:c r="I527" s="53" t="n">
        <x:v>91.19455678670649</x:v>
      </x:c>
      <x:c r="J527" s="29" t="str">
        <x:v>NO</x:v>
      </x:c>
      <x:c r="K527" s="29" t="str">
        <x:v>Air</x:v>
      </x:c>
      <x:c r="L527" s="53" t="n">
        <x:v>14.722227061581203</x:v>
      </x:c>
      <x:c r="M527" s="41" t="n">
        <x:f>INDEX(Catchments!C:C,MATCH(A527,Catchments!A:A,0))</x:f>
        <x:v>12843509</x:v>
      </x:c>
      <x:c r="N527" s="41" t="n">
        <x:f>INDEX(Catchments!C:C,MATCH(B527,Catchments!A:A,0))</x:f>
        <x:v>21305157</x:v>
      </x:c>
    </x:row>
    <x:row r="528" ht="15" hidden="0" customHeight="1">
      <x:c r="A528" s="27" t="str">
        <x:v>SCA-17</x:v>
      </x:c>
      <x:c r="B528" s="27" t="str">
        <x:v>SCA-29</x:v>
      </x:c>
      <x:c r="C528" s="52" t="n">
        <x:v>48.64079940792505</x:v>
      </x:c>
      <x:c r="D528" s="27" t="str">
        <x:v>YES</x:v>
      </x:c>
      <x:c r="E528" s="52" t="n">
        <x:v>47.21777096336969</x:v>
      </x:c>
      <x:c r="F528" s="27" t="str">
        <x:v>YES</x:v>
      </x:c>
      <x:c r="G528" s="52" t="n">
        <x:v>14.394208815049849</x:v>
      </x:c>
      <x:c r="H528" s="27" t="str">
        <x:v>YES</x:v>
      </x:c>
      <x:c r="I528" s="52" t="n">
        <x:v>83.57984749222862</x:v>
      </x:c>
      <x:c r="J528" s="27" t="str">
        <x:v>NO</x:v>
      </x:c>
      <x:c r="K528" s="27" t="str">
        <x:v>Air</x:v>
      </x:c>
      <x:c r="L528" s="52" t="n">
        <x:v>14.394208815049849</x:v>
      </x:c>
      <x:c r="M528" s="40" t="n">
        <x:f>INDEX(Catchments!C:C,MATCH(A528,Catchments!A:A,0))</x:f>
        <x:v>12843509</x:v>
      </x:c>
      <x:c r="N528" s="40" t="n">
        <x:f>INDEX(Catchments!C:C,MATCH(B528,Catchments!A:A,0))</x:f>
        <x:v>19271685</x:v>
      </x:c>
    </x:row>
    <x:row r="529" ht="15" hidden="0" customHeight="1">
      <x:c r="A529" s="29" t="str">
        <x:v>SCA-17</x:v>
      </x:c>
      <x:c r="B529" s="29" t="str">
        <x:v>SCA-30</x:v>
      </x:c>
      <x:c r="C529" s="53" t="n">
        <x:v>59.96361085091723</x:v>
      </x:c>
      <x:c r="D529" s="29" t="str">
        <x:v>YES</x:v>
      </x:c>
      <x:c r="E529" s="53" t="n">
        <x:v>56.11426566857782</x:v>
      </x:c>
      <x:c r="F529" s="29" t="str">
        <x:v>YES</x:v>
      </x:c>
      <x:c r="G529" s="53" t="n">
        <x:v>15.270306071317703</x:v>
      </x:c>
      <x:c r="H529" s="29" t="str">
        <x:v>YES</x:v>
      </x:c>
      <x:c r="I529" s="53" t="n">
        <x:v>103.9178195127324</x:v>
      </x:c>
      <x:c r="J529" s="29" t="str">
        <x:v>NO</x:v>
      </x:c>
      <x:c r="K529" s="29" t="str">
        <x:v>Air</x:v>
      </x:c>
      <x:c r="L529" s="53" t="n">
        <x:v>15.270306071317703</x:v>
      </x:c>
      <x:c r="M529" s="41" t="n">
        <x:f>INDEX(Catchments!C:C,MATCH(A529,Catchments!A:A,0))</x:f>
        <x:v>12843509</x:v>
      </x:c>
      <x:c r="N529" s="41" t="n">
        <x:f>INDEX(Catchments!C:C,MATCH(B529,Catchments!A:A,0))</x:f>
        <x:v>41291847</x:v>
      </x:c>
    </x:row>
    <x:row r="530" ht="15" hidden="0" customHeight="1">
      <x:c r="A530" s="27" t="str">
        <x:v>SCA-17</x:v>
      </x:c>
      <x:c r="B530" s="27" t="str">
        <x:v>SCA-31</x:v>
      </x:c>
      <x:c r="C530" s="52" t="n">
        <x:v>67.11055894521735</x:v>
      </x:c>
      <x:c r="D530" s="27" t="str">
        <x:v>YES</x:v>
      </x:c>
      <x:c r="E530" s="52" t="n">
        <x:v>61.729724885527915</x:v>
      </x:c>
      <x:c r="F530" s="27" t="str">
        <x:v>YES</x:v>
      </x:c>
      <x:c r="G530" s="52" t="n">
        <x:v>15.778212642139094</x:v>
      </x:c>
      <x:c r="H530" s="27" t="str">
        <x:v>YES</x:v>
      </x:c>
      <x:c r="I530" s="52" t="n">
        <x:v>115.70850776394325</x:v>
      </x:c>
      <x:c r="J530" s="27" t="str">
        <x:v>NO</x:v>
      </x:c>
      <x:c r="K530" s="27" t="str">
        <x:v>Air</x:v>
      </x:c>
      <x:c r="L530" s="52" t="n">
        <x:v>15.778212642139094</x:v>
      </x:c>
      <x:c r="M530" s="40" t="n">
        <x:f>INDEX(Catchments!C:C,MATCH(A530,Catchments!A:A,0))</x:f>
        <x:v>12843509</x:v>
      </x:c>
      <x:c r="N530" s="40" t="n">
        <x:f>INDEX(Catchments!C:C,MATCH(B530,Catchments!A:A,0))</x:f>
        <x:v>14227128</x:v>
      </x:c>
    </x:row>
    <x:row r="531" ht="15" hidden="0" customHeight="1">
      <x:c r="A531" s="29" t="str">
        <x:v>SCA-17</x:v>
      </x:c>
      <x:c r="B531" s="29" t="str">
        <x:v>SCA-32</x:v>
      </x:c>
      <x:c r="C531" s="53"/>
      <x:c r="D531" s="29" t="str">
        <x:v>NO</x:v>
      </x:c>
      <x:c r="E531" s="53"/>
      <x:c r="F531" s="29" t="str">
        <x:v>NO</x:v>
      </x:c>
      <x:c r="G531" s="53" t="n">
        <x:v>16.7773753163178</x:v>
      </x:c>
      <x:c r="H531" s="29" t="str">
        <x:v>YES</x:v>
      </x:c>
      <x:c r="I531" s="53" t="n">
        <x:v>138.90335555737752</x:v>
      </x:c>
      <x:c r="J531" s="29" t="str">
        <x:v>NO</x:v>
      </x:c>
      <x:c r="K531" s="29" t="str">
        <x:v>Air</x:v>
      </x:c>
      <x:c r="L531" s="53" t="n">
        <x:v>16.7773753163178</x:v>
      </x:c>
      <x:c r="M531" s="41" t="n">
        <x:f>INDEX(Catchments!C:C,MATCH(A531,Catchments!A:A,0))</x:f>
        <x:v>12843509</x:v>
      </x:c>
      <x:c r="N531" s="41" t="n">
        <x:f>INDEX(Catchments!C:C,MATCH(B531,Catchments!A:A,0))</x:f>
        <x:v>3184835</x:v>
      </x:c>
    </x:row>
    <x:row r="532" ht="15" hidden="0" customHeight="1">
      <x:c r="A532" s="27" t="str">
        <x:v>SCA-18</x:v>
      </x:c>
      <x:c r="B532" s="27" t="str">
        <x:v>SCA-01</x:v>
      </x:c>
      <x:c r="C532" s="52"/>
      <x:c r="D532" s="27" t="str">
        <x:v>NO</x:v>
      </x:c>
      <x:c r="E532" s="52"/>
      <x:c r="F532" s="27" t="str">
        <x:v>NO</x:v>
      </x:c>
      <x:c r="G532" s="52" t="n">
        <x:v>21.72099903692027</x:v>
      </x:c>
      <x:c r="H532" s="27" t="str">
        <x:v>YES</x:v>
      </x:c>
      <x:c r="I532" s="52" t="n">
        <x:v>253.6660490713634</x:v>
      </x:c>
      <x:c r="J532" s="27" t="str">
        <x:v>NO</x:v>
      </x:c>
      <x:c r="K532" s="27" t="str">
        <x:v>Air</x:v>
      </x:c>
      <x:c r="L532" s="52" t="n">
        <x:v>21.72099903692027</x:v>
      </x:c>
      <x:c r="M532" s="40" t="n">
        <x:f>INDEX(Catchments!C:C,MATCH(A532,Catchments!A:A,0))</x:f>
        <x:v>11004680</x:v>
      </x:c>
      <x:c r="N532" s="40" t="n">
        <x:f>INDEX(Catchments!C:C,MATCH(B532,Catchments!A:A,0))</x:f>
        <x:v>1432820</x:v>
      </x:c>
    </x:row>
    <x:row r="533" ht="15" hidden="0" customHeight="1">
      <x:c r="A533" s="29" t="str">
        <x:v>SCA-18</x:v>
      </x:c>
      <x:c r="B533" s="29" t="str">
        <x:v>SCA-02</x:v>
      </x:c>
      <x:c r="C533" s="53"/>
      <x:c r="D533" s="29" t="str">
        <x:v>NO</x:v>
      </x:c>
      <x:c r="E533" s="53"/>
      <x:c r="F533" s="29" t="str">
        <x:v>NO</x:v>
      </x:c>
      <x:c r="G533" s="53" t="n">
        <x:v>17.878734577532086</x:v>
      </x:c>
      <x:c r="H533" s="29" t="str">
        <x:v>YES</x:v>
      </x:c>
      <x:c r="I533" s="53" t="n">
        <x:v>164.47062412128057</x:v>
      </x:c>
      <x:c r="J533" s="29" t="str">
        <x:v>NO</x:v>
      </x:c>
      <x:c r="K533" s="29" t="str">
        <x:v>Air</x:v>
      </x:c>
      <x:c r="L533" s="53" t="n">
        <x:v>17.878734577532086</x:v>
      </x:c>
      <x:c r="M533" s="41" t="n">
        <x:f>INDEX(Catchments!C:C,MATCH(A533,Catchments!A:A,0))</x:f>
        <x:v>11004680</x:v>
      </x:c>
      <x:c r="N533" s="41" t="n">
        <x:f>INDEX(Catchments!C:C,MATCH(B533,Catchments!A:A,0))</x:f>
        <x:v>737270</x:v>
      </x:c>
    </x:row>
    <x:row r="534" ht="15" hidden="0" customHeight="1">
      <x:c r="A534" s="27" t="str">
        <x:v>SCA-18</x:v>
      </x:c>
      <x:c r="B534" s="27" t="str">
        <x:v>SCA-03</x:v>
      </x:c>
      <x:c r="C534" s="52" t="n">
        <x:v>60.33795349942631</x:v>
      </x:c>
      <x:c r="D534" s="27" t="str">
        <x:v>YES</x:v>
      </x:c>
      <x:c r="E534" s="52" t="n">
        <x:v>56.40839203526353</x:v>
      </x:c>
      <x:c r="F534" s="27" t="str">
        <x:v>YES</x:v>
      </x:c>
      <x:c r="G534" s="52" t="n">
        <x:v>15.311228434676009</x:v>
      </x:c>
      <x:c r="H534" s="27" t="str">
        <x:v>YES</x:v>
      </x:c>
      <x:c r="I534" s="52" t="n">
        <x:v>104.86780294783593</x:v>
      </x:c>
      <x:c r="J534" s="27" t="str">
        <x:v>NO</x:v>
      </x:c>
      <x:c r="K534" s="27" t="str">
        <x:v>Air</x:v>
      </x:c>
      <x:c r="L534" s="52" t="n">
        <x:v>15.311228434676009</x:v>
      </x:c>
      <x:c r="M534" s="40" t="n">
        <x:f>INDEX(Catchments!C:C,MATCH(A534,Catchments!A:A,0))</x:f>
        <x:v>11004680</x:v>
      </x:c>
      <x:c r="N534" s="40" t="n">
        <x:f>INDEX(Catchments!C:C,MATCH(B534,Catchments!A:A,0))</x:f>
        <x:v>11968308</x:v>
      </x:c>
    </x:row>
    <x:row r="535" ht="15" hidden="0" customHeight="1">
      <x:c r="A535" s="29" t="str">
        <x:v>SCA-18</x:v>
      </x:c>
      <x:c r="B535" s="29" t="str">
        <x:v>SCA-04</x:v>
      </x:c>
      <x:c r="C535" s="53" t="n">
        <x:v>67.80174984922218</x:v>
      </x:c>
      <x:c r="D535" s="29" t="str">
        <x:v>YES</x:v>
      </x:c>
      <x:c r="E535" s="53" t="n">
        <x:v>62.27280345296028</x:v>
      </x:c>
      <x:c r="F535" s="29" t="str">
        <x:v>YES</x:v>
      </x:c>
      <x:c r="G535" s="53" t="n">
        <x:v>15.694139274182472</x:v>
      </x:c>
      <x:c r="H535" s="29" t="str">
        <x:v>YES</x:v>
      </x:c>
      <x:c r="I535" s="53" t="n">
        <x:v>113.75680457923598</x:v>
      </x:c>
      <x:c r="J535" s="29" t="str">
        <x:v>NO</x:v>
      </x:c>
      <x:c r="K535" s="29" t="str">
        <x:v>Air</x:v>
      </x:c>
      <x:c r="L535" s="53" t="n">
        <x:v>15.694139274182472</x:v>
      </x:c>
      <x:c r="M535" s="41" t="n">
        <x:f>INDEX(Catchments!C:C,MATCH(A535,Catchments!A:A,0))</x:f>
        <x:v>11004680</x:v>
      </x:c>
      <x:c r="N535" s="41" t="n">
        <x:f>INDEX(Catchments!C:C,MATCH(B535,Catchments!A:A,0))</x:f>
        <x:v>16200470</x:v>
      </x:c>
    </x:row>
    <x:row r="536" ht="15" hidden="0" customHeight="1">
      <x:c r="A536" s="27" t="str">
        <x:v>SCA-18</x:v>
      </x:c>
      <x:c r="B536" s="27" t="str">
        <x:v>SCA-05</x:v>
      </x:c>
      <x:c r="C536" s="52" t="n">
        <x:v>68.87286285767682</x:v>
      </x:c>
      <x:c r="D536" s="27" t="str">
        <x:v>YES</x:v>
      </x:c>
      <x:c r="E536" s="52" t="n">
        <x:v>63.114392245317504</x:v>
      </x:c>
      <x:c r="F536" s="27" t="str">
        <x:v>YES</x:v>
      </x:c>
      <x:c r="G536" s="52" t="n">
        <x:v>15.658917286465172</x:v>
      </x:c>
      <x:c r="H536" s="27" t="str">
        <x:v>YES</x:v>
      </x:c>
      <x:c r="I536" s="52" t="n">
        <x:v>112.93915129294147</x:v>
      </x:c>
      <x:c r="J536" s="27" t="str">
        <x:v>NO</x:v>
      </x:c>
      <x:c r="K536" s="27" t="str">
        <x:v>Air</x:v>
      </x:c>
      <x:c r="L536" s="52" t="n">
        <x:v>15.658917286465172</x:v>
      </x:c>
      <x:c r="M536" s="40" t="n">
        <x:f>INDEX(Catchments!C:C,MATCH(A536,Catchments!A:A,0))</x:f>
        <x:v>11004680</x:v>
      </x:c>
      <x:c r="N536" s="40" t="n">
        <x:f>INDEX(Catchments!C:C,MATCH(B536,Catchments!A:A,0))</x:f>
        <x:v>15966265</x:v>
      </x:c>
    </x:row>
    <x:row r="537" ht="15" hidden="0" customHeight="1">
      <x:c r="A537" s="29" t="str">
        <x:v>SCA-18</x:v>
      </x:c>
      <x:c r="B537" s="29" t="str">
        <x:v>SCA-06</x:v>
      </x:c>
      <x:c r="C537" s="53" t="n">
        <x:v>64.49545608894732</x:v>
      </x:c>
      <x:c r="D537" s="29" t="str">
        <x:v>YES</x:v>
      </x:c>
      <x:c r="E537" s="53" t="n">
        <x:v>59.67500121274432</x:v>
      </x:c>
      <x:c r="F537" s="29" t="str">
        <x:v>YES</x:v>
      </x:c>
      <x:c r="G537" s="53" t="n">
        <x:v>15.541670029643008</x:v>
      </x:c>
      <x:c r="H537" s="29" t="str">
        <x:v>YES</x:v>
      </x:c>
      <x:c r="I537" s="53" t="n">
        <x:v>110.21733997385556</x:v>
      </x:c>
      <x:c r="J537" s="29" t="str">
        <x:v>NO</x:v>
      </x:c>
      <x:c r="K537" s="29" t="str">
        <x:v>Air</x:v>
      </x:c>
      <x:c r="L537" s="53" t="n">
        <x:v>15.541670029643008</x:v>
      </x:c>
      <x:c r="M537" s="41" t="n">
        <x:f>INDEX(Catchments!C:C,MATCH(A537,Catchments!A:A,0))</x:f>
        <x:v>11004680</x:v>
      </x:c>
      <x:c r="N537" s="41" t="n">
        <x:f>INDEX(Catchments!C:C,MATCH(B537,Catchments!A:A,0))</x:f>
        <x:v>6008575</x:v>
      </x:c>
    </x:row>
    <x:row r="538" ht="15" hidden="0" customHeight="1">
      <x:c r="A538" s="27" t="str">
        <x:v>SCA-18</x:v>
      </x:c>
      <x:c r="B538" s="27" t="str">
        <x:v>SCA-07</x:v>
      </x:c>
      <x:c r="C538" s="52" t="n">
        <x:v>63.48930102777006</x:v>
      </x:c>
      <x:c r="D538" s="27" t="str">
        <x:v>YES</x:v>
      </x:c>
      <x:c r="E538" s="52" t="n">
        <x:v>58.88445080753362</x:v>
      </x:c>
      <x:c r="F538" s="27" t="str">
        <x:v>YES</x:v>
      </x:c>
      <x:c r="G538" s="52" t="n">
        <x:v>15.179323544597509</x:v>
      </x:c>
      <x:c r="H538" s="27" t="str">
        <x:v>YES</x:v>
      </x:c>
      <x:c r="I538" s="52" t="n">
        <x:v>101.80572514244217</x:v>
      </x:c>
      <x:c r="J538" s="27" t="str">
        <x:v>NO</x:v>
      </x:c>
      <x:c r="K538" s="27" t="str">
        <x:v>Air</x:v>
      </x:c>
      <x:c r="L538" s="52" t="n">
        <x:v>15.179323544597509</x:v>
      </x:c>
      <x:c r="M538" s="40" t="n">
        <x:f>INDEX(Catchments!C:C,MATCH(A538,Catchments!A:A,0))</x:f>
        <x:v>11004680</x:v>
      </x:c>
      <x:c r="N538" s="40" t="n">
        <x:f>INDEX(Catchments!C:C,MATCH(B538,Catchments!A:A,0))</x:f>
        <x:v>5229370</x:v>
      </x:c>
    </x:row>
    <x:row r="539" ht="15" hidden="0" customHeight="1">
      <x:c r="A539" s="29" t="str">
        <x:v>SCA-18</x:v>
      </x:c>
      <x:c r="B539" s="29" t="str">
        <x:v>SCA-08</x:v>
      </x:c>
      <x:c r="C539" s="53" t="n">
        <x:v>48.61695577083522</x:v>
      </x:c>
      <x:c r="D539" s="29" t="str">
        <x:v>YES</x:v>
      </x:c>
      <x:c r="E539" s="53" t="n">
        <x:v>47.19903667708482</x:v>
      </x:c>
      <x:c r="F539" s="29" t="str">
        <x:v>YES</x:v>
      </x:c>
      <x:c r="G539" s="53" t="n">
        <x:v>14.547066979793897</x:v>
      </x:c>
      <x:c r="H539" s="29" t="str">
        <x:v>YES</x:v>
      </x:c>
      <x:c r="I539" s="53" t="n">
        <x:v>87.12834060235829</x:v>
      </x:c>
      <x:c r="J539" s="29" t="str">
        <x:v>NO</x:v>
      </x:c>
      <x:c r="K539" s="29" t="str">
        <x:v>Air</x:v>
      </x:c>
      <x:c r="L539" s="53" t="n">
        <x:v>14.547066979793897</x:v>
      </x:c>
      <x:c r="M539" s="41" t="n">
        <x:f>INDEX(Catchments!C:C,MATCH(A539,Catchments!A:A,0))</x:f>
        <x:v>11004680</x:v>
      </x:c>
      <x:c r="N539" s="41" t="n">
        <x:f>INDEX(Catchments!C:C,MATCH(B539,Catchments!A:A,0))</x:f>
        <x:v>2652387</x:v>
      </x:c>
    </x:row>
    <x:row r="540" ht="15" hidden="0" customHeight="1">
      <x:c r="A540" s="27" t="str">
        <x:v>SCA-18</x:v>
      </x:c>
      <x:c r="B540" s="27" t="str">
        <x:v>SCA-09</x:v>
      </x:c>
      <x:c r="C540" s="52" t="n">
        <x:v>56.31873878418675</x:v>
      </x:c>
      <x:c r="D540" s="27" t="str">
        <x:v>YES</x:v>
      </x:c>
      <x:c r="E540" s="52" t="n">
        <x:v>53.25043761614673</x:v>
      </x:c>
      <x:c r="F540" s="27" t="str">
        <x:v>YES</x:v>
      </x:c>
      <x:c r="G540" s="52" t="n">
        <x:v>15.106642682574087</x:v>
      </x:c>
      <x:c r="H540" s="27" t="str">
        <x:v>YES</x:v>
      </x:c>
      <x:c r="I540" s="52"/>
      <x:c r="J540" s="27" t="str">
        <x:v>NO</x:v>
      </x:c>
      <x:c r="K540" s="27" t="str">
        <x:v>Air</x:v>
      </x:c>
      <x:c r="L540" s="52" t="n">
        <x:v>15.106642682574087</x:v>
      </x:c>
      <x:c r="M540" s="40" t="n">
        <x:f>INDEX(Catchments!C:C,MATCH(A540,Catchments!A:A,0))</x:f>
        <x:v>11004680</x:v>
      </x:c>
      <x:c r="N540" s="40" t="n">
        <x:f>INDEX(Catchments!C:C,MATCH(B540,Catchments!A:A,0))</x:f>
        <x:v>7395716</x:v>
      </x:c>
    </x:row>
    <x:row r="541" ht="15" hidden="0" customHeight="1">
      <x:c r="A541" s="29" t="str">
        <x:v>SCA-18</x:v>
      </x:c>
      <x:c r="B541" s="29" t="str">
        <x:v>SCA-10</x:v>
      </x:c>
      <x:c r="C541" s="53" t="n">
        <x:v>48.6856773439618</x:v>
      </x:c>
      <x:c r="D541" s="29" t="str">
        <x:v>YES</x:v>
      </x:c>
      <x:c r="E541" s="53" t="n">
        <x:v>47.25303219882713</x:v>
      </x:c>
      <x:c r="F541" s="29" t="str">
        <x:v>YES</x:v>
      </x:c>
      <x:c r="G541" s="53" t="n">
        <x:v>14.253894175563353</x:v>
      </x:c>
      <x:c r="H541" s="29" t="str">
        <x:v>YES</x:v>
      </x:c>
      <x:c r="I541" s="53"/>
      <x:c r="J541" s="29" t="str">
        <x:v>NO</x:v>
      </x:c>
      <x:c r="K541" s="29" t="str">
        <x:v>Air</x:v>
      </x:c>
      <x:c r="L541" s="53" t="n">
        <x:v>14.253894175563353</x:v>
      </x:c>
      <x:c r="M541" s="41" t="n">
        <x:f>INDEX(Catchments!C:C,MATCH(A541,Catchments!A:A,0))</x:f>
        <x:v>11004680</x:v>
      </x:c>
      <x:c r="N541" s="41" t="n">
        <x:f>INDEX(Catchments!C:C,MATCH(B541,Catchments!A:A,0))</x:f>
        <x:v>4127033</x:v>
      </x:c>
    </x:row>
    <x:row r="542" ht="15" hidden="0" customHeight="1">
      <x:c r="A542" s="27" t="str">
        <x:v>SCA-18</x:v>
      </x:c>
      <x:c r="B542" s="27" t="str">
        <x:v>SCA-11</x:v>
      </x:c>
      <x:c r="C542" s="52" t="n">
        <x:v>50.938063230753926</x:v>
      </x:c>
      <x:c r="D542" s="27" t="str">
        <x:v>YES</x:v>
      </x:c>
      <x:c r="E542" s="52" t="n">
        <x:v>49.02276396702094</x:v>
      </x:c>
      <x:c r="F542" s="27" t="str">
        <x:v>YES</x:v>
      </x:c>
      <x:c r="G542" s="52" t="n">
        <x:v>14.462977402031544</x:v>
      </x:c>
      <x:c r="H542" s="27" t="str">
        <x:v>YES</x:v>
      </x:c>
      <x:c r="I542" s="52" t="n">
        <x:v>85.17626111858944</x:v>
      </x:c>
      <x:c r="J542" s="27" t="str">
        <x:v>NO</x:v>
      </x:c>
      <x:c r="K542" s="27" t="str">
        <x:v>Air</x:v>
      </x:c>
      <x:c r="L542" s="52" t="n">
        <x:v>14.462977402031544</x:v>
      </x:c>
      <x:c r="M542" s="40" t="n">
        <x:f>INDEX(Catchments!C:C,MATCH(A542,Catchments!A:A,0))</x:f>
        <x:v>11004680</x:v>
      </x:c>
      <x:c r="N542" s="40" t="n">
        <x:f>INDEX(Catchments!C:C,MATCH(B542,Catchments!A:A,0))</x:f>
        <x:v>3517787</x:v>
      </x:c>
    </x:row>
    <x:row r="543" ht="15" hidden="0" customHeight="1">
      <x:c r="A543" s="29" t="str">
        <x:v>SCA-18</x:v>
      </x:c>
      <x:c r="B543" s="29" t="str">
        <x:v>SCA-12</x:v>
      </x:c>
      <x:c r="C543" s="53" t="n">
        <x:v>36.39007803039013</x:v>
      </x:c>
      <x:c r="D543" s="29" t="str">
        <x:v>YES</x:v>
      </x:c>
      <x:c r="E543" s="53" t="n">
        <x:v>37.5922041667351</x:v>
      </x:c>
      <x:c r="F543" s="29" t="str">
        <x:v>YES</x:v>
      </x:c>
      <x:c r="G543" s="53" t="n">
        <x:v>13.647430490530377</x:v>
      </x:c>
      <x:c r="H543" s="29" t="str">
        <x:v>YES</x:v>
      </x:c>
      <x:c r="I543" s="53"/>
      <x:c r="J543" s="29" t="str">
        <x:v>NO</x:v>
      </x:c>
      <x:c r="K543" s="29" t="str">
        <x:v>Air</x:v>
      </x:c>
      <x:c r="L543" s="53" t="n">
        <x:v>13.647430490530377</x:v>
      </x:c>
      <x:c r="M543" s="41" t="n">
        <x:f>INDEX(Catchments!C:C,MATCH(A543,Catchments!A:A,0))</x:f>
        <x:v>11004680</x:v>
      </x:c>
      <x:c r="N543" s="41" t="n">
        <x:f>INDEX(Catchments!C:C,MATCH(B543,Catchments!A:A,0))</x:f>
        <x:v>7465186</x:v>
      </x:c>
    </x:row>
    <x:row r="544" ht="15" hidden="0" customHeight="1">
      <x:c r="A544" s="27" t="str">
        <x:v>SCA-18</x:v>
      </x:c>
      <x:c r="B544" s="27" t="str">
        <x:v>SCA-13</x:v>
      </x:c>
      <x:c r="C544" s="52" t="n">
        <x:v>49.35557369684012</x:v>
      </x:c>
      <x:c r="D544" s="27" t="str">
        <x:v>YES</x:v>
      </x:c>
      <x:c r="E544" s="52" t="n">
        <x:v>47.77937933323152</x:v>
      </x:c>
      <x:c r="F544" s="27" t="str">
        <x:v>YES</x:v>
      </x:c>
      <x:c r="G544" s="52" t="n">
        <x:v>14.586701483809101</x:v>
      </x:c>
      <x:c r="H544" s="27" t="str">
        <x:v>YES</x:v>
      </x:c>
      <x:c r="I544" s="52" t="n">
        <x:v>88.04842730271127</x:v>
      </x:c>
      <x:c r="J544" s="27" t="str">
        <x:v>NO</x:v>
      </x:c>
      <x:c r="K544" s="27" t="str">
        <x:v>Air</x:v>
      </x:c>
      <x:c r="L544" s="52" t="n">
        <x:v>14.586701483809101</x:v>
      </x:c>
      <x:c r="M544" s="40" t="n">
        <x:f>INDEX(Catchments!C:C,MATCH(A544,Catchments!A:A,0))</x:f>
        <x:v>11004680</x:v>
      </x:c>
      <x:c r="N544" s="40" t="n">
        <x:f>INDEX(Catchments!C:C,MATCH(B544,Catchments!A:A,0))</x:f>
        <x:v>6759014</x:v>
      </x:c>
    </x:row>
    <x:row r="545" ht="15" hidden="0" customHeight="1">
      <x:c r="A545" s="29" t="str">
        <x:v>SCA-18</x:v>
      </x:c>
      <x:c r="B545" s="29" t="str">
        <x:v>SCA-14</x:v>
      </x:c>
      <x:c r="C545" s="53" t="n">
        <x:v>56.69311576460578</x:v>
      </x:c>
      <x:c r="D545" s="29" t="str">
        <x:v>YES</x:v>
      </x:c>
      <x:c r="E545" s="53" t="n">
        <x:v>53.54459095790454</x:v>
      </x:c>
      <x:c r="F545" s="29" t="str">
        <x:v>YES</x:v>
      </x:c>
      <x:c r="G545" s="53" t="n">
        <x:v>15.11553947662964</x:v>
      </x:c>
      <x:c r="H545" s="29" t="str">
        <x:v>YES</x:v>
      </x:c>
      <x:c r="I545" s="53" t="n">
        <x:v>100.32502356461666</x:v>
      </x:c>
      <x:c r="J545" s="29" t="str">
        <x:v>NO</x:v>
      </x:c>
      <x:c r="K545" s="29" t="str">
        <x:v>Air</x:v>
      </x:c>
      <x:c r="L545" s="53" t="n">
        <x:v>15.11553947662964</x:v>
      </x:c>
      <x:c r="M545" s="41" t="n">
        <x:f>INDEX(Catchments!C:C,MATCH(A545,Catchments!A:A,0))</x:f>
        <x:v>11004680</x:v>
      </x:c>
      <x:c r="N545" s="41" t="n">
        <x:f>INDEX(Catchments!C:C,MATCH(B545,Catchments!A:A,0))</x:f>
        <x:v>2179728</x:v>
      </x:c>
    </x:row>
    <x:row r="546" ht="15" hidden="0" customHeight="1">
      <x:c r="A546" s="27" t="str">
        <x:v>SCA-18</x:v>
      </x:c>
      <x:c r="B546" s="27" t="str">
        <x:v>SCA-15</x:v>
      </x:c>
      <x:c r="C546" s="52" t="n">
        <x:v>41.66770821776488</x:v>
      </x:c>
      <x:c r="D546" s="27" t="str">
        <x:v>YES</x:v>
      </x:c>
      <x:c r="E546" s="52" t="n">
        <x:v>41.73891359967241</x:v>
      </x:c>
      <x:c r="F546" s="27" t="str">
        <x:v>YES</x:v>
      </x:c>
      <x:c r="G546" s="52" t="n">
        <x:v>14.03211569744531</x:v>
      </x:c>
      <x:c r="H546" s="27" t="str">
        <x:v>YES</x:v>
      </x:c>
      <x:c r="I546" s="52" t="n">
        <x:v>75.1741144049804</x:v>
      </x:c>
      <x:c r="J546" s="27" t="str">
        <x:v>NO</x:v>
      </x:c>
      <x:c r="K546" s="27" t="str">
        <x:v>Air</x:v>
      </x:c>
      <x:c r="L546" s="52" t="n">
        <x:v>14.03211569744531</x:v>
      </x:c>
      <x:c r="M546" s="40" t="n">
        <x:f>INDEX(Catchments!C:C,MATCH(A546,Catchments!A:A,0))</x:f>
        <x:v>11004680</x:v>
      </x:c>
      <x:c r="N546" s="40" t="n">
        <x:f>INDEX(Catchments!C:C,MATCH(B546,Catchments!A:A,0))</x:f>
        <x:v>13192386</x:v>
      </x:c>
    </x:row>
    <x:row r="547" ht="15" hidden="0" customHeight="1">
      <x:c r="A547" s="29" t="str">
        <x:v>SCA-18</x:v>
      </x:c>
      <x:c r="B547" s="29" t="str">
        <x:v>SCA-16</x:v>
      </x:c>
      <x:c r="C547" s="53" t="n">
        <x:v>29.84904118233024</x:v>
      </x:c>
      <x:c r="D547" s="29" t="str">
        <x:v>YES</x:v>
      </x:c>
      <x:c r="E547" s="53" t="n">
        <x:v>32.452818071830905</x:v>
      </x:c>
      <x:c r="F547" s="29" t="str">
        <x:v>YES</x:v>
      </x:c>
      <x:c r="G547" s="53" t="n">
        <x:v>13.166150187328647</x:v>
      </x:c>
      <x:c r="H547" s="29" t="str">
        <x:v>YES</x:v>
      </x:c>
      <x:c r="I547" s="53"/>
      <x:c r="J547" s="29" t="str">
        <x:v>NO</x:v>
      </x:c>
      <x:c r="K547" s="29" t="str">
        <x:v>Air</x:v>
      </x:c>
      <x:c r="L547" s="53" t="n">
        <x:v>13.166150187328647</x:v>
      </x:c>
      <x:c r="M547" s="41" t="n">
        <x:f>INDEX(Catchments!C:C,MATCH(A547,Catchments!A:A,0))</x:f>
        <x:v>11004680</x:v>
      </x:c>
      <x:c r="N547" s="41" t="n">
        <x:f>INDEX(Catchments!C:C,MATCH(B547,Catchments!A:A,0))</x:f>
        <x:v>10177969</x:v>
      </x:c>
    </x:row>
    <x:row r="548" ht="15" hidden="0" customHeight="1">
      <x:c r="A548" s="27" t="str">
        <x:v>SCA-18</x:v>
      </x:c>
      <x:c r="B548" s="27" t="str">
        <x:v>SCA-17</x:v>
      </x:c>
      <x:c r="C548" s="52" t="n">
        <x:v>50.19156990545526</x:v>
      </x:c>
      <x:c r="D548" s="27" t="str">
        <x:v>YES</x:v>
      </x:c>
      <x:c r="E548" s="52" t="n">
        <x:v>48.43623349714342</x:v>
      </x:c>
      <x:c r="F548" s="27" t="str">
        <x:v>YES</x:v>
      </x:c>
      <x:c r="G548" s="52" t="n">
        <x:v>14.514724327317627</x:v>
      </x:c>
      <x:c r="H548" s="27" t="str">
        <x:v>YES</x:v>
      </x:c>
      <x:c r="I548" s="52" t="n">
        <x:v>86.37752902701634</x:v>
      </x:c>
      <x:c r="J548" s="27" t="str">
        <x:v>NO</x:v>
      </x:c>
      <x:c r="K548" s="27" t="str">
        <x:v>Air</x:v>
      </x:c>
      <x:c r="L548" s="52" t="n">
        <x:v>14.514724327317627</x:v>
      </x:c>
      <x:c r="M548" s="40" t="n">
        <x:f>INDEX(Catchments!C:C,MATCH(A548,Catchments!A:A,0))</x:f>
        <x:v>11004680</x:v>
      </x:c>
      <x:c r="N548" s="40" t="n">
        <x:f>INDEX(Catchments!C:C,MATCH(B548,Catchments!A:A,0))</x:f>
        <x:v>12843509</x:v>
      </x:c>
    </x:row>
    <x:row r="549" ht="15" hidden="0" customHeight="1">
      <x:c r="A549" s="29" t="str">
        <x:v>SCA-18</x:v>
      </x:c>
      <x:c r="B549" s="29" t="str">
        <x:v>SCA-19</x:v>
      </x:c>
      <x:c r="C549" s="53" t="n">
        <x:v>28.906830877430266</x:v>
      </x:c>
      <x:c r="D549" s="29" t="str">
        <x:v>YES</x:v>
      </x:c>
      <x:c r="E549" s="53" t="n">
        <x:v>31.71250997512378</x:v>
      </x:c>
      <x:c r="F549" s="29" t="str">
        <x:v>YES</x:v>
      </x:c>
      <x:c r="G549" s="53" t="n">
        <x:v>13.09682367660022</x:v>
      </x:c>
      <x:c r="H549" s="29" t="str">
        <x:v>YES</x:v>
      </x:c>
      <x:c r="I549" s="53" t="n">
        <x:v>53.46197820679083</x:v>
      </x:c>
      <x:c r="J549" s="29" t="str">
        <x:v>YES</x:v>
      </x:c>
      <x:c r="K549" s="29" t="str">
        <x:v>Air</x:v>
      </x:c>
      <x:c r="L549" s="53" t="n">
        <x:v>13.09682367660022</x:v>
      </x:c>
      <x:c r="M549" s="41" t="n">
        <x:f>INDEX(Catchments!C:C,MATCH(A549,Catchments!A:A,0))</x:f>
        <x:v>11004680</x:v>
      </x:c>
      <x:c r="N549" s="41" t="n">
        <x:f>INDEX(Catchments!C:C,MATCH(B549,Catchments!A:A,0))</x:f>
        <x:v>6677653</x:v>
      </x:c>
    </x:row>
    <x:row r="550" ht="15" hidden="0" customHeight="1">
      <x:c r="A550" s="27" t="str">
        <x:v>SCA-18</x:v>
      </x:c>
      <x:c r="B550" s="27" t="str">
        <x:v>SCA-20</x:v>
      </x:c>
      <x:c r="C550" s="52" t="n">
        <x:v>39.8440323286265</x:v>
      </x:c>
      <x:c r="D550" s="27" t="str">
        <x:v>YES</x:v>
      </x:c>
      <x:c r="E550" s="52" t="n">
        <x:v>40.30602540106368</x:v>
      </x:c>
      <x:c r="F550" s="27" t="str">
        <x:v>YES</x:v>
      </x:c>
      <x:c r="G550" s="52" t="n">
        <x:v>13.893890941182574</x:v>
      </x:c>
      <x:c r="H550" s="27" t="str">
        <x:v>YES</x:v>
      </x:c>
      <x:c r="I550" s="52" t="n">
        <x:v>71.96532542030977</x:v>
      </x:c>
      <x:c r="J550" s="27" t="str">
        <x:v>YES</x:v>
      </x:c>
      <x:c r="K550" s="27" t="str">
        <x:v>Air</x:v>
      </x:c>
      <x:c r="L550" s="52" t="n">
        <x:v>13.893890941182574</x:v>
      </x:c>
      <x:c r="M550" s="40" t="n">
        <x:f>INDEX(Catchments!C:C,MATCH(A550,Catchments!A:A,0))</x:f>
        <x:v>11004680</x:v>
      </x:c>
      <x:c r="N550" s="40" t="n">
        <x:f>INDEX(Catchments!C:C,MATCH(B550,Catchments!A:A,0))</x:f>
        <x:v>8490774</x:v>
      </x:c>
    </x:row>
    <x:row r="551" ht="15" hidden="0" customHeight="1">
      <x:c r="A551" s="29" t="str">
        <x:v>SCA-18</x:v>
      </x:c>
      <x:c r="B551" s="29" t="str">
        <x:v>SCA-21</x:v>
      </x:c>
      <x:c r="C551" s="53" t="n">
        <x:v>25.66548265647027</x:v>
      </x:c>
      <x:c r="D551" s="29" t="str">
        <x:v>YES</x:v>
      </x:c>
      <x:c r="E551" s="53" t="n">
        <x:v>29.165736372940927</x:v>
      </x:c>
      <x:c r="F551" s="29" t="str">
        <x:v>YES</x:v>
      </x:c>
      <x:c r="G551" s="53" t="n">
        <x:v>12.858329827566376</x:v>
      </x:c>
      <x:c r="H551" s="29" t="str">
        <x:v>YES</x:v>
      </x:c>
      <x:c r="I551" s="53" t="n">
        <x:v>47.9255138542194</x:v>
      </x:c>
      <x:c r="J551" s="29" t="str">
        <x:v>YES</x:v>
      </x:c>
      <x:c r="K551" s="29" t="str">
        <x:v>Air</x:v>
      </x:c>
      <x:c r="L551" s="53" t="n">
        <x:v>12.858329827566376</x:v>
      </x:c>
      <x:c r="M551" s="41" t="n">
        <x:f>INDEX(Catchments!C:C,MATCH(A551,Catchments!A:A,0))</x:f>
        <x:v>11004680</x:v>
      </x:c>
      <x:c r="N551" s="41" t="n">
        <x:f>INDEX(Catchments!C:C,MATCH(B551,Catchments!A:A,0))</x:f>
        <x:v>19593580</x:v>
      </x:c>
    </x:row>
    <x:row r="552" ht="15" hidden="0" customHeight="1">
      <x:c r="A552" s="27" t="str">
        <x:v>SCA-18</x:v>
      </x:c>
      <x:c r="B552" s="27" t="str">
        <x:v>SCA-22</x:v>
      </x:c>
      <x:c r="C552" s="52" t="n">
        <x:v>35.65329606086266</x:v>
      </x:c>
      <x:c r="D552" s="27" t="str">
        <x:v>YES</x:v>
      </x:c>
      <x:c r="E552" s="52" t="n">
        <x:v>37.013304047820654</x:v>
      </x:c>
      <x:c r="F552" s="27" t="str">
        <x:v>YES</x:v>
      </x:c>
      <x:c r="G552" s="52" t="n">
        <x:v>13.543461565853198</x:v>
      </x:c>
      <x:c r="H552" s="27" t="str">
        <x:v>YES</x:v>
      </x:c>
      <x:c r="I552" s="52" t="n">
        <x:v>63.83035777873495</x:v>
      </x:c>
      <x:c r="J552" s="27" t="str">
        <x:v>YES</x:v>
      </x:c>
      <x:c r="K552" s="27" t="str">
        <x:v>Air</x:v>
      </x:c>
      <x:c r="L552" s="52" t="n">
        <x:v>13.543461565853198</x:v>
      </x:c>
      <x:c r="M552" s="40" t="n">
        <x:f>INDEX(Catchments!C:C,MATCH(A552,Catchments!A:A,0))</x:f>
        <x:v>11004680</x:v>
      </x:c>
      <x:c r="N552" s="40" t="n">
        <x:f>INDEX(Catchments!C:C,MATCH(B552,Catchments!A:A,0))</x:f>
        <x:v>14732006</x:v>
      </x:c>
    </x:row>
    <x:row r="553" ht="15" hidden="0" customHeight="1">
      <x:c r="A553" s="29" t="str">
        <x:v>SCA-18</x:v>
      </x:c>
      <x:c r="B553" s="29" t="str">
        <x:v>SCA-23</x:v>
      </x:c>
      <x:c r="C553" s="53" t="n">
        <x:v>46.360803209652396</x:v>
      </x:c>
      <x:c r="D553" s="29" t="str">
        <x:v>YES</x:v>
      </x:c>
      <x:c r="E553" s="53" t="n">
        <x:v>45.426345379012595</x:v>
      </x:c>
      <x:c r="F553" s="29" t="str">
        <x:v>YES</x:v>
      </x:c>
      <x:c r="G553" s="53" t="n">
        <x:v>14.238935988157746</x:v>
      </x:c>
      <x:c r="H553" s="29" t="str">
        <x:v>YES</x:v>
      </x:c>
      <x:c r="I553" s="53" t="n">
        <x:v>79.97529972509054</x:v>
      </x:c>
      <x:c r="J553" s="29" t="str">
        <x:v>NO</x:v>
      </x:c>
      <x:c r="K553" s="29" t="str">
        <x:v>Air</x:v>
      </x:c>
      <x:c r="L553" s="53" t="n">
        <x:v>14.238935988157746</x:v>
      </x:c>
      <x:c r="M553" s="41" t="n">
        <x:f>INDEX(Catchments!C:C,MATCH(A553,Catchments!A:A,0))</x:f>
        <x:v>11004680</x:v>
      </x:c>
      <x:c r="N553" s="41" t="n">
        <x:f>INDEX(Catchments!C:C,MATCH(B553,Catchments!A:A,0))</x:f>
        <x:v>20869310</x:v>
      </x:c>
    </x:row>
    <x:row r="554" ht="15" hidden="0" customHeight="1">
      <x:c r="A554" s="27" t="str">
        <x:v>SCA-18</x:v>
      </x:c>
      <x:c r="B554" s="27" t="str">
        <x:v>SCA-24</x:v>
      </x:c>
      <x:c r="C554" s="52" t="n">
        <x:v>32.88802907761641</x:v>
      </x:c>
      <x:c r="D554" s="27" t="str">
        <x:v>YES</x:v>
      </x:c>
      <x:c r="E554" s="52" t="n">
        <x:v>34.840594275270035</x:v>
      </x:c>
      <x:c r="F554" s="27" t="str">
        <x:v>YES</x:v>
      </x:c>
      <x:c r="G554" s="52" t="n">
        <x:v>13.318288993943975</x:v>
      </x:c>
      <x:c r="H554" s="27" t="str">
        <x:v>YES</x:v>
      </x:c>
      <x:c r="I554" s="52" t="n">
        <x:v>58.60313735941371</x:v>
      </x:c>
      <x:c r="J554" s="27" t="str">
        <x:v>YES</x:v>
      </x:c>
      <x:c r="K554" s="27" t="str">
        <x:v>Air</x:v>
      </x:c>
      <x:c r="L554" s="52" t="n">
        <x:v>13.318288993943975</x:v>
      </x:c>
      <x:c r="M554" s="40" t="n">
        <x:f>INDEX(Catchments!C:C,MATCH(A554,Catchments!A:A,0))</x:f>
        <x:v>11004680</x:v>
      </x:c>
      <x:c r="N554" s="40" t="n">
        <x:f>INDEX(Catchments!C:C,MATCH(B554,Catchments!A:A,0))</x:f>
        <x:v>11816161</x:v>
      </x:c>
    </x:row>
    <x:row r="555" ht="15" hidden="0" customHeight="1">
      <x:c r="A555" s="29" t="str">
        <x:v>SCA-18</x:v>
      </x:c>
      <x:c r="B555" s="29" t="str">
        <x:v>SCA-25</x:v>
      </x:c>
      <x:c r="C555" s="53" t="n">
        <x:v>55.353242844551296</x:v>
      </x:c>
      <x:c r="D555" s="29" t="str">
        <x:v>YES</x:v>
      </x:c>
      <x:c r="E555" s="53" t="n">
        <x:v>52.49183366357602</x:v>
      </x:c>
      <x:c r="F555" s="29" t="str">
        <x:v>YES</x:v>
      </x:c>
      <x:c r="G555" s="53" t="n">
        <x:v>14.89996111644962</x:v>
      </x:c>
      <x:c r="H555" s="29" t="str">
        <x:v>YES</x:v>
      </x:c>
      <x:c r="I555" s="53" t="n">
        <x:v>95.3205259175805</x:v>
      </x:c>
      <x:c r="J555" s="29" t="str">
        <x:v>NO</x:v>
      </x:c>
      <x:c r="K555" s="29" t="str">
        <x:v>Air</x:v>
      </x:c>
      <x:c r="L555" s="53" t="n">
        <x:v>14.89996111644962</x:v>
      </x:c>
      <x:c r="M555" s="41" t="n">
        <x:f>INDEX(Catchments!C:C,MATCH(A555,Catchments!A:A,0))</x:f>
        <x:v>11004680</x:v>
      </x:c>
      <x:c r="N555" s="41" t="n">
        <x:f>INDEX(Catchments!C:C,MATCH(B555,Catchments!A:A,0))</x:f>
        <x:v>6408394</x:v>
      </x:c>
    </x:row>
    <x:row r="556" ht="15" hidden="0" customHeight="1">
      <x:c r="A556" s="27" t="str">
        <x:v>SCA-18</x:v>
      </x:c>
      <x:c r="B556" s="27" t="str">
        <x:v>SCA-26</x:v>
      </x:c>
      <x:c r="C556" s="52" t="n">
        <x:v>61.32596022209352</x:v>
      </x:c>
      <x:c r="D556" s="27" t="str">
        <x:v>YES</x:v>
      </x:c>
      <x:c r="E556" s="52" t="n">
        <x:v>57.18468303164491</x:v>
      </x:c>
      <x:c r="F556" s="27" t="str">
        <x:v>YES</x:v>
      </x:c>
      <x:c r="G556" s="52" t="n">
        <x:v>15.301667188362282</x:v>
      </x:c>
      <x:c r="H556" s="27" t="str">
        <x:v>YES</x:v>
      </x:c>
      <x:c r="I556" s="52" t="n">
        <x:v>104.6458454441244</x:v>
      </x:c>
      <x:c r="J556" s="27" t="str">
        <x:v>NO</x:v>
      </x:c>
      <x:c r="K556" s="27" t="str">
        <x:v>Air</x:v>
      </x:c>
      <x:c r="L556" s="52" t="n">
        <x:v>15.301667188362282</x:v>
      </x:c>
      <x:c r="M556" s="40" t="n">
        <x:f>INDEX(Catchments!C:C,MATCH(A556,Catchments!A:A,0))</x:f>
        <x:v>11004680</x:v>
      </x:c>
      <x:c r="N556" s="40" t="n">
        <x:f>INDEX(Catchments!C:C,MATCH(B556,Catchments!A:A,0))</x:f>
        <x:v>10737083</x:v>
      </x:c>
    </x:row>
    <x:row r="557" ht="15" hidden="0" customHeight="1">
      <x:c r="A557" s="29" t="str">
        <x:v>SCA-18</x:v>
      </x:c>
      <x:c r="B557" s="29" t="str">
        <x:v>SCA-27</x:v>
      </x:c>
      <x:c r="C557" s="53" t="n">
        <x:v>66.41011047881258</x:v>
      </x:c>
      <x:c r="D557" s="29" t="str">
        <x:v>YES</x:v>
      </x:c>
      <x:c r="E557" s="53" t="n">
        <x:v>61.17937251906703</x:v>
      </x:c>
      <x:c r="F557" s="29" t="str">
        <x:v>YES</x:v>
      </x:c>
      <x:c r="G557" s="53" t="n">
        <x:v>15.67329836807298</x:v>
      </x:c>
      <x:c r="H557" s="29" t="str">
        <x:v>YES</x:v>
      </x:c>
      <x:c r="I557" s="53" t="n">
        <x:v>113.2729978302656</x:v>
      </x:c>
      <x:c r="J557" s="29" t="str">
        <x:v>NO</x:v>
      </x:c>
      <x:c r="K557" s="29" t="str">
        <x:v>Air</x:v>
      </x:c>
      <x:c r="L557" s="53" t="n">
        <x:v>15.67329836807298</x:v>
      </x:c>
      <x:c r="M557" s="41" t="n">
        <x:f>INDEX(Catchments!C:C,MATCH(A557,Catchments!A:A,0))</x:f>
        <x:v>11004680</x:v>
      </x:c>
      <x:c r="N557" s="41" t="n">
        <x:f>INDEX(Catchments!C:C,MATCH(B557,Catchments!A:A,0))</x:f>
        <x:v>7505606</x:v>
      </x:c>
    </x:row>
    <x:row r="558" ht="15" hidden="0" customHeight="1">
      <x:c r="A558" s="27" t="str">
        <x:v>SCA-18</x:v>
      </x:c>
      <x:c r="B558" s="27" t="str">
        <x:v>SCA-28</x:v>
      </x:c>
      <x:c r="C558" s="52" t="n">
        <x:v>41.90285628777394</x:v>
      </x:c>
      <x:c r="D558" s="27" t="str">
        <x:v>YES</x:v>
      </x:c>
      <x:c r="E558" s="52" t="n">
        <x:v>41.92367279753667</x:v>
      </x:c>
      <x:c r="F558" s="27" t="str">
        <x:v>YES</x:v>
      </x:c>
      <x:c r="G558" s="52" t="n">
        <x:v>13.97653755526746</x:v>
      </x:c>
      <x:c r="H558" s="27" t="str">
        <x:v>YES</x:v>
      </x:c>
      <x:c r="I558" s="52" t="n">
        <x:v>73.88390753299457</x:v>
      </x:c>
      <x:c r="J558" s="27" t="str">
        <x:v>NO</x:v>
      </x:c>
      <x:c r="K558" s="27" t="str">
        <x:v>Air</x:v>
      </x:c>
      <x:c r="L558" s="52" t="n">
        <x:v>13.97653755526746</x:v>
      </x:c>
      <x:c r="M558" s="40" t="n">
        <x:f>INDEX(Catchments!C:C,MATCH(A558,Catchments!A:A,0))</x:f>
        <x:v>11004680</x:v>
      </x:c>
      <x:c r="N558" s="40" t="n">
        <x:f>INDEX(Catchments!C:C,MATCH(B558,Catchments!A:A,0))</x:f>
        <x:v>21305157</x:v>
      </x:c>
    </x:row>
    <x:row r="559" ht="15" hidden="0" customHeight="1">
      <x:c r="A559" s="29" t="str">
        <x:v>SCA-18</x:v>
      </x:c>
      <x:c r="B559" s="29" t="str">
        <x:v>SCA-29</x:v>
      </x:c>
      <x:c r="C559" s="53" t="n">
        <x:v>48.699523782938016</x:v>
      </x:c>
      <x:c r="D559" s="29" t="str">
        <x:v>YES</x:v>
      </x:c>
      <x:c r="E559" s="53" t="n">
        <x:v>47.26391154373701</x:v>
      </x:c>
      <x:c r="F559" s="29" t="str">
        <x:v>YES</x:v>
      </x:c>
      <x:c r="G559" s="53" t="n">
        <x:v>14.455402821573127</x:v>
      </x:c>
      <x:c r="H559" s="29" t="str">
        <x:v>YES</x:v>
      </x:c>
      <x:c r="I559" s="53" t="n">
        <x:v>85.00042264366189</x:v>
      </x:c>
      <x:c r="J559" s="29" t="str">
        <x:v>NO</x:v>
      </x:c>
      <x:c r="K559" s="29" t="str">
        <x:v>Air</x:v>
      </x:c>
      <x:c r="L559" s="53" t="n">
        <x:v>14.455402821573127</x:v>
      </x:c>
      <x:c r="M559" s="41" t="n">
        <x:f>INDEX(Catchments!C:C,MATCH(A559,Catchments!A:A,0))</x:f>
        <x:v>11004680</x:v>
      </x:c>
      <x:c r="N559" s="41" t="n">
        <x:f>INDEX(Catchments!C:C,MATCH(B559,Catchments!A:A,0))</x:f>
        <x:v>19271685</x:v>
      </x:c>
    </x:row>
    <x:row r="560" ht="15" hidden="0" customHeight="1">
      <x:c r="A560" s="27" t="str">
        <x:v>SCA-18</x:v>
      </x:c>
      <x:c r="B560" s="27" t="str">
        <x:v>SCA-30</x:v>
      </x:c>
      <x:c r="C560" s="52" t="n">
        <x:v>50.33128748652376</x:v>
      </x:c>
      <x:c r="D560" s="27" t="str">
        <x:v>YES</x:v>
      </x:c>
      <x:c r="E560" s="52" t="n">
        <x:v>48.54601159655438</x:v>
      </x:c>
      <x:c r="F560" s="27" t="str">
        <x:v>YES</x:v>
      </x:c>
      <x:c r="G560" s="52" t="n">
        <x:v>14.523180824751844</x:v>
      </x:c>
      <x:c r="H560" s="27" t="str">
        <x:v>YES</x:v>
      </x:c>
      <x:c r="I560" s="52" t="n">
        <x:v>86.57384057459636</x:v>
      </x:c>
      <x:c r="J560" s="27" t="str">
        <x:v>NO</x:v>
      </x:c>
      <x:c r="K560" s="27" t="str">
        <x:v>Air</x:v>
      </x:c>
      <x:c r="L560" s="52" t="n">
        <x:v>14.523180824751844</x:v>
      </x:c>
      <x:c r="M560" s="40" t="n">
        <x:f>INDEX(Catchments!C:C,MATCH(A560,Catchments!A:A,0))</x:f>
        <x:v>11004680</x:v>
      </x:c>
      <x:c r="N560" s="40" t="n">
        <x:f>INDEX(Catchments!C:C,MATCH(B560,Catchments!A:A,0))</x:f>
        <x:v>41291847</x:v>
      </x:c>
    </x:row>
    <x:row r="561" ht="15" hidden="0" customHeight="1">
      <x:c r="A561" s="29" t="str">
        <x:v>SCA-18</x:v>
      </x:c>
      <x:c r="B561" s="29" t="str">
        <x:v>SCA-31</x:v>
      </x:c>
      <x:c r="C561" s="53" t="n">
        <x:v>57.47823558082387</x:v>
      </x:c>
      <x:c r="D561" s="29" t="str">
        <x:v>YES</x:v>
      </x:c>
      <x:c r="E561" s="53" t="n">
        <x:v>54.16147081350447</x:v>
      </x:c>
      <x:c r="F561" s="29" t="str">
        <x:v>YES</x:v>
      </x:c>
      <x:c r="G561" s="53" t="n">
        <x:v>14.77677303727363</x:v>
      </x:c>
      <x:c r="H561" s="29" t="str">
        <x:v>YES</x:v>
      </x:c>
      <x:c r="I561" s="53" t="n">
        <x:v>92.46080265099499</x:v>
      </x:c>
      <x:c r="J561" s="29" t="str">
        <x:v>NO</x:v>
      </x:c>
      <x:c r="K561" s="29" t="str">
        <x:v>Air</x:v>
      </x:c>
      <x:c r="L561" s="53" t="n">
        <x:v>14.77677303727363</x:v>
      </x:c>
      <x:c r="M561" s="41" t="n">
        <x:f>INDEX(Catchments!C:C,MATCH(A561,Catchments!A:A,0))</x:f>
        <x:v>11004680</x:v>
      </x:c>
      <x:c r="N561" s="41" t="n">
        <x:f>INDEX(Catchments!C:C,MATCH(B561,Catchments!A:A,0))</x:f>
        <x:v>14227128</x:v>
      </x:c>
    </x:row>
    <x:row r="562" ht="15" hidden="0" customHeight="1">
      <x:c r="A562" s="27" t="str">
        <x:v>SCA-18</x:v>
      </x:c>
      <x:c r="B562" s="27" t="str">
        <x:v>SCA-32</x:v>
      </x:c>
      <x:c r="C562" s="52"/>
      <x:c r="D562" s="27" t="str">
        <x:v>NO</x:v>
      </x:c>
      <x:c r="E562" s="52"/>
      <x:c r="F562" s="27" t="str">
        <x:v>NO</x:v>
      </x:c>
      <x:c r="G562" s="52" t="n">
        <x:v>17.99497087101516</x:v>
      </x:c>
      <x:c r="H562" s="27" t="str">
        <x:v>YES</x:v>
      </x:c>
      <x:c r="I562" s="52" t="n">
        <x:v>167.16896664856617</x:v>
      </x:c>
      <x:c r="J562" s="27" t="str">
        <x:v>NO</x:v>
      </x:c>
      <x:c r="K562" s="27" t="str">
        <x:v>Air</x:v>
      </x:c>
      <x:c r="L562" s="52" t="n">
        <x:v>17.99497087101516</x:v>
      </x:c>
      <x:c r="M562" s="40" t="n">
        <x:f>INDEX(Catchments!C:C,MATCH(A562,Catchments!A:A,0))</x:f>
        <x:v>11004680</x:v>
      </x:c>
      <x:c r="N562" s="40" t="n">
        <x:f>INDEX(Catchments!C:C,MATCH(B562,Catchments!A:A,0))</x:f>
        <x:v>3184835</x:v>
      </x:c>
    </x:row>
    <x:row r="563" ht="15" hidden="0" customHeight="1">
      <x:c r="A563" s="29" t="str">
        <x:v>SCA-19</x:v>
      </x:c>
      <x:c r="B563" s="29" t="str">
        <x:v>SCA-01</x:v>
      </x:c>
      <x:c r="C563" s="53"/>
      <x:c r="D563" s="29" t="str">
        <x:v>NO</x:v>
      </x:c>
      <x:c r="E563" s="53"/>
      <x:c r="F563" s="29" t="str">
        <x:v>NO</x:v>
      </x:c>
      <x:c r="G563" s="53" t="n">
        <x:v>22.117238389415643</x:v>
      </x:c>
      <x:c r="H563" s="29" t="str">
        <x:v>YES</x:v>
      </x:c>
      <x:c r="I563" s="53" t="n">
        <x:v>262.8644626114346</x:v>
      </x:c>
      <x:c r="J563" s="29" t="str">
        <x:v>NO</x:v>
      </x:c>
      <x:c r="K563" s="29" t="str">
        <x:v>Air</x:v>
      </x:c>
      <x:c r="L563" s="53" t="n">
        <x:v>22.117238389415643</x:v>
      </x:c>
      <x:c r="M563" s="41" t="n">
        <x:f>INDEX(Catchments!C:C,MATCH(A563,Catchments!A:A,0))</x:f>
        <x:v>6677653</x:v>
      </x:c>
      <x:c r="N563" s="41" t="n">
        <x:f>INDEX(Catchments!C:C,MATCH(B563,Catchments!A:A,0))</x:f>
        <x:v>1432820</x:v>
      </x:c>
    </x:row>
    <x:row r="564" ht="15" hidden="0" customHeight="1">
      <x:c r="A564" s="27" t="str">
        <x:v>SCA-19</x:v>
      </x:c>
      <x:c r="B564" s="27" t="str">
        <x:v>SCA-02</x:v>
      </x:c>
      <x:c r="C564" s="52"/>
      <x:c r="D564" s="27" t="str">
        <x:v>NO</x:v>
      </x:c>
      <x:c r="E564" s="52"/>
      <x:c r="F564" s="27" t="str">
        <x:v>NO</x:v>
      </x:c>
      <x:c r="G564" s="52" t="n">
        <x:v>18.915843178496225</x:v>
      </x:c>
      <x:c r="H564" s="27" t="str">
        <x:v>YES</x:v>
      </x:c>
      <x:c r="I564" s="52" t="n">
        <x:v>188.54635950080515</x:v>
      </x:c>
      <x:c r="J564" s="27" t="str">
        <x:v>NO</x:v>
      </x:c>
      <x:c r="K564" s="27" t="str">
        <x:v>Air</x:v>
      </x:c>
      <x:c r="L564" s="52" t="n">
        <x:v>18.915843178496225</x:v>
      </x:c>
      <x:c r="M564" s="40" t="n">
        <x:f>INDEX(Catchments!C:C,MATCH(A564,Catchments!A:A,0))</x:f>
        <x:v>6677653</x:v>
      </x:c>
      <x:c r="N564" s="40" t="n">
        <x:f>INDEX(Catchments!C:C,MATCH(B564,Catchments!A:A,0))</x:f>
        <x:v>737270</x:v>
      </x:c>
    </x:row>
    <x:row r="565" ht="15" hidden="0" customHeight="1">
      <x:c r="A565" s="29" t="str">
        <x:v>SCA-19</x:v>
      </x:c>
      <x:c r="B565" s="29" t="str">
        <x:v>SCA-03</x:v>
      </x:c>
      <x:c r="C565" s="53" t="n">
        <x:v>72.72893973921826</x:v>
      </x:c>
      <x:c r="D565" s="29" t="str">
        <x:v>NO</x:v>
      </x:c>
      <x:c r="E565" s="53" t="n">
        <x:v>66.14416693795721</x:v>
      </x:c>
      <x:c r="F565" s="29" t="str">
        <x:v>YES</x:v>
      </x:c>
      <x:c r="G565" s="53" t="n">
        <x:v>16.064959121695388</x:v>
      </x:c>
      <x:c r="H565" s="29" t="str">
        <x:v>YES</x:v>
      </x:c>
      <x:c r="I565" s="53" t="n">
        <x:v>122.36512246792867</x:v>
      </x:c>
      <x:c r="J565" s="29" t="str">
        <x:v>NO</x:v>
      </x:c>
      <x:c r="K565" s="29" t="str">
        <x:v>Air</x:v>
      </x:c>
      <x:c r="L565" s="53" t="n">
        <x:v>16.064959121695388</x:v>
      </x:c>
      <x:c r="M565" s="41" t="n">
        <x:f>INDEX(Catchments!C:C,MATCH(A565,Catchments!A:A,0))</x:f>
        <x:v>6677653</x:v>
      </x:c>
      <x:c r="N565" s="41" t="n">
        <x:f>INDEX(Catchments!C:C,MATCH(B565,Catchments!A:A,0))</x:f>
        <x:v>11968308</x:v>
      </x:c>
    </x:row>
    <x:row r="566" ht="15" hidden="0" customHeight="1">
      <x:c r="A566" s="27" t="str">
        <x:v>SCA-19</x:v>
      </x:c>
      <x:c r="B566" s="27" t="str">
        <x:v>SCA-04</x:v>
      </x:c>
      <x:c r="C566" s="52" t="n">
        <x:v>79.5393430441938</x:v>
      </x:c>
      <x:c r="D566" s="27" t="str">
        <x:v>NO</x:v>
      </x:c>
      <x:c r="E566" s="52" t="n">
        <x:v>71.49519810615226</x:v>
      </x:c>
      <x:c r="F566" s="27" t="str">
        <x:v>YES</x:v>
      </x:c>
      <x:c r="G566" s="52" t="n">
        <x:v>16.084474721577568</x:v>
      </x:c>
      <x:c r="H566" s="27" t="str">
        <x:v>YES</x:v>
      </x:c>
      <x:c r="I566" s="52" t="n">
        <x:v>122.81816317947926</x:v>
      </x:c>
      <x:c r="J566" s="27" t="str">
        <x:v>NO</x:v>
      </x:c>
      <x:c r="K566" s="27" t="str">
        <x:v>Air</x:v>
      </x:c>
      <x:c r="L566" s="52" t="n">
        <x:v>16.084474721577568</x:v>
      </x:c>
      <x:c r="M566" s="40" t="n">
        <x:f>INDEX(Catchments!C:C,MATCH(A566,Catchments!A:A,0))</x:f>
        <x:v>6677653</x:v>
      </x:c>
      <x:c r="N566" s="40" t="n">
        <x:f>INDEX(Catchments!C:C,MATCH(B566,Catchments!A:A,0))</x:f>
        <x:v>16200470</x:v>
      </x:c>
    </x:row>
    <x:row r="567" ht="15" hidden="0" customHeight="1">
      <x:c r="A567" s="29" t="str">
        <x:v>SCA-19</x:v>
      </x:c>
      <x:c r="B567" s="29" t="str">
        <x:v>SCA-05</x:v>
      </x:c>
      <x:c r="C567" s="53" t="n">
        <x:v>72.18464693496156</x:v>
      </x:c>
      <x:c r="D567" s="29" t="str">
        <x:v>NO</x:v>
      </x:c>
      <x:c r="E567" s="53" t="n">
        <x:v>65.71650830604122</x:v>
      </x:c>
      <x:c r="F567" s="29" t="str">
        <x:v>YES</x:v>
      </x:c>
      <x:c r="G567" s="53" t="n">
        <x:v>15.828556151833784</x:v>
      </x:c>
      <x:c r="H567" s="29" t="str">
        <x:v>YES</x:v>
      </x:c>
      <x:c r="I567" s="53" t="n">
        <x:v>116.8771963818557</x:v>
      </x:c>
      <x:c r="J567" s="29" t="str">
        <x:v>NO</x:v>
      </x:c>
      <x:c r="K567" s="29" t="str">
        <x:v>Air</x:v>
      </x:c>
      <x:c r="L567" s="53" t="n">
        <x:v>15.828556151833784</x:v>
      </x:c>
      <x:c r="M567" s="41" t="n">
        <x:f>INDEX(Catchments!C:C,MATCH(A567,Catchments!A:A,0))</x:f>
        <x:v>6677653</x:v>
      </x:c>
      <x:c r="N567" s="41" t="n">
        <x:f>INDEX(Catchments!C:C,MATCH(B567,Catchments!A:A,0))</x:f>
        <x:v>15966265</x:v>
      </x:c>
    </x:row>
    <x:row r="568" ht="15" hidden="0" customHeight="1">
      <x:c r="A568" s="27" t="str">
        <x:v>SCA-19</x:v>
      </x:c>
      <x:c r="B568" s="27" t="str">
        <x:v>SCA-06</x:v>
      </x:c>
      <x:c r="C568" s="52" t="n">
        <x:v>67.80724016623205</x:v>
      </x:c>
      <x:c r="D568" s="27" t="str">
        <x:v>YES</x:v>
      </x:c>
      <x:c r="E568" s="52" t="n">
        <x:v>62.277117273468036</x:v>
      </x:c>
      <x:c r="F568" s="27" t="str">
        <x:v>YES</x:v>
      </x:c>
      <x:c r="G568" s="52" t="n">
        <x:v>15.6265094154328</x:v>
      </x:c>
      <x:c r="H568" s="27" t="str">
        <x:v>YES</x:v>
      </x:c>
      <x:c r="I568" s="52" t="n">
        <x:v>112.18682571540428</x:v>
      </x:c>
      <x:c r="J568" s="27" t="str">
        <x:v>NO</x:v>
      </x:c>
      <x:c r="K568" s="27" t="str">
        <x:v>Air</x:v>
      </x:c>
      <x:c r="L568" s="52" t="n">
        <x:v>15.6265094154328</x:v>
      </x:c>
      <x:c r="M568" s="40" t="n">
        <x:f>INDEX(Catchments!C:C,MATCH(A568,Catchments!A:A,0))</x:f>
        <x:v>6677653</x:v>
      </x:c>
      <x:c r="N568" s="40" t="n">
        <x:f>INDEX(Catchments!C:C,MATCH(B568,Catchments!A:A,0))</x:f>
        <x:v>6008575</x:v>
      </x:c>
    </x:row>
    <x:row r="569" ht="15" hidden="0" customHeight="1">
      <x:c r="A569" s="29" t="str">
        <x:v>SCA-19</x:v>
      </x:c>
      <x:c r="B569" s="29" t="str">
        <x:v>SCA-07</x:v>
      </x:c>
      <x:c r="C569" s="53" t="n">
        <x:v>66.8010851050548</x:v>
      </x:c>
      <x:c r="D569" s="29" t="str">
        <x:v>YES</x:v>
      </x:c>
      <x:c r="E569" s="53" t="n">
        <x:v>61.48656686825734</x:v>
      </x:c>
      <x:c r="F569" s="29" t="str">
        <x:v>YES</x:v>
      </x:c>
      <x:c r="G569" s="53" t="n">
        <x:v>15.358314741259827</x:v>
      </x:c>
      <x:c r="H569" s="29" t="str">
        <x:v>YES</x:v>
      </x:c>
      <x:c r="I569" s="53" t="n">
        <x:v>105.96087792210312</x:v>
      </x:c>
      <x:c r="J569" s="29" t="str">
        <x:v>NO</x:v>
      </x:c>
      <x:c r="K569" s="29" t="str">
        <x:v>Air</x:v>
      </x:c>
      <x:c r="L569" s="53" t="n">
        <x:v>15.358314741259827</x:v>
      </x:c>
      <x:c r="M569" s="41" t="n">
        <x:f>INDEX(Catchments!C:C,MATCH(A569,Catchments!A:A,0))</x:f>
        <x:v>6677653</x:v>
      </x:c>
      <x:c r="N569" s="41" t="n">
        <x:f>INDEX(Catchments!C:C,MATCH(B569,Catchments!A:A,0))</x:f>
        <x:v>5229370</x:v>
      </x:c>
    </x:row>
    <x:row r="570" ht="15" hidden="0" customHeight="1">
      <x:c r="A570" s="27" t="str">
        <x:v>SCA-19</x:v>
      </x:c>
      <x:c r="B570" s="27" t="str">
        <x:v>SCA-08</x:v>
      </x:c>
      <x:c r="C570" s="52" t="n">
        <x:v>61.00794201062717</x:v>
      </x:c>
      <x:c r="D570" s="27" t="str">
        <x:v>YES</x:v>
      </x:c>
      <x:c r="E570" s="52" t="n">
        <x:v>56.93481157977849</x:v>
      </x:c>
      <x:c r="F570" s="27" t="str">
        <x:v>YES</x:v>
      </x:c>
      <x:c r="G570" s="52" t="n">
        <x:v>15.22337403694302</x:v>
      </x:c>
      <x:c r="H570" s="27" t="str">
        <x:v>YES</x:v>
      </x:c>
      <x:c r="I570" s="52" t="n">
        <x:v>102.82832585760583</x:v>
      </x:c>
      <x:c r="J570" s="27" t="str">
        <x:v>NO</x:v>
      </x:c>
      <x:c r="K570" s="27" t="str">
        <x:v>Air</x:v>
      </x:c>
      <x:c r="L570" s="52" t="n">
        <x:v>15.22337403694302</x:v>
      </x:c>
      <x:c r="M570" s="40" t="n">
        <x:f>INDEX(Catchments!C:C,MATCH(A570,Catchments!A:A,0))</x:f>
        <x:v>6677653</x:v>
      </x:c>
      <x:c r="N570" s="40" t="n">
        <x:f>INDEX(Catchments!C:C,MATCH(B570,Catchments!A:A,0))</x:f>
        <x:v>2652387</x:v>
      </x:c>
    </x:row>
    <x:row r="571" ht="15" hidden="0" customHeight="1">
      <x:c r="A571" s="29" t="str">
        <x:v>SCA-19</x:v>
      </x:c>
      <x:c r="B571" s="29" t="str">
        <x:v>SCA-09</x:v>
      </x:c>
      <x:c r="C571" s="53" t="n">
        <x:v>59.63052286147148</x:v>
      </x:c>
      <x:c r="D571" s="29" t="str">
        <x:v>YES</x:v>
      </x:c>
      <x:c r="E571" s="53" t="n">
        <x:v>55.85255367687045</x:v>
      </x:c>
      <x:c r="F571" s="29" t="str">
        <x:v>YES</x:v>
      </x:c>
      <x:c r="G571" s="53" t="n">
        <x:v>15.078488262340086</x:v>
      </x:c>
      <x:c r="H571" s="29" t="str">
        <x:v>YES</x:v>
      </x:c>
      <x:c r="I571" s="53"/>
      <x:c r="J571" s="29" t="str">
        <x:v>NO</x:v>
      </x:c>
      <x:c r="K571" s="29" t="str">
        <x:v>Air</x:v>
      </x:c>
      <x:c r="L571" s="53" t="n">
        <x:v>15.078488262340086</x:v>
      </x:c>
      <x:c r="M571" s="41" t="n">
        <x:f>INDEX(Catchments!C:C,MATCH(A571,Catchments!A:A,0))</x:f>
        <x:v>6677653</x:v>
      </x:c>
      <x:c r="N571" s="41" t="n">
        <x:f>INDEX(Catchments!C:C,MATCH(B571,Catchments!A:A,0))</x:f>
        <x:v>7395716</x:v>
      </x:c>
    </x:row>
    <x:row r="572" ht="15" hidden="0" customHeight="1">
      <x:c r="A572" s="27" t="str">
        <x:v>SCA-19</x:v>
      </x:c>
      <x:c r="B572" s="27" t="str">
        <x:v>SCA-10</x:v>
      </x:c>
      <x:c r="C572" s="52" t="n">
        <x:v>51.997461421246534</x:v>
      </x:c>
      <x:c r="D572" s="27" t="str">
        <x:v>YES</x:v>
      </x:c>
      <x:c r="E572" s="52" t="n">
        <x:v>49.855148259550845</x:v>
      </x:c>
      <x:c r="F572" s="27" t="str">
        <x:v>YES</x:v>
      </x:c>
      <x:c r="G572" s="52" t="n">
        <x:v>14.708739028154477</x:v>
      </x:c>
      <x:c r="H572" s="27" t="str">
        <x:v>YES</x:v>
      </x:c>
      <x:c r="I572" s="52"/>
      <x:c r="J572" s="27" t="str">
        <x:v>NO</x:v>
      </x:c>
      <x:c r="K572" s="27" t="str">
        <x:v>Air</x:v>
      </x:c>
      <x:c r="L572" s="52" t="n">
        <x:v>14.708739028154477</x:v>
      </x:c>
      <x:c r="M572" s="40" t="n">
        <x:f>INDEX(Catchments!C:C,MATCH(A572,Catchments!A:A,0))</x:f>
        <x:v>6677653</x:v>
      </x:c>
      <x:c r="N572" s="40" t="n">
        <x:f>INDEX(Catchments!C:C,MATCH(B572,Catchments!A:A,0))</x:f>
        <x:v>4127033</x:v>
      </x:c>
    </x:row>
    <x:row r="573" ht="15" hidden="0" customHeight="1">
      <x:c r="A573" s="29" t="str">
        <x:v>SCA-19</x:v>
      </x:c>
      <x:c r="B573" s="29" t="str">
        <x:v>SCA-11</x:v>
      </x:c>
      <x:c r="C573" s="53" t="n">
        <x:v>51.761627806224695</x:v>
      </x:c>
      <x:c r="D573" s="29" t="str">
        <x:v>YES</x:v>
      </x:c>
      <x:c r="E573" s="53" t="n">
        <x:v>49.66985041917655</x:v>
      </x:c>
      <x:c r="F573" s="29" t="str">
        <x:v>YES</x:v>
      </x:c>
      <x:c r="G573" s="53" t="n">
        <x:v>14.178676329209479</x:v>
      </x:c>
      <x:c r="H573" s="29" t="str">
        <x:v>YES</x:v>
      </x:c>
      <x:c r="I573" s="53" t="n">
        <x:v>78.57641478522007</x:v>
      </x:c>
      <x:c r="J573" s="29" t="str">
        <x:v>NO</x:v>
      </x:c>
      <x:c r="K573" s="29" t="str">
        <x:v>Air</x:v>
      </x:c>
      <x:c r="L573" s="53" t="n">
        <x:v>14.178676329209479</x:v>
      </x:c>
      <x:c r="M573" s="41" t="n">
        <x:f>INDEX(Catchments!C:C,MATCH(A573,Catchments!A:A,0))</x:f>
        <x:v>6677653</x:v>
      </x:c>
      <x:c r="N573" s="41" t="n">
        <x:f>INDEX(Catchments!C:C,MATCH(B573,Catchments!A:A,0))</x:f>
        <x:v>3517787</x:v>
      </x:c>
    </x:row>
    <x:row r="574" ht="15" hidden="0" customHeight="1">
      <x:c r="A574" s="27" t="str">
        <x:v>SCA-19</x:v>
      </x:c>
      <x:c r="B574" s="27" t="str">
        <x:v>SCA-12</x:v>
      </x:c>
      <x:c r="C574" s="52" t="n">
        <x:v>39.701862107674856</x:v>
      </x:c>
      <x:c r="D574" s="27" t="str">
        <x:v>YES</x:v>
      </x:c>
      <x:c r="E574" s="52" t="n">
        <x:v>40.19432022745882</x:v>
      </x:c>
      <x:c r="F574" s="27" t="str">
        <x:v>YES</x:v>
      </x:c>
      <x:c r="G574" s="52" t="n">
        <x:v>13.850821347674056</x:v>
      </x:c>
      <x:c r="H574" s="27" t="str">
        <x:v>YES</x:v>
      </x:c>
      <x:c r="I574" s="52"/>
      <x:c r="J574" s="27" t="str">
        <x:v>NO</x:v>
      </x:c>
      <x:c r="K574" s="27" t="str">
        <x:v>Air</x:v>
      </x:c>
      <x:c r="L574" s="52" t="n">
        <x:v>13.850821347674056</x:v>
      </x:c>
      <x:c r="M574" s="40" t="n">
        <x:f>INDEX(Catchments!C:C,MATCH(A574,Catchments!A:A,0))</x:f>
        <x:v>6677653</x:v>
      </x:c>
      <x:c r="N574" s="40" t="n">
        <x:f>INDEX(Catchments!C:C,MATCH(B574,Catchments!A:A,0))</x:f>
        <x:v>7465186</x:v>
      </x:c>
    </x:row>
    <x:row r="575" ht="15" hidden="0" customHeight="1">
      <x:c r="A575" s="29" t="str">
        <x:v>SCA-19</x:v>
      </x:c>
      <x:c r="B575" s="29" t="str">
        <x:v>SCA-13</x:v>
      </x:c>
      <x:c r="C575" s="53" t="n">
        <x:v>42.98808113140108</x:v>
      </x:c>
      <x:c r="D575" s="29" t="str">
        <x:v>YES</x:v>
      </x:c>
      <x:c r="E575" s="53" t="n">
        <x:v>42.77634946038656</x:v>
      </x:c>
      <x:c r="F575" s="29" t="str">
        <x:v>YES</x:v>
      </x:c>
      <x:c r="G575" s="53" t="n">
        <x:v>13.809490961191244</x:v>
      </x:c>
      <x:c r="H575" s="29" t="str">
        <x:v>YES</x:v>
      </x:c>
      <x:c r="I575" s="53" t="n">
        <x:v>70.006040170511</x:v>
      </x:c>
      <x:c r="J575" s="29" t="str">
        <x:v>YES</x:v>
      </x:c>
      <x:c r="K575" s="29" t="str">
        <x:v>Air</x:v>
      </x:c>
      <x:c r="L575" s="53" t="n">
        <x:v>13.809490961191244</x:v>
      </x:c>
      <x:c r="M575" s="41" t="n">
        <x:f>INDEX(Catchments!C:C,MATCH(A575,Catchments!A:A,0))</x:f>
        <x:v>6677653</x:v>
      </x:c>
      <x:c r="N575" s="41" t="n">
        <x:f>INDEX(Catchments!C:C,MATCH(B575,Catchments!A:A,0))</x:f>
        <x:v>6759014</x:v>
      </x:c>
    </x:row>
    <x:row r="576" ht="15" hidden="0" customHeight="1">
      <x:c r="A576" s="27" t="str">
        <x:v>SCA-19</x:v>
      </x:c>
      <x:c r="B576" s="27" t="str">
        <x:v>SCA-14</x:v>
      </x:c>
      <x:c r="C576" s="52" t="n">
        <x:v>50.32562319916674</x:v>
      </x:c>
      <x:c r="D576" s="27" t="str">
        <x:v>YES</x:v>
      </x:c>
      <x:c r="E576" s="52" t="n">
        <x:v>48.541561085059584</x:v>
      </x:c>
      <x:c r="F576" s="27" t="str">
        <x:v>YES</x:v>
      </x:c>
      <x:c r="G576" s="52" t="n">
        <x:v>14.279036012768183</x:v>
      </x:c>
      <x:c r="H576" s="27" t="str">
        <x:v>YES</x:v>
      </x:c>
      <x:c r="I576" s="52" t="n">
        <x:v>80.9061931535471</x:v>
      </x:c>
      <x:c r="J576" s="27" t="str">
        <x:v>NO</x:v>
      </x:c>
      <x:c r="K576" s="27" t="str">
        <x:v>Air</x:v>
      </x:c>
      <x:c r="L576" s="52" t="n">
        <x:v>14.279036012768183</x:v>
      </x:c>
      <x:c r="M576" s="40" t="n">
        <x:f>INDEX(Catchments!C:C,MATCH(A576,Catchments!A:A,0))</x:f>
        <x:v>6677653</x:v>
      </x:c>
      <x:c r="N576" s="40" t="n">
        <x:f>INDEX(Catchments!C:C,MATCH(B576,Catchments!A:A,0))</x:f>
        <x:v>2179728</x:v>
      </x:c>
    </x:row>
    <x:row r="577" ht="15" hidden="0" customHeight="1">
      <x:c r="A577" s="29" t="str">
        <x:v>SCA-19</x:v>
      </x:c>
      <x:c r="B577" s="29" t="str">
        <x:v>SCA-15</x:v>
      </x:c>
      <x:c r="C577" s="53" t="n">
        <x:v>35.30021565232584</x:v>
      </x:c>
      <x:c r="D577" s="29" t="str">
        <x:v>YES</x:v>
      </x:c>
      <x:c r="E577" s="53" t="n">
        <x:v>36.735883726827446</x:v>
      </x:c>
      <x:c r="F577" s="29" t="str">
        <x:v>YES</x:v>
      </x:c>
      <x:c r="G577" s="53" t="n">
        <x:v>13.257998292336463</x:v>
      </x:c>
      <x:c r="H577" s="29" t="str">
        <x:v>YES</x:v>
      </x:c>
      <x:c r="I577" s="53" t="n">
        <x:v>57.2035317863822</x:v>
      </x:c>
      <x:c r="J577" s="29" t="str">
        <x:v>YES</x:v>
      </x:c>
      <x:c r="K577" s="29" t="str">
        <x:v>Air</x:v>
      </x:c>
      <x:c r="L577" s="53" t="n">
        <x:v>13.257998292336463</x:v>
      </x:c>
      <x:c r="M577" s="41" t="n">
        <x:f>INDEX(Catchments!C:C,MATCH(A577,Catchments!A:A,0))</x:f>
        <x:v>6677653</x:v>
      </x:c>
      <x:c r="N577" s="41" t="n">
        <x:f>INDEX(Catchments!C:C,MATCH(B577,Catchments!A:A,0))</x:f>
        <x:v>13192386</x:v>
      </x:c>
    </x:row>
    <x:row r="578" ht="15" hidden="0" customHeight="1">
      <x:c r="A578" s="27" t="str">
        <x:v>SCA-19</x:v>
      </x:c>
      <x:c r="B578" s="27" t="str">
        <x:v>SCA-16</x:v>
      </x:c>
      <x:c r="C578" s="52" t="n">
        <x:v>23.481548616891196</x:v>
      </x:c>
      <x:c r="D578" s="27" t="str">
        <x:v>YES</x:v>
      </x:c>
      <x:c r="E578" s="52" t="n">
        <x:v>27.449788198985942</x:v>
      </x:c>
      <x:c r="F578" s="27" t="str">
        <x:v>YES</x:v>
      </x:c>
      <x:c r="G578" s="52" t="n">
        <x:v>12.69763902866758</x:v>
      </x:c>
      <x:c r="H578" s="27" t="str">
        <x:v>YES</x:v>
      </x:c>
      <x:c r="I578" s="52"/>
      <x:c r="J578" s="27" t="str">
        <x:v>NO</x:v>
      </x:c>
      <x:c r="K578" s="27" t="str">
        <x:v>Air</x:v>
      </x:c>
      <x:c r="L578" s="52" t="n">
        <x:v>12.69763902866758</x:v>
      </x:c>
      <x:c r="M578" s="40" t="n">
        <x:f>INDEX(Catchments!C:C,MATCH(A578,Catchments!A:A,0))</x:f>
        <x:v>6677653</x:v>
      </x:c>
      <x:c r="N578" s="40" t="n">
        <x:f>INDEX(Catchments!C:C,MATCH(B578,Catchments!A:A,0))</x:f>
        <x:v>10177969</x:v>
      </x:c>
    </x:row>
    <x:row r="579" ht="15" hidden="0" customHeight="1">
      <x:c r="A579" s="29" t="str">
        <x:v>SCA-19</x:v>
      </x:c>
      <x:c r="B579" s="29" t="str">
        <x:v>SCA-17</x:v>
      </x:c>
      <x:c r="C579" s="53" t="n">
        <x:v>37.487929170535025</x:v>
      </x:c>
      <x:c r="D579" s="29" t="str">
        <x:v>YES</x:v>
      </x:c>
      <x:c r="E579" s="53" t="n">
        <x:v>38.45480149113466</x:v>
      </x:c>
      <x:c r="F579" s="29" t="str">
        <x:v>YES</x:v>
      </x:c>
      <x:c r="G579" s="53" t="n">
        <x:v>13.558838328517822</x:v>
      </x:c>
      <x:c r="H579" s="29" t="str">
        <x:v>YES</x:v>
      </x:c>
      <x:c r="I579" s="53" t="n">
        <x:v>64.18731834059228</x:v>
      </x:c>
      <x:c r="J579" s="29" t="str">
        <x:v>YES</x:v>
      </x:c>
      <x:c r="K579" s="29" t="str">
        <x:v>Air</x:v>
      </x:c>
      <x:c r="L579" s="53" t="n">
        <x:v>13.558838328517822</x:v>
      </x:c>
      <x:c r="M579" s="41" t="n">
        <x:f>INDEX(Catchments!C:C,MATCH(A579,Catchments!A:A,0))</x:f>
        <x:v>6677653</x:v>
      </x:c>
      <x:c r="N579" s="41" t="n">
        <x:f>INDEX(Catchments!C:C,MATCH(B579,Catchments!A:A,0))</x:f>
        <x:v>12843509</x:v>
      </x:c>
    </x:row>
    <x:row r="580" ht="15" hidden="0" customHeight="1">
      <x:c r="A580" s="27" t="str">
        <x:v>SCA-19</x:v>
      </x:c>
      <x:c r="B580" s="27" t="str">
        <x:v>SCA-18</x:v>
      </x:c>
      <x:c r="C580" s="52" t="n">
        <x:v>28.906830877430266</x:v>
      </x:c>
      <x:c r="D580" s="27" t="str">
        <x:v>YES</x:v>
      </x:c>
      <x:c r="E580" s="52" t="n">
        <x:v>31.71250997512378</x:v>
      </x:c>
      <x:c r="F580" s="27" t="str">
        <x:v>YES</x:v>
      </x:c>
      <x:c r="G580" s="52" t="n">
        <x:v>13.09682367660022</x:v>
      </x:c>
      <x:c r="H580" s="27" t="str">
        <x:v>YES</x:v>
      </x:c>
      <x:c r="I580" s="52" t="n">
        <x:v>53.46197820679083</x:v>
      </x:c>
      <x:c r="J580" s="27" t="str">
        <x:v>YES</x:v>
      </x:c>
      <x:c r="K580" s="27" t="str">
        <x:v>Air</x:v>
      </x:c>
      <x:c r="L580" s="52" t="n">
        <x:v>13.09682367660022</x:v>
      </x:c>
      <x:c r="M580" s="40" t="n">
        <x:f>INDEX(Catchments!C:C,MATCH(A580,Catchments!A:A,0))</x:f>
        <x:v>6677653</x:v>
      </x:c>
      <x:c r="N580" s="40" t="n">
        <x:f>INDEX(Catchments!C:C,MATCH(B580,Catchments!A:A,0))</x:f>
        <x:v>11004680</x:v>
      </x:c>
    </x:row>
    <x:row r="581" ht="15" hidden="0" customHeight="1">
      <x:c r="A581" s="29" t="str">
        <x:v>SCA-19</x:v>
      </x:c>
      <x:c r="B581" s="29" t="str">
        <x:v>SCA-20</x:v>
      </x:c>
      <x:c r="C581" s="53" t="n">
        <x:v>24.93720145119623</x:v>
      </x:c>
      <x:c r="D581" s="29" t="str">
        <x:v>YES</x:v>
      </x:c>
      <x:c r="E581" s="53" t="n">
        <x:v>28.5935154259399</x:v>
      </x:c>
      <x:c r="F581" s="29" t="str">
        <x:v>YES</x:v>
      </x:c>
      <x:c r="G581" s="53" t="n">
        <x:v>12.804743919486011</x:v>
      </x:c>
      <x:c r="H581" s="29" t="str">
        <x:v>YES</x:v>
      </x:c>
      <x:c r="I581" s="53" t="n">
        <x:v>46.68155527378238</x:v>
      </x:c>
      <x:c r="J581" s="29" t="str">
        <x:v>YES</x:v>
      </x:c>
      <x:c r="K581" s="29" t="str">
        <x:v>Air</x:v>
      </x:c>
      <x:c r="L581" s="53" t="n">
        <x:v>12.804743919486011</x:v>
      </x:c>
      <x:c r="M581" s="41" t="n">
        <x:f>INDEX(Catchments!C:C,MATCH(A581,Catchments!A:A,0))</x:f>
        <x:v>6677653</x:v>
      </x:c>
      <x:c r="N581" s="41" t="n">
        <x:f>INDEX(Catchments!C:C,MATCH(B581,Catchments!A:A,0))</x:f>
        <x:v>8490774</x:v>
      </x:c>
    </x:row>
    <x:row r="582" ht="15" hidden="0" customHeight="1">
      <x:c r="A582" s="27" t="str">
        <x:v>SCA-19</x:v>
      </x:c>
      <x:c r="B582" s="27" t="str">
        <x:v>SCA-21</x:v>
      </x:c>
      <x:c r="C582" s="52" t="n">
        <x:v>23.55504293045643</x:v>
      </x:c>
      <x:c r="D582" s="27" t="str">
        <x:v>YES</x:v>
      </x:c>
      <x:c r="E582" s="52" t="n">
        <x:v>27.50753373107291</x:v>
      </x:c>
      <x:c r="F582" s="27" t="str">
        <x:v>YES</x:v>
      </x:c>
      <x:c r="G582" s="52" t="n">
        <x:v>12.70304663702355</x:v>
      </x:c>
      <x:c r="H582" s="27" t="str">
        <x:v>YES</x:v>
      </x:c>
      <x:c r="I582" s="52" t="n">
        <x:v>44.320725502332415</x:v>
      </x:c>
      <x:c r="J582" s="27" t="str">
        <x:v>YES</x:v>
      </x:c>
      <x:c r="K582" s="27" t="str">
        <x:v>Air</x:v>
      </x:c>
      <x:c r="L582" s="52" t="n">
        <x:v>12.70304663702355</x:v>
      </x:c>
      <x:c r="M582" s="40" t="n">
        <x:f>INDEX(Catchments!C:C,MATCH(A582,Catchments!A:A,0))</x:f>
        <x:v>6677653</x:v>
      </x:c>
      <x:c r="N582" s="40" t="n">
        <x:f>INDEX(Catchments!C:C,MATCH(B582,Catchments!A:A,0))</x:f>
        <x:v>19593580</x:v>
      </x:c>
    </x:row>
    <x:row r="583" ht="15" hidden="0" customHeight="1">
      <x:c r="A583" s="29" t="str">
        <x:v>SCA-19</x:v>
      </x:c>
      <x:c r="B583" s="29" t="str">
        <x:v>SCA-22</x:v>
      </x:c>
      <x:c r="C583" s="53" t="n">
        <x:v>24.137866015642345</x:v>
      </x:c>
      <x:c r="D583" s="29" t="str">
        <x:v>YES</x:v>
      </x:c>
      <x:c r="E583" s="53" t="n">
        <x:v>27.965466155147556</x:v>
      </x:c>
      <x:c r="F583" s="29" t="str">
        <x:v>YES</x:v>
      </x:c>
      <x:c r="G583" s="53" t="n">
        <x:v>12.745929940950273</x:v>
      </x:c>
      <x:c r="H583" s="29" t="str">
        <x:v>YES</x:v>
      </x:c>
      <x:c r="I583" s="53" t="n">
        <x:v>45.3162307720599</x:v>
      </x:c>
      <x:c r="J583" s="29" t="str">
        <x:v>YES</x:v>
      </x:c>
      <x:c r="K583" s="29" t="str">
        <x:v>Air</x:v>
      </x:c>
      <x:c r="L583" s="53" t="n">
        <x:v>12.745929940950273</x:v>
      </x:c>
      <x:c r="M583" s="41" t="n">
        <x:f>INDEX(Catchments!C:C,MATCH(A583,Catchments!A:A,0))</x:f>
        <x:v>6677653</x:v>
      </x:c>
      <x:c r="N583" s="41" t="n">
        <x:f>INDEX(Catchments!C:C,MATCH(B583,Catchments!A:A,0))</x:f>
        <x:v>14732006</x:v>
      </x:c>
    </x:row>
    <x:row r="584" ht="15" hidden="0" customHeight="1">
      <x:c r="A584" s="27" t="str">
        <x:v>SCA-19</x:v>
      </x:c>
      <x:c r="B584" s="27" t="str">
        <x:v>SCA-23</x:v>
      </x:c>
      <x:c r="C584" s="52" t="n">
        <x:v>34.84537316443208</x:v>
      </x:c>
      <x:c r="D584" s="27" t="str">
        <x:v>YES</x:v>
      </x:c>
      <x:c r="E584" s="52" t="n">
        <x:v>36.378507486339494</x:v>
      </x:c>
      <x:c r="F584" s="27" t="str">
        <x:v>YES</x:v>
      </x:c>
      <x:c r="G584" s="52" t="n">
        <x:v>13.213725472770555</x:v>
      </x:c>
      <x:c r="H584" s="27" t="str">
        <x:v>YES</x:v>
      </x:c>
      <x:c r="I584" s="52" t="n">
        <x:v>56.175769903602166</x:v>
      </x:c>
      <x:c r="J584" s="27" t="str">
        <x:v>YES</x:v>
      </x:c>
      <x:c r="K584" s="27" t="str">
        <x:v>Air</x:v>
      </x:c>
      <x:c r="L584" s="52" t="n">
        <x:v>13.213725472770555</x:v>
      </x:c>
      <x:c r="M584" s="40" t="n">
        <x:f>INDEX(Catchments!C:C,MATCH(A584,Catchments!A:A,0))</x:f>
        <x:v>6677653</x:v>
      </x:c>
      <x:c r="N584" s="40" t="n">
        <x:f>INDEX(Catchments!C:C,MATCH(B584,Catchments!A:A,0))</x:f>
        <x:v>20869310</x:v>
      </x:c>
    </x:row>
    <x:row r="585" ht="15" hidden="0" customHeight="1">
      <x:c r="A585" s="29" t="str">
        <x:v>SCA-19</x:v>
      </x:c>
      <x:c r="B585" s="29" t="str">
        <x:v>SCA-24</x:v>
      </x:c>
      <x:c r="C585" s="53" t="n">
        <x:v>30.77758935160257</x:v>
      </x:c>
      <x:c r="D585" s="29" t="str">
        <x:v>YES</x:v>
      </x:c>
      <x:c r="E585" s="53" t="n">
        <x:v>33.18239163340202</x:v>
      </x:c>
      <x:c r="F585" s="29" t="str">
        <x:v>YES</x:v>
      </x:c>
      <x:c r="G585" s="53" t="n">
        <x:v>13.117686486871094</x:v>
      </x:c>
      <x:c r="H585" s="29" t="str">
        <x:v>YES</x:v>
      </x:c>
      <x:c r="I585" s="53" t="n">
        <x:v>53.9462934452218</x:v>
      </x:c>
      <x:c r="J585" s="29" t="str">
        <x:v>YES</x:v>
      </x:c>
      <x:c r="K585" s="29" t="str">
        <x:v>Air</x:v>
      </x:c>
      <x:c r="L585" s="53" t="n">
        <x:v>13.117686486871094</x:v>
      </x:c>
      <x:c r="M585" s="41" t="n">
        <x:f>INDEX(Catchments!C:C,MATCH(A585,Catchments!A:A,0))</x:f>
        <x:v>6677653</x:v>
      </x:c>
      <x:c r="N585" s="41" t="n">
        <x:f>INDEX(Catchments!C:C,MATCH(B585,Catchments!A:A,0))</x:f>
        <x:v>11816161</x:v>
      </x:c>
    </x:row>
    <x:row r="586" ht="15" hidden="0" customHeight="1">
      <x:c r="A586" s="27" t="str">
        <x:v>SCA-19</x:v>
      </x:c>
      <x:c r="B586" s="27" t="str">
        <x:v>SCA-25</x:v>
      </x:c>
      <x:c r="C586" s="52" t="n">
        <x:v>43.837812799330976</x:v>
      </x:c>
      <x:c r="D586" s="27" t="str">
        <x:v>YES</x:v>
      </x:c>
      <x:c r="E586" s="52" t="n">
        <x:v>43.443995770902916</x:v>
      </x:c>
      <x:c r="F586" s="27" t="str">
        <x:v>YES</x:v>
      </x:c>
      <x:c r="G586" s="52" t="n">
        <x:v>13.867733822273333</x:v>
      </x:c>
      <x:c r="H586" s="27" t="str">
        <x:v>YES</x:v>
      </x:c>
      <x:c r="I586" s="52" t="n">
        <x:v>71.35810658848811</x:v>
      </x:c>
      <x:c r="J586" s="27" t="str">
        <x:v>YES</x:v>
      </x:c>
      <x:c r="K586" s="27" t="str">
        <x:v>Air</x:v>
      </x:c>
      <x:c r="L586" s="52" t="n">
        <x:v>13.867733822273333</x:v>
      </x:c>
      <x:c r="M586" s="40" t="n">
        <x:f>INDEX(Catchments!C:C,MATCH(A586,Catchments!A:A,0))</x:f>
        <x:v>6677653</x:v>
      </x:c>
      <x:c r="N586" s="40" t="n">
        <x:f>INDEX(Catchments!C:C,MATCH(B586,Catchments!A:A,0))</x:f>
        <x:v>6408394</x:v>
      </x:c>
    </x:row>
    <x:row r="587" ht="15" hidden="0" customHeight="1">
      <x:c r="A587" s="29" t="str">
        <x:v>SCA-19</x:v>
      </x:c>
      <x:c r="B587" s="29" t="str">
        <x:v>SCA-26</x:v>
      </x:c>
      <x:c r="C587" s="53" t="n">
        <x:v>49.81053017687321</x:v>
      </x:c>
      <x:c r="D587" s="29" t="str">
        <x:v>YES</x:v>
      </x:c>
      <x:c r="E587" s="53" t="n">
        <x:v>48.13684513897181</x:v>
      </x:c>
      <x:c r="F587" s="29" t="str">
        <x:v>YES</x:v>
      </x:c>
      <x:c r="G587" s="53" t="n">
        <x:v>14.24250242372433</x:v>
      </x:c>
      <x:c r="H587" s="29" t="str">
        <x:v>YES</x:v>
      </x:c>
      <x:c r="I587" s="53" t="n">
        <x:v>80.0580919793148</x:v>
      </x:c>
      <x:c r="J587" s="29" t="str">
        <x:v>NO</x:v>
      </x:c>
      <x:c r="K587" s="29" t="str">
        <x:v>Air</x:v>
      </x:c>
      <x:c r="L587" s="53" t="n">
        <x:v>14.24250242372433</x:v>
      </x:c>
      <x:c r="M587" s="41" t="n">
        <x:f>INDEX(Catchments!C:C,MATCH(A587,Catchments!A:A,0))</x:f>
        <x:v>6677653</x:v>
      </x:c>
      <x:c r="N587" s="41" t="n">
        <x:f>INDEX(Catchments!C:C,MATCH(B587,Catchments!A:A,0))</x:f>
        <x:v>10737083</x:v>
      </x:c>
    </x:row>
    <x:row r="588" ht="15" hidden="0" customHeight="1">
      <x:c r="A588" s="27" t="str">
        <x:v>SCA-19</x:v>
      </x:c>
      <x:c r="B588" s="27" t="str">
        <x:v>SCA-27</x:v>
      </x:c>
      <x:c r="C588" s="52" t="n">
        <x:v>54.89468043359227</x:v>
      </x:c>
      <x:c r="D588" s="27" t="str">
        <x:v>YES</x:v>
      </x:c>
      <x:c r="E588" s="52" t="n">
        <x:v>52.13153462639392</x:v>
      </x:c>
      <x:c r="F588" s="27" t="str">
        <x:v>YES</x:v>
      </x:c>
      <x:c r="G588" s="52" t="n">
        <x:v>14.616553190779868</x:v>
      </x:c>
      <x:c r="H588" s="27" t="str">
        <x:v>YES</x:v>
      </x:c>
      <x:c r="I588" s="52" t="n">
        <x:v>88.74141335738979</x:v>
      </x:c>
      <x:c r="J588" s="27" t="str">
        <x:v>NO</x:v>
      </x:c>
      <x:c r="K588" s="27" t="str">
        <x:v>Air</x:v>
      </x:c>
      <x:c r="L588" s="52" t="n">
        <x:v>14.616553190779868</x:v>
      </x:c>
      <x:c r="M588" s="40" t="n">
        <x:f>INDEX(Catchments!C:C,MATCH(A588,Catchments!A:A,0))</x:f>
        <x:v>6677653</x:v>
      </x:c>
      <x:c r="N588" s="40" t="n">
        <x:f>INDEX(Catchments!C:C,MATCH(B588,Catchments!A:A,0))</x:f>
        <x:v>7505606</x:v>
      </x:c>
    </x:row>
    <x:row r="589" ht="15" hidden="0" customHeight="1">
      <x:c r="A589" s="29" t="str">
        <x:v>SCA-19</x:v>
      </x:c>
      <x:c r="B589" s="29" t="str">
        <x:v>SCA-28</x:v>
      </x:c>
      <x:c r="C589" s="53" t="n">
        <x:v>35.85886556590304</x:v>
      </x:c>
      <x:c r="D589" s="29" t="str">
        <x:v>YES</x:v>
      </x:c>
      <x:c r="E589" s="53" t="n">
        <x:v>37.1748229446381</x:v>
      </x:c>
      <x:c r="F589" s="29" t="str">
        <x:v>YES</x:v>
      </x:c>
      <x:c r="G589" s="53" t="n">
        <x:v>13.547530654974498</x:v>
      </x:c>
      <x:c r="H589" s="29" t="str">
        <x:v>YES</x:v>
      </x:c>
      <x:c r="I589" s="53" t="n">
        <x:v>63.92481877619371</x:v>
      </x:c>
      <x:c r="J589" s="29" t="str">
        <x:v>YES</x:v>
      </x:c>
      <x:c r="K589" s="29" t="str">
        <x:v>Air</x:v>
      </x:c>
      <x:c r="L589" s="53" t="n">
        <x:v>13.547530654974498</x:v>
      </x:c>
      <x:c r="M589" s="41" t="n">
        <x:f>INDEX(Catchments!C:C,MATCH(A589,Catchments!A:A,0))</x:f>
        <x:v>6677653</x:v>
      </x:c>
      <x:c r="N589" s="41" t="n">
        <x:f>INDEX(Catchments!C:C,MATCH(B589,Catchments!A:A,0))</x:f>
        <x:v>21305157</x:v>
      </x:c>
    </x:row>
    <x:row r="590" ht="15" hidden="0" customHeight="1">
      <x:c r="A590" s="27" t="str">
        <x:v>SCA-19</x:v>
      </x:c>
      <x:c r="B590" s="27" t="str">
        <x:v>SCA-29</x:v>
      </x:c>
      <x:c r="C590" s="52" t="n">
        <x:v>37.1840937377177</x:v>
      </x:c>
      <x:c r="D590" s="27" t="str">
        <x:v>YES</x:v>
      </x:c>
      <x:c r="E590" s="52" t="n">
        <x:v>38.21607365106391</x:v>
      </x:c>
      <x:c r="F590" s="27" t="str">
        <x:v>YES</x:v>
      </x:c>
      <x:c r="G590" s="52" t="n">
        <x:v>13.684907790850495</x:v>
      </x:c>
      <x:c r="H590" s="27" t="str">
        <x:v>YES</x:v>
      </x:c>
      <x:c r="I590" s="52" t="n">
        <x:v>67.11393085902935</x:v>
      </x:c>
      <x:c r="J590" s="27" t="str">
        <x:v>YES</x:v>
      </x:c>
      <x:c r="K590" s="27" t="str">
        <x:v>Air</x:v>
      </x:c>
      <x:c r="L590" s="52" t="n">
        <x:v>13.684907790850495</x:v>
      </x:c>
      <x:c r="M590" s="40" t="n">
        <x:f>INDEX(Catchments!C:C,MATCH(A590,Catchments!A:A,0))</x:f>
        <x:v>6677653</x:v>
      </x:c>
      <x:c r="N590" s="40" t="n">
        <x:f>INDEX(Catchments!C:C,MATCH(B590,Catchments!A:A,0))</x:f>
        <x:v>19271685</x:v>
      </x:c>
    </x:row>
    <x:row r="591" ht="15" hidden="0" customHeight="1">
      <x:c r="A591" s="29" t="str">
        <x:v>SCA-19</x:v>
      </x:c>
      <x:c r="B591" s="29" t="str">
        <x:v>SCA-30</x:v>
      </x:c>
      <x:c r="C591" s="53" t="n">
        <x:v>44.28729676465286</x:v>
      </x:c>
      <x:c r="D591" s="29" t="str">
        <x:v>YES</x:v>
      </x:c>
      <x:c r="E591" s="53" t="n">
        <x:v>43.79716174365582</x:v>
      </x:c>
      <x:c r="F591" s="29" t="str">
        <x:v>YES</x:v>
      </x:c>
      <x:c r="G591" s="53" t="n">
        <x:v>14.16750706683154</x:v>
      </x:c>
      <x:c r="H591" s="29" t="str">
        <x:v>YES</x:v>
      </x:c>
      <x:c r="I591" s="53" t="n">
        <x:v>78.31712833716074</x:v>
      </x:c>
      <x:c r="J591" s="29" t="str">
        <x:v>NO</x:v>
      </x:c>
      <x:c r="K591" s="29" t="str">
        <x:v>Air</x:v>
      </x:c>
      <x:c r="L591" s="53" t="n">
        <x:v>14.16750706683154</x:v>
      </x:c>
      <x:c r="M591" s="41" t="n">
        <x:f>INDEX(Catchments!C:C,MATCH(A591,Catchments!A:A,0))</x:f>
        <x:v>6677653</x:v>
      </x:c>
      <x:c r="N591" s="41" t="n">
        <x:f>INDEX(Catchments!C:C,MATCH(B591,Catchments!A:A,0))</x:f>
        <x:v>41291847</x:v>
      </x:c>
    </x:row>
    <x:row r="592" ht="15" hidden="0" customHeight="1">
      <x:c r="A592" s="27" t="str">
        <x:v>SCA-19</x:v>
      </x:c>
      <x:c r="B592" s="27" t="str">
        <x:v>SCA-31</x:v>
      </x:c>
      <x:c r="C592" s="52" t="n">
        <x:v>51.434244858952965</x:v>
      </x:c>
      <x:c r="D592" s="27" t="str">
        <x:v>YES</x:v>
      </x:c>
      <x:c r="E592" s="52" t="n">
        <x:v>49.412620960605906</x:v>
      </x:c>
      <x:c r="F592" s="27" t="str">
        <x:v>YES</x:v>
      </x:c>
      <x:c r="G592" s="52" t="n">
        <x:v>14.590678533432259</x:v>
      </x:c>
      <x:c r="H592" s="27" t="str">
        <x:v>YES</x:v>
      </x:c>
      <x:c r="I592" s="52" t="n">
        <x:v>88.14075166896315</x:v>
      </x:c>
      <x:c r="J592" s="27" t="str">
        <x:v>NO</x:v>
      </x:c>
      <x:c r="K592" s="27" t="str">
        <x:v>Air</x:v>
      </x:c>
      <x:c r="L592" s="52" t="n">
        <x:v>14.590678533432259</x:v>
      </x:c>
      <x:c r="M592" s="40" t="n">
        <x:f>INDEX(Catchments!C:C,MATCH(A592,Catchments!A:A,0))</x:f>
        <x:v>6677653</x:v>
      </x:c>
      <x:c r="N592" s="40" t="n">
        <x:f>INDEX(Catchments!C:C,MATCH(B592,Catchments!A:A,0))</x:f>
        <x:v>14227128</x:v>
      </x:c>
    </x:row>
    <x:row r="593" ht="15" hidden="0" customHeight="1">
      <x:c r="A593" s="29" t="str">
        <x:v>SCA-19</x:v>
      </x:c>
      <x:c r="B593" s="29" t="str">
        <x:v>SCA-32</x:v>
      </x:c>
      <x:c r="C593" s="53"/>
      <x:c r="D593" s="29" t="str">
        <x:v>NO</x:v>
      </x:c>
      <x:c r="E593" s="53"/>
      <x:c r="F593" s="29" t="str">
        <x:v>NO</x:v>
      </x:c>
      <x:c r="G593" s="53" t="n">
        <x:v>17.05412109672084</x:v>
      </x:c>
      <x:c r="H593" s="29" t="str">
        <x:v>YES</x:v>
      </x:c>
      <x:c r="I593" s="53" t="n">
        <x:v>145.32781117387668</x:v>
      </x:c>
      <x:c r="J593" s="29" t="str">
        <x:v>NO</x:v>
      </x:c>
      <x:c r="K593" s="29" t="str">
        <x:v>Air</x:v>
      </x:c>
      <x:c r="L593" s="53" t="n">
        <x:v>17.05412109672084</x:v>
      </x:c>
      <x:c r="M593" s="41" t="n">
        <x:f>INDEX(Catchments!C:C,MATCH(A593,Catchments!A:A,0))</x:f>
        <x:v>6677653</x:v>
      </x:c>
      <x:c r="N593" s="41" t="n">
        <x:f>INDEX(Catchments!C:C,MATCH(B593,Catchments!A:A,0))</x:f>
        <x:v>3184835</x:v>
      </x:c>
    </x:row>
    <x:row r="594" ht="15" hidden="0" customHeight="1">
      <x:c r="A594" s="27" t="str">
        <x:v>SCA-20</x:v>
      </x:c>
      <x:c r="B594" s="27" t="str">
        <x:v>SCA-01</x:v>
      </x:c>
      <x:c r="C594" s="52"/>
      <x:c r="D594" s="27" t="str">
        <x:v>NO</x:v>
      </x:c>
      <x:c r="E594" s="52"/>
      <x:c r="F594" s="27" t="str">
        <x:v>NO</x:v>
      </x:c>
      <x:c r="G594" s="52" t="n">
        <x:v>22.311309785798123</x:v>
      </x:c>
      <x:c r="H594" s="27" t="str">
        <x:v>YES</x:v>
      </x:c>
      <x:c r="I594" s="52" t="n">
        <x:v>267.36969145602785</x:v>
      </x:c>
      <x:c r="J594" s="27" t="str">
        <x:v>NO</x:v>
      </x:c>
      <x:c r="K594" s="27" t="str">
        <x:v>Air</x:v>
      </x:c>
      <x:c r="L594" s="52" t="n">
        <x:v>22.311309785798123</x:v>
      </x:c>
      <x:c r="M594" s="40" t="n">
        <x:f>INDEX(Catchments!C:C,MATCH(A594,Catchments!A:A,0))</x:f>
        <x:v>8490774</x:v>
      </x:c>
      <x:c r="N594" s="40" t="n">
        <x:f>INDEX(Catchments!C:C,MATCH(B594,Catchments!A:A,0))</x:f>
        <x:v>1432820</x:v>
      </x:c>
    </x:row>
    <x:row r="595" ht="15" hidden="0" customHeight="1">
      <x:c r="A595" s="29" t="str">
        <x:v>SCA-20</x:v>
      </x:c>
      <x:c r="B595" s="29" t="str">
        <x:v>SCA-02</x:v>
      </x:c>
      <x:c r="C595" s="53"/>
      <x:c r="D595" s="29" t="str">
        <x:v>NO</x:v>
      </x:c>
      <x:c r="E595" s="53"/>
      <x:c r="F595" s="29" t="str">
        <x:v>NO</x:v>
      </x:c>
      <x:c r="G595" s="53" t="n">
        <x:v>19.633524568992563</x:v>
      </x:c>
      <x:c r="H595" s="29" t="str">
        <x:v>YES</x:v>
      </x:c>
      <x:c r="I595" s="53" t="n">
        <x:v>205.2068203516131</x:v>
      </x:c>
      <x:c r="J595" s="29" t="str">
        <x:v>NO</x:v>
      </x:c>
      <x:c r="K595" s="29" t="str">
        <x:v>Air</x:v>
      </x:c>
      <x:c r="L595" s="53" t="n">
        <x:v>19.633524568992563</x:v>
      </x:c>
      <x:c r="M595" s="41" t="n">
        <x:f>INDEX(Catchments!C:C,MATCH(A595,Catchments!A:A,0))</x:f>
        <x:v>8490774</x:v>
      </x:c>
      <x:c r="N595" s="41" t="n">
        <x:f>INDEX(Catchments!C:C,MATCH(B595,Catchments!A:A,0))</x:f>
        <x:v>737270</x:v>
      </x:c>
    </x:row>
    <x:row r="596" ht="15" hidden="0" customHeight="1">
      <x:c r="A596" s="27" t="str">
        <x:v>SCA-20</x:v>
      </x:c>
      <x:c r="B596" s="27" t="str">
        <x:v>SCA-03</x:v>
      </x:c>
      <x:c r="C596" s="52" t="n">
        <x:v>77.95876727779546</x:v>
      </x:c>
      <x:c r="D596" s="27" t="str">
        <x:v>NO</x:v>
      </x:c>
      <x:c r="E596" s="52" t="n">
        <x:v>70.2533171468393</x:v>
      </x:c>
      <x:c r="F596" s="27" t="str">
        <x:v>YES</x:v>
      </x:c>
      <x:c r="G596" s="52" t="n">
        <x:v>16.607837450441725</x:v>
      </x:c>
      <x:c r="H596" s="27" t="str">
        <x:v>YES</x:v>
      </x:c>
      <x:c r="I596" s="52" t="n">
        <x:v>134.96765509954002</x:v>
      </x:c>
      <x:c r="J596" s="27" t="str">
        <x:v>NO</x:v>
      </x:c>
      <x:c r="K596" s="27" t="str">
        <x:v>Air</x:v>
      </x:c>
      <x:c r="L596" s="52" t="n">
        <x:v>16.607837450441725</x:v>
      </x:c>
      <x:c r="M596" s="40" t="n">
        <x:f>INDEX(Catchments!C:C,MATCH(A596,Catchments!A:A,0))</x:f>
        <x:v>8490774</x:v>
      </x:c>
      <x:c r="N596" s="40" t="n">
        <x:f>INDEX(Catchments!C:C,MATCH(B596,Catchments!A:A,0))</x:f>
        <x:v>11968308</x:v>
      </x:c>
    </x:row>
    <x:row r="597" ht="15" hidden="0" customHeight="1">
      <x:c r="A597" s="29" t="str">
        <x:v>SCA-20</x:v>
      </x:c>
      <x:c r="B597" s="29" t="str">
        <x:v>SCA-04</x:v>
      </x:c>
      <x:c r="C597" s="53" t="n">
        <x:v>78.41570443529395</x:v>
      </x:c>
      <x:c r="D597" s="29" t="str">
        <x:v>NO</x:v>
      </x:c>
      <x:c r="E597" s="53" t="n">
        <x:v>70.61233919915952</x:v>
      </x:c>
      <x:c r="F597" s="29" t="str">
        <x:v>YES</x:v>
      </x:c>
      <x:c r="G597" s="53" t="n">
        <x:v>16.389235301767236</x:v>
      </x:c>
      <x:c r="H597" s="29" t="str">
        <x:v>YES</x:v>
      </x:c>
      <x:c r="I597" s="53" t="n">
        <x:v>129.89296236245374</x:v>
      </x:c>
      <x:c r="J597" s="29" t="str">
        <x:v>NO</x:v>
      </x:c>
      <x:c r="K597" s="29" t="str">
        <x:v>Air</x:v>
      </x:c>
      <x:c r="L597" s="53" t="n">
        <x:v>16.389235301767236</x:v>
      </x:c>
      <x:c r="M597" s="41" t="n">
        <x:f>INDEX(Catchments!C:C,MATCH(A597,Catchments!A:A,0))</x:f>
        <x:v>8490774</x:v>
      </x:c>
      <x:c r="N597" s="41" t="n">
        <x:f>INDEX(Catchments!C:C,MATCH(B597,Catchments!A:A,0))</x:f>
        <x:v>16200470</x:v>
      </x:c>
    </x:row>
    <x:row r="598" ht="15" hidden="0" customHeight="1">
      <x:c r="A598" s="27" t="str">
        <x:v>SCA-20</x:v>
      </x:c>
      <x:c r="B598" s="27" t="str">
        <x:v>SCA-05</x:v>
      </x:c>
      <x:c r="C598" s="52" t="n">
        <x:v>69.8290943392082</x:v>
      </x:c>
      <x:c r="D598" s="27" t="str">
        <x:v>YES</x:v>
      </x:c>
      <x:c r="E598" s="52" t="n">
        <x:v>63.86571698080644</x:v>
      </x:c>
      <x:c r="F598" s="27" t="str">
        <x:v>YES</x:v>
      </x:c>
      <x:c r="G598" s="52" t="n">
        <x:v>15.993782708266226</x:v>
      </x:c>
      <x:c r="H598" s="27" t="str">
        <x:v>YES</x:v>
      </x:c>
      <x:c r="I598" s="52" t="n">
        <x:v>120.71281287046595</x:v>
      </x:c>
      <x:c r="J598" s="27" t="str">
        <x:v>NO</x:v>
      </x:c>
      <x:c r="K598" s="27" t="str">
        <x:v>Air</x:v>
      </x:c>
      <x:c r="L598" s="52" t="n">
        <x:v>15.993782708266226</x:v>
      </x:c>
      <x:c r="M598" s="40" t="n">
        <x:f>INDEX(Catchments!C:C,MATCH(A598,Catchments!A:A,0))</x:f>
        <x:v>8490774</x:v>
      </x:c>
      <x:c r="N598" s="40" t="n">
        <x:f>INDEX(Catchments!C:C,MATCH(B598,Catchments!A:A,0))</x:f>
        <x:v>15966265</x:v>
      </x:c>
    </x:row>
    <x:row r="599" ht="15" hidden="0" customHeight="1">
      <x:c r="A599" s="29" t="str">
        <x:v>SCA-20</x:v>
      </x:c>
      <x:c r="B599" s="29" t="str">
        <x:v>SCA-06</x:v>
      </x:c>
      <x:c r="C599" s="53" t="n">
        <x:v>65.4516875704787</x:v>
      </x:c>
      <x:c r="D599" s="29" t="str">
        <x:v>YES</x:v>
      </x:c>
      <x:c r="E599" s="53" t="n">
        <x:v>60.426325948233256</x:v>
      </x:c>
      <x:c r="F599" s="29" t="str">
        <x:v>YES</x:v>
      </x:c>
      <x:c r="G599" s="53" t="n">
        <x:v>15.742995121734207</x:v>
      </x:c>
      <x:c r="H599" s="29" t="str">
        <x:v>YES</x:v>
      </x:c>
      <x:c r="I599" s="53" t="n">
        <x:v>114.89095818311553</x:v>
      </x:c>
      <x:c r="J599" s="29" t="str">
        <x:v>NO</x:v>
      </x:c>
      <x:c r="K599" s="29" t="str">
        <x:v>Air</x:v>
      </x:c>
      <x:c r="L599" s="53" t="n">
        <x:v>15.742995121734207</x:v>
      </x:c>
      <x:c r="M599" s="41" t="n">
        <x:f>INDEX(Catchments!C:C,MATCH(A599,Catchments!A:A,0))</x:f>
        <x:v>8490774</x:v>
      </x:c>
      <x:c r="N599" s="41" t="n">
        <x:f>INDEX(Catchments!C:C,MATCH(B599,Catchments!A:A,0))</x:f>
        <x:v>6008575</x:v>
      </x:c>
    </x:row>
    <x:row r="600" ht="15" hidden="0" customHeight="1">
      <x:c r="A600" s="27" t="str">
        <x:v>SCA-20</x:v>
      </x:c>
      <x:c r="B600" s="27" t="str">
        <x:v>SCA-07</x:v>
      </x:c>
      <x:c r="C600" s="52" t="n">
        <x:v>65.67744649615494</x:v>
      </x:c>
      <x:c r="D600" s="27" t="str">
        <x:v>YES</x:v>
      </x:c>
      <x:c r="E600" s="52" t="n">
        <x:v>60.603707961264604</x:v>
      </x:c>
      <x:c r="F600" s="27" t="str">
        <x:v>YES</x:v>
      </x:c>
      <x:c r="G600" s="52" t="n">
        <x:v>15.557568650453739</x:v>
      </x:c>
      <x:c r="H600" s="27" t="str">
        <x:v>YES</x:v>
      </x:c>
      <x:c r="I600" s="52" t="n">
        <x:v>110.58641509981894</x:v>
      </x:c>
      <x:c r="J600" s="27" t="str">
        <x:v>NO</x:v>
      </x:c>
      <x:c r="K600" s="27" t="str">
        <x:v>Air</x:v>
      </x:c>
      <x:c r="L600" s="52" t="n">
        <x:v>15.557568650453739</x:v>
      </x:c>
      <x:c r="M600" s="40" t="n">
        <x:f>INDEX(Catchments!C:C,MATCH(A600,Catchments!A:A,0))</x:f>
        <x:v>8490774</x:v>
      </x:c>
      <x:c r="N600" s="40" t="n">
        <x:f>INDEX(Catchments!C:C,MATCH(B600,Catchments!A:A,0))</x:f>
        <x:v>5229370</x:v>
      </x:c>
    </x:row>
    <x:row r="601" ht="15" hidden="0" customHeight="1">
      <x:c r="A601" s="29" t="str">
        <x:v>SCA-20</x:v>
      </x:c>
      <x:c r="B601" s="29" t="str">
        <x:v>SCA-08</x:v>
      </x:c>
      <x:c r="C601" s="53" t="n">
        <x:v>66.23776954920436</x:v>
      </x:c>
      <x:c r="D601" s="29" t="str">
        <x:v>YES</x:v>
      </x:c>
      <x:c r="E601" s="53" t="n">
        <x:v>61.04396178866057</x:v>
      </x:c>
      <x:c r="F601" s="29" t="str">
        <x:v>YES</x:v>
      </x:c>
      <x:c r="G601" s="53" t="n">
        <x:v>15.747003779934568</x:v>
      </x:c>
      <x:c r="H601" s="29" t="str">
        <x:v>YES</x:v>
      </x:c>
      <x:c r="I601" s="53" t="n">
        <x:v>114.98401631990963</x:v>
      </x:c>
      <x:c r="J601" s="29" t="str">
        <x:v>NO</x:v>
      </x:c>
      <x:c r="K601" s="29" t="str">
        <x:v>Air</x:v>
      </x:c>
      <x:c r="L601" s="53" t="n">
        <x:v>15.747003779934568</x:v>
      </x:c>
      <x:c r="M601" s="41" t="n">
        <x:f>INDEX(Catchments!C:C,MATCH(A601,Catchments!A:A,0))</x:f>
        <x:v>8490774</x:v>
      </x:c>
      <x:c r="N601" s="41" t="n">
        <x:f>INDEX(Catchments!C:C,MATCH(B601,Catchments!A:A,0))</x:f>
        <x:v>2652387</x:v>
      </x:c>
    </x:row>
    <x:row r="602" ht="15" hidden="0" customHeight="1">
      <x:c r="A602" s="27" t="str">
        <x:v>SCA-20</x:v>
      </x:c>
      <x:c r="B602" s="27" t="str">
        <x:v>SCA-09</x:v>
      </x:c>
      <x:c r="C602" s="52" t="n">
        <x:v>57.274970265718125</x:v>
      </x:c>
      <x:c r="D602" s="27" t="str">
        <x:v>YES</x:v>
      </x:c>
      <x:c r="E602" s="52" t="n">
        <x:v>54.00176235163567</x:v>
      </x:c>
      <x:c r="F602" s="27" t="str">
        <x:v>YES</x:v>
      </x:c>
      <x:c r="G602" s="52" t="n">
        <x:v>15.151537551033334</x:v>
      </x:c>
      <x:c r="H602" s="27" t="str">
        <x:v>YES</x:v>
      </x:c>
      <x:c r="I602" s="52"/>
      <x:c r="J602" s="27" t="str">
        <x:v>NO</x:v>
      </x:c>
      <x:c r="K602" s="27" t="str">
        <x:v>Air</x:v>
      </x:c>
      <x:c r="L602" s="52" t="n">
        <x:v>15.151537551033334</x:v>
      </x:c>
      <x:c r="M602" s="40" t="n">
        <x:f>INDEX(Catchments!C:C,MATCH(A602,Catchments!A:A,0))</x:f>
        <x:v>8490774</x:v>
      </x:c>
      <x:c r="N602" s="40" t="n">
        <x:f>INDEX(Catchments!C:C,MATCH(B602,Catchments!A:A,0))</x:f>
        <x:v>7395716</x:v>
      </x:c>
    </x:row>
    <x:row r="603" ht="15" hidden="0" customHeight="1">
      <x:c r="A603" s="29" t="str">
        <x:v>SCA-20</x:v>
      </x:c>
      <x:c r="B603" s="29" t="str">
        <x:v>SCA-10</x:v>
      </x:c>
      <x:c r="C603" s="53" t="n">
        <x:v>57.227288959823724</x:v>
      </x:c>
      <x:c r="D603" s="29" t="str">
        <x:v>YES</x:v>
      </x:c>
      <x:c r="E603" s="53" t="n">
        <x:v>53.96429846843293</x:v>
      </x:c>
      <x:c r="F603" s="29" t="str">
        <x:v>YES</x:v>
      </x:c>
      <x:c r="G603" s="53" t="n">
        <x:v>15.132300311811932</x:v>
      </x:c>
      <x:c r="H603" s="29" t="str">
        <x:v>YES</x:v>
      </x:c>
      <x:c r="I603" s="53"/>
      <x:c r="J603" s="29" t="str">
        <x:v>NO</x:v>
      </x:c>
      <x:c r="K603" s="29" t="str">
        <x:v>Air</x:v>
      </x:c>
      <x:c r="L603" s="53" t="n">
        <x:v>15.132300311811932</x:v>
      </x:c>
      <x:c r="M603" s="41" t="n">
        <x:f>INDEX(Catchments!C:C,MATCH(A603,Catchments!A:A,0))</x:f>
        <x:v>8490774</x:v>
      </x:c>
      <x:c r="N603" s="41" t="n">
        <x:f>INDEX(Catchments!C:C,MATCH(B603,Catchments!A:A,0))</x:f>
        <x:v>4127033</x:v>
      </x:c>
    </x:row>
    <x:row r="604" ht="15" hidden="0" customHeight="1">
      <x:c r="A604" s="27" t="str">
        <x:v>SCA-20</x:v>
      </x:c>
      <x:c r="B604" s="27" t="str">
        <x:v>SCA-11</x:v>
      </x:c>
      <x:c r="C604" s="52" t="n">
        <x:v>43.60674569354339</x:v>
      </x:c>
      <x:c r="D604" s="27" t="str">
        <x:v>YES</x:v>
      </x:c>
      <x:c r="E604" s="52" t="n">
        <x:v>43.262443044926954</x:v>
      </x:c>
      <x:c r="F604" s="27" t="str">
        <x:v>YES</x:v>
      </x:c>
      <x:c r="G604" s="52" t="n">
        <x:v>14.156914323372689</x:v>
      </x:c>
      <x:c r="H604" s="27" t="str">
        <x:v>YES</x:v>
      </x:c>
      <x:c r="I604" s="52" t="n">
        <x:v>78.07122536400885</x:v>
      </x:c>
      <x:c r="J604" s="27" t="str">
        <x:v>NO</x:v>
      </x:c>
      <x:c r="K604" s="27" t="str">
        <x:v>Air</x:v>
      </x:c>
      <x:c r="L604" s="52" t="n">
        <x:v>14.156914323372689</x:v>
      </x:c>
      <x:c r="M604" s="40" t="n">
        <x:f>INDEX(Catchments!C:C,MATCH(A604,Catchments!A:A,0))</x:f>
        <x:v>8490774</x:v>
      </x:c>
      <x:c r="N604" s="40" t="n">
        <x:f>INDEX(Catchments!C:C,MATCH(B604,Catchments!A:A,0))</x:f>
        <x:v>3517787</x:v>
      </x:c>
    </x:row>
    <x:row r="605" ht="15" hidden="0" customHeight="1">
      <x:c r="A605" s="29" t="str">
        <x:v>SCA-20</x:v>
      </x:c>
      <x:c r="B605" s="29" t="str">
        <x:v>SCA-12</x:v>
      </x:c>
      <x:c r="C605" s="53" t="n">
        <x:v>44.93168964625205</x:v>
      </x:c>
      <x:c r="D605" s="29" t="str">
        <x:v>YES</x:v>
      </x:c>
      <x:c r="E605" s="53" t="n">
        <x:v>44.3034704363409</x:v>
      </x:c>
      <x:c r="F605" s="29" t="str">
        <x:v>YES</x:v>
      </x:c>
      <x:c r="G605" s="53" t="n">
        <x:v>14.228069595606835</x:v>
      </x:c>
      <x:c r="H605" s="29" t="str">
        <x:v>YES</x:v>
      </x:c>
      <x:c r="I605" s="53"/>
      <x:c r="J605" s="29" t="str">
        <x:v>NO</x:v>
      </x:c>
      <x:c r="K605" s="29" t="str">
        <x:v>Air</x:v>
      </x:c>
      <x:c r="L605" s="53" t="n">
        <x:v>14.228069595606835</x:v>
      </x:c>
      <x:c r="M605" s="41" t="n">
        <x:f>INDEX(Catchments!C:C,MATCH(A605,Catchments!A:A,0))</x:f>
        <x:v>8490774</x:v>
      </x:c>
      <x:c r="N605" s="41" t="n">
        <x:f>INDEX(Catchments!C:C,MATCH(B605,Catchments!A:A,0))</x:f>
        <x:v>7465186</x:v>
      </x:c>
    </x:row>
    <x:row r="606" ht="15" hidden="0" customHeight="1">
      <x:c r="A606" s="27" t="str">
        <x:v>SCA-20</x:v>
      </x:c>
      <x:c r="B606" s="27" t="str">
        <x:v>SCA-13</x:v>
      </x:c>
      <x:c r="C606" s="52" t="n">
        <x:v>34.41137573652918</x:v>
      </x:c>
      <x:c r="D606" s="27" t="str">
        <x:v>YES</x:v>
      </x:c>
      <x:c r="E606" s="52" t="n">
        <x:v>36.03750950727293</x:v>
      </x:c>
      <x:c r="F606" s="27" t="str">
        <x:v>YES</x:v>
      </x:c>
      <x:c r="G606" s="52" t="n">
        <x:v>13.370373441600567</x:v>
      </x:c>
      <x:c r="H606" s="27" t="str">
        <x:v>YES</x:v>
      </x:c>
      <x:c r="I606" s="52" t="n">
        <x:v>59.81224060858459</x:v>
      </x:c>
      <x:c r="J606" s="27" t="str">
        <x:v>YES</x:v>
      </x:c>
      <x:c r="K606" s="27" t="str">
        <x:v>Air</x:v>
      </x:c>
      <x:c r="L606" s="52" t="n">
        <x:v>13.370373441600567</x:v>
      </x:c>
      <x:c r="M606" s="40" t="n">
        <x:f>INDEX(Catchments!C:C,MATCH(A606,Catchments!A:A,0))</x:f>
        <x:v>8490774</x:v>
      </x:c>
      <x:c r="N606" s="40" t="n">
        <x:f>INDEX(Catchments!C:C,MATCH(B606,Catchments!A:A,0))</x:f>
        <x:v>6759014</x:v>
      </x:c>
    </x:row>
    <x:row r="607" ht="15" hidden="0" customHeight="1">
      <x:c r="A607" s="29" t="str">
        <x:v>SCA-20</x:v>
      </x:c>
      <x:c r="B607" s="29" t="str">
        <x:v>SCA-14</x:v>
      </x:c>
      <x:c r="C607" s="53" t="n">
        <x:v>41.74891780429485</x:v>
      </x:c>
      <x:c r="D607" s="29" t="str">
        <x:v>YES</x:v>
      </x:c>
      <x:c r="E607" s="53" t="n">
        <x:v>41.80272113194595</x:v>
      </x:c>
      <x:c r="F607" s="29" t="str">
        <x:v>YES</x:v>
      </x:c>
      <x:c r="G607" s="53" t="n">
        <x:v>13.716057215998653</x:v>
      </x:c>
      <x:c r="H607" s="29" t="str">
        <x:v>YES</x:v>
      </x:c>
      <x:c r="I607" s="53" t="n">
        <x:v>67.83704251425445</x:v>
      </x:c>
      <x:c r="J607" s="29" t="str">
        <x:v>YES</x:v>
      </x:c>
      <x:c r="K607" s="29" t="str">
        <x:v>Air</x:v>
      </x:c>
      <x:c r="L607" s="53" t="n">
        <x:v>13.716057215998653</x:v>
      </x:c>
      <x:c r="M607" s="41" t="n">
        <x:f>INDEX(Catchments!C:C,MATCH(A607,Catchments!A:A,0))</x:f>
        <x:v>8490774</x:v>
      </x:c>
      <x:c r="N607" s="41" t="n">
        <x:f>INDEX(Catchments!C:C,MATCH(B607,Catchments!A:A,0))</x:f>
        <x:v>2179728</x:v>
      </x:c>
    </x:row>
    <x:row r="608" ht="15" hidden="0" customHeight="1">
      <x:c r="A608" s="27" t="str">
        <x:v>SCA-20</x:v>
      </x:c>
      <x:c r="B608" s="27" t="str">
        <x:v>SCA-15</x:v>
      </x:c>
      <x:c r="C608" s="52" t="n">
        <x:v>27.14533353964454</x:v>
      </x:c>
      <x:c r="D608" s="27" t="str">
        <x:v>YES</x:v>
      </x:c>
      <x:c r="E608" s="52" t="n">
        <x:v>30.32847635257785</x:v>
      </x:c>
      <x:c r="F608" s="27" t="str">
        <x:v>YES</x:v>
      </x:c>
      <x:c r="G608" s="52" t="n">
        <x:v>12.967215176830033</x:v>
      </x:c>
      <x:c r="H608" s="27" t="str">
        <x:v>YES</x:v>
      </x:c>
      <x:c r="I608" s="52" t="n">
        <x:v>50.45320946212577</x:v>
      </x:c>
      <x:c r="J608" s="27" t="str">
        <x:v>YES</x:v>
      </x:c>
      <x:c r="K608" s="27" t="str">
        <x:v>Air</x:v>
      </x:c>
      <x:c r="L608" s="52" t="n">
        <x:v>12.967215176830033</x:v>
      </x:c>
      <x:c r="M608" s="40" t="n">
        <x:f>INDEX(Catchments!C:C,MATCH(A608,Catchments!A:A,0))</x:f>
        <x:v>8490774</x:v>
      </x:c>
      <x:c r="N608" s="40" t="n">
        <x:f>INDEX(Catchments!C:C,MATCH(B608,Catchments!A:A,0))</x:f>
        <x:v>13192386</x:v>
      </x:c>
    </x:row>
    <x:row r="609" ht="15" hidden="0" customHeight="1">
      <x:c r="A609" s="29" t="str">
        <x:v>SCA-20</x:v>
      </x:c>
      <x:c r="B609" s="29" t="str">
        <x:v>SCA-16</x:v>
      </x:c>
      <x:c r="C609" s="53" t="n">
        <x:v>28.7113761554684</x:v>
      </x:c>
      <x:c r="D609" s="29" t="str">
        <x:v>YES</x:v>
      </x:c>
      <x:c r="E609" s="53" t="n">
        <x:v>31.558938407868027</x:v>
      </x:c>
      <x:c r="F609" s="29" t="str">
        <x:v>YES</x:v>
      </x:c>
      <x:c r="G609" s="53" t="n">
        <x:v>13.08244239271005</x:v>
      </x:c>
      <x:c r="H609" s="29" t="str">
        <x:v>YES</x:v>
      </x:c>
      <x:c r="I609" s="53"/>
      <x:c r="J609" s="29" t="str">
        <x:v>NO</x:v>
      </x:c>
      <x:c r="K609" s="29" t="str">
        <x:v>Air</x:v>
      </x:c>
      <x:c r="L609" s="53" t="n">
        <x:v>13.08244239271005</x:v>
      </x:c>
      <x:c r="M609" s="41" t="n">
        <x:f>INDEX(Catchments!C:C,MATCH(A609,Catchments!A:A,0))</x:f>
        <x:v>8490774</x:v>
      </x:c>
      <x:c r="N609" s="41" t="n">
        <x:f>INDEX(Catchments!C:C,MATCH(B609,Catchments!A:A,0))</x:f>
        <x:v>10177969</x:v>
      </x:c>
    </x:row>
    <x:row r="610" ht="15" hidden="0" customHeight="1">
      <x:c r="A610" s="27" t="str">
        <x:v>SCA-20</x:v>
      </x:c>
      <x:c r="B610" s="27" t="str">
        <x:v>SCA-17</x:v>
      </x:c>
      <x:c r="C610" s="52" t="n">
        <x:v>26.55072771933879</x:v>
      </x:c>
      <x:c r="D610" s="27" t="str">
        <x:v>YES</x:v>
      </x:c>
      <x:c r="E610" s="52" t="n">
        <x:v>29.861286065194765</x:v>
      </x:c>
      <x:c r="F610" s="27" t="str">
        <x:v>YES</x:v>
      </x:c>
      <x:c r="G610" s="52" t="n">
        <x:v>12.923464915804193</x:v>
      </x:c>
      <x:c r="H610" s="27" t="str">
        <x:v>YES</x:v>
      </x:c>
      <x:c r="I610" s="52" t="n">
        <x:v>49.43757840259731</x:v>
      </x:c>
      <x:c r="J610" s="27" t="str">
        <x:v>YES</x:v>
      </x:c>
      <x:c r="K610" s="27" t="str">
        <x:v>Air</x:v>
      </x:c>
      <x:c r="L610" s="52" t="n">
        <x:v>12.923464915804193</x:v>
      </x:c>
      <x:c r="M610" s="40" t="n">
        <x:f>INDEX(Catchments!C:C,MATCH(A610,Catchments!A:A,0))</x:f>
        <x:v>8490774</x:v>
      </x:c>
      <x:c r="N610" s="40" t="n">
        <x:f>INDEX(Catchments!C:C,MATCH(B610,Catchments!A:A,0))</x:f>
        <x:v>12843509</x:v>
      </x:c>
    </x:row>
    <x:row r="611" ht="15" hidden="0" customHeight="1">
      <x:c r="A611" s="29" t="str">
        <x:v>SCA-20</x:v>
      </x:c>
      <x:c r="B611" s="29" t="str">
        <x:v>SCA-18</x:v>
      </x:c>
      <x:c r="C611" s="53" t="n">
        <x:v>39.8440323286265</x:v>
      </x:c>
      <x:c r="D611" s="29" t="str">
        <x:v>YES</x:v>
      </x:c>
      <x:c r="E611" s="53" t="n">
        <x:v>40.30602540106368</x:v>
      </x:c>
      <x:c r="F611" s="29" t="str">
        <x:v>YES</x:v>
      </x:c>
      <x:c r="G611" s="53" t="n">
        <x:v>13.893890941182574</x:v>
      </x:c>
      <x:c r="H611" s="29" t="str">
        <x:v>YES</x:v>
      </x:c>
      <x:c r="I611" s="53" t="n">
        <x:v>71.96532542030977</x:v>
      </x:c>
      <x:c r="J611" s="29" t="str">
        <x:v>YES</x:v>
      </x:c>
      <x:c r="K611" s="29" t="str">
        <x:v>Air</x:v>
      </x:c>
      <x:c r="L611" s="53" t="n">
        <x:v>13.893890941182574</x:v>
      </x:c>
      <x:c r="M611" s="41" t="n">
        <x:f>INDEX(Catchments!C:C,MATCH(A611,Catchments!A:A,0))</x:f>
        <x:v>8490774</x:v>
      </x:c>
      <x:c r="N611" s="41" t="n">
        <x:f>INDEX(Catchments!C:C,MATCH(B611,Catchments!A:A,0))</x:f>
        <x:v>11004680</x:v>
      </x:c>
    </x:row>
    <x:row r="612" ht="15" hidden="0" customHeight="1">
      <x:c r="A612" s="27" t="str">
        <x:v>SCA-20</x:v>
      </x:c>
      <x:c r="B612" s="27" t="str">
        <x:v>SCA-19</x:v>
      </x:c>
      <x:c r="C612" s="52" t="n">
        <x:v>24.93720145119623</x:v>
      </x:c>
      <x:c r="D612" s="27" t="str">
        <x:v>YES</x:v>
      </x:c>
      <x:c r="E612" s="52" t="n">
        <x:v>28.5935154259399</x:v>
      </x:c>
      <x:c r="F612" s="27" t="str">
        <x:v>YES</x:v>
      </x:c>
      <x:c r="G612" s="52" t="n">
        <x:v>12.804743919486011</x:v>
      </x:c>
      <x:c r="H612" s="27" t="str">
        <x:v>YES</x:v>
      </x:c>
      <x:c r="I612" s="52" t="n">
        <x:v>46.68155527378238</x:v>
      </x:c>
      <x:c r="J612" s="27" t="str">
        <x:v>YES</x:v>
      </x:c>
      <x:c r="K612" s="27" t="str">
        <x:v>Air</x:v>
      </x:c>
      <x:c r="L612" s="52" t="n">
        <x:v>12.804743919486011</x:v>
      </x:c>
      <x:c r="M612" s="40" t="n">
        <x:f>INDEX(Catchments!C:C,MATCH(A612,Catchments!A:A,0))</x:f>
        <x:v>8490774</x:v>
      </x:c>
      <x:c r="N612" s="40" t="n">
        <x:f>INDEX(Catchments!C:C,MATCH(B612,Catchments!A:A,0))</x:f>
        <x:v>6677653</x:v>
      </x:c>
    </x:row>
    <x:row r="613" ht="15" hidden="0" customHeight="1">
      <x:c r="A613" s="29" t="str">
        <x:v>SCA-20</x:v>
      </x:c>
      <x:c r="B613" s="29" t="str">
        <x:v>SCA-21</x:v>
      </x:c>
      <x:c r="C613" s="53" t="n">
        <x:v>34.49224438165266</x:v>
      </x:c>
      <x:c r="D613" s="29" t="str">
        <x:v>YES</x:v>
      </x:c>
      <x:c r="E613" s="53" t="n">
        <x:v>36.10104915701281</x:v>
      </x:c>
      <x:c r="F613" s="29" t="str">
        <x:v>YES</x:v>
      </x:c>
      <x:c r="G613" s="53" t="n">
        <x:v>13.411996634310988</x:v>
      </x:c>
      <x:c r="H613" s="29" t="str">
        <x:v>YES</x:v>
      </x:c>
      <x:c r="I613" s="53" t="n">
        <x:v>60.778493296505104</x:v>
      </x:c>
      <x:c r="J613" s="29" t="str">
        <x:v>YES</x:v>
      </x:c>
      <x:c r="K613" s="29" t="str">
        <x:v>Air</x:v>
      </x:c>
      <x:c r="L613" s="53" t="n">
        <x:v>13.411996634310988</x:v>
      </x:c>
      <x:c r="M613" s="41" t="n">
        <x:f>INDEX(Catchments!C:C,MATCH(A613,Catchments!A:A,0))</x:f>
        <x:v>8490774</x:v>
      </x:c>
      <x:c r="N613" s="41" t="n">
        <x:f>INDEX(Catchments!C:C,MATCH(B613,Catchments!A:A,0))</x:f>
        <x:v>19593580</x:v>
      </x:c>
    </x:row>
    <x:row r="614" ht="15" hidden="0" customHeight="1">
      <x:c r="A614" s="27" t="str">
        <x:v>SCA-20</x:v>
      </x:c>
      <x:c r="B614" s="27" t="str">
        <x:v>SCA-22</x:v>
      </x:c>
      <x:c r="C614" s="52" t="n">
        <x:v>27.263452382567927</x:v>
      </x:c>
      <x:c r="D614" s="27" t="str">
        <x:v>YES</x:v>
      </x:c>
      <x:c r="E614" s="52" t="n">
        <x:v>30.4212840148748</x:v>
      </x:c>
      <x:c r="F614" s="27" t="str">
        <x:v>YES</x:v>
      </x:c>
      <x:c r="G614" s="52" t="n">
        <x:v>12.975906195372891</x:v>
      </x:c>
      <x:c r="H614" s="27" t="str">
        <x:v>YES</x:v>
      </x:c>
      <x:c r="I614" s="52" t="n">
        <x:v>50.65496524972783</x:v>
      </x:c>
      <x:c r="J614" s="27" t="str">
        <x:v>YES</x:v>
      </x:c>
      <x:c r="K614" s="27" t="str">
        <x:v>Air</x:v>
      </x:c>
      <x:c r="L614" s="52" t="n">
        <x:v>12.975906195372891</x:v>
      </x:c>
      <x:c r="M614" s="40" t="n">
        <x:f>INDEX(Catchments!C:C,MATCH(A614,Catchments!A:A,0))</x:f>
        <x:v>8490774</x:v>
      </x:c>
      <x:c r="N614" s="40" t="n">
        <x:f>INDEX(Catchments!C:C,MATCH(B614,Catchments!A:A,0))</x:f>
        <x:v>14732006</x:v>
      </x:c>
    </x:row>
    <x:row r="615" ht="15" hidden="0" customHeight="1">
      <x:c r="A615" s="29" t="str">
        <x:v>SCA-20</x:v>
      </x:c>
      <x:c r="B615" s="29" t="str">
        <x:v>SCA-23</x:v>
      </x:c>
      <x:c r="C615" s="53" t="n">
        <x:v>24.536345342712643</x:v>
      </x:c>
      <x:c r="D615" s="29" t="str">
        <x:v>YES</x:v>
      </x:c>
      <x:c r="E615" s="53" t="n">
        <x:v>28.278557054988504</x:v>
      </x:c>
      <x:c r="F615" s="29" t="str">
        <x:v>YES</x:v>
      </x:c>
      <x:c r="G615" s="53" t="n">
        <x:v>12.775249490099258</x:v>
      </x:c>
      <x:c r="H615" s="29" t="str">
        <x:v>YES</x:v>
      </x:c>
      <x:c r="I615" s="53" t="n">
        <x:v>45.99686316301849</x:v>
      </x:c>
      <x:c r="J615" s="29" t="str">
        <x:v>YES</x:v>
      </x:c>
      <x:c r="K615" s="29" t="str">
        <x:v>Air</x:v>
      </x:c>
      <x:c r="L615" s="53" t="n">
        <x:v>12.775249490099258</x:v>
      </x:c>
      <x:c r="M615" s="41" t="n">
        <x:f>INDEX(Catchments!C:C,MATCH(A615,Catchments!A:A,0))</x:f>
        <x:v>8490774</x:v>
      </x:c>
      <x:c r="N615" s="41" t="n">
        <x:f>INDEX(Catchments!C:C,MATCH(B615,Catchments!A:A,0))</x:f>
        <x:v>20869310</x:v>
      </x:c>
    </x:row>
    <x:row r="616" ht="15" hidden="0" customHeight="1">
      <x:c r="A616" s="27" t="str">
        <x:v>SCA-20</x:v>
      </x:c>
      <x:c r="B616" s="27" t="str">
        <x:v>SCA-24</x:v>
      </x:c>
      <x:c r="C616" s="52" t="n">
        <x:v>37.00549743372872</x:v>
      </x:c>
      <x:c r="D616" s="27" t="str">
        <x:v>YES</x:v>
      </x:c>
      <x:c r="E616" s="52" t="n">
        <x:v>38.07574798364399</x:v>
      </x:c>
      <x:c r="F616" s="27" t="str">
        <x:v>YES</x:v>
      </x:c>
      <x:c r="G616" s="52" t="n">
        <x:v>13.64855987567174</x:v>
      </x:c>
      <x:c r="H616" s="27" t="str">
        <x:v>YES</x:v>
      </x:c>
      <x:c r="I616" s="52" t="n">
        <x:v>66.27013997095112</x:v>
      </x:c>
      <x:c r="J616" s="27" t="str">
        <x:v>YES</x:v>
      </x:c>
      <x:c r="K616" s="27" t="str">
        <x:v>Air</x:v>
      </x:c>
      <x:c r="L616" s="52" t="n">
        <x:v>13.64855987567174</x:v>
      </x:c>
      <x:c r="M616" s="40" t="n">
        <x:f>INDEX(Catchments!C:C,MATCH(A616,Catchments!A:A,0))</x:f>
        <x:v>8490774</x:v>
      </x:c>
      <x:c r="N616" s="40" t="n">
        <x:f>INDEX(Catchments!C:C,MATCH(B616,Catchments!A:A,0))</x:f>
        <x:v>11816161</x:v>
      </x:c>
    </x:row>
    <x:row r="617" ht="15" hidden="0" customHeight="1">
      <x:c r="A617" s="29" t="str">
        <x:v>SCA-20</x:v>
      </x:c>
      <x:c r="B617" s="29" t="str">
        <x:v>SCA-25</x:v>
      </x:c>
      <x:c r="C617" s="53" t="n">
        <x:v>33.52878497761154</x:v>
      </x:c>
      <x:c r="D617" s="29" t="str">
        <x:v>YES</x:v>
      </x:c>
      <x:c r="E617" s="53" t="n">
        <x:v>35.344045339551926</x:v>
      </x:c>
      <x:c r="F617" s="29" t="str">
        <x:v>YES</x:v>
      </x:c>
      <x:c r="G617" s="53" t="n">
        <x:v>13.294477085759345</x:v>
      </x:c>
      <x:c r="H617" s="29" t="str">
        <x:v>YES</x:v>
      </x:c>
      <x:c r="I617" s="53" t="n">
        <x:v>58.05036091941338</x:v>
      </x:c>
      <x:c r="J617" s="29" t="str">
        <x:v>YES</x:v>
      </x:c>
      <x:c r="K617" s="29" t="str">
        <x:v>Air</x:v>
      </x:c>
      <x:c r="L617" s="53" t="n">
        <x:v>13.294477085759345</x:v>
      </x:c>
      <x:c r="M617" s="41" t="n">
        <x:f>INDEX(Catchments!C:C,MATCH(A617,Catchments!A:A,0))</x:f>
        <x:v>8490774</x:v>
      </x:c>
      <x:c r="N617" s="41" t="n">
        <x:f>INDEX(Catchments!C:C,MATCH(B617,Catchments!A:A,0))</x:f>
        <x:v>6408394</x:v>
      </x:c>
    </x:row>
    <x:row r="618" ht="15" hidden="0" customHeight="1">
      <x:c r="A618" s="27" t="str">
        <x:v>SCA-20</x:v>
      </x:c>
      <x:c r="B618" s="27" t="str">
        <x:v>SCA-26</x:v>
      </x:c>
      <x:c r="C618" s="52" t="n">
        <x:v>39.50150235515376</x:v>
      </x:c>
      <x:c r="D618" s="27" t="str">
        <x:v>YES</x:v>
      </x:c>
      <x:c r="E618" s="52" t="n">
        <x:v>40.03689470762082</x:v>
      </x:c>
      <x:c r="F618" s="27" t="str">
        <x:v>YES</x:v>
      </x:c>
      <x:c r="G618" s="52" t="n">
        <x:v>13.583456645962304</x:v>
      </x:c>
      <x:c r="H618" s="27" t="str">
        <x:v>YES</x:v>
      </x:c>
      <x:c r="I618" s="52" t="n">
        <x:v>64.7588149955535</x:v>
      </x:c>
      <x:c r="J618" s="27" t="str">
        <x:v>YES</x:v>
      </x:c>
      <x:c r="K618" s="27" t="str">
        <x:v>Air</x:v>
      </x:c>
      <x:c r="L618" s="52" t="n">
        <x:v>13.583456645962304</x:v>
      </x:c>
      <x:c r="M618" s="40" t="n">
        <x:f>INDEX(Catchments!C:C,MATCH(A618,Catchments!A:A,0))</x:f>
        <x:v>8490774</x:v>
      </x:c>
      <x:c r="N618" s="40" t="n">
        <x:f>INDEX(Catchments!C:C,MATCH(B618,Catchments!A:A,0))</x:f>
        <x:v>10737083</x:v>
      </x:c>
    </x:row>
    <x:row r="619" ht="15" hidden="0" customHeight="1">
      <x:c r="A619" s="29" t="str">
        <x:v>SCA-20</x:v>
      </x:c>
      <x:c r="B619" s="29" t="str">
        <x:v>SCA-27</x:v>
      </x:c>
      <x:c r="C619" s="53" t="n">
        <x:v>44.58565261187283</x:v>
      </x:c>
      <x:c r="D619" s="29" t="str">
        <x:v>YES</x:v>
      </x:c>
      <x:c r="E619" s="53" t="n">
        <x:v>44.03158419504294</x:v>
      </x:c>
      <x:c r="F619" s="29" t="str">
        <x:v>YES</x:v>
      </x:c>
      <x:c r="G619" s="53" t="n">
        <x:v>13.949352971076904</x:v>
      </x:c>
      <x:c r="H619" s="29" t="str">
        <x:v>YES</x:v>
      </x:c>
      <x:c r="I619" s="53" t="n">
        <x:v>73.25283682857098</x:v>
      </x:c>
      <x:c r="J619" s="29" t="str">
        <x:v>NO</x:v>
      </x:c>
      <x:c r="K619" s="29" t="str">
        <x:v>Air</x:v>
      </x:c>
      <x:c r="L619" s="53" t="n">
        <x:v>13.949352971076904</x:v>
      </x:c>
      <x:c r="M619" s="41" t="n">
        <x:f>INDEX(Catchments!C:C,MATCH(A619,Catchments!A:A,0))</x:f>
        <x:v>8490774</x:v>
      </x:c>
      <x:c r="N619" s="41" t="n">
        <x:f>INDEX(Catchments!C:C,MATCH(B619,Catchments!A:A,0))</x:f>
        <x:v>7505606</x:v>
      </x:c>
    </x:row>
    <x:row r="620" ht="15" hidden="0" customHeight="1">
      <x:c r="A620" s="27" t="str">
        <x:v>SCA-20</x:v>
      </x:c>
      <x:c r="B620" s="27" t="str">
        <x:v>SCA-28</x:v>
      </x:c>
      <x:c r="C620" s="52" t="n">
        <x:v>38.98445193282862</x:v>
      </x:c>
      <x:c r="D620" s="27" t="str">
        <x:v>YES</x:v>
      </x:c>
      <x:c r="E620" s="52" t="n">
        <x:v>39.63064080436534</x:v>
      </x:c>
      <x:c r="F620" s="27" t="str">
        <x:v>YES</x:v>
      </x:c>
      <x:c r="G620" s="52" t="n">
        <x:v>13.804181782223349</x:v>
      </x:c>
      <x:c r="H620" s="27" t="str">
        <x:v>YES</x:v>
      </x:c>
      <x:c r="I620" s="52" t="n">
        <x:v>69.88279137304201</x:v>
      </x:c>
      <x:c r="J620" s="27" t="str">
        <x:v>YES</x:v>
      </x:c>
      <x:c r="K620" s="27" t="str">
        <x:v>Air</x:v>
      </x:c>
      <x:c r="L620" s="52" t="n">
        <x:v>13.804181782223349</x:v>
      </x:c>
      <x:c r="M620" s="40" t="n">
        <x:f>INDEX(Catchments!C:C,MATCH(A620,Catchments!A:A,0))</x:f>
        <x:v>8490774</x:v>
      </x:c>
      <x:c r="N620" s="40" t="n">
        <x:f>INDEX(Catchments!C:C,MATCH(B620,Catchments!A:A,0))</x:f>
        <x:v>21305157</x:v>
      </x:c>
    </x:row>
    <x:row r="621" ht="15" hidden="0" customHeight="1">
      <x:c r="A621" s="29" t="str">
        <x:v>SCA-20</x:v>
      </x:c>
      <x:c r="B621" s="29" t="str">
        <x:v>SCA-29</x:v>
      </x:c>
      <x:c r="C621" s="53" t="n">
        <x:v>36.090071688586264</x:v>
      </x:c>
      <x:c r="D621" s="29" t="str">
        <x:v>YES</x:v>
      </x:c>
      <x:c r="E621" s="53" t="n">
        <x:v>37.35648489817492</x:v>
      </x:c>
      <x:c r="F621" s="29" t="str">
        <x:v>YES</x:v>
      </x:c>
      <x:c r="G621" s="53" t="n">
        <x:v>13.56634038494887</x:v>
      </x:c>
      <x:c r="H621" s="29" t="str">
        <x:v>YES</x:v>
      </x:c>
      <x:c r="I621" s="53" t="n">
        <x:v>64.36147322202733</x:v>
      </x:c>
      <x:c r="J621" s="29" t="str">
        <x:v>YES</x:v>
      </x:c>
      <x:c r="K621" s="29" t="str">
        <x:v>Air</x:v>
      </x:c>
      <x:c r="L621" s="53" t="n">
        <x:v>13.56634038494887</x:v>
      </x:c>
      <x:c r="M621" s="41" t="n">
        <x:f>INDEX(Catchments!C:C,MATCH(A621,Catchments!A:A,0))</x:f>
        <x:v>8490774</x:v>
      </x:c>
      <x:c r="N621" s="41" t="n">
        <x:f>INDEX(Catchments!C:C,MATCH(B621,Catchments!A:A,0))</x:f>
        <x:v>19271685</x:v>
      </x:c>
    </x:row>
    <x:row r="622" ht="15" hidden="0" customHeight="1">
      <x:c r="A622" s="27" t="str">
        <x:v>SCA-20</x:v>
      </x:c>
      <x:c r="B622" s="27" t="str">
        <x:v>SCA-30</x:v>
      </x:c>
      <x:c r="C622" s="52" t="n">
        <x:v>47.41288313157844</x:v>
      </x:c>
      <x:c r="D622" s="27" t="str">
        <x:v>YES</x:v>
      </x:c>
      <x:c r="E622" s="52" t="n">
        <x:v>46.25297960338306</x:v>
      </x:c>
      <x:c r="F622" s="27" t="str">
        <x:v>YES</x:v>
      </x:c>
      <x:c r="G622" s="52" t="n">
        <x:v>14.369021693980272</x:v>
      </x:c>
      <x:c r="H622" s="27" t="str">
        <x:v>YES</x:v>
      </x:c>
      <x:c r="I622" s="52" t="n">
        <x:v>82.9951464673992</x:v>
      </x:c>
      <x:c r="J622" s="27" t="str">
        <x:v>NO</x:v>
      </x:c>
      <x:c r="K622" s="27" t="str">
        <x:v>Air</x:v>
      </x:c>
      <x:c r="L622" s="52" t="n">
        <x:v>14.369021693980272</x:v>
      </x:c>
      <x:c r="M622" s="40" t="n">
        <x:f>INDEX(Catchments!C:C,MATCH(A622,Catchments!A:A,0))</x:f>
        <x:v>8490774</x:v>
      </x:c>
      <x:c r="N622" s="40" t="n">
        <x:f>INDEX(Catchments!C:C,MATCH(B622,Catchments!A:A,0))</x:f>
        <x:v>41291847</x:v>
      </x:c>
    </x:row>
    <x:row r="623" ht="15" hidden="0" customHeight="1">
      <x:c r="A623" s="29" t="str">
        <x:v>SCA-20</x:v>
      </x:c>
      <x:c r="B623" s="29" t="str">
        <x:v>SCA-31</x:v>
      </x:c>
      <x:c r="C623" s="53" t="n">
        <x:v>54.559831225878554</x:v>
      </x:c>
      <x:c r="D623" s="29" t="str">
        <x:v>YES</x:v>
      </x:c>
      <x:c r="E623" s="53" t="n">
        <x:v>51.868438820333154</x:v>
      </x:c>
      <x:c r="F623" s="29" t="str">
        <x:v>YES</x:v>
      </x:c>
      <x:c r="G623" s="53" t="n">
        <x:v>14.867872958131889</x:v>
      </x:c>
      <x:c r="H623" s="29" t="str">
        <x:v>YES</x:v>
      </x:c>
      <x:c r="I623" s="53" t="n">
        <x:v>94.57562224234742</x:v>
      </x:c>
      <x:c r="J623" s="29" t="str">
        <x:v>NO</x:v>
      </x:c>
      <x:c r="K623" s="29" t="str">
        <x:v>Air</x:v>
      </x:c>
      <x:c r="L623" s="53" t="n">
        <x:v>14.867872958131889</x:v>
      </x:c>
      <x:c r="M623" s="41" t="n">
        <x:f>INDEX(Catchments!C:C,MATCH(A623,Catchments!A:A,0))</x:f>
        <x:v>8490774</x:v>
      </x:c>
      <x:c r="N623" s="41" t="n">
        <x:f>INDEX(Catchments!C:C,MATCH(B623,Catchments!A:A,0))</x:f>
        <x:v>14227128</x:v>
      </x:c>
    </x:row>
    <x:row r="624" ht="15" hidden="0" customHeight="1">
      <x:c r="A624" s="27" t="str">
        <x:v>SCA-20</x:v>
      </x:c>
      <x:c r="B624" s="27" t="str">
        <x:v>SCA-32</x:v>
      </x:c>
      <x:c r="C624" s="52"/>
      <x:c r="D624" s="27" t="str">
        <x:v>NO</x:v>
      </x:c>
      <x:c r="E624" s="52"/>
      <x:c r="F624" s="27" t="str">
        <x:v>NO</x:v>
      </x:c>
      <x:c r="G624" s="52" t="n">
        <x:v>16.507832341973497</x:v>
      </x:c>
      <x:c r="H624" s="27" t="str">
        <x:v>YES</x:v>
      </x:c>
      <x:c r="I624" s="52" t="n">
        <x:v>132.64610793867047</x:v>
      </x:c>
      <x:c r="J624" s="27" t="str">
        <x:v>NO</x:v>
      </x:c>
      <x:c r="K624" s="27" t="str">
        <x:v>Air</x:v>
      </x:c>
      <x:c r="L624" s="52" t="n">
        <x:v>16.507832341973497</x:v>
      </x:c>
      <x:c r="M624" s="40" t="n">
        <x:f>INDEX(Catchments!C:C,MATCH(A624,Catchments!A:A,0))</x:f>
        <x:v>8490774</x:v>
      </x:c>
      <x:c r="N624" s="40" t="n">
        <x:f>INDEX(Catchments!C:C,MATCH(B624,Catchments!A:A,0))</x:f>
        <x:v>3184835</x:v>
      </x:c>
    </x:row>
    <x:row r="625" ht="15" hidden="0" customHeight="1">
      <x:c r="A625" s="29" t="str">
        <x:v>SCA-21</x:v>
      </x:c>
      <x:c r="B625" s="29" t="str">
        <x:v>SCA-01</x:v>
      </x:c>
      <x:c r="C625" s="53"/>
      <x:c r="D625" s="29" t="str">
        <x:v>NO</x:v>
      </x:c>
      <x:c r="E625" s="53"/>
      <x:c r="F625" s="29" t="str">
        <x:v>NO</x:v>
      </x:c>
      <x:c r="G625" s="53" t="n">
        <x:v>22.464082376749595</x:v>
      </x:c>
      <x:c r="H625" s="29" t="str">
        <x:v>YES</x:v>
      </x:c>
      <x:c r="I625" s="53" t="n">
        <x:v>270.91619803168703</x:v>
      </x:c>
      <x:c r="J625" s="29" t="str">
        <x:v>NO</x:v>
      </x:c>
      <x:c r="K625" s="29" t="str">
        <x:v>Air</x:v>
      </x:c>
      <x:c r="L625" s="53" t="n">
        <x:v>22.464082376749595</x:v>
      </x:c>
      <x:c r="M625" s="41" t="n">
        <x:f>INDEX(Catchments!C:C,MATCH(A625,Catchments!A:A,0))</x:f>
        <x:v>19593580</x:v>
      </x:c>
      <x:c r="N625" s="41" t="n">
        <x:f>INDEX(Catchments!C:C,MATCH(B625,Catchments!A:A,0))</x:f>
        <x:v>1432820</x:v>
      </x:c>
    </x:row>
    <x:row r="626" ht="15" hidden="0" customHeight="1">
      <x:c r="A626" s="27" t="str">
        <x:v>SCA-21</x:v>
      </x:c>
      <x:c r="B626" s="27" t="str">
        <x:v>SCA-02</x:v>
      </x:c>
      <x:c r="C626" s="52"/>
      <x:c r="D626" s="27" t="str">
        <x:v>NO</x:v>
      </x:c>
      <x:c r="E626" s="52"/>
      <x:c r="F626" s="27" t="str">
        <x:v>NO</x:v>
      </x:c>
      <x:c r="G626" s="52" t="n">
        <x:v>18.693281884116022</x:v>
      </x:c>
      <x:c r="H626" s="27" t="str">
        <x:v>YES</x:v>
      </x:c>
      <x:c r="I626" s="52" t="n">
        <x:v>183.37975802412194</x:v>
      </x:c>
      <x:c r="J626" s="27" t="str">
        <x:v>NO</x:v>
      </x:c>
      <x:c r="K626" s="27" t="str">
        <x:v>Air</x:v>
      </x:c>
      <x:c r="L626" s="52" t="n">
        <x:v>18.693281884116022</x:v>
      </x:c>
      <x:c r="M626" s="40" t="n">
        <x:f>INDEX(Catchments!C:C,MATCH(A626,Catchments!A:A,0))</x:f>
        <x:v>19593580</x:v>
      </x:c>
      <x:c r="N626" s="40" t="n">
        <x:f>INDEX(Catchments!C:C,MATCH(B626,Catchments!A:A,0))</x:f>
        <x:v>737270</x:v>
      </x:c>
    </x:row>
    <x:row r="627" ht="15" hidden="0" customHeight="1">
      <x:c r="A627" s="29" t="str">
        <x:v>SCA-21</x:v>
      </x:c>
      <x:c r="B627" s="29" t="str">
        <x:v>SCA-03</x:v>
      </x:c>
      <x:c r="C627" s="53" t="n">
        <x:v>72.0034361558966</x:v>
      </x:c>
      <x:c r="D627" s="29" t="str">
        <x:v>NO</x:v>
      </x:c>
      <x:c r="E627" s="53" t="n">
        <x:v>65.57412840820446</x:v>
      </x:c>
      <x:c r="F627" s="29" t="str">
        <x:v>YES</x:v>
      </x:c>
      <x:c r="G627" s="53" t="n">
        <x:v>16.152035635054578</x:v>
      </x:c>
      <x:c r="H627" s="29" t="str">
        <x:v>YES</x:v>
      </x:c>
      <x:c r="I627" s="53" t="n">
        <x:v>124.38654152805267</x:v>
      </x:c>
      <x:c r="J627" s="29" t="str">
        <x:v>NO</x:v>
      </x:c>
      <x:c r="K627" s="29" t="str">
        <x:v>Air</x:v>
      </x:c>
      <x:c r="L627" s="53" t="n">
        <x:v>16.152035635054578</x:v>
      </x:c>
      <x:c r="M627" s="41" t="n">
        <x:f>INDEX(Catchments!C:C,MATCH(A627,Catchments!A:A,0))</x:f>
        <x:v>19593580</x:v>
      </x:c>
      <x:c r="N627" s="41" t="n">
        <x:f>INDEX(Catchments!C:C,MATCH(B627,Catchments!A:A,0))</x:f>
        <x:v>11968308</x:v>
      </x:c>
    </x:row>
    <x:row r="628" ht="15" hidden="0" customHeight="1">
      <x:c r="A628" s="27" t="str">
        <x:v>SCA-21</x:v>
      </x:c>
      <x:c r="B628" s="27" t="str">
        <x:v>SCA-04</x:v>
      </x:c>
      <x:c r="C628" s="52" t="n">
        <x:v>79.46723250569245</x:v>
      </x:c>
      <x:c r="D628" s="27" t="str">
        <x:v>NO</x:v>
      </x:c>
      <x:c r="E628" s="52" t="n">
        <x:v>71.43853982590122</x:v>
      </x:c>
      <x:c r="F628" s="27" t="str">
        <x:v>YES</x:v>
      </x:c>
      <x:c r="G628" s="52" t="n">
        <x:v>16.411443400680994</x:v>
      </x:c>
      <x:c r="H628" s="27" t="str">
        <x:v>YES</x:v>
      </x:c>
      <x:c r="I628" s="52" t="n">
        <x:v>130.40850751580882</x:v>
      </x:c>
      <x:c r="J628" s="27" t="str">
        <x:v>NO</x:v>
      </x:c>
      <x:c r="K628" s="27" t="str">
        <x:v>Air</x:v>
      </x:c>
      <x:c r="L628" s="52" t="n">
        <x:v>16.411443400680994</x:v>
      </x:c>
      <x:c r="M628" s="40" t="n">
        <x:f>INDEX(Catchments!C:C,MATCH(A628,Catchments!A:A,0))</x:f>
        <x:v>19593580</x:v>
      </x:c>
      <x:c r="N628" s="40" t="n">
        <x:f>INDEX(Catchments!C:C,MATCH(B628,Catchments!A:A,0))</x:f>
        <x:v>16200470</x:v>
      </x:c>
    </x:row>
    <x:row r="629" ht="15" hidden="0" customHeight="1">
      <x:c r="A629" s="29" t="str">
        <x:v>SCA-21</x:v>
      </x:c>
      <x:c r="B629" s="29" t="str">
        <x:v>SCA-05</x:v>
      </x:c>
      <x:c r="C629" s="53" t="n">
        <x:v>80.5383455141471</x:v>
      </x:c>
      <x:c r="D629" s="29" t="str">
        <x:v>NO</x:v>
      </x:c>
      <x:c r="E629" s="53" t="n">
        <x:v>72.28012861825843</x:v>
      </x:c>
      <x:c r="F629" s="29" t="str">
        <x:v>NO</x:v>
      </x:c>
      <x:c r="G629" s="53" t="n">
        <x:v>16.26711326547497</x:v>
      </x:c>
      <x:c r="H629" s="29" t="str">
        <x:v>YES</x:v>
      </x:c>
      <x:c r="I629" s="53" t="n">
        <x:v>127.05798651995467</x:v>
      </x:c>
      <x:c r="J629" s="29" t="str">
        <x:v>NO</x:v>
      </x:c>
      <x:c r="K629" s="29" t="str">
        <x:v>Air</x:v>
      </x:c>
      <x:c r="L629" s="53" t="n">
        <x:v>16.26711326547497</x:v>
      </x:c>
      <x:c r="M629" s="41" t="n">
        <x:f>INDEX(Catchments!C:C,MATCH(A629,Catchments!A:A,0))</x:f>
        <x:v>19593580</x:v>
      </x:c>
      <x:c r="N629" s="41" t="n">
        <x:f>INDEX(Catchments!C:C,MATCH(B629,Catchments!A:A,0))</x:f>
        <x:v>15966265</x:v>
      </x:c>
    </x:row>
    <x:row r="630" ht="15" hidden="0" customHeight="1">
      <x:c r="A630" s="27" t="str">
        <x:v>SCA-21</x:v>
      </x:c>
      <x:c r="B630" s="27" t="str">
        <x:v>SCA-06</x:v>
      </x:c>
      <x:c r="C630" s="52" t="n">
        <x:v>76.16093874541758</x:v>
      </x:c>
      <x:c r="D630" s="27" t="str">
        <x:v>NO</x:v>
      </x:c>
      <x:c r="E630" s="52" t="n">
        <x:v>68.84073758568525</x:v>
      </x:c>
      <x:c r="F630" s="27" t="str">
        <x:v>YES</x:v>
      </x:c>
      <x:c r="G630" s="52" t="n">
        <x:v>16.10179326842192</x:v>
      </x:c>
      <x:c r="H630" s="27" t="str">
        <x:v>YES</x:v>
      </x:c>
      <x:c r="I630" s="52" t="n">
        <x:v>123.22020087408023</x:v>
      </x:c>
      <x:c r="J630" s="27" t="str">
        <x:v>NO</x:v>
      </x:c>
      <x:c r="K630" s="27" t="str">
        <x:v>Air</x:v>
      </x:c>
      <x:c r="L630" s="52" t="n">
        <x:v>16.10179326842192</x:v>
      </x:c>
      <x:c r="M630" s="40" t="n">
        <x:f>INDEX(Catchments!C:C,MATCH(A630,Catchments!A:A,0))</x:f>
        <x:v>19593580</x:v>
      </x:c>
      <x:c r="N630" s="40" t="n">
        <x:f>INDEX(Catchments!C:C,MATCH(B630,Catchments!A:A,0))</x:f>
        <x:v>6008575</x:v>
      </x:c>
    </x:row>
    <x:row r="631" ht="15" hidden="0" customHeight="1">
      <x:c r="A631" s="29" t="str">
        <x:v>SCA-21</x:v>
      </x:c>
      <x:c r="B631" s="29" t="str">
        <x:v>SCA-07</x:v>
      </x:c>
      <x:c r="C631" s="53" t="n">
        <x:v>75.15478368424033</x:v>
      </x:c>
      <x:c r="D631" s="29" t="str">
        <x:v>NO</x:v>
      </x:c>
      <x:c r="E631" s="53" t="n">
        <x:v>68.05018718047455</x:v>
      </x:c>
      <x:c r="F631" s="29" t="str">
        <x:v>YES</x:v>
      </x:c>
      <x:c r="G631" s="53" t="n">
        <x:v>15.786436718799507</x:v>
      </x:c>
      <x:c r="H631" s="29" t="str">
        <x:v>YES</x:v>
      </x:c>
      <x:c r="I631" s="53" t="n">
        <x:v>115.89942382927428</x:v>
      </x:c>
      <x:c r="J631" s="29" t="str">
        <x:v>NO</x:v>
      </x:c>
      <x:c r="K631" s="29" t="str">
        <x:v>Air</x:v>
      </x:c>
      <x:c r="L631" s="53" t="n">
        <x:v>15.786436718799507</x:v>
      </x:c>
      <x:c r="M631" s="41" t="n">
        <x:f>INDEX(Catchments!C:C,MATCH(A631,Catchments!A:A,0))</x:f>
        <x:v>19593580</x:v>
      </x:c>
      <x:c r="N631" s="41" t="n">
        <x:f>INDEX(Catchments!C:C,MATCH(B631,Catchments!A:A,0))</x:f>
        <x:v>5229370</x:v>
      </x:c>
    </x:row>
    <x:row r="632" ht="15" hidden="0" customHeight="1">
      <x:c r="A632" s="27" t="str">
        <x:v>SCA-21</x:v>
      </x:c>
      <x:c r="B632" s="27" t="str">
        <x:v>SCA-08</x:v>
      </x:c>
      <x:c r="C632" s="52" t="n">
        <x:v>60.28243842730549</x:v>
      </x:c>
      <x:c r="D632" s="27" t="str">
        <x:v>YES</x:v>
      </x:c>
      <x:c r="E632" s="52" t="n">
        <x:v>56.36477305002575</x:v>
      </x:c>
      <x:c r="F632" s="27" t="str">
        <x:v>YES</x:v>
      </x:c>
      <x:c r="G632" s="52" t="n">
        <x:v>15.36236469282563</x:v>
      </x:c>
      <x:c r="H632" s="27" t="str">
        <x:v>YES</x:v>
      </x:c>
      <x:c r="I632" s="52" t="n">
        <x:v>106.0548946548807</x:v>
      </x:c>
      <x:c r="J632" s="27" t="str">
        <x:v>NO</x:v>
      </x:c>
      <x:c r="K632" s="27" t="str">
        <x:v>Air</x:v>
      </x:c>
      <x:c r="L632" s="52" t="n">
        <x:v>15.36236469282563</x:v>
      </x:c>
      <x:c r="M632" s="40" t="n">
        <x:f>INDEX(Catchments!C:C,MATCH(A632,Catchments!A:A,0))</x:f>
        <x:v>19593580</x:v>
      </x:c>
      <x:c r="N632" s="40" t="n">
        <x:f>INDEX(Catchments!C:C,MATCH(B632,Catchments!A:A,0))</x:f>
        <x:v>2652387</x:v>
      </x:c>
    </x:row>
    <x:row r="633" ht="15" hidden="0" customHeight="1">
      <x:c r="A633" s="29" t="str">
        <x:v>SCA-21</x:v>
      </x:c>
      <x:c r="B633" s="29" t="str">
        <x:v>SCA-09</x:v>
      </x:c>
      <x:c r="C633" s="53" t="n">
        <x:v>67.98422144065702</x:v>
      </x:c>
      <x:c r="D633" s="29" t="str">
        <x:v>YES</x:v>
      </x:c>
      <x:c r="E633" s="53" t="n">
        <x:v>62.41617398908765</x:v>
      </x:c>
      <x:c r="F633" s="29" t="str">
        <x:v>YES</x:v>
      </x:c>
      <x:c r="G633" s="53" t="n">
        <x:v>15.594527612139188</x:v>
      </x:c>
      <x:c r="H633" s="29" t="str">
        <x:v>YES</x:v>
      </x:c>
      <x:c r="I633" s="53"/>
      <x:c r="J633" s="29" t="str">
        <x:v>NO</x:v>
      </x:c>
      <x:c r="K633" s="29" t="str">
        <x:v>Air</x:v>
      </x:c>
      <x:c r="L633" s="53" t="n">
        <x:v>15.594527612139188</x:v>
      </x:c>
      <x:c r="M633" s="41" t="n">
        <x:f>INDEX(Catchments!C:C,MATCH(A633,Catchments!A:A,0))</x:f>
        <x:v>19593580</x:v>
      </x:c>
      <x:c r="N633" s="41" t="n">
        <x:f>INDEX(Catchments!C:C,MATCH(B633,Catchments!A:A,0))</x:f>
        <x:v>7395716</x:v>
      </x:c>
    </x:row>
    <x:row r="634" ht="15" hidden="0" customHeight="1">
      <x:c r="A634" s="27" t="str">
        <x:v>SCA-21</x:v>
      </x:c>
      <x:c r="B634" s="27" t="str">
        <x:v>SCA-10</x:v>
      </x:c>
      <x:c r="C634" s="52" t="n">
        <x:v>60.351160000432074</x:v>
      </x:c>
      <x:c r="D634" s="27" t="str">
        <x:v>YES</x:v>
      </x:c>
      <x:c r="E634" s="52" t="n">
        <x:v>56.418768571768055</x:v>
      </x:c>
      <x:c r="F634" s="27" t="str">
        <x:v>YES</x:v>
      </x:c>
      <x:c r="G634" s="52" t="n">
        <x:v>14.979944910828737</x:v>
      </x:c>
      <x:c r="H634" s="27" t="str">
        <x:v>YES</x:v>
      </x:c>
      <x:c r="I634" s="52"/>
      <x:c r="J634" s="27" t="str">
        <x:v>NO</x:v>
      </x:c>
      <x:c r="K634" s="27" t="str">
        <x:v>Air</x:v>
      </x:c>
      <x:c r="L634" s="52" t="n">
        <x:v>14.979944910828737</x:v>
      </x:c>
      <x:c r="M634" s="40" t="n">
        <x:f>INDEX(Catchments!C:C,MATCH(A634,Catchments!A:A,0))</x:f>
        <x:v>19593580</x:v>
      </x:c>
      <x:c r="N634" s="40" t="n">
        <x:f>INDEX(Catchments!C:C,MATCH(B634,Catchments!A:A,0))</x:f>
        <x:v>4127033</x:v>
      </x:c>
    </x:row>
    <x:row r="635" ht="15" hidden="0" customHeight="1">
      <x:c r="A635" s="29" t="str">
        <x:v>SCA-21</x:v>
      </x:c>
      <x:c r="B635" s="29" t="str">
        <x:v>SCA-11</x:v>
      </x:c>
      <x:c r="C635" s="53" t="n">
        <x:v>61.31667073668113</x:v>
      </x:c>
      <x:c r="D635" s="29" t="str">
        <x:v>YES</x:v>
      </x:c>
      <x:c r="E635" s="53" t="n">
        <x:v>57.177384150249466</x:v>
      </x:c>
      <x:c r="F635" s="29" t="str">
        <x:v>YES</x:v>
      </x:c>
      <x:c r="G635" s="53" t="n">
        <x:v>14.77309629826976</x:v>
      </x:c>
      <x:c r="H635" s="29" t="str">
        <x:v>YES</x:v>
      </x:c>
      <x:c r="I635" s="53" t="n">
        <x:v>92.37544978126229</x:v>
      </x:c>
      <x:c r="J635" s="29" t="str">
        <x:v>NO</x:v>
      </x:c>
      <x:c r="K635" s="29" t="str">
        <x:v>Air</x:v>
      </x:c>
      <x:c r="L635" s="53" t="n">
        <x:v>14.77309629826976</x:v>
      </x:c>
      <x:c r="M635" s="41" t="n">
        <x:f>INDEX(Catchments!C:C,MATCH(A635,Catchments!A:A,0))</x:f>
        <x:v>19593580</x:v>
      </x:c>
      <x:c r="N635" s="41" t="n">
        <x:f>INDEX(Catchments!C:C,MATCH(B635,Catchments!A:A,0))</x:f>
        <x:v>3517787</x:v>
      </x:c>
    </x:row>
    <x:row r="636" ht="15" hidden="0" customHeight="1">
      <x:c r="A636" s="27" t="str">
        <x:v>SCA-21</x:v>
      </x:c>
      <x:c r="B636" s="27" t="str">
        <x:v>SCA-12</x:v>
      </x:c>
      <x:c r="C636" s="52" t="n">
        <x:v>48.055560686860396</x:v>
      </x:c>
      <x:c r="D636" s="27" t="str">
        <x:v>YES</x:v>
      </x:c>
      <x:c r="E636" s="52" t="n">
        <x:v>46.75794053967603</x:v>
      </x:c>
      <x:c r="F636" s="27" t="str">
        <x:v>YES</x:v>
      </x:c>
      <x:c r="G636" s="52" t="n">
        <x:v>14.226181060129054</x:v>
      </x:c>
      <x:c r="H636" s="27" t="str">
        <x:v>YES</x:v>
      </x:c>
      <x:c r="I636" s="52"/>
      <x:c r="J636" s="27" t="str">
        <x:v>NO</x:v>
      </x:c>
      <x:c r="K636" s="27" t="str">
        <x:v>Air</x:v>
      </x:c>
      <x:c r="L636" s="52" t="n">
        <x:v>14.226181060129054</x:v>
      </x:c>
      <x:c r="M636" s="40" t="n">
        <x:f>INDEX(Catchments!C:C,MATCH(A636,Catchments!A:A,0))</x:f>
        <x:v>19593580</x:v>
      </x:c>
      <x:c r="N636" s="40" t="n">
        <x:f>INDEX(Catchments!C:C,MATCH(B636,Catchments!A:A,0))</x:f>
        <x:v>7465186</x:v>
      </x:c>
    </x:row>
    <x:row r="637" ht="15" hidden="0" customHeight="1">
      <x:c r="A637" s="29" t="str">
        <x:v>SCA-21</x:v>
      </x:c>
      <x:c r="B637" s="29" t="str">
        <x:v>SCA-13</x:v>
      </x:c>
      <x:c r="C637" s="53" t="n">
        <x:v>52.54312406185752</x:v>
      </x:c>
      <x:c r="D637" s="29" t="str">
        <x:v>YES</x:v>
      </x:c>
      <x:c r="E637" s="53" t="n">
        <x:v>50.28388319145948</x:v>
      </x:c>
      <x:c r="F637" s="29" t="str">
        <x:v>YES</x:v>
      </x:c>
      <x:c r="G637" s="53" t="n">
        <x:v>14.51103670740808</x:v>
      </x:c>
      <x:c r="H637" s="29" t="str">
        <x:v>YES</x:v>
      </x:c>
      <x:c r="I637" s="53" t="n">
        <x:v>86.29192356483043</x:v>
      </x:c>
      <x:c r="J637" s="29" t="str">
        <x:v>NO</x:v>
      </x:c>
      <x:c r="K637" s="29" t="str">
        <x:v>Air</x:v>
      </x:c>
      <x:c r="L637" s="53" t="n">
        <x:v>14.51103670740808</x:v>
      </x:c>
      <x:c r="M637" s="41" t="n">
        <x:f>INDEX(Catchments!C:C,MATCH(A637,Catchments!A:A,0))</x:f>
        <x:v>19593580</x:v>
      </x:c>
      <x:c r="N637" s="41" t="n">
        <x:f>INDEX(Catchments!C:C,MATCH(B637,Catchments!A:A,0))</x:f>
        <x:v>6759014</x:v>
      </x:c>
    </x:row>
    <x:row r="638" ht="15" hidden="0" customHeight="1">
      <x:c r="A638" s="27" t="str">
        <x:v>SCA-21</x:v>
      </x:c>
      <x:c r="B638" s="27" t="str">
        <x:v>SCA-14</x:v>
      </x:c>
      <x:c r="C638" s="52" t="n">
        <x:v>59.88066612962318</x:v>
      </x:c>
      <x:c r="D638" s="27" t="str">
        <x:v>YES</x:v>
      </x:c>
      <x:c r="E638" s="52" t="n">
        <x:v>56.0490948161325</x:v>
      </x:c>
      <x:c r="F638" s="27" t="str">
        <x:v>YES</x:v>
      </x:c>
      <x:c r="G638" s="52" t="n">
        <x:v>14.981253062801796</x:v>
      </x:c>
      <x:c r="H638" s="27" t="str">
        <x:v>YES</x:v>
      </x:c>
      <x:c r="I638" s="52" t="n">
        <x:v>97.20766038647027</x:v>
      </x:c>
      <x:c r="J638" s="27" t="str">
        <x:v>NO</x:v>
      </x:c>
      <x:c r="K638" s="27" t="str">
        <x:v>Air</x:v>
      </x:c>
      <x:c r="L638" s="52" t="n">
        <x:v>14.981253062801796</x:v>
      </x:c>
      <x:c r="M638" s="40" t="n">
        <x:f>INDEX(Catchments!C:C,MATCH(A638,Catchments!A:A,0))</x:f>
        <x:v>19593580</x:v>
      </x:c>
      <x:c r="N638" s="40" t="n">
        <x:f>INDEX(Catchments!C:C,MATCH(B638,Catchments!A:A,0))</x:f>
        <x:v>2179728</x:v>
      </x:c>
    </x:row>
    <x:row r="639" ht="15" hidden="0" customHeight="1">
      <x:c r="A639" s="29" t="str">
        <x:v>SCA-21</x:v>
      </x:c>
      <x:c r="B639" s="29" t="str">
        <x:v>SCA-15</x:v>
      </x:c>
      <x:c r="C639" s="53" t="n">
        <x:v>44.85525858278228</x:v>
      </x:c>
      <x:c r="D639" s="29" t="str">
        <x:v>YES</x:v>
      </x:c>
      <x:c r="E639" s="53" t="n">
        <x:v>44.243417457900364</x:v>
      </x:c>
      <x:c r="F639" s="29" t="str">
        <x:v>YES</x:v>
      </x:c>
      <x:c r="G639" s="53" t="n">
        <x:v>13.95521628971499</x:v>
      </x:c>
      <x:c r="H639" s="29" t="str">
        <x:v>YES</x:v>
      </x:c>
      <x:c r="I639" s="53" t="n">
        <x:v>73.38894958266943</x:v>
      </x:c>
      <x:c r="J639" s="29" t="str">
        <x:v>NO</x:v>
      </x:c>
      <x:c r="K639" s="29" t="str">
        <x:v>Air</x:v>
      </x:c>
      <x:c r="L639" s="53" t="n">
        <x:v>13.95521628971499</x:v>
      </x:c>
      <x:c r="M639" s="41" t="n">
        <x:f>INDEX(Catchments!C:C,MATCH(A639,Catchments!A:A,0))</x:f>
        <x:v>19593580</x:v>
      </x:c>
      <x:c r="N639" s="41" t="n">
        <x:f>INDEX(Catchments!C:C,MATCH(B639,Catchments!A:A,0))</x:f>
        <x:v>13192386</x:v>
      </x:c>
    </x:row>
    <x:row r="640" ht="15" hidden="0" customHeight="1">
      <x:c r="A640" s="27" t="str">
        <x:v>SCA-21</x:v>
      </x:c>
      <x:c r="B640" s="27" t="str">
        <x:v>SCA-16</x:v>
      </x:c>
      <x:c r="C640" s="52" t="n">
        <x:v>33.036591547347626</x:v>
      </x:c>
      <x:c r="D640" s="27" t="str">
        <x:v>YES</x:v>
      </x:c>
      <x:c r="E640" s="52" t="n">
        <x:v>34.95732193005885</x:v>
      </x:c>
      <x:c r="F640" s="27" t="str">
        <x:v>YES</x:v>
      </x:c>
      <x:c r="G640" s="52" t="n">
        <x:v>13.26490824490949</x:v>
      </x:c>
      <x:c r="H640" s="27" t="str">
        <x:v>YES</x:v>
      </x:c>
      <x:c r="I640" s="52"/>
      <x:c r="J640" s="27" t="str">
        <x:v>NO</x:v>
      </x:c>
      <x:c r="K640" s="27" t="str">
        <x:v>Air</x:v>
      </x:c>
      <x:c r="L640" s="52" t="n">
        <x:v>13.26490824490949</x:v>
      </x:c>
      <x:c r="M640" s="40" t="n">
        <x:f>INDEX(Catchments!C:C,MATCH(A640,Catchments!A:A,0))</x:f>
        <x:v>19593580</x:v>
      </x:c>
      <x:c r="N640" s="40" t="n">
        <x:f>INDEX(Catchments!C:C,MATCH(B640,Catchments!A:A,0))</x:f>
        <x:v>10177969</x:v>
      </x:c>
    </x:row>
    <x:row r="641" ht="15" hidden="0" customHeight="1">
      <x:c r="A641" s="29" t="str">
        <x:v>SCA-21</x:v>
      </x:c>
      <x:c r="B641" s="29" t="str">
        <x:v>SCA-17</x:v>
      </x:c>
      <x:c r="C641" s="53" t="n">
        <x:v>47.042972100991456</x:v>
      </x:c>
      <x:c r="D641" s="29" t="str">
        <x:v>YES</x:v>
      </x:c>
      <x:c r="E641" s="53" t="n">
        <x:v>45.96233522220757</x:v>
      </x:c>
      <x:c r="F641" s="29" t="str">
        <x:v>YES</x:v>
      </x:c>
      <x:c r="G641" s="53" t="n">
        <x:v>14.24833074949092</x:v>
      </x:c>
      <x:c r="H641" s="29" t="str">
        <x:v>YES</x:v>
      </x:c>
      <x:c r="I641" s="53" t="n">
        <x:v>80.19339239889635</x:v>
      </x:c>
      <x:c r="J641" s="29" t="str">
        <x:v>NO</x:v>
      </x:c>
      <x:c r="K641" s="29" t="str">
        <x:v>Air</x:v>
      </x:c>
      <x:c r="L641" s="53" t="n">
        <x:v>14.24833074949092</x:v>
      </x:c>
      <x:c r="M641" s="41" t="n">
        <x:f>INDEX(Catchments!C:C,MATCH(A641,Catchments!A:A,0))</x:f>
        <x:v>19593580</x:v>
      </x:c>
      <x:c r="N641" s="41" t="n">
        <x:f>INDEX(Catchments!C:C,MATCH(B641,Catchments!A:A,0))</x:f>
        <x:v>12843509</x:v>
      </x:c>
    </x:row>
    <x:row r="642" ht="15" hidden="0" customHeight="1">
      <x:c r="A642" s="27" t="str">
        <x:v>SCA-21</x:v>
      </x:c>
      <x:c r="B642" s="27" t="str">
        <x:v>SCA-18</x:v>
      </x:c>
      <x:c r="C642" s="52" t="n">
        <x:v>25.66548265647027</x:v>
      </x:c>
      <x:c r="D642" s="27" t="str">
        <x:v>YES</x:v>
      </x:c>
      <x:c r="E642" s="52" t="n">
        <x:v>29.165736372940927</x:v>
      </x:c>
      <x:c r="F642" s="27" t="str">
        <x:v>YES</x:v>
      </x:c>
      <x:c r="G642" s="52" t="n">
        <x:v>12.858329827566376</x:v>
      </x:c>
      <x:c r="H642" s="27" t="str">
        <x:v>YES</x:v>
      </x:c>
      <x:c r="I642" s="52" t="n">
        <x:v>47.9255138542194</x:v>
      </x:c>
      <x:c r="J642" s="27" t="str">
        <x:v>YES</x:v>
      </x:c>
      <x:c r="K642" s="27" t="str">
        <x:v>Air</x:v>
      </x:c>
      <x:c r="L642" s="52" t="n">
        <x:v>12.858329827566376</x:v>
      </x:c>
      <x:c r="M642" s="40" t="n">
        <x:f>INDEX(Catchments!C:C,MATCH(A642,Catchments!A:A,0))</x:f>
        <x:v>19593580</x:v>
      </x:c>
      <x:c r="N642" s="40" t="n">
        <x:f>INDEX(Catchments!C:C,MATCH(B642,Catchments!A:A,0))</x:f>
        <x:v>11004680</x:v>
      </x:c>
    </x:row>
    <x:row r="643" ht="15" hidden="0" customHeight="1">
      <x:c r="A643" s="29" t="str">
        <x:v>SCA-21</x:v>
      </x:c>
      <x:c r="B643" s="29" t="str">
        <x:v>SCA-19</x:v>
      </x:c>
      <x:c r="C643" s="53" t="n">
        <x:v>23.55504293045643</x:v>
      </x:c>
      <x:c r="D643" s="29" t="str">
        <x:v>YES</x:v>
      </x:c>
      <x:c r="E643" s="53" t="n">
        <x:v>27.50753373107291</x:v>
      </x:c>
      <x:c r="F643" s="29" t="str">
        <x:v>YES</x:v>
      </x:c>
      <x:c r="G643" s="53" t="n">
        <x:v>12.70304663702355</x:v>
      </x:c>
      <x:c r="H643" s="29" t="str">
        <x:v>YES</x:v>
      </x:c>
      <x:c r="I643" s="53" t="n">
        <x:v>44.320725502332415</x:v>
      </x:c>
      <x:c r="J643" s="29" t="str">
        <x:v>YES</x:v>
      </x:c>
      <x:c r="K643" s="29" t="str">
        <x:v>Air</x:v>
      </x:c>
      <x:c r="L643" s="53" t="n">
        <x:v>12.70304663702355</x:v>
      </x:c>
      <x:c r="M643" s="41" t="n">
        <x:f>INDEX(Catchments!C:C,MATCH(A643,Catchments!A:A,0))</x:f>
        <x:v>19593580</x:v>
      </x:c>
      <x:c r="N643" s="41" t="n">
        <x:f>INDEX(Catchments!C:C,MATCH(B643,Catchments!A:A,0))</x:f>
        <x:v>6677653</x:v>
      </x:c>
    </x:row>
    <x:row r="644" ht="15" hidden="0" customHeight="1">
      <x:c r="A644" s="27" t="str">
        <x:v>SCA-21</x:v>
      </x:c>
      <x:c r="B644" s="27" t="str">
        <x:v>SCA-20</x:v>
      </x:c>
      <x:c r="C644" s="52" t="n">
        <x:v>34.49224438165266</x:v>
      </x:c>
      <x:c r="D644" s="27" t="str">
        <x:v>YES</x:v>
      </x:c>
      <x:c r="E644" s="52" t="n">
        <x:v>36.10104915701281</x:v>
      </x:c>
      <x:c r="F644" s="27" t="str">
        <x:v>YES</x:v>
      </x:c>
      <x:c r="G644" s="52" t="n">
        <x:v>13.411996634310988</x:v>
      </x:c>
      <x:c r="H644" s="27" t="str">
        <x:v>YES</x:v>
      </x:c>
      <x:c r="I644" s="52" t="n">
        <x:v>60.778493296505104</x:v>
      </x:c>
      <x:c r="J644" s="27" t="str">
        <x:v>YES</x:v>
      </x:c>
      <x:c r="K644" s="27" t="str">
        <x:v>Air</x:v>
      </x:c>
      <x:c r="L644" s="52" t="n">
        <x:v>13.411996634310988</x:v>
      </x:c>
      <x:c r="M644" s="40" t="n">
        <x:f>INDEX(Catchments!C:C,MATCH(A644,Catchments!A:A,0))</x:f>
        <x:v>19593580</x:v>
      </x:c>
      <x:c r="N644" s="40" t="n">
        <x:f>INDEX(Catchments!C:C,MATCH(B644,Catchments!A:A,0))</x:f>
        <x:v>8490774</x:v>
      </x:c>
    </x:row>
    <x:row r="645" ht="15" hidden="0" customHeight="1">
      <x:c r="A645" s="29" t="str">
        <x:v>SCA-21</x:v>
      </x:c>
      <x:c r="B645" s="29" t="str">
        <x:v>SCA-22</x:v>
      </x:c>
      <x:c r="C645" s="53" t="n">
        <x:v>23.987813404392384</x:v>
      </x:c>
      <x:c r="D645" s="29" t="str">
        <x:v>YES</x:v>
      </x:c>
      <x:c r="E645" s="53" t="n">
        <x:v>27.847567674879727</x:v>
      </x:c>
      <x:c r="F645" s="29" t="str">
        <x:v>YES</x:v>
      </x:c>
      <x:c r="G645" s="53" t="n">
        <x:v>12.734889280590744</x:v>
      </x:c>
      <x:c r="H645" s="29" t="str">
        <x:v>YES</x:v>
      </x:c>
      <x:c r="I645" s="53" t="n">
        <x:v>45.05992972799942</x:v>
      </x:c>
      <x:c r="J645" s="29" t="str">
        <x:v>YES</x:v>
      </x:c>
      <x:c r="K645" s="29" t="str">
        <x:v>Air</x:v>
      </x:c>
      <x:c r="L645" s="53" t="n">
        <x:v>12.734889280590744</x:v>
      </x:c>
      <x:c r="M645" s="41" t="n">
        <x:f>INDEX(Catchments!C:C,MATCH(A645,Catchments!A:A,0))</x:f>
        <x:v>19593580</x:v>
      </x:c>
      <x:c r="N645" s="41" t="n">
        <x:f>INDEX(Catchments!C:C,MATCH(B645,Catchments!A:A,0))</x:f>
        <x:v>14732006</x:v>
      </x:c>
    </x:row>
    <x:row r="646" ht="15" hidden="0" customHeight="1">
      <x:c r="A646" s="27" t="str">
        <x:v>SCA-21</x:v>
      </x:c>
      <x:c r="B646" s="27" t="str">
        <x:v>SCA-23</x:v>
      </x:c>
      <x:c r="C646" s="52" t="n">
        <x:v>34.69532055318212</x:v>
      </x:c>
      <x:c r="D646" s="27" t="str">
        <x:v>YES</x:v>
      </x:c>
      <x:c r="E646" s="52" t="n">
        <x:v>36.26060900607166</x:v>
      </x:c>
      <x:c r="F646" s="27" t="str">
        <x:v>YES</x:v>
      </x:c>
      <x:c r="G646" s="52" t="n">
        <x:v>13.502642648904201</x:v>
      </x:c>
      <x:c r="H646" s="27" t="str">
        <x:v>YES</x:v>
      </x:c>
      <x:c r="I646" s="52" t="n">
        <x:v>62.88277577813326</x:v>
      </x:c>
      <x:c r="J646" s="27" t="str">
        <x:v>YES</x:v>
      </x:c>
      <x:c r="K646" s="27" t="str">
        <x:v>Air</x:v>
      </x:c>
      <x:c r="L646" s="52" t="n">
        <x:v>13.502642648904201</x:v>
      </x:c>
      <x:c r="M646" s="40" t="n">
        <x:f>INDEX(Catchments!C:C,MATCH(A646,Catchments!A:A,0))</x:f>
        <x:v>19593580</x:v>
      </x:c>
      <x:c r="N646" s="40" t="n">
        <x:f>INDEX(Catchments!C:C,MATCH(B646,Catchments!A:A,0))</x:f>
        <x:v>20869310</x:v>
      </x:c>
    </x:row>
    <x:row r="647" ht="15" hidden="0" customHeight="1">
      <x:c r="A647" s="29" t="str">
        <x:v>SCA-21</x:v>
      </x:c>
      <x:c r="B647" s="29" t="str">
        <x:v>SCA-24</x:v>
      </x:c>
      <x:c r="C647" s="53" t="n">
        <x:v>21.222546421146134</x:v>
      </x:c>
      <x:c r="D647" s="29" t="str">
        <x:v>YES</x:v>
      </x:c>
      <x:c r="E647" s="53" t="n">
        <x:v>25.674857902329105</x:v>
      </x:c>
      <x:c r="F647" s="29" t="str">
        <x:v>YES</x:v>
      </x:c>
      <x:c r="G647" s="53" t="n">
        <x:v>12.531424820285</x:v>
      </x:c>
      <x:c r="H647" s="29" t="str">
        <x:v>YES</x:v>
      </x:c>
      <x:c r="I647" s="53" t="n">
        <x:v>40.33664761375893</x:v>
      </x:c>
      <x:c r="J647" s="29" t="str">
        <x:v>YES</x:v>
      </x:c>
      <x:c r="K647" s="29" t="str">
        <x:v>Air</x:v>
      </x:c>
      <x:c r="L647" s="53" t="n">
        <x:v>12.531424820285</x:v>
      </x:c>
      <x:c r="M647" s="41" t="n">
        <x:f>INDEX(Catchments!C:C,MATCH(A647,Catchments!A:A,0))</x:f>
        <x:v>19593580</x:v>
      </x:c>
      <x:c r="N647" s="41" t="n">
        <x:f>INDEX(Catchments!C:C,MATCH(B647,Catchments!A:A,0))</x:f>
        <x:v>11816161</x:v>
      </x:c>
    </x:row>
    <x:row r="648" ht="15" hidden="0" customHeight="1">
      <x:c r="A648" s="27" t="str">
        <x:v>SCA-21</x:v>
      </x:c>
      <x:c r="B648" s="27" t="str">
        <x:v>SCA-25</x:v>
      </x:c>
      <x:c r="C648" s="52" t="n">
        <x:v>43.687760188081015</x:v>
      </x:c>
      <x:c r="D648" s="27" t="str">
        <x:v>YES</x:v>
      </x:c>
      <x:c r="E648" s="52" t="n">
        <x:v>43.32609729063508</x:v>
      </x:c>
      <x:c r="F648" s="27" t="str">
        <x:v>YES</x:v>
      </x:c>
      <x:c r="G648" s="52" t="n">
        <x:v>14.14471059128616</x:v>
      </x:c>
      <x:c r="H648" s="27" t="str">
        <x:v>YES</x:v>
      </x:c>
      <x:c r="I648" s="52" t="n">
        <x:v>77.78792444057159</x:v>
      </x:c>
      <x:c r="J648" s="27" t="str">
        <x:v>NO</x:v>
      </x:c>
      <x:c r="K648" s="27" t="str">
        <x:v>Air</x:v>
      </x:c>
      <x:c r="L648" s="52" t="n">
        <x:v>14.14471059128616</x:v>
      </x:c>
      <x:c r="M648" s="40" t="n">
        <x:f>INDEX(Catchments!C:C,MATCH(A648,Catchments!A:A,0))</x:f>
        <x:v>19593580</x:v>
      </x:c>
      <x:c r="N648" s="40" t="n">
        <x:f>INDEX(Catchments!C:C,MATCH(B648,Catchments!A:A,0))</x:f>
        <x:v>6408394</x:v>
      </x:c>
    </x:row>
    <x:row r="649" ht="15" hidden="0" customHeight="1">
      <x:c r="A649" s="29" t="str">
        <x:v>SCA-21</x:v>
      </x:c>
      <x:c r="B649" s="29" t="str">
        <x:v>SCA-26</x:v>
      </x:c>
      <x:c r="C649" s="53" t="n">
        <x:v>49.66047756562324</x:v>
      </x:c>
      <x:c r="D649" s="29" t="str">
        <x:v>YES</x:v>
      </x:c>
      <x:c r="E649" s="53" t="n">
        <x:v>48.018946658703975</x:v>
      </x:c>
      <x:c r="F649" s="29" t="str">
        <x:v>YES</x:v>
      </x:c>
      <x:c r="G649" s="53" t="n">
        <x:v>14.569799124850359</x:v>
      </x:c>
      <x:c r="H649" s="29" t="str">
        <x:v>YES</x:v>
      </x:c>
      <x:c r="I649" s="53" t="n">
        <x:v>87.65605111259762</x:v>
      </x:c>
      <x:c r="J649" s="29" t="str">
        <x:v>NO</x:v>
      </x:c>
      <x:c r="K649" s="29" t="str">
        <x:v>Air</x:v>
      </x:c>
      <x:c r="L649" s="53" t="n">
        <x:v>14.569799124850359</x:v>
      </x:c>
      <x:c r="M649" s="41" t="n">
        <x:f>INDEX(Catchments!C:C,MATCH(A649,Catchments!A:A,0))</x:f>
        <x:v>19593580</x:v>
      </x:c>
      <x:c r="N649" s="41" t="n">
        <x:f>INDEX(Catchments!C:C,MATCH(B649,Catchments!A:A,0))</x:f>
        <x:v>10737083</x:v>
      </x:c>
    </x:row>
    <x:row r="650" ht="15" hidden="0" customHeight="1">
      <x:c r="A650" s="27" t="str">
        <x:v>SCA-21</x:v>
      </x:c>
      <x:c r="B650" s="27" t="str">
        <x:v>SCA-27</x:v>
      </x:c>
      <x:c r="C650" s="52" t="n">
        <x:v>54.74462782234231</x:v>
      </x:c>
      <x:c r="D650" s="27" t="str">
        <x:v>YES</x:v>
      </x:c>
      <x:c r="E650" s="52" t="n">
        <x:v>52.0136361461261</x:v>
      </x:c>
      <x:c r="F650" s="27" t="str">
        <x:v>YES</x:v>
      </x:c>
      <x:c r="G650" s="52" t="n">
        <x:v>14.93136574370598</x:v>
      </x:c>
      <x:c r="H650" s="27" t="str">
        <x:v>YES</x:v>
      </x:c>
      <x:c r="I650" s="52" t="n">
        <x:v>96.04956190746026</x:v>
      </x:c>
      <x:c r="J650" s="27" t="str">
        <x:v>NO</x:v>
      </x:c>
      <x:c r="K650" s="27" t="str">
        <x:v>Air</x:v>
      </x:c>
      <x:c r="L650" s="52" t="n">
        <x:v>14.93136574370598</x:v>
      </x:c>
      <x:c r="M650" s="40" t="n">
        <x:f>INDEX(Catchments!C:C,MATCH(A650,Catchments!A:A,0))</x:f>
        <x:v>19593580</x:v>
      </x:c>
      <x:c r="N650" s="40" t="n">
        <x:f>INDEX(Catchments!C:C,MATCH(B650,Catchments!A:A,0))</x:f>
        <x:v>7505606</x:v>
      </x:c>
    </x:row>
    <x:row r="651" ht="15" hidden="0" customHeight="1">
      <x:c r="A651" s="29" t="str">
        <x:v>SCA-21</x:v>
      </x:c>
      <x:c r="B651" s="29" t="str">
        <x:v>SCA-28</x:v>
      </x:c>
      <x:c r="C651" s="53" t="n">
        <x:v>30.23737363130367</x:v>
      </x:c>
      <x:c r="D651" s="29" t="str">
        <x:v>YES</x:v>
      </x:c>
      <x:c r="E651" s="53" t="n">
        <x:v>32.75793642459574</x:v>
      </x:c>
      <x:c r="F651" s="29" t="str">
        <x:v>YES</x:v>
      </x:c>
      <x:c r="G651" s="53" t="n">
        <x:v>13.148035938311946</x:v>
      </x:c>
      <x:c r="H651" s="29" t="str">
        <x:v>YES</x:v>
      </x:c>
      <x:c r="I651" s="53" t="n">
        <x:v>54.65083428224159</x:v>
      </x:c>
      <x:c r="J651" s="29" t="str">
        <x:v>YES</x:v>
      </x:c>
      <x:c r="K651" s="29" t="str">
        <x:v>Air</x:v>
      </x:c>
      <x:c r="L651" s="53" t="n">
        <x:v>13.148035938311946</x:v>
      </x:c>
      <x:c r="M651" s="41" t="n">
        <x:f>INDEX(Catchments!C:C,MATCH(A651,Catchments!A:A,0))</x:f>
        <x:v>19593580</x:v>
      </x:c>
      <x:c r="N651" s="41" t="n">
        <x:f>INDEX(Catchments!C:C,MATCH(B651,Catchments!A:A,0))</x:f>
        <x:v>21305157</x:v>
      </x:c>
    </x:row>
    <x:row r="652" ht="15" hidden="0" customHeight="1">
      <x:c r="A652" s="27" t="str">
        <x:v>SCA-21</x:v>
      </x:c>
      <x:c r="B652" s="27" t="str">
        <x:v>SCA-29</x:v>
      </x:c>
      <x:c r="C652" s="52" t="n">
        <x:v>37.03404112646774</x:v>
      </x:c>
      <x:c r="D652" s="27" t="str">
        <x:v>YES</x:v>
      </x:c>
      <x:c r="E652" s="52" t="n">
        <x:v>38.09817517079608</x:v>
      </x:c>
      <x:c r="F652" s="27" t="str">
        <x:v>YES</x:v>
      </x:c>
      <x:c r="G652" s="52" t="n">
        <x:v>13.600937211170354</x:v>
      </x:c>
      <x:c r="H652" s="27" t="str">
        <x:v>YES</x:v>
      </x:c>
      <x:c r="I652" s="52" t="n">
        <x:v>65.16461383074036</x:v>
      </x:c>
      <x:c r="J652" s="27" t="str">
        <x:v>YES</x:v>
      </x:c>
      <x:c r="K652" s="27" t="str">
        <x:v>Air</x:v>
      </x:c>
      <x:c r="L652" s="52" t="n">
        <x:v>13.600937211170354</x:v>
      </x:c>
      <x:c r="M652" s="40" t="n">
        <x:f>INDEX(Catchments!C:C,MATCH(A652,Catchments!A:A,0))</x:f>
        <x:v>19593580</x:v>
      </x:c>
      <x:c r="N652" s="40" t="n">
        <x:f>INDEX(Catchments!C:C,MATCH(B652,Catchments!A:A,0))</x:f>
        <x:v>19271685</x:v>
      </x:c>
    </x:row>
    <x:row r="653" ht="15" hidden="0" customHeight="1">
      <x:c r="A653" s="29" t="str">
        <x:v>SCA-21</x:v>
      </x:c>
      <x:c r="B653" s="29" t="str">
        <x:v>SCA-30</x:v>
      </x:c>
      <x:c r="C653" s="53" t="n">
        <x:v>38.66580483005349</x:v>
      </x:c>
      <x:c r="D653" s="29" t="str">
        <x:v>YES</x:v>
      </x:c>
      <x:c r="E653" s="53" t="n">
        <x:v>39.38027522361345</x:v>
      </x:c>
      <x:c r="F653" s="29" t="str">
        <x:v>YES</x:v>
      </x:c>
      <x:c r="G653" s="53" t="n">
        <x:v>13.734302037022568</x:v>
      </x:c>
      <x:c r="H653" s="29" t="str">
        <x:v>YES</x:v>
      </x:c>
      <x:c r="I653" s="53" t="n">
        <x:v>68.26058300230963</x:v>
      </x:c>
      <x:c r="J653" s="29" t="str">
        <x:v>YES</x:v>
      </x:c>
      <x:c r="K653" s="29" t="str">
        <x:v>Air</x:v>
      </x:c>
      <x:c r="L653" s="53" t="n">
        <x:v>13.734302037022568</x:v>
      </x:c>
      <x:c r="M653" s="41" t="n">
        <x:f>INDEX(Catchments!C:C,MATCH(A653,Catchments!A:A,0))</x:f>
        <x:v>19593580</x:v>
      </x:c>
      <x:c r="N653" s="41" t="n">
        <x:f>INDEX(Catchments!C:C,MATCH(B653,Catchments!A:A,0))</x:f>
        <x:v>41291847</x:v>
      </x:c>
    </x:row>
    <x:row r="654" ht="15" hidden="0" customHeight="1">
      <x:c r="A654" s="27" t="str">
        <x:v>SCA-21</x:v>
      </x:c>
      <x:c r="B654" s="27" t="str">
        <x:v>SCA-31</x:v>
      </x:c>
      <x:c r="C654" s="52" t="n">
        <x:v>45.812752924353596</x:v>
      </x:c>
      <x:c r="D654" s="27" t="str">
        <x:v>YES</x:v>
      </x:c>
      <x:c r="E654" s="52" t="n">
        <x:v>44.99573444056354</x:v>
      </x:c>
      <x:c r="F654" s="27" t="str">
        <x:v>YES</x:v>
      </x:c>
      <x:c r="G654" s="52" t="n">
        <x:v>14.068983700480814</x:v>
      </x:c>
      <x:c r="H654" s="27" t="str">
        <x:v>YES</x:v>
      </x:c>
      <x:c r="I654" s="52" t="n">
        <x:v>76.02997876116177</x:v>
      </x:c>
      <x:c r="J654" s="27" t="str">
        <x:v>NO</x:v>
      </x:c>
      <x:c r="K654" s="27" t="str">
        <x:v>Air</x:v>
      </x:c>
      <x:c r="L654" s="52" t="n">
        <x:v>14.068983700480814</x:v>
      </x:c>
      <x:c r="M654" s="40" t="n">
        <x:f>INDEX(Catchments!C:C,MATCH(A654,Catchments!A:A,0))</x:f>
        <x:v>19593580</x:v>
      </x:c>
      <x:c r="N654" s="40" t="n">
        <x:f>INDEX(Catchments!C:C,MATCH(B654,Catchments!A:A,0))</x:f>
        <x:v>14227128</x:v>
      </x:c>
    </x:row>
    <x:row r="655" ht="15" hidden="0" customHeight="1">
      <x:c r="A655" s="29" t="str">
        <x:v>SCA-21</x:v>
      </x:c>
      <x:c r="B655" s="29" t="str">
        <x:v>SCA-32</x:v>
      </x:c>
      <x:c r="C655" s="53"/>
      <x:c r="D655" s="29" t="str">
        <x:v>NO</x:v>
      </x:c>
      <x:c r="E655" s="53"/>
      <x:c r="F655" s="29" t="str">
        <x:v>NO</x:v>
      </x:c>
      <x:c r="G655" s="53" t="n">
        <x:v>17.15627402829114</x:v>
      </x:c>
      <x:c r="H655" s="29" t="str">
        <x:v>YES</x:v>
      </x:c>
      <x:c r="I655" s="53" t="n">
        <x:v>147.69921851390143</x:v>
      </x:c>
      <x:c r="J655" s="29" t="str">
        <x:v>NO</x:v>
      </x:c>
      <x:c r="K655" s="29" t="str">
        <x:v>Air</x:v>
      </x:c>
      <x:c r="L655" s="53" t="n">
        <x:v>17.15627402829114</x:v>
      </x:c>
      <x:c r="M655" s="41" t="n">
        <x:f>INDEX(Catchments!C:C,MATCH(A655,Catchments!A:A,0))</x:f>
        <x:v>19593580</x:v>
      </x:c>
      <x:c r="N655" s="41" t="n">
        <x:f>INDEX(Catchments!C:C,MATCH(B655,Catchments!A:A,0))</x:f>
        <x:v>3184835</x:v>
      </x:c>
    </x:row>
    <x:row r="656" ht="15" hidden="0" customHeight="1">
      <x:c r="A656" s="27" t="str">
        <x:v>SCA-22</x:v>
      </x:c>
      <x:c r="B656" s="27" t="str">
        <x:v>SCA-01</x:v>
      </x:c>
      <x:c r="C656" s="52"/>
      <x:c r="D656" s="27" t="str">
        <x:v>NO</x:v>
      </x:c>
      <x:c r="E656" s="52"/>
      <x:c r="F656" s="27" t="str">
        <x:v>NO</x:v>
      </x:c>
      <x:c r="G656" s="52" t="n">
        <x:v>22.86313307970418</x:v>
      </x:c>
      <x:c r="H656" s="27" t="str">
        <x:v>YES</x:v>
      </x:c>
      <x:c r="I656" s="52" t="n">
        <x:v>280.1798750645613</x:v>
      </x:c>
      <x:c r="J656" s="27" t="str">
        <x:v>NO</x:v>
      </x:c>
      <x:c r="K656" s="27" t="str">
        <x:v>Air</x:v>
      </x:c>
      <x:c r="L656" s="52" t="n">
        <x:v>22.86313307970418</x:v>
      </x:c>
      <x:c r="M656" s="40" t="n">
        <x:f>INDEX(Catchments!C:C,MATCH(A656,Catchments!A:A,0))</x:f>
        <x:v>14732006</x:v>
      </x:c>
      <x:c r="N656" s="40" t="n">
        <x:f>INDEX(Catchments!C:C,MATCH(B656,Catchments!A:A,0))</x:f>
        <x:v>1432820</x:v>
      </x:c>
    </x:row>
    <x:row r="657" ht="15" hidden="0" customHeight="1">
      <x:c r="A657" s="29" t="str">
        <x:v>SCA-22</x:v>
      </x:c>
      <x:c r="B657" s="29" t="str">
        <x:v>SCA-02</x:v>
      </x:c>
      <x:c r="C657" s="53"/>
      <x:c r="D657" s="29" t="str">
        <x:v>NO</x:v>
      </x:c>
      <x:c r="E657" s="53"/>
      <x:c r="F657" s="29" t="str">
        <x:v>NO</x:v>
      </x:c>
      <x:c r="G657" s="53" t="n">
        <x:v>19.414828577713614</x:v>
      </x:c>
      <x:c r="H657" s="29" t="str">
        <x:v>YES</x:v>
      </x:c>
      <x:c r="I657" s="53" t="n">
        <x:v>200.12994912549465</x:v>
      </x:c>
      <x:c r="J657" s="29" t="str">
        <x:v>NO</x:v>
      </x:c>
      <x:c r="K657" s="29" t="str">
        <x:v>Air</x:v>
      </x:c>
      <x:c r="L657" s="53" t="n">
        <x:v>19.414828577713614</x:v>
      </x:c>
      <x:c r="M657" s="41" t="n">
        <x:f>INDEX(Catchments!C:C,MATCH(A657,Catchments!A:A,0))</x:f>
        <x:v>14732006</x:v>
      </x:c>
      <x:c r="N657" s="41" t="n">
        <x:f>INDEX(Catchments!C:C,MATCH(B657,Catchments!A:A,0))</x:f>
        <x:v>737270</x:v>
      </x:c>
    </x:row>
    <x:row r="658" ht="15" hidden="0" customHeight="1">
      <x:c r="A658" s="27" t="str">
        <x:v>SCA-22</x:v>
      </x:c>
      <x:c r="B658" s="27" t="str">
        <x:v>SCA-03</x:v>
      </x:c>
      <x:c r="C658" s="52" t="n">
        <x:v>81.99124956028898</x:v>
      </x:c>
      <x:c r="D658" s="27" t="str">
        <x:v>NO</x:v>
      </x:c>
      <x:c r="E658" s="52" t="n">
        <x:v>73.42169608308419</x:v>
      </x:c>
      <x:c r="F658" s="27" t="str">
        <x:v>NO</x:v>
      </x:c>
      <x:c r="G658" s="52" t="n">
        <x:v>16.743110424952818</x:v>
      </x:c>
      <x:c r="H658" s="27" t="str">
        <x:v>YES</x:v>
      </x:c>
      <x:c r="I658" s="52" t="n">
        <x:v>138.10792057926187</x:v>
      </x:c>
      <x:c r="J658" s="27" t="str">
        <x:v>NO</x:v>
      </x:c>
      <x:c r="K658" s="27" t="str">
        <x:v>Air</x:v>
      </x:c>
      <x:c r="L658" s="52" t="n">
        <x:v>16.743110424952818</x:v>
      </x:c>
      <x:c r="M658" s="40" t="n">
        <x:f>INDEX(Catchments!C:C,MATCH(A658,Catchments!A:A,0))</x:f>
        <x:v>14732006</x:v>
      </x:c>
      <x:c r="N658" s="40" t="n">
        <x:f>INDEX(Catchments!C:C,MATCH(B658,Catchments!A:A,0))</x:f>
        <x:v>11968308</x:v>
      </x:c>
    </x:row>
    <x:row r="659" ht="15" hidden="0" customHeight="1">
      <x:c r="A659" s="29" t="str">
        <x:v>SCA-22</x:v>
      </x:c>
      <x:c r="B659" s="29" t="str">
        <x:v>SCA-04</x:v>
      </x:c>
      <x:c r="C659" s="53" t="n">
        <x:v>89.45504591008483</x:v>
      </x:c>
      <x:c r="D659" s="29" t="str">
        <x:v>NO</x:v>
      </x:c>
      <x:c r="E659" s="53" t="n">
        <x:v>79.28610750078093</x:v>
      </x:c>
      <x:c r="F659" s="29" t="str">
        <x:v>NO</x:v>
      </x:c>
      <x:c r="G659" s="53" t="n">
        <x:v>16.827582013556125</x:v>
      </x:c>
      <x:c r="H659" s="29" t="str">
        <x:v>YES</x:v>
      </x:c>
      <x:c r="I659" s="53" t="n">
        <x:v>140.06886817183863</x:v>
      </x:c>
      <x:c r="J659" s="29" t="str">
        <x:v>NO</x:v>
      </x:c>
      <x:c r="K659" s="29" t="str">
        <x:v>Air</x:v>
      </x:c>
      <x:c r="L659" s="53" t="n">
        <x:v>16.827582013556125</x:v>
      </x:c>
      <x:c r="M659" s="41" t="n">
        <x:f>INDEX(Catchments!C:C,MATCH(A659,Catchments!A:A,0))</x:f>
        <x:v>14732006</x:v>
      </x:c>
      <x:c r="N659" s="41" t="n">
        <x:f>INDEX(Catchments!C:C,MATCH(B659,Catchments!A:A,0))</x:f>
        <x:v>16200470</x:v>
      </x:c>
    </x:row>
    <x:row r="660" ht="15" hidden="0" customHeight="1">
      <x:c r="A660" s="27" t="str">
        <x:v>SCA-22</x:v>
      </x:c>
      <x:c r="B660" s="27" t="str">
        <x:v>SCA-05</x:v>
      </x:c>
      <x:c r="C660" s="52" t="n">
        <x:v>82.3225129506039</x:v>
      </x:c>
      <x:c r="D660" s="27" t="str">
        <x:v>NO</x:v>
      </x:c>
      <x:c r="E660" s="52" t="n">
        <x:v>73.68197446118877</x:v>
      </x:c>
      <x:c r="F660" s="27" t="str">
        <x:v>NO</x:v>
      </x:c>
      <x:c r="G660" s="52" t="n">
        <x:v>16.571339316640763</x:v>
      </x:c>
      <x:c r="H660" s="27" t="str">
        <x:v>YES</x:v>
      </x:c>
      <x:c r="I660" s="52" t="n">
        <x:v>134.1203769934463</x:v>
      </x:c>
      <x:c r="J660" s="27" t="str">
        <x:v>NO</x:v>
      </x:c>
      <x:c r="K660" s="27" t="str">
        <x:v>Air</x:v>
      </x:c>
      <x:c r="L660" s="52" t="n">
        <x:v>16.571339316640763</x:v>
      </x:c>
      <x:c r="M660" s="40" t="n">
        <x:f>INDEX(Catchments!C:C,MATCH(A660,Catchments!A:A,0))</x:f>
        <x:v>14732006</x:v>
      </x:c>
      <x:c r="N660" s="40" t="n">
        <x:f>INDEX(Catchments!C:C,MATCH(B660,Catchments!A:A,0))</x:f>
        <x:v>15966265</x:v>
      </x:c>
    </x:row>
    <x:row r="661" ht="15" hidden="0" customHeight="1">
      <x:c r="A661" s="29" t="str">
        <x:v>SCA-22</x:v>
      </x:c>
      <x:c r="B661" s="29" t="str">
        <x:v>SCA-06</x:v>
      </x:c>
      <x:c r="C661" s="53" t="n">
        <x:v>77.94510618187437</x:v>
      </x:c>
      <x:c r="D661" s="29" t="str">
        <x:v>NO</x:v>
      </x:c>
      <x:c r="E661" s="53" t="n">
        <x:v>70.24258342861557</x:v>
      </x:c>
      <x:c r="F661" s="29" t="str">
        <x:v>YES</x:v>
      </x:c>
      <x:c r="G661" s="53" t="n">
        <x:v>16.363542900059006</x:v>
      </x:c>
      <x:c r="H661" s="29" t="str">
        <x:v>YES</x:v>
      </x:c>
      <x:c r="I661" s="53" t="n">
        <x:v>129.29653160851262</x:v>
      </x:c>
      <x:c r="J661" s="29" t="str">
        <x:v>NO</x:v>
      </x:c>
      <x:c r="K661" s="29" t="str">
        <x:v>Air</x:v>
      </x:c>
      <x:c r="L661" s="53" t="n">
        <x:v>16.363542900059006</x:v>
      </x:c>
      <x:c r="M661" s="41" t="n">
        <x:f>INDEX(Catchments!C:C,MATCH(A661,Catchments!A:A,0))</x:f>
        <x:v>14732006</x:v>
      </x:c>
      <x:c r="N661" s="41" t="n">
        <x:f>INDEX(Catchments!C:C,MATCH(B661,Catchments!A:A,0))</x:f>
        <x:v>6008575</x:v>
      </x:c>
    </x:row>
    <x:row r="662" ht="15" hidden="0" customHeight="1">
      <x:c r="A662" s="27" t="str">
        <x:v>SCA-22</x:v>
      </x:c>
      <x:c r="B662" s="27" t="str">
        <x:v>SCA-07</x:v>
      </x:c>
      <x:c r="C662" s="52" t="n">
        <x:v>76.93895112069713</x:v>
      </x:c>
      <x:c r="D662" s="27" t="str">
        <x:v>NO</x:v>
      </x:c>
      <x:c r="E662" s="52" t="n">
        <x:v>69.45203302340488</x:v>
      </x:c>
      <x:c r="F662" s="27" t="str">
        <x:v>YES</x:v>
      </x:c>
      <x:c r="G662" s="52" t="n">
        <x:v>16.102740306441152</x:v>
      </x:c>
      <x:c r="H662" s="27" t="str">
        <x:v>YES</x:v>
      </x:c>
      <x:c r="I662" s="52" t="n">
        <x:v>123.24218568524103</x:v>
      </x:c>
      <x:c r="J662" s="27" t="str">
        <x:v>NO</x:v>
      </x:c>
      <x:c r="K662" s="27" t="str">
        <x:v>Air</x:v>
      </x:c>
      <x:c r="L662" s="52" t="n">
        <x:v>16.102740306441152</x:v>
      </x:c>
      <x:c r="M662" s="40" t="n">
        <x:f>INDEX(Catchments!C:C,MATCH(A662,Catchments!A:A,0))</x:f>
        <x:v>14732006</x:v>
      </x:c>
      <x:c r="N662" s="40" t="n">
        <x:f>INDEX(Catchments!C:C,MATCH(B662,Catchments!A:A,0))</x:f>
        <x:v>5229370</x:v>
      </x:c>
    </x:row>
    <x:row r="663" ht="15" hidden="0" customHeight="1">
      <x:c r="A663" s="29" t="str">
        <x:v>SCA-22</x:v>
      </x:c>
      <x:c r="B663" s="29" t="str">
        <x:v>SCA-08</x:v>
      </x:c>
      <x:c r="C663" s="53" t="n">
        <x:v>70.27025183169788</x:v>
      </x:c>
      <x:c r="D663" s="29" t="str">
        <x:v>YES</x:v>
      </x:c>
      <x:c r="E663" s="53" t="n">
        <x:v>64.21234072490549</x:v>
      </x:c>
      <x:c r="F663" s="29" t="str">
        <x:v>YES</x:v>
      </x:c>
      <x:c r="G663" s="53" t="n">
        <x:v>15.918195081404045</x:v>
      </x:c>
      <x:c r="H663" s="29" t="str">
        <x:v>YES</x:v>
      </x:c>
      <x:c r="I663" s="53" t="n">
        <x:v>118.95810010402248</x:v>
      </x:c>
      <x:c r="J663" s="29" t="str">
        <x:v>NO</x:v>
      </x:c>
      <x:c r="K663" s="29" t="str">
        <x:v>Air</x:v>
      </x:c>
      <x:c r="L663" s="53" t="n">
        <x:v>15.918195081404045</x:v>
      </x:c>
      <x:c r="M663" s="41" t="n">
        <x:f>INDEX(Catchments!C:C,MATCH(A663,Catchments!A:A,0))</x:f>
        <x:v>14732006</x:v>
      </x:c>
      <x:c r="N663" s="41" t="n">
        <x:f>INDEX(Catchments!C:C,MATCH(B663,Catchments!A:A,0))</x:f>
        <x:v>2652387</x:v>
      </x:c>
    </x:row>
    <x:row r="664" ht="15" hidden="0" customHeight="1">
      <x:c r="A664" s="27" t="str">
        <x:v>SCA-22</x:v>
      </x:c>
      <x:c r="B664" s="27" t="str">
        <x:v>SCA-09</x:v>
      </x:c>
      <x:c r="C664" s="52" t="n">
        <x:v>69.76838887711381</x:v>
      </x:c>
      <x:c r="D664" s="27" t="str">
        <x:v>YES</x:v>
      </x:c>
      <x:c r="E664" s="52" t="n">
        <x:v>63.818019832017995</x:v>
      </x:c>
      <x:c r="F664" s="27" t="str">
        <x:v>YES</x:v>
      </x:c>
      <x:c r="G664" s="52" t="n">
        <x:v>15.806349148306918</x:v>
      </x:c>
      <x:c r="H664" s="27" t="str">
        <x:v>YES</x:v>
      </x:c>
      <x:c r="I664" s="52"/>
      <x:c r="J664" s="27" t="str">
        <x:v>NO</x:v>
      </x:c>
      <x:c r="K664" s="27" t="str">
        <x:v>Air</x:v>
      </x:c>
      <x:c r="L664" s="52" t="n">
        <x:v>15.806349148306918</x:v>
      </x:c>
      <x:c r="M664" s="40" t="n">
        <x:f>INDEX(Catchments!C:C,MATCH(A664,Catchments!A:A,0))</x:f>
        <x:v>14732006</x:v>
      </x:c>
      <x:c r="N664" s="40" t="n">
        <x:f>INDEX(Catchments!C:C,MATCH(B664,Catchments!A:A,0))</x:f>
        <x:v>7395716</x:v>
      </x:c>
    </x:row>
    <x:row r="665" ht="15" hidden="0" customHeight="1">
      <x:c r="A665" s="29" t="str">
        <x:v>SCA-22</x:v>
      </x:c>
      <x:c r="B665" s="29" t="str">
        <x:v>SCA-10</x:v>
      </x:c>
      <x:c r="C665" s="53" t="n">
        <x:v>62.13532743688887</x:v>
      </x:c>
      <x:c r="D665" s="29" t="str">
        <x:v>YES</x:v>
      </x:c>
      <x:c r="E665" s="53" t="n">
        <x:v>57.8206144146984</x:v>
      </x:c>
      <x:c r="F665" s="29" t="str">
        <x:v>YES</x:v>
      </x:c>
      <x:c r="G665" s="53" t="n">
        <x:v>15.439714257392682</x:v>
      </x:c>
      <x:c r="H665" s="29" t="str">
        <x:v>YES</x:v>
      </x:c>
      <x:c r="I665" s="53"/>
      <x:c r="J665" s="29" t="str">
        <x:v>NO</x:v>
      </x:c>
      <x:c r="K665" s="29" t="str">
        <x:v>Air</x:v>
      </x:c>
      <x:c r="L665" s="53" t="n">
        <x:v>15.439714257392682</x:v>
      </x:c>
      <x:c r="M665" s="41" t="n">
        <x:f>INDEX(Catchments!C:C,MATCH(A665,Catchments!A:A,0))</x:f>
        <x:v>14732006</x:v>
      </x:c>
      <x:c r="N665" s="41" t="n">
        <x:f>INDEX(Catchments!C:C,MATCH(B665,Catchments!A:A,0))</x:f>
        <x:v>4127033</x:v>
      </x:c>
    </x:row>
    <x:row r="666" ht="15" hidden="0" customHeight="1">
      <x:c r="A666" s="27" t="str">
        <x:v>SCA-22</x:v>
      </x:c>
      <x:c r="B666" s="27" t="str">
        <x:v>SCA-11</x:v>
      </x:c>
      <x:c r="C666" s="52" t="n">
        <x:v>56.87019807611132</x:v>
      </x:c>
      <x:c r="D666" s="27" t="str">
        <x:v>YES</x:v>
      </x:c>
      <x:c r="E666" s="52" t="n">
        <x:v>53.683727059801754</x:v>
      </x:c>
      <x:c r="F666" s="27" t="str">
        <x:v>YES</x:v>
      </x:c>
      <x:c r="G666" s="52" t="n">
        <x:v>14.875555325721082</x:v>
      </x:c>
      <x:c r="H666" s="27" t="str">
        <x:v>YES</x:v>
      </x:c>
      <x:c r="I666" s="52" t="n">
        <x:v>94.75396291852512</x:v>
      </x:c>
      <x:c r="J666" s="27" t="str">
        <x:v>NO</x:v>
      </x:c>
      <x:c r="K666" s="27" t="str">
        <x:v>Air</x:v>
      </x:c>
      <x:c r="L666" s="52" t="n">
        <x:v>14.875555325721082</x:v>
      </x:c>
      <x:c r="M666" s="40" t="n">
        <x:f>INDEX(Catchments!C:C,MATCH(A666,Catchments!A:A,0))</x:f>
        <x:v>14732006</x:v>
      </x:c>
      <x:c r="N666" s="40" t="n">
        <x:f>INDEX(Catchments!C:C,MATCH(B666,Catchments!A:A,0))</x:f>
        <x:v>3517787</x:v>
      </x:c>
    </x:row>
    <x:row r="667" ht="15" hidden="0" customHeight="1">
      <x:c r="A667" s="29" t="str">
        <x:v>SCA-22</x:v>
      </x:c>
      <x:c r="B667" s="29" t="str">
        <x:v>SCA-12</x:v>
      </x:c>
      <x:c r="C667" s="53" t="n">
        <x:v>49.839728123317194</x:v>
      </x:c>
      <x:c r="D667" s="29" t="str">
        <x:v>YES</x:v>
      </x:c>
      <x:c r="E667" s="53" t="n">
        <x:v>48.15978638260637</x:v>
      </x:c>
      <x:c r="F667" s="29" t="str">
        <x:v>YES</x:v>
      </x:c>
      <x:c r="G667" s="53" t="n">
        <x:v>14.594283278241132</x:v>
      </x:c>
      <x:c r="H667" s="29" t="str">
        <x:v>YES</x:v>
      </x:c>
      <x:c r="I667" s="53"/>
      <x:c r="J667" s="29" t="str">
        <x:v>NO</x:v>
      </x:c>
      <x:c r="K667" s="29" t="str">
        <x:v>Air</x:v>
      </x:c>
      <x:c r="L667" s="53" t="n">
        <x:v>14.594283278241132</x:v>
      </x:c>
      <x:c r="M667" s="41" t="n">
        <x:f>INDEX(Catchments!C:C,MATCH(A667,Catchments!A:A,0))</x:f>
        <x:v>14732006</x:v>
      </x:c>
      <x:c r="N667" s="41" t="n">
        <x:f>INDEX(Catchments!C:C,MATCH(B667,Catchments!A:A,0))</x:f>
        <x:v>7465186</x:v>
      </x:c>
    </x:row>
    <x:row r="668" ht="15" hidden="0" customHeight="1">
      <x:c r="A668" s="27" t="str">
        <x:v>SCA-22</x:v>
      </x:c>
      <x:c r="B668" s="27" t="str">
        <x:v>SCA-13</x:v>
      </x:c>
      <x:c r="C668" s="52" t="n">
        <x:v>47.674828119097114</x:v>
      </x:c>
      <x:c r="D668" s="27" t="str">
        <x:v>YES</x:v>
      </x:c>
      <x:c r="E668" s="52" t="n">
        <x:v>46.45879352214773</x:v>
      </x:c>
      <x:c r="F668" s="27" t="str">
        <x:v>YES</x:v>
      </x:c>
      <x:c r="G668" s="52" t="n">
        <x:v>14.305605612771453</x:v>
      </x:c>
      <x:c r="H668" s="27" t="str">
        <x:v>YES</x:v>
      </x:c>
      <x:c r="I668" s="52" t="n">
        <x:v>81.52298743933731</x:v>
      </x:c>
      <x:c r="J668" s="27" t="str">
        <x:v>NO</x:v>
      </x:c>
      <x:c r="K668" s="27" t="str">
        <x:v>Air</x:v>
      </x:c>
      <x:c r="L668" s="52" t="n">
        <x:v>14.305605612771453</x:v>
      </x:c>
      <x:c r="M668" s="40" t="n">
        <x:f>INDEX(Catchments!C:C,MATCH(A668,Catchments!A:A,0))</x:f>
        <x:v>14732006</x:v>
      </x:c>
      <x:c r="N668" s="40" t="n">
        <x:f>INDEX(Catchments!C:C,MATCH(B668,Catchments!A:A,0))</x:f>
        <x:v>6759014</x:v>
      </x:c>
    </x:row>
    <x:row r="669" ht="15" hidden="0" customHeight="1">
      <x:c r="A669" s="29" t="str">
        <x:v>SCA-22</x:v>
      </x:c>
      <x:c r="B669" s="29" t="str">
        <x:v>SCA-14</x:v>
      </x:c>
      <x:c r="C669" s="53" t="n">
        <x:v>55.012370186862775</x:v>
      </x:c>
      <x:c r="D669" s="29" t="str">
        <x:v>YES</x:v>
      </x:c>
      <x:c r="E669" s="53" t="n">
        <x:v>52.22400514682075</x:v>
      </x:c>
      <x:c r="F669" s="29" t="str">
        <x:v>YES</x:v>
      </x:c>
      <x:c r="G669" s="53" t="n">
        <x:v>14.688503228019151</x:v>
      </x:c>
      <x:c r="H669" s="29" t="str">
        <x:v>YES</x:v>
      </x:c>
      <x:c r="I669" s="53" t="n">
        <x:v>90.411682079016</x:v>
      </x:c>
      <x:c r="J669" s="29" t="str">
        <x:v>NO</x:v>
      </x:c>
      <x:c r="K669" s="29" t="str">
        <x:v>Air</x:v>
      </x:c>
      <x:c r="L669" s="53" t="n">
        <x:v>14.688503228019151</x:v>
      </x:c>
      <x:c r="M669" s="41" t="n">
        <x:f>INDEX(Catchments!C:C,MATCH(A669,Catchments!A:A,0))</x:f>
        <x:v>14732006</x:v>
      </x:c>
      <x:c r="N669" s="41" t="n">
        <x:f>INDEX(Catchments!C:C,MATCH(B669,Catchments!A:A,0))</x:f>
        <x:v>2179728</x:v>
      </x:c>
    </x:row>
    <x:row r="670" ht="15" hidden="0" customHeight="1">
      <x:c r="A670" s="27" t="str">
        <x:v>SCA-22</x:v>
      </x:c>
      <x:c r="B670" s="27" t="str">
        <x:v>SCA-15</x:v>
      </x:c>
      <x:c r="C670" s="52" t="n">
        <x:v>40.408785922212466</x:v>
      </x:c>
      <x:c r="D670" s="27" t="str">
        <x:v>YES</x:v>
      </x:c>
      <x:c r="E670" s="52" t="n">
        <x:v>40.74976036745265</x:v>
      </x:c>
      <x:c r="F670" s="27" t="str">
        <x:v>YES</x:v>
      </x:c>
      <x:c r="G670" s="52" t="n">
        <x:v>13.816578096179901</x:v>
      </x:c>
      <x:c r="H670" s="27" t="str">
        <x:v>YES</x:v>
      </x:c>
      <x:c r="I670" s="52" t="n">
        <x:v>70.17056294703343</x:v>
      </x:c>
      <x:c r="J670" s="27" t="str">
        <x:v>YES</x:v>
      </x:c>
      <x:c r="K670" s="27" t="str">
        <x:v>Air</x:v>
      </x:c>
      <x:c r="L670" s="52" t="n">
        <x:v>13.816578096179901</x:v>
      </x:c>
      <x:c r="M670" s="40" t="n">
        <x:f>INDEX(Catchments!C:C,MATCH(A670,Catchments!A:A,0))</x:f>
        <x:v>14732006</x:v>
      </x:c>
      <x:c r="N670" s="40" t="n">
        <x:f>INDEX(Catchments!C:C,MATCH(B670,Catchments!A:A,0))</x:f>
        <x:v>13192386</x:v>
      </x:c>
    </x:row>
    <x:row r="671" ht="15" hidden="0" customHeight="1">
      <x:c r="A671" s="29" t="str">
        <x:v>SCA-22</x:v>
      </x:c>
      <x:c r="B671" s="29" t="str">
        <x:v>SCA-16</x:v>
      </x:c>
      <x:c r="C671" s="53" t="n">
        <x:v>33.61941463253354</x:v>
      </x:c>
      <x:c r="D671" s="29" t="str">
        <x:v>YES</x:v>
      </x:c>
      <x:c r="E671" s="53" t="n">
        <x:v>35.415254354133495</x:v>
      </x:c>
      <x:c r="F671" s="29" t="str">
        <x:v>YES</x:v>
      </x:c>
      <x:c r="G671" s="53" t="n">
        <x:v>13.437986915578783</x:v>
      </x:c>
      <x:c r="H671" s="29" t="str">
        <x:v>YES</x:v>
      </x:c>
      <x:c r="I671" s="53"/>
      <x:c r="J671" s="29" t="str">
        <x:v>NO</x:v>
      </x:c>
      <x:c r="K671" s="29" t="str">
        <x:v>Air</x:v>
      </x:c>
      <x:c r="L671" s="53" t="n">
        <x:v>13.437986915578783</x:v>
      </x:c>
      <x:c r="M671" s="41" t="n">
        <x:f>INDEX(Catchments!C:C,MATCH(A671,Catchments!A:A,0))</x:f>
        <x:v>14732006</x:v>
      </x:c>
      <x:c r="N671" s="41" t="n">
        <x:f>INDEX(Catchments!C:C,MATCH(B671,Catchments!A:A,0))</x:f>
        <x:v>10177969</x:v>
      </x:c>
    </x:row>
    <x:row r="672" ht="15" hidden="0" customHeight="1">
      <x:c r="A672" s="27" t="str">
        <x:v>SCA-22</x:v>
      </x:c>
      <x:c r="B672" s="27" t="str">
        <x:v>SCA-17</x:v>
      </x:c>
      <x:c r="C672" s="52" t="n">
        <x:v>39.814180101906715</x:v>
      </x:c>
      <x:c r="D672" s="27" t="str">
        <x:v>YES</x:v>
      </x:c>
      <x:c r="E672" s="52" t="n">
        <x:v>40.28257008006956</x:v>
      </x:c>
      <x:c r="F672" s="27" t="str">
        <x:v>YES</x:v>
      </x:c>
      <x:c r="G672" s="52" t="n">
        <x:v>13.898799795985507</x:v>
      </x:c>
      <x:c r="H672" s="27" t="str">
        <x:v>YES</x:v>
      </x:c>
      <x:c r="I672" s="52" t="n">
        <x:v>72.07928097823498</x:v>
      </x:c>
      <x:c r="J672" s="27" t="str">
        <x:v>NO</x:v>
      </x:c>
      <x:c r="K672" s="27" t="str">
        <x:v>Air</x:v>
      </x:c>
      <x:c r="L672" s="52" t="n">
        <x:v>13.898799795985507</x:v>
      </x:c>
      <x:c r="M672" s="40" t="n">
        <x:f>INDEX(Catchments!C:C,MATCH(A672,Catchments!A:A,0))</x:f>
        <x:v>14732006</x:v>
      </x:c>
      <x:c r="N672" s="40" t="n">
        <x:f>INDEX(Catchments!C:C,MATCH(B672,Catchments!A:A,0))</x:f>
        <x:v>12843509</x:v>
      </x:c>
    </x:row>
    <x:row r="673" ht="15" hidden="0" customHeight="1">
      <x:c r="A673" s="29" t="str">
        <x:v>SCA-22</x:v>
      </x:c>
      <x:c r="B673" s="29" t="str">
        <x:v>SCA-18</x:v>
      </x:c>
      <x:c r="C673" s="53" t="n">
        <x:v>35.65329606086266</x:v>
      </x:c>
      <x:c r="D673" s="29" t="str">
        <x:v>YES</x:v>
      </x:c>
      <x:c r="E673" s="53" t="n">
        <x:v>37.013304047820654</x:v>
      </x:c>
      <x:c r="F673" s="29" t="str">
        <x:v>YES</x:v>
      </x:c>
      <x:c r="G673" s="53" t="n">
        <x:v>13.543461565853198</x:v>
      </x:c>
      <x:c r="H673" s="29" t="str">
        <x:v>YES</x:v>
      </x:c>
      <x:c r="I673" s="53" t="n">
        <x:v>63.83035777873495</x:v>
      </x:c>
      <x:c r="J673" s="29" t="str">
        <x:v>YES</x:v>
      </x:c>
      <x:c r="K673" s="29" t="str">
        <x:v>Air</x:v>
      </x:c>
      <x:c r="L673" s="53" t="n">
        <x:v>13.543461565853198</x:v>
      </x:c>
      <x:c r="M673" s="41" t="n">
        <x:f>INDEX(Catchments!C:C,MATCH(A673,Catchments!A:A,0))</x:f>
        <x:v>14732006</x:v>
      </x:c>
      <x:c r="N673" s="41" t="n">
        <x:f>INDEX(Catchments!C:C,MATCH(B673,Catchments!A:A,0))</x:f>
        <x:v>11004680</x:v>
      </x:c>
    </x:row>
    <x:row r="674" ht="15" hidden="0" customHeight="1">
      <x:c r="A674" s="27" t="str">
        <x:v>SCA-22</x:v>
      </x:c>
      <x:c r="B674" s="27" t="str">
        <x:v>SCA-19</x:v>
      </x:c>
      <x:c r="C674" s="52" t="n">
        <x:v>24.137866015642345</x:v>
      </x:c>
      <x:c r="D674" s="27" t="str">
        <x:v>YES</x:v>
      </x:c>
      <x:c r="E674" s="52" t="n">
        <x:v>27.965466155147556</x:v>
      </x:c>
      <x:c r="F674" s="27" t="str">
        <x:v>YES</x:v>
      </x:c>
      <x:c r="G674" s="52" t="n">
        <x:v>12.745929940950273</x:v>
      </x:c>
      <x:c r="H674" s="27" t="str">
        <x:v>YES</x:v>
      </x:c>
      <x:c r="I674" s="52" t="n">
        <x:v>45.3162307720599</x:v>
      </x:c>
      <x:c r="J674" s="27" t="str">
        <x:v>YES</x:v>
      </x:c>
      <x:c r="K674" s="27" t="str">
        <x:v>Air</x:v>
      </x:c>
      <x:c r="L674" s="52" t="n">
        <x:v>12.745929940950273</x:v>
      </x:c>
      <x:c r="M674" s="40" t="n">
        <x:f>INDEX(Catchments!C:C,MATCH(A674,Catchments!A:A,0))</x:f>
        <x:v>14732006</x:v>
      </x:c>
      <x:c r="N674" s="40" t="n">
        <x:f>INDEX(Catchments!C:C,MATCH(B674,Catchments!A:A,0))</x:f>
        <x:v>6677653</x:v>
      </x:c>
    </x:row>
    <x:row r="675" ht="15" hidden="0" customHeight="1">
      <x:c r="A675" s="29" t="str">
        <x:v>SCA-22</x:v>
      </x:c>
      <x:c r="B675" s="29" t="str">
        <x:v>SCA-20</x:v>
      </x:c>
      <x:c r="C675" s="53" t="n">
        <x:v>27.263452382567927</x:v>
      </x:c>
      <x:c r="D675" s="29" t="str">
        <x:v>YES</x:v>
      </x:c>
      <x:c r="E675" s="53" t="n">
        <x:v>30.4212840148748</x:v>
      </x:c>
      <x:c r="F675" s="29" t="str">
        <x:v>YES</x:v>
      </x:c>
      <x:c r="G675" s="53" t="n">
        <x:v>12.975906195372891</x:v>
      </x:c>
      <x:c r="H675" s="29" t="str">
        <x:v>YES</x:v>
      </x:c>
      <x:c r="I675" s="53" t="n">
        <x:v>50.65496524972783</x:v>
      </x:c>
      <x:c r="J675" s="29" t="str">
        <x:v>YES</x:v>
      </x:c>
      <x:c r="K675" s="29" t="str">
        <x:v>Air</x:v>
      </x:c>
      <x:c r="L675" s="53" t="n">
        <x:v>12.975906195372891</x:v>
      </x:c>
      <x:c r="M675" s="41" t="n">
        <x:f>INDEX(Catchments!C:C,MATCH(A675,Catchments!A:A,0))</x:f>
        <x:v>14732006</x:v>
      </x:c>
      <x:c r="N675" s="41" t="n">
        <x:f>INDEX(Catchments!C:C,MATCH(B675,Catchments!A:A,0))</x:f>
        <x:v>8490774</x:v>
      </x:c>
    </x:row>
    <x:row r="676" ht="15" hidden="0" customHeight="1">
      <x:c r="A676" s="27" t="str">
        <x:v>SCA-22</x:v>
      </x:c>
      <x:c r="B676" s="27" t="str">
        <x:v>SCA-21</x:v>
      </x:c>
      <x:c r="C676" s="52" t="n">
        <x:v>23.987813404392384</x:v>
      </x:c>
      <x:c r="D676" s="27" t="str">
        <x:v>YES</x:v>
      </x:c>
      <x:c r="E676" s="52" t="n">
        <x:v>27.847567674879727</x:v>
      </x:c>
      <x:c r="F676" s="27" t="str">
        <x:v>YES</x:v>
      </x:c>
      <x:c r="G676" s="52" t="n">
        <x:v>12.734889280590744</x:v>
      </x:c>
      <x:c r="H676" s="27" t="str">
        <x:v>YES</x:v>
      </x:c>
      <x:c r="I676" s="52" t="n">
        <x:v>45.05992972799942</x:v>
      </x:c>
      <x:c r="J676" s="27" t="str">
        <x:v>YES</x:v>
      </x:c>
      <x:c r="K676" s="27" t="str">
        <x:v>Air</x:v>
      </x:c>
      <x:c r="L676" s="52" t="n">
        <x:v>12.734889280590744</x:v>
      </x:c>
      <x:c r="M676" s="40" t="n">
        <x:f>INDEX(Catchments!C:C,MATCH(A676,Catchments!A:A,0))</x:f>
        <x:v>14732006</x:v>
      </x:c>
      <x:c r="N676" s="40" t="n">
        <x:f>INDEX(Catchments!C:C,MATCH(B676,Catchments!A:A,0))</x:f>
        <x:v>19593580</x:v>
      </x:c>
    </x:row>
    <x:row r="677" ht="15" hidden="0" customHeight="1">
      <x:c r="A677" s="29" t="str">
        <x:v>SCA-22</x:v>
      </x:c>
      <x:c r="B677" s="29" t="str">
        <x:v>SCA-23</x:v>
      </x:c>
      <x:c r="C677" s="53" t="n">
        <x:v>24.707507148789738</x:v>
      </x:c>
      <x:c r="D677" s="29" t="str">
        <x:v>YES</x:v>
      </x:c>
      <x:c r="E677" s="53" t="n">
        <x:v>28.41304133119194</x:v>
      </x:c>
      <x:c r="F677" s="29" t="str">
        <x:v>YES</x:v>
      </x:c>
      <x:c r="G677" s="53" t="n">
        <x:v>12.787843335362457</x:v>
      </x:c>
      <x:c r="H677" s="29" t="str">
        <x:v>YES</x:v>
      </x:c>
      <x:c r="I677" s="53" t="n">
        <x:v>46.28922028519987</x:v>
      </x:c>
      <x:c r="J677" s="29" t="str">
        <x:v>YES</x:v>
      </x:c>
      <x:c r="K677" s="29" t="str">
        <x:v>Air</x:v>
      </x:c>
      <x:c r="L677" s="53" t="n">
        <x:v>12.787843335362457</x:v>
      </x:c>
      <x:c r="M677" s="41" t="n">
        <x:f>INDEX(Catchments!C:C,MATCH(A677,Catchments!A:A,0))</x:f>
        <x:v>14732006</x:v>
      </x:c>
      <x:c r="N677" s="41" t="n">
        <x:f>INDEX(Catchments!C:C,MATCH(B677,Catchments!A:A,0))</x:f>
        <x:v>20869310</x:v>
      </x:c>
    </x:row>
    <x:row r="678" ht="15" hidden="0" customHeight="1">
      <x:c r="A678" s="27" t="str">
        <x:v>SCA-22</x:v>
      </x:c>
      <x:c r="B678" s="27" t="str">
        <x:v>SCA-24</x:v>
      </x:c>
      <x:c r="C678" s="52" t="n">
        <x:v>23.742045051160794</x:v>
      </x:c>
      <x:c r="D678" s="27" t="str">
        <x:v>YES</x:v>
      </x:c>
      <x:c r="E678" s="52" t="n">
        <x:v>27.654463968769196</x:v>
      </x:c>
      <x:c r="F678" s="27" t="str">
        <x:v>YES</x:v>
      </x:c>
      <x:c r="G678" s="52" t="n">
        <x:v>12.716805990386412</x:v>
      </x:c>
      <x:c r="H678" s="27" t="str">
        <x:v>YES</x:v>
      </x:c>
      <x:c r="I678" s="52" t="n">
        <x:v>44.640139062541735</x:v>
      </x:c>
      <x:c r="J678" s="27" t="str">
        <x:v>YES</x:v>
      </x:c>
      <x:c r="K678" s="27" t="str">
        <x:v>Air</x:v>
      </x:c>
      <x:c r="L678" s="52" t="n">
        <x:v>12.716805990386412</x:v>
      </x:c>
      <x:c r="M678" s="40" t="n">
        <x:f>INDEX(Catchments!C:C,MATCH(A678,Catchments!A:A,0))</x:f>
        <x:v>14732006</x:v>
      </x:c>
      <x:c r="N678" s="40" t="n">
        <x:f>INDEX(Catchments!C:C,MATCH(B678,Catchments!A:A,0))</x:f>
        <x:v>11816161</x:v>
      </x:c>
    </x:row>
    <x:row r="679" ht="15" hidden="0" customHeight="1">
      <x:c r="A679" s="29" t="str">
        <x:v>SCA-22</x:v>
      </x:c>
      <x:c r="B679" s="29" t="str">
        <x:v>SCA-25</x:v>
      </x:c>
      <x:c r="C679" s="53" t="n">
        <x:v>33.69994678368863</x:v>
      </x:c>
      <x:c r="D679" s="29" t="str">
        <x:v>YES</x:v>
      </x:c>
      <x:c r="E679" s="53" t="n">
        <x:v>35.478529615755356</x:v>
      </x:c>
      <x:c r="F679" s="29" t="str">
        <x:v>YES</x:v>
      </x:c>
      <x:c r="G679" s="53" t="n">
        <x:v>13.413303584866354</x:v>
      </x:c>
      <x:c r="H679" s="29" t="str">
        <x:v>YES</x:v>
      </x:c>
      <x:c r="I679" s="53" t="n">
        <x:v>60.80883322011177</x:v>
      </x:c>
      <x:c r="J679" s="29" t="str">
        <x:v>YES</x:v>
      </x:c>
      <x:c r="K679" s="29" t="str">
        <x:v>Air</x:v>
      </x:c>
      <x:c r="L679" s="53" t="n">
        <x:v>13.413303584866354</x:v>
      </x:c>
      <x:c r="M679" s="41" t="n">
        <x:f>INDEX(Catchments!C:C,MATCH(A679,Catchments!A:A,0))</x:f>
        <x:v>14732006</x:v>
      </x:c>
      <x:c r="N679" s="41" t="n">
        <x:f>INDEX(Catchments!C:C,MATCH(B679,Catchments!A:A,0))</x:f>
        <x:v>6408394</x:v>
      </x:c>
    </x:row>
    <x:row r="680" ht="15" hidden="0" customHeight="1">
      <x:c r="A680" s="27" t="str">
        <x:v>SCA-22</x:v>
      </x:c>
      <x:c r="B680" s="27" t="str">
        <x:v>SCA-26</x:v>
      </x:c>
      <x:c r="C680" s="52" t="n">
        <x:v>39.67266416123086</x:v>
      </x:c>
      <x:c r="D680" s="27" t="str">
        <x:v>YES</x:v>
      </x:c>
      <x:c r="E680" s="52" t="n">
        <x:v>40.17137898382425</x:v>
      </x:c>
      <x:c r="F680" s="27" t="str">
        <x:v>YES</x:v>
      </x:c>
      <x:c r="G680" s="52" t="n">
        <x:v>13.84314731353014</x:v>
      </x:c>
      <x:c r="H680" s="27" t="str">
        <x:v>YES</x:v>
      </x:c>
      <x:c r="I680" s="52" t="n">
        <x:v>70.78734834980683</x:v>
      </x:c>
      <x:c r="J680" s="27" t="str">
        <x:v>YES</x:v>
      </x:c>
      <x:c r="K680" s="27" t="str">
        <x:v>Air</x:v>
      </x:c>
      <x:c r="L680" s="52" t="n">
        <x:v>13.84314731353014</x:v>
      </x:c>
      <x:c r="M680" s="40" t="n">
        <x:f>INDEX(Catchments!C:C,MATCH(A680,Catchments!A:A,0))</x:f>
        <x:v>14732006</x:v>
      </x:c>
      <x:c r="N680" s="40" t="n">
        <x:f>INDEX(Catchments!C:C,MATCH(B680,Catchments!A:A,0))</x:f>
        <x:v>10737083</x:v>
      </x:c>
    </x:row>
    <x:row r="681" ht="15" hidden="0" customHeight="1">
      <x:c r="A681" s="29" t="str">
        <x:v>SCA-22</x:v>
      </x:c>
      <x:c r="B681" s="29" t="str">
        <x:v>SCA-27</x:v>
      </x:c>
      <x:c r="C681" s="53" t="n">
        <x:v>44.756814417949926</x:v>
      </x:c>
      <x:c r="D681" s="29" t="str">
        <x:v>YES</x:v>
      </x:c>
      <x:c r="E681" s="53" t="n">
        <x:v>44.166068471246376</x:v>
      </x:c>
      <x:c r="F681" s="29" t="str">
        <x:v>YES</x:v>
      </x:c>
      <x:c r="G681" s="53" t="n">
        <x:v>14.200565801423402</x:v>
      </x:c>
      <x:c r="H681" s="29" t="str">
        <x:v>YES</x:v>
      </x:c>
      <x:c r="I681" s="53" t="n">
        <x:v>79.08456324732899</x:v>
      </x:c>
      <x:c r="J681" s="29" t="str">
        <x:v>NO</x:v>
      </x:c>
      <x:c r="K681" s="29" t="str">
        <x:v>Air</x:v>
      </x:c>
      <x:c r="L681" s="53" t="n">
        <x:v>14.200565801423402</x:v>
      </x:c>
      <x:c r="M681" s="41" t="n">
        <x:f>INDEX(Catchments!C:C,MATCH(A681,Catchments!A:A,0))</x:f>
        <x:v>14732006</x:v>
      </x:c>
      <x:c r="N681" s="41" t="n">
        <x:f>INDEX(Catchments!C:C,MATCH(B681,Catchments!A:A,0))</x:f>
        <x:v>7505606</x:v>
      </x:c>
    </x:row>
    <x:row r="682" ht="15" hidden="0" customHeight="1">
      <x:c r="A682" s="27" t="str">
        <x:v>SCA-22</x:v>
      </x:c>
      <x:c r="B682" s="27" t="str">
        <x:v>SCA-28</x:v>
      </x:c>
      <x:c r="C682" s="52" t="n">
        <x:v>25.720999550260693</x:v>
      </x:c>
      <x:c r="D682" s="27" t="str">
        <x:v>YES</x:v>
      </x:c>
      <x:c r="E682" s="52" t="n">
        <x:v>29.209356789490545</x:v>
      </x:c>
      <x:c r="F682" s="27" t="str">
        <x:v>YES</x:v>
      </x:c>
      <x:c r="G682" s="52" t="n">
        <x:v>12.862414682627877</x:v>
      </x:c>
      <x:c r="H682" s="27" t="str">
        <x:v>YES</x:v>
      </x:c>
      <x:c r="I682" s="52" t="n">
        <x:v>48.02034084671858</x:v>
      </x:c>
      <x:c r="J682" s="27" t="str">
        <x:v>YES</x:v>
      </x:c>
      <x:c r="K682" s="27" t="str">
        <x:v>Air</x:v>
      </x:c>
      <x:c r="L682" s="52" t="n">
        <x:v>12.862414682627877</x:v>
      </x:c>
      <x:c r="M682" s="40" t="n">
        <x:f>INDEX(Catchments!C:C,MATCH(A682,Catchments!A:A,0))</x:f>
        <x:v>14732006</x:v>
      </x:c>
      <x:c r="N682" s="40" t="n">
        <x:f>INDEX(Catchments!C:C,MATCH(B682,Catchments!A:A,0))</x:f>
        <x:v>21305157</x:v>
      </x:c>
    </x:row>
    <x:row r="683" ht="15" hidden="0" customHeight="1">
      <x:c r="A683" s="29" t="str">
        <x:v>SCA-22</x:v>
      </x:c>
      <x:c r="B683" s="29" t="str">
        <x:v>SCA-29</x:v>
      </x:c>
      <x:c r="C683" s="53" t="n">
        <x:v>27.046227722075358</x:v>
      </x:c>
      <x:c r="D683" s="29" t="str">
        <x:v>YES</x:v>
      </x:c>
      <x:c r="E683" s="53" t="n">
        <x:v>30.250607495916352</x:v>
      </x:c>
      <x:c r="F683" s="29" t="str">
        <x:v>YES</x:v>
      </x:c>
      <x:c r="G683" s="53" t="n">
        <x:v>12.959923109985478</x:v>
      </x:c>
      <x:c r="H683" s="29" t="str">
        <x:v>YES</x:v>
      </x:c>
      <x:c r="I683" s="53" t="n">
        <x:v>50.283929338948596</x:v>
      </x:c>
      <x:c r="J683" s="29" t="str">
        <x:v>YES</x:v>
      </x:c>
      <x:c r="K683" s="29" t="str">
        <x:v>Air</x:v>
      </x:c>
      <x:c r="L683" s="53" t="n">
        <x:v>12.959923109985478</x:v>
      </x:c>
      <x:c r="M683" s="41" t="n">
        <x:f>INDEX(Catchments!C:C,MATCH(A683,Catchments!A:A,0))</x:f>
        <x:v>14732006</x:v>
      </x:c>
      <x:c r="N683" s="41" t="n">
        <x:f>INDEX(Catchments!C:C,MATCH(B683,Catchments!A:A,0))</x:f>
        <x:v>19271685</x:v>
      </x:c>
    </x:row>
    <x:row r="684" ht="15" hidden="0" customHeight="1">
      <x:c r="A684" s="27" t="str">
        <x:v>SCA-22</x:v>
      </x:c>
      <x:c r="B684" s="27" t="str">
        <x:v>SCA-30</x:v>
      </x:c>
      <x:c r="C684" s="52" t="n">
        <x:v>34.14943074901051</x:v>
      </x:c>
      <x:c r="D684" s="27" t="str">
        <x:v>YES</x:v>
      </x:c>
      <x:c r="E684" s="52" t="n">
        <x:v>35.83169558850826</x:v>
      </x:c>
      <x:c r="F684" s="27" t="str">
        <x:v>YES</x:v>
      </x:c>
      <x:c r="G684" s="52" t="n">
        <x:v>13.467939366619763</x:v>
      </x:c>
      <x:c r="H684" s="27" t="str">
        <x:v>YES</x:v>
      </x:c>
      <x:c r="I684" s="52" t="n">
        <x:v>62.077163867958795</x:v>
      </x:c>
      <x:c r="J684" s="27" t="str">
        <x:v>YES</x:v>
      </x:c>
      <x:c r="K684" s="27" t="str">
        <x:v>Air</x:v>
      </x:c>
      <x:c r="L684" s="52" t="n">
        <x:v>13.467939366619763</x:v>
      </x:c>
      <x:c r="M684" s="40" t="n">
        <x:f>INDEX(Catchments!C:C,MATCH(A684,Catchments!A:A,0))</x:f>
        <x:v>14732006</x:v>
      </x:c>
      <x:c r="N684" s="40" t="n">
        <x:f>INDEX(Catchments!C:C,MATCH(B684,Catchments!A:A,0))</x:f>
        <x:v>41291847</x:v>
      </x:c>
    </x:row>
    <x:row r="685" ht="15" hidden="0" customHeight="1">
      <x:c r="A685" s="29" t="str">
        <x:v>SCA-22</x:v>
      </x:c>
      <x:c r="B685" s="29" t="str">
        <x:v>SCA-31</x:v>
      </x:c>
      <x:c r="C685" s="53" t="n">
        <x:v>41.29637884331062</x:v>
      </x:c>
      <x:c r="D685" s="29" t="str">
        <x:v>YES</x:v>
      </x:c>
      <x:c r="E685" s="53" t="n">
        <x:v>41.44715480545835</x:v>
      </x:c>
      <x:c r="F685" s="29" t="str">
        <x:v>YES</x:v>
      </x:c>
      <x:c r="G685" s="53" t="n">
        <x:v>13.934222260218663</x:v>
      </x:c>
      <x:c r="H685" s="29" t="str">
        <x:v>YES</x:v>
      </x:c>
      <x:c r="I685" s="53" t="n">
        <x:v>72.90158818364753</x:v>
      </x:c>
      <x:c r="J685" s="29" t="str">
        <x:v>NO</x:v>
      </x:c>
      <x:c r="K685" s="29" t="str">
        <x:v>Air</x:v>
      </x:c>
      <x:c r="L685" s="53" t="n">
        <x:v>13.934222260218663</x:v>
      </x:c>
      <x:c r="M685" s="41" t="n">
        <x:f>INDEX(Catchments!C:C,MATCH(A685,Catchments!A:A,0))</x:f>
        <x:v>14732006</x:v>
      </x:c>
      <x:c r="N685" s="41" t="n">
        <x:f>INDEX(Catchments!C:C,MATCH(B685,Catchments!A:A,0))</x:f>
        <x:v>14227128</x:v>
      </x:c>
    </x:row>
    <x:row r="686" ht="15" hidden="0" customHeight="1">
      <x:c r="A686" s="27" t="str">
        <x:v>SCA-22</x:v>
      </x:c>
      <x:c r="B686" s="27" t="str">
        <x:v>SCA-32</x:v>
      </x:c>
      <x:c r="C686" s="52"/>
      <x:c r="D686" s="27" t="str">
        <x:v>NO</x:v>
      </x:c>
      <x:c r="E686" s="52"/>
      <x:c r="F686" s="27" t="str">
        <x:v>NO</x:v>
      </x:c>
      <x:c r="G686" s="52" t="n">
        <x:v>16.4525188862272</x:v>
      </x:c>
      <x:c r="H686" s="27" t="str">
        <x:v>YES</x:v>
      </x:c>
      <x:c r="I686" s="52" t="n">
        <x:v>131.3620455731314</x:v>
      </x:c>
      <x:c r="J686" s="27" t="str">
        <x:v>NO</x:v>
      </x:c>
      <x:c r="K686" s="27" t="str">
        <x:v>Air</x:v>
      </x:c>
      <x:c r="L686" s="52" t="n">
        <x:v>16.4525188862272</x:v>
      </x:c>
      <x:c r="M686" s="40" t="n">
        <x:f>INDEX(Catchments!C:C,MATCH(A686,Catchments!A:A,0))</x:f>
        <x:v>14732006</x:v>
      </x:c>
      <x:c r="N686" s="40" t="n">
        <x:f>INDEX(Catchments!C:C,MATCH(B686,Catchments!A:A,0))</x:f>
        <x:v>3184835</x:v>
      </x:c>
    </x:row>
    <x:row r="687" ht="15" hidden="0" customHeight="1">
      <x:c r="A687" s="29" t="str">
        <x:v>SCA-23</x:v>
      </x:c>
      <x:c r="B687" s="29" t="str">
        <x:v>SCA-01</x:v>
      </x:c>
      <x:c r="C687" s="53"/>
      <x:c r="D687" s="29" t="str">
        <x:v>NO</x:v>
      </x:c>
      <x:c r="E687" s="53"/>
      <x:c r="F687" s="29" t="str">
        <x:v>NO</x:v>
      </x:c>
      <x:c r="G687" s="53" t="n">
        <x:v>23.083896405451043</x:v>
      </x:c>
      <x:c r="H687" s="29" t="str">
        <x:v>YES</x:v>
      </x:c>
      <x:c r="I687" s="53" t="n">
        <x:v>285.3047379836849</x:v>
      </x:c>
      <x:c r="J687" s="29" t="str">
        <x:v>NO</x:v>
      </x:c>
      <x:c r="K687" s="29" t="str">
        <x:v>Air</x:v>
      </x:c>
      <x:c r="L687" s="53" t="n">
        <x:v>23.083896405451043</x:v>
      </x:c>
      <x:c r="M687" s="41" t="n">
        <x:f>INDEX(Catchments!C:C,MATCH(A687,Catchments!A:A,0))</x:f>
        <x:v>20869310</x:v>
      </x:c>
      <x:c r="N687" s="41" t="n">
        <x:f>INDEX(Catchments!C:C,MATCH(B687,Catchments!A:A,0))</x:f>
        <x:v>1432820</x:v>
      </x:c>
    </x:row>
    <x:row r="688" ht="15" hidden="0" customHeight="1">
      <x:c r="A688" s="27" t="str">
        <x:v>SCA-23</x:v>
      </x:c>
      <x:c r="B688" s="27" t="str">
        <x:v>SCA-02</x:v>
      </x:c>
      <x:c r="C688" s="52"/>
      <x:c r="D688" s="27" t="str">
        <x:v>NO</x:v>
      </x:c>
      <x:c r="E688" s="52"/>
      <x:c r="F688" s="27" t="str">
        <x:v>NO</x:v>
      </x:c>
      <x:c r="G688" s="52" t="n">
        <x:v>20.110382319739557</x:v>
      </x:c>
      <x:c r="H688" s="27" t="str">
        <x:v>YES</x:v>
      </x:c>
      <x:c r="I688" s="52" t="n">
        <x:v>216.27673242252538</x:v>
      </x:c>
      <x:c r="J688" s="27" t="str">
        <x:v>NO</x:v>
      </x:c>
      <x:c r="K688" s="27" t="str">
        <x:v>Air</x:v>
      </x:c>
      <x:c r="L688" s="52" t="n">
        <x:v>20.110382319739557</x:v>
      </x:c>
      <x:c r="M688" s="40" t="n">
        <x:f>INDEX(Catchments!C:C,MATCH(A688,Catchments!A:A,0))</x:f>
        <x:v>20869310</x:v>
      </x:c>
      <x:c r="N688" s="40" t="n">
        <x:f>INDEX(Catchments!C:C,MATCH(B688,Catchments!A:A,0))</x:f>
        <x:v>737270</x:v>
      </x:c>
    </x:row>
    <x:row r="689" ht="15" hidden="0" customHeight="1">
      <x:c r="A689" s="29" t="str">
        <x:v>SCA-23</x:v>
      </x:c>
      <x:c r="B689" s="29" t="str">
        <x:v>SCA-03</x:v>
      </x:c>
      <x:c r="C689" s="53" t="n">
        <x:v>88.4951126205081</x:v>
      </x:c>
      <x:c r="D689" s="29" t="str">
        <x:v>NO</x:v>
      </x:c>
      <x:c r="E689" s="53" t="n">
        <x:v>78.53187420182778</x:v>
      </x:c>
      <x:c r="F689" s="29" t="str">
        <x:v>NO</x:v>
      </x:c>
      <x:c r="G689" s="53" t="n">
        <x:v>17.25648829672746</x:v>
      </x:c>
      <x:c r="H689" s="29" t="str">
        <x:v>YES</x:v>
      </x:c>
      <x:c r="I689" s="53" t="n">
        <x:v>150.02562117403036</x:v>
      </x:c>
      <x:c r="J689" s="29" t="str">
        <x:v>NO</x:v>
      </x:c>
      <x:c r="K689" s="29" t="str">
        <x:v>Air</x:v>
      </x:c>
      <x:c r="L689" s="53" t="n">
        <x:v>17.25648829672746</x:v>
      </x:c>
      <x:c r="M689" s="41" t="n">
        <x:f>INDEX(Catchments!C:C,MATCH(A689,Catchments!A:A,0))</x:f>
        <x:v>20869310</x:v>
      </x:c>
      <x:c r="N689" s="41" t="n">
        <x:f>INDEX(Catchments!C:C,MATCH(B689,Catchments!A:A,0))</x:f>
        <x:v>11968308</x:v>
      </x:c>
    </x:row>
    <x:row r="690" ht="15" hidden="0" customHeight="1">
      <x:c r="A690" s="27" t="str">
        <x:v>SCA-23</x:v>
      </x:c>
      <x:c r="B690" s="27" t="str">
        <x:v>SCA-04</x:v>
      </x:c>
      <x:c r="C690" s="52" t="n">
        <x:v>88.95204977800658</x:v>
      </x:c>
      <x:c r="D690" s="27" t="str">
        <x:v>NO</x:v>
      </x:c>
      <x:c r="E690" s="52" t="n">
        <x:v>78.89089625414803</x:v>
      </x:c>
      <x:c r="F690" s="27" t="str">
        <x:v>NO</x:v>
      </x:c>
      <x:c r="G690" s="52" t="n">
        <x:v>17.137072520066365</x:v>
      </x:c>
      <x:c r="H690" s="27" t="str">
        <x:v>YES</x:v>
      </x:c>
      <x:c r="I690" s="52" t="n">
        <x:v>147.25346921582633</x:v>
      </x:c>
      <x:c r="J690" s="27" t="str">
        <x:v>NO</x:v>
      </x:c>
      <x:c r="K690" s="27" t="str">
        <x:v>Air</x:v>
      </x:c>
      <x:c r="L690" s="52" t="n">
        <x:v>17.137072520066365</x:v>
      </x:c>
      <x:c r="M690" s="40" t="n">
        <x:f>INDEX(Catchments!C:C,MATCH(A690,Catchments!A:A,0))</x:f>
        <x:v>20869310</x:v>
      </x:c>
      <x:c r="N690" s="40" t="n">
        <x:f>INDEX(Catchments!C:C,MATCH(B690,Catchments!A:A,0))</x:f>
        <x:v>16200470</x:v>
      </x:c>
    </x:row>
    <x:row r="691" ht="15" hidden="0" customHeight="1">
      <x:c r="A691" s="29" t="str">
        <x:v>SCA-23</x:v>
      </x:c>
      <x:c r="B691" s="29" t="str">
        <x:v>SCA-05</x:v>
      </x:c>
      <x:c r="C691" s="53" t="n">
        <x:v>80.36543968192085</x:v>
      </x:c>
      <x:c r="D691" s="29" t="str">
        <x:v>NO</x:v>
      </x:c>
      <x:c r="E691" s="53" t="n">
        <x:v>72.14427403579495</x:v>
      </x:c>
      <x:c r="F691" s="29" t="str">
        <x:v>NO</x:v>
      </x:c>
      <x:c r="G691" s="53" t="n">
        <x:v>16.764369293237213</x:v>
      </x:c>
      <x:c r="H691" s="29" t="str">
        <x:v>YES</x:v>
      </x:c>
      <x:c r="I691" s="53" t="n">
        <x:v>138.60143002157812</x:v>
      </x:c>
      <x:c r="J691" s="29" t="str">
        <x:v>NO</x:v>
      </x:c>
      <x:c r="K691" s="29" t="str">
        <x:v>Air</x:v>
      </x:c>
      <x:c r="L691" s="53" t="n">
        <x:v>16.764369293237213</x:v>
      </x:c>
      <x:c r="M691" s="41" t="n">
        <x:f>INDEX(Catchments!C:C,MATCH(A691,Catchments!A:A,0))</x:f>
        <x:v>20869310</x:v>
      </x:c>
      <x:c r="N691" s="41" t="n">
        <x:f>INDEX(Catchments!C:C,MATCH(B691,Catchments!A:A,0))</x:f>
        <x:v>15966265</x:v>
      </x:c>
    </x:row>
    <x:row r="692" ht="15" hidden="0" customHeight="1">
      <x:c r="A692" s="27" t="str">
        <x:v>SCA-23</x:v>
      </x:c>
      <x:c r="B692" s="27" t="str">
        <x:v>SCA-06</x:v>
      </x:c>
      <x:c r="C692" s="52" t="n">
        <x:v>75.98803291319133</x:v>
      </x:c>
      <x:c r="D692" s="27" t="str">
        <x:v>NO</x:v>
      </x:c>
      <x:c r="E692" s="52" t="n">
        <x:v>68.70488300322177</x:v>
      </x:c>
      <x:c r="F692" s="27" t="str">
        <x:v>YES</x:v>
      </x:c>
      <x:c r="G692" s="52" t="n">
        <x:v>16.516849404483832</x:v>
      </x:c>
      <x:c r="H692" s="27" t="str">
        <x:v>YES</x:v>
      </x:c>
      <x:c r="I692" s="52" t="n">
        <x:v>132.85543260408895</x:v>
      </x:c>
      <x:c r="J692" s="27" t="str">
        <x:v>NO</x:v>
      </x:c>
      <x:c r="K692" s="27" t="str">
        <x:v>Air</x:v>
      </x:c>
      <x:c r="L692" s="52" t="n">
        <x:v>16.516849404483832</x:v>
      </x:c>
      <x:c r="M692" s="40" t="n">
        <x:f>INDEX(Catchments!C:C,MATCH(A692,Catchments!A:A,0))</x:f>
        <x:v>20869310</x:v>
      </x:c>
      <x:c r="N692" s="40" t="n">
        <x:f>INDEX(Catchments!C:C,MATCH(B692,Catchments!A:A,0))</x:f>
        <x:v>6008575</x:v>
      </x:c>
    </x:row>
    <x:row r="693" ht="15" hidden="0" customHeight="1">
      <x:c r="A693" s="29" t="str">
        <x:v>SCA-23</x:v>
      </x:c>
      <x:c r="B693" s="29" t="str">
        <x:v>SCA-07</x:v>
      </x:c>
      <x:c r="C693" s="53" t="n">
        <x:v>76.21379183886759</x:v>
      </x:c>
      <x:c r="D693" s="29" t="str">
        <x:v>NO</x:v>
      </x:c>
      <x:c r="E693" s="53" t="n">
        <x:v>68.88226501625311</x:v>
      </x:c>
      <x:c r="F693" s="29" t="str">
        <x:v>YES</x:v>
      </x:c>
      <x:c r="G693" s="53" t="n">
        <x:v>16.322998714864152</x:v>
      </x:c>
      <x:c r="H693" s="29" t="str">
        <x:v>YES</x:v>
      </x:c>
      <x:c r="I693" s="53" t="n">
        <x:v>128.3553273093464</x:v>
      </x:c>
      <x:c r="J693" s="29" t="str">
        <x:v>NO</x:v>
      </x:c>
      <x:c r="K693" s="29" t="str">
        <x:v>Air</x:v>
      </x:c>
      <x:c r="L693" s="53" t="n">
        <x:v>16.322998714864152</x:v>
      </x:c>
      <x:c r="M693" s="41" t="n">
        <x:f>INDEX(Catchments!C:C,MATCH(A693,Catchments!A:A,0))</x:f>
        <x:v>20869310</x:v>
      </x:c>
      <x:c r="N693" s="41" t="n">
        <x:f>INDEX(Catchments!C:C,MATCH(B693,Catchments!A:A,0))</x:f>
        <x:v>5229370</x:v>
      </x:c>
    </x:row>
    <x:row r="694" ht="15" hidden="0" customHeight="1">
      <x:c r="A694" s="27" t="str">
        <x:v>SCA-23</x:v>
      </x:c>
      <x:c r="B694" s="27" t="str">
        <x:v>SCA-08</x:v>
      </x:c>
      <x:c r="C694" s="52" t="n">
        <x:v>76.77411489191701</x:v>
      </x:c>
      <x:c r="D694" s="27" t="str">
        <x:v>NO</x:v>
      </x:c>
      <x:c r="E694" s="52" t="n">
        <x:v>69.32251884364908</x:v>
      </x:c>
      <x:c r="F694" s="27" t="str">
        <x:v>YES</x:v>
      </x:c>
      <x:c r="G694" s="52" t="n">
        <x:v>16.404718557365282</x:v>
      </x:c>
      <x:c r="H694" s="27" t="str">
        <x:v>YES</x:v>
      </x:c>
      <x:c r="I694" s="52" t="n">
        <x:v>130.25239508169403</x:v>
      </x:c>
      <x:c r="J694" s="27" t="str">
        <x:v>NO</x:v>
      </x:c>
      <x:c r="K694" s="27" t="str">
        <x:v>Air</x:v>
      </x:c>
      <x:c r="L694" s="52" t="n">
        <x:v>16.404718557365282</x:v>
      </x:c>
      <x:c r="M694" s="40" t="n">
        <x:f>INDEX(Catchments!C:C,MATCH(A694,Catchments!A:A,0))</x:f>
        <x:v>20869310</x:v>
      </x:c>
      <x:c r="N694" s="40" t="n">
        <x:f>INDEX(Catchments!C:C,MATCH(B694,Catchments!A:A,0))</x:f>
        <x:v>2652387</x:v>
      </x:c>
    </x:row>
    <x:row r="695" ht="15" hidden="0" customHeight="1">
      <x:c r="A695" s="29" t="str">
        <x:v>SCA-23</x:v>
      </x:c>
      <x:c r="B695" s="29" t="str">
        <x:v>SCA-09</x:v>
      </x:c>
      <x:c r="C695" s="53" t="n">
        <x:v>67.81131560843076</x:v>
      </x:c>
      <x:c r="D695" s="29" t="str">
        <x:v>YES</x:v>
      </x:c>
      <x:c r="E695" s="53" t="n">
        <x:v>62.28031940662417</x:v>
      </x:c>
      <x:c r="F695" s="29" t="str">
        <x:v>YES</x:v>
      </x:c>
      <x:c r="G695" s="53" t="n">
        <x:v>15.926448625515413</x:v>
      </x:c>
      <x:c r="H695" s="29" t="str">
        <x:v>YES</x:v>
      </x:c>
      <x:c r="I695" s="53"/>
      <x:c r="J695" s="29" t="str">
        <x:v>NO</x:v>
      </x:c>
      <x:c r="K695" s="29" t="str">
        <x:v>Air</x:v>
      </x:c>
      <x:c r="L695" s="53" t="n">
        <x:v>15.926448625515413</x:v>
      </x:c>
      <x:c r="M695" s="41" t="n">
        <x:f>INDEX(Catchments!C:C,MATCH(A695,Catchments!A:A,0))</x:f>
        <x:v>20869310</x:v>
      </x:c>
      <x:c r="N695" s="41" t="n">
        <x:f>INDEX(Catchments!C:C,MATCH(B695,Catchments!A:A,0))</x:f>
        <x:v>7395716</x:v>
      </x:c>
    </x:row>
    <x:row r="696" ht="15" hidden="0" customHeight="1">
      <x:c r="A696" s="27" t="str">
        <x:v>SCA-23</x:v>
      </x:c>
      <x:c r="B696" s="27" t="str">
        <x:v>SCA-10</x:v>
      </x:c>
      <x:c r="C696" s="52" t="n">
        <x:v>67.76363430253636</x:v>
      </x:c>
      <x:c r="D696" s="27" t="str">
        <x:v>YES</x:v>
      </x:c>
      <x:c r="E696" s="52" t="n">
        <x:v>62.24285552342143</x:v>
      </x:c>
      <x:c r="F696" s="27" t="str">
        <x:v>YES</x:v>
      </x:c>
      <x:c r="G696" s="52" t="n">
        <x:v>15.835428388802324</x:v>
      </x:c>
      <x:c r="H696" s="27" t="str">
        <x:v>YES</x:v>
      </x:c>
      <x:c r="I696" s="52"/>
      <x:c r="J696" s="27" t="str">
        <x:v>NO</x:v>
      </x:c>
      <x:c r="K696" s="27" t="str">
        <x:v>Air</x:v>
      </x:c>
      <x:c r="L696" s="52" t="n">
        <x:v>15.835428388802324</x:v>
      </x:c>
      <x:c r="M696" s="40" t="n">
        <x:f>INDEX(Catchments!C:C,MATCH(A696,Catchments!A:A,0))</x:f>
        <x:v>20869310</x:v>
      </x:c>
      <x:c r="N696" s="40" t="n">
        <x:f>INDEX(Catchments!C:C,MATCH(B696,Catchments!A:A,0))</x:f>
        <x:v>4127033</x:v>
      </x:c>
    </x:row>
    <x:row r="697" ht="15" hidden="0" customHeight="1">
      <x:c r="A697" s="29" t="str">
        <x:v>SCA-23</x:v>
      </x:c>
      <x:c r="B697" s="29" t="str">
        <x:v>SCA-11</x:v>
      </x:c>
      <x:c r="C697" s="53" t="n">
        <x:v>54.14309103625603</x:v>
      </x:c>
      <x:c r="D697" s="29" t="str">
        <x:v>YES</x:v>
      </x:c>
      <x:c r="E697" s="53" t="n">
        <x:v>51.54100009991545</x:v>
      </x:c>
      <x:c r="F697" s="29" t="str">
        <x:v>YES</x:v>
      </x:c>
      <x:c r="G697" s="53" t="n">
        <x:v>14.93198588095704</x:v>
      </x:c>
      <x:c r="H697" s="29" t="str">
        <x:v>YES</x:v>
      </x:c>
      <x:c r="I697" s="53" t="n">
        <x:v>96.0639579507884</x:v>
      </x:c>
      <x:c r="J697" s="29" t="str">
        <x:v>NO</x:v>
      </x:c>
      <x:c r="K697" s="29" t="str">
        <x:v>Air</x:v>
      </x:c>
      <x:c r="L697" s="53" t="n">
        <x:v>14.93198588095704</x:v>
      </x:c>
      <x:c r="M697" s="41" t="n">
        <x:f>INDEX(Catchments!C:C,MATCH(A697,Catchments!A:A,0))</x:f>
        <x:v>20869310</x:v>
      </x:c>
      <x:c r="N697" s="41" t="n">
        <x:f>INDEX(Catchments!C:C,MATCH(B697,Catchments!A:A,0))</x:f>
        <x:v>3517787</x:v>
      </x:c>
    </x:row>
    <x:row r="698" ht="15" hidden="0" customHeight="1">
      <x:c r="A698" s="27" t="str">
        <x:v>SCA-23</x:v>
      </x:c>
      <x:c r="B698" s="27" t="str">
        <x:v>SCA-12</x:v>
      </x:c>
      <x:c r="C698" s="52" t="n">
        <x:v>55.46803498896469</x:v>
      </x:c>
      <x:c r="D698" s="27" t="str">
        <x:v>YES</x:v>
      </x:c>
      <x:c r="E698" s="52" t="n">
        <x:v>52.5820274913294</x:v>
      </x:c>
      <x:c r="F698" s="27" t="str">
        <x:v>YES</x:v>
      </x:c>
      <x:c r="G698" s="52" t="n">
        <x:v>14.939606305897719</x:v>
      </x:c>
      <x:c r="H698" s="27" t="str">
        <x:v>YES</x:v>
      </x:c>
      <x:c r="I698" s="52"/>
      <x:c r="J698" s="27" t="str">
        <x:v>NO</x:v>
      </x:c>
      <x:c r="K698" s="27" t="str">
        <x:v>Air</x:v>
      </x:c>
      <x:c r="L698" s="52" t="n">
        <x:v>14.939606305897719</x:v>
      </x:c>
      <x:c r="M698" s="40" t="n">
        <x:f>INDEX(Catchments!C:C,MATCH(A698,Catchments!A:A,0))</x:f>
        <x:v>20869310</x:v>
      </x:c>
      <x:c r="N698" s="40" t="n">
        <x:f>INDEX(Catchments!C:C,MATCH(B698,Catchments!A:A,0))</x:f>
        <x:v>7465186</x:v>
      </x:c>
    </x:row>
    <x:row r="699" ht="15" hidden="0" customHeight="1">
      <x:c r="A699" s="29" t="str">
        <x:v>SCA-23</x:v>
      </x:c>
      <x:c r="B699" s="29" t="str">
        <x:v>SCA-13</x:v>
      </x:c>
      <x:c r="C699" s="53" t="n">
        <x:v>44.94772107924183</x:v>
      </x:c>
      <x:c r="D699" s="29" t="str">
        <x:v>YES</x:v>
      </x:c>
      <x:c r="E699" s="53" t="n">
        <x:v>44.31606656226144</x:v>
      </x:c>
      <x:c r="F699" s="29" t="str">
        <x:v>YES</x:v>
      </x:c>
      <x:c r="G699" s="53" t="n">
        <x:v>14.076307430686596</x:v>
      </x:c>
      <x:c r="H699" s="29" t="str">
        <x:v>YES</x:v>
      </x:c>
      <x:c r="I699" s="53" t="n">
        <x:v>76.19999392665311</x:v>
      </x:c>
      <x:c r="J699" s="29" t="str">
        <x:v>NO</x:v>
      </x:c>
      <x:c r="K699" s="29" t="str">
        <x:v>Air</x:v>
      </x:c>
      <x:c r="L699" s="53" t="n">
        <x:v>14.076307430686596</x:v>
      </x:c>
      <x:c r="M699" s="41" t="n">
        <x:f>INDEX(Catchments!C:C,MATCH(A699,Catchments!A:A,0))</x:f>
        <x:v>20869310</x:v>
      </x:c>
      <x:c r="N699" s="41" t="n">
        <x:f>INDEX(Catchments!C:C,MATCH(B699,Catchments!A:A,0))</x:f>
        <x:v>6759014</x:v>
      </x:c>
    </x:row>
    <x:row r="700" ht="15" hidden="0" customHeight="1">
      <x:c r="A700" s="27" t="str">
        <x:v>SCA-23</x:v>
      </x:c>
      <x:c r="B700" s="27" t="str">
        <x:v>SCA-14</x:v>
      </x:c>
      <x:c r="C700" s="52" t="n">
        <x:v>52.28526314700749</x:v>
      </x:c>
      <x:c r="D700" s="27" t="str">
        <x:v>YES</x:v>
      </x:c>
      <x:c r="E700" s="52" t="n">
        <x:v>50.081278186934455</x:v>
      </x:c>
      <x:c r="F700" s="27" t="str">
        <x:v>YES</x:v>
      </x:c>
      <x:c r="G700" s="52" t="n">
        <x:v>14.322000132175674</x:v>
      </x:c>
      <x:c r="H700" s="27" t="str">
        <x:v>YES</x:v>
      </x:c>
      <x:c r="I700" s="52" t="n">
        <x:v>81.9035744969353</x:v>
      </x:c>
      <x:c r="J700" s="27" t="str">
        <x:v>NO</x:v>
      </x:c>
      <x:c r="K700" s="27" t="str">
        <x:v>Air</x:v>
      </x:c>
      <x:c r="L700" s="52" t="n">
        <x:v>14.322000132175674</x:v>
      </x:c>
      <x:c r="M700" s="40" t="n">
        <x:f>INDEX(Catchments!C:C,MATCH(A700,Catchments!A:A,0))</x:f>
        <x:v>20869310</x:v>
      </x:c>
      <x:c r="N700" s="40" t="n">
        <x:f>INDEX(Catchments!C:C,MATCH(B700,Catchments!A:A,0))</x:f>
        <x:v>2179728</x:v>
      </x:c>
    </x:row>
    <x:row r="701" ht="15" hidden="0" customHeight="1">
      <x:c r="A701" s="29" t="str">
        <x:v>SCA-23</x:v>
      </x:c>
      <x:c r="B701" s="29" t="str">
        <x:v>SCA-15</x:v>
      </x:c>
      <x:c r="C701" s="53" t="n">
        <x:v>37.681678882357176</x:v>
      </x:c>
      <x:c r="D701" s="29" t="str">
        <x:v>YES</x:v>
      </x:c>
      <x:c r="E701" s="53" t="n">
        <x:v>38.607033407566355</x:v>
      </x:c>
      <x:c r="F701" s="29" t="str">
        <x:v>YES</x:v>
      </x:c>
      <x:c r="G701" s="53" t="n">
        <x:v>13.735247827034561</x:v>
      </x:c>
      <x:c r="H701" s="29" t="str">
        <x:v>YES</x:v>
      </x:c>
      <x:c r="I701" s="53" t="n">
        <x:v>68.28253884187373</x:v>
      </x:c>
      <x:c r="J701" s="29" t="str">
        <x:v>YES</x:v>
      </x:c>
      <x:c r="K701" s="29" t="str">
        <x:v>Air</x:v>
      </x:c>
      <x:c r="L701" s="53" t="n">
        <x:v>13.735247827034561</x:v>
      </x:c>
      <x:c r="M701" s="41" t="n">
        <x:f>INDEX(Catchments!C:C,MATCH(A701,Catchments!A:A,0))</x:f>
        <x:v>20869310</x:v>
      </x:c>
      <x:c r="N701" s="41" t="n">
        <x:f>INDEX(Catchments!C:C,MATCH(B701,Catchments!A:A,0))</x:f>
        <x:v>13192386</x:v>
      </x:c>
    </x:row>
    <x:row r="702" ht="15" hidden="0" customHeight="1">
      <x:c r="A702" s="27" t="str">
        <x:v>SCA-23</x:v>
      </x:c>
      <x:c r="B702" s="27" t="str">
        <x:v>SCA-16</x:v>
      </x:c>
      <x:c r="C702" s="52" t="n">
        <x:v>39.247721498181036</x:v>
      </x:c>
      <x:c r="D702" s="27" t="str">
        <x:v>YES</x:v>
      </x:c>
      <x:c r="E702" s="52" t="n">
        <x:v>39.83749546285653</x:v>
      </x:c>
      <x:c r="F702" s="27" t="str">
        <x:v>YES</x:v>
      </x:c>
      <x:c r="G702" s="52" t="n">
        <x:v>13.751659263653654</x:v>
      </x:c>
      <x:c r="H702" s="27" t="str">
        <x:v>YES</x:v>
      </x:c>
      <x:c r="I702" s="52"/>
      <x:c r="J702" s="27" t="str">
        <x:v>NO</x:v>
      </x:c>
      <x:c r="K702" s="27" t="str">
        <x:v>Air</x:v>
      </x:c>
      <x:c r="L702" s="52" t="n">
        <x:v>13.751659263653654</x:v>
      </x:c>
      <x:c r="M702" s="40" t="n">
        <x:f>INDEX(Catchments!C:C,MATCH(A702,Catchments!A:A,0))</x:f>
        <x:v>20869310</x:v>
      </x:c>
      <x:c r="N702" s="40" t="n">
        <x:f>INDEX(Catchments!C:C,MATCH(B702,Catchments!A:A,0))</x:f>
        <x:v>10177969</x:v>
      </x:c>
    </x:row>
    <x:row r="703" ht="15" hidden="0" customHeight="1">
      <x:c r="A703" s="29" t="str">
        <x:v>SCA-23</x:v>
      </x:c>
      <x:c r="B703" s="29" t="str">
        <x:v>SCA-17</x:v>
      </x:c>
      <x:c r="C703" s="53" t="n">
        <x:v>37.08707306205143</x:v>
      </x:c>
      <x:c r="D703" s="29" t="str">
        <x:v>YES</x:v>
      </x:c>
      <x:c r="E703" s="53" t="n">
        <x:v>38.13984312018327</x:v>
      </x:c>
      <x:c r="F703" s="29" t="str">
        <x:v>YES</x:v>
      </x:c>
      <x:c r="G703" s="53" t="n">
        <x:v>13.54544699284797</x:v>
      </x:c>
      <x:c r="H703" s="29" t="str">
        <x:v>YES</x:v>
      </x:c>
      <x:c r="I703" s="53" t="n">
        <x:v>63.87644804825643</x:v>
      </x:c>
      <x:c r="J703" s="29" t="str">
        <x:v>YES</x:v>
      </x:c>
      <x:c r="K703" s="29" t="str">
        <x:v>Air</x:v>
      </x:c>
      <x:c r="L703" s="53" t="n">
        <x:v>13.54544699284797</x:v>
      </x:c>
      <x:c r="M703" s="41" t="n">
        <x:f>INDEX(Catchments!C:C,MATCH(A703,Catchments!A:A,0))</x:f>
        <x:v>20869310</x:v>
      </x:c>
      <x:c r="N703" s="41" t="n">
        <x:f>INDEX(Catchments!C:C,MATCH(B703,Catchments!A:A,0))</x:f>
        <x:v>12843509</x:v>
      </x:c>
    </x:row>
    <x:row r="704" ht="15" hidden="0" customHeight="1">
      <x:c r="A704" s="27" t="str">
        <x:v>SCA-23</x:v>
      </x:c>
      <x:c r="B704" s="27" t="str">
        <x:v>SCA-18</x:v>
      </x:c>
      <x:c r="C704" s="52" t="n">
        <x:v>46.360803209652396</x:v>
      </x:c>
      <x:c r="D704" s="27" t="str">
        <x:v>YES</x:v>
      </x:c>
      <x:c r="E704" s="52" t="n">
        <x:v>45.426345379012595</x:v>
      </x:c>
      <x:c r="F704" s="27" t="str">
        <x:v>YES</x:v>
      </x:c>
      <x:c r="G704" s="52" t="n">
        <x:v>14.238935988157746</x:v>
      </x:c>
      <x:c r="H704" s="27" t="str">
        <x:v>YES</x:v>
      </x:c>
      <x:c r="I704" s="52" t="n">
        <x:v>79.97529972509054</x:v>
      </x:c>
      <x:c r="J704" s="27" t="str">
        <x:v>NO</x:v>
      </x:c>
      <x:c r="K704" s="27" t="str">
        <x:v>Air</x:v>
      </x:c>
      <x:c r="L704" s="52" t="n">
        <x:v>14.238935988157746</x:v>
      </x:c>
      <x:c r="M704" s="40" t="n">
        <x:f>INDEX(Catchments!C:C,MATCH(A704,Catchments!A:A,0))</x:f>
        <x:v>20869310</x:v>
      </x:c>
      <x:c r="N704" s="40" t="n">
        <x:f>INDEX(Catchments!C:C,MATCH(B704,Catchments!A:A,0))</x:f>
        <x:v>11004680</x:v>
      </x:c>
    </x:row>
    <x:row r="705" ht="15" hidden="0" customHeight="1">
      <x:c r="A705" s="29" t="str">
        <x:v>SCA-23</x:v>
      </x:c>
      <x:c r="B705" s="29" t="str">
        <x:v>SCA-19</x:v>
      </x:c>
      <x:c r="C705" s="53" t="n">
        <x:v>34.84537316443208</x:v>
      </x:c>
      <x:c r="D705" s="29" t="str">
        <x:v>YES</x:v>
      </x:c>
      <x:c r="E705" s="53" t="n">
        <x:v>36.378507486339494</x:v>
      </x:c>
      <x:c r="F705" s="29" t="str">
        <x:v>YES</x:v>
      </x:c>
      <x:c r="G705" s="53" t="n">
        <x:v>13.213725472770555</x:v>
      </x:c>
      <x:c r="H705" s="29" t="str">
        <x:v>YES</x:v>
      </x:c>
      <x:c r="I705" s="53" t="n">
        <x:v>56.175769903602166</x:v>
      </x:c>
      <x:c r="J705" s="29" t="str">
        <x:v>YES</x:v>
      </x:c>
      <x:c r="K705" s="29" t="str">
        <x:v>Air</x:v>
      </x:c>
      <x:c r="L705" s="53" t="n">
        <x:v>13.213725472770555</x:v>
      </x:c>
      <x:c r="M705" s="41" t="n">
        <x:f>INDEX(Catchments!C:C,MATCH(A705,Catchments!A:A,0))</x:f>
        <x:v>20869310</x:v>
      </x:c>
      <x:c r="N705" s="41" t="n">
        <x:f>INDEX(Catchments!C:C,MATCH(B705,Catchments!A:A,0))</x:f>
        <x:v>6677653</x:v>
      </x:c>
    </x:row>
    <x:row r="706" ht="15" hidden="0" customHeight="1">
      <x:c r="A706" s="27" t="str">
        <x:v>SCA-23</x:v>
      </x:c>
      <x:c r="B706" s="27" t="str">
        <x:v>SCA-20</x:v>
      </x:c>
      <x:c r="C706" s="52" t="n">
        <x:v>24.536345342712643</x:v>
      </x:c>
      <x:c r="D706" s="27" t="str">
        <x:v>YES</x:v>
      </x:c>
      <x:c r="E706" s="52" t="n">
        <x:v>28.278557054988504</x:v>
      </x:c>
      <x:c r="F706" s="27" t="str">
        <x:v>YES</x:v>
      </x:c>
      <x:c r="G706" s="52" t="n">
        <x:v>12.775249490099258</x:v>
      </x:c>
      <x:c r="H706" s="27" t="str">
        <x:v>YES</x:v>
      </x:c>
      <x:c r="I706" s="52" t="n">
        <x:v>45.99686316301849</x:v>
      </x:c>
      <x:c r="J706" s="27" t="str">
        <x:v>YES</x:v>
      </x:c>
      <x:c r="K706" s="27" t="str">
        <x:v>Air</x:v>
      </x:c>
      <x:c r="L706" s="52" t="n">
        <x:v>12.775249490099258</x:v>
      </x:c>
      <x:c r="M706" s="40" t="n">
        <x:f>INDEX(Catchments!C:C,MATCH(A706,Catchments!A:A,0))</x:f>
        <x:v>20869310</x:v>
      </x:c>
      <x:c r="N706" s="40" t="n">
        <x:f>INDEX(Catchments!C:C,MATCH(B706,Catchments!A:A,0))</x:f>
        <x:v>8490774</x:v>
      </x:c>
    </x:row>
    <x:row r="707" ht="15" hidden="0" customHeight="1">
      <x:c r="A707" s="29" t="str">
        <x:v>SCA-23</x:v>
      </x:c>
      <x:c r="B707" s="29" t="str">
        <x:v>SCA-21</x:v>
      </x:c>
      <x:c r="C707" s="53" t="n">
        <x:v>34.69532055318212</x:v>
      </x:c>
      <x:c r="D707" s="29" t="str">
        <x:v>YES</x:v>
      </x:c>
      <x:c r="E707" s="53" t="n">
        <x:v>36.26060900607166</x:v>
      </x:c>
      <x:c r="F707" s="29" t="str">
        <x:v>YES</x:v>
      </x:c>
      <x:c r="G707" s="53" t="n">
        <x:v>13.502642648904201</x:v>
      </x:c>
      <x:c r="H707" s="29" t="str">
        <x:v>YES</x:v>
      </x:c>
      <x:c r="I707" s="53" t="n">
        <x:v>62.88277577813326</x:v>
      </x:c>
      <x:c r="J707" s="29" t="str">
        <x:v>YES</x:v>
      </x:c>
      <x:c r="K707" s="29" t="str">
        <x:v>Air</x:v>
      </x:c>
      <x:c r="L707" s="53" t="n">
        <x:v>13.502642648904201</x:v>
      </x:c>
      <x:c r="M707" s="41" t="n">
        <x:f>INDEX(Catchments!C:C,MATCH(A707,Catchments!A:A,0))</x:f>
        <x:v>20869310</x:v>
      </x:c>
      <x:c r="N707" s="41" t="n">
        <x:f>INDEX(Catchments!C:C,MATCH(B707,Catchments!A:A,0))</x:f>
        <x:v>19593580</x:v>
      </x:c>
    </x:row>
    <x:row r="708" ht="15" hidden="0" customHeight="1">
      <x:c r="A708" s="27" t="str">
        <x:v>SCA-23</x:v>
      </x:c>
      <x:c r="B708" s="27" t="str">
        <x:v>SCA-22</x:v>
      </x:c>
      <x:c r="C708" s="52" t="n">
        <x:v>24.707507148789738</x:v>
      </x:c>
      <x:c r="D708" s="27" t="str">
        <x:v>YES</x:v>
      </x:c>
      <x:c r="E708" s="52" t="n">
        <x:v>28.41304133119194</x:v>
      </x:c>
      <x:c r="F708" s="27" t="str">
        <x:v>YES</x:v>
      </x:c>
      <x:c r="G708" s="52" t="n">
        <x:v>12.787843335362457</x:v>
      </x:c>
      <x:c r="H708" s="27" t="str">
        <x:v>YES</x:v>
      </x:c>
      <x:c r="I708" s="52" t="n">
        <x:v>46.28922028519987</x:v>
      </x:c>
      <x:c r="J708" s="27" t="str">
        <x:v>YES</x:v>
      </x:c>
      <x:c r="K708" s="27" t="str">
        <x:v>Air</x:v>
      </x:c>
      <x:c r="L708" s="52" t="n">
        <x:v>12.787843335362457</x:v>
      </x:c>
      <x:c r="M708" s="40" t="n">
        <x:f>INDEX(Catchments!C:C,MATCH(A708,Catchments!A:A,0))</x:f>
        <x:v>20869310</x:v>
      </x:c>
      <x:c r="N708" s="40" t="n">
        <x:f>INDEX(Catchments!C:C,MATCH(B708,Catchments!A:A,0))</x:f>
        <x:v>14732006</x:v>
      </x:c>
    </x:row>
    <x:row r="709" ht="15" hidden="0" customHeight="1">
      <x:c r="A709" s="29" t="str">
        <x:v>SCA-23</x:v>
      </x:c>
      <x:c r="B709" s="29" t="str">
        <x:v>SCA-24</x:v>
      </x:c>
      <x:c r="C709" s="53" t="n">
        <x:v>34.44955219995053</x:v>
      </x:c>
      <x:c r="D709" s="29" t="str">
        <x:v>YES</x:v>
      </x:c>
      <x:c r="E709" s="53" t="n">
        <x:v>36.06750529996113</x:v>
      </x:c>
      <x:c r="F709" s="29" t="str">
        <x:v>YES</x:v>
      </x:c>
      <x:c r="G709" s="53" t="n">
        <x:v>13.470867489572974</x:v>
      </x:c>
      <x:c r="H709" s="29" t="str">
        <x:v>YES</x:v>
      </x:c>
      <x:c r="I709" s="53" t="n">
        <x:v>62.1451381508012</x:v>
      </x:c>
      <x:c r="J709" s="29" t="str">
        <x:v>YES</x:v>
      </x:c>
      <x:c r="K709" s="29" t="str">
        <x:v>Air</x:v>
      </x:c>
      <x:c r="L709" s="53" t="n">
        <x:v>13.470867489572974</x:v>
      </x:c>
      <x:c r="M709" s="41" t="n">
        <x:f>INDEX(Catchments!C:C,MATCH(A709,Catchments!A:A,0))</x:f>
        <x:v>20869310</x:v>
      </x:c>
      <x:c r="N709" s="41" t="n">
        <x:f>INDEX(Catchments!C:C,MATCH(B709,Catchments!A:A,0))</x:f>
        <x:v>11816161</x:v>
      </x:c>
    </x:row>
    <x:row r="710" ht="15" hidden="0" customHeight="1">
      <x:c r="A710" s="27" t="str">
        <x:v>SCA-23</x:v>
      </x:c>
      <x:c r="B710" s="27" t="str">
        <x:v>SCA-25</x:v>
      </x:c>
      <x:c r="C710" s="52" t="n">
        <x:v>22.992439634898897</x:v>
      </x:c>
      <x:c r="D710" s="27" t="str">
        <x:v>YES</x:v>
      </x:c>
      <x:c r="E710" s="52" t="n">
        <x:v>27.06548828456342</x:v>
      </x:c>
      <x:c r="F710" s="27" t="str">
        <x:v>YES</x:v>
      </x:c>
      <x:c r="G710" s="52" t="n">
        <x:v>12.661651076815303</x:v>
      </x:c>
      <x:c r="H710" s="27" t="str">
        <x:v>YES</x:v>
      </x:c>
      <x:c r="I710" s="52" t="n">
        <x:v>43.359757140355256</x:v>
      </x:c>
      <x:c r="J710" s="27" t="str">
        <x:v>YES</x:v>
      </x:c>
      <x:c r="K710" s="27" t="str">
        <x:v>Air</x:v>
      </x:c>
      <x:c r="L710" s="52" t="n">
        <x:v>12.661651076815303</x:v>
      </x:c>
      <x:c r="M710" s="40" t="n">
        <x:f>INDEX(Catchments!C:C,MATCH(A710,Catchments!A:A,0))</x:f>
        <x:v>20869310</x:v>
      </x:c>
      <x:c r="N710" s="40" t="n">
        <x:f>INDEX(Catchments!C:C,MATCH(B710,Catchments!A:A,0))</x:f>
        <x:v>6408394</x:v>
      </x:c>
    </x:row>
    <x:row r="711" ht="15" hidden="0" customHeight="1">
      <x:c r="A711" s="29" t="str">
        <x:v>SCA-23</x:v>
      </x:c>
      <x:c r="B711" s="29" t="str">
        <x:v>SCA-26</x:v>
      </x:c>
      <x:c r="C711" s="53" t="n">
        <x:v>28.965157012441125</x:v>
      </x:c>
      <x:c r="D711" s="29" t="str">
        <x:v>YES</x:v>
      </x:c>
      <x:c r="E711" s="53" t="n">
        <x:v>31.758337652632314</x:v>
      </x:c>
      <x:c r="F711" s="29" t="str">
        <x:v>YES</x:v>
      </x:c>
      <x:c r="G711" s="53" t="n">
        <x:v>13.070238826515624</x:v>
      </x:c>
      <x:c r="H711" s="29" t="str">
        <x:v>YES</x:v>
      </x:c>
      <x:c r="I711" s="53" t="n">
        <x:v>52.84482990125552</x:v>
      </x:c>
      <x:c r="J711" s="29" t="str">
        <x:v>YES</x:v>
      </x:c>
      <x:c r="K711" s="29" t="str">
        <x:v>Air</x:v>
      </x:c>
      <x:c r="L711" s="53" t="n">
        <x:v>13.070238826515624</x:v>
      </x:c>
      <x:c r="M711" s="41" t="n">
        <x:f>INDEX(Catchments!C:C,MATCH(A711,Catchments!A:A,0))</x:f>
        <x:v>20869310</x:v>
      </x:c>
      <x:c r="N711" s="41" t="n">
        <x:f>INDEX(Catchments!C:C,MATCH(B711,Catchments!A:A,0))</x:f>
        <x:v>10737083</x:v>
      </x:c>
    </x:row>
    <x:row r="712" ht="15" hidden="0" customHeight="1">
      <x:c r="A712" s="27" t="str">
        <x:v>SCA-23</x:v>
      </x:c>
      <x:c r="B712" s="27" t="str">
        <x:v>SCA-27</x:v>
      </x:c>
      <x:c r="C712" s="52" t="n">
        <x:v>34.04930726916019</x:v>
      </x:c>
      <x:c r="D712" s="27" t="str">
        <x:v>YES</x:v>
      </x:c>
      <x:c r="E712" s="52" t="n">
        <x:v>35.753027140054435</x:v>
      </x:c>
      <x:c r="F712" s="27" t="str">
        <x:v>YES</x:v>
      </x:c>
      <x:c r="G712" s="52" t="n">
        <x:v>13.437694370643895</x:v>
      </x:c>
      <x:c r="H712" s="27" t="str">
        <x:v>YES</x:v>
      </x:c>
      <x:c r="I712" s="52" t="n">
        <x:v>61.375047889947545</x:v>
      </x:c>
      <x:c r="J712" s="27" t="str">
        <x:v>YES</x:v>
      </x:c>
      <x:c r="K712" s="27" t="str">
        <x:v>Air</x:v>
      </x:c>
      <x:c r="L712" s="52" t="n">
        <x:v>13.437694370643895</x:v>
      </x:c>
      <x:c r="M712" s="40" t="n">
        <x:f>INDEX(Catchments!C:C,MATCH(A712,Catchments!A:A,0))</x:f>
        <x:v>20869310</x:v>
      </x:c>
      <x:c r="N712" s="40" t="n">
        <x:f>INDEX(Catchments!C:C,MATCH(B712,Catchments!A:A,0))</x:f>
        <x:v>7505606</x:v>
      </x:c>
    </x:row>
    <x:row r="713" ht="15" hidden="0" customHeight="1">
      <x:c r="A713" s="29" t="str">
        <x:v>SCA-23</x:v>
      </x:c>
      <x:c r="B713" s="29" t="str">
        <x:v>SCA-28</x:v>
      </x:c>
      <x:c r="C713" s="53" t="n">
        <x:v>36.03109528364282</x:v>
      </x:c>
      <x:c r="D713" s="29" t="str">
        <x:v>YES</x:v>
      </x:c>
      <x:c r="E713" s="53" t="n">
        <x:v>37.31014629429079</x:v>
      </x:c>
      <x:c r="F713" s="29" t="str">
        <x:v>YES</x:v>
      </x:c>
      <x:c r="G713" s="53" t="n">
        <x:v>13.326932539666386</x:v>
      </x:c>
      <x:c r="H713" s="29" t="str">
        <x:v>YES</x:v>
      </x:c>
      <x:c r="I713" s="53" t="n">
        <x:v>58.80379109939825</x:v>
      </x:c>
      <x:c r="J713" s="29" t="str">
        <x:v>YES</x:v>
      </x:c>
      <x:c r="K713" s="29" t="str">
        <x:v>Air</x:v>
      </x:c>
      <x:c r="L713" s="53" t="n">
        <x:v>13.326932539666386</x:v>
      </x:c>
      <x:c r="M713" s="41" t="n">
        <x:f>INDEX(Catchments!C:C,MATCH(A713,Catchments!A:A,0))</x:f>
        <x:v>20869310</x:v>
      </x:c>
      <x:c r="N713" s="41" t="n">
        <x:f>INDEX(Catchments!C:C,MATCH(B713,Catchments!A:A,0))</x:f>
        <x:v>21305157</x:v>
      </x:c>
    </x:row>
    <x:row r="714" ht="15" hidden="0" customHeight="1">
      <x:c r="A714" s="27" t="str">
        <x:v>SCA-23</x:v>
      </x:c>
      <x:c r="B714" s="27" t="str">
        <x:v>SCA-29</x:v>
      </x:c>
      <x:c r="C714" s="52" t="n">
        <x:v>25.55372634587362</x:v>
      </x:c>
      <x:c r="D714" s="27" t="str">
        <x:v>YES</x:v>
      </x:c>
      <x:c r="E714" s="52" t="n">
        <x:v>29.077927843186416</x:v>
      </x:c>
      <x:c r="F714" s="27" t="str">
        <x:v>YES</x:v>
      </x:c>
      <x:c r="G714" s="52" t="n">
        <x:v>12.85010695521478</x:v>
      </x:c>
      <x:c r="H714" s="27" t="str">
        <x:v>YES</x:v>
      </x:c>
      <x:c r="I714" s="52" t="n">
        <x:v>47.734625746057425</x:v>
      </x:c>
      <x:c r="J714" s="27" t="str">
        <x:v>YES</x:v>
      </x:c>
      <x:c r="K714" s="27" t="str">
        <x:v>Air</x:v>
      </x:c>
      <x:c r="L714" s="52" t="n">
        <x:v>12.85010695521478</x:v>
      </x:c>
      <x:c r="M714" s="40" t="n">
        <x:f>INDEX(Catchments!C:C,MATCH(A714,Catchments!A:A,0))</x:f>
        <x:v>20869310</x:v>
      </x:c>
      <x:c r="N714" s="40" t="n">
        <x:f>INDEX(Catchments!C:C,MATCH(B714,Catchments!A:A,0))</x:f>
        <x:v>19271685</x:v>
      </x:c>
    </x:row>
    <x:row r="715" ht="15" hidden="0" customHeight="1">
      <x:c r="A715" s="29" t="str">
        <x:v>SCA-23</x:v>
      </x:c>
      <x:c r="B715" s="29" t="str">
        <x:v>SCA-30</x:v>
      </x:c>
      <x:c r="C715" s="53" t="n">
        <x:v>39.20880492669382</x:v>
      </x:c>
      <x:c r="D715" s="29" t="str">
        <x:v>YES</x:v>
      </x:c>
      <x:c r="E715" s="53" t="n">
        <x:v>39.806918156688</x:v>
      </x:c>
      <x:c r="F715" s="29" t="str">
        <x:v>YES</x:v>
      </x:c>
      <x:c r="G715" s="53" t="n">
        <x:v>13.783241809570784</x:v>
      </x:c>
      <x:c r="H715" s="29" t="str">
        <x:v>YES</x:v>
      </x:c>
      <x:c r="I715" s="53" t="n">
        <x:v>69.39668486503606</x:v>
      </x:c>
      <x:c r="J715" s="29" t="str">
        <x:v>YES</x:v>
      </x:c>
      <x:c r="K715" s="29" t="str">
        <x:v>Air</x:v>
      </x:c>
      <x:c r="L715" s="53" t="n">
        <x:v>13.783241809570784</x:v>
      </x:c>
      <x:c r="M715" s="41" t="n">
        <x:f>INDEX(Catchments!C:C,MATCH(A715,Catchments!A:A,0))</x:f>
        <x:v>20869310</x:v>
      </x:c>
      <x:c r="N715" s="41" t="n">
        <x:f>INDEX(Catchments!C:C,MATCH(B715,Catchments!A:A,0))</x:f>
        <x:v>41291847</x:v>
      </x:c>
    </x:row>
    <x:row r="716" ht="15" hidden="0" customHeight="1">
      <x:c r="A716" s="27" t="str">
        <x:v>SCA-23</x:v>
      </x:c>
      <x:c r="B716" s="27" t="str">
        <x:v>SCA-31</x:v>
      </x:c>
      <x:c r="C716" s="52" t="n">
        <x:v>46.35575302099393</x:v>
      </x:c>
      <x:c r="D716" s="27" t="str">
        <x:v>YES</x:v>
      </x:c>
      <x:c r="E716" s="52" t="n">
        <x:v>45.422377373638085</x:v>
      </x:c>
      <x:c r="F716" s="27" t="str">
        <x:v>YES</x:v>
      </x:c>
      <x:c r="G716" s="52" t="n">
        <x:v>14.306855523870581</x:v>
      </x:c>
      <x:c r="H716" s="27" t="str">
        <x:v>YES</x:v>
      </x:c>
      <x:c r="I716" s="52" t="n">
        <x:v>81.55200323270992</x:v>
      </x:c>
      <x:c r="J716" s="27" t="str">
        <x:v>NO</x:v>
      </x:c>
      <x:c r="K716" s="27" t="str">
        <x:v>Air</x:v>
      </x:c>
      <x:c r="L716" s="52" t="n">
        <x:v>14.306855523870581</x:v>
      </x:c>
      <x:c r="M716" s="40" t="n">
        <x:f>INDEX(Catchments!C:C,MATCH(A716,Catchments!A:A,0))</x:f>
        <x:v>20869310</x:v>
      </x:c>
      <x:c r="N716" s="40" t="n">
        <x:f>INDEX(Catchments!C:C,MATCH(B716,Catchments!A:A,0))</x:f>
        <x:v>14227128</x:v>
      </x:c>
    </x:row>
    <x:row r="717" ht="15" hidden="0" customHeight="1">
      <x:c r="A717" s="29" t="str">
        <x:v>SCA-23</x:v>
      </x:c>
      <x:c r="B717" s="29" t="str">
        <x:v>SCA-32</x:v>
      </x:c>
      <x:c r="C717" s="53"/>
      <x:c r="D717" s="29" t="str">
        <x:v>NO</x:v>
      </x:c>
      <x:c r="E717" s="53"/>
      <x:c r="F717" s="29" t="str">
        <x:v>NO</x:v>
      </x:c>
      <x:c r="G717" s="53" t="n">
        <x:v>15.846575080337058</x:v>
      </x:c>
      <x:c r="H717" s="29" t="str">
        <x:v>YES</x:v>
      </x:c>
      <x:c r="I717" s="53" t="n">
        <x:v>117.295492936396</x:v>
      </x:c>
      <x:c r="J717" s="29" t="str">
        <x:v>NO</x:v>
      </x:c>
      <x:c r="K717" s="29" t="str">
        <x:v>Air</x:v>
      </x:c>
      <x:c r="L717" s="53" t="n">
        <x:v>15.846575080337058</x:v>
      </x:c>
      <x:c r="M717" s="41" t="n">
        <x:f>INDEX(Catchments!C:C,MATCH(A717,Catchments!A:A,0))</x:f>
        <x:v>20869310</x:v>
      </x:c>
      <x:c r="N717" s="41" t="n">
        <x:f>INDEX(Catchments!C:C,MATCH(B717,Catchments!A:A,0))</x:f>
        <x:v>3184835</x:v>
      </x:c>
    </x:row>
    <x:row r="718" ht="15" hidden="0" customHeight="1">
      <x:c r="A718" s="27" t="str">
        <x:v>SCA-24</x:v>
      </x:c>
      <x:c r="B718" s="27" t="str">
        <x:v>SCA-01</x:v>
      </x:c>
      <x:c r="C718" s="52"/>
      <x:c r="D718" s="27" t="str">
        <x:v>NO</x:v>
      </x:c>
      <x:c r="E718" s="52"/>
      <x:c r="F718" s="27" t="str">
        <x:v>NO</x:v>
      </x:c>
      <x:c r="G718" s="52" t="n">
        <x:v>22.989585345630346</x:v>
      </x:c>
      <x:c r="H718" s="27" t="str">
        <x:v>YES</x:v>
      </x:c>
      <x:c r="I718" s="52" t="n">
        <x:v>283.1153740949902</x:v>
      </x:c>
      <x:c r="J718" s="27" t="str">
        <x:v>NO</x:v>
      </x:c>
      <x:c r="K718" s="27" t="str">
        <x:v>Air</x:v>
      </x:c>
      <x:c r="L718" s="52" t="n">
        <x:v>22.989585345630346</x:v>
      </x:c>
      <x:c r="M718" s="40" t="n">
        <x:f>INDEX(Catchments!C:C,MATCH(A718,Catchments!A:A,0))</x:f>
        <x:v>11816161</x:v>
      </x:c>
      <x:c r="N718" s="40" t="n">
        <x:f>INDEX(Catchments!C:C,MATCH(B718,Catchments!A:A,0))</x:f>
        <x:v>1432820</x:v>
      </x:c>
    </x:row>
    <x:row r="719" ht="15" hidden="0" customHeight="1">
      <x:c r="A719" s="29" t="str">
        <x:v>SCA-24</x:v>
      </x:c>
      <x:c r="B719" s="29" t="str">
        <x:v>SCA-02</x:v>
      </x:c>
      <x:c r="C719" s="53"/>
      <x:c r="D719" s="29" t="str">
        <x:v>NO</x:v>
      </x:c>
      <x:c r="E719" s="53"/>
      <x:c r="F719" s="29" t="str">
        <x:v>NO</x:v>
      </x:c>
      <x:c r="G719" s="53" t="n">
        <x:v>19.006922686784662</x:v>
      </x:c>
      <x:c r="H719" s="29" t="str">
        <x:v>YES</x:v>
      </x:c>
      <x:c r="I719" s="53" t="n">
        <x:v>190.6607052289297</x:v>
      </x:c>
      <x:c r="J719" s="29" t="str">
        <x:v>NO</x:v>
      </x:c>
      <x:c r="K719" s="29" t="str">
        <x:v>Air</x:v>
      </x:c>
      <x:c r="L719" s="53" t="n">
        <x:v>19.006922686784662</x:v>
      </x:c>
      <x:c r="M719" s="41" t="n">
        <x:f>INDEX(Catchments!C:C,MATCH(A719,Catchments!A:A,0))</x:f>
        <x:v>11816161</x:v>
      </x:c>
      <x:c r="N719" s="41" t="n">
        <x:f>INDEX(Catchments!C:C,MATCH(B719,Catchments!A:A,0))</x:f>
        <x:v>737270</x:v>
      </x:c>
    </x:row>
    <x:row r="720" ht="15" hidden="0" customHeight="1">
      <x:c r="A720" s="27" t="str">
        <x:v>SCA-24</x:v>
      </x:c>
      <x:c r="B720" s="27" t="str">
        <x:v>SCA-03</x:v>
      </x:c>
      <x:c r="C720" s="52" t="n">
        <x:v>79.22598257704273</x:v>
      </x:c>
      <x:c r="D720" s="27" t="str">
        <x:v>NO</x:v>
      </x:c>
      <x:c r="E720" s="52" t="n">
        <x:v>71.24898631053358</x:v>
      </x:c>
      <x:c r="F720" s="27" t="str">
        <x:v>YES</x:v>
      </x:c>
      <x:c r="G720" s="52" t="n">
        <x:v>16.62920613853708</x:v>
      </x:c>
      <x:c r="H720" s="27" t="str">
        <x:v>YES</x:v>
      </x:c>
      <x:c r="I720" s="52" t="n">
        <x:v>135.463713930325</x:v>
      </x:c>
      <x:c r="J720" s="27" t="str">
        <x:v>NO</x:v>
      </x:c>
      <x:c r="K720" s="27" t="str">
        <x:v>Air</x:v>
      </x:c>
      <x:c r="L720" s="52" t="n">
        <x:v>16.62920613853708</x:v>
      </x:c>
      <x:c r="M720" s="40" t="n">
        <x:f>INDEX(Catchments!C:C,MATCH(A720,Catchments!A:A,0))</x:f>
        <x:v>11816161</x:v>
      </x:c>
      <x:c r="N720" s="40" t="n">
        <x:f>INDEX(Catchments!C:C,MATCH(B720,Catchments!A:A,0))</x:f>
        <x:v>11968308</x:v>
      </x:c>
    </x:row>
    <x:row r="721" ht="15" hidden="0" customHeight="1">
      <x:c r="A721" s="29" t="str">
        <x:v>SCA-24</x:v>
      </x:c>
      <x:c r="B721" s="29" t="str">
        <x:v>SCA-04</x:v>
      </x:c>
      <x:c r="C721" s="53" t="n">
        <x:v>86.68977892683858</x:v>
      </x:c>
      <x:c r="D721" s="29" t="str">
        <x:v>NO</x:v>
      </x:c>
      <x:c r="E721" s="53" t="n">
        <x:v>77.11339772823032</x:v>
      </x:c>
      <x:c r="F721" s="29" t="str">
        <x:v>NO</x:v>
      </x:c>
      <x:c r="G721" s="53" t="n">
        <x:v>16.93857444809176</x:v>
      </x:c>
      <x:c r="H721" s="29" t="str">
        <x:v>YES</x:v>
      </x:c>
      <x:c r="I721" s="53" t="n">
        <x:v>142.64547825927298</x:v>
      </x:c>
      <x:c r="J721" s="29" t="str">
        <x:v>NO</x:v>
      </x:c>
      <x:c r="K721" s="29" t="str">
        <x:v>Air</x:v>
      </x:c>
      <x:c r="L721" s="53" t="n">
        <x:v>16.93857444809176</x:v>
      </x:c>
      <x:c r="M721" s="41" t="n">
        <x:f>INDEX(Catchments!C:C,MATCH(A721,Catchments!A:A,0))</x:f>
        <x:v>11816161</x:v>
      </x:c>
      <x:c r="N721" s="41" t="n">
        <x:f>INDEX(Catchments!C:C,MATCH(B721,Catchments!A:A,0))</x:f>
        <x:v>16200470</x:v>
      </x:c>
    </x:row>
    <x:row r="722" ht="15" hidden="0" customHeight="1">
      <x:c r="A722" s="27" t="str">
        <x:v>SCA-24</x:v>
      </x:c>
      <x:c r="B722" s="27" t="str">
        <x:v>SCA-05</x:v>
      </x:c>
      <x:c r="C722" s="52" t="n">
        <x:v>87.76089193529324</x:v>
      </x:c>
      <x:c r="D722" s="27" t="str">
        <x:v>NO</x:v>
      </x:c>
      <x:c r="E722" s="52" t="n">
        <x:v>77.95498652058755</x:v>
      </x:c>
      <x:c r="F722" s="27" t="str">
        <x:v>NO</x:v>
      </x:c>
      <x:c r="G722" s="52" t="n">
        <x:v>16.79792467884456</x:v>
      </x:c>
      <x:c r="H722" s="27" t="str">
        <x:v>YES</x:v>
      </x:c>
      <x:c r="I722" s="52" t="n">
        <x:v>139.38039433032012</x:v>
      </x:c>
      <x:c r="J722" s="27" t="str">
        <x:v>NO</x:v>
      </x:c>
      <x:c r="K722" s="27" t="str">
        <x:v>Air</x:v>
      </x:c>
      <x:c r="L722" s="52" t="n">
        <x:v>16.79792467884456</x:v>
      </x:c>
      <x:c r="M722" s="40" t="n">
        <x:f>INDEX(Catchments!C:C,MATCH(A722,Catchments!A:A,0))</x:f>
        <x:v>11816161</x:v>
      </x:c>
      <x:c r="N722" s="40" t="n">
        <x:f>INDEX(Catchments!C:C,MATCH(B722,Catchments!A:A,0))</x:f>
        <x:v>15966265</x:v>
      </x:c>
    </x:row>
    <x:row r="723" ht="15" hidden="0" customHeight="1">
      <x:c r="A723" s="29" t="str">
        <x:v>SCA-24</x:v>
      </x:c>
      <x:c r="B723" s="29" t="str">
        <x:v>SCA-06</x:v>
      </x:c>
      <x:c r="C723" s="53" t="n">
        <x:v>83.38348516656373</x:v>
      </x:c>
      <x:c r="D723" s="29" t="str">
        <x:v>NO</x:v>
      </x:c>
      <x:c r="E723" s="53" t="n">
        <x:v>74.51559548801436</x:v>
      </x:c>
      <x:c r="F723" s="29" t="str">
        <x:v>NO</x:v>
      </x:c>
      <x:c r="G723" s="53" t="n">
        <x:v>16.62987062389937</x:v>
      </x:c>
      <x:c r="H723" s="29" t="str">
        <x:v>YES</x:v>
      </x:c>
      <x:c r="I723" s="53" t="n">
        <x:v>135.47913948337828</x:v>
      </x:c>
      <x:c r="J723" s="29" t="str">
        <x:v>NO</x:v>
      </x:c>
      <x:c r="K723" s="29" t="str">
        <x:v>Air</x:v>
      </x:c>
      <x:c r="L723" s="53" t="n">
        <x:v>16.62987062389937</x:v>
      </x:c>
      <x:c r="M723" s="41" t="n">
        <x:f>INDEX(Catchments!C:C,MATCH(A723,Catchments!A:A,0))</x:f>
        <x:v>11816161</x:v>
      </x:c>
      <x:c r="N723" s="41" t="n">
        <x:f>INDEX(Catchments!C:C,MATCH(B723,Catchments!A:A,0))</x:f>
        <x:v>6008575</x:v>
      </x:c>
    </x:row>
    <x:row r="724" ht="15" hidden="0" customHeight="1">
      <x:c r="A724" s="27" t="str">
        <x:v>SCA-24</x:v>
      </x:c>
      <x:c r="B724" s="27" t="str">
        <x:v>SCA-07</x:v>
      </x:c>
      <x:c r="C724" s="52" t="n">
        <x:v>82.37733010538648</x:v>
      </x:c>
      <x:c r="D724" s="27" t="str">
        <x:v>NO</x:v>
      </x:c>
      <x:c r="E724" s="52" t="n">
        <x:v>73.72504508280366</x:v>
      </x:c>
      <x:c r="F724" s="27" t="str">
        <x:v>NO</x:v>
      </x:c>
      <x:c r="G724" s="52" t="n">
        <x:v>16.317446391684296</x:v>
      </x:c>
      <x:c r="H724" s="27" t="str">
        <x:v>YES</x:v>
      </x:c>
      <x:c r="I724" s="52" t="n">
        <x:v>128.22643409267118</x:v>
      </x:c>
      <x:c r="J724" s="27" t="str">
        <x:v>NO</x:v>
      </x:c>
      <x:c r="K724" s="27" t="str">
        <x:v>Air</x:v>
      </x:c>
      <x:c r="L724" s="52" t="n">
        <x:v>16.317446391684296</x:v>
      </x:c>
      <x:c r="M724" s="40" t="n">
        <x:f>INDEX(Catchments!C:C,MATCH(A724,Catchments!A:A,0))</x:f>
        <x:v>11816161</x:v>
      </x:c>
      <x:c r="N724" s="40" t="n">
        <x:f>INDEX(Catchments!C:C,MATCH(B724,Catchments!A:A,0))</x:f>
        <x:v>5229370</x:v>
      </x:c>
    </x:row>
    <x:row r="725" ht="15" hidden="0" customHeight="1">
      <x:c r="A725" s="29" t="str">
        <x:v>SCA-24</x:v>
      </x:c>
      <x:c r="B725" s="29" t="str">
        <x:v>SCA-08</x:v>
      </x:c>
      <x:c r="C725" s="53" t="n">
        <x:v>67.50498484845164</x:v>
      </x:c>
      <x:c r="D725" s="29" t="str">
        <x:v>YES</x:v>
      </x:c>
      <x:c r="E725" s="53" t="n">
        <x:v>62.039630952354855</x:v>
      </x:c>
      <x:c r="F725" s="29" t="str">
        <x:v>YES</x:v>
      </x:c>
      <x:c r="G725" s="53" t="n">
        <x:v>15.85961699395109</x:v>
      </x:c>
      <x:c r="H725" s="29" t="str">
        <x:v>YES</x:v>
      </x:c>
      <x:c r="I725" s="53" t="n">
        <x:v>117.59825164529313</x:v>
      </x:c>
      <x:c r="J725" s="29" t="str">
        <x:v>NO</x:v>
      </x:c>
      <x:c r="K725" s="29" t="str">
        <x:v>Air</x:v>
      </x:c>
      <x:c r="L725" s="53" t="n">
        <x:v>15.85961699395109</x:v>
      </x:c>
      <x:c r="M725" s="41" t="n">
        <x:f>INDEX(Catchments!C:C,MATCH(A725,Catchments!A:A,0))</x:f>
        <x:v>11816161</x:v>
      </x:c>
      <x:c r="N725" s="41" t="n">
        <x:f>INDEX(Catchments!C:C,MATCH(B725,Catchments!A:A,0))</x:f>
        <x:v>2652387</x:v>
      </x:c>
    </x:row>
    <x:row r="726" ht="15" hidden="0" customHeight="1">
      <x:c r="A726" s="27" t="str">
        <x:v>SCA-24</x:v>
      </x:c>
      <x:c r="B726" s="27" t="str">
        <x:v>SCA-09</x:v>
      </x:c>
      <x:c r="C726" s="52" t="n">
        <x:v>75.20676786180317</x:v>
      </x:c>
      <x:c r="D726" s="27" t="str">
        <x:v>NO</x:v>
      </x:c>
      <x:c r="E726" s="52" t="n">
        <x:v>68.09103189141678</x:v>
      </x:c>
      <x:c r="F726" s="27" t="str">
        <x:v>YES</x:v>
      </x:c>
      <x:c r="G726" s="52" t="n">
        <x:v>16.11614907107017</x:v>
      </x:c>
      <x:c r="H726" s="27" t="str">
        <x:v>YES</x:v>
      </x:c>
      <x:c r="I726" s="52"/>
      <x:c r="J726" s="27" t="str">
        <x:v>NO</x:v>
      </x:c>
      <x:c r="K726" s="27" t="str">
        <x:v>Air</x:v>
      </x:c>
      <x:c r="L726" s="52" t="n">
        <x:v>16.11614907107017</x:v>
      </x:c>
      <x:c r="M726" s="40" t="n">
        <x:f>INDEX(Catchments!C:C,MATCH(A726,Catchments!A:A,0))</x:f>
        <x:v>11816161</x:v>
      </x:c>
      <x:c r="N726" s="40" t="n">
        <x:f>INDEX(Catchments!C:C,MATCH(B726,Catchments!A:A,0))</x:f>
        <x:v>7395716</x:v>
      </x:c>
    </x:row>
    <x:row r="727" ht="15" hidden="0" customHeight="1">
      <x:c r="A727" s="29" t="str">
        <x:v>SCA-24</x:v>
      </x:c>
      <x:c r="B727" s="29" t="str">
        <x:v>SCA-10</x:v>
      </x:c>
      <x:c r="C727" s="53" t="n">
        <x:v>67.57370642157821</x:v>
      </x:c>
      <x:c r="D727" s="29" t="str">
        <x:v>YES</x:v>
      </x:c>
      <x:c r="E727" s="53" t="n">
        <x:v>62.09362647409717</x:v>
      </x:c>
      <x:c r="F727" s="29" t="str">
        <x:v>YES</x:v>
      </x:c>
      <x:c r="G727" s="53" t="n">
        <x:v>15.503984625228743</x:v>
      </x:c>
      <x:c r="H727" s="29" t="str">
        <x:v>YES</x:v>
      </x:c>
      <x:c r="I727" s="53"/>
      <x:c r="J727" s="29" t="str">
        <x:v>NO</x:v>
      </x:c>
      <x:c r="K727" s="29" t="str">
        <x:v>Air</x:v>
      </x:c>
      <x:c r="L727" s="53" t="n">
        <x:v>15.503984625228743</x:v>
      </x:c>
      <x:c r="M727" s="41" t="n">
        <x:f>INDEX(Catchments!C:C,MATCH(A727,Catchments!A:A,0))</x:f>
        <x:v>11816161</x:v>
      </x:c>
      <x:c r="N727" s="41" t="n">
        <x:f>INDEX(Catchments!C:C,MATCH(B727,Catchments!A:A,0))</x:f>
        <x:v>4127033</x:v>
      </x:c>
    </x:row>
    <x:row r="728" ht="15" hidden="0" customHeight="1">
      <x:c r="A728" s="27" t="str">
        <x:v>SCA-24</x:v>
      </x:c>
      <x:c r="B728" s="27" t="str">
        <x:v>SCA-11</x:v>
      </x:c>
      <x:c r="C728" s="52" t="n">
        <x:v>66.61224312727211</x:v>
      </x:c>
      <x:c r="D728" s="27" t="str">
        <x:v>YES</x:v>
      </x:c>
      <x:c r="E728" s="52" t="n">
        <x:v>61.33819102857095</x:v>
      </x:c>
      <x:c r="F728" s="27" t="str">
        <x:v>YES</x:v>
      </x:c>
      <x:c r="G728" s="52" t="n">
        <x:v>15.27024684214356</x:v>
      </x:c>
      <x:c r="H728" s="27" t="str">
        <x:v>YES</x:v>
      </x:c>
      <x:c r="I728" s="52" t="n">
        <x:v>103.91644454976124</x:v>
      </x:c>
      <x:c r="J728" s="27" t="str">
        <x:v>NO</x:v>
      </x:c>
      <x:c r="K728" s="27" t="str">
        <x:v>Air</x:v>
      </x:c>
      <x:c r="L728" s="52" t="n">
        <x:v>15.27024684214356</x:v>
      </x:c>
      <x:c r="M728" s="40" t="n">
        <x:f>INDEX(Catchments!C:C,MATCH(A728,Catchments!A:A,0))</x:f>
        <x:v>11816161</x:v>
      </x:c>
      <x:c r="N728" s="40" t="n">
        <x:f>INDEX(Catchments!C:C,MATCH(B728,Catchments!A:A,0))</x:f>
        <x:v>3517787</x:v>
      </x:c>
    </x:row>
    <x:row r="729" ht="15" hidden="0" customHeight="1">
      <x:c r="A729" s="29" t="str">
        <x:v>SCA-24</x:v>
      </x:c>
      <x:c r="B729" s="29" t="str">
        <x:v>SCA-12</x:v>
      </x:c>
      <x:c r="C729" s="53" t="n">
        <x:v>55.27810710800654</x:v>
      </x:c>
      <x:c r="D729" s="29" t="str">
        <x:v>YES</x:v>
      </x:c>
      <x:c r="E729" s="53" t="n">
        <x:v>52.43279844200514</x:v>
      </x:c>
      <x:c r="F729" s="29" t="str">
        <x:v>YES</x:v>
      </x:c>
      <x:c r="G729" s="53" t="n">
        <x:v>14.757549538182603</x:v>
      </x:c>
      <x:c r="H729" s="29" t="str">
        <x:v>YES</x:v>
      </x:c>
      <x:c r="I729" s="53"/>
      <x:c r="J729" s="29" t="str">
        <x:v>NO</x:v>
      </x:c>
      <x:c r="K729" s="29" t="str">
        <x:v>Air</x:v>
      </x:c>
      <x:c r="L729" s="53" t="n">
        <x:v>14.757549538182603</x:v>
      </x:c>
      <x:c r="M729" s="41" t="n">
        <x:f>INDEX(Catchments!C:C,MATCH(A729,Catchments!A:A,0))</x:f>
        <x:v>11816161</x:v>
      </x:c>
      <x:c r="N729" s="41" t="n">
        <x:f>INDEX(Catchments!C:C,MATCH(B729,Catchments!A:A,0))</x:f>
        <x:v>7465186</x:v>
      </x:c>
    </x:row>
    <x:row r="730" ht="15" hidden="0" customHeight="1">
      <x:c r="A730" s="27" t="str">
        <x:v>SCA-24</x:v>
      </x:c>
      <x:c r="B730" s="27" t="str">
        <x:v>SCA-13</x:v>
      </x:c>
      <x:c r="C730" s="52" t="n">
        <x:v>57.4168731702579</x:v>
      </x:c>
      <x:c r="D730" s="27" t="str">
        <x:v>YES</x:v>
      </x:c>
      <x:c r="E730" s="52" t="n">
        <x:v>54.11325749091692</x:v>
      </x:c>
      <x:c r="F730" s="27" t="str">
        <x:v>YES</x:v>
      </x:c>
      <x:c r="G730" s="52" t="n">
        <x:v>14.895756284632123</x:v>
      </x:c>
      <x:c r="H730" s="27" t="str">
        <x:v>YES</x:v>
      </x:c>
      <x:c r="I730" s="52" t="n">
        <x:v>95.22291375038856</x:v>
      </x:c>
      <x:c r="J730" s="27" t="str">
        <x:v>NO</x:v>
      </x:c>
      <x:c r="K730" s="27" t="str">
        <x:v>Air</x:v>
      </x:c>
      <x:c r="L730" s="52" t="n">
        <x:v>14.895756284632123</x:v>
      </x:c>
      <x:c r="M730" s="40" t="n">
        <x:f>INDEX(Catchments!C:C,MATCH(A730,Catchments!A:A,0))</x:f>
        <x:v>11816161</x:v>
      </x:c>
      <x:c r="N730" s="40" t="n">
        <x:f>INDEX(Catchments!C:C,MATCH(B730,Catchments!A:A,0))</x:f>
        <x:v>6759014</x:v>
      </x:c>
    </x:row>
    <x:row r="731" ht="15" hidden="0" customHeight="1">
      <x:c r="A731" s="29" t="str">
        <x:v>SCA-24</x:v>
      </x:c>
      <x:c r="B731" s="29" t="str">
        <x:v>SCA-14</x:v>
      </x:c>
      <x:c r="C731" s="53" t="n">
        <x:v>64.75441523802357</x:v>
      </x:c>
      <x:c r="D731" s="29" t="str">
        <x:v>YES</x:v>
      </x:c>
      <x:c r="E731" s="53" t="n">
        <x:v>59.878469115589944</x:v>
      </x:c>
      <x:c r="F731" s="29" t="str">
        <x:v>YES</x:v>
      </x:c>
      <x:c r="G731" s="53" t="n">
        <x:v>15.32615033449655</x:v>
      </x:c>
      <x:c r="H731" s="29" t="str">
        <x:v>YES</x:v>
      </x:c>
      <x:c r="I731" s="53" t="n">
        <x:v>105.2142041936699</x:v>
      </x:c>
      <x:c r="J731" s="29" t="str">
        <x:v>NO</x:v>
      </x:c>
      <x:c r="K731" s="29" t="str">
        <x:v>Air</x:v>
      </x:c>
      <x:c r="L731" s="53" t="n">
        <x:v>15.32615033449655</x:v>
      </x:c>
      <x:c r="M731" s="41" t="n">
        <x:f>INDEX(Catchments!C:C,MATCH(A731,Catchments!A:A,0))</x:f>
        <x:v>11816161</x:v>
      </x:c>
      <x:c r="N731" s="41" t="n">
        <x:f>INDEX(Catchments!C:C,MATCH(B731,Catchments!A:A,0))</x:f>
        <x:v>2179728</x:v>
      </x:c>
    </x:row>
    <x:row r="732" ht="15" hidden="0" customHeight="1">
      <x:c r="A732" s="27" t="str">
        <x:v>SCA-24</x:v>
      </x:c>
      <x:c r="B732" s="27" t="str">
        <x:v>SCA-15</x:v>
      </x:c>
      <x:c r="C732" s="52" t="n">
        <x:v>50.15083097337326</x:v>
      </x:c>
      <x:c r="D732" s="27" t="str">
        <x:v>YES</x:v>
      </x:c>
      <x:c r="E732" s="52" t="n">
        <x:v>48.404224336221844</x:v>
      </x:c>
      <x:c r="F732" s="27" t="str">
        <x:v>YES</x:v>
      </x:c>
      <x:c r="G732" s="52" t="n">
        <x:v>14.361679343257025</x:v>
      </x:c>
      <x:c r="H732" s="27" t="str">
        <x:v>YES</x:v>
      </x:c>
      <x:c r="I732" s="52" t="n">
        <x:v>82.82469903989524</x:v>
      </x:c>
      <x:c r="J732" s="27" t="str">
        <x:v>NO</x:v>
      </x:c>
      <x:c r="K732" s="27" t="str">
        <x:v>Air</x:v>
      </x:c>
      <x:c r="L732" s="52" t="n">
        <x:v>14.361679343257025</x:v>
      </x:c>
      <x:c r="M732" s="40" t="n">
        <x:f>INDEX(Catchments!C:C,MATCH(A732,Catchments!A:A,0))</x:f>
        <x:v>11816161</x:v>
      </x:c>
      <x:c r="N732" s="40" t="n">
        <x:f>INDEX(Catchments!C:C,MATCH(B732,Catchments!A:A,0))</x:f>
        <x:v>13192386</x:v>
      </x:c>
    </x:row>
    <x:row r="733" ht="15" hidden="0" customHeight="1">
      <x:c r="A733" s="29" t="str">
        <x:v>SCA-24</x:v>
      </x:c>
      <x:c r="B733" s="29" t="str">
        <x:v>SCA-16</x:v>
      </x:c>
      <x:c r="C733" s="53" t="n">
        <x:v>40.25913796849376</x:v>
      </x:c>
      <x:c r="D733" s="29" t="str">
        <x:v>YES</x:v>
      </x:c>
      <x:c r="E733" s="53" t="n">
        <x:v>40.63217983238796</x:v>
      </x:c>
      <x:c r="F733" s="29" t="str">
        <x:v>YES</x:v>
      </x:c>
      <x:c r="G733" s="53" t="n">
        <x:v>13.759774968852941</x:v>
      </x:c>
      <x:c r="H733" s="29" t="str">
        <x:v>YES</x:v>
      </x:c>
      <x:c r="I733" s="53"/>
      <x:c r="J733" s="29" t="str">
        <x:v>NO</x:v>
      </x:c>
      <x:c r="K733" s="29" t="str">
        <x:v>Air</x:v>
      </x:c>
      <x:c r="L733" s="53" t="n">
        <x:v>13.759774968852941</x:v>
      </x:c>
      <x:c r="M733" s="41" t="n">
        <x:f>INDEX(Catchments!C:C,MATCH(A733,Catchments!A:A,0))</x:f>
        <x:v>11816161</x:v>
      </x:c>
      <x:c r="N733" s="41" t="n">
        <x:f>INDEX(Catchments!C:C,MATCH(B733,Catchments!A:A,0))</x:f>
        <x:v>10177969</x:v>
      </x:c>
    </x:row>
    <x:row r="734" ht="15" hidden="0" customHeight="1">
      <x:c r="A734" s="27" t="str">
        <x:v>SCA-24</x:v>
      </x:c>
      <x:c r="B734" s="27" t="str">
        <x:v>SCA-17</x:v>
      </x:c>
      <x:c r="C734" s="52" t="n">
        <x:v>49.55622515306751</x:v>
      </x:c>
      <x:c r="D734" s="27" t="str">
        <x:v>YES</x:v>
      </x:c>
      <x:c r="E734" s="52" t="n">
        <x:v>47.937034048838754</x:v>
      </x:c>
      <x:c r="F734" s="27" t="str">
        <x:v>YES</x:v>
      </x:c>
      <x:c r="G734" s="52" t="n">
        <x:v>14.55417626836546</x:v>
      </x:c>
      <x:c r="H734" s="27" t="str">
        <x:v>YES</x:v>
      </x:c>
      <x:c r="I734" s="52" t="n">
        <x:v>87.29337765848388</x:v>
      </x:c>
      <x:c r="J734" s="27" t="str">
        <x:v>NO</x:v>
      </x:c>
      <x:c r="K734" s="27" t="str">
        <x:v>Air</x:v>
      </x:c>
      <x:c r="L734" s="52" t="n">
        <x:v>14.55417626836546</x:v>
      </x:c>
      <x:c r="M734" s="40" t="n">
        <x:f>INDEX(Catchments!C:C,MATCH(A734,Catchments!A:A,0))</x:f>
        <x:v>11816161</x:v>
      </x:c>
      <x:c r="N734" s="40" t="n">
        <x:f>INDEX(Catchments!C:C,MATCH(B734,Catchments!A:A,0))</x:f>
        <x:v>12843509</x:v>
      </x:c>
    </x:row>
    <x:row r="735" ht="15" hidden="0" customHeight="1">
      <x:c r="A735" s="29" t="str">
        <x:v>SCA-24</x:v>
      </x:c>
      <x:c r="B735" s="29" t="str">
        <x:v>SCA-18</x:v>
      </x:c>
      <x:c r="C735" s="53" t="n">
        <x:v>32.88802907761641</x:v>
      </x:c>
      <x:c r="D735" s="29" t="str">
        <x:v>YES</x:v>
      </x:c>
      <x:c r="E735" s="53" t="n">
        <x:v>34.840594275270035</x:v>
      </x:c>
      <x:c r="F735" s="29" t="str">
        <x:v>YES</x:v>
      </x:c>
      <x:c r="G735" s="53" t="n">
        <x:v>13.318288993943975</x:v>
      </x:c>
      <x:c r="H735" s="29" t="str">
        <x:v>YES</x:v>
      </x:c>
      <x:c r="I735" s="53" t="n">
        <x:v>58.60313735941371</x:v>
      </x:c>
      <x:c r="J735" s="29" t="str">
        <x:v>YES</x:v>
      </x:c>
      <x:c r="K735" s="29" t="str">
        <x:v>Air</x:v>
      </x:c>
      <x:c r="L735" s="53" t="n">
        <x:v>13.318288993943975</x:v>
      </x:c>
      <x:c r="M735" s="41" t="n">
        <x:f>INDEX(Catchments!C:C,MATCH(A735,Catchments!A:A,0))</x:f>
        <x:v>11816161</x:v>
      </x:c>
      <x:c r="N735" s="41" t="n">
        <x:f>INDEX(Catchments!C:C,MATCH(B735,Catchments!A:A,0))</x:f>
        <x:v>11004680</x:v>
      </x:c>
    </x:row>
    <x:row r="736" ht="15" hidden="0" customHeight="1">
      <x:c r="A736" s="27" t="str">
        <x:v>SCA-24</x:v>
      </x:c>
      <x:c r="B736" s="27" t="str">
        <x:v>SCA-19</x:v>
      </x:c>
      <x:c r="C736" s="52" t="n">
        <x:v>30.77758935160257</x:v>
      </x:c>
      <x:c r="D736" s="27" t="str">
        <x:v>YES</x:v>
      </x:c>
      <x:c r="E736" s="52" t="n">
        <x:v>33.18239163340202</x:v>
      </x:c>
      <x:c r="F736" s="27" t="str">
        <x:v>YES</x:v>
      </x:c>
      <x:c r="G736" s="52" t="n">
        <x:v>13.117686486871094</x:v>
      </x:c>
      <x:c r="H736" s="27" t="str">
        <x:v>YES</x:v>
      </x:c>
      <x:c r="I736" s="52" t="n">
        <x:v>53.9462934452218</x:v>
      </x:c>
      <x:c r="J736" s="27" t="str">
        <x:v>YES</x:v>
      </x:c>
      <x:c r="K736" s="27" t="str">
        <x:v>Air</x:v>
      </x:c>
      <x:c r="L736" s="52" t="n">
        <x:v>13.117686486871094</x:v>
      </x:c>
      <x:c r="M736" s="40" t="n">
        <x:f>INDEX(Catchments!C:C,MATCH(A736,Catchments!A:A,0))</x:f>
        <x:v>11816161</x:v>
      </x:c>
      <x:c r="N736" s="40" t="n">
        <x:f>INDEX(Catchments!C:C,MATCH(B736,Catchments!A:A,0))</x:f>
        <x:v>6677653</x:v>
      </x:c>
    </x:row>
    <x:row r="737" ht="15" hidden="0" customHeight="1">
      <x:c r="A737" s="29" t="str">
        <x:v>SCA-24</x:v>
      </x:c>
      <x:c r="B737" s="29" t="str">
        <x:v>SCA-20</x:v>
      </x:c>
      <x:c r="C737" s="53" t="n">
        <x:v>37.00549743372872</x:v>
      </x:c>
      <x:c r="D737" s="29" t="str">
        <x:v>YES</x:v>
      </x:c>
      <x:c r="E737" s="53" t="n">
        <x:v>38.07574798364399</x:v>
      </x:c>
      <x:c r="F737" s="29" t="str">
        <x:v>YES</x:v>
      </x:c>
      <x:c r="G737" s="53" t="n">
        <x:v>13.64855987567174</x:v>
      </x:c>
      <x:c r="H737" s="29" t="str">
        <x:v>YES</x:v>
      </x:c>
      <x:c r="I737" s="53" t="n">
        <x:v>66.27013997095112</x:v>
      </x:c>
      <x:c r="J737" s="29" t="str">
        <x:v>YES</x:v>
      </x:c>
      <x:c r="K737" s="29" t="str">
        <x:v>Air</x:v>
      </x:c>
      <x:c r="L737" s="53" t="n">
        <x:v>13.64855987567174</x:v>
      </x:c>
      <x:c r="M737" s="41" t="n">
        <x:f>INDEX(Catchments!C:C,MATCH(A737,Catchments!A:A,0))</x:f>
        <x:v>11816161</x:v>
      </x:c>
      <x:c r="N737" s="41" t="n">
        <x:f>INDEX(Catchments!C:C,MATCH(B737,Catchments!A:A,0))</x:f>
        <x:v>8490774</x:v>
      </x:c>
    </x:row>
    <x:row r="738" ht="15" hidden="0" customHeight="1">
      <x:c r="A738" s="27" t="str">
        <x:v>SCA-24</x:v>
      </x:c>
      <x:c r="B738" s="27" t="str">
        <x:v>SCA-21</x:v>
      </x:c>
      <x:c r="C738" s="52" t="n">
        <x:v>21.222546421146134</x:v>
      </x:c>
      <x:c r="D738" s="27" t="str">
        <x:v>YES</x:v>
      </x:c>
      <x:c r="E738" s="52" t="n">
        <x:v>25.674857902329105</x:v>
      </x:c>
      <x:c r="F738" s="27" t="str">
        <x:v>YES</x:v>
      </x:c>
      <x:c r="G738" s="52" t="n">
        <x:v>12.531424820285</x:v>
      </x:c>
      <x:c r="H738" s="27" t="str">
        <x:v>YES</x:v>
      </x:c>
      <x:c r="I738" s="52" t="n">
        <x:v>40.33664761375893</x:v>
      </x:c>
      <x:c r="J738" s="27" t="str">
        <x:v>YES</x:v>
      </x:c>
      <x:c r="K738" s="27" t="str">
        <x:v>Air</x:v>
      </x:c>
      <x:c r="L738" s="52" t="n">
        <x:v>12.531424820285</x:v>
      </x:c>
      <x:c r="M738" s="40" t="n">
        <x:f>INDEX(Catchments!C:C,MATCH(A738,Catchments!A:A,0))</x:f>
        <x:v>11816161</x:v>
      </x:c>
      <x:c r="N738" s="40" t="n">
        <x:f>INDEX(Catchments!C:C,MATCH(B738,Catchments!A:A,0))</x:f>
        <x:v>19593580</x:v>
      </x:c>
    </x:row>
    <x:row r="739" ht="15" hidden="0" customHeight="1">
      <x:c r="A739" s="29" t="str">
        <x:v>SCA-24</x:v>
      </x:c>
      <x:c r="B739" s="29" t="str">
        <x:v>SCA-22</x:v>
      </x:c>
      <x:c r="C739" s="53" t="n">
        <x:v>23.742045051160794</x:v>
      </x:c>
      <x:c r="D739" s="29" t="str">
        <x:v>YES</x:v>
      </x:c>
      <x:c r="E739" s="53" t="n">
        <x:v>27.654463968769196</x:v>
      </x:c>
      <x:c r="F739" s="29" t="str">
        <x:v>YES</x:v>
      </x:c>
      <x:c r="G739" s="53" t="n">
        <x:v>12.716805990386412</x:v>
      </x:c>
      <x:c r="H739" s="29" t="str">
        <x:v>YES</x:v>
      </x:c>
      <x:c r="I739" s="53" t="n">
        <x:v>44.640139062541735</x:v>
      </x:c>
      <x:c r="J739" s="29" t="str">
        <x:v>YES</x:v>
      </x:c>
      <x:c r="K739" s="29" t="str">
        <x:v>Air</x:v>
      </x:c>
      <x:c r="L739" s="53" t="n">
        <x:v>12.716805990386412</x:v>
      </x:c>
      <x:c r="M739" s="41" t="n">
        <x:f>INDEX(Catchments!C:C,MATCH(A739,Catchments!A:A,0))</x:f>
        <x:v>11816161</x:v>
      </x:c>
      <x:c r="N739" s="41" t="n">
        <x:f>INDEX(Catchments!C:C,MATCH(B739,Catchments!A:A,0))</x:f>
        <x:v>14732006</x:v>
      </x:c>
    </x:row>
    <x:row r="740" ht="15" hidden="0" customHeight="1">
      <x:c r="A740" s="27" t="str">
        <x:v>SCA-24</x:v>
      </x:c>
      <x:c r="B740" s="27" t="str">
        <x:v>SCA-23</x:v>
      </x:c>
      <x:c r="C740" s="52" t="n">
        <x:v>34.44955219995053</x:v>
      </x:c>
      <x:c r="D740" s="27" t="str">
        <x:v>YES</x:v>
      </x:c>
      <x:c r="E740" s="52" t="n">
        <x:v>36.06750529996113</x:v>
      </x:c>
      <x:c r="F740" s="27" t="str">
        <x:v>YES</x:v>
      </x:c>
      <x:c r="G740" s="52" t="n">
        <x:v>13.470867489572974</x:v>
      </x:c>
      <x:c r="H740" s="27" t="str">
        <x:v>YES</x:v>
      </x:c>
      <x:c r="I740" s="52" t="n">
        <x:v>62.1451381508012</x:v>
      </x:c>
      <x:c r="J740" s="27" t="str">
        <x:v>YES</x:v>
      </x:c>
      <x:c r="K740" s="27" t="str">
        <x:v>Air</x:v>
      </x:c>
      <x:c r="L740" s="52" t="n">
        <x:v>13.470867489572974</x:v>
      </x:c>
      <x:c r="M740" s="40" t="n">
        <x:f>INDEX(Catchments!C:C,MATCH(A740,Catchments!A:A,0))</x:f>
        <x:v>11816161</x:v>
      </x:c>
      <x:c r="N740" s="40" t="n">
        <x:f>INDEX(Catchments!C:C,MATCH(B740,Catchments!A:A,0))</x:f>
        <x:v>20869310</x:v>
      </x:c>
    </x:row>
    <x:row r="741" ht="15" hidden="0" customHeight="1">
      <x:c r="A741" s="29" t="str">
        <x:v>SCA-24</x:v>
      </x:c>
      <x:c r="B741" s="29" t="str">
        <x:v>SCA-25</x:v>
      </x:c>
      <x:c r="C741" s="53" t="n">
        <x:v>43.44199183484943</x:v>
      </x:c>
      <x:c r="D741" s="29" t="str">
        <x:v>YES</x:v>
      </x:c>
      <x:c r="E741" s="53" t="n">
        <x:v>43.132993584524556</x:v>
      </x:c>
      <x:c r="F741" s="29" t="str">
        <x:v>YES</x:v>
      </x:c>
      <x:c r="G741" s="53" t="n">
        <x:v>14.036467856569026</x:v>
      </x:c>
      <x:c r="H741" s="29" t="str">
        <x:v>YES</x:v>
      </x:c>
      <x:c r="I741" s="53" t="n">
        <x:v>75.27514667035237</x:v>
      </x:c>
      <x:c r="J741" s="29" t="str">
        <x:v>NO</x:v>
      </x:c>
      <x:c r="K741" s="29" t="str">
        <x:v>Air</x:v>
      </x:c>
      <x:c r="L741" s="53" t="n">
        <x:v>14.036467856569026</x:v>
      </x:c>
      <x:c r="M741" s="41" t="n">
        <x:f>INDEX(Catchments!C:C,MATCH(A741,Catchments!A:A,0))</x:f>
        <x:v>11816161</x:v>
      </x:c>
      <x:c r="N741" s="41" t="n">
        <x:f>INDEX(Catchments!C:C,MATCH(B741,Catchments!A:A,0))</x:f>
        <x:v>6408394</x:v>
      </x:c>
    </x:row>
    <x:row r="742" ht="15" hidden="0" customHeight="1">
      <x:c r="A742" s="27" t="str">
        <x:v>SCA-24</x:v>
      </x:c>
      <x:c r="B742" s="27" t="str">
        <x:v>SCA-26</x:v>
      </x:c>
      <x:c r="C742" s="52" t="n">
        <x:v>49.41470921239166</x:v>
      </x:c>
      <x:c r="D742" s="27" t="str">
        <x:v>YES</x:v>
      </x:c>
      <x:c r="E742" s="52" t="n">
        <x:v>47.82584295259345</x:v>
      </x:c>
      <x:c r="F742" s="27" t="str">
        <x:v>YES</x:v>
      </x:c>
      <x:c r="G742" s="52" t="n">
        <x:v>14.47577570641674</x:v>
      </x:c>
      <x:c r="H742" s="27" t="str">
        <x:v>YES</x:v>
      </x:c>
      <x:c r="I742" s="52" t="n">
        <x:v>85.47336461324574</x:v>
      </x:c>
      <x:c r="J742" s="27" t="str">
        <x:v>NO</x:v>
      </x:c>
      <x:c r="K742" s="27" t="str">
        <x:v>Air</x:v>
      </x:c>
      <x:c r="L742" s="52" t="n">
        <x:v>14.47577570641674</x:v>
      </x:c>
      <x:c r="M742" s="40" t="n">
        <x:f>INDEX(Catchments!C:C,MATCH(A742,Catchments!A:A,0))</x:f>
        <x:v>11816161</x:v>
      </x:c>
      <x:c r="N742" s="40" t="n">
        <x:f>INDEX(Catchments!C:C,MATCH(B742,Catchments!A:A,0))</x:f>
        <x:v>10737083</x:v>
      </x:c>
    </x:row>
    <x:row r="743" ht="15" hidden="0" customHeight="1">
      <x:c r="A743" s="29" t="str">
        <x:v>SCA-24</x:v>
      </x:c>
      <x:c r="B743" s="29" t="str">
        <x:v>SCA-27</x:v>
      </x:c>
      <x:c r="C743" s="53" t="n">
        <x:v>54.49885946911072</x:v>
      </x:c>
      <x:c r="D743" s="29" t="str">
        <x:v>YES</x:v>
      </x:c>
      <x:c r="E743" s="53" t="n">
        <x:v>51.82053244001557</x:v>
      </x:c>
      <x:c r="F743" s="29" t="str">
        <x:v>YES</x:v>
      </x:c>
      <x:c r="G743" s="53" t="n">
        <x:v>14.811699051349706</x:v>
      </x:c>
      <x:c r="H743" s="29" t="str">
        <x:v>YES</x:v>
      </x:c>
      <x:c r="I743" s="53" t="n">
        <x:v>93.27158512061816</x:v>
      </x:c>
      <x:c r="J743" s="29" t="str">
        <x:v>NO</x:v>
      </x:c>
      <x:c r="K743" s="29" t="str">
        <x:v>Air</x:v>
      </x:c>
      <x:c r="L743" s="53" t="n">
        <x:v>14.811699051349706</x:v>
      </x:c>
      <x:c r="M743" s="41" t="n">
        <x:f>INDEX(Catchments!C:C,MATCH(A743,Catchments!A:A,0))</x:f>
        <x:v>11816161</x:v>
      </x:c>
      <x:c r="N743" s="41" t="n">
        <x:f>INDEX(Catchments!C:C,MATCH(B743,Catchments!A:A,0))</x:f>
        <x:v>7505606</x:v>
      </x:c>
    </x:row>
    <x:row r="744" ht="15" hidden="0" customHeight="1">
      <x:c r="A744" s="27" t="str">
        <x:v>SCA-24</x:v>
      </x:c>
      <x:c r="B744" s="27" t="str">
        <x:v>SCA-28</x:v>
      </x:c>
      <x:c r="C744" s="52" t="n">
        <x:v>23.014827210157534</x:v>
      </x:c>
      <x:c r="D744" s="27" t="str">
        <x:v>YES</x:v>
      </x:c>
      <x:c r="E744" s="52" t="n">
        <x:v>27.083078522266632</x:v>
      </x:c>
      <x:c r="F744" s="27" t="str">
        <x:v>YES</x:v>
      </x:c>
      <x:c r="G744" s="52" t="n">
        <x:v>12.663298323155404</x:v>
      </x:c>
      <x:c r="H744" s="27" t="str">
        <x:v>YES</x:v>
      </x:c>
      <x:c r="I744" s="52" t="n">
        <x:v>43.39799678753616</x:v>
      </x:c>
      <x:c r="J744" s="27" t="str">
        <x:v>YES</x:v>
      </x:c>
      <x:c r="K744" s="27" t="str">
        <x:v>Air</x:v>
      </x:c>
      <x:c r="L744" s="52" t="n">
        <x:v>12.663298323155404</x:v>
      </x:c>
      <x:c r="M744" s="40" t="n">
        <x:f>INDEX(Catchments!C:C,MATCH(A744,Catchments!A:A,0))</x:f>
        <x:v>11816161</x:v>
      </x:c>
      <x:c r="N744" s="40" t="n">
        <x:f>INDEX(Catchments!C:C,MATCH(B744,Catchments!A:A,0))</x:f>
        <x:v>21305157</x:v>
      </x:c>
    </x:row>
    <x:row r="745" ht="15" hidden="0" customHeight="1">
      <x:c r="A745" s="29" t="str">
        <x:v>SCA-24</x:v>
      </x:c>
      <x:c r="B745" s="29" t="str">
        <x:v>SCA-29</x:v>
      </x:c>
      <x:c r="C745" s="53" t="n">
        <x:v>33.492196147926734</x:v>
      </x:c>
      <x:c r="D745" s="29" t="str">
        <x:v>YES</x:v>
      </x:c>
      <x:c r="E745" s="53" t="n">
        <x:v>35.315296973371005</x:v>
      </x:c>
      <x:c r="F745" s="29" t="str">
        <x:v>YES</x:v>
      </x:c>
      <x:c r="G745" s="53" t="n">
        <x:v>13.27863600136569</x:v>
      </x:c>
      <x:c r="H745" s="29" t="str">
        <x:v>YES</x:v>
      </x:c>
      <x:c r="I745" s="53" t="n">
        <x:v>57.68262146027497</x:v>
      </x:c>
      <x:c r="J745" s="29" t="str">
        <x:v>YES</x:v>
      </x:c>
      <x:c r="K745" s="29" t="str">
        <x:v>Air</x:v>
      </x:c>
      <x:c r="L745" s="53" t="n">
        <x:v>13.27863600136569</x:v>
      </x:c>
      <x:c r="M745" s="41" t="n">
        <x:f>INDEX(Catchments!C:C,MATCH(A745,Catchments!A:A,0))</x:f>
        <x:v>11816161</x:v>
      </x:c>
      <x:c r="N745" s="41" t="n">
        <x:f>INDEX(Catchments!C:C,MATCH(B745,Catchments!A:A,0))</x:f>
        <x:v>19271685</x:v>
      </x:c>
    </x:row>
    <x:row r="746" ht="15" hidden="0" customHeight="1">
      <x:c r="A746" s="27" t="str">
        <x:v>SCA-24</x:v>
      </x:c>
      <x:c r="B746" s="27" t="str">
        <x:v>SCA-30</x:v>
      </x:c>
      <x:c r="C746" s="52" t="n">
        <x:v>31.44325840890735</x:v>
      </x:c>
      <x:c r="D746" s="27" t="str">
        <x:v>YES</x:v>
      </x:c>
      <x:c r="E746" s="52" t="n">
        <x:v>33.70541732128435</x:v>
      </x:c>
      <x:c r="F746" s="27" t="str">
        <x:v>YES</x:v>
      </x:c>
      <x:c r="G746" s="52" t="n">
        <x:v>13.213923320994454</x:v>
      </x:c>
      <x:c r="H746" s="27" t="str">
        <x:v>YES</x:v>
      </x:c>
      <x:c r="I746" s="52" t="n">
        <x:v>56.180362808799835</x:v>
      </x:c>
      <x:c r="J746" s="27" t="str">
        <x:v>YES</x:v>
      </x:c>
      <x:c r="K746" s="27" t="str">
        <x:v>Air</x:v>
      </x:c>
      <x:c r="L746" s="52" t="n">
        <x:v>13.213923320994454</x:v>
      </x:c>
      <x:c r="M746" s="40" t="n">
        <x:f>INDEX(Catchments!C:C,MATCH(A746,Catchments!A:A,0))</x:f>
        <x:v>11816161</x:v>
      </x:c>
      <x:c r="N746" s="40" t="n">
        <x:f>INDEX(Catchments!C:C,MATCH(B746,Catchments!A:A,0))</x:f>
        <x:v>41291847</x:v>
      </x:c>
    </x:row>
    <x:row r="747" ht="15" hidden="0" customHeight="1">
      <x:c r="A747" s="29" t="str">
        <x:v>SCA-24</x:v>
      </x:c>
      <x:c r="B747" s="29" t="str">
        <x:v>SCA-31</x:v>
      </x:c>
      <x:c r="C747" s="53" t="n">
        <x:v>38.59020650320746</x:v>
      </x:c>
      <x:c r="D747" s="29" t="str">
        <x:v>YES</x:v>
      </x:c>
      <x:c r="E747" s="53" t="n">
        <x:v>39.32087653823443</x:v>
      </x:c>
      <x:c r="F747" s="29" t="str">
        <x:v>YES</x:v>
      </x:c>
      <x:c r="G747" s="53" t="n">
        <x:v>13.538286183949197</x:v>
      </x:c>
      <x:c r="H747" s="29" t="str">
        <x:v>YES</x:v>
      </x:c>
      <x:c r="I747" s="53" t="n">
        <x:v>63.71021498453494</x:v>
      </x:c>
      <x:c r="J747" s="29" t="str">
        <x:v>YES</x:v>
      </x:c>
      <x:c r="K747" s="29" t="str">
        <x:v>Air</x:v>
      </x:c>
      <x:c r="L747" s="53" t="n">
        <x:v>13.538286183949197</x:v>
      </x:c>
      <x:c r="M747" s="41" t="n">
        <x:f>INDEX(Catchments!C:C,MATCH(A747,Catchments!A:A,0))</x:f>
        <x:v>11816161</x:v>
      </x:c>
      <x:c r="N747" s="41" t="n">
        <x:f>INDEX(Catchments!C:C,MATCH(B747,Catchments!A:A,0))</x:f>
        <x:v>14227128</x:v>
      </x:c>
    </x:row>
    <x:row r="748" ht="15" hidden="0" customHeight="1">
      <x:c r="A748" s="27" t="str">
        <x:v>SCA-24</x:v>
      </x:c>
      <x:c r="B748" s="27" t="str">
        <x:v>SCA-32</x:v>
      </x:c>
      <x:c r="C748" s="52"/>
      <x:c r="D748" s="27" t="str">
        <x:v>NO</x:v>
      </x:c>
      <x:c r="E748" s="52"/>
      <x:c r="F748" s="27" t="str">
        <x:v>NO</x:v>
      </x:c>
      <x:c r="G748" s="52" t="n">
        <x:v>16.838894329381347</x:v>
      </x:c>
      <x:c r="H748" s="27" t="str">
        <x:v>YES</x:v>
      </x:c>
      <x:c r="I748" s="52" t="n">
        <x:v>140.33147550349554</x:v>
      </x:c>
      <x:c r="J748" s="27" t="str">
        <x:v>NO</x:v>
      </x:c>
      <x:c r="K748" s="27" t="str">
        <x:v>Air</x:v>
      </x:c>
      <x:c r="L748" s="52" t="n">
        <x:v>16.838894329381347</x:v>
      </x:c>
      <x:c r="M748" s="40" t="n">
        <x:f>INDEX(Catchments!C:C,MATCH(A748,Catchments!A:A,0))</x:f>
        <x:v>11816161</x:v>
      </x:c>
      <x:c r="N748" s="40" t="n">
        <x:f>INDEX(Catchments!C:C,MATCH(B748,Catchments!A:A,0))</x:f>
        <x:v>3184835</x:v>
      </x:c>
    </x:row>
    <x:row r="749" ht="15" hidden="0" customHeight="1">
      <x:c r="A749" s="29" t="str">
        <x:v>SCA-25</x:v>
      </x:c>
      <x:c r="B749" s="29" t="str">
        <x:v>SCA-01</x:v>
      </x:c>
      <x:c r="C749" s="53"/>
      <x:c r="D749" s="29" t="str">
        <x:v>NO</x:v>
      </x:c>
      <x:c r="E749" s="53"/>
      <x:c r="F749" s="29" t="str">
        <x:v>NO</x:v>
      </x:c>
      <x:c r="G749" s="53" t="n">
        <x:v>23.54105408853379</x:v>
      </x:c>
      <x:c r="H749" s="29" t="str">
        <x:v>YES</x:v>
      </x:c>
      <x:c r="I749" s="53" t="n">
        <x:v>295.91732705524873</x:v>
      </x:c>
      <x:c r="J749" s="29" t="str">
        <x:v>NO</x:v>
      </x:c>
      <x:c r="K749" s="29" t="str">
        <x:v>Air</x:v>
      </x:c>
      <x:c r="L749" s="53" t="n">
        <x:v>23.54105408853379</x:v>
      </x:c>
      <x:c r="M749" s="41" t="n">
        <x:f>INDEX(Catchments!C:C,MATCH(A749,Catchments!A:A,0))</x:f>
        <x:v>6408394</x:v>
      </x:c>
      <x:c r="N749" s="41" t="n">
        <x:f>INDEX(Catchments!C:C,MATCH(B749,Catchments!A:A,0))</x:f>
        <x:v>1432820</x:v>
      </x:c>
    </x:row>
    <x:row r="750" ht="15" hidden="0" customHeight="1">
      <x:c r="A750" s="27" t="str">
        <x:v>SCA-25</x:v>
      </x:c>
      <x:c r="B750" s="27" t="str">
        <x:v>SCA-02</x:v>
      </x:c>
      <x:c r="C750" s="52"/>
      <x:c r="D750" s="27" t="str">
        <x:v>NO</x:v>
      </x:c>
      <x:c r="E750" s="52"/>
      <x:c r="F750" s="27" t="str">
        <x:v>NO</x:v>
      </x:c>
      <x:c r="G750" s="52" t="n">
        <x:v>20.771888257371202</x:v>
      </x:c>
      <x:c r="H750" s="27" t="str">
        <x:v>YES</x:v>
      </x:c>
      <x:c r="I750" s="52" t="n">
        <x:v>231.63312026040293</x:v>
      </x:c>
      <x:c r="J750" s="27" t="str">
        <x:v>NO</x:v>
      </x:c>
      <x:c r="K750" s="27" t="str">
        <x:v>Air</x:v>
      </x:c>
      <x:c r="L750" s="52" t="n">
        <x:v>20.771888257371202</x:v>
      </x:c>
      <x:c r="M750" s="40" t="n">
        <x:f>INDEX(Catchments!C:C,MATCH(A750,Catchments!A:A,0))</x:f>
        <x:v>6408394</x:v>
      </x:c>
      <x:c r="N750" s="40" t="n">
        <x:f>INDEX(Catchments!C:C,MATCH(B750,Catchments!A:A,0))</x:f>
        <x:v>737270</x:v>
      </x:c>
    </x:row>
    <x:row r="751" ht="15" hidden="0" customHeight="1">
      <x:c r="A751" s="29" t="str">
        <x:v>SCA-25</x:v>
      </x:c>
      <x:c r="B751" s="29" t="str">
        <x:v>SCA-03</x:v>
      </x:c>
      <x:c r="C751" s="53" t="n">
        <x:v>97.487552255407</x:v>
      </x:c>
      <x:c r="D751" s="29" t="str">
        <x:v>NO</x:v>
      </x:c>
      <x:c r="E751" s="53" t="n">
        <x:v>85.5973624863912</x:v>
      </x:c>
      <x:c r="F751" s="29" t="str">
        <x:v>NO</x:v>
      </x:c>
      <x:c r="G751" s="53" t="n">
        <x:v>17.880143847437623</x:v>
      </x:c>
      <x:c r="H751" s="29" t="str">
        <x:v>YES</x:v>
      </x:c>
      <x:c r="I751" s="53" t="n">
        <x:v>164.50333931551629</x:v>
      </x:c>
      <x:c r="J751" s="29" t="str">
        <x:v>NO</x:v>
      </x:c>
      <x:c r="K751" s="29" t="str">
        <x:v>Air</x:v>
      </x:c>
      <x:c r="L751" s="53" t="n">
        <x:v>17.880143847437623</x:v>
      </x:c>
      <x:c r="M751" s="41" t="n">
        <x:f>INDEX(Catchments!C:C,MATCH(A751,Catchments!A:A,0))</x:f>
        <x:v>6408394</x:v>
      </x:c>
      <x:c r="N751" s="41" t="n">
        <x:f>INDEX(Catchments!C:C,MATCH(B751,Catchments!A:A,0))</x:f>
        <x:v>11968308</x:v>
      </x:c>
    </x:row>
    <x:row r="752" ht="15" hidden="0" customHeight="1">
      <x:c r="A752" s="27" t="str">
        <x:v>SCA-25</x:v>
      </x:c>
      <x:c r="B752" s="27" t="str">
        <x:v>SCA-04</x:v>
      </x:c>
      <x:c r="C752" s="52" t="n">
        <x:v>97.94448941290548</x:v>
      </x:c>
      <x:c r="D752" s="27" t="str">
        <x:v>NO</x:v>
      </x:c>
      <x:c r="E752" s="52" t="n">
        <x:v>85.95638453871145</x:v>
      </x:c>
      <x:c r="F752" s="27" t="str">
        <x:v>NO</x:v>
      </x:c>
      <x:c r="G752" s="52" t="n">
        <x:v>17.675670535194282</x:v>
      </x:c>
      <x:c r="H752" s="27" t="str">
        <x:v>YES</x:v>
      </x:c>
      <x:c r="I752" s="52" t="n">
        <x:v>159.75663742415298</x:v>
      </x:c>
      <x:c r="J752" s="27" t="str">
        <x:v>NO</x:v>
      </x:c>
      <x:c r="K752" s="27" t="str">
        <x:v>Air</x:v>
      </x:c>
      <x:c r="L752" s="52" t="n">
        <x:v>17.675670535194282</x:v>
      </x:c>
      <x:c r="M752" s="40" t="n">
        <x:f>INDEX(Catchments!C:C,MATCH(A752,Catchments!A:A,0))</x:f>
        <x:v>6408394</x:v>
      </x:c>
      <x:c r="N752" s="40" t="n">
        <x:f>INDEX(Catchments!C:C,MATCH(B752,Catchments!A:A,0))</x:f>
        <x:v>16200470</x:v>
      </x:c>
    </x:row>
    <x:row r="753" ht="15" hidden="0" customHeight="1">
      <x:c r="A753" s="29" t="str">
        <x:v>SCA-25</x:v>
      </x:c>
      <x:c r="B753" s="29" t="str">
        <x:v>SCA-05</x:v>
      </x:c>
      <x:c r="C753" s="53" t="n">
        <x:v>89.35787931681975</x:v>
      </x:c>
      <x:c r="D753" s="29" t="str">
        <x:v>NO</x:v>
      </x:c>
      <x:c r="E753" s="53" t="n">
        <x:v>79.20976232035837</x:v>
      </x:c>
      <x:c r="F753" s="29" t="str">
        <x:v>NO</x:v>
      </x:c>
      <x:c r="G753" s="53" t="n">
        <x:v>17.245456493208522</x:v>
      </x:c>
      <x:c r="H753" s="29" t="str">
        <x:v>YES</x:v>
      </x:c>
      <x:c r="I753" s="53" t="n">
        <x:v>149.76952573519782</x:v>
      </x:c>
      <x:c r="J753" s="29" t="str">
        <x:v>NO</x:v>
      </x:c>
      <x:c r="K753" s="29" t="str">
        <x:v>Air</x:v>
      </x:c>
      <x:c r="L753" s="53" t="n">
        <x:v>17.245456493208522</x:v>
      </x:c>
      <x:c r="M753" s="41" t="n">
        <x:f>INDEX(Catchments!C:C,MATCH(A753,Catchments!A:A,0))</x:f>
        <x:v>6408394</x:v>
      </x:c>
      <x:c r="N753" s="41" t="n">
        <x:f>INDEX(Catchments!C:C,MATCH(B753,Catchments!A:A,0))</x:f>
        <x:v>15966265</x:v>
      </x:c>
    </x:row>
    <x:row r="754" ht="15" hidden="0" customHeight="1">
      <x:c r="A754" s="27" t="str">
        <x:v>SCA-25</x:v>
      </x:c>
      <x:c r="B754" s="27" t="str">
        <x:v>SCA-06</x:v>
      </x:c>
      <x:c r="C754" s="52" t="n">
        <x:v>84.98047254809023</x:v>
      </x:c>
      <x:c r="D754" s="27" t="str">
        <x:v>NO</x:v>
      </x:c>
      <x:c r="E754" s="52" t="n">
        <x:v>75.77037128778518</x:v>
      </x:c>
      <x:c r="F754" s="27" t="str">
        <x:v>NO</x:v>
      </x:c>
      <x:c r="G754" s="52" t="n">
        <x:v>16.978709297516573</x:v>
      </x:c>
      <x:c r="H754" s="27" t="str">
        <x:v>YES</x:v>
      </x:c>
      <x:c r="I754" s="52" t="n">
        <x:v>143.5771801209204</x:v>
      </x:c>
      <x:c r="J754" s="27" t="str">
        <x:v>NO</x:v>
      </x:c>
      <x:c r="K754" s="27" t="str">
        <x:v>Air</x:v>
      </x:c>
      <x:c r="L754" s="52" t="n">
        <x:v>16.978709297516573</x:v>
      </x:c>
      <x:c r="M754" s="40" t="n">
        <x:f>INDEX(Catchments!C:C,MATCH(A754,Catchments!A:A,0))</x:f>
        <x:v>6408394</x:v>
      </x:c>
      <x:c r="N754" s="40" t="n">
        <x:f>INDEX(Catchments!C:C,MATCH(B754,Catchments!A:A,0))</x:f>
        <x:v>6008575</x:v>
      </x:c>
    </x:row>
    <x:row r="755" ht="15" hidden="0" customHeight="1">
      <x:c r="A755" s="29" t="str">
        <x:v>SCA-25</x:v>
      </x:c>
      <x:c r="B755" s="29" t="str">
        <x:v>SCA-07</x:v>
      </x:c>
      <x:c r="C755" s="53" t="n">
        <x:v>85.2062314737665</x:v>
      </x:c>
      <x:c r="D755" s="29" t="str">
        <x:v>NO</x:v>
      </x:c>
      <x:c r="E755" s="53" t="n">
        <x:v>75.94775330081653</x:v>
      </x:c>
      <x:c r="F755" s="29" t="str">
        <x:v>NO</x:v>
      </x:c>
      <x:c r="G755" s="53" t="n">
        <x:v>16.824769707172305</x:v>
      </x:c>
      <x:c r="H755" s="29" t="str">
        <x:v>YES</x:v>
      </x:c>
      <x:c r="I755" s="53" t="n">
        <x:v>140.00358248792853</x:v>
      </x:c>
      <x:c r="J755" s="29" t="str">
        <x:v>NO</x:v>
      </x:c>
      <x:c r="K755" s="29" t="str">
        <x:v>Air</x:v>
      </x:c>
      <x:c r="L755" s="53" t="n">
        <x:v>16.824769707172305</x:v>
      </x:c>
      <x:c r="M755" s="41" t="n">
        <x:f>INDEX(Catchments!C:C,MATCH(A755,Catchments!A:A,0))</x:f>
        <x:v>6408394</x:v>
      </x:c>
      <x:c r="N755" s="41" t="n">
        <x:f>INDEX(Catchments!C:C,MATCH(B755,Catchments!A:A,0))</x:f>
        <x:v>5229370</x:v>
      </x:c>
    </x:row>
    <x:row r="756" ht="15" hidden="0" customHeight="1">
      <x:c r="A756" s="27" t="str">
        <x:v>SCA-25</x:v>
      </x:c>
      <x:c r="B756" s="27" t="str">
        <x:v>SCA-08</x:v>
      </x:c>
      <x:c r="C756" s="52" t="n">
        <x:v>85.76655452681591</x:v>
      </x:c>
      <x:c r="D756" s="27" t="str">
        <x:v>NO</x:v>
      </x:c>
      <x:c r="E756" s="52" t="n">
        <x:v>76.38800712821251</x:v>
      </x:c>
      <x:c r="F756" s="27" t="str">
        <x:v>NO</x:v>
      </x:c>
      <x:c r="G756" s="52" t="n">
        <x:v>17.022992452319944</x:v>
      </x:c>
      <x:c r="H756" s="27" t="str">
        <x:v>YES</x:v>
      </x:c>
      <x:c r="I756" s="52" t="n">
        <x:v>144.6051819288558</x:v>
      </x:c>
      <x:c r="J756" s="27" t="str">
        <x:v>NO</x:v>
      </x:c>
      <x:c r="K756" s="27" t="str">
        <x:v>Air</x:v>
      </x:c>
      <x:c r="L756" s="52" t="n">
        <x:v>17.022992452319944</x:v>
      </x:c>
      <x:c r="M756" s="40" t="n">
        <x:f>INDEX(Catchments!C:C,MATCH(A756,Catchments!A:A,0))</x:f>
        <x:v>6408394</x:v>
      </x:c>
      <x:c r="N756" s="40" t="n">
        <x:f>INDEX(Catchments!C:C,MATCH(B756,Catchments!A:A,0))</x:f>
        <x:v>2652387</x:v>
      </x:c>
    </x:row>
    <x:row r="757" ht="15" hidden="0" customHeight="1">
      <x:c r="A757" s="29" t="str">
        <x:v>SCA-25</x:v>
      </x:c>
      <x:c r="B757" s="29" t="str">
        <x:v>SCA-09</x:v>
      </x:c>
      <x:c r="C757" s="53" t="n">
        <x:v>76.80375524332968</x:v>
      </x:c>
      <x:c r="D757" s="29" t="str">
        <x:v>NO</x:v>
      </x:c>
      <x:c r="E757" s="53" t="n">
        <x:v>69.34580769118759</x:v>
      </x:c>
      <x:c r="F757" s="29" t="str">
        <x:v>YES</x:v>
      </x:c>
      <x:c r="G757" s="53" t="n">
        <x:v>16.379092753109127</x:v>
      </x:c>
      <x:c r="H757" s="29" t="str">
        <x:v>YES</x:v>
      </x:c>
      <x:c r="I757" s="53"/>
      <x:c r="J757" s="29" t="str">
        <x:v>NO</x:v>
      </x:c>
      <x:c r="K757" s="29" t="str">
        <x:v>Air</x:v>
      </x:c>
      <x:c r="L757" s="53" t="n">
        <x:v>16.379092753109127</x:v>
      </x:c>
      <x:c r="M757" s="41" t="n">
        <x:f>INDEX(Catchments!C:C,MATCH(A757,Catchments!A:A,0))</x:f>
        <x:v>6408394</x:v>
      </x:c>
      <x:c r="N757" s="41" t="n">
        <x:f>INDEX(Catchments!C:C,MATCH(B757,Catchments!A:A,0))</x:f>
        <x:v>7395716</x:v>
      </x:c>
    </x:row>
    <x:row r="758" ht="15" hidden="0" customHeight="1">
      <x:c r="A758" s="27" t="str">
        <x:v>SCA-25</x:v>
      </x:c>
      <x:c r="B758" s="27" t="str">
        <x:v>SCA-10</x:v>
      </x:c>
      <x:c r="C758" s="52" t="n">
        <x:v>76.75607393743527</x:v>
      </x:c>
      <x:c r="D758" s="27" t="str">
        <x:v>NO</x:v>
      </x:c>
      <x:c r="E758" s="52" t="n">
        <x:v>69.30834380798485</x:v>
      </x:c>
      <x:c r="F758" s="27" t="str">
        <x:v>YES</x:v>
      </x:c>
      <x:c r="G758" s="52" t="n">
        <x:v>16.424546802593376</x:v>
      </x:c>
      <x:c r="H758" s="27" t="str">
        <x:v>YES</x:v>
      </x:c>
      <x:c r="I758" s="52"/>
      <x:c r="J758" s="27" t="str">
        <x:v>NO</x:v>
      </x:c>
      <x:c r="K758" s="27" t="str">
        <x:v>Air</x:v>
      </x:c>
      <x:c r="L758" s="52" t="n">
        <x:v>16.424546802593376</x:v>
      </x:c>
      <x:c r="M758" s="40" t="n">
        <x:f>INDEX(Catchments!C:C,MATCH(A758,Catchments!A:A,0))</x:f>
        <x:v>6408394</x:v>
      </x:c>
      <x:c r="N758" s="40" t="n">
        <x:f>INDEX(Catchments!C:C,MATCH(B758,Catchments!A:A,0))</x:f>
        <x:v>4127033</x:v>
      </x:c>
    </x:row>
    <x:row r="759" ht="15" hidden="0" customHeight="1">
      <x:c r="A759" s="29" t="str">
        <x:v>SCA-25</x:v>
      </x:c>
      <x:c r="B759" s="29" t="str">
        <x:v>SCA-11</x:v>
      </x:c>
      <x:c r="C759" s="53" t="n">
        <x:v>63.13553067115493</x:v>
      </x:c>
      <x:c r="D759" s="29" t="str">
        <x:v>YES</x:v>
      </x:c>
      <x:c r="E759" s="53" t="n">
        <x:v>58.60648838447888</x:v>
      </x:c>
      <x:c r="F759" s="29" t="str">
        <x:v>YES</x:v>
      </x:c>
      <x:c r="G759" s="53" t="n">
        <x:v>15.373468056568669</x:v>
      </x:c>
      <x:c r="H759" s="29" t="str">
        <x:v>YES</x:v>
      </x:c>
      <x:c r="I759" s="53" t="n">
        <x:v>106.31265131320124</x:v>
      </x:c>
      <x:c r="J759" s="29" t="str">
        <x:v>NO</x:v>
      </x:c>
      <x:c r="K759" s="29" t="str">
        <x:v>Air</x:v>
      </x:c>
      <x:c r="L759" s="53" t="n">
        <x:v>15.373468056568669</x:v>
      </x:c>
      <x:c r="M759" s="41" t="n">
        <x:f>INDEX(Catchments!C:C,MATCH(A759,Catchments!A:A,0))</x:f>
        <x:v>6408394</x:v>
      </x:c>
      <x:c r="N759" s="41" t="n">
        <x:f>INDEX(Catchments!C:C,MATCH(B759,Catchments!A:A,0))</x:f>
        <x:v>3517787</x:v>
      </x:c>
    </x:row>
    <x:row r="760" ht="15" hidden="0" customHeight="1">
      <x:c r="A760" s="27" t="str">
        <x:v>SCA-25</x:v>
      </x:c>
      <x:c r="B760" s="27" t="str">
        <x:v>SCA-12</x:v>
      </x:c>
      <x:c r="C760" s="52" t="n">
        <x:v>64.46047462386359</x:v>
      </x:c>
      <x:c r="D760" s="27" t="str">
        <x:v>YES</x:v>
      </x:c>
      <x:c r="E760" s="52" t="n">
        <x:v>59.64751577589282</x:v>
      </x:c>
      <x:c r="F760" s="27" t="str">
        <x:v>YES</x:v>
      </x:c>
      <x:c r="G760" s="52" t="n">
        <x:v>15.521145054727658</x:v>
      </x:c>
      <x:c r="H760" s="27" t="str">
        <x:v>YES</x:v>
      </x:c>
      <x:c r="I760" s="52"/>
      <x:c r="J760" s="27" t="str">
        <x:v>NO</x:v>
      </x:c>
      <x:c r="K760" s="27" t="str">
        <x:v>Air</x:v>
      </x:c>
      <x:c r="L760" s="52" t="n">
        <x:v>15.521145054727658</x:v>
      </x:c>
      <x:c r="M760" s="40" t="n">
        <x:f>INDEX(Catchments!C:C,MATCH(A760,Catchments!A:A,0))</x:f>
        <x:v>6408394</x:v>
      </x:c>
      <x:c r="N760" s="40" t="n">
        <x:f>INDEX(Catchments!C:C,MATCH(B760,Catchments!A:A,0))</x:f>
        <x:v>7465186</x:v>
      </x:c>
    </x:row>
    <x:row r="761" ht="15" hidden="0" customHeight="1">
      <x:c r="A761" s="29" t="str">
        <x:v>SCA-25</x:v>
      </x:c>
      <x:c r="B761" s="29" t="str">
        <x:v>SCA-13</x:v>
      </x:c>
      <x:c r="C761" s="53" t="n">
        <x:v>53.94016071414073</x:v>
      </x:c>
      <x:c r="D761" s="29" t="str">
        <x:v>YES</x:v>
      </x:c>
      <x:c r="E761" s="53" t="n">
        <x:v>51.381554846824855</x:v>
      </x:c>
      <x:c r="F761" s="29" t="str">
        <x:v>YES</x:v>
      </x:c>
      <x:c r="G761" s="53" t="n">
        <x:v>14.372746454907007</x:v>
      </x:c>
      <x:c r="H761" s="29" t="str">
        <x:v>YES</x:v>
      </x:c>
      <x:c r="I761" s="53" t="n">
        <x:v>83.08161413176984</x:v>
      </x:c>
      <x:c r="J761" s="29" t="str">
        <x:v>NO</x:v>
      </x:c>
      <x:c r="K761" s="29" t="str">
        <x:v>Air</x:v>
      </x:c>
      <x:c r="L761" s="53" t="n">
        <x:v>14.372746454907007</x:v>
      </x:c>
      <x:c r="M761" s="41" t="n">
        <x:f>INDEX(Catchments!C:C,MATCH(A761,Catchments!A:A,0))</x:f>
        <x:v>6408394</x:v>
      </x:c>
      <x:c r="N761" s="41" t="n">
        <x:f>INDEX(Catchments!C:C,MATCH(B761,Catchments!A:A,0))</x:f>
        <x:v>6759014</x:v>
      </x:c>
    </x:row>
    <x:row r="762" ht="15" hidden="0" customHeight="1">
      <x:c r="A762" s="27" t="str">
        <x:v>SCA-25</x:v>
      </x:c>
      <x:c r="B762" s="27" t="str">
        <x:v>SCA-14</x:v>
      </x:c>
      <x:c r="C762" s="52" t="n">
        <x:v>61.27770278190639</x:v>
      </x:c>
      <x:c r="D762" s="27" t="str">
        <x:v>YES</x:v>
      </x:c>
      <x:c r="E762" s="52" t="n">
        <x:v>57.14676647149788</x:v>
      </x:c>
      <x:c r="F762" s="27" t="str">
        <x:v>YES</x:v>
      </x:c>
      <x:c r="G762" s="52" t="n">
        <x:v>14.480121270058786</x:v>
      </x:c>
      <x:c r="H762" s="27" t="str">
        <x:v>YES</x:v>
      </x:c>
      <x:c r="I762" s="52" t="n">
        <x:v>85.57424376922182</x:v>
      </x:c>
      <x:c r="J762" s="27" t="str">
        <x:v>NO</x:v>
      </x:c>
      <x:c r="K762" s="27" t="str">
        <x:v>Air</x:v>
      </x:c>
      <x:c r="L762" s="52" t="n">
        <x:v>14.480121270058786</x:v>
      </x:c>
      <x:c r="M762" s="40" t="n">
        <x:f>INDEX(Catchments!C:C,MATCH(A762,Catchments!A:A,0))</x:f>
        <x:v>6408394</x:v>
      </x:c>
      <x:c r="N762" s="40" t="n">
        <x:f>INDEX(Catchments!C:C,MATCH(B762,Catchments!A:A,0))</x:f>
        <x:v>2179728</x:v>
      </x:c>
    </x:row>
    <x:row r="763" ht="15" hidden="0" customHeight="1">
      <x:c r="A763" s="29" t="str">
        <x:v>SCA-25</x:v>
      </x:c>
      <x:c r="B763" s="29" t="str">
        <x:v>SCA-15</x:v>
      </x:c>
      <x:c r="C763" s="53" t="n">
        <x:v>46.674118517256076</x:v>
      </x:c>
      <x:c r="D763" s="29" t="str">
        <x:v>YES</x:v>
      </x:c>
      <x:c r="E763" s="53" t="n">
        <x:v>45.67252169212978</x:v>
      </x:c>
      <x:c r="F763" s="29" t="str">
        <x:v>YES</x:v>
      </x:c>
      <x:c r="G763" s="53" t="n">
        <x:v>14.16375801141565</x:v>
      </x:c>
      <x:c r="H763" s="29" t="str">
        <x:v>YES</x:v>
      </x:c>
      <x:c r="I763" s="53" t="n">
        <x:v>78.23009669357761</x:v>
      </x:c>
      <x:c r="J763" s="29" t="str">
        <x:v>NO</x:v>
      </x:c>
      <x:c r="K763" s="29" t="str">
        <x:v>Air</x:v>
      </x:c>
      <x:c r="L763" s="53" t="n">
        <x:v>14.16375801141565</x:v>
      </x:c>
      <x:c r="M763" s="41" t="n">
        <x:f>INDEX(Catchments!C:C,MATCH(A763,Catchments!A:A,0))</x:f>
        <x:v>6408394</x:v>
      </x:c>
      <x:c r="N763" s="41" t="n">
        <x:f>INDEX(Catchments!C:C,MATCH(B763,Catchments!A:A,0))</x:f>
        <x:v>13192386</x:v>
      </x:c>
    </x:row>
    <x:row r="764" ht="15" hidden="0" customHeight="1">
      <x:c r="A764" s="27" t="str">
        <x:v>SCA-25</x:v>
      </x:c>
      <x:c r="B764" s="27" t="str">
        <x:v>SCA-16</x:v>
      </x:c>
      <x:c r="C764" s="52" t="n">
        <x:v>48.240161133079944</x:v>
      </x:c>
      <x:c r="D764" s="27" t="str">
        <x:v>YES</x:v>
      </x:c>
      <x:c r="E764" s="52" t="n">
        <x:v>46.90298374741995</x:v>
      </x:c>
      <x:c r="F764" s="27" t="str">
        <x:v>YES</x:v>
      </x:c>
      <x:c r="G764" s="52" t="n">
        <x:v>14.35456672419354</x:v>
      </x:c>
      <x:c r="H764" s="27" t="str">
        <x:v>YES</x:v>
      </x:c>
      <x:c r="I764" s="52"/>
      <x:c r="J764" s="27" t="str">
        <x:v>NO</x:v>
      </x:c>
      <x:c r="K764" s="27" t="str">
        <x:v>Air</x:v>
      </x:c>
      <x:c r="L764" s="52" t="n">
        <x:v>14.35456672419354</x:v>
      </x:c>
      <x:c r="M764" s="40" t="n">
        <x:f>INDEX(Catchments!C:C,MATCH(A764,Catchments!A:A,0))</x:f>
        <x:v>6408394</x:v>
      </x:c>
      <x:c r="N764" s="40" t="n">
        <x:f>INDEX(Catchments!C:C,MATCH(B764,Catchments!A:A,0))</x:f>
        <x:v>10177969</x:v>
      </x:c>
    </x:row>
    <x:row r="765" ht="15" hidden="0" customHeight="1">
      <x:c r="A765" s="29" t="str">
        <x:v>SCA-25</x:v>
      </x:c>
      <x:c r="B765" s="29" t="str">
        <x:v>SCA-17</x:v>
      </x:c>
      <x:c r="C765" s="53" t="n">
        <x:v>46.07951269695033</x:v>
      </x:c>
      <x:c r="D765" s="29" t="str">
        <x:v>YES</x:v>
      </x:c>
      <x:c r="E765" s="53" t="n">
        <x:v>45.20533140474669</x:v>
      </x:c>
      <x:c r="F765" s="29" t="str">
        <x:v>YES</x:v>
      </x:c>
      <x:c r="G765" s="53" t="n">
        <x:v>13.796798886920138</x:v>
      </x:c>
      <x:c r="H765" s="29" t="str">
        <x:v>YES</x:v>
      </x:c>
      <x:c r="I765" s="53" t="n">
        <x:v>69.71140273207465</x:v>
      </x:c>
      <x:c r="J765" s="29" t="str">
        <x:v>YES</x:v>
      </x:c>
      <x:c r="K765" s="29" t="str">
        <x:v>Air</x:v>
      </x:c>
      <x:c r="L765" s="53" t="n">
        <x:v>13.796798886920138</x:v>
      </x:c>
      <x:c r="M765" s="41" t="n">
        <x:f>INDEX(Catchments!C:C,MATCH(A765,Catchments!A:A,0))</x:f>
        <x:v>6408394</x:v>
      </x:c>
      <x:c r="N765" s="41" t="n">
        <x:f>INDEX(Catchments!C:C,MATCH(B765,Catchments!A:A,0))</x:f>
        <x:v>12843509</x:v>
      </x:c>
    </x:row>
    <x:row r="766" ht="15" hidden="0" customHeight="1">
      <x:c r="A766" s="27" t="str">
        <x:v>SCA-25</x:v>
      </x:c>
      <x:c r="B766" s="27" t="str">
        <x:v>SCA-18</x:v>
      </x:c>
      <x:c r="C766" s="52" t="n">
        <x:v>55.353242844551296</x:v>
      </x:c>
      <x:c r="D766" s="27" t="str">
        <x:v>YES</x:v>
      </x:c>
      <x:c r="E766" s="52" t="n">
        <x:v>52.49183366357602</x:v>
      </x:c>
      <x:c r="F766" s="27" t="str">
        <x:v>YES</x:v>
      </x:c>
      <x:c r="G766" s="52" t="n">
        <x:v>14.89996111644962</x:v>
      </x:c>
      <x:c r="H766" s="27" t="str">
        <x:v>YES</x:v>
      </x:c>
      <x:c r="I766" s="52" t="n">
        <x:v>95.3205259175805</x:v>
      </x:c>
      <x:c r="J766" s="27" t="str">
        <x:v>NO</x:v>
      </x:c>
      <x:c r="K766" s="27" t="str">
        <x:v>Air</x:v>
      </x:c>
      <x:c r="L766" s="52" t="n">
        <x:v>14.89996111644962</x:v>
      </x:c>
      <x:c r="M766" s="40" t="n">
        <x:f>INDEX(Catchments!C:C,MATCH(A766,Catchments!A:A,0))</x:f>
        <x:v>6408394</x:v>
      </x:c>
      <x:c r="N766" s="40" t="n">
        <x:f>INDEX(Catchments!C:C,MATCH(B766,Catchments!A:A,0))</x:f>
        <x:v>11004680</x:v>
      </x:c>
    </x:row>
    <x:row r="767" ht="15" hidden="0" customHeight="1">
      <x:c r="A767" s="29" t="str">
        <x:v>SCA-25</x:v>
      </x:c>
      <x:c r="B767" s="29" t="str">
        <x:v>SCA-19</x:v>
      </x:c>
      <x:c r="C767" s="53" t="n">
        <x:v>43.837812799330976</x:v>
      </x:c>
      <x:c r="D767" s="29" t="str">
        <x:v>YES</x:v>
      </x:c>
      <x:c r="E767" s="53" t="n">
        <x:v>43.443995770902916</x:v>
      </x:c>
      <x:c r="F767" s="29" t="str">
        <x:v>YES</x:v>
      </x:c>
      <x:c r="G767" s="53" t="n">
        <x:v>13.867733822273333</x:v>
      </x:c>
      <x:c r="H767" s="29" t="str">
        <x:v>YES</x:v>
      </x:c>
      <x:c r="I767" s="53" t="n">
        <x:v>71.35810658848811</x:v>
      </x:c>
      <x:c r="J767" s="29" t="str">
        <x:v>YES</x:v>
      </x:c>
      <x:c r="K767" s="29" t="str">
        <x:v>Air</x:v>
      </x:c>
      <x:c r="L767" s="53" t="n">
        <x:v>13.867733822273333</x:v>
      </x:c>
      <x:c r="M767" s="41" t="n">
        <x:f>INDEX(Catchments!C:C,MATCH(A767,Catchments!A:A,0))</x:f>
        <x:v>6408394</x:v>
      </x:c>
      <x:c r="N767" s="41" t="n">
        <x:f>INDEX(Catchments!C:C,MATCH(B767,Catchments!A:A,0))</x:f>
        <x:v>6677653</x:v>
      </x:c>
    </x:row>
    <x:row r="768" ht="15" hidden="0" customHeight="1">
      <x:c r="A768" s="27" t="str">
        <x:v>SCA-25</x:v>
      </x:c>
      <x:c r="B768" s="27" t="str">
        <x:v>SCA-20</x:v>
      </x:c>
      <x:c r="C768" s="52" t="n">
        <x:v>33.52878497761154</x:v>
      </x:c>
      <x:c r="D768" s="27" t="str">
        <x:v>YES</x:v>
      </x:c>
      <x:c r="E768" s="52" t="n">
        <x:v>35.344045339551926</x:v>
      </x:c>
      <x:c r="F768" s="27" t="str">
        <x:v>YES</x:v>
      </x:c>
      <x:c r="G768" s="52" t="n">
        <x:v>13.294477085759345</x:v>
      </x:c>
      <x:c r="H768" s="27" t="str">
        <x:v>YES</x:v>
      </x:c>
      <x:c r="I768" s="52" t="n">
        <x:v>58.05036091941338</x:v>
      </x:c>
      <x:c r="J768" s="27" t="str">
        <x:v>YES</x:v>
      </x:c>
      <x:c r="K768" s="27" t="str">
        <x:v>Air</x:v>
      </x:c>
      <x:c r="L768" s="52" t="n">
        <x:v>13.294477085759345</x:v>
      </x:c>
      <x:c r="M768" s="40" t="n">
        <x:f>INDEX(Catchments!C:C,MATCH(A768,Catchments!A:A,0))</x:f>
        <x:v>6408394</x:v>
      </x:c>
      <x:c r="N768" s="40" t="n">
        <x:f>INDEX(Catchments!C:C,MATCH(B768,Catchments!A:A,0))</x:f>
        <x:v>8490774</x:v>
      </x:c>
    </x:row>
    <x:row r="769" ht="15" hidden="0" customHeight="1">
      <x:c r="A769" s="29" t="str">
        <x:v>SCA-25</x:v>
      </x:c>
      <x:c r="B769" s="29" t="str">
        <x:v>SCA-21</x:v>
      </x:c>
      <x:c r="C769" s="53" t="n">
        <x:v>43.68776018808102</x:v>
      </x:c>
      <x:c r="D769" s="29" t="str">
        <x:v>YES</x:v>
      </x:c>
      <x:c r="E769" s="53" t="n">
        <x:v>43.32609729063509</x:v>
      </x:c>
      <x:c r="F769" s="29" t="str">
        <x:v>YES</x:v>
      </x:c>
      <x:c r="G769" s="53" t="n">
        <x:v>14.14471059128616</x:v>
      </x:c>
      <x:c r="H769" s="29" t="str">
        <x:v>YES</x:v>
      </x:c>
      <x:c r="I769" s="53" t="n">
        <x:v>77.78792444057159</x:v>
      </x:c>
      <x:c r="J769" s="29" t="str">
        <x:v>NO</x:v>
      </x:c>
      <x:c r="K769" s="29" t="str">
        <x:v>Air</x:v>
      </x:c>
      <x:c r="L769" s="53" t="n">
        <x:v>14.14471059128616</x:v>
      </x:c>
      <x:c r="M769" s="41" t="n">
        <x:f>INDEX(Catchments!C:C,MATCH(A769,Catchments!A:A,0))</x:f>
        <x:v>6408394</x:v>
      </x:c>
      <x:c r="N769" s="41" t="n">
        <x:f>INDEX(Catchments!C:C,MATCH(B769,Catchments!A:A,0))</x:f>
        <x:v>19593580</x:v>
      </x:c>
    </x:row>
    <x:row r="770" ht="15" hidden="0" customHeight="1">
      <x:c r="A770" s="27" t="str">
        <x:v>SCA-25</x:v>
      </x:c>
      <x:c r="B770" s="27" t="str">
        <x:v>SCA-22</x:v>
      </x:c>
      <x:c r="C770" s="52" t="n">
        <x:v>33.69994678368863</x:v>
      </x:c>
      <x:c r="D770" s="27" t="str">
        <x:v>YES</x:v>
      </x:c>
      <x:c r="E770" s="52" t="n">
        <x:v>35.478529615755356</x:v>
      </x:c>
      <x:c r="F770" s="27" t="str">
        <x:v>YES</x:v>
      </x:c>
      <x:c r="G770" s="52" t="n">
        <x:v>13.413303584866354</x:v>
      </x:c>
      <x:c r="H770" s="27" t="str">
        <x:v>YES</x:v>
      </x:c>
      <x:c r="I770" s="52" t="n">
        <x:v>60.80883322011177</x:v>
      </x:c>
      <x:c r="J770" s="27" t="str">
        <x:v>YES</x:v>
      </x:c>
      <x:c r="K770" s="27" t="str">
        <x:v>Air</x:v>
      </x:c>
      <x:c r="L770" s="52" t="n">
        <x:v>13.413303584866354</x:v>
      </x:c>
      <x:c r="M770" s="40" t="n">
        <x:f>INDEX(Catchments!C:C,MATCH(A770,Catchments!A:A,0))</x:f>
        <x:v>6408394</x:v>
      </x:c>
      <x:c r="N770" s="40" t="n">
        <x:f>INDEX(Catchments!C:C,MATCH(B770,Catchments!A:A,0))</x:f>
        <x:v>14732006</x:v>
      </x:c>
    </x:row>
    <x:row r="771" ht="15" hidden="0" customHeight="1">
      <x:c r="A771" s="29" t="str">
        <x:v>SCA-25</x:v>
      </x:c>
      <x:c r="B771" s="29" t="str">
        <x:v>SCA-23</x:v>
      </x:c>
      <x:c r="C771" s="53" t="n">
        <x:v>22.992439634898897</x:v>
      </x:c>
      <x:c r="D771" s="29" t="str">
        <x:v>YES</x:v>
      </x:c>
      <x:c r="E771" s="53" t="n">
        <x:v>27.06548828456342</x:v>
      </x:c>
      <x:c r="F771" s="29" t="str">
        <x:v>YES</x:v>
      </x:c>
      <x:c r="G771" s="53" t="n">
        <x:v>12.661651076815303</x:v>
      </x:c>
      <x:c r="H771" s="29" t="str">
        <x:v>YES</x:v>
      </x:c>
      <x:c r="I771" s="53" t="n">
        <x:v>43.359757140355256</x:v>
      </x:c>
      <x:c r="J771" s="29" t="str">
        <x:v>YES</x:v>
      </x:c>
      <x:c r="K771" s="29" t="str">
        <x:v>Air</x:v>
      </x:c>
      <x:c r="L771" s="53" t="n">
        <x:v>12.661651076815303</x:v>
      </x:c>
      <x:c r="M771" s="41" t="n">
        <x:f>INDEX(Catchments!C:C,MATCH(A771,Catchments!A:A,0))</x:f>
        <x:v>6408394</x:v>
      </x:c>
      <x:c r="N771" s="41" t="n">
        <x:f>INDEX(Catchments!C:C,MATCH(B771,Catchments!A:A,0))</x:f>
        <x:v>20869310</x:v>
      </x:c>
    </x:row>
    <x:row r="772" ht="15" hidden="0" customHeight="1">
      <x:c r="A772" s="27" t="str">
        <x:v>SCA-25</x:v>
      </x:c>
      <x:c r="B772" s="27" t="str">
        <x:v>SCA-24</x:v>
      </x:c>
      <x:c r="C772" s="52" t="n">
        <x:v>43.44199183484943</x:v>
      </x:c>
      <x:c r="D772" s="27" t="str">
        <x:v>YES</x:v>
      </x:c>
      <x:c r="E772" s="52" t="n">
        <x:v>43.132993584524556</x:v>
      </x:c>
      <x:c r="F772" s="27" t="str">
        <x:v>YES</x:v>
      </x:c>
      <x:c r="G772" s="52" t="n">
        <x:v>14.036467856569026</x:v>
      </x:c>
      <x:c r="H772" s="27" t="str">
        <x:v>YES</x:v>
      </x:c>
      <x:c r="I772" s="52" t="n">
        <x:v>75.27514667035237</x:v>
      </x:c>
      <x:c r="J772" s="27" t="str">
        <x:v>NO</x:v>
      </x:c>
      <x:c r="K772" s="27" t="str">
        <x:v>Air</x:v>
      </x:c>
      <x:c r="L772" s="52" t="n">
        <x:v>14.036467856569026</x:v>
      </x:c>
      <x:c r="M772" s="40" t="n">
        <x:f>INDEX(Catchments!C:C,MATCH(A772,Catchments!A:A,0))</x:f>
        <x:v>6408394</x:v>
      </x:c>
      <x:c r="N772" s="40" t="n">
        <x:f>INDEX(Catchments!C:C,MATCH(B772,Catchments!A:A,0))</x:f>
        <x:v>11816161</x:v>
      </x:c>
    </x:row>
    <x:row r="773" ht="15" hidden="0" customHeight="1">
      <x:c r="A773" s="29" t="str">
        <x:v>SCA-25</x:v>
      </x:c>
      <x:c r="B773" s="29" t="str">
        <x:v>SCA-26</x:v>
      </x:c>
      <x:c r="C773" s="53" t="n">
        <x:v>19.972717377542228</x:v>
      </x:c>
      <x:c r="D773" s="29" t="str">
        <x:v>YES</x:v>
      </x:c>
      <x:c r="E773" s="53" t="n">
        <x:v>24.69284936806889</x:v>
      </x:c>
      <x:c r="F773" s="29" t="str">
        <x:v>YES</x:v>
      </x:c>
      <x:c r="G773" s="53" t="n">
        <x:v>12.439464154869327</x:v>
      </x:c>
      <x:c r="H773" s="29" t="str">
        <x:v>YES</x:v>
      </x:c>
      <x:c r="I773" s="53" t="n">
        <x:v>38.20184645232368</x:v>
      </x:c>
      <x:c r="J773" s="29" t="str">
        <x:v>YES</x:v>
      </x:c>
      <x:c r="K773" s="29" t="str">
        <x:v>Air</x:v>
      </x:c>
      <x:c r="L773" s="53" t="n">
        <x:v>12.439464154869327</x:v>
      </x:c>
      <x:c r="M773" s="41" t="n">
        <x:f>INDEX(Catchments!C:C,MATCH(A773,Catchments!A:A,0))</x:f>
        <x:v>6408394</x:v>
      </x:c>
      <x:c r="N773" s="41" t="n">
        <x:f>INDEX(Catchments!C:C,MATCH(B773,Catchments!A:A,0))</x:f>
        <x:v>10737083</x:v>
      </x:c>
    </x:row>
    <x:row r="774" ht="15" hidden="0" customHeight="1">
      <x:c r="A774" s="27" t="str">
        <x:v>SCA-25</x:v>
      </x:c>
      <x:c r="B774" s="27" t="str">
        <x:v>SCA-27</x:v>
      </x:c>
      <x:c r="C774" s="52" t="n">
        <x:v>25.056867634261295</x:v>
      </x:c>
      <x:c r="D774" s="27" t="str">
        <x:v>YES</x:v>
      </x:c>
      <x:c r="E774" s="52" t="n">
        <x:v>28.687538855491017</x:v>
      </x:c>
      <x:c r="F774" s="27" t="str">
        <x:v>YES</x:v>
      </x:c>
      <x:c r="G774" s="52" t="n">
        <x:v>12.787267905038178</x:v>
      </x:c>
      <x:c r="H774" s="27" t="str">
        <x:v>YES</x:v>
      </x:c>
      <x:c r="I774" s="52" t="n">
        <x:v>46.275862081243396</x:v>
      </x:c>
      <x:c r="J774" s="27" t="str">
        <x:v>YES</x:v>
      </x:c>
      <x:c r="K774" s="27" t="str">
        <x:v>Air</x:v>
      </x:c>
      <x:c r="L774" s="52" t="n">
        <x:v>12.787267905038178</x:v>
      </x:c>
      <x:c r="M774" s="40" t="n">
        <x:f>INDEX(Catchments!C:C,MATCH(A774,Catchments!A:A,0))</x:f>
        <x:v>6408394</x:v>
      </x:c>
      <x:c r="N774" s="40" t="n">
        <x:f>INDEX(Catchments!C:C,MATCH(B774,Catchments!A:A,0))</x:f>
        <x:v>7505606</x:v>
      </x:c>
    </x:row>
    <x:row r="775" ht="15" hidden="0" customHeight="1">
      <x:c r="A775" s="29" t="str">
        <x:v>SCA-25</x:v>
      </x:c>
      <x:c r="B775" s="29" t="str">
        <x:v>SCA-28</x:v>
      </x:c>
      <x:c r="C775" s="53" t="n">
        <x:v>38.16108156559479</x:v>
      </x:c>
      <x:c r="D775" s="29" t="str">
        <x:v>YES</x:v>
      </x:c>
      <x:c r="E775" s="53" t="n">
        <x:v>38.983706944395905</x:v>
      </x:c>
      <x:c r="F775" s="29" t="str">
        <x:v>YES</x:v>
      </x:c>
      <x:c r="G775" s="53" t="n">
        <x:v>13.72030794138669</x:v>
      </x:c>
      <x:c r="H775" s="29" t="str">
        <x:v>YES</x:v>
      </x:c>
      <x:c r="I775" s="53" t="n">
        <x:v>67.9357200679053</x:v>
      </x:c>
      <x:c r="J775" s="29" t="str">
        <x:v>YES</x:v>
      </x:c>
      <x:c r="K775" s="29" t="str">
        <x:v>Air</x:v>
      </x:c>
      <x:c r="L775" s="53" t="n">
        <x:v>13.72030794138669</x:v>
      </x:c>
      <x:c r="M775" s="41" t="n">
        <x:f>INDEX(Catchments!C:C,MATCH(A775,Catchments!A:A,0))</x:f>
        <x:v>6408394</x:v>
      </x:c>
      <x:c r="N775" s="41" t="n">
        <x:f>INDEX(Catchments!C:C,MATCH(B775,Catchments!A:A,0))</x:f>
        <x:v>21305157</x:v>
      </x:c>
    </x:row>
    <x:row r="776" ht="15" hidden="0" customHeight="1">
      <x:c r="A776" s="27" t="str">
        <x:v>SCA-25</x:v>
      </x:c>
      <x:c r="B776" s="27" t="str">
        <x:v>SCA-29</x:v>
      </x:c>
      <x:c r="C776" s="52" t="n">
        <x:v>27.683712627825596</x:v>
      </x:c>
      <x:c r="D776" s="27" t="str">
        <x:v>YES</x:v>
      </x:c>
      <x:c r="E776" s="52" t="n">
        <x:v>30.75148849329154</x:v>
      </x:c>
      <x:c r="F776" s="27" t="str">
        <x:v>YES</x:v>
      </x:c>
      <x:c r="G776" s="52" t="n">
        <x:v>13.006828353886833</x:v>
      </x:c>
      <x:c r="H776" s="27" t="str">
        <x:v>YES</x:v>
      </x:c>
      <x:c r="I776" s="52" t="n">
        <x:v>51.37280107237291</x:v>
      </x:c>
      <x:c r="J776" s="27" t="str">
        <x:v>YES</x:v>
      </x:c>
      <x:c r="K776" s="27" t="str">
        <x:v>Air</x:v>
      </x:c>
      <x:c r="L776" s="52" t="n">
        <x:v>13.006828353886833</x:v>
      </x:c>
      <x:c r="M776" s="40" t="n">
        <x:f>INDEX(Catchments!C:C,MATCH(A776,Catchments!A:A,0))</x:f>
        <x:v>6408394</x:v>
      </x:c>
      <x:c r="N776" s="40" t="n">
        <x:f>INDEX(Catchments!C:C,MATCH(B776,Catchments!A:A,0))</x:f>
        <x:v>19271685</x:v>
      </x:c>
    </x:row>
    <x:row r="777" ht="15" hidden="0" customHeight="1">
      <x:c r="A777" s="29" t="str">
        <x:v>SCA-25</x:v>
      </x:c>
      <x:c r="B777" s="29" t="str">
        <x:v>SCA-30</x:v>
      </x:c>
      <x:c r="C777" s="53" t="n">
        <x:v>41.3387912086458</x:v>
      </x:c>
      <x:c r="D777" s="29" t="str">
        <x:v>YES</x:v>
      </x:c>
      <x:c r="E777" s="53" t="n">
        <x:v>41.48047880679313</x:v>
      </x:c>
      <x:c r="F777" s="29" t="str">
        <x:v>YES</x:v>
      </x:c>
      <x:c r="G777" s="53" t="n">
        <x:v>14.005729338121895</x:v>
      </x:c>
      <x:c r="H777" s="29" t="str">
        <x:v>YES</x:v>
      </x:c>
      <x:c r="I777" s="53" t="n">
        <x:v>74.56157392068688</x:v>
      </x:c>
      <x:c r="J777" s="29" t="str">
        <x:v>NO</x:v>
      </x:c>
      <x:c r="K777" s="29" t="str">
        <x:v>Air</x:v>
      </x:c>
      <x:c r="L777" s="53" t="n">
        <x:v>14.005729338121895</x:v>
      </x:c>
      <x:c r="M777" s="41" t="n">
        <x:f>INDEX(Catchments!C:C,MATCH(A777,Catchments!A:A,0))</x:f>
        <x:v>6408394</x:v>
      </x:c>
      <x:c r="N777" s="41" t="n">
        <x:f>INDEX(Catchments!C:C,MATCH(B777,Catchments!A:A,0))</x:f>
        <x:v>41291847</x:v>
      </x:c>
    </x:row>
    <x:row r="778" ht="15" hidden="0" customHeight="1">
      <x:c r="A778" s="27" t="str">
        <x:v>SCA-25</x:v>
      </x:c>
      <x:c r="B778" s="27" t="str">
        <x:v>SCA-31</x:v>
      </x:c>
      <x:c r="C778" s="52" t="n">
        <x:v>48.48573930294591</x:v>
      </x:c>
      <x:c r="D778" s="27" t="str">
        <x:v>YES</x:v>
      </x:c>
      <x:c r="E778" s="52" t="n">
        <x:v>47.095938023743216</x:v>
      </x:c>
      <x:c r="F778" s="27" t="str">
        <x:v>YES</x:v>
      </x:c>
      <x:c r="G778" s="52" t="n">
        <x:v>14.520753759799469</x:v>
      </x:c>
      <x:c r="H778" s="27" t="str">
        <x:v>YES</x:v>
      </x:c>
      <x:c r="I778" s="52" t="n">
        <x:v>86.51749799534483</x:v>
      </x:c>
      <x:c r="J778" s="27" t="str">
        <x:v>NO</x:v>
      </x:c>
      <x:c r="K778" s="27" t="str">
        <x:v>Air</x:v>
      </x:c>
      <x:c r="L778" s="52" t="n">
        <x:v>14.520753759799469</x:v>
      </x:c>
      <x:c r="M778" s="40" t="n">
        <x:f>INDEX(Catchments!C:C,MATCH(A778,Catchments!A:A,0))</x:f>
        <x:v>6408394</x:v>
      </x:c>
      <x:c r="N778" s="40" t="n">
        <x:f>INDEX(Catchments!C:C,MATCH(B778,Catchments!A:A,0))</x:f>
        <x:v>14227128</x:v>
      </x:c>
    </x:row>
    <x:row r="779" ht="15" hidden="0" customHeight="1">
      <x:c r="A779" s="29" t="str">
        <x:v>SCA-25</x:v>
      </x:c>
      <x:c r="B779" s="29" t="str">
        <x:v>SCA-32</x:v>
      </x:c>
      <x:c r="C779" s="53"/>
      <x:c r="D779" s="29" t="str">
        <x:v>NO</x:v>
      </x:c>
      <x:c r="E779" s="53"/>
      <x:c r="F779" s="29" t="str">
        <x:v>NO</x:v>
      </x:c>
      <x:c r="G779" s="53" t="n">
        <x:v>15.22094529415551</x:v>
      </x:c>
      <x:c r="H779" s="29" t="str">
        <x:v>YES</x:v>
      </x:c>
      <x:c r="I779" s="53" t="n">
        <x:v>102.77194432861006</x:v>
      </x:c>
      <x:c r="J779" s="29" t="str">
        <x:v>NO</x:v>
      </x:c>
      <x:c r="K779" s="29" t="str">
        <x:v>Air</x:v>
      </x:c>
      <x:c r="L779" s="53" t="n">
        <x:v>15.22094529415551</x:v>
      </x:c>
      <x:c r="M779" s="41" t="n">
        <x:f>INDEX(Catchments!C:C,MATCH(A779,Catchments!A:A,0))</x:f>
        <x:v>6408394</x:v>
      </x:c>
      <x:c r="N779" s="41" t="n">
        <x:f>INDEX(Catchments!C:C,MATCH(B779,Catchments!A:A,0))</x:f>
        <x:v>3184835</x:v>
      </x:c>
    </x:row>
    <x:row r="780" ht="15" hidden="0" customHeight="1">
      <x:c r="A780" s="27" t="str">
        <x:v>SCA-26</x:v>
      </x:c>
      <x:c r="B780" s="27" t="str">
        <x:v>SCA-01</x:v>
      </x:c>
      <x:c r="C780" s="52"/>
      <x:c r="D780" s="27" t="str">
        <x:v>NO</x:v>
      </x:c>
      <x:c r="E780" s="52"/>
      <x:c r="F780" s="27" t="str">
        <x:v>NO</x:v>
      </x:c>
      <x:c r="G780" s="52" t="n">
        <x:v>23.669853819524306</x:v>
      </x:c>
      <x:c r="H780" s="27" t="str">
        <x:v>YES</x:v>
      </x:c>
      <x:c r="I780" s="52" t="n">
        <x:v>298.9073208103857</x:v>
      </x:c>
      <x:c r="J780" s="27" t="str">
        <x:v>NO</x:v>
      </x:c>
      <x:c r="K780" s="27" t="str">
        <x:v>Air</x:v>
      </x:c>
      <x:c r="L780" s="52" t="n">
        <x:v>23.669853819524306</x:v>
      </x:c>
      <x:c r="M780" s="40" t="n">
        <x:f>INDEX(Catchments!C:C,MATCH(A780,Catchments!A:A,0))</x:f>
        <x:v>10737083</x:v>
      </x:c>
      <x:c r="N780" s="40" t="n">
        <x:f>INDEX(Catchments!C:C,MATCH(B780,Catchments!A:A,0))</x:f>
        <x:v>1432820</x:v>
      </x:c>
    </x:row>
    <x:row r="781" ht="15" hidden="0" customHeight="1">
      <x:c r="A781" s="29" t="str">
        <x:v>SCA-26</x:v>
      </x:c>
      <x:c r="B781" s="29" t="str">
        <x:v>SCA-02</x:v>
      </x:c>
      <x:c r="C781" s="53"/>
      <x:c r="D781" s="29" t="str">
        <x:v>NO</x:v>
      </x:c>
      <x:c r="E781" s="53"/>
      <x:c r="F781" s="29" t="str">
        <x:v>NO</x:v>
      </x:c>
      <x:c r="G781" s="53" t="n">
        <x:v>21.158252929568448</x:v>
      </x:c>
      <x:c r="H781" s="29" t="str">
        <x:v>YES</x:v>
      </x:c>
      <x:c r="I781" s="53" t="n">
        <x:v>240.6023001506961</x:v>
      </x:c>
      <x:c r="J781" s="29" t="str">
        <x:v>NO</x:v>
      </x:c>
      <x:c r="K781" s="29" t="str">
        <x:v>Air</x:v>
      </x:c>
      <x:c r="L781" s="53" t="n">
        <x:v>21.158252929568448</x:v>
      </x:c>
      <x:c r="M781" s="41" t="n">
        <x:f>INDEX(Catchments!C:C,MATCH(A781,Catchments!A:A,0))</x:f>
        <x:v>10737083</x:v>
      </x:c>
      <x:c r="N781" s="41" t="n">
        <x:f>INDEX(Catchments!C:C,MATCH(B781,Catchments!A:A,0))</x:f>
        <x:v>737270</x:v>
      </x:c>
    </x:row>
    <x:row r="782" ht="15" hidden="0" customHeight="1">
      <x:c r="A782" s="27" t="str">
        <x:v>SCA-26</x:v>
      </x:c>
      <x:c r="B782" s="27" t="str">
        <x:v>SCA-03</x:v>
      </x:c>
      <x:c r="C782" s="52" t="n">
        <x:v>103.46026963294922</x:v>
      </x:c>
      <x:c r="D782" s="27" t="str">
        <x:v>NO</x:v>
      </x:c>
      <x:c r="E782" s="52" t="n">
        <x:v>90.2902118544601</x:v>
      </x:c>
      <x:c r="F782" s="27" t="str">
        <x:v>NO</x:v>
      </x:c>
      <x:c r="G782" s="52" t="n">
        <x:v>18.19091225265143</x:v>
      </x:c>
      <x:c r="H782" s="27" t="str">
        <x:v>YES</x:v>
      </x:c>
      <x:c r="I782" s="52" t="n">
        <x:v>171.71760586512252</x:v>
      </x:c>
      <x:c r="J782" s="27" t="str">
        <x:v>NO</x:v>
      </x:c>
      <x:c r="K782" s="27" t="str">
        <x:v>Air</x:v>
      </x:c>
      <x:c r="L782" s="52" t="n">
        <x:v>18.19091225265143</x:v>
      </x:c>
      <x:c r="M782" s="40" t="n">
        <x:f>INDEX(Catchments!C:C,MATCH(A782,Catchments!A:A,0))</x:f>
        <x:v>10737083</x:v>
      </x:c>
      <x:c r="N782" s="40" t="n">
        <x:f>INDEX(Catchments!C:C,MATCH(B782,Catchments!A:A,0))</x:f>
        <x:v>11968308</x:v>
      </x:c>
    </x:row>
    <x:row r="783" ht="15" hidden="0" customHeight="1">
      <x:c r="A783" s="29" t="str">
        <x:v>SCA-26</x:v>
      </x:c>
      <x:c r="B783" s="29" t="str">
        <x:v>SCA-04</x:v>
      </x:c>
      <x:c r="C783" s="53" t="n">
        <x:v>103.91720679044772</x:v>
      </x:c>
      <x:c r="D783" s="29" t="str">
        <x:v>NO</x:v>
      </x:c>
      <x:c r="E783" s="53" t="n">
        <x:v>90.64923390678035</x:v>
      </x:c>
      <x:c r="F783" s="29" t="str">
        <x:v>NO</x:v>
      </x:c>
      <x:c r="G783" s="53" t="n">
        <x:v>17.896560654971108</x:v>
      </x:c>
      <x:c r="H783" s="29" t="str">
        <x:v>YES</x:v>
      </x:c>
      <x:c r="I783" s="53" t="n">
        <x:v>164.88444377611498</x:v>
      </x:c>
      <x:c r="J783" s="29" t="str">
        <x:v>NO</x:v>
      </x:c>
      <x:c r="K783" s="29" t="str">
        <x:v>Air</x:v>
      </x:c>
      <x:c r="L783" s="53" t="n">
        <x:v>17.896560654971108</x:v>
      </x:c>
      <x:c r="M783" s="41" t="n">
        <x:f>INDEX(Catchments!C:C,MATCH(A783,Catchments!A:A,0))</x:f>
        <x:v>10737083</x:v>
      </x:c>
      <x:c r="N783" s="41" t="n">
        <x:f>INDEX(Catchments!C:C,MATCH(B783,Catchments!A:A,0))</x:f>
        <x:v>16200470</x:v>
      </x:c>
    </x:row>
    <x:row r="784" ht="15" hidden="0" customHeight="1">
      <x:c r="A784" s="27" t="str">
        <x:v>SCA-26</x:v>
      </x:c>
      <x:c r="B784" s="27" t="str">
        <x:v>SCA-05</x:v>
      </x:c>
      <x:c r="C784" s="52" t="n">
        <x:v>95.33059669436199</x:v>
      </x:c>
      <x:c r="D784" s="27" t="str">
        <x:v>NO</x:v>
      </x:c>
      <x:c r="E784" s="52" t="n">
        <x:v>83.90261168842727</x:v>
      </x:c>
      <x:c r="F784" s="27" t="str">
        <x:v>NO</x:v>
      </x:c>
      <x:c r="G784" s="52" t="n">
        <x:v>17.418272743782673</x:v>
      </x:c>
      <x:c r="H784" s="27" t="str">
        <x:v>YES</x:v>
      </x:c>
      <x:c r="I784" s="52" t="n">
        <x:v>153.78133155209775</x:v>
      </x:c>
      <x:c r="J784" s="27" t="str">
        <x:v>NO</x:v>
      </x:c>
      <x:c r="K784" s="27" t="str">
        <x:v>Air</x:v>
      </x:c>
      <x:c r="L784" s="52" t="n">
        <x:v>17.418272743782673</x:v>
      </x:c>
      <x:c r="M784" s="40" t="n">
        <x:f>INDEX(Catchments!C:C,MATCH(A784,Catchments!A:A,0))</x:f>
        <x:v>10737083</x:v>
      </x:c>
      <x:c r="N784" s="40" t="n">
        <x:f>INDEX(Catchments!C:C,MATCH(B784,Catchments!A:A,0))</x:f>
        <x:v>15966265</x:v>
      </x:c>
    </x:row>
    <x:row r="785" ht="15" hidden="0" customHeight="1">
      <x:c r="A785" s="29" t="str">
        <x:v>SCA-26</x:v>
      </x:c>
      <x:c r="B785" s="29" t="str">
        <x:v>SCA-06</x:v>
      </x:c>
      <x:c r="C785" s="53" t="n">
        <x:v>90.95318992563247</x:v>
      </x:c>
      <x:c r="D785" s="29" t="str">
        <x:v>NO</x:v>
      </x:c>
      <x:c r="E785" s="53" t="n">
        <x:v>80.46322065585409</x:v>
      </x:c>
      <x:c r="F785" s="29" t="str">
        <x:v>NO</x:v>
      </x:c>
      <x:c r="G785" s="53" t="n">
        <x:v>17.13760837116346</x:v>
      </x:c>
      <x:c r="H785" s="29" t="str">
        <x:v>YES</x:v>
      </x:c>
      <x:c r="I785" s="53" t="n">
        <x:v>147.26590861629455</x:v>
      </x:c>
      <x:c r="J785" s="29" t="str">
        <x:v>NO</x:v>
      </x:c>
      <x:c r="K785" s="29" t="str">
        <x:v>Air</x:v>
      </x:c>
      <x:c r="L785" s="53" t="n">
        <x:v>17.13760837116346</x:v>
      </x:c>
      <x:c r="M785" s="41" t="n">
        <x:f>INDEX(Catchments!C:C,MATCH(A785,Catchments!A:A,0))</x:f>
        <x:v>10737083</x:v>
      </x:c>
      <x:c r="N785" s="41" t="n">
        <x:f>INDEX(Catchments!C:C,MATCH(B785,Catchments!A:A,0))</x:f>
        <x:v>6008575</x:v>
      </x:c>
    </x:row>
    <x:row r="786" ht="15" hidden="0" customHeight="1">
      <x:c r="A786" s="27" t="str">
        <x:v>SCA-26</x:v>
      </x:c>
      <x:c r="B786" s="27" t="str">
        <x:v>SCA-07</x:v>
      </x:c>
      <x:c r="C786" s="52" t="n">
        <x:v>91.17894885130873</x:v>
      </x:c>
      <x:c r="D786" s="27" t="str">
        <x:v>NO</x:v>
      </x:c>
      <x:c r="E786" s="52" t="n">
        <x:v>80.64060266888544</x:v>
      </x:c>
      <x:c r="F786" s="27" t="str">
        <x:v>NO</x:v>
      </x:c>
      <x:c r="G786" s="52" t="n">
        <x:v>17.01816129828286</x:v>
      </x:c>
      <x:c r="H786" s="27" t="str">
        <x:v>YES</x:v>
      </x:c>
      <x:c r="I786" s="52" t="n">
        <x:v>144.49303013870923</x:v>
      </x:c>
      <x:c r="J786" s="27" t="str">
        <x:v>NO</x:v>
      </x:c>
      <x:c r="K786" s="27" t="str">
        <x:v>Air</x:v>
      </x:c>
      <x:c r="L786" s="52" t="n">
        <x:v>17.01816129828286</x:v>
      </x:c>
      <x:c r="M786" s="40" t="n">
        <x:f>INDEX(Catchments!C:C,MATCH(A786,Catchments!A:A,0))</x:f>
        <x:v>10737083</x:v>
      </x:c>
      <x:c r="N786" s="40" t="n">
        <x:f>INDEX(Catchments!C:C,MATCH(B786,Catchments!A:A,0))</x:f>
        <x:v>5229370</x:v>
      </x:c>
    </x:row>
    <x:row r="787" ht="15" hidden="0" customHeight="1">
      <x:c r="A787" s="29" t="str">
        <x:v>SCA-26</x:v>
      </x:c>
      <x:c r="B787" s="29" t="str">
        <x:v>SCA-08</x:v>
      </x:c>
      <x:c r="C787" s="53" t="n">
        <x:v>91.73927190435813</x:v>
      </x:c>
      <x:c r="D787" s="29" t="str">
        <x:v>NO</x:v>
      </x:c>
      <x:c r="E787" s="53" t="n">
        <x:v>81.0808564962814</x:v>
      </x:c>
      <x:c r="F787" s="29" t="str">
        <x:v>NO</x:v>
      </x:c>
      <x:c r="G787" s="53" t="n">
        <x:v>17.329636587108137</x:v>
      </x:c>
      <x:c r="H787" s="29" t="str">
        <x:v>YES</x:v>
      </x:c>
      <x:c r="I787" s="53" t="n">
        <x:v>151.7237064864389</x:v>
      </x:c>
      <x:c r="J787" s="29" t="str">
        <x:v>NO</x:v>
      </x:c>
      <x:c r="K787" s="29" t="str">
        <x:v>Air</x:v>
      </x:c>
      <x:c r="L787" s="53" t="n">
        <x:v>17.329636587108137</x:v>
      </x:c>
      <x:c r="M787" s="41" t="n">
        <x:f>INDEX(Catchments!C:C,MATCH(A787,Catchments!A:A,0))</x:f>
        <x:v>10737083</x:v>
      </x:c>
      <x:c r="N787" s="41" t="n">
        <x:f>INDEX(Catchments!C:C,MATCH(B787,Catchments!A:A,0))</x:f>
        <x:v>2652387</x:v>
      </x:c>
    </x:row>
    <x:row r="788" ht="15" hidden="0" customHeight="1">
      <x:c r="A788" s="27" t="str">
        <x:v>SCA-26</x:v>
      </x:c>
      <x:c r="B788" s="27" t="str">
        <x:v>SCA-09</x:v>
      </x:c>
      <x:c r="C788" s="52" t="n">
        <x:v>82.7764726208719</x:v>
      </x:c>
      <x:c r="D788" s="27" t="str">
        <x:v>NO</x:v>
      </x:c>
      <x:c r="E788" s="52" t="n">
        <x:v>74.0386570592565</x:v>
      </x:c>
      <x:c r="F788" s="27" t="str">
        <x:v>NO</x:v>
      </x:c>
      <x:c r="G788" s="52" t="n">
        <x:v>16.535996328273704</x:v>
      </x:c>
      <x:c r="H788" s="27" t="str">
        <x:v>YES</x:v>
      </x:c>
      <x:c r="I788" s="52"/>
      <x:c r="J788" s="27" t="str">
        <x:v>NO</x:v>
      </x:c>
      <x:c r="K788" s="27" t="str">
        <x:v>Air</x:v>
      </x:c>
      <x:c r="L788" s="52" t="n">
        <x:v>16.535996328273704</x:v>
      </x:c>
      <x:c r="M788" s="40" t="n">
        <x:f>INDEX(Catchments!C:C,MATCH(A788,Catchments!A:A,0))</x:f>
        <x:v>10737083</x:v>
      </x:c>
      <x:c r="N788" s="40" t="n">
        <x:f>INDEX(Catchments!C:C,MATCH(B788,Catchments!A:A,0))</x:f>
        <x:v>7395716</x:v>
      </x:c>
    </x:row>
    <x:row r="789" ht="15" hidden="0" customHeight="1">
      <x:c r="A789" s="29" t="str">
        <x:v>SCA-26</x:v>
      </x:c>
      <x:c r="B789" s="29" t="str">
        <x:v>SCA-10</x:v>
      </x:c>
      <x:c r="C789" s="53" t="n">
        <x:v>82.7287913149775</x:v>
      </x:c>
      <x:c r="D789" s="29" t="str">
        <x:v>NO</x:v>
      </x:c>
      <x:c r="E789" s="53" t="n">
        <x:v>74.00119317605375</x:v>
      </x:c>
      <x:c r="F789" s="29" t="str">
        <x:v>NO</x:v>
      </x:c>
      <x:c r="G789" s="53" t="n">
        <x:v>16.70149938800827</x:v>
      </x:c>
      <x:c r="H789" s="29" t="str">
        <x:v>YES</x:v>
      </x:c>
      <x:c r="I789" s="53"/>
      <x:c r="J789" s="29" t="str">
        <x:v>NO</x:v>
      </x:c>
      <x:c r="K789" s="29" t="str">
        <x:v>Air</x:v>
      </x:c>
      <x:c r="L789" s="53" t="n">
        <x:v>16.70149938800827</x:v>
      </x:c>
      <x:c r="M789" s="41" t="n">
        <x:f>INDEX(Catchments!C:C,MATCH(A789,Catchments!A:A,0))</x:f>
        <x:v>10737083</x:v>
      </x:c>
      <x:c r="N789" s="41" t="n">
        <x:f>INDEX(Catchments!C:C,MATCH(B789,Catchments!A:A,0))</x:f>
        <x:v>4127033</x:v>
      </x:c>
    </x:row>
    <x:row r="790" ht="15" hidden="0" customHeight="1">
      <x:c r="A790" s="27" t="str">
        <x:v>SCA-26</x:v>
      </x:c>
      <x:c r="B790" s="27" t="str">
        <x:v>SCA-11</x:v>
      </x:c>
      <x:c r="C790" s="52" t="n">
        <x:v>69.10824804869716</x:v>
      </x:c>
      <x:c r="D790" s="27" t="str">
        <x:v>YES</x:v>
      </x:c>
      <x:c r="E790" s="52" t="n">
        <x:v>63.29933775254778</x:v>
      </x:c>
      <x:c r="F790" s="27" t="str">
        <x:v>YES</x:v>
      </x:c>
      <x:c r="G790" s="52" t="n">
        <x:v>15.534939435707333</x:v>
      </x:c>
      <x:c r="H790" s="27" t="str">
        <x:v>YES</x:v>
      </x:c>
      <x:c r="I790" s="52" t="n">
        <x:v>110.06109404320594</x:v>
      </x:c>
      <x:c r="J790" s="27" t="str">
        <x:v>NO</x:v>
      </x:c>
      <x:c r="K790" s="27" t="str">
        <x:v>Air</x:v>
      </x:c>
      <x:c r="L790" s="52" t="n">
        <x:v>15.534939435707333</x:v>
      </x:c>
      <x:c r="M790" s="40" t="n">
        <x:f>INDEX(Catchments!C:C,MATCH(A790,Catchments!A:A,0))</x:f>
        <x:v>10737083</x:v>
      </x:c>
      <x:c r="N790" s="40" t="n">
        <x:f>INDEX(Catchments!C:C,MATCH(B790,Catchments!A:A,0))</x:f>
        <x:v>3517787</x:v>
      </x:c>
    </x:row>
    <x:row r="791" ht="15" hidden="0" customHeight="1">
      <x:c r="A791" s="29" t="str">
        <x:v>SCA-26</x:v>
      </x:c>
      <x:c r="B791" s="29" t="str">
        <x:v>SCA-12</x:v>
      </x:c>
      <x:c r="C791" s="53" t="n">
        <x:v>70.43319200140581</x:v>
      </x:c>
      <x:c r="D791" s="29" t="str">
        <x:v>YES</x:v>
      </x:c>
      <x:c r="E791" s="53" t="n">
        <x:v>64.34036514396172</x:v>
      </x:c>
      <x:c r="F791" s="29" t="str">
        <x:v>YES</x:v>
      </x:c>
      <x:c r="G791" s="53" t="n">
        <x:v>15.797289914210468</x:v>
      </x:c>
      <x:c r="H791" s="29" t="str">
        <x:v>YES</x:v>
      </x:c>
      <x:c r="I791" s="53"/>
      <x:c r="J791" s="29" t="str">
        <x:v>NO</x:v>
      </x:c>
      <x:c r="K791" s="29" t="str">
        <x:v>Air</x:v>
      </x:c>
      <x:c r="L791" s="53" t="n">
        <x:v>15.797289914210468</x:v>
      </x:c>
      <x:c r="M791" s="41" t="n">
        <x:f>INDEX(Catchments!C:C,MATCH(A791,Catchments!A:A,0))</x:f>
        <x:v>10737083</x:v>
      </x:c>
      <x:c r="N791" s="41" t="n">
        <x:f>INDEX(Catchments!C:C,MATCH(B791,Catchments!A:A,0))</x:f>
        <x:v>7465186</x:v>
      </x:c>
    </x:row>
    <x:row r="792" ht="15" hidden="0" customHeight="1">
      <x:c r="A792" s="27" t="str">
        <x:v>SCA-26</x:v>
      </x:c>
      <x:c r="B792" s="27" t="str">
        <x:v>SCA-13</x:v>
      </x:c>
      <x:c r="C792" s="52" t="n">
        <x:v>59.91287809168296</x:v>
      </x:c>
      <x:c r="D792" s="27" t="str">
        <x:v>YES</x:v>
      </x:c>
      <x:c r="E792" s="52" t="n">
        <x:v>56.074404214893754</x:v>
      </x:c>
      <x:c r="F792" s="27" t="str">
        <x:v>YES</x:v>
      </x:c>
      <x:c r="G792" s="52" t="n">
        <x:v>14.457968886893877</x:v>
      </x:c>
      <x:c r="H792" s="27" t="str">
        <x:v>YES</x:v>
      </x:c>
      <x:c r="I792" s="52" t="n">
        <x:v>85.05999201717925</x:v>
      </x:c>
      <x:c r="J792" s="27" t="str">
        <x:v>NO</x:v>
      </x:c>
      <x:c r="K792" s="27" t="str">
        <x:v>Air</x:v>
      </x:c>
      <x:c r="L792" s="52" t="n">
        <x:v>14.457968886893877</x:v>
      </x:c>
      <x:c r="M792" s="40" t="n">
        <x:f>INDEX(Catchments!C:C,MATCH(A792,Catchments!A:A,0))</x:f>
        <x:v>10737083</x:v>
      </x:c>
      <x:c r="N792" s="40" t="n">
        <x:f>INDEX(Catchments!C:C,MATCH(B792,Catchments!A:A,0))</x:f>
        <x:v>6759014</x:v>
      </x:c>
    </x:row>
    <x:row r="793" ht="15" hidden="0" customHeight="1">
      <x:c r="A793" s="29" t="str">
        <x:v>SCA-26</x:v>
      </x:c>
      <x:c r="B793" s="29" t="str">
        <x:v>SCA-14</x:v>
      </x:c>
      <x:c r="C793" s="53" t="n">
        <x:v>67.25042015944862</x:v>
      </x:c>
      <x:c r="D793" s="29" t="str">
        <x:v>YES</x:v>
      </x:c>
      <x:c r="E793" s="53" t="n">
        <x:v>61.839615839566775</x:v>
      </x:c>
      <x:c r="F793" s="29" t="str">
        <x:v>YES</x:v>
      </x:c>
      <x:c r="G793" s="53" t="n">
        <x:v>14.468224630609662</x:v>
      </x:c>
      <x:c r="H793" s="29" t="str">
        <x:v>YES</x:v>
      </x:c>
      <x:c r="I793" s="53" t="n">
        <x:v>85.29807178200998</x:v>
      </x:c>
      <x:c r="J793" s="29" t="str">
        <x:v>NO</x:v>
      </x:c>
      <x:c r="K793" s="29" t="str">
        <x:v>Air</x:v>
      </x:c>
      <x:c r="L793" s="53" t="n">
        <x:v>14.468224630609662</x:v>
      </x:c>
      <x:c r="M793" s="41" t="n">
        <x:f>INDEX(Catchments!C:C,MATCH(A793,Catchments!A:A,0))</x:f>
        <x:v>10737083</x:v>
      </x:c>
      <x:c r="N793" s="41" t="n">
        <x:f>INDEX(Catchments!C:C,MATCH(B793,Catchments!A:A,0))</x:f>
        <x:v>2179728</x:v>
      </x:c>
    </x:row>
    <x:row r="794" ht="15" hidden="0" customHeight="1">
      <x:c r="A794" s="27" t="str">
        <x:v>SCA-26</x:v>
      </x:c>
      <x:c r="B794" s="27" t="str">
        <x:v>SCA-15</x:v>
      </x:c>
      <x:c r="C794" s="52" t="n">
        <x:v>52.64683589479831</x:v>
      </x:c>
      <x:c r="D794" s="27" t="str">
        <x:v>YES</x:v>
      </x:c>
      <x:c r="E794" s="52" t="n">
        <x:v>50.36537106019867</x:v>
      </x:c>
      <x:c r="F794" s="27" t="str">
        <x:v>YES</x:v>
      </x:c>
      <x:c r="G794" s="52" t="n">
        <x:v>14.347096119840332</x:v>
      </x:c>
      <x:c r="H794" s="27" t="str">
        <x:v>YES</x:v>
      </x:c>
      <x:c r="I794" s="52" t="n">
        <x:v>82.48615992486486</x:v>
      </x:c>
      <x:c r="J794" s="27" t="str">
        <x:v>NO</x:v>
      </x:c>
      <x:c r="K794" s="27" t="str">
        <x:v>Air</x:v>
      </x:c>
      <x:c r="L794" s="52" t="n">
        <x:v>14.347096119840332</x:v>
      </x:c>
      <x:c r="M794" s="40" t="n">
        <x:f>INDEX(Catchments!C:C,MATCH(A794,Catchments!A:A,0))</x:f>
        <x:v>10737083</x:v>
      </x:c>
      <x:c r="N794" s="40" t="n">
        <x:f>INDEX(Catchments!C:C,MATCH(B794,Catchments!A:A,0))</x:f>
        <x:v>13192386</x:v>
      </x:c>
    </x:row>
    <x:row r="795" ht="15" hidden="0" customHeight="1">
      <x:c r="A795" s="29" t="str">
        <x:v>SCA-26</x:v>
      </x:c>
      <x:c r="B795" s="29" t="str">
        <x:v>SCA-16</x:v>
      </x:c>
      <x:c r="C795" s="53" t="n">
        <x:v>54.21287851062217</x:v>
      </x:c>
      <x:c r="D795" s="29" t="str">
        <x:v>YES</x:v>
      </x:c>
      <x:c r="E795" s="53" t="n">
        <x:v>51.595833115488844</x:v>
      </x:c>
      <x:c r="F795" s="29" t="str">
        <x:v>YES</x:v>
      </x:c>
      <x:c r="G795" s="53" t="n">
        <x:v>14.665319044840151</x:v>
      </x:c>
      <x:c r="H795" s="29" t="str">
        <x:v>YES</x:v>
      </x:c>
      <x:c r="I795" s="53"/>
      <x:c r="J795" s="29" t="str">
        <x:v>NO</x:v>
      </x:c>
      <x:c r="K795" s="29" t="str">
        <x:v>Air</x:v>
      </x:c>
      <x:c r="L795" s="53" t="n">
        <x:v>14.665319044840151</x:v>
      </x:c>
      <x:c r="M795" s="41" t="n">
        <x:f>INDEX(Catchments!C:C,MATCH(A795,Catchments!A:A,0))</x:f>
        <x:v>10737083</x:v>
      </x:c>
      <x:c r="N795" s="41" t="n">
        <x:f>INDEX(Catchments!C:C,MATCH(B795,Catchments!A:A,0))</x:f>
        <x:v>10177969</x:v>
      </x:c>
    </x:row>
    <x:row r="796" ht="15" hidden="0" customHeight="1">
      <x:c r="A796" s="27" t="str">
        <x:v>SCA-26</x:v>
      </x:c>
      <x:c r="B796" s="27" t="str">
        <x:v>SCA-17</x:v>
      </x:c>
      <x:c r="C796" s="52" t="n">
        <x:v>52.05223007449256</x:v>
      </x:c>
      <x:c r="D796" s="27" t="str">
        <x:v>YES</x:v>
      </x:c>
      <x:c r="E796" s="52" t="n">
        <x:v>49.898180772815586</x:v>
      </x:c>
      <x:c r="F796" s="27" t="str">
        <x:v>YES</x:v>
      </x:c>
      <x:c r="G796" s="52" t="n">
        <x:v>13.88339860709564</x:v>
      </x:c>
      <x:c r="H796" s="27" t="str">
        <x:v>YES</x:v>
      </x:c>
      <x:c r="I796" s="52" t="n">
        <x:v>71.72175337900589</x:v>
      </x:c>
      <x:c r="J796" s="27" t="str">
        <x:v>YES</x:v>
      </x:c>
      <x:c r="K796" s="27" t="str">
        <x:v>Air</x:v>
      </x:c>
      <x:c r="L796" s="52" t="n">
        <x:v>13.88339860709564</x:v>
      </x:c>
      <x:c r="M796" s="40" t="n">
        <x:f>INDEX(Catchments!C:C,MATCH(A796,Catchments!A:A,0))</x:f>
        <x:v>10737083</x:v>
      </x:c>
      <x:c r="N796" s="40" t="n">
        <x:f>INDEX(Catchments!C:C,MATCH(B796,Catchments!A:A,0))</x:f>
        <x:v>12843509</x:v>
      </x:c>
    </x:row>
    <x:row r="797" ht="15" hidden="0" customHeight="1">
      <x:c r="A797" s="29" t="str">
        <x:v>SCA-26</x:v>
      </x:c>
      <x:c r="B797" s="29" t="str">
        <x:v>SCA-18</x:v>
      </x:c>
      <x:c r="C797" s="53" t="n">
        <x:v>61.32596022209352</x:v>
      </x:c>
      <x:c r="D797" s="29" t="str">
        <x:v>YES</x:v>
      </x:c>
      <x:c r="E797" s="53" t="n">
        <x:v>57.18468303164491</x:v>
      </x:c>
      <x:c r="F797" s="29" t="str">
        <x:v>YES</x:v>
      </x:c>
      <x:c r="G797" s="53" t="n">
        <x:v>15.301667188362282</x:v>
      </x:c>
      <x:c r="H797" s="29" t="str">
        <x:v>YES</x:v>
      </x:c>
      <x:c r="I797" s="53" t="n">
        <x:v>104.6458454441244</x:v>
      </x:c>
      <x:c r="J797" s="29" t="str">
        <x:v>NO</x:v>
      </x:c>
      <x:c r="K797" s="29" t="str">
        <x:v>Air</x:v>
      </x:c>
      <x:c r="L797" s="53" t="n">
        <x:v>15.301667188362282</x:v>
      </x:c>
      <x:c r="M797" s="41" t="n">
        <x:f>INDEX(Catchments!C:C,MATCH(A797,Catchments!A:A,0))</x:f>
        <x:v>10737083</x:v>
      </x:c>
      <x:c r="N797" s="41" t="n">
        <x:f>INDEX(Catchments!C:C,MATCH(B797,Catchments!A:A,0))</x:f>
        <x:v>11004680</x:v>
      </x:c>
    </x:row>
    <x:row r="798" ht="15" hidden="0" customHeight="1">
      <x:c r="A798" s="27" t="str">
        <x:v>SCA-26</x:v>
      </x:c>
      <x:c r="B798" s="27" t="str">
        <x:v>SCA-19</x:v>
      </x:c>
      <x:c r="C798" s="52" t="n">
        <x:v>49.81053017687321</x:v>
      </x:c>
      <x:c r="D798" s="27" t="str">
        <x:v>YES</x:v>
      </x:c>
      <x:c r="E798" s="52" t="n">
        <x:v>48.13684513897181</x:v>
      </x:c>
      <x:c r="F798" s="27" t="str">
        <x:v>YES</x:v>
      </x:c>
      <x:c r="G798" s="52" t="n">
        <x:v>14.24250242372433</x:v>
      </x:c>
      <x:c r="H798" s="27" t="str">
        <x:v>YES</x:v>
      </x:c>
      <x:c r="I798" s="52" t="n">
        <x:v>80.0580919793148</x:v>
      </x:c>
      <x:c r="J798" s="27" t="str">
        <x:v>NO</x:v>
      </x:c>
      <x:c r="K798" s="27" t="str">
        <x:v>Air</x:v>
      </x:c>
      <x:c r="L798" s="52" t="n">
        <x:v>14.24250242372433</x:v>
      </x:c>
      <x:c r="M798" s="40" t="n">
        <x:f>INDEX(Catchments!C:C,MATCH(A798,Catchments!A:A,0))</x:f>
        <x:v>10737083</x:v>
      </x:c>
      <x:c r="N798" s="40" t="n">
        <x:f>INDEX(Catchments!C:C,MATCH(B798,Catchments!A:A,0))</x:f>
        <x:v>6677653</x:v>
      </x:c>
    </x:row>
    <x:row r="799" ht="15" hidden="0" customHeight="1">
      <x:c r="A799" s="29" t="str">
        <x:v>SCA-26</x:v>
      </x:c>
      <x:c r="B799" s="29" t="str">
        <x:v>SCA-20</x:v>
      </x:c>
      <x:c r="C799" s="53" t="n">
        <x:v>39.50150235515377</x:v>
      </x:c>
      <x:c r="D799" s="29" t="str">
        <x:v>YES</x:v>
      </x:c>
      <x:c r="E799" s="53" t="n">
        <x:v>40.03689470762082</x:v>
      </x:c>
      <x:c r="F799" s="29" t="str">
        <x:v>YES</x:v>
      </x:c>
      <x:c r="G799" s="53" t="n">
        <x:v>13.583456645962304</x:v>
      </x:c>
      <x:c r="H799" s="29" t="str">
        <x:v>YES</x:v>
      </x:c>
      <x:c r="I799" s="53" t="n">
        <x:v>64.7588149955535</x:v>
      </x:c>
      <x:c r="J799" s="29" t="str">
        <x:v>YES</x:v>
      </x:c>
      <x:c r="K799" s="29" t="str">
        <x:v>Air</x:v>
      </x:c>
      <x:c r="L799" s="53" t="n">
        <x:v>13.583456645962304</x:v>
      </x:c>
      <x:c r="M799" s="41" t="n">
        <x:f>INDEX(Catchments!C:C,MATCH(A799,Catchments!A:A,0))</x:f>
        <x:v>10737083</x:v>
      </x:c>
      <x:c r="N799" s="41" t="n">
        <x:f>INDEX(Catchments!C:C,MATCH(B799,Catchments!A:A,0))</x:f>
        <x:v>8490774</x:v>
      </x:c>
    </x:row>
    <x:row r="800" ht="15" hidden="0" customHeight="1">
      <x:c r="A800" s="27" t="str">
        <x:v>SCA-26</x:v>
      </x:c>
      <x:c r="B800" s="27" t="str">
        <x:v>SCA-21</x:v>
      </x:c>
      <x:c r="C800" s="52" t="n">
        <x:v>49.660477565623246</x:v>
      </x:c>
      <x:c r="D800" s="27" t="str">
        <x:v>YES</x:v>
      </x:c>
      <x:c r="E800" s="52" t="n">
        <x:v>48.01894665870398</x:v>
      </x:c>
      <x:c r="F800" s="27" t="str">
        <x:v>YES</x:v>
      </x:c>
      <x:c r="G800" s="52" t="n">
        <x:v>14.569799124850359</x:v>
      </x:c>
      <x:c r="H800" s="27" t="str">
        <x:v>YES</x:v>
      </x:c>
      <x:c r="I800" s="52" t="n">
        <x:v>87.65605111259762</x:v>
      </x:c>
      <x:c r="J800" s="27" t="str">
        <x:v>NO</x:v>
      </x:c>
      <x:c r="K800" s="27" t="str">
        <x:v>Air</x:v>
      </x:c>
      <x:c r="L800" s="52" t="n">
        <x:v>14.569799124850359</x:v>
      </x:c>
      <x:c r="M800" s="40" t="n">
        <x:f>INDEX(Catchments!C:C,MATCH(A800,Catchments!A:A,0))</x:f>
        <x:v>10737083</x:v>
      </x:c>
      <x:c r="N800" s="40" t="n">
        <x:f>INDEX(Catchments!C:C,MATCH(B800,Catchments!A:A,0))</x:f>
        <x:v>19593580</x:v>
      </x:c>
    </x:row>
    <x:row r="801" ht="15" hidden="0" customHeight="1">
      <x:c r="A801" s="29" t="str">
        <x:v>SCA-26</x:v>
      </x:c>
      <x:c r="B801" s="29" t="str">
        <x:v>SCA-22</x:v>
      </x:c>
      <x:c r="C801" s="53" t="n">
        <x:v>39.67266416123087</x:v>
      </x:c>
      <x:c r="D801" s="29" t="str">
        <x:v>YES</x:v>
      </x:c>
      <x:c r="E801" s="53" t="n">
        <x:v>40.171378983824255</x:v>
      </x:c>
      <x:c r="F801" s="29" t="str">
        <x:v>YES</x:v>
      </x:c>
      <x:c r="G801" s="53" t="n">
        <x:v>13.84314731353014</x:v>
      </x:c>
      <x:c r="H801" s="29" t="str">
        <x:v>YES</x:v>
      </x:c>
      <x:c r="I801" s="53" t="n">
        <x:v>70.78734834980683</x:v>
      </x:c>
      <x:c r="J801" s="29" t="str">
        <x:v>YES</x:v>
      </x:c>
      <x:c r="K801" s="29" t="str">
        <x:v>Air</x:v>
      </x:c>
      <x:c r="L801" s="53" t="n">
        <x:v>13.84314731353014</x:v>
      </x:c>
      <x:c r="M801" s="41" t="n">
        <x:f>INDEX(Catchments!C:C,MATCH(A801,Catchments!A:A,0))</x:f>
        <x:v>10737083</x:v>
      </x:c>
      <x:c r="N801" s="41" t="n">
        <x:f>INDEX(Catchments!C:C,MATCH(B801,Catchments!A:A,0))</x:f>
        <x:v>14732006</x:v>
      </x:c>
    </x:row>
    <x:row r="802" ht="15" hidden="0" customHeight="1">
      <x:c r="A802" s="27" t="str">
        <x:v>SCA-26</x:v>
      </x:c>
      <x:c r="B802" s="27" t="str">
        <x:v>SCA-23</x:v>
      </x:c>
      <x:c r="C802" s="52" t="n">
        <x:v>28.965157012441125</x:v>
      </x:c>
      <x:c r="D802" s="27" t="str">
        <x:v>YES</x:v>
      </x:c>
      <x:c r="E802" s="52" t="n">
        <x:v>31.758337652632314</x:v>
      </x:c>
      <x:c r="F802" s="27" t="str">
        <x:v>YES</x:v>
      </x:c>
      <x:c r="G802" s="52" t="n">
        <x:v>13.070238826515624</x:v>
      </x:c>
      <x:c r="H802" s="27" t="str">
        <x:v>YES</x:v>
      </x:c>
      <x:c r="I802" s="52" t="n">
        <x:v>52.84482990125552</x:v>
      </x:c>
      <x:c r="J802" s="27" t="str">
        <x:v>YES</x:v>
      </x:c>
      <x:c r="K802" s="27" t="str">
        <x:v>Air</x:v>
      </x:c>
      <x:c r="L802" s="52" t="n">
        <x:v>13.070238826515624</x:v>
      </x:c>
      <x:c r="M802" s="40" t="n">
        <x:f>INDEX(Catchments!C:C,MATCH(A802,Catchments!A:A,0))</x:f>
        <x:v>10737083</x:v>
      </x:c>
      <x:c r="N802" s="40" t="n">
        <x:f>INDEX(Catchments!C:C,MATCH(B802,Catchments!A:A,0))</x:f>
        <x:v>20869310</x:v>
      </x:c>
    </x:row>
    <x:row r="803" ht="15" hidden="0" customHeight="1">
      <x:c r="A803" s="29" t="str">
        <x:v>SCA-26</x:v>
      </x:c>
      <x:c r="B803" s="29" t="str">
        <x:v>SCA-24</x:v>
      </x:c>
      <x:c r="C803" s="53" t="n">
        <x:v>49.41470921239166</x:v>
      </x:c>
      <x:c r="D803" s="29" t="str">
        <x:v>YES</x:v>
      </x:c>
      <x:c r="E803" s="53" t="n">
        <x:v>47.82584295259345</x:v>
      </x:c>
      <x:c r="F803" s="29" t="str">
        <x:v>YES</x:v>
      </x:c>
      <x:c r="G803" s="53" t="n">
        <x:v>14.47577570641674</x:v>
      </x:c>
      <x:c r="H803" s="29" t="str">
        <x:v>YES</x:v>
      </x:c>
      <x:c r="I803" s="53" t="n">
        <x:v>85.47336461324574</x:v>
      </x:c>
      <x:c r="J803" s="29" t="str">
        <x:v>NO</x:v>
      </x:c>
      <x:c r="K803" s="29" t="str">
        <x:v>Air</x:v>
      </x:c>
      <x:c r="L803" s="53" t="n">
        <x:v>14.47577570641674</x:v>
      </x:c>
      <x:c r="M803" s="41" t="n">
        <x:f>INDEX(Catchments!C:C,MATCH(A803,Catchments!A:A,0))</x:f>
        <x:v>10737083</x:v>
      </x:c>
      <x:c r="N803" s="41" t="n">
        <x:f>INDEX(Catchments!C:C,MATCH(B803,Catchments!A:A,0))</x:f>
        <x:v>11816161</x:v>
      </x:c>
    </x:row>
    <x:row r="804" ht="15" hidden="0" customHeight="1">
      <x:c r="A804" s="27" t="str">
        <x:v>SCA-26</x:v>
      </x:c>
      <x:c r="B804" s="27" t="str">
        <x:v>SCA-25</x:v>
      </x:c>
      <x:c r="C804" s="52" t="n">
        <x:v>19.972717377542228</x:v>
      </x:c>
      <x:c r="D804" s="27" t="str">
        <x:v>YES</x:v>
      </x:c>
      <x:c r="E804" s="52" t="n">
        <x:v>24.69284936806889</x:v>
      </x:c>
      <x:c r="F804" s="27" t="str">
        <x:v>YES</x:v>
      </x:c>
      <x:c r="G804" s="52" t="n">
        <x:v>12.439464154869327</x:v>
      </x:c>
      <x:c r="H804" s="27" t="str">
        <x:v>YES</x:v>
      </x:c>
      <x:c r="I804" s="52" t="n">
        <x:v>38.20184645232368</x:v>
      </x:c>
      <x:c r="J804" s="27" t="str">
        <x:v>YES</x:v>
      </x:c>
      <x:c r="K804" s="27" t="str">
        <x:v>Air</x:v>
      </x:c>
      <x:c r="L804" s="52" t="n">
        <x:v>12.439464154869327</x:v>
      </x:c>
      <x:c r="M804" s="40" t="n">
        <x:f>INDEX(Catchments!C:C,MATCH(A804,Catchments!A:A,0))</x:f>
        <x:v>10737083</x:v>
      </x:c>
      <x:c r="N804" s="40" t="n">
        <x:f>INDEX(Catchments!C:C,MATCH(B804,Catchments!A:A,0))</x:f>
        <x:v>6408394</x:v>
      </x:c>
    </x:row>
    <x:row r="805" ht="15" hidden="0" customHeight="1">
      <x:c r="A805" s="29" t="str">
        <x:v>SCA-26</x:v>
      </x:c>
      <x:c r="B805" s="29" t="str">
        <x:v>SCA-27</x:v>
      </x:c>
      <x:c r="C805" s="53" t="n">
        <x:v>19.084150256719067</x:v>
      </x:c>
      <x:c r="D805" s="29" t="str">
        <x:v>YES</x:v>
      </x:c>
      <x:c r="E805" s="53" t="n">
        <x:v>23.99468948742212</x:v>
      </x:c>
      <x:c r="F805" s="29" t="str">
        <x:v>YES</x:v>
      </x:c>
      <x:c r="G805" s="53" t="n">
        <x:v>12.374084634273643</x:v>
      </x:c>
      <x:c r="H805" s="29" t="str">
        <x:v>YES</x:v>
      </x:c>
      <x:c r="I805" s="53" t="n">
        <x:v>36.68410758135244</x:v>
      </x:c>
      <x:c r="J805" s="29" t="str">
        <x:v>YES</x:v>
      </x:c>
      <x:c r="K805" s="29" t="str">
        <x:v>Air</x:v>
      </x:c>
      <x:c r="L805" s="53" t="n">
        <x:v>12.374084634273643</x:v>
      </x:c>
      <x:c r="M805" s="41" t="n">
        <x:f>INDEX(Catchments!C:C,MATCH(A805,Catchments!A:A,0))</x:f>
        <x:v>10737083</x:v>
      </x:c>
      <x:c r="N805" s="41" t="n">
        <x:f>INDEX(Catchments!C:C,MATCH(B805,Catchments!A:A,0))</x:f>
        <x:v>7505606</x:v>
      </x:c>
    </x:row>
    <x:row r="806" ht="15" hidden="0" customHeight="1">
      <x:c r="A806" s="27" t="str">
        <x:v>SCA-26</x:v>
      </x:c>
      <x:c r="B806" s="27" t="str">
        <x:v>SCA-28</x:v>
      </x:c>
      <x:c r="C806" s="52" t="n">
        <x:v>44.133798943137016</x:v>
      </x:c>
      <x:c r="D806" s="27" t="str">
        <x:v>YES</x:v>
      </x:c>
      <x:c r="E806" s="52" t="n">
        <x:v>43.6765563124648</x:v>
      </x:c>
      <x:c r="F806" s="27" t="str">
        <x:v>YES</x:v>
      </x:c>
      <x:c r="G806" s="52" t="n">
        <x:v>14.145536890667891</x:v>
      </x:c>
      <x:c r="H806" s="27" t="str">
        <x:v>YES</x:v>
      </x:c>
      <x:c r="I806" s="52" t="n">
        <x:v>77.8071063905046</x:v>
      </x:c>
      <x:c r="J806" s="27" t="str">
        <x:v>NO</x:v>
      </x:c>
      <x:c r="K806" s="27" t="str">
        <x:v>Air</x:v>
      </x:c>
      <x:c r="L806" s="52" t="n">
        <x:v>14.145536890667891</x:v>
      </x:c>
      <x:c r="M806" s="40" t="n">
        <x:f>INDEX(Catchments!C:C,MATCH(A806,Catchments!A:A,0))</x:f>
        <x:v>10737083</x:v>
      </x:c>
      <x:c r="N806" s="40" t="n">
        <x:f>INDEX(Catchments!C:C,MATCH(B806,Catchments!A:A,0))</x:f>
        <x:v>21305157</x:v>
      </x:c>
    </x:row>
    <x:row r="807" ht="15" hidden="0" customHeight="1">
      <x:c r="A807" s="29" t="str">
        <x:v>SCA-26</x:v>
      </x:c>
      <x:c r="B807" s="29" t="str">
        <x:v>SCA-29</x:v>
      </x:c>
      <x:c r="C807" s="53" t="n">
        <x:v>33.656430005367824</x:v>
      </x:c>
      <x:c r="D807" s="29" t="str">
        <x:v>YES</x:v>
      </x:c>
      <x:c r="E807" s="53" t="n">
        <x:v>35.44433786136043</x:v>
      </x:c>
      <x:c r="F807" s="29" t="str">
        <x:v>YES</x:v>
      </x:c>
      <x:c r="G807" s="53" t="n">
        <x:v>13.407026652258482</x:v>
      </x:c>
      <x:c r="H807" s="29" t="str">
        <x:v>YES</x:v>
      </x:c>
      <x:c r="I807" s="53" t="n">
        <x:v>60.66311871314334</x:v>
      </x:c>
      <x:c r="J807" s="29" t="str">
        <x:v>YES</x:v>
      </x:c>
      <x:c r="K807" s="29" t="str">
        <x:v>Air</x:v>
      </x:c>
      <x:c r="L807" s="53" t="n">
        <x:v>13.407026652258482</x:v>
      </x:c>
      <x:c r="M807" s="41" t="n">
        <x:f>INDEX(Catchments!C:C,MATCH(A807,Catchments!A:A,0))</x:f>
        <x:v>10737083</x:v>
      </x:c>
      <x:c r="N807" s="41" t="n">
        <x:f>INDEX(Catchments!C:C,MATCH(B807,Catchments!A:A,0))</x:f>
        <x:v>19271685</x:v>
      </x:c>
    </x:row>
    <x:row r="808" ht="15" hidden="0" customHeight="1">
      <x:c r="A808" s="27" t="str">
        <x:v>SCA-26</x:v>
      </x:c>
      <x:c r="B808" s="27" t="str">
        <x:v>SCA-30</x:v>
      </x:c>
      <x:c r="C808" s="52" t="n">
        <x:v>47.311508586188026</x:v>
      </x:c>
      <x:c r="D808" s="27" t="str">
        <x:v>YES</x:v>
      </x:c>
      <x:c r="E808" s="52" t="n">
        <x:v>46.17332817486202</x:v>
      </x:c>
      <x:c r="F808" s="27" t="str">
        <x:v>YES</x:v>
      </x:c>
      <x:c r="G808" s="52" t="n">
        <x:v>14.384410515360525</x:v>
      </x:c>
      <x:c r="H808" s="27" t="str">
        <x:v>YES</x:v>
      </x:c>
      <x:c r="I808" s="52" t="n">
        <x:v>83.3523869637265</x:v>
      </x:c>
      <x:c r="J808" s="27" t="str">
        <x:v>NO</x:v>
      </x:c>
      <x:c r="K808" s="27" t="str">
        <x:v>Air</x:v>
      </x:c>
      <x:c r="L808" s="52" t="n">
        <x:v>14.384410515360525</x:v>
      </x:c>
      <x:c r="M808" s="40" t="n">
        <x:f>INDEX(Catchments!C:C,MATCH(A808,Catchments!A:A,0))</x:f>
        <x:v>10737083</x:v>
      </x:c>
      <x:c r="N808" s="40" t="n">
        <x:f>INDEX(Catchments!C:C,MATCH(B808,Catchments!A:A,0))</x:f>
        <x:v>41291847</x:v>
      </x:c>
    </x:row>
    <x:row r="809" ht="15" hidden="0" customHeight="1">
      <x:c r="A809" s="29" t="str">
        <x:v>SCA-26</x:v>
      </x:c>
      <x:c r="B809" s="29" t="str">
        <x:v>SCA-31</x:v>
      </x:c>
      <x:c r="C809" s="53" t="n">
        <x:v>54.45845668048813</x:v>
      </x:c>
      <x:c r="D809" s="29" t="str">
        <x:v>YES</x:v>
      </x:c>
      <x:c r="E809" s="53" t="n">
        <x:v>51.78878739181211</x:v>
      </x:c>
      <x:c r="F809" s="29" t="str">
        <x:v>YES</x:v>
      </x:c>
      <x:c r="G809" s="53" t="n">
        <x:v>14.886719462656288</x:v>
      </x:c>
      <x:c r="H809" s="29" t="str">
        <x:v>YES</x:v>
      </x:c>
      <x:c r="I809" s="53" t="n">
        <x:v>95.01313038309239</x:v>
      </x:c>
      <x:c r="J809" s="29" t="str">
        <x:v>NO</x:v>
      </x:c>
      <x:c r="K809" s="29" t="str">
        <x:v>Air</x:v>
      </x:c>
      <x:c r="L809" s="53" t="n">
        <x:v>14.886719462656288</x:v>
      </x:c>
      <x:c r="M809" s="41" t="n">
        <x:f>INDEX(Catchments!C:C,MATCH(A809,Catchments!A:A,0))</x:f>
        <x:v>10737083</x:v>
      </x:c>
      <x:c r="N809" s="41" t="n">
        <x:f>INDEX(Catchments!C:C,MATCH(B809,Catchments!A:A,0))</x:f>
        <x:v>14227128</x:v>
      </x:c>
    </x:row>
    <x:row r="810" ht="15" hidden="0" customHeight="1">
      <x:c r="A810" s="27" t="str">
        <x:v>SCA-26</x:v>
      </x:c>
      <x:c r="B810" s="27" t="str">
        <x:v>SCA-32</x:v>
      </x:c>
      <x:c r="C810" s="52"/>
      <x:c r="D810" s="27" t="str">
        <x:v>NO</x:v>
      </x:c>
      <x:c r="E810" s="52"/>
      <x:c r="F810" s="27" t="str">
        <x:v>NO</x:v>
      </x:c>
      <x:c r="G810" s="52" t="n">
        <x:v>14.947624745017784</x:v>
      </x:c>
      <x:c r="H810" s="27" t="str">
        <x:v>YES</x:v>
      </x:c>
      <x:c r="I810" s="52" t="n">
        <x:v>96.42700300934143</x:v>
      </x:c>
      <x:c r="J810" s="27" t="str">
        <x:v>NO</x:v>
      </x:c>
      <x:c r="K810" s="27" t="str">
        <x:v>Air</x:v>
      </x:c>
      <x:c r="L810" s="52" t="n">
        <x:v>14.947624745017784</x:v>
      </x:c>
      <x:c r="M810" s="40" t="n">
        <x:f>INDEX(Catchments!C:C,MATCH(A810,Catchments!A:A,0))</x:f>
        <x:v>10737083</x:v>
      </x:c>
      <x:c r="N810" s="40" t="n">
        <x:f>INDEX(Catchments!C:C,MATCH(B810,Catchments!A:A,0))</x:f>
        <x:v>3184835</x:v>
      </x:c>
    </x:row>
    <x:row r="811" ht="15" hidden="0" customHeight="1">
      <x:c r="A811" s="29" t="str">
        <x:v>SCA-27</x:v>
      </x:c>
      <x:c r="B811" s="29" t="str">
        <x:v>SCA-01</x:v>
      </x:c>
      <x:c r="C811" s="53"/>
      <x:c r="D811" s="29" t="str">
        <x:v>NO</x:v>
      </x:c>
      <x:c r="E811" s="53"/>
      <x:c r="F811" s="29" t="str">
        <x:v>NO</x:v>
      </x:c>
      <x:c r="G811" s="53" t="n">
        <x:v>23.943993549123235</x:v>
      </x:c>
      <x:c r="H811" s="29" t="str">
        <x:v>YES</x:v>
      </x:c>
      <x:c r="I811" s="53" t="n">
        <x:v>305.2712788189323</x:v>
      </x:c>
      <x:c r="J811" s="29" t="str">
        <x:v>NO</x:v>
      </x:c>
      <x:c r="K811" s="29" t="str">
        <x:v>Air</x:v>
      </x:c>
      <x:c r="L811" s="53" t="n">
        <x:v>23.943993549123235</x:v>
      </x:c>
      <x:c r="M811" s="41" t="n">
        <x:f>INDEX(Catchments!C:C,MATCH(A811,Catchments!A:A,0))</x:f>
        <x:v>7505606</x:v>
      </x:c>
      <x:c r="N811" s="41" t="n">
        <x:f>INDEX(Catchments!C:C,MATCH(B811,Catchments!A:A,0))</x:f>
        <x:v>1432820</x:v>
      </x:c>
    </x:row>
    <x:row r="812" ht="15" hidden="0" customHeight="1">
      <x:c r="A812" s="27" t="str">
        <x:v>SCA-27</x:v>
      </x:c>
      <x:c r="B812" s="27" t="str">
        <x:v>SCA-02</x:v>
      </x:c>
      <x:c r="C812" s="52"/>
      <x:c r="D812" s="27" t="str">
        <x:v>NO</x:v>
      </x:c>
      <x:c r="E812" s="52"/>
      <x:c r="F812" s="27" t="str">
        <x:v>NO</x:v>
      </x:c>
      <x:c r="G812" s="52" t="n">
        <x:v>21.532243674933408</x:v>
      </x:c>
      <x:c r="H812" s="27" t="str">
        <x:v>YES</x:v>
      </x:c>
      <x:c r="I812" s="52" t="n">
        <x:v>249.284228168097</x:v>
      </x:c>
      <x:c r="J812" s="27" t="str">
        <x:v>NO</x:v>
      </x:c>
      <x:c r="K812" s="27" t="str">
        <x:v>Air</x:v>
      </x:c>
      <x:c r="L812" s="52" t="n">
        <x:v>21.532243674933408</x:v>
      </x:c>
      <x:c r="M812" s="40" t="n">
        <x:f>INDEX(Catchments!C:C,MATCH(A812,Catchments!A:A,0))</x:f>
        <x:v>7505606</x:v>
      </x:c>
      <x:c r="N812" s="40" t="n">
        <x:f>INDEX(Catchments!C:C,MATCH(B812,Catchments!A:A,0))</x:f>
        <x:v>737270</x:v>
      </x:c>
    </x:row>
    <x:row r="813" ht="15" hidden="0" customHeight="1">
      <x:c r="A813" s="29" t="str">
        <x:v>SCA-27</x:v>
      </x:c>
      <x:c r="B813" s="29" t="str">
        <x:v>SCA-03</x:v>
      </x:c>
      <x:c r="C813" s="53" t="n">
        <x:v>108.54441988966828</x:v>
      </x:c>
      <x:c r="D813" s="29" t="str">
        <x:v>NO</x:v>
      </x:c>
      <x:c r="E813" s="53" t="n">
        <x:v>94.28490134188222</x:v>
      </x:c>
      <x:c r="F813" s="29" t="str">
        <x:v>NO</x:v>
      </x:c>
      <x:c r="G813" s="53" t="n">
        <x:v>18.553757719182926</x:v>
      </x:c>
      <x:c r="H813" s="29" t="str">
        <x:v>YES</x:v>
      </x:c>
      <x:c r="I813" s="53" t="n">
        <x:v>180.14080419531788</x:v>
      </x:c>
      <x:c r="J813" s="29" t="str">
        <x:v>NO</x:v>
      </x:c>
      <x:c r="K813" s="29" t="str">
        <x:v>Air</x:v>
      </x:c>
      <x:c r="L813" s="53" t="n">
        <x:v>18.553757719182926</x:v>
      </x:c>
      <x:c r="M813" s="41" t="n">
        <x:f>INDEX(Catchments!C:C,MATCH(A813,Catchments!A:A,0))</x:f>
        <x:v>7505606</x:v>
      </x:c>
      <x:c r="N813" s="41" t="n">
        <x:f>INDEX(Catchments!C:C,MATCH(B813,Catchments!A:A,0))</x:f>
        <x:v>11968308</x:v>
      </x:c>
    </x:row>
    <x:row r="814" ht="15" hidden="0" customHeight="1">
      <x:c r="A814" s="27" t="str">
        <x:v>SCA-27</x:v>
      </x:c>
      <x:c r="B814" s="27" t="str">
        <x:v>SCA-04</x:v>
      </x:c>
      <x:c r="C814" s="52" t="n">
        <x:v>109.00135704716679</x:v>
      </x:c>
      <x:c r="D814" s="27" t="str">
        <x:v>NO</x:v>
      </x:c>
      <x:c r="E814" s="52" t="n">
        <x:v>94.64392339420247</x:v>
      </x:c>
      <x:c r="F814" s="27" t="str">
        <x:v>NO</x:v>
      </x:c>
      <x:c r="G814" s="52" t="n">
        <x:v>18.226385287209915</x:v>
      </x:c>
      <x:c r="H814" s="27" t="str">
        <x:v>YES</x:v>
      </x:c>
      <x:c r="I814" s="52" t="n">
        <x:v>172.54108702451592</x:v>
      </x:c>
      <x:c r="J814" s="27" t="str">
        <x:v>NO</x:v>
      </x:c>
      <x:c r="K814" s="27" t="str">
        <x:v>Air</x:v>
      </x:c>
      <x:c r="L814" s="52" t="n">
        <x:v>18.226385287209915</x:v>
      </x:c>
      <x:c r="M814" s="40" t="n">
        <x:f>INDEX(Catchments!C:C,MATCH(A814,Catchments!A:A,0))</x:f>
        <x:v>7505606</x:v>
      </x:c>
      <x:c r="N814" s="40" t="n">
        <x:f>INDEX(Catchments!C:C,MATCH(B814,Catchments!A:A,0))</x:f>
        <x:v>16200470</x:v>
      </x:c>
    </x:row>
    <x:row r="815" ht="15" hidden="0" customHeight="1">
      <x:c r="A815" s="29" t="str">
        <x:v>SCA-27</x:v>
      </x:c>
      <x:c r="B815" s="29" t="str">
        <x:v>SCA-05</x:v>
      </x:c>
      <x:c r="C815" s="53" t="n">
        <x:v>100.41474695108104</x:v>
      </x:c>
      <x:c r="D815" s="29" t="str">
        <x:v>NO</x:v>
      </x:c>
      <x:c r="E815" s="53" t="n">
        <x:v>87.89730117584939</x:v>
      </x:c>
      <x:c r="F815" s="29" t="str">
        <x:v>NO</x:v>
      </x:c>
      <x:c r="G815" s="53" t="n">
        <x:v>17.726103713720203</x:v>
      </x:c>
      <x:c r="H815" s="29" t="str">
        <x:v>YES</x:v>
      </x:c>
      <x:c r="I815" s="53" t="n">
        <x:v>160.9274076399333</x:v>
      </x:c>
      <x:c r="J815" s="29" t="str">
        <x:v>NO</x:v>
      </x:c>
      <x:c r="K815" s="29" t="str">
        <x:v>Air</x:v>
      </x:c>
      <x:c r="L815" s="53" t="n">
        <x:v>17.726103713720203</x:v>
      </x:c>
      <x:c r="M815" s="41" t="n">
        <x:f>INDEX(Catchments!C:C,MATCH(A815,Catchments!A:A,0))</x:f>
        <x:v>7505606</x:v>
      </x:c>
      <x:c r="N815" s="41" t="n">
        <x:f>INDEX(Catchments!C:C,MATCH(B815,Catchments!A:A,0))</x:f>
        <x:v>15966265</x:v>
      </x:c>
    </x:row>
    <x:row r="816" ht="15" hidden="0" customHeight="1">
      <x:c r="A816" s="27" t="str">
        <x:v>SCA-27</x:v>
      </x:c>
      <x:c r="B816" s="27" t="str">
        <x:v>SCA-06</x:v>
      </x:c>
      <x:c r="C816" s="52" t="n">
        <x:v>96.03734018235153</x:v>
      </x:c>
      <x:c r="D816" s="27" t="str">
        <x:v>NO</x:v>
      </x:c>
      <x:c r="E816" s="52" t="n">
        <x:v>84.4579101432762</x:v>
      </x:c>
      <x:c r="F816" s="27" t="str">
        <x:v>NO</x:v>
      </x:c>
      <x:c r="G816" s="52" t="n">
        <x:v>17.43903434902997</x:v>
      </x:c>
      <x:c r="H816" s="27" t="str">
        <x:v>YES</x:v>
      </x:c>
      <x:c r="I816" s="52" t="n">
        <x:v>154.26329738819575</x:v>
      </x:c>
      <x:c r="J816" s="27" t="str">
        <x:v>NO</x:v>
      </x:c>
      <x:c r="K816" s="27" t="str">
        <x:v>Air</x:v>
      </x:c>
      <x:c r="L816" s="52" t="n">
        <x:v>17.43903434902997</x:v>
      </x:c>
      <x:c r="M816" s="40" t="n">
        <x:f>INDEX(Catchments!C:C,MATCH(A816,Catchments!A:A,0))</x:f>
        <x:v>7505606</x:v>
      </x:c>
      <x:c r="N816" s="40" t="n">
        <x:f>INDEX(Catchments!C:C,MATCH(B816,Catchments!A:A,0))</x:f>
        <x:v>6008575</x:v>
      </x:c>
    </x:row>
    <x:row r="817" ht="15" hidden="0" customHeight="1">
      <x:c r="A817" s="29" t="str">
        <x:v>SCA-27</x:v>
      </x:c>
      <x:c r="B817" s="29" t="str">
        <x:v>SCA-07</x:v>
      </x:c>
      <x:c r="C817" s="53" t="n">
        <x:v>96.26309910802779</x:v>
      </x:c>
      <x:c r="D817" s="29" t="str">
        <x:v>NO</x:v>
      </x:c>
      <x:c r="E817" s="53" t="n">
        <x:v>84.63529215630756</x:v>
      </x:c>
      <x:c r="F817" s="29" t="str">
        <x:v>NO</x:v>
      </x:c>
      <x:c r="G817" s="53" t="n">
        <x:v>17.337049127993776</x:v>
      </x:c>
      <x:c r="H817" s="29" t="str">
        <x:v>YES</x:v>
      </x:c>
      <x:c r="I817" s="53" t="n">
        <x:v>151.89578332842694</x:v>
      </x:c>
      <x:c r="J817" s="29" t="str">
        <x:v>NO</x:v>
      </x:c>
      <x:c r="K817" s="29" t="str">
        <x:v>Air</x:v>
      </x:c>
      <x:c r="L817" s="53" t="n">
        <x:v>17.337049127993776</x:v>
      </x:c>
      <x:c r="M817" s="41" t="n">
        <x:f>INDEX(Catchments!C:C,MATCH(A817,Catchments!A:A,0))</x:f>
        <x:v>7505606</x:v>
      </x:c>
      <x:c r="N817" s="41" t="n">
        <x:f>INDEX(Catchments!C:C,MATCH(B817,Catchments!A:A,0))</x:f>
        <x:v>5229370</x:v>
      </x:c>
    </x:row>
    <x:row r="818" ht="15" hidden="0" customHeight="1">
      <x:c r="A818" s="27" t="str">
        <x:v>SCA-27</x:v>
      </x:c>
      <x:c r="B818" s="27" t="str">
        <x:v>SCA-08</x:v>
      </x:c>
      <x:c r="C818" s="52" t="n">
        <x:v>96.82342216107719</x:v>
      </x:c>
      <x:c r="D818" s="27" t="str">
        <x:v>NO</x:v>
      </x:c>
      <x:c r="E818" s="52" t="n">
        <x:v>85.0755459837035</x:v>
      </x:c>
      <x:c r="F818" s="27" t="str">
        <x:v>NO</x:v>
      </x:c>
      <x:c r="G818" s="52" t="n">
        <x:v>17.691866472273286</x:v>
      </x:c>
      <x:c r="H818" s="27" t="str">
        <x:v>YES</x:v>
      </x:c>
      <x:c r="I818" s="52" t="n">
        <x:v>160.13261453491558</x:v>
      </x:c>
      <x:c r="J818" s="27" t="str">
        <x:v>NO</x:v>
      </x:c>
      <x:c r="K818" s="27" t="str">
        <x:v>Air</x:v>
      </x:c>
      <x:c r="L818" s="52" t="n">
        <x:v>17.691866472273286</x:v>
      </x:c>
      <x:c r="M818" s="40" t="n">
        <x:f>INDEX(Catchments!C:C,MATCH(A818,Catchments!A:A,0))</x:f>
        <x:v>7505606</x:v>
      </x:c>
      <x:c r="N818" s="40" t="n">
        <x:f>INDEX(Catchments!C:C,MATCH(B818,Catchments!A:A,0))</x:f>
        <x:v>2652387</x:v>
      </x:c>
    </x:row>
    <x:row r="819" ht="15" hidden="0" customHeight="1">
      <x:c r="A819" s="29" t="str">
        <x:v>SCA-27</x:v>
      </x:c>
      <x:c r="B819" s="29" t="str">
        <x:v>SCA-09</x:v>
      </x:c>
      <x:c r="C819" s="53" t="n">
        <x:v>87.86062287759097</x:v>
      </x:c>
      <x:c r="D819" s="29" t="str">
        <x:v>NO</x:v>
      </x:c>
      <x:c r="E819" s="53" t="n">
        <x:v>78.03334654667862</x:v>
      </x:c>
      <x:c r="F819" s="29" t="str">
        <x:v>NO</x:v>
      </x:c>
      <x:c r="G819" s="53" t="n">
        <x:v>16.83829253409479</x:v>
      </x:c>
      <x:c r="H819" s="29" t="str">
        <x:v>YES</x:v>
      </x:c>
      <x:c r="I819" s="53"/>
      <x:c r="J819" s="29" t="str">
        <x:v>NO</x:v>
      </x:c>
      <x:c r="K819" s="29" t="str">
        <x:v>Air</x:v>
      </x:c>
      <x:c r="L819" s="53" t="n">
        <x:v>16.83829253409479</x:v>
      </x:c>
      <x:c r="M819" s="41" t="n">
        <x:f>INDEX(Catchments!C:C,MATCH(A819,Catchments!A:A,0))</x:f>
        <x:v>7505606</x:v>
      </x:c>
      <x:c r="N819" s="41" t="n">
        <x:f>INDEX(Catchments!C:C,MATCH(B819,Catchments!A:A,0))</x:f>
        <x:v>7395716</x:v>
      </x:c>
    </x:row>
    <x:row r="820" ht="15" hidden="0" customHeight="1">
      <x:c r="A820" s="27" t="str">
        <x:v>SCA-27</x:v>
      </x:c>
      <x:c r="B820" s="27" t="str">
        <x:v>SCA-10</x:v>
      </x:c>
      <x:c r="C820" s="52" t="n">
        <x:v>87.81294157169656</x:v>
      </x:c>
      <x:c r="D820" s="27" t="str">
        <x:v>NO</x:v>
      </x:c>
      <x:c r="E820" s="52" t="n">
        <x:v>77.99588266347587</x:v>
      </x:c>
      <x:c r="F820" s="27" t="str">
        <x:v>NO</x:v>
      </x:c>
      <x:c r="G820" s="52" t="n">
        <x:v>17.05516846397283</x:v>
      </x:c>
      <x:c r="H820" s="27" t="str">
        <x:v>YES</x:v>
      </x:c>
      <x:c r="I820" s="52"/>
      <x:c r="J820" s="27" t="str">
        <x:v>NO</x:v>
      </x:c>
      <x:c r="K820" s="27" t="str">
        <x:v>Air</x:v>
      </x:c>
      <x:c r="L820" s="52" t="n">
        <x:v>17.05516846397283</x:v>
      </x:c>
      <x:c r="M820" s="40" t="n">
        <x:f>INDEX(Catchments!C:C,MATCH(A820,Catchments!A:A,0))</x:f>
        <x:v>7505606</x:v>
      </x:c>
      <x:c r="N820" s="40" t="n">
        <x:f>INDEX(Catchments!C:C,MATCH(B820,Catchments!A:A,0))</x:f>
        <x:v>4127033</x:v>
      </x:c>
    </x:row>
    <x:row r="821" ht="15" hidden="0" customHeight="1">
      <x:c r="A821" s="29" t="str">
        <x:v>SCA-27</x:v>
      </x:c>
      <x:c r="B821" s="29" t="str">
        <x:v>SCA-11</x:v>
      </x:c>
      <x:c r="C821" s="53" t="n">
        <x:v>74.19239830541623</x:v>
      </x:c>
      <x:c r="D821" s="29" t="str">
        <x:v>NO</x:v>
      </x:c>
      <x:c r="E821" s="53" t="n">
        <x:v>67.29402723996989</x:v>
      </x:c>
      <x:c r="F821" s="29" t="str">
        <x:v>YES</x:v>
      </x:c>
      <x:c r="G821" s="53" t="n">
        <x:v>15.843824009036812</x:v>
      </x:c>
      <x:c r="H821" s="29" t="str">
        <x:v>YES</x:v>
      </x:c>
      <x:c r="I821" s="53" t="n">
        <x:v>117.23162878121171</x:v>
      </x:c>
      <x:c r="J821" s="29" t="str">
        <x:v>NO</x:v>
      </x:c>
      <x:c r="K821" s="29" t="str">
        <x:v>Air</x:v>
      </x:c>
      <x:c r="L821" s="53" t="n">
        <x:v>15.843824009036812</x:v>
      </x:c>
      <x:c r="M821" s="41" t="n">
        <x:f>INDEX(Catchments!C:C,MATCH(A821,Catchments!A:A,0))</x:f>
        <x:v>7505606</x:v>
      </x:c>
      <x:c r="N821" s="41" t="n">
        <x:f>INDEX(Catchments!C:C,MATCH(B821,Catchments!A:A,0))</x:f>
        <x:v>3517787</x:v>
      </x:c>
    </x:row>
    <x:row r="822" ht="15" hidden="0" customHeight="1">
      <x:c r="A822" s="27" t="str">
        <x:v>SCA-27</x:v>
      </x:c>
      <x:c r="B822" s="27" t="str">
        <x:v>SCA-12</x:v>
      </x:c>
      <x:c r="C822" s="52" t="n">
        <x:v>75.51734225812488</x:v>
      </x:c>
      <x:c r="D822" s="27" t="str">
        <x:v>NO</x:v>
      </x:c>
      <x:c r="E822" s="52" t="n">
        <x:v>68.33505463138383</x:v>
      </x:c>
      <x:c r="F822" s="27" t="str">
        <x:v>YES</x:v>
      </x:c>
      <x:c r="G822" s="52" t="n">
        <x:v>16.152154734047475</x:v>
      </x:c>
      <x:c r="H822" s="27" t="str">
        <x:v>YES</x:v>
      </x:c>
      <x:c r="I822" s="52"/>
      <x:c r="J822" s="27" t="str">
        <x:v>NO</x:v>
      </x:c>
      <x:c r="K822" s="27" t="str">
        <x:v>Air</x:v>
      </x:c>
      <x:c r="L822" s="52" t="n">
        <x:v>16.152154734047475</x:v>
      </x:c>
      <x:c r="M822" s="40" t="n">
        <x:f>INDEX(Catchments!C:C,MATCH(A822,Catchments!A:A,0))</x:f>
        <x:v>7505606</x:v>
      </x:c>
      <x:c r="N822" s="40" t="n">
        <x:f>INDEX(Catchments!C:C,MATCH(B822,Catchments!A:A,0))</x:f>
        <x:v>7465186</x:v>
      </x:c>
    </x:row>
    <x:row r="823" ht="15" hidden="0" customHeight="1">
      <x:c r="A823" s="29" t="str">
        <x:v>SCA-27</x:v>
      </x:c>
      <x:c r="B823" s="29" t="str">
        <x:v>SCA-13</x:v>
      </x:c>
      <x:c r="C823" s="53" t="n">
        <x:v>64.99702834840203</x:v>
      </x:c>
      <x:c r="D823" s="29" t="str">
        <x:v>YES</x:v>
      </x:c>
      <x:c r="E823" s="53" t="n">
        <x:v>60.069093702315875</x:v>
      </x:c>
      <x:c r="F823" s="29" t="str">
        <x:v>YES</x:v>
      </x:c>
      <x:c r="G823" s="53" t="n">
        <x:v>14.73689630998133</x:v>
      </x:c>
      <x:c r="H823" s="29" t="str">
        <x:v>YES</x:v>
      </x:c>
      <x:c r="I823" s="53" t="n">
        <x:v>91.53509291028084</x:v>
      </x:c>
      <x:c r="J823" s="29" t="str">
        <x:v>NO</x:v>
      </x:c>
      <x:c r="K823" s="29" t="str">
        <x:v>Air</x:v>
      </x:c>
      <x:c r="L823" s="53" t="n">
        <x:v>14.73689630998133</x:v>
      </x:c>
      <x:c r="M823" s="41" t="n">
        <x:f>INDEX(Catchments!C:C,MATCH(A823,Catchments!A:A,0))</x:f>
        <x:v>7505606</x:v>
      </x:c>
      <x:c r="N823" s="41" t="n">
        <x:f>INDEX(Catchments!C:C,MATCH(B823,Catchments!A:A,0))</x:f>
        <x:v>6759014</x:v>
      </x:c>
    </x:row>
    <x:row r="824" ht="15" hidden="0" customHeight="1">
      <x:c r="A824" s="27" t="str">
        <x:v>SCA-27</x:v>
      </x:c>
      <x:c r="B824" s="27" t="str">
        <x:v>SCA-14</x:v>
      </x:c>
      <x:c r="C824" s="52" t="n">
        <x:v>72.33457041616768</x:v>
      </x:c>
      <x:c r="D824" s="27" t="str">
        <x:v>NO</x:v>
      </x:c>
      <x:c r="E824" s="52" t="n">
        <x:v>65.8343053269889</x:v>
      </x:c>
      <x:c r="F824" s="27" t="str">
        <x:v>YES</x:v>
      </x:c>
      <x:c r="G824" s="52" t="n">
        <x:v>14.688596450742143</x:v>
      </x:c>
      <x:c r="H824" s="27" t="str">
        <x:v>YES</x:v>
      </x:c>
      <x:c r="I824" s="52" t="n">
        <x:v>90.41384617794257</x:v>
      </x:c>
      <x:c r="J824" s="27" t="str">
        <x:v>NO</x:v>
      </x:c>
      <x:c r="K824" s="27" t="str">
        <x:v>Air</x:v>
      </x:c>
      <x:c r="L824" s="52" t="n">
        <x:v>14.688596450742143</x:v>
      </x:c>
      <x:c r="M824" s="40" t="n">
        <x:f>INDEX(Catchments!C:C,MATCH(A824,Catchments!A:A,0))</x:f>
        <x:v>7505606</x:v>
      </x:c>
      <x:c r="N824" s="40" t="n">
        <x:f>INDEX(Catchments!C:C,MATCH(B824,Catchments!A:A,0))</x:f>
        <x:v>2179728</x:v>
      </x:c>
    </x:row>
    <x:row r="825" ht="15" hidden="0" customHeight="1">
      <x:c r="A825" s="29" t="str">
        <x:v>SCA-27</x:v>
      </x:c>
      <x:c r="B825" s="29" t="str">
        <x:v>SCA-15</x:v>
      </x:c>
      <x:c r="C825" s="53" t="n">
        <x:v>57.73098615151737</x:v>
      </x:c>
      <x:c r="D825" s="29" t="str">
        <x:v>YES</x:v>
      </x:c>
      <x:c r="E825" s="53" t="n">
        <x:v>54.3600605476208</x:v>
      </x:c>
      <x:c r="F825" s="29" t="str">
        <x:v>YES</x:v>
      </x:c>
      <x:c r="G825" s="53" t="n">
        <x:v>14.674098159303885</x:v>
      </x:c>
      <x:c r="H825" s="29" t="str">
        <x:v>YES</x:v>
      </x:c>
      <x:c r="I825" s="53" t="n">
        <x:v>90.07727869812591</x:v>
      </x:c>
      <x:c r="J825" s="29" t="str">
        <x:v>NO</x:v>
      </x:c>
      <x:c r="K825" s="29" t="str">
        <x:v>Air</x:v>
      </x:c>
      <x:c r="L825" s="53" t="n">
        <x:v>14.674098159303885</x:v>
      </x:c>
      <x:c r="M825" s="41" t="n">
        <x:f>INDEX(Catchments!C:C,MATCH(A825,Catchments!A:A,0))</x:f>
        <x:v>7505606</x:v>
      </x:c>
      <x:c r="N825" s="41" t="n">
        <x:f>INDEX(Catchments!C:C,MATCH(B825,Catchments!A:A,0))</x:f>
        <x:v>13192386</x:v>
      </x:c>
    </x:row>
    <x:row r="826" ht="15" hidden="0" customHeight="1">
      <x:c r="A826" s="27" t="str">
        <x:v>SCA-27</x:v>
      </x:c>
      <x:c r="B826" s="27" t="str">
        <x:v>SCA-16</x:v>
      </x:c>
      <x:c r="C826" s="52" t="n">
        <x:v>59.29702876734123</x:v>
      </x:c>
      <x:c r="D826" s="27" t="str">
        <x:v>YES</x:v>
      </x:c>
      <x:c r="E826" s="52" t="n">
        <x:v>55.590522602910966</x:v>
      </x:c>
      <x:c r="F826" s="27" t="str">
        <x:v>YES</x:v>
      </x:c>
      <x:c r="G826" s="52" t="n">
        <x:v>15.031793671419704</x:v>
      </x:c>
      <x:c r="H826" s="27" t="str">
        <x:v>YES</x:v>
      </x:c>
      <x:c r="I826" s="52"/>
      <x:c r="J826" s="27" t="str">
        <x:v>NO</x:v>
      </x:c>
      <x:c r="K826" s="27" t="str">
        <x:v>Air</x:v>
      </x:c>
      <x:c r="L826" s="52" t="n">
        <x:v>15.031793671419704</x:v>
      </x:c>
      <x:c r="M826" s="40" t="n">
        <x:f>INDEX(Catchments!C:C,MATCH(A826,Catchments!A:A,0))</x:f>
        <x:v>7505606</x:v>
      </x:c>
      <x:c r="N826" s="40" t="n">
        <x:f>INDEX(Catchments!C:C,MATCH(B826,Catchments!A:A,0))</x:f>
        <x:v>10177969</x:v>
      </x:c>
    </x:row>
    <x:row r="827" ht="15" hidden="0" customHeight="1">
      <x:c r="A827" s="29" t="str">
        <x:v>SCA-27</x:v>
      </x:c>
      <x:c r="B827" s="29" t="str">
        <x:v>SCA-17</x:v>
      </x:c>
      <x:c r="C827" s="53" t="n">
        <x:v>57.136380331211626</x:v>
      </x:c>
      <x:c r="D827" s="29" t="str">
        <x:v>YES</x:v>
      </x:c>
      <x:c r="E827" s="53" t="n">
        <x:v>53.89287026023771</x:v>
      </x:c>
      <x:c r="F827" s="29" t="str">
        <x:v>YES</x:v>
      </x:c>
      <x:c r="G827" s="53" t="n">
        <x:v>14.172713814771695</x:v>
      </x:c>
      <x:c r="H827" s="29" t="str">
        <x:v>YES</x:v>
      </x:c>
      <x:c r="I827" s="53" t="n">
        <x:v>78.43799927148578</x:v>
      </x:c>
      <x:c r="J827" s="29" t="str">
        <x:v>NO</x:v>
      </x:c>
      <x:c r="K827" s="29" t="str">
        <x:v>Air</x:v>
      </x:c>
      <x:c r="L827" s="53" t="n">
        <x:v>14.172713814771695</x:v>
      </x:c>
      <x:c r="M827" s="41" t="n">
        <x:f>INDEX(Catchments!C:C,MATCH(A827,Catchments!A:A,0))</x:f>
        <x:v>7505606</x:v>
      </x:c>
      <x:c r="N827" s="41" t="n">
        <x:f>INDEX(Catchments!C:C,MATCH(B827,Catchments!A:A,0))</x:f>
        <x:v>12843509</x:v>
      </x:c>
    </x:row>
    <x:row r="828" ht="15" hidden="0" customHeight="1">
      <x:c r="A828" s="27" t="str">
        <x:v>SCA-27</x:v>
      </x:c>
      <x:c r="B828" s="27" t="str">
        <x:v>SCA-18</x:v>
      </x:c>
      <x:c r="C828" s="52" t="n">
        <x:v>66.41011047881258</x:v>
      </x:c>
      <x:c r="D828" s="27" t="str">
        <x:v>YES</x:v>
      </x:c>
      <x:c r="E828" s="52" t="n">
        <x:v>61.17937251906703</x:v>
      </x:c>
      <x:c r="F828" s="27" t="str">
        <x:v>YES</x:v>
      </x:c>
      <x:c r="G828" s="52" t="n">
        <x:v>15.67329836807298</x:v>
      </x:c>
      <x:c r="H828" s="27" t="str">
        <x:v>YES</x:v>
      </x:c>
      <x:c r="I828" s="52" t="n">
        <x:v>113.2729978302656</x:v>
      </x:c>
      <x:c r="J828" s="27" t="str">
        <x:v>NO</x:v>
      </x:c>
      <x:c r="K828" s="27" t="str">
        <x:v>Air</x:v>
      </x:c>
      <x:c r="L828" s="52" t="n">
        <x:v>15.67329836807298</x:v>
      </x:c>
      <x:c r="M828" s="40" t="n">
        <x:f>INDEX(Catchments!C:C,MATCH(A828,Catchments!A:A,0))</x:f>
        <x:v>7505606</x:v>
      </x:c>
      <x:c r="N828" s="40" t="n">
        <x:f>INDEX(Catchments!C:C,MATCH(B828,Catchments!A:A,0))</x:f>
        <x:v>11004680</x:v>
      </x:c>
    </x:row>
    <x:row r="829" ht="15" hidden="0" customHeight="1">
      <x:c r="A829" s="29" t="str">
        <x:v>SCA-27</x:v>
      </x:c>
      <x:c r="B829" s="29" t="str">
        <x:v>SCA-19</x:v>
      </x:c>
      <x:c r="C829" s="53" t="n">
        <x:v>54.89468043359228</x:v>
      </x:c>
      <x:c r="D829" s="29" t="str">
        <x:v>YES</x:v>
      </x:c>
      <x:c r="E829" s="53" t="n">
        <x:v>52.13153462639393</x:v>
      </x:c>
      <x:c r="F829" s="29" t="str">
        <x:v>YES</x:v>
      </x:c>
      <x:c r="G829" s="53" t="n">
        <x:v>14.616553190779868</x:v>
      </x:c>
      <x:c r="H829" s="29" t="str">
        <x:v>YES</x:v>
      </x:c>
      <x:c r="I829" s="53" t="n">
        <x:v>88.74141335738979</x:v>
      </x:c>
      <x:c r="J829" s="29" t="str">
        <x:v>NO</x:v>
      </x:c>
      <x:c r="K829" s="29" t="str">
        <x:v>Air</x:v>
      </x:c>
      <x:c r="L829" s="53" t="n">
        <x:v>14.616553190779868</x:v>
      </x:c>
      <x:c r="M829" s="41" t="n">
        <x:f>INDEX(Catchments!C:C,MATCH(A829,Catchments!A:A,0))</x:f>
        <x:v>7505606</x:v>
      </x:c>
      <x:c r="N829" s="41" t="n">
        <x:f>INDEX(Catchments!C:C,MATCH(B829,Catchments!A:A,0))</x:f>
        <x:v>6677653</x:v>
      </x:c>
    </x:row>
    <x:row r="830" ht="15" hidden="0" customHeight="1">
      <x:c r="A830" s="27" t="str">
        <x:v>SCA-27</x:v>
      </x:c>
      <x:c r="B830" s="27" t="str">
        <x:v>SCA-20</x:v>
      </x:c>
      <x:c r="C830" s="52" t="n">
        <x:v>44.58565261187283</x:v>
      </x:c>
      <x:c r="D830" s="27" t="str">
        <x:v>YES</x:v>
      </x:c>
      <x:c r="E830" s="52" t="n">
        <x:v>44.03158419504294</x:v>
      </x:c>
      <x:c r="F830" s="27" t="str">
        <x:v>YES</x:v>
      </x:c>
      <x:c r="G830" s="52" t="n">
        <x:v>13.949352971076904</x:v>
      </x:c>
      <x:c r="H830" s="27" t="str">
        <x:v>YES</x:v>
      </x:c>
      <x:c r="I830" s="52" t="n">
        <x:v>73.25283682857098</x:v>
      </x:c>
      <x:c r="J830" s="27" t="str">
        <x:v>NO</x:v>
      </x:c>
      <x:c r="K830" s="27" t="str">
        <x:v>Air</x:v>
      </x:c>
      <x:c r="L830" s="52" t="n">
        <x:v>13.949352971076904</x:v>
      </x:c>
      <x:c r="M830" s="40" t="n">
        <x:f>INDEX(Catchments!C:C,MATCH(A830,Catchments!A:A,0))</x:f>
        <x:v>7505606</x:v>
      </x:c>
      <x:c r="N830" s="40" t="n">
        <x:f>INDEX(Catchments!C:C,MATCH(B830,Catchments!A:A,0))</x:f>
        <x:v>8490774</x:v>
      </x:c>
    </x:row>
    <x:row r="831" ht="15" hidden="0" customHeight="1">
      <x:c r="A831" s="29" t="str">
        <x:v>SCA-27</x:v>
      </x:c>
      <x:c r="B831" s="29" t="str">
        <x:v>SCA-21</x:v>
      </x:c>
      <x:c r="C831" s="53" t="n">
        <x:v>54.74462782234231</x:v>
      </x:c>
      <x:c r="D831" s="29" t="str">
        <x:v>YES</x:v>
      </x:c>
      <x:c r="E831" s="53" t="n">
        <x:v>52.0136361461261</x:v>
      </x:c>
      <x:c r="F831" s="29" t="str">
        <x:v>YES</x:v>
      </x:c>
      <x:c r="G831" s="53" t="n">
        <x:v>14.93136574370598</x:v>
      </x:c>
      <x:c r="H831" s="29" t="str">
        <x:v>YES</x:v>
      </x:c>
      <x:c r="I831" s="53" t="n">
        <x:v>96.04956190746026</x:v>
      </x:c>
      <x:c r="J831" s="29" t="str">
        <x:v>NO</x:v>
      </x:c>
      <x:c r="K831" s="29" t="str">
        <x:v>Air</x:v>
      </x:c>
      <x:c r="L831" s="53" t="n">
        <x:v>14.93136574370598</x:v>
      </x:c>
      <x:c r="M831" s="41" t="n">
        <x:f>INDEX(Catchments!C:C,MATCH(A831,Catchments!A:A,0))</x:f>
        <x:v>7505606</x:v>
      </x:c>
      <x:c r="N831" s="41" t="n">
        <x:f>INDEX(Catchments!C:C,MATCH(B831,Catchments!A:A,0))</x:f>
        <x:v>19593580</x:v>
      </x:c>
    </x:row>
    <x:row r="832" ht="15" hidden="0" customHeight="1">
      <x:c r="A832" s="27" t="str">
        <x:v>SCA-27</x:v>
      </x:c>
      <x:c r="B832" s="27" t="str">
        <x:v>SCA-22</x:v>
      </x:c>
      <x:c r="C832" s="52" t="n">
        <x:v>44.756814417949926</x:v>
      </x:c>
      <x:c r="D832" s="27" t="str">
        <x:v>YES</x:v>
      </x:c>
      <x:c r="E832" s="52" t="n">
        <x:v>44.166068471246376</x:v>
      </x:c>
      <x:c r="F832" s="27" t="str">
        <x:v>YES</x:v>
      </x:c>
      <x:c r="G832" s="52" t="n">
        <x:v>14.200565801423402</x:v>
      </x:c>
      <x:c r="H832" s="27" t="str">
        <x:v>YES</x:v>
      </x:c>
      <x:c r="I832" s="52" t="n">
        <x:v>79.08456324732899</x:v>
      </x:c>
      <x:c r="J832" s="27" t="str">
        <x:v>NO</x:v>
      </x:c>
      <x:c r="K832" s="27" t="str">
        <x:v>Air</x:v>
      </x:c>
      <x:c r="L832" s="52" t="n">
        <x:v>14.200565801423402</x:v>
      </x:c>
      <x:c r="M832" s="40" t="n">
        <x:f>INDEX(Catchments!C:C,MATCH(A832,Catchments!A:A,0))</x:f>
        <x:v>7505606</x:v>
      </x:c>
      <x:c r="N832" s="40" t="n">
        <x:f>INDEX(Catchments!C:C,MATCH(B832,Catchments!A:A,0))</x:f>
        <x:v>14732006</x:v>
      </x:c>
    </x:row>
    <x:row r="833" ht="15" hidden="0" customHeight="1">
      <x:c r="A833" s="29" t="str">
        <x:v>SCA-27</x:v>
      </x:c>
      <x:c r="B833" s="29" t="str">
        <x:v>SCA-23</x:v>
      </x:c>
      <x:c r="C833" s="53" t="n">
        <x:v>34.04930726916019</x:v>
      </x:c>
      <x:c r="D833" s="29" t="str">
        <x:v>YES</x:v>
      </x:c>
      <x:c r="E833" s="53" t="n">
        <x:v>35.753027140054435</x:v>
      </x:c>
      <x:c r="F833" s="29" t="str">
        <x:v>YES</x:v>
      </x:c>
      <x:c r="G833" s="53" t="n">
        <x:v>13.437694370643895</x:v>
      </x:c>
      <x:c r="H833" s="29" t="str">
        <x:v>YES</x:v>
      </x:c>
      <x:c r="I833" s="53" t="n">
        <x:v>61.375047889947545</x:v>
      </x:c>
      <x:c r="J833" s="29" t="str">
        <x:v>YES</x:v>
      </x:c>
      <x:c r="K833" s="29" t="str">
        <x:v>Air</x:v>
      </x:c>
      <x:c r="L833" s="53" t="n">
        <x:v>13.437694370643895</x:v>
      </x:c>
      <x:c r="M833" s="41" t="n">
        <x:f>INDEX(Catchments!C:C,MATCH(A833,Catchments!A:A,0))</x:f>
        <x:v>7505606</x:v>
      </x:c>
      <x:c r="N833" s="41" t="n">
        <x:f>INDEX(Catchments!C:C,MATCH(B833,Catchments!A:A,0))</x:f>
        <x:v>20869310</x:v>
      </x:c>
    </x:row>
    <x:row r="834" ht="15" hidden="0" customHeight="1">
      <x:c r="A834" s="27" t="str">
        <x:v>SCA-27</x:v>
      </x:c>
      <x:c r="B834" s="27" t="str">
        <x:v>SCA-24</x:v>
      </x:c>
      <x:c r="C834" s="52" t="n">
        <x:v>54.49885946911072</x:v>
      </x:c>
      <x:c r="D834" s="27" t="str">
        <x:v>YES</x:v>
      </x:c>
      <x:c r="E834" s="52" t="n">
        <x:v>51.82053244001557</x:v>
      </x:c>
      <x:c r="F834" s="27" t="str">
        <x:v>YES</x:v>
      </x:c>
      <x:c r="G834" s="52" t="n">
        <x:v>14.811699051349706</x:v>
      </x:c>
      <x:c r="H834" s="27" t="str">
        <x:v>YES</x:v>
      </x:c>
      <x:c r="I834" s="52" t="n">
        <x:v>93.27158512061816</x:v>
      </x:c>
      <x:c r="J834" s="27" t="str">
        <x:v>NO</x:v>
      </x:c>
      <x:c r="K834" s="27" t="str">
        <x:v>Air</x:v>
      </x:c>
      <x:c r="L834" s="52" t="n">
        <x:v>14.811699051349706</x:v>
      </x:c>
      <x:c r="M834" s="40" t="n">
        <x:f>INDEX(Catchments!C:C,MATCH(A834,Catchments!A:A,0))</x:f>
        <x:v>7505606</x:v>
      </x:c>
      <x:c r="N834" s="40" t="n">
        <x:f>INDEX(Catchments!C:C,MATCH(B834,Catchments!A:A,0))</x:f>
        <x:v>11816161</x:v>
      </x:c>
    </x:row>
    <x:row r="835" ht="15" hidden="0" customHeight="1">
      <x:c r="A835" s="29" t="str">
        <x:v>SCA-27</x:v>
      </x:c>
      <x:c r="B835" s="29" t="str">
        <x:v>SCA-25</x:v>
      </x:c>
      <x:c r="C835" s="53" t="n">
        <x:v>25.056867634261295</x:v>
      </x:c>
      <x:c r="D835" s="29" t="str">
        <x:v>YES</x:v>
      </x:c>
      <x:c r="E835" s="53" t="n">
        <x:v>28.687538855491017</x:v>
      </x:c>
      <x:c r="F835" s="29" t="str">
        <x:v>YES</x:v>
      </x:c>
      <x:c r="G835" s="53" t="n">
        <x:v>12.787267905038178</x:v>
      </x:c>
      <x:c r="H835" s="29" t="str">
        <x:v>YES</x:v>
      </x:c>
      <x:c r="I835" s="53" t="n">
        <x:v>46.275862081243396</x:v>
      </x:c>
      <x:c r="J835" s="29" t="str">
        <x:v>YES</x:v>
      </x:c>
      <x:c r="K835" s="29" t="str">
        <x:v>Air</x:v>
      </x:c>
      <x:c r="L835" s="53" t="n">
        <x:v>12.787267905038178</x:v>
      </x:c>
      <x:c r="M835" s="41" t="n">
        <x:f>INDEX(Catchments!C:C,MATCH(A835,Catchments!A:A,0))</x:f>
        <x:v>7505606</x:v>
      </x:c>
      <x:c r="N835" s="41" t="n">
        <x:f>INDEX(Catchments!C:C,MATCH(B835,Catchments!A:A,0))</x:f>
        <x:v>6408394</x:v>
      </x:c>
    </x:row>
    <x:row r="836" ht="15" hidden="0" customHeight="1">
      <x:c r="A836" s="27" t="str">
        <x:v>SCA-27</x:v>
      </x:c>
      <x:c r="B836" s="27" t="str">
        <x:v>SCA-26</x:v>
      </x:c>
      <x:c r="C836" s="52" t="n">
        <x:v>19.084150256719067</x:v>
      </x:c>
      <x:c r="D836" s="27" t="str">
        <x:v>YES</x:v>
      </x:c>
      <x:c r="E836" s="52" t="n">
        <x:v>23.99468948742212</x:v>
      </x:c>
      <x:c r="F836" s="27" t="str">
        <x:v>YES</x:v>
      </x:c>
      <x:c r="G836" s="52" t="n">
        <x:v>12.374084634273643</x:v>
      </x:c>
      <x:c r="H836" s="27" t="str">
        <x:v>YES</x:v>
      </x:c>
      <x:c r="I836" s="52" t="n">
        <x:v>36.68410758135244</x:v>
      </x:c>
      <x:c r="J836" s="27" t="str">
        <x:v>YES</x:v>
      </x:c>
      <x:c r="K836" s="27" t="str">
        <x:v>Air</x:v>
      </x:c>
      <x:c r="L836" s="52" t="n">
        <x:v>12.374084634273643</x:v>
      </x:c>
      <x:c r="M836" s="40" t="n">
        <x:f>INDEX(Catchments!C:C,MATCH(A836,Catchments!A:A,0))</x:f>
        <x:v>7505606</x:v>
      </x:c>
      <x:c r="N836" s="40" t="n">
        <x:f>INDEX(Catchments!C:C,MATCH(B836,Catchments!A:A,0))</x:f>
        <x:v>10737083</x:v>
      </x:c>
    </x:row>
    <x:row r="837" ht="15" hidden="0" customHeight="1">
      <x:c r="A837" s="29" t="str">
        <x:v>SCA-27</x:v>
      </x:c>
      <x:c r="B837" s="29" t="str">
        <x:v>SCA-28</x:v>
      </x:c>
      <x:c r="C837" s="53" t="n">
        <x:v>49.217949199856086</x:v>
      </x:c>
      <x:c r="D837" s="29" t="str">
        <x:v>YES</x:v>
      </x:c>
      <x:c r="E837" s="53" t="n">
        <x:v>47.67124579988693</x:v>
      </x:c>
      <x:c r="F837" s="29" t="str">
        <x:v>YES</x:v>
      </x:c>
      <x:c r="G837" s="53" t="n">
        <x:v>14.434767132077928</x:v>
      </x:c>
      <x:c r="H837" s="29" t="str">
        <x:v>YES</x:v>
      </x:c>
      <x:c r="I837" s="53" t="n">
        <x:v>84.52137985180903</x:v>
      </x:c>
      <x:c r="J837" s="29" t="str">
        <x:v>NO</x:v>
      </x:c>
      <x:c r="K837" s="29" t="str">
        <x:v>Air</x:v>
      </x:c>
      <x:c r="L837" s="53" t="n">
        <x:v>14.434767132077928</x:v>
      </x:c>
      <x:c r="M837" s="41" t="n">
        <x:f>INDEX(Catchments!C:C,MATCH(A837,Catchments!A:A,0))</x:f>
        <x:v>7505606</x:v>
      </x:c>
      <x:c r="N837" s="41" t="n">
        <x:f>INDEX(Catchments!C:C,MATCH(B837,Catchments!A:A,0))</x:f>
        <x:v>21305157</x:v>
      </x:c>
    </x:row>
    <x:row r="838" ht="15" hidden="0" customHeight="1">
      <x:c r="A838" s="27" t="str">
        <x:v>SCA-27</x:v>
      </x:c>
      <x:c r="B838" s="27" t="str">
        <x:v>SCA-29</x:v>
      </x:c>
      <x:c r="C838" s="52" t="n">
        <x:v>38.740580262086894</x:v>
      </x:c>
      <x:c r="D838" s="27" t="str">
        <x:v>YES</x:v>
      </x:c>
      <x:c r="E838" s="52" t="n">
        <x:v>39.43902734878256</x:v>
      </x:c>
      <x:c r="F838" s="27" t="str">
        <x:v>YES</x:v>
      </x:c>
      <x:c r="G838" s="52" t="n">
        <x:v>13.673263913207887</x:v>
      </x:c>
      <x:c r="H838" s="27" t="str">
        <x:v>YES</x:v>
      </x:c>
      <x:c r="I838" s="52" t="n">
        <x:v>66.84362655661164</x:v>
      </x:c>
      <x:c r="J838" s="27" t="str">
        <x:v>YES</x:v>
      </x:c>
      <x:c r="K838" s="27" t="str">
        <x:v>Air</x:v>
      </x:c>
      <x:c r="L838" s="52" t="n">
        <x:v>13.673263913207887</x:v>
      </x:c>
      <x:c r="M838" s="40" t="n">
        <x:f>INDEX(Catchments!C:C,MATCH(A838,Catchments!A:A,0))</x:f>
        <x:v>7505606</x:v>
      </x:c>
      <x:c r="N838" s="40" t="n">
        <x:f>INDEX(Catchments!C:C,MATCH(B838,Catchments!A:A,0))</x:f>
        <x:v>19271685</x:v>
      </x:c>
    </x:row>
    <x:row r="839" ht="15" hidden="0" customHeight="1">
      <x:c r="A839" s="29" t="str">
        <x:v>SCA-27</x:v>
      </x:c>
      <x:c r="B839" s="29" t="str">
        <x:v>SCA-30</x:v>
      </x:c>
      <x:c r="C839" s="53" t="n">
        <x:v>52.39565884290709</x:v>
      </x:c>
      <x:c r="D839" s="29" t="str">
        <x:v>YES</x:v>
      </x:c>
      <x:c r="E839" s="53" t="n">
        <x:v>50.16801766228414</x:v>
      </x:c>
      <x:c r="F839" s="29" t="str">
        <x:v>YES</x:v>
      </x:c>
      <x:c r="G839" s="53" t="n">
        <x:v>14.606519599629404</x:v>
      </x:c>
      <x:c r="H839" s="29" t="str">
        <x:v>YES</x:v>
      </x:c>
      <x:c r="I839" s="53" t="n">
        <x:v>88.50849070568262</x:v>
      </x:c>
      <x:c r="J839" s="29" t="str">
        <x:v>NO</x:v>
      </x:c>
      <x:c r="K839" s="29" t="str">
        <x:v>Air</x:v>
      </x:c>
      <x:c r="L839" s="53" t="n">
        <x:v>14.606519599629404</x:v>
      </x:c>
      <x:c r="M839" s="41" t="n">
        <x:f>INDEX(Catchments!C:C,MATCH(A839,Catchments!A:A,0))</x:f>
        <x:v>7505606</x:v>
      </x:c>
      <x:c r="N839" s="41" t="n">
        <x:f>INDEX(Catchments!C:C,MATCH(B839,Catchments!A:A,0))</x:f>
        <x:v>41291847</x:v>
      </x:c>
    </x:row>
    <x:row r="840" ht="15" hidden="0" customHeight="1">
      <x:c r="A840" s="27" t="str">
        <x:v>SCA-27</x:v>
      </x:c>
      <x:c r="B840" s="27" t="str">
        <x:v>SCA-31</x:v>
      </x:c>
      <x:c r="C840" s="52" t="n">
        <x:v>59.5426069372072</x:v>
      </x:c>
      <x:c r="D840" s="27" t="str">
        <x:v>YES</x:v>
      </x:c>
      <x:c r="E840" s="52" t="n">
        <x:v>55.783476879234236</x:v>
      </x:c>
      <x:c r="F840" s="27" t="str">
        <x:v>YES</x:v>
      </x:c>
      <x:c r="G840" s="52" t="n">
        <x:v>15.087742909619434</x:v>
      </x:c>
      <x:c r="H840" s="27" t="str">
        <x:v>YES</x:v>
      </x:c>
      <x:c r="I840" s="52" t="n">
        <x:v>99.67974611616542</x:v>
      </x:c>
      <x:c r="J840" s="27" t="str">
        <x:v>NO</x:v>
      </x:c>
      <x:c r="K840" s="27" t="str">
        <x:v>Air</x:v>
      </x:c>
      <x:c r="L840" s="52" t="n">
        <x:v>15.087742909619434</x:v>
      </x:c>
      <x:c r="M840" s="40" t="n">
        <x:f>INDEX(Catchments!C:C,MATCH(A840,Catchments!A:A,0))</x:f>
        <x:v>7505606</x:v>
      </x:c>
      <x:c r="N840" s="40" t="n">
        <x:f>INDEX(Catchments!C:C,MATCH(B840,Catchments!A:A,0))</x:f>
        <x:v>14227128</x:v>
      </x:c>
    </x:row>
    <x:row r="841" ht="15" hidden="0" customHeight="1">
      <x:c r="A841" s="29" t="str">
        <x:v>SCA-27</x:v>
      </x:c>
      <x:c r="B841" s="29" t="str">
        <x:v>SCA-32</x:v>
      </x:c>
      <x:c r="C841" s="53"/>
      <x:c r="D841" s="29" t="str">
        <x:v>NO</x:v>
      </x:c>
      <x:c r="E841" s="53"/>
      <x:c r="F841" s="29" t="str">
        <x:v>NO</x:v>
      </x:c>
      <x:c r="G841" s="53" t="n">
        <x:v>14.614522410363238</x:v>
      </x:c>
      <x:c r="H841" s="29" t="str">
        <x:v>YES</x:v>
      </x:c>
      <x:c r="I841" s="53" t="n">
        <x:v>88.69427024057515</x:v>
      </x:c>
      <x:c r="J841" s="29" t="str">
        <x:v>NO</x:v>
      </x:c>
      <x:c r="K841" s="29" t="str">
        <x:v>Air</x:v>
      </x:c>
      <x:c r="L841" s="53" t="n">
        <x:v>14.614522410363238</x:v>
      </x:c>
      <x:c r="M841" s="41" t="n">
        <x:f>INDEX(Catchments!C:C,MATCH(A841,Catchments!A:A,0))</x:f>
        <x:v>7505606</x:v>
      </x:c>
      <x:c r="N841" s="41" t="n">
        <x:f>INDEX(Catchments!C:C,MATCH(B841,Catchments!A:A,0))</x:f>
        <x:v>3184835</x:v>
      </x:c>
    </x:row>
    <x:row r="842" ht="15" hidden="0" customHeight="1">
      <x:c r="A842" s="27" t="str">
        <x:v>SCA-28</x:v>
      </x:c>
      <x:c r="B842" s="27" t="str">
        <x:v>SCA-01</x:v>
      </x:c>
      <x:c r="C842" s="52"/>
      <x:c r="D842" s="27" t="str">
        <x:v>NO</x:v>
      </x:c>
      <x:c r="E842" s="52"/>
      <x:c r="F842" s="27" t="str">
        <x:v>NO</x:v>
      </x:c>
      <x:c r="G842" s="52" t="n">
        <x:v>23.597753292356188</x:v>
      </x:c>
      <x:c r="H842" s="27" t="str">
        <x:v>YES</x:v>
      </x:c>
      <x:c r="I842" s="52" t="n">
        <x:v>297.2335585725544</x:v>
      </x:c>
      <x:c r="J842" s="27" t="str">
        <x:v>NO</x:v>
      </x:c>
      <x:c r="K842" s="27" t="str">
        <x:v>Air</x:v>
      </x:c>
      <x:c r="L842" s="52" t="n">
        <x:v>23.597753292356188</x:v>
      </x:c>
      <x:c r="M842" s="40" t="n">
        <x:f>INDEX(Catchments!C:C,MATCH(A842,Catchments!A:A,0))</x:f>
        <x:v>21305157</x:v>
      </x:c>
      <x:c r="N842" s="40" t="n">
        <x:f>INDEX(Catchments!C:C,MATCH(B842,Catchments!A:A,0))</x:f>
        <x:v>1432820</x:v>
      </x:c>
    </x:row>
    <x:row r="843" ht="15" hidden="0" customHeight="1">
      <x:c r="A843" s="29" t="str">
        <x:v>SCA-28</x:v>
      </x:c>
      <x:c r="B843" s="29" t="str">
        <x:v>SCA-02</x:v>
      </x:c>
      <x:c r="C843" s="53"/>
      <x:c r="D843" s="29" t="str">
        <x:v>NO</x:v>
      </x:c>
      <x:c r="E843" s="53"/>
      <x:c r="F843" s="29" t="str">
        <x:v>NO</x:v>
      </x:c>
      <x:c r="G843" s="53" t="n">
        <x:v>19.63286852901745</x:v>
      </x:c>
      <x:c r="H843" s="29" t="str">
        <x:v>YES</x:v>
      </x:c>
      <x:c r="I843" s="53" t="n">
        <x:v>205.1915908521908</x:v>
      </x:c>
      <x:c r="J843" s="29" t="str">
        <x:v>NO</x:v>
      </x:c>
      <x:c r="K843" s="29" t="str">
        <x:v>Air</x:v>
      </x:c>
      <x:c r="L843" s="53" t="n">
        <x:v>19.63286852901745</x:v>
      </x:c>
      <x:c r="M843" s="41" t="n">
        <x:f>INDEX(Catchments!C:C,MATCH(A843,Catchments!A:A,0))</x:f>
        <x:v>21305157</x:v>
      </x:c>
      <x:c r="N843" s="41" t="n">
        <x:f>INDEX(Catchments!C:C,MATCH(B843,Catchments!A:A,0))</x:f>
        <x:v>737270</x:v>
      </x:c>
    </x:row>
    <x:row r="844" ht="15" hidden="0" customHeight="1">
      <x:c r="A844" s="27" t="str">
        <x:v>SCA-28</x:v>
      </x:c>
      <x:c r="B844" s="27" t="str">
        <x:v>SCA-03</x:v>
      </x:c>
      <x:c r="C844" s="52" t="n">
        <x:v>88.24080978720025</x:v>
      </x:c>
      <x:c r="D844" s="27" t="str">
        <x:v>NO</x:v>
      </x:c>
      <x:c r="E844" s="52" t="n">
        <x:v>78.3320648328002</x:v>
      </x:c>
      <x:c r="F844" s="27" t="str">
        <x:v>NO</x:v>
      </x:c>
      <x:c r="G844" s="52" t="n">
        <x:v>17.28735923223985</x:v>
      </x:c>
      <x:c r="H844" s="27" t="str">
        <x:v>YES</x:v>
      </x:c>
      <x:c r="I844" s="52" t="n">
        <x:v>150.74226789128227</x:v>
      </x:c>
      <x:c r="J844" s="27" t="str">
        <x:v>NO</x:v>
      </x:c>
      <x:c r="K844" s="27" t="str">
        <x:v>Air</x:v>
      </x:c>
      <x:c r="L844" s="52" t="n">
        <x:v>17.28735923223985</x:v>
      </x:c>
      <x:c r="M844" s="40" t="n">
        <x:f>INDEX(Catchments!C:C,MATCH(A844,Catchments!A:A,0))</x:f>
        <x:v>21305157</x:v>
      </x:c>
      <x:c r="N844" s="40" t="n">
        <x:f>INDEX(Catchments!C:C,MATCH(B844,Catchments!A:A,0))</x:f>
        <x:v>11968308</x:v>
      </x:c>
    </x:row>
    <x:row r="845" ht="15" hidden="0" customHeight="1">
      <x:c r="A845" s="29" t="str">
        <x:v>SCA-28</x:v>
      </x:c>
      <x:c r="B845" s="29" t="str">
        <x:v>SCA-04</x:v>
      </x:c>
      <x:c r="C845" s="53" t="n">
        <x:v>95.70460613699612</x:v>
      </x:c>
      <x:c r="D845" s="29" t="str">
        <x:v>NO</x:v>
      </x:c>
      <x:c r="E845" s="53" t="n">
        <x:v>84.19647625049696</x:v>
      </x:c>
      <x:c r="F845" s="29" t="str">
        <x:v>NO</x:v>
      </x:c>
      <x:c r="G845" s="53" t="n">
        <x:v>17.544393557469533</x:v>
      </x:c>
      <x:c r="H845" s="29" t="str">
        <x:v>YES</x:v>
      </x:c>
      <x:c r="I845" s="53" t="n">
        <x:v>156.70913615554278</x:v>
      </x:c>
      <x:c r="J845" s="29" t="str">
        <x:v>NO</x:v>
      </x:c>
      <x:c r="K845" s="29" t="str">
        <x:v>Air</x:v>
      </x:c>
      <x:c r="L845" s="53" t="n">
        <x:v>17.544393557469533</x:v>
      </x:c>
      <x:c r="M845" s="41" t="n">
        <x:f>INDEX(Catchments!C:C,MATCH(A845,Catchments!A:A,0))</x:f>
        <x:v>21305157</x:v>
      </x:c>
      <x:c r="N845" s="41" t="n">
        <x:f>INDEX(Catchments!C:C,MATCH(B845,Catchments!A:A,0))</x:f>
        <x:v>16200470</x:v>
      </x:c>
    </x:row>
    <x:row r="846" ht="15" hidden="0" customHeight="1">
      <x:c r="A846" s="27" t="str">
        <x:v>SCA-28</x:v>
      </x:c>
      <x:c r="B846" s="27" t="str">
        <x:v>SCA-05</x:v>
      </x:c>
      <x:c r="C846" s="52" t="n">
        <x:v>94.0435125008646</x:v>
      </x:c>
      <x:c r="D846" s="27" t="str">
        <x:v>NO</x:v>
      </x:c>
      <x:c r="E846" s="52" t="n">
        <x:v>82.89133125067931</x:v>
      </x:c>
      <x:c r="F846" s="27" t="str">
        <x:v>NO</x:v>
      </x:c>
      <x:c r="G846" s="52" t="n">
        <x:v>17.35409523130751</x:v>
      </x:c>
      <x:c r="H846" s="27" t="str">
        <x:v>YES</x:v>
      </x:c>
      <x:c r="I846" s="52" t="n">
        <x:v>152.29149644106724</x:v>
      </x:c>
      <x:c r="J846" s="27" t="str">
        <x:v>NO</x:v>
      </x:c>
      <x:c r="K846" s="27" t="str">
        <x:v>Air</x:v>
      </x:c>
      <x:c r="L846" s="52" t="n">
        <x:v>17.35409523130751</x:v>
      </x:c>
      <x:c r="M846" s="40" t="n">
        <x:f>INDEX(Catchments!C:C,MATCH(A846,Catchments!A:A,0))</x:f>
        <x:v>21305157</x:v>
      </x:c>
      <x:c r="N846" s="40" t="n">
        <x:f>INDEX(Catchments!C:C,MATCH(B846,Catchments!A:A,0))</x:f>
        <x:v>15966265</x:v>
      </x:c>
    </x:row>
    <x:row r="847" ht="15" hidden="0" customHeight="1">
      <x:c r="A847" s="29" t="str">
        <x:v>SCA-28</x:v>
      </x:c>
      <x:c r="B847" s="29" t="str">
        <x:v>SCA-06</x:v>
      </x:c>
      <x:c r="C847" s="53" t="n">
        <x:v>89.66610573213508</x:v>
      </x:c>
      <x:c r="D847" s="29" t="str">
        <x:v>NO</x:v>
      </x:c>
      <x:c r="E847" s="53" t="n">
        <x:v>79.45194021810613</x:v>
      </x:c>
      <x:c r="F847" s="29" t="str">
        <x:v>NO</x:v>
      </x:c>
      <x:c r="G847" s="53" t="n">
        <x:v>17.16486012088211</x:v>
      </x:c>
      <x:c r="H847" s="29" t="str">
        <x:v>YES</x:v>
      </x:c>
      <x:c r="I847" s="53" t="n">
        <x:v>147.8985385204776</x:v>
      </x:c>
      <x:c r="J847" s="29" t="str">
        <x:v>NO</x:v>
      </x:c>
      <x:c r="K847" s="29" t="str">
        <x:v>Air</x:v>
      </x:c>
      <x:c r="L847" s="53" t="n">
        <x:v>17.16486012088211</x:v>
      </x:c>
      <x:c r="M847" s="41" t="n">
        <x:f>INDEX(Catchments!C:C,MATCH(A847,Catchments!A:A,0))</x:f>
        <x:v>21305157</x:v>
      </x:c>
      <x:c r="N847" s="41" t="n">
        <x:f>INDEX(Catchments!C:C,MATCH(B847,Catchments!A:A,0))</x:f>
        <x:v>6008575</x:v>
      </x:c>
    </x:row>
    <x:row r="848" ht="15" hidden="0" customHeight="1">
      <x:c r="A848" s="27" t="str">
        <x:v>SCA-28</x:v>
      </x:c>
      <x:c r="B848" s="27" t="str">
        <x:v>SCA-07</x:v>
      </x:c>
      <x:c r="C848" s="52" t="n">
        <x:v>88.65995067095783</x:v>
      </x:c>
      <x:c r="D848" s="27" t="str">
        <x:v>NO</x:v>
      </x:c>
      <x:c r="E848" s="52" t="n">
        <x:v>78.66138981289544</x:v>
      </x:c>
      <x:c r="F848" s="27" t="str">
        <x:v>NO</x:v>
      </x:c>
      <x:c r="G848" s="52" t="n">
        <x:v>16.877886268277457</x:v>
      </x:c>
      <x:c r="H848" s="27" t="str">
        <x:v>YES</x:v>
      </x:c>
      <x:c r="I848" s="52" t="n">
        <x:v>141.23664551358382</x:v>
      </x:c>
      <x:c r="J848" s="27" t="str">
        <x:v>NO</x:v>
      </x:c>
      <x:c r="K848" s="27" t="str">
        <x:v>Air</x:v>
      </x:c>
      <x:c r="L848" s="52" t="n">
        <x:v>16.877886268277457</x:v>
      </x:c>
      <x:c r="M848" s="40" t="n">
        <x:f>INDEX(Catchments!C:C,MATCH(A848,Catchments!A:A,0))</x:f>
        <x:v>21305157</x:v>
      </x:c>
      <x:c r="N848" s="40" t="n">
        <x:f>INDEX(Catchments!C:C,MATCH(B848,Catchments!A:A,0))</x:f>
        <x:v>5229370</x:v>
      </x:c>
    </x:row>
    <x:row r="849" ht="15" hidden="0" customHeight="1">
      <x:c r="A849" s="29" t="str">
        <x:v>SCA-28</x:v>
      </x:c>
      <x:c r="B849" s="29" t="str">
        <x:v>SCA-08</x:v>
      </x:c>
      <x:c r="C849" s="53" t="n">
        <x:v>76.51981205860915</x:v>
      </x:c>
      <x:c r="D849" s="29" t="str">
        <x:v>NO</x:v>
      </x:c>
      <x:c r="E849" s="53" t="n">
        <x:v>69.12270947462147</x:v>
      </x:c>
      <x:c r="F849" s="29" t="str">
        <x:v>YES</x:v>
      </x:c>
      <x:c r="G849" s="53" t="n">
        <x:v>16.50816928932565</x:v>
      </x:c>
      <x:c r="H849" s="29" t="str">
        <x:v>YES</x:v>
      </x:c>
      <x:c r="I849" s="53" t="n">
        <x:v>132.65392993077404</x:v>
      </x:c>
      <x:c r="J849" s="29" t="str">
        <x:v>NO</x:v>
      </x:c>
      <x:c r="K849" s="29" t="str">
        <x:v>Air</x:v>
      </x:c>
      <x:c r="L849" s="53" t="n">
        <x:v>16.50816928932565</x:v>
      </x:c>
      <x:c r="M849" s="41" t="n">
        <x:f>INDEX(Catchments!C:C,MATCH(A849,Catchments!A:A,0))</x:f>
        <x:v>21305157</x:v>
      </x:c>
      <x:c r="N849" s="41" t="n">
        <x:f>INDEX(Catchments!C:C,MATCH(B849,Catchments!A:A,0))</x:f>
        <x:v>2652387</x:v>
      </x:c>
    </x:row>
    <x:row r="850" ht="15" hidden="0" customHeight="1">
      <x:c r="A850" s="27" t="str">
        <x:v>SCA-28</x:v>
      </x:c>
      <x:c r="B850" s="27" t="str">
        <x:v>SCA-09</x:v>
      </x:c>
      <x:c r="C850" s="52" t="n">
        <x:v>81.48938842737452</x:v>
      </x:c>
      <x:c r="D850" s="27" t="str">
        <x:v>NO</x:v>
      </x:c>
      <x:c r="E850" s="52" t="n">
        <x:v>73.02737662150855</x:v>
      </x:c>
      <x:c r="F850" s="27" t="str">
        <x:v>NO</x:v>
      </x:c>
      <x:c r="G850" s="52" t="n">
        <x:v>16.624543647087695</x:v>
      </x:c>
      <x:c r="H850" s="27" t="str">
        <x:v>YES</x:v>
      </x:c>
      <x:c r="I850" s="52"/>
      <x:c r="J850" s="27" t="str">
        <x:v>NO</x:v>
      </x:c>
      <x:c r="K850" s="27" t="str">
        <x:v>Air</x:v>
      </x:c>
      <x:c r="L850" s="52" t="n">
        <x:v>16.624543647087695</x:v>
      </x:c>
      <x:c r="M850" s="40" t="n">
        <x:f>INDEX(Catchments!C:C,MATCH(A850,Catchments!A:A,0))</x:f>
        <x:v>21305157</x:v>
      </x:c>
      <x:c r="N850" s="40" t="n">
        <x:f>INDEX(Catchments!C:C,MATCH(B850,Catchments!A:A,0))</x:f>
        <x:v>7395716</x:v>
      </x:c>
    </x:row>
    <x:row r="851" ht="15" hidden="0" customHeight="1">
      <x:c r="A851" s="29" t="str">
        <x:v>SCA-28</x:v>
      </x:c>
      <x:c r="B851" s="29" t="str">
        <x:v>SCA-10</x:v>
      </x:c>
      <x:c r="C851" s="53" t="n">
        <x:v>73.85632698714957</x:v>
      </x:c>
      <x:c r="D851" s="29" t="str">
        <x:v>NO</x:v>
      </x:c>
      <x:c r="E851" s="53" t="n">
        <x:v>67.02997120418894</x:v>
      </x:c>
      <x:c r="F851" s="29" t="str">
        <x:v>YES</x:v>
      </x:c>
      <x:c r="G851" s="53" t="n">
        <x:v>16.12046026888857</x:v>
      </x:c>
      <x:c r="H851" s="29" t="str">
        <x:v>YES</x:v>
      </x:c>
      <x:c r="I851" s="53"/>
      <x:c r="J851" s="29" t="str">
        <x:v>NO</x:v>
      </x:c>
      <x:c r="K851" s="29" t="str">
        <x:v>Air</x:v>
      </x:c>
      <x:c r="L851" s="53" t="n">
        <x:v>16.12046026888857</x:v>
      </x:c>
      <x:c r="M851" s="41" t="n">
        <x:f>INDEX(Catchments!C:C,MATCH(A851,Catchments!A:A,0))</x:f>
        <x:v>21305157</x:v>
      </x:c>
      <x:c r="N851" s="41" t="n">
        <x:f>INDEX(Catchments!C:C,MATCH(B851,Catchments!A:A,0))</x:f>
        <x:v>4127033</x:v>
      </x:c>
    </x:row>
    <x:row r="852" ht="15" hidden="0" customHeight="1">
      <x:c r="A852" s="27" t="str">
        <x:v>SCA-28</x:v>
      </x:c>
      <x:c r="B852" s="27" t="str">
        <x:v>SCA-11</x:v>
      </x:c>
      <x:c r="C852" s="52" t="n">
        <x:v>68.59119762637201</x:v>
      </x:c>
      <x:c r="D852" s="27" t="str">
        <x:v>YES</x:v>
      </x:c>
      <x:c r="E852" s="52" t="n">
        <x:v>62.893083849292296</x:v>
      </x:c>
      <x:c r="F852" s="27" t="str">
        <x:v>YES</x:v>
      </x:c>
      <x:c r="G852" s="52" t="n">
        <x:v>15.71932869057314</x:v>
      </x:c>
      <x:c r="H852" s="27" t="str">
        <x:v>YES</x:v>
      </x:c>
      <x:c r="I852" s="52" t="n">
        <x:v>114.34155888830506</x:v>
      </x:c>
      <x:c r="J852" s="27" t="str">
        <x:v>NO</x:v>
      </x:c>
      <x:c r="K852" s="27" t="str">
        <x:v>Air</x:v>
      </x:c>
      <x:c r="L852" s="52" t="n">
        <x:v>15.71932869057314</x:v>
      </x:c>
      <x:c r="M852" s="40" t="n">
        <x:f>INDEX(Catchments!C:C,MATCH(A852,Catchments!A:A,0))</x:f>
        <x:v>21305157</x:v>
      </x:c>
      <x:c r="N852" s="40" t="n">
        <x:f>INDEX(Catchments!C:C,MATCH(B852,Catchments!A:A,0))</x:f>
        <x:v>3517787</x:v>
      </x:c>
    </x:row>
    <x:row r="853" ht="15" hidden="0" customHeight="1">
      <x:c r="A853" s="29" t="str">
        <x:v>SCA-28</x:v>
      </x:c>
      <x:c r="B853" s="29" t="str">
        <x:v>SCA-12</x:v>
      </x:c>
      <x:c r="C853" s="53" t="n">
        <x:v>61.56072767357789</x:v>
      </x:c>
      <x:c r="D853" s="29" t="str">
        <x:v>YES</x:v>
      </x:c>
      <x:c r="E853" s="53" t="n">
        <x:v>57.36914317209691</x:v>
      </x:c>
      <x:c r="F853" s="29" t="str">
        <x:v>YES</x:v>
      </x:c>
      <x:c r="G853" s="53" t="n">
        <x:v>15.33254728204437</x:v>
      </x:c>
      <x:c r="H853" s="29" t="str">
        <x:v>YES</x:v>
      </x:c>
      <x:c r="I853" s="53"/>
      <x:c r="J853" s="29" t="str">
        <x:v>NO</x:v>
      </x:c>
      <x:c r="K853" s="29" t="str">
        <x:v>Air</x:v>
      </x:c>
      <x:c r="L853" s="53" t="n">
        <x:v>15.33254728204437</x:v>
      </x:c>
      <x:c r="M853" s="41" t="n">
        <x:f>INDEX(Catchments!C:C,MATCH(A853,Catchments!A:A,0))</x:f>
        <x:v>21305157</x:v>
      </x:c>
      <x:c r="N853" s="41" t="n">
        <x:f>INDEX(Catchments!C:C,MATCH(B853,Catchments!A:A,0))</x:f>
        <x:v>7465186</x:v>
      </x:c>
    </x:row>
    <x:row r="854" ht="15" hidden="0" customHeight="1">
      <x:c r="A854" s="27" t="str">
        <x:v>SCA-28</x:v>
      </x:c>
      <x:c r="B854" s="27" t="str">
        <x:v>SCA-13</x:v>
      </x:c>
      <x:c r="C854" s="52" t="n">
        <x:v>59.39582766935781</x:v>
      </x:c>
      <x:c r="D854" s="27" t="str">
        <x:v>YES</x:v>
      </x:c>
      <x:c r="E854" s="52" t="n">
        <x:v>55.66815031163828</x:v>
      </x:c>
      <x:c r="F854" s="27" t="str">
        <x:v>YES</x:v>
      </x:c>
      <x:c r="G854" s="52" t="n">
        <x:v>15.159529198680406</x:v>
      </x:c>
      <x:c r="H854" s="27" t="str">
        <x:v>YES</x:v>
      </x:c>
      <x:c r="I854" s="52" t="n">
        <x:v>101.34621354079516</x:v>
      </x:c>
      <x:c r="J854" s="27" t="str">
        <x:v>NO</x:v>
      </x:c>
      <x:c r="K854" s="27" t="str">
        <x:v>Air</x:v>
      </x:c>
      <x:c r="L854" s="52" t="n">
        <x:v>15.159529198680406</x:v>
      </x:c>
      <x:c r="M854" s="40" t="n">
        <x:f>INDEX(Catchments!C:C,MATCH(A854,Catchments!A:A,0))</x:f>
        <x:v>21305157</x:v>
      </x:c>
      <x:c r="N854" s="40" t="n">
        <x:f>INDEX(Catchments!C:C,MATCH(B854,Catchments!A:A,0))</x:f>
        <x:v>6759014</x:v>
      </x:c>
    </x:row>
    <x:row r="855" ht="15" hidden="0" customHeight="1">
      <x:c r="A855" s="29" t="str">
        <x:v>SCA-28</x:v>
      </x:c>
      <x:c r="B855" s="29" t="str">
        <x:v>SCA-14</x:v>
      </x:c>
      <x:c r="C855" s="53" t="n">
        <x:v>66.73336973712347</x:v>
      </x:c>
      <x:c r="D855" s="29" t="str">
        <x:v>YES</x:v>
      </x:c>
      <x:c r="E855" s="53" t="n">
        <x:v>61.43336193631129</x:v>
      </x:c>
      <x:c r="F855" s="29" t="str">
        <x:v>YES</x:v>
      </x:c>
      <x:c r="G855" s="53" t="n">
        <x:v>15.51762563161477</x:v>
      </x:c>
      <x:c r="H855" s="29" t="str">
        <x:v>YES</x:v>
      </x:c>
      <x:c r="I855" s="53" t="n">
        <x:v>109.65916644820004</x:v>
      </x:c>
      <x:c r="J855" s="29" t="str">
        <x:v>NO</x:v>
      </x:c>
      <x:c r="K855" s="29" t="str">
        <x:v>Air</x:v>
      </x:c>
      <x:c r="L855" s="53" t="n">
        <x:v>15.51762563161477</x:v>
      </x:c>
      <x:c r="M855" s="41" t="n">
        <x:f>INDEX(Catchments!C:C,MATCH(A855,Catchments!A:A,0))</x:f>
        <x:v>21305157</x:v>
      </x:c>
      <x:c r="N855" s="41" t="n">
        <x:f>INDEX(Catchments!C:C,MATCH(B855,Catchments!A:A,0))</x:f>
        <x:v>2179728</x:v>
      </x:c>
    </x:row>
    <x:row r="856" ht="15" hidden="0" customHeight="1">
      <x:c r="A856" s="27" t="str">
        <x:v>SCA-28</x:v>
      </x:c>
      <x:c r="B856" s="27" t="str">
        <x:v>SCA-15</x:v>
      </x:c>
      <x:c r="C856" s="52" t="n">
        <x:v>52.12978547247315</x:v>
      </x:c>
      <x:c r="D856" s="27" t="str">
        <x:v>YES</x:v>
      </x:c>
      <x:c r="E856" s="52" t="n">
        <x:v>49.95911715694319</x:v>
      </x:c>
      <x:c r="F856" s="27" t="str">
        <x:v>YES</x:v>
      </x:c>
      <x:c r="G856" s="52" t="n">
        <x:v>14.678824052491564</x:v>
      </x:c>
      <x:c r="H856" s="27" t="str">
        <x:v>YES</x:v>
      </x:c>
      <x:c r="I856" s="52" t="n">
        <x:v>90.18698693283989</x:v>
      </x:c>
      <x:c r="J856" s="27" t="str">
        <x:v>NO</x:v>
      </x:c>
      <x:c r="K856" s="27" t="str">
        <x:v>Air</x:v>
      </x:c>
      <x:c r="L856" s="52" t="n">
        <x:v>14.678824052491564</x:v>
      </x:c>
      <x:c r="M856" s="40" t="n">
        <x:f>INDEX(Catchments!C:C,MATCH(A856,Catchments!A:A,0))</x:f>
        <x:v>21305157</x:v>
      </x:c>
      <x:c r="N856" s="40" t="n">
        <x:f>INDEX(Catchments!C:C,MATCH(B856,Catchments!A:A,0))</x:f>
        <x:v>13192386</x:v>
      </x:c>
    </x:row>
    <x:row r="857" ht="15" hidden="0" customHeight="1">
      <x:c r="A857" s="29" t="str">
        <x:v>SCA-28</x:v>
      </x:c>
      <x:c r="B857" s="29" t="str">
        <x:v>SCA-16</x:v>
      </x:c>
      <x:c r="C857" s="53" t="n">
        <x:v>45.340414182794234</x:v>
      </x:c>
      <x:c r="D857" s="29" t="str">
        <x:v>YES</x:v>
      </x:c>
      <x:c r="E857" s="53" t="n">
        <x:v>44.624611143624044</x:v>
      </x:c>
      <x:c r="F857" s="29" t="str">
        <x:v>YES</x:v>
      </x:c>
      <x:c r="G857" s="53" t="n">
        <x:v>14.241586230201131</x:v>
      </x:c>
      <x:c r="H857" s="29" t="str">
        <x:v>YES</x:v>
      </x:c>
      <x:c r="I857" s="53"/>
      <x:c r="J857" s="29" t="str">
        <x:v>NO</x:v>
      </x:c>
      <x:c r="K857" s="29" t="str">
        <x:v>Air</x:v>
      </x:c>
      <x:c r="L857" s="53" t="n">
        <x:v>14.241586230201131</x:v>
      </x:c>
      <x:c r="M857" s="41" t="n">
        <x:f>INDEX(Catchments!C:C,MATCH(A857,Catchments!A:A,0))</x:f>
        <x:v>21305157</x:v>
      </x:c>
      <x:c r="N857" s="41" t="n">
        <x:f>INDEX(Catchments!C:C,MATCH(B857,Catchments!A:A,0))</x:f>
        <x:v>10177969</x:v>
      </x:c>
    </x:row>
    <x:row r="858" ht="15" hidden="0" customHeight="1">
      <x:c r="A858" s="27" t="str">
        <x:v>SCA-28</x:v>
      </x:c>
      <x:c r="B858" s="27" t="str">
        <x:v>SCA-17</x:v>
      </x:c>
      <x:c r="C858" s="52" t="n">
        <x:v>51.53517965216741</x:v>
      </x:c>
      <x:c r="D858" s="27" t="str">
        <x:v>YES</x:v>
      </x:c>
      <x:c r="E858" s="52" t="n">
        <x:v>49.4919268695601</x:v>
      </x:c>
      <x:c r="F858" s="27" t="str">
        <x:v>YES</x:v>
      </x:c>
      <x:c r="G858" s="52" t="n">
        <x:v>14.722227061581203</x:v>
      </x:c>
      <x:c r="H858" s="27" t="str">
        <x:v>YES</x:v>
      </x:c>
      <x:c r="I858" s="52" t="n">
        <x:v>91.19455678670649</x:v>
      </x:c>
      <x:c r="J858" s="27" t="str">
        <x:v>NO</x:v>
      </x:c>
      <x:c r="K858" s="27" t="str">
        <x:v>Air</x:v>
      </x:c>
      <x:c r="L858" s="52" t="n">
        <x:v>14.722227061581203</x:v>
      </x:c>
      <x:c r="M858" s="40" t="n">
        <x:f>INDEX(Catchments!C:C,MATCH(A858,Catchments!A:A,0))</x:f>
        <x:v>21305157</x:v>
      </x:c>
      <x:c r="N858" s="40" t="n">
        <x:f>INDEX(Catchments!C:C,MATCH(B858,Catchments!A:A,0))</x:f>
        <x:v>12843509</x:v>
      </x:c>
    </x:row>
    <x:row r="859" ht="15" hidden="0" customHeight="1">
      <x:c r="A859" s="29" t="str">
        <x:v>SCA-28</x:v>
      </x:c>
      <x:c r="B859" s="29" t="str">
        <x:v>SCA-18</x:v>
      </x:c>
      <x:c r="C859" s="53" t="n">
        <x:v>41.902856287773936</x:v>
      </x:c>
      <x:c r="D859" s="29" t="str">
        <x:v>YES</x:v>
      </x:c>
      <x:c r="E859" s="53" t="n">
        <x:v>41.92367279753667</x:v>
      </x:c>
      <x:c r="F859" s="29" t="str">
        <x:v>YES</x:v>
      </x:c>
      <x:c r="G859" s="53" t="n">
        <x:v>13.97653755526746</x:v>
      </x:c>
      <x:c r="H859" s="29" t="str">
        <x:v>YES</x:v>
      </x:c>
      <x:c r="I859" s="53" t="n">
        <x:v>73.88390753299457</x:v>
      </x:c>
      <x:c r="J859" s="29" t="str">
        <x:v>NO</x:v>
      </x:c>
      <x:c r="K859" s="29" t="str">
        <x:v>Air</x:v>
      </x:c>
      <x:c r="L859" s="53" t="n">
        <x:v>13.97653755526746</x:v>
      </x:c>
      <x:c r="M859" s="41" t="n">
        <x:f>INDEX(Catchments!C:C,MATCH(A859,Catchments!A:A,0))</x:f>
        <x:v>21305157</x:v>
      </x:c>
      <x:c r="N859" s="41" t="n">
        <x:f>INDEX(Catchments!C:C,MATCH(B859,Catchments!A:A,0))</x:f>
        <x:v>11004680</x:v>
      </x:c>
    </x:row>
    <x:row r="860" ht="15" hidden="0" customHeight="1">
      <x:c r="A860" s="27" t="str">
        <x:v>SCA-28</x:v>
      </x:c>
      <x:c r="B860" s="27" t="str">
        <x:v>SCA-19</x:v>
      </x:c>
      <x:c r="C860" s="52" t="n">
        <x:v>35.85886556590304</x:v>
      </x:c>
      <x:c r="D860" s="27" t="str">
        <x:v>YES</x:v>
      </x:c>
      <x:c r="E860" s="52" t="n">
        <x:v>37.1748229446381</x:v>
      </x:c>
      <x:c r="F860" s="27" t="str">
        <x:v>YES</x:v>
      </x:c>
      <x:c r="G860" s="52" t="n">
        <x:v>13.547530654974498</x:v>
      </x:c>
      <x:c r="H860" s="27" t="str">
        <x:v>YES</x:v>
      </x:c>
      <x:c r="I860" s="52" t="n">
        <x:v>63.92481877619371</x:v>
      </x:c>
      <x:c r="J860" s="27" t="str">
        <x:v>YES</x:v>
      </x:c>
      <x:c r="K860" s="27" t="str">
        <x:v>Air</x:v>
      </x:c>
      <x:c r="L860" s="52" t="n">
        <x:v>13.547530654974498</x:v>
      </x:c>
      <x:c r="M860" s="40" t="n">
        <x:f>INDEX(Catchments!C:C,MATCH(A860,Catchments!A:A,0))</x:f>
        <x:v>21305157</x:v>
      </x:c>
      <x:c r="N860" s="40" t="n">
        <x:f>INDEX(Catchments!C:C,MATCH(B860,Catchments!A:A,0))</x:f>
        <x:v>6677653</x:v>
      </x:c>
    </x:row>
    <x:row r="861" ht="15" hidden="0" customHeight="1">
      <x:c r="A861" s="29" t="str">
        <x:v>SCA-28</x:v>
      </x:c>
      <x:c r="B861" s="29" t="str">
        <x:v>SCA-20</x:v>
      </x:c>
      <x:c r="C861" s="53" t="n">
        <x:v>38.98445193282862</x:v>
      </x:c>
      <x:c r="D861" s="29" t="str">
        <x:v>YES</x:v>
      </x:c>
      <x:c r="E861" s="53" t="n">
        <x:v>39.63064080436534</x:v>
      </x:c>
      <x:c r="F861" s="29" t="str">
        <x:v>YES</x:v>
      </x:c>
      <x:c r="G861" s="53" t="n">
        <x:v>13.804181782223349</x:v>
      </x:c>
      <x:c r="H861" s="29" t="str">
        <x:v>YES</x:v>
      </x:c>
      <x:c r="I861" s="53" t="n">
        <x:v>69.88279137304201</x:v>
      </x:c>
      <x:c r="J861" s="29" t="str">
        <x:v>YES</x:v>
      </x:c>
      <x:c r="K861" s="29" t="str">
        <x:v>Air</x:v>
      </x:c>
      <x:c r="L861" s="53" t="n">
        <x:v>13.804181782223349</x:v>
      </x:c>
      <x:c r="M861" s="41" t="n">
        <x:f>INDEX(Catchments!C:C,MATCH(A861,Catchments!A:A,0))</x:f>
        <x:v>21305157</x:v>
      </x:c>
      <x:c r="N861" s="41" t="n">
        <x:f>INDEX(Catchments!C:C,MATCH(B861,Catchments!A:A,0))</x:f>
        <x:v>8490774</x:v>
      </x:c>
    </x:row>
    <x:row r="862" ht="15" hidden="0" customHeight="1">
      <x:c r="A862" s="27" t="str">
        <x:v>SCA-28</x:v>
      </x:c>
      <x:c r="B862" s="27" t="str">
        <x:v>SCA-21</x:v>
      </x:c>
      <x:c r="C862" s="52" t="n">
        <x:v>30.23737363130367</x:v>
      </x:c>
      <x:c r="D862" s="27" t="str">
        <x:v>YES</x:v>
      </x:c>
      <x:c r="E862" s="52" t="n">
        <x:v>32.75793642459574</x:v>
      </x:c>
      <x:c r="F862" s="27" t="str">
        <x:v>YES</x:v>
      </x:c>
      <x:c r="G862" s="52" t="n">
        <x:v>13.148035938311946</x:v>
      </x:c>
      <x:c r="H862" s="27" t="str">
        <x:v>YES</x:v>
      </x:c>
      <x:c r="I862" s="52" t="n">
        <x:v>54.65083428224159</x:v>
      </x:c>
      <x:c r="J862" s="27" t="str">
        <x:v>YES</x:v>
      </x:c>
      <x:c r="K862" s="27" t="str">
        <x:v>Air</x:v>
      </x:c>
      <x:c r="L862" s="52" t="n">
        <x:v>13.148035938311946</x:v>
      </x:c>
      <x:c r="M862" s="40" t="n">
        <x:f>INDEX(Catchments!C:C,MATCH(A862,Catchments!A:A,0))</x:f>
        <x:v>21305157</x:v>
      </x:c>
      <x:c r="N862" s="40" t="n">
        <x:f>INDEX(Catchments!C:C,MATCH(B862,Catchments!A:A,0))</x:f>
        <x:v>19593580</x:v>
      </x:c>
    </x:row>
    <x:row r="863" ht="15" hidden="0" customHeight="1">
      <x:c r="A863" s="29" t="str">
        <x:v>SCA-28</x:v>
      </x:c>
      <x:c r="B863" s="29" t="str">
        <x:v>SCA-22</x:v>
      </x:c>
      <x:c r="C863" s="53" t="n">
        <x:v>25.720999550260693</x:v>
      </x:c>
      <x:c r="D863" s="29" t="str">
        <x:v>YES</x:v>
      </x:c>
      <x:c r="E863" s="53" t="n">
        <x:v>29.209356789490545</x:v>
      </x:c>
      <x:c r="F863" s="29" t="str">
        <x:v>YES</x:v>
      </x:c>
      <x:c r="G863" s="53" t="n">
        <x:v>12.862414682627877</x:v>
      </x:c>
      <x:c r="H863" s="29" t="str">
        <x:v>YES</x:v>
      </x:c>
      <x:c r="I863" s="53" t="n">
        <x:v>48.02034084671858</x:v>
      </x:c>
      <x:c r="J863" s="29" t="str">
        <x:v>YES</x:v>
      </x:c>
      <x:c r="K863" s="29" t="str">
        <x:v>Air</x:v>
      </x:c>
      <x:c r="L863" s="53" t="n">
        <x:v>12.862414682627877</x:v>
      </x:c>
      <x:c r="M863" s="41" t="n">
        <x:f>INDEX(Catchments!C:C,MATCH(A863,Catchments!A:A,0))</x:f>
        <x:v>21305157</x:v>
      </x:c>
      <x:c r="N863" s="41" t="n">
        <x:f>INDEX(Catchments!C:C,MATCH(B863,Catchments!A:A,0))</x:f>
        <x:v>14732006</x:v>
      </x:c>
    </x:row>
    <x:row r="864" ht="15" hidden="0" customHeight="1">
      <x:c r="A864" s="27" t="str">
        <x:v>SCA-28</x:v>
      </x:c>
      <x:c r="B864" s="27" t="str">
        <x:v>SCA-23</x:v>
      </x:c>
      <x:c r="C864" s="52" t="n">
        <x:v>36.03109528364282</x:v>
      </x:c>
      <x:c r="D864" s="27" t="str">
        <x:v>YES</x:v>
      </x:c>
      <x:c r="E864" s="52" t="n">
        <x:v>37.31014629429079</x:v>
      </x:c>
      <x:c r="F864" s="27" t="str">
        <x:v>YES</x:v>
      </x:c>
      <x:c r="G864" s="52" t="n">
        <x:v>13.326932539666386</x:v>
      </x:c>
      <x:c r="H864" s="27" t="str">
        <x:v>YES</x:v>
      </x:c>
      <x:c r="I864" s="52" t="n">
        <x:v>58.80379109939825</x:v>
      </x:c>
      <x:c r="J864" s="27" t="str">
        <x:v>YES</x:v>
      </x:c>
      <x:c r="K864" s="27" t="str">
        <x:v>Air</x:v>
      </x:c>
      <x:c r="L864" s="52" t="n">
        <x:v>13.326932539666386</x:v>
      </x:c>
      <x:c r="M864" s="40" t="n">
        <x:f>INDEX(Catchments!C:C,MATCH(A864,Catchments!A:A,0))</x:f>
        <x:v>21305157</x:v>
      </x:c>
      <x:c r="N864" s="40" t="n">
        <x:f>INDEX(Catchments!C:C,MATCH(B864,Catchments!A:A,0))</x:f>
        <x:v>20869310</x:v>
      </x:c>
    </x:row>
    <x:row r="865" ht="15" hidden="0" customHeight="1">
      <x:c r="A865" s="29" t="str">
        <x:v>SCA-28</x:v>
      </x:c>
      <x:c r="B865" s="29" t="str">
        <x:v>SCA-24</x:v>
      </x:c>
      <x:c r="C865" s="53" t="n">
        <x:v>23.014827210157534</x:v>
      </x:c>
      <x:c r="D865" s="29" t="str">
        <x:v>YES</x:v>
      </x:c>
      <x:c r="E865" s="53" t="n">
        <x:v>27.083078522266632</x:v>
      </x:c>
      <x:c r="F865" s="29" t="str">
        <x:v>YES</x:v>
      </x:c>
      <x:c r="G865" s="53" t="n">
        <x:v>12.663298323155404</x:v>
      </x:c>
      <x:c r="H865" s="29" t="str">
        <x:v>YES</x:v>
      </x:c>
      <x:c r="I865" s="53" t="n">
        <x:v>43.39799678753616</x:v>
      </x:c>
      <x:c r="J865" s="29" t="str">
        <x:v>YES</x:v>
      </x:c>
      <x:c r="K865" s="29" t="str">
        <x:v>Air</x:v>
      </x:c>
      <x:c r="L865" s="53" t="n">
        <x:v>12.663298323155404</x:v>
      </x:c>
      <x:c r="M865" s="41" t="n">
        <x:f>INDEX(Catchments!C:C,MATCH(A865,Catchments!A:A,0))</x:f>
        <x:v>21305157</x:v>
      </x:c>
      <x:c r="N865" s="41" t="n">
        <x:f>INDEX(Catchments!C:C,MATCH(B865,Catchments!A:A,0))</x:f>
        <x:v>11816161</x:v>
      </x:c>
    </x:row>
    <x:row r="866" ht="15" hidden="0" customHeight="1">
      <x:c r="A866" s="27" t="str">
        <x:v>SCA-28</x:v>
      </x:c>
      <x:c r="B866" s="27" t="str">
        <x:v>SCA-25</x:v>
      </x:c>
      <x:c r="C866" s="52" t="n">
        <x:v>38.16108156559479</x:v>
      </x:c>
      <x:c r="D866" s="27" t="str">
        <x:v>YES</x:v>
      </x:c>
      <x:c r="E866" s="52" t="n">
        <x:v>38.983706944395905</x:v>
      </x:c>
      <x:c r="F866" s="27" t="str">
        <x:v>YES</x:v>
      </x:c>
      <x:c r="G866" s="52" t="n">
        <x:v>13.72030794138669</x:v>
      </x:c>
      <x:c r="H866" s="27" t="str">
        <x:v>YES</x:v>
      </x:c>
      <x:c r="I866" s="52" t="n">
        <x:v>67.9357200679053</x:v>
      </x:c>
      <x:c r="J866" s="27" t="str">
        <x:v>YES</x:v>
      </x:c>
      <x:c r="K866" s="27" t="str">
        <x:v>Air</x:v>
      </x:c>
      <x:c r="L866" s="52" t="n">
        <x:v>13.72030794138669</x:v>
      </x:c>
      <x:c r="M866" s="40" t="n">
        <x:f>INDEX(Catchments!C:C,MATCH(A866,Catchments!A:A,0))</x:f>
        <x:v>21305157</x:v>
      </x:c>
      <x:c r="N866" s="40" t="n">
        <x:f>INDEX(Catchments!C:C,MATCH(B866,Catchments!A:A,0))</x:f>
        <x:v>6408394</x:v>
      </x:c>
    </x:row>
    <x:row r="867" ht="15" hidden="0" customHeight="1">
      <x:c r="A867" s="29" t="str">
        <x:v>SCA-28</x:v>
      </x:c>
      <x:c r="B867" s="29" t="str">
        <x:v>SCA-26</x:v>
      </x:c>
      <x:c r="C867" s="53" t="n">
        <x:v>44.133798943137016</x:v>
      </x:c>
      <x:c r="D867" s="29" t="str">
        <x:v>YES</x:v>
      </x:c>
      <x:c r="E867" s="53" t="n">
        <x:v>43.6765563124648</x:v>
      </x:c>
      <x:c r="F867" s="29" t="str">
        <x:v>YES</x:v>
      </x:c>
      <x:c r="G867" s="53" t="n">
        <x:v>14.145536890667891</x:v>
      </x:c>
      <x:c r="H867" s="29" t="str">
        <x:v>YES</x:v>
      </x:c>
      <x:c r="I867" s="53" t="n">
        <x:v>77.8071063905046</x:v>
      </x:c>
      <x:c r="J867" s="29" t="str">
        <x:v>NO</x:v>
      </x:c>
      <x:c r="K867" s="29" t="str">
        <x:v>Air</x:v>
      </x:c>
      <x:c r="L867" s="53" t="n">
        <x:v>14.145536890667891</x:v>
      </x:c>
      <x:c r="M867" s="41" t="n">
        <x:f>INDEX(Catchments!C:C,MATCH(A867,Catchments!A:A,0))</x:f>
        <x:v>21305157</x:v>
      </x:c>
      <x:c r="N867" s="41" t="n">
        <x:f>INDEX(Catchments!C:C,MATCH(B867,Catchments!A:A,0))</x:f>
        <x:v>10737083</x:v>
      </x:c>
    </x:row>
    <x:row r="868" ht="15" hidden="0" customHeight="1">
      <x:c r="A868" s="27" t="str">
        <x:v>SCA-28</x:v>
      </x:c>
      <x:c r="B868" s="27" t="str">
        <x:v>SCA-27</x:v>
      </x:c>
      <x:c r="C868" s="52" t="n">
        <x:v>49.217949199856086</x:v>
      </x:c>
      <x:c r="D868" s="27" t="str">
        <x:v>YES</x:v>
      </x:c>
      <x:c r="E868" s="52" t="n">
        <x:v>47.671245799886925</x:v>
      </x:c>
      <x:c r="F868" s="27" t="str">
        <x:v>YES</x:v>
      </x:c>
      <x:c r="G868" s="52" t="n">
        <x:v>14.434767132077928</x:v>
      </x:c>
      <x:c r="H868" s="27" t="str">
        <x:v>YES</x:v>
      </x:c>
      <x:c r="I868" s="52" t="n">
        <x:v>84.52137985180903</x:v>
      </x:c>
      <x:c r="J868" s="27" t="str">
        <x:v>NO</x:v>
      </x:c>
      <x:c r="K868" s="27" t="str">
        <x:v>Air</x:v>
      </x:c>
      <x:c r="L868" s="52" t="n">
        <x:v>14.434767132077928</x:v>
      </x:c>
      <x:c r="M868" s="40" t="n">
        <x:f>INDEX(Catchments!C:C,MATCH(A868,Catchments!A:A,0))</x:f>
        <x:v>21305157</x:v>
      </x:c>
      <x:c r="N868" s="40" t="n">
        <x:f>INDEX(Catchments!C:C,MATCH(B868,Catchments!A:A,0))</x:f>
        <x:v>7505606</x:v>
      </x:c>
    </x:row>
    <x:row r="869" ht="15" hidden="0" customHeight="1">
      <x:c r="A869" s="29" t="str">
        <x:v>SCA-28</x:v>
      </x:c>
      <x:c r="B869" s="29" t="str">
        <x:v>SCA-29</x:v>
      </x:c>
      <x:c r="C869" s="53" t="n">
        <x:v>24.4773689377692</x:v>
      </x:c>
      <x:c r="D869" s="29" t="str">
        <x:v>YES</x:v>
      </x:c>
      <x:c r="E869" s="53" t="n">
        <x:v>28.23221845110437</x:v>
      </x:c>
      <x:c r="F869" s="29" t="str">
        <x:v>YES</x:v>
      </x:c>
      <x:c r="G869" s="53" t="n">
        <x:v>12.77091008906663</x:v>
      </x:c>
      <x:c r="H869" s="29" t="str">
        <x:v>YES</x:v>
      </x:c>
      <x:c r="I869" s="53" t="n">
        <x:v>45.896127067618195</x:v>
      </x:c>
      <x:c r="J869" s="29" t="str">
        <x:v>YES</x:v>
      </x:c>
      <x:c r="K869" s="29" t="str">
        <x:v>Air</x:v>
      </x:c>
      <x:c r="L869" s="53" t="n">
        <x:v>12.77091008906663</x:v>
      </x:c>
      <x:c r="M869" s="41" t="n">
        <x:f>INDEX(Catchments!C:C,MATCH(A869,Catchments!A:A,0))</x:f>
        <x:v>21305157</x:v>
      </x:c>
      <x:c r="N869" s="41" t="n">
        <x:f>INDEX(Catchments!C:C,MATCH(B869,Catchments!A:A,0))</x:f>
        <x:v>19271685</x:v>
      </x:c>
    </x:row>
    <x:row r="870" ht="15" hidden="0" customHeight="1">
      <x:c r="A870" s="27" t="str">
        <x:v>SCA-28</x:v>
      </x:c>
      <x:c r="B870" s="27" t="str">
        <x:v>SCA-30</x:v>
      </x:c>
      <x:c r="C870" s="52" t="n">
        <x:v>22.42843119874982</x:v>
      </x:c>
      <x:c r="D870" s="27" t="str">
        <x:v>YES</x:v>
      </x:c>
      <x:c r="E870" s="52" t="n">
        <x:v>26.622338799017715</x:v>
      </x:c>
      <x:c r="F870" s="27" t="str">
        <x:v>YES</x:v>
      </x:c>
      <x:c r="G870" s="52" t="n">
        <x:v>12.620152128336107</x:v>
      </x:c>
      <x:c r="H870" s="27" t="str">
        <x:v>YES</x:v>
      </x:c>
      <x:c r="I870" s="52" t="n">
        <x:v>42.39638869351677</x:v>
      </x:c>
      <x:c r="J870" s="27" t="str">
        <x:v>YES</x:v>
      </x:c>
      <x:c r="K870" s="27" t="str">
        <x:v>Air</x:v>
      </x:c>
      <x:c r="L870" s="52" t="n">
        <x:v>12.620152128336107</x:v>
      </x:c>
      <x:c r="M870" s="40" t="n">
        <x:f>INDEX(Catchments!C:C,MATCH(A870,Catchments!A:A,0))</x:f>
        <x:v>21305157</x:v>
      </x:c>
      <x:c r="N870" s="40" t="n">
        <x:f>INDEX(Catchments!C:C,MATCH(B870,Catchments!A:A,0))</x:f>
        <x:v>41291847</x:v>
      </x:c>
    </x:row>
    <x:row r="871" ht="15" hidden="0" customHeight="1">
      <x:c r="A871" s="29" t="str">
        <x:v>SCA-28</x:v>
      </x:c>
      <x:c r="B871" s="29" t="str">
        <x:v>SCA-31</x:v>
      </x:c>
      <x:c r="C871" s="53" t="n">
        <x:v>29.575379293049927</x:v>
      </x:c>
      <x:c r="D871" s="29" t="str">
        <x:v>YES</x:v>
      </x:c>
      <x:c r="E871" s="53" t="n">
        <x:v>32.2377980159678</x:v>
      </x:c>
      <x:c r="F871" s="29" t="str">
        <x:v>YES</x:v>
      </x:c>
      <x:c r="G871" s="53" t="n">
        <x:v>13.072321981929928</x:v>
      </x:c>
      <x:c r="H871" s="29" t="str">
        <x:v>YES</x:v>
      </x:c>
      <x:c r="I871" s="53" t="n">
        <x:v>52.89318886623049</x:v>
      </x:c>
      <x:c r="J871" s="29" t="str">
        <x:v>YES</x:v>
      </x:c>
      <x:c r="K871" s="29" t="str">
        <x:v>Air</x:v>
      </x:c>
      <x:c r="L871" s="53" t="n">
        <x:v>13.072321981929928</x:v>
      </x:c>
      <x:c r="M871" s="41" t="n">
        <x:f>INDEX(Catchments!C:C,MATCH(A871,Catchments!A:A,0))</x:f>
        <x:v>21305157</x:v>
      </x:c>
      <x:c r="N871" s="41" t="n">
        <x:f>INDEX(Catchments!C:C,MATCH(B871,Catchments!A:A,0))</x:f>
        <x:v>14227128</x:v>
      </x:c>
    </x:row>
    <x:row r="872" ht="15" hidden="0" customHeight="1">
      <x:c r="A872" s="27" t="str">
        <x:v>SCA-28</x:v>
      </x:c>
      <x:c r="B872" s="27" t="str">
        <x:v>SCA-32</x:v>
      </x:c>
      <x:c r="C872" s="52"/>
      <x:c r="D872" s="27" t="str">
        <x:v>NO</x:v>
      </x:c>
      <x:c r="E872" s="52"/>
      <x:c r="F872" s="27" t="str">
        <x:v>NO</x:v>
      </x:c>
      <x:c r="G872" s="52" t="n">
        <x:v>16.23701288623997</x:v>
      </x:c>
      <x:c r="H872" s="27" t="str">
        <x:v>YES</x:v>
      </x:c>
      <x:c r="I872" s="52" t="n">
        <x:v>126.35922771628505</x:v>
      </x:c>
      <x:c r="J872" s="27" t="str">
        <x:v>NO</x:v>
      </x:c>
      <x:c r="K872" s="27" t="str">
        <x:v>Air</x:v>
      </x:c>
      <x:c r="L872" s="52" t="n">
        <x:v>16.23701288623997</x:v>
      </x:c>
      <x:c r="M872" s="40" t="n">
        <x:f>INDEX(Catchments!C:C,MATCH(A872,Catchments!A:A,0))</x:f>
        <x:v>21305157</x:v>
      </x:c>
      <x:c r="N872" s="40" t="n">
        <x:f>INDEX(Catchments!C:C,MATCH(B872,Catchments!A:A,0))</x:f>
        <x:v>3184835</x:v>
      </x:c>
    </x:row>
    <x:row r="873" ht="15" hidden="0" customHeight="1">
      <x:c r="A873" s="29" t="str">
        <x:v>SCA-29</x:v>
      </x:c>
      <x:c r="B873" s="29" t="str">
        <x:v>SCA-01</x:v>
      </x:c>
      <x:c r="C873" s="53"/>
      <x:c r="D873" s="29" t="str">
        <x:v>NO</x:v>
      </x:c>
      <x:c r="E873" s="53"/>
      <x:c r="F873" s="29" t="str">
        <x:v>NO</x:v>
      </x:c>
      <x:c r="G873" s="53" t="n">
        <x:v>23.780279864317954</x:v>
      </x:c>
      <x:c r="H873" s="29" t="str">
        <x:v>YES</x:v>
      </x:c>
      <x:c r="I873" s="53" t="n">
        <x:v>301.470782564524</x:v>
      </x:c>
      <x:c r="J873" s="29" t="str">
        <x:v>NO</x:v>
      </x:c>
      <x:c r="K873" s="29" t="str">
        <x:v>Air</x:v>
      </x:c>
      <x:c r="L873" s="53" t="n">
        <x:v>23.780279864317954</x:v>
      </x:c>
      <x:c r="M873" s="41" t="n">
        <x:f>INDEX(Catchments!C:C,MATCH(A873,Catchments!A:A,0))</x:f>
        <x:v>19271685</x:v>
      </x:c>
      <x:c r="N873" s="41" t="n">
        <x:f>INDEX(Catchments!C:C,MATCH(B873,Catchments!A:A,0))</x:f>
        <x:v>1432820</x:v>
      </x:c>
    </x:row>
    <x:row r="874" ht="15" hidden="0" customHeight="1">
      <x:c r="A874" s="27" t="str">
        <x:v>SCA-29</x:v>
      </x:c>
      <x:c r="B874" s="27" t="str">
        <x:v>SCA-02</x:v>
      </x:c>
      <x:c r="C874" s="52"/>
      <x:c r="D874" s="27" t="str">
        <x:v>NO</x:v>
      </x:c>
      <x:c r="E874" s="52"/>
      <x:c r="F874" s="27" t="str">
        <x:v>NO</x:v>
      </x:c>
      <x:c r="G874" s="52" t="n">
        <x:v>20.271128530192634</x:v>
      </x:c>
      <x:c r="H874" s="27" t="str">
        <x:v>YES</x:v>
      </x:c>
      <x:c r="I874" s="52" t="n">
        <x:v>220.00834087947183</x:v>
      </x:c>
      <x:c r="J874" s="27" t="str">
        <x:v>NO</x:v>
      </x:c>
      <x:c r="K874" s="27" t="str">
        <x:v>Air</x:v>
      </x:c>
      <x:c r="L874" s="52" t="n">
        <x:v>20.271128530192634</x:v>
      </x:c>
      <x:c r="M874" s="40" t="n">
        <x:f>INDEX(Catchments!C:C,MATCH(A874,Catchments!A:A,0))</x:f>
        <x:v>19271685</x:v>
      </x:c>
      <x:c r="N874" s="40" t="n">
        <x:f>INDEX(Catchments!C:C,MATCH(B874,Catchments!A:A,0))</x:f>
        <x:v>737270</x:v>
      </x:c>
    </x:row>
    <x:row r="875" ht="15" hidden="0" customHeight="1">
      <x:c r="A875" s="29" t="str">
        <x:v>SCA-29</x:v>
      </x:c>
      <x:c r="B875" s="29" t="str">
        <x:v>SCA-03</x:v>
      </x:c>
      <x:c r="C875" s="53" t="n">
        <x:v>95.03747728236432</x:v>
      </x:c>
      <x:c r="D875" s="29" t="str">
        <x:v>NO</x:v>
      </x:c>
      <x:c r="E875" s="53" t="n">
        <x:v>83.67230357900054</x:v>
      </x:c>
      <x:c r="F875" s="29" t="str">
        <x:v>NO</x:v>
      </x:c>
      <x:c r="G875" s="53" t="n">
        <x:v>17.70029956903676</x:v>
      </x:c>
      <x:c r="H875" s="29" t="str">
        <x:v>YES</x:v>
      </x:c>
      <x:c r="I875" s="53" t="n">
        <x:v>160.328382852639</x:v>
      </x:c>
      <x:c r="J875" s="29" t="str">
        <x:v>NO</x:v>
      </x:c>
      <x:c r="K875" s="29" t="str">
        <x:v>Air</x:v>
      </x:c>
      <x:c r="L875" s="53" t="n">
        <x:v>17.70029956903676</x:v>
      </x:c>
      <x:c r="M875" s="41" t="n">
        <x:f>INDEX(Catchments!C:C,MATCH(A875,Catchments!A:A,0))</x:f>
        <x:v>19271685</x:v>
      </x:c>
      <x:c r="N875" s="41" t="n">
        <x:f>INDEX(Catchments!C:C,MATCH(B875,Catchments!A:A,0))</x:f>
        <x:v>11968308</x:v>
      </x:c>
    </x:row>
    <x:row r="876" ht="15" hidden="0" customHeight="1">
      <x:c r="A876" s="27" t="str">
        <x:v>SCA-29</x:v>
      </x:c>
      <x:c r="B876" s="27" t="str">
        <x:v>SCA-04</x:v>
      </x:c>
      <x:c r="C876" s="52" t="n">
        <x:v>100.50577612388021</x:v>
      </x:c>
      <x:c r="D876" s="27" t="str">
        <x:v>NO</x:v>
      </x:c>
      <x:c r="E876" s="52" t="n">
        <x:v>87.96882409733445</x:v>
      </x:c>
      <x:c r="F876" s="27" t="str">
        <x:v>NO</x:v>
      </x:c>
      <x:c r="G876" s="52" t="n">
        <x:v>17.76503094874164</x:v>
      </x:c>
      <x:c r="H876" s="27" t="str">
        <x:v>YES</x:v>
      </x:c>
      <x:c r="I876" s="52" t="n">
        <x:v>161.831075595788</x:v>
      </x:c>
      <x:c r="J876" s="27" t="str">
        <x:v>NO</x:v>
      </x:c>
      <x:c r="K876" s="27" t="str">
        <x:v>Air</x:v>
      </x:c>
      <x:c r="L876" s="52" t="n">
        <x:v>17.76503094874164</x:v>
      </x:c>
      <x:c r="M876" s="40" t="n">
        <x:f>INDEX(Catchments!C:C,MATCH(A876,Catchments!A:A,0))</x:f>
        <x:v>19271685</x:v>
      </x:c>
      <x:c r="N876" s="40" t="n">
        <x:f>INDEX(Catchments!C:C,MATCH(B876,Catchments!A:A,0))</x:f>
        <x:v>16200470</x:v>
      </x:c>
    </x:row>
    <x:row r="877" ht="15" hidden="0" customHeight="1">
      <x:c r="A877" s="29" t="str">
        <x:v>SCA-29</x:v>
      </x:c>
      <x:c r="B877" s="29" t="str">
        <x:v>SCA-05</x:v>
      </x:c>
      <x:c r="C877" s="53" t="n">
        <x:v>91.91916602779446</x:v>
      </x:c>
      <x:c r="D877" s="29" t="str">
        <x:v>NO</x:v>
      </x:c>
      <x:c r="E877" s="53" t="n">
        <x:v>81.22220187898137</x:v>
      </x:c>
      <x:c r="F877" s="29" t="str">
        <x:v>NO</x:v>
      </x:c>
      <x:c r="G877" s="53" t="n">
        <x:v>17.46718785869551</x:v>
      </x:c>
      <x:c r="H877" s="29" t="str">
        <x:v>YES</x:v>
      </x:c>
      <x:c r="I877" s="53" t="n">
        <x:v>154.91686100543149</x:v>
      </x:c>
      <x:c r="J877" s="29" t="str">
        <x:v>NO</x:v>
      </x:c>
      <x:c r="K877" s="29" t="str">
        <x:v>Air</x:v>
      </x:c>
      <x:c r="L877" s="53" t="n">
        <x:v>17.46718785869551</x:v>
      </x:c>
      <x:c r="M877" s="41" t="n">
        <x:f>INDEX(Catchments!C:C,MATCH(A877,Catchments!A:A,0))</x:f>
        <x:v>19271685</x:v>
      </x:c>
      <x:c r="N877" s="41" t="n">
        <x:f>INDEX(Catchments!C:C,MATCH(B877,Catchments!A:A,0))</x:f>
        <x:v>15966265</x:v>
      </x:c>
    </x:row>
    <x:row r="878" ht="15" hidden="0" customHeight="1">
      <x:c r="A878" s="27" t="str">
        <x:v>SCA-29</x:v>
      </x:c>
      <x:c r="B878" s="27" t="str">
        <x:v>SCA-06</x:v>
      </x:c>
      <x:c r="C878" s="52" t="n">
        <x:v>87.54175925906496</x:v>
      </x:c>
      <x:c r="D878" s="27" t="str">
        <x:v>NO</x:v>
      </x:c>
      <x:c r="E878" s="52" t="n">
        <x:v>77.78281084640818</x:v>
      </x:c>
      <x:c r="F878" s="27" t="str">
        <x:v>NO</x:v>
      </x:c>
      <x:c r="G878" s="52" t="n">
        <x:v>17.24076259154541</x:v>
      </x:c>
      <x:c r="H878" s="27" t="str">
        <x:v>YES</x:v>
      </x:c>
      <x:c r="I878" s="52" t="n">
        <x:v>149.66056016087555</x:v>
      </x:c>
      <x:c r="J878" s="27" t="str">
        <x:v>NO</x:v>
      </x:c>
      <x:c r="K878" s="27" t="str">
        <x:v>Air</x:v>
      </x:c>
      <x:c r="L878" s="52" t="n">
        <x:v>17.24076259154541</x:v>
      </x:c>
      <x:c r="M878" s="40" t="n">
        <x:f>INDEX(Catchments!C:C,MATCH(A878,Catchments!A:A,0))</x:f>
        <x:v>19271685</x:v>
      </x:c>
      <x:c r="N878" s="40" t="n">
        <x:f>INDEX(Catchments!C:C,MATCH(B878,Catchments!A:A,0))</x:f>
        <x:v>6008575</x:v>
      </x:c>
    </x:row>
    <x:row r="879" ht="15" hidden="0" customHeight="1">
      <x:c r="A879" s="29" t="str">
        <x:v>SCA-29</x:v>
      </x:c>
      <x:c r="B879" s="29" t="str">
        <x:v>SCA-07</x:v>
      </x:c>
      <x:c r="C879" s="53" t="n">
        <x:v>87.7675181847412</x:v>
      </x:c>
      <x:c r="D879" s="29" t="str">
        <x:v>NO</x:v>
      </x:c>
      <x:c r="E879" s="53" t="n">
        <x:v>77.96019285943953</x:v>
      </x:c>
      <x:c r="F879" s="29" t="str">
        <x:v>NO</x:v>
      </x:c>
      <x:c r="G879" s="53" t="n">
        <x:v>17.007972130884454</x:v>
      </x:c>
      <x:c r="H879" s="29" t="str">
        <x:v>YES</x:v>
      </x:c>
      <x:c r="I879" s="53" t="n">
        <x:v>144.25649589553197</x:v>
      </x:c>
      <x:c r="J879" s="29" t="str">
        <x:v>NO</x:v>
      </x:c>
      <x:c r="K879" s="29" t="str">
        <x:v>Air</x:v>
      </x:c>
      <x:c r="L879" s="53" t="n">
        <x:v>17.007972130884454</x:v>
      </x:c>
      <x:c r="M879" s="41" t="n">
        <x:f>INDEX(Catchments!C:C,MATCH(A879,Catchments!A:A,0))</x:f>
        <x:v>19271685</x:v>
      </x:c>
      <x:c r="N879" s="41" t="n">
        <x:f>INDEX(Catchments!C:C,MATCH(B879,Catchments!A:A,0))</x:f>
        <x:v>5229370</x:v>
      </x:c>
    </x:row>
    <x:row r="880" ht="15" hidden="0" customHeight="1">
      <x:c r="A880" s="27" t="str">
        <x:v>SCA-29</x:v>
      </x:c>
      <x:c r="B880" s="27" t="str">
        <x:v>SCA-08</x:v>
      </x:c>
      <x:c r="C880" s="52" t="n">
        <x:v>83.31647955377323</x:v>
      </x:c>
      <x:c r="D880" s="27" t="str">
        <x:v>NO</x:v>
      </x:c>
      <x:c r="E880" s="52" t="n">
        <x:v>74.46294822082183</x:v>
      </x:c>
      <x:c r="F880" s="27" t="str">
        <x:v>NO</x:v>
      </x:c>
      <x:c r="G880" s="52" t="n">
        <x:v>16.87793210105898</x:v>
      </x:c>
      <x:c r="H880" s="27" t="str">
        <x:v>YES</x:v>
      </x:c>
      <x:c r="I880" s="52" t="n">
        <x:v>141.23770948886917</x:v>
      </x:c>
      <x:c r="J880" s="27" t="str">
        <x:v>NO</x:v>
      </x:c>
      <x:c r="K880" s="27" t="str">
        <x:v>Air</x:v>
      </x:c>
      <x:c r="L880" s="52" t="n">
        <x:v>16.87793210105898</x:v>
      </x:c>
      <x:c r="M880" s="40" t="n">
        <x:f>INDEX(Catchments!C:C,MATCH(A880,Catchments!A:A,0))</x:f>
        <x:v>19271685</x:v>
      </x:c>
      <x:c r="N880" s="40" t="n">
        <x:f>INDEX(Catchments!C:C,MATCH(B880,Catchments!A:A,0))</x:f>
        <x:v>2652387</x:v>
      </x:c>
    </x:row>
    <x:row r="881" ht="15" hidden="0" customHeight="1">
      <x:c r="A881" s="29" t="str">
        <x:v>SCA-29</x:v>
      </x:c>
      <x:c r="B881" s="29" t="str">
        <x:v>SCA-09</x:v>
      </x:c>
      <x:c r="C881" s="53" t="n">
        <x:v>79.36504195430439</x:v>
      </x:c>
      <x:c r="D881" s="29" t="str">
        <x:v>NO</x:v>
      </x:c>
      <x:c r="E881" s="53" t="n">
        <x:v>71.3582472498106</x:v>
      </x:c>
      <x:c r="F881" s="29" t="str">
        <x:v>YES</x:v>
      </x:c>
      <x:c r="G881" s="53" t="n">
        <x:v>16.6646198755323</x:v>
      </x:c>
      <x:c r="H881" s="29" t="str">
        <x:v>YES</x:v>
      </x:c>
      <x:c r="I881" s="53"/>
      <x:c r="J881" s="29" t="str">
        <x:v>NO</x:v>
      </x:c>
      <x:c r="K881" s="29" t="str">
        <x:v>Air</x:v>
      </x:c>
      <x:c r="L881" s="53" t="n">
        <x:v>16.6646198755323</x:v>
      </x:c>
      <x:c r="M881" s="41" t="n">
        <x:f>INDEX(Catchments!C:C,MATCH(A881,Catchments!A:A,0))</x:f>
        <x:v>19271685</x:v>
      </x:c>
      <x:c r="N881" s="41" t="n">
        <x:f>INDEX(Catchments!C:C,MATCH(B881,Catchments!A:A,0))</x:f>
        <x:v>7395716</x:v>
      </x:c>
    </x:row>
    <x:row r="882" ht="15" hidden="0" customHeight="1">
      <x:c r="A882" s="27" t="str">
        <x:v>SCA-29</x:v>
      </x:c>
      <x:c r="B882" s="27" t="str">
        <x:v>SCA-10</x:v>
      </x:c>
      <x:c r="C882" s="52" t="n">
        <x:v>75.18155515896423</x:v>
      </x:c>
      <x:c r="D882" s="27" t="str">
        <x:v>NO</x:v>
      </x:c>
      <x:c r="E882" s="52" t="n">
        <x:v>68.07122191061475</x:v>
      </x:c>
      <x:c r="F882" s="27" t="str">
        <x:v>YES</x:v>
      </x:c>
      <x:c r="G882" s="52" t="n">
        <x:v>16.392477531626096</x:v>
      </x:c>
      <x:c r="H882" s="27" t="str">
        <x:v>YES</x:v>
      </x:c>
      <x:c r="I882" s="52"/>
      <x:c r="J882" s="27" t="str">
        <x:v>NO</x:v>
      </x:c>
      <x:c r="K882" s="27" t="str">
        <x:v>Air</x:v>
      </x:c>
      <x:c r="L882" s="52" t="n">
        <x:v>16.392477531626096</x:v>
      </x:c>
      <x:c r="M882" s="40" t="n">
        <x:f>INDEX(Catchments!C:C,MATCH(A882,Catchments!A:A,0))</x:f>
        <x:v>19271685</x:v>
      </x:c>
      <x:c r="N882" s="40" t="n">
        <x:f>INDEX(Catchments!C:C,MATCH(B882,Catchments!A:A,0))</x:f>
        <x:v>4127033</x:v>
      </x:c>
    </x:row>
    <x:row r="883" ht="15" hidden="0" customHeight="1">
      <x:c r="A883" s="29" t="str">
        <x:v>SCA-29</x:v>
      </x:c>
      <x:c r="B883" s="29" t="str">
        <x:v>SCA-11</x:v>
      </x:c>
      <x:c r="C883" s="53" t="n">
        <x:v>65.69681738212967</x:v>
      </x:c>
      <x:c r="D883" s="29" t="str">
        <x:v>YES</x:v>
      </x:c>
      <x:c r="E883" s="53" t="n">
        <x:v>60.61892794310187</x:v>
      </x:c>
      <x:c r="F883" s="29" t="str">
        <x:v>YES</x:v>
      </x:c>
      <x:c r="G883" s="53" t="n">
        <x:v>15.69249656536182</x:v>
      </x:c>
      <x:c r="H883" s="29" t="str">
        <x:v>YES</x:v>
      </x:c>
      <x:c r="I883" s="53" t="n">
        <x:v>113.71867026732797</x:v>
      </x:c>
      <x:c r="J883" s="29" t="str">
        <x:v>NO</x:v>
      </x:c>
      <x:c r="K883" s="29" t="str">
        <x:v>Air</x:v>
      </x:c>
      <x:c r="L883" s="53" t="n">
        <x:v>15.69249656536182</x:v>
      </x:c>
      <x:c r="M883" s="41" t="n">
        <x:f>INDEX(Catchments!C:C,MATCH(A883,Catchments!A:A,0))</x:f>
        <x:v>19271685</x:v>
      </x:c>
      <x:c r="N883" s="41" t="n">
        <x:f>INDEX(Catchments!C:C,MATCH(B883,Catchments!A:A,0))</x:f>
        <x:v>3517787</x:v>
      </x:c>
    </x:row>
    <x:row r="884" ht="15" hidden="0" customHeight="1">
      <x:c r="A884" s="27" t="str">
        <x:v>SCA-29</x:v>
      </x:c>
      <x:c r="B884" s="27" t="str">
        <x:v>SCA-12</x:v>
      </x:c>
      <x:c r="C884" s="52" t="n">
        <x:v>62.88595584539255</x:v>
      </x:c>
      <x:c r="D884" s="27" t="str">
        <x:v>YES</x:v>
      </x:c>
      <x:c r="E884" s="52" t="n">
        <x:v>58.41039387852272</x:v>
      </x:c>
      <x:c r="F884" s="27" t="str">
        <x:v>YES</x:v>
      </x:c>
      <x:c r="G884" s="52" t="n">
        <x:v>15.5327042433134</x:v>
      </x:c>
      <x:c r="H884" s="27" t="str">
        <x:v>YES</x:v>
      </x:c>
      <x:c r="I884" s="52"/>
      <x:c r="J884" s="27" t="str">
        <x:v>NO</x:v>
      </x:c>
      <x:c r="K884" s="27" t="str">
        <x:v>Air</x:v>
      </x:c>
      <x:c r="L884" s="52" t="n">
        <x:v>15.5327042433134</x:v>
      </x:c>
      <x:c r="M884" s="40" t="n">
        <x:f>INDEX(Catchments!C:C,MATCH(A884,Catchments!A:A,0))</x:f>
        <x:v>19271685</x:v>
      </x:c>
      <x:c r="N884" s="40" t="n">
        <x:f>INDEX(Catchments!C:C,MATCH(B884,Catchments!A:A,0))</x:f>
        <x:v>7465186</x:v>
      </x:c>
    </x:row>
    <x:row r="885" ht="15" hidden="0" customHeight="1">
      <x:c r="A885" s="29" t="str">
        <x:v>SCA-29</x:v>
      </x:c>
      <x:c r="B885" s="29" t="str">
        <x:v>SCA-13</x:v>
      </x:c>
      <x:c r="C885" s="53" t="n">
        <x:v>56.50144742511545</x:v>
      </x:c>
      <x:c r="D885" s="29" t="str">
        <x:v>YES</x:v>
      </x:c>
      <x:c r="E885" s="53" t="n">
        <x:v>53.393994405447856</x:v>
      </x:c>
      <x:c r="F885" s="29" t="str">
        <x:v>YES</x:v>
      </x:c>
      <x:c r="G885" s="53" t="n">
        <x:v>14.914432062426327</x:v>
      </x:c>
      <x:c r="H885" s="29" t="str">
        <x:v>YES</x:v>
      </x:c>
      <x:c r="I885" s="53" t="n">
        <x:v>95.65645859203973</x:v>
      </x:c>
      <x:c r="J885" s="29" t="str">
        <x:v>NO</x:v>
      </x:c>
      <x:c r="K885" s="29" t="str">
        <x:v>Air</x:v>
      </x:c>
      <x:c r="L885" s="53" t="n">
        <x:v>14.914432062426327</x:v>
      </x:c>
      <x:c r="M885" s="41" t="n">
        <x:f>INDEX(Catchments!C:C,MATCH(A885,Catchments!A:A,0))</x:f>
        <x:v>19271685</x:v>
      </x:c>
      <x:c r="N885" s="41" t="n">
        <x:f>INDEX(Catchments!C:C,MATCH(B885,Catchments!A:A,0))</x:f>
        <x:v>6759014</x:v>
      </x:c>
    </x:row>
    <x:row r="886" ht="15" hidden="0" customHeight="1">
      <x:c r="A886" s="27" t="str">
        <x:v>SCA-29</x:v>
      </x:c>
      <x:c r="B886" s="27" t="str">
        <x:v>SCA-14</x:v>
      </x:c>
      <x:c r="C886" s="52" t="n">
        <x:v>63.83898949288111</x:v>
      </x:c>
      <x:c r="D886" s="27" t="str">
        <x:v>YES</x:v>
      </x:c>
      <x:c r="E886" s="52" t="n">
        <x:v>59.15920603012088</x:v>
      </x:c>
      <x:c r="F886" s="27" t="str">
        <x:v>YES</x:v>
      </x:c>
      <x:c r="G886" s="52" t="n">
        <x:v>15.171950327190727</x:v>
      </x:c>
      <x:c r="H886" s="27" t="str">
        <x:v>YES</x:v>
      </x:c>
      <x:c r="I886" s="52" t="n">
        <x:v>101.6345611669276</x:v>
      </x:c>
      <x:c r="J886" s="27" t="str">
        <x:v>NO</x:v>
      </x:c>
      <x:c r="K886" s="27" t="str">
        <x:v>Air</x:v>
      </x:c>
      <x:c r="L886" s="52" t="n">
        <x:v>15.171950327190727</x:v>
      </x:c>
      <x:c r="M886" s="40" t="n">
        <x:f>INDEX(Catchments!C:C,MATCH(A886,Catchments!A:A,0))</x:f>
        <x:v>19271685</x:v>
      </x:c>
      <x:c r="N886" s="40" t="n">
        <x:f>INDEX(Catchments!C:C,MATCH(B886,Catchments!A:A,0))</x:f>
        <x:v>2179728</x:v>
      </x:c>
    </x:row>
    <x:row r="887" ht="15" hidden="0" customHeight="1">
      <x:c r="A887" s="29" t="str">
        <x:v>SCA-29</x:v>
      </x:c>
      <x:c r="B887" s="29" t="str">
        <x:v>SCA-15</x:v>
      </x:c>
      <x:c r="C887" s="53" t="n">
        <x:v>49.235405228230796</x:v>
      </x:c>
      <x:c r="D887" s="29" t="str">
        <x:v>YES</x:v>
      </x:c>
      <x:c r="E887" s="53" t="n">
        <x:v>47.68496125075277</x:v>
      </x:c>
      <x:c r="F887" s="29" t="str">
        <x:v>YES</x:v>
      </x:c>
      <x:c r="G887" s="53" t="n">
        <x:v>14.530490871748437</x:v>
      </x:c>
      <x:c r="H887" s="29" t="str">
        <x:v>YES</x:v>
      </x:c>
      <x:c r="I887" s="53" t="n">
        <x:v>86.74353809416016</x:v>
      </x:c>
      <x:c r="J887" s="29" t="str">
        <x:v>NO</x:v>
      </x:c>
      <x:c r="K887" s="29" t="str">
        <x:v>Air</x:v>
      </x:c>
      <x:c r="L887" s="53" t="n">
        <x:v>14.530490871748437</x:v>
      </x:c>
      <x:c r="M887" s="41" t="n">
        <x:f>INDEX(Catchments!C:C,MATCH(A887,Catchments!A:A,0))</x:f>
        <x:v>19271685</x:v>
      </x:c>
      <x:c r="N887" s="41" t="n">
        <x:f>INDEX(Catchments!C:C,MATCH(B887,Catchments!A:A,0))</x:f>
        <x:v>13192386</x:v>
      </x:c>
    </x:row>
    <x:row r="888" ht="15" hidden="0" customHeight="1">
      <x:c r="A888" s="27" t="str">
        <x:v>SCA-29</x:v>
      </x:c>
      <x:c r="B888" s="27" t="str">
        <x:v>SCA-16</x:v>
      </x:c>
      <x:c r="C888" s="52" t="n">
        <x:v>46.6656423546089</x:v>
      </x:c>
      <x:c r="D888" s="27" t="str">
        <x:v>YES</x:v>
      </x:c>
      <x:c r="E888" s="52" t="n">
        <x:v>45.66586185004985</x:v>
      </x:c>
      <x:c r="F888" s="27" t="str">
        <x:v>YES</x:v>
      </x:c>
      <x:c r="G888" s="52" t="n">
        <x:v>14.35156442524156</x:v>
      </x:c>
      <x:c r="H888" s="27" t="str">
        <x:v>YES</x:v>
      </x:c>
      <x:c r="I888" s="52"/>
      <x:c r="J888" s="27" t="str">
        <x:v>NO</x:v>
      </x:c>
      <x:c r="K888" s="27" t="str">
        <x:v>Air</x:v>
      </x:c>
      <x:c r="L888" s="52" t="n">
        <x:v>14.35156442524156</x:v>
      </x:c>
      <x:c r="M888" s="40" t="n">
        <x:f>INDEX(Catchments!C:C,MATCH(A888,Catchments!A:A,0))</x:f>
        <x:v>19271685</x:v>
      </x:c>
      <x:c r="N888" s="40" t="n">
        <x:f>INDEX(Catchments!C:C,MATCH(B888,Catchments!A:A,0))</x:f>
        <x:v>10177969</x:v>
      </x:c>
    </x:row>
    <x:row r="889" ht="15" hidden="0" customHeight="1">
      <x:c r="A889" s="29" t="str">
        <x:v>SCA-29</x:v>
      </x:c>
      <x:c r="B889" s="29" t="str">
        <x:v>SCA-17</x:v>
      </x:c>
      <x:c r="C889" s="53" t="n">
        <x:v>48.64079940792505</x:v>
      </x:c>
      <x:c r="D889" s="29" t="str">
        <x:v>YES</x:v>
      </x:c>
      <x:c r="E889" s="53" t="n">
        <x:v>47.21777096336969</x:v>
      </x:c>
      <x:c r="F889" s="29" t="str">
        <x:v>YES</x:v>
      </x:c>
      <x:c r="G889" s="53" t="n">
        <x:v>14.394208815049849</x:v>
      </x:c>
      <x:c r="H889" s="29" t="str">
        <x:v>YES</x:v>
      </x:c>
      <x:c r="I889" s="53" t="n">
        <x:v>83.57984749222862</x:v>
      </x:c>
      <x:c r="J889" s="29" t="str">
        <x:v>NO</x:v>
      </x:c>
      <x:c r="K889" s="29" t="str">
        <x:v>Air</x:v>
      </x:c>
      <x:c r="L889" s="53" t="n">
        <x:v>14.394208815049849</x:v>
      </x:c>
      <x:c r="M889" s="41" t="n">
        <x:f>INDEX(Catchments!C:C,MATCH(A889,Catchments!A:A,0))</x:f>
        <x:v>19271685</x:v>
      </x:c>
      <x:c r="N889" s="41" t="n">
        <x:f>INDEX(Catchments!C:C,MATCH(B889,Catchments!A:A,0))</x:f>
        <x:v>12843509</x:v>
      </x:c>
    </x:row>
    <x:row r="890" ht="15" hidden="0" customHeight="1">
      <x:c r="A890" s="27" t="str">
        <x:v>SCA-29</x:v>
      </x:c>
      <x:c r="B890" s="27" t="str">
        <x:v>SCA-18</x:v>
      </x:c>
      <x:c r="C890" s="52" t="n">
        <x:v>48.699523782938016</x:v>
      </x:c>
      <x:c r="D890" s="27" t="str">
        <x:v>YES</x:v>
      </x:c>
      <x:c r="E890" s="52" t="n">
        <x:v>47.26391154373701</x:v>
      </x:c>
      <x:c r="F890" s="27" t="str">
        <x:v>YES</x:v>
      </x:c>
      <x:c r="G890" s="52" t="n">
        <x:v>14.455402821573127</x:v>
      </x:c>
      <x:c r="H890" s="27" t="str">
        <x:v>YES</x:v>
      </x:c>
      <x:c r="I890" s="52" t="n">
        <x:v>85.00042264366189</x:v>
      </x:c>
      <x:c r="J890" s="27" t="str">
        <x:v>NO</x:v>
      </x:c>
      <x:c r="K890" s="27" t="str">
        <x:v>Air</x:v>
      </x:c>
      <x:c r="L890" s="52" t="n">
        <x:v>14.455402821573127</x:v>
      </x:c>
      <x:c r="M890" s="40" t="n">
        <x:f>INDEX(Catchments!C:C,MATCH(A890,Catchments!A:A,0))</x:f>
        <x:v>19271685</x:v>
      </x:c>
      <x:c r="N890" s="40" t="n">
        <x:f>INDEX(Catchments!C:C,MATCH(B890,Catchments!A:A,0))</x:f>
        <x:v>11004680</x:v>
      </x:c>
    </x:row>
    <x:row r="891" ht="15" hidden="0" customHeight="1">
      <x:c r="A891" s="29" t="str">
        <x:v>SCA-29</x:v>
      </x:c>
      <x:c r="B891" s="29" t="str">
        <x:v>SCA-19</x:v>
      </x:c>
      <x:c r="C891" s="53" t="n">
        <x:v>37.1840937377177</x:v>
      </x:c>
      <x:c r="D891" s="29" t="str">
        <x:v>YES</x:v>
      </x:c>
      <x:c r="E891" s="53" t="n">
        <x:v>38.21607365106391</x:v>
      </x:c>
      <x:c r="F891" s="29" t="str">
        <x:v>YES</x:v>
      </x:c>
      <x:c r="G891" s="53" t="n">
        <x:v>13.684907790850495</x:v>
      </x:c>
      <x:c r="H891" s="29" t="str">
        <x:v>YES</x:v>
      </x:c>
      <x:c r="I891" s="53" t="n">
        <x:v>67.11393085902935</x:v>
      </x:c>
      <x:c r="J891" s="29" t="str">
        <x:v>YES</x:v>
      </x:c>
      <x:c r="K891" s="29" t="str">
        <x:v>Air</x:v>
      </x:c>
      <x:c r="L891" s="53" t="n">
        <x:v>13.684907790850495</x:v>
      </x:c>
      <x:c r="M891" s="41" t="n">
        <x:f>INDEX(Catchments!C:C,MATCH(A891,Catchments!A:A,0))</x:f>
        <x:v>19271685</x:v>
      </x:c>
      <x:c r="N891" s="41" t="n">
        <x:f>INDEX(Catchments!C:C,MATCH(B891,Catchments!A:A,0))</x:f>
        <x:v>6677653</x:v>
      </x:c>
    </x:row>
    <x:row r="892" ht="15" hidden="0" customHeight="1">
      <x:c r="A892" s="27" t="str">
        <x:v>SCA-29</x:v>
      </x:c>
      <x:c r="B892" s="27" t="str">
        <x:v>SCA-20</x:v>
      </x:c>
      <x:c r="C892" s="52" t="n">
        <x:v>36.090071688586264</x:v>
      </x:c>
      <x:c r="D892" s="27" t="str">
        <x:v>YES</x:v>
      </x:c>
      <x:c r="E892" s="52" t="n">
        <x:v>37.35648489817492</x:v>
      </x:c>
      <x:c r="F892" s="27" t="str">
        <x:v>YES</x:v>
      </x:c>
      <x:c r="G892" s="52" t="n">
        <x:v>13.56634038494887</x:v>
      </x:c>
      <x:c r="H892" s="27" t="str">
        <x:v>YES</x:v>
      </x:c>
      <x:c r="I892" s="52" t="n">
        <x:v>64.36147322202733</x:v>
      </x:c>
      <x:c r="J892" s="27" t="str">
        <x:v>YES</x:v>
      </x:c>
      <x:c r="K892" s="27" t="str">
        <x:v>Air</x:v>
      </x:c>
      <x:c r="L892" s="52" t="n">
        <x:v>13.56634038494887</x:v>
      </x:c>
      <x:c r="M892" s="40" t="n">
        <x:f>INDEX(Catchments!C:C,MATCH(A892,Catchments!A:A,0))</x:f>
        <x:v>19271685</x:v>
      </x:c>
      <x:c r="N892" s="40" t="n">
        <x:f>INDEX(Catchments!C:C,MATCH(B892,Catchments!A:A,0))</x:f>
        <x:v>8490774</x:v>
      </x:c>
    </x:row>
    <x:row r="893" ht="15" hidden="0" customHeight="1">
      <x:c r="A893" s="29" t="str">
        <x:v>SCA-29</x:v>
      </x:c>
      <x:c r="B893" s="29" t="str">
        <x:v>SCA-21</x:v>
      </x:c>
      <x:c r="C893" s="53" t="n">
        <x:v>37.03404112646774</x:v>
      </x:c>
      <x:c r="D893" s="29" t="str">
        <x:v>YES</x:v>
      </x:c>
      <x:c r="E893" s="53" t="n">
        <x:v>38.09817517079608</x:v>
      </x:c>
      <x:c r="F893" s="29" t="str">
        <x:v>YES</x:v>
      </x:c>
      <x:c r="G893" s="53" t="n">
        <x:v>13.600937211170354</x:v>
      </x:c>
      <x:c r="H893" s="29" t="str">
        <x:v>YES</x:v>
      </x:c>
      <x:c r="I893" s="53" t="n">
        <x:v>65.16461383074036</x:v>
      </x:c>
      <x:c r="J893" s="29" t="str">
        <x:v>YES</x:v>
      </x:c>
      <x:c r="K893" s="29" t="str">
        <x:v>Air</x:v>
      </x:c>
      <x:c r="L893" s="53" t="n">
        <x:v>13.600937211170354</x:v>
      </x:c>
      <x:c r="M893" s="41" t="n">
        <x:f>INDEX(Catchments!C:C,MATCH(A893,Catchments!A:A,0))</x:f>
        <x:v>19271685</x:v>
      </x:c>
      <x:c r="N893" s="41" t="n">
        <x:f>INDEX(Catchments!C:C,MATCH(B893,Catchments!A:A,0))</x:f>
        <x:v>19593580</x:v>
      </x:c>
    </x:row>
    <x:row r="894" ht="15" hidden="0" customHeight="1">
      <x:c r="A894" s="27" t="str">
        <x:v>SCA-29</x:v>
      </x:c>
      <x:c r="B894" s="27" t="str">
        <x:v>SCA-22</x:v>
      </x:c>
      <x:c r="C894" s="52" t="n">
        <x:v>27.046227722075358</x:v>
      </x:c>
      <x:c r="D894" s="27" t="str">
        <x:v>YES</x:v>
      </x:c>
      <x:c r="E894" s="52" t="n">
        <x:v>30.250607495916352</x:v>
      </x:c>
      <x:c r="F894" s="27" t="str">
        <x:v>YES</x:v>
      </x:c>
      <x:c r="G894" s="52" t="n">
        <x:v>12.959923109985478</x:v>
      </x:c>
      <x:c r="H894" s="27" t="str">
        <x:v>YES</x:v>
      </x:c>
      <x:c r="I894" s="52" t="n">
        <x:v>50.283929338948596</x:v>
      </x:c>
      <x:c r="J894" s="27" t="str">
        <x:v>YES</x:v>
      </x:c>
      <x:c r="K894" s="27" t="str">
        <x:v>Air</x:v>
      </x:c>
      <x:c r="L894" s="52" t="n">
        <x:v>12.959923109985478</x:v>
      </x:c>
      <x:c r="M894" s="40" t="n">
        <x:f>INDEX(Catchments!C:C,MATCH(A894,Catchments!A:A,0))</x:f>
        <x:v>19271685</x:v>
      </x:c>
      <x:c r="N894" s="40" t="n">
        <x:f>INDEX(Catchments!C:C,MATCH(B894,Catchments!A:A,0))</x:f>
        <x:v>14732006</x:v>
      </x:c>
    </x:row>
    <x:row r="895" ht="15" hidden="0" customHeight="1">
      <x:c r="A895" s="29" t="str">
        <x:v>SCA-29</x:v>
      </x:c>
      <x:c r="B895" s="29" t="str">
        <x:v>SCA-23</x:v>
      </x:c>
      <x:c r="C895" s="53" t="n">
        <x:v>25.55372634587362</x:v>
      </x:c>
      <x:c r="D895" s="29" t="str">
        <x:v>YES</x:v>
      </x:c>
      <x:c r="E895" s="53" t="n">
        <x:v>29.077927843186416</x:v>
      </x:c>
      <x:c r="F895" s="29" t="str">
        <x:v>YES</x:v>
      </x:c>
      <x:c r="G895" s="53" t="n">
        <x:v>12.85010695521478</x:v>
      </x:c>
      <x:c r="H895" s="29" t="str">
        <x:v>YES</x:v>
      </x:c>
      <x:c r="I895" s="53" t="n">
        <x:v>47.734625746057425</x:v>
      </x:c>
      <x:c r="J895" s="29" t="str">
        <x:v>YES</x:v>
      </x:c>
      <x:c r="K895" s="29" t="str">
        <x:v>Air</x:v>
      </x:c>
      <x:c r="L895" s="53" t="n">
        <x:v>12.85010695521478</x:v>
      </x:c>
      <x:c r="M895" s="41" t="n">
        <x:f>INDEX(Catchments!C:C,MATCH(A895,Catchments!A:A,0))</x:f>
        <x:v>19271685</x:v>
      </x:c>
      <x:c r="N895" s="41" t="n">
        <x:f>INDEX(Catchments!C:C,MATCH(B895,Catchments!A:A,0))</x:f>
        <x:v>20869310</x:v>
      </x:c>
    </x:row>
    <x:row r="896" ht="15" hidden="0" customHeight="1">
      <x:c r="A896" s="27" t="str">
        <x:v>SCA-29</x:v>
      </x:c>
      <x:c r="B896" s="27" t="str">
        <x:v>SCA-24</x:v>
      </x:c>
      <x:c r="C896" s="52" t="n">
        <x:v>33.492196147926734</x:v>
      </x:c>
      <x:c r="D896" s="27" t="str">
        <x:v>YES</x:v>
      </x:c>
      <x:c r="E896" s="52" t="n">
        <x:v>35.315296973371005</x:v>
      </x:c>
      <x:c r="F896" s="27" t="str">
        <x:v>YES</x:v>
      </x:c>
      <x:c r="G896" s="52" t="n">
        <x:v>13.27863600136569</x:v>
      </x:c>
      <x:c r="H896" s="27" t="str">
        <x:v>YES</x:v>
      </x:c>
      <x:c r="I896" s="52" t="n">
        <x:v>57.68262146027497</x:v>
      </x:c>
      <x:c r="J896" s="27" t="str">
        <x:v>YES</x:v>
      </x:c>
      <x:c r="K896" s="27" t="str">
        <x:v>Air</x:v>
      </x:c>
      <x:c r="L896" s="52" t="n">
        <x:v>13.27863600136569</x:v>
      </x:c>
      <x:c r="M896" s="40" t="n">
        <x:f>INDEX(Catchments!C:C,MATCH(A896,Catchments!A:A,0))</x:f>
        <x:v>19271685</x:v>
      </x:c>
      <x:c r="N896" s="40" t="n">
        <x:f>INDEX(Catchments!C:C,MATCH(B896,Catchments!A:A,0))</x:f>
        <x:v>11816161</x:v>
      </x:c>
    </x:row>
    <x:row r="897" ht="15" hidden="0" customHeight="1">
      <x:c r="A897" s="29" t="str">
        <x:v>SCA-29</x:v>
      </x:c>
      <x:c r="B897" s="29" t="str">
        <x:v>SCA-25</x:v>
      </x:c>
      <x:c r="C897" s="53" t="n">
        <x:v>27.683712627825596</x:v>
      </x:c>
      <x:c r="D897" s="29" t="str">
        <x:v>YES</x:v>
      </x:c>
      <x:c r="E897" s="53" t="n">
        <x:v>30.75148849329154</x:v>
      </x:c>
      <x:c r="F897" s="29" t="str">
        <x:v>YES</x:v>
      </x:c>
      <x:c r="G897" s="53" t="n">
        <x:v>13.006828353886833</x:v>
      </x:c>
      <x:c r="H897" s="29" t="str">
        <x:v>YES</x:v>
      </x:c>
      <x:c r="I897" s="53" t="n">
        <x:v>51.37280107237291</x:v>
      </x:c>
      <x:c r="J897" s="29" t="str">
        <x:v>YES</x:v>
      </x:c>
      <x:c r="K897" s="29" t="str">
        <x:v>Air</x:v>
      </x:c>
      <x:c r="L897" s="53" t="n">
        <x:v>13.006828353886833</x:v>
      </x:c>
      <x:c r="M897" s="41" t="n">
        <x:f>INDEX(Catchments!C:C,MATCH(A897,Catchments!A:A,0))</x:f>
        <x:v>19271685</x:v>
      </x:c>
      <x:c r="N897" s="41" t="n">
        <x:f>INDEX(Catchments!C:C,MATCH(B897,Catchments!A:A,0))</x:f>
        <x:v>6408394</x:v>
      </x:c>
    </x:row>
    <x:row r="898" ht="15" hidden="0" customHeight="1">
      <x:c r="A898" s="27" t="str">
        <x:v>SCA-29</x:v>
      </x:c>
      <x:c r="B898" s="27" t="str">
        <x:v>SCA-26</x:v>
      </x:c>
      <x:c r="C898" s="52" t="n">
        <x:v>33.656430005367824</x:v>
      </x:c>
      <x:c r="D898" s="27" t="str">
        <x:v>YES</x:v>
      </x:c>
      <x:c r="E898" s="52" t="n">
        <x:v>35.44433786136043</x:v>
      </x:c>
      <x:c r="F898" s="27" t="str">
        <x:v>YES</x:v>
      </x:c>
      <x:c r="G898" s="52" t="n">
        <x:v>13.407026652258482</x:v>
      </x:c>
      <x:c r="H898" s="27" t="str">
        <x:v>YES</x:v>
      </x:c>
      <x:c r="I898" s="52" t="n">
        <x:v>60.66311871314334</x:v>
      </x:c>
      <x:c r="J898" s="27" t="str">
        <x:v>YES</x:v>
      </x:c>
      <x:c r="K898" s="27" t="str">
        <x:v>Air</x:v>
      </x:c>
      <x:c r="L898" s="52" t="n">
        <x:v>13.407026652258482</x:v>
      </x:c>
      <x:c r="M898" s="40" t="n">
        <x:f>INDEX(Catchments!C:C,MATCH(A898,Catchments!A:A,0))</x:f>
        <x:v>19271685</x:v>
      </x:c>
      <x:c r="N898" s="40" t="n">
        <x:f>INDEX(Catchments!C:C,MATCH(B898,Catchments!A:A,0))</x:f>
        <x:v>10737083</x:v>
      </x:c>
    </x:row>
    <x:row r="899" ht="15" hidden="0" customHeight="1">
      <x:c r="A899" s="29" t="str">
        <x:v>SCA-29</x:v>
      </x:c>
      <x:c r="B899" s="29" t="str">
        <x:v>SCA-27</x:v>
      </x:c>
      <x:c r="C899" s="53" t="n">
        <x:v>38.740580262086894</x:v>
      </x:c>
      <x:c r="D899" s="29" t="str">
        <x:v>YES</x:v>
      </x:c>
      <x:c r="E899" s="53" t="n">
        <x:v>39.43902734878256</x:v>
      </x:c>
      <x:c r="F899" s="29" t="str">
        <x:v>YES</x:v>
      </x:c>
      <x:c r="G899" s="53" t="n">
        <x:v>13.673263913207887</x:v>
      </x:c>
      <x:c r="H899" s="29" t="str">
        <x:v>YES</x:v>
      </x:c>
      <x:c r="I899" s="53" t="n">
        <x:v>66.84362655661164</x:v>
      </x:c>
      <x:c r="J899" s="29" t="str">
        <x:v>YES</x:v>
      </x:c>
      <x:c r="K899" s="29" t="str">
        <x:v>Air</x:v>
      </x:c>
      <x:c r="L899" s="53" t="n">
        <x:v>13.673263913207887</x:v>
      </x:c>
      <x:c r="M899" s="41" t="n">
        <x:f>INDEX(Catchments!C:C,MATCH(A899,Catchments!A:A,0))</x:f>
        <x:v>19271685</x:v>
      </x:c>
      <x:c r="N899" s="41" t="n">
        <x:f>INDEX(Catchments!C:C,MATCH(B899,Catchments!A:A,0))</x:f>
        <x:v>7505606</x:v>
      </x:c>
    </x:row>
    <x:row r="900" ht="15" hidden="0" customHeight="1">
      <x:c r="A900" s="27" t="str">
        <x:v>SCA-29</x:v>
      </x:c>
      <x:c r="B900" s="27" t="str">
        <x:v>SCA-28</x:v>
      </x:c>
      <x:c r="C900" s="52" t="n">
        <x:v>24.4773689377692</x:v>
      </x:c>
      <x:c r="D900" s="27" t="str">
        <x:v>YES</x:v>
      </x:c>
      <x:c r="E900" s="52" t="n">
        <x:v>28.23221845110437</x:v>
      </x:c>
      <x:c r="F900" s="27" t="str">
        <x:v>YES</x:v>
      </x:c>
      <x:c r="G900" s="52" t="n">
        <x:v>12.77091008906663</x:v>
      </x:c>
      <x:c r="H900" s="27" t="str">
        <x:v>YES</x:v>
      </x:c>
      <x:c r="I900" s="52" t="n">
        <x:v>45.896127067618195</x:v>
      </x:c>
      <x:c r="J900" s="27" t="str">
        <x:v>YES</x:v>
      </x:c>
      <x:c r="K900" s="27" t="str">
        <x:v>Air</x:v>
      </x:c>
      <x:c r="L900" s="52" t="n">
        <x:v>12.77091008906663</x:v>
      </x:c>
      <x:c r="M900" s="40" t="n">
        <x:f>INDEX(Catchments!C:C,MATCH(A900,Catchments!A:A,0))</x:f>
        <x:v>19271685</x:v>
      </x:c>
      <x:c r="N900" s="40" t="n">
        <x:f>INDEX(Catchments!C:C,MATCH(B900,Catchments!A:A,0))</x:f>
        <x:v>21305157</x:v>
      </x:c>
    </x:row>
    <x:row r="901" ht="15" hidden="0" customHeight="1">
      <x:c r="A901" s="29" t="str">
        <x:v>SCA-29</x:v>
      </x:c>
      <x:c r="B901" s="29" t="str">
        <x:v>SCA-30</x:v>
      </x:c>
      <x:c r="C901" s="53" t="n">
        <x:v>27.655078580820202</x:v>
      </x:c>
      <x:c r="D901" s="29" t="str">
        <x:v>YES</x:v>
      </x:c>
      <x:c r="E901" s="53" t="n">
        <x:v>30.72899031350159</x:v>
      </x:c>
      <x:c r="F901" s="29" t="str">
        <x:v>YES</x:v>
      </x:c>
      <x:c r="G901" s="53" t="n">
        <x:v>13.004721500929914</x:v>
      </x:c>
      <x:c r="H901" s="29" t="str">
        <x:v>YES</x:v>
      </x:c>
      <x:c r="I901" s="53" t="n">
        <x:v>51.32389198587302</x:v>
      </x:c>
      <x:c r="J901" s="29" t="str">
        <x:v>YES</x:v>
      </x:c>
      <x:c r="K901" s="29" t="str">
        <x:v>Air</x:v>
      </x:c>
      <x:c r="L901" s="53" t="n">
        <x:v>13.004721500929914</x:v>
      </x:c>
      <x:c r="M901" s="41" t="n">
        <x:f>INDEX(Catchments!C:C,MATCH(A901,Catchments!A:A,0))</x:f>
        <x:v>19271685</x:v>
      </x:c>
      <x:c r="N901" s="41" t="n">
        <x:f>INDEX(Catchments!C:C,MATCH(B901,Catchments!A:A,0))</x:f>
        <x:v>41291847</x:v>
      </x:c>
    </x:row>
    <x:row r="902" ht="15" hidden="0" customHeight="1">
      <x:c r="A902" s="27" t="str">
        <x:v>SCA-29</x:v>
      </x:c>
      <x:c r="B902" s="27" t="str">
        <x:v>SCA-31</x:v>
      </x:c>
      <x:c r="C902" s="52" t="n">
        <x:v>34.80202667512032</x:v>
      </x:c>
      <x:c r="D902" s="27" t="str">
        <x:v>YES</x:v>
      </x:c>
      <x:c r="E902" s="52" t="n">
        <x:v>36.344449530451676</x:v>
      </x:c>
      <x:c r="F902" s="27" t="str">
        <x:v>YES</x:v>
      </x:c>
      <x:c r="G902" s="52" t="n">
        <x:v>13.526618071023782</x:v>
      </x:c>
      <x:c r="H902" s="27" t="str">
        <x:v>YES</x:v>
      </x:c>
      <x:c r="I902" s="52" t="n">
        <x:v>63.43934807733778</x:v>
      </x:c>
      <x:c r="J902" s="27" t="str">
        <x:v>YES</x:v>
      </x:c>
      <x:c r="K902" s="27" t="str">
        <x:v>Air</x:v>
      </x:c>
      <x:c r="L902" s="52" t="n">
        <x:v>13.526618071023782</x:v>
      </x:c>
      <x:c r="M902" s="40" t="n">
        <x:f>INDEX(Catchments!C:C,MATCH(A902,Catchments!A:A,0))</x:f>
        <x:v>19271685</x:v>
      </x:c>
      <x:c r="N902" s="40" t="n">
        <x:f>INDEX(Catchments!C:C,MATCH(B902,Catchments!A:A,0))</x:f>
        <x:v>14227128</x:v>
      </x:c>
    </x:row>
    <x:row r="903" ht="15" hidden="0" customHeight="1">
      <x:c r="A903" s="29" t="str">
        <x:v>SCA-29</x:v>
      </x:c>
      <x:c r="B903" s="29" t="str">
        <x:v>SCA-32</x:v>
      </x:c>
      <x:c r="C903" s="53"/>
      <x:c r="D903" s="29" t="str">
        <x:v>NO</x:v>
      </x:c>
      <x:c r="E903" s="53"/>
      <x:c r="F903" s="29" t="str">
        <x:v>NO</x:v>
      </x:c>
      <x:c r="G903" s="53" t="n">
        <x:v>15.569488245200215</x:v>
      </x:c>
      <x:c r="H903" s="29" t="str">
        <x:v>YES</x:v>
      </x:c>
      <x:c r="I903" s="53" t="n">
        <x:v>110.86311997786215</x:v>
      </x:c>
      <x:c r="J903" s="29" t="str">
        <x:v>NO</x:v>
      </x:c>
      <x:c r="K903" s="29" t="str">
        <x:v>Air</x:v>
      </x:c>
      <x:c r="L903" s="53" t="n">
        <x:v>15.569488245200215</x:v>
      </x:c>
      <x:c r="M903" s="41" t="n">
        <x:f>INDEX(Catchments!C:C,MATCH(A903,Catchments!A:A,0))</x:f>
        <x:v>19271685</x:v>
      </x:c>
      <x:c r="N903" s="41" t="n">
        <x:f>INDEX(Catchments!C:C,MATCH(B903,Catchments!A:A,0))</x:f>
        <x:v>3184835</x:v>
      </x:c>
    </x:row>
    <x:row r="904" ht="15" hidden="0" customHeight="1">
      <x:c r="A904" s="27" t="str">
        <x:v>SCA-30</x:v>
      </x:c>
      <x:c r="B904" s="27" t="str">
        <x:v>SCA-01</x:v>
      </x:c>
      <x:c r="C904" s="52"/>
      <x:c r="D904" s="27" t="str">
        <x:v>NO</x:v>
      </x:c>
      <x:c r="E904" s="52"/>
      <x:c r="F904" s="27" t="str">
        <x:v>NO</x:v>
      </x:c>
      <x:c r="G904" s="52" t="n">
        <x:v>24.198093068231366</x:v>
      </x:c>
      <x:c r="H904" s="27" t="str">
        <x:v>YES</x:v>
      </x:c>
      <x:c r="I904" s="52" t="n">
        <x:v>311.170017655371</x:v>
      </x:c>
      <x:c r="J904" s="27" t="str">
        <x:v>NO</x:v>
      </x:c>
      <x:c r="K904" s="27" t="str">
        <x:v>Air</x:v>
      </x:c>
      <x:c r="L904" s="52" t="n">
        <x:v>24.198093068231366</x:v>
      </x:c>
      <x:c r="M904" s="40" t="n">
        <x:f>INDEX(Catchments!C:C,MATCH(A904,Catchments!A:A,0))</x:f>
        <x:v>41291847</x:v>
      </x:c>
      <x:c r="N904" s="40" t="n">
        <x:f>INDEX(Catchments!C:C,MATCH(B904,Catchments!A:A,0))</x:f>
        <x:v>1432820</x:v>
      </x:c>
    </x:row>
    <x:row r="905" ht="15" hidden="0" customHeight="1">
      <x:c r="A905" s="29" t="str">
        <x:v>SCA-30</x:v>
      </x:c>
      <x:c r="B905" s="29" t="str">
        <x:v>SCA-02</x:v>
      </x:c>
      <x:c r="C905" s="53"/>
      <x:c r="D905" s="29" t="str">
        <x:v>NO</x:v>
      </x:c>
      <x:c r="E905" s="53"/>
      <x:c r="F905" s="29" t="str">
        <x:v>NO</x:v>
      </x:c>
      <x:c r="G905" s="53" t="n">
        <x:v>19.98806058227262</x:v>
      </x:c>
      <x:c r="H905" s="29" t="str">
        <x:v>YES</x:v>
      </x:c>
      <x:c r="I905" s="53" t="n">
        <x:v>213.43712065990013</x:v>
      </x:c>
      <x:c r="J905" s="29" t="str">
        <x:v>NO</x:v>
      </x:c>
      <x:c r="K905" s="29" t="str">
        <x:v>Air</x:v>
      </x:c>
      <x:c r="L905" s="53" t="n">
        <x:v>19.98806058227262</x:v>
      </x:c>
      <x:c r="M905" s="41" t="n">
        <x:f>INDEX(Catchments!C:C,MATCH(A905,Catchments!A:A,0))</x:f>
        <x:v>41291847</x:v>
      </x:c>
      <x:c r="N905" s="41" t="n">
        <x:f>INDEX(Catchments!C:C,MATCH(B905,Catchments!A:A,0))</x:f>
        <x:v>737270</x:v>
      </x:c>
    </x:row>
    <x:row r="906" ht="15" hidden="0" customHeight="1">
      <x:c r="A906" s="27" t="str">
        <x:v>SCA-30</x:v>
      </x:c>
      <x:c r="B906" s="27" t="str">
        <x:v>SCA-03</x:v>
      </x:c>
      <x:c r="C906" s="52" t="n">
        <x:v>96.66924098595005</x:v>
      </x:c>
      <x:c r="D906" s="27" t="str">
        <x:v>NO</x:v>
      </x:c>
      <x:c r="E906" s="52" t="n">
        <x:v>84.9544036318179</x:v>
      </x:c>
      <x:c r="F906" s="27" t="str">
        <x:v>NO</x:v>
      </x:c>
      <x:c r="G906" s="52" t="n">
        <x:v>17.825963138959445</x:v>
      </x:c>
      <x:c r="H906" s="27" t="str">
        <x:v>YES</x:v>
      </x:c>
      <x:c r="I906" s="52" t="n">
        <x:v>163.24557286870143</x:v>
      </x:c>
      <x:c r="J906" s="27" t="str">
        <x:v>NO</x:v>
      </x:c>
      <x:c r="K906" s="27" t="str">
        <x:v>Air</x:v>
      </x:c>
      <x:c r="L906" s="52" t="n">
        <x:v>17.825963138959445</x:v>
      </x:c>
      <x:c r="M906" s="40" t="n">
        <x:f>INDEX(Catchments!C:C,MATCH(A906,Catchments!A:A,0))</x:f>
        <x:v>41291847</x:v>
      </x:c>
      <x:c r="N906" s="40" t="n">
        <x:f>INDEX(Catchments!C:C,MATCH(B906,Catchments!A:A,0))</x:f>
        <x:v>11968308</x:v>
      </x:c>
    </x:row>
    <x:row r="907" ht="15" hidden="0" customHeight="1">
      <x:c r="A907" s="29" t="str">
        <x:v>SCA-30</x:v>
      </x:c>
      <x:c r="B907" s="29" t="str">
        <x:v>SCA-04</x:v>
      </x:c>
      <x:c r="C907" s="53" t="n">
        <x:v>104.13303733574593</x:v>
      </x:c>
      <x:c r="D907" s="29" t="str">
        <x:v>NO</x:v>
      </x:c>
      <x:c r="E907" s="53" t="n">
        <x:v>90.81881504951465</x:v>
      </x:c>
      <x:c r="F907" s="29" t="str">
        <x:v>NO</x:v>
      </x:c>
      <x:c r="G907" s="53" t="n">
        <x:v>18.144889019360008</x:v>
      </x:c>
      <x:c r="H907" s="29" t="str">
        <x:v>YES</x:v>
      </x:c>
      <x:c r="I907" s="53" t="n">
        <x:v>170.64920937800017</x:v>
      </x:c>
      <x:c r="J907" s="29" t="str">
        <x:v>NO</x:v>
      </x:c>
      <x:c r="K907" s="29" t="str">
        <x:v>Air</x:v>
      </x:c>
      <x:c r="L907" s="53" t="n">
        <x:v>18.144889019360008</x:v>
      </x:c>
      <x:c r="M907" s="41" t="n">
        <x:f>INDEX(Catchments!C:C,MATCH(A907,Catchments!A:A,0))</x:f>
        <x:v>41291847</x:v>
      </x:c>
      <x:c r="N907" s="41" t="n">
        <x:f>INDEX(Catchments!C:C,MATCH(B907,Catchments!A:A,0))</x:f>
        <x:v>16200470</x:v>
      </x:c>
    </x:row>
    <x:row r="908" ht="15" hidden="0" customHeight="1">
      <x:c r="A908" s="27" t="str">
        <x:v>SCA-30</x:v>
      </x:c>
      <x:c r="B908" s="27" t="str">
        <x:v>SCA-05</x:v>
      </x:c>
      <x:c r="C908" s="52" t="n">
        <x:v>102.47194369961441</x:v>
      </x:c>
      <x:c r="D908" s="27" t="str">
        <x:v>NO</x:v>
      </x:c>
      <x:c r="E908" s="52" t="n">
        <x:v>89.51367004969704</x:v>
      </x:c>
      <x:c r="F908" s="27" t="str">
        <x:v>NO</x:v>
      </x:c>
      <x:c r="G908" s="52" t="n">
        <x:v>17.97043874297845</x:v>
      </x:c>
      <x:c r="H908" s="27" t="str">
        <x:v>YES</x:v>
      </x:c>
      <x:c r="I908" s="52" t="n">
        <x:v>166.59947081914257</x:v>
      </x:c>
      <x:c r="J908" s="27" t="str">
        <x:v>NO</x:v>
      </x:c>
      <x:c r="K908" s="27" t="str">
        <x:v>Air</x:v>
      </x:c>
      <x:c r="L908" s="52" t="n">
        <x:v>17.97043874297845</x:v>
      </x:c>
      <x:c r="M908" s="40" t="n">
        <x:f>INDEX(Catchments!C:C,MATCH(A908,Catchments!A:A,0))</x:f>
        <x:v>41291847</x:v>
      </x:c>
      <x:c r="N908" s="40" t="n">
        <x:f>INDEX(Catchments!C:C,MATCH(B908,Catchments!A:A,0))</x:f>
        <x:v>15966265</x:v>
      </x:c>
    </x:row>
    <x:row r="909" ht="15" hidden="0" customHeight="1">
      <x:c r="A909" s="29" t="str">
        <x:v>SCA-30</x:v>
      </x:c>
      <x:c r="B909" s="29" t="str">
        <x:v>SCA-06</x:v>
      </x:c>
      <x:c r="C909" s="53" t="n">
        <x:v>98.0945369308849</x:v>
      </x:c>
      <x:c r="D909" s="29" t="str">
        <x:v>NO</x:v>
      </x:c>
      <x:c r="E909" s="53" t="n">
        <x:v>86.07427901712384</x:v>
      </x:c>
      <x:c r="F909" s="29" t="str">
        <x:v>NO</x:v>
      </x:c>
      <x:c r="G909" s="53" t="n">
        <x:v>17.783851114925106</x:v>
      </x:c>
      <x:c r="H909" s="29" t="str">
        <x:v>YES</x:v>
      </x:c>
      <x:c r="I909" s="53" t="n">
        <x:v>162.26797231076142</x:v>
      </x:c>
      <x:c r="J909" s="29" t="str">
        <x:v>NO</x:v>
      </x:c>
      <x:c r="K909" s="29" t="str">
        <x:v>Air</x:v>
      </x:c>
      <x:c r="L909" s="53" t="n">
        <x:v>17.783851114925106</x:v>
      </x:c>
      <x:c r="M909" s="41" t="n">
        <x:f>INDEX(Catchments!C:C,MATCH(A909,Catchments!A:A,0))</x:f>
        <x:v>41291847</x:v>
      </x:c>
      <x:c r="N909" s="41" t="n">
        <x:f>INDEX(Catchments!C:C,MATCH(B909,Catchments!A:A,0))</x:f>
        <x:v>6008575</x:v>
      </x:c>
    </x:row>
    <x:row r="910" ht="15" hidden="0" customHeight="1">
      <x:c r="A910" s="27" t="str">
        <x:v>SCA-30</x:v>
      </x:c>
      <x:c r="B910" s="27" t="str">
        <x:v>SCA-07</x:v>
      </x:c>
      <x:c r="C910" s="52" t="n">
        <x:v>97.08838186970765</x:v>
      </x:c>
      <x:c r="D910" s="27" t="str">
        <x:v>NO</x:v>
      </x:c>
      <x:c r="E910" s="52" t="n">
        <x:v>85.28372861191315</x:v>
      </x:c>
      <x:c r="F910" s="27" t="str">
        <x:v>NO</x:v>
      </x:c>
      <x:c r="G910" s="52" t="n">
        <x:v>17.493233455252966</x:v>
      </x:c>
      <x:c r="H910" s="27" t="str">
        <x:v>YES</x:v>
      </x:c>
      <x:c r="I910" s="52" t="n">
        <x:v>155.52149092551528</x:v>
      </x:c>
      <x:c r="J910" s="27" t="str">
        <x:v>NO</x:v>
      </x:c>
      <x:c r="K910" s="27" t="str">
        <x:v>Air</x:v>
      </x:c>
      <x:c r="L910" s="52" t="n">
        <x:v>17.493233455252966</x:v>
      </x:c>
      <x:c r="M910" s="40" t="n">
        <x:f>INDEX(Catchments!C:C,MATCH(A910,Catchments!A:A,0))</x:f>
        <x:v>41291847</x:v>
      </x:c>
      <x:c r="N910" s="40" t="n">
        <x:f>INDEX(Catchments!C:C,MATCH(B910,Catchments!A:A,0))</x:f>
        <x:v>5229370</x:v>
      </x:c>
    </x:row>
    <x:row r="911" ht="15" hidden="0" customHeight="1">
      <x:c r="A911" s="29" t="str">
        <x:v>SCA-30</x:v>
      </x:c>
      <x:c r="B911" s="29" t="str">
        <x:v>SCA-08</x:v>
      </x:c>
      <x:c r="C911" s="53" t="n">
        <x:v>84.94824325735897</x:v>
      </x:c>
      <x:c r="D911" s="29" t="str">
        <x:v>NO</x:v>
      </x:c>
      <x:c r="E911" s="53" t="n">
        <x:v>75.74504827363918</x:v>
      </x:c>
      <x:c r="F911" s="29" t="str">
        <x:v>NO</x:v>
      </x:c>
      <x:c r="G911" s="53" t="n">
        <x:v>17.06955190063089</x:v>
      </x:c>
      <x:c r="H911" s="29" t="str">
        <x:v>YES</x:v>
      </x:c>
      <x:c r="I911" s="53" t="n">
        <x:v>145.68602626464568</x:v>
      </x:c>
      <x:c r="J911" s="29" t="str">
        <x:v>NO</x:v>
      </x:c>
      <x:c r="K911" s="29" t="str">
        <x:v>Air</x:v>
      </x:c>
      <x:c r="L911" s="53" t="n">
        <x:v>17.06955190063089</x:v>
      </x:c>
      <x:c r="M911" s="41" t="n">
        <x:f>INDEX(Catchments!C:C,MATCH(A911,Catchments!A:A,0))</x:f>
        <x:v>41291847</x:v>
      </x:c>
      <x:c r="N911" s="41" t="n">
        <x:f>INDEX(Catchments!C:C,MATCH(B911,Catchments!A:A,0))</x:f>
        <x:v>2652387</x:v>
      </x:c>
    </x:row>
    <x:row r="912" ht="15" hidden="0" customHeight="1">
      <x:c r="A912" s="27" t="str">
        <x:v>SCA-30</x:v>
      </x:c>
      <x:c r="B912" s="27" t="str">
        <x:v>SCA-09</x:v>
      </x:c>
      <x:c r="C912" s="52" t="n">
        <x:v>89.91781962612434</x:v>
      </x:c>
      <x:c r="D912" s="27" t="str">
        <x:v>NO</x:v>
      </x:c>
      <x:c r="E912" s="52" t="n">
        <x:v>79.64971542052626</x:v>
      </x:c>
      <x:c r="F912" s="27" t="str">
        <x:v>NO</x:v>
      </x:c>
      <x:c r="G912" s="52" t="n">
        <x:v>17.24467834079661</x:v>
      </x:c>
      <x:c r="H912" s="27" t="str">
        <x:v>YES</x:v>
      </x:c>
      <x:c r="I912" s="52"/>
      <x:c r="J912" s="27" t="str">
        <x:v>NO</x:v>
      </x:c>
      <x:c r="K912" s="27" t="str">
        <x:v>Air</x:v>
      </x:c>
      <x:c r="L912" s="52" t="n">
        <x:v>17.24467834079661</x:v>
      </x:c>
      <x:c r="M912" s="40" t="n">
        <x:f>INDEX(Catchments!C:C,MATCH(A912,Catchments!A:A,0))</x:f>
        <x:v>41291847</x:v>
      </x:c>
      <x:c r="N912" s="40" t="n">
        <x:f>INDEX(Catchments!C:C,MATCH(B912,Catchments!A:A,0))</x:f>
        <x:v>7395716</x:v>
      </x:c>
    </x:row>
    <x:row r="913" ht="15" hidden="0" customHeight="1">
      <x:c r="A913" s="29" t="str">
        <x:v>SCA-30</x:v>
      </x:c>
      <x:c r="B913" s="29" t="str">
        <x:v>SCA-10</x:v>
      </x:c>
      <x:c r="C913" s="53" t="n">
        <x:v>82.28475818589938</x:v>
      </x:c>
      <x:c r="D913" s="29" t="str">
        <x:v>NO</x:v>
      </x:c>
      <x:c r="E913" s="53" t="n">
        <x:v>73.65231000320665</x:v>
      </x:c>
      <x:c r="F913" s="29" t="str">
        <x:v>NO</x:v>
      </x:c>
      <x:c r="G913" s="53" t="n">
        <x:v>16.71419164846526</x:v>
      </x:c>
      <x:c r="H913" s="29" t="str">
        <x:v>YES</x:v>
      </x:c>
      <x:c r="I913" s="53"/>
      <x:c r="J913" s="29" t="str">
        <x:v>NO</x:v>
      </x:c>
      <x:c r="K913" s="29" t="str">
        <x:v>Air</x:v>
      </x:c>
      <x:c r="L913" s="53" t="n">
        <x:v>16.71419164846526</x:v>
      </x:c>
      <x:c r="M913" s="41" t="n">
        <x:f>INDEX(Catchments!C:C,MATCH(A913,Catchments!A:A,0))</x:f>
        <x:v>41291847</x:v>
      </x:c>
      <x:c r="N913" s="41" t="n">
        <x:f>INDEX(Catchments!C:C,MATCH(B913,Catchments!A:A,0))</x:f>
        <x:v>4127033</x:v>
      </x:c>
    </x:row>
    <x:row r="914" ht="15" hidden="0" customHeight="1">
      <x:c r="A914" s="27" t="str">
        <x:v>SCA-30</x:v>
      </x:c>
      <x:c r="B914" s="27" t="str">
        <x:v>SCA-11</x:v>
      </x:c>
      <x:c r="C914" s="52" t="n">
        <x:v>77.01962882512183</x:v>
      </x:c>
      <x:c r="D914" s="27" t="str">
        <x:v>NO</x:v>
      </x:c>
      <x:c r="E914" s="52" t="n">
        <x:v>69.51542264831002</x:v>
      </x:c>
      <x:c r="F914" s="27" t="str">
        <x:v>YES</x:v>
      </x:c>
      <x:c r="G914" s="52" t="n">
        <x:v>16.336750654551143</x:v>
      </x:c>
      <x:c r="H914" s="27" t="str">
        <x:v>YES</x:v>
      </x:c>
      <x:c r="I914" s="52" t="n">
        <x:v>128.67456876636584</x:v>
      </x:c>
      <x:c r="J914" s="27" t="str">
        <x:v>NO</x:v>
      </x:c>
      <x:c r="K914" s="27" t="str">
        <x:v>Air</x:v>
      </x:c>
      <x:c r="L914" s="52" t="n">
        <x:v>16.336750654551143</x:v>
      </x:c>
      <x:c r="M914" s="40" t="n">
        <x:f>INDEX(Catchments!C:C,MATCH(A914,Catchments!A:A,0))</x:f>
        <x:v>41291847</x:v>
      </x:c>
      <x:c r="N914" s="40" t="n">
        <x:f>INDEX(Catchments!C:C,MATCH(B914,Catchments!A:A,0))</x:f>
        <x:v>3517787</x:v>
      </x:c>
    </x:row>
    <x:row r="915" ht="15" hidden="0" customHeight="1">
      <x:c r="A915" s="29" t="str">
        <x:v>SCA-30</x:v>
      </x:c>
      <x:c r="B915" s="29" t="str">
        <x:v>SCA-12</x:v>
      </x:c>
      <x:c r="C915" s="53" t="n">
        <x:v>69.9891588723277</x:v>
      </x:c>
      <x:c r="D915" s="29" t="str">
        <x:v>YES</x:v>
      </x:c>
      <x:c r="E915" s="53" t="n">
        <x:v>63.991481971114624</x:v>
      </x:c>
      <x:c r="F915" s="29" t="str">
        <x:v>YES</x:v>
      </x:c>
      <x:c r="G915" s="53" t="n">
        <x:v>15.94324970096211</x:v>
      </x:c>
      <x:c r="H915" s="29" t="str">
        <x:v>YES</x:v>
      </x:c>
      <x:c r="I915" s="53"/>
      <x:c r="J915" s="29" t="str">
        <x:v>NO</x:v>
      </x:c>
      <x:c r="K915" s="29" t="str">
        <x:v>Air</x:v>
      </x:c>
      <x:c r="L915" s="53" t="n">
        <x:v>15.94324970096211</x:v>
      </x:c>
      <x:c r="M915" s="41" t="n">
        <x:f>INDEX(Catchments!C:C,MATCH(A915,Catchments!A:A,0))</x:f>
        <x:v>41291847</x:v>
      </x:c>
      <x:c r="N915" s="41" t="n">
        <x:f>INDEX(Catchments!C:C,MATCH(B915,Catchments!A:A,0))</x:f>
        <x:v>7465186</x:v>
      </x:c>
    </x:row>
    <x:row r="916" ht="15" hidden="0" customHeight="1">
      <x:c r="A916" s="27" t="str">
        <x:v>SCA-30</x:v>
      </x:c>
      <x:c r="B916" s="27" t="str">
        <x:v>SCA-13</x:v>
      </x:c>
      <x:c r="C916" s="52" t="n">
        <x:v>67.82425886810762</x:v>
      </x:c>
      <x:c r="D916" s="27" t="str">
        <x:v>YES</x:v>
      </x:c>
      <x:c r="E916" s="52" t="n">
        <x:v>62.29048911065599</x:v>
      </x:c>
      <x:c r="F916" s="27" t="str">
        <x:v>YES</x:v>
      </x:c>
      <x:c r="G916" s="52" t="n">
        <x:v>15.737192051313578</x:v>
      </x:c>
      <x:c r="H916" s="27" t="str">
        <x:v>YES</x:v>
      </x:c>
      <x:c r="I916" s="52" t="n">
        <x:v>114.7562440483509</x:v>
      </x:c>
      <x:c r="J916" s="27" t="str">
        <x:v>NO</x:v>
      </x:c>
      <x:c r="K916" s="27" t="str">
        <x:v>Air</x:v>
      </x:c>
      <x:c r="L916" s="52" t="n">
        <x:v>15.737192051313578</x:v>
      </x:c>
      <x:c r="M916" s="40" t="n">
        <x:f>INDEX(Catchments!C:C,MATCH(A916,Catchments!A:A,0))</x:f>
        <x:v>41291847</x:v>
      </x:c>
      <x:c r="N916" s="40" t="n">
        <x:f>INDEX(Catchments!C:C,MATCH(B916,Catchments!A:A,0))</x:f>
        <x:v>6759014</x:v>
      </x:c>
    </x:row>
    <x:row r="917" ht="15" hidden="0" customHeight="1">
      <x:c r="A917" s="29" t="str">
        <x:v>SCA-30</x:v>
      </x:c>
      <x:c r="B917" s="29" t="str">
        <x:v>SCA-14</x:v>
      </x:c>
      <x:c r="C917" s="53" t="n">
        <x:v>75.16180093587329</x:v>
      </x:c>
      <x:c r="D917" s="29" t="str">
        <x:v>NO</x:v>
      </x:c>
      <x:c r="E917" s="53" t="n">
        <x:v>68.05570073532901</x:v>
      </x:c>
      <x:c r="F917" s="29" t="str">
        <x:v>YES</x:v>
      </x:c>
      <x:c r="G917" s="53" t="n">
        <x:v>16.064603746428297</x:v>
      </x:c>
      <x:c r="H917" s="29" t="str">
        <x:v>YES</x:v>
      </x:c>
      <x:c r="I917" s="53" t="n">
        <x:v>122.3568726849426</x:v>
      </x:c>
      <x:c r="J917" s="29" t="str">
        <x:v>NO</x:v>
      </x:c>
      <x:c r="K917" s="29" t="str">
        <x:v>Air</x:v>
      </x:c>
      <x:c r="L917" s="53" t="n">
        <x:v>16.064603746428297</x:v>
      </x:c>
      <x:c r="M917" s="41" t="n">
        <x:f>INDEX(Catchments!C:C,MATCH(A917,Catchments!A:A,0))</x:f>
        <x:v>41291847</x:v>
      </x:c>
      <x:c r="N917" s="41" t="n">
        <x:f>INDEX(Catchments!C:C,MATCH(B917,Catchments!A:A,0))</x:f>
        <x:v>2179728</x:v>
      </x:c>
    </x:row>
    <x:row r="918" ht="15" hidden="0" customHeight="1">
      <x:c r="A918" s="27" t="str">
        <x:v>SCA-30</x:v>
      </x:c>
      <x:c r="B918" s="27" t="str">
        <x:v>SCA-15</x:v>
      </x:c>
      <x:c r="C918" s="52" t="n">
        <x:v>60.55821667122297</x:v>
      </x:c>
      <x:c r="D918" s="27" t="str">
        <x:v>YES</x:v>
      </x:c>
      <x:c r="E918" s="52" t="n">
        <x:v>56.581455955960905</x:v>
      </x:c>
      <x:c r="F918" s="27" t="str">
        <x:v>YES</x:v>
      </x:c>
      <x:c r="G918" s="52" t="n">
        <x:v>15.276108531257286</x:v>
      </x:c>
      <x:c r="H918" s="27" t="str">
        <x:v>YES</x:v>
      </x:c>
      <x:c r="I918" s="52" t="n">
        <x:v>104.05251947561558</x:v>
      </x:c>
      <x:c r="J918" s="27" t="str">
        <x:v>NO</x:v>
      </x:c>
      <x:c r="K918" s="27" t="str">
        <x:v>Air</x:v>
      </x:c>
      <x:c r="L918" s="52" t="n">
        <x:v>15.276108531257286</x:v>
      </x:c>
      <x:c r="M918" s="40" t="n">
        <x:f>INDEX(Catchments!C:C,MATCH(A918,Catchments!A:A,0))</x:f>
        <x:v>41291847</x:v>
      </x:c>
      <x:c r="N918" s="40" t="n">
        <x:f>INDEX(Catchments!C:C,MATCH(B918,Catchments!A:A,0))</x:f>
        <x:v>13192386</x:v>
      </x:c>
    </x:row>
    <x:row r="919" ht="15" hidden="0" customHeight="1">
      <x:c r="A919" s="29" t="str">
        <x:v>SCA-30</x:v>
      </x:c>
      <x:c r="B919" s="29" t="str">
        <x:v>SCA-16</x:v>
      </x:c>
      <x:c r="C919" s="53" t="n">
        <x:v>53.768845381544054</x:v>
      </x:c>
      <x:c r="D919" s="29" t="str">
        <x:v>YES</x:v>
      </x:c>
      <x:c r="E919" s="53" t="n">
        <x:v>51.24694994264176</x:v>
      </x:c>
      <x:c r="F919" s="29" t="str">
        <x:v>YES</x:v>
      </x:c>
      <x:c r="G919" s="53" t="n">
        <x:v>14.861713853612056</x:v>
      </x:c>
      <x:c r="H919" s="29" t="str">
        <x:v>YES</x:v>
      </x:c>
      <x:c r="I919" s="53"/>
      <x:c r="J919" s="29" t="str">
        <x:v>NO</x:v>
      </x:c>
      <x:c r="K919" s="29" t="str">
        <x:v>Air</x:v>
      </x:c>
      <x:c r="L919" s="53" t="n">
        <x:v>14.861713853612056</x:v>
      </x:c>
      <x:c r="M919" s="41" t="n">
        <x:f>INDEX(Catchments!C:C,MATCH(A919,Catchments!A:A,0))</x:f>
        <x:v>41291847</x:v>
      </x:c>
      <x:c r="N919" s="41" t="n">
        <x:f>INDEX(Catchments!C:C,MATCH(B919,Catchments!A:A,0))</x:f>
        <x:v>10177969</x:v>
      </x:c>
    </x:row>
    <x:row r="920" ht="15" hidden="0" customHeight="1">
      <x:c r="A920" s="27" t="str">
        <x:v>SCA-30</x:v>
      </x:c>
      <x:c r="B920" s="27" t="str">
        <x:v>SCA-17</x:v>
      </x:c>
      <x:c r="C920" s="52" t="n">
        <x:v>59.96361085091723</x:v>
      </x:c>
      <x:c r="D920" s="27" t="str">
        <x:v>YES</x:v>
      </x:c>
      <x:c r="E920" s="52" t="n">
        <x:v>56.11426566857782</x:v>
      </x:c>
      <x:c r="F920" s="27" t="str">
        <x:v>YES</x:v>
      </x:c>
      <x:c r="G920" s="52" t="n">
        <x:v>15.270306071317703</x:v>
      </x:c>
      <x:c r="H920" s="27" t="str">
        <x:v>YES</x:v>
      </x:c>
      <x:c r="I920" s="52" t="n">
        <x:v>103.9178195127324</x:v>
      </x:c>
      <x:c r="J920" s="27" t="str">
        <x:v>NO</x:v>
      </x:c>
      <x:c r="K920" s="27" t="str">
        <x:v>Air</x:v>
      </x:c>
      <x:c r="L920" s="52" t="n">
        <x:v>15.270306071317703</x:v>
      </x:c>
      <x:c r="M920" s="40" t="n">
        <x:f>INDEX(Catchments!C:C,MATCH(A920,Catchments!A:A,0))</x:f>
        <x:v>41291847</x:v>
      </x:c>
      <x:c r="N920" s="40" t="n">
        <x:f>INDEX(Catchments!C:C,MATCH(B920,Catchments!A:A,0))</x:f>
        <x:v>12843509</x:v>
      </x:c>
    </x:row>
    <x:row r="921" ht="15" hidden="0" customHeight="1">
      <x:c r="A921" s="29" t="str">
        <x:v>SCA-30</x:v>
      </x:c>
      <x:c r="B921" s="29" t="str">
        <x:v>SCA-18</x:v>
      </x:c>
      <x:c r="C921" s="53" t="n">
        <x:v>50.331287486523756</x:v>
      </x:c>
      <x:c r="D921" s="29" t="str">
        <x:v>YES</x:v>
      </x:c>
      <x:c r="E921" s="53" t="n">
        <x:v>48.54601159655438</x:v>
      </x:c>
      <x:c r="F921" s="29" t="str">
        <x:v>YES</x:v>
      </x:c>
      <x:c r="G921" s="53" t="n">
        <x:v>14.523180824751844</x:v>
      </x:c>
      <x:c r="H921" s="29" t="str">
        <x:v>YES</x:v>
      </x:c>
      <x:c r="I921" s="53" t="n">
        <x:v>86.57384057459636</x:v>
      </x:c>
      <x:c r="J921" s="29" t="str">
        <x:v>NO</x:v>
      </x:c>
      <x:c r="K921" s="29" t="str">
        <x:v>Air</x:v>
      </x:c>
      <x:c r="L921" s="53" t="n">
        <x:v>14.523180824751844</x:v>
      </x:c>
      <x:c r="M921" s="41" t="n">
        <x:f>INDEX(Catchments!C:C,MATCH(A921,Catchments!A:A,0))</x:f>
        <x:v>41291847</x:v>
      </x:c>
      <x:c r="N921" s="41" t="n">
        <x:f>INDEX(Catchments!C:C,MATCH(B921,Catchments!A:A,0))</x:f>
        <x:v>11004680</x:v>
      </x:c>
    </x:row>
    <x:row r="922" ht="15" hidden="0" customHeight="1">
      <x:c r="A922" s="27" t="str">
        <x:v>SCA-30</x:v>
      </x:c>
      <x:c r="B922" s="27" t="str">
        <x:v>SCA-19</x:v>
      </x:c>
      <x:c r="C922" s="52" t="n">
        <x:v>44.28729676465286</x:v>
      </x:c>
      <x:c r="D922" s="27" t="str">
        <x:v>YES</x:v>
      </x:c>
      <x:c r="E922" s="52" t="n">
        <x:v>43.79716174365582</x:v>
      </x:c>
      <x:c r="F922" s="27" t="str">
        <x:v>YES</x:v>
      </x:c>
      <x:c r="G922" s="52" t="n">
        <x:v>14.16750706683154</x:v>
      </x:c>
      <x:c r="H922" s="27" t="str">
        <x:v>YES</x:v>
      </x:c>
      <x:c r="I922" s="52" t="n">
        <x:v>78.31712833716074</x:v>
      </x:c>
      <x:c r="J922" s="27" t="str">
        <x:v>NO</x:v>
      </x:c>
      <x:c r="K922" s="27" t="str">
        <x:v>Air</x:v>
      </x:c>
      <x:c r="L922" s="52" t="n">
        <x:v>14.16750706683154</x:v>
      </x:c>
      <x:c r="M922" s="40" t="n">
        <x:f>INDEX(Catchments!C:C,MATCH(A922,Catchments!A:A,0))</x:f>
        <x:v>41291847</x:v>
      </x:c>
      <x:c r="N922" s="40" t="n">
        <x:f>INDEX(Catchments!C:C,MATCH(B922,Catchments!A:A,0))</x:f>
        <x:v>6677653</x:v>
      </x:c>
    </x:row>
    <x:row r="923" ht="15" hidden="0" customHeight="1">
      <x:c r="A923" s="29" t="str">
        <x:v>SCA-30</x:v>
      </x:c>
      <x:c r="B923" s="29" t="str">
        <x:v>SCA-20</x:v>
      </x:c>
      <x:c r="C923" s="53" t="n">
        <x:v>47.41288313157844</x:v>
      </x:c>
      <x:c r="D923" s="29" t="str">
        <x:v>YES</x:v>
      </x:c>
      <x:c r="E923" s="53" t="n">
        <x:v>46.25297960338306</x:v>
      </x:c>
      <x:c r="F923" s="29" t="str">
        <x:v>YES</x:v>
      </x:c>
      <x:c r="G923" s="53" t="n">
        <x:v>14.369021693980272</x:v>
      </x:c>
      <x:c r="H923" s="29" t="str">
        <x:v>YES</x:v>
      </x:c>
      <x:c r="I923" s="53" t="n">
        <x:v>82.9951464673992</x:v>
      </x:c>
      <x:c r="J923" s="29" t="str">
        <x:v>NO</x:v>
      </x:c>
      <x:c r="K923" s="29" t="str">
        <x:v>Air</x:v>
      </x:c>
      <x:c r="L923" s="53" t="n">
        <x:v>14.369021693980272</x:v>
      </x:c>
      <x:c r="M923" s="41" t="n">
        <x:f>INDEX(Catchments!C:C,MATCH(A923,Catchments!A:A,0))</x:f>
        <x:v>41291847</x:v>
      </x:c>
      <x:c r="N923" s="41" t="n">
        <x:f>INDEX(Catchments!C:C,MATCH(B923,Catchments!A:A,0))</x:f>
        <x:v>8490774</x:v>
      </x:c>
    </x:row>
    <x:row r="924" ht="15" hidden="0" customHeight="1">
      <x:c r="A924" s="27" t="str">
        <x:v>SCA-30</x:v>
      </x:c>
      <x:c r="B924" s="27" t="str">
        <x:v>SCA-21</x:v>
      </x:c>
      <x:c r="C924" s="52" t="n">
        <x:v>38.66580483005349</x:v>
      </x:c>
      <x:c r="D924" s="27" t="str">
        <x:v>YES</x:v>
      </x:c>
      <x:c r="E924" s="52" t="n">
        <x:v>39.38027522361345</x:v>
      </x:c>
      <x:c r="F924" s="27" t="str">
        <x:v>YES</x:v>
      </x:c>
      <x:c r="G924" s="52" t="n">
        <x:v>13.734302037022568</x:v>
      </x:c>
      <x:c r="H924" s="27" t="str">
        <x:v>YES</x:v>
      </x:c>
      <x:c r="I924" s="52" t="n">
        <x:v>68.26058300230963</x:v>
      </x:c>
      <x:c r="J924" s="27" t="str">
        <x:v>YES</x:v>
      </x:c>
      <x:c r="K924" s="27" t="str">
        <x:v>Air</x:v>
      </x:c>
      <x:c r="L924" s="52" t="n">
        <x:v>13.734302037022568</x:v>
      </x:c>
      <x:c r="M924" s="40" t="n">
        <x:f>INDEX(Catchments!C:C,MATCH(A924,Catchments!A:A,0))</x:f>
        <x:v>41291847</x:v>
      </x:c>
      <x:c r="N924" s="40" t="n">
        <x:f>INDEX(Catchments!C:C,MATCH(B924,Catchments!A:A,0))</x:f>
        <x:v>19593580</x:v>
      </x:c>
    </x:row>
    <x:row r="925" ht="15" hidden="0" customHeight="1">
      <x:c r="A925" s="29" t="str">
        <x:v>SCA-30</x:v>
      </x:c>
      <x:c r="B925" s="29" t="str">
        <x:v>SCA-22</x:v>
      </x:c>
      <x:c r="C925" s="53" t="n">
        <x:v>34.14943074901051</x:v>
      </x:c>
      <x:c r="D925" s="29" t="str">
        <x:v>YES</x:v>
      </x:c>
      <x:c r="E925" s="53" t="n">
        <x:v>35.83169558850826</x:v>
      </x:c>
      <x:c r="F925" s="29" t="str">
        <x:v>YES</x:v>
      </x:c>
      <x:c r="G925" s="53" t="n">
        <x:v>13.467939366619763</x:v>
      </x:c>
      <x:c r="H925" s="29" t="str">
        <x:v>YES</x:v>
      </x:c>
      <x:c r="I925" s="53" t="n">
        <x:v>62.077163867958795</x:v>
      </x:c>
      <x:c r="J925" s="29" t="str">
        <x:v>YES</x:v>
      </x:c>
      <x:c r="K925" s="29" t="str">
        <x:v>Air</x:v>
      </x:c>
      <x:c r="L925" s="53" t="n">
        <x:v>13.467939366619763</x:v>
      </x:c>
      <x:c r="M925" s="41" t="n">
        <x:f>INDEX(Catchments!C:C,MATCH(A925,Catchments!A:A,0))</x:f>
        <x:v>41291847</x:v>
      </x:c>
      <x:c r="N925" s="41" t="n">
        <x:f>INDEX(Catchments!C:C,MATCH(B925,Catchments!A:A,0))</x:f>
        <x:v>14732006</x:v>
      </x:c>
    </x:row>
    <x:row r="926" ht="15" hidden="0" customHeight="1">
      <x:c r="A926" s="27" t="str">
        <x:v>SCA-30</x:v>
      </x:c>
      <x:c r="B926" s="27" t="str">
        <x:v>SCA-23</x:v>
      </x:c>
      <x:c r="C926" s="52" t="n">
        <x:v>39.20880492669382</x:v>
      </x:c>
      <x:c r="D926" s="27" t="str">
        <x:v>YES</x:v>
      </x:c>
      <x:c r="E926" s="52" t="n">
        <x:v>39.806918156688</x:v>
      </x:c>
      <x:c r="F926" s="27" t="str">
        <x:v>YES</x:v>
      </x:c>
      <x:c r="G926" s="52" t="n">
        <x:v>13.783241809570784</x:v>
      </x:c>
      <x:c r="H926" s="27" t="str">
        <x:v>YES</x:v>
      </x:c>
      <x:c r="I926" s="52" t="n">
        <x:v>69.39668486503606</x:v>
      </x:c>
      <x:c r="J926" s="27" t="str">
        <x:v>YES</x:v>
      </x:c>
      <x:c r="K926" s="27" t="str">
        <x:v>Air</x:v>
      </x:c>
      <x:c r="L926" s="52" t="n">
        <x:v>13.783241809570784</x:v>
      </x:c>
      <x:c r="M926" s="40" t="n">
        <x:f>INDEX(Catchments!C:C,MATCH(A926,Catchments!A:A,0))</x:f>
        <x:v>41291847</x:v>
      </x:c>
      <x:c r="N926" s="40" t="n">
        <x:f>INDEX(Catchments!C:C,MATCH(B926,Catchments!A:A,0))</x:f>
        <x:v>20869310</x:v>
      </x:c>
    </x:row>
    <x:row r="927" ht="15" hidden="0" customHeight="1">
      <x:c r="A927" s="29" t="str">
        <x:v>SCA-30</x:v>
      </x:c>
      <x:c r="B927" s="29" t="str">
        <x:v>SCA-24</x:v>
      </x:c>
      <x:c r="C927" s="53" t="n">
        <x:v>31.44325840890735</x:v>
      </x:c>
      <x:c r="D927" s="29" t="str">
        <x:v>YES</x:v>
      </x:c>
      <x:c r="E927" s="53" t="n">
        <x:v>33.70541732128435</x:v>
      </x:c>
      <x:c r="F927" s="29" t="str">
        <x:v>YES</x:v>
      </x:c>
      <x:c r="G927" s="53" t="n">
        <x:v>13.213923320994454</x:v>
      </x:c>
      <x:c r="H927" s="29" t="str">
        <x:v>YES</x:v>
      </x:c>
      <x:c r="I927" s="53" t="n">
        <x:v>56.180362808799835</x:v>
      </x:c>
      <x:c r="J927" s="29" t="str">
        <x:v>YES</x:v>
      </x:c>
      <x:c r="K927" s="29" t="str">
        <x:v>Air</x:v>
      </x:c>
      <x:c r="L927" s="53" t="n">
        <x:v>13.213923320994454</x:v>
      </x:c>
      <x:c r="M927" s="41" t="n">
        <x:f>INDEX(Catchments!C:C,MATCH(A927,Catchments!A:A,0))</x:f>
        <x:v>41291847</x:v>
      </x:c>
      <x:c r="N927" s="41" t="n">
        <x:f>INDEX(Catchments!C:C,MATCH(B927,Catchments!A:A,0))</x:f>
        <x:v>11816161</x:v>
      </x:c>
    </x:row>
    <x:row r="928" ht="15" hidden="0" customHeight="1">
      <x:c r="A928" s="27" t="str">
        <x:v>SCA-30</x:v>
      </x:c>
      <x:c r="B928" s="27" t="str">
        <x:v>SCA-25</x:v>
      </x:c>
      <x:c r="C928" s="52" t="n">
        <x:v>41.3387912086458</x:v>
      </x:c>
      <x:c r="D928" s="27" t="str">
        <x:v>YES</x:v>
      </x:c>
      <x:c r="E928" s="52" t="n">
        <x:v>41.48047880679313</x:v>
      </x:c>
      <x:c r="F928" s="27" t="str">
        <x:v>YES</x:v>
      </x:c>
      <x:c r="G928" s="52" t="n">
        <x:v>14.005729338121895</x:v>
      </x:c>
      <x:c r="H928" s="27" t="str">
        <x:v>YES</x:v>
      </x:c>
      <x:c r="I928" s="52" t="n">
        <x:v>74.56157392068688</x:v>
      </x:c>
      <x:c r="J928" s="27" t="str">
        <x:v>NO</x:v>
      </x:c>
      <x:c r="K928" s="27" t="str">
        <x:v>Air</x:v>
      </x:c>
      <x:c r="L928" s="52" t="n">
        <x:v>14.005729338121895</x:v>
      </x:c>
      <x:c r="M928" s="40" t="n">
        <x:f>INDEX(Catchments!C:C,MATCH(A928,Catchments!A:A,0))</x:f>
        <x:v>41291847</x:v>
      </x:c>
      <x:c r="N928" s="40" t="n">
        <x:f>INDEX(Catchments!C:C,MATCH(B928,Catchments!A:A,0))</x:f>
        <x:v>6408394</x:v>
      </x:c>
    </x:row>
    <x:row r="929" ht="15" hidden="0" customHeight="1">
      <x:c r="A929" s="29" t="str">
        <x:v>SCA-30</x:v>
      </x:c>
      <x:c r="B929" s="29" t="str">
        <x:v>SCA-26</x:v>
      </x:c>
      <x:c r="C929" s="53" t="n">
        <x:v>47.311508586188026</x:v>
      </x:c>
      <x:c r="D929" s="29" t="str">
        <x:v>YES</x:v>
      </x:c>
      <x:c r="E929" s="53" t="n">
        <x:v>46.17332817486202</x:v>
      </x:c>
      <x:c r="F929" s="29" t="str">
        <x:v>YES</x:v>
      </x:c>
      <x:c r="G929" s="53" t="n">
        <x:v>14.384410515360525</x:v>
      </x:c>
      <x:c r="H929" s="29" t="str">
        <x:v>YES</x:v>
      </x:c>
      <x:c r="I929" s="53" t="n">
        <x:v>83.3523869637265</x:v>
      </x:c>
      <x:c r="J929" s="29" t="str">
        <x:v>NO</x:v>
      </x:c>
      <x:c r="K929" s="29" t="str">
        <x:v>Air</x:v>
      </x:c>
      <x:c r="L929" s="53" t="n">
        <x:v>14.384410515360525</x:v>
      </x:c>
      <x:c r="M929" s="41" t="n">
        <x:f>INDEX(Catchments!C:C,MATCH(A929,Catchments!A:A,0))</x:f>
        <x:v>41291847</x:v>
      </x:c>
      <x:c r="N929" s="41" t="n">
        <x:f>INDEX(Catchments!C:C,MATCH(B929,Catchments!A:A,0))</x:f>
        <x:v>10737083</x:v>
      </x:c>
    </x:row>
    <x:row r="930" ht="15" hidden="0" customHeight="1">
      <x:c r="A930" s="27" t="str">
        <x:v>SCA-30</x:v>
      </x:c>
      <x:c r="B930" s="27" t="str">
        <x:v>SCA-27</x:v>
      </x:c>
      <x:c r="C930" s="52" t="n">
        <x:v>52.39565884290709</x:v>
      </x:c>
      <x:c r="D930" s="27" t="str">
        <x:v>YES</x:v>
      </x:c>
      <x:c r="E930" s="52" t="n">
        <x:v>50.16801766228414</x:v>
      </x:c>
      <x:c r="F930" s="27" t="str">
        <x:v>YES</x:v>
      </x:c>
      <x:c r="G930" s="52" t="n">
        <x:v>14.606519599629404</x:v>
      </x:c>
      <x:c r="H930" s="27" t="str">
        <x:v>YES</x:v>
      </x:c>
      <x:c r="I930" s="52" t="n">
        <x:v>88.50849070568262</x:v>
      </x:c>
      <x:c r="J930" s="27" t="str">
        <x:v>NO</x:v>
      </x:c>
      <x:c r="K930" s="27" t="str">
        <x:v>Air</x:v>
      </x:c>
      <x:c r="L930" s="52" t="n">
        <x:v>14.606519599629404</x:v>
      </x:c>
      <x:c r="M930" s="40" t="n">
        <x:f>INDEX(Catchments!C:C,MATCH(A930,Catchments!A:A,0))</x:f>
        <x:v>41291847</x:v>
      </x:c>
      <x:c r="N930" s="40" t="n">
        <x:f>INDEX(Catchments!C:C,MATCH(B930,Catchments!A:A,0))</x:f>
        <x:v>7505606</x:v>
      </x:c>
    </x:row>
    <x:row r="931" ht="15" hidden="0" customHeight="1">
      <x:c r="A931" s="29" t="str">
        <x:v>SCA-30</x:v>
      </x:c>
      <x:c r="B931" s="29" t="str">
        <x:v>SCA-28</x:v>
      </x:c>
      <x:c r="C931" s="53" t="n">
        <x:v>22.42843119874982</x:v>
      </x:c>
      <x:c r="D931" s="29" t="str">
        <x:v>YES</x:v>
      </x:c>
      <x:c r="E931" s="53" t="n">
        <x:v>26.622338799017715</x:v>
      </x:c>
      <x:c r="F931" s="29" t="str">
        <x:v>YES</x:v>
      </x:c>
      <x:c r="G931" s="53" t="n">
        <x:v>12.620152128336107</x:v>
      </x:c>
      <x:c r="H931" s="29" t="str">
        <x:v>YES</x:v>
      </x:c>
      <x:c r="I931" s="53" t="n">
        <x:v>42.39638869351677</x:v>
      </x:c>
      <x:c r="J931" s="29" t="str">
        <x:v>YES</x:v>
      </x:c>
      <x:c r="K931" s="29" t="str">
        <x:v>Air</x:v>
      </x:c>
      <x:c r="L931" s="53" t="n">
        <x:v>12.620152128336107</x:v>
      </x:c>
      <x:c r="M931" s="41" t="n">
        <x:f>INDEX(Catchments!C:C,MATCH(A931,Catchments!A:A,0))</x:f>
        <x:v>41291847</x:v>
      </x:c>
      <x:c r="N931" s="41" t="n">
        <x:f>INDEX(Catchments!C:C,MATCH(B931,Catchments!A:A,0))</x:f>
        <x:v>21305157</x:v>
      </x:c>
    </x:row>
    <x:row r="932" ht="15" hidden="0" customHeight="1">
      <x:c r="A932" s="27" t="str">
        <x:v>SCA-30</x:v>
      </x:c>
      <x:c r="B932" s="27" t="str">
        <x:v>SCA-29</x:v>
      </x:c>
      <x:c r="C932" s="52" t="n">
        <x:v>27.655078580820202</x:v>
      </x:c>
      <x:c r="D932" s="27" t="str">
        <x:v>YES</x:v>
      </x:c>
      <x:c r="E932" s="52" t="n">
        <x:v>30.72899031350159</x:v>
      </x:c>
      <x:c r="F932" s="27" t="str">
        <x:v>YES</x:v>
      </x:c>
      <x:c r="G932" s="52" t="n">
        <x:v>13.004721500929914</x:v>
      </x:c>
      <x:c r="H932" s="27" t="str">
        <x:v>YES</x:v>
      </x:c>
      <x:c r="I932" s="52" t="n">
        <x:v>51.32389198587302</x:v>
      </x:c>
      <x:c r="J932" s="27" t="str">
        <x:v>YES</x:v>
      </x:c>
      <x:c r="K932" s="27" t="str">
        <x:v>Air</x:v>
      </x:c>
      <x:c r="L932" s="52" t="n">
        <x:v>13.004721500929914</x:v>
      </x:c>
      <x:c r="M932" s="40" t="n">
        <x:f>INDEX(Catchments!C:C,MATCH(A932,Catchments!A:A,0))</x:f>
        <x:v>41291847</x:v>
      </x:c>
      <x:c r="N932" s="40" t="n">
        <x:f>INDEX(Catchments!C:C,MATCH(B932,Catchments!A:A,0))</x:f>
        <x:v>19271685</x:v>
      </x:c>
    </x:row>
    <x:row r="933" ht="15" hidden="0" customHeight="1">
      <x:c r="A933" s="29" t="str">
        <x:v>SCA-30</x:v>
      </x:c>
      <x:c r="B933" s="29" t="str">
        <x:v>SCA-31</x:v>
      </x:c>
      <x:c r="C933" s="53" t="n">
        <x:v>21.14694809430011</x:v>
      </x:c>
      <x:c r="D933" s="29" t="str">
        <x:v>YES</x:v>
      </x:c>
      <x:c r="E933" s="53" t="n">
        <x:v>25.615459216950086</x:v>
      </x:c>
      <x:c r="F933" s="29" t="str">
        <x:v>YES</x:v>
      </x:c>
      <x:c r="G933" s="53" t="n">
        <x:v>12.5258624015873</x:v>
      </x:c>
      <x:c r="H933" s="29" t="str">
        <x:v>YES</x:v>
      </x:c>
      <x:c r="I933" s="53" t="n">
        <x:v>40.20752003684802</x:v>
      </x:c>
      <x:c r="J933" s="29" t="str">
        <x:v>YES</x:v>
      </x:c>
      <x:c r="K933" s="29" t="str">
        <x:v>Air</x:v>
      </x:c>
      <x:c r="L933" s="53" t="n">
        <x:v>12.5258624015873</x:v>
      </x:c>
      <x:c r="M933" s="41" t="n">
        <x:f>INDEX(Catchments!C:C,MATCH(A933,Catchments!A:A,0))</x:f>
        <x:v>41291847</x:v>
      </x:c>
      <x:c r="N933" s="41" t="n">
        <x:f>INDEX(Catchments!C:C,MATCH(B933,Catchments!A:A,0))</x:f>
        <x:v>14227128</x:v>
      </x:c>
    </x:row>
    <x:row r="934" ht="15" hidden="0" customHeight="1">
      <x:c r="A934" s="27" t="str">
        <x:v>SCA-30</x:v>
      </x:c>
      <x:c r="B934" s="27" t="str">
        <x:v>SCA-32</x:v>
      </x:c>
      <x:c r="C934" s="52"/>
      <x:c r="D934" s="27" t="str">
        <x:v>NO</x:v>
      </x:c>
      <x:c r="E934" s="52"/>
      <x:c r="F934" s="27" t="str">
        <x:v>NO</x:v>
      </x:c>
      <x:c r="G934" s="52" t="n">
        <x:v>16.006158710752636</x:v>
      </x:c>
      <x:c r="H934" s="27" t="str">
        <x:v>YES</x:v>
      </x:c>
      <x:c r="I934" s="52" t="n">
        <x:v>121.0001129281862</x:v>
      </x:c>
      <x:c r="J934" s="27" t="str">
        <x:v>NO</x:v>
      </x:c>
      <x:c r="K934" s="27" t="str">
        <x:v>Air</x:v>
      </x:c>
      <x:c r="L934" s="52" t="n">
        <x:v>16.006158710752636</x:v>
      </x:c>
      <x:c r="M934" s="40" t="n">
        <x:f>INDEX(Catchments!C:C,MATCH(A934,Catchments!A:A,0))</x:f>
        <x:v>41291847</x:v>
      </x:c>
      <x:c r="N934" s="40" t="n">
        <x:f>INDEX(Catchments!C:C,MATCH(B934,Catchments!A:A,0))</x:f>
        <x:v>3184835</x:v>
      </x:c>
    </x:row>
    <x:row r="935" ht="15" hidden="0" customHeight="1">
      <x:c r="A935" s="29" t="str">
        <x:v>SCA-31</x:v>
      </x:c>
      <x:c r="B935" s="29" t="str">
        <x:v>SCA-01</x:v>
      </x:c>
      <x:c r="C935" s="53"/>
      <x:c r="D935" s="29" t="str">
        <x:v>NO</x:v>
      </x:c>
      <x:c r="E935" s="53"/>
      <x:c r="F935" s="29" t="str">
        <x:v>NO</x:v>
      </x:c>
      <x:c r="G935" s="53" t="n">
        <x:v>24.496797998972603</x:v>
      </x:c>
      <x:c r="H935" s="29" t="str">
        <x:v>YES</x:v>
      </x:c>
      <x:c r="I935" s="53" t="n">
        <x:v>318.10423926186405</x:v>
      </x:c>
      <x:c r="J935" s="29" t="str">
        <x:v>NO</x:v>
      </x:c>
      <x:c r="K935" s="29" t="str">
        <x:v>Air</x:v>
      </x:c>
      <x:c r="L935" s="53" t="n">
        <x:v>24.496797998972603</x:v>
      </x:c>
      <x:c r="M935" s="41" t="n">
        <x:f>INDEX(Catchments!C:C,MATCH(A935,Catchments!A:A,0))</x:f>
        <x:v>14227128</x:v>
      </x:c>
      <x:c r="N935" s="41" t="n">
        <x:f>INDEX(Catchments!C:C,MATCH(B935,Catchments!A:A,0))</x:f>
        <x:v>1432820</x:v>
      </x:c>
    </x:row>
    <x:row r="936" ht="15" hidden="0" customHeight="1">
      <x:c r="A936" s="27" t="str">
        <x:v>SCA-31</x:v>
      </x:c>
      <x:c r="B936" s="27" t="str">
        <x:v>SCA-02</x:v>
      </x:c>
      <x:c r="C936" s="52"/>
      <x:c r="D936" s="27" t="str">
        <x:v>NO</x:v>
      </x:c>
      <x:c r="E936" s="52"/>
      <x:c r="F936" s="27" t="str">
        <x:v>NO</x:v>
      </x:c>
      <x:c r="G936" s="52" t="n">
        <x:v>19.95485005764377</x:v>
      </x:c>
      <x:c r="H936" s="27" t="str">
        <x:v>YES</x:v>
      </x:c>
      <x:c r="I936" s="52" t="n">
        <x:v>212.66616205244466</x:v>
      </x:c>
      <x:c r="J936" s="27" t="str">
        <x:v>NO</x:v>
      </x:c>
      <x:c r="K936" s="27" t="str">
        <x:v>Air</x:v>
      </x:c>
      <x:c r="L936" s="52" t="n">
        <x:v>19.95485005764377</x:v>
      </x:c>
      <x:c r="M936" s="40" t="n">
        <x:f>INDEX(Catchments!C:C,MATCH(A936,Catchments!A:A,0))</x:f>
        <x:v>14227128</x:v>
      </x:c>
      <x:c r="N936" s="40" t="n">
        <x:f>INDEX(Catchments!C:C,MATCH(B936,Catchments!A:A,0))</x:f>
        <x:v>737270</x:v>
      </x:c>
    </x:row>
    <x:row r="937" ht="15" hidden="0" customHeight="1">
      <x:c r="A937" s="29" t="str">
        <x:v>SCA-31</x:v>
      </x:c>
      <x:c r="B937" s="29" t="str">
        <x:v>SCA-03</x:v>
      </x:c>
      <x:c r="C937" s="53" t="n">
        <x:v>103.81618908025018</x:v>
      </x:c>
      <x:c r="D937" s="29" t="str">
        <x:v>NO</x:v>
      </x:c>
      <x:c r="E937" s="53" t="n">
        <x:v>90.569862848768</x:v>
      </x:c>
      <x:c r="F937" s="29" t="str">
        <x:v>NO</x:v>
      </x:c>
      <x:c r="G937" s="53" t="n">
        <x:v>18.02547093318951</x:v>
      </x:c>
      <x:c r="H937" s="29" t="str">
        <x:v>YES</x:v>
      </x:c>
      <x:c r="I937" s="53" t="n">
        <x:v>167.87700380618506</x:v>
      </x:c>
      <x:c r="J937" s="29" t="str">
        <x:v>NO</x:v>
      </x:c>
      <x:c r="K937" s="29" t="str">
        <x:v>Air</x:v>
      </x:c>
      <x:c r="L937" s="53" t="n">
        <x:v>18.02547093318951</x:v>
      </x:c>
      <x:c r="M937" s="41" t="n">
        <x:f>INDEX(Catchments!C:C,MATCH(A937,Catchments!A:A,0))</x:f>
        <x:v>14227128</x:v>
      </x:c>
      <x:c r="N937" s="41" t="n">
        <x:f>INDEX(Catchments!C:C,MATCH(B937,Catchments!A:A,0))</x:f>
        <x:v>11968308</x:v>
      </x:c>
    </x:row>
    <x:row r="938" ht="15" hidden="0" customHeight="1">
      <x:c r="A938" s="27" t="str">
        <x:v>SCA-31</x:v>
      </x:c>
      <x:c r="B938" s="27" t="str">
        <x:v>SCA-04</x:v>
      </x:c>
      <x:c r="C938" s="52" t="n">
        <x:v>111.27998543004604</x:v>
      </x:c>
      <x:c r="D938" s="27" t="str">
        <x:v>NO</x:v>
      </x:c>
      <x:c r="E938" s="52" t="n">
        <x:v>96.43427426646475</x:v>
      </x:c>
      <x:c r="F938" s="27" t="str">
        <x:v>NO</x:v>
      </x:c>
      <x:c r="G938" s="52" t="n">
        <x:v>18.457072846845517</x:v>
      </x:c>
      <x:c r="H938" s="27" t="str">
        <x:v>YES</x:v>
      </x:c>
      <x:c r="I938" s="52" t="n">
        <x:v>177.89633394462805</x:v>
      </x:c>
      <x:c r="J938" s="27" t="str">
        <x:v>NO</x:v>
      </x:c>
      <x:c r="K938" s="27" t="str">
        <x:v>Air</x:v>
      </x:c>
      <x:c r="L938" s="52" t="n">
        <x:v>18.457072846845517</x:v>
      </x:c>
      <x:c r="M938" s="40" t="n">
        <x:f>INDEX(Catchments!C:C,MATCH(A938,Catchments!A:A,0))</x:f>
        <x:v>14227128</x:v>
      </x:c>
      <x:c r="N938" s="40" t="n">
        <x:f>INDEX(Catchments!C:C,MATCH(B938,Catchments!A:A,0))</x:f>
        <x:v>16200470</x:v>
      </x:c>
    </x:row>
    <x:row r="939" ht="15" hidden="0" customHeight="1">
      <x:c r="A939" s="29" t="str">
        <x:v>SCA-31</x:v>
      </x:c>
      <x:c r="B939" s="29" t="str">
        <x:v>SCA-05</x:v>
      </x:c>
      <x:c r="C939" s="53" t="n">
        <x:v>109.61889179391451</x:v>
      </x:c>
      <x:c r="D939" s="29" t="str">
        <x:v>NO</x:v>
      </x:c>
      <x:c r="E939" s="53" t="n">
        <x:v>95.12912926664713</x:v>
      </x:c>
      <x:c r="F939" s="29" t="str">
        <x:v>NO</x:v>
      </x:c>
      <x:c r="G939" s="53" t="n">
        <x:v>18.33607477810498</x:v>
      </x:c>
      <x:c r="H939" s="29" t="str">
        <x:v>YES</x:v>
      </x:c>
      <x:c r="I939" s="53" t="n">
        <x:v>175.08745020600844</x:v>
      </x:c>
      <x:c r="J939" s="29" t="str">
        <x:v>NO</x:v>
      </x:c>
      <x:c r="K939" s="29" t="str">
        <x:v>Air</x:v>
      </x:c>
      <x:c r="L939" s="53" t="n">
        <x:v>18.33607477810498</x:v>
      </x:c>
      <x:c r="M939" s="41" t="n">
        <x:f>INDEX(Catchments!C:C,MATCH(A939,Catchments!A:A,0))</x:f>
        <x:v>14227128</x:v>
      </x:c>
      <x:c r="N939" s="41" t="n">
        <x:f>INDEX(Catchments!C:C,MATCH(B939,Catchments!A:A,0))</x:f>
        <x:v>15966265</x:v>
      </x:c>
    </x:row>
    <x:row r="940" ht="15" hidden="0" customHeight="1">
      <x:c r="A940" s="27" t="str">
        <x:v>SCA-31</x:v>
      </x:c>
      <x:c r="B940" s="27" t="str">
        <x:v>SCA-06</x:v>
      </x:c>
      <x:c r="C940" s="52" t="n">
        <x:v>105.241485025185</x:v>
      </x:c>
      <x:c r="D940" s="27" t="str">
        <x:v>NO</x:v>
      </x:c>
      <x:c r="E940" s="52" t="n">
        <x:v>91.68973823407393</x:v>
      </x:c>
      <x:c r="F940" s="27" t="str">
        <x:v>NO</x:v>
      </x:c>
      <x:c r="G940" s="52" t="n">
        <x:v>18.16692959207905</x:v>
      </x:c>
      <x:c r="H940" s="27" t="str">
        <x:v>YES</x:v>
      </x:c>
      <x:c r="I940" s="52" t="n">
        <x:v>171.16086553040654</x:v>
      </x:c>
      <x:c r="J940" s="27" t="str">
        <x:v>NO</x:v>
      </x:c>
      <x:c r="K940" s="27" t="str">
        <x:v>Air</x:v>
      </x:c>
      <x:c r="L940" s="52" t="n">
        <x:v>18.16692959207905</x:v>
      </x:c>
      <x:c r="M940" s="40" t="n">
        <x:f>INDEX(Catchments!C:C,MATCH(A940,Catchments!A:A,0))</x:f>
        <x:v>14227128</x:v>
      </x:c>
      <x:c r="N940" s="40" t="n">
        <x:f>INDEX(Catchments!C:C,MATCH(B940,Catchments!A:A,0))</x:f>
        <x:v>6008575</x:v>
      </x:c>
    </x:row>
    <x:row r="941" ht="15" hidden="0" customHeight="1">
      <x:c r="A941" s="29" t="str">
        <x:v>SCA-31</x:v>
      </x:c>
      <x:c r="B941" s="29" t="str">
        <x:v>SCA-07</x:v>
      </x:c>
      <x:c r="C941" s="53" t="n">
        <x:v>104.23532996400775</x:v>
      </x:c>
      <x:c r="D941" s="29" t="str">
        <x:v>NO</x:v>
      </x:c>
      <x:c r="E941" s="53" t="n">
        <x:v>90.89918782886322</x:v>
      </x:c>
      <x:c r="F941" s="29" t="str">
        <x:v>NO</x:v>
      </x:c>
      <x:c r="G941" s="53" t="n">
        <x:v>17.855413665362303</x:v>
      </x:c>
      <x:c r="H941" s="29" t="str">
        <x:v>YES</x:v>
      </x:c>
      <x:c r="I941" s="53" t="n">
        <x:v>163.92924580305348</x:v>
      </x:c>
      <x:c r="J941" s="29" t="str">
        <x:v>NO</x:v>
      </x:c>
      <x:c r="K941" s="29" t="str">
        <x:v>Air</x:v>
      </x:c>
      <x:c r="L941" s="53" t="n">
        <x:v>17.855413665362303</x:v>
      </x:c>
      <x:c r="M941" s="41" t="n">
        <x:f>INDEX(Catchments!C:C,MATCH(A941,Catchments!A:A,0))</x:f>
        <x:v>14227128</x:v>
      </x:c>
      <x:c r="N941" s="41" t="n">
        <x:f>INDEX(Catchments!C:C,MATCH(B941,Catchments!A:A,0))</x:f>
        <x:v>5229370</x:v>
      </x:c>
    </x:row>
    <x:row r="942" ht="15" hidden="0" customHeight="1">
      <x:c r="A942" s="27" t="str">
        <x:v>SCA-31</x:v>
      </x:c>
      <x:c r="B942" s="27" t="str">
        <x:v>SCA-08</x:v>
      </x:c>
      <x:c r="C942" s="52" t="n">
        <x:v>92.0951913516591</x:v>
      </x:c>
      <x:c r="D942" s="27" t="str">
        <x:v>NO</x:v>
      </x:c>
      <x:c r="E942" s="52" t="n">
        <x:v>81.3605074905893</x:v>
      </x:c>
      <x:c r="F942" s="27" t="str">
        <x:v>NO</x:v>
      </x:c>
      <x:c r="G942" s="52" t="n">
        <x:v>17.30979938480978</x:v>
      </x:c>
      <x:c r="H942" s="27" t="str">
        <x:v>YES</x:v>
      </x:c>
      <x:c r="I942" s="52" t="n">
        <x:v>151.26320000451267</x:v>
      </x:c>
      <x:c r="J942" s="27" t="str">
        <x:v>NO</x:v>
      </x:c>
      <x:c r="K942" s="27" t="str">
        <x:v>Air</x:v>
      </x:c>
      <x:c r="L942" s="52" t="n">
        <x:v>17.30979938480978</x:v>
      </x:c>
      <x:c r="M942" s="40" t="n">
        <x:f>INDEX(Catchments!C:C,MATCH(A942,Catchments!A:A,0))</x:f>
        <x:v>14227128</x:v>
      </x:c>
      <x:c r="N942" s="40" t="n">
        <x:f>INDEX(Catchments!C:C,MATCH(B942,Catchments!A:A,0))</x:f>
        <x:v>2652387</x:v>
      </x:c>
    </x:row>
    <x:row r="943" ht="15" hidden="0" customHeight="1">
      <x:c r="A943" s="29" t="str">
        <x:v>SCA-31</x:v>
      </x:c>
      <x:c r="B943" s="29" t="str">
        <x:v>SCA-09</x:v>
      </x:c>
      <x:c r="C943" s="53" t="n">
        <x:v>97.06476772042444</x:v>
      </x:c>
      <x:c r="D943" s="29" t="str">
        <x:v>NO</x:v>
      </x:c>
      <x:c r="E943" s="53" t="n">
        <x:v>85.26517463747635</x:v>
      </x:c>
      <x:c r="F943" s="29" t="str">
        <x:v>NO</x:v>
      </x:c>
      <x:c r="G943" s="53" t="n">
        <x:v>17.646235889544627</x:v>
      </x:c>
      <x:c r="H943" s="29" t="str">
        <x:v>YES</x:v>
      </x:c>
      <x:c r="I943" s="53"/>
      <x:c r="J943" s="29" t="str">
        <x:v>NO</x:v>
      </x:c>
      <x:c r="K943" s="29" t="str">
        <x:v>Air</x:v>
      </x:c>
      <x:c r="L943" s="53" t="n">
        <x:v>17.646235889544627</x:v>
      </x:c>
      <x:c r="M943" s="41" t="n">
        <x:f>INDEX(Catchments!C:C,MATCH(A943,Catchments!A:A,0))</x:f>
        <x:v>14227128</x:v>
      </x:c>
      <x:c r="N943" s="41" t="n">
        <x:f>INDEX(Catchments!C:C,MATCH(B943,Catchments!A:A,0))</x:f>
        <x:v>7395716</x:v>
      </x:c>
    </x:row>
    <x:row r="944" ht="15" hidden="0" customHeight="1">
      <x:c r="A944" s="27" t="str">
        <x:v>SCA-31</x:v>
      </x:c>
      <x:c r="B944" s="27" t="str">
        <x:v>SCA-10</x:v>
      </x:c>
      <x:c r="C944" s="52" t="n">
        <x:v>89.43170628019948</x:v>
      </x:c>
      <x:c r="D944" s="27" t="str">
        <x:v>NO</x:v>
      </x:c>
      <x:c r="E944" s="52" t="n">
        <x:v>79.26776922015674</x:v>
      </x:c>
      <x:c r="F944" s="27" t="str">
        <x:v>NO</x:v>
      </x:c>
      <x:c r="G944" s="52" t="n">
        <x:v>17.017152428220054</x:v>
      </x:c>
      <x:c r="H944" s="27" t="str">
        <x:v>YES</x:v>
      </x:c>
      <x:c r="I944" s="52"/>
      <x:c r="J944" s="27" t="str">
        <x:v>NO</x:v>
      </x:c>
      <x:c r="K944" s="27" t="str">
        <x:v>Air</x:v>
      </x:c>
      <x:c r="L944" s="52" t="n">
        <x:v>17.017152428220054</x:v>
      </x:c>
      <x:c r="M944" s="40" t="n">
        <x:f>INDEX(Catchments!C:C,MATCH(A944,Catchments!A:A,0))</x:f>
        <x:v>14227128</x:v>
      </x:c>
      <x:c r="N944" s="40" t="n">
        <x:f>INDEX(Catchments!C:C,MATCH(B944,Catchments!A:A,0))</x:f>
        <x:v>4127033</x:v>
      </x:c>
    </x:row>
    <x:row r="945" ht="15" hidden="0" customHeight="1">
      <x:c r="A945" s="29" t="str">
        <x:v>SCA-31</x:v>
      </x:c>
      <x:c r="B945" s="29" t="str">
        <x:v>SCA-11</x:v>
      </x:c>
      <x:c r="C945" s="53" t="n">
        <x:v>84.16657691942196</x:v>
      </x:c>
      <x:c r="D945" s="29" t="str">
        <x:v>NO</x:v>
      </x:c>
      <x:c r="E945" s="53" t="n">
        <x:v>75.13088186526011</x:v>
      </x:c>
      <x:c r="F945" s="29" t="str">
        <x:v>NO</x:v>
      </x:c>
      <x:c r="G945" s="53" t="n">
        <x:v>16.769351333653706</x:v>
      </x:c>
      <x:c r="H945" s="29" t="str">
        <x:v>YES</x:v>
      </x:c>
      <x:c r="I945" s="53" t="n">
        <x:v>138.71708453124677</x:v>
      </x:c>
      <x:c r="J945" s="29" t="str">
        <x:v>NO</x:v>
      </x:c>
      <x:c r="K945" s="29" t="str">
        <x:v>Air</x:v>
      </x:c>
      <x:c r="L945" s="53" t="n">
        <x:v>16.769351333653706</x:v>
      </x:c>
      <x:c r="M945" s="41" t="n">
        <x:f>INDEX(Catchments!C:C,MATCH(A945,Catchments!A:A,0))</x:f>
        <x:v>14227128</x:v>
      </x:c>
      <x:c r="N945" s="41" t="n">
        <x:f>INDEX(Catchments!C:C,MATCH(B945,Catchments!A:A,0))</x:f>
        <x:v>3517787</x:v>
      </x:c>
    </x:row>
    <x:row r="946" ht="15" hidden="0" customHeight="1">
      <x:c r="A946" s="27" t="str">
        <x:v>SCA-31</x:v>
      </x:c>
      <x:c r="B946" s="27" t="str">
        <x:v>SCA-12</x:v>
      </x:c>
      <x:c r="C946" s="52" t="n">
        <x:v>77.1361069666278</x:v>
      </x:c>
      <x:c r="D946" s="27" t="str">
        <x:v>NO</x:v>
      </x:c>
      <x:c r="E946" s="52" t="n">
        <x:v>69.60694118806471</x:v>
      </x:c>
      <x:c r="F946" s="27" t="str">
        <x:v>YES</x:v>
      </x:c>
      <x:c r="G946" s="52" t="n">
        <x:v>16.294705762476575</x:v>
      </x:c>
      <x:c r="H946" s="27" t="str">
        <x:v>YES</x:v>
      </x:c>
      <x:c r="I946" s="52"/>
      <x:c r="J946" s="27" t="str">
        <x:v>NO</x:v>
      </x:c>
      <x:c r="K946" s="27" t="str">
        <x:v>Air</x:v>
      </x:c>
      <x:c r="L946" s="52" t="n">
        <x:v>16.294705762476575</x:v>
      </x:c>
      <x:c r="M946" s="40" t="n">
        <x:f>INDEX(Catchments!C:C,MATCH(A946,Catchments!A:A,0))</x:f>
        <x:v>14227128</x:v>
      </x:c>
      <x:c r="N946" s="40" t="n">
        <x:f>INDEX(Catchments!C:C,MATCH(B946,Catchments!A:A,0))</x:f>
        <x:v>7465186</x:v>
      </x:c>
    </x:row>
    <x:row r="947" ht="15" hidden="0" customHeight="1">
      <x:c r="A947" s="29" t="str">
        <x:v>SCA-31</x:v>
      </x:c>
      <x:c r="B947" s="29" t="str">
        <x:v>SCA-13</x:v>
      </x:c>
      <x:c r="C947" s="53" t="n">
        <x:v>74.97120696240775</x:v>
      </x:c>
      <x:c r="D947" s="29" t="str">
        <x:v>NO</x:v>
      </x:c>
      <x:c r="E947" s="53" t="n">
        <x:v>67.9059483276061</x:v>
      </x:c>
      <x:c r="F947" s="29" t="str">
        <x:v>YES</x:v>
      </x:c>
      <x:c r="G947" s="53" t="n">
        <x:v>16.229628407237033</x:v>
      </x:c>
      <x:c r="H947" s="29" t="str">
        <x:v>YES</x:v>
      </x:c>
      <x:c r="I947" s="53" t="n">
        <x:v>126.1878023108597</x:v>
      </x:c>
      <x:c r="J947" s="29" t="str">
        <x:v>NO</x:v>
      </x:c>
      <x:c r="K947" s="29" t="str">
        <x:v>Air</x:v>
      </x:c>
      <x:c r="L947" s="53" t="n">
        <x:v>16.229628407237033</x:v>
      </x:c>
      <x:c r="M947" s="41" t="n">
        <x:f>INDEX(Catchments!C:C,MATCH(A947,Catchments!A:A,0))</x:f>
        <x:v>14227128</x:v>
      </x:c>
      <x:c r="N947" s="41" t="n">
        <x:f>INDEX(Catchments!C:C,MATCH(B947,Catchments!A:A,0))</x:f>
        <x:v>6759014</x:v>
      </x:c>
    </x:row>
    <x:row r="948" ht="15" hidden="0" customHeight="1">
      <x:c r="A948" s="27" t="str">
        <x:v>SCA-31</x:v>
      </x:c>
      <x:c r="B948" s="27" t="str">
        <x:v>SCA-14</x:v>
      </x:c>
      <x:c r="C948" s="52" t="n">
        <x:v>82.30874903017342</x:v>
      </x:c>
      <x:c r="D948" s="27" t="str">
        <x:v>NO</x:v>
      </x:c>
      <x:c r="E948" s="52" t="n">
        <x:v>73.67115995227911</x:v>
      </x:c>
      <x:c r="F948" s="27" t="str">
        <x:v>NO</x:v>
      </x:c>
      <x:c r="G948" s="52" t="n">
        <x:v>16.573696628521276</x:v>
      </x:c>
      <x:c r="H948" s="27" t="str">
        <x:v>YES</x:v>
      </x:c>
      <x:c r="I948" s="52" t="n">
        <x:v>134.17510030495822</x:v>
      </x:c>
      <x:c r="J948" s="27" t="str">
        <x:v>NO</x:v>
      </x:c>
      <x:c r="K948" s="27" t="str">
        <x:v>Air</x:v>
      </x:c>
      <x:c r="L948" s="52" t="n">
        <x:v>16.573696628521276</x:v>
      </x:c>
      <x:c r="M948" s="40" t="n">
        <x:f>INDEX(Catchments!C:C,MATCH(A948,Catchments!A:A,0))</x:f>
        <x:v>14227128</x:v>
      </x:c>
      <x:c r="N948" s="40" t="n">
        <x:f>INDEX(Catchments!C:C,MATCH(B948,Catchments!A:A,0))</x:f>
        <x:v>2179728</x:v>
      </x:c>
    </x:row>
    <x:row r="949" ht="15" hidden="0" customHeight="1">
      <x:c r="A949" s="29" t="str">
        <x:v>SCA-31</x:v>
      </x:c>
      <x:c r="B949" s="29" t="str">
        <x:v>SCA-15</x:v>
      </x:c>
      <x:c r="C949" s="53" t="n">
        <x:v>67.7051647655231</x:v>
      </x:c>
      <x:c r="D949" s="29" t="str">
        <x:v>YES</x:v>
      </x:c>
      <x:c r="E949" s="53" t="n">
        <x:v>62.196915172911005</x:v>
      </x:c>
      <x:c r="F949" s="29" t="str">
        <x:v>YES</x:v>
      </x:c>
      <x:c r="G949" s="53" t="n">
        <x:v>15.750798763985037</x:v>
      </x:c>
      <x:c r="H949" s="29" t="str">
        <x:v>YES</x:v>
      </x:c>
      <x:c r="I949" s="53" t="n">
        <x:v>115.07211416393835</x:v>
      </x:c>
      <x:c r="J949" s="29" t="str">
        <x:v>NO</x:v>
      </x:c>
      <x:c r="K949" s="29" t="str">
        <x:v>Air</x:v>
      </x:c>
      <x:c r="L949" s="53" t="n">
        <x:v>15.750798763985037</x:v>
      </x:c>
      <x:c r="M949" s="41" t="n">
        <x:f>INDEX(Catchments!C:C,MATCH(A949,Catchments!A:A,0))</x:f>
        <x:v>14227128</x:v>
      </x:c>
      <x:c r="N949" s="41" t="n">
        <x:f>INDEX(Catchments!C:C,MATCH(B949,Catchments!A:A,0))</x:f>
        <x:v>13192386</x:v>
      </x:c>
    </x:row>
    <x:row r="950" ht="15" hidden="0" customHeight="1">
      <x:c r="A950" s="27" t="str">
        <x:v>SCA-31</x:v>
      </x:c>
      <x:c r="B950" s="27" t="str">
        <x:v>SCA-16</x:v>
      </x:c>
      <x:c r="C950" s="52" t="n">
        <x:v>60.91579347584416</x:v>
      </x:c>
      <x:c r="D950" s="27" t="str">
        <x:v>YES</x:v>
      </x:c>
      <x:c r="E950" s="52" t="n">
        <x:v>56.86240915959184</x:v>
      </x:c>
      <x:c r="F950" s="27" t="str">
        <x:v>YES</x:v>
      </x:c>
      <x:c r="G950" s="52" t="n">
        <x:v>15.271502915632542</x:v>
      </x:c>
      <x:c r="H950" s="27" t="str">
        <x:v>YES</x:v>
      </x:c>
      <x:c r="I950" s="52"/>
      <x:c r="J950" s="27" t="str">
        <x:v>NO</x:v>
      </x:c>
      <x:c r="K950" s="27" t="str">
        <x:v>Air</x:v>
      </x:c>
      <x:c r="L950" s="52" t="n">
        <x:v>15.271502915632542</x:v>
      </x:c>
      <x:c r="M950" s="40" t="n">
        <x:f>INDEX(Catchments!C:C,MATCH(A950,Catchments!A:A,0))</x:f>
        <x:v>14227128</x:v>
      </x:c>
      <x:c r="N950" s="40" t="n">
        <x:f>INDEX(Catchments!C:C,MATCH(B950,Catchments!A:A,0))</x:f>
        <x:v>10177969</x:v>
      </x:c>
    </x:row>
    <x:row r="951" ht="15" hidden="0" customHeight="1">
      <x:c r="A951" s="29" t="str">
        <x:v>SCA-31</x:v>
      </x:c>
      <x:c r="B951" s="29" t="str">
        <x:v>SCA-17</x:v>
      </x:c>
      <x:c r="C951" s="53" t="n">
        <x:v>67.11055894521735</x:v>
      </x:c>
      <x:c r="D951" s="29" t="str">
        <x:v>YES</x:v>
      </x:c>
      <x:c r="E951" s="53" t="n">
        <x:v>61.72972488552792</x:v>
      </x:c>
      <x:c r="F951" s="29" t="str">
        <x:v>YES</x:v>
      </x:c>
      <x:c r="G951" s="53" t="n">
        <x:v>15.778212642139094</x:v>
      </x:c>
      <x:c r="H951" s="29" t="str">
        <x:v>YES</x:v>
      </x:c>
      <x:c r="I951" s="53" t="n">
        <x:v>115.70850776394325</x:v>
      </x:c>
      <x:c r="J951" s="29" t="str">
        <x:v>NO</x:v>
      </x:c>
      <x:c r="K951" s="29" t="str">
        <x:v>Air</x:v>
      </x:c>
      <x:c r="L951" s="53" t="n">
        <x:v>15.778212642139094</x:v>
      </x:c>
      <x:c r="M951" s="41" t="n">
        <x:f>INDEX(Catchments!C:C,MATCH(A951,Catchments!A:A,0))</x:f>
        <x:v>14227128</x:v>
      </x:c>
      <x:c r="N951" s="41" t="n">
        <x:f>INDEX(Catchments!C:C,MATCH(B951,Catchments!A:A,0))</x:f>
        <x:v>12843509</x:v>
      </x:c>
    </x:row>
    <x:row r="952" ht="15" hidden="0" customHeight="1">
      <x:c r="A952" s="27" t="str">
        <x:v>SCA-31</x:v>
      </x:c>
      <x:c r="B952" s="27" t="str">
        <x:v>SCA-18</x:v>
      </x:c>
      <x:c r="C952" s="52" t="n">
        <x:v>57.47823558082387</x:v>
      </x:c>
      <x:c r="D952" s="27" t="str">
        <x:v>YES</x:v>
      </x:c>
      <x:c r="E952" s="52" t="n">
        <x:v>54.16147081350447</x:v>
      </x:c>
      <x:c r="F952" s="27" t="str">
        <x:v>YES</x:v>
      </x:c>
      <x:c r="G952" s="52" t="n">
        <x:v>14.77677303727363</x:v>
      </x:c>
      <x:c r="H952" s="27" t="str">
        <x:v>YES</x:v>
      </x:c>
      <x:c r="I952" s="52" t="n">
        <x:v>92.46080265099499</x:v>
      </x:c>
      <x:c r="J952" s="27" t="str">
        <x:v>NO</x:v>
      </x:c>
      <x:c r="K952" s="27" t="str">
        <x:v>Air</x:v>
      </x:c>
      <x:c r="L952" s="52" t="n">
        <x:v>14.77677303727363</x:v>
      </x:c>
      <x:c r="M952" s="40" t="n">
        <x:f>INDEX(Catchments!C:C,MATCH(A952,Catchments!A:A,0))</x:f>
        <x:v>14227128</x:v>
      </x:c>
      <x:c r="N952" s="40" t="n">
        <x:f>INDEX(Catchments!C:C,MATCH(B952,Catchments!A:A,0))</x:f>
        <x:v>11004680</x:v>
      </x:c>
    </x:row>
    <x:row r="953" ht="15" hidden="0" customHeight="1">
      <x:c r="A953" s="29" t="str">
        <x:v>SCA-31</x:v>
      </x:c>
      <x:c r="B953" s="29" t="str">
        <x:v>SCA-19</x:v>
      </x:c>
      <x:c r="C953" s="53" t="n">
        <x:v>51.434244858952965</x:v>
      </x:c>
      <x:c r="D953" s="29" t="str">
        <x:v>YES</x:v>
      </x:c>
      <x:c r="E953" s="53" t="n">
        <x:v>49.412620960605906</x:v>
      </x:c>
      <x:c r="F953" s="29" t="str">
        <x:v>YES</x:v>
      </x:c>
      <x:c r="G953" s="53" t="n">
        <x:v>14.590678533432259</x:v>
      </x:c>
      <x:c r="H953" s="29" t="str">
        <x:v>YES</x:v>
      </x:c>
      <x:c r="I953" s="53" t="n">
        <x:v>88.14075166896315</x:v>
      </x:c>
      <x:c r="J953" s="29" t="str">
        <x:v>NO</x:v>
      </x:c>
      <x:c r="K953" s="29" t="str">
        <x:v>Air</x:v>
      </x:c>
      <x:c r="L953" s="53" t="n">
        <x:v>14.590678533432259</x:v>
      </x:c>
      <x:c r="M953" s="41" t="n">
        <x:f>INDEX(Catchments!C:C,MATCH(A953,Catchments!A:A,0))</x:f>
        <x:v>14227128</x:v>
      </x:c>
      <x:c r="N953" s="41" t="n">
        <x:f>INDEX(Catchments!C:C,MATCH(B953,Catchments!A:A,0))</x:f>
        <x:v>6677653</x:v>
      </x:c>
    </x:row>
    <x:row r="954" ht="15" hidden="0" customHeight="1">
      <x:c r="A954" s="27" t="str">
        <x:v>SCA-31</x:v>
      </x:c>
      <x:c r="B954" s="27" t="str">
        <x:v>SCA-20</x:v>
      </x:c>
      <x:c r="C954" s="52" t="n">
        <x:v>54.559831225878554</x:v>
      </x:c>
      <x:c r="D954" s="27" t="str">
        <x:v>YES</x:v>
      </x:c>
      <x:c r="E954" s="52" t="n">
        <x:v>51.868438820333154</x:v>
      </x:c>
      <x:c r="F954" s="27" t="str">
        <x:v>YES</x:v>
      </x:c>
      <x:c r="G954" s="52" t="n">
        <x:v>14.867872958131889</x:v>
      </x:c>
      <x:c r="H954" s="27" t="str">
        <x:v>YES</x:v>
      </x:c>
      <x:c r="I954" s="52" t="n">
        <x:v>94.57562224234742</x:v>
      </x:c>
      <x:c r="J954" s="27" t="str">
        <x:v>NO</x:v>
      </x:c>
      <x:c r="K954" s="27" t="str">
        <x:v>Air</x:v>
      </x:c>
      <x:c r="L954" s="52" t="n">
        <x:v>14.867872958131889</x:v>
      </x:c>
      <x:c r="M954" s="40" t="n">
        <x:f>INDEX(Catchments!C:C,MATCH(A954,Catchments!A:A,0))</x:f>
        <x:v>14227128</x:v>
      </x:c>
      <x:c r="N954" s="40" t="n">
        <x:f>INDEX(Catchments!C:C,MATCH(B954,Catchments!A:A,0))</x:f>
        <x:v>8490774</x:v>
      </x:c>
    </x:row>
    <x:row r="955" ht="15" hidden="0" customHeight="1">
      <x:c r="A955" s="29" t="str">
        <x:v>SCA-31</x:v>
      </x:c>
      <x:c r="B955" s="29" t="str">
        <x:v>SCA-21</x:v>
      </x:c>
      <x:c r="C955" s="53" t="n">
        <x:v>45.812752924353596</x:v>
      </x:c>
      <x:c r="D955" s="29" t="str">
        <x:v>YES</x:v>
      </x:c>
      <x:c r="E955" s="53" t="n">
        <x:v>44.99573444056354</x:v>
      </x:c>
      <x:c r="F955" s="29" t="str">
        <x:v>YES</x:v>
      </x:c>
      <x:c r="G955" s="53" t="n">
        <x:v>14.068983700480814</x:v>
      </x:c>
      <x:c r="H955" s="29" t="str">
        <x:v>YES</x:v>
      </x:c>
      <x:c r="I955" s="53" t="n">
        <x:v>76.02997876116177</x:v>
      </x:c>
      <x:c r="J955" s="29" t="str">
        <x:v>NO</x:v>
      </x:c>
      <x:c r="K955" s="29" t="str">
        <x:v>Air</x:v>
      </x:c>
      <x:c r="L955" s="53" t="n">
        <x:v>14.068983700480814</x:v>
      </x:c>
      <x:c r="M955" s="41" t="n">
        <x:f>INDEX(Catchments!C:C,MATCH(A955,Catchments!A:A,0))</x:f>
        <x:v>14227128</x:v>
      </x:c>
      <x:c r="N955" s="41" t="n">
        <x:f>INDEX(Catchments!C:C,MATCH(B955,Catchments!A:A,0))</x:f>
        <x:v>19593580</x:v>
      </x:c>
    </x:row>
    <x:row r="956" ht="15" hidden="0" customHeight="1">
      <x:c r="A956" s="27" t="str">
        <x:v>SCA-31</x:v>
      </x:c>
      <x:c r="B956" s="27" t="str">
        <x:v>SCA-22</x:v>
      </x:c>
      <x:c r="C956" s="52" t="n">
        <x:v>41.29637884331062</x:v>
      </x:c>
      <x:c r="D956" s="27" t="str">
        <x:v>YES</x:v>
      </x:c>
      <x:c r="E956" s="52" t="n">
        <x:v>41.44715480545835</x:v>
      </x:c>
      <x:c r="F956" s="27" t="str">
        <x:v>YES</x:v>
      </x:c>
      <x:c r="G956" s="52" t="n">
        <x:v>13.934222260218663</x:v>
      </x:c>
      <x:c r="H956" s="27" t="str">
        <x:v>YES</x:v>
      </x:c>
      <x:c r="I956" s="52" t="n">
        <x:v>72.90158818364753</x:v>
      </x:c>
      <x:c r="J956" s="27" t="str">
        <x:v>NO</x:v>
      </x:c>
      <x:c r="K956" s="27" t="str">
        <x:v>Air</x:v>
      </x:c>
      <x:c r="L956" s="52" t="n">
        <x:v>13.934222260218663</x:v>
      </x:c>
      <x:c r="M956" s="40" t="n">
        <x:f>INDEX(Catchments!C:C,MATCH(A956,Catchments!A:A,0))</x:f>
        <x:v>14227128</x:v>
      </x:c>
      <x:c r="N956" s="40" t="n">
        <x:f>INDEX(Catchments!C:C,MATCH(B956,Catchments!A:A,0))</x:f>
        <x:v>14732006</x:v>
      </x:c>
    </x:row>
    <x:row r="957" ht="15" hidden="0" customHeight="1">
      <x:c r="A957" s="29" t="str">
        <x:v>SCA-31</x:v>
      </x:c>
      <x:c r="B957" s="29" t="str">
        <x:v>SCA-23</x:v>
      </x:c>
      <x:c r="C957" s="53" t="n">
        <x:v>46.35575302099393</x:v>
      </x:c>
      <x:c r="D957" s="29" t="str">
        <x:v>YES</x:v>
      </x:c>
      <x:c r="E957" s="53" t="n">
        <x:v>45.422377373638085</x:v>
      </x:c>
      <x:c r="F957" s="29" t="str">
        <x:v>YES</x:v>
      </x:c>
      <x:c r="G957" s="53" t="n">
        <x:v>14.306855523870581</x:v>
      </x:c>
      <x:c r="H957" s="29" t="str">
        <x:v>YES</x:v>
      </x:c>
      <x:c r="I957" s="53" t="n">
        <x:v>81.55200323270992</x:v>
      </x:c>
      <x:c r="J957" s="29" t="str">
        <x:v>NO</x:v>
      </x:c>
      <x:c r="K957" s="29" t="str">
        <x:v>Air</x:v>
      </x:c>
      <x:c r="L957" s="53" t="n">
        <x:v>14.306855523870581</x:v>
      </x:c>
      <x:c r="M957" s="41" t="n">
        <x:f>INDEX(Catchments!C:C,MATCH(A957,Catchments!A:A,0))</x:f>
        <x:v>14227128</x:v>
      </x:c>
      <x:c r="N957" s="41" t="n">
        <x:f>INDEX(Catchments!C:C,MATCH(B957,Catchments!A:A,0))</x:f>
        <x:v>20869310</x:v>
      </x:c>
    </x:row>
    <x:row r="958" ht="15" hidden="0" customHeight="1">
      <x:c r="A958" s="27" t="str">
        <x:v>SCA-31</x:v>
      </x:c>
      <x:c r="B958" s="27" t="str">
        <x:v>SCA-24</x:v>
      </x:c>
      <x:c r="C958" s="52" t="n">
        <x:v>38.59020650320746</x:v>
      </x:c>
      <x:c r="D958" s="27" t="str">
        <x:v>YES</x:v>
      </x:c>
      <x:c r="E958" s="52" t="n">
        <x:v>39.32087653823443</x:v>
      </x:c>
      <x:c r="F958" s="27" t="str">
        <x:v>YES</x:v>
      </x:c>
      <x:c r="G958" s="52" t="n">
        <x:v>13.538286183949197</x:v>
      </x:c>
      <x:c r="H958" s="27" t="str">
        <x:v>YES</x:v>
      </x:c>
      <x:c r="I958" s="52" t="n">
        <x:v>63.71021498453494</x:v>
      </x:c>
      <x:c r="J958" s="27" t="str">
        <x:v>YES</x:v>
      </x:c>
      <x:c r="K958" s="27" t="str">
        <x:v>Air</x:v>
      </x:c>
      <x:c r="L958" s="52" t="n">
        <x:v>13.538286183949197</x:v>
      </x:c>
      <x:c r="M958" s="40" t="n">
        <x:f>INDEX(Catchments!C:C,MATCH(A958,Catchments!A:A,0))</x:f>
        <x:v>14227128</x:v>
      </x:c>
      <x:c r="N958" s="40" t="n">
        <x:f>INDEX(Catchments!C:C,MATCH(B958,Catchments!A:A,0))</x:f>
        <x:v>11816161</x:v>
      </x:c>
    </x:row>
    <x:row r="959" ht="15" hidden="0" customHeight="1">
      <x:c r="A959" s="29" t="str">
        <x:v>SCA-31</x:v>
      </x:c>
      <x:c r="B959" s="29" t="str">
        <x:v>SCA-25</x:v>
      </x:c>
      <x:c r="C959" s="53" t="n">
        <x:v>48.48573930294591</x:v>
      </x:c>
      <x:c r="D959" s="29" t="str">
        <x:v>YES</x:v>
      </x:c>
      <x:c r="E959" s="53" t="n">
        <x:v>47.095938023743216</x:v>
      </x:c>
      <x:c r="F959" s="29" t="str">
        <x:v>YES</x:v>
      </x:c>
      <x:c r="G959" s="53" t="n">
        <x:v>14.520753759799469</x:v>
      </x:c>
      <x:c r="H959" s="29" t="str">
        <x:v>YES</x:v>
      </x:c>
      <x:c r="I959" s="53" t="n">
        <x:v>86.51749799534483</x:v>
      </x:c>
      <x:c r="J959" s="29" t="str">
        <x:v>NO</x:v>
      </x:c>
      <x:c r="K959" s="29" t="str">
        <x:v>Air</x:v>
      </x:c>
      <x:c r="L959" s="53" t="n">
        <x:v>14.520753759799469</x:v>
      </x:c>
      <x:c r="M959" s="41" t="n">
        <x:f>INDEX(Catchments!C:C,MATCH(A959,Catchments!A:A,0))</x:f>
        <x:v>14227128</x:v>
      </x:c>
      <x:c r="N959" s="41" t="n">
        <x:f>INDEX(Catchments!C:C,MATCH(B959,Catchments!A:A,0))</x:f>
        <x:v>6408394</x:v>
      </x:c>
    </x:row>
    <x:row r="960" ht="15" hidden="0" customHeight="1">
      <x:c r="A960" s="27" t="str">
        <x:v>SCA-31</x:v>
      </x:c>
      <x:c r="B960" s="27" t="str">
        <x:v>SCA-26</x:v>
      </x:c>
      <x:c r="C960" s="52" t="n">
        <x:v>54.45845668048813</x:v>
      </x:c>
      <x:c r="D960" s="27" t="str">
        <x:v>YES</x:v>
      </x:c>
      <x:c r="E960" s="52" t="n">
        <x:v>51.78878739181211</x:v>
      </x:c>
      <x:c r="F960" s="27" t="str">
        <x:v>YES</x:v>
      </x:c>
      <x:c r="G960" s="52" t="n">
        <x:v>14.886719462656288</x:v>
      </x:c>
      <x:c r="H960" s="27" t="str">
        <x:v>YES</x:v>
      </x:c>
      <x:c r="I960" s="52" t="n">
        <x:v>95.01313038309239</x:v>
      </x:c>
      <x:c r="J960" s="27" t="str">
        <x:v>NO</x:v>
      </x:c>
      <x:c r="K960" s="27" t="str">
        <x:v>Air</x:v>
      </x:c>
      <x:c r="L960" s="52" t="n">
        <x:v>14.886719462656288</x:v>
      </x:c>
      <x:c r="M960" s="40" t="n">
        <x:f>INDEX(Catchments!C:C,MATCH(A960,Catchments!A:A,0))</x:f>
        <x:v>14227128</x:v>
      </x:c>
      <x:c r="N960" s="40" t="n">
        <x:f>INDEX(Catchments!C:C,MATCH(B960,Catchments!A:A,0))</x:f>
        <x:v>10737083</x:v>
      </x:c>
    </x:row>
    <x:row r="961" ht="15" hidden="0" customHeight="1">
      <x:c r="A961" s="29" t="str">
        <x:v>SCA-31</x:v>
      </x:c>
      <x:c r="B961" s="29" t="str">
        <x:v>SCA-27</x:v>
      </x:c>
      <x:c r="C961" s="53" t="n">
        <x:v>59.542606937207196</x:v>
      </x:c>
      <x:c r="D961" s="29" t="str">
        <x:v>YES</x:v>
      </x:c>
      <x:c r="E961" s="53" t="n">
        <x:v>55.78347687923423</x:v>
      </x:c>
      <x:c r="F961" s="29" t="str">
        <x:v>YES</x:v>
      </x:c>
      <x:c r="G961" s="53" t="n">
        <x:v>15.087742909619434</x:v>
      </x:c>
      <x:c r="H961" s="29" t="str">
        <x:v>YES</x:v>
      </x:c>
      <x:c r="I961" s="53" t="n">
        <x:v>99.67974611616542</x:v>
      </x:c>
      <x:c r="J961" s="29" t="str">
        <x:v>NO</x:v>
      </x:c>
      <x:c r="K961" s="29" t="str">
        <x:v>Air</x:v>
      </x:c>
      <x:c r="L961" s="53" t="n">
        <x:v>15.087742909619434</x:v>
      </x:c>
      <x:c r="M961" s="41" t="n">
        <x:f>INDEX(Catchments!C:C,MATCH(A961,Catchments!A:A,0))</x:f>
        <x:v>14227128</x:v>
      </x:c>
      <x:c r="N961" s="41" t="n">
        <x:f>INDEX(Catchments!C:C,MATCH(B961,Catchments!A:A,0))</x:f>
        <x:v>7505606</x:v>
      </x:c>
    </x:row>
    <x:row r="962" ht="15" hidden="0" customHeight="1">
      <x:c r="A962" s="27" t="str">
        <x:v>SCA-31</x:v>
      </x:c>
      <x:c r="B962" s="27" t="str">
        <x:v>SCA-28</x:v>
      </x:c>
      <x:c r="C962" s="52" t="n">
        <x:v>29.575379293049927</x:v>
      </x:c>
      <x:c r="D962" s="27" t="str">
        <x:v>YES</x:v>
      </x:c>
      <x:c r="E962" s="52" t="n">
        <x:v>32.2377980159678</x:v>
      </x:c>
      <x:c r="F962" s="27" t="str">
        <x:v>YES</x:v>
      </x:c>
      <x:c r="G962" s="52" t="n">
        <x:v>13.072321981929928</x:v>
      </x:c>
      <x:c r="H962" s="27" t="str">
        <x:v>YES</x:v>
      </x:c>
      <x:c r="I962" s="52" t="n">
        <x:v>52.89318886623049</x:v>
      </x:c>
      <x:c r="J962" s="27" t="str">
        <x:v>YES</x:v>
      </x:c>
      <x:c r="K962" s="27" t="str">
        <x:v>Air</x:v>
      </x:c>
      <x:c r="L962" s="52" t="n">
        <x:v>13.072321981929928</x:v>
      </x:c>
      <x:c r="M962" s="40" t="n">
        <x:f>INDEX(Catchments!C:C,MATCH(A962,Catchments!A:A,0))</x:f>
        <x:v>14227128</x:v>
      </x:c>
      <x:c r="N962" s="40" t="n">
        <x:f>INDEX(Catchments!C:C,MATCH(B962,Catchments!A:A,0))</x:f>
        <x:v>21305157</x:v>
      </x:c>
    </x:row>
    <x:row r="963" ht="15" hidden="0" customHeight="1">
      <x:c r="A963" s="29" t="str">
        <x:v>SCA-31</x:v>
      </x:c>
      <x:c r="B963" s="29" t="str">
        <x:v>SCA-29</x:v>
      </x:c>
      <x:c r="C963" s="53" t="n">
        <x:v>34.80202667512032</x:v>
      </x:c>
      <x:c r="D963" s="29" t="str">
        <x:v>YES</x:v>
      </x:c>
      <x:c r="E963" s="53" t="n">
        <x:v>36.344449530451676</x:v>
      </x:c>
      <x:c r="F963" s="29" t="str">
        <x:v>YES</x:v>
      </x:c>
      <x:c r="G963" s="53" t="n">
        <x:v>13.526618071023782</x:v>
      </x:c>
      <x:c r="H963" s="29" t="str">
        <x:v>YES</x:v>
      </x:c>
      <x:c r="I963" s="53" t="n">
        <x:v>63.43934807733778</x:v>
      </x:c>
      <x:c r="J963" s="29" t="str">
        <x:v>YES</x:v>
      </x:c>
      <x:c r="K963" s="29" t="str">
        <x:v>Air</x:v>
      </x:c>
      <x:c r="L963" s="53" t="n">
        <x:v>13.526618071023782</x:v>
      </x:c>
      <x:c r="M963" s="41" t="n">
        <x:f>INDEX(Catchments!C:C,MATCH(A963,Catchments!A:A,0))</x:f>
        <x:v>14227128</x:v>
      </x:c>
      <x:c r="N963" s="41" t="n">
        <x:f>INDEX(Catchments!C:C,MATCH(B963,Catchments!A:A,0))</x:f>
        <x:v>19271685</x:v>
      </x:c>
    </x:row>
    <x:row r="964" ht="15" hidden="0" customHeight="1">
      <x:c r="A964" s="27" t="str">
        <x:v>SCA-31</x:v>
      </x:c>
      <x:c r="B964" s="27" t="str">
        <x:v>SCA-30</x:v>
      </x:c>
      <x:c r="C964" s="52" t="n">
        <x:v>21.14694809430011</x:v>
      </x:c>
      <x:c r="D964" s="27" t="str">
        <x:v>YES</x:v>
      </x:c>
      <x:c r="E964" s="52" t="n">
        <x:v>25.615459216950086</x:v>
      </x:c>
      <x:c r="F964" s="27" t="str">
        <x:v>YES</x:v>
      </x:c>
      <x:c r="G964" s="52" t="n">
        <x:v>12.5258624015873</x:v>
      </x:c>
      <x:c r="H964" s="27" t="str">
        <x:v>YES</x:v>
      </x:c>
      <x:c r="I964" s="52" t="n">
        <x:v>40.20752003684802</x:v>
      </x:c>
      <x:c r="J964" s="27" t="str">
        <x:v>YES</x:v>
      </x:c>
      <x:c r="K964" s="27" t="str">
        <x:v>Air</x:v>
      </x:c>
      <x:c r="L964" s="52" t="n">
        <x:v>12.5258624015873</x:v>
      </x:c>
      <x:c r="M964" s="40" t="n">
        <x:f>INDEX(Catchments!C:C,MATCH(A964,Catchments!A:A,0))</x:f>
        <x:v>14227128</x:v>
      </x:c>
      <x:c r="N964" s="40" t="n">
        <x:f>INDEX(Catchments!C:C,MATCH(B964,Catchments!A:A,0))</x:f>
        <x:v>41291847</x:v>
      </x:c>
    </x:row>
    <x:row r="965" ht="15" hidden="0" customHeight="1">
      <x:c r="A965" s="29" t="str">
        <x:v>SCA-31</x:v>
      </x:c>
      <x:c r="B965" s="29" t="str">
        <x:v>SCA-32</x:v>
      </x:c>
      <x:c r="C965" s="53"/>
      <x:c r="D965" s="29" t="str">
        <x:v>NO</x:v>
      </x:c>
      <x:c r="E965" s="53"/>
      <x:c r="F965" s="29" t="str">
        <x:v>NO</x:v>
      </x:c>
      <x:c r="G965" s="53" t="n">
        <x:v>16.24109380891422</x:v>
      </x:c>
      <x:c r="H965" s="29" t="str">
        <x:v>YES</x:v>
      </x:c>
      <x:c r="I965" s="53" t="n">
        <x:v>126.45396342122291</x:v>
      </x:c>
      <x:c r="J965" s="29" t="str">
        <x:v>NO</x:v>
      </x:c>
      <x:c r="K965" s="29" t="str">
        <x:v>Air</x:v>
      </x:c>
      <x:c r="L965" s="53" t="n">
        <x:v>16.24109380891422</x:v>
      </x:c>
      <x:c r="M965" s="41" t="n">
        <x:f>INDEX(Catchments!C:C,MATCH(A965,Catchments!A:A,0))</x:f>
        <x:v>14227128</x:v>
      </x:c>
      <x:c r="N965" s="41" t="n">
        <x:f>INDEX(Catchments!C:C,MATCH(B965,Catchments!A:A,0))</x:f>
        <x:v>3184835</x:v>
      </x:c>
    </x:row>
    <x:row r="966" ht="15" hidden="0" customHeight="1">
      <x:c r="A966" s="27" t="str">
        <x:v>SCA-32</x:v>
      </x:c>
      <x:c r="B966" s="27" t="str">
        <x:v>SCA-01</x:v>
      </x:c>
      <x:c r="C966" s="52"/>
      <x:c r="D966" s="27" t="str">
        <x:v>NO</x:v>
      </x:c>
      <x:c r="E966" s="52"/>
      <x:c r="F966" s="27" t="str">
        <x:v>NO</x:v>
      </x:c>
      <x:c r="G966" s="52" t="n">
        <x:v>26.48862512440352</x:v>
      </x:c>
      <x:c r="H966" s="27" t="str">
        <x:v>YES</x:v>
      </x:c>
      <x:c r="I966" s="52" t="n">
        <x:v>364.34308324508163</x:v>
      </x:c>
      <x:c r="J966" s="27" t="str">
        <x:v>NO</x:v>
      </x:c>
      <x:c r="K966" s="27" t="str">
        <x:v>Air</x:v>
      </x:c>
      <x:c r="L966" s="52" t="n">
        <x:v>26.48862512440352</x:v>
      </x:c>
      <x:c r="M966" s="40" t="n">
        <x:f>INDEX(Catchments!C:C,MATCH(A966,Catchments!A:A,0))</x:f>
        <x:v>3184835</x:v>
      </x:c>
      <x:c r="N966" s="40" t="n">
        <x:f>INDEX(Catchments!C:C,MATCH(B966,Catchments!A:A,0))</x:f>
        <x:v>1432820</x:v>
      </x:c>
    </x:row>
    <x:row r="967" ht="15" hidden="0" customHeight="1">
      <x:c r="A967" s="29" t="str">
        <x:v>SCA-32</x:v>
      </x:c>
      <x:c r="B967" s="29" t="str">
        <x:v>SCA-02</x:v>
      </x:c>
      <x:c r="C967" s="53"/>
      <x:c r="D967" s="29" t="str">
        <x:v>NO</x:v>
      </x:c>
      <x:c r="E967" s="53"/>
      <x:c r="F967" s="29" t="str">
        <x:v>NO</x:v>
      </x:c>
      <x:c r="G967" s="53" t="n">
        <x:v>23.840611119586914</x:v>
      </x:c>
      <x:c r="H967" s="29" t="str">
        <x:v>YES</x:v>
      </x:c>
      <x:c r="I967" s="53" t="n">
        <x:v>302.87132956183905</x:v>
      </x:c>
      <x:c r="J967" s="29" t="str">
        <x:v>NO</x:v>
      </x:c>
      <x:c r="K967" s="29" t="str">
        <x:v>Air</x:v>
      </x:c>
      <x:c r="L967" s="53" t="n">
        <x:v>23.840611119586914</x:v>
      </x:c>
      <x:c r="M967" s="41" t="n">
        <x:f>INDEX(Catchments!C:C,MATCH(A967,Catchments!A:A,0))</x:f>
        <x:v>3184835</x:v>
      </x:c>
      <x:c r="N967" s="41" t="n">
        <x:f>INDEX(Catchments!C:C,MATCH(B967,Catchments!A:A,0))</x:f>
        <x:v>737270</x:v>
      </x:c>
    </x:row>
    <x:row r="968" ht="15" hidden="0" customHeight="1">
      <x:c r="A968" s="27" t="str">
        <x:v>SCA-32</x:v>
      </x:c>
      <x:c r="B968" s="27" t="str">
        <x:v>SCA-03</x:v>
      </x:c>
      <x:c r="C968" s="52"/>
      <x:c r="D968" s="27" t="str">
        <x:v>NO</x:v>
      </x:c>
      <x:c r="E968" s="52"/>
      <x:c r="F968" s="27" t="str">
        <x:v>NO</x:v>
      </x:c>
      <x:c r="G968" s="52" t="n">
        <x:v>21.099418062121927</x:v>
      </x:c>
      <x:c r="H968" s="27" t="str">
        <x:v>YES</x:v>
      </x:c>
      <x:c r="I968" s="52" t="n">
        <x:v>239.23649072783047</x:v>
      </x:c>
      <x:c r="J968" s="27" t="str">
        <x:v>NO</x:v>
      </x:c>
      <x:c r="K968" s="27" t="str">
        <x:v>Air</x:v>
      </x:c>
      <x:c r="L968" s="52" t="n">
        <x:v>21.099418062121927</x:v>
      </x:c>
      <x:c r="M968" s="40" t="n">
        <x:f>INDEX(Catchments!C:C,MATCH(A968,Catchments!A:A,0))</x:f>
        <x:v>3184835</x:v>
      </x:c>
      <x:c r="N968" s="40" t="n">
        <x:f>INDEX(Catchments!C:C,MATCH(B968,Catchments!A:A,0))</x:f>
        <x:v>11968308</x:v>
      </x:c>
    </x:row>
    <x:row r="969" ht="15" hidden="0" customHeight="1">
      <x:c r="A969" s="29" t="str">
        <x:v>SCA-32</x:v>
      </x:c>
      <x:c r="B969" s="29" t="str">
        <x:v>SCA-04</x:v>
      </x:c>
      <x:c r="C969" s="53"/>
      <x:c r="D969" s="29" t="str">
        <x:v>NO</x:v>
      </x:c>
      <x:c r="E969" s="53"/>
      <x:c r="F969" s="29" t="str">
        <x:v>NO</x:v>
      </x:c>
      <x:c r="G969" s="53" t="n">
        <x:v>20.840329903939008</x:v>
      </x:c>
      <x:c r="H969" s="29" t="str">
        <x:v>YES</x:v>
      </x:c>
      <x:c r="I969" s="53" t="n">
        <x:v>233.22194419858417</x:v>
      </x:c>
      <x:c r="J969" s="29" t="str">
        <x:v>NO</x:v>
      </x:c>
      <x:c r="K969" s="29" t="str">
        <x:v>Air</x:v>
      </x:c>
      <x:c r="L969" s="53" t="n">
        <x:v>20.840329903939008</x:v>
      </x:c>
      <x:c r="M969" s="41" t="n">
        <x:f>INDEX(Catchments!C:C,MATCH(A969,Catchments!A:A,0))</x:f>
        <x:v>3184835</x:v>
      </x:c>
      <x:c r="N969" s="41" t="n">
        <x:f>INDEX(Catchments!C:C,MATCH(B969,Catchments!A:A,0))</x:f>
        <x:v>16200470</x:v>
      </x:c>
    </x:row>
    <x:row r="970" ht="15" hidden="0" customHeight="1">
      <x:c r="A970" s="27" t="str">
        <x:v>SCA-32</x:v>
      </x:c>
      <x:c r="B970" s="27" t="str">
        <x:v>SCA-05</x:v>
      </x:c>
      <x:c r="C970" s="52"/>
      <x:c r="D970" s="27" t="str">
        <x:v>NO</x:v>
      </x:c>
      <x:c r="E970" s="52"/>
      <x:c r="F970" s="27" t="str">
        <x:v>NO</x:v>
      </x:c>
      <x:c r="G970" s="52" t="n">
        <x:v>20.33388374436125</x:v>
      </x:c>
      <x:c r="H970" s="27" t="str">
        <x:v>YES</x:v>
      </x:c>
      <x:c r="I970" s="52" t="n">
        <x:v>221.46515835124328</x:v>
      </x:c>
      <x:c r="J970" s="27" t="str">
        <x:v>NO</x:v>
      </x:c>
      <x:c r="K970" s="27" t="str">
        <x:v>Air</x:v>
      </x:c>
      <x:c r="L970" s="52" t="n">
        <x:v>20.33388374436125</x:v>
      </x:c>
      <x:c r="M970" s="40" t="n">
        <x:f>INDEX(Catchments!C:C,MATCH(A970,Catchments!A:A,0))</x:f>
        <x:v>3184835</x:v>
      </x:c>
      <x:c r="N970" s="40" t="n">
        <x:f>INDEX(Catchments!C:C,MATCH(B970,Catchments!A:A,0))</x:f>
        <x:v>15966265</x:v>
      </x:c>
    </x:row>
    <x:row r="971" ht="15" hidden="0" customHeight="1">
      <x:c r="A971" s="29" t="str">
        <x:v>SCA-32</x:v>
      </x:c>
      <x:c r="B971" s="29" t="str">
        <x:v>SCA-06</x:v>
      </x:c>
      <x:c r="C971" s="53"/>
      <x:c r="D971" s="29" t="str">
        <x:v>NO</x:v>
      </x:c>
      <x:c r="E971" s="53"/>
      <x:c r="F971" s="29" t="str">
        <x:v>NO</x:v>
      </x:c>
      <x:c r="G971" s="53" t="n">
        <x:v>20.04190236602569</x:v>
      </x:c>
      <x:c r="H971" s="29" t="str">
        <x:v>YES</x:v>
      </x:c>
      <x:c r="I971" s="53" t="n">
        <x:v>214.68701921131063</x:v>
      </x:c>
      <x:c r="J971" s="29" t="str">
        <x:v>NO</x:v>
      </x:c>
      <x:c r="K971" s="29" t="str">
        <x:v>Air</x:v>
      </x:c>
      <x:c r="L971" s="53" t="n">
        <x:v>20.04190236602569</x:v>
      </x:c>
      <x:c r="M971" s="41" t="n">
        <x:f>INDEX(Catchments!C:C,MATCH(A971,Catchments!A:A,0))</x:f>
        <x:v>3184835</x:v>
      </x:c>
      <x:c r="N971" s="41" t="n">
        <x:f>INDEX(Catchments!C:C,MATCH(B971,Catchments!A:A,0))</x:f>
        <x:v>6008575</x:v>
      </x:c>
    </x:row>
    <x:row r="972" ht="15" hidden="0" customHeight="1">
      <x:c r="A972" s="27" t="str">
        <x:v>SCA-32</x:v>
      </x:c>
      <x:c r="B972" s="27" t="str">
        <x:v>SCA-07</x:v>
      </x:c>
      <x:c r="C972" s="52"/>
      <x:c r="D972" s="27" t="str">
        <x:v>NO</x:v>
      </x:c>
      <x:c r="E972" s="52"/>
      <x:c r="F972" s="27" t="str">
        <x:v>NO</x:v>
      </x:c>
      <x:c r="G972" s="52" t="n">
        <x:v>19.950735669974286</x:v>
      </x:c>
      <x:c r="H972" s="27" t="str">
        <x:v>YES</x:v>
      </x:c>
      <x:c r="I972" s="52" t="n">
        <x:v>212.57064948154596</x:v>
      </x:c>
      <x:c r="J972" s="27" t="str">
        <x:v>NO</x:v>
      </x:c>
      <x:c r="K972" s="27" t="str">
        <x:v>Air</x:v>
      </x:c>
      <x:c r="L972" s="52" t="n">
        <x:v>19.950735669974286</x:v>
      </x:c>
      <x:c r="M972" s="40" t="n">
        <x:f>INDEX(Catchments!C:C,MATCH(A972,Catchments!A:A,0))</x:f>
        <x:v>3184835</x:v>
      </x:c>
      <x:c r="N972" s="40" t="n">
        <x:f>INDEX(Catchments!C:C,MATCH(B972,Catchments!A:A,0))</x:f>
        <x:v>5229370</x:v>
      </x:c>
    </x:row>
    <x:row r="973" ht="15" hidden="0" customHeight="1">
      <x:c r="A973" s="29" t="str">
        <x:v>SCA-32</x:v>
      </x:c>
      <x:c r="B973" s="29" t="str">
        <x:v>SCA-08</x:v>
      </x:c>
      <x:c r="C973" s="53"/>
      <x:c r="D973" s="29" t="str">
        <x:v>NO</x:v>
      </x:c>
      <x:c r="E973" s="53"/>
      <x:c r="F973" s="29" t="str">
        <x:v>NO</x:v>
      </x:c>
      <x:c r="G973" s="53" t="n">
        <x:v>20.243509997479542</x:v>
      </x:c>
      <x:c r="H973" s="29" t="str">
        <x:v>YES</x:v>
      </x:c>
      <x:c r="I973" s="53" t="n">
        <x:v>219.3671963700608</x:v>
      </x:c>
      <x:c r="J973" s="29" t="str">
        <x:v>NO</x:v>
      </x:c>
      <x:c r="K973" s="29" t="str">
        <x:v>Air</x:v>
      </x:c>
      <x:c r="L973" s="53" t="n">
        <x:v>20.243509997479542</x:v>
      </x:c>
      <x:c r="M973" s="41" t="n">
        <x:f>INDEX(Catchments!C:C,MATCH(A973,Catchments!A:A,0))</x:f>
        <x:v>3184835</x:v>
      </x:c>
      <x:c r="N973" s="41" t="n">
        <x:f>INDEX(Catchments!C:C,MATCH(B973,Catchments!A:A,0))</x:f>
        <x:v>2652387</x:v>
      </x:c>
    </x:row>
    <x:row r="974" ht="15" hidden="0" customHeight="1">
      <x:c r="A974" s="27" t="str">
        <x:v>SCA-32</x:v>
      </x:c>
      <x:c r="B974" s="27" t="str">
        <x:v>SCA-09</x:v>
      </x:c>
      <x:c r="C974" s="52"/>
      <x:c r="D974" s="27" t="str">
        <x:v>NO</x:v>
      </x:c>
      <x:c r="E974" s="52"/>
      <x:c r="F974" s="27" t="str">
        <x:v>NO</x:v>
      </x:c>
      <x:c r="G974" s="52" t="n">
        <x:v>19.44296578076521</x:v>
      </x:c>
      <x:c r="H974" s="27" t="str">
        <x:v>YES</x:v>
      </x:c>
      <x:c r="I974" s="52"/>
      <x:c r="J974" s="27" t="str">
        <x:v>NO</x:v>
      </x:c>
      <x:c r="K974" s="27" t="str">
        <x:v>Air</x:v>
      </x:c>
      <x:c r="L974" s="52" t="n">
        <x:v>19.44296578076521</x:v>
      </x:c>
      <x:c r="M974" s="40" t="n">
        <x:f>INDEX(Catchments!C:C,MATCH(A974,Catchments!A:A,0))</x:f>
        <x:v>3184835</x:v>
      </x:c>
      <x:c r="N974" s="40" t="n">
        <x:f>INDEX(Catchments!C:C,MATCH(B974,Catchments!A:A,0))</x:f>
        <x:v>7395716</x:v>
      </x:c>
    </x:row>
    <x:row r="975" ht="15" hidden="0" customHeight="1">
      <x:c r="A975" s="29" t="str">
        <x:v>SCA-32</x:v>
      </x:c>
      <x:c r="B975" s="29" t="str">
        <x:v>SCA-10</x:v>
      </x:c>
      <x:c r="C975" s="53"/>
      <x:c r="D975" s="29" t="str">
        <x:v>NO</x:v>
      </x:c>
      <x:c r="E975" s="53"/>
      <x:c r="F975" s="29" t="str">
        <x:v>NO</x:v>
      </x:c>
      <x:c r="G975" s="53" t="n">
        <x:v>19.639611456493412</x:v>
      </x:c>
      <x:c r="H975" s="29" t="str">
        <x:v>YES</x:v>
      </x:c>
      <x:c r="I975" s="53"/>
      <x:c r="J975" s="29" t="str">
        <x:v>NO</x:v>
      </x:c>
      <x:c r="K975" s="29" t="str">
        <x:v>Air</x:v>
      </x:c>
      <x:c r="L975" s="53" t="n">
        <x:v>19.639611456493412</x:v>
      </x:c>
      <x:c r="M975" s="41" t="n">
        <x:f>INDEX(Catchments!C:C,MATCH(A975,Catchments!A:A,0))</x:f>
        <x:v>3184835</x:v>
      </x:c>
      <x:c r="N975" s="41" t="n">
        <x:f>INDEX(Catchments!C:C,MATCH(B975,Catchments!A:A,0))</x:f>
        <x:v>4127033</x:v>
      </x:c>
    </x:row>
    <x:row r="976" ht="15" hidden="0" customHeight="1">
      <x:c r="A976" s="27" t="str">
        <x:v>SCA-32</x:v>
      </x:c>
      <x:c r="B976" s="27" t="str">
        <x:v>SCA-11</x:v>
      </x:c>
      <x:c r="C976" s="52"/>
      <x:c r="D976" s="27" t="str">
        <x:v>NO</x:v>
      </x:c>
      <x:c r="E976" s="52"/>
      <x:c r="F976" s="27" t="str">
        <x:v>NO</x:v>
      </x:c>
      <x:c r="G976" s="52" t="n">
        <x:v>18.454458416509457</x:v>
      </x:c>
      <x:c r="H976" s="27" t="str">
        <x:v>YES</x:v>
      </x:c>
      <x:c r="I976" s="52" t="n">
        <x:v>177.8356418118267</x:v>
      </x:c>
      <x:c r="J976" s="27" t="str">
        <x:v>NO</x:v>
      </x:c>
      <x:c r="K976" s="27" t="str">
        <x:v>Air</x:v>
      </x:c>
      <x:c r="L976" s="52" t="n">
        <x:v>18.454458416509457</x:v>
      </x:c>
      <x:c r="M976" s="40" t="n">
        <x:f>INDEX(Catchments!C:C,MATCH(A976,Catchments!A:A,0))</x:f>
        <x:v>3184835</x:v>
      </x:c>
      <x:c r="N976" s="40" t="n">
        <x:f>INDEX(Catchments!C:C,MATCH(B976,Catchments!A:A,0))</x:f>
        <x:v>3517787</x:v>
      </x:c>
    </x:row>
    <x:row r="977" ht="15" hidden="0" customHeight="1">
      <x:c r="A977" s="29" t="str">
        <x:v>SCA-32</x:v>
      </x:c>
      <x:c r="B977" s="29" t="str">
        <x:v>SCA-12</x:v>
      </x:c>
      <x:c r="C977" s="53"/>
      <x:c r="D977" s="29" t="str">
        <x:v>NO</x:v>
      </x:c>
      <x:c r="E977" s="53"/>
      <x:c r="F977" s="29" t="str">
        <x:v>NO</x:v>
      </x:c>
      <x:c r="G977" s="53" t="n">
        <x:v>18.73499638289445</x:v>
      </x:c>
      <x:c r="H977" s="29" t="str">
        <x:v>YES</x:v>
      </x:c>
      <x:c r="I977" s="53"/>
      <x:c r="J977" s="29" t="str">
        <x:v>NO</x:v>
      </x:c>
      <x:c r="K977" s="29" t="str">
        <x:v>Air</x:v>
      </x:c>
      <x:c r="L977" s="53" t="n">
        <x:v>18.73499638289445</x:v>
      </x:c>
      <x:c r="M977" s="41" t="n">
        <x:f>INDEX(Catchments!C:C,MATCH(A977,Catchments!A:A,0))</x:f>
        <x:v>3184835</x:v>
      </x:c>
      <x:c r="N977" s="41" t="n">
        <x:f>INDEX(Catchments!C:C,MATCH(B977,Catchments!A:A,0))</x:f>
        <x:v>7465186</x:v>
      </x:c>
    </x:row>
    <x:row r="978" ht="15" hidden="0" customHeight="1">
      <x:c r="A978" s="27" t="str">
        <x:v>SCA-32</x:v>
      </x:c>
      <x:c r="B978" s="27" t="str">
        <x:v>SCA-13</x:v>
      </x:c>
      <x:c r="C978" s="52"/>
      <x:c r="D978" s="27" t="str">
        <x:v>NO</x:v>
      </x:c>
      <x:c r="E978" s="52"/>
      <x:c r="F978" s="27" t="str">
        <x:v>NO</x:v>
      </x:c>
      <x:c r="G978" s="52" t="n">
        <x:v>17.329114134934347</x:v>
      </x:c>
      <x:c r="H978" s="27" t="str">
        <x:v>YES</x:v>
      </x:c>
      <x:c r="I978" s="52" t="n">
        <x:v>151.7115781324045</x:v>
      </x:c>
      <x:c r="J978" s="27" t="str">
        <x:v>NO</x:v>
      </x:c>
      <x:c r="K978" s="27" t="str">
        <x:v>Air</x:v>
      </x:c>
      <x:c r="L978" s="52" t="n">
        <x:v>17.329114134934347</x:v>
      </x:c>
      <x:c r="M978" s="40" t="n">
        <x:f>INDEX(Catchments!C:C,MATCH(A978,Catchments!A:A,0))</x:f>
        <x:v>3184835</x:v>
      </x:c>
      <x:c r="N978" s="40" t="n">
        <x:f>INDEX(Catchments!C:C,MATCH(B978,Catchments!A:A,0))</x:f>
        <x:v>6759014</x:v>
      </x:c>
    </x:row>
    <x:row r="979" ht="15" hidden="0" customHeight="1">
      <x:c r="A979" s="29" t="str">
        <x:v>SCA-32</x:v>
      </x:c>
      <x:c r="B979" s="29" t="str">
        <x:v>SCA-14</x:v>
      </x:c>
      <x:c r="C979" s="53"/>
      <x:c r="D979" s="29" t="str">
        <x:v>NO</x:v>
      </x:c>
      <x:c r="E979" s="53"/>
      <x:c r="F979" s="29" t="str">
        <x:v>NO</x:v>
      </x:c>
      <x:c r="G979" s="53" t="n">
        <x:v>17.204589105643127</x:v>
      </x:c>
      <x:c r="H979" s="29" t="str">
        <x:v>YES</x:v>
      </x:c>
      <x:c r="I979" s="53" t="n">
        <x:v>148.8208185238583</x:v>
      </x:c>
      <x:c r="J979" s="29" t="str">
        <x:v>NO</x:v>
      </x:c>
      <x:c r="K979" s="29" t="str">
        <x:v>Air</x:v>
      </x:c>
      <x:c r="L979" s="53" t="n">
        <x:v>17.204589105643127</x:v>
      </x:c>
      <x:c r="M979" s="41" t="n">
        <x:f>INDEX(Catchments!C:C,MATCH(A979,Catchments!A:A,0))</x:f>
        <x:v>3184835</x:v>
      </x:c>
      <x:c r="N979" s="41" t="n">
        <x:f>INDEX(Catchments!C:C,MATCH(B979,Catchments!A:A,0))</x:f>
        <x:v>2179728</x:v>
      </x:c>
    </x:row>
    <x:row r="980" ht="15" hidden="0" customHeight="1">
      <x:c r="A980" s="27" t="str">
        <x:v>SCA-32</x:v>
      </x:c>
      <x:c r="B980" s="27" t="str">
        <x:v>SCA-15</x:v>
      </x:c>
      <x:c r="C980" s="52"/>
      <x:c r="D980" s="27" t="str">
        <x:v>NO</x:v>
      </x:c>
      <x:c r="E980" s="52"/>
      <x:c r="F980" s="27" t="str">
        <x:v>NO</x:v>
      </x:c>
      <x:c r="G980" s="52" t="n">
        <x:v>17.28799483674941</x:v>
      </x:c>
      <x:c r="H980" s="27" t="str">
        <x:v>YES</x:v>
      </x:c>
      <x:c r="I980" s="52" t="n">
        <x:v>150.75702299596838</x:v>
      </x:c>
      <x:c r="J980" s="27" t="str">
        <x:v>NO</x:v>
      </x:c>
      <x:c r="K980" s="27" t="str">
        <x:v>Air</x:v>
      </x:c>
      <x:c r="L980" s="52" t="n">
        <x:v>17.28799483674941</x:v>
      </x:c>
      <x:c r="M980" s="40" t="n">
        <x:f>INDEX(Catchments!C:C,MATCH(A980,Catchments!A:A,0))</x:f>
        <x:v>3184835</x:v>
      </x:c>
      <x:c r="N980" s="40" t="n">
        <x:f>INDEX(Catchments!C:C,MATCH(B980,Catchments!A:A,0))</x:f>
        <x:v>13192386</x:v>
      </x:c>
    </x:row>
    <x:row r="981" ht="15" hidden="0" customHeight="1">
      <x:c r="A981" s="29" t="str">
        <x:v>SCA-32</x:v>
      </x:c>
      <x:c r="B981" s="29" t="str">
        <x:v>SCA-16</x:v>
      </x:c>
      <x:c r="C981" s="53"/>
      <x:c r="D981" s="29" t="str">
        <x:v>NO</x:v>
      </x:c>
      <x:c r="E981" s="53"/>
      <x:c r="F981" s="29" t="str">
        <x:v>NO</x:v>
      </x:c>
      <x:c r="G981" s="53" t="n">
        <x:v>17.575510977685674</x:v>
      </x:c>
      <x:c r="H981" s="29" t="str">
        <x:v>YES</x:v>
      </x:c>
      <x:c r="I981" s="53"/>
      <x:c r="J981" s="29" t="str">
        <x:v>NO</x:v>
      </x:c>
      <x:c r="K981" s="29" t="str">
        <x:v>Air</x:v>
      </x:c>
      <x:c r="L981" s="53" t="n">
        <x:v>17.575510977685674</x:v>
      </x:c>
      <x:c r="M981" s="41" t="n">
        <x:f>INDEX(Catchments!C:C,MATCH(A981,Catchments!A:A,0))</x:f>
        <x:v>3184835</x:v>
      </x:c>
      <x:c r="N981" s="41" t="n">
        <x:f>INDEX(Catchments!C:C,MATCH(B981,Catchments!A:A,0))</x:f>
        <x:v>10177969</x:v>
      </x:c>
    </x:row>
    <x:row r="982" ht="15" hidden="0" customHeight="1">
      <x:c r="A982" s="27" t="str">
        <x:v>SCA-32</x:v>
      </x:c>
      <x:c r="B982" s="27" t="str">
        <x:v>SCA-17</x:v>
      </x:c>
      <x:c r="C982" s="52"/>
      <x:c r="D982" s="27" t="str">
        <x:v>NO</x:v>
      </x:c>
      <x:c r="E982" s="52"/>
      <x:c r="F982" s="27" t="str">
        <x:v>NO</x:v>
      </x:c>
      <x:c r="G982" s="52" t="n">
        <x:v>16.7773753163178</x:v>
      </x:c>
      <x:c r="H982" s="27" t="str">
        <x:v>YES</x:v>
      </x:c>
      <x:c r="I982" s="52" t="n">
        <x:v>138.90335555737752</x:v>
      </x:c>
      <x:c r="J982" s="27" t="str">
        <x:v>NO</x:v>
      </x:c>
      <x:c r="K982" s="27" t="str">
        <x:v>Air</x:v>
      </x:c>
      <x:c r="L982" s="52" t="n">
        <x:v>16.7773753163178</x:v>
      </x:c>
      <x:c r="M982" s="40" t="n">
        <x:f>INDEX(Catchments!C:C,MATCH(A982,Catchments!A:A,0))</x:f>
        <x:v>3184835</x:v>
      </x:c>
      <x:c r="N982" s="40" t="n">
        <x:f>INDEX(Catchments!C:C,MATCH(B982,Catchments!A:A,0))</x:f>
        <x:v>12843509</x:v>
      </x:c>
    </x:row>
    <x:row r="983" ht="15" hidden="0" customHeight="1">
      <x:c r="A983" s="29" t="str">
        <x:v>SCA-32</x:v>
      </x:c>
      <x:c r="B983" s="29" t="str">
        <x:v>SCA-18</x:v>
      </x:c>
      <x:c r="C983" s="53"/>
      <x:c r="D983" s="29" t="str">
        <x:v>NO</x:v>
      </x:c>
      <x:c r="E983" s="53"/>
      <x:c r="F983" s="29" t="str">
        <x:v>NO</x:v>
      </x:c>
      <x:c r="G983" s="53" t="n">
        <x:v>17.99497087101516</x:v>
      </x:c>
      <x:c r="H983" s="29" t="str">
        <x:v>YES</x:v>
      </x:c>
      <x:c r="I983" s="53" t="n">
        <x:v>167.16896664856617</x:v>
      </x:c>
      <x:c r="J983" s="29" t="str">
        <x:v>NO</x:v>
      </x:c>
      <x:c r="K983" s="29" t="str">
        <x:v>Air</x:v>
      </x:c>
      <x:c r="L983" s="53" t="n">
        <x:v>17.99497087101516</x:v>
      </x:c>
      <x:c r="M983" s="41" t="n">
        <x:f>INDEX(Catchments!C:C,MATCH(A983,Catchments!A:A,0))</x:f>
        <x:v>3184835</x:v>
      </x:c>
      <x:c r="N983" s="41" t="n">
        <x:f>INDEX(Catchments!C:C,MATCH(B983,Catchments!A:A,0))</x:f>
        <x:v>11004680</x:v>
      </x:c>
    </x:row>
    <x:row r="984" ht="15" hidden="0" customHeight="1">
      <x:c r="A984" s="27" t="str">
        <x:v>SCA-32</x:v>
      </x:c>
      <x:c r="B984" s="27" t="str">
        <x:v>SCA-19</x:v>
      </x:c>
      <x:c r="C984" s="52"/>
      <x:c r="D984" s="27" t="str">
        <x:v>NO</x:v>
      </x:c>
      <x:c r="E984" s="52"/>
      <x:c r="F984" s="27" t="str">
        <x:v>NO</x:v>
      </x:c>
      <x:c r="G984" s="52" t="n">
        <x:v>17.05412109672084</x:v>
      </x:c>
      <x:c r="H984" s="27" t="str">
        <x:v>YES</x:v>
      </x:c>
      <x:c r="I984" s="52" t="n">
        <x:v>145.32781117387668</x:v>
      </x:c>
      <x:c r="J984" s="27" t="str">
        <x:v>NO</x:v>
      </x:c>
      <x:c r="K984" s="27" t="str">
        <x:v>Air</x:v>
      </x:c>
      <x:c r="L984" s="52" t="n">
        <x:v>17.05412109672084</x:v>
      </x:c>
      <x:c r="M984" s="40" t="n">
        <x:f>INDEX(Catchments!C:C,MATCH(A984,Catchments!A:A,0))</x:f>
        <x:v>3184835</x:v>
      </x:c>
      <x:c r="N984" s="40" t="n">
        <x:f>INDEX(Catchments!C:C,MATCH(B984,Catchments!A:A,0))</x:f>
        <x:v>6677653</x:v>
      </x:c>
    </x:row>
    <x:row r="985" ht="15" hidden="0" customHeight="1">
      <x:c r="A985" s="29" t="str">
        <x:v>SCA-32</x:v>
      </x:c>
      <x:c r="B985" s="29" t="str">
        <x:v>SCA-20</x:v>
      </x:c>
      <x:c r="C985" s="53"/>
      <x:c r="D985" s="29" t="str">
        <x:v>NO</x:v>
      </x:c>
      <x:c r="E985" s="53"/>
      <x:c r="F985" s="29" t="str">
        <x:v>NO</x:v>
      </x:c>
      <x:c r="G985" s="53" t="n">
        <x:v>16.507832341973497</x:v>
      </x:c>
      <x:c r="H985" s="29" t="str">
        <x:v>YES</x:v>
      </x:c>
      <x:c r="I985" s="53" t="n">
        <x:v>132.64610793867047</x:v>
      </x:c>
      <x:c r="J985" s="29" t="str">
        <x:v>NO</x:v>
      </x:c>
      <x:c r="K985" s="29" t="str">
        <x:v>Air</x:v>
      </x:c>
      <x:c r="L985" s="53" t="n">
        <x:v>16.507832341973497</x:v>
      </x:c>
      <x:c r="M985" s="41" t="n">
        <x:f>INDEX(Catchments!C:C,MATCH(A985,Catchments!A:A,0))</x:f>
        <x:v>3184835</x:v>
      </x:c>
      <x:c r="N985" s="41" t="n">
        <x:f>INDEX(Catchments!C:C,MATCH(B985,Catchments!A:A,0))</x:f>
        <x:v>8490774</x:v>
      </x:c>
    </x:row>
    <x:row r="986" ht="15" hidden="0" customHeight="1">
      <x:c r="A986" s="27" t="str">
        <x:v>SCA-32</x:v>
      </x:c>
      <x:c r="B986" s="27" t="str">
        <x:v>SCA-21</x:v>
      </x:c>
      <x:c r="C986" s="52"/>
      <x:c r="D986" s="27" t="str">
        <x:v>NO</x:v>
      </x:c>
      <x:c r="E986" s="52"/>
      <x:c r="F986" s="27" t="str">
        <x:v>NO</x:v>
      </x:c>
      <x:c r="G986" s="52" t="n">
        <x:v>17.15627402829114</x:v>
      </x:c>
      <x:c r="H986" s="27" t="str">
        <x:v>YES</x:v>
      </x:c>
      <x:c r="I986" s="52" t="n">
        <x:v>147.69921851390143</x:v>
      </x:c>
      <x:c r="J986" s="27" t="str">
        <x:v>NO</x:v>
      </x:c>
      <x:c r="K986" s="27" t="str">
        <x:v>Air</x:v>
      </x:c>
      <x:c r="L986" s="52" t="n">
        <x:v>17.15627402829114</x:v>
      </x:c>
      <x:c r="M986" s="40" t="n">
        <x:f>INDEX(Catchments!C:C,MATCH(A986,Catchments!A:A,0))</x:f>
        <x:v>3184835</x:v>
      </x:c>
      <x:c r="N986" s="40" t="n">
        <x:f>INDEX(Catchments!C:C,MATCH(B986,Catchments!A:A,0))</x:f>
        <x:v>19593580</x:v>
      </x:c>
    </x:row>
    <x:row r="987" ht="15" hidden="0" customHeight="1">
      <x:c r="A987" s="29" t="str">
        <x:v>SCA-32</x:v>
      </x:c>
      <x:c r="B987" s="29" t="str">
        <x:v>SCA-22</x:v>
      </x:c>
      <x:c r="C987" s="53"/>
      <x:c r="D987" s="29" t="str">
        <x:v>NO</x:v>
      </x:c>
      <x:c r="E987" s="53"/>
      <x:c r="F987" s="29" t="str">
        <x:v>NO</x:v>
      </x:c>
      <x:c r="G987" s="53" t="n">
        <x:v>16.4525188862272</x:v>
      </x:c>
      <x:c r="H987" s="29" t="str">
        <x:v>YES</x:v>
      </x:c>
      <x:c r="I987" s="53" t="n">
        <x:v>131.3620455731314</x:v>
      </x:c>
      <x:c r="J987" s="29" t="str">
        <x:v>NO</x:v>
      </x:c>
      <x:c r="K987" s="29" t="str">
        <x:v>Air</x:v>
      </x:c>
      <x:c r="L987" s="53" t="n">
        <x:v>16.4525188862272</x:v>
      </x:c>
      <x:c r="M987" s="41" t="n">
        <x:f>INDEX(Catchments!C:C,MATCH(A987,Catchments!A:A,0))</x:f>
        <x:v>3184835</x:v>
      </x:c>
      <x:c r="N987" s="41" t="n">
        <x:f>INDEX(Catchments!C:C,MATCH(B987,Catchments!A:A,0))</x:f>
        <x:v>14732006</x:v>
      </x:c>
    </x:row>
    <x:row r="988" ht="15" hidden="0" customHeight="1">
      <x:c r="A988" s="27" t="str">
        <x:v>SCA-32</x:v>
      </x:c>
      <x:c r="B988" s="27" t="str">
        <x:v>SCA-23</x:v>
      </x:c>
      <x:c r="C988" s="52"/>
      <x:c r="D988" s="27" t="str">
        <x:v>NO</x:v>
      </x:c>
      <x:c r="E988" s="52"/>
      <x:c r="F988" s="27" t="str">
        <x:v>NO</x:v>
      </x:c>
      <x:c r="G988" s="52" t="n">
        <x:v>15.846575080337058</x:v>
      </x:c>
      <x:c r="H988" s="27" t="str">
        <x:v>YES</x:v>
      </x:c>
      <x:c r="I988" s="52" t="n">
        <x:v>117.295492936396</x:v>
      </x:c>
      <x:c r="J988" s="27" t="str">
        <x:v>NO</x:v>
      </x:c>
      <x:c r="K988" s="27" t="str">
        <x:v>Air</x:v>
      </x:c>
      <x:c r="L988" s="52" t="n">
        <x:v>15.846575080337058</x:v>
      </x:c>
      <x:c r="M988" s="40" t="n">
        <x:f>INDEX(Catchments!C:C,MATCH(A988,Catchments!A:A,0))</x:f>
        <x:v>3184835</x:v>
      </x:c>
      <x:c r="N988" s="40" t="n">
        <x:f>INDEX(Catchments!C:C,MATCH(B988,Catchments!A:A,0))</x:f>
        <x:v>20869310</x:v>
      </x:c>
    </x:row>
    <x:row r="989" ht="15" hidden="0" customHeight="1">
      <x:c r="A989" s="29" t="str">
        <x:v>SCA-32</x:v>
      </x:c>
      <x:c r="B989" s="29" t="str">
        <x:v>SCA-24</x:v>
      </x:c>
      <x:c r="C989" s="53"/>
      <x:c r="D989" s="29" t="str">
        <x:v>NO</x:v>
      </x:c>
      <x:c r="E989" s="53"/>
      <x:c r="F989" s="29" t="str">
        <x:v>NO</x:v>
      </x:c>
      <x:c r="G989" s="53" t="n">
        <x:v>16.838894329381347</x:v>
      </x:c>
      <x:c r="H989" s="29" t="str">
        <x:v>YES</x:v>
      </x:c>
      <x:c r="I989" s="53" t="n">
        <x:v>140.33147550349554</x:v>
      </x:c>
      <x:c r="J989" s="29" t="str">
        <x:v>NO</x:v>
      </x:c>
      <x:c r="K989" s="29" t="str">
        <x:v>Air</x:v>
      </x:c>
      <x:c r="L989" s="53" t="n">
        <x:v>16.838894329381347</x:v>
      </x:c>
      <x:c r="M989" s="41" t="n">
        <x:f>INDEX(Catchments!C:C,MATCH(A989,Catchments!A:A,0))</x:f>
        <x:v>3184835</x:v>
      </x:c>
      <x:c r="N989" s="41" t="n">
        <x:f>INDEX(Catchments!C:C,MATCH(B989,Catchments!A:A,0))</x:f>
        <x:v>11816161</x:v>
      </x:c>
    </x:row>
    <x:row r="990" ht="15" hidden="0" customHeight="1">
      <x:c r="A990" s="27" t="str">
        <x:v>SCA-32</x:v>
      </x:c>
      <x:c r="B990" s="27" t="str">
        <x:v>SCA-25</x:v>
      </x:c>
      <x:c r="C990" s="52"/>
      <x:c r="D990" s="27" t="str">
        <x:v>NO</x:v>
      </x:c>
      <x:c r="E990" s="52"/>
      <x:c r="F990" s="27" t="str">
        <x:v>NO</x:v>
      </x:c>
      <x:c r="G990" s="52" t="n">
        <x:v>15.22094529415551</x:v>
      </x:c>
      <x:c r="H990" s="27" t="str">
        <x:v>YES</x:v>
      </x:c>
      <x:c r="I990" s="52" t="n">
        <x:v>102.77194432861006</x:v>
      </x:c>
      <x:c r="J990" s="27" t="str">
        <x:v>NO</x:v>
      </x:c>
      <x:c r="K990" s="27" t="str">
        <x:v>Air</x:v>
      </x:c>
      <x:c r="L990" s="52" t="n">
        <x:v>15.22094529415551</x:v>
      </x:c>
      <x:c r="M990" s="40" t="n">
        <x:f>INDEX(Catchments!C:C,MATCH(A990,Catchments!A:A,0))</x:f>
        <x:v>3184835</x:v>
      </x:c>
      <x:c r="N990" s="40" t="n">
        <x:f>INDEX(Catchments!C:C,MATCH(B990,Catchments!A:A,0))</x:f>
        <x:v>6408394</x:v>
      </x:c>
    </x:row>
    <x:row r="991" ht="15" hidden="0" customHeight="1">
      <x:c r="A991" s="29" t="str">
        <x:v>SCA-32</x:v>
      </x:c>
      <x:c r="B991" s="29" t="str">
        <x:v>SCA-26</x:v>
      </x:c>
      <x:c r="C991" s="53"/>
      <x:c r="D991" s="29" t="str">
        <x:v>NO</x:v>
      </x:c>
      <x:c r="E991" s="53"/>
      <x:c r="F991" s="29" t="str">
        <x:v>NO</x:v>
      </x:c>
      <x:c r="G991" s="53" t="n">
        <x:v>14.947624745017784</x:v>
      </x:c>
      <x:c r="H991" s="29" t="str">
        <x:v>YES</x:v>
      </x:c>
      <x:c r="I991" s="53" t="n">
        <x:v>96.42700300934143</x:v>
      </x:c>
      <x:c r="J991" s="29" t="str">
        <x:v>NO</x:v>
      </x:c>
      <x:c r="K991" s="29" t="str">
        <x:v>Air</x:v>
      </x:c>
      <x:c r="L991" s="53" t="n">
        <x:v>14.947624745017784</x:v>
      </x:c>
      <x:c r="M991" s="41" t="n">
        <x:f>INDEX(Catchments!C:C,MATCH(A991,Catchments!A:A,0))</x:f>
        <x:v>3184835</x:v>
      </x:c>
      <x:c r="N991" s="41" t="n">
        <x:f>INDEX(Catchments!C:C,MATCH(B991,Catchments!A:A,0))</x:f>
        <x:v>10737083</x:v>
      </x:c>
    </x:row>
    <x:row r="992" ht="15" hidden="0" customHeight="1">
      <x:c r="A992" s="27" t="str">
        <x:v>SCA-32</x:v>
      </x:c>
      <x:c r="B992" s="27" t="str">
        <x:v>SCA-27</x:v>
      </x:c>
      <x:c r="C992" s="52"/>
      <x:c r="D992" s="27" t="str">
        <x:v>NO</x:v>
      </x:c>
      <x:c r="E992" s="52"/>
      <x:c r="F992" s="27" t="str">
        <x:v>NO</x:v>
      </x:c>
      <x:c r="G992" s="52" t="n">
        <x:v>14.614522410363238</x:v>
      </x:c>
      <x:c r="H992" s="27" t="str">
        <x:v>YES</x:v>
      </x:c>
      <x:c r="I992" s="52" t="n">
        <x:v>88.69427024057515</x:v>
      </x:c>
      <x:c r="J992" s="27" t="str">
        <x:v>NO</x:v>
      </x:c>
      <x:c r="K992" s="27" t="str">
        <x:v>Air</x:v>
      </x:c>
      <x:c r="L992" s="52" t="n">
        <x:v>14.614522410363238</x:v>
      </x:c>
      <x:c r="M992" s="40" t="n">
        <x:f>INDEX(Catchments!C:C,MATCH(A992,Catchments!A:A,0))</x:f>
        <x:v>3184835</x:v>
      </x:c>
      <x:c r="N992" s="40" t="n">
        <x:f>INDEX(Catchments!C:C,MATCH(B992,Catchments!A:A,0))</x:f>
        <x:v>7505606</x:v>
      </x:c>
    </x:row>
    <x:row r="993" ht="15" hidden="0" customHeight="1">
      <x:c r="A993" s="29" t="str">
        <x:v>SCA-32</x:v>
      </x:c>
      <x:c r="B993" s="29" t="str">
        <x:v>SCA-28</x:v>
      </x:c>
      <x:c r="C993" s="53"/>
      <x:c r="D993" s="29" t="str">
        <x:v>NO</x:v>
      </x:c>
      <x:c r="E993" s="53"/>
      <x:c r="F993" s="29" t="str">
        <x:v>NO</x:v>
      </x:c>
      <x:c r="G993" s="53" t="n">
        <x:v>16.23701288623997</x:v>
      </x:c>
      <x:c r="H993" s="29" t="str">
        <x:v>YES</x:v>
      </x:c>
      <x:c r="I993" s="53" t="n">
        <x:v>126.35922771628505</x:v>
      </x:c>
      <x:c r="J993" s="29" t="str">
        <x:v>NO</x:v>
      </x:c>
      <x:c r="K993" s="29" t="str">
        <x:v>Air</x:v>
      </x:c>
      <x:c r="L993" s="53" t="n">
        <x:v>16.23701288623997</x:v>
      </x:c>
      <x:c r="M993" s="41" t="n">
        <x:f>INDEX(Catchments!C:C,MATCH(A993,Catchments!A:A,0))</x:f>
        <x:v>3184835</x:v>
      </x:c>
      <x:c r="N993" s="41" t="n">
        <x:f>INDEX(Catchments!C:C,MATCH(B993,Catchments!A:A,0))</x:f>
        <x:v>21305157</x:v>
      </x:c>
    </x:row>
    <x:row r="994" ht="15" hidden="0" customHeight="1">
      <x:c r="A994" s="27" t="str">
        <x:v>SCA-32</x:v>
      </x:c>
      <x:c r="B994" s="27" t="str">
        <x:v>SCA-29</x:v>
      </x:c>
      <x:c r="C994" s="52"/>
      <x:c r="D994" s="27" t="str">
        <x:v>NO</x:v>
      </x:c>
      <x:c r="E994" s="52"/>
      <x:c r="F994" s="27" t="str">
        <x:v>NO</x:v>
      </x:c>
      <x:c r="G994" s="52" t="n">
        <x:v>15.569488245200215</x:v>
      </x:c>
      <x:c r="H994" s="27" t="str">
        <x:v>YES</x:v>
      </x:c>
      <x:c r="I994" s="52" t="n">
        <x:v>110.86311997786215</x:v>
      </x:c>
      <x:c r="J994" s="27" t="str">
        <x:v>NO</x:v>
      </x:c>
      <x:c r="K994" s="27" t="str">
        <x:v>Air</x:v>
      </x:c>
      <x:c r="L994" s="52" t="n">
        <x:v>15.569488245200215</x:v>
      </x:c>
      <x:c r="M994" s="40" t="n">
        <x:f>INDEX(Catchments!C:C,MATCH(A994,Catchments!A:A,0))</x:f>
        <x:v>3184835</x:v>
      </x:c>
      <x:c r="N994" s="40" t="n">
        <x:f>INDEX(Catchments!C:C,MATCH(B994,Catchments!A:A,0))</x:f>
        <x:v>19271685</x:v>
      </x:c>
    </x:row>
    <x:row r="995" ht="15" hidden="0" customHeight="1">
      <x:c r="A995" s="29" t="str">
        <x:v>SCA-32</x:v>
      </x:c>
      <x:c r="B995" s="29" t="str">
        <x:v>SCA-30</x:v>
      </x:c>
      <x:c r="C995" s="53"/>
      <x:c r="D995" s="29" t="str">
        <x:v>NO</x:v>
      </x:c>
      <x:c r="E995" s="53"/>
      <x:c r="F995" s="29" t="str">
        <x:v>NO</x:v>
      </x:c>
      <x:c r="G995" s="53" t="n">
        <x:v>16.006158710752636</x:v>
      </x:c>
      <x:c r="H995" s="29" t="str">
        <x:v>YES</x:v>
      </x:c>
      <x:c r="I995" s="53" t="n">
        <x:v>121.0001129281862</x:v>
      </x:c>
      <x:c r="J995" s="29" t="str">
        <x:v>NO</x:v>
      </x:c>
      <x:c r="K995" s="29" t="str">
        <x:v>Air</x:v>
      </x:c>
      <x:c r="L995" s="53" t="n">
        <x:v>16.006158710752636</x:v>
      </x:c>
      <x:c r="M995" s="41" t="n">
        <x:f>INDEX(Catchments!C:C,MATCH(A995,Catchments!A:A,0))</x:f>
        <x:v>3184835</x:v>
      </x:c>
      <x:c r="N995" s="41" t="n">
        <x:f>INDEX(Catchments!C:C,MATCH(B995,Catchments!A:A,0))</x:f>
        <x:v>41291847</x:v>
      </x:c>
    </x:row>
    <x:row r="996" ht="15" hidden="0" customHeight="1">
      <x:c r="A996" s="27" t="str">
        <x:v>SCA-32</x:v>
      </x:c>
      <x:c r="B996" s="27" t="str">
        <x:v>SCA-31</x:v>
      </x:c>
      <x:c r="C996" s="52"/>
      <x:c r="D996" s="27" t="str">
        <x:v>NO</x:v>
      </x:c>
      <x:c r="E996" s="52"/>
      <x:c r="F996" s="27" t="str">
        <x:v>NO</x:v>
      </x:c>
      <x:c r="G996" s="52" t="n">
        <x:v>16.24109380891422</x:v>
      </x:c>
      <x:c r="H996" s="27" t="str">
        <x:v>YES</x:v>
      </x:c>
      <x:c r="I996" s="52" t="n">
        <x:v>126.45396342122291</x:v>
      </x:c>
      <x:c r="J996" s="27" t="str">
        <x:v>NO</x:v>
      </x:c>
      <x:c r="K996" s="27" t="str">
        <x:v>Air</x:v>
      </x:c>
      <x:c r="L996" s="52" t="n">
        <x:v>16.24109380891422</x:v>
      </x:c>
      <x:c r="M996" s="40" t="n">
        <x:f>INDEX(Catchments!C:C,MATCH(A996,Catchments!A:A,0))</x:f>
        <x:v>3184835</x:v>
      </x:c>
      <x:c r="N996" s="40" t="n">
        <x:f>INDEX(Catchments!C:C,MATCH(B996,Catchments!A:A,0))</x:f>
        <x:v>14227128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44" hidden="0" customWidth="1"/>
  </x:cols>
  <x:sheetData>
    <x:row r="1" ht="29" customHeight="1">
      <x:c r="A1" s="81" t="str">
        <x:v>Baseline corridor dispatch witness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</x:row>
    <x:row r="2" ht="29" customHeight="1">
      <x:c r="A2" s="82" t="str">
        <x:v>A deterministic shortest-time greedy rule relocates people from deficit catchments to surviving spare capacity. This is feasible-plan evidence, not optimization.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</x:row>
    <x:row r="4" ht="31" customHeight="1">
      <x:c r="A4" s="84" t="str">
        <x:v>Origin</x:v>
      </x:c>
      <x:c r="B4" s="85" t="str">
        <x:v>Destination</x:v>
      </x:c>
      <x:c r="C4" s="85" t="str">
        <x:v>Mode</x:v>
      </x:c>
      <x:c r="D4" s="85" t="str">
        <x:v>Distance km</x:v>
      </x:c>
      <x:c r="E4" s="85" t="str">
        <x:v>Hours</x:v>
      </x:c>
      <x:c r="F4" s="85" t="str">
        <x:v>Flow CDE</x:v>
      </x:c>
      <x:c r="G4" s="85" t="str">
        <x:v>Arc cap</x:v>
      </x:c>
      <x:c r="H4" s="85" t="str">
        <x:v>Origin-mode cap</x:v>
      </x:c>
      <x:c r="I4" s="85" t="str">
        <x:v>Timely</x:v>
      </x:c>
      <x:c r="J4" s="85" t="str">
        <x:v>Arc check</x:v>
      </x:c>
      <x:c r="K4" s="85" t="str">
        <x:v>Origin-mode total</x:v>
      </x:c>
      <x:c r="L4" s="85" t="str">
        <x:v>Origin-mode check</x:v>
      </x:c>
      <x:c r="M4" s="86" t="str">
        <x:v>Interpretation</x:v>
      </x:c>
    </x:row>
    <x:row r="5" ht="75.5999984741211" hidden="0" customHeight="1">
      <x:c r="A5" s="28" t="str">
        <x:v>SCA-05</x:v>
      </x:c>
      <x:c r="B5" s="28" t="str">
        <x:v>SCA-09</x:v>
      </x:c>
      <x:c r="C5" s="28" t="str">
        <x:v>Air</x:v>
      </x:c>
      <x:c r="D5" s="45" t="n">
        <x:v>581.1075323840884</x:v>
      </x:c>
      <x:c r="E5" s="45" t="n">
        <x:v>12.894011588283213</x:v>
      </x:c>
      <x:c r="F5" s="45" t="n">
        <x:v>15</x:v>
      </x:c>
      <x:c r="G5" s="45" t="n">
        <x:v>15</x:v>
      </x:c>
      <x:c r="H5" s="45" t="n">
        <x:v>30</x:v>
      </x:c>
      <x:c r="I5" s="28" t="str">
        <x:v>YES</x:v>
      </x:c>
      <x:c r="J5" s="28" t="str">
        <x:f>IF(AND(F5&lt;=G5,I5="YES"),"PASS","FAIL")</x:f>
        <x:v>PASS</x:v>
      </x:c>
      <x:c r="K5" s="45" t="n">
        <x:f>SUMIFS(F:F,A:A,A5,C:C,C5)</x:f>
        <x:v>30</x:v>
      </x:c>
      <x:c r="L5" s="28" t="str">
        <x:f>IF(K5&lt;=H5,"PASS","FAIL")</x:f>
        <x:v>PASS</x:v>
      </x:c>
      <x:c r="M5" s="28" t="str">
        <x:v>people moved to capacity; receiver capacity does not move</x:v>
      </x:c>
    </x:row>
    <x:row r="6" ht="75.5999984741211" hidden="0" customHeight="1">
      <x:c r="A6" s="27" t="str">
        <x:v>SCA-05</x:v>
      </x:c>
      <x:c r="B6" s="27" t="str">
        <x:v>SCA-10</x:v>
      </x:c>
      <x:c r="C6" s="27" t="str">
        <x:v>Air</x:v>
      </x:c>
      <x:c r="D6" s="46" t="n">
        <x:v>986.9438861874215</x:v>
      </x:c>
      <x:c r="E6" s="46" t="n">
        <x:v>13.51837520951911</x:v>
      </x:c>
      <x:c r="F6" s="46" t="n">
        <x:v>15</x:v>
      </x:c>
      <x:c r="G6" s="46" t="n">
        <x:v>15</x:v>
      </x:c>
      <x:c r="H6" s="46" t="n">
        <x:v>30</x:v>
      </x:c>
      <x:c r="I6" s="27" t="str">
        <x:v>YES</x:v>
      </x:c>
      <x:c r="J6" s="27" t="str">
        <x:f>IF(AND(F6&lt;=G6,I6="YES"),"PASS","FAIL")</x:f>
        <x:v>PASS</x:v>
      </x:c>
      <x:c r="K6" s="46" t="n">
        <x:f>SUMIFS(F:F,A:A,A6,C:C,C6)</x:f>
        <x:v>30</x:v>
      </x:c>
      <x:c r="L6" s="27" t="str">
        <x:f>IF(K6&lt;=H6,"PASS","FAIL")</x:f>
        <x:v>PASS</x:v>
      </x:c>
      <x:c r="M6" s="27" t="str">
        <x:v>people moved to capacity; receiver capacity does not move</x:v>
      </x:c>
    </x:row>
    <x:row r="7" ht="75.5999984741211" hidden="0" customHeight="1">
      <x:c r="A7" s="29" t="str">
        <x:v>SCA-05</x:v>
      </x:c>
      <x:c r="B7" s="29" t="str">
        <x:v>SCA-09</x:v>
      </x:c>
      <x:c r="C7" s="29" t="str">
        <x:v>Road</x:v>
      </x:c>
      <x:c r="D7" s="47" t="n">
        <x:v>690.4768240419543</x:v>
      </x:c>
      <x:c r="E7" s="47" t="n">
        <x:v>26.55412407349008</x:v>
      </x:c>
      <x:c r="F7" s="47" t="n">
        <x:v>5.858770604611369</x:v>
      </x:c>
      <x:c r="G7" s="47" t="n">
        <x:v>40</x:v>
      </x:c>
      <x:c r="H7" s="47" t="n">
        <x:v>80</x:v>
      </x:c>
      <x:c r="I7" s="29" t="str">
        <x:v>YES</x:v>
      </x:c>
      <x:c r="J7" s="29" t="str">
        <x:f>IF(AND(F7&lt;=G7,I7="YES"),"PASS","FAIL")</x:f>
        <x:v>PASS</x:v>
      </x:c>
      <x:c r="K7" s="47" t="n">
        <x:f>SUMIFS(F:F,A:A,A7,C:C,C7)</x:f>
        <x:v>30.85877060461137</x:v>
      </x:c>
      <x:c r="L7" s="29" t="str">
        <x:f>IF(K7&lt;=H7,"PASS","FAIL")</x:f>
        <x:v>PASS</x:v>
      </x:c>
      <x:c r="M7" s="29" t="str">
        <x:v>people moved to capacity; receiver capacity does not move</x:v>
      </x:c>
    </x:row>
    <x:row r="8" ht="75.5999984741211" hidden="0" customHeight="1">
      <x:c r="A8" s="27" t="str">
        <x:v>SCA-05</x:v>
      </x:c>
      <x:c r="B8" s="27" t="str">
        <x:v>SCA-10</x:v>
      </x:c>
      <x:c r="C8" s="27" t="str">
        <x:v>Road</x:v>
      </x:c>
      <x:c r="D8" s="46" t="n">
        <x:v>1174.4003972256673</x:v>
      </x:c>
      <x:c r="E8" s="46" t="n">
        <x:v>35.35273449501213</x:v>
      </x:c>
      <x:c r="F8" s="46" t="n">
        <x:v>5</x:v>
      </x:c>
      <x:c r="G8" s="46" t="n">
        <x:v>40</x:v>
      </x:c>
      <x:c r="H8" s="46" t="n">
        <x:v>80</x:v>
      </x:c>
      <x:c r="I8" s="27" t="str">
        <x:v>YES</x:v>
      </x:c>
      <x:c r="J8" s="27" t="str">
        <x:f>IF(AND(F8&lt;=G8,I8="YES"),"PASS","FAIL")</x:f>
        <x:v>PASS</x:v>
      </x:c>
      <x:c r="K8" s="46" t="n">
        <x:f>SUMIFS(F:F,A:A,A8,C:C,C8)</x:f>
        <x:v>30.85877060461137</x:v>
      </x:c>
      <x:c r="L8" s="27" t="str">
        <x:f>IF(K8&lt;=H8,"PASS","FAIL")</x:f>
        <x:v>PASS</x:v>
      </x:c>
      <x:c r="M8" s="27" t="str">
        <x:v>people moved to capacity; receiver capacity does not move</x:v>
      </x:c>
    </x:row>
    <x:row r="9" ht="75.5999984741211" hidden="0" customHeight="1">
      <x:c r="A9" s="29" t="str">
        <x:v>SCA-05</x:v>
      </x:c>
      <x:c r="B9" s="29" t="str">
        <x:v>SCA-08</x:v>
      </x:c>
      <x:c r="C9" s="29" t="str">
        <x:v>Road</x:v>
      </x:c>
      <x:c r="D9" s="47" t="n">
        <x:v>1514.582119579909</x:v>
      </x:c>
      <x:c r="E9" s="47" t="n">
        <x:v>41.5378567196347</x:v>
      </x:c>
      <x:c r="F9" s="47" t="n">
        <x:v>20</x:v>
      </x:c>
      <x:c r="G9" s="47" t="n">
        <x:v>40</x:v>
      </x:c>
      <x:c r="H9" s="47" t="n">
        <x:v>80</x:v>
      </x:c>
      <x:c r="I9" s="29" t="str">
        <x:v>YES</x:v>
      </x:c>
      <x:c r="J9" s="29" t="str">
        <x:f>IF(AND(F9&lt;=G9,I9="YES"),"PASS","FAIL")</x:f>
        <x:v>PASS</x:v>
      </x:c>
      <x:c r="K9" s="47" t="n">
        <x:f>SUMIFS(F:F,A:A,A9,C:C,C9)</x:f>
        <x:v>30.85877060461137</x:v>
      </x:c>
      <x:c r="L9" s="29" t="str">
        <x:f>IF(K9&lt;=H9,"PASS","FAIL")</x:f>
        <x:v>PASS</x:v>
      </x:c>
      <x:c r="M9" s="29" t="str">
        <x:v>people moved to capacity; receiver capacity does not move</x:v>
      </x:c>
    </x:row>
    <x:row r="10" ht="75.5999984741211" hidden="0" customHeight="1">
      <x:c r="A10" s="27" t="str">
        <x:v>SCA-05</x:v>
      </x:c>
      <x:c r="B10" s="27" t="str">
        <x:v>SCA-12</x:v>
      </x:c>
      <x:c r="C10" s="27" t="str">
        <x:v>Rail</x:v>
      </x:c>
      <x:c r="D10" s="46" t="n">
        <x:v>1786.5531655007685</x:v>
      </x:c>
      <x:c r="E10" s="46" t="n">
        <x:v>45.5221880785824</x:v>
      </x:c>
      <x:c r="F10" s="46" t="n">
        <x:v>28.477724164220223</x:v>
      </x:c>
      <x:c r="G10" s="46" t="n">
        <x:v>60</x:v>
      </x:c>
      <x:c r="H10" s="46" t="n">
        <x:v>120</x:v>
      </x:c>
      <x:c r="I10" s="27" t="str">
        <x:v>YES</x:v>
      </x:c>
      <x:c r="J10" s="27" t="str">
        <x:f>IF(AND(F10&lt;=G10,I10="YES"),"PASS","FAIL")</x:f>
        <x:v>PASS</x:v>
      </x:c>
      <x:c r="K10" s="46" t="n">
        <x:f>SUMIFS(F:F,A:A,A10,C:C,C10)</x:f>
        <x:v>117.10667258997017</x:v>
      </x:c>
      <x:c r="L10" s="27" t="str">
        <x:f>IF(K10&lt;=H10,"PASS","FAIL")</x:f>
        <x:v>PASS</x:v>
      </x:c>
      <x:c r="M10" s="27" t="str">
        <x:v>people moved to capacity; receiver capacity does not move</x:v>
      </x:c>
    </x:row>
    <x:row r="11" ht="75.5999984741211" hidden="0" customHeight="1">
      <x:c r="A11" s="29" t="str">
        <x:v>SCA-05</x:v>
      </x:c>
      <x:c r="B11" s="29" t="str">
        <x:v>SCA-16</x:v>
      </x:c>
      <x:c r="C11" s="29" t="str">
        <x:v>Rail</x:v>
      </x:c>
      <x:c r="D11" s="47" t="n">
        <x:v>2678.6704074938693</x:v>
      </x:c>
      <x:c r="E11" s="47" t="n">
        <x:v>58.26672010705528</x:v>
      </x:c>
      <x:c r="F11" s="47" t="n">
        <x:v>35.66843387250982</x:v>
      </x:c>
      <x:c r="G11" s="47" t="n">
        <x:v>60</x:v>
      </x:c>
      <x:c r="H11" s="47" t="n">
        <x:v>120</x:v>
      </x:c>
      <x:c r="I11" s="29" t="str">
        <x:v>YES</x:v>
      </x:c>
      <x:c r="J11" s="29" t="str">
        <x:f>IF(AND(F11&lt;=G11,I11="YES"),"PASS","FAIL")</x:f>
        <x:v>PASS</x:v>
      </x:c>
      <x:c r="K11" s="47" t="n">
        <x:f>SUMIFS(F:F,A:A,A11,C:C,C11)</x:f>
        <x:v>117.10667258997017</x:v>
      </x:c>
      <x:c r="L11" s="29" t="str">
        <x:f>IF(K11&lt;=H11,"PASS","FAIL")</x:f>
        <x:v>PASS</x:v>
      </x:c>
      <x:c r="M11" s="29" t="str">
        <x:v>people moved to capacity; receiver capacity does not move</x:v>
      </x:c>
    </x:row>
    <x:row r="12" ht="75.5999984741211" hidden="0" customHeight="1">
      <x:c r="A12" s="27" t="str">
        <x:v>SCA-05</x:v>
      </x:c>
      <x:c r="B12" s="27" t="str">
        <x:v>SCA-18</x:v>
      </x:c>
      <x:c r="C12" s="27" t="str">
        <x:v>Rail</x:v>
      </x:c>
      <x:c r="D12" s="46" t="n">
        <x:v>3018.0074571722253</x:v>
      </x:c>
      <x:c r="E12" s="46" t="n">
        <x:v>63.114392245317504</x:v>
      </x:c>
      <x:c r="F12" s="46" t="n">
        <x:v>32.96051455324014</x:v>
      </x:c>
      <x:c r="G12" s="46" t="n">
        <x:v>60</x:v>
      </x:c>
      <x:c r="H12" s="46" t="n">
        <x:v>120</x:v>
      </x:c>
      <x:c r="I12" s="27" t="str">
        <x:v>YES</x:v>
      </x:c>
      <x:c r="J12" s="27" t="str">
        <x:f>IF(AND(F12&lt;=G12,I12="YES"),"PASS","FAIL")</x:f>
        <x:v>PASS</x:v>
      </x:c>
      <x:c r="K12" s="46" t="n">
        <x:f>SUMIFS(F:F,A:A,A12,C:C,C12)</x:f>
        <x:v>117.10667258997017</x:v>
      </x:c>
      <x:c r="L12" s="27" t="str">
        <x:f>IF(K12&lt;=H12,"PASS","FAIL")</x:f>
        <x:v>PASS</x:v>
      </x:c>
      <x:c r="M12" s="27" t="str">
        <x:v>people moved to capacity; receiver capacity does not move</x:v>
      </x:c>
    </x:row>
    <x:row r="13" ht="75.5999984741211" hidden="0" customHeight="1">
      <x:c r="A13" s="29" t="str">
        <x:v>SCA-05</x:v>
      </x:c>
      <x:c r="B13" s="29" t="str">
        <x:v>SCA-19</x:v>
      </x:c>
      <x:c r="C13" s="29" t="str">
        <x:v>Rail</x:v>
      </x:c>
      <x:c r="D13" s="47" t="n">
        <x:v>3200.155581422885</x:v>
      </x:c>
      <x:c r="E13" s="47" t="n">
        <x:v>65.71650830604122</x:v>
      </x:c>
      <x:c r="F13" s="47" t="n">
        <x:v>20</x:v>
      </x:c>
      <x:c r="G13" s="47" t="n">
        <x:v>60</x:v>
      </x:c>
      <x:c r="H13" s="47" t="n">
        <x:v>120</x:v>
      </x:c>
      <x:c r="I13" s="29" t="str">
        <x:v>YES</x:v>
      </x:c>
      <x:c r="J13" s="29" t="str">
        <x:f>IF(AND(F13&lt;=G13,I13="YES"),"PASS","FAIL")</x:f>
        <x:v>PASS</x:v>
      </x:c>
      <x:c r="K13" s="47" t="n">
        <x:f>SUMIFS(F:F,A:A,A13,C:C,C13)</x:f>
        <x:v>117.10667258997017</x:v>
      </x:c>
      <x:c r="L13" s="29" t="str">
        <x:f>IF(K13&lt;=H13,"PASS","FAIL")</x:f>
        <x:v>PASS</x:v>
      </x:c>
      <x:c r="M13" s="29" t="str">
        <x:v>people moved to capacity; receiver capacity does not move</x:v>
      </x:c>
    </x:row>
    <x:row r="14" ht="75.5999984741211" hidden="0" customHeight="1">
      <x:c r="A14" s="27" t="str">
        <x:v>SCA-04</x:v>
      </x:c>
      <x:c r="B14" s="27" t="str">
        <x:v>SCA-21</x:v>
      </x:c>
      <x:c r="C14" s="27" t="str">
        <x:v>Air</x:v>
      </x:c>
      <x:c r="D14" s="46" t="n">
        <x:v>2867.4382104426472</x:v>
      </x:c>
      <x:c r="E14" s="46" t="n">
        <x:v>16.411443400680994</x:v>
      </x:c>
      <x:c r="F14" s="46" t="n">
        <x:v>15</x:v>
      </x:c>
      <x:c r="G14" s="46" t="n">
        <x:v>15</x:v>
      </x:c>
      <x:c r="H14" s="46" t="n">
        <x:v>30</x:v>
      </x:c>
      <x:c r="I14" s="27" t="str">
        <x:v>YES</x:v>
      </x:c>
      <x:c r="J14" s="27" t="str">
        <x:f>IF(AND(F14&lt;=G14,I14="YES"),"PASS","FAIL")</x:f>
        <x:v>PASS</x:v>
      </x:c>
      <x:c r="K14" s="46" t="n">
        <x:f>SUMIFS(F:F,A:A,A14,C:C,C14)</x:f>
        <x:v>30</x:v>
      </x:c>
      <x:c r="L14" s="27" t="str">
        <x:f>IF(K14&lt;=H14,"PASS","FAIL")</x:f>
        <x:v>PASS</x:v>
      </x:c>
      <x:c r="M14" s="27" t="str">
        <x:v>people moved to capacity; receiver capacity does not move</x:v>
      </x:c>
    </x:row>
    <x:row r="15" ht="75.5999984741211" hidden="0" customHeight="1">
      <x:c r="A15" s="29" t="str">
        <x:v>SCA-04</x:v>
      </x:c>
      <x:c r="B15" s="29" t="str">
        <x:v>SCA-02</x:v>
      </x:c>
      <x:c r="C15" s="29" t="str">
        <x:v>Air</x:v>
      </x:c>
      <x:c r="D15" s="47" t="n">
        <x:v>3107.3761588150364</x:v>
      </x:c>
      <x:c r="E15" s="47" t="n">
        <x:v>16.78057870586929</x:v>
      </x:c>
      <x:c r="F15" s="47" t="n">
        <x:v>15</x:v>
      </x:c>
      <x:c r="G15" s="47" t="n">
        <x:v>15</x:v>
      </x:c>
      <x:c r="H15" s="47" t="n">
        <x:v>30</x:v>
      </x:c>
      <x:c r="I15" s="29" t="str">
        <x:v>YES</x:v>
      </x:c>
      <x:c r="J15" s="29" t="str">
        <x:f>IF(AND(F15&lt;=G15,I15="YES"),"PASS","FAIL")</x:f>
        <x:v>PASS</x:v>
      </x:c>
      <x:c r="K15" s="47" t="n">
        <x:f>SUMIFS(F:F,A:A,A15,C:C,C15)</x:f>
        <x:v>30</x:v>
      </x:c>
      <x:c r="L15" s="29" t="str">
        <x:f>IF(K15&lt;=H15,"PASS","FAIL")</x:f>
        <x:v>PASS</x:v>
      </x:c>
      <x:c r="M15" s="29" t="str">
        <x:v>people moved to capacity; receiver capacity does not move</x:v>
      </x:c>
    </x:row>
    <x:row r="16" ht="75.5999984741211" hidden="0" customHeight="1">
      <x:c r="A16" s="27" t="str">
        <x:v>SCA-04</x:v>
      </x:c>
      <x:c r="B16" s="27" t="str">
        <x:v>SCA-21</x:v>
      </x:c>
      <x:c r="C16" s="27" t="str">
        <x:v>Rail</x:v>
      </x:c>
      <x:c r="D16" s="46" t="n">
        <x:v>3600.6977878130847</x:v>
      </x:c>
      <x:c r="E16" s="46" t="n">
        <x:v>71.43853982590122</x:v>
      </x:c>
      <x:c r="F16" s="46" t="n">
        <x:v>31.3581770084146</x:v>
      </x:c>
      <x:c r="G16" s="46" t="n">
        <x:v>60</x:v>
      </x:c>
      <x:c r="H16" s="46" t="n">
        <x:v>120</x:v>
      </x:c>
      <x:c r="I16" s="27" t="str">
        <x:v>YES</x:v>
      </x:c>
      <x:c r="J16" s="27" t="str">
        <x:f>IF(AND(F16&lt;=G16,I16="YES"),"PASS","FAIL")</x:f>
        <x:v>PASS</x:v>
      </x:c>
      <x:c r="K16" s="46" t="n">
        <x:f>SUMIFS(F:F,A:A,A16,C:C,C16)</x:f>
        <x:v>31.3581770084146</x:v>
      </x:c>
      <x:c r="L16" s="27" t="str">
        <x:f>IF(K16&lt;=H16,"PASS","FAIL")</x:f>
        <x:v>PASS</x:v>
      </x:c>
      <x:c r="M16" s="27" t="str">
        <x:v>people moved to capacity; receiver capacity does not move</x:v>
      </x:c>
    </x:row>
    <x:row r="17" ht="75.5999984741211" hidden="0" customHeight="1">
      <x:c r="A17" s="29" t="str">
        <x:v>SCA-30</x:v>
      </x:c>
      <x:c r="B17" s="29" t="str">
        <x:v>SCA-28</x:v>
      </x:c>
      <x:c r="C17" s="29" t="str">
        <x:v>Air</x:v>
      </x:c>
      <x:c r="D17" s="47" t="n">
        <x:v>403.09888341846965</x:v>
      </x:c>
      <x:c r="E17" s="47" t="n">
        <x:v>12.620152128336107</x:v>
      </x:c>
      <x:c r="F17" s="47" t="n">
        <x:v>15</x:v>
      </x:c>
      <x:c r="G17" s="47" t="n">
        <x:v>15</x:v>
      </x:c>
      <x:c r="H17" s="47" t="n">
        <x:v>30</x:v>
      </x:c>
      <x:c r="I17" s="29" t="str">
        <x:v>YES</x:v>
      </x:c>
      <x:c r="J17" s="29" t="str">
        <x:f>IF(AND(F17&lt;=G17,I17="YES"),"PASS","FAIL")</x:f>
        <x:v>PASS</x:v>
      </x:c>
      <x:c r="K17" s="47" t="n">
        <x:f>SUMIFS(F:F,A:A,A17,C:C,C17)</x:f>
        <x:v>30</x:v>
      </x:c>
      <x:c r="L17" s="29" t="str">
        <x:f>IF(K17&lt;=H17,"PASS","FAIL")</x:f>
        <x:v>PASS</x:v>
      </x:c>
      <x:c r="M17" s="29" t="str">
        <x:v>people moved to capacity; receiver capacity does not move</x:v>
      </x:c>
    </x:row>
    <x:row r="18" ht="75.5999984741211" hidden="0" customHeight="1">
      <x:c r="A18" s="27" t="str">
        <x:v>SCA-30</x:v>
      </x:c>
      <x:c r="B18" s="27" t="str">
        <x:v>SCA-29</x:v>
      </x:c>
      <x:c r="C18" s="27" t="str">
        <x:v>Air</x:v>
      </x:c>
      <x:c r="D18" s="46" t="n">
        <x:v>653.0689756044445</x:v>
      </x:c>
      <x:c r="E18" s="46" t="n">
        <x:v>13.004721500929914</x:v>
      </x:c>
      <x:c r="F18" s="46" t="n">
        <x:v>15</x:v>
      </x:c>
      <x:c r="G18" s="46" t="n">
        <x:v>15</x:v>
      </x:c>
      <x:c r="H18" s="46" t="n">
        <x:v>30</x:v>
      </x:c>
      <x:c r="I18" s="27" t="str">
        <x:v>YES</x:v>
      </x:c>
      <x:c r="J18" s="27" t="str">
        <x:f>IF(AND(F18&lt;=G18,I18="YES"),"PASS","FAIL")</x:f>
        <x:v>PASS</x:v>
      </x:c>
      <x:c r="K18" s="46" t="n">
        <x:f>SUMIFS(F:F,A:A,A18,C:C,C18)</x:f>
        <x:v>30</x:v>
      </x:c>
      <x:c r="L18" s="27" t="str">
        <x:f>IF(K18&lt;=H18,"PASS","FAIL")</x:f>
        <x:v>PASS</x:v>
      </x:c>
      <x:c r="M18" s="27" t="str">
        <x:v>people moved to capacity; receiver capacity does not move</x:v>
      </x:c>
    </x:row>
    <x:row r="19" ht="75.5999984741211" hidden="0" customHeight="1">
      <x:c r="A19" s="29" t="str">
        <x:v>SCA-30</x:v>
      </x:c>
      <x:c r="B19" s="29" t="str">
        <x:v>SCA-28</x:v>
      </x:c>
      <x:c r="C19" s="29" t="str">
        <x:v>Road</x:v>
      </x:c>
      <x:c r="D19" s="47" t="n">
        <x:v>463.56371593124004</x:v>
      </x:c>
      <x:c r="E19" s="47" t="n">
        <x:v>22.42843119874982</x:v>
      </x:c>
      <x:c r="F19" s="47" t="n">
        <x:v>28.07008422247108</x:v>
      </x:c>
      <x:c r="G19" s="47" t="n">
        <x:v>40</x:v>
      </x:c>
      <x:c r="H19" s="47" t="n">
        <x:v>80</x:v>
      </x:c>
      <x:c r="I19" s="29" t="str">
        <x:v>YES</x:v>
      </x:c>
      <x:c r="J19" s="29" t="str">
        <x:f>IF(AND(F19&lt;=G19,I19="YES"),"PASS","FAIL")</x:f>
        <x:v>PASS</x:v>
      </x:c>
      <x:c r="K19" s="47" t="n">
        <x:f>SUMIFS(F:F,A:A,A19,C:C,C19)</x:f>
        <x:v>80</x:v>
      </x:c>
      <x:c r="L19" s="29" t="str">
        <x:f>IF(K19&lt;=H19,"PASS","FAIL")</x:f>
        <x:v>PASS</x:v>
      </x:c>
      <x:c r="M19" s="29" t="str">
        <x:v>people moved to capacity; receiver capacity does not move</x:v>
      </x:c>
    </x:row>
    <x:row r="20" ht="75.5999984741211" hidden="0" customHeight="1">
      <x:c r="A20" s="27" t="str">
        <x:v>SCA-30</x:v>
      </x:c>
      <x:c r="B20" s="27" t="str">
        <x:v>SCA-29</x:v>
      </x:c>
      <x:c r="C20" s="27" t="str">
        <x:v>Road</x:v>
      </x:c>
      <x:c r="D20" s="46" t="n">
        <x:v>751.0293219451112</x:v>
      </x:c>
      <x:c r="E20" s="46" t="n">
        <x:v>27.655078580820202</x:v>
      </x:c>
      <x:c r="F20" s="46" t="n">
        <x:v>32.58421104715358</x:v>
      </x:c>
      <x:c r="G20" s="46" t="n">
        <x:v>40</x:v>
      </x:c>
      <x:c r="H20" s="46" t="n">
        <x:v>80</x:v>
      </x:c>
      <x:c r="I20" s="27" t="str">
        <x:v>YES</x:v>
      </x:c>
      <x:c r="J20" s="27" t="str">
        <x:f>IF(AND(F20&lt;=G20,I20="YES"),"PASS","FAIL")</x:f>
        <x:v>PASS</x:v>
      </x:c>
      <x:c r="K20" s="46" t="n">
        <x:f>SUMIFS(F:F,A:A,A20,C:C,C20)</x:f>
        <x:v>80</x:v>
      </x:c>
      <x:c r="L20" s="27" t="str">
        <x:f>IF(K20&lt;=H20,"PASS","FAIL")</x:f>
        <x:v>PASS</x:v>
      </x:c>
      <x:c r="M20" s="27" t="str">
        <x:v>people moved to capacity; receiver capacity does not move</x:v>
      </x:c>
    </x:row>
    <x:row r="21" ht="75.5999984741211" hidden="0" customHeight="1">
      <x:c r="A21" s="29" t="str">
        <x:v>SCA-30</x:v>
      </x:c>
      <x:c r="B21" s="29" t="str">
        <x:v>SCA-24</x:v>
      </x:c>
      <x:c r="C21" s="29" t="str">
        <x:v>Road</x:v>
      </x:c>
      <x:c r="D21" s="47" t="n">
        <x:v>959.3792124899044</x:v>
      </x:c>
      <x:c r="E21" s="47" t="n">
        <x:v>31.44325840890735</x:v>
      </x:c>
      <x:c r="F21" s="47" t="n">
        <x:v>19.34570473037534</x:v>
      </x:c>
      <x:c r="G21" s="47" t="n">
        <x:v>40</x:v>
      </x:c>
      <x:c r="H21" s="47" t="n">
        <x:v>80</x:v>
      </x:c>
      <x:c r="I21" s="29" t="str">
        <x:v>YES</x:v>
      </x:c>
      <x:c r="J21" s="29" t="str">
        <x:f>IF(AND(F21&lt;=G21,I21="YES"),"PASS","FAIL")</x:f>
        <x:v>PASS</x:v>
      </x:c>
      <x:c r="K21" s="47" t="n">
        <x:f>SUMIFS(F:F,A:A,A21,C:C,C21)</x:f>
        <x:v>80</x:v>
      </x:c>
      <x:c r="L21" s="29" t="str">
        <x:f>IF(K21&lt;=H21,"PASS","FAIL")</x:f>
        <x:v>PASS</x:v>
      </x:c>
      <x:c r="M21" s="29" t="str">
        <x:v>people moved to capacity; receiver capacity does not move</x:v>
      </x:c>
    </x:row>
    <x:row r="22" ht="75.5999984741211" hidden="0" customHeight="1">
      <x:c r="A22" s="27" t="str">
        <x:v>SCA-30</x:v>
      </x:c>
      <x:c r="B22" s="27" t="str">
        <x:v>SCA-24</x:v>
      </x:c>
      <x:c r="C22" s="27" t="str">
        <x:v>Rail</x:v>
      </x:c>
      <x:c r="D22" s="46" t="n">
        <x:v>959.3792124899044</x:v>
      </x:c>
      <x:c r="E22" s="46" t="n">
        <x:v>33.70541732128435</x:v>
      </x:c>
      <x:c r="F22" s="46" t="n">
        <x:v>3.9816210163888854</x:v>
      </x:c>
      <x:c r="G22" s="46" t="n">
        <x:v>60</x:v>
      </x:c>
      <x:c r="H22" s="46" t="n">
        <x:v>120</x:v>
      </x:c>
      <x:c r="I22" s="27" t="str">
        <x:v>YES</x:v>
      </x:c>
      <x:c r="J22" s="27" t="str">
        <x:f>IF(AND(F22&lt;=G22,I22="YES"),"PASS","FAIL")</x:f>
        <x:v>PASS</x:v>
      </x:c>
      <x:c r="K22" s="46" t="n">
        <x:f>SUMIFS(F:F,A:A,A22,C:C,C22)</x:f>
        <x:v>3.9816210163888854</x:v>
      </x:c>
      <x:c r="L22" s="27" t="str">
        <x:f>IF(K22&lt;=H22,"PASS","FAIL")</x:f>
        <x:v>PASS</x:v>
      </x:c>
      <x:c r="M22" s="27" t="str">
        <x:v>people moved to capacity; receiver capacity does not move</x:v>
      </x:c>
    </x:row>
    <x:row r="23" ht="75.5999984741211" hidden="0" customHeight="1">
      <x:c r="A23" s="29" t="str">
        <x:v>SCA-17</x:v>
      </x:c>
      <x:c r="B23" s="29" t="str">
        <x:v>SCA-23</x:v>
      </x:c>
      <x:c r="C23" s="29" t="str">
        <x:v>Air</x:v>
      </x:c>
      <x:c r="D23" s="47" t="n">
        <x:v>1004.54054535118</x:v>
      </x:c>
      <x:c r="E23" s="47" t="n">
        <x:v>13.54544699284797</x:v>
      </x:c>
      <x:c r="F23" s="47" t="n">
        <x:v>15</x:v>
      </x:c>
      <x:c r="G23" s="47" t="n">
        <x:v>15</x:v>
      </x:c>
      <x:c r="H23" s="47" t="n">
        <x:v>30</x:v>
      </x:c>
      <x:c r="I23" s="29" t="str">
        <x:v>YES</x:v>
      </x:c>
      <x:c r="J23" s="29" t="str">
        <x:f>IF(AND(F23&lt;=G23,I23="YES"),"PASS","FAIL")</x:f>
        <x:v>PASS</x:v>
      </x:c>
      <x:c r="K23" s="47" t="n">
        <x:f>SUMIFS(F:F,A:A,A23,C:C,C23)</x:f>
        <x:v>30</x:v>
      </x:c>
      <x:c r="L23" s="29" t="str">
        <x:f>IF(K23&lt;=H23,"PASS","FAIL")</x:f>
        <x:v>PASS</x:v>
      </x:c>
      <x:c r="M23" s="29" t="str">
        <x:v>people moved to capacity; receiver capacity does not move</x:v>
      </x:c>
    </x:row>
    <x:row r="24" ht="75.5999984741211" hidden="0" customHeight="1">
      <x:c r="A24" s="27" t="str">
        <x:v>SCA-17</x:v>
      </x:c>
      <x:c r="B24" s="27" t="str">
        <x:v>SCA-25</x:v>
      </x:c>
      <x:c r="C24" s="27" t="str">
        <x:v>Air</x:v>
      </x:c>
      <x:c r="D24" s="46" t="n">
        <x:v>1167.91927649809</x:v>
      </x:c>
      <x:c r="E24" s="46" t="n">
        <x:v>13.796798886920138</x:v>
      </x:c>
      <x:c r="F24" s="46" t="n">
        <x:v>15</x:v>
      </x:c>
      <x:c r="G24" s="46" t="n">
        <x:v>15</x:v>
      </x:c>
      <x:c r="H24" s="46" t="n">
        <x:v>30</x:v>
      </x:c>
      <x:c r="I24" s="27" t="str">
        <x:v>YES</x:v>
      </x:c>
      <x:c r="J24" s="27" t="str">
        <x:f>IF(AND(F24&lt;=G24,I24="YES"),"PASS","FAIL")</x:f>
        <x:v>PASS</x:v>
      </x:c>
      <x:c r="K24" s="46" t="n">
        <x:f>SUMIFS(F:F,A:A,A24,C:C,C24)</x:f>
        <x:v>30</x:v>
      </x:c>
      <x:c r="L24" s="27" t="str">
        <x:f>IF(K24&lt;=H24,"PASS","FAIL")</x:f>
        <x:v>PASS</x:v>
      </x:c>
      <x:c r="M24" s="27" t="str">
        <x:v>people moved to capacity; receiver capacity does not move</x:v>
      </x:c>
    </x:row>
    <x:row r="25" ht="75.5999984741211" hidden="0" customHeight="1">
      <x:c r="A25" s="29" t="str">
        <x:v>SCA-17</x:v>
      </x:c>
      <x:c r="B25" s="29" t="str">
        <x:v>SCA-23</x:v>
      </x:c>
      <x:c r="C25" s="29" t="str">
        <x:v>Road</x:v>
      </x:c>
      <x:c r="D25" s="47" t="n">
        <x:v>1269.789018412829</x:v>
      </x:c>
      <x:c r="E25" s="47" t="n">
        <x:v>37.08707306205143</x:v>
      </x:c>
      <x:c r="F25" s="47" t="n">
        <x:v>15.835526786688106</x:v>
      </x:c>
      <x:c r="G25" s="47" t="n">
        <x:v>40</x:v>
      </x:c>
      <x:c r="H25" s="47" t="n">
        <x:v>80</x:v>
      </x:c>
      <x:c r="I25" s="29" t="str">
        <x:v>YES</x:v>
      </x:c>
      <x:c r="J25" s="29" t="str">
        <x:f>IF(AND(F25&lt;=G25,I25="YES"),"PASS","FAIL")</x:f>
        <x:v>PASS</x:v>
      </x:c>
      <x:c r="K25" s="47" t="n">
        <x:f>SUMIFS(F:F,A:A,A25,C:C,C25)</x:f>
        <x:v>51.36676788920305</x:v>
      </x:c>
      <x:c r="L25" s="29" t="str">
        <x:f>IF(K25&lt;=H25,"PASS","FAIL")</x:f>
        <x:v>PASS</x:v>
      </x:c>
      <x:c r="M25" s="29" t="str">
        <x:v>people moved to capacity; receiver capacity does not move</x:v>
      </x:c>
    </x:row>
    <x:row r="26" ht="75.5999984741211" hidden="0" customHeight="1">
      <x:c r="A26" s="27" t="str">
        <x:v>SCA-17</x:v>
      </x:c>
      <x:c r="B26" s="27" t="str">
        <x:v>SCA-22</x:v>
      </x:c>
      <x:c r="C26" s="27" t="str">
        <x:v>Road</x:v>
      </x:c>
      <x:c r="D26" s="46" t="n">
        <x:v>1419.7799056048696</x:v>
      </x:c>
      <x:c r="E26" s="46" t="n">
        <x:v>39.814180101906715</x:v>
      </x:c>
      <x:c r="F26" s="46" t="n">
        <x:v>35.53124110251494</x:v>
      </x:c>
      <x:c r="G26" s="46" t="n">
        <x:v>40</x:v>
      </x:c>
      <x:c r="H26" s="46" t="n">
        <x:v>80</x:v>
      </x:c>
      <x:c r="I26" s="27" t="str">
        <x:v>YES</x:v>
      </x:c>
      <x:c r="J26" s="27" t="str">
        <x:f>IF(AND(F26&lt;=G26,I26="YES"),"PASS","FAIL")</x:f>
        <x:v>PASS</x:v>
      </x:c>
      <x:c r="K26" s="46" t="n">
        <x:f>SUMIFS(F:F,A:A,A26,C:C,C26)</x:f>
        <x:v>51.36676788920305</x:v>
      </x:c>
      <x:c r="L26" s="27" t="str">
        <x:f>IF(K26&lt;=H26,"PASS","FAIL")</x:f>
        <x:v>PASS</x:v>
      </x:c>
      <x:c r="M26" s="27" t="str">
        <x:v>people moved to capacity; receiver capacity does not move</x:v>
      </x:c>
    </x:row>
    <x:row r="27" ht="75.5999984741211" hidden="0" customHeight="1">
      <x:c r="A27" s="29" t="str">
        <x:v>SCA-17</x:v>
      </x:c>
      <x:c r="B27" s="29" t="str">
        <x:v>SCA-25</x:v>
      </x:c>
      <x:c r="C27" s="29" t="str">
        <x:v>Rail</x:v>
      </x:c>
      <x:c r="D27" s="47" t="n">
        <x:v>1764.3731983322682</x:v>
      </x:c>
      <x:c r="E27" s="47" t="n">
        <x:v>45.20533140474669</x:v>
      </x:c>
      <x:c r="F27" s="47" t="n">
        <x:v>5</x:v>
      </x:c>
      <x:c r="G27" s="47" t="n">
        <x:v>60</x:v>
      </x:c>
      <x:c r="H27" s="47" t="n">
        <x:v>120</x:v>
      </x:c>
      <x:c r="I27" s="29" t="str">
        <x:v>YES</x:v>
      </x:c>
      <x:c r="J27" s="29" t="str">
        <x:f>IF(AND(F27&lt;=G27,I27="YES"),"PASS","FAIL")</x:f>
        <x:v>PASS</x:v>
      </x:c>
      <x:c r="K27" s="47" t="n">
        <x:f>SUMIFS(F:F,A:A,A27,C:C,C27)</x:f>
        <x:v>31.964693125731984</x:v>
      </x:c>
      <x:c r="L27" s="29" t="str">
        <x:f>IF(K27&lt;=H27,"PASS","FAIL")</x:f>
        <x:v>PASS</x:v>
      </x:c>
      <x:c r="M27" s="29" t="str">
        <x:v>people moved to capacity; receiver capacity does not move</x:v>
      </x:c>
    </x:row>
    <x:row r="28" ht="75.5999984741211" hidden="0" customHeight="1">
      <x:c r="A28" s="27" t="str">
        <x:v>SCA-17</x:v>
      </x:c>
      <x:c r="B28" s="27" t="str">
        <x:v>SCA-24</x:v>
      </x:c>
      <x:c r="C28" s="27" t="str">
        <x:v>Rail</x:v>
      </x:c>
      <x:c r="D28" s="46" t="n">
        <x:v>1955.5923834187133</x:v>
      </x:c>
      <x:c r="E28" s="46" t="n">
        <x:v>47.93703404883876</x:v>
      </x:c>
      <x:c r="F28" s="46" t="n">
        <x:v>6.434719512709158</x:v>
      </x:c>
      <x:c r="G28" s="46" t="n">
        <x:v>60</x:v>
      </x:c>
      <x:c r="H28" s="46" t="n">
        <x:v>120</x:v>
      </x:c>
      <x:c r="I28" s="27" t="str">
        <x:v>YES</x:v>
      </x:c>
      <x:c r="J28" s="27" t="str">
        <x:f>IF(AND(F28&lt;=G28,I28="YES"),"PASS","FAIL")</x:f>
        <x:v>PASS</x:v>
      </x:c>
      <x:c r="K28" s="46" t="n">
        <x:f>SUMIFS(F:F,A:A,A28,C:C,C28)</x:f>
        <x:v>31.964693125731984</x:v>
      </x:c>
      <x:c r="L28" s="27" t="str">
        <x:f>IF(K28&lt;=H28,"PASS","FAIL")</x:f>
        <x:v>PASS</x:v>
      </x:c>
      <x:c r="M28" s="27" t="str">
        <x:v>people moved to capacity; receiver capacity does not move</x:v>
      </x:c>
    </x:row>
    <x:row r="29" ht="75.5999984741211" hidden="0" customHeight="1">
      <x:c r="A29" s="29" t="str">
        <x:v>SCA-17</x:v>
      </x:c>
      <x:c r="B29" s="29" t="str">
        <x:v>SCA-26</x:v>
      </x:c>
      <x:c r="C29" s="29" t="str">
        <x:v>Rail</x:v>
      </x:c>
      <x:c r="D29" s="47" t="n">
        <x:v>2092.8726540970906</x:v>
      </x:c>
      <x:c r="E29" s="47" t="n">
        <x:v>49.89818077281558</x:v>
      </x:c>
      <x:c r="F29" s="47" t="n">
        <x:v>20.529973613022825</x:v>
      </x:c>
      <x:c r="G29" s="47" t="n">
        <x:v>60</x:v>
      </x:c>
      <x:c r="H29" s="47" t="n">
        <x:v>120</x:v>
      </x:c>
      <x:c r="I29" s="29" t="str">
        <x:v>YES</x:v>
      </x:c>
      <x:c r="J29" s="29" t="str">
        <x:f>IF(AND(F29&lt;=G29,I29="YES"),"PASS","FAIL")</x:f>
        <x:v>PASS</x:v>
      </x:c>
      <x:c r="K29" s="47" t="n">
        <x:f>SUMIFS(F:F,A:A,A29,C:C,C29)</x:f>
        <x:v>31.964693125731984</x:v>
      </x:c>
      <x:c r="L29" s="29" t="str">
        <x:f>IF(K29&lt;=H29,"PASS","FAIL")</x:f>
        <x:v>PASS</x:v>
      </x:c>
      <x:c r="M29" s="29" t="str">
        <x:v>people moved to capacity; receiver capacity does not move</x:v>
      </x:c>
    </x:row>
    <x:row r="30" ht="75.5999984741211" hidden="0" customHeight="1">
      <x:c r="A30" s="27" t="str">
        <x:v>SCA-15</x:v>
      </x:c>
      <x:c r="B30" s="27" t="str">
        <x:v>SCA-26</x:v>
      </x:c>
      <x:c r="C30" s="27" t="str">
        <x:v>Air</x:v>
      </x:c>
      <x:c r="D30" s="46" t="n">
        <x:v>1525.612477896216</x:v>
      </x:c>
      <x:c r="E30" s="46" t="n">
        <x:v>14.347096119840332</x:v>
      </x:c>
      <x:c r="F30" s="46" t="n">
        <x:v>7.757923741321047</x:v>
      </x:c>
      <x:c r="G30" s="46" t="n">
        <x:v>15</x:v>
      </x:c>
      <x:c r="H30" s="46" t="n">
        <x:v>30</x:v>
      </x:c>
      <x:c r="I30" s="27" t="str">
        <x:v>YES</x:v>
      </x:c>
      <x:c r="J30" s="27" t="str">
        <x:f>IF(AND(F30&lt;=G30,I30="YES"),"PASS","FAIL")</x:f>
        <x:v>PASS</x:v>
      </x:c>
      <x:c r="K30" s="46" t="n">
        <x:f>SUMIFS(F:F,A:A,A30,C:C,C30)</x:f>
        <x:v>30</x:v>
      </x:c>
      <x:c r="L30" s="27" t="str">
        <x:f>IF(K30&lt;=H30,"PASS","FAIL")</x:f>
        <x:v>PASS</x:v>
      </x:c>
      <x:c r="M30" s="27" t="str">
        <x:v>people moved to capacity; receiver capacity does not move</x:v>
      </x:c>
    </x:row>
    <x:row r="31" ht="75.5999984741211" hidden="0" customHeight="1">
      <x:c r="A31" s="29" t="str">
        <x:v>SCA-15</x:v>
      </x:c>
      <x:c r="B31" s="29" t="str">
        <x:v>SCA-27</x:v>
      </x:c>
      <x:c r="C31" s="29" t="str">
        <x:v>Air</x:v>
      </x:c>
      <x:c r="D31" s="47" t="n">
        <x:v>1738.1638035475253</x:v>
      </x:c>
      <x:c r="E31" s="47" t="n">
        <x:v>14.674098159303885</x:v>
      </x:c>
      <x:c r="F31" s="47" t="n">
        <x:v>15</x:v>
      </x:c>
      <x:c r="G31" s="47" t="n">
        <x:v>15</x:v>
      </x:c>
      <x:c r="H31" s="47" t="n">
        <x:v>30</x:v>
      </x:c>
      <x:c r="I31" s="29" t="str">
        <x:v>YES</x:v>
      </x:c>
      <x:c r="J31" s="29" t="str">
        <x:f>IF(AND(F31&lt;=G31,I31="YES"),"PASS","FAIL")</x:f>
        <x:v>PASS</x:v>
      </x:c>
      <x:c r="K31" s="47" t="n">
        <x:f>SUMIFS(F:F,A:A,A31,C:C,C31)</x:f>
        <x:v>30</x:v>
      </x:c>
      <x:c r="L31" s="29" t="str">
        <x:f>IF(K31&lt;=H31,"PASS","FAIL")</x:f>
        <x:v>PASS</x:v>
      </x:c>
      <x:c r="M31" s="29" t="str">
        <x:v>people moved to capacity; receiver capacity does not move</x:v>
      </x:c>
    </x:row>
    <x:row r="32" ht="75.5999984741211" hidden="0" customHeight="1">
      <x:c r="A32" s="27" t="str">
        <x:v>SCA-15</x:v>
      </x:c>
      <x:c r="B32" s="27" t="str">
        <x:v>SCA-32</x:v>
      </x:c>
      <x:c r="C32" s="27" t="str">
        <x:v>Air</x:v>
      </x:c>
      <x:c r="D32" s="46" t="n">
        <x:v>3437.196643887115</x:v>
      </x:c>
      <x:c r="E32" s="46" t="n">
        <x:v>17.28799483674941</x:v>
      </x:c>
      <x:c r="F32" s="46" t="n">
        <x:v>7.242076258678953</x:v>
      </x:c>
      <x:c r="G32" s="46" t="n">
        <x:v>15</x:v>
      </x:c>
      <x:c r="H32" s="46" t="n">
        <x:v>30</x:v>
      </x:c>
      <x:c r="I32" s="27" t="str">
        <x:v>YES</x:v>
      </x:c>
      <x:c r="J32" s="27" t="str">
        <x:f>IF(AND(F32&lt;=G32,I32="YES"),"PASS","FAIL")</x:f>
        <x:v>PASS</x:v>
      </x:c>
      <x:c r="K32" s="46" t="n">
        <x:f>SUMIFS(F:F,A:A,A32,C:C,C32)</x:f>
        <x:v>30</x:v>
      </x:c>
      <x:c r="L32" s="27" t="str">
        <x:f>IF(K32&lt;=H32,"PASS","FAIL")</x:f>
        <x:v>PASS</x:v>
      </x:c>
      <x:c r="M32" s="27" t="str">
        <x:v>people moved to capacity; receiver capacity does not move</x:v>
      </x:c>
    </x:row>
    <x:row r="33" ht="75.5999984741211" hidden="0" customHeight="1">
      <x:c r="A33" s="29" t="str">
        <x:v>SCA-15</x:v>
      </x:c>
      <x:c r="B33" s="29" t="str">
        <x:v>SCA-27</x:v>
      </x:c>
      <x:c r="C33" s="29" t="str">
        <x:v>Rail</x:v>
      </x:c>
      <x:c r="D33" s="47" t="n">
        <x:v>2405.204238333455</x:v>
      </x:c>
      <x:c r="E33" s="47" t="n">
        <x:v>54.36006054762079</x:v>
      </x:c>
      <x:c r="F33" s="47" t="n">
        <x:v>6.1030977732606395</x:v>
      </x:c>
      <x:c r="G33" s="47" t="n">
        <x:v>60</x:v>
      </x:c>
      <x:c r="H33" s="47" t="n">
        <x:v>120</x:v>
      </x:c>
      <x:c r="I33" s="29" t="str">
        <x:v>YES</x:v>
      </x:c>
      <x:c r="J33" s="29" t="str">
        <x:f>IF(AND(F33&lt;=G33,I33="YES"),"PASS","FAIL")</x:f>
        <x:v>PASS</x:v>
      </x:c>
      <x:c r="K33" s="47" t="n">
        <x:f>SUMIFS(F:F,A:A,A33,C:C,C33)</x:f>
        <x:v>6.1030977732606395</x:v>
      </x:c>
      <x:c r="L33" s="29" t="str">
        <x:f>IF(K33&lt;=H33,"PASS","FAIL")</x:f>
        <x:v>PASS</x:v>
      </x:c>
      <x:c r="M33" s="29" t="str">
        <x:v>people moved to capacity; receiver capacity does not move</x:v>
      </x:c>
    </x:row>
    <x:row r="34" ht="75.5999984741211" hidden="0" customHeight="1">
      <x:c r="A34" s="27" t="str">
        <x:v>SCA-03</x:v>
      </x:c>
      <x:c r="B34" s="27" t="str">
        <x:v>SCA-02</x:v>
      </x:c>
      <x:c r="C34" s="27" t="str">
        <x:v>Air</x:v>
      </x:c>
      <x:c r="D34" s="46" t="n">
        <x:v>2278.5937994087153</x:v>
      </x:c>
      <x:c r="E34" s="46" t="n">
        <x:v>15.505528922167255</x:v>
      </x:c>
      <x:c r="F34" s="46" t="n">
        <x:v>5</x:v>
      </x:c>
      <x:c r="G34" s="46" t="n">
        <x:v>15</x:v>
      </x:c>
      <x:c r="H34" s="46" t="n">
        <x:v>30</x:v>
      </x:c>
      <x:c r="I34" s="27" t="str">
        <x:v>YES</x:v>
      </x:c>
      <x:c r="J34" s="27" t="str">
        <x:f>IF(AND(F34&lt;=G34,I34="YES"),"PASS","FAIL")</x:f>
        <x:v>PASS</x:v>
      </x:c>
      <x:c r="K34" s="46" t="n">
        <x:f>SUMIFS(F:F,A:A,A34,C:C,C34)</x:f>
        <x:v>30</x:v>
      </x:c>
      <x:c r="L34" s="27" t="str">
        <x:f>IF(K34&lt;=H34,"PASS","FAIL")</x:f>
        <x:v>PASS</x:v>
      </x:c>
      <x:c r="M34" s="27" t="str">
        <x:v>people moved to capacity; receiver capacity does not move</x:v>
      </x:c>
    </x:row>
    <x:row r="35" ht="75.5999984741211" hidden="0" customHeight="1">
      <x:c r="A35" s="29" t="str">
        <x:v>SCA-03</x:v>
      </x:c>
      <x:c r="B35" s="29" t="str">
        <x:v>SCA-01</x:v>
      </x:c>
      <x:c r="C35" s="29" t="str">
        <x:v>Air</x:v>
      </x:c>
      <x:c r="D35" s="47" t="n">
        <x:v>4304.604857024437</x:v>
      </x:c>
      <x:c r="E35" s="47" t="n">
        <x:v>18.622469010806824</x:v>
      </x:c>
      <x:c r="F35" s="47" t="n">
        <x:v>15</x:v>
      </x:c>
      <x:c r="G35" s="47" t="n">
        <x:v>15</x:v>
      </x:c>
      <x:c r="H35" s="47" t="n">
        <x:v>30</x:v>
      </x:c>
      <x:c r="I35" s="29" t="str">
        <x:v>YES</x:v>
      </x:c>
      <x:c r="J35" s="29" t="str">
        <x:f>IF(AND(F35&lt;=G35,I35="YES"),"PASS","FAIL")</x:f>
        <x:v>PASS</x:v>
      </x:c>
      <x:c r="K35" s="47" t="n">
        <x:f>SUMIFS(F:F,A:A,A35,C:C,C35)</x:f>
        <x:v>30</x:v>
      </x:c>
      <x:c r="L35" s="29" t="str">
        <x:f>IF(K35&lt;=H35,"PASS","FAIL")</x:f>
        <x:v>PASS</x:v>
      </x:c>
      <x:c r="M35" s="29" t="str">
        <x:v>people moved to capacity; receiver capacity does not move</x:v>
      </x:c>
    </x:row>
    <x:row r="36" ht="75.5999984741211" hidden="0" customHeight="1">
      <x:c r="A36" s="27" t="str">
        <x:v>SCA-03</x:v>
      </x:c>
      <x:c r="B36" s="27" t="str">
        <x:v>SCA-32</x:v>
      </x:c>
      <x:c r="C36" s="27" t="str">
        <x:v>Air</x:v>
      </x:c>
      <x:c r="D36" s="46" t="n">
        <x:v>5914.6217403792525</x:v>
      </x:c>
      <x:c r="E36" s="46" t="n">
        <x:v>21.099418062121927</x:v>
      </x:c>
      <x:c r="F36" s="46" t="n">
        <x:v>10</x:v>
      </x:c>
      <x:c r="G36" s="46" t="n">
        <x:v>15</x:v>
      </x:c>
      <x:c r="H36" s="46" t="n">
        <x:v>30</x:v>
      </x:c>
      <x:c r="I36" s="27" t="str">
        <x:v>YES</x:v>
      </x:c>
      <x:c r="J36" s="27" t="str">
        <x:f>IF(AND(F36&lt;=G36,I36="YES"),"PASS","FAIL")</x:f>
        <x:v>PASS</x:v>
      </x:c>
      <x:c r="K36" s="46" t="n">
        <x:f>SUMIFS(F:F,A:A,A36,C:C,C36)</x:f>
        <x:v>30</x:v>
      </x:c>
      <x:c r="L36" s="27" t="str">
        <x:f>IF(K36&lt;=H36,"PASS","FAIL")</x:f>
        <x:v>PASS</x:v>
      </x:c>
      <x:c r="M36" s="27" t="str">
        <x:v>people moved to capacity; receiver capacity does not move</x:v>
      </x:c>
    </x:row>
    <x:row r="37" ht="75.5999984741211" hidden="0" customHeight="1">
      <x:c r="A37" s="29" t="str">
        <x:v>SCA-06</x:v>
      </x:c>
      <x:c r="B37" s="29" t="str">
        <x:v>SCA-01</x:v>
      </x:c>
      <x:c r="C37" s="29" t="str">
        <x:v>Air</x:v>
      </x:c>
      <x:c r="D37" s="47" t="n">
        <x:v>4270.00907266375</x:v>
      </x:c>
      <x:c r="E37" s="47" t="n">
        <x:v>18.569244727175</x:v>
      </x:c>
      <x:c r="F37" s="47" t="n">
        <x:v>5</x:v>
      </x:c>
      <x:c r="G37" s="47" t="n">
        <x:v>15</x:v>
      </x:c>
      <x:c r="H37" s="47" t="n">
        <x:v>30</x:v>
      </x:c>
      <x:c r="I37" s="29" t="str">
        <x:v>YES</x:v>
      </x:c>
      <x:c r="J37" s="29" t="str">
        <x:f>IF(AND(F37&lt;=G37,I37="YES"),"PASS","FAIL")</x:f>
        <x:v>PASS</x:v>
      </x:c>
      <x:c r="K37" s="47" t="n">
        <x:f>SUMIFS(F:F,A:A,A37,C:C,C37)</x:f>
        <x:v>7.757923741321047</x:v>
      </x:c>
      <x:c r="L37" s="29" t="str">
        <x:f>IF(K37&lt;=H37,"PASS","FAIL")</x:f>
        <x:v>PASS</x:v>
      </x:c>
      <x:c r="M37" s="29" t="str">
        <x:v>people moved to capacity; receiver capacity does not move</x:v>
      </x:c>
    </x:row>
    <x:row r="38" ht="75.5999984741211" hidden="0" customHeight="1">
      <x:c r="A38" s="27" t="str">
        <x:v>SCA-06</x:v>
      </x:c>
      <x:c r="B38" s="27" t="str">
        <x:v>SCA-32</x:v>
      </x:c>
      <x:c r="C38" s="27" t="str">
        <x:v>Air</x:v>
      </x:c>
      <x:c r="D38" s="46" t="n">
        <x:v>5227.236537916698</x:v>
      </x:c>
      <x:c r="E38" s="46" t="n">
        <x:v>20.04190236602569</x:v>
      </x:c>
      <x:c r="F38" s="46" t="n">
        <x:v>2.757923741321047</x:v>
      </x:c>
      <x:c r="G38" s="46" t="n">
        <x:v>15</x:v>
      </x:c>
      <x:c r="H38" s="46" t="n">
        <x:v>30</x:v>
      </x:c>
      <x:c r="I38" s="27" t="str">
        <x:v>YES</x:v>
      </x:c>
      <x:c r="J38" s="27" t="str">
        <x:f>IF(AND(F38&lt;=G38,I38="YES"),"PASS","FAIL")</x:f>
        <x:v>PASS</x:v>
      </x:c>
      <x:c r="K38" s="46" t="n">
        <x:f>SUMIFS(F:F,A:A,A38,C:C,C38)</x:f>
        <x:v>7.757923741321047</x:v>
      </x:c>
      <x:c r="L38" s="27" t="str">
        <x:f>IF(K38&lt;=H38,"PASS","FAIL")</x:f>
        <x:v>PASS</x:v>
      </x:c>
      <x:c r="M38" s="27" t="str">
        <x:v>people moved to capacity; receiver capacity does not move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9" customHeight="1">
      <x:c r="A1" s="81" t="str">
        <x:v>Origin closure after relocation</x:v>
      </x:c>
      <x:c r="B1" s="81"/>
      <x:c r="C1" s="81"/>
      <x:c r="D1" s="81"/>
      <x:c r="E1" s="81"/>
      <x:c r="F1" s="81"/>
      <x:c r="G1" s="81"/>
      <x:c r="H1" s="81"/>
      <x:c r="I1" s="81"/>
      <x:c r="J1" s="81"/>
    </x:row>
    <x:row r="2" ht="29" customHeight="1">
      <x:c r="A2" s="82" t="str">
        <x:v>The baseline corridor plan is credited only where a timely route, origin mode cap, arc cap and destination intake all reconcile.</x:v>
      </x:c>
      <x:c r="B2" s="82"/>
      <x:c r="C2" s="82"/>
      <x:c r="D2" s="82"/>
      <x:c r="E2" s="82"/>
      <x:c r="F2" s="82"/>
      <x:c r="G2" s="82"/>
      <x:c r="H2" s="82"/>
      <x:c r="I2" s="82"/>
      <x:c r="J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</x:row>
    <x:row r="4" ht="31" customHeight="1">
      <x:c r="A4" s="84" t="str">
        <x:v>SCA</x:v>
      </x:c>
      <x:c r="B4" s="85" t="str">
        <x:v>Demand</x:v>
      </x:c>
      <x:c r="C4" s="85" t="str">
        <x:v>Scenario capacity</x:v>
      </x:c>
      <x:c r="D4" s="85" t="str">
        <x:v>Local served</x:v>
      </x:c>
      <x:c r="E4" s="85" t="str">
        <x:v>Relocated served</x:v>
      </x:c>
      <x:c r="F4" s="85" t="str">
        <x:v>Total served</x:v>
      </x:c>
      <x:c r="G4" s="85" t="str">
        <x:v>Shortfall</x:v>
      </x:c>
      <x:c r="H4" s="85" t="str">
        <x:v>Closure</x:v>
      </x:c>
      <x:c r="I4" s="85" t="str">
        <x:v>Affected population</x:v>
      </x:c>
      <x:c r="J4" s="86" t="str">
        <x:v>Finding</x:v>
      </x:c>
    </x:row>
    <x:row r="5" ht="15" hidden="0" customHeight="1">
      <x:c r="A5" s="28" t="str">
        <x:v>SCA-01</x:v>
      </x:c>
      <x:c r="B5" s="45" t="n">
        <x:v>0</x:v>
      </x:c>
      <x:c r="C5" s="45" t="n">
        <x:v>31.02444949998931</x:v>
      </x:c>
      <x:c r="D5" s="45" t="n">
        <x:v>0</x:v>
      </x:c>
      <x:c r="E5" s="45" t="n">
        <x:f>SUMIF('Corridor Dispatch'!A:A,A5,'Corridor Dispatch'!F:F)</x:f>
        <x:v>0</x:v>
      </x:c>
      <x:c r="F5" s="45" t="n">
        <x:f>D5+E5</x:f>
        <x:v>0</x:v>
      </x:c>
      <x:c r="G5" s="45" t="n">
        <x:f>MAX(0,B5-F5)</x:f>
        <x:v>0</x:v>
      </x:c>
      <x:c r="H5" s="48" t="n">
        <x:f>IF(B5=0,1,F5/B5)</x:f>
        <x:v>1</x:v>
      </x:c>
      <x:c r="I5" s="39" t="n">
        <x:f>G5*1000</x:f>
        <x:v>0</x:v>
      </x:c>
      <x:c r="J5" s="28" t="str">
        <x:f>IF(G5&lt;0.01,"CLOSES","SHORTFALL")</x:f>
        <x:v>CLOSES</x:v>
      </x:c>
    </x:row>
    <x:row r="6" ht="15" hidden="0" customHeight="1">
      <x:c r="A6" s="27" t="str">
        <x:v>SCA-02</x:v>
      </x:c>
      <x:c r="B6" s="46" t="n">
        <x:v>0</x:v>
      </x:c>
      <x:c r="C6" s="46" t="n">
        <x:v>24.712320593568986</x:v>
      </x:c>
      <x:c r="D6" s="46" t="n">
        <x:v>0</x:v>
      </x:c>
      <x:c r="E6" s="46" t="n">
        <x:f>SUMIF('Corridor Dispatch'!A:A,A6,'Corridor Dispatch'!F:F)</x:f>
        <x:v>0</x:v>
      </x:c>
      <x:c r="F6" s="46" t="n">
        <x:f>D6+E6</x:f>
        <x:v>0</x:v>
      </x:c>
      <x:c r="G6" s="46" t="n">
        <x:f>MAX(0,B6-F6)</x:f>
        <x:v>0</x:v>
      </x:c>
      <x:c r="H6" s="49" t="n">
        <x:f>IF(B6=0,1,F6/B6)</x:f>
        <x:v>1</x:v>
      </x:c>
      <x:c r="I6" s="40" t="n">
        <x:f>G6*1000</x:f>
        <x:v>0</x:v>
      </x:c>
      <x:c r="J6" s="27" t="str">
        <x:f>IF(G6&lt;0.01,"CLOSES","SHORTFALL")</x:f>
        <x:v>CLOSES</x:v>
      </x:c>
    </x:row>
    <x:row r="7" ht="15" hidden="0" customHeight="1">
      <x:c r="A7" s="29" t="str">
        <x:v>SCA-03</x:v>
      </x:c>
      <x:c r="B7" s="47" t="n">
        <x:v>189.55148540002017</x:v>
      </x:c>
      <x:c r="C7" s="47" t="n">
        <x:v>89.70717596188382</x:v>
      </x:c>
      <x:c r="D7" s="47" t="n">
        <x:v>89.70717596188382</x:v>
      </x:c>
      <x:c r="E7" s="47" t="n">
        <x:f>SUMIF('Corridor Dispatch'!A:A,A7,'Corridor Dispatch'!F:F)</x:f>
        <x:v>30</x:v>
      </x:c>
      <x:c r="F7" s="47" t="n">
        <x:f>D7+E7</x:f>
        <x:v>119.70717596188382</x:v>
      </x:c>
      <x:c r="G7" s="47" t="n">
        <x:f>MAX(0,B7-F7)</x:f>
        <x:v>69.84430943813635</x:v>
      </x:c>
      <x:c r="H7" s="50" t="n">
        <x:f>IF(B7=0,1,F7/B7)</x:f>
        <x:v>0.6315285565252082</x:v>
      </x:c>
      <x:c r="I7" s="41" t="n">
        <x:f>G7*1000</x:f>
        <x:v>69844.30943813635</x:v>
      </x:c>
      <x:c r="J7" s="29" t="str">
        <x:f>IF(G7&lt;0.01,"CLOSES","SHORTFALL")</x:f>
        <x:v>SHORTFALL</x:v>
      </x:c>
    </x:row>
    <x:row r="8" ht="15" hidden="0" customHeight="1">
      <x:c r="A8" s="27" t="str">
        <x:v>SCA-04</x:v>
      </x:c>
      <x:c r="B8" s="46" t="n">
        <x:v>233.95574531388888</x:v>
      </x:c>
      <x:c r="C8" s="46" t="n">
        <x:v>61.71094734781621</x:v>
      </x:c>
      <x:c r="D8" s="46" t="n">
        <x:v>61.71094734781621</x:v>
      </x:c>
      <x:c r="E8" s="46" t="n">
        <x:f>SUMIF('Corridor Dispatch'!A:A,A8,'Corridor Dispatch'!F:F)</x:f>
        <x:v>61.3581770084146</x:v>
      </x:c>
      <x:c r="F8" s="46" t="n">
        <x:f>D8+E8</x:f>
        <x:v>123.06912435623082</x:v>
      </x:c>
      <x:c r="G8" s="46" t="n">
        <x:f>MAX(0,B8-F8)</x:f>
        <x:v>110.88662095765807</x:v>
      </x:c>
      <x:c r="H8" s="49" t="n">
        <x:f>IF(B8=0,1,F8/B8)</x:f>
        <x:v>0.5260359141474128</x:v>
      </x:c>
      <x:c r="I8" s="40" t="n">
        <x:f>G8*1000</x:f>
        <x:v>110886.62095765807</x:v>
      </x:c>
      <x:c r="J8" s="27" t="str">
        <x:f>IF(G8&lt;0.01,"CLOSES","SHORTFALL")</x:f>
        <x:v>SHORTFALL</x:v>
      </x:c>
    </x:row>
    <x:row r="9" ht="15" hidden="0" customHeight="1">
      <x:c r="A9" s="29" t="str">
        <x:v>SCA-05</x:v>
      </x:c>
      <x:c r="B9" s="47" t="n">
        <x:v>239.2855416046741</x:v>
      </x:c>
      <x:c r="C9" s="47" t="n">
        <x:v>57.02050456535204</x:v>
      </x:c>
      <x:c r="D9" s="47" t="n">
        <x:v>57.02050456535204</x:v>
      </x:c>
      <x:c r="E9" s="47" t="n">
        <x:f>SUMIF('Corridor Dispatch'!A:A,A9,'Corridor Dispatch'!F:F)</x:f>
        <x:v>177.96544319458155</x:v>
      </x:c>
      <x:c r="F9" s="47" t="n">
        <x:f>D9+E9</x:f>
        <x:v>234.9859477599336</x:v>
      </x:c>
      <x:c r="G9" s="47" t="n">
        <x:f>MAX(0,B9-F9)</x:f>
        <x:v>4.299593844740514</x:v>
      </x:c>
      <x:c r="H9" s="50" t="n">
        <x:f>IF(B9=0,1,F9/B9)</x:f>
        <x:v>0.9820315351445517</x:v>
      </x:c>
      <x:c r="I9" s="41" t="n">
        <x:f>G9*1000</x:f>
        <x:v>4299.593844740513</x:v>
      </x:c>
      <x:c r="J9" s="29" t="str">
        <x:f>IF(G9&lt;0.01,"CLOSES","SHORTFALL")</x:f>
        <x:v>SHORTFALL</x:v>
      </x:c>
    </x:row>
    <x:row r="10" ht="15" hidden="0" customHeight="1">
      <x:c r="A10" s="27" t="str">
        <x:v>SCA-06</x:v>
      </x:c>
      <x:c r="B10" s="46" t="n">
        <x:v>90.05018538445309</x:v>
      </x:c>
      <x:c r="C10" s="46" t="n">
        <x:v>25.392328285342835</x:v>
      </x:c>
      <x:c r="D10" s="46" t="n">
        <x:v>25.392328285342835</x:v>
      </x:c>
      <x:c r="E10" s="46" t="n">
        <x:f>SUMIF('Corridor Dispatch'!A:A,A10,'Corridor Dispatch'!F:F)</x:f>
        <x:v>7.757923741321047</x:v>
      </x:c>
      <x:c r="F10" s="46" t="n">
        <x:f>D10+E10</x:f>
        <x:v>33.15025202666388</x:v>
      </x:c>
      <x:c r="G10" s="46" t="n">
        <x:f>MAX(0,B10-F10)</x:f>
        <x:v>56.89993335778921</x:v>
      </x:c>
      <x:c r="H10" s="49" t="n">
        <x:f>IF(B10=0,1,F10/B10)</x:f>
        <x:v>0.36813085820017843</x:v>
      </x:c>
      <x:c r="I10" s="40" t="n">
        <x:f>G10*1000</x:f>
        <x:v>56899.93335778921</x:v>
      </x:c>
      <x:c r="J10" s="27" t="str">
        <x:f>IF(G10&lt;0.01,"CLOSES","SHORTFALL")</x:f>
        <x:v>SHORTFALL</x:v>
      </x:c>
    </x:row>
    <x:row r="11" ht="15" hidden="0" customHeight="1">
      <x:c r="A11" s="29" t="str">
        <x:v>SCA-07</x:v>
      </x:c>
      <x:c r="B11" s="47" t="n">
        <x:v>40.42160865496613</x:v>
      </x:c>
      <x:c r="C11" s="47" t="n">
        <x:v>36.008236675989366</x:v>
      </x:c>
      <x:c r="D11" s="47" t="n">
        <x:v>36.008236675989366</x:v>
      </x:c>
      <x:c r="E11" s="47" t="n">
        <x:f>SUMIF('Corridor Dispatch'!A:A,A11,'Corridor Dispatch'!F:F)</x:f>
        <x:v>0</x:v>
      </x:c>
      <x:c r="F11" s="47" t="n">
        <x:f>D11+E11</x:f>
        <x:v>36.008236675989366</x:v>
      </x:c>
      <x:c r="G11" s="47" t="n">
        <x:f>MAX(0,B11-F11)</x:f>
        <x:v>4.4133719789767625</x:v>
      </x:c>
      <x:c r="H11" s="50" t="n">
        <x:f>IF(B11=0,1,F11/B11)</x:f>
        <x:v>0.8908165180498193</x:v>
      </x:c>
      <x:c r="I11" s="41" t="n">
        <x:f>G11*1000</x:f>
        <x:v>4413.371978976763</x:v>
      </x:c>
      <x:c r="J11" s="29" t="str">
        <x:f>IF(G11&lt;0.01,"CLOSES","SHORTFALL")</x:f>
        <x:v>SHORTFALL</x:v>
      </x:c>
    </x:row>
    <x:row r="12" ht="15" hidden="0" customHeight="1">
      <x:c r="A12" s="27" t="str">
        <x:v>SCA-08</x:v>
      </x:c>
      <x:c r="B12" s="46" t="n">
        <x:v>5.2031260523528635</x:v>
      </x:c>
      <x:c r="C12" s="46" t="n">
        <x:v>40.281307165493835</x:v>
      </x:c>
      <x:c r="D12" s="46" t="n">
        <x:v>5.2031260523528635</x:v>
      </x:c>
      <x:c r="E12" s="46" t="n">
        <x:f>SUMIF('Corridor Dispatch'!A:A,A12,'Corridor Dispatch'!F:F)</x:f>
        <x:v>0</x:v>
      </x:c>
      <x:c r="F12" s="46" t="n">
        <x:f>D12+E12</x:f>
        <x:v>5.2031260523528635</x:v>
      </x:c>
      <x:c r="G12" s="46" t="n">
        <x:f>MAX(0,B12-F12)</x:f>
        <x:v>0</x:v>
      </x:c>
      <x:c r="H12" s="49" t="n">
        <x:f>IF(B12=0,1,F12/B12)</x:f>
        <x:v>1</x:v>
      </x:c>
      <x:c r="I12" s="40" t="n">
        <x:f>G12*1000</x:f>
        <x:v>0</x:v>
      </x:c>
      <x:c r="J12" s="27" t="str">
        <x:f>IF(G12&lt;0.01,"CLOSES","SHORTFALL")</x:f>
        <x:v>CLOSES</x:v>
      </x:c>
    </x:row>
    <x:row r="13" ht="15" hidden="0" customHeight="1">
      <x:c r="A13" s="29" t="str">
        <x:v>SCA-09</x:v>
      </x:c>
      <x:c r="B13" s="47" t="n">
        <x:v>16.878349055151574</x:v>
      </x:c>
      <x:c r="C13" s="47" t="n">
        <x:v>59.596487441746774</x:v>
      </x:c>
      <x:c r="D13" s="47" t="n">
        <x:v>16.878349055151574</x:v>
      </x:c>
      <x:c r="E13" s="47" t="n">
        <x:f>SUMIF('Corridor Dispatch'!A:A,A13,'Corridor Dispatch'!F:F)</x:f>
        <x:v>0</x:v>
      </x:c>
      <x:c r="F13" s="47" t="n">
        <x:f>D13+E13</x:f>
        <x:v>16.878349055151574</x:v>
      </x:c>
      <x:c r="G13" s="47" t="n">
        <x:f>MAX(0,B13-F13)</x:f>
        <x:v>0</x:v>
      </x:c>
      <x:c r="H13" s="50" t="n">
        <x:f>IF(B13=0,1,F13/B13)</x:f>
        <x:v>1</x:v>
      </x:c>
      <x:c r="I13" s="41" t="n">
        <x:f>G13*1000</x:f>
        <x:v>0</x:v>
      </x:c>
      <x:c r="J13" s="29" t="str">
        <x:f>IF(G13&lt;0.01,"CLOSES","SHORTFALL")</x:f>
        <x:v>CLOSES</x:v>
      </x:c>
    </x:row>
    <x:row r="14" ht="15" hidden="0" customHeight="1">
      <x:c r="A14" s="27" t="str">
        <x:v>SCA-10</x:v>
      </x:c>
      <x:c r="B14" s="46" t="n">
        <x:v>7.435698061213477</x:v>
      </x:c>
      <x:c r="C14" s="46" t="n">
        <x:v>42.33589717869002</x:v>
      </x:c>
      <x:c r="D14" s="46" t="n">
        <x:v>7.435698061213477</x:v>
      </x:c>
      <x:c r="E14" s="46" t="n">
        <x:f>SUMIF('Corridor Dispatch'!A:A,A14,'Corridor Dispatch'!F:F)</x:f>
        <x:v>0</x:v>
      </x:c>
      <x:c r="F14" s="46" t="n">
        <x:f>D14+E14</x:f>
        <x:v>7.435698061213477</x:v>
      </x:c>
      <x:c r="G14" s="46" t="n">
        <x:f>MAX(0,B14-F14)</x:f>
        <x:v>0</x:v>
      </x:c>
      <x:c r="H14" s="49" t="n">
        <x:f>IF(B14=0,1,F14/B14)</x:f>
        <x:v>1</x:v>
      </x:c>
      <x:c r="I14" s="40" t="n">
        <x:f>G14*1000</x:f>
        <x:v>0</x:v>
      </x:c>
      <x:c r="J14" s="27" t="str">
        <x:f>IF(G14&lt;0.01,"CLOSES","SHORTFALL")</x:f>
        <x:v>CLOSES</x:v>
      </x:c>
    </x:row>
    <x:row r="15" ht="15" hidden="0" customHeight="1">
      <x:c r="A15" s="29" t="str">
        <x:v>SCA-11</x:v>
      </x:c>
      <x:c r="B15" s="47" t="n">
        <x:v>28.5048524394848</x:v>
      </x:c>
      <x:c r="C15" s="47" t="n">
        <x:v>25.910772076443568</x:v>
      </x:c>
      <x:c r="D15" s="47" t="n">
        <x:v>25.910772076443568</x:v>
      </x:c>
      <x:c r="E15" s="47" t="n">
        <x:f>SUMIF('Corridor Dispatch'!A:A,A15,'Corridor Dispatch'!F:F)</x:f>
        <x:v>0</x:v>
      </x:c>
      <x:c r="F15" s="47" t="n">
        <x:f>D15+E15</x:f>
        <x:v>25.910772076443568</x:v>
      </x:c>
      <x:c r="G15" s="47" t="n">
        <x:f>MAX(0,B15-F15)</x:f>
        <x:v>2.5940803630412326</x:v>
      </x:c>
      <x:c r="H15" s="50" t="n">
        <x:f>IF(B15=0,1,F15/B15)</x:f>
        <x:v>0.908995130967669</x:v>
      </x:c>
      <x:c r="I15" s="41" t="n">
        <x:f>G15*1000</x:f>
        <x:v>2594.0803630412324</x:v>
      </x:c>
      <x:c r="J15" s="29" t="str">
        <x:f>IF(G15&lt;0.01,"CLOSES","SHORTFALL")</x:f>
        <x:v>SHORTFALL</x:v>
      </x:c>
    </x:row>
    <x:row r="16" ht="15" hidden="0" customHeight="1">
      <x:c r="A16" s="27" t="str">
        <x:v>SCA-12</x:v>
      </x:c>
      <x:c r="B16" s="46" t="n">
        <x:v>5.365241613945343</x:v>
      </x:c>
      <x:c r="C16" s="46" t="n">
        <x:v>81.36492618348636</x:v>
      </x:c>
      <x:c r="D16" s="46" t="n">
        <x:v>5.365241613945343</x:v>
      </x:c>
      <x:c r="E16" s="46" t="n">
        <x:f>SUMIF('Corridor Dispatch'!A:A,A16,'Corridor Dispatch'!F:F)</x:f>
        <x:v>0</x:v>
      </x:c>
      <x:c r="F16" s="46" t="n">
        <x:f>D16+E16</x:f>
        <x:v>5.365241613945343</x:v>
      </x:c>
      <x:c r="G16" s="46" t="n">
        <x:f>MAX(0,B16-F16)</x:f>
        <x:v>0</x:v>
      </x:c>
      <x:c r="H16" s="49" t="n">
        <x:f>IF(B16=0,1,F16/B16)</x:f>
        <x:v>1</x:v>
      </x:c>
      <x:c r="I16" s="40" t="n">
        <x:f>G16*1000</x:f>
        <x:v>0</x:v>
      </x:c>
      <x:c r="J16" s="27" t="str">
        <x:f>IF(G16&lt;0.01,"CLOSES","SHORTFALL")</x:f>
        <x:v>CLOSES</x:v>
      </x:c>
    </x:row>
    <x:row r="17" ht="15" hidden="0" customHeight="1">
      <x:c r="A17" s="29" t="str">
        <x:v>SCA-13</x:v>
      </x:c>
      <x:c r="B17" s="47" t="n">
        <x:v>91.41150687838933</x:v>
      </x:c>
      <x:c r="C17" s="47" t="n">
        <x:v>27.77591493841134</x:v>
      </x:c>
      <x:c r="D17" s="47" t="n">
        <x:v>27.77591493841134</x:v>
      </x:c>
      <x:c r="E17" s="47" t="n">
        <x:f>SUMIF('Corridor Dispatch'!A:A,A17,'Corridor Dispatch'!F:F)</x:f>
        <x:v>0</x:v>
      </x:c>
      <x:c r="F17" s="47" t="n">
        <x:f>D17+E17</x:f>
        <x:v>27.77591493841134</x:v>
      </x:c>
      <x:c r="G17" s="47" t="n">
        <x:f>MAX(0,B17-F17)</x:f>
        <x:v>63.63559193997799</x:v>
      </x:c>
      <x:c r="H17" s="50" t="n">
        <x:f>IF(B17=0,1,F17/B17)</x:f>
        <x:v>0.3038557823509402</x:v>
      </x:c>
      <x:c r="I17" s="41" t="n">
        <x:f>G17*1000</x:f>
        <x:v>63635.59193997799</x:v>
      </x:c>
      <x:c r="J17" s="29" t="str">
        <x:f>IF(G17&lt;0.01,"CLOSES","SHORTFALL")</x:f>
        <x:v>SHORTFALL</x:v>
      </x:c>
    </x:row>
    <x:row r="18" ht="15" hidden="0" customHeight="1">
      <x:c r="A18" s="27" t="str">
        <x:v>SCA-14</x:v>
      </x:c>
      <x:c r="B18" s="46" t="n">
        <x:v>29.4794804486302</x:v>
      </x:c>
      <x:c r="C18" s="46" t="n">
        <x:v>13.230928616826903</x:v>
      </x:c>
      <x:c r="D18" s="46" t="n">
        <x:v>13.230928616826903</x:v>
      </x:c>
      <x:c r="E18" s="46" t="n">
        <x:f>SUMIF('Corridor Dispatch'!A:A,A18,'Corridor Dispatch'!F:F)</x:f>
        <x:v>0</x:v>
      </x:c>
      <x:c r="F18" s="46" t="n">
        <x:f>D18+E18</x:f>
        <x:v>13.230928616826903</x:v>
      </x:c>
      <x:c r="G18" s="46" t="n">
        <x:f>MAX(0,B18-F18)</x:f>
        <x:v>16.248551831803297</x:v>
      </x:c>
      <x:c r="H18" s="49" t="n">
        <x:f>IF(B18=0,1,F18/B18)</x:f>
        <x:v>0.44881824290908406</x:v>
      </x:c>
      <x:c r="I18" s="40" t="n">
        <x:f>G18*1000</x:f>
        <x:v>16248.551831803297</x:v>
      </x:c>
      <x:c r="J18" s="27" t="str">
        <x:f>IF(G18&lt;0.01,"CLOSES","SHORTFALL")</x:f>
        <x:v>SHORTFALL</x:v>
      </x:c>
    </x:row>
    <x:row r="19" ht="15" hidden="0" customHeight="1">
      <x:c r="A19" s="29" t="str">
        <x:v>SCA-15</x:v>
      </x:c>
      <x:c r="B19" s="47" t="n">
        <x:v>158.87760544429</x:v>
      </x:c>
      <x:c r="C19" s="47" t="n">
        <x:v>56.68700081053821</x:v>
      </x:c>
      <x:c r="D19" s="47" t="n">
        <x:v>56.68700081053821</x:v>
      </x:c>
      <x:c r="E19" s="47" t="n">
        <x:f>SUMIF('Corridor Dispatch'!A:A,A19,'Corridor Dispatch'!F:F)</x:f>
        <x:v>36.10309777326064</x:v>
      </x:c>
      <x:c r="F19" s="47" t="n">
        <x:f>D19+E19</x:f>
        <x:v>92.79009858379885</x:v>
      </x:c>
      <x:c r="G19" s="47" t="n">
        <x:f>MAX(0,B19-F19)</x:f>
        <x:v>66.08750686049115</x:v>
      </x:c>
      <x:c r="H19" s="50" t="n">
        <x:f>IF(B19=0,1,F19/B19)</x:f>
        <x:v>0.5840351025200682</x:v>
      </x:c>
      <x:c r="I19" s="41" t="n">
        <x:f>G19*1000</x:f>
        <x:v>66087.50686049115</x:v>
      </x:c>
      <x:c r="J19" s="29" t="str">
        <x:f>IF(G19&lt;0.01,"CLOSES","SHORTFALL")</x:f>
        <x:v>SHORTFALL</x:v>
      </x:c>
    </x:row>
    <x:row r="20" ht="15" hidden="0" customHeight="1">
      <x:c r="A20" s="27" t="str">
        <x:v>SCA-16</x:v>
      </x:c>
      <x:c r="B20" s="46" t="n">
        <x:v>14.101997099435176</x:v>
      </x:c>
      <x:c r="C20" s="46" t="n">
        <x:v>101.90981106431379</x:v>
      </x:c>
      <x:c r="D20" s="46" t="n">
        <x:v>14.101997099435176</x:v>
      </x:c>
      <x:c r="E20" s="46" t="n">
        <x:f>SUMIF('Corridor Dispatch'!A:A,A20,'Corridor Dispatch'!F:F)</x:f>
        <x:v>0</x:v>
      </x:c>
      <x:c r="F20" s="46" t="n">
        <x:f>D20+E20</x:f>
        <x:v>14.101997099435176</x:v>
      </x:c>
      <x:c r="G20" s="46" t="n">
        <x:f>MAX(0,B20-F20)</x:f>
        <x:v>0</x:v>
      </x:c>
      <x:c r="H20" s="49" t="n">
        <x:f>IF(B20=0,1,F20/B20)</x:f>
        <x:v>1</x:v>
      </x:c>
      <x:c r="I20" s="40" t="n">
        <x:f>G20*1000</x:f>
        <x:v>0</x:v>
      </x:c>
      <x:c r="J20" s="27" t="str">
        <x:f>IF(G20&lt;0.01,"CLOSES","SHORTFALL")</x:f>
        <x:v>CLOSES</x:v>
      </x:c>
    </x:row>
    <x:row r="21" ht="15" hidden="0" customHeight="1">
      <x:c r="A21" s="29" t="str">
        <x:v>SCA-17</x:v>
      </x:c>
      <x:c r="B21" s="47" t="n">
        <x:v>165.8996744260575</x:v>
      </x:c>
      <x:c r="C21" s="47" t="n">
        <x:v>52.56821341112246</x:v>
      </x:c>
      <x:c r="D21" s="47" t="n">
        <x:v>52.56821341112246</x:v>
      </x:c>
      <x:c r="E21" s="47" t="n">
        <x:f>SUMIF('Corridor Dispatch'!A:A,A21,'Corridor Dispatch'!F:F)</x:f>
        <x:v>113.33146101493503</x:v>
      </x:c>
      <x:c r="F21" s="47" t="n">
        <x:f>D21+E21</x:f>
        <x:v>165.8996744260575</x:v>
      </x:c>
      <x:c r="G21" s="47" t="n">
        <x:f>MAX(0,B21-F21)</x:f>
        <x:v>0</x:v>
      </x:c>
      <x:c r="H21" s="50" t="n">
        <x:f>IF(B21=0,1,F21/B21)</x:f>
        <x:v>1</x:v>
      </x:c>
      <x:c r="I21" s="41" t="n">
        <x:f>G21*1000</x:f>
        <x:v>0</x:v>
      </x:c>
      <x:c r="J21" s="29" t="str">
        <x:f>IF(G21&lt;0.01,"CLOSES","SHORTFALL")</x:f>
        <x:v>CLOSES</x:v>
      </x:c>
    </x:row>
    <x:row r="22" ht="15" hidden="0" customHeight="1">
      <x:c r="A22" s="27" t="str">
        <x:v>SCA-18</x:v>
      </x:c>
      <x:c r="B22" s="46" t="n">
        <x:v>36.16990392751423</x:v>
      </x:c>
      <x:c r="C22" s="46" t="n">
        <x:v>94.17289872354326</x:v>
      </x:c>
      <x:c r="D22" s="46" t="n">
        <x:v>36.16990392751423</x:v>
      </x:c>
      <x:c r="E22" s="46" t="n">
        <x:f>SUMIF('Corridor Dispatch'!A:A,A22,'Corridor Dispatch'!F:F)</x:f>
        <x:v>0</x:v>
      </x:c>
      <x:c r="F22" s="46" t="n">
        <x:f>D22+E22</x:f>
        <x:v>36.16990392751423</x:v>
      </x:c>
      <x:c r="G22" s="46" t="n">
        <x:f>MAX(0,B22-F22)</x:f>
        <x:v>0</x:v>
      </x:c>
      <x:c r="H22" s="49" t="n">
        <x:f>IF(B22=0,1,F22/B22)</x:f>
        <x:v>1</x:v>
      </x:c>
      <x:c r="I22" s="40" t="n">
        <x:f>G22*1000</x:f>
        <x:v>0</x:v>
      </x:c>
      <x:c r="J22" s="27" t="str">
        <x:f>IF(G22&lt;0.01,"CLOSES","SHORTFALL")</x:f>
        <x:v>CLOSES</x:v>
      </x:c>
    </x:row>
    <x:row r="23" ht="15" hidden="0" customHeight="1">
      <x:c r="A23" s="29" t="str">
        <x:v>SCA-19</x:v>
      </x:c>
      <x:c r="B23" s="47" t="n">
        <x:v>34.31740768321789</x:v>
      </x:c>
      <x:c r="C23" s="47" t="n">
        <x:v>56.20859391614881</x:v>
      </x:c>
      <x:c r="D23" s="47" t="n">
        <x:v>34.31740768321789</x:v>
      </x:c>
      <x:c r="E23" s="47" t="n">
        <x:f>SUMIF('Corridor Dispatch'!A:A,A23,'Corridor Dispatch'!F:F)</x:f>
        <x:v>0</x:v>
      </x:c>
      <x:c r="F23" s="47" t="n">
        <x:f>D23+E23</x:f>
        <x:v>34.31740768321789</x:v>
      </x:c>
      <x:c r="G23" s="47" t="n">
        <x:f>MAX(0,B23-F23)</x:f>
        <x:v>0</x:v>
      </x:c>
      <x:c r="H23" s="50" t="n">
        <x:f>IF(B23=0,1,F23/B23)</x:f>
        <x:v>1</x:v>
      </x:c>
      <x:c r="I23" s="41" t="n">
        <x:f>G23*1000</x:f>
        <x:v>0</x:v>
      </x:c>
      <x:c r="J23" s="29" t="str">
        <x:f>IF(G23&lt;0.01,"CLOSES","SHORTFALL")</x:f>
        <x:v>CLOSES</x:v>
      </x:c>
    </x:row>
    <x:row r="24" ht="15" hidden="0" customHeight="1">
      <x:c r="A24" s="27" t="str">
        <x:v>SCA-20</x:v>
      </x:c>
      <x:c r="B24" s="46" t="n">
        <x:v>85.27659252971277</x:v>
      </x:c>
      <x:c r="C24" s="46" t="n">
        <x:v>53.59198759591161</x:v>
      </x:c>
      <x:c r="D24" s="46" t="n">
        <x:v>53.59198759591161</x:v>
      </x:c>
      <x:c r="E24" s="46" t="n">
        <x:f>SUMIF('Corridor Dispatch'!A:A,A24,'Corridor Dispatch'!F:F)</x:f>
        <x:v>0</x:v>
      </x:c>
      <x:c r="F24" s="46" t="n">
        <x:f>D24+E24</x:f>
        <x:v>53.59198759591161</x:v>
      </x:c>
      <x:c r="G24" s="46" t="n">
        <x:f>MAX(0,B24-F24)</x:f>
        <x:v>31.68460493380116</x:v>
      </x:c>
      <x:c r="H24" s="49" t="n">
        <x:f>IF(B24=0,1,F24/B24)</x:f>
        <x:v>0.6284489800321073</x:v>
      </x:c>
      <x:c r="I24" s="40" t="n">
        <x:f>G24*1000</x:f>
        <x:v>31684.60493380116</x:v>
      </x:c>
      <x:c r="J24" s="27" t="str">
        <x:f>IF(G24&lt;0.01,"CLOSES","SHORTFALL")</x:f>
        <x:v>SHORTFALL</x:v>
      </x:c>
    </x:row>
    <x:row r="25" ht="15" hidden="0" customHeight="1">
      <x:c r="A25" s="29" t="str">
        <x:v>SCA-21</x:v>
      </x:c>
      <x:c r="B25" s="47" t="n">
        <x:v>97.24703529450264</x:v>
      </x:c>
      <x:c r="C25" s="47" t="n">
        <x:v>143.60521230291724</x:v>
      </x:c>
      <x:c r="D25" s="47" t="n">
        <x:v>97.24703529450264</x:v>
      </x:c>
      <x:c r="E25" s="47" t="n">
        <x:f>SUMIF('Corridor Dispatch'!A:A,A25,'Corridor Dispatch'!F:F)</x:f>
        <x:v>0</x:v>
      </x:c>
      <x:c r="F25" s="47" t="n">
        <x:f>D25+E25</x:f>
        <x:v>97.24703529450264</x:v>
      </x:c>
      <x:c r="G25" s="47" t="n">
        <x:f>MAX(0,B25-F25)</x:f>
        <x:v>0</x:v>
      </x:c>
      <x:c r="H25" s="50" t="n">
        <x:f>IF(B25=0,1,F25/B25)</x:f>
        <x:v>1</x:v>
      </x:c>
      <x:c r="I25" s="41" t="n">
        <x:f>G25*1000</x:f>
        <x:v>0</x:v>
      </x:c>
      <x:c r="J25" s="29" t="str">
        <x:f>IF(G25&lt;0.01,"CLOSES","SHORTFALL")</x:f>
        <x:v>CLOSES</x:v>
      </x:c>
    </x:row>
    <x:row r="26" ht="15" hidden="0" customHeight="1">
      <x:c r="A26" s="27" t="str">
        <x:v>SCA-22</x:v>
      </x:c>
      <x:c r="B26" s="46" t="n">
        <x:v>74.64999478400783</x:v>
      </x:c>
      <x:c r="C26" s="46" t="n">
        <x:v>110.18123588652277</x:v>
      </x:c>
      <x:c r="D26" s="46" t="n">
        <x:v>74.64999478400783</x:v>
      </x:c>
      <x:c r="E26" s="46" t="n">
        <x:f>SUMIF('Corridor Dispatch'!A:A,A26,'Corridor Dispatch'!F:F)</x:f>
        <x:v>0</x:v>
      </x:c>
      <x:c r="F26" s="46" t="n">
        <x:f>D26+E26</x:f>
        <x:v>74.64999478400783</x:v>
      </x:c>
      <x:c r="G26" s="46" t="n">
        <x:f>MAX(0,B26-F26)</x:f>
        <x:v>0</x:v>
      </x:c>
      <x:c r="H26" s="49" t="n">
        <x:f>IF(B26=0,1,F26/B26)</x:f>
        <x:v>1</x:v>
      </x:c>
      <x:c r="I26" s="40" t="n">
        <x:f>G26*1000</x:f>
        <x:v>0</x:v>
      </x:c>
      <x:c r="J26" s="27" t="str">
        <x:f>IF(G26&lt;0.01,"CLOSES","SHORTFALL")</x:f>
        <x:v>CLOSES</x:v>
      </x:c>
    </x:row>
    <x:row r="27" ht="15" hidden="0" customHeight="1">
      <x:c r="A27" s="29" t="str">
        <x:v>SCA-23</x:v>
      </x:c>
      <x:c r="B27" s="47" t="n">
        <x:v>111.7119448002053</x:v>
      </x:c>
      <x:c r="C27" s="47" t="n">
        <x:v>142.5474715868934</x:v>
      </x:c>
      <x:c r="D27" s="47" t="n">
        <x:v>111.7119448002053</x:v>
      </x:c>
      <x:c r="E27" s="47" t="n">
        <x:f>SUMIF('Corridor Dispatch'!A:A,A27,'Corridor Dispatch'!F:F)</x:f>
        <x:v>0</x:v>
      </x:c>
      <x:c r="F27" s="47" t="n">
        <x:f>D27+E27</x:f>
        <x:v>111.7119448002053</x:v>
      </x:c>
      <x:c r="G27" s="47" t="n">
        <x:f>MAX(0,B27-F27)</x:f>
        <x:v>0</x:v>
      </x:c>
      <x:c r="H27" s="50" t="n">
        <x:f>IF(B27=0,1,F27/B27)</x:f>
        <x:v>1</x:v>
      </x:c>
      <x:c r="I27" s="41" t="n">
        <x:f>G27*1000</x:f>
        <x:v>0</x:v>
      </x:c>
      <x:c r="J27" s="29" t="str">
        <x:f>IF(G27&lt;0.01,"CLOSES","SHORTFALL")</x:f>
        <x:v>CLOSES</x:v>
      </x:c>
    </x:row>
    <x:row r="28" ht="15" hidden="0" customHeight="1">
      <x:c r="A28" s="27" t="str">
        <x:v>SCA-24</x:v>
      </x:c>
      <x:c r="B28" s="46" t="n">
        <x:v>57.91537534972193</x:v>
      </x:c>
      <x:c r="C28" s="46" t="n">
        <x:v>87.67742060919531</x:v>
      </x:c>
      <x:c r="D28" s="46" t="n">
        <x:v>57.91537534972193</x:v>
      </x:c>
      <x:c r="E28" s="46" t="n">
        <x:f>SUMIF('Corridor Dispatch'!A:A,A28,'Corridor Dispatch'!F:F)</x:f>
        <x:v>0</x:v>
      </x:c>
      <x:c r="F28" s="46" t="n">
        <x:f>D28+E28</x:f>
        <x:v>57.91537534972193</x:v>
      </x:c>
      <x:c r="G28" s="46" t="n">
        <x:f>MAX(0,B28-F28)</x:f>
        <x:v>0</x:v>
      </x:c>
      <x:c r="H28" s="49" t="n">
        <x:f>IF(B28=0,1,F28/B28)</x:f>
        <x:v>1</x:v>
      </x:c>
      <x:c r="I28" s="40" t="n">
        <x:f>G28*1000</x:f>
        <x:v>0</x:v>
      </x:c>
      <x:c r="J28" s="27" t="str">
        <x:f>IF(G28&lt;0.01,"CLOSES","SHORTFALL")</x:f>
        <x:v>CLOSES</x:v>
      </x:c>
    </x:row>
    <x:row r="29" ht="15" hidden="0" customHeight="1">
      <x:c r="A29" s="29" t="str">
        <x:v>SCA-25</x:v>
      </x:c>
      <x:c r="B29" s="47" t="n">
        <x:v>21.215065511309</x:v>
      </x:c>
      <x:c r="C29" s="47" t="n">
        <x:v>53.3245118608377</x:v>
      </x:c>
      <x:c r="D29" s="47" t="n">
        <x:v>21.215065511309</x:v>
      </x:c>
      <x:c r="E29" s="47" t="n">
        <x:f>SUMIF('Corridor Dispatch'!A:A,A29,'Corridor Dispatch'!F:F)</x:f>
        <x:v>0</x:v>
      </x:c>
      <x:c r="F29" s="47" t="n">
        <x:f>D29+E29</x:f>
        <x:v>21.215065511309</x:v>
      </x:c>
      <x:c r="G29" s="47" t="n">
        <x:f>MAX(0,B29-F29)</x:f>
        <x:v>0</x:v>
      </x:c>
      <x:c r="H29" s="50" t="n">
        <x:f>IF(B29=0,1,F29/B29)</x:f>
        <x:v>1</x:v>
      </x:c>
      <x:c r="I29" s="41" t="n">
        <x:f>G29*1000</x:f>
        <x:v>0</x:v>
      </x:c>
      <x:c r="J29" s="29" t="str">
        <x:f>IF(G29&lt;0.01,"CLOSES","SHORTFALL")</x:f>
        <x:v>CLOSES</x:v>
      </x:c>
    </x:row>
    <x:row r="30" ht="15" hidden="0" customHeight="1">
      <x:c r="A30" s="27" t="str">
        <x:v>SCA-26</x:v>
      </x:c>
      <x:c r="B30" s="46" t="n">
        <x:v>35.54524257487323</x:v>
      </x:c>
      <x:c r="C30" s="46" t="n">
        <x:v>80.82256386955393</x:v>
      </x:c>
      <x:c r="D30" s="46" t="n">
        <x:v>35.54524257487323</x:v>
      </x:c>
      <x:c r="E30" s="46" t="n">
        <x:f>SUMIF('Corridor Dispatch'!A:A,A30,'Corridor Dispatch'!F:F)</x:f>
        <x:v>0</x:v>
      </x:c>
      <x:c r="F30" s="46" t="n">
        <x:f>D30+E30</x:f>
        <x:v>35.54524257487323</x:v>
      </x:c>
      <x:c r="G30" s="46" t="n">
        <x:f>MAX(0,B30-F30)</x:f>
        <x:v>0</x:v>
      </x:c>
      <x:c r="H30" s="49" t="n">
        <x:f>IF(B30=0,1,F30/B30)</x:f>
        <x:v>1</x:v>
      </x:c>
      <x:c r="I30" s="40" t="n">
        <x:f>G30*1000</x:f>
        <x:v>0</x:v>
      </x:c>
      <x:c r="J30" s="27" t="str">
        <x:f>IF(G30&lt;0.01,"CLOSES","SHORTFALL")</x:f>
        <x:v>CLOSES</x:v>
      </x:c>
    </x:row>
    <x:row r="31" ht="15" hidden="0" customHeight="1">
      <x:c r="A31" s="29" t="str">
        <x:v>SCA-27</x:v>
      </x:c>
      <x:c r="B31" s="47" t="n">
        <x:v>24.84739905069412</x:v>
      </x:c>
      <x:c r="C31" s="47" t="n">
        <x:v>60.29456506645897</x:v>
      </x:c>
      <x:c r="D31" s="47" t="n">
        <x:v>24.84739905069412</x:v>
      </x:c>
      <x:c r="E31" s="47" t="n">
        <x:f>SUMIF('Corridor Dispatch'!A:A,A31,'Corridor Dispatch'!F:F)</x:f>
        <x:v>0</x:v>
      </x:c>
      <x:c r="F31" s="47" t="n">
        <x:f>D31+E31</x:f>
        <x:v>24.84739905069412</x:v>
      </x:c>
      <x:c r="G31" s="47" t="n">
        <x:f>MAX(0,B31-F31)</x:f>
        <x:v>0</x:v>
      </x:c>
      <x:c r="H31" s="50" t="n">
        <x:f>IF(B31=0,1,F31/B31)</x:f>
        <x:v>1</x:v>
      </x:c>
      <x:c r="I31" s="41" t="n">
        <x:f>G31*1000</x:f>
        <x:v>0</x:v>
      </x:c>
      <x:c r="J31" s="29" t="str">
        <x:f>IF(G31&lt;0.01,"CLOSES","SHORTFALL")</x:f>
        <x:v>CLOSES</x:v>
      </x:c>
    </x:row>
    <x:row r="32" ht="15" hidden="0" customHeight="1">
      <x:c r="A32" s="27" t="str">
        <x:v>SCA-28</x:v>
      </x:c>
      <x:c r="B32" s="46" t="n">
        <x:v>109.04444954720734</x:v>
      </x:c>
      <x:c r="C32" s="46" t="n">
        <x:v>152.11453376967842</x:v>
      </x:c>
      <x:c r="D32" s="46" t="n">
        <x:v>109.04444954720734</x:v>
      </x:c>
      <x:c r="E32" s="46" t="n">
        <x:f>SUMIF('Corridor Dispatch'!A:A,A32,'Corridor Dispatch'!F:F)</x:f>
        <x:v>0</x:v>
      </x:c>
      <x:c r="F32" s="46" t="n">
        <x:f>D32+E32</x:f>
        <x:v>109.04444954720734</x:v>
      </x:c>
      <x:c r="G32" s="46" t="n">
        <x:f>MAX(0,B32-F32)</x:f>
        <x:v>0</x:v>
      </x:c>
      <x:c r="H32" s="49" t="n">
        <x:f>IF(B32=0,1,F32/B32)</x:f>
        <x:v>1</x:v>
      </x:c>
      <x:c r="I32" s="40" t="n">
        <x:f>G32*1000</x:f>
        <x:v>0</x:v>
      </x:c>
      <x:c r="J32" s="27" t="str">
        <x:f>IF(G32&lt;0.01,"CLOSES","SHORTFALL")</x:f>
        <x:v>CLOSES</x:v>
      </x:c>
    </x:row>
    <x:row r="33" ht="15" hidden="0" customHeight="1">
      <x:c r="A33" s="29" t="str">
        <x:v>SCA-29</x:v>
      </x:c>
      <x:c r="B33" s="47" t="n">
        <x:v>63.524632011498696</x:v>
      </x:c>
      <x:c r="C33" s="47" t="n">
        <x:v>135.9548887061531</x:v>
      </x:c>
      <x:c r="D33" s="47" t="n">
        <x:v>63.524632011498696</x:v>
      </x:c>
      <x:c r="E33" s="47" t="n">
        <x:f>SUMIF('Corridor Dispatch'!A:A,A33,'Corridor Dispatch'!F:F)</x:f>
        <x:v>0</x:v>
      </x:c>
      <x:c r="F33" s="47" t="n">
        <x:f>D33+E33</x:f>
        <x:v>63.524632011498696</x:v>
      </x:c>
      <x:c r="G33" s="47" t="n">
        <x:f>MAX(0,B33-F33)</x:f>
        <x:v>0</x:v>
      </x:c>
      <x:c r="H33" s="50" t="n">
        <x:f>IF(B33=0,1,F33/B33)</x:f>
        <x:v>1</x:v>
      </x:c>
      <x:c r="I33" s="41" t="n">
        <x:f>G33*1000</x:f>
        <x:v>0</x:v>
      </x:c>
      <x:c r="J33" s="29" t="str">
        <x:f>IF(G33&lt;0.01,"CLOSES","SHORTFALL")</x:f>
        <x:v>CLOSES</x:v>
      </x:c>
    </x:row>
    <x:row r="34" ht="15" hidden="0" customHeight="1">
      <x:c r="A34" s="27" t="str">
        <x:v>SCA-30</x:v>
      </x:c>
      <x:c r="B34" s="46" t="n">
        <x:v>333.5898092580384</x:v>
      </x:c>
      <x:c r="C34" s="46" t="n">
        <x:v>219.6081882416495</x:v>
      </x:c>
      <x:c r="D34" s="46" t="n">
        <x:v>219.6081882416495</x:v>
      </x:c>
      <x:c r="E34" s="46" t="n">
        <x:f>SUMIF('Corridor Dispatch'!A:A,A34,'Corridor Dispatch'!F:F)</x:f>
        <x:v>113.98162101638889</x:v>
      </x:c>
      <x:c r="F34" s="46" t="n">
        <x:f>D34+E34</x:f>
        <x:v>333.5898092580384</x:v>
      </x:c>
      <x:c r="G34" s="46" t="n">
        <x:f>MAX(0,B34-F34)</x:f>
        <x:v>0</x:v>
      </x:c>
      <x:c r="H34" s="49" t="n">
        <x:f>IF(B34=0,1,F34/B34)</x:f>
        <x:v>1</x:v>
      </x:c>
      <x:c r="I34" s="40" t="n">
        <x:f>G34*1000</x:f>
        <x:v>0</x:v>
      </x:c>
      <x:c r="J34" s="27" t="str">
        <x:f>IF(G34&lt;0.01,"CLOSES","SHORTFALL")</x:f>
        <x:v>CLOSES</x:v>
      </x:c>
    </x:row>
    <x:row r="35" ht="15" hidden="0" customHeight="1">
      <x:c r="A35" s="29" t="str">
        <x:v>SCA-31</x:v>
      </x:c>
      <x:c r="B35" s="47" t="n">
        <x:v>98.52304980054402</x:v>
      </x:c>
      <x:c r="C35" s="47" t="n">
        <x:v>91.53463303068068</x:v>
      </x:c>
      <x:c r="D35" s="47" t="n">
        <x:v>91.53463303068068</x:v>
      </x:c>
      <x:c r="E35" s="47" t="n">
        <x:f>SUMIF('Corridor Dispatch'!A:A,A35,'Corridor Dispatch'!F:F)</x:f>
        <x:v>0</x:v>
      </x:c>
      <x:c r="F35" s="47" t="n">
        <x:f>D35+E35</x:f>
        <x:v>91.53463303068068</x:v>
      </x:c>
      <x:c r="G35" s="47" t="n">
        <x:f>MAX(0,B35-F35)</x:f>
        <x:v>6.988416769863335</x:v>
      </x:c>
      <x:c r="H35" s="50" t="n">
        <x:f>IF(B35=0,1,F35/B35)</x:f>
        <x:v>0.9290682050138409</x:v>
      </x:c>
      <x:c r="I35" s="41" t="n">
        <x:f>G35*1000</x:f>
        <x:v>6988.416769863335</x:v>
      </x:c>
      <x:c r="J35" s="29" t="str">
        <x:f>IF(G35&lt;0.01,"CLOSES","SHORTFALL")</x:f>
        <x:v>SHORTFALL</x:v>
      </x:c>
    </x:row>
    <x:row r="36" ht="15" hidden="0" customHeight="1">
      <x:c r="A36" s="27" t="str">
        <x:v>SCA-32</x:v>
      </x:c>
      <x:c r="B36" s="46" t="n">
        <x:v>0</x:v>
      </x:c>
      <x:c r="C36" s="46" t="n">
        <x:v>46.92401750513919</x:v>
      </x:c>
      <x:c r="D36" s="46" t="n">
        <x:v>0</x:v>
      </x:c>
      <x:c r="E36" s="46" t="n">
        <x:f>SUMIF('Corridor Dispatch'!A:A,A36,'Corridor Dispatch'!F:F)</x:f>
        <x:v>0</x:v>
      </x:c>
      <x:c r="F36" s="46" t="n">
        <x:f>D36+E36</x:f>
        <x:v>0</x:v>
      </x:c>
      <x:c r="G36" s="46" t="n">
        <x:f>MAX(0,B36-F36)</x:f>
        <x:v>0</x:v>
      </x:c>
      <x:c r="H36" s="49" t="n">
        <x:f>IF(B36=0,1,F36/B36)</x:f>
        <x:v>1</x:v>
      </x:c>
      <x:c r="I36" s="40" t="n">
        <x:f>G36*1000</x:f>
        <x:v>0</x:v>
      </x:c>
      <x:c r="J36" s="27" t="str">
        <x:f>IF(G36&lt;0.01,"CLOSES","SHORTFALL")</x:f>
        <x:v>CLOSES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9" customHeight="1">
      <x:c r="A1" s="81" t="str">
        <x:v>Destination intake accounting</x:v>
      </x:c>
      <x:c r="B1" s="81"/>
      <x:c r="C1" s="81"/>
      <x:c r="D1" s="81"/>
      <x:c r="E1" s="81"/>
      <x:c r="F1" s="81"/>
      <x:c r="G1" s="81"/>
      <x:c r="H1" s="81"/>
    </x:row>
    <x:row r="2" ht="29" customHeight="1">
      <x:c r="A2" s="82" t="str">
        <x:v>Receiving spare capacity is constrained again by an intake ceiling before relocated people receive service credit.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SCA</x:v>
      </x:c>
      <x:c r="B4" s="85" t="str">
        <x:v>Scenario capacity</x:v>
      </x:c>
      <x:c r="C4" s="85" t="str">
        <x:v>Local used</x:v>
      </x:c>
      <x:c r="D4" s="85" t="str">
        <x:v>Spare</x:v>
      </x:c>
      <x:c r="E4" s="85" t="str">
        <x:v>Intake ceiling</x:v>
      </x:c>
      <x:c r="F4" s="85" t="str">
        <x:v>Received</x:v>
      </x:c>
      <x:c r="G4" s="85" t="str">
        <x:v>Headroom</x:v>
      </x:c>
      <x:c r="H4" s="86" t="str">
        <x:v>Check</x:v>
      </x:c>
    </x:row>
    <x:row r="5" ht="15" hidden="0" customHeight="1">
      <x:c r="A5" s="28" t="str">
        <x:v>SCA-01</x:v>
      </x:c>
      <x:c r="B5" s="45" t="n">
        <x:v>31.02444949998931</x:v>
      </x:c>
      <x:c r="C5" s="45" t="n">
        <x:v>0</x:v>
      </x:c>
      <x:c r="D5" s="45" t="n">
        <x:v>31.02444949998931</x:v>
      </x:c>
      <x:c r="E5" s="45" t="n">
        <x:v>20</x:v>
      </x:c>
      <x:c r="F5" s="45" t="n">
        <x:f>SUMIF('Corridor Dispatch'!B:B,A5,'Corridor Dispatch'!F:F)</x:f>
        <x:v>20</x:v>
      </x:c>
      <x:c r="G5" s="45" t="n">
        <x:f>E5-F5</x:f>
        <x:v>0</x:v>
      </x:c>
      <x:c r="H5" s="28" t="str">
        <x:f>IF(G5&gt;=-0.01,"PASS","FAIL")</x:f>
        <x:v>PASS</x:v>
      </x:c>
    </x:row>
    <x:row r="6" ht="15" hidden="0" customHeight="1">
      <x:c r="A6" s="27" t="str">
        <x:v>SCA-02</x:v>
      </x:c>
      <x:c r="B6" s="46" t="n">
        <x:v>24.712320593568986</x:v>
      </x:c>
      <x:c r="C6" s="46" t="n">
        <x:v>0</x:v>
      </x:c>
      <x:c r="D6" s="46" t="n">
        <x:v>24.712320593568986</x:v>
      </x:c>
      <x:c r="E6" s="46" t="n">
        <x:v>20</x:v>
      </x:c>
      <x:c r="F6" s="46" t="n">
        <x:f>SUMIF('Corridor Dispatch'!B:B,A6,'Corridor Dispatch'!F:F)</x:f>
        <x:v>20</x:v>
      </x:c>
      <x:c r="G6" s="46" t="n">
        <x:f>E6-F6</x:f>
        <x:v>0</x:v>
      </x:c>
      <x:c r="H6" s="27" t="str">
        <x:f>IF(G6&gt;=-0.01,"PASS","FAIL")</x:f>
        <x:v>PASS</x:v>
      </x:c>
    </x:row>
    <x:row r="7" ht="15" hidden="0" customHeight="1">
      <x:c r="A7" s="29" t="str">
        <x:v>SCA-03</x:v>
      </x:c>
      <x:c r="B7" s="47" t="n">
        <x:v>89.70717596188382</x:v>
      </x:c>
      <x:c r="C7" s="47" t="n">
        <x:v>89.70717596188382</x:v>
      </x:c>
      <x:c r="D7" s="47" t="n">
        <x:v>0</x:v>
      </x:c>
      <x:c r="E7" s="47" t="n">
        <x:v>0</x:v>
      </x:c>
      <x:c r="F7" s="47" t="n">
        <x:f>SUMIF('Corridor Dispatch'!B:B,A7,'Corridor Dispatch'!F:F)</x:f>
        <x:v>0</x:v>
      </x:c>
      <x:c r="G7" s="47" t="n">
        <x:f>E7-F7</x:f>
        <x:v>0</x:v>
      </x:c>
      <x:c r="H7" s="29" t="str">
        <x:f>IF(G7&gt;=-0.01,"PASS","FAIL")</x:f>
        <x:v>PASS</x:v>
      </x:c>
    </x:row>
    <x:row r="8" ht="15" hidden="0" customHeight="1">
      <x:c r="A8" s="27" t="str">
        <x:v>SCA-04</x:v>
      </x:c>
      <x:c r="B8" s="46" t="n">
        <x:v>61.71094734781621</x:v>
      </x:c>
      <x:c r="C8" s="46" t="n">
        <x:v>61.71094734781621</x:v>
      </x:c>
      <x:c r="D8" s="46" t="n">
        <x:v>0</x:v>
      </x:c>
      <x:c r="E8" s="46" t="n">
        <x:v>0</x:v>
      </x:c>
      <x:c r="F8" s="46" t="n">
        <x:f>SUMIF('Corridor Dispatch'!B:B,A8,'Corridor Dispatch'!F:F)</x:f>
        <x:v>0</x:v>
      </x:c>
      <x:c r="G8" s="46" t="n">
        <x:f>E8-F8</x:f>
        <x:v>0</x:v>
      </x:c>
      <x:c r="H8" s="27" t="str">
        <x:f>IF(G8&gt;=-0.01,"PASS","FAIL")</x:f>
        <x:v>PASS</x:v>
      </x:c>
    </x:row>
    <x:row r="9" ht="15" hidden="0" customHeight="1">
      <x:c r="A9" s="29" t="str">
        <x:v>SCA-05</x:v>
      </x:c>
      <x:c r="B9" s="47" t="n">
        <x:v>57.02050456535204</x:v>
      </x:c>
      <x:c r="C9" s="47" t="n">
        <x:v>57.02050456535204</x:v>
      </x:c>
      <x:c r="D9" s="47" t="n">
        <x:v>0</x:v>
      </x:c>
      <x:c r="E9" s="47" t="n">
        <x:v>0</x:v>
      </x:c>
      <x:c r="F9" s="47" t="n">
        <x:f>SUMIF('Corridor Dispatch'!B:B,A9,'Corridor Dispatch'!F:F)</x:f>
        <x:v>0</x:v>
      </x:c>
      <x:c r="G9" s="47" t="n">
        <x:f>E9-F9</x:f>
        <x:v>0</x:v>
      </x:c>
      <x:c r="H9" s="29" t="str">
        <x:f>IF(G9&gt;=-0.01,"PASS","FAIL")</x:f>
        <x:v>PASS</x:v>
      </x:c>
    </x:row>
    <x:row r="10" ht="15" hidden="0" customHeight="1">
      <x:c r="A10" s="27" t="str">
        <x:v>SCA-06</x:v>
      </x:c>
      <x:c r="B10" s="46" t="n">
        <x:v>25.392328285342835</x:v>
      </x:c>
      <x:c r="C10" s="46" t="n">
        <x:v>25.392328285342835</x:v>
      </x:c>
      <x:c r="D10" s="46" t="n">
        <x:v>0</x:v>
      </x:c>
      <x:c r="E10" s="46" t="n">
        <x:v>0</x:v>
      </x:c>
      <x:c r="F10" s="46" t="n">
        <x:f>SUMIF('Corridor Dispatch'!B:B,A10,'Corridor Dispatch'!F:F)</x:f>
        <x:v>0</x:v>
      </x:c>
      <x:c r="G10" s="46" t="n">
        <x:f>E10-F10</x:f>
        <x:v>0</x:v>
      </x:c>
      <x:c r="H10" s="27" t="str">
        <x:f>IF(G10&gt;=-0.01,"PASS","FAIL")</x:f>
        <x:v>PASS</x:v>
      </x:c>
    </x:row>
    <x:row r="11" ht="15" hidden="0" customHeight="1">
      <x:c r="A11" s="29" t="str">
        <x:v>SCA-07</x:v>
      </x:c>
      <x:c r="B11" s="47" t="n">
        <x:v>36.008236675989366</x:v>
      </x:c>
      <x:c r="C11" s="47" t="n">
        <x:v>36.008236675989366</x:v>
      </x:c>
      <x:c r="D11" s="47" t="n">
        <x:v>0</x:v>
      </x:c>
      <x:c r="E11" s="47" t="n">
        <x:v>0</x:v>
      </x:c>
      <x:c r="F11" s="47" t="n">
        <x:f>SUMIF('Corridor Dispatch'!B:B,A11,'Corridor Dispatch'!F:F)</x:f>
        <x:v>0</x:v>
      </x:c>
      <x:c r="G11" s="47" t="n">
        <x:f>E11-F11</x:f>
        <x:v>0</x:v>
      </x:c>
      <x:c r="H11" s="29" t="str">
        <x:f>IF(G11&gt;=-0.01,"PASS","FAIL")</x:f>
        <x:v>PASS</x:v>
      </x:c>
    </x:row>
    <x:row r="12" ht="15" hidden="0" customHeight="1">
      <x:c r="A12" s="27" t="str">
        <x:v>SCA-08</x:v>
      </x:c>
      <x:c r="B12" s="46" t="n">
        <x:v>40.281307165493835</x:v>
      </x:c>
      <x:c r="C12" s="46" t="n">
        <x:v>5.2031260523528635</x:v>
      </x:c>
      <x:c r="D12" s="46" t="n">
        <x:v>35.07818111314097</x:v>
      </x:c>
      <x:c r="E12" s="46" t="n">
        <x:v>20</x:v>
      </x:c>
      <x:c r="F12" s="46" t="n">
        <x:f>SUMIF('Corridor Dispatch'!B:B,A12,'Corridor Dispatch'!F:F)</x:f>
        <x:v>20</x:v>
      </x:c>
      <x:c r="G12" s="46" t="n">
        <x:f>E12-F12</x:f>
        <x:v>0</x:v>
      </x:c>
      <x:c r="H12" s="27" t="str">
        <x:f>IF(G12&gt;=-0.01,"PASS","FAIL")</x:f>
        <x:v>PASS</x:v>
      </x:c>
    </x:row>
    <x:row r="13" ht="15" hidden="0" customHeight="1">
      <x:c r="A13" s="29" t="str">
        <x:v>SCA-09</x:v>
      </x:c>
      <x:c r="B13" s="47" t="n">
        <x:v>59.596487441746774</x:v>
      </x:c>
      <x:c r="C13" s="47" t="n">
        <x:v>16.878349055151574</x:v>
      </x:c>
      <x:c r="D13" s="47" t="n">
        <x:v>42.7181383865952</x:v>
      </x:c>
      <x:c r="E13" s="47" t="n">
        <x:v>20.85877060461137</x:v>
      </x:c>
      <x:c r="F13" s="47" t="n">
        <x:f>SUMIF('Corridor Dispatch'!B:B,A13,'Corridor Dispatch'!F:F)</x:f>
        <x:v>20.85877060461137</x:v>
      </x:c>
      <x:c r="G13" s="47" t="n">
        <x:f>E13-F13</x:f>
        <x:v>0</x:v>
      </x:c>
      <x:c r="H13" s="29" t="str">
        <x:f>IF(G13&gt;=-0.01,"PASS","FAIL")</x:f>
        <x:v>PASS</x:v>
      </x:c>
    </x:row>
    <x:row r="14" ht="15" hidden="0" customHeight="1">
      <x:c r="A14" s="27" t="str">
        <x:v>SCA-10</x:v>
      </x:c>
      <x:c r="B14" s="46" t="n">
        <x:v>42.33589717869002</x:v>
      </x:c>
      <x:c r="C14" s="46" t="n">
        <x:v>7.435698061213477</x:v>
      </x:c>
      <x:c r="D14" s="46" t="n">
        <x:v>34.90019911747654</x:v>
      </x:c>
      <x:c r="E14" s="46" t="n">
        <x:v>20</x:v>
      </x:c>
      <x:c r="F14" s="46" t="n">
        <x:f>SUMIF('Corridor Dispatch'!B:B,A14,'Corridor Dispatch'!F:F)</x:f>
        <x:v>20</x:v>
      </x:c>
      <x:c r="G14" s="46" t="n">
        <x:f>E14-F14</x:f>
        <x:v>0</x:v>
      </x:c>
      <x:c r="H14" s="27" t="str">
        <x:f>IF(G14&gt;=-0.01,"PASS","FAIL")</x:f>
        <x:v>PASS</x:v>
      </x:c>
    </x:row>
    <x:row r="15" ht="15" hidden="0" customHeight="1">
      <x:c r="A15" s="29" t="str">
        <x:v>SCA-11</x:v>
      </x:c>
      <x:c r="B15" s="47" t="n">
        <x:v>25.910772076443568</x:v>
      </x:c>
      <x:c r="C15" s="47" t="n">
        <x:v>25.910772076443568</x:v>
      </x:c>
      <x:c r="D15" s="47" t="n">
        <x:v>0</x:v>
      </x:c>
      <x:c r="E15" s="47" t="n">
        <x:v>0</x:v>
      </x:c>
      <x:c r="F15" s="47" t="n">
        <x:f>SUMIF('Corridor Dispatch'!B:B,A15,'Corridor Dispatch'!F:F)</x:f>
        <x:v>0</x:v>
      </x:c>
      <x:c r="G15" s="47" t="n">
        <x:f>E15-F15</x:f>
        <x:v>0</x:v>
      </x:c>
      <x:c r="H15" s="29" t="str">
        <x:f>IF(G15&gt;=-0.01,"PASS","FAIL")</x:f>
        <x:v>PASS</x:v>
      </x:c>
    </x:row>
    <x:row r="16" ht="15" hidden="0" customHeight="1">
      <x:c r="A16" s="27" t="str">
        <x:v>SCA-12</x:v>
      </x:c>
      <x:c r="B16" s="46" t="n">
        <x:v>81.36492618348636</x:v>
      </x:c>
      <x:c r="C16" s="46" t="n">
        <x:v>5.365241613945343</x:v>
      </x:c>
      <x:c r="D16" s="46" t="n">
        <x:v>75.99968456954102</x:v>
      </x:c>
      <x:c r="E16" s="46" t="n">
        <x:v>28.477724164220223</x:v>
      </x:c>
      <x:c r="F16" s="46" t="n">
        <x:f>SUMIF('Corridor Dispatch'!B:B,A16,'Corridor Dispatch'!F:F)</x:f>
        <x:v>28.477724164220223</x:v>
      </x:c>
      <x:c r="G16" s="46" t="n">
        <x:f>E16-F16</x:f>
        <x:v>0</x:v>
      </x:c>
      <x:c r="H16" s="27" t="str">
        <x:f>IF(G16&gt;=-0.01,"PASS","FAIL")</x:f>
        <x:v>PASS</x:v>
      </x:c>
    </x:row>
    <x:row r="17" ht="15" hidden="0" customHeight="1">
      <x:c r="A17" s="29" t="str">
        <x:v>SCA-13</x:v>
      </x:c>
      <x:c r="B17" s="47" t="n">
        <x:v>27.77591493841134</x:v>
      </x:c>
      <x:c r="C17" s="47" t="n">
        <x:v>27.77591493841134</x:v>
      </x:c>
      <x:c r="D17" s="47" t="n">
        <x:v>0</x:v>
      </x:c>
      <x:c r="E17" s="47" t="n">
        <x:v>0</x:v>
      </x:c>
      <x:c r="F17" s="47" t="n">
        <x:f>SUMIF('Corridor Dispatch'!B:B,A17,'Corridor Dispatch'!F:F)</x:f>
        <x:v>0</x:v>
      </x:c>
      <x:c r="G17" s="47" t="n">
        <x:f>E17-F17</x:f>
        <x:v>0</x:v>
      </x:c>
      <x:c r="H17" s="29" t="str">
        <x:f>IF(G17&gt;=-0.01,"PASS","FAIL")</x:f>
        <x:v>PASS</x:v>
      </x:c>
    </x:row>
    <x:row r="18" ht="15" hidden="0" customHeight="1">
      <x:c r="A18" s="27" t="str">
        <x:v>SCA-14</x:v>
      </x:c>
      <x:c r="B18" s="46" t="n">
        <x:v>13.230928616826903</x:v>
      </x:c>
      <x:c r="C18" s="46" t="n">
        <x:v>13.230928616826903</x:v>
      </x:c>
      <x:c r="D18" s="46" t="n">
        <x:v>0</x:v>
      </x:c>
      <x:c r="E18" s="46" t="n">
        <x:v>0</x:v>
      </x:c>
      <x:c r="F18" s="46" t="n">
        <x:f>SUMIF('Corridor Dispatch'!B:B,A18,'Corridor Dispatch'!F:F)</x:f>
        <x:v>0</x:v>
      </x:c>
      <x:c r="G18" s="46" t="n">
        <x:f>E18-F18</x:f>
        <x:v>0</x:v>
      </x:c>
      <x:c r="H18" s="27" t="str">
        <x:f>IF(G18&gt;=-0.01,"PASS","FAIL")</x:f>
        <x:v>PASS</x:v>
      </x:c>
    </x:row>
    <x:row r="19" ht="15" hidden="0" customHeight="1">
      <x:c r="A19" s="29" t="str">
        <x:v>SCA-15</x:v>
      </x:c>
      <x:c r="B19" s="47" t="n">
        <x:v>56.68700081053821</x:v>
      </x:c>
      <x:c r="C19" s="47" t="n">
        <x:v>56.68700081053821</x:v>
      </x:c>
      <x:c r="D19" s="47" t="n">
        <x:v>0</x:v>
      </x:c>
      <x:c r="E19" s="47" t="n">
        <x:v>0</x:v>
      </x:c>
      <x:c r="F19" s="47" t="n">
        <x:f>SUMIF('Corridor Dispatch'!B:B,A19,'Corridor Dispatch'!F:F)</x:f>
        <x:v>0</x:v>
      </x:c>
      <x:c r="G19" s="47" t="n">
        <x:f>E19-F19</x:f>
        <x:v>0</x:v>
      </x:c>
      <x:c r="H19" s="29" t="str">
        <x:f>IF(G19&gt;=-0.01,"PASS","FAIL")</x:f>
        <x:v>PASS</x:v>
      </x:c>
    </x:row>
    <x:row r="20" ht="15" hidden="0" customHeight="1">
      <x:c r="A20" s="27" t="str">
        <x:v>SCA-16</x:v>
      </x:c>
      <x:c r="B20" s="46" t="n">
        <x:v>101.90981106431379</x:v>
      </x:c>
      <x:c r="C20" s="46" t="n">
        <x:v>14.101997099435176</x:v>
      </x:c>
      <x:c r="D20" s="46" t="n">
        <x:v>87.8078139648786</x:v>
      </x:c>
      <x:c r="E20" s="46" t="n">
        <x:v>35.66843387250982</x:v>
      </x:c>
      <x:c r="F20" s="46" t="n">
        <x:f>SUMIF('Corridor Dispatch'!B:B,A20,'Corridor Dispatch'!F:F)</x:f>
        <x:v>35.66843387250982</x:v>
      </x:c>
      <x:c r="G20" s="46" t="n">
        <x:f>E20-F20</x:f>
        <x:v>0</x:v>
      </x:c>
      <x:c r="H20" s="27" t="str">
        <x:f>IF(G20&gt;=-0.01,"PASS","FAIL")</x:f>
        <x:v>PASS</x:v>
      </x:c>
    </x:row>
    <x:row r="21" ht="15" hidden="0" customHeight="1">
      <x:c r="A21" s="29" t="str">
        <x:v>SCA-17</x:v>
      </x:c>
      <x:c r="B21" s="47" t="n">
        <x:v>52.56821341112246</x:v>
      </x:c>
      <x:c r="C21" s="47" t="n">
        <x:v>52.56821341112246</x:v>
      </x:c>
      <x:c r="D21" s="47" t="n">
        <x:v>0</x:v>
      </x:c>
      <x:c r="E21" s="47" t="n">
        <x:v>0</x:v>
      </x:c>
      <x:c r="F21" s="47" t="n">
        <x:f>SUMIF('Corridor Dispatch'!B:B,A21,'Corridor Dispatch'!F:F)</x:f>
        <x:v>0</x:v>
      </x:c>
      <x:c r="G21" s="47" t="n">
        <x:f>E21-F21</x:f>
        <x:v>0</x:v>
      </x:c>
      <x:c r="H21" s="29" t="str">
        <x:f>IF(G21&gt;=-0.01,"PASS","FAIL")</x:f>
        <x:v>PASS</x:v>
      </x:c>
    </x:row>
    <x:row r="22" ht="15" hidden="0" customHeight="1">
      <x:c r="A22" s="27" t="str">
        <x:v>SCA-18</x:v>
      </x:c>
      <x:c r="B22" s="46" t="n">
        <x:v>94.17289872354326</x:v>
      </x:c>
      <x:c r="C22" s="46" t="n">
        <x:v>36.16990392751423</x:v>
      </x:c>
      <x:c r="D22" s="46" t="n">
        <x:v>58.00299479602903</x:v>
      </x:c>
      <x:c r="E22" s="46" t="n">
        <x:v>32.96051455324014</x:v>
      </x:c>
      <x:c r="F22" s="46" t="n">
        <x:f>SUMIF('Corridor Dispatch'!B:B,A22,'Corridor Dispatch'!F:F)</x:f>
        <x:v>32.96051455324014</x:v>
      </x:c>
      <x:c r="G22" s="46" t="n">
        <x:f>E22-F22</x:f>
        <x:v>0</x:v>
      </x:c>
      <x:c r="H22" s="27" t="str">
        <x:f>IF(G22&gt;=-0.01,"PASS","FAIL")</x:f>
        <x:v>PASS</x:v>
      </x:c>
    </x:row>
    <x:row r="23" ht="15" hidden="0" customHeight="1">
      <x:c r="A23" s="29" t="str">
        <x:v>SCA-19</x:v>
      </x:c>
      <x:c r="B23" s="47" t="n">
        <x:v>56.20859391614881</x:v>
      </x:c>
      <x:c r="C23" s="47" t="n">
        <x:v>34.31740768321789</x:v>
      </x:c>
      <x:c r="D23" s="47" t="n">
        <x:v>21.89118623293092</x:v>
      </x:c>
      <x:c r="E23" s="47" t="n">
        <x:v>20</x:v>
      </x:c>
      <x:c r="F23" s="47" t="n">
        <x:f>SUMIF('Corridor Dispatch'!B:B,A23,'Corridor Dispatch'!F:F)</x:f>
        <x:v>20</x:v>
      </x:c>
      <x:c r="G23" s="47" t="n">
        <x:f>E23-F23</x:f>
        <x:v>0</x:v>
      </x:c>
      <x:c r="H23" s="29" t="str">
        <x:f>IF(G23&gt;=-0.01,"PASS","FAIL")</x:f>
        <x:v>PASS</x:v>
      </x:c>
    </x:row>
    <x:row r="24" ht="15" hidden="0" customHeight="1">
      <x:c r="A24" s="27" t="str">
        <x:v>SCA-20</x:v>
      </x:c>
      <x:c r="B24" s="46" t="n">
        <x:v>53.59198759591161</x:v>
      </x:c>
      <x:c r="C24" s="46" t="n">
        <x:v>53.59198759591161</x:v>
      </x:c>
      <x:c r="D24" s="46" t="n">
        <x:v>0</x:v>
      </x:c>
      <x:c r="E24" s="46" t="n">
        <x:v>0</x:v>
      </x:c>
      <x:c r="F24" s="46" t="n">
        <x:f>SUMIF('Corridor Dispatch'!B:B,A24,'Corridor Dispatch'!F:F)</x:f>
        <x:v>0</x:v>
      </x:c>
      <x:c r="G24" s="46" t="n">
        <x:f>E24-F24</x:f>
        <x:v>0</x:v>
      </x:c>
      <x:c r="H24" s="27" t="str">
        <x:f>IF(G24&gt;=-0.01,"PASS","FAIL")</x:f>
        <x:v>PASS</x:v>
      </x:c>
    </x:row>
    <x:row r="25" ht="15" hidden="0" customHeight="1">
      <x:c r="A25" s="29" t="str">
        <x:v>SCA-21</x:v>
      </x:c>
      <x:c r="B25" s="47" t="n">
        <x:v>143.60521230291724</x:v>
      </x:c>
      <x:c r="C25" s="47" t="n">
        <x:v>97.24703529450264</x:v>
      </x:c>
      <x:c r="D25" s="47" t="n">
        <x:v>46.3581770084146</x:v>
      </x:c>
      <x:c r="E25" s="47" t="n">
        <x:v>46.3581770084146</x:v>
      </x:c>
      <x:c r="F25" s="47" t="n">
        <x:f>SUMIF('Corridor Dispatch'!B:B,A25,'Corridor Dispatch'!F:F)</x:f>
        <x:v>46.3581770084146</x:v>
      </x:c>
      <x:c r="G25" s="47" t="n">
        <x:f>E25-F25</x:f>
        <x:v>0</x:v>
      </x:c>
      <x:c r="H25" s="29" t="str">
        <x:f>IF(G25&gt;=-0.01,"PASS","FAIL")</x:f>
        <x:v>PASS</x:v>
      </x:c>
    </x:row>
    <x:row r="26" ht="15" hidden="0" customHeight="1">
      <x:c r="A26" s="27" t="str">
        <x:v>SCA-22</x:v>
      </x:c>
      <x:c r="B26" s="46" t="n">
        <x:v>110.18123588652277</x:v>
      </x:c>
      <x:c r="C26" s="46" t="n">
        <x:v>74.64999478400783</x:v>
      </x:c>
      <x:c r="D26" s="46" t="n">
        <x:v>35.53124110251494</x:v>
      </x:c>
      <x:c r="E26" s="46" t="n">
        <x:v>35.53124110251494</x:v>
      </x:c>
      <x:c r="F26" s="46" t="n">
        <x:f>SUMIF('Corridor Dispatch'!B:B,A26,'Corridor Dispatch'!F:F)</x:f>
        <x:v>35.53124110251494</x:v>
      </x:c>
      <x:c r="G26" s="46" t="n">
        <x:f>E26-F26</x:f>
        <x:v>0</x:v>
      </x:c>
      <x:c r="H26" s="27" t="str">
        <x:f>IF(G26&gt;=-0.01,"PASS","FAIL")</x:f>
        <x:v>PASS</x:v>
      </x:c>
    </x:row>
    <x:row r="27" ht="15" hidden="0" customHeight="1">
      <x:c r="A27" s="29" t="str">
        <x:v>SCA-23</x:v>
      </x:c>
      <x:c r="B27" s="47" t="n">
        <x:v>142.5474715868934</x:v>
      </x:c>
      <x:c r="C27" s="47" t="n">
        <x:v>111.7119448002053</x:v>
      </x:c>
      <x:c r="D27" s="47" t="n">
        <x:v>30.835526786688106</x:v>
      </x:c>
      <x:c r="E27" s="47" t="n">
        <x:v>30.835526786688106</x:v>
      </x:c>
      <x:c r="F27" s="47" t="n">
        <x:f>SUMIF('Corridor Dispatch'!B:B,A27,'Corridor Dispatch'!F:F)</x:f>
        <x:v>30.835526786688106</x:v>
      </x:c>
      <x:c r="G27" s="47" t="n">
        <x:f>E27-F27</x:f>
        <x:v>0</x:v>
      </x:c>
      <x:c r="H27" s="29" t="str">
        <x:f>IF(G27&gt;=-0.01,"PASS","FAIL")</x:f>
        <x:v>PASS</x:v>
      </x:c>
    </x:row>
    <x:row r="28" ht="15" hidden="0" customHeight="1">
      <x:c r="A28" s="27" t="str">
        <x:v>SCA-24</x:v>
      </x:c>
      <x:c r="B28" s="46" t="n">
        <x:v>87.67742060919531</x:v>
      </x:c>
      <x:c r="C28" s="46" t="n">
        <x:v>57.91537534972193</x:v>
      </x:c>
      <x:c r="D28" s="46" t="n">
        <x:v>29.762045259473382</x:v>
      </x:c>
      <x:c r="E28" s="46" t="n">
        <x:v>29.762045259473382</x:v>
      </x:c>
      <x:c r="F28" s="46" t="n">
        <x:f>SUMIF('Corridor Dispatch'!B:B,A28,'Corridor Dispatch'!F:F)</x:f>
        <x:v>29.762045259473382</x:v>
      </x:c>
      <x:c r="G28" s="46" t="n">
        <x:f>E28-F28</x:f>
        <x:v>0</x:v>
      </x:c>
      <x:c r="H28" s="27" t="str">
        <x:f>IF(G28&gt;=-0.01,"PASS","FAIL")</x:f>
        <x:v>PASS</x:v>
      </x:c>
    </x:row>
    <x:row r="29" ht="15" hidden="0" customHeight="1">
      <x:c r="A29" s="29" t="str">
        <x:v>SCA-25</x:v>
      </x:c>
      <x:c r="B29" s="47" t="n">
        <x:v>53.3245118608377</x:v>
      </x:c>
      <x:c r="C29" s="47" t="n">
        <x:v>21.215065511309</x:v>
      </x:c>
      <x:c r="D29" s="47" t="n">
        <x:v>32.1094463495287</x:v>
      </x:c>
      <x:c r="E29" s="47" t="n">
        <x:v>20</x:v>
      </x:c>
      <x:c r="F29" s="47" t="n">
        <x:f>SUMIF('Corridor Dispatch'!B:B,A29,'Corridor Dispatch'!F:F)</x:f>
        <x:v>20</x:v>
      </x:c>
      <x:c r="G29" s="47" t="n">
        <x:f>E29-F29</x:f>
        <x:v>0</x:v>
      </x:c>
      <x:c r="H29" s="29" t="str">
        <x:f>IF(G29&gt;=-0.01,"PASS","FAIL")</x:f>
        <x:v>PASS</x:v>
      </x:c>
    </x:row>
    <x:row r="30" ht="15" hidden="0" customHeight="1">
      <x:c r="A30" s="27" t="str">
        <x:v>SCA-26</x:v>
      </x:c>
      <x:c r="B30" s="46" t="n">
        <x:v>80.82256386955393</x:v>
      </x:c>
      <x:c r="C30" s="46" t="n">
        <x:v>35.54524257487323</x:v>
      </x:c>
      <x:c r="D30" s="46" t="n">
        <x:v>45.2773212946807</x:v>
      </x:c>
      <x:c r="E30" s="46" t="n">
        <x:v>28.287897354343873</x:v>
      </x:c>
      <x:c r="F30" s="46" t="n">
        <x:f>SUMIF('Corridor Dispatch'!B:B,A30,'Corridor Dispatch'!F:F)</x:f>
        <x:v>28.287897354343873</x:v>
      </x:c>
      <x:c r="G30" s="46" t="n">
        <x:f>E30-F30</x:f>
        <x:v>0</x:v>
      </x:c>
      <x:c r="H30" s="27" t="str">
        <x:f>IF(G30&gt;=-0.01,"PASS","FAIL")</x:f>
        <x:v>PASS</x:v>
      </x:c>
    </x:row>
    <x:row r="31" ht="15" hidden="0" customHeight="1">
      <x:c r="A31" s="29" t="str">
        <x:v>SCA-27</x:v>
      </x:c>
      <x:c r="B31" s="47" t="n">
        <x:v>60.29456506645897</x:v>
      </x:c>
      <x:c r="C31" s="47" t="n">
        <x:v>24.84739905069412</x:v>
      </x:c>
      <x:c r="D31" s="47" t="n">
        <x:v>35.44716601576485</x:v>
      </x:c>
      <x:c r="E31" s="47" t="n">
        <x:v>21.10309777326064</x:v>
      </x:c>
      <x:c r="F31" s="47" t="n">
        <x:f>SUMIF('Corridor Dispatch'!B:B,A31,'Corridor Dispatch'!F:F)</x:f>
        <x:v>21.10309777326064</x:v>
      </x:c>
      <x:c r="G31" s="47" t="n">
        <x:f>E31-F31</x:f>
        <x:v>0</x:v>
      </x:c>
      <x:c r="H31" s="29" t="str">
        <x:f>IF(G31&gt;=-0.01,"PASS","FAIL")</x:f>
        <x:v>PASS</x:v>
      </x:c>
    </x:row>
    <x:row r="32" ht="15" hidden="0" customHeight="1">
      <x:c r="A32" s="27" t="str">
        <x:v>SCA-28</x:v>
      </x:c>
      <x:c r="B32" s="46" t="n">
        <x:v>152.11453376967842</x:v>
      </x:c>
      <x:c r="C32" s="46" t="n">
        <x:v>109.04444954720734</x:v>
      </x:c>
      <x:c r="D32" s="46" t="n">
        <x:v>43.07008422247108</x:v>
      </x:c>
      <x:c r="E32" s="46" t="n">
        <x:v>43.07008422247108</x:v>
      </x:c>
      <x:c r="F32" s="46" t="n">
        <x:f>SUMIF('Corridor Dispatch'!B:B,A32,'Corridor Dispatch'!F:F)</x:f>
        <x:v>43.07008422247108</x:v>
      </x:c>
      <x:c r="G32" s="46" t="n">
        <x:f>E32-F32</x:f>
        <x:v>0</x:v>
      </x:c>
      <x:c r="H32" s="27" t="str">
        <x:f>IF(G32&gt;=-0.01,"PASS","FAIL")</x:f>
        <x:v>PASS</x:v>
      </x:c>
    </x:row>
    <x:row r="33" ht="15" hidden="0" customHeight="1">
      <x:c r="A33" s="29" t="str">
        <x:v>SCA-29</x:v>
      </x:c>
      <x:c r="B33" s="47" t="n">
        <x:v>135.9548887061531</x:v>
      </x:c>
      <x:c r="C33" s="47" t="n">
        <x:v>63.524632011498696</x:v>
      </x:c>
      <x:c r="D33" s="47" t="n">
        <x:v>72.4302566946544</x:v>
      </x:c>
      <x:c r="E33" s="47" t="n">
        <x:v>47.58421104715358</x:v>
      </x:c>
      <x:c r="F33" s="47" t="n">
        <x:f>SUMIF('Corridor Dispatch'!B:B,A33,'Corridor Dispatch'!F:F)</x:f>
        <x:v>47.58421104715358</x:v>
      </x:c>
      <x:c r="G33" s="47" t="n">
        <x:f>E33-F33</x:f>
        <x:v>0</x:v>
      </x:c>
      <x:c r="H33" s="29" t="str">
        <x:f>IF(G33&gt;=-0.01,"PASS","FAIL")</x:f>
        <x:v>PASS</x:v>
      </x:c>
    </x:row>
    <x:row r="34" ht="15" hidden="0" customHeight="1">
      <x:c r="A34" s="27" t="str">
        <x:v>SCA-30</x:v>
      </x:c>
      <x:c r="B34" s="46" t="n">
        <x:v>219.6081882416495</x:v>
      </x:c>
      <x:c r="C34" s="46" t="n">
        <x:v>219.6081882416495</x:v>
      </x:c>
      <x:c r="D34" s="46" t="n">
        <x:v>0</x:v>
      </x:c>
      <x:c r="E34" s="46" t="n">
        <x:v>0</x:v>
      </x:c>
      <x:c r="F34" s="46" t="n">
        <x:f>SUMIF('Corridor Dispatch'!B:B,A34,'Corridor Dispatch'!F:F)</x:f>
        <x:v>0</x:v>
      </x:c>
      <x:c r="G34" s="46" t="n">
        <x:f>E34-F34</x:f>
        <x:v>0</x:v>
      </x:c>
      <x:c r="H34" s="27" t="str">
        <x:f>IF(G34&gt;=-0.01,"PASS","FAIL")</x:f>
        <x:v>PASS</x:v>
      </x:c>
    </x:row>
    <x:row r="35" ht="15" hidden="0" customHeight="1">
      <x:c r="A35" s="29" t="str">
        <x:v>SCA-31</x:v>
      </x:c>
      <x:c r="B35" s="47" t="n">
        <x:v>91.53463303068068</x:v>
      </x:c>
      <x:c r="C35" s="47" t="n">
        <x:v>91.53463303068068</x:v>
      </x:c>
      <x:c r="D35" s="47" t="n">
        <x:v>0</x:v>
      </x:c>
      <x:c r="E35" s="47" t="n">
        <x:v>0</x:v>
      </x:c>
      <x:c r="F35" s="47" t="n">
        <x:f>SUMIF('Corridor Dispatch'!B:B,A35,'Corridor Dispatch'!F:F)</x:f>
        <x:v>0</x:v>
      </x:c>
      <x:c r="G35" s="47" t="n">
        <x:f>E35-F35</x:f>
        <x:v>0</x:v>
      </x:c>
      <x:c r="H35" s="29" t="str">
        <x:f>IF(G35&gt;=-0.01,"PASS","FAIL")</x:f>
        <x:v>PASS</x:v>
      </x:c>
    </x:row>
    <x:row r="36" ht="15" hidden="0" customHeight="1">
      <x:c r="A36" s="27" t="str">
        <x:v>SCA-32</x:v>
      </x:c>
      <x:c r="B36" s="46" t="n">
        <x:v>46.92401750513919</x:v>
      </x:c>
      <x:c r="C36" s="46" t="n">
        <x:v>0</x:v>
      </x:c>
      <x:c r="D36" s="46" t="n">
        <x:v>46.92401750513919</x:v>
      </x:c>
      <x:c r="E36" s="46" t="n">
        <x:v>20</x:v>
      </x:c>
      <x:c r="F36" s="46" t="n">
        <x:f>SUMIF('Corridor Dispatch'!B:B,A36,'Corridor Dispatch'!F:F)</x:f>
        <x:v>20</x:v>
      </x:c>
      <x:c r="G36" s="46" t="n">
        <x:f>E36-F36</x:f>
        <x:v>0</x:v>
      </x:c>
      <x:c r="H36" s="27" t="str">
        <x:f>IF(G36&gt;=-0.01,"PASS","FAIL")</x:f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58" hidden="0" customWidth="1"/>
  </x:cols>
  <x:sheetData>
    <x:row r="1" ht="29" customHeight="1">
      <x:c r="A1" s="81" t="str">
        <x:v>Architecture comparison</x:v>
      </x:c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  <x:c r="M1" s="81"/>
    </x:row>
    <x:row r="2" ht="29" customHeight="1">
      <x:c r="A2" s="82" t="str">
        <x:v>Five screens separate local density, feasible baseline relocation, an impossible frictionless upper bound, dense self-sufficiency and a closing hybrid.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</x:row>
    <x:row r="4" ht="31" customHeight="1">
      <x:c r="A4" s="84" t="str">
        <x:v>Architecture</x:v>
      </x:c>
      <x:c r="B4" s="85" t="str">
        <x:v>Capacity scale</x:v>
      </x:c>
      <x:c r="C4" s="85" t="str">
        <x:v>Corridor scale</x:v>
      </x:c>
      <x:c r="D4" s="85" t="str">
        <x:v>Scenario capacity</x:v>
      </x:c>
      <x:c r="E4" s="85" t="str">
        <x:v>Local served</x:v>
      </x:c>
      <x:c r="F4" s="85" t="str">
        <x:v>Relocated served</x:v>
      </x:c>
      <x:c r="G4" s="85" t="str">
        <x:v>Total served</x:v>
      </x:c>
      <x:c r="H4" s="85" t="str">
        <x:v>Shortfall</x:v>
      </x:c>
      <x:c r="I4" s="85" t="str">
        <x:v>Closure</x:v>
      </x:c>
      <x:c r="J4" s="85" t="str">
        <x:v>Capital $B</x:v>
      </x:c>
      <x:c r="K4" s="85" t="str">
        <x:v>Mature O&amp;M $B/y</x:v>
      </x:c>
      <x:c r="L4" s="85" t="str">
        <x:v>25-year $B</x:v>
      </x:c>
      <x:c r="M4" s="86" t="str">
        <x:v>Decision meaning</x:v>
      </x:c>
    </x:row>
    <x:row r="5" ht="54" hidden="0" customHeight="1">
      <x:c r="A5" s="28" t="str">
        <x:v>Local-only balanced lattice</x:v>
      </x:c>
      <x:c r="B5" s="61" t="n">
        <x:v>1</x:v>
      </x:c>
      <x:c r="C5" s="61" t="n">
        <x:v>0</x:v>
      </x:c>
      <x:c r="D5" s="45" t="n">
        <x:v>2355.7999444883</x:v>
      </x:c>
      <x:c r="E5" s="45" t="n">
        <x:v>1525.9196939748192</x:v>
      </x:c>
      <x:c r="F5" s="45" t="n">
        <x:v>0</x:v>
      </x:c>
      <x:c r="G5" s="45" t="n">
        <x:v>1525.9196939748192</x:v>
      </x:c>
      <x:c r="H5" s="45" t="n">
        <x:v>974.0803060251808</x:v>
      </x:c>
      <x:c r="I5" s="48" t="n">
        <x:v>0.6103678775899277</x:v>
      </x:c>
      <x:c r="J5" s="67" t="n">
        <x:f>(('Controls'!C16*B5)+'Controls'!C17+('Controls'!C18*C5))*(1+'Controls'!C19)</x:f>
        <x:v>563.808</x:v>
      </x:c>
      <x:c r="K5" s="67" t="n">
        <x:f>'Controls'!C20*B5+'Controls'!C21+'Controls'!C22*C5</x:f>
        <x:v>36.32</x:v>
      </x:c>
      <x:c r="L5" s="67" t="n">
        <x:f>J5+K5*'Controls'!C23</x:f>
        <x:v>1138.0272</x:v>
      </x:c>
      <x:c r="M5" s="28" t="str">
        <x:v>geography dominates; no interregional relief</x:v>
      </x:c>
    </x:row>
    <x:row r="6" ht="43.20000076293945" hidden="0" customHeight="1">
      <x:c r="A6" s="27" t="str">
        <x:v>Balanced lattice + baseline corridors</x:v>
      </x:c>
      <x:c r="B6" s="62" t="n">
        <x:v>1</x:v>
      </x:c>
      <x:c r="C6" s="62" t="n">
        <x:v>1</x:v>
      </x:c>
      <x:c r="D6" s="46" t="n">
        <x:v>2355.7999444883</x:v>
      </x:c>
      <x:c r="E6" s="46" t="n">
        <x:v>1525.9196939748192</x:v>
      </x:c>
      <x:c r="F6" s="46" t="n">
        <x:v>540.4977237489018</x:v>
      </x:c>
      <x:c r="G6" s="46" t="n">
        <x:v>2066.417417723721</x:v>
      </x:c>
      <x:c r="H6" s="46" t="n">
        <x:v>433.5825822762791</x:v>
      </x:c>
      <x:c r="I6" s="49" t="n">
        <x:v>0.8265669670894884</x:v>
      </x:c>
      <x:c r="J6" s="68" t="n">
        <x:f>(('Controls'!C16*B6)+'Controls'!C17+('Controls'!C18*C6))*(1+'Controls'!C19)</x:f>
        <x:v>779.8079999999999</x:v>
      </x:c>
      <x:c r="K6" s="68" t="n">
        <x:f>'Controls'!C20*B6+'Controls'!C21+'Controls'!C22*C6</x:f>
        <x:v>54.32</x:v>
      </x:c>
      <x:c r="L6" s="68" t="n">
        <x:f>J6+K6*'Controls'!C23</x:f>
        <x:v>1638.6072</x:v>
      </x:c>
      <x:c r="M6" s="27" t="str">
        <x:v>mobility helps but does not close</x:v>
      </x:c>
    </x:row>
    <x:row r="7" ht="97.19999694824219" hidden="0" customHeight="1">
      <x:c r="A7" s="29" t="str">
        <x:v>Balanced lattice, unconstrained-transfer upper bound</x:v>
      </x:c>
      <x:c r="B7" s="63" t="n">
        <x:v>1</x:v>
      </x:c>
      <x:c r="C7" s="63" t="n">
        <x:v>0</x:v>
      </x:c>
      <x:c r="D7" s="47" t="n">
        <x:v>2355.7999444883</x:v>
      </x:c>
      <x:c r="E7" s="47" t="n">
        <x:v>1525.9196939748192</x:v>
      </x:c>
      <x:c r="F7" s="47" t="n">
        <x:v>829.8802505134806</x:v>
      </x:c>
      <x:c r="G7" s="47" t="n">
        <x:v>2355.7999444883</x:v>
      </x:c>
      <x:c r="H7" s="47" t="n">
        <x:v>144.20005551170016</x:v>
      </x:c>
      <x:c r="I7" s="50" t="n">
        <x:v>0.94231997779532</x:v>
      </x:c>
      <x:c r="J7" s="69" t="n">
        <x:f>(('Controls'!C16*B7)+'Controls'!C17+('Controls'!C18*C7))*(1+'Controls'!C19)</x:f>
        <x:v>563.808</x:v>
      </x:c>
      <x:c r="K7" s="69" t="n">
        <x:f>'Controls'!C20*B7+'Controls'!C21+'Controls'!C22*C7</x:f>
        <x:v>36.32</x:v>
      </x:c>
      <x:c r="L7" s="69" t="n">
        <x:f>J7+K7*'Controls'!C23</x:f>
        <x:v>1138.0272</x:v>
      </x:c>
      <x:c r="M7" s="29" t="str">
        <x:v>even frictionless transfer fails because total surviving capacity is below demand</x:v>
      </x:c>
    </x:row>
    <x:row r="8" ht="64.80000305175781" hidden="0" customHeight="1">
      <x:c r="A8" s="27" t="str">
        <x:v>Dense local lattice, no relocation</x:v>
      </x:c>
      <x:c r="B8" s="62" t="n">
        <x:v>4.196438516787028</x:v>
      </x:c>
      <x:c r="C8" s="62" t="n">
        <x:v>0</x:v>
      </x:c>
      <x:c r="D8" s="46" t="n">
        <x:v>9885.969624895442</x:v>
      </x:c>
      <x:c r="E8" s="46" t="n">
        <x:v>2499.9975</x:v>
      </x:c>
      <x:c r="F8" s="46" t="n">
        <x:v>0</x:v>
      </x:c>
      <x:c r="G8" s="46" t="n">
        <x:v>2499.9975</x:v>
      </x:c>
      <x:c r="H8" s="46" t="n">
        <x:v>0.0025000000002535216</x:v>
      </x:c>
      <x:c r="I8" s="49" t="n">
        <x:v>0.999999</x:v>
      </x:c>
      <x:c r="J8" s="68" t="n">
        <x:f>(('Controls'!C16*B8)+'Controls'!C17+('Controls'!C18*C8))*(1+'Controls'!C19)</x:f>
        <x:v>1905.6984608553284</x:v>
      </x:c>
      <x:c r="K8" s="68" t="n">
        <x:f>'Controls'!C20*B8+'Controls'!C21+'Controls'!C22*C8</x:f>
        <x:v>75.06083482345878</x:v>
      </x:c>
      <x:c r="L8" s="68" t="n">
        <x:f>J8+K8*'Controls'!C23</x:f>
        <x:v>3092.410259414212</x:v>
      </x:c>
      <x:c r="M8" s="27" t="str">
        <x:v>closes without relocation but requires 4.20x lattice density</x:v>
      </x:c>
    </x:row>
    <x:row r="9" ht="97.19999694824219" hidden="0" customHeight="1">
      <x:c r="A9" s="29" t="str">
        <x:v>50% denser hybrid + closure corridor</x:v>
      </x:c>
      <x:c r="B9" s="63" t="n">
        <x:v>1.5</x:v>
      </x:c>
      <x:c r="C9" s="63" t="n">
        <x:v>1.7319730985479524</x:v>
      </x:c>
      <x:c r="D9" s="47" t="n">
        <x:v>3533.6999167324493</x:v>
      </x:c>
      <x:c r="E9" s="47" t="n">
        <x:v>1868.562157974128</x:v>
      </x:c>
      <x:c r="F9" s="47" t="n">
        <x:v>631.4353420258719</x:v>
      </x:c>
      <x:c r="G9" s="47" t="n">
        <x:v>2499.9975</x:v>
      </x:c>
      <x:c r="H9" s="47" t="n">
        <x:v>0.0025000000002677325</x:v>
      </x:c>
      <x:c r="I9" s="50" t="n">
        <x:v>0.999999</x:v>
      </x:c>
      <x:c r="J9" s="69" t="n">
        <x:f>(('Controls'!C16*B9)+'Controls'!C17+('Controls'!C18*C9))*(1+'Controls'!C19)</x:f>
        <x:v>1147.8181892863577</x:v>
      </x:c>
      <x:c r="K9" s="69" t="n">
        <x:f>'Controls'!C20*B9+'Controls'!C21+'Controls'!C22*C9</x:f>
        <x:v>73.55551577386314</x:v>
      </x:c>
      <x:c r="L9" s="69" t="n">
        <x:f>J9+K9*'Controls'!C23</x:f>
        <x:v>2310.730893671134</x:v>
      </x:c>
      <x:c r="M9" s="29" t="str">
        <x:v>least-cost closing case in this limited candidate set; requires both 1.50x lattice and 1.73x corridors</x:v>
      </x:c>
    </x:row>
    <x:row r="10">
      <x:c r="A10" s="83"/>
      <x:c r="B10" s="83"/>
      <x:c r="C10" s="83"/>
      <x:c r="D10" s="83"/>
      <x:c r="E10" s="83"/>
      <x:c r="F10" s="83"/>
      <x:c r="G10" s="83"/>
      <x:c r="H10" s="83"/>
      <x:c r="I10" s="83"/>
      <x:c r="J10" s="83"/>
      <x:c r="K10" s="83"/>
      <x:c r="L10" s="83"/>
      <x:c r="M10" s="83"/>
    </x:row>
    <x:row r="11" ht="36" customHeight="1">
      <x:c r="A11" s="90" t="str">
        <x:v>The unconstrained-transfer row is a mathematical upper bound, not a purchasable corridor program. Its shortfall proves baseline capacity cannot close by mobility alone.</x:v>
      </x:c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90"/>
      <x:c r="M11" s="90"/>
    </x:row>
  </x:sheetData>
  <x:mergeCells>
    <x:mergeCell ref="A1:M1"/>
    <x:mergeCell ref="A2:M2"/>
    <x:mergeCell ref="A11:M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9" customHeight="1">
      <x:c r="A1" s="81" t="str">
        <x:v>Capital and lifecycle planning screen</x:v>
      </x:c>
      <x:c r="B1" s="81"/>
      <x:c r="C1" s="81"/>
      <x:c r="D1" s="81"/>
      <x:c r="E1" s="81"/>
      <x:c r="F1" s="81"/>
      <x:c r="G1" s="81"/>
      <x:c r="H1" s="81"/>
      <x:c r="I1" s="81"/>
    </x:row>
    <x:row r="2" ht="29" customHeight="1">
      <x:c r="A2" s="82" t="str">
        <x:v>Common rules expose the economic consequence of alternative combinations; values are not independent estimates or appropriations proposals.</x:v>
      </x:c>
      <x:c r="B2" s="82"/>
      <x:c r="C2" s="82"/>
      <x:c r="D2" s="82"/>
      <x:c r="E2" s="82"/>
      <x:c r="F2" s="82"/>
      <x:c r="G2" s="82"/>
      <x:c r="H2" s="82"/>
      <x:c r="I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</x:row>
    <x:row r="4" ht="31" customHeight="1">
      <x:c r="A4" s="84" t="str">
        <x:v>Architecture</x:v>
      </x:c>
      <x:c r="B4" s="85" t="str">
        <x:v>Scalable lattice pre-reserve $B</x:v>
      </x:c>
      <x:c r="C4" s="85" t="str">
        <x:v>Common lattice $B</x:v>
      </x:c>
      <x:c r="D4" s="85" t="str">
        <x:v>Corridor pre-reserve $B</x:v>
      </x:c>
      <x:c r="E4" s="85" t="str">
        <x:v>Reserve $B</x:v>
      </x:c>
      <x:c r="F4" s="85" t="str">
        <x:v>Capital $B</x:v>
      </x:c>
      <x:c r="G4" s="85" t="str">
        <x:v>Mature O&amp;M $B/y</x:v>
      </x:c>
      <x:c r="H4" s="85" t="str">
        <x:v>25-year operations $B</x:v>
      </x:c>
      <x:c r="I4" s="86" t="str">
        <x:v>25-year total $B</x:v>
      </x:c>
    </x:row>
    <x:row r="5" ht="32.400001525878906" hidden="0" customHeight="1">
      <x:c r="A5" s="28" t="str">
        <x:v>Local-only balanced lattice</x:v>
      </x:c>
      <x:c r="B5" s="67" t="n">
        <x:f>'Controls'!C16*Architecture!B5</x:f>
        <x:v>349.84</x:v>
      </x:c>
      <x:c r="C5" s="67" t="n">
        <x:f>'Controls'!C17</x:f>
        <x:v>120</x:v>
      </x:c>
      <x:c r="D5" s="67" t="n">
        <x:f>'Controls'!C18*Architecture!C5</x:f>
        <x:v>0</x:v>
      </x:c>
      <x:c r="E5" s="67" t="n">
        <x:f>SUM(B5:D5)*'Controls'!C19</x:f>
        <x:v>93.968</x:v>
      </x:c>
      <x:c r="F5" s="67" t="n">
        <x:f>SUM(B5:E5)</x:f>
        <x:v>563.808</x:v>
      </x:c>
      <x:c r="G5" s="67" t="n">
        <x:f>'Controls'!C20*Architecture!B5+'Controls'!C21+'Controls'!C22*Architecture!C5</x:f>
        <x:v>36.32</x:v>
      </x:c>
      <x:c r="H5" s="67" t="n">
        <x:f>G5*'Controls'!C23</x:f>
        <x:v>574.2192</x:v>
      </x:c>
      <x:c r="I5" s="67" t="n">
        <x:f>F5+H5</x:f>
        <x:v>1138.0272</x:v>
      </x:c>
    </x:row>
    <x:row r="6" ht="43.20000076293945" hidden="0" customHeight="1">
      <x:c r="A6" s="27" t="str">
        <x:v>Balanced lattice + baseline corridors</x:v>
      </x:c>
      <x:c r="B6" s="68" t="n">
        <x:f>'Controls'!C16*Architecture!B6</x:f>
        <x:v>349.84</x:v>
      </x:c>
      <x:c r="C6" s="68" t="n">
        <x:f>'Controls'!C17</x:f>
        <x:v>120</x:v>
      </x:c>
      <x:c r="D6" s="68" t="n">
        <x:f>'Controls'!C18*Architecture!C6</x:f>
        <x:v>180</x:v>
      </x:c>
      <x:c r="E6" s="68" t="n">
        <x:f>SUM(B6:D6)*'Controls'!C19</x:f>
        <x:v>129.968</x:v>
      </x:c>
      <x:c r="F6" s="68" t="n">
        <x:f>SUM(B6:E6)</x:f>
        <x:v>779.8079999999999</x:v>
      </x:c>
      <x:c r="G6" s="68" t="n">
        <x:f>'Controls'!C20*Architecture!B6+'Controls'!C21+'Controls'!C22*Architecture!C6</x:f>
        <x:v>54.32</x:v>
      </x:c>
      <x:c r="H6" s="68" t="n">
        <x:f>G6*'Controls'!C23</x:f>
        <x:v>858.7992</x:v>
      </x:c>
      <x:c r="I6" s="68" t="n">
        <x:f>F6+H6</x:f>
        <x:v>1638.6072</x:v>
      </x:c>
    </x:row>
    <x:row r="7" ht="54" hidden="0" customHeight="1">
      <x:c r="A7" s="29" t="str">
        <x:v>Balanced lattice, unconstrained-transfer upper bound</x:v>
      </x:c>
      <x:c r="B7" s="69" t="n">
        <x:f>'Controls'!C16*Architecture!B7</x:f>
        <x:v>349.84</x:v>
      </x:c>
      <x:c r="C7" s="69" t="n">
        <x:f>'Controls'!C17</x:f>
        <x:v>120</x:v>
      </x:c>
      <x:c r="D7" s="69" t="n">
        <x:f>'Controls'!C18*Architecture!C7</x:f>
        <x:v>0</x:v>
      </x:c>
      <x:c r="E7" s="69" t="n">
        <x:f>SUM(B7:D7)*'Controls'!C19</x:f>
        <x:v>93.968</x:v>
      </x:c>
      <x:c r="F7" s="69" t="n">
        <x:f>SUM(B7:E7)</x:f>
        <x:v>563.808</x:v>
      </x:c>
      <x:c r="G7" s="69" t="n">
        <x:f>'Controls'!C20*Architecture!B7+'Controls'!C21+'Controls'!C22*Architecture!C7</x:f>
        <x:v>36.32</x:v>
      </x:c>
      <x:c r="H7" s="69" t="n">
        <x:f>G7*'Controls'!C23</x:f>
        <x:v>574.2192</x:v>
      </x:c>
      <x:c r="I7" s="69" t="n">
        <x:f>F7+H7</x:f>
        <x:v>1138.0272</x:v>
      </x:c>
    </x:row>
    <x:row r="8" ht="32.400001525878906" hidden="0" customHeight="1">
      <x:c r="A8" s="27" t="str">
        <x:v>Dense local lattice, no relocation</x:v>
      </x:c>
      <x:c r="B8" s="68" t="n">
        <x:f>'Controls'!C16*Architecture!B8</x:f>
        <x:v>1468.0820507127737</x:v>
      </x:c>
      <x:c r="C8" s="68" t="n">
        <x:f>'Controls'!C17</x:f>
        <x:v>120</x:v>
      </x:c>
      <x:c r="D8" s="68" t="n">
        <x:f>'Controls'!C18*Architecture!C8</x:f>
        <x:v>0</x:v>
      </x:c>
      <x:c r="E8" s="68" t="n">
        <x:f>SUM(B8:D8)*'Controls'!C19</x:f>
        <x:v>317.61641014255474</x:v>
      </x:c>
      <x:c r="F8" s="68" t="n">
        <x:f>SUM(B8:E8)</x:f>
        <x:v>1905.6984608553284</x:v>
      </x:c>
      <x:c r="G8" s="68" t="n">
        <x:f>'Controls'!C20*Architecture!B8+'Controls'!C21+'Controls'!C22*Architecture!C8</x:f>
        <x:v>75.06083482345878</x:v>
      </x:c>
      <x:c r="H8" s="68" t="n">
        <x:f>G8*'Controls'!C23</x:f>
        <x:v>1186.7117985588834</x:v>
      </x:c>
      <x:c r="I8" s="68" t="n">
        <x:f>F8+H8</x:f>
        <x:v>3092.410259414212</x:v>
      </x:c>
    </x:row>
    <x:row r="9" ht="43.20000076293945" hidden="0" customHeight="1">
      <x:c r="A9" s="29" t="str">
        <x:v>50% denser hybrid + closure corridor</x:v>
      </x:c>
      <x:c r="B9" s="69" t="n">
        <x:f>'Controls'!C16*Architecture!B9</x:f>
        <x:v>524.76</x:v>
      </x:c>
      <x:c r="C9" s="69" t="n">
        <x:f>'Controls'!C17</x:f>
        <x:v>120</x:v>
      </x:c>
      <x:c r="D9" s="69" t="n">
        <x:f>'Controls'!C18*Architecture!C9</x:f>
        <x:v>311.75515773863145</x:v>
      </x:c>
      <x:c r="E9" s="69" t="n">
        <x:f>SUM(B9:D9)*'Controls'!C19</x:f>
        <x:v>191.30303154772628</x:v>
      </x:c>
      <x:c r="F9" s="69" t="n">
        <x:f>SUM(B9:E9)</x:f>
        <x:v>1147.8181892863577</x:v>
      </x:c>
      <x:c r="G9" s="69" t="n">
        <x:f>'Controls'!C20*Architecture!B9+'Controls'!C21+'Controls'!C22*Architecture!C9</x:f>
        <x:v>73.55551577386314</x:v>
      </x:c>
      <x:c r="H9" s="69" t="n">
        <x:f>G9*'Controls'!C23</x:f>
        <x:v>1162.9127043847761</x:v>
      </x:c>
      <x:c r="I9" s="69" t="n">
        <x:f>F9+H9</x:f>
        <x:v>2310.730893671134</x:v>
      </x:c>
    </x:row>
    <x:row r="10">
      <x:c r="A10" s="83"/>
      <x:c r="B10" s="83"/>
      <x:c r="C10" s="83"/>
      <x:c r="D10" s="83"/>
      <x:c r="E10" s="83"/>
      <x:c r="F10" s="83"/>
      <x:c r="G10" s="83"/>
      <x:c r="H10" s="83"/>
      <x:c r="I10" s="83"/>
    </x:row>
    <x:row r="11" ht="36" customHeight="1">
      <x:c r="A11" s="90" t="str">
        <x:v>A 50%-denser hybrid with 1.73x corridor capacity closes this declared screen at about $2.31T over 25 years—less than dense local self-sufficiency, but dependent on lawful mass relocation.</x:v>
      </x:c>
      <x:c r="B11" s="90"/>
      <x:c r="C11" s="90"/>
      <x:c r="D11" s="90"/>
      <x:c r="E11" s="90"/>
      <x:c r="F11" s="90"/>
      <x:c r="G11" s="90"/>
      <x:c r="H11" s="90"/>
      <x:c r="I11" s="90"/>
    </x:row>
  </x:sheetData>
  <x:mergeCells>
    <x:mergeCell ref="A1:I1"/>
    <x:mergeCell ref="A2:I2"/>
    <x:mergeCell ref="A11:I1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8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9" customHeight="1">
      <x:c r="A1" s="81" t="str">
        <x:v>Workforce consequence</x:v>
      </x:c>
      <x:c r="B1" s="81"/>
      <x:c r="C1" s="81"/>
      <x:c r="D1" s="81"/>
      <x:c r="E1" s="81"/>
      <x:c r="F1" s="81"/>
      <x:c r="G1" s="81"/>
      <x:c r="H1" s="81"/>
    </x:row>
    <x:row r="2" ht="29" customHeight="1">
      <x:c r="A2" s="82" t="str">
        <x:v>Standing site readiness and a national accessible-mobility profession are treated as operating forces, not latent volunteer assumptions.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Architecture</x:v>
      </x:c>
      <x:c r="B4" s="85" t="str">
        <x:v>Scalable site permanent</x:v>
      </x:c>
      <x:c r="C4" s="85" t="str">
        <x:v>Common permanent</x:v>
      </x:c>
      <x:c r="D4" s="85" t="str">
        <x:v>Corridor permanent</x:v>
      </x:c>
      <x:c r="E4" s="85" t="str">
        <x:v>Total permanent</x:v>
      </x:c>
      <x:c r="F4" s="85" t="str">
        <x:v>Scalable affiliated</x:v>
      </x:c>
      <x:c r="G4" s="85" t="str">
        <x:v>Common affiliated</x:v>
      </x:c>
      <x:c r="H4" s="86" t="str">
        <x:v>Corridor affiliated</x:v>
      </x:c>
    </x:row>
    <x:row r="5" ht="32.400001525878906" hidden="0" customHeight="1">
      <x:c r="A5" s="28" t="str">
        <x:v>Local-only balanced lattice</x:v>
      </x:c>
      <x:c r="B5" s="39" t="n">
        <x:f>25632*Architecture!B5</x:f>
        <x:v>25632</x:v>
      </x:c>
      <x:c r="C5" s="39" t="n">
        <x:v>34200</x:v>
      </x:c>
      <x:c r="D5" s="39" t="n">
        <x:f>40000*Architecture!C5</x:f>
        <x:v>0</x:v>
      </x:c>
      <x:c r="E5" s="39" t="n">
        <x:f>SUM(B5:D5)</x:f>
        <x:v>59832</x:v>
      </x:c>
      <x:c r="F5" s="39" t="n">
        <x:f>56390*Architecture!B5</x:f>
        <x:v>56390</x:v>
      </x:c>
      <x:c r="G5" s="39" t="n">
        <x:v>106630</x:v>
      </x:c>
      <x:c r="H5" s="39" t="n">
        <x:f>200000*Architecture!C5</x:f>
        <x:v>0</x:v>
      </x:c>
    </x:row>
    <x:row r="6" ht="43.20000076293945" hidden="0" customHeight="1">
      <x:c r="A6" s="27" t="str">
        <x:v>Balanced lattice + baseline corridors</x:v>
      </x:c>
      <x:c r="B6" s="40" t="n">
        <x:f>25632*Architecture!B6</x:f>
        <x:v>25632</x:v>
      </x:c>
      <x:c r="C6" s="40" t="n">
        <x:v>34200</x:v>
      </x:c>
      <x:c r="D6" s="40" t="n">
        <x:f>40000*Architecture!C6</x:f>
        <x:v>40000</x:v>
      </x:c>
      <x:c r="E6" s="40" t="n">
        <x:f>SUM(B6:D6)</x:f>
        <x:v>99832</x:v>
      </x:c>
      <x:c r="F6" s="40" t="n">
        <x:f>56390*Architecture!B6</x:f>
        <x:v>56390</x:v>
      </x:c>
      <x:c r="G6" s="40" t="n">
        <x:v>106630</x:v>
      </x:c>
      <x:c r="H6" s="40" t="n">
        <x:f>200000*Architecture!C6</x:f>
        <x:v>200000</x:v>
      </x:c>
    </x:row>
    <x:row r="7" ht="54" hidden="0" customHeight="1">
      <x:c r="A7" s="29" t="str">
        <x:v>Balanced lattice, unconstrained-transfer upper bound</x:v>
      </x:c>
      <x:c r="B7" s="41" t="n">
        <x:f>25632*Architecture!B7</x:f>
        <x:v>25632</x:v>
      </x:c>
      <x:c r="C7" s="41" t="n">
        <x:v>34200</x:v>
      </x:c>
      <x:c r="D7" s="41" t="n">
        <x:f>40000*Architecture!C7</x:f>
        <x:v>0</x:v>
      </x:c>
      <x:c r="E7" s="41" t="n">
        <x:f>SUM(B7:D7)</x:f>
        <x:v>59832</x:v>
      </x:c>
      <x:c r="F7" s="41" t="n">
        <x:f>56390*Architecture!B7</x:f>
        <x:v>56390</x:v>
      </x:c>
      <x:c r="G7" s="41" t="n">
        <x:v>106630</x:v>
      </x:c>
      <x:c r="H7" s="41" t="n">
        <x:f>200000*Architecture!C7</x:f>
        <x:v>0</x:v>
      </x:c>
    </x:row>
    <x:row r="8" ht="32.400001525878906" hidden="0" customHeight="1">
      <x:c r="A8" s="27" t="str">
        <x:v>Dense local lattice, no relocation</x:v>
      </x:c>
      <x:c r="B8" s="40" t="n">
        <x:f>25632*Architecture!B8</x:f>
        <x:v>107563.1120622851</x:v>
      </x:c>
      <x:c r="C8" s="40" t="n">
        <x:v>34200</x:v>
      </x:c>
      <x:c r="D8" s="40" t="n">
        <x:f>40000*Architecture!C8</x:f>
        <x:v>0</x:v>
      </x:c>
      <x:c r="E8" s="40" t="n">
        <x:f>SUM(B8:D8)</x:f>
        <x:v>141763.1120622851</x:v>
      </x:c>
      <x:c r="F8" s="40" t="n">
        <x:f>56390*Architecture!B8</x:f>
        <x:v>236637.1679616205</x:v>
      </x:c>
      <x:c r="G8" s="40" t="n">
        <x:v>106630</x:v>
      </x:c>
      <x:c r="H8" s="40" t="n">
        <x:f>200000*Architecture!C8</x:f>
        <x:v>0</x:v>
      </x:c>
    </x:row>
    <x:row r="9" ht="43.20000076293945" hidden="0" customHeight="1">
      <x:c r="A9" s="29" t="str">
        <x:v>50% denser hybrid + closure corridor</x:v>
      </x:c>
      <x:c r="B9" s="41" t="n">
        <x:f>25632*Architecture!B9</x:f>
        <x:v>38448</x:v>
      </x:c>
      <x:c r="C9" s="41" t="n">
        <x:v>34200</x:v>
      </x:c>
      <x:c r="D9" s="41" t="n">
        <x:f>40000*Architecture!C9</x:f>
        <x:v>69278.9239419181</x:v>
      </x:c>
      <x:c r="E9" s="41" t="n">
        <x:f>SUM(B9:D9)</x:f>
        <x:v>141926.9239419181</x:v>
      </x:c>
      <x:c r="F9" s="41" t="n">
        <x:f>56390*Architecture!B9</x:f>
        <x:v>84585</x:v>
      </x:c>
      <x:c r="G9" s="41" t="n">
        <x:v>106630</x:v>
      </x:c>
      <x:c r="H9" s="41" t="n">
        <x:f>200000*Architecture!C9</x:f>
        <x:v>346394.6197095905</x:v>
      </x:c>
    </x:row>
    <x:row r="10">
      <x:c r="A10" s="83"/>
      <x:c r="B10" s="83"/>
      <x:c r="C10" s="83"/>
      <x:c r="D10" s="83"/>
      <x:c r="E10" s="83"/>
      <x:c r="F10" s="83"/>
      <x:c r="G10" s="83"/>
      <x:c r="H10" s="83"/>
    </x:row>
    <x:row r="11" ht="23" customHeight="1">
      <x:c r="A11" s="87" t="str">
        <x:v>Corridor professions</x:v>
      </x:c>
      <x:c r="B11" s="87"/>
      <x:c r="C11" s="87"/>
      <x:c r="D11" s="87"/>
      <x:c r="E11" s="87"/>
      <x:c r="F11" s="87"/>
      <x:c r="G11" s="87"/>
      <x:c r="H11" s="87"/>
    </x:row>
    <x:row r="12" ht="32.400001525878906" hidden="0" customHeight="1">
      <x:c r="A12" s="26" t="str">
        <x:v>Accessible movement crews</x:v>
      </x:c>
      <x:c r="B12" s="26" t="str">
        <x:v>passenger movement, medical accompaniment, family unity and mobility-device custody</x:v>
      </x:c>
      <x:c r="C12" s="83"/>
      <x:c r="D12" s="83"/>
      <x:c r="E12" s="83"/>
      <x:c r="F12" s="83"/>
      <x:c r="G12" s="83"/>
      <x:c r="H12" s="83"/>
    </x:row>
    <x:row r="13" ht="32.400001525878906" hidden="0" customHeight="1">
      <x:c r="A13" s="27" t="str">
        <x:v>Transfer-node operators</x:v>
      </x:c>
      <x:c r="B13" s="27" t="str">
        <x:v>registration, triage, safeguarding, sanitation, food, power and onward assignment</x:v>
      </x:c>
      <x:c r="C13" s="83"/>
      <x:c r="D13" s="83"/>
      <x:c r="E13" s="83"/>
      <x:c r="F13" s="83"/>
      <x:c r="G13" s="83"/>
      <x:c r="H13" s="83"/>
    </x:row>
    <x:row r="14" ht="32.400001525878906" hidden="0" customHeight="1">
      <x:c r="A14" s="27" t="str">
        <x:v>Network recovery engineers</x:v>
      </x:c>
      <x:c r="B14" s="27" t="str">
        <x:v>clearance, inspection, bridging, signaling, power and communications restoration</x:v>
      </x:c>
      <x:c r="C14" s="83"/>
      <x:c r="D14" s="83"/>
      <x:c r="E14" s="83"/>
      <x:c r="F14" s="83"/>
      <x:c r="G14" s="83"/>
      <x:c r="H14" s="83"/>
    </x:row>
    <x:row r="15" ht="32.400001525878906" hidden="0" customHeight="1">
      <x:c r="A15" s="27" t="str">
        <x:v>Dispatch and rights officers</x:v>
      </x:c>
      <x:c r="B15" s="27" t="str">
        <x:v>consent, priority, destination matching, records, reunification, return and appeals</x:v>
      </x:c>
      <x:c r="C15" s="83"/>
      <x:c r="D15" s="83"/>
      <x:c r="E15" s="83"/>
      <x:c r="F15" s="83"/>
      <x:c r="G15" s="83"/>
      <x:c r="H15" s="83"/>
    </x:row>
    <x:row r="16" ht="32.400001525878906" hidden="0" customHeight="1">
      <x:c r="A16" s="27" t="str">
        <x:v>Fleet sustainment</x:v>
      </x:c>
      <x:c r="B16" s="27" t="str">
        <x:v>drivers, pilots, mariners, maintainers, fuel/energy, spares and regeneration</x:v>
      </x:c>
      <x:c r="C16" s="83"/>
      <x:c r="D16" s="83"/>
      <x:c r="E16" s="83"/>
      <x:c r="F16" s="83"/>
      <x:c r="G16" s="83"/>
      <x:c r="H16" s="83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1" hidden="0" customWidth="1"/>
    <x:col min="3" max="3" width="41" hidden="0" customWidth="1"/>
    <x:col min="4" max="4" width="41" hidden="0" customWidth="1"/>
    <x:col min="5" max="5" width="41" hidden="0" customWidth="1"/>
    <x:col min="6" max="6" width="41" hidden="0" customWidth="1"/>
    <x:col min="7" max="7" width="41" hidden="0" customWidth="1"/>
    <x:col min="8" max="8" width="41" hidden="0" customWidth="1"/>
    <x:col min="9" max="9" width="13" hidden="0" customWidth="1"/>
  </x:cols>
  <x:sheetData>
    <x:row r="1" ht="29" customHeight="1">
      <x:c r="A1" s="81" t="str">
        <x:v>Mobility and geography technology programs</x:v>
      </x:c>
      <x:c r="B1" s="81"/>
      <x:c r="C1" s="81"/>
      <x:c r="D1" s="81"/>
      <x:c r="E1" s="81"/>
      <x:c r="F1" s="81"/>
      <x:c r="G1" s="81"/>
      <x:c r="H1" s="81"/>
      <x:c r="I1" s="81"/>
    </x:row>
    <x:row r="2" ht="29" customHeight="1">
      <x:c r="A2" s="82" t="str">
        <x:v>The mission failure pulls inventions at the whole-chain level. Programs are framed around measured closure, not impressive vehicle form.</x:v>
      </x:c>
      <x:c r="B2" s="82"/>
      <x:c r="C2" s="82"/>
      <x:c r="D2" s="82"/>
      <x:c r="E2" s="82"/>
      <x:c r="F2" s="82"/>
      <x:c r="G2" s="82"/>
      <x:c r="H2" s="82"/>
      <x:c r="I2" s="82"/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</x:row>
    <x:row r="4" ht="31" customHeight="1">
      <x:c r="A4" s="84" t="str">
        <x:v>Program</x:v>
      </x:c>
      <x:c r="B4" s="85" t="str">
        <x:v>Mission thread</x:v>
      </x:c>
      <x:c r="C4" s="85" t="str">
        <x:v>Required advance</x:v>
      </x:c>
      <x:c r="D4" s="85" t="str">
        <x:v>Threshold measure</x:v>
      </x:c>
      <x:c r="E4" s="85" t="str">
        <x:v>Objective measure</x:v>
      </x:c>
      <x:c r="F4" s="85" t="str">
        <x:v>Kill criterion</x:v>
      </x:c>
      <x:c r="G4" s="85" t="str">
        <x:v>Test environment</x:v>
      </x:c>
      <x:c r="H4" s="85" t="str">
        <x:v>Dependencies</x:v>
      </x:c>
      <x:c r="I4" s="86" t="str">
        <x:v>Gate</x:v>
      </x:c>
    </x:row>
    <x:row r="5" ht="75.5999984741211" hidden="0" customHeight="1">
      <x:c r="A5" s="28" t="str">
        <x:v>Autonomous emergency corridor</x:v>
      </x:c>
      <x:c r="B5" s="28" t="str">
        <x:v>damaged origin to safe receiver</x:v>
      </x:c>
      <x:c r="C5" s="28" t="str">
        <x:v>mixed autonomy convoying, route proving and continuous re-routing</x:v>
      </x:c>
      <x:c r="D5" s="28" t="str">
        <x:v>double usable passengers/hour on degraded routes</x:v>
      </x:c>
      <x:c r="E5" s="28" t="str">
        <x:v>fourfold increase with no fatality increase</x:v>
      </x:c>
      <x:c r="F5" s="28" t="str">
        <x:v>cannot operate with disconnected comms and human fallback</x:v>
      </x:c>
      <x:c r="G5" s="28" t="str">
        <x:v>multi-state no-notice exercise</x:v>
      </x:c>
      <x:c r="H5" s="28" t="str">
        <x:v>road clearance, law enforcement, fueling, cyber safety</x:v>
      </x:c>
      <x:c r="I5" s="28" t="str">
        <x:v>OPEN</x:v>
      </x:c>
    </x:row>
    <x:row r="6" ht="54" hidden="0" customHeight="1">
      <x:c r="A6" s="27" t="str">
        <x:v>Universal accessible lift</x:v>
      </x:c>
      <x:c r="B6" s="27" t="str">
        <x:v>home or care setting to receiver berth</x:v>
      </x:c>
      <x:c r="C6" s="27" t="str">
        <x:v>rapidly configurable road/rail/air/water modules</x:v>
      </x:c>
      <x:c r="D6" s="27" t="str">
        <x:v>100% mobility-device and caregiver continuity</x:v>
      </x:c>
      <x:c r="E6" s="27" t="str">
        <x:v>one common restraint/data interface across modes</x:v>
      </x:c>
      <x:c r="F6" s="27" t="str">
        <x:v>separates people, devices, medicines or attendants</x:v>
      </x:c>
      <x:c r="G6" s="27" t="str">
        <x:v>disability-led embarkation trials</x:v>
      </x:c>
      <x:c r="H6" s="27" t="str">
        <x:v>standards, procurement, trained crews</x:v>
      </x:c>
      <x:c r="I6" s="27" t="str">
        <x:v>OPEN</x:v>
      </x:c>
    </x:row>
    <x:row r="7" ht="64.80000305175781" hidden="0" customHeight="1">
      <x:c r="A7" s="29" t="str">
        <x:v>Resilience transfer node</x:v>
      </x:c>
      <x:c r="B7" s="29" t="str">
        <x:v>mode change under utility loss</x:v>
      </x:c>
      <x:c r="C7" s="29" t="str">
        <x:v>self-powered registration, sanitation, health and cargo/passenger sorting</x:v>
      </x:c>
      <x:c r="D7" s="29" t="str">
        <x:v>10,000 people/day for 7 days</x:v>
      </x:c>
      <x:c r="E7" s="29" t="str">
        <x:v>50,000 people/day with 30-minute dwell</x:v>
      </x:c>
      <x:c r="F7" s="29" t="str">
        <x:v>requires intact grid, cloud or municipal sewer</x:v>
      </x:c>
      <x:c r="G7" s="29" t="str">
        <x:v>purpose-built proving range</x:v>
      </x:c>
      <x:c r="H7" s="29" t="str">
        <x:v>water, power, data, waste, safeguarding</x:v>
      </x:c>
      <x:c r="I7" s="29" t="str">
        <x:v>OPEN</x:v>
      </x:c>
    </x:row>
    <x:row r="8" ht="75.5999984741211" hidden="0" customHeight="1">
      <x:c r="A8" s="27" t="str">
        <x:v>Damage-tolerant rail bridge</x:v>
      </x:c>
      <x:c r="B8" s="27" t="str">
        <x:v>regional mass relocation</x:v>
      </x:c>
      <x:c r="C8" s="27" t="str">
        <x:v>temporary signaling, modular loading and rapid track/bridge inspection</x:v>
      </x:c>
      <x:c r="D8" s="27" t="str">
        <x:v>restore one 1,000-person train path in 24 h</x:v>
      </x:c>
      <x:c r="E8" s="27" t="str">
        <x:v>six paths/day in 48 h</x:v>
      </x:c>
      <x:c r="F8" s="27" t="str">
        <x:v>single inspection or signaling bottleneck</x:v>
      </x:c>
      <x:c r="G8" s="27" t="str">
        <x:v>damaged-network rail exercise</x:v>
      </x:c>
      <x:c r="H8" s="27" t="str">
        <x:v>host railroads, labor, rolling stock</x:v>
      </x:c>
      <x:c r="I8" s="27" t="str">
        <x:v>OPEN</x:v>
      </x:c>
    </x:row>
    <x:row r="9" ht="64.80000305175781" hidden="0" customHeight="1">
      <x:c r="A9" s="29" t="str">
        <x:v>Austere passenger air bridge</x:v>
      </x:c>
      <x:c r="B9" s="29" t="str">
        <x:v>isolated region to inland receivers</x:v>
      </x:c>
      <x:c r="C9" s="29" t="str">
        <x:v>high-rate accessible embarkation and destination release</x:v>
      </x:c>
      <x:c r="D9" s="29" t="str">
        <x:v>15 CDE/origin by hour 72</x:v>
      </x:c>
      <x:c r="E9" s="29" t="str">
        <x:v>60 CDE/origin by hour 48</x:v>
      </x:c>
      <x:c r="F9" s="29" t="str">
        <x:v>airport throughput becomes unmodeled queue</x:v>
      </x:c>
      <x:c r="G9" s="29" t="str">
        <x:v>distributed airport campaign</x:v>
      </x:c>
      <x:c r="H9" s="29" t="str">
        <x:v>air traffic, ground equipment, medical custody</x:v>
      </x:c>
      <x:c r="I9" s="29" t="str">
        <x:v>OPEN</x:v>
      </x:c>
    </x:row>
    <x:row r="10" ht="75.5999984741211" hidden="0" customHeight="1">
      <x:c r="A10" s="27" t="str">
        <x:v>Waterborne civil bridge</x:v>
      </x:c>
      <x:c r="B10" s="27" t="str">
        <x:v>coastal/island region to safe berth</x:v>
      </x:c>
      <x:c r="C10" s="27" t="str">
        <x:v>shallow-draft, high-throughput passenger and utility reception</x:v>
      </x:c>
      <x:c r="D10" s="27" t="str">
        <x:v>25 CDE/arc by hour 72</x:v>
      </x:c>
      <x:c r="E10" s="27" t="str">
        <x:v>100 CDE/arc without conventional port</x:v>
      </x:c>
      <x:c r="F10" s="27" t="str">
        <x:v>requires intact deepwater port</x:v>
      </x:c>
      <x:c r="G10" s="27" t="str">
        <x:v>no-pier littoral trial</x:v>
      </x:c>
      <x:c r="H10" s="27" t="str">
        <x:v>weather, berths, customs, health</x:v>
      </x:c>
      <x:c r="I10" s="27" t="str">
        <x:v>OPEN</x:v>
      </x:c>
    </x:row>
    <x:row r="11" ht="54" hidden="0" customHeight="1">
      <x:c r="A11" s="29" t="str">
        <x:v>National capacity digital twin</x:v>
      </x:c>
      <x:c r="B11" s="29" t="str">
        <x:v>demand-to-destination matching</x:v>
      </x:c>
      <x:c r="C11" s="29" t="str">
        <x:v>disconnected, privacy-preserving state estimation</x:v>
      </x:c>
      <x:c r="D11" s="29" t="str">
        <x:v>hourly verified receiver and route state</x:v>
      </x:c>
      <x:c r="E11" s="29" t="str">
        <x:v>continuous multi-hazard allocation with uncertainty</x:v>
      </x:c>
      <x:c r="F11" s="29" t="str">
        <x:v>creates fictitious capacity from stale data</x:v>
      </x:c>
      <x:c r="G11" s="29" t="str">
        <x:v>national command-post exercise</x:v>
      </x:c>
      <x:c r="H11" s="29" t="str">
        <x:v>data rights, local validation, red teams</x:v>
      </x:c>
      <x:c r="I11" s="29" t="str">
        <x:v>OPEN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3" hidden="0" customWidth="1"/>
  </x:cols>
  <x:sheetData>
    <x:row r="1" ht="29" customHeight="1">
      <x:c r="A1" s="81" t="str">
        <x:v>Rights and accessibility as throughput constraints</x:v>
      </x:c>
      <x:c r="B1" s="81"/>
      <x:c r="C1" s="81"/>
      <x:c r="D1" s="81"/>
      <x:c r="E1" s="81"/>
      <x:c r="F1" s="81"/>
      <x:c r="G1" s="81"/>
      <x:c r="H1" s="81"/>
    </x:row>
    <x:row r="2" ht="29" customHeight="1">
      <x:c r="A2" s="82" t="str">
        <x:v>Population relocation receives no service credit unless the movement and destination preserve lawful custody, access, continuity and return.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Requirement</x:v>
      </x:c>
      <x:c r="B4" s="85" t="str">
        <x:v>Operational rule</x:v>
      </x:c>
      <x:c r="C4" s="85" t="str">
        <x:v>Failure mode</x:v>
      </x:c>
      <x:c r="D4" s="85" t="str">
        <x:v>Data needed</x:v>
      </x:c>
      <x:c r="E4" s="85" t="str">
        <x:v>Authority owner</x:v>
      </x:c>
      <x:c r="F4" s="85" t="str">
        <x:v>Exercise measure</x:v>
      </x:c>
      <x:c r="G4" s="85" t="str">
        <x:v>Model treatment</x:v>
      </x:c>
      <x:c r="H4" s="86" t="str">
        <x:v>Gate</x:v>
      </x:c>
    </x:row>
    <x:row r="5" ht="64.80000305175781" hidden="0" customHeight="1">
      <x:c r="A5" s="28" t="str">
        <x:v>Voluntary movement and due process</x:v>
      </x:c>
      <x:c r="B5" s="28" t="str">
        <x:v>consent or explicit lawful emergency authority with appeal</x:v>
      </x:c>
      <x:c r="C5" s="28" t="str">
        <x:v>coercive displacement</x:v>
      </x:c>
      <x:c r="D5" s="28" t="str">
        <x:v>authority, consent and refusal records</x:v>
      </x:c>
      <x:c r="E5" s="28" t="str">
        <x:v>civil authority</x:v>
      </x:c>
      <x:c r="F5" s="28" t="str">
        <x:v>zero unreviewed involuntary moves</x:v>
      </x:c>
      <x:c r="G5" s="28" t="str">
        <x:v>not yet quantified</x:v>
      </x:c>
      <x:c r="H5" s="28" t="str">
        <x:v>OPEN</x:v>
      </x:c>
    </x:row>
    <x:row r="6" ht="64.80000305175781" hidden="0" customHeight="1">
      <x:c r="A6" s="27" t="str">
        <x:v>Disability access</x:v>
      </x:c>
      <x:c r="B6" s="27" t="str">
        <x:v>door-to-berth accessible chain</x:v>
      </x:c>
      <x:c r="C6" s="27" t="str">
        <x:v>people excluded by steps, lifts, toilets or communication</x:v>
      </x:c>
      <x:c r="D6" s="27" t="str">
        <x:v>functional needs and equipment</x:v>
      </x:c>
      <x:c r="E6" s="27" t="str">
        <x:v>accessibility authority</x:v>
      </x:c>
      <x:c r="F6" s="27" t="str">
        <x:v>100% successful representative journeys</x:v>
      </x:c>
      <x:c r="G6" s="27" t="str">
        <x:v>corridor cap is provisional</x:v>
      </x:c>
      <x:c r="H6" s="27" t="str">
        <x:v>OPEN</x:v>
      </x:c>
    </x:row>
    <x:row r="7" ht="64.80000305175781" hidden="0" customHeight="1">
      <x:c r="A7" s="29" t="str">
        <x:v>Medical continuity</x:v>
      </x:c>
      <x:c r="B7" s="29" t="str">
        <x:v>medicines, oxygen, records, staff and referral move together</x:v>
      </x:c>
      <x:c r="C7" s="29" t="str">
        <x:v>safe transport becomes clinical break</x:v>
      </x:c>
      <x:c r="D7" s="29" t="str">
        <x:v>care plans and inventory</x:v>
      </x:c>
      <x:c r="E7" s="29" t="str">
        <x:v>health authority</x:v>
      </x:c>
      <x:c r="F7" s="29" t="str">
        <x:v>zero interruption beyond clinical limit</x:v>
      </x:c>
      <x:c r="G7" s="29" t="str">
        <x:v>not yet quantified</x:v>
      </x:c>
      <x:c r="H7" s="29" t="str">
        <x:v>OPEN</x:v>
      </x:c>
    </x:row>
    <x:row r="8" ht="43.20000076293945" hidden="0" customHeight="1">
      <x:c r="A8" s="27" t="str">
        <x:v>Family and caregiver unity</x:v>
      </x:c>
      <x:c r="B8" s="27" t="str">
        <x:v>household groups remain linked</x:v>
      </x:c>
      <x:c r="C8" s="27" t="str">
        <x:v>fragmented custody and refusal</x:v>
      </x:c>
      <x:c r="D8" s="27" t="str">
        <x:v>relationship and destination records</x:v>
      </x:c>
      <x:c r="E8" s="27" t="str">
        <x:v>civil support command</x:v>
      </x:c>
      <x:c r="F8" s="27" t="str">
        <x:v>reunification exceptions under threshold</x:v>
      </x:c>
      <x:c r="G8" s="27" t="str">
        <x:v>not yet quantified</x:v>
      </x:c>
      <x:c r="H8" s="27" t="str">
        <x:v>OPEN</x:v>
      </x:c>
    </x:row>
    <x:row r="9" ht="43.20000076293945" hidden="0" customHeight="1">
      <x:c r="A9" s="29" t="str">
        <x:v>Language and communication</x:v>
      </x:c>
      <x:c r="B9" s="29" t="str">
        <x:v>multilingual, sensory-accessible instructions</x:v>
      </x:c>
      <x:c r="C9" s="29" t="str">
        <x:v>nominal seat remains unusable</x:v>
      </x:c>
      <x:c r="D9" s="29" t="str">
        <x:v>language and format needs</x:v>
      </x:c>
      <x:c r="E9" s="29" t="str">
        <x:v>public information authority</x:v>
      </x:c>
      <x:c r="F9" s="29" t="str">
        <x:v>comprehension and boarding time</x:v>
      </x:c>
      <x:c r="G9" s="29" t="str">
        <x:v>not yet quantified</x:v>
      </x:c>
      <x:c r="H9" s="29" t="str">
        <x:v>OPEN</x:v>
      </x:c>
    </x:row>
    <x:row r="10" ht="54" hidden="0" customHeight="1">
      <x:c r="A10" s="27" t="str">
        <x:v>Tribal and territorial sovereignty</x:v>
      </x:c>
      <x:c r="B10" s="27" t="str">
        <x:v>invitation and compact govern access and custody</x:v>
      </x:c>
      <x:c r="C10" s="27" t="str">
        <x:v>federal throughput overrides sovereign authority</x:v>
      </x:c>
      <x:c r="D10" s="27" t="str">
        <x:v>compact and liaison state</x:v>
      </x:c>
      <x:c r="E10" s="27" t="str">
        <x:v>intergovernmental authority</x:v>
      </x:c>
      <x:c r="F10" s="27" t="str">
        <x:v>decision latency and dispute drill</x:v>
      </x:c>
      <x:c r="G10" s="27" t="str">
        <x:v>PR isolated as SCA; law open</x:v>
      </x:c>
      <x:c r="H10" s="27" t="str">
        <x:v>OPEN</x:v>
      </x:c>
    </x:row>
    <x:row r="11" ht="64.80000305175781" hidden="0" customHeight="1">
      <x:c r="A11" s="29" t="str">
        <x:v>Property and mobility-device custody</x:v>
      </x:c>
      <x:c r="B11" s="29" t="str">
        <x:v>tag, transport, repair and return essential property</x:v>
      </x:c>
      <x:c r="C11" s="29" t="str">
        <x:v>person arrives without means of independence</x:v>
      </x:c>
      <x:c r="D11" s="29" t="str">
        <x:v>chain-of-custody record</x:v>
      </x:c>
      <x:c r="E11" s="29" t="str">
        <x:v>logistics authority</x:v>
      </x:c>
      <x:c r="F11" s="29" t="str">
        <x:v>loss/damage rate</x:v>
      </x:c>
      <x:c r="G11" s="29" t="str">
        <x:v>not yet quantified</x:v>
      </x:c>
      <x:c r="H11" s="29" t="str">
        <x:v>OPEN</x:v>
      </x:c>
    </x:row>
    <x:row r="12" ht="64.80000305175781" hidden="0" customHeight="1">
      <x:c r="A12" s="27" t="str">
        <x:v>Return or durable settlement</x:v>
      </x:c>
      <x:c r="B12" s="27" t="str">
        <x:v>every outbound flow has funded return/continuity plan</x:v>
      </x:c>
      <x:c r="C12" s="27" t="str">
        <x:v>temporary rescue becomes indefinite displacement</x:v>
      </x:c>
      <x:c r="D12" s="27" t="str">
        <x:v>origin habitability and household preference</x:v>
      </x:c>
      <x:c r="E12" s="27" t="str">
        <x:v>recovery authority</x:v>
      </x:c>
      <x:c r="F12" s="27" t="str">
        <x:v>time to informed return offer</x:v>
      </x:c>
      <x:c r="G12" s="27" t="str">
        <x:v>not yet quantified</x:v>
      </x:c>
      <x:c r="H12" s="27" t="str">
        <x:v>OPEN</x:v>
      </x:c>
    </x:row>
    <x:row r="13" ht="54" hidden="0" customHeight="1">
      <x:c r="A13" s="29" t="str">
        <x:v>Privacy and cyber safety</x:v>
      </x:c>
      <x:c r="B13" s="29" t="str">
        <x:v>minimum necessary data with offline controls</x:v>
      </x:c>
      <x:c r="C13" s="29" t="str">
        <x:v>surveillance or falsified capacity</x:v>
      </x:c>
      <x:c r="D13" s="29" t="str">
        <x:v>provenance and access logs</x:v>
      </x:c>
      <x:c r="E13" s="29" t="str">
        <x:v>data authority</x:v>
      </x:c>
      <x:c r="F13" s="29" t="str">
        <x:v>red-team compromise without loss of custody</x:v>
      </x:c>
      <x:c r="G13" s="29" t="str">
        <x:v>not yet quantified</x:v>
      </x:c>
      <x:c r="H13" s="29" t="str">
        <x:v>OPEN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49" hidden="0" customWidth="1"/>
    <x:col min="4" max="4" width="49" hidden="0" customWidth="1"/>
    <x:col min="5" max="5" width="25" hidden="0" customWidth="1"/>
    <x:col min="6" max="6" width="21" hidden="0" customWidth="1"/>
    <x:col min="7" max="7" width="21" hidden="0" customWidth="1"/>
  </x:cols>
  <x:sheetData>
    <x:row r="1" ht="29" customHeight="1">
      <x:c r="A1" s="81" t="str">
        <x:v>Evidence gates</x:v>
      </x:c>
      <x:c r="B1" s="81"/>
      <x:c r="C1" s="81"/>
      <x:c r="D1" s="81"/>
      <x:c r="E1" s="81"/>
      <x:c r="F1" s="81"/>
      <x:c r="G1" s="81"/>
    </x:row>
    <x:row r="2" ht="29" customHeight="1">
      <x:c r="A2" s="82" t="str">
        <x:v>Arithmetic closure is not engineering, legal, operational or social proof. Every material gate remains open.</x:v>
      </x:c>
      <x:c r="B2" s="82"/>
      <x:c r="C2" s="82"/>
      <x:c r="D2" s="82"/>
      <x:c r="E2" s="82"/>
      <x:c r="F2" s="82"/>
      <x:c r="G2" s="82"/>
    </x:row>
    <x:row r="3">
      <x:c r="A3" s="83"/>
      <x:c r="B3" s="83"/>
      <x:c r="C3" s="83"/>
      <x:c r="D3" s="83"/>
      <x:c r="E3" s="83"/>
      <x:c r="F3" s="83"/>
      <x:c r="G3" s="83"/>
    </x:row>
    <x:row r="4" ht="31" customHeight="1">
      <x:c r="A4" s="84" t="str">
        <x:v>ID</x:v>
      </x:c>
      <x:c r="B4" s="85" t="str">
        <x:v>Gate</x:v>
      </x:c>
      <x:c r="C4" s="85" t="str">
        <x:v>Current evidence</x:v>
      </x:c>
      <x:c r="D4" s="85" t="str">
        <x:v>Closure evidence</x:v>
      </x:c>
      <x:c r="E4" s="85" t="str">
        <x:v>Owner</x:v>
      </x:c>
      <x:c r="F4" s="85" t="str">
        <x:v>Status</x:v>
      </x:c>
      <x:c r="G4" s="86" t="str">
        <x:v>Rendering effect</x:v>
      </x:c>
    </x:row>
    <x:row r="5" ht="64.80000305175781" hidden="0" customHeight="1">
      <x:c r="A5" s="28" t="str">
        <x:v>G01</x:v>
      </x:c>
      <x:c r="B5" s="28" t="str">
        <x:v>Catchment validity</x:v>
      </x:c>
      <x:c r="C5" s="28" t="str">
        <x:v>connected planning abstraction</x:v>
      </x:c>
      <x:c r="D5" s="28" t="str">
        <x:v>independent geography optimization and stakeholder review</x:v>
      </x:c>
      <x:c r="E5" s="28" t="str">
        <x:v>chief geographer</x:v>
      </x:c>
      <x:c r="F5" s="28" t="str">
        <x:v>OPEN</x:v>
      </x:c>
      <x:c r="G5" s="28" t="str">
        <x:v>prohibits platform rendering</x:v>
      </x:c>
    </x:row>
    <x:row r="6" ht="54" hidden="0" customHeight="1">
      <x:c r="A6" s="27" t="str">
        <x:v>G02</x:v>
      </x:c>
      <x:c r="B6" s="27" t="str">
        <x:v>County joins and coverage</x:v>
      </x:c>
      <x:c r="C6" s="27" t="str">
        <x:v>reconciled official inputs</x:v>
      </x:c>
      <x:c r="D6" s="27" t="str">
        <x:v>repeatable data pipeline and independent audit</x:v>
      </x:c>
      <x:c r="E6" s="27" t="str">
        <x:v>data authority</x:v>
      </x:c>
      <x:c r="F6" s="27" t="str">
        <x:v>OPEN</x:v>
      </x:c>
      <x:c r="G6" s="27" t="str">
        <x:v>prohibits platform rendering</x:v>
      </x:c>
    </x:row>
    <x:row r="7" ht="43.20000076293945" hidden="0" customHeight="1">
      <x:c r="A7" s="29" t="str">
        <x:v>G03</x:v>
      </x:c>
      <x:c r="B7" s="29" t="str">
        <x:v>Receiver fragility</x:v>
      </x:c>
      <x:c r="C7" s="29" t="str">
        <x:v>declared campaign loss</x:v>
      </x:c>
      <x:c r="D7" s="29" t="str">
        <x:v>hazard-specific site-class fragility curves</x:v>
      </x:c>
      <x:c r="E7" s="29" t="str">
        <x:v>infrastructure authority</x:v>
      </x:c>
      <x:c r="F7" s="29" t="str">
        <x:v>OPEN</x:v>
      </x:c>
      <x:c r="G7" s="29" t="str">
        <x:v>prohibits platform rendering</x:v>
      </x:c>
    </x:row>
    <x:row r="8" ht="54" hidden="0" customHeight="1">
      <x:c r="A8" s="27" t="str">
        <x:v>G04</x:v>
      </x:c>
      <x:c r="B8" s="27" t="str">
        <x:v>Hazard covariance</x:v>
      </x:c>
      <x:c r="C8" s="27" t="str">
        <x:v>campaign overlap only</x:v>
      </x:c>
      <x:c r="D8" s="27" t="str">
        <x:v>joint hazard/utility/access covariance model</x:v>
      </x:c>
      <x:c r="E8" s="27" t="str">
        <x:v>risk science authority</x:v>
      </x:c>
      <x:c r="F8" s="27" t="str">
        <x:v>OPEN</x:v>
      </x:c>
      <x:c r="G8" s="27" t="str">
        <x:v>prohibits platform rendering</x:v>
      </x:c>
    </x:row>
    <x:row r="9" ht="54" hidden="0" customHeight="1">
      <x:c r="A9" s="29" t="str">
        <x:v>G05</x:v>
      </x:c>
      <x:c r="B9" s="29" t="str">
        <x:v>Road throughput</x:v>
      </x:c>
      <x:c r="C9" s="29" t="str">
        <x:v>planning cap</x:v>
      </x:c>
      <x:c r="D9" s="29" t="str">
        <x:v>damaged-network accessible movement exercise</x:v>
      </x:c>
      <x:c r="E9" s="29" t="str">
        <x:v>surface mobility service</x:v>
      </x:c>
      <x:c r="F9" s="29" t="str">
        <x:v>OPEN</x:v>
      </x:c>
      <x:c r="G9" s="29" t="str">
        <x:v>prohibits platform rendering</x:v>
      </x:c>
    </x:row>
    <x:row r="10" ht="64.80000305175781" hidden="0" customHeight="1">
      <x:c r="A10" s="27" t="str">
        <x:v>G06</x:v>
      </x:c>
      <x:c r="B10" s="27" t="str">
        <x:v>Rail throughput</x:v>
      </x:c>
      <x:c r="C10" s="27" t="str">
        <x:v>planning cap</x:v>
      </x:c>
      <x:c r="D10" s="27" t="str">
        <x:v>railroad agreements, rolling stock and damaged-route exercise</x:v>
      </x:c>
      <x:c r="E10" s="27" t="str">
        <x:v>rail mobility service</x:v>
      </x:c>
      <x:c r="F10" s="27" t="str">
        <x:v>OPEN</x:v>
      </x:c>
      <x:c r="G10" s="27" t="str">
        <x:v>prohibits platform rendering</x:v>
      </x:c>
    </x:row>
    <x:row r="11" ht="54" hidden="0" customHeight="1">
      <x:c r="A11" s="29" t="str">
        <x:v>G07</x:v>
      </x:c>
      <x:c r="B11" s="29" t="str">
        <x:v>Air throughput</x:v>
      </x:c>
      <x:c r="C11" s="29" t="str">
        <x:v>planning cap</x:v>
      </x:c>
      <x:c r="D11" s="29" t="str">
        <x:v>airport/aircraft/ground-chain demonstration</x:v>
      </x:c>
      <x:c r="E11" s="29" t="str">
        <x:v>air mobility service</x:v>
      </x:c>
      <x:c r="F11" s="29" t="str">
        <x:v>OPEN</x:v>
      </x:c>
      <x:c r="G11" s="29" t="str">
        <x:v>prohibits platform rendering</x:v>
      </x:c>
    </x:row>
    <x:row r="12" ht="43.20000076293945" hidden="0" customHeight="1">
      <x:c r="A12" s="27" t="str">
        <x:v>G08</x:v>
      </x:c>
      <x:c r="B12" s="27" t="str">
        <x:v>Water throughput</x:v>
      </x:c>
      <x:c r="C12" s="27" t="str">
        <x:v>planning cap</x:v>
      </x:c>
      <x:c r="D12" s="27" t="str">
        <x:v>port/no-pier embarkation demonstration</x:v>
      </x:c>
      <x:c r="E12" s="27" t="str">
        <x:v>maritime mobility service</x:v>
      </x:c>
      <x:c r="F12" s="27" t="str">
        <x:v>OPEN</x:v>
      </x:c>
      <x:c r="G12" s="27" t="str">
        <x:v>prohibits platform rendering</x:v>
      </x:c>
    </x:row>
    <x:row r="13" ht="54" hidden="0" customHeight="1">
      <x:c r="A13" s="29" t="str">
        <x:v>G09</x:v>
      </x:c>
      <x:c r="B13" s="29" t="str">
        <x:v>Destination intake</x:v>
      </x:c>
      <x:c r="C13" s="29" t="str">
        <x:v>35% planning cap</x:v>
      </x:c>
      <x:c r="D13" s="29" t="str">
        <x:v>sustained reception exercise with utilities and release</x:v>
      </x:c>
      <x:c r="E13" s="29" t="str">
        <x:v>receiving command</x:v>
      </x:c>
      <x:c r="F13" s="29" t="str">
        <x:v>OPEN</x:v>
      </x:c>
      <x:c r="G13" s="29" t="str">
        <x:v>prohibits platform rendering</x:v>
      </x:c>
    </x:row>
    <x:row r="14" ht="32.400001525878906" hidden="0" customHeight="1">
      <x:c r="A14" s="27" t="str">
        <x:v>G10</x:v>
      </x:c>
      <x:c r="B14" s="27" t="str">
        <x:v>Accessible movement</x:v>
      </x:c>
      <x:c r="C14" s="27" t="str">
        <x:v>qualitative requirements</x:v>
      </x:c>
      <x:c r="D14" s="27" t="str">
        <x:v>disability-led door-to-berth trials</x:v>
      </x:c>
      <x:c r="E14" s="27" t="str">
        <x:v>accessibility authority</x:v>
      </x:c>
      <x:c r="F14" s="27" t="str">
        <x:v>OPEN</x:v>
      </x:c>
      <x:c r="G14" s="27" t="str">
        <x:v>prohibits platform rendering</x:v>
      </x:c>
    </x:row>
    <x:row r="15" ht="43.20000076293945" hidden="0" customHeight="1">
      <x:c r="A15" s="29" t="str">
        <x:v>G11</x:v>
      </x:c>
      <x:c r="B15" s="29" t="str">
        <x:v>Medical continuity</x:v>
      </x:c>
      <x:c r="C15" s="29" t="str">
        <x:v>qualitative requirements</x:v>
      </x:c>
      <x:c r="D15" s="29" t="str">
        <x:v>clinical custody and referral exercises</x:v>
      </x:c>
      <x:c r="E15" s="29" t="str">
        <x:v>health service</x:v>
      </x:c>
      <x:c r="F15" s="29" t="str">
        <x:v>OPEN</x:v>
      </x:c>
      <x:c r="G15" s="29" t="str">
        <x:v>prohibits platform rendering</x:v>
      </x:c>
    </x:row>
    <x:row r="16" ht="54" hidden="0" customHeight="1">
      <x:c r="A16" s="27" t="str">
        <x:v>G12</x:v>
      </x:c>
      <x:c r="B16" s="27" t="str">
        <x:v>Civil authority</x:v>
      </x:c>
      <x:c r="C16" s="27" t="str">
        <x:v>not modeled</x:v>
      </x:c>
      <x:c r="D16" s="27" t="str">
        <x:v>compacts, consent, appeals and cross-border custody law</x:v>
      </x:c>
      <x:c r="E16" s="27" t="str">
        <x:v>civil authority</x:v>
      </x:c>
      <x:c r="F16" s="27" t="str">
        <x:v>OPEN</x:v>
      </x:c>
      <x:c r="G16" s="27" t="str">
        <x:v>prohibits platform rendering</x:v>
      </x:c>
    </x:row>
    <x:row r="17" ht="54" hidden="0" customHeight="1">
      <x:c r="A17" s="29" t="str">
        <x:v>G13</x:v>
      </x:c>
      <x:c r="B17" s="29" t="str">
        <x:v>Workforce generation</x:v>
      </x:c>
      <x:c r="C17" s="29" t="str">
        <x:v>billet hypothesis</x:v>
      </x:c>
      <x:c r="D17" s="29" t="str">
        <x:v>schoolhouse, reserve, labor and fatigue model</x:v>
      </x:c>
      <x:c r="E17" s="29" t="str">
        <x:v>personnel command</x:v>
      </x:c>
      <x:c r="F17" s="29" t="str">
        <x:v>OPEN</x:v>
      </x:c>
      <x:c r="G17" s="29" t="str">
        <x:v>prohibits platform rendering</x:v>
      </x:c>
    </x:row>
    <x:row r="18" ht="54" hidden="0" customHeight="1">
      <x:c r="A18" s="27" t="str">
        <x:v>G14</x:v>
      </x:c>
      <x:c r="B18" s="27" t="str">
        <x:v>Corridor technology</x:v>
      </x:c>
      <x:c r="C18" s="27" t="str">
        <x:v>program hypotheses</x:v>
      </x:c>
      <x:c r="D18" s="27" t="str">
        <x:v>competitive prototypes and operational test</x:v>
      </x:c>
      <x:c r="E18" s="27" t="str">
        <x:v>technology command</x:v>
      </x:c>
      <x:c r="F18" s="27" t="str">
        <x:v>OPEN</x:v>
      </x:c>
      <x:c r="G18" s="27" t="str">
        <x:v>prohibits platform rendering</x:v>
      </x:c>
    </x:row>
    <x:row r="19" ht="43.20000076293945" hidden="0" customHeight="1">
      <x:c r="A19" s="29" t="str">
        <x:v>G15</x:v>
      </x:c>
      <x:c r="B19" s="29" t="str">
        <x:v>Network optimization</x:v>
      </x:c>
      <x:c r="C19" s="29" t="str">
        <x:v>greedy witness only</x:v>
      </x:c>
      <x:c r="D19" s="29" t="str">
        <x:v>equity-constrained stochastic optimization</x:v>
      </x:c>
      <x:c r="E19" s="29" t="str">
        <x:v>analysis directorate</x:v>
      </x:c>
      <x:c r="F19" s="29" t="str">
        <x:v>OPEN</x:v>
      </x:c>
      <x:c r="G19" s="29" t="str">
        <x:v>prohibits platform rendering</x:v>
      </x:c>
    </x:row>
    <x:row r="20" ht="54" hidden="0" customHeight="1">
      <x:c r="A20" s="27" t="str">
        <x:v>G16</x:v>
      </x:c>
      <x:c r="B20" s="27" t="str">
        <x:v>Cost and schedule</x:v>
      </x:c>
      <x:c r="C20" s="27" t="str">
        <x:v>parametric screen</x:v>
      </x:c>
      <x:c r="D20" s="27" t="str">
        <x:v>independent cost estimate and schedule-risk analysis</x:v>
      </x:c>
      <x:c r="E20" s="27" t="str">
        <x:v>cost agency</x:v>
      </x:c>
      <x:c r="F20" s="27" t="str">
        <x:v>OPEN</x:v>
      </x:c>
      <x:c r="G20" s="27" t="str">
        <x:v>prohibits platform rendering</x:v>
      </x:c>
    </x:row>
    <x:row r="21" ht="54" hidden="0" customHeight="1">
      <x:c r="A21" s="29" t="str">
        <x:v>G17</x:v>
      </x:c>
      <x:c r="B21" s="29" t="str">
        <x:v>Environmental burden</x:v>
      </x:c>
      <x:c r="C21" s="29" t="str">
        <x:v>not modeled</x:v>
      </x:c>
      <x:c r="D21" s="29" t="str">
        <x:v>route/site lifecycle and community impact assessment</x:v>
      </x:c>
      <x:c r="E21" s="29" t="str">
        <x:v>environmental authority</x:v>
      </x:c>
      <x:c r="F21" s="29" t="str">
        <x:v>OPEN</x:v>
      </x:c>
      <x:c r="G21" s="29" t="str">
        <x:v>prohibits platform rendering</x:v>
      </x:c>
    </x:row>
    <x:row r="22" ht="54" hidden="0" customHeight="1">
      <x:c r="A22" s="27" t="str">
        <x:v>G18</x:v>
      </x:c>
      <x:c r="B22" s="27" t="str">
        <x:v>Return and recovery</x:v>
      </x:c>
      <x:c r="C22" s="27" t="str">
        <x:v>qualitative requirement</x:v>
      </x:c>
      <x:c r="D22" s="27" t="str">
        <x:v>funded return/durable-settlement campaign proof</x:v>
      </x:c>
      <x:c r="E22" s="27" t="str">
        <x:v>recovery command</x:v>
      </x:c>
      <x:c r="F22" s="27" t="str">
        <x:v>OPEN</x:v>
      </x:c>
      <x:c r="G22" s="27" t="str">
        <x:v>prohibits platform rendering</x:v>
      </x:c>
    </x:row>
    <x:row r="23" ht="43.20000076293945" hidden="0" customHeight="1">
      <x:c r="A23" s="29" t="str">
        <x:v>G19</x:v>
      </x:c>
      <x:c r="B23" s="29" t="str">
        <x:v>Territorial integration</x:v>
      </x:c>
      <x:c r="C23" s="29" t="str">
        <x:v>PR planning cell only</x:v>
      </x:c>
      <x:c r="D23" s="29" t="str">
        <x:v>territorial data, compact and route proof</x:v>
      </x:c>
      <x:c r="E23" s="29" t="str">
        <x:v>territorial command</x:v>
      </x:c>
      <x:c r="F23" s="29" t="str">
        <x:v>OPEN</x:v>
      </x:c>
      <x:c r="G23" s="29" t="str">
        <x:v>prohibits platform rendering</x:v>
      </x:c>
    </x:row>
    <x:row r="24" ht="54" hidden="0" customHeight="1">
      <x:c r="A24" s="27" t="str">
        <x:v>G20</x:v>
      </x:c>
      <x:c r="B24" s="27" t="str">
        <x:v>Cyber and data integrity</x:v>
      </x:c>
      <x:c r="C24" s="27" t="str">
        <x:v>concept only</x:v>
      </x:c>
      <x:c r="D24" s="27" t="str">
        <x:v>disconnected red-team and provenance validation</x:v>
      </x:c>
      <x:c r="E24" s="27" t="str">
        <x:v>data authority</x:v>
      </x:c>
      <x:c r="F24" s="27" t="str">
        <x:v>OPEN</x:v>
      </x:c>
      <x:c r="G24" s="27" t="str">
        <x:v>prohibits platform rendering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31" hidden="0" customWidth="1"/>
    <x:col min="3" max="3" width="42" hidden="0" customWidth="1"/>
    <x:col min="4" max="4" width="42" hidden="0" customWidth="1"/>
    <x:col min="5" max="5" width="42" hidden="0" customWidth="1"/>
    <x:col min="6" max="6" width="72" hidden="0" customWidth="1"/>
    <x:col min="7" max="7" width="18" hidden="0" customWidth="1"/>
    <x:col min="8" max="8" width="18" hidden="0" customWidth="1"/>
  </x:cols>
  <x:sheetData>
    <x:row r="1" ht="29" customHeight="1">
      <x:c r="A1" s="81" t="str">
        <x:v>Sources</x:v>
      </x:c>
      <x:c r="B1" s="81"/>
      <x:c r="C1" s="81"/>
      <x:c r="D1" s="81"/>
      <x:c r="E1" s="81"/>
      <x:c r="F1" s="81"/>
      <x:c r="G1" s="81"/>
      <x:c r="H1" s="81"/>
    </x:row>
    <x:row r="2" ht="29" customHeight="1">
      <x:c r="A2" s="82" t="str">
        <x:v>Official sources establish demographic and geographic inputs and planning boundaries. Design quantities remain hypotheses.</x:v>
      </x:c>
      <x:c r="B2" s="82"/>
      <x:c r="C2" s="82"/>
      <x:c r="D2" s="82"/>
      <x:c r="E2" s="82"/>
      <x:c r="F2" s="82"/>
      <x:c r="G2" s="82"/>
      <x:c r="H2" s="82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1" customHeight="1">
      <x:c r="A4" s="84" t="str">
        <x:v>Key</x:v>
      </x:c>
      <x:c r="B4" s="85" t="str">
        <x:v>Owner</x:v>
      </x:c>
      <x:c r="C4" s="85" t="str">
        <x:v>Asset</x:v>
      </x:c>
      <x:c r="D4" s="85" t="str">
        <x:v>Use</x:v>
      </x:c>
      <x:c r="E4" s="85" t="str">
        <x:v>Boundary</x:v>
      </x:c>
      <x:c r="F4" s="85" t="str">
        <x:v>URL</x:v>
      </x:c>
      <x:c r="G4" s="85" t="str">
        <x:v>Accessed</x:v>
      </x:c>
      <x:c r="H4" s="86" t="str">
        <x:v>Class</x:v>
      </x:c>
    </x:row>
    <x:row r="5" ht="75.5999984741211" hidden="0" customHeight="1">
      <x:c r="A5" s="28" t="str">
        <x:v>CENSUS-POP-2025</x:v>
      </x:c>
      <x:c r="B5" s="28" t="str">
        <x:v>U.S. Census Bureau</x:v>
      </x:c>
      <x:c r="C5" s="28" t="str">
        <x:v>Vintage 2025 county and state population estimates</x:v>
      </x:c>
      <x:c r="D5" s="28" t="str">
        <x:v>2025 population weights; Puerto Rico total</x:v>
      </x:c>
      <x:c r="E5" s="28" t="str">
        <x:v>Estimate, not an evacuation count</x:v>
      </x:c>
      <x:c r="F5" s="28" t="str">
        <x:v>https://www.census.gov/data/datasets/time-series/demo/popest/2020s-state-total.html</x:v>
      </x:c>
      <x:c r="G5" s="28" t="str">
        <x:v>2026-09-05</x:v>
      </x:c>
      <x:c r="H5" s="28" t="str">
        <x:v>official source</x:v>
      </x:c>
    </x:row>
    <x:row r="6" ht="75.5999984741211" hidden="0" customHeight="1">
      <x:c r="A6" s="27" t="str">
        <x:v>CENSUS-GAZ-2025</x:v>
      </x:c>
      <x:c r="B6" s="27" t="str">
        <x:v>U.S. Census Bureau</x:v>
      </x:c>
      <x:c r="C6" s="27" t="str">
        <x:v>2025 Gazetteer files</x:v>
      </x:c>
      <x:c r="D6" s="27" t="str">
        <x:v>County representative coordinates and area</x:v>
      </x:c>
      <x:c r="E6" s="27" t="str">
        <x:v>Internal points are not facilities or candidate sites</x:v>
      </x:c>
      <x:c r="F6" s="27" t="str">
        <x:v>https://www2.census.gov/geo/docs/maps-data/data/gazetteer/2025_Gazetteer/</x:v>
      </x:c>
      <x:c r="G6" s="27" t="str">
        <x:v>2026-09-05</x:v>
      </x:c>
      <x:c r="H6" s="27" t="str">
        <x:v>official source</x:v>
      </x:c>
    </x:row>
    <x:row r="7" ht="64.80000305175781" hidden="0" customHeight="1">
      <x:c r="A7" s="29" t="str">
        <x:v>CENSUS-ADJ-2025</x:v>
      </x:c>
      <x:c r="B7" s="29" t="str">
        <x:v>U.S. Census Bureau</x:v>
      </x:c>
      <x:c r="C7" s="29" t="str">
        <x:v>County adjacency file</x:v>
      </x:c>
      <x:c r="D7" s="29" t="str">
        <x:v>Connected catchment construction and surface reachability</x:v>
      </x:c>
      <x:c r="E7" s="29" t="str">
        <x:v>Shared boundary is not a proved transport corridor</x:v>
      </x:c>
      <x:c r="F7" s="29" t="str">
        <x:v>https://www2.census.gov/geo/docs/reference/county_adjacency/</x:v>
      </x:c>
      <x:c r="G7" s="29" t="str">
        <x:v>2026-09-05</x:v>
      </x:c>
      <x:c r="H7" s="29" t="str">
        <x:v>official source</x:v>
      </x:c>
    </x:row>
    <x:row r="8" ht="86.4000015258789" hidden="0" customHeight="1">
      <x:c r="A8" s="27" t="str">
        <x:v>FEMA-NRI-120</x:v>
      </x:c>
      <x:c r="B8" s="27" t="str">
        <x:v>Federal Emergency Management Agency</x:v>
      </x:c>
      <x:c r="C8" s="27" t="str">
        <x:v>National Risk Index v1.20 county table</x:v>
      </x:c>
      <x:c r="D8" s="27" t="str">
        <x:v>Relative multi-hazard salience and coverage</x:v>
      </x:c>
      <x:c r="E8" s="27" t="str">
        <x:v>Risk scores are not scenario probabilities or receiver survival</x:v>
      </x:c>
      <x:c r="F8" s="27" t="str">
        <x:v>https://www.fema.gov/about/reports-and-data/openfema/nri/v120/NRI_Table_Counties.zip</x:v>
      </x:c>
      <x:c r="G8" s="27" t="str">
        <x:v>2026-09-05</x:v>
      </x:c>
      <x:c r="H8" s="27" t="str">
        <x:v>official source</x:v>
      </x:c>
    </x:row>
    <x:row r="9" ht="54" hidden="0" customHeight="1">
      <x:c r="A9" s="29" t="str">
        <x:v>BTS-NTAD</x:v>
      </x:c>
      <x:c r="B9" s="29" t="str">
        <x:v>Bureau of Transportation Statistics</x:v>
      </x:c>
      <x:c r="C9" s="29" t="str">
        <x:v>National Transportation Atlas Database</x:v>
      </x:c>
      <x:c r="D9" s="29" t="str">
        <x:v>Authoritative network-data route for later corridor proof</x:v>
      </x:c>
      <x:c r="E9" s="29" t="str">
        <x:v>This pass does not ingest facility-level NTAD layers</x:v>
      </x:c>
      <x:c r="F9" s="29" t="str">
        <x:v>https://www.bts.gov/ntad</x:v>
      </x:c>
      <x:c r="G9" s="29" t="str">
        <x:v>2026-09-05</x:v>
      </x:c>
      <x:c r="H9" s="29" t="str">
        <x:v>official source</x:v>
      </x:c>
    </x:row>
    <x:row r="10" ht="54" hidden="0" customHeight="1">
      <x:c r="A10" s="27" t="str">
        <x:v>DOT-NFSP-2026</x:v>
      </x:c>
      <x:c r="B10" s="27" t="str">
        <x:v>U.S. Department of Transportation</x:v>
      </x:c>
      <x:c r="C10" s="27" t="str">
        <x:v>2026 National Freight Strategic Plan</x:v>
      </x:c>
      <x:c r="D10" s="27" t="str">
        <x:v>Multimodal freight-network framing</x:v>
      </x:c>
      <x:c r="E10" s="27" t="str">
        <x:v>Does not validate the modeled emergency capacities</x:v>
      </x:c>
      <x:c r="F10" s="27" t="str">
        <x:v>https://www.transportation.gov/freight/NFSP</x:v>
      </x:c>
      <x:c r="G10" s="27" t="str">
        <x:v>2026-09-05</x:v>
      </x:c>
      <x:c r="H10" s="27" t="str">
        <x:v>official source</x:v>
      </x:c>
    </x:row>
    <x:row r="11" ht="64.80000305175781" hidden="0" customHeight="1">
      <x:c r="A11" s="29" t="str">
        <x:v>FHWA-EVAC-NN</x:v>
      </x:c>
      <x:c r="B11" s="29" t="str">
        <x:v>Federal Highway Administration</x:v>
      </x:c>
      <x:c r="C11" s="29" t="str">
        <x:v>No-notice evacuation planning primer</x:v>
      </x:c>
      <x:c r="D11" s="29" t="str">
        <x:v>Capacity, bottleneck, vulnerability, mode and destination requirements</x:v>
      </x:c>
      <x:c r="E11" s="29" t="str">
        <x:v>Planning guidance, not an empirical throughput rate</x:v>
      </x:c>
      <x:c r="F11" s="29" t="str">
        <x:v>https://ops-dr.fhwa.dot.gov/publications/evac_primer_nn/chap5.htm</x:v>
      </x:c>
      <x:c r="G11" s="29" t="str">
        <x:v>2026-09-05</x:v>
      </x:c>
      <x:c r="H11" s="29" t="str">
        <x:v>official source</x:v>
      </x:c>
    </x:row>
    <x:row r="12" ht="75.5999984741211" hidden="0" customHeight="1">
      <x:c r="A12" s="27" t="str">
        <x:v>GAO-07-44</x:v>
      </x:c>
      <x:c r="B12" s="27" t="str">
        <x:v>U.S. Government Accountability Office</x:v>
      </x:c>
      <x:c r="C12" s="27" t="str">
        <x:v>Transportation-disadvantaged populations in disasters</x:v>
      </x:c>
      <x:c r="D12" s="27" t="str">
        <x:v>Accessible transport, drivers, equipment and coordination burden</x:v>
      </x:c>
      <x:c r="E12" s="27" t="str">
        <x:v>Historical cases do not establish current national capacity</x:v>
      </x:c>
      <x:c r="F12" s="27" t="str">
        <x:v>https://www.gao.gov/products/gao-07-44</x:v>
      </x:c>
      <x:c r="G12" s="27" t="str">
        <x:v>2026-09-05</x:v>
      </x:c>
      <x:c r="H12" s="27" t="str">
        <x:v>official source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43" hidden="0" customWidth="1"/>
  </x:cols>
  <x:sheetData>
    <x:row r="1" ht="29" customHeight="1">
      <x:c r="A1" s="81" t="str">
        <x:v>Model checks</x:v>
      </x:c>
      <x:c r="B1" s="81"/>
      <x:c r="C1" s="81"/>
      <x:c r="D1" s="81"/>
      <x:c r="E1" s="81"/>
      <x:c r="F1" s="81"/>
    </x:row>
    <x:row r="2" ht="29" customHeight="1">
      <x:c r="A2" s="82" t="str">
        <x:v>Checks protect arithmetic, population conservation, capacity logic and the required adverse conclusion. They do not close evidence gates.</x:v>
      </x:c>
      <x:c r="B2" s="82"/>
      <x:c r="C2" s="82"/>
      <x:c r="D2" s="82"/>
      <x:c r="E2" s="82"/>
      <x:c r="F2" s="82"/>
    </x:row>
    <x:row r="3">
      <x:c r="A3" s="83"/>
      <x:c r="B3" s="83"/>
      <x:c r="C3" s="83"/>
      <x:c r="D3" s="83"/>
      <x:c r="E3" s="83"/>
      <x:c r="F3" s="83"/>
    </x:row>
    <x:row r="4" ht="31" customHeight="1">
      <x:c r="A4" s="84" t="str">
        <x:v>Check</x:v>
      </x:c>
      <x:c r="B4" s="85" t="str">
        <x:v>Calculated</x:v>
      </x:c>
      <x:c r="C4" s="85" t="str">
        <x:v>Expected/rule</x:v>
      </x:c>
      <x:c r="D4" s="85" t="str">
        <x:v>Result</x:v>
      </x:c>
      <x:c r="E4" s="85" t="str">
        <x:v>Scope</x:v>
      </x:c>
      <x:c r="F4" s="86" t="str">
        <x:v>Meaning</x:v>
      </x:c>
    </x:row>
    <x:row r="5" ht="32.400001525878906" hidden="0" customHeight="1">
      <x:c r="A5" s="28" t="str">
        <x:v>Sheet count</x:v>
      </x:c>
      <x:c r="B5" s="73" t="n">
        <x:v>24</x:v>
      </x:c>
      <x:c r="C5" s="73" t="n">
        <x:v>24</x:v>
      </x:c>
      <x:c r="D5" s="28" t="str">
        <x:f>IF(ABS(B5-C5)&lt;0.02,"PASS","FAIL")</x:f>
        <x:v>PASS</x:v>
      </x:c>
      <x:c r="E5" s="28" t="str">
        <x:v>structure</x:v>
      </x:c>
      <x:c r="F5" s="28" t="str">
        <x:v>all argument layers present</x:v>
      </x:c>
    </x:row>
    <x:row r="6" ht="21.600000381469727" hidden="0" customHeight="1">
      <x:c r="A6" s="27" t="str">
        <x:v>Catchment count</x:v>
      </x:c>
      <x:c r="B6" s="74" t="n">
        <x:f>COUNTA(Catchments!A5:A36)</x:f>
        <x:v>32</x:v>
      </x:c>
      <x:c r="C6" s="74" t="n">
        <x:v>32</x:v>
      </x:c>
      <x:c r="D6" s="27" t="str">
        <x:f>IF(ABS(B6-C6)&lt;0.02,"PASS","FAIL")</x:f>
        <x:v>PASS</x:v>
      </x:c>
      <x:c r="E6" s="27" t="str">
        <x:v>geography</x:v>
      </x:c>
      <x:c r="F6" s="27" t="str">
        <x:v>29 CONUS + AK + HI + PR</x:v>
      </x:c>
    </x:row>
    <x:row r="7" ht="32.400001525878906" hidden="0" customHeight="1">
      <x:c r="A7" s="29" t="str">
        <x:v>Population conservation</x:v>
      </x:c>
      <x:c r="B7" s="75" t="n">
        <x:f>SUM(Catchments!C5:C36)</x:f>
        <x:v>344969692</x:v>
      </x:c>
      <x:c r="C7" s="75" t="n">
        <x:v>344969692</x:v>
      </x:c>
      <x:c r="D7" s="29" t="str">
        <x:f>IF(ABS(B7-C7)&lt;0.02,"PASS","FAIL")</x:f>
        <x:v>PASS</x:v>
      </x:c>
      <x:c r="E7" s="29" t="str">
        <x:v>data</x:v>
      </x:c>
      <x:c r="F7" s="29" t="str">
        <x:v>county/state population reconciles</x:v>
      </x:c>
    </x:row>
    <x:row r="8" ht="32.400001525878906" hidden="0" customHeight="1">
      <x:c r="A8" s="27" t="str">
        <x:v>Nominal CDE</x:v>
      </x:c>
      <x:c r="B8" s="74" t="n">
        <x:f>SUM(Catchments!M5:M36)</x:f>
        <x:v>7199.999999999999</x:v>
      </x:c>
      <x:c r="C8" s="74" t="n">
        <x:v>7200</x:v>
      </x:c>
      <x:c r="D8" s="27" t="str">
        <x:f>IF(ABS(B8-C8)&lt;0.02,"PASS","FAIL")</x:f>
        <x:v>PASS</x:v>
      </x:c>
      <x:c r="E8" s="27" t="str">
        <x:v>capacity</x:v>
      </x:c>
      <x:c r="F8" s="27" t="str">
        <x:v>population allocation plus floors</x:v>
      </x:c>
    </x:row>
    <x:row r="9" ht="32.400001525878906" hidden="0" customHeight="1">
      <x:c r="A9" s="29" t="str">
        <x:v>Campaign demand</x:v>
      </x:c>
      <x:c r="B9" s="75" t="n">
        <x:f>SUM(Campaigns!E5:E12)</x:f>
        <x:v>2500</x:v>
      </x:c>
      <x:c r="C9" s="75" t="n">
        <x:v>2500</x:v>
      </x:c>
      <x:c r="D9" s="29" t="str">
        <x:f>IF(ABS(B9-C9)&lt;0.02,"PASS","FAIL")</x:f>
        <x:v>PASS</x:v>
      </x:c>
      <x:c r="E9" s="29" t="str">
        <x:v>mission</x:v>
      </x:c>
      <x:c r="F9" s="29" t="str">
        <x:v>3 catastrophic + 5 major</x:v>
      </x:c>
    </x:row>
    <x:row r="10" ht="43.20000076293945" hidden="0" customHeight="1">
      <x:c r="A10" s="27" t="str">
        <x:v>Demand allocation</x:v>
      </x:c>
      <x:c r="B10" s="74" t="n">
        <x:f>SUM('Demand Allocation'!F:F)</x:f>
        <x:v>2500</x:v>
      </x:c>
      <x:c r="C10" s="74" t="n">
        <x:v>2500</x:v>
      </x:c>
      <x:c r="D10" s="27" t="str">
        <x:f>IF(ABS(B10-C10)&lt;0.02,"PASS","FAIL")</x:f>
        <x:v>PASS</x:v>
      </x:c>
      <x:c r="E10" s="27" t="str">
        <x:v>geography</x:v>
      </x:c>
      <x:c r="F10" s="27" t="str">
        <x:v>campaign rows conserve demand</x:v>
      </x:c>
    </x:row>
    <x:row r="11" ht="32.400001525878906" hidden="0" customHeight="1">
      <x:c r="A11" s="29" t="str">
        <x:v>Baseline scenario capacity</x:v>
      </x:c>
      <x:c r="B11" s="75" t="n">
        <x:f>SUM('Local Capacity'!F5:F36)</x:f>
        <x:v>2355.799944488299</x:v>
      </x:c>
      <x:c r="C11" s="75" t="n">
        <x:v>2355.7999</x:v>
      </x:c>
      <x:c r="D11" s="29" t="str">
        <x:f>IF(ABS(B11-C11)&lt;0.02,"PASS","FAIL")</x:f>
        <x:v>PASS</x:v>
      </x:c>
      <x:c r="E11" s="29" t="str">
        <x:v>damage</x:v>
      </x:c>
      <x:c r="F11" s="29" t="str">
        <x:v>surviving assured capacity</x:v>
      </x:c>
    </x:row>
    <x:row r="12" ht="21.600000381469727" hidden="0" customHeight="1">
      <x:c r="A12" s="27" t="str">
        <x:v>Local-only served</x:v>
      </x:c>
      <x:c r="B12" s="74" t="n">
        <x:f>Architecture!G5</x:f>
        <x:v>1525.9196939748192</x:v>
      </x:c>
      <x:c r="C12" s="74" t="n">
        <x:v>1525.9197</x:v>
      </x:c>
      <x:c r="D12" s="27" t="str">
        <x:f>IF(ABS(B12-C12)&lt;0.02,"PASS","FAIL")</x:f>
        <x:v>PASS</x:v>
      </x:c>
      <x:c r="E12" s="27" t="str">
        <x:v>allocation</x:v>
      </x:c>
      <x:c r="F12" s="27" t="str">
        <x:v>no relocation</x:v>
      </x:c>
    </x:row>
    <x:row r="13" ht="32.400001525878906" hidden="0" customHeight="1">
      <x:c r="A13" s="29" t="str">
        <x:v>Baseline corridor served</x:v>
      </x:c>
      <x:c r="B13" s="75" t="n">
        <x:f>SUM('Origin Closure'!F5:F36)</x:f>
        <x:v>2066.4174177237205</x:v>
      </x:c>
      <x:c r="C13" s="75" t="n">
        <x:v>2066.4174</x:v>
      </x:c>
      <x:c r="D13" s="29" t="str">
        <x:f>IF(ABS(B13-C13)&lt;0.02,"PASS","FAIL")</x:f>
        <x:v>PASS</x:v>
      </x:c>
      <x:c r="E13" s="29" t="str">
        <x:v>allocation</x:v>
      </x:c>
      <x:c r="F13" s="29" t="str">
        <x:v>declared feasible witness</x:v>
      </x:c>
    </x:row>
    <x:row r="14" ht="32.400001525878906" hidden="0" customHeight="1">
      <x:c r="A14" s="27" t="str">
        <x:v>Baseline corridor shortfall</x:v>
      </x:c>
      <x:c r="B14" s="74" t="n">
        <x:f>SUM('Origin Closure'!G5:G36)</x:f>
        <x:v>433.582582276279</x:v>
      </x:c>
      <x:c r="C14" s="74" t="n">
        <x:v>433.5826</x:v>
      </x:c>
      <x:c r="D14" s="27" t="str">
        <x:f>IF(ABS(B14-C14)&lt;0.02,"PASS","FAIL")</x:f>
        <x:v>PASS</x:v>
      </x:c>
      <x:c r="E14" s="27" t="str">
        <x:v>allocation</x:v>
      </x:c>
      <x:c r="F14" s="27" t="str">
        <x:v>adverse result preserved</x:v>
      </x:c>
    </x:row>
    <x:row r="15" ht="43.20000076293945" hidden="0" customHeight="1">
      <x:c r="A15" s="29" t="str">
        <x:v>Unconstrained upper bound below demand</x:v>
      </x:c>
      <x:c r="B15" s="75" t="n">
        <x:f>Architecture!G7</x:f>
        <x:v>2355.7999444883</x:v>
      </x:c>
      <x:c r="C15" s="75" t="n">
        <x:v>2500</x:v>
      </x:c>
      <x:c r="D15" s="29" t="str">
        <x:f>IF(B15&lt;C15,"PASS","FAIL")</x:f>
        <x:v>PASS</x:v>
      </x:c>
      <x:c r="E15" s="29" t="str">
        <x:v>capacity</x:v>
      </x:c>
      <x:c r="F15" s="29" t="str">
        <x:v>mobility alone cannot close</x:v>
      </x:c>
    </x:row>
    <x:row r="16" ht="21.600000381469727" hidden="0" customHeight="1">
      <x:c r="A16" s="27" t="str">
        <x:v>Dense-local scale</x:v>
      </x:c>
      <x:c r="B16" s="74" t="n">
        <x:f>Architecture!B8</x:f>
        <x:v>4.196438516787028</x:v>
      </x:c>
      <x:c r="C16" s="74" t="n">
        <x:v>4.19644</x:v>
      </x:c>
      <x:c r="D16" s="27" t="str">
        <x:f>IF(ABS(B16-C16)&lt;0.02,"PASS","FAIL")</x:f>
        <x:v>PASS</x:v>
      </x:c>
      <x:c r="E16" s="27" t="str">
        <x:v>architecture</x:v>
      </x:c>
      <x:c r="F16" s="27" t="str">
        <x:v>no relocation closure</x:v>
      </x:c>
    </x:row>
    <x:row r="17" ht="32.400001525878906" hidden="0" customHeight="1">
      <x:c r="A17" s="29" t="str">
        <x:v>Hybrid capacity scale</x:v>
      </x:c>
      <x:c r="B17" s="75" t="n">
        <x:f>Architecture!B9</x:f>
        <x:v>1.5</x:v>
      </x:c>
      <x:c r="C17" s="75" t="n">
        <x:v>1.5</x:v>
      </x:c>
      <x:c r="D17" s="29" t="str">
        <x:f>IF(ABS(B17-C17)&lt;0.02,"PASS","FAIL")</x:f>
        <x:v>PASS</x:v>
      </x:c>
      <x:c r="E17" s="29" t="str">
        <x:v>architecture</x:v>
      </x:c>
      <x:c r="F17" s="29" t="str">
        <x:v>closing candidate</x:v>
      </x:c>
    </x:row>
    <x:row r="18" ht="32.400001525878906" hidden="0" customHeight="1">
      <x:c r="A18" s="27" t="str">
        <x:v>Hybrid corridor scale</x:v>
      </x:c>
      <x:c r="B18" s="74" t="n">
        <x:f>Architecture!C9</x:f>
        <x:v>1.7319730985479524</x:v>
      </x:c>
      <x:c r="C18" s="74" t="n">
        <x:v>1.73197</x:v>
      </x:c>
      <x:c r="D18" s="27" t="str">
        <x:f>IF(ABS(B18-C18)&lt;0.02,"PASS","FAIL")</x:f>
        <x:v>PASS</x:v>
      </x:c>
      <x:c r="E18" s="27" t="str">
        <x:v>architecture</x:v>
      </x:c>
      <x:c r="F18" s="27" t="str">
        <x:v>closing candidate</x:v>
      </x:c>
    </x:row>
    <x:row r="19" ht="21.600000381469727" hidden="0" customHeight="1">
      <x:c r="A19" s="29" t="str">
        <x:v>Hybrid closure</x:v>
      </x:c>
      <x:c r="B19" s="75" t="n">
        <x:f>Architecture!I9</x:f>
        <x:v>0.999999</x:v>
      </x:c>
      <x:c r="C19" s="75" t="n">
        <x:v>0.999999</x:v>
      </x:c>
      <x:c r="D19" s="29" t="str">
        <x:f>IF(ABS(B19-C19)&lt;0.02,"PASS","FAIL")</x:f>
        <x:v>PASS</x:v>
      </x:c>
      <x:c r="E19" s="29" t="str">
        <x:v>architecture</x:v>
      </x:c>
      <x:c r="F19" s="29" t="str">
        <x:v>numerical tolerance</x:v>
      </x:c>
    </x:row>
    <x:row r="20" ht="32.400001525878906" hidden="0" customHeight="1">
      <x:c r="A20" s="27" t="str">
        <x:v>Destination intake checks</x:v>
      </x:c>
      <x:c r="B20" s="74" t="n">
        <x:f>COUNTIF('Destination Intake'!H5:H36,"FAIL")</x:f>
        <x:v>0</x:v>
      </x:c>
      <x:c r="C20" s="74" t="n">
        <x:v>0</x:v>
      </x:c>
      <x:c r="D20" s="27" t="str">
        <x:f>IF(ABS(B20-C20)&lt;0.02,"PASS","FAIL")</x:f>
        <x:v>PASS</x:v>
      </x:c>
      <x:c r="E20" s="27" t="str">
        <x:v>dispatch</x:v>
      </x:c>
      <x:c r="F20" s="27" t="str">
        <x:v>no negative headroom</x:v>
      </x:c>
    </x:row>
    <x:row r="21" ht="32.400001525878906" hidden="0" customHeight="1">
      <x:c r="A21" s="29" t="str">
        <x:v>Arc/origin-mode checks</x:v>
      </x:c>
      <x:c r="B21" s="75" t="n">
        <x:f>COUNTIF('Corridor Dispatch'!J:J,"FAIL")+COUNTIF('Corridor Dispatch'!L:L,"FAIL")</x:f>
        <x:v>0</x:v>
      </x:c>
      <x:c r="C21" s="75" t="n">
        <x:v>0</x:v>
      </x:c>
      <x:c r="D21" s="29" t="str">
        <x:f>IF(ABS(B21-C21)&lt;0.02,"PASS","FAIL")</x:f>
        <x:v>PASS</x:v>
      </x:c>
      <x:c r="E21" s="29" t="str">
        <x:v>dispatch</x:v>
      </x:c>
      <x:c r="F21" s="29" t="str">
        <x:v>no cap or time violations</x:v>
      </x:c>
    </x:row>
    <x:row r="22" ht="21.600000381469727" hidden="0" customHeight="1">
      <x:c r="A22" s="27" t="str">
        <x:v>All evidence gates open</x:v>
      </x:c>
      <x:c r="B22" s="74" t="n">
        <x:f>COUNTIF('Evidence Gates'!F5:F24,"OPEN")</x:f>
        <x:v>20</x:v>
      </x:c>
      <x:c r="C22" s="74" t="n">
        <x:v>20</x:v>
      </x:c>
      <x:c r="D22" s="27" t="str">
        <x:f>IF(ABS(B22-C22)&lt;0.02,"PASS","FAIL")</x:f>
        <x:v>PASS</x:v>
      </x:c>
      <x:c r="E22" s="27" t="str">
        <x:v>evidence</x:v>
      </x:c>
      <x:c r="F22" s="27" t="str">
        <x:v>no maturity overclaim</x:v>
      </x:c>
    </x:row>
    <x:row r="23" ht="21.600000381469727" hidden="0" customHeight="1">
      <x:c r="A23" s="29" t="str">
        <x:v>Rendering prohibited</x:v>
      </x:c>
      <x:c r="B23" s="75" t="n">
        <x:f>'Controls'!C24</x:f>
        <x:v>0</x:v>
      </x:c>
      <x:c r="C23" s="75" t="n">
        <x:v>0</x:v>
      </x:c>
      <x:c r="D23" s="29" t="str">
        <x:f>IF(ABS(B23-C23)&lt;0.02,"PASS","FAIL")</x:f>
        <x:v>PASS</x:v>
      </x:c>
      <x:c r="E23" s="29" t="str">
        <x:v>governance</x:v>
      </x:c>
      <x:c r="F23" s="29" t="str">
        <x:v>authorization remains zero</x:v>
      </x:c>
    </x:row>
    <x:row r="24">
      <x:c r="A24" s="83"/>
      <x:c r="B24" s="83"/>
      <x:c r="C24" s="83"/>
      <x:c r="D24" s="83"/>
      <x:c r="E24" s="83"/>
      <x:c r="F24" s="83"/>
    </x:row>
    <x:row r="25" ht="36" customHeight="1">
      <x:c r="A25" s="90" t="str">
        <x:v>A PASS on the unconstrained upper-bound check means the adverse result is intact: baseline surviving capacity remains below the service contract.</x:v>
      </x:c>
      <x:c r="B25" s="90"/>
      <x:c r="C25" s="90"/>
      <x:c r="D25" s="90"/>
      <x:c r="E25" s="90"/>
      <x:c r="F25" s="90"/>
    </x:row>
  </x:sheetData>
  <x:mergeCells>
    <x:mergeCell ref="A1:F1"/>
    <x:mergeCell ref="A2:F2"/>
    <x:mergeCell ref="A25:F25"/>
  </x:mergeCells>
  <x:pageMargins left="0.7" right="0.7" top="0.75" bottom="0.75" header="0.3" footer="0.3"/>
</x:worksheet>
</file>