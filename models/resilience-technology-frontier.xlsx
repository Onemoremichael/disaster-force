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b59ec607634e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f46dfc9ccdc14dff"/>
    <x:sheet xmlns:r="http://schemas.openxmlformats.org/officeDocument/2006/relationships" name="Controls" sheetId="2" r:id="R5ebb58b033bf4ff6"/>
    <x:sheet xmlns:r="http://schemas.openxmlformats.org/officeDocument/2006/relationships" name="Portfolio" sheetId="3" r:id="Radaec253ee1245e0"/>
    <x:sheet xmlns:r="http://schemas.openxmlformats.org/officeDocument/2006/relationships" name="Campaign Register" sheetId="4" r:id="Rfedbfca6fa9a453c"/>
    <x:sheet xmlns:r="http://schemas.openxmlformats.org/officeDocument/2006/relationships" name="Mission Effects" sheetId="5" r:id="R0657d1cdf47e4c5d"/>
    <x:sheet xmlns:r="http://schemas.openxmlformats.org/officeDocument/2006/relationships" name="Common Primitives" sheetId="6" r:id="R23b1943462dd4691"/>
    <x:sheet xmlns:r="http://schemas.openxmlformats.org/officeDocument/2006/relationships" name="Maturity Pipeline" sheetId="7" r:id="Rb15e66279d62464c"/>
    <x:sheet xmlns:r="http://schemas.openxmlformats.org/officeDocument/2006/relationships" name="Proving Network" sheetId="8" r:id="Rb259eee8891e4adc"/>
    <x:sheet xmlns:r="http://schemas.openxmlformats.org/officeDocument/2006/relationships" name="Annual Profile" sheetId="9" r:id="R20b0af3b9c8b4c27"/>
    <x:sheet xmlns:r="http://schemas.openxmlformats.org/officeDocument/2006/relationships" name="Stage Gates" sheetId="10" r:id="R3cf9fb1c7f6943ce"/>
    <x:sheet xmlns:r="http://schemas.openxmlformats.org/officeDocument/2006/relationships" name="Decision Rights" sheetId="11" r:id="R842d8b9c3ec448dd"/>
    <x:sheet xmlns:r="http://schemas.openxmlformats.org/officeDocument/2006/relationships" name="Industrial Base" sheetId="12" r:id="R2f29f359f12c48bc"/>
    <x:sheet xmlns:r="http://schemas.openxmlformats.org/officeDocument/2006/relationships" name="Export Spillovers" sheetId="13" r:id="Rc9c276a36e5e4dc4"/>
    <x:sheet xmlns:r="http://schemas.openxmlformats.org/officeDocument/2006/relationships" name="Risk Sensitivity" sheetId="14" r:id="Rfb65372f81534486"/>
    <x:sheet xmlns:r="http://schemas.openxmlformats.org/officeDocument/2006/relationships" name="Checks" sheetId="15" r:id="Re9a9688d819e46fa"/>
    <x:sheet xmlns:r="http://schemas.openxmlformats.org/officeDocument/2006/relationships" name="Sources" sheetId="16" r:id="R3753f0b345dd4a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$0.0&quot;B&quot;"/>
    <x:numFmt numFmtId="202" formatCode="0.0%;[Red]-0.0%"/>
    <x:numFmt numFmtId="203" formatCode="0%"/>
    <x:numFmt numFmtId="204" formatCode="$0.00&quot;B&quot;"/>
    <x:numFmt numFmtId="205" formatCode="0.000"/>
  </x:numFmts>
  <x:fonts count="8">
    <x:font>
      <x:sz val="11"/>
      <x:name val="Carlito"/>
    </x:font>
    <x:font>
      <x:b/>
      <x:sz val="20"/>
      <x:color rgb="FFFFFFFF"/>
      <x:name val="Aptos"/>
    </x:font>
    <x:font>
      <x:i/>
      <x:sz val="10"/>
      <x:color rgb="FF17202A"/>
      <x:name val="Aptos"/>
    </x:font>
    <x:font>
      <x:b/>
      <x:sz val="11"/>
      <x:color rgb="FF16324F"/>
      <x:name val="Aptos"/>
    </x:font>
    <x:font>
      <x:b/>
      <x:sz val="10"/>
      <x:color rgb="FF17202A"/>
      <x:name val="Aptos"/>
    </x:font>
    <x:font>
      <x:sz val="10"/>
      <x:color rgb="FF17202A"/>
      <x:name val="Aptos"/>
    </x:font>
    <x:font>
      <x:b/>
      <x:sz val="10"/>
      <x:color rgb="FFFFFFFF"/>
      <x:name val="Aptos"/>
    </x:font>
    <x:font>
      <x:b/>
      <x:sz val="11"/>
      <x:color rgb="FF17202A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</x:fills>
  <x:borders count="1">
    <x:border/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201" fontId="0" fillId="0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6" borderId="0" xfId="0" applyNumberFormat="1" applyFont="1" applyFill="1" applyBorder="1"/>
    <x:xf numFmtId="200" fontId="5" fillId="6" borderId="0" xfId="0" applyNumberFormat="1" applyFont="1" applyFill="1" applyBorder="1"/>
    <x:xf numFmtId="201" fontId="5" fillId="0" borderId="0" xfId="0" applyNumberFormat="1" applyFont="1" applyFill="1" applyBorder="1"/>
    <x:xf numFmtId="0" fontId="4" fillId="5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/>
    </x:xf>
    <x:xf numFmtId="0" fontId="5" fillId="6" borderId="0" xfId="0" applyNumberFormat="1" applyFont="1" applyFill="1" applyBorder="1" applyAlignment="1">
      <x:alignment vertical="top"/>
    </x:xf>
    <x:xf numFmtId="200" fontId="5" fillId="6" borderId="0" xfId="0" applyNumberFormat="1" applyFont="1" applyFill="1" applyBorder="1" applyAlignment="1">
      <x:alignment vertical="top"/>
    </x:xf>
    <x:xf numFmtId="201" fontId="5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202" fontId="5" fillId="0" borderId="0" xfId="0" applyNumberFormat="1" applyFont="1" applyFill="1" applyBorder="1"/>
    <x:xf numFmtId="200" fontId="5" fillId="0" borderId="0" xfId="0" applyNumberFormat="1" applyFont="1" applyFill="1" applyBorder="1"/>
    <x:xf numFmtId="202" fontId="5" fillId="0" borderId="0" xfId="0" applyNumberFormat="1" applyFont="1" applyFill="1" applyBorder="1" applyAlignment="1">
      <x:alignment vertical="top"/>
    </x:xf>
    <x:xf numFmtId="200" fontId="5" fillId="0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203" fontId="5" fillId="0" borderId="0" xfId="0" applyNumberFormat="1" applyFont="1" applyFill="1" applyBorder="1" applyAlignment="1">
      <x:alignment vertical="top"/>
    </x:xf>
    <x:xf numFmtId="204" fontId="5" fillId="0" borderId="0" xfId="0" applyNumberFormat="1" applyFont="1" applyFill="1" applyBorder="1" applyAlignment="1">
      <x:alignment vertical="top"/>
    </x:xf>
    <x:xf numFmtId="200" fontId="5" fillId="0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201" fontId="0" fillId="7" borderId="0" xfId="0" applyNumberFormat="1" applyFont="1" applyFill="1" applyBorder="1"/>
    <x:xf numFmtId="200" fontId="0" fillId="7" borderId="0" xfId="0" applyNumberFormat="1" applyFont="1" applyFill="1" applyBorder="1"/>
    <x:xf numFmtId="0" fontId="7" fillId="7" borderId="0" xfId="0" applyNumberFormat="1" applyFont="1" applyFill="1" applyBorder="1"/>
    <x:xf numFmtId="201" fontId="7" fillId="7" borderId="0" xfId="0" applyNumberFormat="1" applyFont="1" applyFill="1" applyBorder="1"/>
    <x:xf numFmtId="200" fontId="7" fillId="7" borderId="0" xfId="0" applyNumberFormat="1" applyFont="1" applyFill="1" applyBorder="1"/>
    <x:xf numFmtId="0" fontId="4" fillId="7" borderId="0" xfId="0" applyNumberFormat="1" applyFont="1" applyFill="1" applyBorder="1"/>
    <x:xf numFmtId="201" fontId="4" fillId="7" borderId="0" xfId="0" applyNumberFormat="1" applyFont="1" applyFill="1" applyBorder="1"/>
    <x:xf numFmtId="20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vertical="top"/>
    </x:xf>
    <x:xf numFmtId="201" fontId="4" fillId="7" borderId="0" xfId="0" applyNumberFormat="1" applyFont="1" applyFill="1" applyBorder="1" applyAlignment="1">
      <x:alignment vertical="top"/>
    </x:xf>
    <x:xf numFmtId="200" fontId="4" fillId="7" borderId="0" xfId="0" applyNumberFormat="1" applyFont="1" applyFill="1" applyBorder="1" applyAlignment="1">
      <x:alignment vertical="top"/>
    </x:xf>
    <x:xf numFmtId="204" fontId="0" fillId="7" borderId="0" xfId="0" applyNumberFormat="1" applyFont="1" applyFill="1" applyBorder="1"/>
    <x:xf numFmtId="204" fontId="7" fillId="7" borderId="0" xfId="0" applyNumberFormat="1" applyFont="1" applyFill="1" applyBorder="1"/>
    <x:xf numFmtId="204" fontId="4" fillId="7" borderId="0" xfId="0" applyNumberFormat="1" applyFont="1" applyFill="1" applyBorder="1"/>
    <x:xf numFmtId="204" fontId="4" fillId="7" borderId="0" xfId="0" applyNumberFormat="1" applyFont="1" applyFill="1" applyBorder="1" applyAlignment="1">
      <x:alignment vertical="top"/>
    </x:xf>
    <x:xf numFmtId="203" fontId="0" fillId="6" borderId="0" xfId="0" applyNumberFormat="1" applyFont="1" applyFill="1" applyBorder="1"/>
    <x:xf numFmtId="203" fontId="5" fillId="6" borderId="0" xfId="0" applyNumberFormat="1" applyFont="1" applyFill="1" applyBorder="1"/>
    <x:xf numFmtId="203" fontId="5" fillId="6" borderId="0" xfId="0" applyNumberFormat="1" applyFont="1" applyFill="1" applyBorder="1" applyAlignment="1">
      <x:alignment vertical="top"/>
    </x:xf>
    <x:xf numFmtId="205" fontId="0" fillId="0" borderId="0" xfId="0" applyNumberFormat="1" applyFont="1" applyFill="1" applyBorder="1"/>
    <x:xf numFmtId="205" fontId="5" fillId="0" borderId="0" xfId="0" applyNumberFormat="1" applyFont="1" applyFill="1" applyBorder="1"/>
    <x:xf numFmtId="205" fontId="5" fillId="0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5bfab2c55544e3" /><Relationship Type="http://schemas.openxmlformats.org/officeDocument/2006/relationships/theme" Target="/xl/theme/theme1.xml" Id="R9c6fa82b67eb4392" /><Relationship Type="http://schemas.openxmlformats.org/officeDocument/2006/relationships/sharedStrings" Target="/xl/sharedStrings.xml" Id="Rcb600060e267413b" /><Relationship Type="http://schemas.openxmlformats.org/officeDocument/2006/relationships/worksheet" Target="/xl/worksheets/sheet1.xml" Id="Rf46dfc9ccdc14dff" /><Relationship Type="http://schemas.openxmlformats.org/officeDocument/2006/relationships/worksheet" Target="/xl/worksheets/sheet2.xml" Id="R5ebb58b033bf4ff6" /><Relationship Type="http://schemas.openxmlformats.org/officeDocument/2006/relationships/worksheet" Target="/xl/worksheets/sheet3.xml" Id="Radaec253ee1245e0" /><Relationship Type="http://schemas.openxmlformats.org/officeDocument/2006/relationships/worksheet" Target="/xl/worksheets/sheet4.xml" Id="Rfedbfca6fa9a453c" /><Relationship Type="http://schemas.openxmlformats.org/officeDocument/2006/relationships/worksheet" Target="/xl/worksheets/sheet5.xml" Id="R0657d1cdf47e4c5d" /><Relationship Type="http://schemas.openxmlformats.org/officeDocument/2006/relationships/worksheet" Target="/xl/worksheets/sheet6.xml" Id="R23b1943462dd4691" /><Relationship Type="http://schemas.openxmlformats.org/officeDocument/2006/relationships/worksheet" Target="/xl/worksheets/sheet7.xml" Id="Rb15e66279d62464c" /><Relationship Type="http://schemas.openxmlformats.org/officeDocument/2006/relationships/worksheet" Target="/xl/worksheets/sheet8.xml" Id="Rb259eee8891e4adc" /><Relationship Type="http://schemas.openxmlformats.org/officeDocument/2006/relationships/worksheet" Target="/xl/worksheets/sheet9.xml" Id="R20b0af3b9c8b4c27" /><Relationship Type="http://schemas.openxmlformats.org/officeDocument/2006/relationships/worksheet" Target="/xl/worksheets/sheet10.xml" Id="R3cf9fb1c7f6943ce" /><Relationship Type="http://schemas.openxmlformats.org/officeDocument/2006/relationships/worksheet" Target="/xl/worksheets/sheet11.xml" Id="R842d8b9c3ec448dd" /><Relationship Type="http://schemas.openxmlformats.org/officeDocument/2006/relationships/worksheet" Target="/xl/worksheets/sheet12.xml" Id="R2f29f359f12c48bc" /><Relationship Type="http://schemas.openxmlformats.org/officeDocument/2006/relationships/worksheet" Target="/xl/worksheets/sheet13.xml" Id="Rc9c276a36e5e4dc4" /><Relationship Type="http://schemas.openxmlformats.org/officeDocument/2006/relationships/worksheet" Target="/xl/worksheets/sheet14.xml" Id="Rfb65372f81534486" /><Relationship Type="http://schemas.openxmlformats.org/officeDocument/2006/relationships/worksheet" Target="/xl/worksheets/sheet15.xml" Id="Re9a9688d819e46fa" /><Relationship Type="http://schemas.openxmlformats.org/officeDocument/2006/relationships/worksheet" Target="/xl/worksheets/sheet16.xml" Id="R3753f0b345dd4a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8" hidden="0" customWidth="1"/>
    <x:col min="2" max="2" width="110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</x:cols>
  <x:sheetData>
    <x:row r="1" ht="32" customHeight="1">
      <x:c r="A1" s="71" t="str">
        <x:v>Department of Resilience — Technology Frontier</x:v>
      </x:c>
      <x:c r="B1" s="29"/>
    </x:row>
    <x:row r="2" ht="34" customHeight="1">
      <x:c r="A2" s="70" t="str">
        <x:v>Editable 25-year portfolio model. All dollar values are real 2026 USD and all performance values are design hypotheses, not validated claims.</x:v>
      </x:c>
      <x:c r="B2" s="29"/>
    </x:row>
    <x:row r="3">
      <x:c r="A3" s="29"/>
      <x:c r="B3" s="29"/>
    </x:row>
    <x:row r="4" ht="48" customHeight="1">
      <x:c r="A4" s="14" t="str">
        <x:v>Model purpose</x:v>
      </x:c>
      <x:c r="B4" s="15" t="str">
        <x:v>Make a peer-scale civil-protection innovation enterprise auditable: funding cases, research campaigns, shared primitives, maturity attrition, proving infrastructure, decision rights, transition, industrial spillovers and failure sensitivity.</x:v>
      </x:c>
    </x:row>
    <x:row r="5" ht="48" customHeight="1">
      <x:c r="A5" s="14" t="str">
        <x:v>Canonical interpretation</x:v>
      </x:c>
      <x:c r="B5" s="15" t="str">
        <x:v>Three funding cases are alternative classifications of the full Department-wide technology enterprise. They are not additive to the project's $1T capital tranche or to separate fire and flood thought experiments.</x:v>
      </x:c>
    </x:row>
    <x:row r="6" ht="48" customHeight="1">
      <x:c r="A6" s="14" t="str">
        <x:v>Selected strategic case</x:v>
      </x:c>
      <x:c r="B6" s="15" t="str">
        <x:v>$2T over 25 years: large enough to build a sovereign discovery-to-deployment system while remaining a scenario, not a cost estimate or recommendation.</x:v>
      </x:c>
    </x:row>
    <x:row r="7" ht="48" customHeight="1">
      <x:c r="A7" s="14" t="str">
        <x:v>Independent proof</x:v>
      </x:c>
      <x:c r="B7" s="15" t="str">
        <x:v>RTEA receives 10% of every case and owns test plans, configuration control, data custody, replication and readiness findings. Program sponsors cannot self-certify.</x:v>
      </x:c>
    </x:row>
    <x:row r="8" ht="48" customHeight="1">
      <x:c r="A8" s="14" t="str">
        <x:v>Technology credit</x:v>
      </x:c>
      <x:c r="B8" s="15" t="str">
        <x:v>No campaign changes force-sizing coefficients until a representative operational thread passes its gate. Ambition is allowed; unearned readiness credit is not.</x:v>
      </x:c>
    </x:row>
    <x:row r="9" ht="48" customHeight="1">
      <x:c r="A9" s="14" t="str">
        <x:v>Rendering status</x:v>
      </x:c>
      <x:c r="B9" s="15" t="str">
        <x:v>No vehicle or platform rendering is authorized by this workbook. Geometry follows validated mission requirements, interfaces, burdens and failure envelopes.</x:v>
      </x:c>
    </x:row>
    <x:row r="10" ht="48" customHeight="1">
      <x:c r="A10" s="14" t="str">
        <x:v>How to use</x:v>
      </x:c>
      <x:c r="B10" s="15" t="str">
        <x:v>Edit the selected case in Controls!B4. Review Portfolio, Campaign Register and Annual Profile. Change attrition or shock assumptions only in yellow cells. Checks must remain PASS.</x:v>
      </x:c>
    </x:row>
    <x:row r="11" ht="48" customHeight="1">
      <x:c r="A11" s="14" t="str">
        <x:v>Scope boundary</x:v>
      </x:c>
      <x:c r="B11" s="15" t="str">
        <x:v>Includes basic/applied science, prototypes, facilities, independent test, transition engineering and manufacturing readiness. Excludes routine force personnel, ordinary operations, fleet procurement and disaster-loss monetization.</x:v>
      </x:c>
    </x:row>
    <x:row r="12" ht="48" customHeight="1">
      <x:c r="A12" s="14" t="str">
        <x:v>Evidence standard</x:v>
      </x:c>
      <x:c r="B12" s="15" t="str">
        <x:v>Source-backed current programs are lower-bound analogues. Novel capability targets are explicitly labeled hypotheses and remain behind stage gates.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4" hidden="0" customWidth="1"/>
    <x:col min="5" max="5" width="70" hidden="0" customWidth="1"/>
    <x:col min="6" max="6" width="2" hidden="0" customWidth="1"/>
  </x:cols>
  <x:sheetData>
    <x:row r="1" ht="32" customHeight="1">
      <x:c r="A1" s="71" t="str">
        <x:v>Scenario Controls</x:v>
      </x:c>
      <x:c r="B1" s="29"/>
      <x:c r="C1" s="29"/>
      <x:c r="D1" s="29"/>
      <x:c r="E1" s="29"/>
    </x:row>
    <x:row r="2" ht="34" customHeight="1">
      <x:c r="A2" s="70" t="str">
        <x:v>Yellow cells are editable. The selected envelope flows through every financial view.</x:v>
      </x:c>
      <x:c r="B2" s="29"/>
      <x:c r="C2" s="29"/>
      <x:c r="D2" s="29"/>
      <x:c r="E2" s="29"/>
    </x:row>
    <x:row r="3">
      <x:c r="A3" s="29"/>
      <x:c r="B3" s="29"/>
      <x:c r="C3" s="29"/>
      <x:c r="D3" s="29"/>
      <x:c r="E3" s="29"/>
    </x:row>
    <x:row r="4">
      <x:c r="A4" s="28" t="str">
        <x:v>Control</x:v>
      </x:c>
      <x:c r="B4" s="28" t="str">
        <x:v>Value</x:v>
      </x:c>
      <x:c r="C4" s="28" t="str">
        <x:v>Unit</x:v>
      </x:c>
      <x:c r="D4" s="28" t="str">
        <x:v>Status</x:v>
      </x:c>
      <x:c r="E4" s="28" t="str">
        <x:v>Interpretation</x:v>
      </x:c>
    </x:row>
    <x:row r="5">
      <x:c r="A5" s="29" t="str">
        <x:v>Selected case</x:v>
      </x:c>
      <x:c r="B5" s="30" t="str">
        <x:v>Strategic</x:v>
      </x:c>
      <x:c r="C5" s="29" t="str">
        <x:v>text</x:v>
      </x:c>
      <x:c r="D5" s="29" t="str">
        <x:v>EDIT</x:v>
      </x:c>
      <x:c r="E5" s="29" t="str">
        <x:v>Catalytic / Strategic / Peer</x:v>
      </x:c>
    </x:row>
    <x:row r="6">
      <x:c r="A6" s="29" t="str">
        <x:v>Catalytic envelope</x:v>
      </x:c>
      <x:c r="B6" s="30" t="n">
        <x:v>750</x:v>
      </x:c>
      <x:c r="C6" s="29" t="str">
        <x:v>$B real 2026</x:v>
      </x:c>
      <x:c r="D6" s="29" t="str">
        <x:v>EDIT</x:v>
      </x:c>
      <x:c r="E6" s="29" t="str">
        <x:v>Minimum sovereign discovery-to-deployment architecture</x:v>
      </x:c>
    </x:row>
    <x:row r="7">
      <x:c r="A7" s="29" t="str">
        <x:v>Strategic envelope</x:v>
      </x:c>
      <x:c r="B7" s="30" t="n">
        <x:v>2000</x:v>
      </x:c>
      <x:c r="C7" s="29" t="str">
        <x:v>$B real 2026</x:v>
      </x:c>
      <x:c r="D7" s="29" t="str">
        <x:v>EDIT</x:v>
      </x:c>
      <x:c r="E7" s="29" t="str">
        <x:v>Selected whole-portfolio planning case</x:v>
      </x:c>
    </x:row>
    <x:row r="8">
      <x:c r="A8" s="29" t="str">
        <x:v>Peer envelope</x:v>
      </x:c>
      <x:c r="B8" s="30" t="n">
        <x:v>4500</x:v>
      </x:c>
      <x:c r="C8" s="29" t="str">
        <x:v>$B real 2026</x:v>
      </x:c>
      <x:c r="D8" s="29" t="str">
        <x:v>EDIT</x:v>
      </x:c>
      <x:c r="E8" s="29" t="str">
        <x:v>Approximate 25 years at the FY2026 defense RDT&amp;E request</x:v>
      </x:c>
    </x:row>
    <x:row r="9">
      <x:c r="A9" s="29" t="str">
        <x:v>Independent RTEA floor</x:v>
      </x:c>
      <x:c r="B9" s="31" t="n">
        <x:v>0.1</x:v>
      </x:c>
      <x:c r="C9" s="29" t="str">
        <x:v>share</x:v>
      </x:c>
      <x:c r="D9" s="29" t="str">
        <x:v>EDIT</x:v>
      </x:c>
      <x:c r="E9" s="29" t="str">
        <x:v>Protected share; cannot cover sponsor overrun</x:v>
      </x:c>
    </x:row>
    <x:row r="10">
      <x:c r="A10" s="29" t="str">
        <x:v>Program reserve</x:v>
      </x:c>
      <x:c r="B10" s="31" t="n">
        <x:v>0.15</x:v>
      </x:c>
      <x:c r="C10" s="29" t="str">
        <x:v>share</x:v>
      </x:c>
      <x:c r="D10" s="29" t="str">
        <x:v>EDIT</x:v>
      </x:c>
      <x:c r="E10" s="29" t="str">
        <x:v>Portfolio-level risk reserve</x:v>
      </x:c>
    </x:row>
    <x:row r="11">
      <x:c r="A11" s="29" t="str">
        <x:v>Maximum proving-network utilization</x:v>
      </x:c>
      <x:c r="B11" s="30" t="n">
        <x:v>0.8</x:v>
      </x:c>
      <x:c r="C11" s="29" t="str">
        <x:v>share</x:v>
      </x:c>
      <x:c r="D11" s="29" t="str">
        <x:v>EDIT</x:v>
      </x:c>
      <x:c r="E11" s="29" t="str">
        <x:v>Planning ceiling before parallel capacity</x:v>
      </x:c>
    </x:row>
    <x:row r="12">
      <x:c r="A12" s="29" t="str">
        <x:v>Initial rival concepts</x:v>
      </x:c>
      <x:c r="B12" s="30" t="n">
        <x:v>240</x:v>
      </x:c>
      <x:c r="C12" s="29" t="str">
        <x:v>count</x:v>
      </x:c>
      <x:c r="D12" s="29" t="str">
        <x:v>EDIT</x:v>
      </x:c>
      <x:c r="E12" s="29" t="str">
        <x:v>Four paid paths across sixty campaign areas</x:v>
      </x:c>
    </x:row>
    <x:row r="13">
      <x:c r="A13" s="29" t="str">
        <x:v>Selected envelope</x:v>
      </x:c>
      <x:c r="B13" s="32" t="n">
        <x:f>IF(B5="Catalytic",B6,IF(B5="Peer",B8,B7))</x:f>
        <x:v>2000</x:v>
      </x:c>
      <x:c r="C13" s="29" t="str">
        <x:v>$B real 2026</x:v>
      </x:c>
      <x:c r="D13" s="29" t="str">
        <x:v>FORMULA</x:v>
      </x:c>
      <x:c r="E13" s="29" t="str">
        <x:v>Driven by selected case</x:v>
      </x:c>
    </x:row>
    <x:row r="14">
      <x:c r="A14" s="29" t="str">
        <x:v>Reserve amount</x:v>
      </x:c>
      <x:c r="B14" s="32" t="n">
        <x:f>B13*B10</x:f>
        <x:v>300</x:v>
      </x:c>
      <x:c r="C14" s="29" t="str">
        <x:v>$B real 2026</x:v>
      </x:c>
      <x:c r="D14" s="29" t="str">
        <x:v>FORMULA</x:v>
      </x:c>
      <x:c r="E14" s="29" t="str">
        <x:v>Selected envelope × reserve share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12" hidden="0" customWidth="1"/>
    <x:col min="3" max="3" width="16" hidden="0" customWidth="1"/>
    <x:col min="4" max="4" width="16" hidden="0" customWidth="1"/>
    <x:col min="5" max="5" width="58" hidden="0" customWidth="1"/>
    <x:col min="6" max="6" width="35" hidden="0" customWidth="1"/>
    <x:col min="7" max="7" width="14" hidden="0" customWidth="1"/>
    <x:col min="8" max="8" width="20" hidden="0" customWidth="1"/>
  </x:cols>
  <x:sheetData>
    <x:row r="1" ht="32" customHeight="1">
      <x:c r="A1" s="71" t="str">
        <x:v>Portfolio Allocation</x:v>
      </x:c>
      <x:c r="B1" s="29"/>
      <x:c r="C1" s="29"/>
      <x:c r="D1" s="29"/>
      <x:c r="E1" s="29"/>
      <x:c r="F1" s="29"/>
      <x:c r="G1" s="29"/>
      <x:c r="H1" s="29"/>
    </x:row>
    <x:row r="2" ht="34" customHeight="1">
      <x:c r="A2" s="70" t="str">
        <x:v>Strategic-case allocation by mission-science directorate and institutional channel. Values scale with the selected scenario.</x:v>
      </x:c>
      <x:c r="B2" s="29"/>
      <x:c r="C2" s="29"/>
      <x:c r="D2" s="29"/>
      <x:c r="E2" s="29"/>
      <x:c r="F2" s="29"/>
      <x:c r="G2" s="29"/>
      <x:c r="H2" s="29"/>
    </x:row>
    <x:row r="3">
      <x:c r="A3" s="29"/>
      <x:c r="B3" s="29"/>
      <x:c r="C3" s="29"/>
      <x:c r="D3" s="29"/>
      <x:c r="E3" s="29"/>
      <x:c r="F3" s="29"/>
      <x:c r="G3" s="29"/>
      <x:c r="H3" s="29"/>
    </x:row>
    <x:row r="4">
      <x:c r="A4" s="28" t="str">
        <x:v>Directorate</x:v>
      </x:c>
      <x:c r="B4" s="28" t="str">
        <x:v>Share</x:v>
      </x:c>
      <x:c r="C4" s="28" t="str">
        <x:v>Selected $B</x:v>
      </x:c>
      <x:c r="D4" s="28" t="str">
        <x:v>Strategic $B</x:v>
      </x:c>
      <x:c r="E4" s="28" t="str">
        <x:v>Why it exists</x:v>
      </x:c>
      <x:c r="F4" s="28" t="str">
        <x:v>Current analogue</x:v>
      </x:c>
      <x:c r="G4" s="28" t="str">
        <x:v>Classification</x:v>
      </x:c>
      <x:c r="H4" s="28" t="str">
        <x:v>Gate owner</x:v>
      </x:c>
    </x:row>
    <x:row r="5">
      <x:c r="A5" s="29" t="str">
        <x:v>Earth intelligence &amp; causal forecasting</x:v>
      </x:c>
      <x:c r="B5" s="37" t="n">
        <x:v>0.1</x:v>
      </x:c>
      <x:c r="C5" s="32" t="n">
        <x:f>B5*Controls!$B$13</x:f>
        <x:v>200</x:v>
      </x:c>
      <x:c r="D5" s="32" t="n">
        <x:v>200</x:v>
      </x:c>
      <x:c r="E5" s="15" t="str">
        <x:v>Observe, assimilate, forecast and evaluate decisions</x:v>
      </x:c>
      <x:c r="F5" s="15" t="str">
        <x:v>NASA ESDT / NOAA EPIC</x:v>
      </x:c>
      <x:c r="G5" s="15" t="str">
        <x:v>Shared</x:v>
      </x:c>
      <x:c r="H5" s="15" t="str">
        <x:v>RTEA</x:v>
      </x:c>
    </x:row>
    <x:row r="6">
      <x:c r="A6" s="29" t="str">
        <x:v>Fire &amp; atmospheric systems</x:v>
      </x:c>
      <x:c r="B6" s="37" t="n">
        <x:v>0.09</x:v>
      </x:c>
      <x:c r="C6" s="32" t="n">
        <x:f>B6*Controls!$B$13</x:f>
        <x:v>180</x:v>
      </x:c>
      <x:c r="D6" s="32" t="n">
        <x:v>180</x:v>
      </x:c>
      <x:c r="E6" s="15" t="str">
        <x:v>Control fire growth, smoke and thermal exposure</x:v>
      </x:c>
      <x:c r="F6" s="15" t="str">
        <x:v>NASA FireSense</x:v>
      </x:c>
      <x:c r="G6" s="15" t="str">
        <x:v>Hazard</x:v>
      </x:c>
      <x:c r="H6" s="15" t="str">
        <x:v>RTEA</x:v>
      </x:c>
    </x:row>
    <x:row r="7">
      <x:c r="A7" s="29" t="str">
        <x:v>Flood &amp; hydraulic systems</x:v>
      </x:c>
      <x:c r="B7" s="37" t="n">
        <x:v>0.09</x:v>
      </x:c>
      <x:c r="C7" s="32" t="n">
        <x:f>B7*Controls!$B$13</x:f>
        <x:v>180</x:v>
      </x:c>
      <x:c r="D7" s="32" t="n">
        <x:v>180</x:v>
      </x:c>
      <x:c r="E7" s="15" t="str">
        <x:v>Control water state, barriers, flow and access</x:v>
      </x:c>
      <x:c r="F7" s="15" t="str">
        <x:v>USACE ERDC / NHERI</x:v>
      </x:c>
      <x:c r="G7" s="15" t="str">
        <x:v>Hazard</x:v>
      </x:c>
      <x:c r="H7" s="15" t="str">
        <x:v>RTEA</x:v>
      </x:c>
    </x:row>
    <x:row r="8">
      <x:c r="A8" s="29" t="str">
        <x:v>Water &amp; drought systems</x:v>
      </x:c>
      <x:c r="B8" s="37" t="n">
        <x:v>0.09</x:v>
      </x:c>
      <x:c r="C8" s="32" t="n">
        <x:f>B8*Controls!$B$13</x:f>
        <x:v>180</x:v>
      </x:c>
      <x:c r="D8" s="32" t="n">
        <x:v>180</x:v>
      </x:c>
      <x:c r="E8" s="15" t="str">
        <x:v>Produce, move, store and recover water</x:v>
      </x:c>
      <x:c r="F8" s="15" t="str">
        <x:v>DOE NAWI / WSGC</x:v>
      </x:c>
      <x:c r="G8" s="15" t="str">
        <x:v>Hazard</x:v>
      </x:c>
      <x:c r="H8" s="15" t="str">
        <x:v>RTEA</x:v>
      </x:c>
    </x:row>
    <x:row r="9">
      <x:c r="A9" s="29" t="str">
        <x:v>Power &amp; thermal systems</x:v>
      </x:c>
      <x:c r="B9" s="37" t="n">
        <x:v>0.11</x:v>
      </x:c>
      <x:c r="C9" s="32" t="n">
        <x:f>B9*Controls!$B$13</x:f>
        <x:v>220</x:v>
      </x:c>
      <x:c r="D9" s="32" t="n">
        <x:v>220</x:v>
      </x:c>
      <x:c r="E9" s="15" t="str">
        <x:v>Restore electricity, heating and cooling</x:v>
      </x:c>
      <x:c r="F9" s="15" t="str">
        <x:v>DOE microgrids / LDES</x:v>
      </x:c>
      <x:c r="G9" s="15" t="str">
        <x:v>Shared</x:v>
      </x:c>
      <x:c r="H9" s="15" t="str">
        <x:v>RTEA</x:v>
      </x:c>
    </x:row>
    <x:row r="10">
      <x:c r="A10" s="29" t="str">
        <x:v>Health &amp; biosecurity</x:v>
      </x:c>
      <x:c r="B10" s="37" t="n">
        <x:v>0.1</x:v>
      </x:c>
      <x:c r="C10" s="32" t="n">
        <x:f>B10*Controls!$B$13</x:f>
        <x:v>200</x:v>
      </x:c>
      <x:c r="D10" s="32" t="n">
        <x:v>200</x:v>
      </x:c>
      <x:c r="E10" s="15" t="str">
        <x:v>Move hospital-level care and local bioproduction</x:v>
      </x:c>
      <x:c r="F10" s="15" t="str">
        <x:v>ARPA-H PARADIGM / GIVE</x:v>
      </x:c>
      <x:c r="G10" s="15" t="str">
        <x:v>Shared</x:v>
      </x:c>
      <x:c r="H10" s="15" t="str">
        <x:v>RTEA</x:v>
      </x:c>
    </x:row>
    <x:row r="11">
      <x:c r="A11" s="29" t="str">
        <x:v>Structures, seismic &amp; geotechnical</x:v>
      </x:c>
      <x:c r="B11" s="37" t="n">
        <x:v>0.08</x:v>
      </x:c>
      <x:c r="C11" s="32" t="n">
        <x:f>B11*Controls!$B$13</x:f>
        <x:v>160</x:v>
      </x:c>
      <x:c r="D11" s="32" t="n">
        <x:v>160</x:v>
      </x:c>
      <x:c r="E11" s="15" t="str">
        <x:v>Measure, stabilize and restore the built/ground environment</x:v>
      </x:c>
      <x:c r="F11" s="15" t="str">
        <x:v>USGS ShakeAlert / NSF NHERI</x:v>
      </x:c>
      <x:c r="G11" s="15" t="str">
        <x:v>Hazard</x:v>
      </x:c>
      <x:c r="H11" s="15" t="str">
        <x:v>RTEA</x:v>
      </x:c>
    </x:row>
    <x:row r="12">
      <x:c r="A12" s="29" t="str">
        <x:v>Mobility, access &amp; logistics</x:v>
      </x:c>
      <x:c r="B12" s="37" t="n">
        <x:v>0.09</x:v>
      </x:c>
      <x:c r="C12" s="32" t="n">
        <x:f>B12*Controls!$B$13</x:f>
        <x:v>180</x:v>
      </x:c>
      <x:c r="D12" s="32" t="n">
        <x:v>180</x:v>
      </x:c>
      <x:c r="E12" s="15" t="str">
        <x:v>Open routes and sustain formations across broken networks</x:v>
      </x:c>
      <x:c r="F12" s="15" t="str">
        <x:v>No peer civil portfolio</x:v>
      </x:c>
      <x:c r="G12" s="15" t="str">
        <x:v>Shared</x:v>
      </x:c>
      <x:c r="H12" s="15" t="str">
        <x:v>RTEA</x:v>
      </x:c>
    </x:row>
    <x:row r="13">
      <x:c r="A13" s="29" t="str">
        <x:v>Autonomy &amp; human-machine systems</x:v>
      </x:c>
      <x:c r="B13" s="37" t="n">
        <x:v>0.07</x:v>
      </x:c>
      <x:c r="C13" s="32" t="n">
        <x:f>B13*Controls!$B$13</x:f>
        <x:v>140</x:v>
      </x:c>
      <x:c r="D13" s="32" t="n">
        <x:v>140</x:v>
      </x:c>
      <x:c r="E13" s="15" t="str">
        <x:v>Increase tempo while lowering human exposure</x:v>
      </x:c>
      <x:c r="F13" s="15" t="str">
        <x:v>NIST robotics metrics</x:v>
      </x:c>
      <x:c r="G13" s="15" t="str">
        <x:v>Shared</x:v>
      </x:c>
      <x:c r="H13" s="15" t="str">
        <x:v>RTEA</x:v>
      </x:c>
    </x:row>
    <x:row r="14">
      <x:c r="A14" s="29" t="str">
        <x:v>Materials, manufacturing &amp; repair</x:v>
      </x:c>
      <x:c r="B14" s="37" t="n">
        <x:v>0.08</x:v>
      </x:c>
      <x:c r="C14" s="32" t="n">
        <x:f>B14*Controls!$B$13</x:f>
        <x:v>160</x:v>
      </x:c>
      <x:c r="D14" s="32" t="n">
        <x:v>160</x:v>
      </x:c>
      <x:c r="E14" s="15" t="str">
        <x:v>Create scalable, repairable and mobilizable physical systems</x:v>
      </x:c>
      <x:c r="F14" s="15" t="str">
        <x:v>Manufacturing USA</x:v>
      </x:c>
      <x:c r="G14" s="15" t="str">
        <x:v>Shared</x:v>
      </x:c>
      <x:c r="H14" s="15" t="str">
        <x:v>RTEA</x:v>
      </x:c>
    </x:row>
    <x:row r="15">
      <x:c r="A15" s="29" t="str">
        <x:v>Communications, compute &amp; cyber</x:v>
      </x:c>
      <x:c r="B15" s="37" t="n">
        <x:v>0.05</x:v>
      </x:c>
      <x:c r="C15" s="32" t="n">
        <x:f>B15*Controls!$B$13</x:f>
        <x:v>100</x:v>
      </x:c>
      <x:c r="D15" s="32" t="n">
        <x:v>100</x:v>
      </x:c>
      <x:c r="E15" s="15" t="str">
        <x:v>Maintain trusted coordination under degraded infrastructure</x:v>
      </x:c>
      <x:c r="F15" s="15" t="str">
        <x:v>ARPA-H UPGRADE analogue</x:v>
      </x:c>
      <x:c r="G15" s="15" t="str">
        <x:v>Shared</x:v>
      </x:c>
      <x:c r="H15" s="15" t="str">
        <x:v>RTEA</x:v>
      </x:c>
    </x:row>
    <x:row r="16">
      <x:c r="A16" s="29" t="str">
        <x:v>Food &amp; community stabilization</x:v>
      </x:c>
      <x:c r="B16" s="37" t="n">
        <x:v>0.05</x:v>
      </x:c>
      <x:c r="C16" s="32" t="n">
        <x:f>B16*Controls!$B$13</x:f>
        <x:v>100</x:v>
      </x:c>
      <x:c r="D16" s="32" t="n">
        <x:v>100</x:v>
      </x:c>
      <x:c r="E16" s="15" t="str">
        <x:v>Sustain nutrition, shelter and essential social function</x:v>
      </x:c>
      <x:c r="F16" s="15" t="str">
        <x:v>USDA protected-culture R&amp;D</x:v>
      </x:c>
      <x:c r="G16" s="15" t="str">
        <x:v>Shared</x:v>
      </x:c>
      <x:c r="H16" s="15" t="str">
        <x:v>RTEA</x:v>
      </x:c>
    </x:row>
    <x:row r="17">
      <x:c r="A17" s="29"/>
      <x:c r="B17" s="29"/>
      <x:c r="C17" s="29"/>
      <x:c r="D17" s="29"/>
      <x:c r="E17" s="15"/>
      <x:c r="F17" s="15"/>
      <x:c r="G17" s="15"/>
      <x:c r="H17" s="15"/>
    </x:row>
    <x:row r="18">
      <x:c r="A18" s="28" t="str">
        <x:v>Institutional channel</x:v>
      </x:c>
      <x:c r="B18" s="28" t="str">
        <x:v>Share</x:v>
      </x:c>
      <x:c r="C18" s="28" t="str">
        <x:v>Selected $B</x:v>
      </x:c>
      <x:c r="D18" s="28" t="str">
        <x:v>Strategic $B</x:v>
      </x:c>
      <x:c r="E18" s="28" t="str">
        <x:v>Non-substitutable role</x:v>
      </x:c>
      <x:c r="F18" s="28" t="str">
        <x:v>Independence rule</x:v>
      </x:c>
      <x:c r="G18" s="28" t="str">
        <x:v>Primary output</x:v>
      </x:c>
      <x:c r="H18" s="28" t="str">
        <x:v>Stop authority</x:v>
      </x:c>
    </x:row>
    <x:row r="19">
      <x:c r="A19" s="29" t="str">
        <x:v>ARPA-R</x:v>
      </x:c>
      <x:c r="B19" s="38" t="n">
        <x:v>0.24</x:v>
      </x:c>
      <x:c r="C19" s="32" t="n">
        <x:f>B19*Controls!$B$13</x:f>
        <x:v>480</x:v>
      </x:c>
      <x:c r="D19" s="32" t="n">
        <x:v>480</x:v>
      </x:c>
      <x:c r="E19" s="15" t="str">
        <x:v>High-risk programs and rival paths</x:v>
      </x:c>
      <x:c r="F19" s="15" t="str">
        <x:v>Separate from service program offices</x:v>
      </x:c>
      <x:c r="G19" s="15" t="str">
        <x:v>Measured opportunity programs</x:v>
      </x:c>
      <x:c r="H19" s="15" t="str">
        <x:v>ARPA-R Director</x:v>
      </x:c>
    </x:row>
    <x:row r="20">
      <x:c r="A20" s="29" t="str">
        <x:v>National Resilience Laboratories</x:v>
      </x:c>
      <x:c r="B20" s="38" t="n">
        <x:v>0.22</x:v>
      </x:c>
      <x:c r="C20" s="32" t="n">
        <x:f>B20*Controls!$B$13</x:f>
        <x:v>440</x:v>
      </x:c>
      <x:c r="D20" s="32" t="n">
        <x:v>440</x:v>
      </x:c>
      <x:c r="E20" s="15" t="str">
        <x:v>Mission science, models and shared instruments</x:v>
      </x:c>
      <x:c r="F20" s="15" t="str">
        <x:v>Open scientific publication by default</x:v>
      </x:c>
      <x:c r="G20" s="15" t="str">
        <x:v>Validated models/data</x:v>
      </x:c>
      <x:c r="H20" s="15" t="str">
        <x:v>Lab directors</x:v>
      </x:c>
    </x:row>
    <x:row r="21">
      <x:c r="A21" s="29" t="str">
        <x:v>National Proving Network</x:v>
      </x:c>
      <x:c r="B21" s="38" t="n">
        <x:v>0.16</x:v>
      </x:c>
      <x:c r="C21" s="32" t="n">
        <x:f>B21*Controls!$B$13</x:f>
        <x:v>320</x:v>
      </x:c>
      <x:c r="D21" s="32" t="n">
        <x:v>320</x:v>
      </x:c>
      <x:c r="E21" s="15" t="str">
        <x:v>Representative and destructive environments</x:v>
      </x:c>
      <x:c r="F21" s="15" t="str">
        <x:v>Facility access rules independent of sponsors</x:v>
      </x:c>
      <x:c r="G21" s="15" t="str">
        <x:v>Repeatable trials</x:v>
      </x:c>
      <x:c r="H21" s="15" t="str">
        <x:v>Range safety authority</x:v>
      </x:c>
    </x:row>
    <x:row r="22">
      <x:c r="A22" s="29" t="str">
        <x:v>RTEA</x:v>
      </x:c>
      <x:c r="B22" s="38" t="n">
        <x:v>0.1</x:v>
      </x:c>
      <x:c r="C22" s="32" t="n">
        <x:f>B22*Controls!$B$13</x:f>
        <x:v>200</x:v>
      </x:c>
      <x:c r="D22" s="32" t="n">
        <x:v>200</x:v>
      </x:c>
      <x:c r="E22" s="15" t="str">
        <x:v>Independent verification and operational evaluation</x:v>
      </x:c>
      <x:c r="F22" s="15" t="str">
        <x:v>Protected appropriation and data custody</x:v>
      </x:c>
      <x:c r="G22" s="15" t="str">
        <x:v>Acceptance findings</x:v>
      </x:c>
      <x:c r="H22" s="15" t="str">
        <x:v>RTEA Administrator</x:v>
      </x:c>
    </x:row>
    <x:row r="23">
      <x:c r="A23" s="29" t="str">
        <x:v>Service Technology Commands</x:v>
      </x:c>
      <x:c r="B23" s="38" t="n">
        <x:v>0.12</x:v>
      </x:c>
      <x:c r="C23" s="32" t="n">
        <x:f>B23*Controls!$B$13</x:f>
        <x:v>240</x:v>
      </x:c>
      <x:c r="D23" s="32" t="n">
        <x:v>240</x:v>
      </x:c>
      <x:c r="E23" s="15" t="str">
        <x:v>Field experiments and doctrine integration</x:v>
      </x:c>
      <x:c r="F23" s="15" t="str">
        <x:v>Cannot waive RTEA acceptance</x:v>
      </x:c>
      <x:c r="G23" s="15" t="str">
        <x:v>Fieldable increments</x:v>
      </x:c>
      <x:c r="H23" s="15" t="str">
        <x:v>Service chief</x:v>
      </x:c>
    </x:row>
    <x:row r="24">
      <x:c r="A24" s="29" t="str">
        <x:v>Manufacturing &amp; Mobilization Administration</x:v>
      </x:c>
      <x:c r="B24" s="38" t="n">
        <x:v>0.1</x:v>
      </x:c>
      <x:c r="C24" s="32" t="n">
        <x:f>B24*Controls!$B$13</x:f>
        <x:v>200</x:v>
      </x:c>
      <x:c r="D24" s="32" t="n">
        <x:v>200</x:v>
      </x:c>
      <x:c r="E24" s="15" t="str">
        <x:v>MRL, supplier depth, surge tooling and depots</x:v>
      </x:c>
      <x:c r="F24" s="15" t="str">
        <x:v>Cannot redefine technical success</x:v>
      </x:c>
      <x:c r="G24" s="15" t="str">
        <x:v>Qualified production system</x:v>
      </x:c>
      <x:c r="H24" s="15" t="str">
        <x:v>Industrial readiness board</x:v>
      </x:c>
    </x:row>
    <x:row r="25">
      <x:c r="A25" s="29" t="str">
        <x:v>University Consortia</x:v>
      </x:c>
      <x:c r="B25" s="38" t="n">
        <x:v>0.04</x:v>
      </x:c>
      <x:c r="C25" s="32" t="n">
        <x:f>B25*Controls!$B$13</x:f>
        <x:v>80</x:v>
      </x:c>
      <x:c r="D25" s="32" t="n">
        <x:v>80</x:v>
      </x:c>
      <x:c r="E25" s="15" t="str">
        <x:v>Long-horizon science and workforce</x:v>
      </x:c>
      <x:c r="F25" s="15" t="str">
        <x:v>Peer review and open competition</x:v>
      </x:c>
      <x:c r="G25" s="15" t="str">
        <x:v>Knowledge/talent base</x:v>
      </x:c>
      <x:c r="H25" s="15" t="str">
        <x:v>Consortium board</x:v>
      </x:c>
    </x:row>
    <x:row r="26">
      <x:c r="A26" s="29" t="str">
        <x:v>Standards, Data &amp; Public Assurance Office</x:v>
      </x:c>
      <x:c r="B26" s="38" t="n">
        <x:v>0.02</x:v>
      </x:c>
      <x:c r="C26" s="32" t="n">
        <x:f>B26*Controls!$B$13</x:f>
        <x:v>40</x:v>
      </x:c>
      <x:c r="D26" s="32" t="n">
        <x:v>40</x:v>
      </x:c>
      <x:c r="E26" s="15" t="str">
        <x:v>Interfaces, provenance, public-effect accounting</x:v>
      </x:c>
      <x:c r="F26" s="15" t="str">
        <x:v>Public methods and audit access</x:v>
      </x:c>
      <x:c r="G26" s="15" t="str">
        <x:v>Open standards/evidence</x:v>
      </x:c>
      <x:c r="H26" s="15" t="str">
        <x:v>Chief assurance officer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31" hidden="0" customWidth="1"/>
    <x:col min="3" max="3" width="32" hidden="0" customWidth="1"/>
    <x:col min="4" max="4" width="34" hidden="0" customWidth="1"/>
    <x:col min="5" max="5" width="64" hidden="0" customWidth="1"/>
    <x:col min="6" max="6" width="11" hidden="0" customWidth="1"/>
    <x:col min="7" max="7" width="11" hidden="0" customWidth="1"/>
    <x:col min="8" max="8" width="17" hidden="0" customWidth="1"/>
    <x:col min="9" max="9" width="31" hidden="0" customWidth="1"/>
    <x:col min="10" max="10" width="29" hidden="0" customWidth="1"/>
    <x:col min="11" max="11" width="27" hidden="0" customWidth="1"/>
    <x:col min="12" max="12" width="12" hidden="0" customWidth="1"/>
    <x:col min="13" max="13" width="15" hidden="0" customWidth="1"/>
  </x:cols>
  <x:sheetData>
    <x:row r="1" ht="32" customHeight="1">
      <x:c r="A1" s="71" t="str">
        <x:v>Technology Campaign Register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</x:row>
    <x:row r="2" ht="34" customHeight="1">
      <x:c r="A2" s="70" t="str">
        <x:v>Sixty ambitious programs tied to measurable service effects. Funding is an illustrative allocation within each directorate, never operational performance credit.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</x:row>
    <x:row r="4">
      <x:c r="A4" s="28" t="str">
        <x:v>ID</x:v>
      </x:c>
      <x:c r="B4" s="28" t="str">
        <x:v>Directorate</x:v>
      </x:c>
      <x:c r="C4" s="28" t="str">
        <x:v>Campaign</x:v>
      </x:c>
      <x:c r="D4" s="28" t="str">
        <x:v>Mission effect</x:v>
      </x:c>
      <x:c r="E4" s="28" t="str">
        <x:v>Frontier hypothesis</x:v>
      </x:c>
      <x:c r="F4" s="28" t="str">
        <x:v>Initial TRL</x:v>
      </x:c>
      <x:c r="G4" s="28" t="str">
        <x:v>Y10 target</x:v>
      </x:c>
      <x:c r="H4" s="28" t="str">
        <x:v>Y25 intent</x:v>
      </x:c>
      <x:c r="I4" s="28" t="str">
        <x:v>Metric</x:v>
      </x:c>
      <x:c r="J4" s="28" t="str">
        <x:v>Common primitive</x:v>
      </x:c>
      <x:c r="K4" s="28" t="str">
        <x:v>Dominant risk</x:v>
      </x:c>
      <x:c r="L4" s="28" t="str">
        <x:v>Dir. share</x:v>
      </x:c>
      <x:c r="M4" s="28" t="str">
        <x:v>Selected $B</x:v>
      </x:c>
    </x:row>
    <x:row r="5">
      <x:c r="A5" s="29" t="str">
        <x:v>TF-001</x:v>
      </x:c>
      <x:c r="B5" s="15" t="str">
        <x:v>Earth intelligence &amp; causal forecasting</x:v>
      </x:c>
      <x:c r="C5" s="15" t="str">
        <x:v>Dynamic Earth state mesh</x:v>
      </x:c>
      <x:c r="D5" s="15" t="str">
        <x:v>Reduce observation-to-trusted-state time</x:v>
      </x:c>
      <x:c r="E5" s="15" t="str">
        <x:v>Continuously fused, uncertainty-calibrated local state at infrastructure scale</x:v>
      </x:c>
      <x:c r="F5" s="15" t="n">
        <x:v>2</x:v>
      </x:c>
      <x:c r="G5" s="15" t="n">
        <x:v>6</x:v>
      </x:c>
      <x:c r="H5" s="15" t="str">
        <x:v>Fielded family</x:v>
      </x:c>
      <x:c r="I5" s="15" t="str">
        <x:v>minutes to trusted state</x:v>
      </x:c>
      <x:c r="J5" s="15" t="str">
        <x:v>Extreme-environment autonomy</x:v>
      </x:c>
      <x:c r="K5" s="15" t="str">
        <x:v>Scientific validity</x:v>
      </x:c>
      <x:c r="L5" s="43" t="n">
        <x:v>0.24</x:v>
      </x:c>
      <x:c r="M5" s="44" t="n">
        <x:f>L5*SUMIF(Portfolio!$A$5:$A$16,B5,Portfolio!$C$5:$C$16)</x:f>
        <x:v>48</x:v>
      </x:c>
    </x:row>
    <x:row r="6">
      <x:c r="A6" s="29" t="str">
        <x:v>TF-002</x:v>
      </x:c>
      <x:c r="B6" s="15" t="str">
        <x:v>Earth intelligence &amp; causal forecasting</x:v>
      </x:c>
      <x:c r="C6" s="15" t="str">
        <x:v>Causal disaster twin</x:v>
      </x:c>
      <x:c r="D6" s="15" t="str">
        <x:v>Improve decision quality</x:v>
      </x:c>
      <x:c r="E6" s="15" t="str">
        <x:v>Counterfactual forecasts that expose model error and intervention consequences</x:v>
      </x:c>
      <x:c r="F6" s="15" t="n">
        <x:v>3</x:v>
      </x:c>
      <x:c r="G6" s="15" t="n">
        <x:v>6</x:v>
      </x:c>
      <x:c r="H6" s="15" t="str">
        <x:v>Fielded family</x:v>
      </x:c>
      <x:c r="I6" s="15" t="str">
        <x:v>decision regret vs baseline</x:v>
      </x:c>
      <x:c r="J6" s="15" t="str">
        <x:v>Advanced separations</x:v>
      </x:c>
      <x:c r="K6" s="15" t="str">
        <x:v>Integration/common mode</x:v>
      </x:c>
      <x:c r="L6" s="43" t="n">
        <x:v>0.22</x:v>
      </x:c>
      <x:c r="M6" s="44" t="n">
        <x:f>L6*SUMIF(Portfolio!$A$5:$A$16,B6,Portfolio!$C$5:$C$16)</x:f>
        <x:v>44</x:v>
      </x:c>
    </x:row>
    <x:row r="7">
      <x:c r="A7" s="29" t="str">
        <x:v>TF-003</x:v>
      </x:c>
      <x:c r="B7" s="15" t="str">
        <x:v>Earth intelligence &amp; causal forecasting</x:v>
      </x:c>
      <x:c r="C7" s="15" t="str">
        <x:v>Expendable sensor ecology</x:v>
      </x:c>
      <x:c r="D7" s="15" t="str">
        <x:v>Maintain coverage through loss</x:v>
      </x:c>
      <x:c r="E7" s="15" t="str">
        <x:v>Biodegradable, self-locating air/ground/water sensor swarms</x:v>
      </x:c>
      <x:c r="F7" s="15" t="n">
        <x:v>3</x:v>
      </x:c>
      <x:c r="G7" s="15" t="n">
        <x:v>5</x:v>
      </x:c>
      <x:c r="H7" s="15" t="str">
        <x:v>Validated option</x:v>
      </x:c>
      <x:c r="I7" s="15" t="str">
        <x:v>cost per validated observation-hour</x:v>
      </x:c>
      <x:c r="J7" s="15" t="str">
        <x:v>Adaptive structures/materials</x:v>
      </x:c>
      <x:c r="K7" s="15" t="str">
        <x:v>Safety and assurance</x:v>
      </x:c>
      <x:c r="L7" s="43" t="n">
        <x:v>0.2</x:v>
      </x:c>
      <x:c r="M7" s="44" t="n">
        <x:f>L7*SUMIF(Portfolio!$A$5:$A$16,B7,Portfolio!$C$5:$C$16)</x:f>
        <x:v>40</x:v>
      </x:c>
    </x:row>
    <x:row r="8">
      <x:c r="A8" s="29" t="str">
        <x:v>TF-004</x:v>
      </x:c>
      <x:c r="B8" s="15" t="str">
        <x:v>Earth intelligence &amp; causal forecasting</x:v>
      </x:c>
      <x:c r="C8" s="15" t="str">
        <x:v>Impact-based ensemble engine</x:v>
      </x:c>
      <x:c r="D8" s="15" t="str">
        <x:v>Convert forecast into action</x:v>
      </x:c>
      <x:c r="E8" s="15" t="str">
        <x:v>Probabilistic service-loss and population-effect forecasts</x:v>
      </x:c>
      <x:c r="F8" s="15" t="n">
        <x:v>3</x:v>
      </x:c>
      <x:c r="G8" s="15" t="n">
        <x:v>5</x:v>
      </x:c>
      <x:c r="H8" s="15" t="str">
        <x:v>Validated option</x:v>
      </x:c>
      <x:c r="I8" s="15" t="str">
        <x:v>calibration and lead time</x:v>
      </x:c>
      <x:c r="J8" s="15" t="str">
        <x:v>Industrial digital thread</x:v>
      </x:c>
      <x:c r="K8" s="15" t="str">
        <x:v>Manufacturability</x:v>
      </x:c>
      <x:c r="L8" s="43" t="n">
        <x:v>0.18</x:v>
      </x:c>
      <x:c r="M8" s="44" t="n">
        <x:f>L8*SUMIF(Portfolio!$A$5:$A$16,B8,Portfolio!$C$5:$C$16)</x:f>
        <x:v>36</x:v>
      </x:c>
    </x:row>
    <x:row r="9">
      <x:c r="A9" s="29" t="str">
        <x:v>TF-005</x:v>
      </x:c>
      <x:c r="B9" s="15" t="str">
        <x:v>Earth intelligence &amp; causal forecasting</x:v>
      </x:c>
      <x:c r="C9" s="15" t="str">
        <x:v>Post-event learning loop</x:v>
      </x:c>
      <x:c r="D9" s="15" t="str">
        <x:v>Accelerate model correction</x:v>
      </x:c>
      <x:c r="E9" s="15" t="str">
        <x:v>Instrumented response that captures perishable causal data</x:v>
      </x:c>
      <x:c r="F9" s="15" t="n">
        <x:v>3</x:v>
      </x:c>
      <x:c r="G9" s="15" t="n">
        <x:v>5</x:v>
      </x:c>
      <x:c r="H9" s="15" t="str">
        <x:v>Validated option</x:v>
      </x:c>
      <x:c r="I9" s="15" t="str">
        <x:v>days to validated update</x:v>
      </x:c>
      <x:c r="J9" s="15" t="str">
        <x:v>Observation fabric</x:v>
      </x:c>
      <x:c r="K9" s="15" t="str">
        <x:v>Public/environmental effect</x:v>
      </x:c>
      <x:c r="L9" s="43" t="n">
        <x:v>0.16</x:v>
      </x:c>
      <x:c r="M9" s="44" t="n">
        <x:f>L9*SUMIF(Portfolio!$A$5:$A$16,B9,Portfolio!$C$5:$C$16)</x:f>
        <x:v>32</x:v>
      </x:c>
    </x:row>
    <x:row r="10">
      <x:c r="A10" s="29" t="str">
        <x:v>TF-006</x:v>
      </x:c>
      <x:c r="B10" s="15" t="str">
        <x:v>Fire &amp; atmospheric systems</x:v>
      </x:c>
      <x:c r="C10" s="15" t="str">
        <x:v>Sub-hour ignition interception</x:v>
      </x:c>
      <x:c r="D10" s="15" t="str">
        <x:v>Reduce uncontrolled growth probability</x:v>
      </x:c>
      <x:c r="E10" s="15" t="str">
        <x:v>Persistent detection, dispatch and first effect before escape</x:v>
      </x:c>
      <x:c r="F10" s="15" t="n">
        <x:v>2</x:v>
      </x:c>
      <x:c r="G10" s="15" t="n">
        <x:v>6</x:v>
      </x:c>
      <x:c r="H10" s="15" t="str">
        <x:v>Fielded family</x:v>
      </x:c>
      <x:c r="I10" s="15" t="str">
        <x:v>P(action before escape)</x:v>
      </x:c>
      <x:c r="J10" s="15" t="str">
        <x:v>Distributed biomanufacturing</x:v>
      </x:c>
      <x:c r="K10" s="15" t="str">
        <x:v>Scientific validity</x:v>
      </x:c>
      <x:c r="L10" s="43" t="n">
        <x:v>0.24</x:v>
      </x:c>
      <x:c r="M10" s="44" t="n">
        <x:f>L10*SUMIF(Portfolio!$A$5:$A$16,B10,Portfolio!$C$5:$C$16)</x:f>
        <x:v>43.199999999999996</x:v>
      </x:c>
    </x:row>
    <x:row r="11">
      <x:c r="A11" s="29" t="str">
        <x:v>TF-007</x:v>
      </x:c>
      <x:c r="B11" s="15" t="str">
        <x:v>Fire &amp; atmospheric systems</x:v>
      </x:c>
      <x:c r="C11" s="15" t="str">
        <x:v>Fire–smoke digital twin</x:v>
      </x:c>
      <x:c r="D11" s="15" t="str">
        <x:v>Improve tactics and public protection</x:v>
      </x:c>
      <x:c r="E11" s="15" t="str">
        <x:v>Coupled combustion, terrain, weather, suppression and exposure model</x:v>
      </x:c>
      <x:c r="F11" s="15" t="n">
        <x:v>3</x:v>
      </x:c>
      <x:c r="G11" s="15" t="n">
        <x:v>6</x:v>
      </x:c>
      <x:c r="H11" s="15" t="str">
        <x:v>Fielded family</x:v>
      </x:c>
      <x:c r="I11" s="15" t="str">
        <x:v>spread/smoke forecast score</x:v>
      </x:c>
      <x:c r="J11" s="15" t="str">
        <x:v>Resilient comms/edge compute</x:v>
      </x:c>
      <x:c r="K11" s="15" t="str">
        <x:v>Integration/common mode</x:v>
      </x:c>
      <x:c r="L11" s="43" t="n">
        <x:v>0.22</x:v>
      </x:c>
      <x:c r="M11" s="44" t="n">
        <x:f>L11*SUMIF(Portfolio!$A$5:$A$16,B11,Portfolio!$C$5:$C$16)</x:f>
        <x:v>39.6</x:v>
      </x:c>
    </x:row>
    <x:row r="12">
      <x:c r="A12" s="29" t="str">
        <x:v>TF-008</x:v>
      </x:c>
      <x:c r="B12" s="15" t="str">
        <x:v>Fire &amp; atmospheric systems</x:v>
      </x:c>
      <x:c r="C12" s="15" t="str">
        <x:v>High-cycle clean-sheet aviation</x:v>
      </x:c>
      <x:c r="D12" s="15" t="str">
        <x:v>Increase sustained effect</x:v>
      </x:c>
      <x:c r="E12" s="15" t="str">
        <x:v>Purpose-built low-altitude, high-cycle, mixed-crewing aircraft family</x:v>
      </x:c>
      <x:c r="F12" s="15" t="n">
        <x:v>3</x:v>
      </x:c>
      <x:c r="G12" s="15" t="n">
        <x:v>5</x:v>
      </x:c>
      <x:c r="H12" s="15" t="str">
        <x:v>Validated option</x:v>
      </x:c>
      <x:c r="I12" s="15" t="str">
        <x:v>delivered effect per base-hour</x:v>
      </x:c>
      <x:c r="J12" s="15" t="str">
        <x:v>Causal digital twin</x:v>
      </x:c>
      <x:c r="K12" s="15" t="str">
        <x:v>Safety and assurance</x:v>
      </x:c>
      <x:c r="L12" s="43" t="n">
        <x:v>0.2</x:v>
      </x:c>
      <x:c r="M12" s="44" t="n">
        <x:f>L12*SUMIF(Portfolio!$A$5:$A$16,B12,Portfolio!$C$5:$C$16)</x:f>
        <x:v>36</x:v>
      </x:c>
    </x:row>
    <x:row r="13">
      <x:c r="A13" s="29" t="str">
        <x:v>TF-009</x:v>
      </x:c>
      <x:c r="B13" s="15" t="str">
        <x:v>Fire &amp; atmospheric systems</x:v>
      </x:c>
      <x:c r="C13" s="15" t="str">
        <x:v>Robotic line and water</x:v>
      </x:c>
      <x:c r="D13" s="15" t="str">
        <x:v>Lower exposure and increase closure</x:v>
      </x:c>
      <x:c r="E13" s="15" t="str">
        <x:v>Autonomous/remote cutting, trenching, hose and pipe placement</x:v>
      </x:c>
      <x:c r="F13" s="15" t="n">
        <x:v>3</x:v>
      </x:c>
      <x:c r="G13" s="15" t="n">
        <x:v>5</x:v>
      </x:c>
      <x:c r="H13" s="15" t="str">
        <x:v>Validated option</x:v>
      </x:c>
      <x:c r="I13" s="15" t="str">
        <x:v>effective line km/day</x:v>
      </x:c>
      <x:c r="J13" s="15" t="str">
        <x:v>Mobile power/thermal bus</x:v>
      </x:c>
      <x:c r="K13" s="15" t="str">
        <x:v>Manufacturability</x:v>
      </x:c>
      <x:c r="L13" s="43" t="n">
        <x:v>0.18</x:v>
      </x:c>
      <x:c r="M13" s="44" t="n">
        <x:f>L13*SUMIF(Portfolio!$A$5:$A$16,B13,Portfolio!$C$5:$C$16)</x:f>
        <x:v>32.4</x:v>
      </x:c>
    </x:row>
    <x:row r="14">
      <x:c r="A14" s="29" t="str">
        <x:v>TF-010</x:v>
      </x:c>
      <x:c r="B14" s="15" t="str">
        <x:v>Fire &amp; atmospheric systems</x:v>
      </x:c>
      <x:c r="C14" s="15" t="str">
        <x:v>Precision suppression chemistry</x:v>
      </x:c>
      <x:c r="D14" s="15" t="str">
        <x:v>Increase effect with bounded harm</x:v>
      </x:c>
      <x:c r="E14" s="15" t="str">
        <x:v>Location-specific agents with known fate and recovery</x:v>
      </x:c>
      <x:c r="F14" s="15" t="n">
        <x:v>3</x:v>
      </x:c>
      <x:c r="G14" s="15" t="n">
        <x:v>5</x:v>
      </x:c>
      <x:c r="H14" s="15" t="str">
        <x:v>Validated option</x:v>
      </x:c>
      <x:c r="I14" s="15" t="str">
        <x:v>control effect per ecological burden</x:v>
      </x:c>
      <x:c r="J14" s="15" t="str">
        <x:v>Rapid infrastructure fabrication</x:v>
      </x:c>
      <x:c r="K14" s="15" t="str">
        <x:v>Public/environmental effect</x:v>
      </x:c>
      <x:c r="L14" s="43" t="n">
        <x:v>0.16</x:v>
      </x:c>
      <x:c r="M14" s="44" t="n">
        <x:f>L14*SUMIF(Portfolio!$A$5:$A$16,B14,Portfolio!$C$5:$C$16)</x:f>
        <x:v>28.8</x:v>
      </x:c>
    </x:row>
    <x:row r="15">
      <x:c r="A15" s="29" t="str">
        <x:v>TF-011</x:v>
      </x:c>
      <x:c r="B15" s="15" t="str">
        <x:v>Flood &amp; hydraulic systems</x:v>
      </x:c>
      <x:c r="C15" s="15" t="str">
        <x:v>Megaflow common-drive modules</x:v>
      </x:c>
      <x:c r="D15" s="15" t="str">
        <x:v>Increase controllable flow</x:v>
      </x:c>
      <x:c r="E15" s="15" t="str">
        <x:v>1–15 m3/s pump families with interchangeable drives/intakes</x:v>
      </x:c>
      <x:c r="F15" s="15" t="n">
        <x:v>2</x:v>
      </x:c>
      <x:c r="G15" s="15" t="n">
        <x:v>6</x:v>
      </x:c>
      <x:c r="H15" s="15" t="str">
        <x:v>Fielded family</x:v>
      </x:c>
      <x:c r="I15" s="15" t="str">
        <x:v>delivered flow across full curve</x:v>
      </x:c>
      <x:c r="J15" s="15" t="str">
        <x:v>Extreme-environment autonomy</x:v>
      </x:c>
      <x:c r="K15" s="15" t="str">
        <x:v>Scientific validity</x:v>
      </x:c>
      <x:c r="L15" s="43" t="n">
        <x:v>0.24</x:v>
      </x:c>
      <x:c r="M15" s="44" t="n">
        <x:f>L15*SUMIF(Portfolio!$A$5:$A$16,B15,Portfolio!$C$5:$C$16)</x:f>
        <x:v>43.199999999999996</x:v>
      </x:c>
    </x:row>
    <x:row r="16">
      <x:c r="A16" s="29" t="str">
        <x:v>TF-012</x:v>
      </x:c>
      <x:c r="B16" s="15" t="str">
        <x:v>Flood &amp; hydraulic systems</x:v>
      </x:c>
      <x:c r="C16" s="15" t="str">
        <x:v>Rapid drainage spine</x:v>
      </x:c>
      <x:c r="D16" s="15" t="str">
        <x:v>Move water across terrain</x:v>
      </x:c>
      <x:c r="E16" s="15" t="str">
        <x:v>Reusable 1–2 m conduit deployed with minimal prepared works</x:v>
      </x:c>
      <x:c r="F16" s="15" t="n">
        <x:v>3</x:v>
      </x:c>
      <x:c r="G16" s="15" t="n">
        <x:v>6</x:v>
      </x:c>
      <x:c r="H16" s="15" t="str">
        <x:v>Fielded family</x:v>
      </x:c>
      <x:c r="I16" s="15" t="str">
        <x:v>m3/s-km per tonne-hour</x:v>
      </x:c>
      <x:c r="J16" s="15" t="str">
        <x:v>Advanced separations</x:v>
      </x:c>
      <x:c r="K16" s="15" t="str">
        <x:v>Integration/common mode</x:v>
      </x:c>
      <x:c r="L16" s="43" t="n">
        <x:v>0.22</x:v>
      </x:c>
      <x:c r="M16" s="44" t="n">
        <x:f>L16*SUMIF(Portfolio!$A$5:$A$16,B16,Portfolio!$C$5:$C$16)</x:f>
        <x:v>39.6</x:v>
      </x:c>
    </x:row>
    <x:row r="17">
      <x:c r="A17" s="29" t="str">
        <x:v>TF-013</x:v>
      </x:c>
      <x:c r="B17" s="15" t="str">
        <x:v>Flood &amp; hydraulic systems</x:v>
      </x:c>
      <x:c r="C17" s="15" t="str">
        <x:v>Adaptive barrier fabric</x:v>
      </x:c>
      <x:c r="D17" s="15" t="str">
        <x:v>Control protected-side water</x:v>
      </x:c>
      <x:c r="E17" s="15" t="str">
        <x:v>Self-monitoring, repairable barriers with integrated interior drainage</x:v>
      </x:c>
      <x:c r="F17" s="15" t="n">
        <x:v>3</x:v>
      </x:c>
      <x:c r="G17" s="15" t="n">
        <x:v>5</x:v>
      </x:c>
      <x:c r="H17" s="15" t="str">
        <x:v>Validated option</x:v>
      </x:c>
      <x:c r="I17" s="15" t="str">
        <x:v>leakage and setup per protected length</x:v>
      </x:c>
      <x:c r="J17" s="15" t="str">
        <x:v>Adaptive structures/materials</x:v>
      </x:c>
      <x:c r="K17" s="15" t="str">
        <x:v>Safety and assurance</x:v>
      </x:c>
      <x:c r="L17" s="43" t="n">
        <x:v>0.2</x:v>
      </x:c>
      <x:c r="M17" s="44" t="n">
        <x:f>L17*SUMIF(Portfolio!$A$5:$A$16,B17,Portfolio!$C$5:$C$16)</x:f>
        <x:v>36</x:v>
      </x:c>
    </x:row>
    <x:row r="18">
      <x:c r="A18" s="29" t="str">
        <x:v>TF-014</x:v>
      </x:c>
      <x:c r="B18" s="15" t="str">
        <x:v>Flood &amp; hydraulic systems</x:v>
      </x:c>
      <x:c r="C18" s="15" t="str">
        <x:v>Flowing-breach arrest</x:v>
      </x:c>
      <x:c r="D18" s="15" t="str">
        <x:v>Stop nonlinear failure</x:v>
      </x:c>
      <x:c r="E18" s="15" t="str">
        <x:v>Robotic closure and staged flow-energy reduction in live breaches</x:v>
      </x:c>
      <x:c r="F18" s="15" t="n">
        <x:v>3</x:v>
      </x:c>
      <x:c r="G18" s="15" t="n">
        <x:v>5</x:v>
      </x:c>
      <x:c r="H18" s="15" t="str">
        <x:v>Validated option</x:v>
      </x:c>
      <x:c r="I18" s="15" t="str">
        <x:v>breach-flow reduction vs time</x:v>
      </x:c>
      <x:c r="J18" s="15" t="str">
        <x:v>Industrial digital thread</x:v>
      </x:c>
      <x:c r="K18" s="15" t="str">
        <x:v>Manufacturability</x:v>
      </x:c>
      <x:c r="L18" s="43" t="n">
        <x:v>0.18</x:v>
      </x:c>
      <x:c r="M18" s="44" t="n">
        <x:f>L18*SUMIF(Portfolio!$A$5:$A$16,B18,Portfolio!$C$5:$C$16)</x:f>
        <x:v>32.4</x:v>
      </x:c>
    </x:row>
    <x:row r="19">
      <x:c r="A19" s="29" t="str">
        <x:v>TF-015</x:v>
      </x:c>
      <x:c r="B19" s="15" t="str">
        <x:v>Flood &amp; hydraulic systems</x:v>
      </x:c>
      <x:c r="C19" s="15" t="str">
        <x:v>Mixed-domain hydraulic autonomy</x:v>
      </x:c>
      <x:c r="D19" s="15" t="str">
        <x:v>Operate through debris/turbidity/surf</x:v>
      </x:c>
      <x:c r="E19" s="15" t="str">
        <x:v>Cooperative air, surface and subsurface sensing and work fleets</x:v>
      </x:c>
      <x:c r="F19" s="15" t="n">
        <x:v>3</x:v>
      </x:c>
      <x:c r="G19" s="15" t="n">
        <x:v>5</x:v>
      </x:c>
      <x:c r="H19" s="15" t="str">
        <x:v>Validated option</x:v>
      </x:c>
      <x:c r="I19" s="15" t="str">
        <x:v>productive hours per human exposure-hour</x:v>
      </x:c>
      <x:c r="J19" s="15" t="str">
        <x:v>Observation fabric</x:v>
      </x:c>
      <x:c r="K19" s="15" t="str">
        <x:v>Public/environmental effect</x:v>
      </x:c>
      <x:c r="L19" s="43" t="n">
        <x:v>0.16</x:v>
      </x:c>
      <x:c r="M19" s="44" t="n">
        <x:f>L19*SUMIF(Portfolio!$A$5:$A$16,B19,Portfolio!$C$5:$C$16)</x:f>
        <x:v>28.8</x:v>
      </x:c>
    </x:row>
    <x:row r="20">
      <x:c r="A20" s="29" t="str">
        <x:v>TF-016</x:v>
      </x:c>
      <x:c r="B20" s="15" t="str">
        <x:v>Water &amp; drought systems</x:v>
      </x:c>
      <x:c r="C20" s="15" t="str">
        <x:v>Universal separations stack</x:v>
      </x:c>
      <x:c r="D20" s="15" t="str">
        <x:v>Treat nontraditional sources</x:v>
      </x:c>
      <x:c r="E20" s="15" t="str">
        <x:v>Reconfigurable membranes/sorbents/electrochemical trains</x:v>
      </x:c>
      <x:c r="F20" s="15" t="n">
        <x:v>2</x:v>
      </x:c>
      <x:c r="G20" s="15" t="n">
        <x:v>6</x:v>
      </x:c>
      <x:c r="H20" s="15" t="str">
        <x:v>Fielded family</x:v>
      </x:c>
      <x:c r="I20" s="15" t="str">
        <x:v>water quality per kWh and consumable kg</x:v>
      </x:c>
      <x:c r="J20" s="15" t="str">
        <x:v>Distributed biomanufacturing</x:v>
      </x:c>
      <x:c r="K20" s="15" t="str">
        <x:v>Scientific validity</x:v>
      </x:c>
      <x:c r="L20" s="43" t="n">
        <x:v>0.24</x:v>
      </x:c>
      <x:c r="M20" s="44" t="n">
        <x:f>L20*SUMIF(Portfolio!$A$5:$A$16,B20,Portfolio!$C$5:$C$16)</x:f>
        <x:v>43.199999999999996</x:v>
      </x:c>
    </x:row>
    <x:row r="21">
      <x:c r="A21" s="29" t="str">
        <x:v>TF-017</x:v>
      </x:c>
      <x:c r="B21" s="15" t="str">
        <x:v>Water &amp; drought systems</x:v>
      </x:c>
      <x:c r="C21" s="15" t="str">
        <x:v>Brine-to-resource systems</x:v>
      </x:c>
      <x:c r="D21" s="15" t="str">
        <x:v>Eliminate waste bottleneck</x:v>
      </x:c>
      <x:c r="E21" s="15" t="str">
        <x:v>Selective recovery and benign residual pathways</x:v>
      </x:c>
      <x:c r="F21" s="15" t="n">
        <x:v>3</x:v>
      </x:c>
      <x:c r="G21" s="15" t="n">
        <x:v>6</x:v>
      </x:c>
      <x:c r="H21" s="15" t="str">
        <x:v>Fielded family</x:v>
      </x:c>
      <x:c r="I21" s="15" t="str">
        <x:v>recoverable value and residual hazard</x:v>
      </x:c>
      <x:c r="J21" s="15" t="str">
        <x:v>Resilient comms/edge compute</x:v>
      </x:c>
      <x:c r="K21" s="15" t="str">
        <x:v>Integration/common mode</x:v>
      </x:c>
      <x:c r="L21" s="43" t="n">
        <x:v>0.22</x:v>
      </x:c>
      <x:c r="M21" s="44" t="n">
        <x:f>L21*SUMIF(Portfolio!$A$5:$A$16,B21,Portfolio!$C$5:$C$16)</x:f>
        <x:v>39.6</x:v>
      </x:c>
    </x:row>
    <x:row r="22">
      <x:c r="A22" s="29" t="str">
        <x:v>TF-018</x:v>
      </x:c>
      <x:c r="B22" s="15" t="str">
        <x:v>Water &amp; drought systems</x:v>
      </x:c>
      <x:c r="C22" s="15" t="str">
        <x:v>Mobile nuclear/renewable water-energy island</x:v>
      </x:c>
      <x:c r="D22" s="15" t="str">
        <x:v>Create persistent regional supply</x:v>
      </x:c>
      <x:c r="E22" s="15" t="str">
        <x:v>Transportable, safeguarded firm power coupled to modular treatment</x:v>
      </x:c>
      <x:c r="F22" s="15" t="n">
        <x:v>3</x:v>
      </x:c>
      <x:c r="G22" s="15" t="n">
        <x:v>5</x:v>
      </x:c>
      <x:c r="H22" s="15" t="str">
        <x:v>Validated option</x:v>
      </x:c>
      <x:c r="I22" s="15" t="str">
        <x:v>delivered water/energy under siting envelope</x:v>
      </x:c>
      <x:c r="J22" s="15" t="str">
        <x:v>Causal digital twin</x:v>
      </x:c>
      <x:c r="K22" s="15" t="str">
        <x:v>Safety and assurance</x:v>
      </x:c>
      <x:c r="L22" s="43" t="n">
        <x:v>0.2</x:v>
      </x:c>
      <x:c r="M22" s="44" t="n">
        <x:f>L22*SUMIF(Portfolio!$A$5:$A$16,B22,Portfolio!$C$5:$C$16)</x:f>
        <x:v>36</x:v>
      </x:c>
    </x:row>
    <x:row r="23">
      <x:c r="A23" s="29" t="str">
        <x:v>TF-019</x:v>
      </x:c>
      <x:c r="B23" s="15" t="str">
        <x:v>Water &amp; drought systems</x:v>
      </x:c>
      <x:c r="C23" s="15" t="str">
        <x:v>Autonomous temporary water grid</x:v>
      </x:c>
      <x:c r="D23" s="15" t="str">
        <x:v>Distribute without fixed network</x:v>
      </x:c>
      <x:c r="E23" s="15" t="str">
        <x:v>Self-surveying pumps, storage and conduit placement</x:v>
      </x:c>
      <x:c r="F23" s="15" t="n">
        <x:v>3</x:v>
      </x:c>
      <x:c r="G23" s="15" t="n">
        <x:v>5</x:v>
      </x:c>
      <x:c r="H23" s="15" t="str">
        <x:v>Validated option</x:v>
      </x:c>
      <x:c r="I23" s="15" t="str">
        <x:v>people supplied per deployment tonne-day</x:v>
      </x:c>
      <x:c r="J23" s="15" t="str">
        <x:v>Mobile power/thermal bus</x:v>
      </x:c>
      <x:c r="K23" s="15" t="str">
        <x:v>Manufacturability</x:v>
      </x:c>
      <x:c r="L23" s="43" t="n">
        <x:v>0.18</x:v>
      </x:c>
      <x:c r="M23" s="44" t="n">
        <x:f>L23*SUMIF(Portfolio!$A$5:$A$16,B23,Portfolio!$C$5:$C$16)</x:f>
        <x:v>32.4</x:v>
      </x:c>
    </x:row>
    <x:row r="24">
      <x:c r="A24" s="29" t="str">
        <x:v>TF-020</x:v>
      </x:c>
      <x:c r="B24" s="15" t="str">
        <x:v>Water &amp; drought systems</x:v>
      </x:c>
      <x:c r="C24" s="15" t="str">
        <x:v>Aquifer and watershed recharge control</x:v>
      </x:c>
      <x:c r="D24" s="15" t="str">
        <x:v>Shift drought response upstream</x:v>
      </x:c>
      <x:c r="E24" s="15" t="str">
        <x:v>Forecast-guided recharge, reuse and allocation</x:v>
      </x:c>
      <x:c r="F24" s="15" t="n">
        <x:v>3</x:v>
      </x:c>
      <x:c r="G24" s="15" t="n">
        <x:v>5</x:v>
      </x:c>
      <x:c r="H24" s="15" t="str">
        <x:v>Validated option</x:v>
      </x:c>
      <x:c r="I24" s="15" t="str">
        <x:v>durable yield and ecological constraint compliance</x:v>
      </x:c>
      <x:c r="J24" s="15" t="str">
        <x:v>Rapid infrastructure fabrication</x:v>
      </x:c>
      <x:c r="K24" s="15" t="str">
        <x:v>Public/environmental effect</x:v>
      </x:c>
      <x:c r="L24" s="43" t="n">
        <x:v>0.16</x:v>
      </x:c>
      <x:c r="M24" s="44" t="n">
        <x:f>L24*SUMIF(Portfolio!$A$5:$A$16,B24,Portfolio!$C$5:$C$16)</x:f>
        <x:v>28.8</x:v>
      </x:c>
    </x:row>
    <x:row r="25">
      <x:c r="A25" s="29" t="str">
        <x:v>TF-021</x:v>
      </x:c>
      <x:c r="B25" s="15" t="str">
        <x:v>Power &amp; thermal systems</x:v>
      </x:c>
      <x:c r="C25" s="15" t="str">
        <x:v>Self-forming emergency grid</x:v>
      </x:c>
      <x:c r="D25" s="15" t="str">
        <x:v>Restore service across topology loss</x:v>
      </x:c>
      <x:c r="E25" s="15" t="str">
        <x:v>Plug-compatible AC/DC islands that discover and protect themselves</x:v>
      </x:c>
      <x:c r="F25" s="15" t="n">
        <x:v>2</x:v>
      </x:c>
      <x:c r="G25" s="15" t="n">
        <x:v>6</x:v>
      </x:c>
      <x:c r="H25" s="15" t="str">
        <x:v>Fielded family</x:v>
      </x:c>
      <x:c r="I25" s="15" t="str">
        <x:v>hours to stable critical-load service</x:v>
      </x:c>
      <x:c r="J25" s="15" t="str">
        <x:v>Extreme-environment autonomy</x:v>
      </x:c>
      <x:c r="K25" s="15" t="str">
        <x:v>Scientific validity</x:v>
      </x:c>
      <x:c r="L25" s="43" t="n">
        <x:v>0.24</x:v>
      </x:c>
      <x:c r="M25" s="44" t="n">
        <x:f>L25*SUMIF(Portfolio!$A$5:$A$16,B25,Portfolio!$C$5:$C$16)</x:f>
        <x:v>52.8</x:v>
      </x:c>
    </x:row>
    <x:row r="26">
      <x:c r="A26" s="29" t="str">
        <x:v>TF-022</x:v>
      </x:c>
      <x:c r="B26" s="15" t="str">
        <x:v>Power &amp; thermal systems</x:v>
      </x:c>
      <x:c r="C26" s="15" t="str">
        <x:v>Long-duration mobile storage</x:v>
      </x:c>
      <x:c r="D26" s="15" t="str">
        <x:v>Bridge days and weeks</x:v>
      </x:c>
      <x:c r="E26" s="15" t="str">
        <x:v>Transportable storage optimized for endurance, safety and field repair</x:v>
      </x:c>
      <x:c r="F26" s="15" t="n">
        <x:v>3</x:v>
      </x:c>
      <x:c r="G26" s="15" t="n">
        <x:v>6</x:v>
      </x:c>
      <x:c r="H26" s="15" t="str">
        <x:v>Fielded family</x:v>
      </x:c>
      <x:c r="I26" s="15" t="str">
        <x:v>critical-load MWh per delivered tonne</x:v>
      </x:c>
      <x:c r="J26" s="15" t="str">
        <x:v>Advanced separations</x:v>
      </x:c>
      <x:c r="K26" s="15" t="str">
        <x:v>Integration/common mode</x:v>
      </x:c>
      <x:c r="L26" s="43" t="n">
        <x:v>0.22</x:v>
      </x:c>
      <x:c r="M26" s="44" t="n">
        <x:f>L26*SUMIF(Portfolio!$A$5:$A$16,B26,Portfolio!$C$5:$C$16)</x:f>
        <x:v>48.4</x:v>
      </x:c>
    </x:row>
    <x:row r="27">
      <x:c r="A27" s="29" t="str">
        <x:v>TF-023</x:v>
      </x:c>
      <x:c r="B27" s="15" t="str">
        <x:v>Power &amp; thermal systems</x:v>
      </x:c>
      <x:c r="C27" s="15" t="str">
        <x:v>Transportable firm-power core</x:v>
      </x:c>
      <x:c r="D27" s="15" t="str">
        <x:v>Sustain long campaigns</x:v>
      </x:c>
      <x:c r="E27" s="15" t="str">
        <x:v>Safeguarded microreactor and non-nuclear firm-power families</x:v>
      </x:c>
      <x:c r="F27" s="15" t="n">
        <x:v>3</x:v>
      </x:c>
      <x:c r="G27" s="15" t="n">
        <x:v>5</x:v>
      </x:c>
      <x:c r="H27" s="15" t="str">
        <x:v>Validated option</x:v>
      </x:c>
      <x:c r="I27" s="15" t="str">
        <x:v>availability across licensing/siting envelope</x:v>
      </x:c>
      <x:c r="J27" s="15" t="str">
        <x:v>Adaptive structures/materials</x:v>
      </x:c>
      <x:c r="K27" s="15" t="str">
        <x:v>Safety and assurance</x:v>
      </x:c>
      <x:c r="L27" s="43" t="n">
        <x:v>0.2</x:v>
      </x:c>
      <x:c r="M27" s="44" t="n">
        <x:f>L27*SUMIF(Portfolio!$A$5:$A$16,B27,Portfolio!$C$5:$C$16)</x:f>
        <x:v>44</x:v>
      </x:c>
    </x:row>
    <x:row r="28">
      <x:c r="A28" s="29" t="str">
        <x:v>TF-024</x:v>
      </x:c>
      <x:c r="B28" s="15" t="str">
        <x:v>Power &amp; thermal systems</x:v>
      </x:c>
      <x:c r="C28" s="15" t="str">
        <x:v>Rapid thermal utility</x:v>
      </x:c>
      <x:c r="D28" s="15" t="str">
        <x:v>Prevent heat/cold mortality</x:v>
      </x:c>
      <x:c r="E28" s="15" t="str">
        <x:v>District-scale mobile heating, cooling and thermal storage</x:v>
      </x:c>
      <x:c r="F28" s="15" t="n">
        <x:v>3</x:v>
      </x:c>
      <x:c r="G28" s="15" t="n">
        <x:v>5</x:v>
      </x:c>
      <x:c r="H28" s="15" t="str">
        <x:v>Validated option</x:v>
      </x:c>
      <x:c r="I28" s="15" t="str">
        <x:v>people protected per MW-thermal-day</x:v>
      </x:c>
      <x:c r="J28" s="15" t="str">
        <x:v>Industrial digital thread</x:v>
      </x:c>
      <x:c r="K28" s="15" t="str">
        <x:v>Manufacturability</x:v>
      </x:c>
      <x:c r="L28" s="43" t="n">
        <x:v>0.18</x:v>
      </x:c>
      <x:c r="M28" s="44" t="n">
        <x:f>L28*SUMIF(Portfolio!$A$5:$A$16,B28,Portfolio!$C$5:$C$16)</x:f>
        <x:v>39.6</x:v>
      </x:c>
    </x:row>
    <x:row r="29">
      <x:c r="A29" s="29" t="str">
        <x:v>TF-025</x:v>
      </x:c>
      <x:c r="B29" s="15" t="str">
        <x:v>Power &amp; thermal systems</x:v>
      </x:c>
      <x:c r="C29" s="15" t="str">
        <x:v>Power-electronic universal interface</x:v>
      </x:c>
      <x:c r="D29" s="15" t="str">
        <x:v>Connect heterogeneous assets</x:v>
      </x:c>
      <x:c r="E29" s="15" t="str">
        <x:v>Fault-tolerant converters, protection and metering</x:v>
      </x:c>
      <x:c r="F29" s="15" t="n">
        <x:v>3</x:v>
      </x:c>
      <x:c r="G29" s="15" t="n">
        <x:v>5</x:v>
      </x:c>
      <x:c r="H29" s="15" t="str">
        <x:v>Validated option</x:v>
      </x:c>
      <x:c r="I29" s="15" t="str">
        <x:v>safe interconnection minutes and failure rate</x:v>
      </x:c>
      <x:c r="J29" s="15" t="str">
        <x:v>Observation fabric</x:v>
      </x:c>
      <x:c r="K29" s="15" t="str">
        <x:v>Public/environmental effect</x:v>
      </x:c>
      <x:c r="L29" s="43" t="n">
        <x:v>0.16</x:v>
      </x:c>
      <x:c r="M29" s="44" t="n">
        <x:f>L29*SUMIF(Portfolio!$A$5:$A$16,B29,Portfolio!$C$5:$C$16)</x:f>
        <x:v>35.2</x:v>
      </x:c>
    </x:row>
    <x:row r="30">
      <x:c r="A30" s="29" t="str">
        <x:v>TF-026</x:v>
      </x:c>
      <x:c r="B30" s="15" t="str">
        <x:v>Health &amp; biosecurity</x:v>
      </x:c>
      <x:c r="C30" s="15" t="str">
        <x:v>Distributed hospital platform</x:v>
      </x:c>
      <x:c r="D30" s="15" t="str">
        <x:v>Move advanced care to the incident</x:v>
      </x:c>
      <x:c r="E30" s="15" t="str">
        <x:v>Modular imaging, surgery, ICU, sterilization and oxygen</x:v>
      </x:c>
      <x:c r="F30" s="15" t="n">
        <x:v>2</x:v>
      </x:c>
      <x:c r="G30" s="15" t="n">
        <x:v>6</x:v>
      </x:c>
      <x:c r="H30" s="15" t="str">
        <x:v>Fielded family</x:v>
      </x:c>
      <x:c r="I30" s="15" t="str">
        <x:v>quality-adjusted care episodes per deployable module</x:v>
      </x:c>
      <x:c r="J30" s="15" t="str">
        <x:v>Distributed biomanufacturing</x:v>
      </x:c>
      <x:c r="K30" s="15" t="str">
        <x:v>Scientific validity</x:v>
      </x:c>
      <x:c r="L30" s="43" t="n">
        <x:v>0.24</x:v>
      </x:c>
      <x:c r="M30" s="44" t="n">
        <x:f>L30*SUMIF(Portfolio!$A$5:$A$16,B30,Portfolio!$C$5:$C$16)</x:f>
        <x:v>48</x:v>
      </x:c>
    </x:row>
    <x:row r="31">
      <x:c r="A31" s="29" t="str">
        <x:v>TF-027</x:v>
      </x:c>
      <x:c r="B31" s="15" t="str">
        <x:v>Health &amp; biosecurity</x:v>
      </x:c>
      <x:c r="C31" s="15" t="str">
        <x:v>Distributed biomanufacturing</x:v>
      </x:c>
      <x:c r="D31" s="15" t="str">
        <x:v>Produce countermeasures near demand</x:v>
      </x:c>
      <x:c r="E31" s="15" t="str">
        <x:v>Multi-product RNA/protein/diagnostic production with integrated QC</x:v>
      </x:c>
      <x:c r="F31" s="15" t="n">
        <x:v>3</x:v>
      </x:c>
      <x:c r="G31" s="15" t="n">
        <x:v>6</x:v>
      </x:c>
      <x:c r="H31" s="15" t="str">
        <x:v>Fielded family</x:v>
      </x:c>
      <x:c r="I31" s="15" t="str">
        <x:v>release-qualified doses per day</x:v>
      </x:c>
      <x:c r="J31" s="15" t="str">
        <x:v>Resilient comms/edge compute</x:v>
      </x:c>
      <x:c r="K31" s="15" t="str">
        <x:v>Integration/common mode</x:v>
      </x:c>
      <x:c r="L31" s="43" t="n">
        <x:v>0.22</x:v>
      </x:c>
      <x:c r="M31" s="44" t="n">
        <x:f>L31*SUMIF(Portfolio!$A$5:$A$16,B31,Portfolio!$C$5:$C$16)</x:f>
        <x:v>44</x:v>
      </x:c>
    </x:row>
    <x:row r="32">
      <x:c r="A32" s="29" t="str">
        <x:v>TF-028</x:v>
      </x:c>
      <x:c r="B32" s="15" t="str">
        <x:v>Health &amp; biosecurity</x:v>
      </x:c>
      <x:c r="C32" s="15" t="str">
        <x:v>Autonomous clinical logistics</x:v>
      </x:c>
      <x:c r="D32" s="15" t="str">
        <x:v>Reduce scarce labor burden</x:v>
      </x:c>
      <x:c r="E32" s="15" t="str">
        <x:v>Closed-loop inventory, routing, cold-chain and medication management</x:v>
      </x:c>
      <x:c r="F32" s="15" t="n">
        <x:v>3</x:v>
      </x:c>
      <x:c r="G32" s="15" t="n">
        <x:v>5</x:v>
      </x:c>
      <x:c r="H32" s="15" t="str">
        <x:v>Validated option</x:v>
      </x:c>
      <x:c r="I32" s="15" t="str">
        <x:v>clinical hours returned per operator</x:v>
      </x:c>
      <x:c r="J32" s="15" t="str">
        <x:v>Causal digital twin</x:v>
      </x:c>
      <x:c r="K32" s="15" t="str">
        <x:v>Safety and assurance</x:v>
      </x:c>
      <x:c r="L32" s="43" t="n">
        <x:v>0.2</x:v>
      </x:c>
      <x:c r="M32" s="44" t="n">
        <x:f>L32*SUMIF(Portfolio!$A$5:$A$16,B32,Portfolio!$C$5:$C$16)</x:f>
        <x:v>40</x:v>
      </x:c>
    </x:row>
    <x:row r="33">
      <x:c r="A33" s="29" t="str">
        <x:v>TF-029</x:v>
      </x:c>
      <x:c r="B33" s="15" t="str">
        <x:v>Health &amp; biosecurity</x:v>
      </x:c>
      <x:c r="C33" s="15" t="str">
        <x:v>Indoor exposure control</x:v>
      </x:c>
      <x:c r="D33" s="15" t="str">
        <x:v>Make buildings protective</x:v>
      </x:c>
      <x:c r="E33" s="15" t="str">
        <x:v>Sensing plus adaptive air treatment for smoke/pathogens/heat</x:v>
      </x:c>
      <x:c r="F33" s="15" t="n">
        <x:v>3</x:v>
      </x:c>
      <x:c r="G33" s="15" t="n">
        <x:v>5</x:v>
      </x:c>
      <x:c r="H33" s="15" t="str">
        <x:v>Validated option</x:v>
      </x:c>
      <x:c r="I33" s="15" t="str">
        <x:v>exposure-hours avoided per kWh</x:v>
      </x:c>
      <x:c r="J33" s="15" t="str">
        <x:v>Mobile power/thermal bus</x:v>
      </x:c>
      <x:c r="K33" s="15" t="str">
        <x:v>Manufacturability</x:v>
      </x:c>
      <x:c r="L33" s="43" t="n">
        <x:v>0.18</x:v>
      </x:c>
      <x:c r="M33" s="44" t="n">
        <x:f>L33*SUMIF(Portfolio!$A$5:$A$16,B33,Portfolio!$C$5:$C$16)</x:f>
        <x:v>36</x:v>
      </x:c>
    </x:row>
    <x:row r="34">
      <x:c r="A34" s="29" t="str">
        <x:v>TF-030</x:v>
      </x:c>
      <x:c r="B34" s="15" t="str">
        <x:v>Health &amp; biosecurity</x:v>
      </x:c>
      <x:c r="C34" s="15" t="str">
        <x:v>Population health causal twin</x:v>
      </x:c>
      <x:c r="D34" s="15" t="str">
        <x:v>Target scarce interventions</x:v>
      </x:c>
      <x:c r="E34" s="15" t="str">
        <x:v>Privacy-preserving demand and consequence forecasting</x:v>
      </x:c>
      <x:c r="F34" s="15" t="n">
        <x:v>3</x:v>
      </x:c>
      <x:c r="G34" s="15" t="n">
        <x:v>5</x:v>
      </x:c>
      <x:c r="H34" s="15" t="str">
        <x:v>Validated option</x:v>
      </x:c>
      <x:c r="I34" s="15" t="str">
        <x:v>avoidable severe outcomes under calibration</x:v>
      </x:c>
      <x:c r="J34" s="15" t="str">
        <x:v>Rapid infrastructure fabrication</x:v>
      </x:c>
      <x:c r="K34" s="15" t="str">
        <x:v>Public/environmental effect</x:v>
      </x:c>
      <x:c r="L34" s="43" t="n">
        <x:v>0.16</x:v>
      </x:c>
      <x:c r="M34" s="44" t="n">
        <x:f>L34*SUMIF(Portfolio!$A$5:$A$16,B34,Portfolio!$C$5:$C$16)</x:f>
        <x:v>32</x:v>
      </x:c>
    </x:row>
    <x:row r="35">
      <x:c r="A35" s="29" t="str">
        <x:v>TF-031</x:v>
      </x:c>
      <x:c r="B35" s="15" t="str">
        <x:v>Structures, seismic &amp; geotechnical</x:v>
      </x:c>
      <x:c r="C35" s="15" t="str">
        <x:v>National structural state mesh</x:v>
      </x:c>
      <x:c r="D35" s="15" t="str">
        <x:v>Know what is safe</x:v>
      </x:c>
      <x:c r="E35" s="15" t="str">
        <x:v>Embedded/remote sensing and validated rapid damage inference</x:v>
      </x:c>
      <x:c r="F35" s="15" t="n">
        <x:v>2</x:v>
      </x:c>
      <x:c r="G35" s="15" t="n">
        <x:v>6</x:v>
      </x:c>
      <x:c r="H35" s="15" t="str">
        <x:v>Fielded family</x:v>
      </x:c>
      <x:c r="I35" s="15" t="str">
        <x:v>hours to occupancy/route decision</x:v>
      </x:c>
      <x:c r="J35" s="15" t="str">
        <x:v>Extreme-environment autonomy</x:v>
      </x:c>
      <x:c r="K35" s="15" t="str">
        <x:v>Scientific validity</x:v>
      </x:c>
      <x:c r="L35" s="43" t="n">
        <x:v>0.24</x:v>
      </x:c>
      <x:c r="M35" s="44" t="n">
        <x:f>L35*SUMIF(Portfolio!$A$5:$A$16,B35,Portfolio!$C$5:$C$16)</x:f>
        <x:v>38.4</x:v>
      </x:c>
    </x:row>
    <x:row r="36">
      <x:c r="A36" s="29" t="str">
        <x:v>TF-032</x:v>
      </x:c>
      <x:c r="B36" s="15" t="str">
        <x:v>Structures, seismic &amp; geotechnical</x:v>
      </x:c>
      <x:c r="C36" s="15" t="str">
        <x:v>Active lifeline isolation</x:v>
      </x:c>
      <x:c r="D36" s="15" t="str">
        <x:v>Prevent cascade</x:v>
      </x:c>
      <x:c r="E36" s="15" t="str">
        <x:v>Automated valves, brakes, switches and isolation triggered by trusted warning</x:v>
      </x:c>
      <x:c r="F36" s="15" t="n">
        <x:v>3</x:v>
      </x:c>
      <x:c r="G36" s="15" t="n">
        <x:v>6</x:v>
      </x:c>
      <x:c r="H36" s="15" t="str">
        <x:v>Fielded family</x:v>
      </x:c>
      <x:c r="I36" s="15" t="str">
        <x:v>cascading loss avoided per alert</x:v>
      </x:c>
      <x:c r="J36" s="15" t="str">
        <x:v>Advanced separations</x:v>
      </x:c>
      <x:c r="K36" s="15" t="str">
        <x:v>Integration/common mode</x:v>
      </x:c>
      <x:c r="L36" s="43" t="n">
        <x:v>0.22</x:v>
      </x:c>
      <x:c r="M36" s="44" t="n">
        <x:f>L36*SUMIF(Portfolio!$A$5:$A$16,B36,Portfolio!$C$5:$C$16)</x:f>
        <x:v>35.2</x:v>
      </x:c>
    </x:row>
    <x:row r="37">
      <x:c r="A37" s="29" t="str">
        <x:v>TF-033</x:v>
      </x:c>
      <x:c r="B37" s="15" t="str">
        <x:v>Structures, seismic &amp; geotechnical</x:v>
      </x:c>
      <x:c r="C37" s="15" t="str">
        <x:v>Robotic stabilization and shoring</x:v>
      </x:c>
      <x:c r="D37" s="15" t="str">
        <x:v>Enter unsafe structures</x:v>
      </x:c>
      <x:c r="E37" s="15" t="str">
        <x:v>Remote assessment, cutting, lifting and adaptive shoring</x:v>
      </x:c>
      <x:c r="F37" s="15" t="n">
        <x:v>3</x:v>
      </x:c>
      <x:c r="G37" s="15" t="n">
        <x:v>5</x:v>
      </x:c>
      <x:c r="H37" s="15" t="str">
        <x:v>Validated option</x:v>
      </x:c>
      <x:c r="I37" s="15" t="str">
        <x:v>safe access volume per human exposure-hour</x:v>
      </x:c>
      <x:c r="J37" s="15" t="str">
        <x:v>Adaptive structures/materials</x:v>
      </x:c>
      <x:c r="K37" s="15" t="str">
        <x:v>Safety and assurance</x:v>
      </x:c>
      <x:c r="L37" s="43" t="n">
        <x:v>0.2</x:v>
      </x:c>
      <x:c r="M37" s="44" t="n">
        <x:f>L37*SUMIF(Portfolio!$A$5:$A$16,B37,Portfolio!$C$5:$C$16)</x:f>
        <x:v>32</x:v>
      </x:c>
    </x:row>
    <x:row r="38">
      <x:c r="A38" s="29" t="str">
        <x:v>TF-034</x:v>
      </x:c>
      <x:c r="B38" s="15" t="str">
        <x:v>Structures, seismic &amp; geotechnical</x:v>
      </x:c>
      <x:c r="C38" s="15" t="str">
        <x:v>Ground-state control</x:v>
      </x:c>
      <x:c r="D38" s="15" t="str">
        <x:v>Stabilize soil and slopes</x:v>
      </x:c>
      <x:c r="E38" s="15" t="str">
        <x:v>Rapid drainage, grouting, reinforcement and monitoring</x:v>
      </x:c>
      <x:c r="F38" s="15" t="n">
        <x:v>3</x:v>
      </x:c>
      <x:c r="G38" s="15" t="n">
        <x:v>5</x:v>
      </x:c>
      <x:c r="H38" s="15" t="str">
        <x:v>Validated option</x:v>
      </x:c>
      <x:c r="I38" s="15" t="str">
        <x:v>stabilized volume per tonne-day</x:v>
      </x:c>
      <x:c r="J38" s="15" t="str">
        <x:v>Industrial digital thread</x:v>
      </x:c>
      <x:c r="K38" s="15" t="str">
        <x:v>Manufacturability</x:v>
      </x:c>
      <x:c r="L38" s="43" t="n">
        <x:v>0.18</x:v>
      </x:c>
      <x:c r="M38" s="44" t="n">
        <x:f>L38*SUMIF(Portfolio!$A$5:$A$16,B38,Portfolio!$C$5:$C$16)</x:f>
        <x:v>28.799999999999997</x:v>
      </x:c>
    </x:row>
    <x:row r="39">
      <x:c r="A39" s="29" t="str">
        <x:v>TF-035</x:v>
      </x:c>
      <x:c r="B39" s="15" t="str">
        <x:v>Structures, seismic &amp; geotechnical</x:v>
      </x:c>
      <x:c r="C39" s="15" t="str">
        <x:v>Recoverable structures</x:v>
      </x:c>
      <x:c r="D39" s="15" t="str">
        <x:v>Design for repair, not disposal</x:v>
      </x:c>
      <x:c r="E39" s="15" t="str">
        <x:v>Replaceable fuses, self-centering systems and inspectable joints</x:v>
      </x:c>
      <x:c r="F39" s="15" t="n">
        <x:v>3</x:v>
      </x:c>
      <x:c r="G39" s="15" t="n">
        <x:v>5</x:v>
      </x:c>
      <x:c r="H39" s="15" t="str">
        <x:v>Validated option</x:v>
      </x:c>
      <x:c r="I39" s="15" t="str">
        <x:v>time/cost to restored function</x:v>
      </x:c>
      <x:c r="J39" s="15" t="str">
        <x:v>Observation fabric</x:v>
      </x:c>
      <x:c r="K39" s="15" t="str">
        <x:v>Public/environmental effect</x:v>
      </x:c>
      <x:c r="L39" s="43" t="n">
        <x:v>0.16</x:v>
      </x:c>
      <x:c r="M39" s="44" t="n">
        <x:f>L39*SUMIF(Portfolio!$A$5:$A$16,B39,Portfolio!$C$5:$C$16)</x:f>
        <x:v>25.6</x:v>
      </x:c>
    </x:row>
    <x:row r="40">
      <x:c r="A40" s="29" t="str">
        <x:v>TF-036</x:v>
      </x:c>
      <x:c r="B40" s="15" t="str">
        <x:v>Mobility, access &amp; logistics</x:v>
      </x:c>
      <x:c r="C40" s="15" t="str">
        <x:v>Autonomous route opening</x:v>
      </x:c>
      <x:c r="D40" s="15" t="str">
        <x:v>Restore access under uncertainty</x:v>
      </x:c>
      <x:c r="E40" s="15" t="str">
        <x:v>Scout-clear-mark teams of robots and optionally crewed machines</x:v>
      </x:c>
      <x:c r="F40" s="15" t="n">
        <x:v>2</x:v>
      </x:c>
      <x:c r="G40" s="15" t="n">
        <x:v>6</x:v>
      </x:c>
      <x:c r="H40" s="15" t="str">
        <x:v>Fielded family</x:v>
      </x:c>
      <x:c r="I40" s="15" t="str">
        <x:v>lane-km/day at risk-adjusted confidence</x:v>
      </x:c>
      <x:c r="J40" s="15" t="str">
        <x:v>Distributed biomanufacturing</x:v>
      </x:c>
      <x:c r="K40" s="15" t="str">
        <x:v>Scientific validity</x:v>
      </x:c>
      <x:c r="L40" s="43" t="n">
        <x:v>0.24</x:v>
      </x:c>
      <x:c r="M40" s="44" t="n">
        <x:f>L40*SUMIF(Portfolio!$A$5:$A$16,B40,Portfolio!$C$5:$C$16)</x:f>
        <x:v>43.199999999999996</x:v>
      </x:c>
    </x:row>
    <x:row r="41">
      <x:c r="A41" s="29" t="str">
        <x:v>TF-037</x:v>
      </x:c>
      <x:c r="B41" s="15" t="str">
        <x:v>Mobility, access &amp; logistics</x:v>
      </x:c>
      <x:c r="C41" s="15" t="str">
        <x:v>Universal wet-gap logistics</x:v>
      </x:c>
      <x:c r="D41" s="15" t="str">
        <x:v>Cross flood and debris fields</x:v>
      </x:c>
      <x:c r="E41" s="15" t="str">
        <x:v>Hydrodynamically distinct cargo, rescue and work craft with common interfaces</x:v>
      </x:c>
      <x:c r="F41" s="15" t="n">
        <x:v>3</x:v>
      </x:c>
      <x:c r="G41" s="15" t="n">
        <x:v>6</x:v>
      </x:c>
      <x:c r="H41" s="15" t="str">
        <x:v>Fielded family</x:v>
      </x:c>
      <x:c r="I41" s="15" t="str">
        <x:v>tonne-km/day across access states</x:v>
      </x:c>
      <x:c r="J41" s="15" t="str">
        <x:v>Resilient comms/edge compute</x:v>
      </x:c>
      <x:c r="K41" s="15" t="str">
        <x:v>Integration/common mode</x:v>
      </x:c>
      <x:c r="L41" s="43" t="n">
        <x:v>0.22</x:v>
      </x:c>
      <x:c r="M41" s="44" t="n">
        <x:f>L41*SUMIF(Portfolio!$A$5:$A$16,B41,Portfolio!$C$5:$C$16)</x:f>
        <x:v>39.6</x:v>
      </x:c>
    </x:row>
    <x:row r="42">
      <x:c r="A42" s="29" t="str">
        <x:v>TF-038</x:v>
      </x:c>
      <x:c r="B42" s="15" t="str">
        <x:v>Mobility, access &amp; logistics</x:v>
      </x:c>
      <x:c r="C42" s="15" t="str">
        <x:v>Temporary heavy infrastructure</x:v>
      </x:c>
      <x:c r="D42" s="15" t="str">
        <x:v>Create ports, bridges and pads</x:v>
      </x:c>
      <x:c r="E42" s="15" t="str">
        <x:v>Reusable high-capacity structures installed without mature sites</x:v>
      </x:c>
      <x:c r="F42" s="15" t="n">
        <x:v>3</x:v>
      </x:c>
      <x:c r="G42" s="15" t="n">
        <x:v>5</x:v>
      </x:c>
      <x:c r="H42" s="15" t="str">
        <x:v>Validated option</x:v>
      </x:c>
      <x:c r="I42" s="15" t="str">
        <x:v>throughput per installation hour/tonne</x:v>
      </x:c>
      <x:c r="J42" s="15" t="str">
        <x:v>Causal digital twin</x:v>
      </x:c>
      <x:c r="K42" s="15" t="str">
        <x:v>Safety and assurance</x:v>
      </x:c>
      <x:c r="L42" s="43" t="n">
        <x:v>0.2</x:v>
      </x:c>
      <x:c r="M42" s="44" t="n">
        <x:f>L42*SUMIF(Portfolio!$A$5:$A$16,B42,Portfolio!$C$5:$C$16)</x:f>
        <x:v>36</x:v>
      </x:c>
    </x:row>
    <x:row r="43">
      <x:c r="A43" s="29" t="str">
        <x:v>TF-039</x:v>
      </x:c>
      <x:c r="B43" s="15" t="str">
        <x:v>Mobility, access &amp; logistics</x:v>
      </x:c>
      <x:c r="C43" s="15" t="str">
        <x:v>Predictive sustainment web</x:v>
      </x:c>
      <x:c r="D43" s="15" t="str">
        <x:v>Avoid logistics collapse</x:v>
      </x:c>
      <x:c r="E43" s="15" t="str">
        <x:v>Demand sensing, substitution and forward production tied to mission tempo</x:v>
      </x:c>
      <x:c r="F43" s="15" t="n">
        <x:v>3</x:v>
      </x:c>
      <x:c r="G43" s="15" t="n">
        <x:v>5</x:v>
      </x:c>
      <x:c r="H43" s="15" t="str">
        <x:v>Validated option</x:v>
      </x:c>
      <x:c r="I43" s="15" t="str">
        <x:v>service availability per sustainment tonne</x:v>
      </x:c>
      <x:c r="J43" s="15" t="str">
        <x:v>Mobile power/thermal bus</x:v>
      </x:c>
      <x:c r="K43" s="15" t="str">
        <x:v>Manufacturability</x:v>
      </x:c>
      <x:c r="L43" s="43" t="n">
        <x:v>0.18</x:v>
      </x:c>
      <x:c r="M43" s="44" t="n">
        <x:f>L43*SUMIF(Portfolio!$A$5:$A$16,B43,Portfolio!$C$5:$C$16)</x:f>
        <x:v>32.4</x:v>
      </x:c>
    </x:row>
    <x:row r="44">
      <x:c r="A44" s="29" t="str">
        <x:v>TF-040</x:v>
      </x:c>
      <x:c r="B44" s="15" t="str">
        <x:v>Mobility, access &amp; logistics</x:v>
      </x:c>
      <x:c r="C44" s="15" t="str">
        <x:v>Stratospheric and orbital relay</x:v>
      </x:c>
      <x:c r="D44" s="15" t="str">
        <x:v>Restore theater awareness</x:v>
      </x:c>
      <x:c r="E44" s="15" t="str">
        <x:v>Rapidly tasked sensing/communications layers independent of ground systems</x:v>
      </x:c>
      <x:c r="F44" s="15" t="n">
        <x:v>3</x:v>
      </x:c>
      <x:c r="G44" s="15" t="n">
        <x:v>5</x:v>
      </x:c>
      <x:c r="H44" s="15" t="str">
        <x:v>Validated option</x:v>
      </x:c>
      <x:c r="I44" s="15" t="str">
        <x:v>coverage-hours and latency</x:v>
      </x:c>
      <x:c r="J44" s="15" t="str">
        <x:v>Rapid infrastructure fabrication</x:v>
      </x:c>
      <x:c r="K44" s="15" t="str">
        <x:v>Public/environmental effect</x:v>
      </x:c>
      <x:c r="L44" s="43" t="n">
        <x:v>0.16</x:v>
      </x:c>
      <x:c r="M44" s="44" t="n">
        <x:f>L44*SUMIF(Portfolio!$A$5:$A$16,B44,Portfolio!$C$5:$C$16)</x:f>
        <x:v>28.8</x:v>
      </x:c>
    </x:row>
    <x:row r="45">
      <x:c r="A45" s="29" t="str">
        <x:v>TF-041</x:v>
      </x:c>
      <x:c r="B45" s="15" t="str">
        <x:v>Autonomy &amp; human-machine systems</x:v>
      </x:c>
      <x:c r="C45" s="15" t="str">
        <x:v>Extreme-environment autonomy kernel</x:v>
      </x:c>
      <x:c r="D45" s="15" t="str">
        <x:v>Operate when sensing and comms fail</x:v>
      </x:c>
      <x:c r="E45" s="15" t="str">
        <x:v>Certified degraded-mode navigation, manipulation and teaming</x:v>
      </x:c>
      <x:c r="F45" s="15" t="n">
        <x:v>2</x:v>
      </x:c>
      <x:c r="G45" s="15" t="n">
        <x:v>6</x:v>
      </x:c>
      <x:c r="H45" s="15" t="str">
        <x:v>Fielded family</x:v>
      </x:c>
      <x:c r="I45" s="15" t="str">
        <x:v>mission success across fault envelope</x:v>
      </x:c>
      <x:c r="J45" s="15" t="str">
        <x:v>Extreme-environment autonomy</x:v>
      </x:c>
      <x:c r="K45" s="15" t="str">
        <x:v>Scientific validity</x:v>
      </x:c>
      <x:c r="L45" s="43" t="n">
        <x:v>0.24</x:v>
      </x:c>
      <x:c r="M45" s="44" t="n">
        <x:f>L45*SUMIF(Portfolio!$A$5:$A$16,B45,Portfolio!$C$5:$C$16)</x:f>
        <x:v>33.6</x:v>
      </x:c>
    </x:row>
    <x:row r="46">
      <x:c r="A46" s="29" t="str">
        <x:v>TF-042</x:v>
      </x:c>
      <x:c r="B46" s="15" t="str">
        <x:v>Autonomy &amp; human-machine systems</x:v>
      </x:c>
      <x:c r="C46" s="15" t="str">
        <x:v>Human-commandable swarms</x:v>
      </x:c>
      <x:c r="D46" s="15" t="str">
        <x:v>Scale operators</x:v>
      </x:c>
      <x:c r="E46" s="15" t="str">
        <x:v>Intent-level tasking, explainable constraints and safe reassignment</x:v>
      </x:c>
      <x:c r="F46" s="15" t="n">
        <x:v>3</x:v>
      </x:c>
      <x:c r="G46" s="15" t="n">
        <x:v>6</x:v>
      </x:c>
      <x:c r="H46" s="15" t="str">
        <x:v>Fielded family</x:v>
      </x:c>
      <x:c r="I46" s="15" t="str">
        <x:v>productive systems per operator</x:v>
      </x:c>
      <x:c r="J46" s="15" t="str">
        <x:v>Advanced separations</x:v>
      </x:c>
      <x:c r="K46" s="15" t="str">
        <x:v>Integration/common mode</x:v>
      </x:c>
      <x:c r="L46" s="43" t="n">
        <x:v>0.22</x:v>
      </x:c>
      <x:c r="M46" s="44" t="n">
        <x:f>L46*SUMIF(Portfolio!$A$5:$A$16,B46,Portfolio!$C$5:$C$16)</x:f>
        <x:v>30.8</x:v>
      </x:c>
    </x:row>
    <x:row r="47">
      <x:c r="A47" s="29" t="str">
        <x:v>TF-043</x:v>
      </x:c>
      <x:c r="B47" s="15" t="str">
        <x:v>Autonomy &amp; human-machine systems</x:v>
      </x:c>
      <x:c r="C47" s="15" t="str">
        <x:v>Embodied rescue intelligence</x:v>
      </x:c>
      <x:c r="D47" s="15" t="str">
        <x:v>Manipulate around people</x:v>
      </x:c>
      <x:c r="E47" s="15" t="str">
        <x:v>Contact-safe perception, dexterity and victim-aware planning</x:v>
      </x:c>
      <x:c r="F47" s="15" t="n">
        <x:v>3</x:v>
      </x:c>
      <x:c r="G47" s="15" t="n">
        <x:v>5</x:v>
      </x:c>
      <x:c r="H47" s="15" t="str">
        <x:v>Validated option</x:v>
      </x:c>
      <x:c r="I47" s="15" t="str">
        <x:v>rescues per exposure-hour without added harm</x:v>
      </x:c>
      <x:c r="J47" s="15" t="str">
        <x:v>Adaptive structures/materials</x:v>
      </x:c>
      <x:c r="K47" s="15" t="str">
        <x:v>Safety and assurance</x:v>
      </x:c>
      <x:c r="L47" s="43" t="n">
        <x:v>0.2</x:v>
      </x:c>
      <x:c r="M47" s="44" t="n">
        <x:f>L47*SUMIF(Portfolio!$A$5:$A$16,B47,Portfolio!$C$5:$C$16)</x:f>
        <x:v>28</x:v>
      </x:c>
    </x:row>
    <x:row r="48">
      <x:c r="A48" s="29" t="str">
        <x:v>TF-044</x:v>
      </x:c>
      <x:c r="B48" s="15" t="str">
        <x:v>Autonomy &amp; human-machine systems</x:v>
      </x:c>
      <x:c r="C48" s="15" t="str">
        <x:v>Machine-checkable incident command</x:v>
      </x:c>
      <x:c r="D48" s="15" t="str">
        <x:v>Preserve accountable control</x:v>
      </x:c>
      <x:c r="E48" s="15" t="str">
        <x:v>Digital authorities, constraints and handoffs executable across fleets</x:v>
      </x:c>
      <x:c r="F48" s="15" t="n">
        <x:v>3</x:v>
      </x:c>
      <x:c r="G48" s="15" t="n">
        <x:v>5</x:v>
      </x:c>
      <x:c r="H48" s="15" t="str">
        <x:v>Validated option</x:v>
      </x:c>
      <x:c r="I48" s="15" t="str">
        <x:v>unauthorized action rate and command latency</x:v>
      </x:c>
      <x:c r="J48" s="15" t="str">
        <x:v>Industrial digital thread</x:v>
      </x:c>
      <x:c r="K48" s="15" t="str">
        <x:v>Manufacturability</x:v>
      </x:c>
      <x:c r="L48" s="43" t="n">
        <x:v>0.18</x:v>
      </x:c>
      <x:c r="M48" s="44" t="n">
        <x:f>L48*SUMIF(Portfolio!$A$5:$A$16,B48,Portfolio!$C$5:$C$16)</x:f>
        <x:v>25.2</x:v>
      </x:c>
    </x:row>
    <x:row r="49">
      <x:c r="A49" s="29" t="str">
        <x:v>TF-045</x:v>
      </x:c>
      <x:c r="B49" s="15" t="str">
        <x:v>Autonomy &amp; human-machine systems</x:v>
      </x:c>
      <x:c r="C49" s="15" t="str">
        <x:v>Human endurance systems</x:v>
      </x:c>
      <x:c r="D49" s="15" t="str">
        <x:v>Extend safe work</x:v>
      </x:c>
      <x:c r="E49" s="15" t="str">
        <x:v>Thermal, respiratory, ergonomic and cognitive protection</x:v>
      </x:c>
      <x:c r="F49" s="15" t="n">
        <x:v>3</x:v>
      </x:c>
      <x:c r="G49" s="15" t="n">
        <x:v>5</x:v>
      </x:c>
      <x:c r="H49" s="15" t="str">
        <x:v>Validated option</x:v>
      </x:c>
      <x:c r="I49" s="15" t="str">
        <x:v>effective work-hours before risk threshold</x:v>
      </x:c>
      <x:c r="J49" s="15" t="str">
        <x:v>Observation fabric</x:v>
      </x:c>
      <x:c r="K49" s="15" t="str">
        <x:v>Public/environmental effect</x:v>
      </x:c>
      <x:c r="L49" s="43" t="n">
        <x:v>0.16</x:v>
      </x:c>
      <x:c r="M49" s="44" t="n">
        <x:f>L49*SUMIF(Portfolio!$A$5:$A$16,B49,Portfolio!$C$5:$C$16)</x:f>
        <x:v>22.400000000000002</x:v>
      </x:c>
    </x:row>
    <x:row r="50">
      <x:c r="A50" s="29" t="str">
        <x:v>TF-046</x:v>
      </x:c>
      <x:c r="B50" s="15" t="str">
        <x:v>Materials, manufacturing &amp; repair</x:v>
      </x:c>
      <x:c r="C50" s="15" t="str">
        <x:v>Disaster-grade modular architecture</x:v>
      </x:c>
      <x:c r="D50" s="15" t="str">
        <x:v>Enable recomposition</x:v>
      </x:c>
      <x:c r="E50" s="15" t="str">
        <x:v>Open physical/data/power/fluid interfaces under extreme conditions</x:v>
      </x:c>
      <x:c r="F50" s="15" t="n">
        <x:v>2</x:v>
      </x:c>
      <x:c r="G50" s="15" t="n">
        <x:v>6</x:v>
      </x:c>
      <x:c r="H50" s="15" t="str">
        <x:v>Fielded family</x:v>
      </x:c>
      <x:c r="I50" s="15" t="str">
        <x:v>cross-vendor integration pass rate</x:v>
      </x:c>
      <x:c r="J50" s="15" t="str">
        <x:v>Distributed biomanufacturing</x:v>
      </x:c>
      <x:c r="K50" s="15" t="str">
        <x:v>Scientific validity</x:v>
      </x:c>
      <x:c r="L50" s="43" t="n">
        <x:v>0.24</x:v>
      </x:c>
      <x:c r="M50" s="44" t="n">
        <x:f>L50*SUMIF(Portfolio!$A$5:$A$16,B50,Portfolio!$C$5:$C$16)</x:f>
        <x:v>38.4</x:v>
      </x:c>
    </x:row>
    <x:row r="51">
      <x:c r="A51" s="29" t="str">
        <x:v>TF-047</x:v>
      </x:c>
      <x:c r="B51" s="15" t="str">
        <x:v>Materials, manufacturing &amp; repair</x:v>
      </x:c>
      <x:c r="C51" s="15" t="str">
        <x:v>Field-qualified additive repair</x:v>
      </x:c>
      <x:c r="D51" s="15" t="str">
        <x:v>Restore parts locally</x:v>
      </x:c>
      <x:c r="E51" s="15" t="str">
        <x:v>Material/process qualification linked to digital provenance</x:v>
      </x:c>
      <x:c r="F51" s="15" t="n">
        <x:v>3</x:v>
      </x:c>
      <x:c r="G51" s="15" t="n">
        <x:v>6</x:v>
      </x:c>
      <x:c r="H51" s="15" t="str">
        <x:v>Fielded family</x:v>
      </x:c>
      <x:c r="I51" s="15" t="str">
        <x:v>hours to certified repaired function</x:v>
      </x:c>
      <x:c r="J51" s="15" t="str">
        <x:v>Resilient comms/edge compute</x:v>
      </x:c>
      <x:c r="K51" s="15" t="str">
        <x:v>Integration/common mode</x:v>
      </x:c>
      <x:c r="L51" s="43" t="n">
        <x:v>0.22</x:v>
      </x:c>
      <x:c r="M51" s="44" t="n">
        <x:f>L51*SUMIF(Portfolio!$A$5:$A$16,B51,Portfolio!$C$5:$C$16)</x:f>
        <x:v>35.2</x:v>
      </x:c>
    </x:row>
    <x:row r="52">
      <x:c r="A52" s="29" t="str">
        <x:v>TF-048</x:v>
      </x:c>
      <x:c r="B52" s="15" t="str">
        <x:v>Materials, manufacturing &amp; repair</x:v>
      </x:c>
      <x:c r="C52" s="15" t="str">
        <x:v>Self-sensing sacrificial materials</x:v>
      </x:c>
      <x:c r="D52" s="15" t="str">
        <x:v>Fail visibly and safely</x:v>
      </x:c>
      <x:c r="E52" s="15" t="str">
        <x:v>Structures/coatings that report damage and localize replaceable loss</x:v>
      </x:c>
      <x:c r="F52" s="15" t="n">
        <x:v>3</x:v>
      </x:c>
      <x:c r="G52" s="15" t="n">
        <x:v>5</x:v>
      </x:c>
      <x:c r="H52" s="15" t="str">
        <x:v>Validated option</x:v>
      </x:c>
      <x:c r="I52" s="15" t="str">
        <x:v>undetected dangerous defect rate</x:v>
      </x:c>
      <x:c r="J52" s="15" t="str">
        <x:v>Causal digital twin</x:v>
      </x:c>
      <x:c r="K52" s="15" t="str">
        <x:v>Safety and assurance</x:v>
      </x:c>
      <x:c r="L52" s="43" t="n">
        <x:v>0.2</x:v>
      </x:c>
      <x:c r="M52" s="44" t="n">
        <x:f>L52*SUMIF(Portfolio!$A$5:$A$16,B52,Portfolio!$C$5:$C$16)</x:f>
        <x:v>32</x:v>
      </x:c>
    </x:row>
    <x:row r="53">
      <x:c r="A53" s="29" t="str">
        <x:v>TF-049</x:v>
      </x:c>
      <x:c r="B53" s="15" t="str">
        <x:v>Materials, manufacturing &amp; repair</x:v>
      </x:c>
      <x:c r="C53" s="15" t="str">
        <x:v>Surge manufacturing digital thread</x:v>
      </x:c>
      <x:c r="D53" s="15" t="str">
        <x:v>Mobilize industry</x:v>
      </x:c>
      <x:c r="E53" s="15" t="str">
        <x:v>Prequalified designs, tooling, suppliers and metrology activated by demand</x:v>
      </x:c>
      <x:c r="F53" s="15" t="n">
        <x:v>3</x:v>
      </x:c>
      <x:c r="G53" s="15" t="n">
        <x:v>5</x:v>
      </x:c>
      <x:c r="H53" s="15" t="str">
        <x:v>Validated option</x:v>
      </x:c>
      <x:c r="I53" s="15" t="str">
        <x:v>days to qualified surge rate</x:v>
      </x:c>
      <x:c r="J53" s="15" t="str">
        <x:v>Mobile power/thermal bus</x:v>
      </x:c>
      <x:c r="K53" s="15" t="str">
        <x:v>Manufacturability</x:v>
      </x:c>
      <x:c r="L53" s="43" t="n">
        <x:v>0.18</x:v>
      </x:c>
      <x:c r="M53" s="44" t="n">
        <x:f>L53*SUMIF(Portfolio!$A$5:$A$16,B53,Portfolio!$C$5:$C$16)</x:f>
        <x:v>28.799999999999997</x:v>
      </x:c>
    </x:row>
    <x:row r="54">
      <x:c r="A54" s="29" t="str">
        <x:v>TF-050</x:v>
      </x:c>
      <x:c r="B54" s="15" t="str">
        <x:v>Materials, manufacturing &amp; repair</x:v>
      </x:c>
      <x:c r="C54" s="15" t="str">
        <x:v>Circular response materials</x:v>
      </x:c>
      <x:c r="D54" s="15" t="str">
        <x:v>Reduce replenishment burden</x:v>
      </x:c>
      <x:c r="E54" s="15" t="str">
        <x:v>Recoverable agents, polymers, metals and treatment media</x:v>
      </x:c>
      <x:c r="F54" s="15" t="n">
        <x:v>3</x:v>
      </x:c>
      <x:c r="G54" s="15" t="n">
        <x:v>5</x:v>
      </x:c>
      <x:c r="H54" s="15" t="str">
        <x:v>Validated option</x:v>
      </x:c>
      <x:c r="I54" s="15" t="str">
        <x:v>mission output per virgin-material tonne</x:v>
      </x:c>
      <x:c r="J54" s="15" t="str">
        <x:v>Rapid infrastructure fabrication</x:v>
      </x:c>
      <x:c r="K54" s="15" t="str">
        <x:v>Public/environmental effect</x:v>
      </x:c>
      <x:c r="L54" s="43" t="n">
        <x:v>0.16</x:v>
      </x:c>
      <x:c r="M54" s="44" t="n">
        <x:f>L54*SUMIF(Portfolio!$A$5:$A$16,B54,Portfolio!$C$5:$C$16)</x:f>
        <x:v>25.6</x:v>
      </x:c>
    </x:row>
    <x:row r="55">
      <x:c r="A55" s="29" t="str">
        <x:v>TF-051</x:v>
      </x:c>
      <x:c r="B55" s="15" t="str">
        <x:v>Communications, compute &amp; cyber</x:v>
      </x:c>
      <x:c r="C55" s="15" t="str">
        <x:v>Self-healing public safety fabric</x:v>
      </x:c>
      <x:c r="D55" s="15" t="str">
        <x:v>Maintain priority connectivity</x:v>
      </x:c>
      <x:c r="E55" s="15" t="str">
        <x:v>Multi-bearer mesh with automatic trust, routing and spectrum adaptation</x:v>
      </x:c>
      <x:c r="F55" s="15" t="n">
        <x:v>2</x:v>
      </x:c>
      <x:c r="G55" s="15" t="n">
        <x:v>6</x:v>
      </x:c>
      <x:c r="H55" s="15" t="str">
        <x:v>Fielded family</x:v>
      </x:c>
      <x:c r="I55" s="15" t="str">
        <x:v>availability under node/backhaul loss</x:v>
      </x:c>
      <x:c r="J55" s="15" t="str">
        <x:v>Extreme-environment autonomy</x:v>
      </x:c>
      <x:c r="K55" s="15" t="str">
        <x:v>Scientific validity</x:v>
      </x:c>
      <x:c r="L55" s="43" t="n">
        <x:v>0.24</x:v>
      </x:c>
      <x:c r="M55" s="44" t="n">
        <x:f>L55*SUMIF(Portfolio!$A$5:$A$16,B55,Portfolio!$C$5:$C$16)</x:f>
        <x:v>24</x:v>
      </x:c>
    </x:row>
    <x:row r="56">
      <x:c r="A56" s="29" t="str">
        <x:v>TF-052</x:v>
      </x:c>
      <x:c r="B56" s="15" t="str">
        <x:v>Communications, compute &amp; cyber</x:v>
      </x:c>
      <x:c r="C56" s="15" t="str">
        <x:v>Edge sovereign compute</x:v>
      </x:c>
      <x:c r="D56" s="15" t="str">
        <x:v>Run models without cloud dependence</x:v>
      </x:c>
      <x:c r="E56" s="15" t="str">
        <x:v>Rugged accelerator clusters with graceful degradation</x:v>
      </x:c>
      <x:c r="F56" s="15" t="n">
        <x:v>3</x:v>
      </x:c>
      <x:c r="G56" s="15" t="n">
        <x:v>6</x:v>
      </x:c>
      <x:c r="H56" s="15" t="str">
        <x:v>Fielded family</x:v>
      </x:c>
      <x:c r="I56" s="15" t="str">
        <x:v>useful inference per watt and tonne</x:v>
      </x:c>
      <x:c r="J56" s="15" t="str">
        <x:v>Advanced separations</x:v>
      </x:c>
      <x:c r="K56" s="15" t="str">
        <x:v>Integration/common mode</x:v>
      </x:c>
      <x:c r="L56" s="43" t="n">
        <x:v>0.22</x:v>
      </x:c>
      <x:c r="M56" s="44" t="n">
        <x:f>L56*SUMIF(Portfolio!$A$5:$A$16,B56,Portfolio!$C$5:$C$16)</x:f>
        <x:v>22</x:v>
      </x:c>
    </x:row>
    <x:row r="57">
      <x:c r="A57" s="29" t="str">
        <x:v>TF-053</x:v>
      </x:c>
      <x:c r="B57" s="15" t="str">
        <x:v>Communications, compute &amp; cyber</x:v>
      </x:c>
      <x:c r="C57" s="15" t="str">
        <x:v>Zero-trust machine operations</x:v>
      </x:c>
      <x:c r="D57" s="15" t="str">
        <x:v>Protect cyber-physical fleets</x:v>
      </x:c>
      <x:c r="E57" s="15" t="str">
        <x:v>Identity, provenance and least-authority control for mobile systems</x:v>
      </x:c>
      <x:c r="F57" s="15" t="n">
        <x:v>3</x:v>
      </x:c>
      <x:c r="G57" s="15" t="n">
        <x:v>5</x:v>
      </x:c>
      <x:c r="H57" s="15" t="str">
        <x:v>Validated option</x:v>
      </x:c>
      <x:c r="I57" s="15" t="str">
        <x:v>containment time and safe-mode coverage</x:v>
      </x:c>
      <x:c r="J57" s="15" t="str">
        <x:v>Adaptive structures/materials</x:v>
      </x:c>
      <x:c r="K57" s="15" t="str">
        <x:v>Safety and assurance</x:v>
      </x:c>
      <x:c r="L57" s="43" t="n">
        <x:v>0.2</x:v>
      </x:c>
      <x:c r="M57" s="44" t="n">
        <x:f>L57*SUMIF(Portfolio!$A$5:$A$16,B57,Portfolio!$C$5:$C$16)</x:f>
        <x:v>20</x:v>
      </x:c>
    </x:row>
    <x:row r="58">
      <x:c r="A58" s="29" t="str">
        <x:v>TF-054</x:v>
      </x:c>
      <x:c r="B58" s="15" t="str">
        <x:v>Communications, compute &amp; cyber</x:v>
      </x:c>
      <x:c r="C58" s="15" t="str">
        <x:v>Resilient positioning and timing</x:v>
      </x:c>
      <x:c r="D58" s="15" t="str">
        <x:v>Operate without GNSS</x:v>
      </x:c>
      <x:c r="E58" s="15" t="str">
        <x:v>Cooperative terrestrial, celestial and inertial positioning</x:v>
      </x:c>
      <x:c r="F58" s="15" t="n">
        <x:v>3</x:v>
      </x:c>
      <x:c r="G58" s="15" t="n">
        <x:v>5</x:v>
      </x:c>
      <x:c r="H58" s="15" t="str">
        <x:v>Validated option</x:v>
      </x:c>
      <x:c r="I58" s="15" t="str">
        <x:v>error distribution under denial</x:v>
      </x:c>
      <x:c r="J58" s="15" t="str">
        <x:v>Industrial digital thread</x:v>
      </x:c>
      <x:c r="K58" s="15" t="str">
        <x:v>Manufacturability</x:v>
      </x:c>
      <x:c r="L58" s="43" t="n">
        <x:v>0.18</x:v>
      </x:c>
      <x:c r="M58" s="44" t="n">
        <x:f>L58*SUMIF(Portfolio!$A$5:$A$16,B58,Portfolio!$C$5:$C$16)</x:f>
        <x:v>18</x:v>
      </x:c>
    </x:row>
    <x:row r="59">
      <x:c r="A59" s="29" t="str">
        <x:v>TF-055</x:v>
      </x:c>
      <x:c r="B59" s="15" t="str">
        <x:v>Communications, compute &amp; cyber</x:v>
      </x:c>
      <x:c r="C59" s="15" t="str">
        <x:v>Public evidence ledger</x:v>
      </x:c>
      <x:c r="D59" s="15" t="str">
        <x:v>Make decisions auditable</x:v>
      </x:c>
      <x:c r="E59" s="15" t="str">
        <x:v>Tamper-evident configuration, test and allocation records</x:v>
      </x:c>
      <x:c r="F59" s="15" t="n">
        <x:v>3</x:v>
      </x:c>
      <x:c r="G59" s="15" t="n">
        <x:v>5</x:v>
      </x:c>
      <x:c r="H59" s="15" t="str">
        <x:v>Validated option</x:v>
      </x:c>
      <x:c r="I59" s="15" t="str">
        <x:v>decision trace completeness</x:v>
      </x:c>
      <x:c r="J59" s="15" t="str">
        <x:v>Observation fabric</x:v>
      </x:c>
      <x:c r="K59" s="15" t="str">
        <x:v>Public/environmental effect</x:v>
      </x:c>
      <x:c r="L59" s="43" t="n">
        <x:v>0.16</x:v>
      </x:c>
      <x:c r="M59" s="44" t="n">
        <x:f>L59*SUMIF(Portfolio!$A$5:$A$16,B59,Portfolio!$C$5:$C$16)</x:f>
        <x:v>16</x:v>
      </x:c>
    </x:row>
    <x:row r="60">
      <x:c r="A60" s="29" t="str">
        <x:v>TF-056</x:v>
      </x:c>
      <x:c r="B60" s="15" t="str">
        <x:v>Food &amp; community stabilization</x:v>
      </x:c>
      <x:c r="C60" s="15" t="str">
        <x:v>Rapid nutrition manufacturing</x:v>
      </x:c>
      <x:c r="D60" s="15" t="str">
        <x:v>Produce safe tailored food</x:v>
      </x:c>
      <x:c r="E60" s="15" t="str">
        <x:v>Shelf-stable, local-feedstock, medical and culturally adaptable production</x:v>
      </x:c>
      <x:c r="F60" s="15" t="n">
        <x:v>2</x:v>
      </x:c>
      <x:c r="G60" s="15" t="n">
        <x:v>6</x:v>
      </x:c>
      <x:c r="H60" s="15" t="str">
        <x:v>Fielded family</x:v>
      </x:c>
      <x:c r="I60" s="15" t="str">
        <x:v>complete meals per tonne-day</x:v>
      </x:c>
      <x:c r="J60" s="15" t="str">
        <x:v>Distributed biomanufacturing</x:v>
      </x:c>
      <x:c r="K60" s="15" t="str">
        <x:v>Scientific validity</x:v>
      </x:c>
      <x:c r="L60" s="43" t="n">
        <x:v>0.24</x:v>
      </x:c>
      <x:c r="M60" s="44" t="n">
        <x:f>L60*SUMIF(Portfolio!$A$5:$A$16,B60,Portfolio!$C$5:$C$16)</x:f>
        <x:v>24</x:v>
      </x:c>
    </x:row>
    <x:row r="61">
      <x:c r="A61" s="29" t="str">
        <x:v>TF-057</x:v>
      </x:c>
      <x:c r="B61" s="15" t="str">
        <x:v>Food &amp; community stabilization</x:v>
      </x:c>
      <x:c r="C61" s="15" t="str">
        <x:v>Mobile protected agriculture</x:v>
      </x:c>
      <x:c r="D61" s="15" t="str">
        <x:v>Restart fresh production</x:v>
      </x:c>
      <x:c r="E61" s="15" t="str">
        <x:v>Low-water, low-labor modular growing systems</x:v>
      </x:c>
      <x:c r="F61" s="15" t="n">
        <x:v>3</x:v>
      </x:c>
      <x:c r="G61" s="15" t="n">
        <x:v>6</x:v>
      </x:c>
      <x:c r="H61" s="15" t="str">
        <x:v>Fielded family</x:v>
      </x:c>
      <x:c r="I61" s="15" t="str">
        <x:v>nutrient output per kWh-m3-day</x:v>
      </x:c>
      <x:c r="J61" s="15" t="str">
        <x:v>Resilient comms/edge compute</x:v>
      </x:c>
      <x:c r="K61" s="15" t="str">
        <x:v>Integration/common mode</x:v>
      </x:c>
      <x:c r="L61" s="43" t="n">
        <x:v>0.22</x:v>
      </x:c>
      <x:c r="M61" s="44" t="n">
        <x:f>L61*SUMIF(Portfolio!$A$5:$A$16,B61,Portfolio!$C$5:$C$16)</x:f>
        <x:v>22</x:v>
      </x:c>
    </x:row>
    <x:row r="62">
      <x:c r="A62" s="29" t="str">
        <x:v>TF-058</x:v>
      </x:c>
      <x:c r="B62" s="15" t="str">
        <x:v>Food &amp; community stabilization</x:v>
      </x:c>
      <x:c r="C62" s="15" t="str">
        <x:v>Cold-chain without grid</x:v>
      </x:c>
      <x:c r="D62" s="15" t="str">
        <x:v>Preserve scarce supply</x:v>
      </x:c>
      <x:c r="E62" s="15" t="str">
        <x:v>High-efficiency thermal storage and fault-tolerant refrigeration</x:v>
      </x:c>
      <x:c r="F62" s="15" t="n">
        <x:v>3</x:v>
      </x:c>
      <x:c r="G62" s="15" t="n">
        <x:v>5</x:v>
      </x:c>
      <x:c r="H62" s="15" t="str">
        <x:v>Validated option</x:v>
      </x:c>
      <x:c r="I62" s="15" t="str">
        <x:v>safe product-days per delivered tonne</x:v>
      </x:c>
      <x:c r="J62" s="15" t="str">
        <x:v>Causal digital twin</x:v>
      </x:c>
      <x:c r="K62" s="15" t="str">
        <x:v>Safety and assurance</x:v>
      </x:c>
      <x:c r="L62" s="43" t="n">
        <x:v>0.2</x:v>
      </x:c>
      <x:c r="M62" s="44" t="n">
        <x:f>L62*SUMIF(Portfolio!$A$5:$A$16,B62,Portfolio!$C$5:$C$16)</x:f>
        <x:v>20</x:v>
      </x:c>
    </x:row>
    <x:row r="63">
      <x:c r="A63" s="29" t="str">
        <x:v>TF-059</x:v>
      </x:c>
      <x:c r="B63" s="15" t="str">
        <x:v>Food &amp; community stabilization</x:v>
      </x:c>
      <x:c r="C63" s="15" t="str">
        <x:v>Accessible shelter utility core</x:v>
      </x:c>
      <x:c r="D63" s="15" t="str">
        <x:v>Restore dignity and function</x:v>
      </x:c>
      <x:c r="E63" s="15" t="str">
        <x:v>Integrated water, sanitation, power, thermal and communications modules</x:v>
      </x:c>
      <x:c r="F63" s="15" t="n">
        <x:v>3</x:v>
      </x:c>
      <x:c r="G63" s="15" t="n">
        <x:v>5</x:v>
      </x:c>
      <x:c r="H63" s="15" t="str">
        <x:v>Validated option</x:v>
      </x:c>
      <x:c r="I63" s="15" t="str">
        <x:v>people-days per setup hour</x:v>
      </x:c>
      <x:c r="J63" s="15" t="str">
        <x:v>Mobile power/thermal bus</x:v>
      </x:c>
      <x:c r="K63" s="15" t="str">
        <x:v>Manufacturability</x:v>
      </x:c>
      <x:c r="L63" s="43" t="n">
        <x:v>0.18</x:v>
      </x:c>
      <x:c r="M63" s="44" t="n">
        <x:f>L63*SUMIF(Portfolio!$A$5:$A$16,B63,Portfolio!$C$5:$C$16)</x:f>
        <x:v>18</x:v>
      </x:c>
    </x:row>
    <x:row r="64">
      <x:c r="A64" s="29" t="str">
        <x:v>TF-060</x:v>
      </x:c>
      <x:c r="B64" s="15" t="str">
        <x:v>Food &amp; community stabilization</x:v>
      </x:c>
      <x:c r="C64" s="15" t="str">
        <x:v>Community service digital twin</x:v>
      </x:c>
      <x:c r="D64" s="15" t="str">
        <x:v>Prevent secondary collapse</x:v>
      </x:c>
      <x:c r="E64" s="15" t="str">
        <x:v>Queue, mobility, trust and service-access model with equity constraints</x:v>
      </x:c>
      <x:c r="F64" s="15" t="n">
        <x:v>3</x:v>
      </x:c>
      <x:c r="G64" s="15" t="n">
        <x:v>5</x:v>
      </x:c>
      <x:c r="H64" s="15" t="str">
        <x:v>Validated option</x:v>
      </x:c>
      <x:c r="I64" s="15" t="str">
        <x:v>time to essential-service stability</x:v>
      </x:c>
      <x:c r="J64" s="15" t="str">
        <x:v>Rapid infrastructure fabrication</x:v>
      </x:c>
      <x:c r="K64" s="15" t="str">
        <x:v>Public/environmental effect</x:v>
      </x:c>
      <x:c r="L64" s="43" t="n">
        <x:v>0.16</x:v>
      </x:c>
      <x:c r="M64" s="44" t="n">
        <x:f>L64*SUMIF(Portfolio!$A$5:$A$16,B64,Portfolio!$C$5:$C$16)</x:f>
        <x:v>16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9" hidden="0" customWidth="1"/>
    <x:col min="3" max="3" width="32" hidden="0" customWidth="1"/>
    <x:col min="4" max="4" width="36" hidden="0" customWidth="1"/>
    <x:col min="5" max="5" width="41" hidden="0" customWidth="1"/>
    <x:col min="6" max="6" width="40" hidden="0" customWidth="1"/>
    <x:col min="7" max="7" width="38" hidden="0" customWidth="1"/>
    <x:col min="8" max="8" width="34" hidden="0" customWidth="1"/>
    <x:col min="9" max="9" width="31" hidden="0" customWidth="1"/>
  </x:cols>
  <x:sheetData>
    <x:row r="1" ht="32" customHeight="1">
      <x:c r="A1" s="71" t="str">
        <x:v>Mission-Effect Accounting</x:v>
      </x:c>
      <x:c r="B1" s="29"/>
      <x:c r="C1" s="29"/>
      <x:c r="D1" s="29"/>
      <x:c r="E1" s="29"/>
      <x:c r="F1" s="29"/>
      <x:c r="G1" s="29"/>
      <x:c r="H1" s="29"/>
      <x:c r="I1" s="29"/>
    </x:row>
    <x:row r="2" ht="34" customHeight="1">
      <x:c r="A2" s="70" t="str">
        <x:v>Technology is admitted only when it changes a visible operational distribution and survives a complete thread.</x:v>
      </x:c>
      <x:c r="B2" s="29"/>
      <x:c r="C2" s="29"/>
      <x:c r="D2" s="29"/>
      <x:c r="E2" s="29"/>
      <x:c r="F2" s="29"/>
      <x:c r="G2" s="29"/>
      <x:c r="H2" s="29"/>
      <x:c r="I2" s="29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</x:row>
    <x:row r="4">
      <x:c r="A4" s="28" t="str">
        <x:v>Effect family</x:v>
      </x:c>
      <x:c r="B4" s="28" t="str">
        <x:v>Primary variable</x:v>
      </x:c>
      <x:c r="C4" s="28" t="str">
        <x:v>Baseline form</x:v>
      </x:c>
      <x:c r="D4" s="28" t="str">
        <x:v>Frontier direction</x:v>
      </x:c>
      <x:c r="E4" s="28" t="str">
        <x:v>Minimum evidence</x:v>
      </x:c>
      <x:c r="F4" s="28" t="str">
        <x:v>Disqualifying failure</x:v>
      </x:c>
      <x:c r="G4" s="28" t="str">
        <x:v>Equity/public effect</x:v>
      </x:c>
      <x:c r="H4" s="28" t="str">
        <x:v>Force-design consequence</x:v>
      </x:c>
      <x:c r="I4" s="28" t="str">
        <x:v>Credit rule</x:v>
      </x:c>
    </x:row>
    <x:row r="5">
      <x:c r="A5" s="15" t="str">
        <x:v>Sense</x:v>
      </x:c>
      <x:c r="B5" s="15" t="str">
        <x:v>Observation-to-trusted-state time</x:v>
      </x:c>
      <x:c r="C5" s="15" t="str">
        <x:v>Hours/days and fragmented confidence</x:v>
      </x:c>
      <x:c r="D5" s="15" t="str">
        <x:v>Minutes with calibrated uncertainty</x:v>
      </x:c>
      <x:c r="E5" s="15" t="str">
        <x:v>Blind replay + live event comparison</x:v>
      </x:c>
      <x:c r="F5" s="15" t="str">
        <x:v>Confidently wrong tail state</x:v>
      </x:c>
      <x:c r="G5" s="15" t="str">
        <x:v>Coverage and accessibility gaps disclosed</x:v>
      </x:c>
      <x:c r="H5" s="15" t="str">
        <x:v>Changes warning and staging posture</x:v>
      </x:c>
      <x:c r="I5" s="15" t="str">
        <x:v>No coefficient change before R3</x:v>
      </x:c>
    </x:row>
    <x:row r="6">
      <x:c r="A6" s="15" t="str">
        <x:v>Decide</x:v>
      </x:c>
      <x:c r="B6" s="15" t="str">
        <x:v>Decision regret distribution</x:v>
      </x:c>
      <x:c r="C6" s="15" t="str">
        <x:v>Experience-weighted plans</x:v>
      </x:c>
      <x:c r="D6" s="15" t="str">
        <x:v>Counterfactual options with bounded error</x:v>
      </x:c>
      <x:c r="E6" s="15" t="str">
        <x:v>Prospective preregistered decision trial</x:v>
      </x:c>
      <x:c r="F6" s="15" t="str">
        <x:v>Model induces systematic harmful action</x:v>
      </x:c>
      <x:c r="G6" s="15" t="str">
        <x:v>Transparent contestability</x:v>
      </x:c>
      <x:c r="H6" s="15" t="str">
        <x:v>Changes command span and reserve</x:v>
      </x:c>
      <x:c r="I6" s="15" t="str">
        <x:v>Human authority retained</x:v>
      </x:c>
    </x:row>
    <x:row r="7">
      <x:c r="A7" s="15" t="str">
        <x:v>Move</x:v>
      </x:c>
      <x:c r="B7" s="15" t="str">
        <x:v>Tonne-km/day across damaged network</x:v>
      </x:c>
      <x:c r="C7" s="15" t="str">
        <x:v>Existing roads/ports dominate</x:v>
      </x:c>
      <x:c r="D7" s="15" t="str">
        <x:v>Purpose-built multimodal access</x:v>
      </x:c>
      <x:c r="E7" s="15" t="str">
        <x:v>Representative debris/water/grade route</x:v>
      </x:c>
      <x:c r="F7" s="15" t="str">
        <x:v>Works only on prepared demonstration</x:v>
      </x:c>
      <x:c r="G7" s="15" t="str">
        <x:v>Host burden and access priority</x:v>
      </x:c>
      <x:c r="H7" s="15" t="str">
        <x:v>Changes strategic/tactical mobility</x:v>
      </x:c>
      <x:c r="I7" s="15" t="str">
        <x:v>Full logistics burden counted</x:v>
      </x:c>
    </x:row>
    <x:row r="8">
      <x:c r="A8" s="15" t="str">
        <x:v>Control hazard</x:v>
      </x:c>
      <x:c r="B8" s="15" t="str">
        <x:v>Net hazard growth/flow/energy</x:v>
      </x:c>
      <x:c r="C8" s="15" t="str">
        <x:v>Often defensive/local</x:v>
      </x:c>
      <x:c r="D8" s="15" t="str">
        <x:v>Positive closure or state reversal</x:v>
      </x:c>
      <x:c r="E8" s="15" t="str">
        <x:v>Adversarial complete mission thread</x:v>
      </x:c>
      <x:c r="F8" s="15" t="str">
        <x:v>Nominal output but no net control</x:v>
      </x:c>
      <x:c r="G8" s="15" t="str">
        <x:v>Environmental/off-site effects bounded</x:v>
      </x:c>
      <x:c r="H8" s="15" t="str">
        <x:v>Changes formation density</x:v>
      </x:c>
      <x:c r="I8" s="15" t="str">
        <x:v>Net effect, not component rating</x:v>
      </x:c>
    </x:row>
    <x:row r="9">
      <x:c r="A9" s="15" t="str">
        <x:v>Sustain life</x:v>
      </x:c>
      <x:c r="B9" s="15" t="str">
        <x:v>People-days at service level</x:v>
      </x:c>
      <x:c r="C9" s="15" t="str">
        <x:v>Commodity distribution</x:v>
      </x:c>
      <x:c r="D9" s="15" t="str">
        <x:v>Integrated utility/medical/food fabric</x:v>
      </x:c>
      <x:c r="E9" s="15" t="str">
        <x:v>30-day degraded-infrastructure trial</x:v>
      </x:c>
      <x:c r="F9" s="15" t="str">
        <x:v>Average met; vulnerable tail fails</x:v>
      </x:c>
      <x:c r="G9" s="15" t="str">
        <x:v>Distribution by vulnerability reported</x:v>
      </x:c>
      <x:c r="H9" s="15" t="str">
        <x:v>Changes duration and footprint</x:v>
      </x:c>
      <x:c r="I9" s="15" t="str">
        <x:v>Tail service level governs</x:v>
      </x:c>
    </x:row>
    <x:row r="10">
      <x:c r="A10" s="15" t="str">
        <x:v>Restore system</x:v>
      </x:c>
      <x:c r="B10" s="15" t="str">
        <x:v>Time to stable critical function</x:v>
      </x:c>
      <x:c r="C10" s="15" t="str">
        <x:v>Repair sequence constrained by fixed network</x:v>
      </x:c>
      <x:c r="D10" s="15" t="str">
        <x:v>Self-forming temporary service then transfer</x:v>
      </x:c>
      <x:c r="E10" s="15" t="str">
        <x:v>Cold start, fault, repair and handoff</x:v>
      </x:c>
      <x:c r="F10" s="15" t="str">
        <x:v>Unrecoverable common-mode fault</x:v>
      </x:c>
      <x:c r="G10" s="15" t="str">
        <x:v>Local operator burden measured</x:v>
      </x:c>
      <x:c r="H10" s="15" t="str">
        <x:v>Changes replacement vs bypass mix</x:v>
      </x:c>
      <x:c r="I10" s="15" t="str">
        <x:v>Transfer is part of test</x:v>
      </x:c>
    </x:row>
    <x:row r="11">
      <x:c r="A11" s="15" t="str">
        <x:v>Protect workforce</x:v>
      </x:c>
      <x:c r="B11" s="15" t="str">
        <x:v>Exposure-hours per unit effect</x:v>
      </x:c>
      <x:c r="C11" s="15" t="str">
        <x:v>Labor-intensive dangerous work</x:v>
      </x:c>
      <x:c r="D11" s="15" t="str">
        <x:v>Robotics and human-performance systems</x:v>
      </x:c>
      <x:c r="E11" s="15" t="str">
        <x:v>Instrumented heat/smoke/toxin/fatigue trial</x:v>
      </x:c>
      <x:c r="F11" s="15" t="str">
        <x:v>Risk displaced to bystanders/operators</x:v>
      </x:c>
      <x:c r="G11" s="15" t="str">
        <x:v>Worker and public risk jointly optimized</x:v>
      </x:c>
      <x:c r="H11" s="15" t="str">
        <x:v>Changes crew and rotation</x:v>
      </x:c>
      <x:c r="I11" s="15" t="str">
        <x:v>No risk export</x:v>
      </x:c>
    </x:row>
    <x:row r="12">
      <x:c r="A12" s="15" t="str">
        <x:v>Learn</x:v>
      </x:c>
      <x:c r="B12" s="15" t="str">
        <x:v>Days from event to validated update</x:v>
      </x:c>
      <x:c r="C12" s="15" t="str">
        <x:v>Perishable data and slow lessons</x:v>
      </x:c>
      <x:c r="D12" s="15" t="str">
        <x:v>Automatic evidence capture and reproducible replay</x:v>
      </x:c>
      <x:c r="E12" s="15" t="str">
        <x:v>Independent replication</x:v>
      </x:c>
      <x:c r="F12" s="15" t="str">
        <x:v>Non-reproducible proprietary result</x:v>
      </x:c>
      <x:c r="G12" s="15" t="str">
        <x:v>Public methods and privacy controls</x:v>
      </x:c>
      <x:c r="H12" s="15" t="str">
        <x:v>Changes adaptation tempo</x:v>
      </x:c>
      <x:c r="I12" s="15" t="str">
        <x:v>Replication required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37" hidden="0" customWidth="1"/>
    <x:col min="3" max="3" width="16" hidden="0" customWidth="1"/>
    <x:col min="4" max="4" width="55" hidden="0" customWidth="1"/>
    <x:col min="5" max="5" width="38" hidden="0" customWidth="1"/>
    <x:col min="6" max="6" width="39" hidden="0" customWidth="1"/>
    <x:col min="7" max="7" width="40" hidden="0" customWidth="1"/>
    <x:col min="8" max="8" width="32" hidden="0" customWidth="1"/>
    <x:col min="9" max="9" width="38" hidden="0" customWidth="1"/>
  </x:cols>
  <x:sheetData>
    <x:row r="1" ht="32" customHeight="1">
      <x:c r="A1" s="71" t="str">
        <x:v>Common Technological Primitives</x:v>
      </x:c>
      <x:c r="B1" s="29"/>
      <x:c r="C1" s="29"/>
      <x:c r="D1" s="29"/>
      <x:c r="E1" s="29"/>
      <x:c r="F1" s="29"/>
      <x:c r="G1" s="29"/>
      <x:c r="H1" s="29"/>
      <x:c r="I1" s="29"/>
    </x:row>
    <x:row r="2" ht="34" customHeight="1">
      <x:c r="A2" s="70" t="str">
        <x:v>Shared building blocks prevent twelve stovepipes. Each primitive must prove portability across at least three hazard threads.</x:v>
      </x:c>
      <x:c r="B2" s="29"/>
      <x:c r="C2" s="29"/>
      <x:c r="D2" s="29"/>
      <x:c r="E2" s="29"/>
      <x:c r="F2" s="29"/>
      <x:c r="G2" s="29"/>
      <x:c r="H2" s="29"/>
      <x:c r="I2" s="29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</x:row>
    <x:row r="4">
      <x:c r="A4" s="28" t="str">
        <x:v>Primitive</x:v>
      </x:c>
      <x:c r="B4" s="28" t="str">
        <x:v>Shared function</x:v>
      </x:c>
      <x:c r="C4" s="28" t="str">
        <x:v>Must serve</x:v>
      </x:c>
      <x:c r="D4" s="28" t="str">
        <x:v>Technical frontier</x:v>
      </x:c>
      <x:c r="E4" s="28" t="str">
        <x:v>Interface artifact</x:v>
      </x:c>
      <x:c r="F4" s="28" t="str">
        <x:v>Primary test</x:v>
      </x:c>
      <x:c r="G4" s="28" t="str">
        <x:v>Common-mode failure</x:v>
      </x:c>
      <x:c r="H4" s="28" t="str">
        <x:v>Ownership</x:v>
      </x:c>
      <x:c r="I4" s="28" t="str">
        <x:v>Transition rule</x:v>
      </x:c>
    </x:row>
    <x:row r="5">
      <x:c r="A5" s="15" t="str">
        <x:v>Observation fabric</x:v>
      </x:c>
      <x:c r="B5" s="15" t="str">
        <x:v>Time-synchronized sensing, provenance and uncertainty</x:v>
      </x:c>
      <x:c r="C5" s="15" t="str">
        <x:v>All 12 directorates</x:v>
      </x:c>
      <x:c r="D5" s="15" t="str">
        <x:v>Sparse-to-dense adaptive sensing through attrition</x:v>
      </x:c>
      <x:c r="E5" s="15" t="str">
        <x:v>Open observation/provenance schema</x:v>
      </x:c>
      <x:c r="F5" s="15" t="str">
        <x:v>Blind multi-hazard data challenge</x:v>
      </x:c>
      <x:c r="G5" s="15" t="str">
        <x:v>Shared bias corrupts every twin</x:v>
      </x:c>
      <x:c r="H5" s="15" t="str">
        <x:v>National Resilience Laboratories</x:v>
      </x:c>
      <x:c r="I5" s="15" t="str">
        <x:v>Three-hazard replication</x:v>
      </x:c>
    </x:row>
    <x:row r="6">
      <x:c r="A6" s="15" t="str">
        <x:v>Causal digital twin</x:v>
      </x:c>
      <x:c r="B6" s="15" t="str">
        <x:v>Intervention-aware forecast and counterfactual reasoning</x:v>
      </x:c>
      <x:c r="C6" s="15" t="str">
        <x:v>At least 8</x:v>
      </x:c>
      <x:c r="D6" s="15" t="str">
        <x:v>Validated coupling from hazard to infrastructure to people</x:v>
      </x:c>
      <x:c r="E6" s="15" t="str">
        <x:v>Model-component and uncertainty contracts</x:v>
      </x:c>
      <x:c r="F6" s="15" t="str">
        <x:v>Prospective decision tournament</x:v>
      </x:c>
      <x:c r="G6" s="15" t="str">
        <x:v>Optimization exploits model error</x:v>
      </x:c>
      <x:c r="H6" s="15" t="str">
        <x:v>Earth Intelligence Directorate</x:v>
      </x:c>
      <x:c r="I6" s="15" t="str">
        <x:v>Decision value, not visual fidelity</x:v>
      </x:c>
    </x:row>
    <x:row r="7">
      <x:c r="A7" s="15" t="str">
        <x:v>Extreme-environment autonomy</x:v>
      </x:c>
      <x:c r="B7" s="15" t="str">
        <x:v>Perception, action and safe degradation</x:v>
      </x:c>
      <x:c r="C7" s="15" t="str">
        <x:v>At least 7</x:v>
      </x:c>
      <x:c r="D7" s="15" t="str">
        <x:v>Useful manipulation under smoke, water, debris, heat and comms loss</x:v>
      </x:c>
      <x:c r="E7" s="15" t="str">
        <x:v>Mission/authority/safe-state protocol</x:v>
      </x:c>
      <x:c r="F7" s="15" t="str">
        <x:v>Fault-injected field obstacle trials</x:v>
      </x:c>
      <x:c r="G7" s="15" t="str">
        <x:v>Correlated fleet behavior</x:v>
      </x:c>
      <x:c r="H7" s="15" t="str">
        <x:v>Autonomy Directorate</x:v>
      </x:c>
      <x:c r="I7" s="15" t="str">
        <x:v>Fail-safe evidence by environment</x:v>
      </x:c>
    </x:row>
    <x:row r="8">
      <x:c r="A8" s="15" t="str">
        <x:v>Mobile power/thermal bus</x:v>
      </x:c>
      <x:c r="B8" s="15" t="str">
        <x:v>Generation, storage, conversion, heat rejection</x:v>
      </x:c>
      <x:c r="C8" s="15" t="str">
        <x:v>At least 8</x:v>
      </x:c>
      <x:c r="D8" s="15" t="str">
        <x:v>Safe plug-and-form multi-carrier utility</x:v>
      </x:c>
      <x:c r="E8" s="15" t="str">
        <x:v>Power/fluid/thermal mechanical standards</x:v>
      </x:c>
      <x:c r="F8" s="15" t="str">
        <x:v>Black-start and fault island trial</x:v>
      </x:c>
      <x:c r="G8" s="15" t="str">
        <x:v>Interface fault propagates across modules</x:v>
      </x:c>
      <x:c r="H8" s="15" t="str">
        <x:v>Power Directorate</x:v>
      </x:c>
      <x:c r="I8" s="15" t="str">
        <x:v>Third-party interop certification</x:v>
      </x:c>
    </x:row>
    <x:row r="9">
      <x:c r="A9" s="15" t="str">
        <x:v>Advanced separations</x:v>
      </x:c>
      <x:c r="B9" s="15" t="str">
        <x:v>Water, air, waste and resource recovery</x:v>
      </x:c>
      <x:c r="C9" s="15" t="str">
        <x:v>At least 5</x:v>
      </x:c>
      <x:c r="D9" s="15" t="str">
        <x:v>Reconfigurable treatment with minimal consumables</x:v>
      </x:c>
      <x:c r="E9" s="15" t="str">
        <x:v>Quality and cartridge envelope</x:v>
      </x:c>
      <x:c r="F9" s="15" t="str">
        <x:v>Unknown-feed challenge</x:v>
      </x:c>
      <x:c r="G9" s="15" t="str">
        <x:v>Undetected contaminant breakthrough</x:v>
      </x:c>
      <x:c r="H9" s="15" t="str">
        <x:v>Water Directorate</x:v>
      </x:c>
      <x:c r="I9" s="15" t="str">
        <x:v>Continuous quality evidence</x:v>
      </x:c>
    </x:row>
    <x:row r="10">
      <x:c r="A10" s="15" t="str">
        <x:v>Rapid infrastructure fabrication</x:v>
      </x:c>
      <x:c r="B10" s="15" t="str">
        <x:v>Conduit, bridge, pad, shelter and repair</x:v>
      </x:c>
      <x:c r="C10" s="15" t="str">
        <x:v>At least 7</x:v>
      </x:c>
      <x:c r="D10" s="15" t="str">
        <x:v>Certified structures from unprepared sites and local inputs</x:v>
      </x:c>
      <x:c r="E10" s="15" t="str">
        <x:v>Digital design/material qualification packet</x:v>
      </x:c>
      <x:c r="F10" s="15" t="str">
        <x:v>Destructive build-to-failure trial</x:v>
      </x:c>
      <x:c r="G10" s="15" t="str">
        <x:v>Fast installation hides latent defect</x:v>
      </x:c>
      <x:c r="H10" s="15" t="str">
        <x:v>Materials Directorate</x:v>
      </x:c>
      <x:c r="I10" s="15" t="str">
        <x:v>Load case and removal included</x:v>
      </x:c>
    </x:row>
    <x:row r="11">
      <x:c r="A11" s="15" t="str">
        <x:v>Adaptive structures/materials</x:v>
      </x:c>
      <x:c r="B11" s="15" t="str">
        <x:v>Sense, isolate, heal or sacrifice</x:v>
      </x:c>
      <x:c r="C11" s="15" t="str">
        <x:v>At least 6</x:v>
      </x:c>
      <x:c r="D11" s="15" t="str">
        <x:v>Inspectable failure and recoverable function</x:v>
      </x:c>
      <x:c r="E11" s="15" t="str">
        <x:v>Health-state and replacement interface</x:v>
      </x:c>
      <x:c r="F11" s="15" t="str">
        <x:v>Cyclic multi-hazard test</x:v>
      </x:c>
      <x:c r="G11" s="15" t="str">
        <x:v>False health signal</x:v>
      </x:c>
      <x:c r="H11" s="15" t="str">
        <x:v>Structures Directorate</x:v>
      </x:c>
      <x:c r="I11" s="15" t="str">
        <x:v>Field inspection reproducibility</x:v>
      </x:c>
    </x:row>
    <x:row r="12">
      <x:c r="A12" s="15" t="str">
        <x:v>Distributed biomanufacturing</x:v>
      </x:c>
      <x:c r="B12" s="15" t="str">
        <x:v>Local medical/food biological production</x:v>
      </x:c>
      <x:c r="C12" s="15" t="str">
        <x:v>At least 3</x:v>
      </x:c>
      <x:c r="D12" s="15" t="str">
        <x:v>Multi-product switch with embedded quality release</x:v>
      </x:c>
      <x:c r="E12" s="15" t="str">
        <x:v>Recipe, containment and QC chain</x:v>
      </x:c>
      <x:c r="F12" s="15" t="str">
        <x:v>Contaminated/variant input challenge</x:v>
      </x:c>
      <x:c r="G12" s="15" t="str">
        <x:v>Distributed batch release failure</x:v>
      </x:c>
      <x:c r="H12" s="15" t="str">
        <x:v>Health Directorate</x:v>
      </x:c>
      <x:c r="I12" s="15" t="str">
        <x:v>Independent release authority</x:v>
      </x:c>
    </x:row>
    <x:row r="13">
      <x:c r="A13" s="15" t="str">
        <x:v>Industrial digital thread</x:v>
      </x:c>
      <x:c r="B13" s="15" t="str">
        <x:v>Configuration, supplier, tooling and sustainment provenance</x:v>
      </x:c>
      <x:c r="C13" s="15" t="str">
        <x:v>All 12</x:v>
      </x:c>
      <x:c r="D13" s="15" t="str">
        <x:v>Rapid surge without configuration drift</x:v>
      </x:c>
      <x:c r="E13" s="15" t="str">
        <x:v>Authoritative bill/process/test schema</x:v>
      </x:c>
      <x:c r="F13" s="15" t="str">
        <x:v>Supplier substitution mobilization exercise</x:v>
      </x:c>
      <x:c r="G13" s="15" t="str">
        <x:v>Counterfeit or silent design divergence</x:v>
      </x:c>
      <x:c r="H13" s="15" t="str">
        <x:v>Manufacturing Administration</x:v>
      </x:c>
      <x:c r="I13" s="15" t="str">
        <x:v>Every field item traceable</x:v>
      </x:c>
    </x:row>
    <x:row r="14">
      <x:c r="A14" s="15" t="str">
        <x:v>Resilient comms/edge compute</x:v>
      </x:c>
      <x:c r="B14" s="15" t="str">
        <x:v>Trusted computation and coordination through loss</x:v>
      </x:c>
      <x:c r="C14" s="15" t="str">
        <x:v>All 12</x:v>
      </x:c>
      <x:c r="D14" s="15" t="str">
        <x:v>Graceful degradation across bearer, power and cyber failure</x:v>
      </x:c>
      <x:c r="E14" s="15" t="str">
        <x:v>Identity, data priority and compute packaging</x:v>
      </x:c>
      <x:c r="F14" s="15" t="str">
        <x:v>Combined cyber/physical blackout trial</x:v>
      </x:c>
      <x:c r="G14" s="15" t="str">
        <x:v>Shared software disables formations</x:v>
      </x:c>
      <x:c r="H14" s="15" t="str">
        <x:v>Communications Directorate</x:v>
      </x:c>
      <x:c r="I14" s="15" t="str">
        <x:v>Mission-essential offline mode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1" hidden="0" customWidth="1"/>
    <x:col min="3" max="3" width="15" hidden="0" customWidth="1"/>
    <x:col min="4" max="4" width="18" hidden="0" customWidth="1"/>
    <x:col min="5" max="5" width="19" hidden="0" customWidth="1"/>
    <x:col min="6" max="6" width="58" hidden="0" customWidth="1"/>
    <x:col min="7" max="7" width="32" hidden="0" customWidth="1"/>
    <x:col min="8" max="8" width="30" hidden="0" customWidth="1"/>
  </x:cols>
  <x:sheetData>
    <x:row r="1" ht="32" customHeight="1">
      <x:c r="A1" s="71" t="str">
        <x:v>Portfolio Attrition and Maturity</x:v>
      </x:c>
      <x:c r="B1" s="29"/>
      <x:c r="C1" s="29"/>
      <x:c r="D1" s="29"/>
      <x:c r="E1" s="29"/>
      <x:c r="F1" s="29"/>
      <x:c r="G1" s="29"/>
      <x:c r="H1" s="29"/>
    </x:row>
    <x:row r="2" ht="34" customHeight="1">
      <x:c r="A2" s="70" t="str">
        <x:v>The reference funnel plans failure. Counts are editable hypotheses; the survival rate is computed from the prior stage.</x:v>
      </x:c>
      <x:c r="B2" s="29"/>
      <x:c r="C2" s="29"/>
      <x:c r="D2" s="29"/>
      <x:c r="E2" s="29"/>
      <x:c r="F2" s="29"/>
      <x:c r="G2" s="29"/>
      <x:c r="H2" s="29"/>
    </x:row>
    <x:row r="3">
      <x:c r="A3" s="29"/>
      <x:c r="B3" s="29"/>
      <x:c r="C3" s="29"/>
      <x:c r="D3" s="29"/>
      <x:c r="E3" s="29"/>
      <x:c r="F3" s="29"/>
      <x:c r="G3" s="29"/>
      <x:c r="H3" s="29"/>
    </x:row>
    <x:row r="4">
      <x:c r="A4" s="28" t="str">
        <x:v>Stage</x:v>
      </x:c>
      <x:c r="B4" s="28" t="str">
        <x:v>Year</x:v>
      </x:c>
      <x:c r="C4" s="28" t="str">
        <x:v>Entry count</x:v>
      </x:c>
      <x:c r="D4" s="28" t="str">
        <x:v>Survival vs prior</x:v>
      </x:c>
      <x:c r="E4" s="28" t="str">
        <x:v>Cumulative survival</x:v>
      </x:c>
      <x:c r="F4" s="28" t="str">
        <x:v>Required evidence</x:v>
      </x:c>
      <x:c r="G4" s="28" t="str">
        <x:v>Primary owner</x:v>
      </x:c>
      <x:c r="H4" s="28" t="str">
        <x:v>Exit disposition</x:v>
      </x:c>
    </x:row>
    <x:row r="5">
      <x:c r="A5" s="15" t="str">
        <x:v>Paid concepts</x:v>
      </x:c>
      <x:c r="B5" s="15" t="n">
        <x:v>1</x:v>
      </x:c>
      <x:c r="C5" s="15" t="n">
        <x:v>240</x:v>
      </x:c>
      <x:c r="D5" s="45" t="n">
        <x:f>1</x:f>
        <x:v>1</x:v>
      </x:c>
      <x:c r="E5" s="45" t="n">
        <x:f>C5/$C$5</x:f>
        <x:v>1</x:v>
      </x:c>
      <x:c r="F5" s="15" t="str">
        <x:v>Quantified opportunity and rival mechanism</x:v>
      </x:c>
      <x:c r="G5" s="15" t="str">
        <x:v>ARPA-R</x:v>
      </x:c>
      <x:c r="H5" s="15" t="str">
        <x:v>Compete</x:v>
      </x:c>
    </x:row>
    <x:row r="6">
      <x:c r="A6" s="15" t="str">
        <x:v>TRL 3 analytical/experimental proof</x:v>
      </x:c>
      <x:c r="B6" s="15" t="n">
        <x:v>3</x:v>
      </x:c>
      <x:c r="C6" s="15" t="n">
        <x:v>180</x:v>
      </x:c>
      <x:c r="D6" s="45" t="n">
        <x:f>C6/C5</x:f>
        <x:v>0.75</x:v>
      </x:c>
      <x:c r="E6" s="45" t="n">
        <x:f>C6/$C$5</x:f>
        <x:v>0.75</x:v>
      </x:c>
      <x:c r="F6" s="15" t="str">
        <x:v>Reproducible critical-function evidence</x:v>
      </x:c>
      <x:c r="G6" s="15" t="str">
        <x:v>ARPA-R + labs</x:v>
      </x:c>
      <x:c r="H6" s="15" t="str">
        <x:v>Compete/stop</x:v>
      </x:c>
    </x:row>
    <x:row r="7">
      <x:c r="A7" s="15" t="str">
        <x:v>TRL 4 integrated laboratory breadboard</x:v>
      </x:c>
      <x:c r="B7" s="15" t="n">
        <x:v>5</x:v>
      </x:c>
      <x:c r="C7" s="15" t="n">
        <x:v>132</x:v>
      </x:c>
      <x:c r="D7" s="45" t="n">
        <x:f>C7/C6</x:f>
        <x:v>0.7333333333333333</x:v>
      </x:c>
      <x:c r="E7" s="45" t="n">
        <x:f>C7/$C$5</x:f>
        <x:v>0.55</x:v>
      </x:c>
      <x:c r="F7" s="15" t="str">
        <x:v>Integrated function under controlled extremes</x:v>
      </x:c>
      <x:c r="G7" s="15" t="str">
        <x:v>Labs</x:v>
      </x:c>
      <x:c r="H7" s="15" t="str">
        <x:v>Advance/redirect</x:v>
      </x:c>
    </x:row>
    <x:row r="8">
      <x:c r="A8" s="15" t="str">
        <x:v>TRL 5 relevant-environment prototype</x:v>
      </x:c>
      <x:c r="B8" s="15" t="n">
        <x:v>8</x:v>
      </x:c>
      <x:c r="C8" s="15" t="n">
        <x:v>96</x:v>
      </x:c>
      <x:c r="D8" s="45" t="n">
        <x:f>C8/C7</x:f>
        <x:v>0.7272727272727273</x:v>
      </x:c>
      <x:c r="E8" s="45" t="n">
        <x:f>C8/$C$5</x:f>
        <x:v>0.4</x:v>
      </x:c>
      <x:c r="F8" s="15" t="str">
        <x:v>Representative environment and measured burden</x:v>
      </x:c>
      <x:c r="G8" s="15" t="str">
        <x:v>Proving Network</x:v>
      </x:c>
      <x:c r="H8" s="15" t="str">
        <x:v>Advance/stop</x:v>
      </x:c>
    </x:row>
    <x:row r="9">
      <x:c r="A9" s="15" t="str">
        <x:v>TRL 6 representative system prototype</x:v>
      </x:c>
      <x:c r="B9" s="15" t="n">
        <x:v>11</x:v>
      </x:c>
      <x:c r="C9" s="15" t="n">
        <x:v>64</x:v>
      </x:c>
      <x:c r="D9" s="45" t="n">
        <x:f>C9/C8</x:f>
        <x:v>0.6666666666666666</x:v>
      </x:c>
      <x:c r="E9" s="45" t="n">
        <x:f>C9/$C$5</x:f>
        <x:v>0.26666666666666666</x:v>
      </x:c>
      <x:c r="F9" s="15" t="str">
        <x:v>Configuration-controlled system trial</x:v>
      </x:c>
      <x:c r="G9" s="15" t="str">
        <x:v>RTEA</x:v>
      </x:c>
      <x:c r="H9" s="15" t="str">
        <x:v>Enter mission thread</x:v>
      </x:c>
    </x:row>
    <x:row r="10">
      <x:c r="A10" s="15" t="str">
        <x:v>TRL 7 operational prototype</x:v>
      </x:c>
      <x:c r="B10" s="15" t="n">
        <x:v>15</x:v>
      </x:c>
      <x:c r="C10" s="15" t="n">
        <x:v>40</x:v>
      </x:c>
      <x:c r="D10" s="45" t="n">
        <x:f>C10/C9</x:f>
        <x:v>0.625</x:v>
      </x:c>
      <x:c r="E10" s="45" t="n">
        <x:f>C10/$C$5</x:f>
        <x:v>0.16666666666666666</x:v>
      </x:c>
      <x:c r="F10" s="15" t="str">
        <x:v>Complete mission thread with users and sustainment</x:v>
      </x:c>
      <x:c r="G10" s="15" t="str">
        <x:v>RTEA + Service Tech Cmd</x:v>
      </x:c>
      <x:c r="H10" s="15" t="str">
        <x:v>Limited field authority</x:v>
      </x:c>
    </x:row>
    <x:row r="11">
      <x:c r="A11" s="15" t="str">
        <x:v>TRL 8 qualified increment</x:v>
      </x:c>
      <x:c r="B11" s="15" t="n">
        <x:v>19</x:v>
      </x:c>
      <x:c r="C11" s="15" t="n">
        <x:v>28</x:v>
      </x:c>
      <x:c r="D11" s="45" t="n">
        <x:f>C11/C10</x:f>
        <x:v>0.7</x:v>
      </x:c>
      <x:c r="E11" s="45" t="n">
        <x:f>C11/$C$5</x:f>
        <x:v>0.11666666666666667</x:v>
      </x:c>
      <x:c r="F11" s="15" t="str">
        <x:v>Safety, reliability, manufacturability and doctrine</x:v>
      </x:c>
      <x:c r="G11" s="15" t="str">
        <x:v>RTEA + Manufacturing</x:v>
      </x:c>
      <x:c r="H11" s="15" t="str">
        <x:v>Production decision</x:v>
      </x:c>
    </x:row>
    <x:row r="12">
      <x:c r="A12" s="15" t="str">
        <x:v>Programs of record / open standard</x:v>
      </x:c>
      <x:c r="B12" s="15" t="n">
        <x:v>25</x:v>
      </x:c>
      <x:c r="C12" s="15" t="n">
        <x:v>20</x:v>
      </x:c>
      <x:c r="D12" s="45" t="n">
        <x:f>C12/C11</x:f>
        <x:v>0.7142857142857143</x:v>
      </x:c>
      <x:c r="E12" s="45" t="n">
        <x:f>C12/$C$5</x:f>
        <x:v>0.08333333333333333</x:v>
      </x:c>
      <x:c r="F12" s="15" t="str">
        <x:v>Replicated public effect and lifecycle support</x:v>
      </x:c>
      <x:c r="G12" s="15" t="str">
        <x:v>Department Acquisition Board</x:v>
      </x:c>
      <x:c r="H12" s="15" t="str">
        <x:v>Scale, license or maintain option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0" hidden="0" customWidth="1"/>
    <x:col min="3" max="3" width="16" hidden="0" customWidth="1"/>
    <x:col min="4" max="4" width="16" hidden="0" customWidth="1"/>
    <x:col min="5" max="5" width="20" hidden="0" customWidth="1"/>
    <x:col min="6" max="6" width="16" hidden="0" customWidth="1"/>
    <x:col min="7" max="7" width="15" hidden="0" customWidth="1"/>
    <x:col min="8" max="8" width="15" hidden="0" customWidth="1"/>
    <x:col min="9" max="9" width="44" hidden="0" customWidth="1"/>
    <x:col min="10" max="10" width="62" hidden="0" customWidth="1"/>
  </x:cols>
  <x:sheetData>
    <x:row r="1" ht="32" customHeight="1">
      <x:c r="A1" s="71" t="str">
        <x:v>National Resilience Proving Network</x:v>
      </x:c>
      <x:c r="B1" s="29"/>
      <x:c r="C1" s="29"/>
      <x:c r="D1" s="29"/>
      <x:c r="E1" s="29"/>
      <x:c r="F1" s="29"/>
      <x:c r="G1" s="29"/>
      <x:c r="H1" s="29"/>
      <x:c r="I1" s="29"/>
      <x:c r="J1" s="29"/>
    </x:row>
    <x:row r="2" ht="34" customHeight="1">
      <x:c r="A2" s="70" t="str">
        <x:v>Purpose-built sovereign infrastructure sized for repeatable, destructive, cross-hazard and public-effect testing.</x:v>
      </x:c>
      <x:c r="B2" s="29"/>
      <x:c r="C2" s="29"/>
      <x:c r="D2" s="29"/>
      <x:c r="E2" s="29"/>
      <x:c r="F2" s="29"/>
      <x:c r="G2" s="29"/>
      <x:c r="H2" s="29"/>
      <x:c r="I2" s="29"/>
      <x:c r="J2" s="29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</x:row>
    <x:row r="4">
      <x:c r="A4" s="28" t="str">
        <x:v>Range family</x:v>
      </x:c>
      <x:c r="B4" s="28" t="str">
        <x:v>Sites</x:v>
      </x:c>
      <x:c r="C4" s="28" t="str">
        <x:v>Reference $B</x:v>
      </x:c>
      <x:c r="D4" s="28" t="str">
        <x:v>Selected $B</x:v>
      </x:c>
      <x:c r="E4" s="28" t="str">
        <x:v>Annual event slots/site</x:v>
      </x:c>
      <x:c r="F4" s="28" t="str">
        <x:v>Network slots</x:v>
      </x:c>
      <x:c r="G4" s="28" t="str">
        <x:v>Peak demand</x:v>
      </x:c>
      <x:c r="H4" s="28" t="str">
        <x:v>Utilization</x:v>
      </x:c>
      <x:c r="I4" s="28" t="str">
        <x:v>Primary campaigns</x:v>
      </x:c>
      <x:c r="J4" s="28" t="str">
        <x:v>Design requirement</x:v>
      </x:c>
    </x:row>
    <x:row r="5">
      <x:c r="A5" s="29" t="str">
        <x:v>Earth-state &amp; forecast tournament</x:v>
      </x:c>
      <x:c r="B5" s="29" t="n">
        <x:v>3</x:v>
      </x:c>
      <x:c r="C5" s="32" t="n">
        <x:v>10</x:v>
      </x:c>
      <x:c r="D5" s="32" t="n">
        <x:f>C5/120*Portfolio!$C$21</x:f>
        <x:v>26.666666666666664</x:v>
      </x:c>
      <x:c r="E5" s="29" t="n">
        <x:v>120</x:v>
      </x:c>
      <x:c r="F5" s="29" t="n">
        <x:f>B5*E5</x:f>
        <x:v>360</x:v>
      </x:c>
      <x:c r="G5" s="29" t="n">
        <x:v>260</x:v>
      </x:c>
      <x:c r="H5" s="38" t="n">
        <x:f>G5/F5</x:f>
        <x:v>0.7222222222222222</x:v>
      </x:c>
      <x:c r="I5" s="15" t="str">
        <x:v>Earth intelligence; all twins</x:v>
      </x:c>
      <x:c r="J5" s="15" t="str">
        <x:v>Blind data, prospective decisions, adversarial tail events</x:v>
      </x:c>
    </x:row>
    <x:row r="6">
      <x:c r="A6" s="29" t="str">
        <x:v>Fire–atmosphere complex</x:v>
      </x:c>
      <x:c r="B6" s="29" t="n">
        <x:v>4</x:v>
      </x:c>
      <x:c r="C6" s="32" t="n">
        <x:v>15</x:v>
      </x:c>
      <x:c r="D6" s="32" t="n">
        <x:f>C6/120*Portfolio!$C$21</x:f>
        <x:v>40</x:v>
      </x:c>
      <x:c r="E6" s="29" t="n">
        <x:v>45</x:v>
      </x:c>
      <x:c r="F6" s="29" t="n">
        <x:f>B6*E6</x:f>
        <x:v>180</x:v>
      </x:c>
      <x:c r="G6" s="29" t="n">
        <x:v>132</x:v>
      </x:c>
      <x:c r="H6" s="38" t="n">
        <x:f>G6/F6</x:f>
        <x:v>0.7333333333333333</x:v>
      </x:c>
      <x:c r="I6" s="15" t="str">
        <x:v>Fire, smoke, aviation, robotics</x:v>
      </x:c>
      <x:c r="J6" s="15" t="str">
        <x:v>Large plots, WUI mockups, night/mixed-airspace, environmental fate</x:v>
      </x:c>
    </x:row>
    <x:row r="7">
      <x:c r="A7" s="29" t="str">
        <x:v>Hydraulic &amp; coastal complex</x:v>
      </x:c>
      <x:c r="B7" s="29" t="n">
        <x:v>10</x:v>
      </x:c>
      <x:c r="C7" s="32" t="n">
        <x:v>24</x:v>
      </x:c>
      <x:c r="D7" s="32" t="n">
        <x:f>C7/120*Portfolio!$C$21</x:f>
        <x:v>64</x:v>
      </x:c>
      <x:c r="E7" s="29" t="n">
        <x:v>32</x:v>
      </x:c>
      <x:c r="F7" s="29" t="n">
        <x:f>B7*E7</x:f>
        <x:v>320</x:v>
      </x:c>
      <x:c r="G7" s="29" t="n">
        <x:v>242</x:v>
      </x:c>
      <x:c r="H7" s="38" t="n">
        <x:f>G7/F7</x:f>
        <x:v>0.75625</x:v>
      </x:c>
      <x:c r="I7" s="15" t="str">
        <x:v>Pumps, barriers, breach, amphibious access</x:v>
      </x:c>
      <x:c r="J7" s="15" t="str">
        <x:v>Full-curve flow, debris, sediment, surf, live breach and discharge</x:v>
      </x:c>
    </x:row>
    <x:row r="8">
      <x:c r="A8" s="29" t="str">
        <x:v>Water chemistry &amp; separations range</x:v>
      </x:c>
      <x:c r="B8" s="29" t="n">
        <x:v>5</x:v>
      </x:c>
      <x:c r="C8" s="32" t="n">
        <x:v>9</x:v>
      </x:c>
      <x:c r="D8" s="32" t="n">
        <x:f>C8/120*Portfolio!$C$21</x:f>
        <x:v>24</x:v>
      </x:c>
      <x:c r="E8" s="29" t="n">
        <x:v>70</x:v>
      </x:c>
      <x:c r="F8" s="29" t="n">
        <x:f>B8*E8</x:f>
        <x:v>350</x:v>
      </x:c>
      <x:c r="G8" s="29" t="n">
        <x:v>250</x:v>
      </x:c>
      <x:c r="H8" s="38" t="n">
        <x:f>G8/F8</x:f>
        <x:v>0.7142857142857143</x:v>
      </x:c>
      <x:c r="I8" s="15" t="str">
        <x:v>Treatment, brine, wastewater, resource recovery</x:v>
      </x:c>
      <x:c r="J8" s="15" t="str">
        <x:v>Unknown-feed challenges and closed mass balance</x:v>
      </x:c>
    </x:row>
    <x:row r="9">
      <x:c r="A9" s="29" t="str">
        <x:v>Grid, power &amp; thermal range</x:v>
      </x:c>
      <x:c r="B9" s="29" t="n">
        <x:v>5</x:v>
      </x:c>
      <x:c r="C9" s="32" t="n">
        <x:v>14</x:v>
      </x:c>
      <x:c r="D9" s="32" t="n">
        <x:f>C9/120*Portfolio!$C$21</x:f>
        <x:v>37.333333333333336</x:v>
      </x:c>
      <x:c r="E9" s="29" t="n">
        <x:v>70</x:v>
      </x:c>
      <x:c r="F9" s="29" t="n">
        <x:f>B9*E9</x:f>
        <x:v>350</x:v>
      </x:c>
      <x:c r="G9" s="29" t="n">
        <x:v>245</x:v>
      </x:c>
      <x:c r="H9" s="38" t="n">
        <x:f>G9/F9</x:f>
        <x:v>0.7</x:v>
      </x:c>
      <x:c r="I9" s="15" t="str">
        <x:v>Microgrids, storage, firm power, cooling/heating</x:v>
      </x:c>
      <x:c r="J9" s="15" t="str">
        <x:v>Black start, cascading faults, island/rejoin and 30-day endurance</x:v>
      </x:c>
    </x:row>
    <x:row r="10">
      <x:c r="A10" s="29" t="str">
        <x:v>Health &amp; bioresponse campus</x:v>
      </x:c>
      <x:c r="B10" s="29" t="n">
        <x:v>4</x:v>
      </x:c>
      <x:c r="C10" s="32" t="n">
        <x:v>11</x:v>
      </x:c>
      <x:c r="D10" s="32" t="n">
        <x:f>C10/120*Portfolio!$C$21</x:f>
        <x:v>29.333333333333332</x:v>
      </x:c>
      <x:c r="E10" s="29" t="n">
        <x:v>65</x:v>
      </x:c>
      <x:c r="F10" s="29" t="n">
        <x:f>B10*E10</x:f>
        <x:v>260</x:v>
      </x:c>
      <x:c r="G10" s="29" t="n">
        <x:v>190</x:v>
      </x:c>
      <x:c r="H10" s="38" t="n">
        <x:f>G10/F10</x:f>
        <x:v>0.7307692307692307</x:v>
      </x:c>
      <x:c r="I10" s="15" t="str">
        <x:v>Mobile hospital, biomanufacturing, indoor air</x:v>
      </x:c>
      <x:c r="J10" s="15" t="str">
        <x:v>Clinical simulation, containment, release and degraded supply</x:v>
      </x:c>
    </x:row>
    <x:row r="11">
      <x:c r="A11" s="29" t="str">
        <x:v>Built environment &amp; ground range</x:v>
      </x:c>
      <x:c r="B11" s="29" t="n">
        <x:v>7</x:v>
      </x:c>
      <x:c r="C11" s="32" t="n">
        <x:v>15</x:v>
      </x:c>
      <x:c r="D11" s="32" t="n">
        <x:f>C11/120*Portfolio!$C$21</x:f>
        <x:v>40</x:v>
      </x:c>
      <x:c r="E11" s="29" t="n">
        <x:v>45</x:v>
      </x:c>
      <x:c r="F11" s="29" t="n">
        <x:f>B11*E11</x:f>
        <x:v>315</x:v>
      </x:c>
      <x:c r="G11" s="29" t="n">
        <x:v>225</x:v>
      </x:c>
      <x:c r="H11" s="38" t="n">
        <x:f>G11/F11</x:f>
        <x:v>0.7142857142857143</x:v>
      </x:c>
      <x:c r="I11" s="15" t="str">
        <x:v>Seismic, wind, structures, geotechnical, repair</x:v>
      </x:c>
      <x:c r="J11" s="15" t="str">
        <x:v>Full-scale destructive loading and lifeline coupling</x:v>
      </x:c>
    </x:row>
    <x:row r="12">
      <x:c r="A12" s="29" t="str">
        <x:v>Broken-network mobility corridor</x:v>
      </x:c>
      <x:c r="B12" s="29" t="n">
        <x:v>6</x:v>
      </x:c>
      <x:c r="C12" s="32" t="n">
        <x:v>10</x:v>
      </x:c>
      <x:c r="D12" s="32" t="n">
        <x:f>C12/120*Portfolio!$C$21</x:f>
        <x:v>26.666666666666664</x:v>
      </x:c>
      <x:c r="E12" s="29" t="n">
        <x:v>55</x:v>
      </x:c>
      <x:c r="F12" s="29" t="n">
        <x:f>B12*E12</x:f>
        <x:v>330</x:v>
      </x:c>
      <x:c r="G12" s="29" t="n">
        <x:v>245</x:v>
      </x:c>
      <x:c r="H12" s="38" t="n">
        <x:f>G12/F12</x:f>
        <x:v>0.7424242424242424</x:v>
      </x:c>
      <x:c r="I12" s="15" t="str">
        <x:v>Route opening, bridges, logistics, autonomy</x:v>
      </x:c>
      <x:c r="J12" s="15" t="str">
        <x:v>Debris, grade, water, denied comms and unprepared terminals</x:v>
      </x:c>
    </x:row>
    <x:row r="13">
      <x:c r="A13" s="29" t="str">
        <x:v>Manufacturing mobilization ranges</x:v>
      </x:c>
      <x:c r="B13" s="29" t="n">
        <x:v>8</x:v>
      </x:c>
      <x:c r="C13" s="32" t="n">
        <x:v>7</x:v>
      </x:c>
      <x:c r="D13" s="32" t="n">
        <x:f>C13/120*Portfolio!$C$21</x:f>
        <x:v>18.666666666666668</x:v>
      </x:c>
      <x:c r="E13" s="29" t="n">
        <x:v>38</x:v>
      </x:c>
      <x:c r="F13" s="29" t="n">
        <x:f>B13*E13</x:f>
        <x:v>304</x:v>
      </x:c>
      <x:c r="G13" s="29" t="n">
        <x:v>230</x:v>
      </x:c>
      <x:c r="H13" s="38" t="n">
        <x:f>G13/F13</x:f>
        <x:v>0.756578947368421</x:v>
      </x:c>
      <x:c r="I13" s="15" t="str">
        <x:v>Surge tooling, substitution, repair and metrology</x:v>
      </x:c>
      <x:c r="J13" s="15" t="str">
        <x:v>Cold supplier activation and configuration-drift detection</x:v>
      </x:c>
    </x:row>
    <x:row r="14">
      <x:c r="A14" s="29" t="str">
        <x:v>Joint public-effect campuses</x:v>
      </x:c>
      <x:c r="B14" s="29" t="n">
        <x:v>6</x:v>
      </x:c>
      <x:c r="C14" s="32" t="n">
        <x:v>5</x:v>
      </x:c>
      <x:c r="D14" s="32" t="n">
        <x:f>C14/120*Portfolio!$C$21</x:f>
        <x:v>13.333333333333332</x:v>
      </x:c>
      <x:c r="E14" s="29" t="n">
        <x:v>45</x:v>
      </x:c>
      <x:c r="F14" s="29" t="n">
        <x:f>B14*E14</x:f>
        <x:v>270</x:v>
      </x:c>
      <x:c r="G14" s="29" t="n">
        <x:v>205</x:v>
      </x:c>
      <x:c r="H14" s="38" t="n">
        <x:f>G14/F14</x:f>
        <x:v>0.7592592592592593</x:v>
      </x:c>
      <x:c r="I14" s="15" t="str">
        <x:v>Complete mission threads and community transfer</x:v>
      </x:c>
      <x:c r="J14" s="15" t="str">
        <x:v>Accessible services, host burden, equity and civil handoff</x:v>
      </x:c>
    </x:row>
    <x:row r="15">
      <x:c r="A15" s="29"/>
      <x:c r="B15" s="29"/>
      <x:c r="C15" s="32"/>
      <x:c r="D15" s="32"/>
      <x:c r="E15" s="29"/>
      <x:c r="F15" s="29"/>
      <x:c r="G15" s="29"/>
      <x:c r="H15" s="38"/>
      <x:c r="I15" s="29"/>
      <x:c r="J15" s="29"/>
    </x:row>
    <x:row r="16">
      <x:c r="A16" s="55" t="str">
        <x:v>TOTAL</x:v>
      </x:c>
      <x:c r="B16" s="55" t="n">
        <x:f>SUM(B5:B14)</x:f>
        <x:v>58</x:v>
      </x:c>
      <x:c r="C16" s="56" t="n">
        <x:f>SUM(C5:C14)</x:f>
        <x:v>120</x:v>
      </x:c>
      <x:c r="D16" s="56" t="n">
        <x:f>SUM(D5:D14)</x:f>
        <x:v>320.00000000000006</x:v>
      </x:c>
      <x:c r="E16" s="55"/>
      <x:c r="F16" s="55" t="n">
        <x:f>SUM(F5:F14)</x:f>
        <x:v>3039</x:v>
      </x:c>
      <x:c r="G16" s="55" t="n">
        <x:f>SUM(G5:G14)</x:f>
        <x:v>2224</x:v>
      </x:c>
      <x:c r="H16" s="57" t="n">
        <x:f>G16/F16</x:f>
        <x:v>0.7318196775255018</x:v>
      </x:c>
      <x:c r="I16" s="55" t="str"/>
      <x:c r="J16" s="55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3" hidden="0" customWidth="1"/>
    <x:col min="3" max="3" width="18" hidden="0" customWidth="1"/>
    <x:col min="4" max="4" width="16" hidden="0" customWidth="1"/>
    <x:col min="5" max="5" width="20" hidden="0" customWidth="1"/>
    <x:col min="6" max="6" width="20" hidden="0" customWidth="1"/>
    <x:col min="7" max="7" width="18" hidden="0" customWidth="1"/>
    <x:col min="8" max="8" width="23" hidden="0" customWidth="1"/>
    <x:col min="9" max="9" width="25" hidden="0" customWidth="1"/>
  </x:cols>
  <x:sheetData>
    <x:row r="1" ht="32" customHeight="1">
      <x:c r="A1" s="71" t="str">
        <x:v>25-Year Funding Profile</x:v>
      </x:c>
      <x:c r="B1" s="29"/>
      <x:c r="C1" s="29"/>
      <x:c r="D1" s="29"/>
      <x:c r="E1" s="29"/>
      <x:c r="F1" s="29"/>
      <x:c r="G1" s="29"/>
      <x:c r="H1" s="29"/>
      <x:c r="I1" s="29"/>
    </x:row>
    <x:row r="2" ht="34" customHeight="1">
      <x:c r="A2" s="70" t="str">
        <x:v>A normalized raw-weight curve separates build-out, competitive prototyping, test and transition. Selected funding sums to the chosen envelope.</x:v>
      </x:c>
      <x:c r="B2" s="29"/>
      <x:c r="C2" s="29"/>
      <x:c r="D2" s="29"/>
      <x:c r="E2" s="29"/>
      <x:c r="F2" s="29"/>
      <x:c r="G2" s="29"/>
      <x:c r="H2" s="29"/>
      <x:c r="I2" s="29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</x:row>
    <x:row r="4">
      <x:c r="A4" s="28" t="str">
        <x:v>Year</x:v>
      </x:c>
      <x:c r="B4" s="28" t="str">
        <x:v>Raw weight</x:v>
      </x:c>
      <x:c r="C4" s="28" t="str">
        <x:v>Normalized share</x:v>
      </x:c>
      <x:c r="D4" s="28" t="str">
        <x:v>Selected $B</x:v>
      </x:c>
      <x:c r="E4" s="28" t="str">
        <x:v>Discovery/ARPA-R</x:v>
      </x:c>
      <x:c r="F4" s="28" t="str">
        <x:v>Labs &amp; facilities</x:v>
      </x:c>
      <x:c r="G4" s="28" t="str">
        <x:v>Independent RTEA</x:v>
      </x:c>
      <x:c r="H4" s="28" t="str">
        <x:v>Transition/manufacturing</x:v>
      </x:c>
      <x:c r="I4" s="28" t="str">
        <x:v>Phase</x:v>
      </x:c>
    </x:row>
    <x:row r="5">
      <x:c r="A5" s="29" t="n">
        <x:v>1</x:v>
      </x:c>
      <x:c r="B5" s="29" t="n">
        <x:v>12</x:v>
      </x:c>
      <x:c r="C5" s="38" t="n">
        <x:f>B5/SUM($B$5:$B$29)</x:f>
        <x:v>0.011650485436893204</x:v>
      </x:c>
      <x:c r="D5" s="44" t="n">
        <x:f>C5*Controls!$B$13</x:f>
        <x:v>23.300970873786408</x:v>
      </x:c>
      <x:c r="E5" s="44" t="n">
        <x:f>D5*IF(A5&lt;=10,0.34,IF(A5&lt;=18,0.22,0.12))</x:f>
        <x:v>7.92233009708738</x:v>
      </x:c>
      <x:c r="F5" s="44" t="n">
        <x:f>D5*IF(A5&lt;=8,0.42,IF(A5&lt;=18,0.34,0.20))</x:f>
        <x:v>9.78640776699029</x:v>
      </x:c>
      <x:c r="G5" s="44" t="n">
        <x:f>D5*Controls!$B$9</x:f>
        <x:v>2.330097087378641</x:v>
      </x:c>
      <x:c r="H5" s="44" t="n">
        <x:f>D5-E5-F5-G5</x:f>
        <x:v>3.262135922330098</x:v>
      </x:c>
      <x:c r="I5" s="29" t="str">
        <x:v>Foundation</x:v>
      </x:c>
    </x:row>
    <x:row r="6">
      <x:c r="A6" s="29" t="n">
        <x:v>2</x:v>
      </x:c>
      <x:c r="B6" s="29" t="n">
        <x:v>20</x:v>
      </x:c>
      <x:c r="C6" s="38" t="n">
        <x:f>B6/SUM($B$5:$B$29)</x:f>
        <x:v>0.019417475728155338</x:v>
      </x:c>
      <x:c r="D6" s="44" t="n">
        <x:f>C6*Controls!$B$13</x:f>
        <x:v>38.83495145631068</x:v>
      </x:c>
      <x:c r="E6" s="44" t="n">
        <x:f>D6*IF(A6&lt;=10,0.34,IF(A6&lt;=18,0.22,0.12))</x:f>
        <x:v>13.20388349514563</x:v>
      </x:c>
      <x:c r="F6" s="44" t="n">
        <x:f>D6*IF(A6&lt;=8,0.42,IF(A6&lt;=18,0.34,0.20))</x:f>
        <x:v>16.310679611650485</x:v>
      </x:c>
      <x:c r="G6" s="44" t="n">
        <x:f>D6*Controls!$B$9</x:f>
        <x:v>3.883495145631068</x:v>
      </x:c>
      <x:c r="H6" s="44" t="n">
        <x:f>D6-E6-F6-G6</x:f>
        <x:v>5.436893203883491</x:v>
      </x:c>
      <x:c r="I6" s="29" t="str">
        <x:v>Foundation</x:v>
      </x:c>
    </x:row>
    <x:row r="7">
      <x:c r="A7" s="29" t="n">
        <x:v>3</x:v>
      </x:c>
      <x:c r="B7" s="29" t="n">
        <x:v>30</x:v>
      </x:c>
      <x:c r="C7" s="38" t="n">
        <x:f>B7/SUM($B$5:$B$29)</x:f>
        <x:v>0.02912621359223301</x:v>
      </x:c>
      <x:c r="D7" s="44" t="n">
        <x:f>C7*Controls!$B$13</x:f>
        <x:v>58.25242718446602</x:v>
      </x:c>
      <x:c r="E7" s="44" t="n">
        <x:f>D7*IF(A7&lt;=10,0.34,IF(A7&lt;=18,0.22,0.12))</x:f>
        <x:v>19.80582524271845</x:v>
      </x:c>
      <x:c r="F7" s="44" t="n">
        <x:f>D7*IF(A7&lt;=8,0.42,IF(A7&lt;=18,0.34,0.20))</x:f>
        <x:v>24.466019417475728</x:v>
      </x:c>
      <x:c r="G7" s="44" t="n">
        <x:f>D7*Controls!$B$9</x:f>
        <x:v>5.825242718446603</x:v>
      </x:c>
      <x:c r="H7" s="44" t="n">
        <x:f>D7-E7-F7-G7</x:f>
        <x:v>8.155339805825243</x:v>
      </x:c>
      <x:c r="I7" s="29" t="str">
        <x:v>Foundation</x:v>
      </x:c>
    </x:row>
    <x:row r="8">
      <x:c r="A8" s="29" t="n">
        <x:v>4</x:v>
      </x:c>
      <x:c r="B8" s="29" t="n">
        <x:v>40</x:v>
      </x:c>
      <x:c r="C8" s="38" t="n">
        <x:f>B8/SUM($B$5:$B$29)</x:f>
        <x:v>0.038834951456310676</x:v>
      </x:c>
      <x:c r="D8" s="44" t="n">
        <x:f>C8*Controls!$B$13</x:f>
        <x:v>77.66990291262135</x:v>
      </x:c>
      <x:c r="E8" s="44" t="n">
        <x:f>D8*IF(A8&lt;=10,0.34,IF(A8&lt;=18,0.22,0.12))</x:f>
        <x:v>26.40776699029126</x:v>
      </x:c>
      <x:c r="F8" s="44" t="n">
        <x:f>D8*IF(A8&lt;=8,0.42,IF(A8&lt;=18,0.34,0.20))</x:f>
        <x:v>32.62135922330097</x:v>
      </x:c>
      <x:c r="G8" s="44" t="n">
        <x:f>D8*Controls!$B$9</x:f>
        <x:v>7.766990291262136</x:v>
      </x:c>
      <x:c r="H8" s="44" t="n">
        <x:f>D8-E8-F8-G8</x:f>
        <x:v>10.873786407766982</x:v>
      </x:c>
      <x:c r="I8" s="29" t="str">
        <x:v>Foundation</x:v>
      </x:c>
    </x:row>
    <x:row r="9">
      <x:c r="A9" s="29" t="n">
        <x:v>5</x:v>
      </x:c>
      <x:c r="B9" s="29" t="n">
        <x:v>50</x:v>
      </x:c>
      <x:c r="C9" s="38" t="n">
        <x:f>B9/SUM($B$5:$B$29)</x:f>
        <x:v>0.04854368932038835</x:v>
      </x:c>
      <x:c r="D9" s="44" t="n">
        <x:f>C9*Controls!$B$13</x:f>
        <x:v>97.08737864077669</x:v>
      </x:c>
      <x:c r="E9" s="44" t="n">
        <x:f>D9*IF(A9&lt;=10,0.34,IF(A9&lt;=18,0.22,0.12))</x:f>
        <x:v>33.00970873786408</x:v>
      </x:c>
      <x:c r="F9" s="44" t="n">
        <x:f>D9*IF(A9&lt;=8,0.42,IF(A9&lt;=18,0.34,0.20))</x:f>
        <x:v>40.776699029126206</x:v>
      </x:c>
      <x:c r="G9" s="44" t="n">
        <x:f>D9*Controls!$B$9</x:f>
        <x:v>9.70873786407767</x:v>
      </x:c>
      <x:c r="H9" s="44" t="n">
        <x:f>D9-E9-F9-G9</x:f>
        <x:v>13.592233009708742</x:v>
      </x:c>
      <x:c r="I9" s="29" t="str">
        <x:v>Foundation</x:v>
      </x:c>
    </x:row>
    <x:row r="10">
      <x:c r="A10" s="29" t="n">
        <x:v>6</x:v>
      </x:c>
      <x:c r="B10" s="29" t="n">
        <x:v>60</x:v>
      </x:c>
      <x:c r="C10" s="38" t="n">
        <x:f>B10/SUM($B$5:$B$29)</x:f>
        <x:v>0.05825242718446602</x:v>
      </x:c>
      <x:c r="D10" s="44" t="n">
        <x:f>C10*Controls!$B$13</x:f>
        <x:v>116.50485436893204</x:v>
      </x:c>
      <x:c r="E10" s="44" t="n">
        <x:f>D10*IF(A10&lt;=10,0.34,IF(A10&lt;=18,0.22,0.12))</x:f>
        <x:v>39.6116504854369</x:v>
      </x:c>
      <x:c r="F10" s="44" t="n">
        <x:f>D10*IF(A10&lt;=8,0.42,IF(A10&lt;=18,0.34,0.20))</x:f>
        <x:v>48.932038834951456</x:v>
      </x:c>
      <x:c r="G10" s="44" t="n">
        <x:f>D10*Controls!$B$9</x:f>
        <x:v>11.650485436893206</x:v>
      </x:c>
      <x:c r="H10" s="44" t="n">
        <x:f>D10-E10-F10-G10</x:f>
        <x:v>16.310679611650485</x:v>
      </x:c>
      <x:c r="I10" s="29" t="str">
        <x:v>Competing prototypes</x:v>
      </x:c>
    </x:row>
    <x:row r="11">
      <x:c r="A11" s="29" t="n">
        <x:v>7</x:v>
      </x:c>
      <x:c r="B11" s="29" t="n">
        <x:v>65</x:v>
      </x:c>
      <x:c r="C11" s="38" t="n">
        <x:f>B11/SUM($B$5:$B$29)</x:f>
        <x:v>0.06310679611650485</x:v>
      </x:c>
      <x:c r="D11" s="44" t="n">
        <x:f>C11*Controls!$B$13</x:f>
        <x:v>126.2135922330097</x:v>
      </x:c>
      <x:c r="E11" s="44" t="n">
        <x:f>D11*IF(A11&lt;=10,0.34,IF(A11&lt;=18,0.22,0.12))</x:f>
        <x:v>42.9126213592233</x:v>
      </x:c>
      <x:c r="F11" s="44" t="n">
        <x:f>D11*IF(A11&lt;=8,0.42,IF(A11&lt;=18,0.34,0.20))</x:f>
        <x:v>53.009708737864074</x:v>
      </x:c>
      <x:c r="G11" s="44" t="n">
        <x:f>D11*Controls!$B$9</x:f>
        <x:v>12.62135922330097</x:v>
      </x:c>
      <x:c r="H11" s="44" t="n">
        <x:f>D11-E11-F11-G11</x:f>
        <x:v>17.669902912621367</x:v>
      </x:c>
      <x:c r="I11" s="29" t="str">
        <x:v>Competing prototypes</x:v>
      </x:c>
    </x:row>
    <x:row r="12">
      <x:c r="A12" s="29" t="n">
        <x:v>8</x:v>
      </x:c>
      <x:c r="B12" s="29" t="n">
        <x:v>70</x:v>
      </x:c>
      <x:c r="C12" s="38" t="n">
        <x:f>B12/SUM($B$5:$B$29)</x:f>
        <x:v>0.06796116504854369</x:v>
      </x:c>
      <x:c r="D12" s="44" t="n">
        <x:f>C12*Controls!$B$13</x:f>
        <x:v>135.92233009708738</x:v>
      </x:c>
      <x:c r="E12" s="44" t="n">
        <x:f>D12*IF(A12&lt;=10,0.34,IF(A12&lt;=18,0.22,0.12))</x:f>
        <x:v>46.21359223300971</x:v>
      </x:c>
      <x:c r="F12" s="44" t="n">
        <x:f>D12*IF(A12&lt;=8,0.42,IF(A12&lt;=18,0.34,0.20))</x:f>
        <x:v>57.0873786407767</x:v>
      </x:c>
      <x:c r="G12" s="44" t="n">
        <x:f>D12*Controls!$B$9</x:f>
        <x:v>13.592233009708739</x:v>
      </x:c>
      <x:c r="H12" s="44" t="n">
        <x:f>D12-E12-F12-G12</x:f>
        <x:v>19.02912621359224</x:v>
      </x:c>
      <x:c r="I12" s="29" t="str">
        <x:v>Competing prototypes</x:v>
      </x:c>
    </x:row>
    <x:row r="13">
      <x:c r="A13" s="29" t="n">
        <x:v>9</x:v>
      </x:c>
      <x:c r="B13" s="29" t="n">
        <x:v>72</x:v>
      </x:c>
      <x:c r="C13" s="38" t="n">
        <x:f>B13/SUM($B$5:$B$29)</x:f>
        <x:v>0.06990291262135923</x:v>
      </x:c>
      <x:c r="D13" s="44" t="n">
        <x:f>C13*Controls!$B$13</x:f>
        <x:v>139.80582524271844</x:v>
      </x:c>
      <x:c r="E13" s="44" t="n">
        <x:f>D13*IF(A13&lt;=10,0.34,IF(A13&lt;=18,0.22,0.12))</x:f>
        <x:v>47.53398058252427</x:v>
      </x:c>
      <x:c r="F13" s="44" t="n">
        <x:f>D13*IF(A13&lt;=8,0.42,IF(A13&lt;=18,0.34,0.20))</x:f>
        <x:v>47.53398058252427</x:v>
      </x:c>
      <x:c r="G13" s="44" t="n">
        <x:f>D13*Controls!$B$9</x:f>
        <x:v>13.980582524271846</x:v>
      </x:c>
      <x:c r="H13" s="44" t="n">
        <x:f>D13-E13-F13-G13</x:f>
        <x:v>30.75728155339806</x:v>
      </x:c>
      <x:c r="I13" s="29" t="str">
        <x:v>Competing prototypes</x:v>
      </x:c>
    </x:row>
    <x:row r="14">
      <x:c r="A14" s="29" t="n">
        <x:v>10</x:v>
      </x:c>
      <x:c r="B14" s="29" t="n">
        <x:v>72</x:v>
      </x:c>
      <x:c r="C14" s="38" t="n">
        <x:f>B14/SUM($B$5:$B$29)</x:f>
        <x:v>0.06990291262135923</x:v>
      </x:c>
      <x:c r="D14" s="44" t="n">
        <x:f>C14*Controls!$B$13</x:f>
        <x:v>139.80582524271844</x:v>
      </x:c>
      <x:c r="E14" s="44" t="n">
        <x:f>D14*IF(A14&lt;=10,0.34,IF(A14&lt;=18,0.22,0.12))</x:f>
        <x:v>47.53398058252427</x:v>
      </x:c>
      <x:c r="F14" s="44" t="n">
        <x:f>D14*IF(A14&lt;=8,0.42,IF(A14&lt;=18,0.34,0.20))</x:f>
        <x:v>47.53398058252427</x:v>
      </x:c>
      <x:c r="G14" s="44" t="n">
        <x:f>D14*Controls!$B$9</x:f>
        <x:v>13.980582524271846</x:v>
      </x:c>
      <x:c r="H14" s="44" t="n">
        <x:f>D14-E14-F14-G14</x:f>
        <x:v>30.75728155339806</x:v>
      </x:c>
      <x:c r="I14" s="29" t="str">
        <x:v>Competing prototypes</x:v>
      </x:c>
    </x:row>
    <x:row r="15">
      <x:c r="A15" s="29" t="n">
        <x:v>11</x:v>
      </x:c>
      <x:c r="B15" s="29" t="n">
        <x:v>68</x:v>
      </x:c>
      <x:c r="C15" s="38" t="n">
        <x:f>B15/SUM($B$5:$B$29)</x:f>
        <x:v>0.06601941747572816</x:v>
      </x:c>
      <x:c r="D15" s="44" t="n">
        <x:f>C15*Controls!$B$13</x:f>
        <x:v>132.03883495145632</x:v>
      </x:c>
      <x:c r="E15" s="44" t="n">
        <x:f>D15*IF(A15&lt;=10,0.34,IF(A15&lt;=18,0.22,0.12))</x:f>
        <x:v>29.04854368932039</x:v>
      </x:c>
      <x:c r="F15" s="44" t="n">
        <x:f>D15*IF(A15&lt;=8,0.42,IF(A15&lt;=18,0.34,0.20))</x:f>
        <x:v>44.893203883495154</x:v>
      </x:c>
      <x:c r="G15" s="44" t="n">
        <x:f>D15*Controls!$B$9</x:f>
        <x:v>13.203883495145632</x:v>
      </x:c>
      <x:c r="H15" s="44" t="n">
        <x:f>D15-E15-F15-G15</x:f>
        <x:v>44.893203883495154</x:v>
      </x:c>
      <x:c r="I15" s="29" t="str">
        <x:v>Competing prototypes</x:v>
      </x:c>
    </x:row>
    <x:row r="16">
      <x:c r="A16" s="29" t="n">
        <x:v>12</x:v>
      </x:c>
      <x:c r="B16" s="29" t="n">
        <x:v>65</x:v>
      </x:c>
      <x:c r="C16" s="38" t="n">
        <x:f>B16/SUM($B$5:$B$29)</x:f>
        <x:v>0.06310679611650485</x:v>
      </x:c>
      <x:c r="D16" s="44" t="n">
        <x:f>C16*Controls!$B$13</x:f>
        <x:v>126.2135922330097</x:v>
      </x:c>
      <x:c r="E16" s="44" t="n">
        <x:f>D16*IF(A16&lt;=10,0.34,IF(A16&lt;=18,0.22,0.12))</x:f>
        <x:v>27.766990291262136</x:v>
      </x:c>
      <x:c r="F16" s="44" t="n">
        <x:f>D16*IF(A16&lt;=8,0.42,IF(A16&lt;=18,0.34,0.20))</x:f>
        <x:v>42.9126213592233</x:v>
      </x:c>
      <x:c r="G16" s="44" t="n">
        <x:f>D16*Controls!$B$9</x:f>
        <x:v>12.62135922330097</x:v>
      </x:c>
      <x:c r="H16" s="44" t="n">
        <x:f>D16-E16-F16-G16</x:f>
        <x:v>42.9126213592233</x:v>
      </x:c>
      <x:c r="I16" s="29" t="str">
        <x:v>Competing prototypes</x:v>
      </x:c>
    </x:row>
    <x:row r="17">
      <x:c r="A17" s="29" t="n">
        <x:v>13</x:v>
      </x:c>
      <x:c r="B17" s="29" t="n">
        <x:v>60</x:v>
      </x:c>
      <x:c r="C17" s="38" t="n">
        <x:f>B17/SUM($B$5:$B$29)</x:f>
        <x:v>0.05825242718446602</x:v>
      </x:c>
      <x:c r="D17" s="44" t="n">
        <x:f>C17*Controls!$B$13</x:f>
        <x:v>116.50485436893204</x:v>
      </x:c>
      <x:c r="E17" s="44" t="n">
        <x:f>D17*IF(A17&lt;=10,0.34,IF(A17&lt;=18,0.22,0.12))</x:f>
        <x:v>25.63106796116505</x:v>
      </x:c>
      <x:c r="F17" s="44" t="n">
        <x:f>D17*IF(A17&lt;=8,0.42,IF(A17&lt;=18,0.34,0.20))</x:f>
        <x:v>39.6116504854369</x:v>
      </x:c>
      <x:c r="G17" s="44" t="n">
        <x:f>D17*Controls!$B$9</x:f>
        <x:v>11.650485436893206</x:v>
      </x:c>
      <x:c r="H17" s="44" t="n">
        <x:f>D17-E17-F17-G17</x:f>
        <x:v>39.6116504854369</x:v>
      </x:c>
      <x:c r="I17" s="29" t="str">
        <x:v>Representative proof</x:v>
      </x:c>
    </x:row>
    <x:row r="18">
      <x:c r="A18" s="29" t="n">
        <x:v>14</x:v>
      </x:c>
      <x:c r="B18" s="29" t="n">
        <x:v>55</x:v>
      </x:c>
      <x:c r="C18" s="38" t="n">
        <x:f>B18/SUM($B$5:$B$29)</x:f>
        <x:v>0.05339805825242718</x:v>
      </x:c>
      <x:c r="D18" s="44" t="n">
        <x:f>C18*Controls!$B$13</x:f>
        <x:v>106.79611650485437</x:v>
      </x:c>
      <x:c r="E18" s="44" t="n">
        <x:f>D18*IF(A18&lt;=10,0.34,IF(A18&lt;=18,0.22,0.12))</x:f>
        <x:v>23.49514563106796</x:v>
      </x:c>
      <x:c r="F18" s="44" t="n">
        <x:f>D18*IF(A18&lt;=8,0.42,IF(A18&lt;=18,0.34,0.20))</x:f>
        <x:v>36.310679611650485</x:v>
      </x:c>
      <x:c r="G18" s="44" t="n">
        <x:f>D18*Controls!$B$9</x:f>
        <x:v>10.679611650485437</x:v>
      </x:c>
      <x:c r="H18" s="44" t="n">
        <x:f>D18-E18-F18-G18</x:f>
        <x:v>36.310679611650485</x:v>
      </x:c>
      <x:c r="I18" s="29" t="str">
        <x:v>Representative proof</x:v>
      </x:c>
    </x:row>
    <x:row r="19">
      <x:c r="A19" s="29" t="n">
        <x:v>15</x:v>
      </x:c>
      <x:c r="B19" s="29" t="n">
        <x:v>50</x:v>
      </x:c>
      <x:c r="C19" s="38" t="n">
        <x:f>B19/SUM($B$5:$B$29)</x:f>
        <x:v>0.04854368932038835</x:v>
      </x:c>
      <x:c r="D19" s="44" t="n">
        <x:f>C19*Controls!$B$13</x:f>
        <x:v>97.08737864077669</x:v>
      </x:c>
      <x:c r="E19" s="44" t="n">
        <x:f>D19*IF(A19&lt;=10,0.34,IF(A19&lt;=18,0.22,0.12))</x:f>
        <x:v>21.35922330097087</x:v>
      </x:c>
      <x:c r="F19" s="44" t="n">
        <x:f>D19*IF(A19&lt;=8,0.42,IF(A19&lt;=18,0.34,0.20))</x:f>
        <x:v>33.00970873786408</x:v>
      </x:c>
      <x:c r="G19" s="44" t="n">
        <x:f>D19*Controls!$B$9</x:f>
        <x:v>9.70873786407767</x:v>
      </x:c>
      <x:c r="H19" s="44" t="n">
        <x:f>D19-E19-F19-G19</x:f>
        <x:v>33.009708737864074</x:v>
      </x:c>
      <x:c r="I19" s="29" t="str">
        <x:v>Representative proof</x:v>
      </x:c>
    </x:row>
    <x:row r="20">
      <x:c r="A20" s="29" t="n">
        <x:v>16</x:v>
      </x:c>
      <x:c r="B20" s="29" t="n">
        <x:v>45</x:v>
      </x:c>
      <x:c r="C20" s="38" t="n">
        <x:f>B20/SUM($B$5:$B$29)</x:f>
        <x:v>0.043689320388349516</x:v>
      </x:c>
      <x:c r="D20" s="44" t="n">
        <x:f>C20*Controls!$B$13</x:f>
        <x:v>87.37864077669903</x:v>
      </x:c>
      <x:c r="E20" s="44" t="n">
        <x:f>D20*IF(A20&lt;=10,0.34,IF(A20&lt;=18,0.22,0.12))</x:f>
        <x:v>19.223300970873787</x:v>
      </x:c>
      <x:c r="F20" s="44" t="n">
        <x:f>D20*IF(A20&lt;=8,0.42,IF(A20&lt;=18,0.34,0.20))</x:f>
        <x:v>29.708737864077673</x:v>
      </x:c>
      <x:c r="G20" s="44" t="n">
        <x:f>D20*Controls!$B$9</x:f>
        <x:v>8.737864077669903</x:v>
      </x:c>
      <x:c r="H20" s="44" t="n">
        <x:f>D20-E20-F20-G20</x:f>
        <x:v>29.708737864077655</x:v>
      </x:c>
      <x:c r="I20" s="29" t="str">
        <x:v>Representative proof</x:v>
      </x:c>
    </x:row>
    <x:row r="21">
      <x:c r="A21" s="29" t="n">
        <x:v>17</x:v>
      </x:c>
      <x:c r="B21" s="29" t="n">
        <x:v>40</x:v>
      </x:c>
      <x:c r="C21" s="38" t="n">
        <x:f>B21/SUM($B$5:$B$29)</x:f>
        <x:v>0.038834951456310676</x:v>
      </x:c>
      <x:c r="D21" s="44" t="n">
        <x:f>C21*Controls!$B$13</x:f>
        <x:v>77.66990291262135</x:v>
      </x:c>
      <x:c r="E21" s="44" t="n">
        <x:f>D21*IF(A21&lt;=10,0.34,IF(A21&lt;=18,0.22,0.12))</x:f>
        <x:v>17.0873786407767</x:v>
      </x:c>
      <x:c r="F21" s="44" t="n">
        <x:f>D21*IF(A21&lt;=8,0.42,IF(A21&lt;=18,0.34,0.20))</x:f>
        <x:v>26.40776699029126</x:v>
      </x:c>
      <x:c r="G21" s="44" t="n">
        <x:f>D21*Controls!$B$9</x:f>
        <x:v>7.766990291262136</x:v>
      </x:c>
      <x:c r="H21" s="44" t="n">
        <x:f>D21-E21-F21-G21</x:f>
        <x:v>26.40776699029126</x:v>
      </x:c>
      <x:c r="I21" s="29" t="str">
        <x:v>Representative proof</x:v>
      </x:c>
    </x:row>
    <x:row r="22">
      <x:c r="A22" s="29" t="n">
        <x:v>18</x:v>
      </x:c>
      <x:c r="B22" s="29" t="n">
        <x:v>35</x:v>
      </x:c>
      <x:c r="C22" s="38" t="n">
        <x:f>B22/SUM($B$5:$B$29)</x:f>
        <x:v>0.03398058252427184</x:v>
      </x:c>
      <x:c r="D22" s="44" t="n">
        <x:f>C22*Controls!$B$13</x:f>
        <x:v>67.96116504854369</x:v>
      </x:c>
      <x:c r="E22" s="44" t="n">
        <x:f>D22*IF(A22&lt;=10,0.34,IF(A22&lt;=18,0.22,0.12))</x:f>
        <x:v>14.951456310679612</x:v>
      </x:c>
      <x:c r="F22" s="44" t="n">
        <x:f>D22*IF(A22&lt;=8,0.42,IF(A22&lt;=18,0.34,0.20))</x:f>
        <x:v>23.106796116504857</x:v>
      </x:c>
      <x:c r="G22" s="44" t="n">
        <x:f>D22*Controls!$B$9</x:f>
        <x:v>6.7961165048543695</x:v>
      </x:c>
      <x:c r="H22" s="44" t="n">
        <x:f>D22-E22-F22-G22</x:f>
        <x:v>23.106796116504853</x:v>
      </x:c>
      <x:c r="I22" s="29" t="str">
        <x:v>Representative proof</x:v>
      </x:c>
    </x:row>
    <x:row r="23">
      <x:c r="A23" s="29" t="n">
        <x:v>19</x:v>
      </x:c>
      <x:c r="B23" s="29" t="n">
        <x:v>30</x:v>
      </x:c>
      <x:c r="C23" s="38" t="n">
        <x:f>B23/SUM($B$5:$B$29)</x:f>
        <x:v>0.02912621359223301</x:v>
      </x:c>
      <x:c r="D23" s="44" t="n">
        <x:f>C23*Controls!$B$13</x:f>
        <x:v>58.25242718446602</x:v>
      </x:c>
      <x:c r="E23" s="44" t="n">
        <x:f>D23*IF(A23&lt;=10,0.34,IF(A23&lt;=18,0.22,0.12))</x:f>
        <x:v>6.990291262135923</x:v>
      </x:c>
      <x:c r="F23" s="44" t="n">
        <x:f>D23*IF(A23&lt;=8,0.42,IF(A23&lt;=18,0.34,0.20))</x:f>
        <x:v>11.650485436893206</x:v>
      </x:c>
      <x:c r="G23" s="44" t="n">
        <x:f>D23*Controls!$B$9</x:f>
        <x:v>5.825242718446603</x:v>
      </x:c>
      <x:c r="H23" s="44" t="n">
        <x:f>D23-E23-F23-G23</x:f>
        <x:v>33.786407766990294</x:v>
      </x:c>
      <x:c r="I23" s="29" t="str">
        <x:v>Representative proof</x:v>
      </x:c>
    </x:row>
    <x:row r="24">
      <x:c r="A24" s="29" t="n">
        <x:v>20</x:v>
      </x:c>
      <x:c r="B24" s="29" t="n">
        <x:v>26</x:v>
      </x:c>
      <x:c r="C24" s="38" t="n">
        <x:f>B24/SUM($B$5:$B$29)</x:f>
        <x:v>0.02524271844660194</x:v>
      </x:c>
      <x:c r="D24" s="44" t="n">
        <x:f>C24*Controls!$B$13</x:f>
        <x:v>50.48543689320388</x:v>
      </x:c>
      <x:c r="E24" s="44" t="n">
        <x:f>D24*IF(A24&lt;=10,0.34,IF(A24&lt;=18,0.22,0.12))</x:f>
        <x:v>6.058252427184466</x:v>
      </x:c>
      <x:c r="F24" s="44" t="n">
        <x:f>D24*IF(A24&lt;=8,0.42,IF(A24&lt;=18,0.34,0.20))</x:f>
        <x:v>10.097087378640778</x:v>
      </x:c>
      <x:c r="G24" s="44" t="n">
        <x:f>D24*Controls!$B$9</x:f>
        <x:v>5.048543689320389</x:v>
      </x:c>
      <x:c r="H24" s="44" t="n">
        <x:f>D24-E24-F24-G24</x:f>
        <x:v>29.28155339805825</x:v>
      </x:c>
      <x:c r="I24" s="29" t="str">
        <x:v>Qualification &amp; renewal</x:v>
      </x:c>
    </x:row>
    <x:row r="25">
      <x:c r="A25" s="29" t="n">
        <x:v>21</x:v>
      </x:c>
      <x:c r="B25" s="29" t="n">
        <x:v>22</x:v>
      </x:c>
      <x:c r="C25" s="38" t="n">
        <x:f>B25/SUM($B$5:$B$29)</x:f>
        <x:v>0.021359223300970873</x:v>
      </x:c>
      <x:c r="D25" s="44" t="n">
        <x:f>C25*Controls!$B$13</x:f>
        <x:v>42.71844660194175</x:v>
      </x:c>
      <x:c r="E25" s="44" t="n">
        <x:f>D25*IF(A25&lt;=10,0.34,IF(A25&lt;=18,0.22,0.12))</x:f>
        <x:v>5.12621359223301</x:v>
      </x:c>
      <x:c r="F25" s="44" t="n">
        <x:f>D25*IF(A25&lt;=8,0.42,IF(A25&lt;=18,0.34,0.20))</x:f>
        <x:v>8.543689320388351</x:v>
      </x:c>
      <x:c r="G25" s="44" t="n">
        <x:f>D25*Controls!$B$9</x:f>
        <x:v>4.2718446601941755</x:v>
      </x:c>
      <x:c r="H25" s="44" t="n">
        <x:f>D25-E25-F25-G25</x:f>
        <x:v>24.776699029126213</x:v>
      </x:c>
      <x:c r="I25" s="29" t="str">
        <x:v>Qualification &amp; renewal</x:v>
      </x:c>
    </x:row>
    <x:row r="26">
      <x:c r="A26" s="29" t="n">
        <x:v>22</x:v>
      </x:c>
      <x:c r="B26" s="29" t="n">
        <x:v>18</x:v>
      </x:c>
      <x:c r="C26" s="38" t="n">
        <x:f>B26/SUM($B$5:$B$29)</x:f>
        <x:v>0.017475728155339806</x:v>
      </x:c>
      <x:c r="D26" s="44" t="n">
        <x:f>C26*Controls!$B$13</x:f>
        <x:v>34.95145631067961</x:v>
      </x:c>
      <x:c r="E26" s="44" t="n">
        <x:f>D26*IF(A26&lt;=10,0.34,IF(A26&lt;=18,0.22,0.12))</x:f>
        <x:v>4.194174757281553</x:v>
      </x:c>
      <x:c r="F26" s="44" t="n">
        <x:f>D26*IF(A26&lt;=8,0.42,IF(A26&lt;=18,0.34,0.20))</x:f>
        <x:v>6.990291262135923</x:v>
      </x:c>
      <x:c r="G26" s="44" t="n">
        <x:f>D26*Controls!$B$9</x:f>
        <x:v>3.4951456310679614</x:v>
      </x:c>
      <x:c r="H26" s="44" t="n">
        <x:f>D26-E26-F26-G26</x:f>
        <x:v>20.271844660194176</x:v>
      </x:c>
      <x:c r="I26" s="29" t="str">
        <x:v>Qualification &amp; renewal</x:v>
      </x:c>
    </x:row>
    <x:row r="27">
      <x:c r="A27" s="29" t="n">
        <x:v>23</x:v>
      </x:c>
      <x:c r="B27" s="29" t="n">
        <x:v>12</x:v>
      </x:c>
      <x:c r="C27" s="38" t="n">
        <x:f>B27/SUM($B$5:$B$29)</x:f>
        <x:v>0.011650485436893204</x:v>
      </x:c>
      <x:c r="D27" s="44" t="n">
        <x:f>C27*Controls!$B$13</x:f>
        <x:v>23.300970873786408</x:v>
      </x:c>
      <x:c r="E27" s="44" t="n">
        <x:f>D27*IF(A27&lt;=10,0.34,IF(A27&lt;=18,0.22,0.12))</x:f>
        <x:v>2.796116504854369</x:v>
      </x:c>
      <x:c r="F27" s="44" t="n">
        <x:f>D27*IF(A27&lt;=8,0.42,IF(A27&lt;=18,0.34,0.20))</x:f>
        <x:v>4.660194174757282</x:v>
      </x:c>
      <x:c r="G27" s="44" t="n">
        <x:f>D27*Controls!$B$9</x:f>
        <x:v>2.330097087378641</x:v>
      </x:c>
      <x:c r="H27" s="44" t="n">
        <x:f>D27-E27-F27-G27</x:f>
        <x:v>13.514563106796116</x:v>
      </x:c>
      <x:c r="I27" s="29" t="str">
        <x:v>Qualification &amp; renewal</x:v>
      </x:c>
    </x:row>
    <x:row r="28">
      <x:c r="A28" s="29" t="n">
        <x:v>24</x:v>
      </x:c>
      <x:c r="B28" s="29" t="n">
        <x:v>8</x:v>
      </x:c>
      <x:c r="C28" s="38" t="n">
        <x:f>B28/SUM($B$5:$B$29)</x:f>
        <x:v>0.007766990291262136</x:v>
      </x:c>
      <x:c r="D28" s="44" t="n">
        <x:f>C28*Controls!$B$13</x:f>
        <x:v>15.533980582524272</x:v>
      </x:c>
      <x:c r="E28" s="44" t="n">
        <x:f>D28*IF(A28&lt;=10,0.34,IF(A28&lt;=18,0.22,0.12))</x:f>
        <x:v>1.8640776699029127</x:v>
      </x:c>
      <x:c r="F28" s="44" t="n">
        <x:f>D28*IF(A28&lt;=8,0.42,IF(A28&lt;=18,0.34,0.20))</x:f>
        <x:v>3.1067961165048548</x:v>
      </x:c>
      <x:c r="G28" s="44" t="n">
        <x:f>D28*Controls!$B$9</x:f>
        <x:v>1.5533980582524274</x:v>
      </x:c>
      <x:c r="H28" s="44" t="n">
        <x:f>D28-E28-F28-G28</x:f>
        <x:v>9.009708737864077</x:v>
      </x:c>
      <x:c r="I28" s="29" t="str">
        <x:v>Qualification &amp; renewal</x:v>
      </x:c>
    </x:row>
    <x:row r="29">
      <x:c r="A29" s="29" t="n">
        <x:v>25</x:v>
      </x:c>
      <x:c r="B29" s="29" t="n">
        <x:v>5</x:v>
      </x:c>
      <x:c r="C29" s="38" t="n">
        <x:f>B29/SUM($B$5:$B$29)</x:f>
        <x:v>0.0048543689320388345</x:v>
      </x:c>
      <x:c r="D29" s="44" t="n">
        <x:f>C29*Controls!$B$13</x:f>
        <x:v>9.70873786407767</x:v>
      </x:c>
      <x:c r="E29" s="44" t="n">
        <x:f>D29*IF(A29&lt;=10,0.34,IF(A29&lt;=18,0.22,0.12))</x:f>
        <x:v>1.1650485436893203</x:v>
      </x:c>
      <x:c r="F29" s="44" t="n">
        <x:f>D29*IF(A29&lt;=8,0.42,IF(A29&lt;=18,0.34,0.20))</x:f>
        <x:v>1.941747572815534</x:v>
      </x:c>
      <x:c r="G29" s="44" t="n">
        <x:f>D29*Controls!$B$9</x:f>
        <x:v>0.970873786407767</x:v>
      </x:c>
      <x:c r="H29" s="44" t="n">
        <x:f>D29-E29-F29-G29</x:f>
        <x:v>5.631067961165048</x:v>
      </x:c>
      <x:c r="I29" s="29" t="str">
        <x:v>Qualification &amp; renewal</x:v>
      </x:c>
    </x:row>
    <x:row r="30">
      <x:c r="A30" s="29"/>
      <x:c r="B30" s="29"/>
      <x:c r="C30" s="38"/>
      <x:c r="D30" s="44"/>
      <x:c r="E30" s="44"/>
      <x:c r="F30" s="44"/>
      <x:c r="G30" s="44"/>
      <x:c r="H30" s="44"/>
      <x:c r="I30" s="29"/>
    </x:row>
    <x:row r="31">
      <x:c r="A31" s="55" t="str">
        <x:v>TOTAL</x:v>
      </x:c>
      <x:c r="B31" s="55"/>
      <x:c r="C31" s="57" t="n">
        <x:f>SUM(C5:C29)</x:f>
        <x:v>0.9999999999999998</x:v>
      </x:c>
      <x:c r="D31" s="61" t="n">
        <x:f>SUM(D5:D29)</x:f>
        <x:v>2000</x:v>
      </x:c>
      <x:c r="E31" s="61" t="n">
        <x:f>SUM(E5:E29)</x:f>
        <x:v>530.9126213592233</x:v>
      </x:c>
      <x:c r="F31" s="61" t="n">
        <x:f>SUM(F5:F29)</x:f>
        <x:v>701.0097087378641</x:v>
      </x:c>
      <x:c r="G31" s="61" t="n">
        <x:f>SUM(G5:G29)</x:f>
        <x:v>200.00000000000009</x:v>
      </x:c>
      <x:c r="H31" s="61" t="n">
        <x:f>SUM(H5:H29)</x:f>
        <x:v>568.0776699029126</x:v>
      </x:c>
      <x:c r="I31" s="55" t="str"/>
    </x:row>
  </x:sheetData>
  <x:mergeCells>
    <x:mergeCell ref="A1:I1"/>
    <x:mergeCell ref="A2:I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42" hidden="0" customWidth="1"/>
    <x:col min="3" max="3" width="50" hidden="0" customWidth="1"/>
    <x:col min="4" max="4" width="32" hidden="0" customWidth="1"/>
    <x:col min="5" max="5" width="32" hidden="0" customWidth="1"/>
    <x:col min="6" max="6" width="42" hidden="0" customWidth="1"/>
    <x:col min="7" max="7" width="40" hidden="0" customWidth="1"/>
    <x:col min="8" max="8" width="27" hidden="0" customWidth="1"/>
    <x:col min="9" max="9" width="30" hidden="0" customWidth="1"/>
  </x:cols>
  <x:sheetData>
    <x:row r="1" ht="32" customHeight="1">
      <x:c r="A1" s="71" t="str">
        <x:v>Stage-Gate Doctrine</x:v>
      </x:c>
      <x:c r="B1" s="29"/>
      <x:c r="C1" s="29"/>
      <x:c r="D1" s="29"/>
      <x:c r="E1" s="29"/>
      <x:c r="F1" s="29"/>
      <x:c r="G1" s="29"/>
      <x:c r="H1" s="29"/>
      <x:c r="I1" s="29"/>
    </x:row>
    <x:row r="2" ht="34" customHeight="1">
      <x:c r="A2" s="70" t="str">
        <x:v>Every gate has a different question, evidence owner and stop condition. Technical novelty never substitutes for service effect.</x:v>
      </x:c>
      <x:c r="B2" s="29"/>
      <x:c r="C2" s="29"/>
      <x:c r="D2" s="29"/>
      <x:c r="E2" s="29"/>
      <x:c r="F2" s="29"/>
      <x:c r="G2" s="29"/>
      <x:c r="H2" s="29"/>
      <x:c r="I2" s="29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</x:row>
    <x:row r="4">
      <x:c r="A4" s="28" t="str">
        <x:v>Gate</x:v>
      </x:c>
      <x:c r="B4" s="28" t="str">
        <x:v>Decision question</x:v>
      </x:c>
      <x:c r="C4" s="28" t="str">
        <x:v>Evidence required</x:v>
      </x:c>
      <x:c r="D4" s="28" t="str">
        <x:v>Owner</x:v>
      </x:c>
      <x:c r="E4" s="28" t="str">
        <x:v>Sponsor excluded from</x:v>
      </x:c>
      <x:c r="F4" s="28" t="str">
        <x:v>Stop/redirect trigger</x:v>
      </x:c>
      <x:c r="G4" s="28" t="str">
        <x:v>Public-effect test</x:v>
      </x:c>
      <x:c r="H4" s="28" t="str">
        <x:v>Configuration state</x:v>
      </x:c>
      <x:c r="I4" s="28" t="str">
        <x:v>Permitted claim</x:v>
      </x:c>
    </x:row>
    <x:row r="5">
      <x:c r="A5" s="15" t="str">
        <x:v>G0 Opportunity</x:v>
      </x:c>
      <x:c r="B5" s="15" t="str">
        <x:v>Is the mission variable consequential and presently bounded?</x:v>
      </x:c>
      <x:c r="C5" s="15" t="str">
        <x:v>Baseline distribution, causal map, alternative interventions</x:v>
      </x:c>
      <x:c r="D5" s="15" t="str">
        <x:v>ARPA-R</x:v>
      </x:c>
      <x:c r="E5" s="15" t="str">
        <x:v>Baseline adjudication</x:v>
      </x:c>
      <x:c r="F5" s="15" t="str">
        <x:v>No material mission leverage</x:v>
      </x:c>
      <x:c r="G5" s="15" t="str">
        <x:v>Affected communities identify omitted burdens</x:v>
      </x:c>
      <x:c r="H5" s="15" t="str">
        <x:v>Open concepts</x:v>
      </x:c>
      <x:c r="I5" s="15" t="str">
        <x:v>Research opportunity only</x:v>
      </x:c>
    </x:row>
    <x:row r="6">
      <x:c r="A6" s="15" t="str">
        <x:v>G1 Mechanism</x:v>
      </x:c>
      <x:c r="B6" s="15" t="str">
        <x:v>Does a reproducible mechanism exist?</x:v>
      </x:c>
      <x:c r="C6" s="15" t="str">
        <x:v>Independent reproduction of critical phenomenon</x:v>
      </x:c>
      <x:c r="D6" s="15" t="str">
        <x:v>National lab</x:v>
      </x:c>
      <x:c r="E6" s="15" t="str">
        <x:v>Replication decision</x:v>
      </x:c>
      <x:c r="F6" s="15" t="str">
        <x:v>Effect disappears or violates physics/biology</x:v>
      </x:c>
      <x:c r="G6" s="15" t="str">
        <x:v>Plausible harm pathways registered</x:v>
      </x:c>
      <x:c r="H6" s="15" t="str">
        <x:v>Lab configuration</x:v>
      </x:c>
      <x:c r="I6" s="15" t="str">
        <x:v>Mechanism demonstrated</x:v>
      </x:c>
    </x:row>
    <x:row r="7">
      <x:c r="A7" s="15" t="str">
        <x:v>G2 Integrated breadboard</x:v>
      </x:c>
      <x:c r="B7" s="15" t="str">
        <x:v>Can critical functions coexist?</x:v>
      </x:c>
      <x:c r="C7" s="15" t="str">
        <x:v>Interfaces, loads, failure propagation and burden</x:v>
      </x:c>
      <x:c r="D7" s="15" t="str">
        <x:v>Lab + range</x:v>
      </x:c>
      <x:c r="E7" s="15" t="str">
        <x:v>Test scoring</x:v>
      </x:c>
      <x:c r="F7" s="15" t="str">
        <x:v>Integration erases component gain</x:v>
      </x:c>
      <x:c r="G7" s="15" t="str">
        <x:v>Accessibility and operator burden measured</x:v>
      </x:c>
      <x:c r="H7" s="15" t="str">
        <x:v>Controlled prototype</x:v>
      </x:c>
      <x:c r="I7" s="15" t="str">
        <x:v>Integrated function shown</x:v>
      </x:c>
    </x:row>
    <x:row r="8">
      <x:c r="A8" s="15" t="str">
        <x:v>G3 Relevant environment</x:v>
      </x:c>
      <x:c r="B8" s="15" t="str">
        <x:v>Does it work in the real envelope?</x:v>
      </x:c>
      <x:c r="C8" s="15" t="str">
        <x:v>Representative extremes, tails, maintenance and safe states</x:v>
      </x:c>
      <x:c r="D8" s="15" t="str">
        <x:v>RTEA</x:v>
      </x:c>
      <x:c r="E8" s="15" t="str">
        <x:v>Any requirement waiver</x:v>
      </x:c>
      <x:c r="F8" s="15" t="str">
        <x:v>Tail failure or unsafe degradation</x:v>
      </x:c>
      <x:c r="G8" s="15" t="str">
        <x:v>Off-site/environmental effects bounded</x:v>
      </x:c>
      <x:c r="H8" s="15" t="str">
        <x:v>Configuration locked</x:v>
      </x:c>
      <x:c r="I8" s="15" t="str">
        <x:v>Relevant-environment evidence</x:v>
      </x:c>
    </x:row>
    <x:row r="9">
      <x:c r="A9" s="15" t="str">
        <x:v>G4 Mission thread</x:v>
      </x:c>
      <x:c r="B9" s="15" t="str">
        <x:v>Does it improve end-to-end public service?</x:v>
      </x:c>
      <x:c r="C9" s="15" t="str">
        <x:v>Cold deployment, sustainment, command, transfer and recovery</x:v>
      </x:c>
      <x:c r="D9" s="15" t="str">
        <x:v>RTEA operational evaluation</x:v>
      </x:c>
      <x:c r="E9" s="15" t="str">
        <x:v>Scenario selection</x:v>
      </x:c>
      <x:c r="F9" s="15" t="str">
        <x:v>No net service gain or common-mode collapse</x:v>
      </x:c>
      <x:c r="G9" s="15" t="str">
        <x:v>Distribution of benefit/harm published</x:v>
      </x:c>
      <x:c r="H9" s="15" t="str">
        <x:v>Operational prototype</x:v>
      </x:c>
      <x:c r="I9" s="15" t="str">
        <x:v>Limited field authority</x:v>
      </x:c>
    </x:row>
    <x:row r="10">
      <x:c r="A10" s="15" t="str">
        <x:v>G5 Production readiness</x:v>
      </x:c>
      <x:c r="B10" s="15" t="str">
        <x:v>Can industry reproduce and sustain it?</x:v>
      </x:c>
      <x:c r="C10" s="15" t="str">
        <x:v>MRL, supplier depth, tooling, QA, depot and repair</x:v>
      </x:c>
      <x:c r="D10" s="15" t="str">
        <x:v>Manufacturing Administration + RTEA</x:v>
      </x:c>
      <x:c r="E10" s="15" t="str">
        <x:v>Vendor self-certification</x:v>
      </x:c>
      <x:c r="F10" s="15" t="str">
        <x:v>Configuration drift or brittle sole source</x:v>
      </x:c>
      <x:c r="G10" s="15" t="str">
        <x:v>Labor/community/environment footprint</x:v>
      </x:c>
      <x:c r="H10" s="15" t="str">
        <x:v>Qualified baseline</x:v>
      </x:c>
      <x:c r="I10" s="15" t="str">
        <x:v>Low-rate production</x:v>
      </x:c>
    </x:row>
    <x:row r="11">
      <x:c r="A11" s="15" t="str">
        <x:v>G6 Field acceptance</x:v>
      </x:c>
      <x:c r="B11" s="15" t="str">
        <x:v>Does replicated use justify force credit?</x:v>
      </x:c>
      <x:c r="C11" s="15" t="str">
        <x:v>Multiple independent events/exercises and reliability growth</x:v>
      </x:c>
      <x:c r="D11" s="15" t="str">
        <x:v>Department Acquisition Board</x:v>
      </x:c>
      <x:c r="E11" s="15" t="str">
        <x:v>Program-office readiness rating</x:v>
      </x:c>
      <x:c r="F11" s="15" t="str">
        <x:v>Effect not replicated or lifecycle burden dominates</x:v>
      </x:c>
      <x:c r="G11" s="15" t="str">
        <x:v>Actual distributional outcomes reviewed</x:v>
      </x:c>
      <x:c r="H11" s="15" t="str">
        <x:v>Fielded increment</x:v>
      </x:c>
      <x:c r="I11" s="15" t="str">
        <x:v>Force-sizing coefficient</x:v>
      </x:c>
    </x:row>
    <x:row r="12">
      <x:c r="A12" s="15" t="str">
        <x:v>G7 Renewal/retirement</x:v>
      </x:c>
      <x:c r="B12" s="15" t="str">
        <x:v>Should it scale, change or end?</x:v>
      </x:c>
      <x:c r="C12" s="15" t="str">
        <x:v>Operational learning, counterfactual alternatives, lifecycle cost</x:v>
      </x:c>
      <x:c r="D12" s="15" t="str">
        <x:v>Independent portfolio council</x:v>
      </x:c>
      <x:c r="E12" s="15" t="str">
        <x:v>Sunk-cost defense</x:v>
      </x:c>
      <x:c r="F12" s="15" t="str">
        <x:v>Inferior to alternative or obsolete</x:v>
      </x:c>
      <x:c r="G12" s="15" t="str">
        <x:v>Decommission/transition burden included</x:v>
      </x:c>
      <x:c r="H12" s="15" t="str">
        <x:v>Fleet/open standard</x:v>
      </x:c>
      <x:c r="I12" s="15" t="str">
        <x:v>Scale, license, redirect or retire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22" hidden="0" customWidth="1"/>
    <x:col min="6" max="6" width="24" hidden="0" customWidth="1"/>
    <x:col min="7" max="7" width="21" hidden="0" customWidth="1"/>
    <x:col min="8" max="8" width="63" hidden="0" customWidth="1"/>
  </x:cols>
  <x:sheetData>
    <x:row r="1" ht="32" customHeight="1">
      <x:c r="A1" s="71" t="str">
        <x:v>Innovation Decision Rights</x:v>
      </x:c>
      <x:c r="B1" s="29"/>
      <x:c r="C1" s="29"/>
      <x:c r="D1" s="29"/>
      <x:c r="E1" s="29"/>
      <x:c r="F1" s="29"/>
      <x:c r="G1" s="29"/>
      <x:c r="H1" s="29"/>
    </x:row>
    <x:row r="2" ht="34" customHeight="1">
      <x:c r="A2" s="70" t="str">
        <x:v>Authority is deliberately separated so invention, proof, procurement and employment cannot collapse into one optimistic chain.</x:v>
      </x:c>
      <x:c r="B2" s="29"/>
      <x:c r="C2" s="29"/>
      <x:c r="D2" s="29"/>
      <x:c r="E2" s="29"/>
      <x:c r="F2" s="29"/>
      <x:c r="G2" s="29"/>
      <x:c r="H2" s="29"/>
    </x:row>
    <x:row r="3">
      <x:c r="A3" s="29"/>
      <x:c r="B3" s="29"/>
      <x:c r="C3" s="29"/>
      <x:c r="D3" s="29"/>
      <x:c r="E3" s="29"/>
      <x:c r="F3" s="29"/>
      <x:c r="G3" s="29"/>
      <x:c r="H3" s="29"/>
    </x:row>
    <x:row r="4">
      <x:c r="A4" s="28" t="str">
        <x:v>Decision</x:v>
      </x:c>
      <x:c r="B4" s="28" t="str">
        <x:v>ARPA-R</x:v>
      </x:c>
      <x:c r="C4" s="28" t="str">
        <x:v>Labs</x:v>
      </x:c>
      <x:c r="D4" s="28" t="str">
        <x:v>RTEA</x:v>
      </x:c>
      <x:c r="E4" s="28" t="str">
        <x:v>Service Tech Cmd</x:v>
      </x:c>
      <x:c r="F4" s="28" t="str">
        <x:v>Manufacturing Admin</x:v>
      </x:c>
      <x:c r="G4" s="28" t="str">
        <x:v>Civil authority</x:v>
      </x:c>
      <x:c r="H4" s="28" t="str">
        <x:v>Rule</x:v>
      </x:c>
    </x:row>
    <x:row r="5">
      <x:c r="A5" s="15" t="str">
        <x:v>Frame measured opportunity</x:v>
      </x:c>
      <x:c r="B5" s="15" t="str">
        <x:v>A</x:v>
      </x:c>
      <x:c r="C5" s="15" t="str">
        <x:v>C</x:v>
      </x:c>
      <x:c r="D5" s="15" t="str">
        <x:v>C</x:v>
      </x:c>
      <x:c r="E5" s="15" t="str">
        <x:v>C</x:v>
      </x:c>
      <x:c r="F5" s="15" t="str">
        <x:v>C</x:v>
      </x:c>
      <x:c r="G5" s="15" t="str">
        <x:v>C</x:v>
      </x:c>
      <x:c r="H5" s="15" t="str">
        <x:v>Mission variable and affected public named</x:v>
      </x:c>
    </x:row>
    <x:row r="6">
      <x:c r="A6" s="15" t="str">
        <x:v>Select rival technical paths</x:v>
      </x:c>
      <x:c r="B6" s="15" t="str">
        <x:v>A/R</x:v>
      </x:c>
      <x:c r="C6" s="15" t="str">
        <x:v>C</x:v>
      </x:c>
      <x:c r="D6" s="15" t="str">
        <x:v>I</x:v>
      </x:c>
      <x:c r="E6" s="15" t="str">
        <x:v>C</x:v>
      </x:c>
      <x:c r="F6" s="15" t="str">
        <x:v>C</x:v>
      </x:c>
      <x:c r="G6" s="15" t="str">
        <x:v>I</x:v>
      </x:c>
      <x:c r="H6" s="15" t="str">
        <x:v>At least two paths until justified down-select</x:v>
      </x:c>
    </x:row>
    <x:row r="7">
      <x:c r="A7" s="15" t="str">
        <x:v>Set scientific method</x:v>
      </x:c>
      <x:c r="B7" s="15" t="str">
        <x:v>C</x:v>
      </x:c>
      <x:c r="C7" s="15" t="str">
        <x:v>A/R</x:v>
      </x:c>
      <x:c r="D7" s="15" t="str">
        <x:v>C</x:v>
      </x:c>
      <x:c r="E7" s="15" t="str">
        <x:v>I</x:v>
      </x:c>
      <x:c r="F7" s="15" t="str">
        <x:v>I</x:v>
      </x:c>
      <x:c r="G7" s="15" t="str">
        <x:v>I</x:v>
      </x:c>
      <x:c r="H7" s="15" t="str">
        <x:v>Open methods unless narrow security exception</x:v>
      </x:c>
    </x:row>
    <x:row r="8">
      <x:c r="A8" s="15" t="str">
        <x:v>Approve test plan and scoring</x:v>
      </x:c>
      <x:c r="B8" s="15" t="str">
        <x:v>C</x:v>
      </x:c>
      <x:c r="C8" s="15" t="str">
        <x:v>C</x:v>
      </x:c>
      <x:c r="D8" s="15" t="str">
        <x:v>A/R</x:v>
      </x:c>
      <x:c r="E8" s="15" t="str">
        <x:v>C</x:v>
      </x:c>
      <x:c r="F8" s="15" t="str">
        <x:v>C</x:v>
      </x:c>
      <x:c r="G8" s="15" t="str">
        <x:v>C</x:v>
      </x:c>
      <x:c r="H8" s="15" t="str">
        <x:v>Sponsor cannot alter after outcome known</x:v>
      </x:c>
    </x:row>
    <x:row r="9">
      <x:c r="A9" s="15" t="str">
        <x:v>Control tested configuration/data</x:v>
      </x:c>
      <x:c r="B9" s="15" t="str">
        <x:v>I</x:v>
      </x:c>
      <x:c r="C9" s="15" t="str">
        <x:v>C</x:v>
      </x:c>
      <x:c r="D9" s="15" t="str">
        <x:v>A/R</x:v>
      </x:c>
      <x:c r="E9" s="15" t="str">
        <x:v>C</x:v>
      </x:c>
      <x:c r="F9" s="15" t="str">
        <x:v>C</x:v>
      </x:c>
      <x:c r="G9" s="15" t="str">
        <x:v>I</x:v>
      </x:c>
      <x:c r="H9" s="15" t="str">
        <x:v>Immutable provenance and custody</x:v>
      </x:c>
    </x:row>
    <x:row r="10">
      <x:c r="A10" s="15" t="str">
        <x:v>Authorize limited field experiment</x:v>
      </x:c>
      <x:c r="B10" s="15" t="str">
        <x:v>C</x:v>
      </x:c>
      <x:c r="C10" s="15" t="str">
        <x:v>C</x:v>
      </x:c>
      <x:c r="D10" s="15" t="str">
        <x:v>A</x:v>
      </x:c>
      <x:c r="E10" s="15" t="str">
        <x:v>R</x:v>
      </x:c>
      <x:c r="F10" s="15" t="str">
        <x:v>C</x:v>
      </x:c>
      <x:c r="G10" s="15" t="str">
        <x:v>A</x:v>
      </x:c>
      <x:c r="H10" s="15" t="str">
        <x:v>Civil command retains incident authority</x:v>
      </x:c>
    </x:row>
    <x:row r="11">
      <x:c r="A11" s="15" t="str">
        <x:v>Issue readiness finding</x:v>
      </x:c>
      <x:c r="B11" s="15" t="str">
        <x:v>I</x:v>
      </x:c>
      <x:c r="C11" s="15" t="str">
        <x:v>C</x:v>
      </x:c>
      <x:c r="D11" s="15" t="str">
        <x:v>A/R</x:v>
      </x:c>
      <x:c r="E11" s="15" t="str">
        <x:v>C</x:v>
      </x:c>
      <x:c r="F11" s="15" t="str">
        <x:v>C</x:v>
      </x:c>
      <x:c r="G11" s="15" t="str">
        <x:v>I</x:v>
      </x:c>
      <x:c r="H11" s="15" t="str">
        <x:v>Negative finding cannot be waived by sponsor</x:v>
      </x:c>
    </x:row>
    <x:row r="12">
      <x:c r="A12" s="15" t="str">
        <x:v>Qualify manufacturing system</x:v>
      </x:c>
      <x:c r="B12" s="15" t="str">
        <x:v>C</x:v>
      </x:c>
      <x:c r="C12" s="15" t="str">
        <x:v>C</x:v>
      </x:c>
      <x:c r="D12" s="15" t="str">
        <x:v>C</x:v>
      </x:c>
      <x:c r="E12" s="15" t="str">
        <x:v>C</x:v>
      </x:c>
      <x:c r="F12" s="15" t="str">
        <x:v>A/R</x:v>
      </x:c>
      <x:c r="G12" s="15" t="str">
        <x:v>I</x:v>
      </x:c>
      <x:c r="H12" s="15" t="str">
        <x:v>Substitutions trigger bounded requalification</x:v>
      </x:c>
    </x:row>
    <x:row r="13">
      <x:c r="A13" s="15" t="str">
        <x:v>Approve program of record</x:v>
      </x:c>
      <x:c r="B13" s="15" t="str">
        <x:v>C</x:v>
      </x:c>
      <x:c r="C13" s="15" t="str">
        <x:v>C</x:v>
      </x:c>
      <x:c r="D13" s="15" t="str">
        <x:v>C</x:v>
      </x:c>
      <x:c r="E13" s="15" t="str">
        <x:v>C</x:v>
      </x:c>
      <x:c r="F13" s="15" t="str">
        <x:v>C</x:v>
      </x:c>
      <x:c r="G13" s="15" t="str">
        <x:v>A</x:v>
      </x:c>
      <x:c r="H13" s="15" t="str">
        <x:v>Requires RTEA and industrial readiness evidence</x:v>
      </x:c>
    </x:row>
    <x:row r="14">
      <x:c r="A14" s="15" t="str">
        <x:v>Employ at incident</x:v>
      </x:c>
      <x:c r="B14" s="15" t="str">
        <x:v>I</x:v>
      </x:c>
      <x:c r="C14" s="15" t="str">
        <x:v>I</x:v>
      </x:c>
      <x:c r="D14" s="15" t="str">
        <x:v>I</x:v>
      </x:c>
      <x:c r="E14" s="15" t="str">
        <x:v>C</x:v>
      </x:c>
      <x:c r="F14" s="15" t="str">
        <x:v>I</x:v>
      </x:c>
      <x:c r="G14" s="15" t="str">
        <x:v>A/R</x:v>
      </x:c>
      <x:c r="H14" s="15" t="str">
        <x:v>Technology authority never becomes civil command</x:v>
      </x:c>
    </x:row>
    <x:row r="15">
      <x:c r="A15" s="15" t="str">
        <x:v>Retire or open-license</x:v>
      </x:c>
      <x:c r="B15" s="15" t="str">
        <x:v>C</x:v>
      </x:c>
      <x:c r="C15" s="15" t="str">
        <x:v>C</x:v>
      </x:c>
      <x:c r="D15" s="15" t="str">
        <x:v>C</x:v>
      </x:c>
      <x:c r="E15" s="15" t="str">
        <x:v>C</x:v>
      </x:c>
      <x:c r="F15" s="15" t="str">
        <x:v>C</x:v>
      </x:c>
      <x:c r="G15" s="15" t="str">
        <x:v>A</x:v>
      </x:c>
      <x:c r="H15" s="15" t="str">
        <x:v>Public value and industrial strategy weighed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43" hidden="0" customWidth="1"/>
    <x:col min="3" max="3" width="43" hidden="0" customWidth="1"/>
    <x:col min="4" max="4" width="37" hidden="0" customWidth="1"/>
    <x:col min="5" max="5" width="42" hidden="0" customWidth="1"/>
    <x:col min="6" max="6" width="40" hidden="0" customWidth="1"/>
    <x:col min="7" max="7" width="35" hidden="0" customWidth="1"/>
    <x:col min="8" max="8" width="38" hidden="0" customWidth="1"/>
    <x:col min="9" max="9" width="42" hidden="0" customWidth="1"/>
  </x:cols>
  <x:sheetData>
    <x:row r="1" ht="32" customHeight="1">
      <x:c r="A1" s="71" t="str">
        <x:v>Resilience Industrial Base</x:v>
      </x:c>
      <x:c r="B1" s="29"/>
      <x:c r="C1" s="29"/>
      <x:c r="D1" s="29"/>
      <x:c r="E1" s="29"/>
      <x:c r="F1" s="29"/>
      <x:c r="G1" s="29"/>
      <x:c r="H1" s="29"/>
      <x:c r="I1" s="29"/>
    </x:row>
    <x:row r="2" ht="34" customHeight="1">
      <x:c r="A2" s="70" t="str">
        <x:v>The target is a first-tier industrial ecosystem whose enduring products are disaster-control systems, not episodic conversions of defense or commercial leftovers.</x:v>
      </x:c>
      <x:c r="B2" s="29"/>
      <x:c r="C2" s="29"/>
      <x:c r="D2" s="29"/>
      <x:c r="E2" s="29"/>
      <x:c r="F2" s="29"/>
      <x:c r="G2" s="29"/>
      <x:c r="H2" s="29"/>
      <x:c r="I2" s="29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</x:row>
    <x:row r="4">
      <x:c r="A4" s="28" t="str">
        <x:v>Industrial cluster</x:v>
      </x:c>
      <x:c r="B4" s="28" t="str">
        <x:v>Anchor products</x:v>
      </x:c>
      <x:c r="C4" s="28" t="str">
        <x:v>Critical processes</x:v>
      </x:c>
      <x:c r="D4" s="28" t="str">
        <x:v>25-year demand signal</x:v>
      </x:c>
      <x:c r="E4" s="28" t="str">
        <x:v>Mobilization artifact</x:v>
      </x:c>
      <x:c r="F4" s="28" t="str">
        <x:v>Fragility to eliminate</x:v>
      </x:c>
      <x:c r="G4" s="28" t="str">
        <x:v>Workforce</x:v>
      </x:c>
      <x:c r="H4" s="28" t="str">
        <x:v>Civil market</x:v>
      </x:c>
      <x:c r="I4" s="28" t="str">
        <x:v>Export posture</x:v>
      </x:c>
    </x:row>
    <x:row r="5">
      <x:c r="A5" s="15" t="str">
        <x:v>High-flow fluid machinery</x:v>
      </x:c>
      <x:c r="B5" s="15" t="str">
        <x:v>Pumps, intakes, valves, drives, pipe</x:v>
      </x:c>
      <x:c r="C5" s="15" t="str">
        <x:v>Large castings/forgings, seals, motors, controls</x:v>
      </x:c>
      <x:c r="D5" s="15" t="str">
        <x:v>Block buys + range replacement + readiness reserve</x:v>
      </x:c>
      <x:c r="E5" s="15" t="str">
        <x:v>Qualified alternate designs/tooling</x:v>
      </x:c>
      <x:c r="F5" s="15" t="str">
        <x:v>Single-source bearings/seals/drives</x:v>
      </x:c>
      <x:c r="G5" s="15" t="str">
        <x:v>Hydraulic, electrical, field maintenance</x:v>
      </x:c>
      <x:c r="H5" s="15" t="str">
        <x:v>Water, mining, ports, wastewater</x:v>
      </x:c>
      <x:c r="I5" s="15" t="str">
        <x:v>Systems plus training and environmental standard</x:v>
      </x:c>
    </x:row>
    <x:row r="6">
      <x:c r="A6" s="15" t="str">
        <x:v>Resilience shipbuilding</x:v>
      </x:c>
      <x:c r="B6" s="15" t="str">
        <x:v>Works carriers, medical/water-energy ships, shallow-draft craft</x:v>
      </x:c>
      <x:c r="C6" s="15" t="str">
        <x:v>Modular construction, corrosion, nuclear/non-nuclear integration</x:v>
      </x:c>
      <x:c r="D6" s="15" t="str">
        <x:v>Stable multi-yard family cadence</x:v>
      </x:c>
      <x:c r="E6" s="15" t="str">
        <x:v>Shared interfaces and mobilization yards</x:v>
      </x:c>
      <x:c r="F6" s="15" t="str">
        <x:v>Unique yard/design lock-in</x:v>
      </x:c>
      <x:c r="G6" s="15" t="str">
        <x:v>Naval architecture, welding, nuclear, medical</x:v>
      </x:c>
      <x:c r="H6" s="15" t="str">
        <x:v>Offshore energy, coastal infrastructure</x:v>
      </x:c>
      <x:c r="I6" s="15" t="str">
        <x:v>Safeguarded configurations; host-owned operation</x:v>
      </x:c>
    </x:row>
    <x:row r="7">
      <x:c r="A7" s="15" t="str">
        <x:v>Purpose-built response aviation</x:v>
      </x:c>
      <x:c r="B7" s="15" t="str">
        <x:v>Fire, sensing, lift, relay, medical aircraft</x:v>
      </x:c>
      <x:c r="C7" s="15" t="str">
        <x:v>High-cycle structures, propulsion, flight controls</x:v>
      </x:c>
      <x:c r="D7" s="15" t="str">
        <x:v>Prototype competition then family cadence</x:v>
      </x:c>
      <x:c r="E7" s="15" t="str">
        <x:v>Certified digital production baseline</x:v>
      </x:c>
      <x:c r="F7" s="15" t="str">
        <x:v>Conversion-dependent fleet and aging airframes</x:v>
      </x:c>
      <x:c r="G7" s="15" t="str">
        <x:v>Aerospace production/maintenance/test</x:v>
      </x:c>
      <x:c r="H7" s="15" t="str">
        <x:v>Cargo, remote logistics, observation</x:v>
      </x:c>
      <x:c r="I7" s="15" t="str">
        <x:v>Interoperable support and safety cases</x:v>
      </x:c>
    </x:row>
    <x:row r="8">
      <x:c r="A8" s="15" t="str">
        <x:v>Mobile power and thermal</x:v>
      </x:c>
      <x:c r="B8" s="15" t="str">
        <x:v>Firm generation, storage, converters, cooling/heating</x:v>
      </x:c>
      <x:c r="C8" s="15" t="str">
        <x:v>Power electronics, electrochemistry, turbomachinery, nuclear QA</x:v>
      </x:c>
      <x:c r="D8" s="15" t="str">
        <x:v>Annual readiness fleet plus technology refresh</x:v>
      </x:c>
      <x:c r="E8" s="15" t="str">
        <x:v>Prelicensed site/interface packages</x:v>
      </x:c>
      <x:c r="F8" s="15" t="str">
        <x:v>Foreign cells/magnets/transformers</x:v>
      </x:c>
      <x:c r="G8" s="15" t="str">
        <x:v>Grid, nuclear, HVAC, electronics</x:v>
      </x:c>
      <x:c r="H8" s="15" t="str">
        <x:v>Microgrids, data centers, remote industry</x:v>
      </x:c>
      <x:c r="I8" s="15" t="str">
        <x:v>Finance/operate models with sovereign safeguards</x:v>
      </x:c>
    </x:row>
    <x:row r="9">
      <x:c r="A9" s="15" t="str">
        <x:v>Water and separations</x:v>
      </x:c>
      <x:c r="B9" s="15" t="str">
        <x:v>Membranes, sorbents, reactors, sensors, brine recovery</x:v>
      </x:c>
      <x:c r="C9" s="15" t="str">
        <x:v>Coatings, module manufacture, analytical chemistry</x:v>
      </x:c>
      <x:c r="D9" s="15" t="str">
        <x:v>Consumables reserve + module refresh</x:v>
      </x:c>
      <x:c r="E9" s="15" t="str">
        <x:v>Feed-specific qualification library</x:v>
      </x:c>
      <x:c r="F9" s="15" t="str">
        <x:v>Specialty chemistry and membrane dependence</x:v>
      </x:c>
      <x:c r="G9" s="15" t="str">
        <x:v>Chemical/process/environmental operations</x:v>
      </x:c>
      <x:c r="H9" s="15" t="str">
        <x:v>Municipal, industrial, agriculture</x:v>
      </x:c>
      <x:c r="I9" s="15" t="str">
        <x:v>Modular plants and consumable ecosystems</x:v>
      </x:c>
    </x:row>
    <x:row r="10">
      <x:c r="A10" s="15" t="str">
        <x:v>Heavy robotics and autonomy</x:v>
      </x:c>
      <x:c r="B10" s="15" t="str">
        <x:v>Earthworks, line building, inspection, rescue</x:v>
      </x:c>
      <x:c r="C10" s="15" t="str">
        <x:v>Rugged actuators, sensors, compute, safety assurance</x:v>
      </x:c>
      <x:c r="D10" s="15" t="str">
        <x:v>Fleet hours and open test challenges</x:v>
      </x:c>
      <x:c r="E10" s="15" t="str">
        <x:v>Common autonomy and authority stack</x:v>
      </x:c>
      <x:c r="F10" s="15" t="str">
        <x:v>Closed proprietary fleet stacks</x:v>
      </x:c>
      <x:c r="G10" s="15" t="str">
        <x:v>Robotics, operators, safety engineering</x:v>
      </x:c>
      <x:c r="H10" s="15" t="str">
        <x:v>Construction, mining, utilities</x:v>
      </x:c>
      <x:c r="I10" s="15" t="str">
        <x:v>Open safety standard with local payloads</x:v>
      </x:c>
    </x:row>
    <x:row r="11">
      <x:c r="A11" s="15" t="str">
        <x:v>Rapid structures and materials</x:v>
      </x:c>
      <x:c r="B11" s="15" t="str">
        <x:v>Barrier, bridge, conduit, shelter, repair</x:v>
      </x:c>
      <x:c r="C11" s="15" t="str">
        <x:v>Composites, alloys, additive, automated assembly</x:v>
      </x:c>
      <x:c r="D11" s="15" t="str">
        <x:v>Rotating war reserve equivalent + exercises</x:v>
      </x:c>
      <x:c r="E11" s="15" t="str">
        <x:v>Prequalified recipes and substitution rules</x:v>
      </x:c>
      <x:c r="F11" s="15" t="str">
        <x:v>Bespoke components without repair path</x:v>
      </x:c>
      <x:c r="G11" s="15" t="str">
        <x:v>Materials, civil, metrology, field assembly</x:v>
      </x:c>
      <x:c r="H11" s="15" t="str">
        <x:v>Infrastructure maintenance and modular construction</x:v>
      </x:c>
      <x:c r="I11" s="15" t="str">
        <x:v>Licensed local manufacture with QA chain</x:v>
      </x:c>
    </x:row>
    <x:row r="12">
      <x:c r="A12" s="15" t="str">
        <x:v>Distributed health manufacturing</x:v>
      </x:c>
      <x:c r="B12" s="15" t="str">
        <x:v>Diagnostics, medicines, oxygen, mobile care</x:v>
      </x:c>
      <x:c r="C12" s="15" t="str">
        <x:v>Bioprocess, sterile fill, embedded QC, containment</x:v>
      </x:c>
      <x:c r="D12" s="15" t="str">
        <x:v>Standing validated capacity and switching drills</x:v>
      </x:c>
      <x:c r="E12" s="15" t="str">
        <x:v>Product-change qualification protocol</x:v>
      </x:c>
      <x:c r="F12" s="15" t="str">
        <x:v>Centralized fragile production and cold chain</x:v>
      </x:c>
      <x:c r="G12" s="15" t="str">
        <x:v>Clinical, bioprocess, quality, logistics</x:v>
      </x:c>
      <x:c r="H12" s="15" t="str">
        <x:v>Rural health and outbreak readiness</x:v>
      </x:c>
      <x:c r="I12" s="15" t="str">
        <x:v>Regional co-production under quality treaty</x:v>
      </x:c>
    </x:row>
    <x:row r="13">
      <x:c r="A13" s="15" t="str">
        <x:v>Sensing, comms and compute</x:v>
      </x:c>
      <x:c r="B13" s="15" t="str">
        <x:v>Sensors, edge clusters, mesh, PNT, provenance</x:v>
      </x:c>
      <x:c r="C13" s="15" t="str">
        <x:v>Semiconductors, packaging, radios, secure software</x:v>
      </x:c>
      <x:c r="D13" s="15" t="str">
        <x:v>Continuous refresh and adversarial testing</x:v>
      </x:c>
      <x:c r="E13" s="15" t="str">
        <x:v>Open hardware/software reference stacks</x:v>
      </x:c>
      <x:c r="F13" s="15" t="str">
        <x:v>Cloud/GNSS/single-bearer dependence</x:v>
      </x:c>
      <x:c r="G13" s="15" t="str">
        <x:v>RF, cyber, data, embedded systems</x:v>
      </x:c>
      <x:c r="H13" s="15" t="str">
        <x:v>Industrial IoT, remote operations</x:v>
      </x:c>
      <x:c r="I13" s="15" t="str">
        <x:v>Standards-led ecosystem</x:v>
      </x:c>
    </x:row>
    <x:row r="14">
      <x:c r="A14" s="15" t="str">
        <x:v>Food and shelter utilities</x:v>
      </x:c>
      <x:c r="B14" s="15" t="str">
        <x:v>Nutrition lines, controlled agriculture, shelter cores</x:v>
      </x:c>
      <x:c r="C14" s="15" t="str">
        <x:v>Food safety, refrigeration, modular utilities</x:v>
      </x:c>
      <x:c r="D14" s="15" t="str">
        <x:v>Exercise consumption + humanitarian rotation</x:v>
      </x:c>
      <x:c r="E14" s="15" t="str">
        <x:v>Shelf-life and local-feedstock qualification</x:v>
      </x:c>
      <x:c r="F14" s="15" t="str">
        <x:v>Disposable camps and brittle cold chain</x:v>
      </x:c>
      <x:c r="G14" s="15" t="str">
        <x:v>Food science, agriculture, sanitation, hospitality</x:v>
      </x:c>
      <x:c r="H14" s="15" t="str">
        <x:v>Remote communities and affordable housing</x:v>
      </x:c>
      <x:c r="I14" s="15" t="str">
        <x:v>Culturally adaptable regional production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40" hidden="0" customWidth="1"/>
    <x:col min="3" max="3" width="39" hidden="0" customWidth="1"/>
    <x:col min="4" max="4" width="38" hidden="0" customWidth="1"/>
    <x:col min="5" max="5" width="39" hidden="0" customWidth="1"/>
    <x:col min="6" max="6" width="35" hidden="0" customWidth="1"/>
    <x:col min="7" max="7" width="41" hidden="0" customWidth="1"/>
    <x:col min="8" max="8" width="41" hidden="0" customWidth="1"/>
  </x:cols>
  <x:sheetData>
    <x:row r="1" ht="32" customHeight="1">
      <x:c r="A1" s="71" t="str">
        <x:v>Civil Spillovers and Export Architecture</x:v>
      </x:c>
      <x:c r="B1" s="29"/>
      <x:c r="C1" s="29"/>
      <x:c r="D1" s="29"/>
      <x:c r="E1" s="29"/>
      <x:c r="F1" s="29"/>
      <x:c r="G1" s="29"/>
      <x:c r="H1" s="29"/>
    </x:row>
    <x:row r="2" ht="34" customHeight="1">
      <x:c r="A2" s="70" t="str">
        <x:v>Power projection creates durable value when partner capability grows. Exports are designed around standards, training and lifecycle support—not dependence.</x:v>
      </x:c>
      <x:c r="B2" s="29"/>
      <x:c r="C2" s="29"/>
      <x:c r="D2" s="29"/>
      <x:c r="E2" s="29"/>
      <x:c r="F2" s="29"/>
      <x:c r="G2" s="29"/>
      <x:c r="H2" s="29"/>
    </x:row>
    <x:row r="3">
      <x:c r="A3" s="29"/>
      <x:c r="B3" s="29"/>
      <x:c r="C3" s="29"/>
      <x:c r="D3" s="29"/>
      <x:c r="E3" s="29"/>
      <x:c r="F3" s="29"/>
      <x:c r="G3" s="29"/>
      <x:c r="H3" s="29"/>
    </x:row>
    <x:row r="4">
      <x:c r="A4" s="28" t="str">
        <x:v>Capability</x:v>
      </x:c>
      <x:c r="B4" s="28" t="str">
        <x:v>Domestic spillover</x:v>
      </x:c>
      <x:c r="C4" s="28" t="str">
        <x:v>Exportable unit</x:v>
      </x:c>
      <x:c r="D4" s="28" t="str">
        <x:v>Public-good layer</x:v>
      </x:c>
      <x:c r="E4" s="28" t="str">
        <x:v>Safeguard</x:v>
      </x:c>
      <x:c r="F4" s="28" t="str">
        <x:v>Revenue channel</x:v>
      </x:c>
      <x:c r="G4" s="28" t="str">
        <x:v>Partner sovereignty test</x:v>
      </x:c>
      <x:c r="H4" s="28" t="str">
        <x:v>Strategic effect</x:v>
      </x:c>
    </x:row>
    <x:row r="5">
      <x:c r="A5" s="15" t="str">
        <x:v>Earth intelligence</x:v>
      </x:c>
      <x:c r="B5" s="15" t="str">
        <x:v>Insurance, infrastructure planning, agriculture</x:v>
      </x:c>
      <x:c r="C5" s="15" t="str">
        <x:v>Regional forecast/decision service</x:v>
      </x:c>
      <x:c r="D5" s="15" t="str">
        <x:v>Open hazard data and verification methods</x:v>
      </x:c>
      <x:c r="E5" s="15" t="str">
        <x:v>Privacy and model-risk audit</x:v>
      </x:c>
      <x:c r="F5" s="15" t="str">
        <x:v>Subscription, integration, training</x:v>
      </x:c>
      <x:c r="G5" s="15" t="str">
        <x:v>Partner controls its data and warning policy</x:v>
      </x:c>
      <x:c r="H5" s="15" t="str">
        <x:v>Shared operating picture without command dependence</x:v>
      </x:c>
    </x:row>
    <x:row r="6">
      <x:c r="A6" s="15" t="str">
        <x:v>Water-energy systems</x:v>
      </x:c>
      <x:c r="B6" s="15" t="str">
        <x:v>Municipal drought resilience and industrial reuse</x:v>
      </x:c>
      <x:c r="C6" s="15" t="str">
        <x:v>Modular treatment + firm energy island</x:v>
      </x:c>
      <x:c r="D6" s="15" t="str">
        <x:v>Water-quality/interface standards</x:v>
      </x:c>
      <x:c r="E6" s="15" t="str">
        <x:v>Nuclear, brine and environmental controls</x:v>
      </x:c>
      <x:c r="F6" s="15" t="str">
        <x:v>Equipment, operations, consumables, finance</x:v>
      </x:c>
      <x:c r="G6" s="15" t="str">
        <x:v>Local operation and consumable alternatives</x:v>
      </x:c>
      <x:c r="H6" s="15" t="str">
        <x:v>Visible life-support capacity</x:v>
      </x:c>
    </x:row>
    <x:row r="7">
      <x:c r="A7" s="15" t="str">
        <x:v>Mobile grids/thermal</x:v>
      </x:c>
      <x:c r="B7" s="15" t="str">
        <x:v>Community microgrids and extreme-heat protection</x:v>
      </x:c>
      <x:c r="C7" s="15" t="str">
        <x:v>Grid-forming modules and district thermal kits</x:v>
      </x:c>
      <x:c r="D7" s="15" t="str">
        <x:v>Interconnection and safety protocols</x:v>
      </x:c>
      <x:c r="E7" s="15" t="str">
        <x:v>Cyber and fuel-cycle boundaries</x:v>
      </x:c>
      <x:c r="F7" s="15" t="str">
        <x:v>Equipment, service, training</x:v>
      </x:c>
      <x:c r="G7" s="15" t="str">
        <x:v>Local spares and black-start authority</x:v>
      </x:c>
      <x:c r="H7" s="15" t="str">
        <x:v>Faster stabilization and commercial continuity</x:v>
      </x:c>
    </x:row>
    <x:row r="8">
      <x:c r="A8" s="15" t="str">
        <x:v>Medical/biomanufacturing</x:v>
      </x:c>
      <x:c r="B8" s="15" t="str">
        <x:v>Rural advanced care and outbreak readiness</x:v>
      </x:c>
      <x:c r="C8" s="15" t="str">
        <x:v>Mobile hospital and validated production node</x:v>
      </x:c>
      <x:c r="D8" s="15" t="str">
        <x:v>Quality-release methods</x:v>
      </x:c>
      <x:c r="E8" s="15" t="str">
        <x:v>Biosecurity, privacy and regulator control</x:v>
      </x:c>
      <x:c r="F8" s="15" t="str">
        <x:v>Platforms, licenses, QC services</x:v>
      </x:c>
      <x:c r="G8" s="15" t="str">
        <x:v>National regulator owns release decision</x:v>
      </x:c>
      <x:c r="H8" s="15" t="str">
        <x:v>Health security without permanent foreign basing</x:v>
      </x:c>
    </x:row>
    <x:row r="9">
      <x:c r="A9" s="15" t="str">
        <x:v>Hydraulic/fire control</x:v>
      </x:c>
      <x:c r="B9" s="15" t="str">
        <x:v>Public works and ecological restoration</x:v>
      </x:c>
      <x:c r="C9" s="15" t="str">
        <x:v>Pump/barrier/robotic control formations</x:v>
      </x:c>
      <x:c r="D9" s="15" t="str">
        <x:v>Test methods and environmental fate data</x:v>
      </x:c>
      <x:c r="E9" s="15" t="str">
        <x:v>No unbounded ecological externality</x:v>
      </x:c>
      <x:c r="F9" s="15" t="str">
        <x:v>Systems, exercises, depot partnerships</x:v>
      </x:c>
      <x:c r="G9" s="15" t="str">
        <x:v>Partner can maintain and command</x:v>
      </x:c>
      <x:c r="H9" s="15" t="str">
        <x:v>Mutual-aid interoperability</x:v>
      </x:c>
    </x:row>
    <x:row r="10">
      <x:c r="A10" s="15" t="str">
        <x:v>Rapid infrastructure</x:v>
      </x:c>
      <x:c r="B10" s="15" t="str">
        <x:v>Affordable construction and repair</x:v>
      </x:c>
      <x:c r="C10" s="15" t="str">
        <x:v>Bridge/conduit/shelter fabrication cell</x:v>
      </x:c>
      <x:c r="D10" s="15" t="str">
        <x:v>Open structural qualification schema</x:v>
      </x:c>
      <x:c r="E10" s="15" t="str">
        <x:v>Material provenance and labor protections</x:v>
      </x:c>
      <x:c r="F10" s="15" t="str">
        <x:v>Tooling, materials, design licenses</x:v>
      </x:c>
      <x:c r="G10" s="15" t="str">
        <x:v>Local inputs can be independently qualified</x:v>
      </x:c>
      <x:c r="H10" s="15" t="str">
        <x:v>Recovery becomes industrial development</x:v>
      </x:c>
    </x:row>
    <x:row r="11">
      <x:c r="A11" s="15" t="str">
        <x:v>Autonomy/comms</x:v>
      </x:c>
      <x:c r="B11" s="15" t="str">
        <x:v>Mining, utilities, remote operations</x:v>
      </x:c>
      <x:c r="C11" s="15" t="str">
        <x:v>Certified autonomy and mesh stack</x:v>
      </x:c>
      <x:c r="D11" s="15" t="str">
        <x:v>Safety and authority interfaces</x:v>
      </x:c>
      <x:c r="E11" s="15" t="str">
        <x:v>No covert access; auditable software</x:v>
      </x:c>
      <x:c r="F11" s="15" t="str">
        <x:v>Hardware, support, certification</x:v>
      </x:c>
      <x:c r="G11" s="15" t="str">
        <x:v>Local keying, data custody and override</x:v>
      </x:c>
      <x:c r="H11" s="15" t="str">
        <x:v>Trusted interoperability</x:v>
      </x:c>
    </x:row>
    <x:row r="12">
      <x:c r="A12" s="15" t="str">
        <x:v>Training and doctrine</x:v>
      </x:c>
      <x:c r="B12" s="15" t="str">
        <x:v>Higher technical workforce and civic preparedness</x:v>
      </x:c>
      <x:c r="C12" s="15" t="str">
        <x:v>Resilience academy, exercises and certification</x:v>
      </x:c>
      <x:c r="D12" s="15" t="str">
        <x:v>Open curricula and lessons</x:v>
      </x:c>
      <x:c r="E12" s="15" t="str">
        <x:v>Civil rights and local command primacy</x:v>
      </x:c>
      <x:c r="F12" s="15" t="str">
        <x:v>Education and exercise services</x:v>
      </x:c>
      <x:c r="G12" s="15" t="str">
        <x:v>Partner sets doctrine and priorities</x:v>
      </x:c>
      <x:c r="H12" s="15" t="str">
        <x:v>Long-lived professional networks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26" hidden="0" customWidth="1"/>
    <x:col min="4" max="4" width="24" hidden="0" customWidth="1"/>
    <x:col min="5" max="5" width="16" hidden="0" customWidth="1"/>
    <x:col min="6" max="6" width="20" hidden="0" customWidth="1"/>
    <x:col min="7" max="7" width="23" hidden="0" customWidth="1"/>
    <x:col min="8" max="8" width="23" hidden="0" customWidth="1"/>
    <x:col min="9" max="9" width="23" hidden="0" customWidth="1"/>
  </x:cols>
  <x:sheetData>
    <x:row r="1" ht="32" customHeight="1">
      <x:c r="A1" s="71" t="str">
        <x:v>Cost and Schedule Failure Sensitivity</x:v>
      </x:c>
      <x:c r="B1" s="29"/>
      <x:c r="C1" s="29"/>
      <x:c r="D1" s="29"/>
      <x:c r="E1" s="29"/>
      <x:c r="F1" s="29"/>
      <x:c r="G1" s="29"/>
      <x:c r="H1" s="29"/>
      <x:c r="I1" s="29"/>
    </x:row>
    <x:row r="2" ht="34" customHeight="1">
      <x:c r="A2" s="70" t="str">
        <x:v>Transparent shocks show why rival paths, protected test funding, reserves and cancellation rights are substantive.</x:v>
      </x:c>
      <x:c r="B2" s="29"/>
      <x:c r="C2" s="29"/>
      <x:c r="D2" s="29"/>
      <x:c r="E2" s="29"/>
      <x:c r="F2" s="29"/>
      <x:c r="G2" s="29"/>
      <x:c r="H2" s="29"/>
      <x:c r="I2" s="29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</x:row>
    <x:row r="4">
      <x:c r="A4" s="28" t="str">
        <x:v>Case</x:v>
      </x:c>
      <x:c r="B4" s="28" t="str">
        <x:v>Facilities shock</x:v>
      </x:c>
      <x:c r="C4" s="28" t="str">
        <x:v>Prototype/redesign shock</x:v>
      </x:c>
      <x:c r="D4" s="28" t="str">
        <x:v>RTEA/integration shock</x:v>
      </x:c>
      <x:c r="E4" s="28" t="str">
        <x:v>Delay years</x:v>
      </x:c>
      <x:c r="F4" s="28" t="str">
        <x:v>Annual carry rate</x:v>
      </x:c>
      <x:c r="G4" s="28" t="str">
        <x:v>Supply-chain shock</x:v>
      </x:c>
      <x:c r="H4" s="28" t="str">
        <x:v>Calculated need $B</x:v>
      </x:c>
      <x:c r="I4" s="28" t="str">
        <x:v>Reserve balance $B</x:v>
      </x:c>
    </x:row>
    <x:row r="5">
      <x:c r="A5" s="29" t="str">
        <x:v>Baseline</x:v>
      </x:c>
      <x:c r="B5" s="64" t="n">
        <x:v>0</x:v>
      </x:c>
      <x:c r="C5" s="64" t="n">
        <x:v>0</x:v>
      </x:c>
      <x:c r="D5" s="64" t="n">
        <x:v>0</x:v>
      </x:c>
      <x:c r="E5" s="30" t="n">
        <x:v>0</x:v>
      </x:c>
      <x:c r="F5" s="64" t="n">
        <x:v>0.03</x:v>
      </x:c>
      <x:c r="G5" s="64" t="n">
        <x:v>0</x:v>
      </x:c>
      <x:c r="H5" s="32" t="n">
        <x:f>Controls!$B$13+(B5*Portfolio!$C$21)+(C5*(Portfolio!$C$19+Portfolio!$C$20+Portfolio!$C$22))+(D5*Portfolio!$C$22)+(E5*F5*Controls!$B$13)+(G5*Portfolio!$C$24)</x:f>
        <x:v>2000</x:v>
      </x:c>
      <x:c r="I5" s="32" t="n">
        <x:f>Controls!$B$14-(H5-Controls!$B$13)</x:f>
        <x:v>300</x:v>
      </x:c>
    </x:row>
    <x:row r="6">
      <x:c r="A6" s="29" t="str">
        <x:v>Facility overrun</x:v>
      </x:c>
      <x:c r="B6" s="64" t="n">
        <x:v>0.25</x:v>
      </x:c>
      <x:c r="C6" s="64" t="n">
        <x:v>0</x:v>
      </x:c>
      <x:c r="D6" s="64" t="n">
        <x:v>0</x:v>
      </x:c>
      <x:c r="E6" s="30" t="n">
        <x:v>0</x:v>
      </x:c>
      <x:c r="F6" s="64" t="n">
        <x:v>0.03</x:v>
      </x:c>
      <x:c r="G6" s="64" t="n">
        <x:v>0</x:v>
      </x:c>
      <x:c r="H6" s="32" t="n">
        <x:f>Controls!$B$13+(B6*Portfolio!$C$21)+(C6*(Portfolio!$C$19+Portfolio!$C$20+Portfolio!$C$22))+(D6*Portfolio!$C$22)+(E6*F6*Controls!$B$13)+(G6*Portfolio!$C$24)</x:f>
        <x:v>2080</x:v>
      </x:c>
      <x:c r="I6" s="32" t="n">
        <x:f>Controls!$B$14-(H6-Controls!$B$13)</x:f>
        <x:v>220</x:v>
      </x:c>
    </x:row>
    <x:row r="7">
      <x:c r="A7" s="29" t="str">
        <x:v>Prototype attrition</x:v>
      </x:c>
      <x:c r="B7" s="64" t="n">
        <x:v>0</x:v>
      </x:c>
      <x:c r="C7" s="64" t="n">
        <x:v>0.2</x:v>
      </x:c>
      <x:c r="D7" s="64" t="n">
        <x:v>0</x:v>
      </x:c>
      <x:c r="E7" s="30" t="n">
        <x:v>0</x:v>
      </x:c>
      <x:c r="F7" s="64" t="n">
        <x:v>0.03</x:v>
      </x:c>
      <x:c r="G7" s="64" t="n">
        <x:v>0</x:v>
      </x:c>
      <x:c r="H7" s="32" t="n">
        <x:f>Controls!$B$13+(B7*Portfolio!$C$21)+(C7*(Portfolio!$C$19+Portfolio!$C$20+Portfolio!$C$22))+(D7*Portfolio!$C$22)+(E7*F7*Controls!$B$13)+(G7*Portfolio!$C$24)</x:f>
        <x:v>2224</x:v>
      </x:c>
      <x:c r="I7" s="32" t="n">
        <x:f>Controls!$B$14-(H7-Controls!$B$13)</x:f>
        <x:v>76</x:v>
      </x:c>
    </x:row>
    <x:row r="8">
      <x:c r="A8" s="29" t="str">
        <x:v>Integration discovery</x:v>
      </x:c>
      <x:c r="B8" s="64" t="n">
        <x:v>0</x:v>
      </x:c>
      <x:c r="C8" s="64" t="n">
        <x:v>0</x:v>
      </x:c>
      <x:c r="D8" s="64" t="n">
        <x:v>0.2</x:v>
      </x:c>
      <x:c r="E8" s="30" t="n">
        <x:v>0</x:v>
      </x:c>
      <x:c r="F8" s="64" t="n">
        <x:v>0.03</x:v>
      </x:c>
      <x:c r="G8" s="64" t="n">
        <x:v>0</x:v>
      </x:c>
      <x:c r="H8" s="32" t="n">
        <x:f>Controls!$B$13+(B8*Portfolio!$C$21)+(C8*(Portfolio!$C$19+Portfolio!$C$20+Portfolio!$C$22))+(D8*Portfolio!$C$22)+(E8*F8*Controls!$B$13)+(G8*Portfolio!$C$24)</x:f>
        <x:v>2040</x:v>
      </x:c>
      <x:c r="I8" s="32" t="n">
        <x:f>Controls!$B$14-(H8-Controls!$B$13)</x:f>
        <x:v>260</x:v>
      </x:c>
    </x:row>
    <x:row r="9">
      <x:c r="A9" s="29" t="str">
        <x:v>Two-year delay</x:v>
      </x:c>
      <x:c r="B9" s="64" t="n">
        <x:v>0</x:v>
      </x:c>
      <x:c r="C9" s="64" t="n">
        <x:v>0</x:v>
      </x:c>
      <x:c r="D9" s="64" t="n">
        <x:v>0</x:v>
      </x:c>
      <x:c r="E9" s="30" t="n">
        <x:v>2</x:v>
      </x:c>
      <x:c r="F9" s="64" t="n">
        <x:v>0.03</x:v>
      </x:c>
      <x:c r="G9" s="64" t="n">
        <x:v>0</x:v>
      </x:c>
      <x:c r="H9" s="32" t="n">
        <x:f>Controls!$B$13+(B9*Portfolio!$C$21)+(C9*(Portfolio!$C$19+Portfolio!$C$20+Portfolio!$C$22))+(D9*Portfolio!$C$22)+(E9*F9*Controls!$B$13)+(G9*Portfolio!$C$24)</x:f>
        <x:v>2120</x:v>
      </x:c>
      <x:c r="I9" s="32" t="n">
        <x:f>Controls!$B$14-(H9-Controls!$B$13)</x:f>
        <x:v>180</x:v>
      </x:c>
    </x:row>
    <x:row r="10">
      <x:c r="A10" s="29" t="str">
        <x:v>Supply-chain redesign</x:v>
      </x:c>
      <x:c r="B10" s="64" t="n">
        <x:v>0</x:v>
      </x:c>
      <x:c r="C10" s="64" t="n">
        <x:v>0</x:v>
      </x:c>
      <x:c r="D10" s="64" t="n">
        <x:v>0</x:v>
      </x:c>
      <x:c r="E10" s="30" t="n">
        <x:v>0</x:v>
      </x:c>
      <x:c r="F10" s="64" t="n">
        <x:v>0.03</x:v>
      </x:c>
      <x:c r="G10" s="64" t="n">
        <x:v>0.15</x:v>
      </x:c>
      <x:c r="H10" s="32" t="n">
        <x:f>Controls!$B$13+(B10*Portfolio!$C$21)+(C10*(Portfolio!$C$19+Portfolio!$C$20+Portfolio!$C$22))+(D10*Portfolio!$C$22)+(E10*F10*Controls!$B$13)+(G10*Portfolio!$C$24)</x:f>
        <x:v>2030</x:v>
      </x:c>
      <x:c r="I10" s="32" t="n">
        <x:f>Controls!$B$14-(H10-Controls!$B$13)</x:f>
        <x:v>270</x:v>
      </x:c>
    </x:row>
    <x:row r="11">
      <x:c r="A11" s="29" t="str">
        <x:v>Compound</x:v>
      </x:c>
      <x:c r="B11" s="64" t="n">
        <x:v>0.25</x:v>
      </x:c>
      <x:c r="C11" s="64" t="n">
        <x:v>0.2</x:v>
      </x:c>
      <x:c r="D11" s="64" t="n">
        <x:v>0.2</x:v>
      </x:c>
      <x:c r="E11" s="30" t="n">
        <x:v>2</x:v>
      </x:c>
      <x:c r="F11" s="64" t="n">
        <x:v>0.03</x:v>
      </x:c>
      <x:c r="G11" s="64" t="n">
        <x:v>0.15</x:v>
      </x:c>
      <x:c r="H11" s="32" t="n">
        <x:f>Controls!$B$13+(B11*Portfolio!$C$21)+(C11*(Portfolio!$C$19+Portfolio!$C$20+Portfolio!$C$22))+(D11*Portfolio!$C$22)+(E11*F11*Controls!$B$13)+(G11*Portfolio!$C$24)</x:f>
        <x:v>2494</x:v>
      </x:c>
      <x:c r="I11" s="32" t="n">
        <x:f>Controls!$B$14-(H11-Controls!$B$13)</x:f>
        <x:v>-194</x:v>
      </x:c>
    </x:row>
    <x:row r="12">
      <x:c r="A12" s="29" t="str">
        <x:v>Severe compound</x:v>
      </x:c>
      <x:c r="B12" s="64" t="n">
        <x:v>0.5</x:v>
      </x:c>
      <x:c r="C12" s="64" t="n">
        <x:v>0.35</x:v>
      </x:c>
      <x:c r="D12" s="64" t="n">
        <x:v>0.35</x:v>
      </x:c>
      <x:c r="E12" s="30" t="n">
        <x:v>4</x:v>
      </x:c>
      <x:c r="F12" s="64" t="n">
        <x:v>0.04</x:v>
      </x:c>
      <x:c r="G12" s="64" t="n">
        <x:v>0.3</x:v>
      </x:c>
      <x:c r="H12" s="32" t="n">
        <x:f>Controls!$B$13+(B12*Portfolio!$C$21)+(C12*(Portfolio!$C$19+Portfolio!$C$20+Portfolio!$C$22))+(D12*Portfolio!$C$22)+(E12*F12*Controls!$B$13)+(G12*Portfolio!$C$24)</x:f>
        <x:v>3002</x:v>
      </x:c>
      <x:c r="I12" s="32" t="n">
        <x:f>Controls!$B$14-(H12-Controls!$B$13)</x:f>
        <x:v>-702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3" hidden="0" customWidth="1"/>
    <x:col min="2" max="2" width="20" hidden="0" customWidth="1"/>
    <x:col min="3" max="3" width="20" hidden="0" customWidth="1"/>
    <x:col min="4" max="4" width="15" hidden="0" customWidth="1"/>
    <x:col min="5" max="5" width="15" hidden="0" customWidth="1"/>
    <x:col min="6" max="6" width="65" hidden="0" customWidth="1"/>
  </x:cols>
  <x:sheetData>
    <x:row r="1" ht="32" customHeight="1">
      <x:c r="A1" s="71" t="str">
        <x:v>Model Checks</x:v>
      </x:c>
      <x:c r="B1" s="29"/>
      <x:c r="C1" s="29"/>
      <x:c r="D1" s="29"/>
      <x:c r="E1" s="29"/>
      <x:c r="F1" s="29"/>
    </x:row>
    <x:row r="2" ht="34" customHeight="1">
      <x:c r="A2" s="70" t="str">
        <x:v>All checks should read PASS before interpretation. These checks test arithmetic and architecture, not real-world performance.</x:v>
      </x:c>
      <x:c r="B2" s="29"/>
      <x:c r="C2" s="29"/>
      <x:c r="D2" s="29"/>
      <x:c r="E2" s="29"/>
      <x:c r="F2" s="29"/>
    </x:row>
    <x:row r="3">
      <x:c r="A3" s="29"/>
      <x:c r="B3" s="29"/>
      <x:c r="C3" s="29"/>
      <x:c r="D3" s="29"/>
      <x:c r="E3" s="29"/>
      <x:c r="F3" s="29"/>
    </x:row>
    <x:row r="4">
      <x:c r="A4" s="28" t="str">
        <x:v>Check</x:v>
      </x:c>
      <x:c r="B4" s="28" t="str">
        <x:v>Observed</x:v>
      </x:c>
      <x:c r="C4" s="28" t="str">
        <x:v>Expected</x:v>
      </x:c>
      <x:c r="D4" s="28" t="str">
        <x:v>Tolerance</x:v>
      </x:c>
      <x:c r="E4" s="28" t="str">
        <x:v>Status</x:v>
      </x:c>
      <x:c r="F4" s="28" t="str">
        <x:v>Meaning</x:v>
      </x:c>
    </x:row>
    <x:row r="5">
      <x:c r="A5" s="29" t="str">
        <x:v>Directorate shares</x:v>
      </x:c>
      <x:c r="B5" s="67" t="n">
        <x:f>SUM(Portfolio!B5:B16)</x:f>
        <x:v>0.9999999999999999</x:v>
      </x:c>
      <x:c r="C5" s="67" t="n">
        <x:v>1</x:v>
      </x:c>
      <x:c r="D5" s="67" t="n">
        <x:v>0.000001</x:v>
      </x:c>
      <x:c r="E5" s="29" t="str">
        <x:f>IF(ABS(B5-C5)&lt;=D5,"PASS","FAIL")</x:f>
        <x:v>PASS</x:v>
      </x:c>
      <x:c r="F5" s="15" t="str">
        <x:v>Portfolio exhausts selected envelope</x:v>
      </x:c>
    </x:row>
    <x:row r="6">
      <x:c r="A6" s="29" t="str">
        <x:v>Institution shares</x:v>
      </x:c>
      <x:c r="B6" s="67" t="n">
        <x:f>SUM(Portfolio!B19:B26)</x:f>
        <x:v>1</x:v>
      </x:c>
      <x:c r="C6" s="67" t="n">
        <x:v>1</x:v>
      </x:c>
      <x:c r="D6" s="67" t="n">
        <x:v>0.000001</x:v>
      </x:c>
      <x:c r="E6" s="29" t="str">
        <x:f>IF(ABS(B6-C6)&lt;=D6,"PASS","FAIL")</x:f>
        <x:v>PASS</x:v>
      </x:c>
      <x:c r="F6" s="15" t="str">
        <x:v>Institutional channels exhaust selected envelope</x:v>
      </x:c>
    </x:row>
    <x:row r="7">
      <x:c r="A7" s="29" t="str">
        <x:v>Directorate dollars</x:v>
      </x:c>
      <x:c r="B7" s="67" t="n">
        <x:f>SUM(Portfolio!C5:C16)</x:f>
        <x:v>2000</x:v>
      </x:c>
      <x:c r="C7" s="67" t="n">
        <x:f>Controls!B13</x:f>
        <x:v>2000</x:v>
      </x:c>
      <x:c r="D7" s="67" t="n">
        <x:v>0.000001</x:v>
      </x:c>
      <x:c r="E7" s="29" t="str">
        <x:f>IF(ABS(B7-C7)&lt;=D7,"PASS","FAIL")</x:f>
        <x:v>PASS</x:v>
      </x:c>
      <x:c r="F7" s="15" t="str">
        <x:v>Directorate allocation reconciles</x:v>
      </x:c>
    </x:row>
    <x:row r="8">
      <x:c r="A8" s="29" t="str">
        <x:v>Institution dollars</x:v>
      </x:c>
      <x:c r="B8" s="67" t="n">
        <x:f>SUM(Portfolio!C19:C26)</x:f>
        <x:v>2000</x:v>
      </x:c>
      <x:c r="C8" s="67" t="n">
        <x:f>Controls!B13</x:f>
        <x:v>2000</x:v>
      </x:c>
      <x:c r="D8" s="67" t="n">
        <x:v>0.000001</x:v>
      </x:c>
      <x:c r="E8" s="29" t="str">
        <x:f>IF(ABS(B8-C8)&lt;=D8,"PASS","FAIL")</x:f>
        <x:v>PASS</x:v>
      </x:c>
      <x:c r="F8" s="15" t="str">
        <x:v>Institutional classification reconciles</x:v>
      </x:c>
    </x:row>
    <x:row r="9">
      <x:c r="A9" s="29" t="str">
        <x:v>Campaign dollars</x:v>
      </x:c>
      <x:c r="B9" s="67" t="n">
        <x:f>SUM('Campaign Register'!M5:M64)</x:f>
        <x:v>2000</x:v>
      </x:c>
      <x:c r="C9" s="67" t="n">
        <x:f>Controls!B13</x:f>
        <x:v>2000</x:v>
      </x:c>
      <x:c r="D9" s="67" t="n">
        <x:v>0.000001</x:v>
      </x:c>
      <x:c r="E9" s="29" t="str">
        <x:f>IF(ABS(B9-C9)&lt;=D9,"PASS","FAIL")</x:f>
        <x:v>PASS</x:v>
      </x:c>
      <x:c r="F9" s="15" t="str">
        <x:v>Sixty program weights reconcile</x:v>
      </x:c>
    </x:row>
    <x:row r="10">
      <x:c r="A10" s="29" t="str">
        <x:v>RTEA protected share</x:v>
      </x:c>
      <x:c r="B10" s="67" t="n">
        <x:f>Portfolio!B22</x:f>
        <x:v>0.1</x:v>
      </x:c>
      <x:c r="C10" s="67" t="n">
        <x:f>Controls!B9</x:f>
        <x:v>0.1</x:v>
      </x:c>
      <x:c r="D10" s="67" t="n">
        <x:v>0.000001</x:v>
      </x:c>
      <x:c r="E10" s="29" t="str">
        <x:f>IF(ABS(B10-C10)&lt;=D10,"PASS","FAIL")</x:f>
        <x:v>PASS</x:v>
      </x:c>
      <x:c r="F10" s="15" t="str">
        <x:v>Independent test floor is protected</x:v>
      </x:c>
    </x:row>
    <x:row r="11">
      <x:c r="A11" s="29" t="str">
        <x:v>Range reference total</x:v>
      </x:c>
      <x:c r="B11" s="67" t="n">
        <x:f>SUM('Proving Network'!C5:C14)</x:f>
        <x:v>120</x:v>
      </x:c>
      <x:c r="C11" s="67" t="n">
        <x:v>120</x:v>
      </x:c>
      <x:c r="D11" s="67" t="n">
        <x:v>0.000001</x:v>
      </x:c>
      <x:c r="E11" s="29" t="str">
        <x:f>IF(ABS(B11-C11)&lt;=D11,"PASS","FAIL")</x:f>
        <x:v>PASS</x:v>
      </x:c>
      <x:c r="F11" s="15" t="str">
        <x:v>Reference proving network equals $120B</x:v>
      </x:c>
    </x:row>
    <x:row r="12">
      <x:c r="A12" s="29" t="str">
        <x:v>Range selected total</x:v>
      </x:c>
      <x:c r="B12" s="67" t="n">
        <x:f>SUM('Proving Network'!D5:D14)</x:f>
        <x:v>320.00000000000006</x:v>
      </x:c>
      <x:c r="C12" s="67" t="n">
        <x:f>Portfolio!C21</x:f>
        <x:v>320</x:v>
      </x:c>
      <x:c r="D12" s="67" t="n">
        <x:v>0.000001</x:v>
      </x:c>
      <x:c r="E12" s="29" t="str">
        <x:f>IF(ABS(B12-C12)&lt;=D12,"PASS","FAIL")</x:f>
        <x:v>PASS</x:v>
      </x:c>
      <x:c r="F12" s="15" t="str">
        <x:v>Range allocation scales correctly</x:v>
      </x:c>
    </x:row>
    <x:row r="13">
      <x:c r="A13" s="29" t="str">
        <x:v>Peak range utilization</x:v>
      </x:c>
      <x:c r="B13" s="67" t="n">
        <x:f>MAX('Proving Network'!H5:H14)</x:f>
        <x:v>0.7592592592592593</x:v>
      </x:c>
      <x:c r="C13" s="67" t="n">
        <x:f>Controls!B11</x:f>
        <x:v>0.8</x:v>
      </x:c>
      <x:c r="D13" s="67" t="n">
        <x:v>0.000001</x:v>
      </x:c>
      <x:c r="E13" s="29" t="str">
        <x:f>IF(B13&lt;=C13,"PASS","FAIL")</x:f>
        <x:v>PASS</x:v>
      </x:c>
      <x:c r="F13" s="15" t="str">
        <x:v>Peak utilization is at or below ceiling</x:v>
      </x:c>
    </x:row>
    <x:row r="14">
      <x:c r="A14" s="29" t="str">
        <x:v>Annual shares</x:v>
      </x:c>
      <x:c r="B14" s="67" t="n">
        <x:f>SUM('Annual Profile'!C5:C29)</x:f>
        <x:v>0.9999999999999998</x:v>
      </x:c>
      <x:c r="C14" s="67" t="n">
        <x:v>1</x:v>
      </x:c>
      <x:c r="D14" s="67" t="n">
        <x:v>0.000001</x:v>
      </x:c>
      <x:c r="E14" s="29" t="str">
        <x:f>IF(ABS(B14-C14)&lt;=D14,"PASS","FAIL")</x:f>
        <x:v>PASS</x:v>
      </x:c>
      <x:c r="F14" s="15" t="str">
        <x:v>Annual profile normalized</x:v>
      </x:c>
    </x:row>
    <x:row r="15">
      <x:c r="A15" s="29" t="str">
        <x:v>Annual dollars</x:v>
      </x:c>
      <x:c r="B15" s="67" t="n">
        <x:f>SUM('Annual Profile'!D5:D29)</x:f>
        <x:v>2000</x:v>
      </x:c>
      <x:c r="C15" s="67" t="n">
        <x:f>Controls!B13</x:f>
        <x:v>2000</x:v>
      </x:c>
      <x:c r="D15" s="67" t="n">
        <x:v>0.000001</x:v>
      </x:c>
      <x:c r="E15" s="29" t="str">
        <x:f>IF(ABS(B15-C15)&lt;=D15,"PASS","FAIL")</x:f>
        <x:v>PASS</x:v>
      </x:c>
      <x:c r="F15" s="15" t="str">
        <x:v>Annual profile reconciles</x:v>
      </x:c>
    </x:row>
    <x:row r="16">
      <x:c r="A16" s="29" t="str">
        <x:v>Annual component dollars</x:v>
      </x:c>
      <x:c r="B16" s="67" t="n">
        <x:f>SUM('Annual Profile'!E5:H29)</x:f>
        <x:v>1999.9999999999995</x:v>
      </x:c>
      <x:c r="C16" s="67" t="n">
        <x:f>Controls!B13</x:f>
        <x:v>2000</x:v>
      </x:c>
      <x:c r="D16" s="67" t="n">
        <x:v>0.000001</x:v>
      </x:c>
      <x:c r="E16" s="29" t="str">
        <x:f>IF(ABS(B16-C16)&lt;=D16,"PASS","FAIL")</x:f>
        <x:v>PASS</x:v>
      </x:c>
      <x:c r="F16" s="15" t="str">
        <x:v>Annual institutional view reconciles</x:v>
      </x:c>
    </x:row>
    <x:row r="17">
      <x:c r="A17" s="29" t="str">
        <x:v>Initial concepts</x:v>
      </x:c>
      <x:c r="B17" s="67" t="n">
        <x:f>'Maturity Pipeline'!C5</x:f>
        <x:v>240</x:v>
      </x:c>
      <x:c r="C17" s="67" t="n">
        <x:f>Controls!B12</x:f>
        <x:v>240</x:v>
      </x:c>
      <x:c r="D17" s="67" t="n">
        <x:v>0.000001</x:v>
      </x:c>
      <x:c r="E17" s="29" t="str">
        <x:f>IF(ABS(B17-C17)&lt;=D17,"PASS","FAIL")</x:f>
        <x:v>PASS</x:v>
      </x:c>
      <x:c r="F17" s="15" t="str">
        <x:v>Funnel begins at control count</x:v>
      </x:c>
    </x:row>
    <x:row r="18">
      <x:c r="A18" s="29" t="str">
        <x:v>Maturity monotonic</x:v>
      </x:c>
      <x:c r="B18" s="67" t="n">
        <x:f>IF(AND('Maturity Pipeline'!C5&gt;='Maturity Pipeline'!C6,'Maturity Pipeline'!C6&gt;='Maturity Pipeline'!C7,'Maturity Pipeline'!C7&gt;='Maturity Pipeline'!C8,'Maturity Pipeline'!C8&gt;='Maturity Pipeline'!C9,'Maturity Pipeline'!C9&gt;='Maturity Pipeline'!C10,'Maturity Pipeline'!C10&gt;='Maturity Pipeline'!C11,'Maturity Pipeline'!C11&gt;='Maturity Pipeline'!C12),1,0)</x:f>
        <x:v>1</x:v>
      </x:c>
      <x:c r="C18" s="67" t="n">
        <x:v>1</x:v>
      </x:c>
      <x:c r="D18" s="67" t="n">
        <x:v>0.000001</x:v>
      </x:c>
      <x:c r="E18" s="29" t="str">
        <x:f>IF(ABS(B18-C18)&lt;=D18,"PASS","FAIL")</x:f>
        <x:v>PASS</x:v>
      </x:c>
      <x:c r="F18" s="15" t="str">
        <x:v>Funnel never creates paths</x:v>
      </x:c>
    </x:row>
    <x:row r="19">
      <x:c r="A19" s="29" t="str">
        <x:v>Campaign count</x:v>
      </x:c>
      <x:c r="B19" s="67" t="n">
        <x:f>COUNTA('Campaign Register'!A5:A64)</x:f>
        <x:v>60</x:v>
      </x:c>
      <x:c r="C19" s="67" t="n">
        <x:v>60</x:v>
      </x:c>
      <x:c r="D19" s="67" t="n">
        <x:v>0.000001</x:v>
      </x:c>
      <x:c r="E19" s="29" t="str">
        <x:f>IF(ABS(B19-C19)&lt;=D19,"PASS","FAIL")</x:f>
        <x:v>PASS</x:v>
      </x:c>
      <x:c r="F19" s="15" t="str">
        <x:v>Twelve directorates × five campaigns</x:v>
      </x:c>
    </x:row>
    <x:row r="20">
      <x:c r="A20" s="29" t="str">
        <x:v>Common primitives</x:v>
      </x:c>
      <x:c r="B20" s="67" t="n">
        <x:f>COUNTA('Common Primitives'!A5:A14)</x:f>
        <x:v>10</x:v>
      </x:c>
      <x:c r="C20" s="67" t="n">
        <x:v>10</x:v>
      </x:c>
      <x:c r="D20" s="67" t="n">
        <x:v>0.000001</x:v>
      </x:c>
      <x:c r="E20" s="29" t="str">
        <x:f>IF(ABS(B20-C20)&lt;=D20,"PASS","FAIL")</x:f>
        <x:v>PASS</x:v>
      </x:c>
      <x:c r="F20" s="15" t="str">
        <x:v>Shared platform layer present</x:v>
      </x:c>
    </x:row>
    <x:row r="21">
      <x:c r="A21" s="29" t="str">
        <x:v>Stage gates</x:v>
      </x:c>
      <x:c r="B21" s="67" t="n">
        <x:f>COUNTA('Stage Gates'!A5:A12)</x:f>
        <x:v>8</x:v>
      </x:c>
      <x:c r="C21" s="67" t="n">
        <x:v>8</x:v>
      </x:c>
      <x:c r="D21" s="67" t="n">
        <x:v>0.000001</x:v>
      </x:c>
      <x:c r="E21" s="29" t="str">
        <x:f>IF(ABS(B21-C21)&lt;=D21,"PASS","FAIL")</x:f>
        <x:v>PASS</x:v>
      </x:c>
      <x:c r="F21" s="15" t="str">
        <x:v>Full opportunity-to-retirement chain</x:v>
      </x:c>
    </x:row>
    <x:row r="22">
      <x:c r="A22" s="29" t="str">
        <x:v>Compound reserve</x:v>
      </x:c>
      <x:c r="B22" s="67" t="n">
        <x:f>'Risk Sensitivity'!I11</x:f>
        <x:v>-194</x:v>
      </x:c>
      <x:c r="C22" s="67" t="n">
        <x:v>0</x:v>
      </x:c>
      <x:c r="D22" s="67" t="n">
        <x:v>999999</x:v>
      </x:c>
      <x:c r="E22" s="29" t="str">
        <x:f>IF(B22&gt;=0,"PASS","FLAG")</x:f>
        <x:v>FLAG</x:v>
      </x:c>
      <x:c r="F22" s="15" t="str">
        <x:v>Informational: negative means reserve shortfall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43" hidden="0" customWidth="1"/>
    <x:col min="3" max="3" width="77" hidden="0" customWidth="1"/>
    <x:col min="4" max="4" width="16" hidden="0" customWidth="1"/>
    <x:col min="5" max="5" width="47" hidden="0" customWidth="1"/>
    <x:col min="6" max="6" width="40" hidden="0" customWidth="1"/>
    <x:col min="7" max="7" width="20" hidden="0" customWidth="1"/>
    <x:col min="8" max="8" width="51" hidden="0" customWidth="1"/>
  </x:cols>
  <x:sheetData>
    <x:row r="1" ht="32" customHeight="1">
      <x:c r="A1" s="71" t="str">
        <x:v>Source and Assumption Ledger</x:v>
      </x:c>
      <x:c r="B1" s="29"/>
      <x:c r="C1" s="29"/>
      <x:c r="D1" s="29"/>
      <x:c r="E1" s="29"/>
      <x:c r="F1" s="29"/>
      <x:c r="G1" s="29"/>
      <x:c r="H1" s="29"/>
    </x:row>
    <x:row r="2" ht="34" customHeight="1">
      <x:c r="A2" s="70" t="str">
        <x:v>Official and primary sources bound present capabilities and institutional analogues. All future targets and allocations are author hypotheses.</x:v>
      </x:c>
      <x:c r="B2" s="29"/>
      <x:c r="C2" s="29"/>
      <x:c r="D2" s="29"/>
      <x:c r="E2" s="29"/>
      <x:c r="F2" s="29"/>
      <x:c r="G2" s="29"/>
      <x:c r="H2" s="29"/>
    </x:row>
    <x:row r="3">
      <x:c r="A3" s="29"/>
      <x:c r="B3" s="29"/>
      <x:c r="C3" s="29"/>
      <x:c r="D3" s="29"/>
      <x:c r="E3" s="29"/>
      <x:c r="F3" s="29"/>
      <x:c r="G3" s="29"/>
      <x:c r="H3" s="29"/>
    </x:row>
    <x:row r="4">
      <x:c r="A4" s="28" t="str">
        <x:v>ID</x:v>
      </x:c>
      <x:c r="B4" s="28" t="str">
        <x:v>Institution / source</x:v>
      </x:c>
      <x:c r="C4" s="28" t="str">
        <x:v>URL</x:v>
      </x:c>
      <x:c r="D4" s="28" t="str">
        <x:v>Accessed</x:v>
      </x:c>
      <x:c r="E4" s="28" t="str">
        <x:v>What it supports</x:v>
      </x:c>
      <x:c r="F4" s="28" t="str">
        <x:v>How used</x:v>
      </x:c>
      <x:c r="G4" s="28" t="str">
        <x:v>Claim class</x:v>
      </x:c>
      <x:c r="H4" s="28" t="str">
        <x:v>Caution</x:v>
      </x:c>
    </x:row>
    <x:row r="5">
      <x:c r="A5" s="29" t="str">
        <x:v>S01</x:v>
      </x:c>
      <x:c r="B5" s="15" t="str">
        <x:v>NIST — Digital Twins for Advanced Manufacturing</x:v>
      </x:c>
      <x:c r="C5" s="15" t="str">
        <x:v>https://www.nist.gov/programs-projects/digital-twins-advanced-manufacturing</x:v>
      </x:c>
      <x:c r="D5" s="15" t="str">
        <x:v>2026-09-04</x:v>
      </x:c>
      <x:c r="E5" s="15" t="str">
        <x:v>VVUQ, standards, interoperability and testbeds</x:v>
      </x:c>
      <x:c r="F5" s="15" t="str">
        <x:v>Digital-twin assurance doctrine</x:v>
      </x:c>
      <x:c r="G5" s="15" t="str">
        <x:v>Current baseline</x:v>
      </x:c>
      <x:c r="H5" s="15" t="str">
        <x:v>Manufacturing context; cross-hazard extension is proposed</x:v>
      </x:c>
    </x:row>
    <x:row r="6">
      <x:c r="A6" s="29" t="str">
        <x:v>S02</x:v>
      </x:c>
      <x:c r="B6" s="15" t="str">
        <x:v>NASA — Earth System Digital Twin</x:v>
      </x:c>
      <x:c r="C6" s="15" t="str">
        <x:v>https://esto.nasa.gov/earth-system-digital-twin/</x:v>
      </x:c>
      <x:c r="D6" s="15" t="str">
        <x:v>2026-09-04</x:v>
      </x:c>
      <x:c r="E6" s="15" t="str">
        <x:v>Continuous observations, dynamic forecasting and impact assessment</x:v>
      </x:c>
      <x:c r="F6" s="15" t="str">
        <x:v>Earth intelligence analogue</x:v>
      </x:c>
      <x:c r="G6" s="15" t="str">
        <x:v>Current baseline</x:v>
      </x:c>
      <x:c r="H6" s="15" t="str">
        <x:v>Does not establish operational incident-command performance</x:v>
      </x:c>
    </x:row>
    <x:row r="7">
      <x:c r="A7" s="29" t="str">
        <x:v>S03</x:v>
      </x:c>
      <x:c r="B7" s="15" t="str">
        <x:v>NOAA — Earth Prediction Innovation Center</x:v>
      </x:c>
      <x:c r="C7" s="15" t="str">
        <x:v>https://epic.noaa.gov/about-epic/</x:v>
      </x:c>
      <x:c r="D7" s="15" t="str">
        <x:v>2026-09-04</x:v>
      </x:c>
      <x:c r="E7" s="15" t="str">
        <x:v>Community models, code, data and research-to-operations</x:v>
      </x:c>
      <x:c r="F7" s="15" t="str">
        <x:v>Open forecast ecosystem analogue</x:v>
      </x:c>
      <x:c r="G7" s="15" t="str">
        <x:v>Current baseline</x:v>
      </x:c>
      <x:c r="H7" s="15" t="str">
        <x:v>Department-wide extension is proposed</x:v>
      </x:c>
    </x:row>
    <x:row r="8">
      <x:c r="A8" s="29" t="str">
        <x:v>S04</x:v>
      </x:c>
      <x:c r="B8" s="15" t="str">
        <x:v>NOAA — Project EAGLE</x:v>
      </x:c>
      <x:c r="C8" s="15" t="str">
        <x:v>https://epic.noaa.gov/ai/eagle-overview/</x:v>
      </x:c>
      <x:c r="D8" s="15" t="str">
        <x:v>2026-09-04</x:v>
      </x:c>
      <x:c r="E8" s="15" t="str">
        <x:v>Rapid testing against trusted forecast metrics</x:v>
      </x:c>
      <x:c r="F8" s="15" t="str">
        <x:v>Forecast tournament concept</x:v>
      </x:c>
      <x:c r="G8" s="15" t="str">
        <x:v>Current baseline</x:v>
      </x:c>
      <x:c r="H8" s="15" t="str">
        <x:v>Future performance not assumed</x:v>
      </x:c>
    </x:row>
    <x:row r="9">
      <x:c r="A9" s="29" t="str">
        <x:v>S05</x:v>
      </x:c>
      <x:c r="B9" s="15" t="str">
        <x:v>NSF — NHERI</x:v>
      </x:c>
      <x:c r="C9" s="15" t="str">
        <x:v>https://www.nsf.gov/eng/nheri</x:v>
      </x:c>
      <x:c r="D9" s="15" t="str">
        <x:v>2026-09-04</x:v>
      </x:c>
      <x:c r="E9" s="15" t="str">
        <x:v>Distributed shared-use natural-hazards facilities and cyberinfrastructure</x:v>
      </x:c>
      <x:c r="F9" s="15" t="str">
        <x:v>Proving-network lower bound</x:v>
      </x:c>
      <x:c r="G9" s="15" t="str">
        <x:v>Current baseline</x:v>
      </x:c>
      <x:c r="H9" s="15" t="str">
        <x:v>Proposed network is much larger and mission-oriented</x:v>
      </x:c>
    </x:row>
    <x:row r="10">
      <x:c r="A10" s="29" t="str">
        <x:v>S06</x:v>
      </x:c>
      <x:c r="B10" s="15" t="str">
        <x:v>USGS — ShakeAlert overview</x:v>
      </x:c>
      <x:c r="C10" s="15" t="str">
        <x:v>https://www.usgs.gov/programs/earthquake-hazards/science/earthquake-early-warning-overview</x:v>
      </x:c>
      <x:c r="D10" s="15" t="str">
        <x:v>2026-09-04</x:v>
      </x:c>
      <x:c r="E10" s="15" t="str">
        <x:v>Sensor-network detection and automated protective action</x:v>
      </x:c>
      <x:c r="F10" s="15" t="str">
        <x:v>Sense-to-action pattern</x:v>
      </x:c>
      <x:c r="G10" s="15" t="str">
        <x:v>Current baseline</x:v>
      </x:c>
      <x:c r="H10" s="15" t="str">
        <x:v>Warning is not prediction</x:v>
      </x:c>
    </x:row>
    <x:row r="11">
      <x:c r="A11" s="29" t="str">
        <x:v>S07</x:v>
      </x:c>
      <x:c r="B11" s="15" t="str">
        <x:v>DOE — Long-Duration Energy Storage</x:v>
      </x:c>
      <x:c r="C11" s="15" t="str">
        <x:v>https://www.energy.gov/cmei/oced/long-duration-energy-storage</x:v>
      </x:c>
      <x:c r="D11" s="15" t="str">
        <x:v>2026-09-04</x:v>
      </x:c>
      <x:c r="E11" s="15" t="str">
        <x:v>Ten-hour-plus storage and demonstration</x:v>
      </x:c>
      <x:c r="F11" s="15" t="str">
        <x:v>Mobile endurance-power baseline</x:v>
      </x:c>
      <x:c r="G11" s="15" t="str">
        <x:v>Current baseline</x:v>
      </x:c>
      <x:c r="H11" s="15" t="str">
        <x:v>Mobility requirements are proposed</x:v>
      </x:c>
    </x:row>
    <x:row r="12">
      <x:c r="A12" s="29" t="str">
        <x:v>S08</x:v>
      </x:c>
      <x:c r="B12" s="15" t="str">
        <x:v>DOE — Microgrid Program Strategy</x:v>
      </x:c>
      <x:c r="C12" s="15" t="str">
        <x:v>https://www.energy.gov/oe/microgrid-program-strategy</x:v>
      </x:c>
      <x:c r="D12" s="15" t="str">
        <x:v>2026-09-04</x:v>
      </x:c>
      <x:c r="E12" s="15" t="str">
        <x:v>Adaptive controls, protection, self-healing and interconnected microgrids</x:v>
      </x:c>
      <x:c r="F12" s="15" t="str">
        <x:v>Self-forming grid baseline</x:v>
      </x:c>
      <x:c r="G12" s="15" t="str">
        <x:v>Current baseline</x:v>
      </x:c>
      <x:c r="H12" s="15" t="str">
        <x:v>Emergency force architecture is proposed</x:v>
      </x:c>
    </x:row>
    <x:row r="13">
      <x:c r="A13" s="29" t="str">
        <x:v>S09</x:v>
      </x:c>
      <x:c r="B13" s="15" t="str">
        <x:v>DOE — Water Security Grand Challenge</x:v>
      </x:c>
      <x:c r="C13" s="15" t="str">
        <x:v>https://www.energy.gov/water-security-grand-challenge/water-security-grand-challenge</x:v>
      </x:c>
      <x:c r="D13" s="15" t="str">
        <x:v>2026-09-04</x:v>
      </x:c>
      <x:c r="E13" s="15" t="str">
        <x:v>Transformational water technology and modular energy-water systems</x:v>
      </x:c>
      <x:c r="F13" s="15" t="str">
        <x:v>Water frontier baseline</x:v>
      </x:c>
      <x:c r="G13" s="15" t="str">
        <x:v>Current baseline</x:v>
      </x:c>
      <x:c r="H13" s="15" t="str">
        <x:v>Legacy 2030 goals are evidence of direction, not current achievement</x:v>
      </x:c>
    </x:row>
    <x:row r="14">
      <x:c r="A14" s="29" t="str">
        <x:v>S10</x:v>
      </x:c>
      <x:c r="B14" s="15" t="str">
        <x:v>ARPA-H — PARADIGM</x:v>
      </x:c>
      <x:c r="C14" s="15" t="str">
        <x:v>https://arpa-h.gov/explore-funding/programs/paradigm</x:v>
      </x:c>
      <x:c r="D14" s="15" t="str">
        <x:v>2026-09-04</x:v>
      </x:c>
      <x:c r="E14" s="15" t="str">
        <x:v>Mobile advanced hospital-level care</x:v>
      </x:c>
      <x:c r="F14" s="15" t="str">
        <x:v>Distributed hospital analogue</x:v>
      </x:c>
      <x:c r="G14" s="15" t="str">
        <x:v>Current program</x:v>
      </x:c>
      <x:c r="H14" s="15" t="str">
        <x:v>No Department-scale readiness assumed</x:v>
      </x:c>
    </x:row>
    <x:row r="15">
      <x:c r="A15" s="29" t="str">
        <x:v>S11</x:v>
      </x:c>
      <x:c r="B15" s="15" t="str">
        <x:v>ARPA-H — GIVE</x:v>
      </x:c>
      <x:c r="C15" s="15" t="str">
        <x:v>https://arpa-h.gov/explore-funding/programs/give</x:v>
      </x:c>
      <x:c r="D15" s="15" t="str">
        <x:v>2026-09-04</x:v>
      </x:c>
      <x:c r="E15" s="15" t="str">
        <x:v>Distributed multi-product RNA manufacturing and integrated QC</x:v>
      </x:c>
      <x:c r="F15" s="15" t="str">
        <x:v>Biomanufacturing analogue</x:v>
      </x:c>
      <x:c r="G15" s="15" t="str">
        <x:v>Current program</x:v>
      </x:c>
      <x:c r="H15" s="15" t="str">
        <x:v>Broader countermeasure stack is proposed</x:v>
      </x:c>
    </x:row>
    <x:row r="16">
      <x:c r="A16" s="29" t="str">
        <x:v>S12</x:v>
      </x:c>
      <x:c r="B16" s="15" t="str">
        <x:v>ARPA-H — UPGRADE</x:v>
      </x:c>
      <x:c r="C16" s="15" t="str">
        <x:v>https://arpa-h.gov/explore-funding/programs/upgrade</x:v>
      </x:c>
      <x:c r="D16" s="15" t="str">
        <x:v>2026-09-04</x:v>
      </x:c>
      <x:c r="E16" s="15" t="str">
        <x:v>Hospital digital twins and autonomous cyber remediation</x:v>
      </x:c>
      <x:c r="F16" s="15" t="str">
        <x:v>Cyber-physical assurance analogue</x:v>
      </x:c>
      <x:c r="G16" s="15" t="str">
        <x:v>Current program</x:v>
      </x:c>
      <x:c r="H16" s="15" t="str">
        <x:v>Cross-sector application is proposed</x:v>
      </x:c>
    </x:row>
    <x:row r="17">
      <x:c r="A17" s="29" t="str">
        <x:v>S13</x:v>
      </x:c>
      <x:c r="B17" s="15" t="str">
        <x:v>ARPA-H — BREATHE</x:v>
      </x:c>
      <x:c r="C17" s="15" t="str">
        <x:v>https://arpa-h.gov/explore-funding/programs/breathe</x:v>
      </x:c>
      <x:c r="D17" s="15" t="str">
        <x:v>2026-09-04</x:v>
      </x:c>
      <x:c r="E17" s="15" t="str">
        <x:v>Biosensors, risk software and building interventions</x:v>
      </x:c>
      <x:c r="F17" s="15" t="str">
        <x:v>Indoor exposure-control analogue</x:v>
      </x:c>
      <x:c r="G17" s="15" t="str">
        <x:v>Current program</x:v>
      </x:c>
      <x:c r="H17" s="15" t="str">
        <x:v>Field effectiveness remains program evidence question</x:v>
      </x:c>
    </x:row>
    <x:row r="18">
      <x:c r="A18" s="29" t="str">
        <x:v>S14</x:v>
      </x:c>
      <x:c r="B18" s="15" t="str">
        <x:v>NIST — Emerging Technologies for Robotics</x:v>
      </x:c>
      <x:c r="C18" s="15" t="str">
        <x:v>https://www.nist.gov/programs-projects/performance-emerging-technologies-robotics</x:v>
      </x:c>
      <x:c r="D18" s="15" t="str">
        <x:v>2026-09-04</x:v>
      </x:c>
      <x:c r="E18" s="15" t="str">
        <x:v>Performance metrics, interfaces and test methods</x:v>
      </x:c>
      <x:c r="F18" s="15" t="str">
        <x:v>Autonomy measurement baseline</x:v>
      </x:c>
      <x:c r="G18" s="15" t="str">
        <x:v>Current baseline</x:v>
      </x:c>
      <x:c r="H18" s="15" t="str">
        <x:v>Extreme environments require new ranges</x:v>
      </x:c>
    </x:row>
    <x:row r="19">
      <x:c r="A19" s="29" t="str">
        <x:v>S15</x:v>
      </x:c>
      <x:c r="B19" s="15" t="str">
        <x:v>ARPA-E — GRADIENTS</x:v>
      </x:c>
      <x:c r="C19" s="15" t="str">
        <x:v>https://arpa-e.energy.gov/programs-and-initiatives/view-all-programs/gradients</x:v>
      </x:c>
      <x:c r="D19" s="15" t="str">
        <x:v>2026-09-04</x:v>
      </x:c>
      <x:c r="E19" s="15" t="str">
        <x:v>Control co-design, automatic relays and wide-area control</x:v>
      </x:c>
      <x:c r="F19" s="15" t="str">
        <x:v>Grid research method analogue</x:v>
      </x:c>
      <x:c r="G19" s="15" t="str">
        <x:v>Current program</x:v>
      </x:c>
      <x:c r="H19" s="15" t="str">
        <x:v>Deployable grid is proposed</x:v>
      </x:c>
    </x:row>
    <x:row r="20">
      <x:c r="A20" s="29" t="str">
        <x:v>S16</x:v>
      </x:c>
      <x:c r="B20" s="15" t="str">
        <x:v>DoD — FY2026 Weapons Systems Overview</x:v>
      </x:c>
      <x:c r="C20" s="15" t="str">
        <x:v>https://comptroller.defense.gov/Portals/45/Documents/defbudget/FY2026/FY2026_Weapons.pdf</x:v>
      </x:c>
      <x:c r="D20" s="15" t="str">
        <x:v>2026-09-04</x:v>
      </x:c>
      <x:c r="E20" s="15" t="str">
        <x:v>$179.1B FY2026 RDT&amp;E request and 1,135 RDT&amp;E PPAs</x:v>
      </x:c>
      <x:c r="F20" s="15" t="str">
        <x:v>Scale comparison</x:v>
      </x:c>
      <x:c r="G20" s="15" t="str">
        <x:v>Current budget request</x:v>
      </x:c>
      <x:c r="H20" s="15" t="str">
        <x:v>Comparison is contextual, not budget equivalence</x:v>
      </x:c>
    </x:row>
    <x:row r="21">
      <x:c r="A21" s="29" t="str">
        <x:v>S17</x:v>
      </x:c>
      <x:c r="B21" s="15" t="str">
        <x:v>USDA ARS — NP305 Action Plan 2024–2029</x:v>
      </x:c>
      <x:c r="C21" s="15" t="str">
        <x:v>https://www.ars.usda.gov/ARSUserFiles/np305/NP%20305%20Action%20Plan%202024-2029_Finalv2.pdf</x:v>
      </x:c>
      <x:c r="D21" s="15" t="str">
        <x:v>2026-09-04</x:v>
      </x:c>
      <x:c r="E21" s="15" t="str">
        <x:v>Protected culture resource efficiency and stress research</x:v>
      </x:c>
      <x:c r="F21" s="15" t="str">
        <x:v>Food frontier baseline</x:v>
      </x:c>
      <x:c r="G21" s="15" t="str">
        <x:v>Current plan</x:v>
      </x:c>
      <x:c r="H21" s="15" t="str">
        <x:v>Mobile systems and disaster mission are proposed</x:v>
      </x:c>
    </x:row>
    <x:row r="22">
      <x:c r="A22" s="29" t="str">
        <x:v>A01</x:v>
      </x:c>
      <x:c r="B22" s="15" t="str">
        <x:v>Author scenario assumptions</x:v>
      </x:c>
      <x:c r="C22" s="15" t="str">
        <x:v>Internal model</x:v>
      </x:c>
      <x:c r="D22" s="15" t="str">
        <x:v>2026-09-04</x:v>
      </x:c>
      <x:c r="E22" s="15" t="str">
        <x:v>Funding cases, shares, attrition, facilities, rates, shocks and targets</x:v>
      </x:c>
      <x:c r="F22" s="15" t="str">
        <x:v>All editable quantitative inputs</x:v>
      </x:c>
      <x:c r="G22" s="15" t="str">
        <x:v>R1 design hypothesis</x:v>
      </x:c>
      <x:c r="H22" s="15" t="str">
        <x:v>Not estimate, forecast, appropriation or validated capability</x:v>
      </x:c>
    </x:row>
  </x:sheetData>
  <x:mergeCells>
    <x:mergeCell ref="A1:H1"/>
    <x:mergeCell ref="A2:H2"/>
  </x:mergeCells>
  <x:pageMargins left="0.7" right="0.7" top="0.75" bottom="0.75" header="0.3" footer="0.3"/>
</x:worksheet>
</file>