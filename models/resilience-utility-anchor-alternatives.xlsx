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bc2c096a5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43923e774d44acd"/>
    <x:sheet xmlns:r="http://schemas.openxmlformats.org/officeDocument/2006/relationships" name="Controls" sheetId="2" r:id="R6c5de432680f4f9f"/>
    <x:sheet xmlns:r="http://schemas.openxmlformats.org/officeDocument/2006/relationships" name="Node Requirements" sheetId="3" r:id="Rc55db049e2814d62"/>
    <x:sheet xmlns:r="http://schemas.openxmlformats.org/officeDocument/2006/relationships" name="Architecture Options" sheetId="4" r:id="Rb9e0acd73dc34eb4"/>
    <x:sheet xmlns:r="http://schemas.openxmlformats.org/officeDocument/2006/relationships" name="Constraint Screen" sheetId="5" r:id="R1816984b7197404e"/>
    <x:sheet xmlns:r="http://schemas.openxmlformats.org/officeDocument/2006/relationships" name="Energy Sizing" sheetId="6" r:id="Ra895d89e1c6c42b3"/>
    <x:sheet xmlns:r="http://schemas.openxmlformats.org/officeDocument/2006/relationships" name="Water &amp; Pipe" sheetId="7" r:id="Rd4dcf993204745ef"/>
    <x:sheet xmlns:r="http://schemas.openxmlformats.org/officeDocument/2006/relationships" name="Grid Interface" sheetId="8" r:id="R9fa881c828f04695"/>
    <x:sheet xmlns:r="http://schemas.openxmlformats.org/officeDocument/2006/relationships" name="Marine Thermal" sheetId="9" r:id="R52c120da506a409a"/>
    <x:sheet xmlns:r="http://schemas.openxmlformats.org/officeDocument/2006/relationships" name="Mobilization" sheetId="10" r:id="R66a7fda0e3b94283"/>
    <x:sheet xmlns:r="http://schemas.openxmlformats.org/officeDocument/2006/relationships" name="Fuel Logistics" sheetId="11" r:id="R36295ebb1bf24068"/>
    <x:sheet xmlns:r="http://schemas.openxmlformats.org/officeDocument/2006/relationships" name="Site Infrastructure" sheetId="12" r:id="Ra7dc4b5fa7ed4335"/>
    <x:sheet xmlns:r="http://schemas.openxmlformats.org/officeDocument/2006/relationships" name="Lifecycle Cost" sheetId="13" r:id="R888013d8dbec49bc"/>
    <x:sheet xmlns:r="http://schemas.openxmlformats.org/officeDocument/2006/relationships" name="Fleet Family" sheetId="14" r:id="Rb339d4341fe54159"/>
    <x:sheet xmlns:r="http://schemas.openxmlformats.org/officeDocument/2006/relationships" name="Workforce" sheetId="15" r:id="R44626b2411984d74"/>
    <x:sheet xmlns:r="http://schemas.openxmlformats.org/officeDocument/2006/relationships" name="Peacetime Use" sheetId="16" r:id="R571fc7c3fcc2415b"/>
    <x:sheet xmlns:r="http://schemas.openxmlformats.org/officeDocument/2006/relationships" name="Failure Modes" sheetId="17" r:id="R906e7827b069497c"/>
    <x:sheet xmlns:r="http://schemas.openxmlformats.org/officeDocument/2006/relationships" name="Evidence Gates" sheetId="18" r:id="Rd1ff30fa44d04d8d"/>
    <x:sheet xmlns:r="http://schemas.openxmlformats.org/officeDocument/2006/relationships" name="Sources" sheetId="19" r:id="Rf9190ed123294c7a"/>
    <x:sheet xmlns:r="http://schemas.openxmlformats.org/officeDocument/2006/relationships" name="Checks" sheetId="20" r:id="R78b1ea81ffc1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"/>
    <x:numFmt numFmtId="202" formatCode="0%"/>
    <x:numFmt numFmtId="203" formatCode="#,##0"/>
    <x:numFmt numFmtId="204" formatCode="#,##0.00"/>
  </x:numFmts>
  <x:fonts count="7">
    <x:font>
      <x:sz val="11"/>
      <x:name val="Carlito"/>
    </x:font>
    <x:font>
      <x:b/>
      <x:sz val="20"/>
      <x:color rgb="FF18323F"/>
      <x:name val="Aptos Display"/>
    </x:font>
    <x:font>
      <x:i/>
      <x:sz val="10"/>
      <x:color rgb="FF667781"/>
      <x:name val="Aptos"/>
    </x:font>
    <x:font>
      <x:b/>
      <x:sz val="11"/>
      <x:color rgb="FF18323F"/>
      <x:name val="Aptos"/>
    </x:font>
    <x:font>
      <x:sz val="10"/>
      <x:color rgb="FF18323F"/>
      <x:name val="Aptos"/>
    </x:font>
    <x:font>
      <x:b/>
      <x:sz val="10"/>
      <x:color rgb="FF0E7490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6F9FA"/>
      </x:patternFill>
    </x:fill>
  </x:fills>
  <x:borders count="4">
    <x:border/>
    <x:border>
      <x:bottom style="medium">
        <x:color rgb="FF0E7490"/>
      </x:bottom>
    </x:border>
    <x:border>
      <x:bottom style="thin">
        <x:color rgb="FF0E7490"/>
      </x:bottom>
    </x:border>
    <x:border>
      <x:bottom style="thin">
        <x:color rgb="FFA9BDC6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horizontal="right"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horizontal="right" vertical="top" wrapText="1"/>
    </x:xf>
    <x:xf numFmtId="201" fontId="4" fillId="4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2" fontId="4" fillId="3" borderId="0" xfId="0" applyNumberFormat="1" applyFont="1" applyFill="1" applyBorder="1" applyAlignment="1">
      <x:alignment vertical="top" wrapText="1"/>
    </x:xf>
    <x:xf numFmtId="202" fontId="4" fillId="6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3" fontId="0" fillId="4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3" fontId="0" fillId="6" borderId="0" xfId="0" applyNumberFormat="1" applyFont="1" applyFill="1" applyBorder="1"/>
    <x:xf numFmtId="204" fontId="4" fillId="4" borderId="0" xfId="0" applyNumberFormat="1" applyFont="1" applyFill="1" applyBorder="1" applyAlignment="1">
      <x:alignment vertical="top" wrapText="1"/>
    </x:xf>
    <x:xf numFmtId="204" fontId="4" fillId="6" borderId="0" xfId="0" applyNumberFormat="1" applyFont="1" applyFill="1" applyBorder="1" applyAlignment="1">
      <x:alignment vertical="top" wrapText="1"/>
    </x:xf>
    <x:xf numFmtId="204" fontId="4" fillId="3" borderId="0" xfId="0" applyNumberFormat="1" applyFont="1" applyFill="1" applyBorder="1" applyAlignment="1">
      <x:alignment vertical="top" wrapText="1"/>
    </x:xf>
    <x:xf numFmtId="204" fontId="0" fillId="4" borderId="0" xfId="0" applyNumberFormat="1" applyFont="1" applyFill="1" applyBorder="1"/>
    <x:xf numFmtId="204" fontId="0" fillId="6" borderId="0" xfId="0" applyNumberFormat="1" applyFont="1" applyFill="1" applyBorder="1"/>
    <x:xf numFmtId="204" fontId="0" fillId="0" borderId="0" xfId="0" applyNumberFormat="1" applyFont="1" applyFill="1" applyBorder="1"/>
    <x:xf numFmtId="204" fontId="0" fillId="2" borderId="2" xfId="0" applyNumberFormat="1" applyFont="1" applyFill="1" applyBorder="1"/>
    <x:xf numFmtId="204" fontId="6" fillId="5" borderId="3" xfId="0" applyNumberFormat="1" applyFont="1" applyFill="1" applyBorder="1" applyAlignment="1">
      <x:alignment wrapText="1"/>
    </x:xf>
    <x:xf numFmtId="0" fontId="3" fillId="6" borderId="2" xfId="0" applyNumberFormat="1" applyFont="1" applyFill="1" applyBorder="1"/>
    <x:xf numFmtId="204" fontId="0" fillId="6" borderId="2" xfId="0" applyNumberFormat="1" applyFont="1" applyFill="1" applyBorder="1"/>
    <x:xf numFmtId="0" fontId="0" fillId="6" borderId="2" xfId="0" applyNumberFormat="1" applyFont="1" applyFill="1" applyBorder="1"/>
    <x:xf numFmtId="0" fontId="1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vertical="top"/>
    </x:xf>
    <x:xf numFmtId="0" fontId="0" fillId="2" borderId="2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/>
    </x:xf>
    <x:xf numFmtId="201" fontId="0" fillId="6" borderId="0" xfId="0" applyNumberFormat="1" applyFont="1" applyFill="1" applyBorder="1" applyAlignment="1">
      <x:alignment vertical="top"/>
    </x:xf>
    <x:xf numFmtId="203" fontId="0" fillId="6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201" fontId="0" fillId="4" borderId="0" xfId="0" applyNumberFormat="1" applyFont="1" applyFill="1" applyBorder="1" applyAlignment="1">
      <x:alignment vertical="top"/>
    </x:xf>
    <x:xf numFmtId="203" fontId="0" fillId="4" borderId="0" xfId="0" applyNumberFormat="1" applyFont="1" applyFill="1" applyBorder="1" applyAlignment="1">
      <x:alignment vertical="top"/>
    </x:xf>
    <x:xf numFmtId="204" fontId="0" fillId="6" borderId="0" xfId="0" applyNumberFormat="1" applyFont="1" applyFill="1" applyBorder="1" applyAlignment="1">
      <x:alignment vertical="top"/>
    </x:xf>
    <x:xf numFmtId="204" fontId="0" fillId="4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0" fontId="3" fillId="6" borderId="2" xfId="0" applyNumberFormat="1" applyFont="1" applyFill="1" applyBorder="1" applyAlignment="1">
      <x:alignment vertical="top"/>
    </x:xf>
    <x:xf numFmtId="204" fontId="0" fillId="6" borderId="2" xfId="0" applyNumberFormat="1" applyFont="1" applyFill="1" applyBorder="1" applyAlignment="1">
      <x:alignment vertical="top"/>
    </x:xf>
    <x:xf numFmtId="0" fontId="0" fillId="6" borderId="2" xfId="0" applyNumberFormat="1" applyFont="1" applyFill="1" applyBorder="1" applyAlignment="1">
      <x:alignment vertical="top"/>
    </x:xf>
    <x:xf numFmtId="204" fontId="6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8e0819b3340f5" /><Relationship Type="http://schemas.openxmlformats.org/officeDocument/2006/relationships/theme" Target="/xl/theme/theme1.xml" Id="R2de8183d612443a0" /><Relationship Type="http://schemas.openxmlformats.org/officeDocument/2006/relationships/sharedStrings" Target="/xl/sharedStrings.xml" Id="R6b1b25709f16451c" /><Relationship Type="http://schemas.openxmlformats.org/officeDocument/2006/relationships/worksheet" Target="/xl/worksheets/sheet1.xml" Id="R343923e774d44acd" /><Relationship Type="http://schemas.openxmlformats.org/officeDocument/2006/relationships/worksheet" Target="/xl/worksheets/sheet2.xml" Id="R6c5de432680f4f9f" /><Relationship Type="http://schemas.openxmlformats.org/officeDocument/2006/relationships/worksheet" Target="/xl/worksheets/sheet3.xml" Id="Rc55db049e2814d62" /><Relationship Type="http://schemas.openxmlformats.org/officeDocument/2006/relationships/worksheet" Target="/xl/worksheets/sheet4.xml" Id="Rb9e0acd73dc34eb4" /><Relationship Type="http://schemas.openxmlformats.org/officeDocument/2006/relationships/worksheet" Target="/xl/worksheets/sheet5.xml" Id="R1816984b7197404e" /><Relationship Type="http://schemas.openxmlformats.org/officeDocument/2006/relationships/worksheet" Target="/xl/worksheets/sheet6.xml" Id="Ra895d89e1c6c42b3" /><Relationship Type="http://schemas.openxmlformats.org/officeDocument/2006/relationships/worksheet" Target="/xl/worksheets/sheet7.xml" Id="Rd4dcf993204745ef" /><Relationship Type="http://schemas.openxmlformats.org/officeDocument/2006/relationships/worksheet" Target="/xl/worksheets/sheet8.xml" Id="R9fa881c828f04695" /><Relationship Type="http://schemas.openxmlformats.org/officeDocument/2006/relationships/worksheet" Target="/xl/worksheets/sheet9.xml" Id="R52c120da506a409a" /><Relationship Type="http://schemas.openxmlformats.org/officeDocument/2006/relationships/worksheet" Target="/xl/worksheets/sheet10.xml" Id="R66a7fda0e3b94283" /><Relationship Type="http://schemas.openxmlformats.org/officeDocument/2006/relationships/worksheet" Target="/xl/worksheets/sheet11.xml" Id="R36295ebb1bf24068" /><Relationship Type="http://schemas.openxmlformats.org/officeDocument/2006/relationships/worksheet" Target="/xl/worksheets/sheet12.xml" Id="Ra7dc4b5fa7ed4335" /><Relationship Type="http://schemas.openxmlformats.org/officeDocument/2006/relationships/worksheet" Target="/xl/worksheets/sheet13.xml" Id="R888013d8dbec49bc" /><Relationship Type="http://schemas.openxmlformats.org/officeDocument/2006/relationships/worksheet" Target="/xl/worksheets/sheet14.xml" Id="Rb339d4341fe54159" /><Relationship Type="http://schemas.openxmlformats.org/officeDocument/2006/relationships/worksheet" Target="/xl/worksheets/sheet15.xml" Id="R44626b2411984d74" /><Relationship Type="http://schemas.openxmlformats.org/officeDocument/2006/relationships/worksheet" Target="/xl/worksheets/sheet16.xml" Id="R571fc7c3fcc2415b" /><Relationship Type="http://schemas.openxmlformats.org/officeDocument/2006/relationships/worksheet" Target="/xl/worksheets/sheet17.xml" Id="R906e7827b069497c" /><Relationship Type="http://schemas.openxmlformats.org/officeDocument/2006/relationships/worksheet" Target="/xl/worksheets/sheet18.xml" Id="Rd1ff30fa44d04d8d" /><Relationship Type="http://schemas.openxmlformats.org/officeDocument/2006/relationships/worksheet" Target="/xl/worksheets/sheet19.xml" Id="Rf9190ed123294c7a" /><Relationship Type="http://schemas.openxmlformats.org/officeDocument/2006/relationships/worksheet" Target="/xl/worksheets/sheet20.xml" Id="R78b1ea81ffc14b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86" hidden="0" customWidth="1"/>
    <x:col min="3" max="3" width="24" hidden="0" customWidth="1"/>
    <x:col min="4" max="4" width="28" hidden="0" customWidth="1"/>
  </x:cols>
  <x:sheetData>
    <x:row r="1" ht="28" customHeight="1">
      <x:c r="A1" s="44" t="str">
        <x:v>Resilience Utility Anchor Alternatives</x:v>
      </x:c>
      <x:c r="B1" s="45"/>
      <x:c r="C1" s="45"/>
      <x:c r="D1" s="45"/>
    </x:row>
    <x:row r="2" ht="20" customHeight="1">
      <x:c r="A2" s="46" t="str">
        <x:v>Paired receiving-node design study • real 2026 USD • assumptions are editable • no site or technology is selected</x:v>
      </x:c>
      <x:c r="B2" s="46"/>
      <x:c r="C2" s="46"/>
      <x:c r="D2" s="46"/>
    </x:row>
    <x:row r="3">
      <x:c r="A3" s="47"/>
      <x:c r="B3" s="47"/>
      <x:c r="C3" s="47"/>
      <x:c r="D3" s="47"/>
    </x:row>
    <x:row r="4">
      <x:c r="A4" s="48" t="str">
        <x:v>Decision this workbook supports</x:v>
      </x:c>
      <x:c r="B4" s="49"/>
      <x:c r="C4" s="49"/>
      <x:c r="D4" s="49"/>
    </x:row>
    <x:row r="5">
      <x:c r="A5" s="13" t="str">
        <x:v>Question</x:v>
      </x:c>
      <x:c r="B5" s="10" t="str">
        <x:v>What must a prepared receiving node contain, and which energy–water architecture can close the same public-effect requirement in a large estuary and a constrained oceanic island?</x:v>
      </x:c>
      <x:c r="C5" s="47"/>
      <x:c r="D5" s="47"/>
    </x:row>
    <x:row r="6">
      <x:c r="A6" s="13" t="str">
        <x:v>Method</x:v>
      </x:c>
      <x:c r="B6" s="10" t="str">
        <x:v>Constraint and dominance screen. No weighted score: a failed capacity, timing, fuel, access, safety, or environmental constraint remains visible.</x:v>
      </x:c>
      <x:c r="C6" s="47"/>
      <x:c r="D6" s="47"/>
    </x:row>
    <x:row r="7">
      <x:c r="A7" s="13" t="str">
        <x:v>Result</x:v>
      </x:c>
      <x:c r="B7" s="10" t="str">
        <x:v>The regional case requires two NEC-300-class cores or hybrid support. The island case calls for a smaller NEC-60 class. The strategic object is a source-neutral utility anchor network, not a single ship class.</x:v>
      </x:c>
      <x:c r="C7" s="47"/>
      <x:c r="D7" s="47"/>
    </x:row>
    <x:row r="8">
      <x:c r="A8" s="13" t="str">
        <x:v>Maturity</x:v>
      </x:c>
      <x:c r="B8" s="10" t="str">
        <x:v>R2 functional anchor architecture with R2+ arithmetic. Site, hazard, grid, marine, environmental, cost, schedule, workforce, and reliability evidence remain open.</x:v>
      </x:c>
      <x:c r="C8" s="47"/>
      <x:c r="D8" s="47"/>
    </x:row>
    <x:row r="9">
      <x:c r="A9" s="13" t="str">
        <x:v>Rendering</x:v>
      </x:c>
      <x:c r="B9" s="10" t="str">
        <x:v>BLOCKED. Exterior form is not authorized until the listed R3 gates close.</x:v>
      </x:c>
      <x:c r="C9" s="47"/>
      <x:c r="D9" s="47"/>
    </x:row>
    <x:row r="10">
      <x:c r="A10" s="47"/>
      <x:c r="B10" s="47"/>
      <x:c r="C10" s="47"/>
      <x:c r="D10" s="47"/>
    </x:row>
    <x:row r="11">
      <x:c r="A11" s="47"/>
      <x:c r="B11" s="47"/>
      <x:c r="C11" s="47"/>
      <x:c r="D11" s="47"/>
    </x:row>
    <x:row r="12">
      <x:c r="A12" s="48" t="str">
        <x:v>How to read the model</x:v>
      </x:c>
      <x:c r="B12" s="49"/>
      <x:c r="C12" s="49"/>
      <x:c r="D12" s="49"/>
    </x:row>
    <x:row r="13">
      <x:c r="A13" s="10" t="str">
        <x:v>1</x:v>
      </x:c>
      <x:c r="B13" s="10" t="str">
        <x:v>Controls</x:v>
      </x:c>
      <x:c r="C13" s="10" t="str">
        <x:v>Change the two archetype assumptions and common engineering factors.</x:v>
      </x:c>
      <x:c r="D13" s="47"/>
    </x:row>
    <x:row r="14">
      <x:c r="A14" s="10" t="str">
        <x:v>2</x:v>
      </x:c>
      <x:c r="B14" s="10" t="str">
        <x:v>Node Requirements</x:v>
      </x:c>
      <x:c r="C14" s="10" t="str">
        <x:v>See the public-effect and protected-bus requirements implied by those controls.</x:v>
      </x:c>
      <x:c r="D14" s="47"/>
    </x:row>
    <x:row r="15">
      <x:c r="A15" s="10" t="str">
        <x:v>3</x:v>
      </x:c>
      <x:c r="B15" s="10" t="str">
        <x:v>Architecture Options</x:v>
      </x:c>
      <x:c r="C15" s="10" t="str">
        <x:v>Review the twelve alternative–node input records. Yellow cells are design-study assumptions.</x:v>
      </x:c>
      <x:c r="D15" s="47"/>
    </x:row>
    <x:row r="16">
      <x:c r="A16" s="10" t="str">
        <x:v>4</x:v>
      </x:c>
      <x:c r="B16" s="10" t="str">
        <x:v>Constraint Screen</x:v>
      </x:c>
      <x:c r="C16" s="10" t="str">
        <x:v>Inspect explicit pass/fail constraints and the stated disposition. Do not average vetoes.</x:v>
      </x:c>
      <x:c r="D16" s="47"/>
    </x:row>
    <x:row r="17">
      <x:c r="A17" s="10" t="str">
        <x:v>5</x:v>
      </x:c>
      <x:c r="B17" s="10" t="str">
        <x:v>Engineering sheets</x:v>
      </x:c>
      <x:c r="C17" s="10" t="str">
        <x:v>Audit energy, water, pipe, grid, thermal, mobilization, fuel, site, workforce, and lifecycle consequences.</x:v>
      </x:c>
      <x:c r="D17" s="47"/>
    </x:row>
    <x:row r="18">
      <x:c r="A18" s="10" t="str">
        <x:v>6</x:v>
      </x:c>
      <x:c r="B18" s="10" t="str">
        <x:v>Evidence Gates and Checks</x:v>
      </x:c>
      <x:c r="C18" s="10" t="str">
        <x:v>Separate formula closure from engineering proof.</x:v>
      </x:c>
      <x:c r="D18" s="47"/>
    </x:row>
    <x:row r="19">
      <x:c r="A19" s="47"/>
      <x:c r="B19" s="47"/>
      <x:c r="C19" s="47"/>
      <x:c r="D19" s="47"/>
    </x:row>
    <x:row r="20">
      <x:c r="A20" s="47"/>
      <x:c r="B20" s="47"/>
      <x:c r="C20" s="47"/>
      <x:c r="D20" s="47"/>
    </x:row>
    <x:row r="21">
      <x:c r="A21" s="48" t="str">
        <x:v>Visual grammar</x:v>
      </x:c>
      <x:c r="B21" s="49"/>
      <x:c r="C21" s="49"/>
      <x:c r="D21" s="49"/>
    </x:row>
    <x:row r="22">
      <x:c r="A22" s="11" t="str">
        <x:v>Yellow</x:v>
      </x:c>
      <x:c r="B22" s="12" t="str">
        <x:v>Editable design-study input</x:v>
      </x:c>
      <x:c r="C22" s="47"/>
      <x:c r="D22" s="47"/>
    </x:row>
    <x:row r="23">
      <x:c r="A23" s="11" t="str">
        <x:v>Blue</x:v>
      </x:c>
      <x:c r="B23" s="12" t="str">
        <x:v>Derived formula or linked result</x:v>
      </x:c>
      <x:c r="C23" s="47"/>
      <x:c r="D23" s="47"/>
    </x:row>
    <x:row r="24">
      <x:c r="A24" s="11" t="str">
        <x:v>Green</x:v>
      </x:c>
      <x:c r="B24" s="12" t="str">
        <x:v>Declared check passes</x:v>
      </x:c>
      <x:c r="C24" s="47"/>
      <x:c r="D24" s="47"/>
    </x:row>
    <x:row r="25">
      <x:c r="A25" s="11" t="str">
        <x:v>Amber</x:v>
      </x:c>
      <x:c r="B25" s="12" t="str">
        <x:v>Research or evidence gate remains open</x:v>
      </x:c>
      <x:c r="C25" s="47"/>
      <x:c r="D25" s="47"/>
    </x:row>
    <x:row r="26">
      <x:c r="A26" s="11" t="str">
        <x:v>Red</x:v>
      </x:c>
      <x:c r="B26" s="12" t="str">
        <x:v>Declared constraint fails</x:v>
      </x:c>
      <x:c r="C26" s="47"/>
      <x:c r="D26" s="4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6" hidden="0" customWidth="1"/>
    <x:col min="5" max="5" width="64" hidden="0" customWidth="1"/>
  </x:cols>
  <x:sheetData>
    <x:row r="1" ht="28" customHeight="1">
      <x:c r="A1" s="44" t="str">
        <x:v>Controls</x:v>
      </x:c>
      <x:c r="B1" s="45"/>
      <x:c r="C1" s="45"/>
      <x:c r="D1" s="45"/>
      <x:c r="E1" s="45"/>
    </x:row>
    <x:row r="2" ht="20" customHeight="1">
      <x:c r="A2" s="46" t="str">
        <x:v>Two archetypes isolate different constraint regimes. Yellow values are editable design-study assumptions.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Variable</x:v>
      </x:c>
      <x:c r="B4" s="50" t="str">
        <x:v>RUA-300 estuary</x:v>
      </x:c>
      <x:c r="C4" s="50" t="str">
        <x:v>IUA-60 island</x:v>
      </x:c>
      <x:c r="D4" s="50" t="str">
        <x:v>Unit</x:v>
      </x:c>
      <x:c r="E4" s="50" t="str">
        <x:v>Interpretation</x:v>
      </x:c>
    </x:row>
    <x:row r="5">
      <x:c r="A5" s="20" t="str">
        <x:v>Water recovery</x:v>
      </x:c>
      <x:c r="B5" s="19" t="n">
        <x:v>0.45</x:v>
      </x:c>
      <x:c r="C5" s="19" t="n">
        <x:v>0.45</x:v>
      </x:c>
      <x:c r="D5" s="20" t="str">
        <x:v>share</x:v>
      </x:c>
      <x:c r="E5" s="20" t="str">
        <x:v>Product/feed ratio</x:v>
      </x:c>
    </x:row>
    <x:row r="6">
      <x:c r="A6" s="10" t="str">
        <x:v>RO specific energy</x:v>
      </x:c>
      <x:c r="B6" s="19" t="n">
        <x:v>3.5</x:v>
      </x:c>
      <x:c r="C6" s="19" t="n">
        <x:v>3.5</x:v>
      </x:c>
      <x:c r="D6" s="10" t="str">
        <x:v>kWh/m³</x:v>
      </x:c>
      <x:c r="E6" s="10" t="str">
        <x:v>Membrane train only</x:v>
      </x:c>
    </x:row>
    <x:row r="7">
      <x:c r="A7" s="20" t="str">
        <x:v>Water auxiliaries</x:v>
      </x:c>
      <x:c r="B7" s="19" t="n">
        <x:v>0.8</x:v>
      </x:c>
      <x:c r="C7" s="19" t="n">
        <x:v>0.8</x:v>
      </x:c>
      <x:c r="D7" s="20" t="str">
        <x:v>kWh/m³</x:v>
      </x:c>
      <x:c r="E7" s="20" t="str">
        <x:v>Intake, pretreatment, post-treatment</x:v>
      </x:c>
    </x:row>
    <x:row r="8">
      <x:c r="A8" s="10" t="str">
        <x:v>Station service</x:v>
      </x:c>
      <x:c r="B8" s="19" t="n">
        <x:v>0.08</x:v>
      </x:c>
      <x:c r="C8" s="19" t="n">
        <x:v>0.08</x:v>
      </x:c>
      <x:c r="D8" s="10" t="str">
        <x:v>share gross</x:v>
      </x:c>
      <x:c r="E8" s="10" t="str">
        <x:v>Energy-core internal load</x:v>
      </x:c>
    </x:row>
    <x:row r="9">
      <x:c r="A9" s="20" t="str">
        <x:v>Operating derate</x:v>
      </x:c>
      <x:c r="B9" s="19" t="n">
        <x:v>0.1</x:v>
      </x:c>
      <x:c r="C9" s="19" t="n">
        <x:v>0.1</x:v>
      </x:c>
      <x:c r="D9" s="20" t="str">
        <x:v>share net</x:v>
      </x:c>
      <x:c r="E9" s="20" t="str">
        <x:v>Sustained output screen</x:v>
      </x:c>
    </x:row>
    <x:row r="10">
      <x:c r="A10" s="10" t="str">
        <x:v>Served-load reserve</x:v>
      </x:c>
      <x:c r="B10" s="19" t="n">
        <x:v>0.15</x:v>
      </x:c>
      <x:c r="C10" s="19" t="n">
        <x:v>0.15</x:v>
      </x:c>
      <x:c r="D10" s="10" t="str">
        <x:v>share</x:v>
      </x:c>
      <x:c r="E10" s="10" t="str">
        <x:v>Reserve on shore, water, and internal loads</x:v>
      </x:c>
    </x:row>
    <x:row r="11">
      <x:c r="A11" s="20" t="str">
        <x:v>Gross electric efficiency</x:v>
      </x:c>
      <x:c r="B11" s="19" t="n">
        <x:v>0.33</x:v>
      </x:c>
      <x:c r="C11" s="19" t="n">
        <x:v>0.33</x:v>
      </x:c>
      <x:c r="D11" s="20" t="str">
        <x:v>share</x:v>
      </x:c>
      <x:c r="E11" s="20" t="str">
        <x:v>Thermal screen only</x:v>
      </x:c>
    </x:row>
    <x:row r="12">
      <x:c r="A12" s="10" t="str">
        <x:v>Cooling-water ΔT</x:v>
      </x:c>
      <x:c r="B12" s="19" t="n">
        <x:v>7</x:v>
      </x:c>
      <x:c r="C12" s="19" t="n">
        <x:v>7</x:v>
      </x:c>
      <x:c r="D12" s="10" t="str">
        <x:v>°C</x:v>
      </x:c>
      <x:c r="E12" s="10" t="str">
        <x:v>Once-through equivalent screen</x:v>
      </x:c>
    </x:row>
    <x:row r="13">
      <x:c r="A13" s="20" t="str">
        <x:v>Seawater density</x:v>
      </x:c>
      <x:c r="B13" s="19" t="n">
        <x:v>1025</x:v>
      </x:c>
      <x:c r="C13" s="19" t="n">
        <x:v>1025</x:v>
      </x:c>
      <x:c r="D13" s="20" t="str">
        <x:v>kg/m³</x:v>
      </x:c>
      <x:c r="E13" s="20" t="str">
        <x:v>Cooling-water density</x:v>
      </x:c>
    </x:row>
    <x:row r="14">
      <x:c r="A14" s="10" t="str">
        <x:v>Pipe material density</x:v>
      </x:c>
      <x:c r="B14" s="19" t="n">
        <x:v>950</x:v>
      </x:c>
      <x:c r="C14" s="19" t="n">
        <x:v>950</x:v>
      </x:c>
      <x:c r="D14" s="10" t="str">
        <x:v>kg/m³</x:v>
      </x:c>
      <x:c r="E14" s="10" t="str">
        <x:v>Illustrative polymer</x:v>
      </x:c>
    </x:row>
    <x:row r="15">
      <x:c r="A15" s="20" t="str">
        <x:v>Darcy friction factor</x:v>
      </x:c>
      <x:c r="B15" s="19" t="n">
        <x:v>0.015</x:v>
      </x:c>
      <x:c r="C15" s="19" t="n">
        <x:v>0.015</x:v>
      </x:c>
      <x:c r="D15" s="20" t="str">
        <x:v>—</x:v>
      </x:c>
      <x:c r="E15" s="20" t="str">
        <x:v>Steady first-order assumption</x:v>
      </x:c>
    </x:row>
    <x:row r="16">
      <x:c r="A16" s="10" t="str">
        <x:v>Pump efficiency</x:v>
      </x:c>
      <x:c r="B16" s="19" t="n">
        <x:v>0.75</x:v>
      </x:c>
      <x:c r="C16" s="19" t="n">
        <x:v>0.75</x:v>
      </x:c>
      <x:c r="D16" s="10" t="str">
        <x:v>share</x:v>
      </x:c>
      <x:c r="E16" s="10" t="str">
        <x:v>Wire-to-water screen</x:v>
      </x:c>
    </x:row>
    <x:row r="17">
      <x:c r="A17" s="20" t="str">
        <x:v>Installed pump factor</x:v>
      </x:c>
      <x:c r="B17" s="19" t="n">
        <x:v>1.25</x:v>
      </x:c>
      <x:c r="C17" s="19" t="n">
        <x:v>1.25</x:v>
      </x:c>
      <x:c r="D17" s="20" t="str">
        <x:v>× duty</x:v>
      </x:c>
      <x:c r="E17" s="20" t="str">
        <x:v>Redundancy and operating allowance</x:v>
      </x:c>
    </x:row>
    <x:row r="18">
      <x:c r="A18" s="10" t="str">
        <x:v>Gas-turbine heat rate</x:v>
      </x:c>
      <x:c r="B18" s="19" t="n">
        <x:v>7.5</x:v>
      </x:c>
      <x:c r="C18" s="19" t="n">
        <x:v>7.5</x:v>
      </x:c>
      <x:c r="D18" s="10" t="str">
        <x:v>MMBtu/MWh</x:v>
      </x:c>
      <x:c r="E18" s="10" t="str">
        <x:v>Alternative screen</x:v>
      </x:c>
    </x:row>
    <x:row r="19">
      <x:c r="A19" s="20" t="str">
        <x:v>LNG heating value</x:v>
      </x:c>
      <x:c r="B19" s="19" t="n">
        <x:v>21.5</x:v>
      </x:c>
      <x:c r="C19" s="19" t="n">
        <x:v>21.5</x:v>
      </x:c>
      <x:c r="D19" s="20" t="str">
        <x:v>MMBtu/t</x:v>
      </x:c>
      <x:c r="E19" s="20" t="str">
        <x:v>Alternative screen</x:v>
      </x:c>
    </x:row>
    <x:row r="20">
      <x:c r="A20" s="10" t="str">
        <x:v>Design velocity</x:v>
      </x:c>
      <x:c r="B20" s="19" t="n">
        <x:v>2</x:v>
      </x:c>
      <x:c r="C20" s="19" t="n">
        <x:v>1.5</x:v>
      </x:c>
      <x:c r="D20" s="10" t="str">
        <x:v>m/s</x:v>
      </x:c>
      <x:c r="E20" s="10" t="str">
        <x:v>Per active trunk</x:v>
      </x:c>
    </x:row>
    <x:row r="21">
      <x:c r="A21" s="20" t="str">
        <x:v>Pipe outside diameter</x:v>
      </x:c>
      <x:c r="B21" s="19" t="n">
        <x:v>0.9</x:v>
      </x:c>
      <x:c r="C21" s="19" t="n">
        <x:v>0.56</x:v>
      </x:c>
      <x:c r="D21" s="20" t="str">
        <x:v>m</x:v>
      </x:c>
      <x:c r="E21" s="20" t="str">
        <x:v>Illustrative available section</x:v>
      </x:c>
    </x:row>
    <x:row r="22">
      <x:c r="A22" s="10" t="str">
        <x:v>Dimension ratio</x:v>
      </x:c>
      <x:c r="B22" s="19" t="n">
        <x:v>17</x:v>
      </x:c>
      <x:c r="C22" s="19" t="n">
        <x:v>17</x:v>
      </x:c>
      <x:c r="D22" s="10" t="str">
        <x:v>OD/wall</x:v>
      </x:c>
      <x:c r="E22" s="10" t="str">
        <x:v>Illustrative DR17</x:v>
      </x:c>
    </x:row>
    <x:row r="23">
      <x:c r="A23" s="20" t="str">
        <x:v>Static head</x:v>
      </x:c>
      <x:c r="B23" s="19" t="n">
        <x:v>20</x:v>
      </x:c>
      <x:c r="C23" s="19" t="n">
        <x:v>120</x:v>
      </x:c>
      <x:c r="D23" s="20" t="str">
        <x:v>m</x:v>
      </x:c>
      <x:c r="E23" s="20" t="str">
        <x:v>Terrain archetype</x:v>
      </x:c>
    </x:row>
    <x:row r="24">
      <x:c r="A24" s="10" t="str">
        <x:v>Route length</x:v>
      </x:c>
      <x:c r="B24" s="19" t="n">
        <x:v>40</x:v>
      </x:c>
      <x:c r="C24" s="19" t="n">
        <x:v>10</x:v>
      </x:c>
      <x:c r="D24" s="10" t="str">
        <x:v>km</x:v>
      </x:c>
      <x:c r="E24" s="10" t="str">
        <x:v>Landing to service region</x:v>
      </x:c>
    </x:row>
    <x:row r="25">
      <x:c r="A25" s="20" t="str">
        <x:v>Parallel trunks</x:v>
      </x:c>
      <x:c r="B25" s="19" t="n">
        <x:v>2</x:v>
      </x:c>
      <x:c r="C25" s="19" t="n">
        <x:v>1</x:v>
      </x:c>
      <x:c r="D25" s="20" t="str">
        <x:v>count</x:v>
      </x:c>
      <x:c r="E25" s="20" t="str">
        <x:v>Operating lines, not spare stock</x:v>
      </x:c>
    </x:row>
    <x:row r="26">
      <x:c r="A26" s="10" t="str">
        <x:v>Critical shore power</x:v>
      </x:c>
      <x:c r="B26" s="19" t="n">
        <x:v>180</x:v>
      </x:c>
      <x:c r="C26" s="19" t="n">
        <x:v>25</x:v>
      </x:c>
      <x:c r="D26" s="10" t="str">
        <x:v>MW</x:v>
      </x:c>
      <x:c r="E26" s="10" t="str">
        <x:v>Authorized public load</x:v>
      </x:c>
    </x:row>
    <x:row r="27">
      <x:c r="A27" s="20" t="str">
        <x:v>Product water</x:v>
      </x:c>
      <x:c r="B27" s="19" t="n">
        <x:v>150000</x:v>
      </x:c>
      <x:c r="C27" s="19" t="n">
        <x:v>20000</x:v>
      </x:c>
      <x:c r="D27" s="20" t="str">
        <x:v>m³/day</x:v>
      </x:c>
      <x:c r="E27" s="20" t="str">
        <x:v>Quality-released at process outlet</x:v>
      </x:c>
    </x:row>
    <x:row r="28">
      <x:c r="A28" s="10" t="str">
        <x:v>Internal mission load</x:v>
      </x:c>
      <x:c r="B28" s="19" t="n">
        <x:v>20</x:v>
      </x:c>
      <x:c r="C28" s="19" t="n">
        <x:v>5</x:v>
      </x:c>
      <x:c r="D28" s="10" t="str">
        <x:v>MW</x:v>
      </x:c>
      <x:c r="E28" s="10" t="str">
        <x:v>Formation, security, and hotel load</x:v>
      </x:c>
    </x:row>
    <x:row r="29">
      <x:c r="A29" s="20" t="str">
        <x:v>Core gross output</x:v>
      </x:c>
      <x:c r="B29" s="19" t="n">
        <x:v>300</x:v>
      </x:c>
      <x:c r="C29" s="19" t="n">
        <x:v>60</x:v>
      </x:c>
      <x:c r="D29" s="20" t="str">
        <x:v>MWe</x:v>
      </x:c>
      <x:c r="E29" s="20" t="str">
        <x:v>Class screen, not reactor selection</x:v>
      </x:c>
    </x:row>
    <x:row r="30">
      <x:c r="A30" s="10" t="str">
        <x:v>Cores in reference mission</x:v>
      </x:c>
      <x:c r="B30" s="19" t="n">
        <x:v>2</x:v>
      </x:c>
      <x:c r="C30" s="19" t="n">
        <x:v>1</x:v>
      </x:c>
      <x:c r="D30" s="10" t="str">
        <x:v>count</x:v>
      </x:c>
      <x:c r="E30" s="10" t="str">
        <x:v>Simultaneous energy cores</x:v>
      </x:c>
    </x:row>
    <x:row r="31">
      <x:c r="A31" s="20" t="str">
        <x:v>Primary shore voltage</x:v>
      </x:c>
      <x:c r="B31" s="19" t="n">
        <x:v>115</x:v>
      </x:c>
      <x:c r="C31" s="19" t="n">
        <x:v>34.5</x:v>
      </x:c>
      <x:c r="D31" s="20" t="str">
        <x:v>kV</x:v>
      </x:c>
      <x:c r="E31" s="20" t="str">
        <x:v>Current screen, not selected one-line</x:v>
      </x:c>
    </x:row>
    <x:row r="32">
      <x:c r="A32" s="10" t="str">
        <x:v>Power factor</x:v>
      </x:c>
      <x:c r="B32" s="19" t="n">
        <x:v>0.95</x:v>
      </x:c>
      <x:c r="C32" s="19" t="n">
        <x:v>0.95</x:v>
      </x:c>
      <x:c r="D32" s="10" t="str">
        <x:v>share</x:v>
      </x:c>
      <x:c r="E32" s="10" t="str">
        <x:v>Three-phase current screen</x:v>
      </x:c>
    </x:row>
    <x:row r="33">
      <x:c r="A33" s="20" t="str">
        <x:v>Survival water service</x:v>
      </x:c>
      <x:c r="B33" s="19" t="n">
        <x:v>15</x:v>
      </x:c>
      <x:c r="C33" s="19" t="n">
        <x:v>15</x:v>
      </x:c>
      <x:c r="D33" s="20" t="str">
        <x:v>L/person-day</x:v>
      </x:c>
      <x:c r="E33" s="20" t="str">
        <x:v>Production equivalent only</x:v>
      </x:c>
    </x:row>
    <x:row r="34">
      <x:c r="A34" s="10" t="str">
        <x:v>Expanded emergency service</x:v>
      </x:c>
      <x:c r="B34" s="19" t="n">
        <x:v>50</x:v>
      </x:c>
      <x:c r="C34" s="19" t="n">
        <x:v>50</x:v>
      </x:c>
      <x:c r="D34" s="10" t="str">
        <x:v>L/person-day</x:v>
      </x:c>
      <x:c r="E34" s="10" t="str">
        <x:v>Production equivalent only</x:v>
      </x:c>
    </x:row>
    <x:row r="35">
      <x:c r="A35" s="20" t="str">
        <x:v>Real discount rate</x:v>
      </x:c>
      <x:c r="B35" s="19" t="n">
        <x:v>0.03</x:v>
      </x:c>
      <x:c r="C35" s="19" t="n">
        <x:v>0.03</x:v>
      </x:c>
      <x:c r="D35" s="20" t="str">
        <x:v>share</x:v>
      </x:c>
      <x:c r="E35" s="20" t="str">
        <x:v>Lifecycle screen</x:v>
      </x:c>
    </x:row>
    <x:row r="36">
      <x:c r="A36" s="10" t="str">
        <x:v>Lifecycle horizon</x:v>
      </x:c>
      <x:c r="B36" s="19" t="n">
        <x:v>25</x:v>
      </x:c>
      <x:c r="C36" s="19" t="n">
        <x:v>25</x:v>
      </x:c>
      <x:c r="D36" s="10" t="str">
        <x:v>years</x:v>
      </x:c>
      <x:c r="E36" s="10" t="str">
        <x:v>Real 2026 USD</x:v>
      </x:c>
    </x:row>
    <x:row r="37">
      <x:c r="A37" s="20" t="str">
        <x:v>Low-case multiplier</x:v>
      </x:c>
      <x:c r="B37" s="19" t="n">
        <x:v>0.75</x:v>
      </x:c>
      <x:c r="C37" s="19" t="n">
        <x:v>0.75</x:v>
      </x:c>
      <x:c r="D37" s="20" t="str">
        <x:v>× base</x:v>
      </x:c>
      <x:c r="E37" s="20" t="str">
        <x:v>Applied to cost burdens</x:v>
      </x:c>
    </x:row>
    <x:row r="38">
      <x:c r="A38" s="10" t="str">
        <x:v>High-case multiplier</x:v>
      </x:c>
      <x:c r="B38" s="19" t="n">
        <x:v>1.5</x:v>
      </x:c>
      <x:c r="C38" s="19" t="n">
        <x:v>1.5</x:v>
      </x:c>
      <x:c r="D38" s="10" t="str">
        <x:v>× base</x:v>
      </x:c>
      <x:c r="E38" s="10" t="str">
        <x:v>Applied to cost burdens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6" hidden="0" customWidth="1"/>
    <x:col min="5" max="5" width="62" hidden="0" customWidth="1"/>
  </x:cols>
  <x:sheetData>
    <x:row r="1" ht="28" customHeight="1">
      <x:c r="A1" s="44" t="str">
        <x:v>Node Requirements</x:v>
      </x:c>
      <x:c r="B1" s="45"/>
      <x:c r="C1" s="45"/>
      <x:c r="D1" s="45"/>
      <x:c r="E1" s="45"/>
    </x:row>
    <x:row r="2" ht="20" customHeight="1">
      <x:c r="A2" s="46" t="str">
        <x:v>Public effects are converted into energy, water, and capacity requirements before an architecture is admitted.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Requirement</x:v>
      </x:c>
      <x:c r="B4" s="50" t="str">
        <x:v>RUA-300 estuary</x:v>
      </x:c>
      <x:c r="C4" s="50" t="str">
        <x:v>IUA-60 island</x:v>
      </x:c>
      <x:c r="D4" s="50" t="str">
        <x:v>Unit</x:v>
      </x:c>
      <x:c r="E4" s="50" t="str">
        <x:v>Meaning</x:v>
      </x:c>
    </x:row>
    <x:row r="5">
      <x:c r="A5" s="20" t="str">
        <x:v>Critical shore service</x:v>
      </x:c>
      <x:c r="B5" s="22" t="n">
        <x:f>Controls!B26</x:f>
        <x:v>180</x:v>
      </x:c>
      <x:c r="C5" s="22" t="n">
        <x:f>Controls!C26</x:f>
        <x:v>25</x:v>
      </x:c>
      <x:c r="D5" s="20" t="str">
        <x:v>MW</x:v>
      </x:c>
      <x:c r="E5" s="20" t="str">
        <x:v>From Controls</x:v>
      </x:c>
    </x:row>
    <x:row r="6">
      <x:c r="A6" s="10" t="str">
        <x:v>Product-water service</x:v>
      </x:c>
      <x:c r="B6" s="22" t="n">
        <x:f>Controls!B27</x:f>
        <x:v>150000</x:v>
      </x:c>
      <x:c r="C6" s="22" t="n">
        <x:f>Controls!C27</x:f>
        <x:v>20000</x:v>
      </x:c>
      <x:c r="D6" s="10" t="str">
        <x:v>m³/day</x:v>
      </x:c>
      <x:c r="E6" s="10" t="str">
        <x:v>From Controls</x:v>
      </x:c>
    </x:row>
    <x:row r="7">
      <x:c r="A7" s="20" t="str">
        <x:v>Water-process load</x:v>
      </x:c>
      <x:c r="B7" s="22" t="n">
        <x:f>B6*(Controls!B6+Controls!B7)/24000</x:f>
        <x:v>26.875</x:v>
      </x:c>
      <x:c r="C7" s="22" t="n">
        <x:f>C6*(Controls!C6+Controls!C7)/24000</x:f>
        <x:v>3.5833333333333335</x:v>
      </x:c>
      <x:c r="D7" s="20" t="str">
        <x:v>MW</x:v>
      </x:c>
      <x:c r="E7" s="20" t="str">
        <x:v>Product × total specific energy ÷ 24</x:v>
      </x:c>
    </x:row>
    <x:row r="8">
      <x:c r="A8" s="10" t="str">
        <x:v>Internal mission load</x:v>
      </x:c>
      <x:c r="B8" s="22" t="n">
        <x:f>Controls!B28</x:f>
        <x:v>20</x:v>
      </x:c>
      <x:c r="C8" s="22" t="n">
        <x:f>Controls!C28</x:f>
        <x:v>5</x:v>
      </x:c>
      <x:c r="D8" s="10" t="str">
        <x:v>MW</x:v>
      </x:c>
      <x:c r="E8" s="10" t="str">
        <x:v>From Controls</x:v>
      </x:c>
    </x:row>
    <x:row r="9">
      <x:c r="A9" s="20" t="str">
        <x:v>Served load before reserve</x:v>
      </x:c>
      <x:c r="B9" s="22" t="n">
        <x:f>SUM(B5,B7:B8)</x:f>
        <x:v>226.875</x:v>
      </x:c>
      <x:c r="C9" s="22" t="n">
        <x:f>SUM(C5,C7:C8)</x:f>
        <x:v>33.583333333333336</x:v>
      </x:c>
      <x:c r="D9" s="20" t="str">
        <x:v>MW</x:v>
      </x:c>
      <x:c r="E9" s="20" t="str">
        <x:v>Shore + water + internal</x:v>
      </x:c>
    </x:row>
    <x:row r="10">
      <x:c r="A10" s="10" t="str">
        <x:v>Protected-bus requirement</x:v>
      </x:c>
      <x:c r="B10" s="22" t="n">
        <x:f>B9*(1+Controls!B10)</x:f>
        <x:v>260.90625</x:v>
      </x:c>
      <x:c r="C10" s="22" t="n">
        <x:f>C9*(1+Controls!C10)</x:f>
        <x:v>38.62083333333333</x:v>
      </x:c>
      <x:c r="D10" s="10" t="str">
        <x:v>MW</x:v>
      </x:c>
      <x:c r="E10" s="10" t="str">
        <x:v>Served load × (1 + reserve)</x:v>
      </x:c>
    </x:row>
    <x:row r="11">
      <x:c r="A11" s="20" t="str">
        <x:v>Single-core sustained output</x:v>
      </x:c>
      <x:c r="B11" s="22" t="n">
        <x:f>Controls!B29*(1-Controls!B8)*(1-Controls!B9)</x:f>
        <x:v>248.4</x:v>
      </x:c>
      <x:c r="C11" s="22" t="n">
        <x:f>Controls!C29*(1-Controls!C8)*(1-Controls!C9)</x:f>
        <x:v>49.68000000000001</x:v>
      </x:c>
      <x:c r="D11" s="20" t="str">
        <x:v>MW</x:v>
      </x:c>
      <x:c r="E11" s="20" t="str">
        <x:v>Gross × station-service × derate factors</x:v>
      </x:c>
    </x:row>
    <x:row r="12">
      <x:c r="A12" s="10" t="str">
        <x:v>Reference cores</x:v>
      </x:c>
      <x:c r="B12" s="22" t="n">
        <x:f>Controls!B30</x:f>
        <x:v>2</x:v>
      </x:c>
      <x:c r="C12" s="22" t="n">
        <x:f>Controls!C30</x:f>
        <x:v>1</x:v>
      </x:c>
      <x:c r="D12" s="10" t="str">
        <x:v>count</x:v>
      </x:c>
      <x:c r="E12" s="10" t="str">
        <x:v>From Controls</x:v>
      </x:c>
    </x:row>
    <x:row r="13">
      <x:c r="A13" s="20" t="str">
        <x:v>Reference sustained output</x:v>
      </x:c>
      <x:c r="B13" s="22" t="n">
        <x:f>B11*B12</x:f>
        <x:v>496.8</x:v>
      </x:c>
      <x:c r="C13" s="22" t="n">
        <x:f>C11*C12</x:f>
        <x:v>49.68000000000001</x:v>
      </x:c>
      <x:c r="D13" s="20" t="str">
        <x:v>MW</x:v>
      </x:c>
      <x:c r="E13" s="20" t="str">
        <x:v>Single-core sustained × core count</x:v>
      </x:c>
    </x:row>
    <x:row r="14">
      <x:c r="A14" s="10" t="str">
        <x:v>Capacity margin</x:v>
      </x:c>
      <x:c r="B14" s="22" t="n">
        <x:f>B13-B10</x:f>
        <x:v>235.89375</x:v>
      </x:c>
      <x:c r="C14" s="22" t="n">
        <x:f>C13-C10</x:f>
        <x:v>11.059166666666677</x:v>
      </x:c>
      <x:c r="D14" s="10" t="str">
        <x:v>MW</x:v>
      </x:c>
      <x:c r="E14" s="10" t="str">
        <x:v>Reference output − bus requirement</x:v>
      </x:c>
    </x:row>
    <x:row r="15">
      <x:c r="A15" s="20" t="str">
        <x:v>Minimum whole cores</x:v>
      </x:c>
      <x:c r="B15" s="22" t="n">
        <x:f>ROUNDUP(B10/B11,0)</x:f>
        <x:v>2</x:v>
      </x:c>
      <x:c r="C15" s="22" t="n">
        <x:f>ROUNDUP(C10/C11,0)</x:f>
        <x:v>1</x:v>
      </x:c>
      <x:c r="D15" s="20" t="str">
        <x:v>count</x:v>
      </x:c>
      <x:c r="E15" s="20" t="str">
        <x:v>Rounded up from bus/single-core</x:v>
      </x:c>
    </x:row>
    <x:row r="16">
      <x:c r="A16" s="10" t="str">
        <x:v>Capacity constraint</x:v>
      </x:c>
      <x:c r="B16" s="22" t="str">
        <x:f>IF(B14&gt;=0,"PASS","FAIL")</x:f>
        <x:v>PASS</x:v>
      </x:c>
      <x:c r="C16" s="22" t="str">
        <x:f>IF(C14&gt;=0,"PASS","FAIL")</x:f>
        <x:v>PASS</x:v>
      </x:c>
      <x:c r="D16" s="10" t="str">
        <x:v>status</x:v>
      </x:c>
      <x:c r="E16" s="10" t="str">
        <x:v>No credit for nominal gross output</x:v>
      </x:c>
    </x:row>
    <x:row r="17">
      <x:c r="A17" s="20" t="str">
        <x:v>Survival-water equivalent</x:v>
      </x:c>
      <x:c r="B17" s="22" t="n">
        <x:f>B6*1000/Controls!B33/1000000</x:f>
        <x:v>10</x:v>
      </x:c>
      <x:c r="C17" s="22" t="n">
        <x:f>C6*1000/Controls!C33/1000000</x:f>
        <x:v>1.3333333333333333</x:v>
      </x:c>
      <x:c r="D17" s="20" t="str">
        <x:v>million people</x:v>
      </x:c>
      <x:c r="E17" s="20" t="str">
        <x:v>Production equivalent; distribution not credited</x:v>
      </x:c>
    </x:row>
    <x:row r="18">
      <x:c r="A18" s="10" t="str">
        <x:v>Expanded-water equivalent</x:v>
      </x:c>
      <x:c r="B18" s="22" t="n">
        <x:f>B6*1000/Controls!B34/1000000</x:f>
        <x:v>3</x:v>
      </x:c>
      <x:c r="C18" s="22" t="n">
        <x:f>C6*1000/Controls!C34/1000000</x:f>
        <x:v>0.4</x:v>
      </x:c>
      <x:c r="D18" s="10" t="str">
        <x:v>million people</x:v>
      </x:c>
      <x:c r="E18" s="10" t="str">
        <x:v>Production equivalent; distribution not credited</x:v>
      </x:c>
    </x:row>
  </x:sheetData>
  <x:conditionalFormatting sqref="B16:C1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OPEN"/>
    <x:cfRule type="containsText" dxfId="3" priority="4" operator="containsText" text="CONDITIONA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4" hidden="0" customWidth="1"/>
    <x:col min="4" max="4" width="15" hidden="0" customWidth="1"/>
    <x:col min="5" max="5" width="13" hidden="0" customWidth="1"/>
    <x:col min="6" max="6" width="13" hidden="0" customWidth="1"/>
    <x:col min="7" max="7" width="15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4" hidden="0" customWidth="1"/>
    <x:col min="16" max="16" width="14" hidden="0" customWidth="1"/>
    <x:col min="17" max="17" width="43" hidden="0" customWidth="1"/>
  </x:cols>
  <x:sheetData>
    <x:row r="1" ht="28" customHeight="1">
      <x:c r="A1" s="44" t="str">
        <x:v>Architecture Options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 ht="20" customHeight="1">
      <x:c r="A2" s="46" t="str">
        <x:v>Twelve editable alternative–node records. Values are hypotheses for transparent comparison, not vendor or site estimates.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</x:row>
    <x:row r="4" ht="26" customHeight="1">
      <x:c r="A4" s="50" t="str">
        <x:v>Node</x:v>
      </x:c>
      <x:c r="B4" s="50" t="str">
        <x:v>Architecture</x:v>
      </x:c>
      <x:c r="C4" s="50" t="str">
        <x:v>Firm MW</x:v>
      </x:c>
      <x:c r="D4" s="50" t="str">
        <x:v>Water m³/d</x:v>
      </x:c>
      <x:c r="E4" s="50" t="str">
        <x:v>First service d</x:v>
      </x:c>
      <x:c r="F4" s="50" t="str">
        <x:v>Full service d</x:v>
      </x:c>
      <x:c r="G4" s="50" t="str">
        <x:v>Conditional availability</x:v>
      </x:c>
      <x:c r="H4" s="50" t="str">
        <x:v>Land ha</x:v>
      </x:c>
      <x:c r="I4" s="50" t="str">
        <x:v>Capex $B</x:v>
      </x:c>
      <x:c r="J4" s="50" t="str">
        <x:v>Fixed O&amp;M $B/y</x:v>
      </x:c>
      <x:c r="K4" s="50" t="str">
        <x:v>Periodic $B/y</x:v>
      </x:c>
      <x:c r="L4" s="50" t="str">
        <x:v>Decommission $B</x:v>
      </x:c>
      <x:c r="M4" s="50" t="str">
        <x:v>Fuel days/y</x:v>
      </x:c>
      <x:c r="N4" s="50" t="str">
        <x:v>Peacetime benefit $B/y</x:v>
      </x:c>
      <x:c r="O4" s="50" t="str">
        <x:v>Peacetime utilization</x:v>
      </x:c>
      <x:c r="P4" s="50" t="str">
        <x:v>Fuel</x:v>
      </x:c>
      <x:c r="Q4" s="50" t="str">
        <x:v>Design note</x:v>
      </x:c>
    </x:row>
    <x:row r="5">
      <x:c r="A5" s="20" t="str">
        <x:v>RUA-300</x:v>
      </x:c>
      <x:c r="B5" s="20" t="str">
        <x:v>Segmented floating nuclear</x:v>
      </x:c>
      <x:c r="C5" s="24" t="n">
        <x:v>496.8</x:v>
      </x:c>
      <x:c r="D5" s="24" t="n">
        <x:v>150000</x:v>
      </x:c>
      <x:c r="E5" s="24" t="n">
        <x:v>21</x:v>
      </x:c>
      <x:c r="F5" s="24" t="n">
        <x:v>60</x:v>
      </x:c>
      <x:c r="G5" s="25" t="n">
        <x:v>0.9</x:v>
      </x:c>
      <x:c r="H5" s="24" t="n">
        <x:v>40</x:v>
      </x:c>
      <x:c r="I5" s="24" t="n">
        <x:v>55</x:v>
      </x:c>
      <x:c r="J5" s="24" t="n">
        <x:v>1.6</x:v>
      </x:c>
      <x:c r="K5" s="24" t="n">
        <x:v>0.6</x:v>
      </x:c>
      <x:c r="L5" s="24" t="n">
        <x:v>6</x:v>
      </x:c>
      <x:c r="M5" s="24" t="n">
        <x:v>0</x:v>
      </x:c>
      <x:c r="N5" s="24" t="n">
        <x:v>0</x:v>
      </x:c>
      <x:c r="O5" s="25" t="n">
        <x:v>0.55</x:v>
      </x:c>
      <x:c r="P5" s="24" t="str">
        <x:v>Nuclear</x:v>
      </x:c>
      <x:c r="Q5" s="20" t="str">
        <x:v>Two NEC-300 cores; mobile firm layer</x:v>
      </x:c>
    </x:row>
    <x:row r="6">
      <x:c r="A6" s="10" t="str">
        <x:v>RUA-300</x:v>
      </x:c>
      <x:c r="B6" s="10" t="str">
        <x:v>Prelicensed shore nuclear</x:v>
      </x:c>
      <x:c r="C6" s="24" t="n">
        <x:v>300</x:v>
      </x:c>
      <x:c r="D6" s="24" t="n">
        <x:v>150000</x:v>
      </x:c>
      <x:c r="E6" s="24" t="n">
        <x:v>3</x:v>
      </x:c>
      <x:c r="F6" s="24" t="n">
        <x:v>30</x:v>
      </x:c>
      <x:c r="G6" s="25" t="n">
        <x:v>0.75</x:v>
      </x:c>
      <x:c r="H6" s="24" t="n">
        <x:v>120</x:v>
      </x:c>
      <x:c r="I6" s="24" t="n">
        <x:v>35</x:v>
      </x:c>
      <x:c r="J6" s="24" t="n">
        <x:v>1.3</x:v>
      </x:c>
      <x:c r="K6" s="24" t="n">
        <x:v>0.5</x:v>
      </x:c>
      <x:c r="L6" s="24" t="n">
        <x:v>5</x:v>
      </x:c>
      <x:c r="M6" s="24" t="n">
        <x:v>0</x:v>
      </x:c>
      <x:c r="N6" s="24" t="n">
        <x:v>0</x:v>
      </x:c>
      <x:c r="O6" s="25" t="n">
        <x:v>0.9</x:v>
      </x:c>
      <x:c r="P6" s="24" t="str">
        <x:v>Nuclear</x:v>
      </x:c>
      <x:c r="Q6" s="10" t="str">
        <x:v>Strong if site survives and restarts</x:v>
      </x:c>
    </x:row>
    <x:row r="7">
      <x:c r="A7" s="20" t="str">
        <x:v>RUA-300</x:v>
      </x:c>
      <x:c r="B7" s="20" t="str">
        <x:v>LNG utility flotilla</x:v>
      </x:c>
      <x:c r="C7" s="24" t="n">
        <x:v>300</x:v>
      </x:c>
      <x:c r="D7" s="24" t="n">
        <x:v>150000</x:v>
      </x:c>
      <x:c r="E7" s="24" t="n">
        <x:v>7</x:v>
      </x:c>
      <x:c r="F7" s="24" t="n">
        <x:v>21</x:v>
      </x:c>
      <x:c r="G7" s="25" t="n">
        <x:v>0.8</x:v>
      </x:c>
      <x:c r="H7" s="24" t="n">
        <x:v>50</x:v>
      </x:c>
      <x:c r="I7" s="24" t="n">
        <x:v>9</x:v>
      </x:c>
      <x:c r="J7" s="24" t="n">
        <x:v>0.55</x:v>
      </x:c>
      <x:c r="K7" s="24" t="n">
        <x:v>0.25</x:v>
      </x:c>
      <x:c r="L7" s="24" t="n">
        <x:v>2</x:v>
      </x:c>
      <x:c r="M7" s="24" t="n">
        <x:v>200</x:v>
      </x:c>
      <x:c r="N7" s="24" t="n">
        <x:v>0</x:v>
      </x:c>
      <x:c r="O7" s="25" t="n">
        <x:v>0.35</x:v>
      </x:c>
      <x:c r="P7" s="24" t="str">
        <x:v>LNG</x:v>
      </x:c>
      <x:c r="Q7" s="20" t="str">
        <x:v>Fuel receipt is mission constraint</x:v>
      </x:c>
    </x:row>
    <x:row r="8">
      <x:c r="A8" s="10" t="str">
        <x:v>RUA-300</x:v>
      </x:c>
      <x:c r="B8" s="10" t="str">
        <x:v>Renewable + storage + firm</x:v>
      </x:c>
      <x:c r="C8" s="24" t="n">
        <x:v>280</x:v>
      </x:c>
      <x:c r="D8" s="24" t="n">
        <x:v>150000</x:v>
      </x:c>
      <x:c r="E8" s="24" t="n">
        <x:v>1</x:v>
      </x:c>
      <x:c r="F8" s="24" t="n">
        <x:v>180</x:v>
      </x:c>
      <x:c r="G8" s="25" t="n">
        <x:v>0.85</x:v>
      </x:c>
      <x:c r="H8" s="24" t="n">
        <x:v>2000</x:v>
      </x:c>
      <x:c r="I8" s="24" t="n">
        <x:v>18</x:v>
      </x:c>
      <x:c r="J8" s="24" t="n">
        <x:v>0.45</x:v>
      </x:c>
      <x:c r="K8" s="24" t="n">
        <x:v>0.4</x:v>
      </x:c>
      <x:c r="L8" s="24" t="n">
        <x:v>3</x:v>
      </x:c>
      <x:c r="M8" s="24" t="n">
        <x:v>45</x:v>
      </x:c>
      <x:c r="N8" s="24" t="n">
        <x:v>1.2</x:v>
      </x:c>
      <x:c r="O8" s="25" t="n">
        <x:v>0.8</x:v>
      </x:c>
      <x:c r="P8" s="24" t="str">
        <x:v>LNG</x:v>
      </x:c>
      <x:c r="Q8" s="10" t="str">
        <x:v>High peacetime value; land/duration bind</x:v>
      </x:c>
    </x:row>
    <x:row r="9">
      <x:c r="A9" s="20" t="str">
        <x:v>RUA-300</x:v>
      </x:c>
      <x:c r="B9" s="20" t="str">
        <x:v>Water works + grid repair</x:v>
      </x:c>
      <x:c r="C9" s="24" t="n">
        <x:v>220</x:v>
      </x:c>
      <x:c r="D9" s="24" t="n">
        <x:v>150000</x:v>
      </x:c>
      <x:c r="E9" s="24" t="n">
        <x:v>7</x:v>
      </x:c>
      <x:c r="F9" s="24" t="n">
        <x:v>45</x:v>
      </x:c>
      <x:c r="G9" s="25" t="n">
        <x:v>0.65</x:v>
      </x:c>
      <x:c r="H9" s="24" t="n">
        <x:v>200</x:v>
      </x:c>
      <x:c r="I9" s="24" t="n">
        <x:v>8</x:v>
      </x:c>
      <x:c r="J9" s="24" t="n">
        <x:v>0.35</x:v>
      </x:c>
      <x:c r="K9" s="24" t="n">
        <x:v>0.2</x:v>
      </x:c>
      <x:c r="L9" s="24" t="n">
        <x:v>1</x:v>
      </x:c>
      <x:c r="M9" s="24" t="n">
        <x:v>30</x:v>
      </x:c>
      <x:c r="N9" s="24" t="n">
        <x:v>0.5</x:v>
      </x:c>
      <x:c r="O9" s="25" t="n">
        <x:v>0.7</x:v>
      </x:c>
      <x:c r="P9" s="24" t="str">
        <x:v>LNG</x:v>
      </x:c>
      <x:c r="Q9" s="20" t="str">
        <x:v>Preferred where regional generation survives</x:v>
      </x:c>
    </x:row>
    <x:row r="10">
      <x:c r="A10" s="10" t="str">
        <x:v>RUA-300</x:v>
      </x:c>
      <x:c r="B10" s="10" t="str">
        <x:v>Imported water + diesel bridge</x:v>
      </x:c>
      <x:c r="C10" s="24" t="n">
        <x:v>80</x:v>
      </x:c>
      <x:c r="D10" s="24" t="n">
        <x:v>20000</x:v>
      </x:c>
      <x:c r="E10" s="24" t="n">
        <x:v>1</x:v>
      </x:c>
      <x:c r="F10" s="24" t="n">
        <x:v>999</x:v>
      </x:c>
      <x:c r="G10" s="25" t="n">
        <x:v>0.6</x:v>
      </x:c>
      <x:c r="H10" s="24" t="n">
        <x:v>30</x:v>
      </x:c>
      <x:c r="I10" s="24" t="n">
        <x:v>2</x:v>
      </x:c>
      <x:c r="J10" s="24" t="n">
        <x:v>0.25</x:v>
      </x:c>
      <x:c r="K10" s="24" t="n">
        <x:v>0.1</x:v>
      </x:c>
      <x:c r="L10" s="24" t="n">
        <x:v>0.4</x:v>
      </x:c>
      <x:c r="M10" s="24" t="n">
        <x:v>60</x:v>
      </x:c>
      <x:c r="N10" s="24" t="n">
        <x:v>0</x:v>
      </x:c>
      <x:c r="O10" s="25" t="n">
        <x:v>0.05</x:v>
      </x:c>
      <x:c r="P10" s="24" t="str">
        <x:v>Diesel</x:v>
      </x:c>
      <x:c r="Q10" s="10" t="str">
        <x:v>Survival bridge; cannot close full service</x:v>
      </x:c>
    </x:row>
    <x:row r="11">
      <x:c r="A11" s="20" t="str">
        <x:v>IUA-60</x:v>
      </x:c>
      <x:c r="B11" s="20" t="str">
        <x:v>Segmented floating nuclear</x:v>
      </x:c>
      <x:c r="C11" s="24" t="n">
        <x:v>49.68</x:v>
      </x:c>
      <x:c r="D11" s="24" t="n">
        <x:v>20000</x:v>
      </x:c>
      <x:c r="E11" s="24" t="n">
        <x:v>14</x:v>
      </x:c>
      <x:c r="F11" s="24" t="n">
        <x:v>45</x:v>
      </x:c>
      <x:c r="G11" s="25" t="n">
        <x:v>0.85</x:v>
      </x:c>
      <x:c r="H11" s="24" t="n">
        <x:v>10</x:v>
      </x:c>
      <x:c r="I11" s="24" t="n">
        <x:v>15</x:v>
      </x:c>
      <x:c r="J11" s="24" t="n">
        <x:v>0.55</x:v>
      </x:c>
      <x:c r="K11" s="24" t="n">
        <x:v>0.2</x:v>
      </x:c>
      <x:c r="L11" s="24" t="n">
        <x:v>2</x:v>
      </x:c>
      <x:c r="M11" s="24" t="n">
        <x:v>0</x:v>
      </x:c>
      <x:c r="N11" s="24" t="n">
        <x:v>0</x:v>
      </x:c>
      <x:c r="O11" s="25" t="n">
        <x:v>0.6</x:v>
      </x:c>
      <x:c r="P11" s="24" t="str">
        <x:v>Nuclear</x:v>
      </x:c>
      <x:c r="Q11" s="20" t="str">
        <x:v>Requires new NEC-60 class</x:v>
      </x:c>
    </x:row>
    <x:row r="12">
      <x:c r="A12" s="10" t="str">
        <x:v>IUA-60</x:v>
      </x:c>
      <x:c r="B12" s="10" t="str">
        <x:v>Prelicensed shore nuclear</x:v>
      </x:c>
      <x:c r="C12" s="24" t="n">
        <x:v>50</x:v>
      </x:c>
      <x:c r="D12" s="24" t="n">
        <x:v>20000</x:v>
      </x:c>
      <x:c r="E12" s="24" t="n">
        <x:v>2</x:v>
      </x:c>
      <x:c r="F12" s="24" t="n">
        <x:v>14</x:v>
      </x:c>
      <x:c r="G12" s="25" t="n">
        <x:v>0.7</x:v>
      </x:c>
      <x:c r="H12" s="24" t="n">
        <x:v>40</x:v>
      </x:c>
      <x:c r="I12" s="24" t="n">
        <x:v>10</x:v>
      </x:c>
      <x:c r="J12" s="24" t="n">
        <x:v>0.5</x:v>
      </x:c>
      <x:c r="K12" s="24" t="n">
        <x:v>0.2</x:v>
      </x:c>
      <x:c r="L12" s="24" t="n">
        <x:v>2</x:v>
      </x:c>
      <x:c r="M12" s="24" t="n">
        <x:v>0</x:v>
      </x:c>
      <x:c r="N12" s="24" t="n">
        <x:v>0</x:v>
      </x:c>
      <x:c r="O12" s="25" t="n">
        <x:v>0.9</x:v>
      </x:c>
      <x:c r="P12" s="24" t="str">
        <x:v>Nuclear</x:v>
      </x:c>
      <x:c r="Q12" s="10" t="str">
        <x:v>Permanent hazard concentration</x:v>
      </x:c>
    </x:row>
    <x:row r="13">
      <x:c r="A13" s="20" t="str">
        <x:v>IUA-60</x:v>
      </x:c>
      <x:c r="B13" s="20" t="str">
        <x:v>LNG utility flotilla</x:v>
      </x:c>
      <x:c r="C13" s="24" t="n">
        <x:v>45</x:v>
      </x:c>
      <x:c r="D13" s="24" t="n">
        <x:v>20000</x:v>
      </x:c>
      <x:c r="E13" s="24" t="n">
        <x:v>5</x:v>
      </x:c>
      <x:c r="F13" s="24" t="n">
        <x:v>14</x:v>
      </x:c>
      <x:c r="G13" s="25" t="n">
        <x:v>0.75</x:v>
      </x:c>
      <x:c r="H13" s="24" t="n">
        <x:v>15</x:v>
      </x:c>
      <x:c r="I13" s="24" t="n">
        <x:v>3</x:v>
      </x:c>
      <x:c r="J13" s="24" t="n">
        <x:v>0.25</x:v>
      </x:c>
      <x:c r="K13" s="24" t="n">
        <x:v>0.08</x:v>
      </x:c>
      <x:c r="L13" s="24" t="n">
        <x:v>0.5</x:v>
      </x:c>
      <x:c r="M13" s="24" t="n">
        <x:v>200</x:v>
      </x:c>
      <x:c r="N13" s="24" t="n">
        <x:v>0</x:v>
      </x:c>
      <x:c r="O13" s="25" t="n">
        <x:v>0.4</x:v>
      </x:c>
      <x:c r="P13" s="24" t="str">
        <x:v>LNG</x:v>
      </x:c>
      <x:c r="Q13" s="20" t="str">
        <x:v>Fuel receipt may exceed island recovery</x:v>
      </x:c>
    </x:row>
    <x:row r="14">
      <x:c r="A14" s="10" t="str">
        <x:v>IUA-60</x:v>
      </x:c>
      <x:c r="B14" s="10" t="str">
        <x:v>Renewable + storage + firm</x:v>
      </x:c>
      <x:c r="C14" s="24" t="n">
        <x:v>42</x:v>
      </x:c>
      <x:c r="D14" s="24" t="n">
        <x:v>20000</x:v>
      </x:c>
      <x:c r="E14" s="24" t="n">
        <x:v>1</x:v>
      </x:c>
      <x:c r="F14" s="24" t="n">
        <x:v>120</x:v>
      </x:c>
      <x:c r="G14" s="25" t="n">
        <x:v>0.8</x:v>
      </x:c>
      <x:c r="H14" s="24" t="n">
        <x:v>250</x:v>
      </x:c>
      <x:c r="I14" s="24" t="n">
        <x:v>6</x:v>
      </x:c>
      <x:c r="J14" s="24" t="n">
        <x:v>0.22</x:v>
      </x:c>
      <x:c r="K14" s="24" t="n">
        <x:v>0.15</x:v>
      </x:c>
      <x:c r="L14" s="24" t="n">
        <x:v>1</x:v>
      </x:c>
      <x:c r="M14" s="24" t="n">
        <x:v>45</x:v>
      </x:c>
      <x:c r="N14" s="24" t="n">
        <x:v>0.35</x:v>
      </x:c>
      <x:c r="O14" s="25" t="n">
        <x:v>0.85</x:v>
      </x:c>
      <x:c r="P14" s="24" t="str">
        <x:v>LNG</x:v>
      </x:c>
      <x:c r="Q14" s="10" t="str">
        <x:v>Daily-value backbone with firm complement</x:v>
      </x:c>
    </x:row>
    <x:row r="15">
      <x:c r="A15" s="20" t="str">
        <x:v>IUA-60</x:v>
      </x:c>
      <x:c r="B15" s="20" t="str">
        <x:v>Water works + grid repair</x:v>
      </x:c>
      <x:c r="C15" s="24" t="n">
        <x:v>45</x:v>
      </x:c>
      <x:c r="D15" s="24" t="n">
        <x:v>20000</x:v>
      </x:c>
      <x:c r="E15" s="24" t="n">
        <x:v>7</x:v>
      </x:c>
      <x:c r="F15" s="24" t="n">
        <x:v>30</x:v>
      </x:c>
      <x:c r="G15" s="25" t="n">
        <x:v>0.65</x:v>
      </x:c>
      <x:c r="H15" s="24" t="n">
        <x:v>50</x:v>
      </x:c>
      <x:c r="I15" s="24" t="n">
        <x:v>4</x:v>
      </x:c>
      <x:c r="J15" s="24" t="n">
        <x:v>0.18</x:v>
      </x:c>
      <x:c r="K15" s="24" t="n">
        <x:v>0.08</x:v>
      </x:c>
      <x:c r="L15" s="24" t="n">
        <x:v>0.4</x:v>
      </x:c>
      <x:c r="M15" s="24" t="n">
        <x:v>30</x:v>
      </x:c>
      <x:c r="N15" s="24" t="n">
        <x:v>0.15</x:v>
      </x:c>
      <x:c r="O15" s="25" t="n">
        <x:v>0.7</x:v>
      </x:c>
      <x:c r="P15" s="24" t="str">
        <x:v>LNG</x:v>
      </x:c>
      <x:c r="Q15" s="20" t="str">
        <x:v>Strong when source and repair path survive</x:v>
      </x:c>
    </x:row>
    <x:row r="16">
      <x:c r="A16" s="10" t="str">
        <x:v>IUA-60</x:v>
      </x:c>
      <x:c r="B16" s="10" t="str">
        <x:v>Imported water + diesel bridge</x:v>
      </x:c>
      <x:c r="C16" s="24" t="n">
        <x:v>12</x:v>
      </x:c>
      <x:c r="D16" s="24" t="n">
        <x:v>5000</x:v>
      </x:c>
      <x:c r="E16" s="24" t="n">
        <x:v>1</x:v>
      </x:c>
      <x:c r="F16" s="24" t="n">
        <x:v>999</x:v>
      </x:c>
      <x:c r="G16" s="25" t="n">
        <x:v>0.55</x:v>
      </x:c>
      <x:c r="H16" s="24" t="n">
        <x:v>8</x:v>
      </x:c>
      <x:c r="I16" s="24" t="n">
        <x:v>1.2</x:v>
      </x:c>
      <x:c r="J16" s="24" t="n">
        <x:v>0.15</x:v>
      </x:c>
      <x:c r="K16" s="24" t="n">
        <x:v>0.05</x:v>
      </x:c>
      <x:c r="L16" s="24" t="n">
        <x:v>0.2</x:v>
      </x:c>
      <x:c r="M16" s="24" t="n">
        <x:v>60</x:v>
      </x:c>
      <x:c r="N16" s="24" t="n">
        <x:v>0</x:v>
      </x:c>
      <x:c r="O16" s="25" t="n">
        <x:v>0.05</x:v>
      </x:c>
      <x:c r="P16" s="24" t="str">
        <x:v>Diesel</x:v>
      </x:c>
      <x:c r="Q16" s="10" t="str">
        <x:v>Bridge only; port throughput sensitive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44" hidden="0" customWidth="1"/>
  </x:cols>
  <x:sheetData>
    <x:row r="1" ht="28" customHeight="1">
      <x:c r="A1" s="44" t="str">
        <x:v>Constraint Screen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20" customHeight="1">
      <x:c r="A2" s="46" t="str">
        <x:v>A constraint cannot be compensated by unrelated strength. PASS means only that the declared workbook threshold is met.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 ht="26" customHeight="1">
      <x:c r="A4" s="50" t="str">
        <x:v>Node</x:v>
      </x:c>
      <x:c r="B4" s="50" t="str">
        <x:v>Architecture</x:v>
      </x:c>
      <x:c r="C4" s="50" t="str">
        <x:v>Power margin MW</x:v>
      </x:c>
      <x:c r="D4" s="50" t="str">
        <x:v>Power</x:v>
      </x:c>
      <x:c r="E4" s="50" t="str">
        <x:v>Water margin m³/d</x:v>
      </x:c>
      <x:c r="F4" s="50" t="str">
        <x:v>Water</x:v>
      </x:c>
      <x:c r="G4" s="50" t="str">
        <x:v>First service</x:v>
      </x:c>
      <x:c r="H4" s="50" t="str">
        <x:v>Conditional availability</x:v>
      </x:c>
      <x:c r="I4" s="50" t="str">
        <x:v>Full mission</x:v>
      </x:c>
      <x:c r="J4" s="50" t="str">
        <x:v>Research disposition</x:v>
      </x:c>
    </x:row>
    <x:row r="5">
      <x:c r="A5" s="51" t="str">
        <x:f>'Architecture Options'!A5</x:f>
        <x:v>RUA-300</x:v>
      </x:c>
      <x:c r="B5" s="51" t="str">
        <x:f>'Architecture Options'!B5</x:f>
        <x:v>Segmented floating nuclear</x:v>
      </x:c>
      <x:c r="C5" s="55" t="n">
        <x:f>'Architecture Options'!C5-'Node Requirements'!B10</x:f>
        <x:v>235.89375</x:v>
      </x:c>
      <x:c r="D5" s="54" t="str">
        <x:f>IF(C5&gt;=0,"PASS","FAIL")</x:f>
        <x:v>PASS</x:v>
      </x:c>
      <x:c r="E5" s="56" t="n">
        <x:f>'Architecture Options'!D5-'Node Requirements'!B6</x:f>
        <x:v>0</x:v>
      </x:c>
      <x:c r="F5" s="54" t="str">
        <x:f>IF(E5&gt;=0,"PASS","FAIL")</x:f>
        <x:v>PASS</x:v>
      </x:c>
      <x:c r="G5" s="54" t="str">
        <x:f>IF('Architecture Options'!E5&lt;=21,"PASS","CONDITIONAL")</x:f>
        <x:v>PASS</x:v>
      </x:c>
      <x:c r="H5" s="54" t="str">
        <x:f>IF('Architecture Options'!G5&gt;=0.8,"PASS","CONDITIONAL")</x:f>
        <x:v>PASS</x:v>
      </x:c>
      <x:c r="I5" s="54" t="str">
        <x:f>IF(AND(D5="PASS",F5="PASS",'Architecture Options'!F5&lt;999),"PASS","FAIL")</x:f>
        <x:v>PASS</x:v>
      </x:c>
      <x:c r="J5" s="54" t="str">
        <x:f>IF(I5="FAIL","Bridge or partial service only",IF(AND(D5="PASS",F5="PASS",G5="PASS"),"Retain for site evidence","Retain conditionally"))</x:f>
        <x:v>Retain for site evidence</x:v>
      </x:c>
    </x:row>
    <x:row r="6">
      <x:c r="A6" s="54" t="str">
        <x:f>'Architecture Options'!A6</x:f>
        <x:v>RUA-300</x:v>
      </x:c>
      <x:c r="B6" s="54" t="str">
        <x:f>'Architecture Options'!B6</x:f>
        <x:v>Prelicensed shore nuclear</x:v>
      </x:c>
      <x:c r="C6" s="55" t="n">
        <x:f>'Architecture Options'!C6-'Node Requirements'!B10</x:f>
        <x:v>39.09375</x:v>
      </x:c>
      <x:c r="D6" s="54" t="str">
        <x:f>IF(C6&gt;=0,"PASS","FAIL")</x:f>
        <x:v>PASS</x:v>
      </x:c>
      <x:c r="E6" s="56" t="n">
        <x:f>'Architecture Options'!D6-'Node Requirements'!B6</x:f>
        <x:v>0</x:v>
      </x:c>
      <x:c r="F6" s="54" t="str">
        <x:f>IF(E6&gt;=0,"PASS","FAIL")</x:f>
        <x:v>PASS</x:v>
      </x:c>
      <x:c r="G6" s="54" t="str">
        <x:f>IF('Architecture Options'!E6&lt;=21,"PASS","CONDITIONAL")</x:f>
        <x:v>PASS</x:v>
      </x:c>
      <x:c r="H6" s="54" t="str">
        <x:f>IF('Architecture Options'!G6&gt;=0.8,"PASS","CONDITIONAL")</x:f>
        <x:v>CONDITIONAL</x:v>
      </x:c>
      <x:c r="I6" s="54" t="str">
        <x:f>IF(AND(D6="PASS",F6="PASS",'Architecture Options'!F6&lt;999),"PASS","FAIL")</x:f>
        <x:v>PASS</x:v>
      </x:c>
      <x:c r="J6" s="54" t="str">
        <x:f>IF(I6="FAIL","Bridge or partial service only",IF(AND(D6="PASS",F6="PASS",G6="PASS"),"Retain for site evidence","Retain conditionally"))</x:f>
        <x:v>Retain for site evidence</x:v>
      </x:c>
    </x:row>
    <x:row r="7">
      <x:c r="A7" s="51" t="str">
        <x:f>'Architecture Options'!A7</x:f>
        <x:v>RUA-300</x:v>
      </x:c>
      <x:c r="B7" s="51" t="str">
        <x:f>'Architecture Options'!B7</x:f>
        <x:v>LNG utility flotilla</x:v>
      </x:c>
      <x:c r="C7" s="55" t="n">
        <x:f>'Architecture Options'!C7-'Node Requirements'!B10</x:f>
        <x:v>39.09375</x:v>
      </x:c>
      <x:c r="D7" s="54" t="str">
        <x:f>IF(C7&gt;=0,"PASS","FAIL")</x:f>
        <x:v>PASS</x:v>
      </x:c>
      <x:c r="E7" s="56" t="n">
        <x:f>'Architecture Options'!D7-'Node Requirements'!B6</x:f>
        <x:v>0</x:v>
      </x:c>
      <x:c r="F7" s="54" t="str">
        <x:f>IF(E7&gt;=0,"PASS","FAIL")</x:f>
        <x:v>PASS</x:v>
      </x:c>
      <x:c r="G7" s="54" t="str">
        <x:f>IF('Architecture Options'!E7&lt;=21,"PASS","CONDITIONAL")</x:f>
        <x:v>PASS</x:v>
      </x:c>
      <x:c r="H7" s="54" t="str">
        <x:f>IF('Architecture Options'!G7&gt;=0.8,"PASS","CONDITIONAL")</x:f>
        <x:v>PASS</x:v>
      </x:c>
      <x:c r="I7" s="54" t="str">
        <x:f>IF(AND(D7="PASS",F7="PASS",'Architecture Options'!F7&lt;999),"PASS","FAIL")</x:f>
        <x:v>PASS</x:v>
      </x:c>
      <x:c r="J7" s="54" t="str">
        <x:f>IF(I7="FAIL","Bridge or partial service only",IF(AND(D7="PASS",F7="PASS",G7="PASS"),"Retain for site evidence","Retain conditionally"))</x:f>
        <x:v>Retain for site evidence</x:v>
      </x:c>
    </x:row>
    <x:row r="8">
      <x:c r="A8" s="54" t="str">
        <x:f>'Architecture Options'!A8</x:f>
        <x:v>RUA-300</x:v>
      </x:c>
      <x:c r="B8" s="54" t="str">
        <x:f>'Architecture Options'!B8</x:f>
        <x:v>Renewable + storage + firm</x:v>
      </x:c>
      <x:c r="C8" s="55" t="n">
        <x:f>'Architecture Options'!C8-'Node Requirements'!B10</x:f>
        <x:v>19.09375</x:v>
      </x:c>
      <x:c r="D8" s="54" t="str">
        <x:f>IF(C8&gt;=0,"PASS","FAIL")</x:f>
        <x:v>PASS</x:v>
      </x:c>
      <x:c r="E8" s="56" t="n">
        <x:f>'Architecture Options'!D8-'Node Requirements'!B6</x:f>
        <x:v>0</x:v>
      </x:c>
      <x:c r="F8" s="54" t="str">
        <x:f>IF(E8&gt;=0,"PASS","FAIL")</x:f>
        <x:v>PASS</x:v>
      </x:c>
      <x:c r="G8" s="54" t="str">
        <x:f>IF('Architecture Options'!E8&lt;=21,"PASS","CONDITIONAL")</x:f>
        <x:v>PASS</x:v>
      </x:c>
      <x:c r="H8" s="54" t="str">
        <x:f>IF('Architecture Options'!G8&gt;=0.8,"PASS","CONDITIONAL")</x:f>
        <x:v>PASS</x:v>
      </x:c>
      <x:c r="I8" s="54" t="str">
        <x:f>IF(AND(D8="PASS",F8="PASS",'Architecture Options'!F8&lt;999),"PASS","FAIL")</x:f>
        <x:v>PASS</x:v>
      </x:c>
      <x:c r="J8" s="54" t="str">
        <x:f>IF(I8="FAIL","Bridge or partial service only",IF(AND(D8="PASS",F8="PASS",G8="PASS"),"Retain for site evidence","Retain conditionally"))</x:f>
        <x:v>Retain for site evidence</x:v>
      </x:c>
    </x:row>
    <x:row r="9">
      <x:c r="A9" s="51" t="str">
        <x:f>'Architecture Options'!A9</x:f>
        <x:v>RUA-300</x:v>
      </x:c>
      <x:c r="B9" s="51" t="str">
        <x:f>'Architecture Options'!B9</x:f>
        <x:v>Water works + grid repair</x:v>
      </x:c>
      <x:c r="C9" s="55" t="n">
        <x:f>'Architecture Options'!C9-'Node Requirements'!B10</x:f>
        <x:v>-40.90625</x:v>
      </x:c>
      <x:c r="D9" s="54" t="str">
        <x:f>IF(C9&gt;=0,"PASS","FAIL")</x:f>
        <x:v>FAIL</x:v>
      </x:c>
      <x:c r="E9" s="56" t="n">
        <x:f>'Architecture Options'!D9-'Node Requirements'!B6</x:f>
        <x:v>0</x:v>
      </x:c>
      <x:c r="F9" s="54" t="str">
        <x:f>IF(E9&gt;=0,"PASS","FAIL")</x:f>
        <x:v>PASS</x:v>
      </x:c>
      <x:c r="G9" s="54" t="str">
        <x:f>IF('Architecture Options'!E9&lt;=21,"PASS","CONDITIONAL")</x:f>
        <x:v>PASS</x:v>
      </x:c>
      <x:c r="H9" s="54" t="str">
        <x:f>IF('Architecture Options'!G9&gt;=0.8,"PASS","CONDITIONAL")</x:f>
        <x:v>CONDITIONAL</x:v>
      </x:c>
      <x:c r="I9" s="54" t="str">
        <x:f>IF(AND(D9="PASS",F9="PASS",'Architecture Options'!F9&lt;999),"PASS","FAIL")</x:f>
        <x:v>FAIL</x:v>
      </x:c>
      <x:c r="J9" s="54" t="str">
        <x:f>IF(I9="FAIL","Bridge or partial service only",IF(AND(D9="PASS",F9="PASS",G9="PASS"),"Retain for site evidence","Retain conditionally"))</x:f>
        <x:v>Bridge or partial service only</x:v>
      </x:c>
    </x:row>
    <x:row r="10">
      <x:c r="A10" s="54" t="str">
        <x:f>'Architecture Options'!A10</x:f>
        <x:v>RUA-300</x:v>
      </x:c>
      <x:c r="B10" s="54" t="str">
        <x:f>'Architecture Options'!B10</x:f>
        <x:v>Imported water + diesel bridge</x:v>
      </x:c>
      <x:c r="C10" s="55" t="n">
        <x:f>'Architecture Options'!C10-'Node Requirements'!B10</x:f>
        <x:v>-180.90625</x:v>
      </x:c>
      <x:c r="D10" s="54" t="str">
        <x:f>IF(C10&gt;=0,"PASS","FAIL")</x:f>
        <x:v>FAIL</x:v>
      </x:c>
      <x:c r="E10" s="56" t="n">
        <x:f>'Architecture Options'!D10-'Node Requirements'!B6</x:f>
        <x:v>-130000</x:v>
      </x:c>
      <x:c r="F10" s="54" t="str">
        <x:f>IF(E10&gt;=0,"PASS","FAIL")</x:f>
        <x:v>FAIL</x:v>
      </x:c>
      <x:c r="G10" s="54" t="str">
        <x:f>IF('Architecture Options'!E10&lt;=21,"PASS","CONDITIONAL")</x:f>
        <x:v>PASS</x:v>
      </x:c>
      <x:c r="H10" s="54" t="str">
        <x:f>IF('Architecture Options'!G10&gt;=0.8,"PASS","CONDITIONAL")</x:f>
        <x:v>CONDITIONAL</x:v>
      </x:c>
      <x:c r="I10" s="54" t="str">
        <x:f>IF(AND(D10="PASS",F10="PASS",'Architecture Options'!F10&lt;999),"PASS","FAIL")</x:f>
        <x:v>FAIL</x:v>
      </x:c>
      <x:c r="J10" s="54" t="str">
        <x:f>IF(I10="FAIL","Bridge or partial service only",IF(AND(D10="PASS",F10="PASS",G10="PASS"),"Retain for site evidence","Retain conditionally"))</x:f>
        <x:v>Bridge or partial service only</x:v>
      </x:c>
    </x:row>
    <x:row r="11">
      <x:c r="A11" s="51" t="str">
        <x:f>'Architecture Options'!A11</x:f>
        <x:v>IUA-60</x:v>
      </x:c>
      <x:c r="B11" s="51" t="str">
        <x:f>'Architecture Options'!B11</x:f>
        <x:v>Segmented floating nuclear</x:v>
      </x:c>
      <x:c r="C11" s="55" t="n">
        <x:f>'Architecture Options'!C11-'Node Requirements'!C10</x:f>
        <x:v>11.05916666666667</x:v>
      </x:c>
      <x:c r="D11" s="54" t="str">
        <x:f>IF(C11&gt;=0,"PASS","FAIL")</x:f>
        <x:v>PASS</x:v>
      </x:c>
      <x:c r="E11" s="56" t="n">
        <x:f>'Architecture Options'!D11-'Node Requirements'!C6</x:f>
        <x:v>0</x:v>
      </x:c>
      <x:c r="F11" s="54" t="str">
        <x:f>IF(E11&gt;=0,"PASS","FAIL")</x:f>
        <x:v>PASS</x:v>
      </x:c>
      <x:c r="G11" s="54" t="str">
        <x:f>IF('Architecture Options'!E11&lt;=21,"PASS","CONDITIONAL")</x:f>
        <x:v>PASS</x:v>
      </x:c>
      <x:c r="H11" s="54" t="str">
        <x:f>IF('Architecture Options'!G11&gt;=0.8,"PASS","CONDITIONAL")</x:f>
        <x:v>PASS</x:v>
      </x:c>
      <x:c r="I11" s="54" t="str">
        <x:f>IF(AND(D11="PASS",F11="PASS",'Architecture Options'!F11&lt;999),"PASS","FAIL")</x:f>
        <x:v>PASS</x:v>
      </x:c>
      <x:c r="J11" s="54" t="str">
        <x:f>IF(I11="FAIL","Bridge or partial service only",IF(AND(D11="PASS",F11="PASS",G11="PASS"),"Retain for site evidence","Retain conditionally"))</x:f>
        <x:v>Retain for site evidence</x:v>
      </x:c>
    </x:row>
    <x:row r="12">
      <x:c r="A12" s="54" t="str">
        <x:f>'Architecture Options'!A12</x:f>
        <x:v>IUA-60</x:v>
      </x:c>
      <x:c r="B12" s="54" t="str">
        <x:f>'Architecture Options'!B12</x:f>
        <x:v>Prelicensed shore nuclear</x:v>
      </x:c>
      <x:c r="C12" s="55" t="n">
        <x:f>'Architecture Options'!C12-'Node Requirements'!C10</x:f>
        <x:v>11.37916666666667</x:v>
      </x:c>
      <x:c r="D12" s="54" t="str">
        <x:f>IF(C12&gt;=0,"PASS","FAIL")</x:f>
        <x:v>PASS</x:v>
      </x:c>
      <x:c r="E12" s="56" t="n">
        <x:f>'Architecture Options'!D12-'Node Requirements'!C6</x:f>
        <x:v>0</x:v>
      </x:c>
      <x:c r="F12" s="54" t="str">
        <x:f>IF(E12&gt;=0,"PASS","FAIL")</x:f>
        <x:v>PASS</x:v>
      </x:c>
      <x:c r="G12" s="54" t="str">
        <x:f>IF('Architecture Options'!E12&lt;=21,"PASS","CONDITIONAL")</x:f>
        <x:v>PASS</x:v>
      </x:c>
      <x:c r="H12" s="54" t="str">
        <x:f>IF('Architecture Options'!G12&gt;=0.8,"PASS","CONDITIONAL")</x:f>
        <x:v>CONDITIONAL</x:v>
      </x:c>
      <x:c r="I12" s="54" t="str">
        <x:f>IF(AND(D12="PASS",F12="PASS",'Architecture Options'!F12&lt;999),"PASS","FAIL")</x:f>
        <x:v>PASS</x:v>
      </x:c>
      <x:c r="J12" s="54" t="str">
        <x:f>IF(I12="FAIL","Bridge or partial service only",IF(AND(D12="PASS",F12="PASS",G12="PASS"),"Retain for site evidence","Retain conditionally"))</x:f>
        <x:v>Retain for site evidence</x:v>
      </x:c>
    </x:row>
    <x:row r="13">
      <x:c r="A13" s="51" t="str">
        <x:f>'Architecture Options'!A13</x:f>
        <x:v>IUA-60</x:v>
      </x:c>
      <x:c r="B13" s="51" t="str">
        <x:f>'Architecture Options'!B13</x:f>
        <x:v>LNG utility flotilla</x:v>
      </x:c>
      <x:c r="C13" s="55" t="n">
        <x:f>'Architecture Options'!C13-'Node Requirements'!C10</x:f>
        <x:v>6.37916666666667</x:v>
      </x:c>
      <x:c r="D13" s="54" t="str">
        <x:f>IF(C13&gt;=0,"PASS","FAIL")</x:f>
        <x:v>PASS</x:v>
      </x:c>
      <x:c r="E13" s="56" t="n">
        <x:f>'Architecture Options'!D13-'Node Requirements'!C6</x:f>
        <x:v>0</x:v>
      </x:c>
      <x:c r="F13" s="54" t="str">
        <x:f>IF(E13&gt;=0,"PASS","FAIL")</x:f>
        <x:v>PASS</x:v>
      </x:c>
      <x:c r="G13" s="54" t="str">
        <x:f>IF('Architecture Options'!E13&lt;=21,"PASS","CONDITIONAL")</x:f>
        <x:v>PASS</x:v>
      </x:c>
      <x:c r="H13" s="54" t="str">
        <x:f>IF('Architecture Options'!G13&gt;=0.8,"PASS","CONDITIONAL")</x:f>
        <x:v>CONDITIONAL</x:v>
      </x:c>
      <x:c r="I13" s="54" t="str">
        <x:f>IF(AND(D13="PASS",F13="PASS",'Architecture Options'!F13&lt;999),"PASS","FAIL")</x:f>
        <x:v>PASS</x:v>
      </x:c>
      <x:c r="J13" s="54" t="str">
        <x:f>IF(I13="FAIL","Bridge or partial service only",IF(AND(D13="PASS",F13="PASS",G13="PASS"),"Retain for site evidence","Retain conditionally"))</x:f>
        <x:v>Retain for site evidence</x:v>
      </x:c>
    </x:row>
    <x:row r="14">
      <x:c r="A14" s="54" t="str">
        <x:f>'Architecture Options'!A14</x:f>
        <x:v>IUA-60</x:v>
      </x:c>
      <x:c r="B14" s="54" t="str">
        <x:f>'Architecture Options'!B14</x:f>
        <x:v>Renewable + storage + firm</x:v>
      </x:c>
      <x:c r="C14" s="55" t="n">
        <x:f>'Architecture Options'!C14-'Node Requirements'!C10</x:f>
        <x:v>3.37916666666667</x:v>
      </x:c>
      <x:c r="D14" s="54" t="str">
        <x:f>IF(C14&gt;=0,"PASS","FAIL")</x:f>
        <x:v>PASS</x:v>
      </x:c>
      <x:c r="E14" s="56" t="n">
        <x:f>'Architecture Options'!D14-'Node Requirements'!C6</x:f>
        <x:v>0</x:v>
      </x:c>
      <x:c r="F14" s="54" t="str">
        <x:f>IF(E14&gt;=0,"PASS","FAIL")</x:f>
        <x:v>PASS</x:v>
      </x:c>
      <x:c r="G14" s="54" t="str">
        <x:f>IF('Architecture Options'!E14&lt;=21,"PASS","CONDITIONAL")</x:f>
        <x:v>PASS</x:v>
      </x:c>
      <x:c r="H14" s="54" t="str">
        <x:f>IF('Architecture Options'!G14&gt;=0.8,"PASS","CONDITIONAL")</x:f>
        <x:v>PASS</x:v>
      </x:c>
      <x:c r="I14" s="54" t="str">
        <x:f>IF(AND(D14="PASS",F14="PASS",'Architecture Options'!F14&lt;999),"PASS","FAIL")</x:f>
        <x:v>PASS</x:v>
      </x:c>
      <x:c r="J14" s="54" t="str">
        <x:f>IF(I14="FAIL","Bridge or partial service only",IF(AND(D14="PASS",F14="PASS",G14="PASS"),"Retain for site evidence","Retain conditionally"))</x:f>
        <x:v>Retain for site evidence</x:v>
      </x:c>
    </x:row>
    <x:row r="15">
      <x:c r="A15" s="51" t="str">
        <x:f>'Architecture Options'!A15</x:f>
        <x:v>IUA-60</x:v>
      </x:c>
      <x:c r="B15" s="51" t="str">
        <x:f>'Architecture Options'!B15</x:f>
        <x:v>Water works + grid repair</x:v>
      </x:c>
      <x:c r="C15" s="55" t="n">
        <x:f>'Architecture Options'!C15-'Node Requirements'!C10</x:f>
        <x:v>6.37916666666667</x:v>
      </x:c>
      <x:c r="D15" s="54" t="str">
        <x:f>IF(C15&gt;=0,"PASS","FAIL")</x:f>
        <x:v>PASS</x:v>
      </x:c>
      <x:c r="E15" s="56" t="n">
        <x:f>'Architecture Options'!D15-'Node Requirements'!C6</x:f>
        <x:v>0</x:v>
      </x:c>
      <x:c r="F15" s="54" t="str">
        <x:f>IF(E15&gt;=0,"PASS","FAIL")</x:f>
        <x:v>PASS</x:v>
      </x:c>
      <x:c r="G15" s="54" t="str">
        <x:f>IF('Architecture Options'!E15&lt;=21,"PASS","CONDITIONAL")</x:f>
        <x:v>PASS</x:v>
      </x:c>
      <x:c r="H15" s="54" t="str">
        <x:f>IF('Architecture Options'!G15&gt;=0.8,"PASS","CONDITIONAL")</x:f>
        <x:v>CONDITIONAL</x:v>
      </x:c>
      <x:c r="I15" s="54" t="str">
        <x:f>IF(AND(D15="PASS",F15="PASS",'Architecture Options'!F15&lt;999),"PASS","FAIL")</x:f>
        <x:v>PASS</x:v>
      </x:c>
      <x:c r="J15" s="54" t="str">
        <x:f>IF(I15="FAIL","Bridge or partial service only",IF(AND(D15="PASS",F15="PASS",G15="PASS"),"Retain for site evidence","Retain conditionally"))</x:f>
        <x:v>Retain for site evidence</x:v>
      </x:c>
    </x:row>
    <x:row r="16">
      <x:c r="A16" s="54" t="str">
        <x:f>'Architecture Options'!A16</x:f>
        <x:v>IUA-60</x:v>
      </x:c>
      <x:c r="B16" s="54" t="str">
        <x:f>'Architecture Options'!B16</x:f>
        <x:v>Imported water + diesel bridge</x:v>
      </x:c>
      <x:c r="C16" s="55" t="n">
        <x:f>'Architecture Options'!C16-'Node Requirements'!C10</x:f>
        <x:v>-26.62083333333333</x:v>
      </x:c>
      <x:c r="D16" s="54" t="str">
        <x:f>IF(C16&gt;=0,"PASS","FAIL")</x:f>
        <x:v>FAIL</x:v>
      </x:c>
      <x:c r="E16" s="56" t="n">
        <x:f>'Architecture Options'!D16-'Node Requirements'!C6</x:f>
        <x:v>-15000</x:v>
      </x:c>
      <x:c r="F16" s="54" t="str">
        <x:f>IF(E16&gt;=0,"PASS","FAIL")</x:f>
        <x:v>FAIL</x:v>
      </x:c>
      <x:c r="G16" s="54" t="str">
        <x:f>IF('Architecture Options'!E16&lt;=21,"PASS","CONDITIONAL")</x:f>
        <x:v>PASS</x:v>
      </x:c>
      <x:c r="H16" s="54" t="str">
        <x:f>IF('Architecture Options'!G16&gt;=0.8,"PASS","CONDITIONAL")</x:f>
        <x:v>CONDITIONAL</x:v>
      </x:c>
      <x:c r="I16" s="54" t="str">
        <x:f>IF(AND(D16="PASS",F16="PASS",'Architecture Options'!F16&lt;999),"PASS","FAIL")</x:f>
        <x:v>FAIL</x:v>
      </x:c>
      <x:c r="J16" s="54" t="str">
        <x:f>IF(I16="FAIL","Bridge or partial service only",IF(AND(D16="PASS",F16="PASS",G16="PASS"),"Retain for site evidence","Retain conditionally"))</x:f>
        <x:v>Bridge or partial service only</x:v>
      </x:c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</x:row>
    <x:row r="19">
      <x:c r="A19" s="48" t="str">
        <x:v>Interpretation</x:v>
      </x:c>
      <x:c r="B19" s="49"/>
      <x:c r="C19" s="49"/>
      <x:c r="D19" s="49"/>
      <x:c r="E19" s="49"/>
      <x:c r="F19" s="49"/>
      <x:c r="G19" s="49"/>
      <x:c r="H19" s="49"/>
      <x:c r="I19" s="49"/>
      <x:c r="J19" s="49"/>
    </x:row>
    <x:row r="20">
      <x:c r="A20" s="10" t="str">
        <x:v>No winner is declared.</x:v>
      </x:c>
      <x:c r="B20" s="10" t="str">
        <x:v>The model shows which alternatives can nominally close capacity and timing under stated assumptions. Site safety, common-mode survival, environmental authorization, workforce, and independent cost evidence remain veto gates.</x:v>
      </x:c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10" t="str">
        <x:v>Regional discontinuity</x:v>
      </x:c>
      <x:c r="B21" s="10" t="str">
        <x:v>One NEC-300 sustained core is below the RUA-300 protected-bus requirement; two cores or hybrid support are required.</x:v>
      </x:c>
      <x:c r="C21" s="47"/>
      <x:c r="D21" s="47"/>
      <x:c r="E21" s="47"/>
      <x:c r="F21" s="47"/>
      <x:c r="G21" s="47"/>
      <x:c r="H21" s="47"/>
      <x:c r="I21" s="47"/>
      <x:c r="J21" s="47"/>
    </x:row>
    <x:row r="22">
      <x:c r="A22" s="10" t="str">
        <x:v>Island discontinuity</x:v>
      </x:c>
      <x:c r="B22" s="10" t="str">
        <x:v>A 300 MWe core is rejected by scale. The NEC-60 is a newly exposed development need, not an available product.</x:v>
      </x:c>
      <x:c r="C22" s="47"/>
      <x:c r="D22" s="47"/>
      <x:c r="E22" s="47"/>
      <x:c r="F22" s="47"/>
      <x:c r="G22" s="47"/>
      <x:c r="H22" s="47"/>
      <x:c r="I22" s="47"/>
      <x:c r="J22" s="47"/>
    </x:row>
  </x:sheetData>
  <x:conditionalFormatting sqref="D5:I16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OPEN"/>
    <x:cfRule type="containsText" dxfId="7" priority="4" operator="containsText" text="CONDITIONA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6" hidden="0" customWidth="1"/>
    <x:col min="5" max="5" width="62" hidden="0" customWidth="1"/>
  </x:cols>
  <x:sheetData>
    <x:row r="1" ht="28" customHeight="1">
      <x:c r="A1" s="44" t="str">
        <x:v>Energy Sizing</x:v>
      </x:c>
      <x:c r="B1" s="45"/>
      <x:c r="C1" s="45"/>
      <x:c r="D1" s="45"/>
      <x:c r="E1" s="45"/>
    </x:row>
    <x:row r="2" ht="20" customHeight="1">
      <x:c r="A2" s="46" t="str">
        <x:v>The receiving-system requirement determines core count and reveals the need for a platform family.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Balance</x:v>
      </x:c>
      <x:c r="B4" s="50" t="str">
        <x:v>RUA-300 estuary</x:v>
      </x:c>
      <x:c r="C4" s="50" t="str">
        <x:v>IUA-60 island</x:v>
      </x:c>
      <x:c r="D4" s="50" t="str">
        <x:v>Unit</x:v>
      </x:c>
      <x:c r="E4" s="50" t="str">
        <x:v>Interpretation</x:v>
      </x:c>
    </x:row>
    <x:row r="5">
      <x:c r="A5" s="20" t="str">
        <x:v>Protected-bus requirement</x:v>
      </x:c>
      <x:c r="B5" s="22" t="n">
        <x:f>'Node Requirements'!B10</x:f>
        <x:v>260.90625</x:v>
      </x:c>
      <x:c r="C5" s="22" t="n">
        <x:f>'Node Requirements'!C10</x:f>
        <x:v>38.62083333333333</x:v>
      </x:c>
      <x:c r="D5" s="20" t="str">
        <x:v>MW</x:v>
      </x:c>
      <x:c r="E5" s="20" t="str">
        <x:v>From Node Requirements</x:v>
      </x:c>
    </x:row>
    <x:row r="6">
      <x:c r="A6" s="10" t="str">
        <x:v>Gross required at source</x:v>
      </x:c>
      <x:c r="B6" s="22" t="n">
        <x:f>B5/((1-Controls!B8)*(1-Controls!B9))</x:f>
        <x:v>315.10416666666663</x:v>
      </x:c>
      <x:c r="C6" s="22" t="n">
        <x:f>C5/((1-Controls!C8)*(1-Controls!C9))</x:f>
        <x:v>46.64351851851851</x:v>
      </x:c>
      <x:c r="D6" s="10" t="str">
        <x:v>MWe</x:v>
      </x:c>
      <x:c r="E6" s="10" t="str">
        <x:v>Bus ÷ station-service and derate factors</x:v>
      </x:c>
    </x:row>
    <x:row r="7">
      <x:c r="A7" s="20" t="str">
        <x:v>Candidate core gross</x:v>
      </x:c>
      <x:c r="B7" s="22" t="n">
        <x:f>Controls!B29</x:f>
        <x:v>300</x:v>
      </x:c>
      <x:c r="C7" s="22" t="n">
        <x:f>Controls!C29</x:f>
        <x:v>60</x:v>
      </x:c>
      <x:c r="D7" s="20" t="str">
        <x:v>MWe</x:v>
      </x:c>
      <x:c r="E7" s="20" t="str">
        <x:v>From Controls</x:v>
      </x:c>
    </x:row>
    <x:row r="8">
      <x:c r="A8" s="10" t="str">
        <x:v>Single-core sustained</x:v>
      </x:c>
      <x:c r="B8" s="22" t="n">
        <x:f>B7*(1-Controls!B8)*(1-Controls!B9)</x:f>
        <x:v>248.4</x:v>
      </x:c>
      <x:c r="C8" s="22" t="n">
        <x:f>C7*(1-Controls!C8)*(1-Controls!C9)</x:f>
        <x:v>49.68000000000001</x:v>
      </x:c>
      <x:c r="D8" s="10" t="str">
        <x:v>MW</x:v>
      </x:c>
      <x:c r="E8" s="10" t="str">
        <x:v>Candidate after factors</x:v>
      </x:c>
    </x:row>
    <x:row r="9">
      <x:c r="A9" s="20" t="str">
        <x:v>Whole cores required</x:v>
      </x:c>
      <x:c r="B9" s="22" t="n">
        <x:f>ROUNDUP(B5/B8,0)</x:f>
        <x:v>2</x:v>
      </x:c>
      <x:c r="C9" s="22" t="n">
        <x:f>ROUNDUP(C5/C8,0)</x:f>
        <x:v>1</x:v>
      </x:c>
      <x:c r="D9" s="20" t="str">
        <x:v>count</x:v>
      </x:c>
      <x:c r="E9" s="20" t="str">
        <x:v>Round up, no fractional reactor credit</x:v>
      </x:c>
    </x:row>
    <x:row r="10">
      <x:c r="A10" s="10" t="str">
        <x:v>Reference installed cores</x:v>
      </x:c>
      <x:c r="B10" s="22" t="n">
        <x:f>Controls!B30</x:f>
        <x:v>2</x:v>
      </x:c>
      <x:c r="C10" s="22" t="n">
        <x:f>Controls!C30</x:f>
        <x:v>1</x:v>
      </x:c>
      <x:c r="D10" s="10" t="str">
        <x:v>count</x:v>
      </x:c>
      <x:c r="E10" s="10" t="str">
        <x:v>From Controls</x:v>
      </x:c>
    </x:row>
    <x:row r="11">
      <x:c r="A11" s="20" t="str">
        <x:v>Installed sustained</x:v>
      </x:c>
      <x:c r="B11" s="22" t="n">
        <x:f>B8*B10</x:f>
        <x:v>496.8</x:v>
      </x:c>
      <x:c r="C11" s="22" t="n">
        <x:f>C8*C10</x:f>
        <x:v>49.68000000000001</x:v>
      </x:c>
      <x:c r="D11" s="20" t="str">
        <x:v>MW</x:v>
      </x:c>
      <x:c r="E11" s="20" t="str">
        <x:v>Reference core count</x:v>
      </x:c>
    </x:row>
    <x:row r="12">
      <x:c r="A12" s="10" t="str">
        <x:v>Sustained margin</x:v>
      </x:c>
      <x:c r="B12" s="22" t="n">
        <x:f>B11-B5</x:f>
        <x:v>235.89375</x:v>
      </x:c>
      <x:c r="C12" s="22" t="n">
        <x:f>C11-C5</x:f>
        <x:v>11.059166666666677</x:v>
      </x:c>
      <x:c r="D12" s="10" t="str">
        <x:v>MW</x:v>
      </x:c>
      <x:c r="E12" s="10" t="str">
        <x:v>Installed − required</x:v>
      </x:c>
    </x:row>
    <x:row r="13">
      <x:c r="A13" s="20" t="str">
        <x:v>One-core margin</x:v>
      </x:c>
      <x:c r="B13" s="22" t="n">
        <x:f>B8-B5</x:f>
        <x:v>-12.506249999999994</x:v>
      </x:c>
      <x:c r="C13" s="22" t="n">
        <x:f>C8-C5</x:f>
        <x:v>11.059166666666677</x:v>
      </x:c>
      <x:c r="D13" s="20" t="str">
        <x:v>MW</x:v>
      </x:c>
      <x:c r="E13" s="20" t="str">
        <x:v>Exposes regional discontinuity</x:v>
      </x:c>
    </x:row>
    <x:row r="14">
      <x:c r="A14" s="10" t="str">
        <x:v>Class implication</x:v>
      </x:c>
      <x:c r="B14" s="12" t="str">
        <x:f>IF(B9&gt;1,"Multiple NEC-300 cores or hybrid support","One NEC-300 core")</x:f>
        <x:v>Multiple NEC-300 cores or hybrid support</x:v>
      </x:c>
      <x:c r="C14" s="12" t="str">
        <x:f>IF(C7&gt;100,"Reject oversized core","Develop NEC-60 scale class")</x:f>
        <x:v>Develop NEC-60 scale class</x:v>
      </x:c>
      <x:c r="D14" s="10" t="str">
        <x:v>text</x:v>
      </x:c>
      <x:c r="E14" s="10" t="str">
        <x:v>Requirement result, not technology selection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  <x:col min="5" max="5" width="63" hidden="0" customWidth="1"/>
  </x:cols>
  <x:sheetData>
    <x:row r="1" ht="28" customHeight="1">
      <x:c r="A1" s="44" t="str">
        <x:v>Water and Corridor Balance</x:v>
      </x:c>
      <x:c r="B1" s="45"/>
      <x:c r="C1" s="45"/>
      <x:c r="D1" s="45"/>
      <x:c r="E1" s="45"/>
    </x:row>
    <x:row r="2" ht="20" customHeight="1">
      <x:c r="A2" s="46" t="str">
        <x:v>Pipe mass, terrain, and pressure reveal why distribution—not membrane nameplate—often binds.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Balance</x:v>
      </x:c>
      <x:c r="B4" s="50" t="str">
        <x:v>RUA-300 estuary</x:v>
      </x:c>
      <x:c r="C4" s="50" t="str">
        <x:v>IUA-60 island</x:v>
      </x:c>
      <x:c r="D4" s="50" t="str">
        <x:v>Unit</x:v>
      </x:c>
      <x:c r="E4" s="50" t="str">
        <x:v>Interpretation</x:v>
      </x:c>
    </x:row>
    <x:row r="5">
      <x:c r="A5" s="20" t="str">
        <x:v>Product flow</x:v>
      </x:c>
      <x:c r="B5" s="33" t="n">
        <x:f>Controls!B27/86400</x:f>
        <x:v>1.7361111111111112</x:v>
      </x:c>
      <x:c r="C5" s="33" t="n">
        <x:f>Controls!C27/86400</x:f>
        <x:v>0.23148148148148148</x:v>
      </x:c>
      <x:c r="D5" s="20" t="str">
        <x:v>m³/s</x:v>
      </x:c>
      <x:c r="E5" s="20" t="str">
        <x:v>Product/day ÷ 86,400</x:v>
      </x:c>
    </x:row>
    <x:row r="6">
      <x:c r="A6" s="10" t="str">
        <x:v>Feed flow</x:v>
      </x:c>
      <x:c r="B6" s="33" t="n">
        <x:f>Controls!B27/Controls!B5</x:f>
        <x:v>333333.3333333333</x:v>
      </x:c>
      <x:c r="C6" s="33" t="n">
        <x:f>Controls!C27/Controls!C5</x:f>
        <x:v>44444.444444444445</x:v>
      </x:c>
      <x:c r="D6" s="10" t="str">
        <x:v>m³/day</x:v>
      </x:c>
      <x:c r="E6" s="10" t="str">
        <x:v>Product ÷ recovery</x:v>
      </x:c>
    </x:row>
    <x:row r="7">
      <x:c r="A7" s="20" t="str">
        <x:v>Concentrate flow</x:v>
      </x:c>
      <x:c r="B7" s="33" t="n">
        <x:f>B6-Controls!B27</x:f>
        <x:v>183333.3333333333</x:v>
      </x:c>
      <x:c r="C7" s="33" t="n">
        <x:f>C6-Controls!C27</x:f>
        <x:v>24444.444444444445</x:v>
      </x:c>
      <x:c r="D7" s="20" t="str">
        <x:v>m³/day</x:v>
      </x:c>
      <x:c r="E7" s="20" t="str">
        <x:v>Feed − product</x:v>
      </x:c>
    </x:row>
    <x:row r="8">
      <x:c r="A8" s="10" t="str">
        <x:v>Flow per trunk</x:v>
      </x:c>
      <x:c r="B8" s="33" t="n">
        <x:f>B5/Controls!B25</x:f>
        <x:v>0.8680555555555556</x:v>
      </x:c>
      <x:c r="C8" s="33" t="n">
        <x:f>C5/Controls!C25</x:f>
        <x:v>0.23148148148148148</x:v>
      </x:c>
      <x:c r="D8" s="10" t="str">
        <x:v>m³/s</x:v>
      </x:c>
      <x:c r="E8" s="10" t="str">
        <x:v>Product flow ÷ active lines</x:v>
      </x:c>
    </x:row>
    <x:row r="9">
      <x:c r="A9" s="20" t="str">
        <x:v>Required internal diameter</x:v>
      </x:c>
      <x:c r="B9" s="33" t="n">
        <x:f>SQRT(4*B8/(PI()*Controls!B20))</x:f>
        <x:v>0.743385048396988</x:v>
      </x:c>
      <x:c r="C9" s="33" t="n">
        <x:f>SQRT(4*C8/(PI()*Controls!C20))</x:f>
        <x:v>0.44326920044603635</x:v>
      </x:c>
      <x:c r="D9" s="20" t="str">
        <x:v>m</x:v>
      </x:c>
      <x:c r="E9" s="20" t="str">
        <x:v>From design velocity</x:v>
      </x:c>
    </x:row>
    <x:row r="10">
      <x:c r="A10" s="10" t="str">
        <x:v>Illustrative outside diameter</x:v>
      </x:c>
      <x:c r="B10" s="33" t="n">
        <x:f>Controls!B21</x:f>
        <x:v>0.9</x:v>
      </x:c>
      <x:c r="C10" s="33" t="n">
        <x:f>Controls!C21</x:f>
        <x:v>0.56</x:v>
      </x:c>
      <x:c r="D10" s="10" t="str">
        <x:v>m</x:v>
      </x:c>
      <x:c r="E10" s="10" t="str">
        <x:v>Control input</x:v>
      </x:c>
    </x:row>
    <x:row r="11">
      <x:c r="A11" s="20" t="str">
        <x:v>Wall thickness</x:v>
      </x:c>
      <x:c r="B11" s="33" t="n">
        <x:f>B10/Controls!B22</x:f>
        <x:v>0.052941176470588235</x:v>
      </x:c>
      <x:c r="C11" s="33" t="n">
        <x:f>C10/Controls!C22</x:f>
        <x:v>0.03294117647058824</x:v>
      </x:c>
      <x:c r="D11" s="20" t="str">
        <x:v>m</x:v>
      </x:c>
      <x:c r="E11" s="20" t="str">
        <x:v>OD ÷ DR</x:v>
      </x:c>
    </x:row>
    <x:row r="12">
      <x:c r="A12" s="10" t="str">
        <x:v>Actual internal diameter</x:v>
      </x:c>
      <x:c r="B12" s="33" t="n">
        <x:f>B10-2*B11</x:f>
        <x:v>0.7941176470588236</x:v>
      </x:c>
      <x:c r="C12" s="33" t="n">
        <x:f>C10-2*C11</x:f>
        <x:v>0.49411764705882355</x:v>
      </x:c>
      <x:c r="D12" s="10" t="str">
        <x:v>m</x:v>
      </x:c>
      <x:c r="E12" s="10" t="str">
        <x:v>OD − 2 wall</x:v>
      </x:c>
    </x:row>
    <x:row r="13">
      <x:c r="A13" s="20" t="str">
        <x:v>Actual velocity</x:v>
      </x:c>
      <x:c r="B13" s="33" t="n">
        <x:f>B8/(PI()*B12^2/4)</x:f>
        <x:v>1.7526207343986342</x:v>
      </x:c>
      <x:c r="C13" s="33" t="n">
        <x:f>C8/(PI()*C12^2/4)</x:f>
        <x:v>1.2071622405296714</x:v>
      </x:c>
      <x:c r="D13" s="20" t="str">
        <x:v>m/s</x:v>
      </x:c>
      <x:c r="E13" s="20" t="str">
        <x:v>Flow / actual area</x:v>
      </x:c>
    </x:row>
    <x:row r="14">
      <x:c r="A14" s="10" t="str">
        <x:v>Pipe linear mass</x:v>
      </x:c>
      <x:c r="B14" s="33" t="n">
        <x:f>PI()/4*(B10^2-B12^2)*Controls!B14</x:f>
        <x:v>133.8383693806143</x:v>
      </x:c>
      <x:c r="C14" s="33" t="n">
        <x:f>PI()/4*(C10^2-C12^2)*Controls!C14</x:f>
        <x:v>51.816929182420566</x:v>
      </x:c>
      <x:c r="D14" s="10" t="str">
        <x:v>kg/m</x:v>
      </x:c>
      <x:c r="E14" s="10" t="str">
        <x:v>Polymer annulus × density</x:v>
      </x:c>
    </x:row>
    <x:row r="15">
      <x:c r="A15" s="20" t="str">
        <x:v>Route pipe mass</x:v>
      </x:c>
      <x:c r="B15" s="33" t="n">
        <x:f>B14*Controls!B24*1000*Controls!B25/1000</x:f>
        <x:v>10707.069550449143</x:v>
      </x:c>
      <x:c r="C15" s="33" t="n">
        <x:f>C14*Controls!C24*1000*Controls!C25/1000</x:f>
        <x:v>518.1692918242056</x:v>
      </x:c>
      <x:c r="D15" s="20" t="str">
        <x:v>t</x:v>
      </x:c>
      <x:c r="E15" s="20" t="str">
        <x:v>Excludes fittings, anchors, crossings, spares</x:v>
      </x:c>
    </x:row>
    <x:row r="16">
      <x:c r="A16" s="10" t="str">
        <x:v>Friction head</x:v>
      </x:c>
      <x:c r="B16" s="33" t="n">
        <x:f>Controls!B15*(Controls!B24*1000/B12)*(B13^2/(2*9.81))</x:f>
        <x:v>118.28870870301988</x:v>
      </x:c>
      <x:c r="C16" s="33" t="n">
        <x:f>Controls!C15*(Controls!C24*1000/C12)*(C13^2/(2*9.81))</x:f>
        <x:v>22.547229024984045</x:v>
      </x:c>
      <x:c r="D16" s="10" t="str">
        <x:v>m</x:v>
      </x:c>
      <x:c r="E16" s="10" t="str">
        <x:v>Darcy–Weisbach steady screen</x:v>
      </x:c>
    </x:row>
    <x:row r="17">
      <x:c r="A17" s="20" t="str">
        <x:v>Total dynamic head</x:v>
      </x:c>
      <x:c r="B17" s="33" t="n">
        <x:f>B16+Controls!B23</x:f>
        <x:v>138.2887087030199</x:v>
      </x:c>
      <x:c r="C17" s="33" t="n">
        <x:f>C16+Controls!C23</x:f>
        <x:v>142.54722902498403</x:v>
      </x:c>
      <x:c r="D17" s="20" t="str">
        <x:v>m</x:v>
      </x:c>
      <x:c r="E17" s="20" t="str">
        <x:v>Friction + static</x:v>
      </x:c>
    </x:row>
    <x:row r="18">
      <x:c r="A18" s="10" t="str">
        <x:v>Duty pump power</x:v>
      </x:c>
      <x:c r="B18" s="33" t="n">
        <x:f>1000*9.81*B5*B17/Controls!B16/1000000</x:f>
        <x:v>3.14030609346441</x:v>
      </x:c>
      <x:c r="C18" s="33" t="n">
        <x:f>1000*9.81*C5*C17/Controls!C16/1000000</x:f>
        <x:v>0.4316013323256461</x:v>
      </x:c>
      <x:c r="D18" s="10" t="str">
        <x:v>MW</x:v>
      </x:c>
      <x:c r="E18" s="10" t="str">
        <x:v>Steady wire-to-water</x:v>
      </x:c>
    </x:row>
    <x:row r="19">
      <x:c r="A19" s="20" t="str">
        <x:v>Installed pump power</x:v>
      </x:c>
      <x:c r="B19" s="33" t="n">
        <x:f>B18*Controls!B17</x:f>
        <x:v>3.9253826168305124</x:v>
      </x:c>
      <x:c r="C19" s="33" t="n">
        <x:f>C18*Controls!C17</x:f>
        <x:v>0.5395016654070577</x:v>
      </x:c>
      <x:c r="D19" s="20" t="str">
        <x:v>MW</x:v>
      </x:c>
      <x:c r="E19" s="20" t="str">
        <x:v>Duty × installed factor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6" hidden="0" customWidth="1"/>
    <x:col min="5" max="5" width="64" hidden="0" customWidth="1"/>
  </x:cols>
  <x:sheetData>
    <x:row r="1" ht="28" customHeight="1">
      <x:c r="A1" s="44" t="str">
        <x:v>Grid Interface</x:v>
      </x:c>
      <x:c r="B1" s="45"/>
      <x:c r="C1" s="45"/>
      <x:c r="D1" s="45"/>
      <x:c r="E1" s="45"/>
    </x:row>
    <x:row r="2" ht="20" customHeight="1">
      <x:c r="A2" s="46" t="str">
        <x:v>Voltage is a screening input. A real one-line, fault, grounding, protection, harmonic, and transient study remains open.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Interface quantity</x:v>
      </x:c>
      <x:c r="B4" s="50" t="str">
        <x:v>RUA-300 estuary</x:v>
      </x:c>
      <x:c r="C4" s="50" t="str">
        <x:v>IUA-60 island</x:v>
      </x:c>
      <x:c r="D4" s="50" t="str">
        <x:v>Unit</x:v>
      </x:c>
      <x:c r="E4" s="50" t="str">
        <x:v>Meaning</x:v>
      </x:c>
    </x:row>
    <x:row r="5">
      <x:c r="A5" s="20" t="str">
        <x:v>Protected-bus requirement</x:v>
      </x:c>
      <x:c r="B5" s="33" t="n">
        <x:f>'Node Requirements'!B10</x:f>
        <x:v>260.90625</x:v>
      </x:c>
      <x:c r="C5" s="33" t="n">
        <x:f>'Node Requirements'!C10</x:f>
        <x:v>38.62083333333333</x:v>
      </x:c>
      <x:c r="D5" s="20" t="str">
        <x:v>MW</x:v>
      </x:c>
      <x:c r="E5" s="20" t="str">
        <x:v>From Node Requirements</x:v>
      </x:c>
    </x:row>
    <x:row r="6">
      <x:c r="A6" s="10" t="str">
        <x:v>Primary shore voltage</x:v>
      </x:c>
      <x:c r="B6" s="33" t="n">
        <x:f>Controls!B31</x:f>
        <x:v>115</x:v>
      </x:c>
      <x:c r="C6" s="33" t="n">
        <x:f>Controls!C31</x:f>
        <x:v>34.5</x:v>
      </x:c>
      <x:c r="D6" s="10" t="str">
        <x:v>kV</x:v>
      </x:c>
      <x:c r="E6" s="10" t="str">
        <x:v>Control input</x:v>
      </x:c>
    </x:row>
    <x:row r="7">
      <x:c r="A7" s="20" t="str">
        <x:v>Power factor</x:v>
      </x:c>
      <x:c r="B7" s="33" t="n">
        <x:f>Controls!B32</x:f>
        <x:v>0.95</x:v>
      </x:c>
      <x:c r="C7" s="33" t="n">
        <x:f>Controls!C32</x:f>
        <x:v>0.95</x:v>
      </x:c>
      <x:c r="D7" s="20" t="str">
        <x:v>share</x:v>
      </x:c>
      <x:c r="E7" s="20" t="str">
        <x:v>Control input</x:v>
      </x:c>
    </x:row>
    <x:row r="8">
      <x:c r="A8" s="10" t="str">
        <x:v>Three-phase current</x:v>
      </x:c>
      <x:c r="B8" s="33" t="n">
        <x:f>B5*1000000/(SQRT(3)*B6*1000*B7)</x:f>
        <x:v>1378.8036033936457</x:v>
      </x:c>
      <x:c r="C8" s="33" t="n">
        <x:f>C5*1000000/(SQRT(3)*C6*1000*C7)</x:f>
        <x:v>680.3279487819275</x:v>
      </x:c>
      <x:c r="D8" s="10" t="str">
        <x:v>A</x:v>
      </x:c>
      <x:c r="E8" s="10" t="str">
        <x:v>P / (√3 × V × PF)</x:v>
      </x:c>
    </x:row>
    <x:row r="9">
      <x:c r="A9" s="20" t="str">
        <x:v>Illustrative block size</x:v>
      </x:c>
      <x:c r="B9" s="35" t="n">
        <x:v>50</x:v>
      </x:c>
      <x:c r="C9" s="35" t="n">
        <x:v>12.5</x:v>
      </x:c>
      <x:c r="D9" s="20" t="str">
        <x:v>MW</x:v>
      </x:c>
      <x:c r="E9" s="20" t="str">
        <x:v>Editable architecture assumption</x:v>
      </x:c>
    </x:row>
    <x:row r="10">
      <x:c r="A10" s="10" t="str">
        <x:v>Minimum load blocks</x:v>
      </x:c>
      <x:c r="B10" s="33" t="n">
        <x:f>ROUNDUP(Controls!B26/B9,0)</x:f>
        <x:v>4</x:v>
      </x:c>
      <x:c r="C10" s="33" t="n">
        <x:f>ROUNDUP(Controls!C26/C9,0)</x:f>
        <x:v>2</x:v>
      </x:c>
      <x:c r="D10" s="10" t="str">
        <x:v>count</x:v>
      </x:c>
      <x:c r="E10" s="10" t="str">
        <x:v>Round up from shore-service requirement</x:v>
      </x:c>
    </x:row>
    <x:row r="11">
      <x:c r="A11" s="20" t="str">
        <x:v>Black-start source</x:v>
      </x:c>
      <x:c r="B11" s="35" t="n">
        <x:v>10</x:v>
      </x:c>
      <x:c r="C11" s="35" t="n">
        <x:v>3</x:v>
      </x:c>
      <x:c r="D11" s="20" t="str">
        <x:v>MW</x:v>
      </x:c>
      <x:c r="E11" s="20" t="str">
        <x:v>Editable; not yet transient-validated</x:v>
      </x:c>
    </x:row>
    <x:row r="12">
      <x:c r="A12" s="10" t="str">
        <x:v>Grid-forming reserve</x:v>
      </x:c>
      <x:c r="B12" s="35" t="n">
        <x:v>20</x:v>
      </x:c>
      <x:c r="C12" s="35" t="n">
        <x:v>5</x:v>
      </x:c>
      <x:c r="D12" s="10" t="str">
        <x:v>MW</x:v>
      </x:c>
      <x:c r="E12" s="10" t="str">
        <x:v>Editable; not a solved stability result</x:v>
      </x:c>
    </x:row>
    <x:row r="13">
      <x:c r="A13" s="20" t="str">
        <x:v>Energization gate</x:v>
      </x:c>
      <x:c r="B13" s="12" t="str">
        <x:v>OPEN</x:v>
      </x:c>
      <x:c r="C13" s="12" t="str">
        <x:v>OPEN</x:v>
      </x:c>
      <x:c r="D13" s="20" t="str">
        <x:v>status</x:v>
      </x:c>
      <x:c r="E13" s="20" t="str">
        <x:v>One-line and field survey absent</x:v>
      </x:c>
    </x:row>
  </x:sheetData>
  <x:conditionalFormatting sqref="B13:C13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OPEN"/>
    <x:cfRule type="containsText" dxfId="11" priority="4" operator="containsText" text="CONDITIONA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  <x:col min="5" max="5" width="64" hidden="0" customWidth="1"/>
  </x:cols>
  <x:sheetData>
    <x:row r="1" ht="28" customHeight="1">
      <x:c r="A1" s="44" t="str">
        <x:v>Marine and Thermal Screen</x:v>
      </x:c>
      <x:c r="B1" s="45"/>
      <x:c r="C1" s="45"/>
      <x:c r="D1" s="45"/>
      <x:c r="E1" s="45"/>
    </x:row>
    <x:row r="2" ht="20" customHeight="1">
      <x:c r="A2" s="46" t="str">
        <x:v>Mission-matched output is shown separately from installed maximum; ultimate heat sink and site plume evidence remain open.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Quantity</x:v>
      </x:c>
      <x:c r="B4" s="50" t="str">
        <x:v>RUA-300 estuary</x:v>
      </x:c>
      <x:c r="C4" s="50" t="str">
        <x:v>IUA-60 island</x:v>
      </x:c>
      <x:c r="D4" s="50" t="str">
        <x:v>Unit</x:v>
      </x:c>
      <x:c r="E4" s="50" t="str">
        <x:v>Interpretation</x:v>
      </x:c>
    </x:row>
    <x:row r="5">
      <x:c r="A5" s="20" t="str">
        <x:v>Protected-bus requirement</x:v>
      </x:c>
      <x:c r="B5" s="33" t="n">
        <x:f>'Node Requirements'!B10</x:f>
        <x:v>260.90625</x:v>
      </x:c>
      <x:c r="C5" s="33" t="n">
        <x:f>'Node Requirements'!C10</x:f>
        <x:v>38.62083333333333</x:v>
      </x:c>
      <x:c r="D5" s="20" t="str">
        <x:v>MWe</x:v>
      </x:c>
      <x:c r="E5" s="20" t="str">
        <x:v>Sustained output at mission load</x:v>
      </x:c>
    </x:row>
    <x:row r="6">
      <x:c r="A6" s="10" t="str">
        <x:v>Gross output required</x:v>
      </x:c>
      <x:c r="B6" s="33" t="n">
        <x:f>B5/((1-Controls!B8)*(1-Controls!B9))</x:f>
        <x:v>315.10416666666663</x:v>
      </x:c>
      <x:c r="C6" s="33" t="n">
        <x:f>C5/((1-Controls!C8)*(1-Controls!C9))</x:f>
        <x:v>46.64351851851851</x:v>
      </x:c>
      <x:c r="D6" s="10" t="str">
        <x:v>MWe</x:v>
      </x:c>
      <x:c r="E6" s="10" t="str">
        <x:v>Back-calculated before station service and derate</x:v>
      </x:c>
    </x:row>
    <x:row r="7">
      <x:c r="A7" s="20" t="str">
        <x:v>Thermal input at mission output</x:v>
      </x:c>
      <x:c r="B7" s="33" t="n">
        <x:f>B6/Controls!B11</x:f>
        <x:v>954.861111111111</x:v>
      </x:c>
      <x:c r="C7" s="33" t="n">
        <x:f>C6/Controls!C11</x:f>
        <x:v>141.34399551066215</x:v>
      </x:c>
      <x:c r="D7" s="20" t="str">
        <x:v>MWth</x:v>
      </x:c>
      <x:c r="E7" s="20" t="str">
        <x:v>Gross electric ÷ efficiency</x:v>
      </x:c>
    </x:row>
    <x:row r="8">
      <x:c r="A8" s="10" t="str">
        <x:v>Rejected heat at mission output</x:v>
      </x:c>
      <x:c r="B8" s="33" t="n">
        <x:f>B7-B6</x:f>
        <x:v>639.7569444444443</x:v>
      </x:c>
      <x:c r="C8" s="33" t="n">
        <x:f>C7-C6</x:f>
        <x:v>94.70047699214365</x:v>
      </x:c>
      <x:c r="D8" s="10" t="str">
        <x:v>MWth</x:v>
      </x:c>
      <x:c r="E8" s="10" t="str">
        <x:v>Thermal − gross electric</x:v>
      </x:c>
    </x:row>
    <x:row r="9">
      <x:c r="A9" s="20" t="str">
        <x:v>Once-through cooling equivalent</x:v>
      </x:c>
      <x:c r="B9" s="33" t="n">
        <x:f>B8*1000000/(4186*Controls!B12*Controls!B13)</x:f>
        <x:v>21.30070017511314</x:v>
      </x:c>
      <x:c r="C9" s="33" t="n">
        <x:f>C8*1000000/(4186*Controls!C12*Controls!C13)</x:f>
        <x:v>3.1530513023216145</x:v>
      </x:c>
      <x:c r="D9" s="20" t="str">
        <x:v>m³/s</x:v>
      </x:c>
      <x:c r="E9" s="20" t="str">
        <x:v>Rejected heat / (cp × ΔT × density)</x:v>
      </x:c>
    </x:row>
    <x:row r="10">
      <x:c r="A10" s="10" t="str">
        <x:v>Installed gross output</x:v>
      </x:c>
      <x:c r="B10" s="33" t="n">
        <x:f>Controls!B29*Controls!B30</x:f>
        <x:v>600</x:v>
      </x:c>
      <x:c r="C10" s="33" t="n">
        <x:f>Controls!C29*Controls!C30</x:f>
        <x:v>60</x:v>
      </x:c>
      <x:c r="D10" s="10" t="str">
        <x:v>MWe</x:v>
      </x:c>
      <x:c r="E10" s="10" t="str">
        <x:v>Core class × reference count</x:v>
      </x:c>
    </x:row>
    <x:row r="11">
      <x:c r="A11" s="20" t="str">
        <x:v>Installed rejected heat at full gross</x:v>
      </x:c>
      <x:c r="B11" s="33" t="n">
        <x:f>B10*(1/Controls!B11-1)</x:f>
        <x:v>1218.1818181818182</x:v>
      </x:c>
      <x:c r="C11" s="33" t="n">
        <x:f>C10*(1/Controls!C11-1)</x:f>
        <x:v>121.81818181818181</x:v>
      </x:c>
      <x:c r="D11" s="20" t="str">
        <x:v>MWth</x:v>
      </x:c>
      <x:c r="E11" s="20" t="str">
        <x:v>Upper operation screen</x:v>
      </x:c>
    </x:row>
    <x:row r="12">
      <x:c r="A12" s="10" t="str">
        <x:v>Cooling/plume gate</x:v>
      </x:c>
      <x:c r="B12" s="12" t="str">
        <x:v>OPEN</x:v>
      </x:c>
      <x:c r="C12" s="12" t="str">
        <x:v>OPEN</x:v>
      </x:c>
      <x:c r="D12" s="10" t="str">
        <x:v>status</x:v>
      </x:c>
      <x:c r="E12" s="10" t="str">
        <x:v>No site intake, discharge, ecology, or ultimate heat sink proof</x:v>
      </x:c>
    </x:row>
    <x:row r="13">
      <x:c r="A13" s="20" t="str">
        <x:v>Heavy-weather gate</x:v>
      </x:c>
      <x:c r="B13" s="12" t="str">
        <x:v>OPEN</x:v>
      </x:c>
      <x:c r="C13" s="12" t="str">
        <x:v>OPEN</x:v>
      </x:c>
      <x:c r="D13" s="20" t="str">
        <x:v>status</x:v>
      </x:c>
      <x:c r="E13" s="20" t="str">
        <x:v>No entry, ride-out, departure, or safe-harbor case</x:v>
      </x:c>
    </x:row>
  </x:sheetData>
  <x:conditionalFormatting sqref="B12:C13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OPEN"/>
    <x:cfRule type="containsText" dxfId="15" priority="4" operator="containsText" text="CONDITIONA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</x:cols>
  <x:sheetData>
    <x:row r="1" ht="28" customHeight="1">
      <x:c r="A1" s="44" t="str">
        <x:v>Mobilization</x:v>
      </x:c>
      <x:c r="B1" s="45"/>
      <x:c r="C1" s="45"/>
      <x:c r="D1" s="45"/>
      <x:c r="E1" s="45"/>
      <x:c r="F1" s="45"/>
      <x:c r="G1" s="45"/>
    </x:row>
    <x:row r="2" ht="20" customHeight="1">
      <x:c r="A2" s="46" t="str">
        <x:v>Assumption-driven timing screen: first service is not full service, and arrival is not authorized utility connection.</x:v>
      </x:c>
      <x:c r="B2" s="46"/>
      <x:c r="C2" s="46"/>
      <x:c r="D2" s="46"/>
      <x:c r="E2" s="46"/>
      <x:c r="F2" s="46"/>
      <x:c r="G2" s="46"/>
    </x:row>
    <x:row r="3">
      <x:c r="A3" s="47"/>
      <x:c r="B3" s="47"/>
      <x:c r="C3" s="47"/>
      <x:c r="D3" s="47"/>
      <x:c r="E3" s="47"/>
      <x:c r="F3" s="47"/>
      <x:c r="G3" s="47"/>
    </x:row>
    <x:row r="4" ht="26" customHeight="1">
      <x:c r="A4" s="50" t="str">
        <x:v>Node</x:v>
      </x:c>
      <x:c r="B4" s="50" t="str">
        <x:v>Architecture</x:v>
      </x:c>
      <x:c r="C4" s="50" t="str">
        <x:v>First service d</x:v>
      </x:c>
      <x:c r="D4" s="50" t="str">
        <x:v>Full service d</x:v>
      </x:c>
      <x:c r="E4" s="50" t="str">
        <x:v>≤21 d bridge</x:v>
      </x:c>
      <x:c r="F4" s="50" t="str">
        <x:v>Full service exists</x:v>
      </x:c>
      <x:c r="G4" s="50" t="str">
        <x:v>Dominant mobilization burden</x:v>
      </x:c>
    </x:row>
    <x:row r="5">
      <x:c r="A5" s="54" t="str">
        <x:f>'Architecture Options'!A5</x:f>
        <x:v>RUA-300</x:v>
      </x:c>
      <x:c r="B5" s="54" t="str">
        <x:f>'Architecture Options'!B5</x:f>
        <x:v>Segmented floating nuclear</x:v>
      </x:c>
      <x:c r="C5" s="54" t="n">
        <x:f>'Architecture Options'!E5</x:f>
        <x:v>21</x:v>
      </x:c>
      <x:c r="D5" s="54" t="n">
        <x:f>'Architecture Options'!F5</x:f>
        <x:v>60</x:v>
      </x:c>
      <x:c r="E5" s="54" t="str">
        <x:f>IF(C5&lt;=21,"PASS","CONDITIONAL")</x:f>
        <x:v>PASS</x:v>
      </x:c>
      <x:c r="F5" s="54" t="str">
        <x:f>IF(D5&lt;999,"PASS","FAIL")</x:f>
        <x:v>PASS</x:v>
      </x:c>
      <x:c r="G5" s="51" t="str">
        <x:v>Site confirmation, two cores, marine connection, load blocks</x:v>
      </x:c>
    </x:row>
    <x:row r="6">
      <x:c r="A6" s="54" t="str">
        <x:f>'Architecture Options'!A6</x:f>
        <x:v>RUA-300</x:v>
      </x:c>
      <x:c r="B6" s="54" t="str">
        <x:f>'Architecture Options'!B6</x:f>
        <x:v>Prelicensed shore nuclear</x:v>
      </x:c>
      <x:c r="C6" s="54" t="n">
        <x:f>'Architecture Options'!E6</x:f>
        <x:v>3</x:v>
      </x:c>
      <x:c r="D6" s="54" t="n">
        <x:f>'Architecture Options'!F6</x:f>
        <x:v>30</x:v>
      </x:c>
      <x:c r="E6" s="54" t="str">
        <x:f>IF(C6&lt;=21,"PASS","CONDITIONAL")</x:f>
        <x:v>PASS</x:v>
      </x:c>
      <x:c r="F6" s="54" t="str">
        <x:f>IF(D6&lt;999,"PASS","FAIL")</x:f>
        <x:v>PASS</x:v>
      </x:c>
      <x:c r="G6" s="47" t="str">
        <x:v>Post-event inspection and qualified restart</x:v>
      </x:c>
    </x:row>
    <x:row r="7">
      <x:c r="A7" s="54" t="str">
        <x:f>'Architecture Options'!A7</x:f>
        <x:v>RUA-300</x:v>
      </x:c>
      <x:c r="B7" s="54" t="str">
        <x:f>'Architecture Options'!B7</x:f>
        <x:v>LNG utility flotilla</x:v>
      </x:c>
      <x:c r="C7" s="54" t="n">
        <x:f>'Architecture Options'!E7</x:f>
        <x:v>7</x:v>
      </x:c>
      <x:c r="D7" s="54" t="n">
        <x:f>'Architecture Options'!F7</x:f>
        <x:v>21</x:v>
      </x:c>
      <x:c r="E7" s="54" t="str">
        <x:f>IF(C7&lt;=21,"PASS","CONDITIONAL")</x:f>
        <x:v>PASS</x:v>
      </x:c>
      <x:c r="F7" s="54" t="str">
        <x:f>IF(D7&lt;999,"PASS","FAIL")</x:f>
        <x:v>PASS</x:v>
      </x:c>
      <x:c r="G7" s="51" t="str">
        <x:v>Port opening, fuel receipt, regasification, grid interface</x:v>
      </x:c>
    </x:row>
    <x:row r="8">
      <x:c r="A8" s="54" t="str">
        <x:f>'Architecture Options'!A8</x:f>
        <x:v>RUA-300</x:v>
      </x:c>
      <x:c r="B8" s="54" t="str">
        <x:f>'Architecture Options'!B8</x:f>
        <x:v>Renewable + storage + firm</x:v>
      </x:c>
      <x:c r="C8" s="54" t="n">
        <x:f>'Architecture Options'!E8</x:f>
        <x:v>1</x:v>
      </x:c>
      <x:c r="D8" s="54" t="n">
        <x:f>'Architecture Options'!F8</x:f>
        <x:v>180</x:v>
      </x:c>
      <x:c r="E8" s="54" t="str">
        <x:f>IF(C8&lt;=21,"PASS","CONDITIONAL")</x:f>
        <x:v>PASS</x:v>
      </x:c>
      <x:c r="F8" s="54" t="str">
        <x:f>IF(D8&lt;999,"PASS","FAIL")</x:f>
        <x:v>PASS</x:v>
      </x:c>
      <x:c r="G8" s="47" t="str">
        <x:v>Existing portfolio can island; full expansion is construction</x:v>
      </x:c>
    </x:row>
    <x:row r="9">
      <x:c r="A9" s="54" t="str">
        <x:f>'Architecture Options'!A9</x:f>
        <x:v>RUA-300</x:v>
      </x:c>
      <x:c r="B9" s="54" t="str">
        <x:f>'Architecture Options'!B9</x:f>
        <x:v>Water works + grid repair</x:v>
      </x:c>
      <x:c r="C9" s="54" t="n">
        <x:f>'Architecture Options'!E9</x:f>
        <x:v>7</x:v>
      </x:c>
      <x:c r="D9" s="54" t="n">
        <x:f>'Architecture Options'!F9</x:f>
        <x:v>45</x:v>
      </x:c>
      <x:c r="E9" s="54" t="str">
        <x:f>IF(C9&lt;=21,"PASS","CONDITIONAL")</x:f>
        <x:v>PASS</x:v>
      </x:c>
      <x:c r="F9" s="54" t="str">
        <x:f>IF(D9&lt;999,"PASS","FAIL")</x:f>
        <x:v>PASS</x:v>
      </x:c>
      <x:c r="G9" s="51" t="str">
        <x:v>Survey, protection, repair, water connection</x:v>
      </x:c>
    </x:row>
    <x:row r="10">
      <x:c r="A10" s="54" t="str">
        <x:f>'Architecture Options'!A10</x:f>
        <x:v>RUA-300</x:v>
      </x:c>
      <x:c r="B10" s="54" t="str">
        <x:f>'Architecture Options'!B10</x:f>
        <x:v>Imported water + diesel bridge</x:v>
      </x:c>
      <x:c r="C10" s="54" t="n">
        <x:f>'Architecture Options'!E10</x:f>
        <x:v>1</x:v>
      </x:c>
      <x:c r="D10" s="54" t="n">
        <x:f>'Architecture Options'!F10</x:f>
        <x:v>999</x:v>
      </x:c>
      <x:c r="E10" s="54" t="str">
        <x:f>IF(C10&lt;=21,"PASS","CONDITIONAL")</x:f>
        <x:v>PASS</x:v>
      </x:c>
      <x:c r="F10" s="54" t="str">
        <x:f>IF(D10&lt;999,"PASS","FAIL")</x:f>
        <x:v>FAIL</x:v>
      </x:c>
      <x:c r="G10" s="47" t="str">
        <x:v>Continuous transport and last-mile allocation</x:v>
      </x:c>
    </x:row>
    <x:row r="11">
      <x:c r="A11" s="54" t="str">
        <x:f>'Architecture Options'!A11</x:f>
        <x:v>IUA-60</x:v>
      </x:c>
      <x:c r="B11" s="54" t="str">
        <x:f>'Architecture Options'!B11</x:f>
        <x:v>Segmented floating nuclear</x:v>
      </x:c>
      <x:c r="C11" s="54" t="n">
        <x:f>'Architecture Options'!E11</x:f>
        <x:v>14</x:v>
      </x:c>
      <x:c r="D11" s="54" t="n">
        <x:f>'Architecture Options'!F11</x:f>
        <x:v>45</x:v>
      </x:c>
      <x:c r="E11" s="54" t="str">
        <x:f>IF(C11&lt;=21,"PASS","CONDITIONAL")</x:f>
        <x:v>PASS</x:v>
      </x:c>
      <x:c r="F11" s="54" t="str">
        <x:f>IF(D11&lt;999,"PASS","FAIL")</x:f>
        <x:v>PASS</x:v>
      </x:c>
      <x:c r="G11" s="51" t="str">
        <x:v>Site confirmation, new core class, marine connection</x:v>
      </x:c>
    </x:row>
    <x:row r="12">
      <x:c r="A12" s="54" t="str">
        <x:f>'Architecture Options'!A12</x:f>
        <x:v>IUA-60</x:v>
      </x:c>
      <x:c r="B12" s="54" t="str">
        <x:f>'Architecture Options'!B12</x:f>
        <x:v>Prelicensed shore nuclear</x:v>
      </x:c>
      <x:c r="C12" s="54" t="n">
        <x:f>'Architecture Options'!E12</x:f>
        <x:v>2</x:v>
      </x:c>
      <x:c r="D12" s="54" t="n">
        <x:f>'Architecture Options'!F12</x:f>
        <x:v>14</x:v>
      </x:c>
      <x:c r="E12" s="54" t="str">
        <x:f>IF(C12&lt;=21,"PASS","CONDITIONAL")</x:f>
        <x:v>PASS</x:v>
      </x:c>
      <x:c r="F12" s="54" t="str">
        <x:f>IF(D12&lt;999,"PASS","FAIL")</x:f>
        <x:v>PASS</x:v>
      </x:c>
      <x:c r="G12" s="47" t="str">
        <x:v>Post-event inspection and qualified restart</x:v>
      </x:c>
    </x:row>
    <x:row r="13">
      <x:c r="A13" s="54" t="str">
        <x:f>'Architecture Options'!A13</x:f>
        <x:v>IUA-60</x:v>
      </x:c>
      <x:c r="B13" s="54" t="str">
        <x:f>'Architecture Options'!B13</x:f>
        <x:v>LNG utility flotilla</x:v>
      </x:c>
      <x:c r="C13" s="54" t="n">
        <x:f>'Architecture Options'!E13</x:f>
        <x:v>5</x:v>
      </x:c>
      <x:c r="D13" s="54" t="n">
        <x:f>'Architecture Options'!F13</x:f>
        <x:v>14</x:v>
      </x:c>
      <x:c r="E13" s="54" t="str">
        <x:f>IF(C13&lt;=21,"PASS","CONDITIONAL")</x:f>
        <x:v>PASS</x:v>
      </x:c>
      <x:c r="F13" s="54" t="str">
        <x:f>IF(D13&lt;999,"PASS","FAIL")</x:f>
        <x:v>PASS</x:v>
      </x:c>
      <x:c r="G13" s="51" t="str">
        <x:v>Fuel receipt, small-grid stability, water connection</x:v>
      </x:c>
    </x:row>
    <x:row r="14">
      <x:c r="A14" s="54" t="str">
        <x:f>'Architecture Options'!A14</x:f>
        <x:v>IUA-60</x:v>
      </x:c>
      <x:c r="B14" s="54" t="str">
        <x:f>'Architecture Options'!B14</x:f>
        <x:v>Renewable + storage + firm</x:v>
      </x:c>
      <x:c r="C14" s="54" t="n">
        <x:f>'Architecture Options'!E14</x:f>
        <x:v>1</x:v>
      </x:c>
      <x:c r="D14" s="54" t="n">
        <x:f>'Architecture Options'!F14</x:f>
        <x:v>120</x:v>
      </x:c>
      <x:c r="E14" s="54" t="str">
        <x:f>IF(C14&lt;=21,"PASS","CONDITIONAL")</x:f>
        <x:v>PASS</x:v>
      </x:c>
      <x:c r="F14" s="54" t="str">
        <x:f>IF(D14&lt;999,"PASS","FAIL")</x:f>
        <x:v>PASS</x:v>
      </x:c>
      <x:c r="G14" s="47" t="str">
        <x:v>Existing portfolio can island; seasonal firming is open</x:v>
      </x:c>
    </x:row>
    <x:row r="15">
      <x:c r="A15" s="54" t="str">
        <x:f>'Architecture Options'!A15</x:f>
        <x:v>IUA-60</x:v>
      </x:c>
      <x:c r="B15" s="54" t="str">
        <x:f>'Architecture Options'!B15</x:f>
        <x:v>Water works + grid repair</x:v>
      </x:c>
      <x:c r="C15" s="54" t="n">
        <x:f>'Architecture Options'!E15</x:f>
        <x:v>7</x:v>
      </x:c>
      <x:c r="D15" s="54" t="n">
        <x:f>'Architecture Options'!F15</x:f>
        <x:v>30</x:v>
      </x:c>
      <x:c r="E15" s="54" t="str">
        <x:f>IF(C15&lt;=21,"PASS","CONDITIONAL")</x:f>
        <x:v>PASS</x:v>
      </x:c>
      <x:c r="F15" s="54" t="str">
        <x:f>IF(D15&lt;999,"PASS","FAIL")</x:f>
        <x:v>PASS</x:v>
      </x:c>
      <x:c r="G15" s="51" t="str">
        <x:v>Source survival, grid repair, high-head distribution</x:v>
      </x:c>
    </x:row>
    <x:row r="16">
      <x:c r="A16" s="54" t="str">
        <x:f>'Architecture Options'!A16</x:f>
        <x:v>IUA-60</x:v>
      </x:c>
      <x:c r="B16" s="54" t="str">
        <x:f>'Architecture Options'!B16</x:f>
        <x:v>Imported water + diesel bridge</x:v>
      </x:c>
      <x:c r="C16" s="54" t="n">
        <x:f>'Architecture Options'!E16</x:f>
        <x:v>1</x:v>
      </x:c>
      <x:c r="D16" s="54" t="n">
        <x:f>'Architecture Options'!F16</x:f>
        <x:v>999</x:v>
      </x:c>
      <x:c r="E16" s="54" t="str">
        <x:f>IF(C16&lt;=21,"PASS","CONDITIONAL")</x:f>
        <x:v>PASS</x:v>
      </x:c>
      <x:c r="F16" s="54" t="str">
        <x:f>IF(D16&lt;999,"PASS","FAIL")</x:f>
        <x:v>FAIL</x:v>
      </x:c>
      <x:c r="G16" s="47" t="str">
        <x:v>Port/air throughput and continuous fuel/water movement</x:v>
      </x:c>
    </x:row>
  </x:sheetData>
  <x:conditionalFormatting sqref="E5:F16">
    <x:cfRule type="containsText" dxfId="16" priority="1" operator="containsText" text="PASS"/>
    <x:cfRule type="containsText" dxfId="17" priority="2" operator="containsText" text="FAIL"/>
    <x:cfRule type="containsText" dxfId="18" priority="3" operator="containsText" text="OPEN"/>
    <x:cfRule type="containsText" dxfId="19" priority="4" operator="containsText" text="CONDITIONA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6" hidden="0" customWidth="1"/>
  </x:cols>
  <x:sheetData>
    <x:row r="1" ht="28" customHeight="1">
      <x:c r="A1" s="44" t="str">
        <x:v>Fuel Logistics</x:v>
      </x:c>
      <x:c r="B1" s="45"/>
      <x:c r="C1" s="45"/>
      <x:c r="D1" s="45"/>
      <x:c r="E1" s="45"/>
      <x:c r="F1" s="45"/>
      <x:c r="G1" s="45"/>
      <x:c r="H1" s="45"/>
    </x:row>
    <x:row r="2" ht="20" customHeight="1">
      <x:c r="A2" s="46" t="str">
        <x:v>External-fuel burden is computed at the protected-bus requirement; nuclear refueling and lifecycle fuel-cycle services remain outside this daily logistics screen.</x:v>
      </x:c>
      <x:c r="B2" s="46"/>
      <x:c r="C2" s="46"/>
      <x:c r="D2" s="46"/>
      <x:c r="E2" s="46"/>
      <x:c r="F2" s="46"/>
      <x:c r="G2" s="46"/>
      <x:c r="H2" s="46"/>
    </x:row>
    <x:row r="3">
      <x:c r="A3" s="47"/>
      <x:c r="B3" s="47"/>
      <x:c r="C3" s="47"/>
      <x:c r="D3" s="47"/>
      <x:c r="E3" s="47"/>
      <x:c r="F3" s="47"/>
      <x:c r="G3" s="47"/>
      <x:c r="H3" s="47"/>
    </x:row>
    <x:row r="4" ht="26" customHeight="1">
      <x:c r="A4" s="50" t="str">
        <x:v>Node</x:v>
      </x:c>
      <x:c r="B4" s="50" t="str">
        <x:v>Architecture</x:v>
      </x:c>
      <x:c r="C4" s="50" t="str">
        <x:v>Fuel</x:v>
      </x:c>
      <x:c r="D4" s="50" t="str">
        <x:v>Required MWh/d</x:v>
      </x:c>
      <x:c r="E4" s="50" t="str">
        <x:v>Heat rate MMBtu/MWh</x:v>
      </x:c>
      <x:c r="F4" s="50" t="str">
        <x:v>Heating value MMBtu/t</x:v>
      </x:c>
      <x:c r="G4" s="50" t="str">
        <x:v>Fuel t/d</x:v>
      </x:c>
      <x:c r="H4" s="50" t="str">
        <x:v>Interpretation</x:v>
      </x:c>
    </x:row>
    <x:row r="5">
      <x:c r="A5" s="54" t="str">
        <x:f>'Architecture Options'!A5</x:f>
        <x:v>RUA-300</x:v>
      </x:c>
      <x:c r="B5" s="54" t="str">
        <x:f>'Architecture Options'!B5</x:f>
        <x:v>Segmented floating nuclear</x:v>
      </x:c>
      <x:c r="C5" s="54" t="str">
        <x:f>'Architecture Options'!P5</x:f>
        <x:v>Nuclear</x:v>
      </x:c>
      <x:c r="D5" s="58" t="n">
        <x:f>MIN('Architecture Options'!C5,'Node Requirements'!B10)*24</x:f>
        <x:v>6261.75</x:v>
      </x:c>
      <x:c r="E5" s="58" t="n">
        <x:f>IF(C5="LNG",Controls!B18,IF(C5="Diesel",10,0))</x:f>
        <x:v>0</x:v>
      </x:c>
      <x:c r="F5" s="58" t="n">
        <x:f>IF(C5="LNG",Controls!B19,IF(C5="Diesel",42.8,1))</x:f>
        <x:v>1</x:v>
      </x:c>
      <x:c r="G5" s="58" t="n">
        <x:f>IF(OR(C5="Nuclear",C5="None"),0,D5*E5/F5)</x:f>
        <x:v>0</x:v>
      </x:c>
      <x:c r="H5" s="54" t="str">
        <x:f>IF(G5=0,"No daily delivered fuel in this screen",IF(G5&gt;500,"Strategic port throughput burden",IF(G5&gt;100,"Major recurring receipt burden","Material but smaller receipt burden")))</x:f>
        <x:v>No daily delivered fuel in this screen</x:v>
      </x:c>
    </x:row>
    <x:row r="6">
      <x:c r="A6" s="54" t="str">
        <x:f>'Architecture Options'!A6</x:f>
        <x:v>RUA-300</x:v>
      </x:c>
      <x:c r="B6" s="54" t="str">
        <x:f>'Architecture Options'!B6</x:f>
        <x:v>Prelicensed shore nuclear</x:v>
      </x:c>
      <x:c r="C6" s="54" t="str">
        <x:f>'Architecture Options'!P6</x:f>
        <x:v>Nuclear</x:v>
      </x:c>
      <x:c r="D6" s="58" t="n">
        <x:f>MIN('Architecture Options'!C6,'Node Requirements'!B10)*24</x:f>
        <x:v>6261.75</x:v>
      </x:c>
      <x:c r="E6" s="58" t="n">
        <x:f>IF(C6="LNG",Controls!B18,IF(C6="Diesel",10,0))</x:f>
        <x:v>0</x:v>
      </x:c>
      <x:c r="F6" s="58" t="n">
        <x:f>IF(C6="LNG",Controls!B19,IF(C6="Diesel",42.8,1))</x:f>
        <x:v>1</x:v>
      </x:c>
      <x:c r="G6" s="58" t="n">
        <x:f>IF(OR(C6="Nuclear",C6="None"),0,D6*E6/F6)</x:f>
        <x:v>0</x:v>
      </x:c>
      <x:c r="H6" s="54" t="str">
        <x:f>IF(G6=0,"No daily delivered fuel in this screen",IF(G6&gt;500,"Strategic port throughput burden",IF(G6&gt;100,"Major recurring receipt burden","Material but smaller receipt burden")))</x:f>
        <x:v>No daily delivered fuel in this screen</x:v>
      </x:c>
    </x:row>
    <x:row r="7">
      <x:c r="A7" s="54" t="str">
        <x:f>'Architecture Options'!A7</x:f>
        <x:v>RUA-300</x:v>
      </x:c>
      <x:c r="B7" s="54" t="str">
        <x:f>'Architecture Options'!B7</x:f>
        <x:v>LNG utility flotilla</x:v>
      </x:c>
      <x:c r="C7" s="54" t="str">
        <x:f>'Architecture Options'!P7</x:f>
        <x:v>LNG</x:v>
      </x:c>
      <x:c r="D7" s="58" t="n">
        <x:f>MIN('Architecture Options'!C7,'Node Requirements'!B10)*24</x:f>
        <x:v>6261.75</x:v>
      </x:c>
      <x:c r="E7" s="58" t="n">
        <x:f>IF(C7="LNG",Controls!B18,IF(C7="Diesel",10,0))</x:f>
        <x:v>7.5</x:v>
      </x:c>
      <x:c r="F7" s="58" t="n">
        <x:f>IF(C7="LNG",Controls!B19,IF(C7="Diesel",42.8,1))</x:f>
        <x:v>21.5</x:v>
      </x:c>
      <x:c r="G7" s="58" t="n">
        <x:f>IF(OR(C7="Nuclear",C7="None"),0,D7*E7/F7)</x:f>
        <x:v>2184.3313953488373</x:v>
      </x:c>
      <x:c r="H7" s="54" t="str">
        <x:f>IF(G7=0,"No daily delivered fuel in this screen",IF(G7&gt;500,"Strategic port throughput burden",IF(G7&gt;100,"Major recurring receipt burden","Material but smaller receipt burden")))</x:f>
        <x:v>Strategic port throughput burden</x:v>
      </x:c>
    </x:row>
    <x:row r="8">
      <x:c r="A8" s="54" t="str">
        <x:f>'Architecture Options'!A8</x:f>
        <x:v>RUA-300</x:v>
      </x:c>
      <x:c r="B8" s="54" t="str">
        <x:f>'Architecture Options'!B8</x:f>
        <x:v>Renewable + storage + firm</x:v>
      </x:c>
      <x:c r="C8" s="54" t="str">
        <x:f>'Architecture Options'!P8</x:f>
        <x:v>LNG</x:v>
      </x:c>
      <x:c r="D8" s="58" t="n">
        <x:f>MIN('Architecture Options'!C8,'Node Requirements'!B10)*24</x:f>
        <x:v>6261.75</x:v>
      </x:c>
      <x:c r="E8" s="58" t="n">
        <x:f>IF(C8="LNG",Controls!B18,IF(C8="Diesel",10,0))</x:f>
        <x:v>7.5</x:v>
      </x:c>
      <x:c r="F8" s="58" t="n">
        <x:f>IF(C8="LNG",Controls!B19,IF(C8="Diesel",42.8,1))</x:f>
        <x:v>21.5</x:v>
      </x:c>
      <x:c r="G8" s="58" t="n">
        <x:f>IF(OR(C8="Nuclear",C8="None"),0,D8*E8/F8)</x:f>
        <x:v>2184.3313953488373</x:v>
      </x:c>
      <x:c r="H8" s="54" t="str">
        <x:f>IF(G8=0,"No daily delivered fuel in this screen",IF(G8&gt;500,"Strategic port throughput burden",IF(G8&gt;100,"Major recurring receipt burden","Material but smaller receipt burden")))</x:f>
        <x:v>Strategic port throughput burden</x:v>
      </x:c>
    </x:row>
    <x:row r="9">
      <x:c r="A9" s="54" t="str">
        <x:f>'Architecture Options'!A9</x:f>
        <x:v>RUA-300</x:v>
      </x:c>
      <x:c r="B9" s="54" t="str">
        <x:f>'Architecture Options'!B9</x:f>
        <x:v>Water works + grid repair</x:v>
      </x:c>
      <x:c r="C9" s="54" t="str">
        <x:f>'Architecture Options'!P9</x:f>
        <x:v>LNG</x:v>
      </x:c>
      <x:c r="D9" s="58" t="n">
        <x:f>MIN('Architecture Options'!C9,'Node Requirements'!B10)*24</x:f>
        <x:v>5280</x:v>
      </x:c>
      <x:c r="E9" s="58" t="n">
        <x:f>IF(C9="LNG",Controls!B18,IF(C9="Diesel",10,0))</x:f>
        <x:v>7.5</x:v>
      </x:c>
      <x:c r="F9" s="58" t="n">
        <x:f>IF(C9="LNG",Controls!B19,IF(C9="Diesel",42.8,1))</x:f>
        <x:v>21.5</x:v>
      </x:c>
      <x:c r="G9" s="58" t="n">
        <x:f>IF(OR(C9="Nuclear",C9="None"),0,D9*E9/F9)</x:f>
        <x:v>1841.860465116279</x:v>
      </x:c>
      <x:c r="H9" s="54" t="str">
        <x:f>IF(G9=0,"No daily delivered fuel in this screen",IF(G9&gt;500,"Strategic port throughput burden",IF(G9&gt;100,"Major recurring receipt burden","Material but smaller receipt burden")))</x:f>
        <x:v>Strategic port throughput burden</x:v>
      </x:c>
    </x:row>
    <x:row r="10">
      <x:c r="A10" s="54" t="str">
        <x:f>'Architecture Options'!A10</x:f>
        <x:v>RUA-300</x:v>
      </x:c>
      <x:c r="B10" s="54" t="str">
        <x:f>'Architecture Options'!B10</x:f>
        <x:v>Imported water + diesel bridge</x:v>
      </x:c>
      <x:c r="C10" s="54" t="str">
        <x:f>'Architecture Options'!P10</x:f>
        <x:v>Diesel</x:v>
      </x:c>
      <x:c r="D10" s="58" t="n">
        <x:f>MIN('Architecture Options'!C10,'Node Requirements'!B10)*24</x:f>
        <x:v>1920</x:v>
      </x:c>
      <x:c r="E10" s="58" t="n">
        <x:f>IF(C10="LNG",Controls!B18,IF(C10="Diesel",10,0))</x:f>
        <x:v>10</x:v>
      </x:c>
      <x:c r="F10" s="58" t="n">
        <x:f>IF(C10="LNG",Controls!B19,IF(C10="Diesel",42.8,1))</x:f>
        <x:v>42.8</x:v>
      </x:c>
      <x:c r="G10" s="58" t="n">
        <x:f>IF(OR(C10="Nuclear",C10="None"),0,D10*E10/F10)</x:f>
        <x:v>448.59813084112153</x:v>
      </x:c>
      <x:c r="H10" s="54" t="str">
        <x:f>IF(G10=0,"No daily delivered fuel in this screen",IF(G10&gt;500,"Strategic port throughput burden",IF(G10&gt;100,"Major recurring receipt burden","Material but smaller receipt burden")))</x:f>
        <x:v>Major recurring receipt burden</x:v>
      </x:c>
    </x:row>
    <x:row r="11">
      <x:c r="A11" s="54" t="str">
        <x:f>'Architecture Options'!A11</x:f>
        <x:v>IUA-60</x:v>
      </x:c>
      <x:c r="B11" s="54" t="str">
        <x:f>'Architecture Options'!B11</x:f>
        <x:v>Segmented floating nuclear</x:v>
      </x:c>
      <x:c r="C11" s="54" t="str">
        <x:f>'Architecture Options'!P11</x:f>
        <x:v>Nuclear</x:v>
      </x:c>
      <x:c r="D11" s="58" t="n">
        <x:f>MIN('Architecture Options'!C11,'Node Requirements'!C10)*24</x:f>
        <x:v>926.8999999999999</x:v>
      </x:c>
      <x:c r="E11" s="58" t="n">
        <x:f>IF(C11="LNG",Controls!C18,IF(C11="Diesel",10,0))</x:f>
        <x:v>0</x:v>
      </x:c>
      <x:c r="F11" s="58" t="n">
        <x:f>IF(C11="LNG",Controls!C19,IF(C11="Diesel",42.8,1))</x:f>
        <x:v>1</x:v>
      </x:c>
      <x:c r="G11" s="58" t="n">
        <x:f>IF(OR(C11="Nuclear",C11="None"),0,D11*E11/F11)</x:f>
        <x:v>0</x:v>
      </x:c>
      <x:c r="H11" s="54" t="str">
        <x:f>IF(G11=0,"No daily delivered fuel in this screen",IF(G11&gt;500,"Strategic port throughput burden",IF(G11&gt;100,"Major recurring receipt burden","Material but smaller receipt burden")))</x:f>
        <x:v>No daily delivered fuel in this screen</x:v>
      </x:c>
    </x:row>
    <x:row r="12">
      <x:c r="A12" s="54" t="str">
        <x:f>'Architecture Options'!A12</x:f>
        <x:v>IUA-60</x:v>
      </x:c>
      <x:c r="B12" s="54" t="str">
        <x:f>'Architecture Options'!B12</x:f>
        <x:v>Prelicensed shore nuclear</x:v>
      </x:c>
      <x:c r="C12" s="54" t="str">
        <x:f>'Architecture Options'!P12</x:f>
        <x:v>Nuclear</x:v>
      </x:c>
      <x:c r="D12" s="58" t="n">
        <x:f>MIN('Architecture Options'!C12,'Node Requirements'!C10)*24</x:f>
        <x:v>926.8999999999999</x:v>
      </x:c>
      <x:c r="E12" s="58" t="n">
        <x:f>IF(C12="LNG",Controls!C18,IF(C12="Diesel",10,0))</x:f>
        <x:v>0</x:v>
      </x:c>
      <x:c r="F12" s="58" t="n">
        <x:f>IF(C12="LNG",Controls!C19,IF(C12="Diesel",42.8,1))</x:f>
        <x:v>1</x:v>
      </x:c>
      <x:c r="G12" s="58" t="n">
        <x:f>IF(OR(C12="Nuclear",C12="None"),0,D12*E12/F12)</x:f>
        <x:v>0</x:v>
      </x:c>
      <x:c r="H12" s="54" t="str">
        <x:f>IF(G12=0,"No daily delivered fuel in this screen",IF(G12&gt;500,"Strategic port throughput burden",IF(G12&gt;100,"Major recurring receipt burden","Material but smaller receipt burden")))</x:f>
        <x:v>No daily delivered fuel in this screen</x:v>
      </x:c>
    </x:row>
    <x:row r="13">
      <x:c r="A13" s="54" t="str">
        <x:f>'Architecture Options'!A13</x:f>
        <x:v>IUA-60</x:v>
      </x:c>
      <x:c r="B13" s="54" t="str">
        <x:f>'Architecture Options'!B13</x:f>
        <x:v>LNG utility flotilla</x:v>
      </x:c>
      <x:c r="C13" s="54" t="str">
        <x:f>'Architecture Options'!P13</x:f>
        <x:v>LNG</x:v>
      </x:c>
      <x:c r="D13" s="58" t="n">
        <x:f>MIN('Architecture Options'!C13,'Node Requirements'!C10)*24</x:f>
        <x:v>926.8999999999999</x:v>
      </x:c>
      <x:c r="E13" s="58" t="n">
        <x:f>IF(C13="LNG",Controls!C18,IF(C13="Diesel",10,0))</x:f>
        <x:v>7.5</x:v>
      </x:c>
      <x:c r="F13" s="58" t="n">
        <x:f>IF(C13="LNG",Controls!C19,IF(C13="Diesel",42.8,1))</x:f>
        <x:v>21.5</x:v>
      </x:c>
      <x:c r="G13" s="58" t="n">
        <x:f>IF(OR(C13="Nuclear",C13="None"),0,D13*E13/F13)</x:f>
        <x:v>323.33720930232556</x:v>
      </x:c>
      <x:c r="H13" s="54" t="str">
        <x:f>IF(G13=0,"No daily delivered fuel in this screen",IF(G13&gt;500,"Strategic port throughput burden",IF(G13&gt;100,"Major recurring receipt burden","Material but smaller receipt burden")))</x:f>
        <x:v>Major recurring receipt burden</x:v>
      </x:c>
    </x:row>
    <x:row r="14">
      <x:c r="A14" s="54" t="str">
        <x:f>'Architecture Options'!A14</x:f>
        <x:v>IUA-60</x:v>
      </x:c>
      <x:c r="B14" s="54" t="str">
        <x:f>'Architecture Options'!B14</x:f>
        <x:v>Renewable + storage + firm</x:v>
      </x:c>
      <x:c r="C14" s="54" t="str">
        <x:f>'Architecture Options'!P14</x:f>
        <x:v>LNG</x:v>
      </x:c>
      <x:c r="D14" s="58" t="n">
        <x:f>MIN('Architecture Options'!C14,'Node Requirements'!C10)*24</x:f>
        <x:v>926.8999999999999</x:v>
      </x:c>
      <x:c r="E14" s="58" t="n">
        <x:f>IF(C14="LNG",Controls!C18,IF(C14="Diesel",10,0))</x:f>
        <x:v>7.5</x:v>
      </x:c>
      <x:c r="F14" s="58" t="n">
        <x:f>IF(C14="LNG",Controls!C19,IF(C14="Diesel",42.8,1))</x:f>
        <x:v>21.5</x:v>
      </x:c>
      <x:c r="G14" s="58" t="n">
        <x:f>IF(OR(C14="Nuclear",C14="None"),0,D14*E14/F14)</x:f>
        <x:v>323.33720930232556</x:v>
      </x:c>
      <x:c r="H14" s="54" t="str">
        <x:f>IF(G14=0,"No daily delivered fuel in this screen",IF(G14&gt;500,"Strategic port throughput burden",IF(G14&gt;100,"Major recurring receipt burden","Material but smaller receipt burden")))</x:f>
        <x:v>Major recurring receipt burden</x:v>
      </x:c>
    </x:row>
    <x:row r="15">
      <x:c r="A15" s="54" t="str">
        <x:f>'Architecture Options'!A15</x:f>
        <x:v>IUA-60</x:v>
      </x:c>
      <x:c r="B15" s="54" t="str">
        <x:f>'Architecture Options'!B15</x:f>
        <x:v>Water works + grid repair</x:v>
      </x:c>
      <x:c r="C15" s="54" t="str">
        <x:f>'Architecture Options'!P15</x:f>
        <x:v>LNG</x:v>
      </x:c>
      <x:c r="D15" s="58" t="n">
        <x:f>MIN('Architecture Options'!C15,'Node Requirements'!C10)*24</x:f>
        <x:v>926.8999999999999</x:v>
      </x:c>
      <x:c r="E15" s="58" t="n">
        <x:f>IF(C15="LNG",Controls!C18,IF(C15="Diesel",10,0))</x:f>
        <x:v>7.5</x:v>
      </x:c>
      <x:c r="F15" s="58" t="n">
        <x:f>IF(C15="LNG",Controls!C19,IF(C15="Diesel",42.8,1))</x:f>
        <x:v>21.5</x:v>
      </x:c>
      <x:c r="G15" s="58" t="n">
        <x:f>IF(OR(C15="Nuclear",C15="None"),0,D15*E15/F15)</x:f>
        <x:v>323.33720930232556</x:v>
      </x:c>
      <x:c r="H15" s="54" t="str">
        <x:f>IF(G15=0,"No daily delivered fuel in this screen",IF(G15&gt;500,"Strategic port throughput burden",IF(G15&gt;100,"Major recurring receipt burden","Material but smaller receipt burden")))</x:f>
        <x:v>Major recurring receipt burden</x:v>
      </x:c>
    </x:row>
    <x:row r="16">
      <x:c r="A16" s="54" t="str">
        <x:f>'Architecture Options'!A16</x:f>
        <x:v>IUA-60</x:v>
      </x:c>
      <x:c r="B16" s="54" t="str">
        <x:f>'Architecture Options'!B16</x:f>
        <x:v>Imported water + diesel bridge</x:v>
      </x:c>
      <x:c r="C16" s="54" t="str">
        <x:f>'Architecture Options'!P16</x:f>
        <x:v>Diesel</x:v>
      </x:c>
      <x:c r="D16" s="58" t="n">
        <x:f>MIN('Architecture Options'!C16,'Node Requirements'!C10)*24</x:f>
        <x:v>288</x:v>
      </x:c>
      <x:c r="E16" s="58" t="n">
        <x:f>IF(C16="LNG",Controls!C18,IF(C16="Diesel",10,0))</x:f>
        <x:v>10</x:v>
      </x:c>
      <x:c r="F16" s="58" t="n">
        <x:f>IF(C16="LNG",Controls!C19,IF(C16="Diesel",42.8,1))</x:f>
        <x:v>42.8</x:v>
      </x:c>
      <x:c r="G16" s="58" t="n">
        <x:f>IF(OR(C16="Nuclear",C16="None"),0,D16*E16/F16)</x:f>
        <x:v>67.28971962616824</x:v>
      </x:c>
      <x:c r="H16" s="54" t="str">
        <x:f>IF(G16=0,"No daily delivered fuel in this screen",IF(G16&gt;500,"Strategic port throughput burden",IF(G16&gt;100,"Major recurring receipt burden","Material but smaller receipt burden")))</x:f>
        <x:v>Material but smaller receipt burden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6" hidden="0" customWidth="1"/>
    <x:col min="5" max="5" width="62" hidden="0" customWidth="1"/>
  </x:cols>
  <x:sheetData>
    <x:row r="1" ht="28" customHeight="1">
      <x:c r="A1" s="44" t="str">
        <x:v>Site Infrastructure</x:v>
      </x:c>
      <x:c r="B1" s="45"/>
      <x:c r="C1" s="45"/>
      <x:c r="D1" s="45"/>
      <x:c r="E1" s="45"/>
    </x:row>
    <x:row r="2" ht="20" customHeight="1">
      <x:c r="A2" s="46" t="str">
        <x:v>Prepared works are readiness assets. These quantities are planning hypotheses, not site designs.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Element</x:v>
      </x:c>
      <x:c r="B4" s="50" t="str">
        <x:v>RUA-300 estuary</x:v>
      </x:c>
      <x:c r="C4" s="50" t="str">
        <x:v>IUA-60 island</x:v>
      </x:c>
      <x:c r="D4" s="50" t="str">
        <x:v>Unit</x:v>
      </x:c>
      <x:c r="E4" s="50" t="str">
        <x:v>Readiness logic</x:v>
      </x:c>
    </x:row>
    <x:row r="5">
      <x:c r="A5" s="20" t="str">
        <x:v>Qualified heavy moorings</x:v>
      </x:c>
      <x:c r="B5" s="11" t="n">
        <x:v>4</x:v>
      </x:c>
      <x:c r="C5" s="11" t="n">
        <x:v>2</x:v>
      </x:c>
      <x:c r="D5" s="20" t="str">
        <x:v>berths/positions</x:v>
      </x:c>
      <x:c r="E5" s="20" t="str">
        <x:v>Energy, process, service, and alternate position</x:v>
      </x:c>
    </x:row>
    <x:row r="6">
      <x:c r="A6" s="10" t="str">
        <x:v>Protected utility landings</x:v>
      </x:c>
      <x:c r="B6" s="11" t="n">
        <x:v>4</x:v>
      </x:c>
      <x:c r="C6" s="11" t="n">
        <x:v>2</x:v>
      </x:c>
      <x:c r="D6" s="10" t="str">
        <x:v>count</x:v>
      </x:c>
      <x:c r="E6" s="10" t="str">
        <x:v>Independent cable/pipe routes</x:v>
      </x:c>
    </x:row>
    <x:row r="7">
      <x:c r="A7" s="20" t="str">
        <x:v>Critical-load electrical blocks</x:v>
      </x:c>
      <x:c r="B7" s="12" t="n">
        <x:f>'Grid Interface'!B10</x:f>
        <x:v>4</x:v>
      </x:c>
      <x:c r="C7" s="12" t="n">
        <x:f>'Grid Interface'!C10</x:f>
        <x:v>2</x:v>
      </x:c>
      <x:c r="D7" s="20" t="str">
        <x:v>count</x:v>
      </x:c>
      <x:c r="E7" s="20" t="str">
        <x:v>From Grid Interface</x:v>
      </x:c>
    </x:row>
    <x:row r="8">
      <x:c r="A8" s="10" t="str">
        <x:v>Product storage</x:v>
      </x:c>
      <x:c r="B8" s="11" t="n">
        <x:v>450000</x:v>
      </x:c>
      <x:c r="C8" s="11" t="n">
        <x:v>80000</x:v>
      </x:c>
      <x:c r="D8" s="10" t="str">
        <x:v>m³</x:v>
      </x:c>
      <x:c r="E8" s="10" t="str">
        <x:v>Three or four days of reference product</x:v>
      </x:c>
    </x:row>
    <x:row r="9">
      <x:c r="A9" s="20" t="str">
        <x:v>Permanent corridor sleeves</x:v>
      </x:c>
      <x:c r="B9" s="11" t="n">
        <x:v>16</x:v>
      </x:c>
      <x:c r="C9" s="11" t="n">
        <x:v>8</x:v>
      </x:c>
      <x:c r="D9" s="20" t="str">
        <x:v>count</x:v>
      </x:c>
      <x:c r="E9" s="20" t="str">
        <x:v>Road, rail, river, and high-consequence crossings</x:v>
      </x:c>
    </x:row>
    <x:row r="10">
      <x:c r="A10" s="10" t="str">
        <x:v>Laydown and repair area</x:v>
      </x:c>
      <x:c r="B10" s="11" t="n">
        <x:v>40</x:v>
      </x:c>
      <x:c r="C10" s="11" t="n">
        <x:v>10</x:v>
      </x:c>
      <x:c r="D10" s="10" t="str">
        <x:v>ha</x:v>
      </x:c>
      <x:c r="E10" s="10" t="str">
        <x:v>Module, reel, transformer, and jointing operations</x:v>
      </x:c>
    </x:row>
    <x:row r="11">
      <x:c r="A11" s="20" t="str">
        <x:v>Alternate safe harbor</x:v>
      </x:c>
      <x:c r="B11" s="11" t="n">
        <x:v>1</x:v>
      </x:c>
      <x:c r="C11" s="11" t="n">
        <x:v>1</x:v>
      </x:c>
      <x:c r="D11" s="20" t="str">
        <x:v>qualified</x:v>
      </x:c>
      <x:c r="E11" s="20" t="str">
        <x:v>Separate hazard/access path required</x:v>
      </x:c>
    </x:row>
    <x:row r="12">
      <x:c r="A12" s="10" t="str">
        <x:v>Water laboratory</x:v>
      </x:c>
      <x:c r="B12" s="11" t="n">
        <x:v>2</x:v>
      </x:c>
      <x:c r="C12" s="11" t="n">
        <x:v>1</x:v>
      </x:c>
      <x:c r="D12" s="10" t="str">
        <x:v>independent lines</x:v>
      </x:c>
      <x:c r="E12" s="10" t="str">
        <x:v>Release continuity and cross-check</x:v>
      </x:c>
    </x:row>
    <x:row r="13">
      <x:c r="A13" s="20" t="str">
        <x:v>Local black-start sources</x:v>
      </x:c>
      <x:c r="B13" s="11" t="n">
        <x:v>2</x:v>
      </x:c>
      <x:c r="C13" s="11" t="n">
        <x:v>2</x:v>
      </x:c>
      <x:c r="D13" s="20" t="str">
        <x:v>independent</x:v>
      </x:c>
      <x:c r="E13" s="20" t="str">
        <x:v>Exercise and bridge without national source</x:v>
      </x:c>
    </x:row>
    <x:row r="14">
      <x:c r="A14" s="10" t="str">
        <x:v>Environmental monitoring stations</x:v>
      </x:c>
      <x:c r="B14" s="11" t="n">
        <x:v>12</x:v>
      </x:c>
      <x:c r="C14" s="11" t="n">
        <x:v>8</x:v>
      </x:c>
      <x:c r="D14" s="10" t="str">
        <x:v>count</x:v>
      </x:c>
      <x:c r="E14" s="10" t="str">
        <x:v>Intake, discharge, thermal, water, and public record</x:v>
      </x:c>
    </x:row>
    <x:row r="15">
      <x:c r="A15" s="20" t="str">
        <x:v>Full mission exercises</x:v>
      </x:c>
      <x:c r="B15" s="11" t="n">
        <x:v>2</x:v>
      </x:c>
      <x:c r="C15" s="11" t="n">
        <x:v>2</x:v>
      </x:c>
      <x:c r="D15" s="20" t="str">
        <x:v>per year</x:v>
      </x:c>
      <x:c r="E15" s="20" t="str">
        <x:v>One planned degradation and one mobilization event</x:v>
      </x:c>
    </x:row>
    <x:row r="16">
      <x:c r="A16" s="10" t="str">
        <x:v>Site-basis revision</x:v>
      </x:c>
      <x:c r="B16" s="11" t="n">
        <x:v>1</x:v>
      </x:c>
      <x:c r="C16" s="11" t="n">
        <x:v>1</x:v>
      </x:c>
      <x:c r="D16" s="10" t="str">
        <x:v>per year</x:v>
      </x:c>
      <x:c r="E16" s="10" t="str">
        <x:v>Survey, hazard, network, and civil compact update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</x:cols>
  <x:sheetData>
    <x:row r="1" ht="28" customHeight="1">
      <x:c r="A1" s="44" t="str">
        <x:v>Lifecycle Cost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</x:row>
    <x:row r="2" ht="20" customHeight="1">
      <x:c r="A2" s="46" t="str">
        <x:v>Real 2026 USD. Transparent planning assumptions; not an independent cost estimate or additive national program total.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</x:row>
    <x:row r="4" ht="26" customHeight="1">
      <x:c r="A4" s="50" t="str">
        <x:v>Node</x:v>
      </x:c>
      <x:c r="B4" s="50" t="str">
        <x:v>Architecture</x:v>
      </x:c>
      <x:c r="C4" s="50" t="str">
        <x:v>Capex $B</x:v>
      </x:c>
      <x:c r="D4" s="50" t="str">
        <x:v>Annual fixed $B</x:v>
      </x:c>
      <x:c r="E4" s="50" t="str">
        <x:v>Annual periodic $B</x:v>
      </x:c>
      <x:c r="F4" s="50" t="str">
        <x:v>Fuel days/y</x:v>
      </x:c>
      <x:c r="G4" s="50" t="str">
        <x:v>Fuel $M/y</x:v>
      </x:c>
      <x:c r="H4" s="50" t="str">
        <x:v>Benefit $B/y</x:v>
      </x:c>
      <x:c r="I4" s="50" t="str">
        <x:v>Low PV $B</x:v>
      </x:c>
      <x:c r="J4" s="50" t="str">
        <x:v>Base PV $B</x:v>
      </x:c>
      <x:c r="K4" s="50" t="str">
        <x:v>High PV $B</x:v>
      </x:c>
      <x:c r="L4" s="50" t="str">
        <x:v>Interpretation</x:v>
      </x:c>
    </x:row>
    <x:row r="5">
      <x:c r="A5" s="54" t="str">
        <x:f>'Architecture Options'!A5</x:f>
        <x:v>RUA-300</x:v>
      </x:c>
      <x:c r="B5" s="54" t="str">
        <x:f>'Architecture Options'!B5</x:f>
        <x:v>Segmented floating nuclear</x:v>
      </x:c>
      <x:c r="C5" s="58" t="n">
        <x:f>'Architecture Options'!I5</x:f>
        <x:v>55</x:v>
      </x:c>
      <x:c r="D5" s="58" t="n">
        <x:f>'Architecture Options'!J5</x:f>
        <x:v>1.6</x:v>
      </x:c>
      <x:c r="E5" s="58" t="n">
        <x:f>'Architecture Options'!K5</x:f>
        <x:v>0.6</x:v>
      </x:c>
      <x:c r="F5" s="58" t="n">
        <x:f>'Architecture Options'!M5</x:f>
        <x:v>0</x:v>
      </x:c>
      <x:c r="G5" s="58" t="n">
        <x:f>'Fuel Logistics'!G5*IF('Architecture Options'!P5="LNG",650,IF('Architecture Options'!P5="Diesel",1000,0))*F5/1000000</x:f>
        <x:v>0</x:v>
      </x:c>
      <x:c r="H5" s="58" t="n">
        <x:f>'Architecture Options'!N5</x:f>
        <x:v>0</x:v>
      </x:c>
      <x:c r="I5" s="58" t="n">
        <x:f>C5*Controls!B37+((D5+E5+G5/1000)*Controls!B37-H5)*(1-(1+Controls!B35)^-Controls!B36)/Controls!B35+'Architecture Options'!L5*Controls!B37/(1+Controls!B35)^Controls!B36</x:f>
        <x:v>72.13091875228622</x:v>
      </x:c>
      <x:c r="J5" s="58" t="n">
        <x:f>C5+((D5+E5+G5/1000-H5)*(1-(1+Controls!B35)^-Controls!B36)/Controls!B35)+'Architecture Options'!L5/(1+Controls!B35)^Controls!B36</x:f>
        <x:v>96.17455833638162</x:v>
      </x:c>
      <x:c r="K5" s="58" t="n">
        <x:f>C5*Controls!B38+((D5+E5+G5/1000)*Controls!B38-H5)*(1-(1+Controls!B35)^-Controls!B36)/Controls!B35+'Architecture Options'!L5*Controls!B38/(1+Controls!B35)^Controls!B36</x:f>
        <x:v>144.26183750457244</x:v>
      </x:c>
      <x:c r="L5" s="51" t="str">
        <x:v>Compare only after common mission and site evidence close</x:v>
      </x:c>
    </x:row>
    <x:row r="6">
      <x:c r="A6" s="54" t="str">
        <x:f>'Architecture Options'!A6</x:f>
        <x:v>RUA-300</x:v>
      </x:c>
      <x:c r="B6" s="54" t="str">
        <x:f>'Architecture Options'!B6</x:f>
        <x:v>Prelicensed shore nuclear</x:v>
      </x:c>
      <x:c r="C6" s="58" t="n">
        <x:f>'Architecture Options'!I6</x:f>
        <x:v>35</x:v>
      </x:c>
      <x:c r="D6" s="58" t="n">
        <x:f>'Architecture Options'!J6</x:f>
        <x:v>1.3</x:v>
      </x:c>
      <x:c r="E6" s="58" t="n">
        <x:f>'Architecture Options'!K6</x:f>
        <x:v>0.5</x:v>
      </x:c>
      <x:c r="F6" s="58" t="n">
        <x:f>'Architecture Options'!M6</x:f>
        <x:v>0</x:v>
      </x:c>
      <x:c r="G6" s="58" t="n">
        <x:f>'Fuel Logistics'!G6*IF('Architecture Options'!P6="LNG",650,IF('Architecture Options'!P6="Diesel",1000,0))*F6/1000000</x:f>
        <x:v>0</x:v>
      </x:c>
      <x:c r="H6" s="58" t="n">
        <x:f>'Architecture Options'!N6</x:f>
        <x:v>0</x:v>
      </x:c>
      <x:c r="I6" s="58" t="n">
        <x:f>C6*Controls!B37+((D6+E6+G6/1000)*Controls!B37-H6)*(1-(1+Controls!B35)^-Controls!B36)/Controls!B35+'Architecture Options'!L6*Controls!B37/(1+Controls!B35)^Controls!B36</x:f>
        <x:v>51.54877026795656</x:v>
      </x:c>
      <x:c r="J6" s="58" t="n">
        <x:f>C6+((D6+E6+G6/1000-H6)*(1-(1+Controls!B35)^-Controls!B36)/Controls!B35)+'Architecture Options'!L6/(1+Controls!B35)^Controls!B36</x:f>
        <x:v>68.73169369060874</x:v>
      </x:c>
      <x:c r="K6" s="58" t="n">
        <x:f>C6*Controls!B38+((D6+E6+G6/1000)*Controls!B38-H6)*(1-(1+Controls!B35)^-Controls!B36)/Controls!B35+'Architecture Options'!L6*Controls!B38/(1+Controls!B35)^Controls!B36</x:f>
        <x:v>103.09754053591313</x:v>
      </x:c>
      <x:c r="L6" s="47" t="str">
        <x:v>Compare only after common mission and site evidence close</x:v>
      </x:c>
    </x:row>
    <x:row r="7">
      <x:c r="A7" s="54" t="str">
        <x:f>'Architecture Options'!A7</x:f>
        <x:v>RUA-300</x:v>
      </x:c>
      <x:c r="B7" s="54" t="str">
        <x:f>'Architecture Options'!B7</x:f>
        <x:v>LNG utility flotilla</x:v>
      </x:c>
      <x:c r="C7" s="58" t="n">
        <x:f>'Architecture Options'!I7</x:f>
        <x:v>9</x:v>
      </x:c>
      <x:c r="D7" s="58" t="n">
        <x:f>'Architecture Options'!J7</x:f>
        <x:v>0.55</x:v>
      </x:c>
      <x:c r="E7" s="58" t="n">
        <x:f>'Architecture Options'!K7</x:f>
        <x:v>0.25</x:v>
      </x:c>
      <x:c r="F7" s="58" t="n">
        <x:f>'Architecture Options'!M7</x:f>
        <x:v>200</x:v>
      </x:c>
      <x:c r="G7" s="58" t="n">
        <x:f>'Fuel Logistics'!G7*IF('Architecture Options'!P7="LNG",650,IF('Architecture Options'!P7="Diesel",1000,0))*F7/1000000</x:f>
        <x:v>283.96308139534887</x:v>
      </x:c>
      <x:c r="H7" s="58" t="n">
        <x:f>'Architecture Options'!N7</x:f>
        <x:v>0</x:v>
      </x:c>
      <x:c r="I7" s="58" t="n">
        <x:f>C7*Controls!B37+((D7+E7+G7/1000)*Controls!B37-H7)*(1-(1+Controls!B35)^-Controls!B36)/Controls!B35+'Architecture Options'!L7*Controls!B37/(1+Controls!B35)^Controls!B36</x:f>
        <x:v>21.622815275065015</x:v>
      </x:c>
      <x:c r="J7" s="58" t="n">
        <x:f>C7+((D7+E7+G7/1000-H7)*(1-(1+Controls!B35)^-Controls!B36)/Controls!B35)+'Architecture Options'!L7/(1+Controls!B35)^Controls!B36</x:f>
        <x:v>28.830420366753355</x:v>
      </x:c>
      <x:c r="K7" s="58" t="n">
        <x:f>C7*Controls!B38+((D7+E7+G7/1000)*Controls!B38-H7)*(1-(1+Controls!B35)^-Controls!B36)/Controls!B35+'Architecture Options'!L7*Controls!B38/(1+Controls!B35)^Controls!B36</x:f>
        <x:v>43.24563055013003</x:v>
      </x:c>
      <x:c r="L7" s="51" t="str">
        <x:v>Compare only after common mission and site evidence close</x:v>
      </x:c>
    </x:row>
    <x:row r="8">
      <x:c r="A8" s="54" t="str">
        <x:f>'Architecture Options'!A8</x:f>
        <x:v>RUA-300</x:v>
      </x:c>
      <x:c r="B8" s="54" t="str">
        <x:f>'Architecture Options'!B8</x:f>
        <x:v>Renewable + storage + firm</x:v>
      </x:c>
      <x:c r="C8" s="58" t="n">
        <x:f>'Architecture Options'!I8</x:f>
        <x:v>18</x:v>
      </x:c>
      <x:c r="D8" s="58" t="n">
        <x:f>'Architecture Options'!J8</x:f>
        <x:v>0.45</x:v>
      </x:c>
      <x:c r="E8" s="58" t="n">
        <x:f>'Architecture Options'!K8</x:f>
        <x:v>0.4</x:v>
      </x:c>
      <x:c r="F8" s="58" t="n">
        <x:f>'Architecture Options'!M8</x:f>
        <x:v>45</x:v>
      </x:c>
      <x:c r="G8" s="58" t="n">
        <x:f>'Fuel Logistics'!G8*IF('Architecture Options'!P8="LNG",650,IF('Architecture Options'!P8="Diesel",1000,0))*F8/1000000</x:f>
        <x:v>63.891693313953496</x:v>
      </x:c>
      <x:c r="H8" s="58" t="n">
        <x:f>'Architecture Options'!N8</x:f>
        <x:v>1.2</x:v>
      </x:c>
      <x:c r="I8" s="58" t="n">
        <x:f>C8*Controls!B37+((D8+E8+G8/1000)*Controls!B37-H8)*(1-(1+Controls!B35)^-Controls!B36)/Controls!B35+'Architecture Options'!L8*Controls!B37/(1+Controls!B35)^Controls!B36</x:f>
        <x:v>5.6141335734361295</x:v>
      </x:c>
      <x:c r="J8" s="58" t="n">
        <x:f>C8+((D8+E8+G8/1000-H8)*(1-(1+Controls!B35)^-Controls!B36)/Controls!B35)+'Architecture Options'!L8/(1+Controls!B35)^Controls!B36</x:f>
        <x:v>14.450770507759385</x:v>
      </x:c>
      <x:c r="K8" s="58" t="n">
        <x:f>C8*Controls!B38+((D8+E8+G8/1000)*Controls!B38-H8)*(1-(1+Controls!B35)^-Controls!B36)/Controls!B35+'Architecture Options'!L8*Controls!B38/(1+Controls!B35)^Controls!B36</x:f>
        <x:v>32.12404437640589</x:v>
      </x:c>
      <x:c r="L8" s="47" t="str">
        <x:v>Compare only after common mission and site evidence close</x:v>
      </x:c>
    </x:row>
    <x:row r="9">
      <x:c r="A9" s="54" t="str">
        <x:f>'Architecture Options'!A9</x:f>
        <x:v>RUA-300</x:v>
      </x:c>
      <x:c r="B9" s="54" t="str">
        <x:f>'Architecture Options'!B9</x:f>
        <x:v>Water works + grid repair</x:v>
      </x:c>
      <x:c r="C9" s="58" t="n">
        <x:f>'Architecture Options'!I9</x:f>
        <x:v>8</x:v>
      </x:c>
      <x:c r="D9" s="58" t="n">
        <x:f>'Architecture Options'!J9</x:f>
        <x:v>0.35</x:v>
      </x:c>
      <x:c r="E9" s="58" t="n">
        <x:f>'Architecture Options'!K9</x:f>
        <x:v>0.2</x:v>
      </x:c>
      <x:c r="F9" s="58" t="n">
        <x:f>'Architecture Options'!M9</x:f>
        <x:v>30</x:v>
      </x:c>
      <x:c r="G9" s="58" t="n">
        <x:f>'Fuel Logistics'!G9*IF('Architecture Options'!P9="LNG",650,IF('Architecture Options'!P9="Diesel",1000,0))*F9/1000000</x:f>
        <x:v>35.91627906976745</x:v>
      </x:c>
      <x:c r="H9" s="58" t="n">
        <x:f>'Architecture Options'!N9</x:f>
        <x:v>0.5</x:v>
      </x:c>
      <x:c r="I9" s="58" t="n">
        <x:f>C9*Controls!B37+((D9+E9+G9/1000)*Controls!B37-H9)*(1-(1+Controls!B35)^-Controls!B36)/Controls!B35+'Architecture Options'!L9*Controls!B37/(1+Controls!B35)^Controls!B36</x:f>
        <x:v>5.303615357931682</x:v>
      </x:c>
      <x:c r="J9" s="58" t="n">
        <x:f>C9+((D9+E9+G9/1000-H9)*(1-(1+Controls!B35)^-Controls!B36)/Controls!B35)+'Architecture Options'!L9/(1+Controls!B35)^Controls!B36</x:f>
        <x:v>9.973678425788579</x:v>
      </x:c>
      <x:c r="K9" s="58" t="n">
        <x:f>C9*Controls!B38+((D9+E9+G9/1000)*Controls!B38-H9)*(1-(1+Controls!B35)^-Controls!B36)/Controls!B35+'Architecture Options'!L9*Controls!B38/(1+Controls!B35)^Controls!B36</x:f>
        <x:v>19.31380456150238</x:v>
      </x:c>
      <x:c r="L9" s="51" t="str">
        <x:v>Compare only after common mission and site evidence close</x:v>
      </x:c>
    </x:row>
    <x:row r="10">
      <x:c r="A10" s="54" t="str">
        <x:f>'Architecture Options'!A10</x:f>
        <x:v>RUA-300</x:v>
      </x:c>
      <x:c r="B10" s="54" t="str">
        <x:f>'Architecture Options'!B10</x:f>
        <x:v>Imported water + diesel bridge</x:v>
      </x:c>
      <x:c r="C10" s="58" t="n">
        <x:f>'Architecture Options'!I10</x:f>
        <x:v>2</x:v>
      </x:c>
      <x:c r="D10" s="58" t="n">
        <x:f>'Architecture Options'!J10</x:f>
        <x:v>0.25</x:v>
      </x:c>
      <x:c r="E10" s="58" t="n">
        <x:f>'Architecture Options'!K10</x:f>
        <x:v>0.1</x:v>
      </x:c>
      <x:c r="F10" s="58" t="n">
        <x:f>'Architecture Options'!M10</x:f>
        <x:v>60</x:v>
      </x:c>
      <x:c r="G10" s="58" t="n">
        <x:f>'Fuel Logistics'!G10*IF('Architecture Options'!P10="LNG",650,IF('Architecture Options'!P10="Diesel",1000,0))*F10/1000000</x:f>
        <x:v>26.915887850467293</x:v>
      </x:c>
      <x:c r="H10" s="58" t="n">
        <x:f>'Architecture Options'!N10</x:f>
        <x:v>0</x:v>
      </x:c>
      <x:c r="I10" s="58" t="n">
        <x:f>C10*Controls!B37+((D10+E10+G10/1000)*Controls!B37-H10)*(1-(1+Controls!B35)^-Controls!B36)/Controls!B35+'Architecture Options'!L10*Controls!B37/(1+Controls!B35)^Controls!B36</x:f>
        <x:v>6.565750687525526</x:v>
      </x:c>
      <x:c r="J10" s="58" t="n">
        <x:f>C10+((D10+E10+G10/1000-H10)*(1-(1+Controls!B35)^-Controls!B36)/Controls!B35)+'Architecture Options'!L10/(1+Controls!B35)^Controls!B36</x:f>
        <x:v>8.754334250034034</x:v>
      </x:c>
      <x:c r="K10" s="58" t="n">
        <x:f>C10*Controls!B38+((D10+E10+G10/1000)*Controls!B38-H10)*(1-(1+Controls!B35)^-Controls!B36)/Controls!B35+'Architecture Options'!L10*Controls!B38/(1+Controls!B35)^Controls!B36</x:f>
        <x:v>13.131501375051052</x:v>
      </x:c>
      <x:c r="L10" s="47" t="str">
        <x:v>Bridge cost compounds without full-service closure</x:v>
      </x:c>
    </x:row>
    <x:row r="11">
      <x:c r="A11" s="54" t="str">
        <x:f>'Architecture Options'!A11</x:f>
        <x:v>IUA-60</x:v>
      </x:c>
      <x:c r="B11" s="54" t="str">
        <x:f>'Architecture Options'!B11</x:f>
        <x:v>Segmented floating nuclear</x:v>
      </x:c>
      <x:c r="C11" s="58" t="n">
        <x:f>'Architecture Options'!I11</x:f>
        <x:v>15</x:v>
      </x:c>
      <x:c r="D11" s="58" t="n">
        <x:f>'Architecture Options'!J11</x:f>
        <x:v>0.55</x:v>
      </x:c>
      <x:c r="E11" s="58" t="n">
        <x:f>'Architecture Options'!K11</x:f>
        <x:v>0.2</x:v>
      </x:c>
      <x:c r="F11" s="58" t="n">
        <x:f>'Architecture Options'!M11</x:f>
        <x:v>0</x:v>
      </x:c>
      <x:c r="G11" s="58" t="n">
        <x:f>'Fuel Logistics'!G11*IF('Architecture Options'!P11="LNG",650,IF('Architecture Options'!P11="Diesel",1000,0))*F11/1000000</x:f>
        <x:v>0</x:v>
      </x:c>
      <x:c r="H11" s="58" t="n">
        <x:f>'Architecture Options'!N11</x:f>
        <x:v>0</x:v>
      </x:c>
      <x:c r="I11" s="58" t="n">
        <x:f>C11*Controls!C37+((D11+E11+G11/1000)*Controls!C37-H11)*(1-(1+Controls!C35)^-Controls!C36)/Controls!C35+'Architecture Options'!L11*Controls!C37/(1+Controls!C35)^Controls!C36</x:f>
        <x:v>21.76130393023638</x:v>
      </x:c>
      <x:c r="J11" s="58" t="n">
        <x:f>C11+((D11+E11+G11/1000-H11)*(1-(1+Controls!C35)^-Controls!C36)/Controls!C35)+'Architecture Options'!L11/(1+Controls!C35)^Controls!C36</x:f>
        <x:v>29.015071906981838</x:v>
      </x:c>
      <x:c r="K11" s="58" t="n">
        <x:f>C11*Controls!C38+((D11+E11+G11/1000)*Controls!C38-H11)*(1-(1+Controls!C35)^-Controls!C36)/Controls!C35+'Architecture Options'!L11*Controls!C38/(1+Controls!C35)^Controls!C36</x:f>
        <x:v>43.52260786047276</x:v>
      </x:c>
      <x:c r="L11" s="51" t="str">
        <x:v>Compare only after common mission and site evidence close</x:v>
      </x:c>
    </x:row>
    <x:row r="12">
      <x:c r="A12" s="54" t="str">
        <x:f>'Architecture Options'!A12</x:f>
        <x:v>IUA-60</x:v>
      </x:c>
      <x:c r="B12" s="54" t="str">
        <x:f>'Architecture Options'!B12</x:f>
        <x:v>Prelicensed shore nuclear</x:v>
      </x:c>
      <x:c r="C12" s="58" t="n">
        <x:f>'Architecture Options'!I12</x:f>
        <x:v>10</x:v>
      </x:c>
      <x:c r="D12" s="58" t="n">
        <x:f>'Architecture Options'!J12</x:f>
        <x:v>0.5</x:v>
      </x:c>
      <x:c r="E12" s="58" t="n">
        <x:f>'Architecture Options'!K12</x:f>
        <x:v>0.2</x:v>
      </x:c>
      <x:c r="F12" s="58" t="n">
        <x:f>'Architecture Options'!M12</x:f>
        <x:v>0</x:v>
      </x:c>
      <x:c r="G12" s="58" t="n">
        <x:f>'Fuel Logistics'!G12*IF('Architecture Options'!P12="LNG",650,IF('Architecture Options'!P12="Diesel",1000,0))*F12/1000000</x:f>
        <x:v>0</x:v>
      </x:c>
      <x:c r="H12" s="58" t="n">
        <x:f>'Architecture Options'!N12</x:f>
        <x:v>0</x:v>
      </x:c>
      <x:c r="I12" s="58" t="n">
        <x:f>C12*Controls!C37+((D12+E12+G12/1000)*Controls!C37-H12)*(1-(1+Controls!C35)^-Controls!C36)/Controls!C35+'Architecture Options'!L12*Controls!C37/(1+Controls!C35)^Controls!C36</x:f>
        <x:v>17.358310891813453</x:v>
      </x:c>
      <x:c r="J12" s="58" t="n">
        <x:f>C12+((D12+E12+G12/1000-H12)*(1-(1+Controls!C35)^-Controls!C36)/Controls!C35)+'Architecture Options'!L12/(1+Controls!C35)^Controls!C36</x:f>
        <x:v>23.144414522417936</x:v>
      </x:c>
      <x:c r="K12" s="58" t="n">
        <x:f>C12*Controls!C38+((D12+E12+G12/1000)*Controls!C38-H12)*(1-(1+Controls!C35)^-Controls!C36)/Controls!C35+'Architecture Options'!L12*Controls!C38/(1+Controls!C35)^Controls!C36</x:f>
        <x:v>34.716621783626906</x:v>
      </x:c>
      <x:c r="L12" s="47" t="str">
        <x:v>Compare only after common mission and site evidence close</x:v>
      </x:c>
    </x:row>
    <x:row r="13">
      <x:c r="A13" s="54" t="str">
        <x:f>'Architecture Options'!A13</x:f>
        <x:v>IUA-60</x:v>
      </x:c>
      <x:c r="B13" s="54" t="str">
        <x:f>'Architecture Options'!B13</x:f>
        <x:v>LNG utility flotilla</x:v>
      </x:c>
      <x:c r="C13" s="58" t="n">
        <x:f>'Architecture Options'!I13</x:f>
        <x:v>3</x:v>
      </x:c>
      <x:c r="D13" s="58" t="n">
        <x:f>'Architecture Options'!J13</x:f>
        <x:v>0.25</x:v>
      </x:c>
      <x:c r="E13" s="58" t="n">
        <x:f>'Architecture Options'!K13</x:f>
        <x:v>0.08</x:v>
      </x:c>
      <x:c r="F13" s="58" t="n">
        <x:f>'Architecture Options'!M13</x:f>
        <x:v>200</x:v>
      </x:c>
      <x:c r="G13" s="58" t="n">
        <x:f>'Fuel Logistics'!G13*IF('Architecture Options'!P13="LNG",650,IF('Architecture Options'!P13="Diesel",1000,0))*F13/1000000</x:f>
        <x:v>42.03383720930232</x:v>
      </x:c>
      <x:c r="H13" s="58" t="n">
        <x:f>'Architecture Options'!N13</x:f>
        <x:v>0</x:v>
      </x:c>
      <x:c r="I13" s="58" t="n">
        <x:f>C13*Controls!C37+((D13+E13+G13/1000)*Controls!C37-H13)*(1-(1+Controls!C35)^-Controls!C36)/Controls!C35+'Architecture Options'!L13*Controls!C37/(1+Controls!C35)^Controls!C36</x:f>
        <x:v>7.287812203581973</x:v>
      </x:c>
      <x:c r="J13" s="58" t="n">
        <x:f>C13+((D13+E13+G13/1000-H13)*(1-(1+Controls!C35)^-Controls!C36)/Controls!C35)+'Architecture Options'!L13/(1+Controls!C35)^Controls!C36</x:f>
        <x:v>9.717082938109298</x:v>
      </x:c>
      <x:c r="K13" s="58" t="n">
        <x:f>C13*Controls!C38+((D13+E13+G13/1000)*Controls!C38-H13)*(1-(1+Controls!C35)^-Controls!C36)/Controls!C35+'Architecture Options'!L13*Controls!C38/(1+Controls!C35)^Controls!C36</x:f>
        <x:v>14.575624407163946</x:v>
      </x:c>
      <x:c r="L13" s="51" t="str">
        <x:v>Compare only after common mission and site evidence close</x:v>
      </x:c>
    </x:row>
    <x:row r="14">
      <x:c r="A14" s="54" t="str">
        <x:f>'Architecture Options'!A14</x:f>
        <x:v>IUA-60</x:v>
      </x:c>
      <x:c r="B14" s="54" t="str">
        <x:f>'Architecture Options'!B14</x:f>
        <x:v>Renewable + storage + firm</x:v>
      </x:c>
      <x:c r="C14" s="58" t="n">
        <x:f>'Architecture Options'!I14</x:f>
        <x:v>6</x:v>
      </x:c>
      <x:c r="D14" s="58" t="n">
        <x:f>'Architecture Options'!J14</x:f>
        <x:v>0.22</x:v>
      </x:c>
      <x:c r="E14" s="58" t="n">
        <x:f>'Architecture Options'!K14</x:f>
        <x:v>0.15</x:v>
      </x:c>
      <x:c r="F14" s="58" t="n">
        <x:f>'Architecture Options'!M14</x:f>
        <x:v>45</x:v>
      </x:c>
      <x:c r="G14" s="58" t="n">
        <x:f>'Fuel Logistics'!G14*IF('Architecture Options'!P14="LNG",650,IF('Architecture Options'!P14="Diesel",1000,0))*F14/1000000</x:f>
        <x:v>9.457613372093022</x:v>
      </x:c>
      <x:c r="H14" s="58" t="n">
        <x:f>'Architecture Options'!N14</x:f>
        <x:v>0.35</x:v>
      </x:c>
      <x:c r="I14" s="58" t="n">
        <x:f>C14*Controls!C37+((D14+E14+G14/1000)*Controls!C37-H14)*(1-(1+Controls!C35)^-Controls!C36)/Controls!C35+'Architecture Options'!L14*Controls!C37/(1+Controls!C35)^Controls!C36</x:f>
        <x:v>3.7192660831700337</x:v>
      </x:c>
      <x:c r="J14" s="58" t="n">
        <x:f>C14+((D14+E14+G14/1000-H14)*(1-(1+Controls!C35)^-Controls!C36)/Controls!C35)+'Architecture Options'!L14/(1+Controls!C35)^Controls!C36</x:f>
        <x:v>6.990555341542481</x:v>
      </x:c>
      <x:c r="K14" s="58" t="n">
        <x:f>C14*Controls!C38+((D14+E14+G14/1000)*Controls!C38-H14)*(1-(1+Controls!C35)^-Controls!C36)/Controls!C35+'Architecture Options'!L14*Controls!C38/(1+Controls!C35)^Controls!C36</x:f>
        <x:v>13.533133858287377</x:v>
      </x:c>
      <x:c r="L14" s="47" t="str">
        <x:v>Compare only after common mission and site evidence close</x:v>
      </x:c>
    </x:row>
    <x:row r="15">
      <x:c r="A15" s="54" t="str">
        <x:f>'Architecture Options'!A15</x:f>
        <x:v>IUA-60</x:v>
      </x:c>
      <x:c r="B15" s="54" t="str">
        <x:f>'Architecture Options'!B15</x:f>
        <x:v>Water works + grid repair</x:v>
      </x:c>
      <x:c r="C15" s="58" t="n">
        <x:f>'Architecture Options'!I15</x:f>
        <x:v>4</x:v>
      </x:c>
      <x:c r="D15" s="58" t="n">
        <x:f>'Architecture Options'!J15</x:f>
        <x:v>0.18</x:v>
      </x:c>
      <x:c r="E15" s="58" t="n">
        <x:f>'Architecture Options'!K15</x:f>
        <x:v>0.08</x:v>
      </x:c>
      <x:c r="F15" s="58" t="n">
        <x:f>'Architecture Options'!M15</x:f>
        <x:v>30</x:v>
      </x:c>
      <x:c r="G15" s="58" t="n">
        <x:f>'Fuel Logistics'!G15*IF('Architecture Options'!P15="LNG",650,IF('Architecture Options'!P15="Diesel",1000,0))*F15/1000000</x:f>
        <x:v>6.305075581395348</x:v>
      </x:c>
      <x:c r="H15" s="58" t="n">
        <x:f>'Architecture Options'!N15</x:f>
        <x:v>0.15</x:v>
      </x:c>
      <x:c r="I15" s="58" t="n">
        <x:f>C15*Controls!C37+((D15+E15+G15/1000)*Controls!C37-H15)*(1-(1+Controls!C35)^-Controls!C36)/Controls!C35+'Architecture Options'!L15*Controls!C37/(1+Controls!C35)^Controls!C36</x:f>
        <x:v>4.009216726113641</x:v>
      </x:c>
      <x:c r="J15" s="58" t="n">
        <x:f>C15+((D15+E15+G15/1000-H15)*(1-(1+Controls!C35)^-Controls!C36)/Controls!C35)+'Architecture Options'!L15/(1+Controls!C35)^Controls!C36</x:f>
        <x:v>6.216279686048756</x:v>
      </x:c>
      <x:c r="K15" s="58" t="n">
        <x:f>C15*Controls!C38+((D15+E15+G15/1000)*Controls!C38-H15)*(1-(1+Controls!C35)^-Controls!C36)/Controls!C35+'Architecture Options'!L15*Controls!C38/(1+Controls!C35)^Controls!C36</x:f>
        <x:v>10.630405605918984</x:v>
      </x:c>
      <x:c r="L15" s="51" t="str">
        <x:v>Compare only after common mission and site evidence close</x:v>
      </x:c>
    </x:row>
    <x:row r="16">
      <x:c r="A16" s="54" t="str">
        <x:f>'Architecture Options'!A16</x:f>
        <x:v>IUA-60</x:v>
      </x:c>
      <x:c r="B16" s="54" t="str">
        <x:f>'Architecture Options'!B16</x:f>
        <x:v>Imported water + diesel bridge</x:v>
      </x:c>
      <x:c r="C16" s="58" t="n">
        <x:f>'Architecture Options'!I16</x:f>
        <x:v>1.2</x:v>
      </x:c>
      <x:c r="D16" s="58" t="n">
        <x:f>'Architecture Options'!J16</x:f>
        <x:v>0.15</x:v>
      </x:c>
      <x:c r="E16" s="58" t="n">
        <x:f>'Architecture Options'!K16</x:f>
        <x:v>0.05</x:v>
      </x:c>
      <x:c r="F16" s="58" t="n">
        <x:f>'Architecture Options'!M16</x:f>
        <x:v>60</x:v>
      </x:c>
      <x:c r="G16" s="58" t="n">
        <x:f>'Fuel Logistics'!G16*IF('Architecture Options'!P16="LNG",650,IF('Architecture Options'!P16="Diesel",1000,0))*F16/1000000</x:f>
        <x:v>4.037383177570095</x:v>
      </x:c>
      <x:c r="H16" s="58" t="n">
        <x:f>'Architecture Options'!N16</x:f>
        <x:v>0</x:v>
      </x:c>
      <x:c r="I16" s="58" t="n">
        <x:f>C16*Controls!C37+((D16+E16+G16/1000)*Controls!C37-H16)*(1-(1+Controls!C35)^-Controls!C36)/Controls!C35+'Architecture Options'!L16*Controls!C37/(1+Controls!C35)^Controls!C36</x:f>
        <x:v>3.636340651248935</x:v>
      </x:c>
      <x:c r="J16" s="58" t="n">
        <x:f>C16+((D16+E16+G16/1000-H16)*(1-(1+Controls!C35)^-Controls!C36)/Controls!C35)+'Architecture Options'!L16/(1+Controls!C35)^Controls!C36</x:f>
        <x:v>4.8484542016652465</x:v>
      </x:c>
      <x:c r="K16" s="58" t="n">
        <x:f>C16*Controls!C38+((D16+E16+G16/1000)*Controls!C38-H16)*(1-(1+Controls!C35)^-Controls!C36)/Controls!C35+'Architecture Options'!L16*Controls!C38/(1+Controls!C35)^Controls!C36</x:f>
        <x:v>7.27268130249787</x:v>
      </x:c>
      <x:c r="L16" s="47" t="str">
        <x:v>Bridge cost compounds without full-service closure</x:v>
      </x:c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>
      <x:c r="A19" s="48" t="str">
        <x:v>Accounting boundary</x:v>
      </x:c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</x:row>
    <x:row r="20">
      <x:c r="A20" s="10" t="str">
        <x:v>Included</x:v>
      </x:c>
      <x:c r="B20" s="10" t="str">
        <x:v>Architecture capital, fixed O&amp;M, annualized periodic burden, modeled delivered-fuel expense, decommissioning, and assumed peacetime benefit.</x:v>
      </x:c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</x:row>
    <x:row r="21">
      <x:c r="A21" s="10" t="str">
        <x:v>Excluded</x:v>
      </x:c>
      <x:c r="B21" s="10" t="str">
        <x:v>Host land value, emergency bridge inventory outside the option record, nuclear fuel-cycle detail, financing, tax, local tariff effects, macroeconomic benefits, and independent uncertainty distributions.</x:v>
      </x:c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>
      <x:c r="A22" s="10" t="str">
        <x:v>Do not add</x:v>
      </x:c>
      <x:c r="B22" s="10" t="str">
        <x:v>The prior $400B N-WES frame overlaps with anchor interfaces, bases, process modules, R&amp;D, and workforce. A common work breakdown structure is required before aggregation.</x:v>
      </x:c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22" hidden="0" customWidth="1"/>
    <x:col min="5" max="5" width="20" hidden="0" customWidth="1"/>
    <x:col min="6" max="6" width="60" hidden="0" customWidth="1"/>
  </x:cols>
  <x:sheetData>
    <x:row r="1" ht="28" customHeight="1">
      <x:c r="A1" s="44" t="str">
        <x:v>Utility System Family</x:v>
      </x:c>
      <x:c r="B1" s="45"/>
      <x:c r="C1" s="45"/>
      <x:c r="D1" s="45"/>
      <x:c r="E1" s="45"/>
      <x:c r="F1" s="45"/>
    </x:row>
    <x:row r="2" ht="20" customHeight="1">
      <x:c r="A2" s="46" t="str">
        <x:v>The paired anchors convert a monolithic fleet idea into interoperable scale families.</x:v>
      </x:c>
      <x:c r="B2" s="46"/>
      <x:c r="C2" s="46"/>
      <x:c r="D2" s="46"/>
      <x:c r="E2" s="46"/>
      <x:c r="F2" s="46"/>
    </x:row>
    <x:row r="3">
      <x:c r="A3" s="47"/>
      <x:c r="B3" s="47"/>
      <x:c r="C3" s="47"/>
      <x:c r="D3" s="47"/>
      <x:c r="E3" s="47"/>
      <x:c r="F3" s="47"/>
    </x:row>
    <x:row r="4" ht="26" customHeight="1">
      <x:c r="A4" s="50" t="str">
        <x:v>Layer</x:v>
      </x:c>
      <x:c r="B4" s="50" t="str">
        <x:v>Regional class</x:v>
      </x:c>
      <x:c r="C4" s="50" t="str">
        <x:v>Island class</x:v>
      </x:c>
      <x:c r="D4" s="50" t="str">
        <x:v>Primary design driver</x:v>
      </x:c>
      <x:c r="E4" s="50" t="str">
        <x:v>Maturity</x:v>
      </x:c>
      <x:c r="F4" s="50" t="str">
        <x:v>Research consequence</x:v>
      </x:c>
    </x:row>
    <x:row r="5">
      <x:c r="A5" s="20" t="str">
        <x:v>Energy core</x:v>
      </x:c>
      <x:c r="B5" s="20" t="str">
        <x:v>NEC-300</x:v>
      </x:c>
      <x:c r="C5" s="20" t="str">
        <x:v>NEC-60</x:v>
      </x:c>
      <x:c r="D5" s="20" t="str">
        <x:v>Receiving-system bus and stable operating range</x:v>
      </x:c>
      <x:c r="E5" s="20" t="str">
        <x:v>R1/R2</x:v>
      </x:c>
      <x:c r="F5" s="20" t="str">
        <x:v>Maintain rival nuclear and non-nuclear sources behind one bus contract</x:v>
      </x:c>
    </x:row>
    <x:row r="6">
      <x:c r="A6" s="10" t="str">
        <x:v>Water process</x:v>
      </x:c>
      <x:c r="B6" s="10" t="str">
        <x:v>WPB-100 / WPB-50</x:v>
      </x:c>
      <x:c r="C6" s="10" t="str">
        <x:v>WPB-20</x:v>
      </x:c>
      <x:c r="D6" s="10" t="str">
        <x:v>Feed matrix, modular outage, residuals, public service</x:v>
      </x:c>
      <x:c r="E6" s="10" t="str">
        <x:v>R2</x:v>
      </x:c>
      <x:c r="F6" s="10" t="str">
        <x:v>Common fluid, power, control, evidence, and safety interfaces</x:v>
      </x:c>
    </x:row>
    <x:row r="7">
      <x:c r="A7" s="20" t="str">
        <x:v>Shore interface</x:v>
      </x:c>
      <x:c r="B7" s="20" t="str">
        <x:v>SIG-100 blocks</x:v>
      </x:c>
      <x:c r="C7" s="20" t="str">
        <x:v>SIG-25 blocks</x:v>
      </x:c>
      <x:c r="D7" s="20" t="str">
        <x:v>Fault duty, load blocks, landing, custody</x:v>
      </x:c>
      <x:c r="E7" s="20" t="str">
        <x:v>R2</x:v>
      </x:c>
      <x:c r="F7" s="20" t="str">
        <x:v>Block architecture replaces one-off cable connection</x:v>
      </x:c>
    </x:row>
    <x:row r="8">
      <x:c r="A8" s="10" t="str">
        <x:v>Utility corridor</x:v>
      </x:c>
      <x:c r="B8" s="10" t="str">
        <x:v>RUCG-H dual trunk</x:v>
      </x:c>
      <x:c r="C8" s="10" t="str">
        <x:v>RUCG-I high-head</x:v>
      </x:c>
      <x:c r="D8" s="10" t="str">
        <x:v>Mass, crossings, terrain, surge, repair</x:v>
      </x:c>
      <x:c r="E8" s="10" t="str">
        <x:v>R2+ arithmetic</x:v>
      </x:c>
      <x:c r="F8" s="10" t="str">
        <x:v>Develop different machines around common proof and telemetry</x:v>
      </x:c>
    </x:row>
    <x:row r="9">
      <x:c r="A9" s="20" t="str">
        <x:v>Storage/distribution</x:v>
      </x:c>
      <x:c r="B9" s="20" t="str">
        <x:v>Regional pressure zones</x:v>
      </x:c>
      <x:c r="C9" s="20" t="str">
        <x:v>Terrain reservoirs</x:v>
      </x:c>
      <x:c r="D9" s="20" t="str">
        <x:v>Service continuity and last mile</x:v>
      </x:c>
      <x:c r="E9" s="20" t="str">
        <x:v>R1/R2</x:v>
      </x:c>
      <x:c r="F9" s="20" t="str">
        <x:v>Permanent host works may dominate mobile capacity</x:v>
      </x:c>
    </x:row>
    <x:row r="10">
      <x:c r="A10" s="10" t="str">
        <x:v>Marine support</x:v>
      </x:c>
      <x:c r="B10" s="10" t="str">
        <x:v>Heavy utility flotilla</x:v>
      </x:c>
      <x:c r="C10" s="10" t="str">
        <x:v>Compact island support</x:v>
      </x:c>
      <x:c r="D10" s="10" t="str">
        <x:v>Mooring, tow, disconnect, salvage</x:v>
      </x:c>
      <x:c r="E10" s="10" t="str">
        <x:v>R1</x:v>
      </x:c>
      <x:c r="F10" s="10" t="str">
        <x:v>Safe harbor and weather decision are mission functions</x:v>
      </x:c>
    </x:row>
    <x:row r="11">
      <x:c r="A11" s="20" t="str">
        <x:v>Anchor</x:v>
      </x:c>
      <x:c r="B11" s="20" t="str">
        <x:v>RUA-300</x:v>
      </x:c>
      <x:c r="C11" s="20" t="str">
        <x:v>IUA-60</x:v>
      </x:c>
      <x:c r="D11" s="20" t="str">
        <x:v>Hazard-qualified source-neutral public interface</x:v>
      </x:c>
      <x:c r="E11" s="20" t="str">
        <x:v>R2</x:v>
      </x:c>
      <x:c r="F11" s="20" t="str">
        <x:v>Acquire and exercise the node as a system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58" hidden="0" customWidth="1"/>
  </x:cols>
  <x:sheetData>
    <x:row r="1" ht="28" customHeight="1">
      <x:c r="A1" s="44" t="str">
        <x:v>Workforce</x:v>
      </x:c>
      <x:c r="B1" s="45"/>
      <x:c r="C1" s="45"/>
      <x:c r="D1" s="45"/>
      <x:c r="E1" s="45"/>
    </x:row>
    <x:row r="2" ht="20" customHeight="1">
      <x:c r="A2" s="46" t="str">
        <x:v>Preliminary occupational screen for a complete deployed node mission; qualifications and shift factors remain unvalidated.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Occupation group</x:v>
      </x:c>
      <x:c r="B4" s="50" t="str">
        <x:v>RUA-300 deployed</x:v>
      </x:c>
      <x:c r="C4" s="50" t="str">
        <x:v>IUA-60 deployed</x:v>
      </x:c>
      <x:c r="D4" s="50" t="str">
        <x:v>Unit</x:v>
      </x:c>
      <x:c r="E4" s="50" t="str">
        <x:v>Boundary</x:v>
      </x:c>
    </x:row>
    <x:row r="5">
      <x:c r="A5" s="20" t="str">
        <x:v>Energy-core operations and maintenance</x:v>
      </x:c>
      <x:c r="B5" s="35" t="n">
        <x:v>900</x:v>
      </x:c>
      <x:c r="C5" s="35" t="n">
        <x:v>180</x:v>
      </x:c>
      <x:c r="D5" s="20" t="str">
        <x:v>people</x:v>
      </x:c>
      <x:c r="E5" s="20" t="str">
        <x:v>Two large cores versus one small class</x:v>
      </x:c>
    </x:row>
    <x:row r="6">
      <x:c r="A6" s="10" t="str">
        <x:v>Marine, tow, mooring, and salvage</x:v>
      </x:c>
      <x:c r="B6" s="35" t="n">
        <x:v>300</x:v>
      </x:c>
      <x:c r="C6" s="35" t="n">
        <x:v>90</x:v>
      </x:c>
      <x:c r="D6" s="10" t="str">
        <x:v>people</x:v>
      </x:c>
      <x:c r="E6" s="10" t="str">
        <x:v>Includes workboats and heavy weather</x:v>
      </x:c>
    </x:row>
    <x:row r="7">
      <x:c r="A7" s="20" t="str">
        <x:v>Grid protection, conversion, and utility operations</x:v>
      </x:c>
      <x:c r="B7" s="35" t="n">
        <x:v>280</x:v>
      </x:c>
      <x:c r="C7" s="35" t="n">
        <x:v>90</x:v>
      </x:c>
      <x:c r="D7" s="20" t="str">
        <x:v>people</x:v>
      </x:c>
      <x:c r="E7" s="20" t="str">
        <x:v>Field survey through authorized energization</x:v>
      </x:c>
    </x:row>
    <x:row r="8">
      <x:c r="A8" s="10" t="str">
        <x:v>Water process, laboratory, and residuals</x:v>
      </x:c>
      <x:c r="B8" s="35" t="n">
        <x:v>260</x:v>
      </x:c>
      <x:c r="C8" s="35" t="n">
        <x:v>90</x:v>
      </x:c>
      <x:c r="D8" s="10" t="str">
        <x:v>people</x:v>
      </x:c>
      <x:c r="E8" s="10" t="str">
        <x:v>Quality release and environmental control</x:v>
      </x:c>
    </x:row>
    <x:row r="9">
      <x:c r="A9" s="20" t="str">
        <x:v>Corridor and civil works</x:v>
      </x:c>
      <x:c r="B9" s="35" t="n">
        <x:v>520</x:v>
      </x:c>
      <x:c r="C9" s="35" t="n">
        <x:v>150</x:v>
      </x:c>
      <x:c r="D9" s="20" t="str">
        <x:v>people</x:v>
      </x:c>
      <x:c r="E9" s="20" t="str">
        <x:v>Pipe, cable, crossings, boosters, proof, repair</x:v>
      </x:c>
    </x:row>
    <x:row r="10">
      <x:c r="A10" s="10" t="str">
        <x:v>Security and radiological protection</x:v>
      </x:c>
      <x:c r="B10" s="35" t="n">
        <x:v>220</x:v>
      </x:c>
      <x:c r="C10" s="35" t="n">
        <x:v>55</x:v>
      </x:c>
      <x:c r="D10" s="10" t="str">
        <x:v>people</x:v>
      </x:c>
      <x:c r="E10" s="10" t="str">
        <x:v>Nuclear case; lower for non-nuclear alternatives</x:v>
      </x:c>
    </x:row>
    <x:row r="11">
      <x:c r="A11" s="20" t="str">
        <x:v>Logistics, maintenance, medical, and command</x:v>
      </x:c>
      <x:c r="B11" s="35" t="n">
        <x:v>320</x:v>
      </x:c>
      <x:c r="C11" s="35" t="n">
        <x:v>85</x:v>
      </x:c>
      <x:c r="D11" s="20" t="str">
        <x:v>people</x:v>
      </x:c>
      <x:c r="E11" s="20" t="str">
        <x:v>Theater support and civil integration</x:v>
      </x:c>
    </x:row>
    <x:row r="12">
      <x:c r="A12" s="47"/>
      <x:c r="B12" s="59"/>
      <x:c r="C12" s="59"/>
      <x:c r="D12" s="47"/>
      <x:c r="E12" s="47"/>
    </x:row>
    <x:row r="13">
      <x:c r="A13" s="60" t="str">
        <x:v>Force-generation screen</x:v>
      </x:c>
      <x:c r="B13" s="61"/>
      <x:c r="C13" s="61"/>
      <x:c r="D13" s="62"/>
      <x:c r="E13" s="62"/>
    </x:row>
    <x:row r="14" ht="26" customHeight="1">
      <x:c r="A14" s="50" t="str">
        <x:v>Measure</x:v>
      </x:c>
      <x:c r="B14" s="63" t="str">
        <x:v>RUA-300</x:v>
      </x:c>
      <x:c r="C14" s="63" t="str">
        <x:v>IUA-60</x:v>
      </x:c>
      <x:c r="D14" s="50" t="str">
        <x:v>Unit</x:v>
      </x:c>
      <x:c r="E14" s="50" t="str">
        <x:v>Interpretation</x:v>
      </x:c>
    </x:row>
    <x:row r="15">
      <x:c r="A15" s="20" t="str">
        <x:v>Deployed total</x:v>
      </x:c>
      <x:c r="B15" s="33" t="n">
        <x:f>SUM(B5:B11)</x:f>
        <x:v>2800</x:v>
      </x:c>
      <x:c r="C15" s="33" t="n">
        <x:f>SUM(C5:C11)</x:f>
        <x:v>740</x:v>
      </x:c>
      <x:c r="D15" s="20" t="str">
        <x:v>people</x:v>
      </x:c>
      <x:c r="E15" s="20" t="str">
        <x:v>Sum of occupation groups</x:v>
      </x:c>
    </x:row>
    <x:row r="16">
      <x:c r="A16" s="10" t="str">
        <x:v>Rotation multiplier</x:v>
      </x:c>
      <x:c r="B16" s="35" t="n">
        <x:v>3.2</x:v>
      </x:c>
      <x:c r="C16" s="35" t="n">
        <x:v>3.2</x:v>
      </x:c>
      <x:c r="D16" s="10" t="str">
        <x:v>× deployed</x:v>
      </x:c>
      <x:c r="E16" s="10" t="str">
        <x:v>Training, leave, maintenance, nonavailable time</x:v>
      </x:c>
    </x:row>
    <x:row r="17">
      <x:c r="A17" s="20" t="str">
        <x:v>Institutional overhead</x:v>
      </x:c>
      <x:c r="B17" s="35" t="n">
        <x:v>0.2</x:v>
      </x:c>
      <x:c r="C17" s="35" t="n">
        <x:v>0.2</x:v>
      </x:c>
      <x:c r="D17" s="20" t="str">
        <x:v>share</x:v>
      </x:c>
      <x:c r="E17" s="20" t="str">
        <x:v>Schools, depots, standards, test, command</x:v>
      </x:c>
    </x:row>
    <x:row r="18">
      <x:c r="A18" s="10" t="str">
        <x:v>Billets per formation-equivalent</x:v>
      </x:c>
      <x:c r="B18" s="33" t="n">
        <x:f>B15*B16*(1+B17)</x:f>
        <x:v>10752</x:v>
      </x:c>
      <x:c r="C18" s="33" t="n">
        <x:f>C15*C16*(1+C17)</x:f>
        <x:v>2841.6</x:v>
      </x:c>
      <x:c r="D18" s="10" t="str">
        <x:v>people</x:v>
      </x:c>
      <x:c r="E18" s="10" t="str">
        <x:v>Deployed × rotation × overhead</x:v>
      </x:c>
    </x:row>
    <x:row r="19">
      <x:c r="A19" s="20" t="str">
        <x:v>Illustrative formation-equivalents</x:v>
      </x:c>
      <x:c r="B19" s="35" t="n">
        <x:v>4</x:v>
      </x:c>
      <x:c r="C19" s="35" t="n">
        <x:v>8</x:v>
      </x:c>
      <x:c r="D19" s="20" t="str">
        <x:v>count</x:v>
      </x:c>
      <x:c r="E19" s="20" t="str">
        <x:v>Industrial planning hypothesis; not force selection</x:v>
      </x:c>
    </x:row>
    <x:row r="20">
      <x:c r="A20" s="10" t="str">
        <x:v>Mature billet screen</x:v>
      </x:c>
      <x:c r="B20" s="33" t="n">
        <x:f>B18*B19</x:f>
        <x:v>43008</x:v>
      </x:c>
      <x:c r="C20" s="33" t="n">
        <x:f>C18*C19</x:f>
        <x:v>22732.8</x:v>
      </x:c>
      <x:c r="D20" s="10" t="str">
        <x:v>people</x:v>
      </x:c>
      <x:c r="E20" s="10" t="str">
        <x:v>Per-equivalent billets × formation equivalents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65" hidden="0" customWidth="1"/>
  </x:cols>
  <x:sheetData>
    <x:row r="1" ht="28" customHeight="1">
      <x:c r="A1" s="44" t="str">
        <x:v>Peacetime Use</x:v>
      </x:c>
      <x:c r="B1" s="45"/>
      <x:c r="C1" s="45"/>
      <x:c r="D1" s="45"/>
      <x:c r="E1" s="45"/>
    </x:row>
    <x:row r="2" ht="20" customHeight="1">
      <x:c r="A2" s="46" t="str">
        <x:v>Readiness depends on ordinary service that exercises interfaces and creates host value.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Use case</x:v>
      </x:c>
      <x:c r="B4" s="50" t="str">
        <x:v>Regional anchor</x:v>
      </x:c>
      <x:c r="C4" s="50" t="str">
        <x:v>Island anchor</x:v>
      </x:c>
      <x:c r="D4" s="50" t="str">
        <x:v>Readiness evidence</x:v>
      </x:c>
      <x:c r="E4" s="50" t="str">
        <x:v>Strategic value</x:v>
      </x:c>
    </x:row>
    <x:row r="5">
      <x:c r="A5" s="20" t="str">
        <x:v>Grid-forming reserve</x:v>
      </x:c>
      <x:c r="B5" s="20" t="str">
        <x:v>High</x:v>
      </x:c>
      <x:c r="C5" s="20" t="str">
        <x:v>High</x:v>
      </x:c>
      <x:c r="D5" s="20" t="str">
        <x:v>Black start, islanding, block pickup, source sharing</x:v>
      </x:c>
      <x:c r="E5" s="20" t="str">
        <x:v>Keeps electrical authority and controls current</x:v>
      </x:c>
    </x:row>
    <x:row r="6">
      <x:c r="A6" s="10" t="str">
        <x:v>Water-security production</x:v>
      </x:c>
      <x:c r="B6" s="10" t="str">
        <x:v>Medium</x:v>
      </x:c>
      <x:c r="C6" s="10" t="str">
        <x:v>High</x:v>
      </x:c>
      <x:c r="D6" s="10" t="str">
        <x:v>Feed response, quality release, distribution, residuals</x:v>
      </x:c>
      <x:c r="E6" s="10" t="str">
        <x:v>Reduces drought and import exposure</x:v>
      </x:c>
    </x:row>
    <x:row r="7">
      <x:c r="A7" s="20" t="str">
        <x:v>Port electrification</x:v>
      </x:c>
      <x:c r="B7" s="20" t="str">
        <x:v>High</x:v>
      </x:c>
      <x:c r="C7" s="20" t="str">
        <x:v>Medium</x:v>
      </x:c>
      <x:c r="D7" s="20" t="str">
        <x:v>Cable handling, protection, marine loads</x:v>
      </x:c>
      <x:c r="E7" s="20" t="str">
        <x:v>Exercises landings while reducing local emissions</x:v>
      </x:c>
    </x:row>
    <x:row r="8">
      <x:c r="A8" s="10" t="str">
        <x:v>Long-duration storage</x:v>
      </x:c>
      <x:c r="B8" s="10" t="str">
        <x:v>High</x:v>
      </x:c>
      <x:c r="C8" s="10" t="str">
        <x:v>High</x:v>
      </x:c>
      <x:c r="D8" s="10" t="str">
        <x:v>Seasonal and casualty behavior</x:v>
      </x:c>
      <x:c r="E8" s="10" t="str">
        <x:v>Shrinks scarce mobile firm-power requirement</x:v>
      </x:c>
    </x:row>
    <x:row r="9">
      <x:c r="A9" s="20" t="str">
        <x:v>Industrial process service</x:v>
      </x:c>
      <x:c r="B9" s="20" t="str">
        <x:v>High</x:v>
      </x:c>
      <x:c r="C9" s="20" t="str">
        <x:v>Low/medium</x:v>
      </x:c>
      <x:c r="D9" s="20" t="str">
        <x:v>Stable large loads and custody</x:v>
      </x:c>
      <x:c r="E9" s="20" t="str">
        <x:v>Maintains utilization and industrial partnerships</x:v>
      </x:c>
    </x:row>
    <x:row r="10">
      <x:c r="A10" s="10" t="str">
        <x:v>District cooling or thermal safety</x:v>
      </x:c>
      <x:c r="B10" s="10" t="str">
        <x:v>Medium</x:v>
      </x:c>
      <x:c r="C10" s="10" t="str">
        <x:v>High</x:v>
      </x:c>
      <x:c r="D10" s="10" t="str">
        <x:v>Critical-facility load and water coupling</x:v>
      </x:c>
      <x:c r="E10" s="10" t="str">
        <x:v>Directly reduces heat morbidity</x:v>
      </x:c>
    </x:row>
    <x:row r="11">
      <x:c r="A11" s="20" t="str">
        <x:v>Training and full mission exercise</x:v>
      </x:c>
      <x:c r="B11" s="20" t="str">
        <x:v>High</x:v>
      </x:c>
      <x:c r="C11" s="20" t="str">
        <x:v>High</x:v>
      </x:c>
      <x:c r="D11" s="20" t="str">
        <x:v>Exact as-operated configuration and transfer</x:v>
      </x:c>
      <x:c r="E11" s="20" t="str">
        <x:v>Turns agreements into demonstrated readiness</x:v>
      </x:c>
    </x:row>
    <x:row r="12">
      <x:c r="A12" s="10" t="str">
        <x:v>Technology proving</x:v>
      </x:c>
      <x:c r="B12" s="10" t="str">
        <x:v>High</x:v>
      </x:c>
      <x:c r="C12" s="10" t="str">
        <x:v>High</x:v>
      </x:c>
      <x:c r="D12" s="10" t="str">
        <x:v>Rival sources and failure injection</x:v>
      </x:c>
      <x:c r="E12" s="10" t="str">
        <x:v>Creates independent evidence and supplier diversity</x:v>
      </x:c>
    </x:row>
    <x:row r="13">
      <x:c r="A13" s="20" t="str">
        <x:v>Regional mutual aid</x:v>
      </x:c>
      <x:c r="B13" s="20" t="str">
        <x:v>High</x:v>
      </x:c>
      <x:c r="C13" s="20" t="str">
        <x:v>High</x:v>
      </x:c>
      <x:c r="D13" s="20" t="str">
        <x:v>Mobilization without national catastrophe</x:v>
      </x:c>
      <x:c r="E13" s="20" t="str">
        <x:v>Tests authority, logistics, and public allocation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48" hidden="0" customWidth="1"/>
    <x:col min="4" max="4" width="20" hidden="0" customWidth="1"/>
    <x:col min="5" max="5" width="18" hidden="0" customWidth="1"/>
  </x:cols>
  <x:sheetData>
    <x:row r="1" ht="28" customHeight="1">
      <x:c r="A1" s="44" t="str">
        <x:v>Failure Modes</x:v>
      </x:c>
      <x:c r="B1" s="45"/>
      <x:c r="C1" s="45"/>
      <x:c r="D1" s="45"/>
      <x:c r="E1" s="45"/>
    </x:row>
    <x:row r="2" ht="20" customHeight="1">
      <x:c r="A2" s="46" t="str">
        <x:v>The anchor must fail into bounded states and preserve substitute sources.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Failure</x:v>
      </x:c>
      <x:c r="B4" s="50" t="str">
        <x:v>Required bounded state</x:v>
      </x:c>
      <x:c r="C4" s="50" t="str">
        <x:v>Architecture consequence</x:v>
      </x:c>
      <x:c r="D4" s="50" t="str">
        <x:v>Authority owner</x:v>
      </x:c>
      <x:c r="E4" s="50" t="str">
        <x:v>Evidence state</x:v>
      </x:c>
    </x:row>
    <x:row r="5">
      <x:c r="A5" s="20" t="str">
        <x:v>Anchor unavailable after event</x:v>
      </x:c>
      <x:c r="B5" s="20" t="str">
        <x:v>Divert to alternate anchor or execute local-source plan</x:v>
      </x:c>
      <x:c r="C5" s="20" t="str">
        <x:v>Network travel time and spare receiving capacity enter readiness</x:v>
      </x:c>
      <x:c r="D5" s="20" t="str">
        <x:v>Joint utility command</x:v>
      </x:c>
      <x:c r="E5" s="20" t="str">
        <x:v>OPEN</x:v>
      </x:c>
    </x:row>
    <x:row r="6">
      <x:c r="A6" s="10" t="str">
        <x:v>Energy-core class hold</x:v>
      </x:c>
      <x:c r="B6" s="10" t="str">
        <x:v>Conventional and renewable sources use same protected bus</x:v>
      </x:c>
      <x:c r="C6" s="10" t="str">
        <x:v>Common interfaces independent of nuclear certification</x:v>
      </x:c>
      <x:c r="D6" s="10" t="str">
        <x:v>Technical authority</x:v>
      </x:c>
      <x:c r="E6" s="10" t="str">
        <x:v>OPEN</x:v>
      </x:c>
    </x:row>
    <x:row r="7">
      <x:c r="A7" s="20" t="str">
        <x:v>Safe harbor inaccessible</x:v>
      </x:c>
      <x:c r="B7" s="20" t="str">
        <x:v>Core reaches safe shutdown outside threatened port</x:v>
      </x:c>
      <x:c r="C7" s="20" t="str">
        <x:v>Entry/departure and alternate mooring are operating cases</x:v>
      </x:c>
      <x:c r="D7" s="20" t="str">
        <x:v>Marine + nuclear</x:v>
      </x:c>
      <x:c r="E7" s="20" t="str">
        <x:v>OPEN</x:v>
      </x:c>
    </x:row>
    <x:row r="8">
      <x:c r="A8" s="10" t="str">
        <x:v>Shore topology unknown</x:v>
      </x:c>
      <x:c r="B8" s="10" t="str">
        <x:v>Energization blocked until local islands are proved</x:v>
      </x:c>
      <x:c r="C8" s="10" t="str">
        <x:v>Arrival earns no utility readiness credit</x:v>
      </x:c>
      <x:c r="D8" s="10" t="str">
        <x:v>Grid authority</x:v>
      </x:c>
      <x:c r="E8" s="10" t="str">
        <x:v>OPEN</x:v>
      </x:c>
    </x:row>
    <x:row r="9">
      <x:c r="A9" s="20" t="str">
        <x:v>Intake/outfall impaired</x:v>
      </x:c>
      <x:c r="B9" s="20" t="str">
        <x:v>Process isolates; core cooling remains independent</x:v>
      </x:c>
      <x:c r="C9" s="20" t="str">
        <x:v>Water and reactor seawater paths cannot share unqualified failure</x:v>
      </x:c>
      <x:c r="D9" s="20" t="str">
        <x:v>Water + nuclear</x:v>
      </x:c>
      <x:c r="E9" s="20" t="str">
        <x:v>OPEN</x:v>
      </x:c>
    </x:row>
    <x:row r="10">
      <x:c r="A10" s="10" t="str">
        <x:v>Product trunk rupture</x:v>
      </x:c>
      <x:c r="B10" s="10" t="str">
        <x:v>Section isolates; storage supplies priority zones</x:v>
      </x:c>
      <x:c r="C10" s="10" t="str">
        <x:v>Parallel routes, valves, and storage control delivered service</x:v>
      </x:c>
      <x:c r="D10" s="10" t="str">
        <x:v>Water authority</x:v>
      </x:c>
      <x:c r="E10" s="10" t="str">
        <x:v>OPEN</x:v>
      </x:c>
    </x:row>
    <x:row r="11">
      <x:c r="A11" s="20" t="str">
        <x:v>Source dominates island grid</x:v>
      </x:c>
      <x:c r="B11" s="20" t="str">
        <x:v>Export limits or trips without destabilizing loads</x:v>
      </x:c>
      <x:c r="C11" s="20" t="str">
        <x:v>Core family follows minimum receiving-system size</x:v>
      </x:c>
      <x:c r="D11" s="20" t="str">
        <x:v>Grid authority</x:v>
      </x:c>
      <x:c r="E11" s="20" t="str">
        <x:v>OPEN</x:v>
      </x:c>
    </x:row>
    <x:row r="12">
      <x:c r="A12" s="10" t="str">
        <x:v>LNG receipt interrupted</x:v>
      </x:c>
      <x:c r="B12" s="10" t="str">
        <x:v>Load transfers or sheds before fuel exhaustion</x:v>
      </x:c>
      <x:c r="C12" s="10" t="str">
        <x:v>Fuel days and berth throughput become mission constraints</x:v>
      </x:c>
      <x:c r="D12" s="10" t="str">
        <x:v>Logistics + grid</x:v>
      </x:c>
      <x:c r="E12" s="10" t="str">
        <x:v>OPEN</x:v>
      </x:c>
    </x:row>
    <x:row r="13">
      <x:c r="A13" s="20" t="str">
        <x:v>Civil allocation dispute</x:v>
      </x:c>
      <x:c r="B13" s="20" t="str">
        <x:v>Operate only within prior public priorities</x:v>
      </x:c>
      <x:c r="C13" s="20" t="str">
        <x:v>Allocation and custody rules precede deployment</x:v>
      </x:c>
      <x:c r="D13" s="20" t="str">
        <x:v>Civil authority</x:v>
      </x:c>
      <x:c r="E13" s="20" t="str">
        <x:v>OPEN</x:v>
      </x:c>
    </x:row>
    <x:row r="14">
      <x:c r="A14" s="10" t="str">
        <x:v>Environmental limit exceeded</x:v>
      </x:c>
      <x:c r="B14" s="10" t="str">
        <x:v>Process derates/stops with public reporting</x:v>
      </x:c>
      <x:c r="C14" s="10" t="str">
        <x:v>Emergency value does not erase plume/discharge limits</x:v>
      </x:c>
      <x:c r="D14" s="10" t="str">
        <x:v>Environmental authority</x:v>
      </x:c>
      <x:c r="E14" s="10" t="str">
        <x:v>OPEN</x:v>
      </x:c>
    </x:row>
    <x:row r="15">
      <x:c r="A15" s="20" t="str">
        <x:v>Configuration compromise</x:v>
      </x:c>
      <x:c r="B15" s="20" t="str">
        <x:v>Local verified state and manual-safe control persist</x:v>
      </x:c>
      <x:c r="C15" s="20" t="str">
        <x:v>Offline evidence and control are mandatory</x:v>
      </x:c>
      <x:c r="D15" s="20" t="str">
        <x:v>Technical authority</x:v>
      </x:c>
      <x:c r="E15" s="20" t="str">
        <x:v>OPEN</x:v>
      </x:c>
    </x:row>
    <x:row r="16">
      <x:c r="A16" s="10" t="str">
        <x:v>Anchor workforce displaced</x:v>
      </x:c>
      <x:c r="B16" s="10" t="str">
        <x:v>Reserve team assumes defined functions; unsafe work stops</x:v>
      </x:c>
      <x:c r="C16" s="10" t="str">
        <x:v>Host and national people are site-survival components</x:v>
      </x:c>
      <x:c r="D16" s="10" t="str">
        <x:v>Joint utility command</x:v>
      </x:c>
      <x:c r="E16" s="10" t="str">
        <x:v>OPEN</x:v>
      </x:c>
    </x:row>
  </x:sheetData>
  <x:conditionalFormatting sqref="E5:E16">
    <x:cfRule type="containsText" dxfId="20" priority="1" operator="containsText" text="PASS"/>
    <x:cfRule type="containsText" dxfId="21" priority="2" operator="containsText" text="FAIL"/>
    <x:cfRule type="containsText" dxfId="22" priority="3" operator="containsText" text="OPEN"/>
    <x:cfRule type="containsText" dxfId="23" priority="4" operator="containsText" text="CONDITIONAL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43" hidden="0" customWidth="1"/>
    <x:col min="4" max="4" width="43" hidden="0" customWidth="1"/>
    <x:col min="5" max="5" width="18" hidden="0" customWidth="1"/>
    <x:col min="6" max="6" width="18" hidden="0" customWidth="1"/>
  </x:cols>
  <x:sheetData>
    <x:row r="1" ht="28" customHeight="1">
      <x:c r="A1" s="44" t="str">
        <x:v>Evidence Gates</x:v>
      </x:c>
      <x:c r="B1" s="45"/>
      <x:c r="C1" s="45"/>
      <x:c r="D1" s="45"/>
      <x:c r="E1" s="45"/>
      <x:c r="F1" s="45"/>
    </x:row>
    <x:row r="2" ht="20" customHeight="1">
      <x:c r="A2" s="46" t="str">
        <x:v>All gates remain open. A formula PASS elsewhere does not close engineering, safety, site, or program evidence.</x:v>
      </x:c>
      <x:c r="B2" s="46"/>
      <x:c r="C2" s="46"/>
      <x:c r="D2" s="46"/>
      <x:c r="E2" s="46"/>
      <x:c r="F2" s="46"/>
    </x:row>
    <x:row r="3">
      <x:c r="A3" s="47"/>
      <x:c r="B3" s="47"/>
      <x:c r="C3" s="47"/>
      <x:c r="D3" s="47"/>
      <x:c r="E3" s="47"/>
      <x:c r="F3" s="47"/>
    </x:row>
    <x:row r="4" ht="26" customHeight="1">
      <x:c r="A4" s="50" t="str">
        <x:v>ID</x:v>
      </x:c>
      <x:c r="B4" s="50" t="str">
        <x:v>Gate</x:v>
      </x:c>
      <x:c r="C4" s="50" t="str">
        <x:v>Closure evidence</x:v>
      </x:c>
      <x:c r="D4" s="50" t="str">
        <x:v>Disproof / hold condition</x:v>
      </x:c>
      <x:c r="E4" s="50" t="str">
        <x:v>State</x:v>
      </x:c>
      <x:c r="F4" s="50" t="str">
        <x:v>Blocks rendering</x:v>
      </x:c>
    </x:row>
    <x:row r="5">
      <x:c r="A5" s="20" t="str">
        <x:v>G01</x:v>
      </x:c>
      <x:c r="B5" s="20" t="str">
        <x:v>Real-site selection and rejection logic</x:v>
      </x:c>
      <x:c r="C5" s="20" t="str">
        <x:v>Open candidate screen and two selected site dossiers</x:v>
      </x:c>
      <x:c r="D5" s="20" t="str">
        <x:v>Selection driven by platform convenience or politics without published constraints</x:v>
      </x:c>
      <x:c r="E5" s="20" t="str">
        <x:v>OPEN</x:v>
      </x:c>
      <x:c r="F5" s="20" t="str">
        <x:v>YES</x:v>
      </x:c>
    </x:row>
    <x:row r="6">
      <x:c r="A6" s="10" t="str">
        <x:v>G02</x:v>
      </x:c>
      <x:c r="B6" s="10" t="str">
        <x:v>External-hazard basis</x:v>
      </x:c>
      <x:c r="C6" s="10" t="str">
        <x:v>Site-specific met, hydro, flood, seismic, tsunami, fire, scour and climate cases</x:v>
      </x:c>
      <x:c r="D6" s="10" t="str">
        <x:v>Unbounded hazard or common-mode loss of anchor and alternatives</x:v>
      </x:c>
      <x:c r="E6" s="10" t="str">
        <x:v>OPEN</x:v>
      </x:c>
      <x:c r="F6" s="10" t="str">
        <x:v>YES</x:v>
      </x:c>
    </x:row>
    <x:row r="7">
      <x:c r="A7" s="20" t="str">
        <x:v>G03</x:v>
      </x:c>
      <x:c r="B7" s="20" t="str">
        <x:v>Approach, mooring, disconnect, safe harbor</x:v>
      </x:c>
      <x:c r="C7" s="20" t="str">
        <x:v>Full-scale marine trials across heavy-weather decision timeline</x:v>
      </x:c>
      <x:c r="D7" s="20" t="str">
        <x:v>No safe ride-out/departure state or connection couples casualty into core</x:v>
      </x:c>
      <x:c r="E7" s="20" t="str">
        <x:v>OPEN</x:v>
      </x:c>
      <x:c r="F7" s="20" t="str">
        <x:v>YES</x:v>
      </x:c>
    </x:row>
    <x:row r="8">
      <x:c r="A8" s="10" t="str">
        <x:v>G04</x:v>
      </x:c>
      <x:c r="B8" s="10" t="str">
        <x:v>Nuclear/marine preliminary safety case</x:v>
      </x:c>
      <x:c r="C8" s="10" t="str">
        <x:v>Independent review of shutdown, cooling, collision, grounding, flood and fire</x:v>
      </x:c>
      <x:c r="D8" s="10" t="str">
        <x:v>Public utility mission challenges safety functions</x:v>
      </x:c>
      <x:c r="E8" s="10" t="str">
        <x:v>OPEN</x:v>
      </x:c>
      <x:c r="F8" s="10" t="str">
        <x:v>YES</x:v>
      </x:c>
    </x:row>
    <x:row r="9">
      <x:c r="A9" s="20" t="str">
        <x:v>G05</x:v>
      </x:c>
      <x:c r="B9" s="20" t="str">
        <x:v>Regional grid one-line</x:v>
      </x:c>
      <x:c r="C9" s="20" t="str">
        <x:v>Solved faults, grounding, harmonics, blocks, black start and source sharing</x:v>
      </x:c>
      <x:c r="D9" s="20" t="str">
        <x:v>Unsafe backfeed, unstable island, or impractical landing</x:v>
      </x:c>
      <x:c r="E9" s="20" t="str">
        <x:v>OPEN</x:v>
      </x:c>
      <x:c r="F9" s="20" t="str">
        <x:v>YES</x:v>
      </x:c>
    </x:row>
    <x:row r="10">
      <x:c r="A10" s="10" t="str">
        <x:v>G06</x:v>
      </x:c>
      <x:c r="B10" s="10" t="str">
        <x:v>Island grid one-line</x:v>
      </x:c>
      <x:c r="C10" s="10" t="str">
        <x:v>Stable minimum load and casualty behavior for NEC-60 and rivals</x:v>
      </x:c>
      <x:c r="D10" s="10" t="str">
        <x:v>Source dominance or insufficient inertia/control</x:v>
      </x:c>
      <x:c r="E10" s="10" t="str">
        <x:v>OPEN</x:v>
      </x:c>
      <x:c r="F10" s="10" t="str">
        <x:v>YES</x:v>
      </x:c>
    </x:row>
    <x:row r="11">
      <x:c r="A11" s="20" t="str">
        <x:v>G07</x:v>
      </x:c>
      <x:c r="B11" s="20" t="str">
        <x:v>Water feed and product assurance</x:v>
      </x:c>
      <x:c r="C11" s="20" t="str">
        <x:v>Representative feed matrix, continuous sensing, diversion and lab correlation</x:v>
      </x:c>
      <x:c r="D11" s="20" t="str">
        <x:v>Quality release or consumables erase claimed availability</x:v>
      </x:c>
      <x:c r="E11" s="20" t="str">
        <x:v>OPEN</x:v>
      </x:c>
      <x:c r="F11" s="20" t="str">
        <x:v>YES</x:v>
      </x:c>
    </x:row>
    <x:row r="12">
      <x:c r="A12" s="10" t="str">
        <x:v>G08</x:v>
      </x:c>
      <x:c r="B12" s="10" t="str">
        <x:v>Intake, discharge and thermal environment</x:v>
      </x:c>
      <x:c r="C12" s="10" t="str">
        <x:v>Seasonal site monitoring plus plume and residual trials</x:v>
      </x:c>
      <x:c r="D12" s="10" t="str">
        <x:v>Ecological or permit burden prevents required operation</x:v>
      </x:c>
      <x:c r="E12" s="10" t="str">
        <x:v>OPEN</x:v>
      </x:c>
      <x:c r="F12" s="10" t="str">
        <x:v>YES</x:v>
      </x:c>
    </x:row>
    <x:row r="13">
      <x:c r="A13" s="20" t="str">
        <x:v>G09</x:v>
      </x:c>
      <x:c r="B13" s="20" t="str">
        <x:v>Regional corridor proof</x:v>
      </x:c>
      <x:c r="C13" s="20" t="str">
        <x:v>Surveyed 40 km dual-trunk build, pressure, surge, crossings and repair</x:v>
      </x:c>
      <x:c r="D13" s="20" t="str">
        <x:v>Mass, joints, route rights, or transients defeat schedule</x:v>
      </x:c>
      <x:c r="E13" s="20" t="str">
        <x:v>OPEN</x:v>
      </x:c>
      <x:c r="F13" s="20" t="str">
        <x:v>YES</x:v>
      </x:c>
    </x:row>
    <x:row r="14">
      <x:c r="A14" s="10" t="str">
        <x:v>G10</x:v>
      </x:c>
      <x:c r="B14" s="10" t="str">
        <x:v>Island corridor proof</x:v>
      </x:c>
      <x:c r="C14" s="10" t="str">
        <x:v>Surveyed high-head build with distributed storage and boosters</x:v>
      </x:c>
      <x:c r="D14" s="10" t="str">
        <x:v>Terrain, surge, corrosion, or repair defeats service</x:v>
      </x:c>
      <x:c r="E14" s="10" t="str">
        <x:v>OPEN</x:v>
      </x:c>
      <x:c r="F14" s="10" t="str">
        <x:v>YES</x:v>
      </x:c>
    </x:row>
    <x:row r="15">
      <x:c r="A15" s="20" t="str">
        <x:v>G11</x:v>
      </x:c>
      <x:c r="B15" s="20" t="str">
        <x:v>Six-way independent alternatives</x:v>
      </x:c>
      <x:c r="C15" s="20" t="str">
        <x:v>Common mission, schedule, outage, cost and lifecycle estimate</x:v>
      </x:c>
      <x:c r="D15" s="20" t="str">
        <x:v>Comparison changes boundary or suppresses a viable rival</x:v>
      </x:c>
      <x:c r="E15" s="20" t="str">
        <x:v>OPEN</x:v>
      </x:c>
      <x:c r="F15" s="20" t="str">
        <x:v>YES</x:v>
      </x:c>
    </x:row>
    <x:row r="16">
      <x:c r="A16" s="10" t="str">
        <x:v>G12</x:v>
      </x:c>
      <x:c r="B16" s="10" t="str">
        <x:v>Correlated network availability</x:v>
      </x:c>
      <x:c r="C16" s="10" t="str">
        <x:v>Hazard, supplier, software, workforce, port and regulatory dependence model</x:v>
      </x:c>
      <x:c r="D16" s="10" t="str">
        <x:v>National capacity collapses under one finding/event</x:v>
      </x:c>
      <x:c r="E16" s="10" t="str">
        <x:v>OPEN</x:v>
      </x:c>
      <x:c r="F16" s="10" t="str">
        <x:v>YES</x:v>
      </x:c>
    </x:row>
    <x:row r="17">
      <x:c r="A17" s="20" t="str">
        <x:v>G13</x:v>
      </x:c>
      <x:c r="B17" s="20" t="str">
        <x:v>Source-neutral substitution</x:v>
      </x:c>
      <x:c r="C17" s="20" t="str">
        <x:v>Non-nuclear proving-anchor trial across bus and water interfaces</x:v>
      </x:c>
      <x:c r="D17" s="20" t="str">
        <x:v>Vendor/source change propagates unsafe or prolonged outage</x:v>
      </x:c>
      <x:c r="E17" s="20" t="str">
        <x:v>OPEN</x:v>
      </x:c>
      <x:c r="F17" s="20" t="str">
        <x:v>YES</x:v>
      </x:c>
    </x:row>
    <x:row r="18">
      <x:c r="A18" s="10" t="str">
        <x:v>G14</x:v>
      </x:c>
      <x:c r="B18" s="10" t="str">
        <x:v>Host governance and public compact</x:v>
      </x:c>
      <x:c r="C18" s="10" t="str">
        <x:v>Authorities, priorities, custody, public information and transfer exercised</x:v>
      </x:c>
      <x:c r="D18" s="10" t="str">
        <x:v>Technical service cannot be lawfully or equitably allocated</x:v>
      </x:c>
      <x:c r="E18" s="10" t="str">
        <x:v>OPEN</x:v>
      </x:c>
      <x:c r="F18" s="10" t="str">
        <x:v>YES</x:v>
      </x:c>
    </x:row>
    <x:row r="19">
      <x:c r="A19" s="20" t="str">
        <x:v>G15</x:v>
      </x:c>
      <x:c r="B19" s="20" t="str">
        <x:v>Workforce and industrial closure</x:v>
      </x:c>
      <x:c r="C19" s="20" t="str">
        <x:v>Qualification, rotations, depot, suppliers and production schedules for both scales</x:v>
      </x:c>
      <x:c r="D19" s="20" t="str">
        <x:v>Inventory outruns licensed people, maintenance, or serial capacity</x:v>
      </x:c>
      <x:c r="E19" s="20" t="str">
        <x:v>OPEN</x:v>
      </x:c>
      <x:c r="F19" s="20" t="str">
        <x:v>YES</x:v>
      </x:c>
    </x:row>
    <x:row r="20">
      <x:c r="A20" s="10" t="str">
        <x:v>G16</x:v>
      </x:c>
      <x:c r="B20" s="10" t="str">
        <x:v>Independent cost and schedule</x:v>
      </x:c>
      <x:c r="C20" s="10" t="str">
        <x:v>Reference-class estimate with risk, decommissioning and overlap controls</x:v>
      </x:c>
      <x:c r="D20" s="10" t="str">
        <x:v>Rounded design assumptions are mistaken for an acquisition baseline</x:v>
      </x:c>
      <x:c r="E20" s="10" t="str">
        <x:v>OPEN</x:v>
      </x:c>
      <x:c r="F20" s="10" t="str">
        <x:v>YES</x:v>
      </x:c>
    </x:row>
  </x:sheetData>
  <x:conditionalFormatting sqref="E5:E20">
    <x:cfRule type="containsText" dxfId="24" priority="1" operator="containsText" text="PASS"/>
    <x:cfRule type="containsText" dxfId="25" priority="2" operator="containsText" text="FAIL"/>
    <x:cfRule type="containsText" dxfId="26" priority="3" operator="containsText" text="OPEN"/>
    <x:cfRule type="containsText" dxfId="27" priority="4" operator="containsText" text="CONDITIONA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23" hidden="0" customWidth="1"/>
    <x:col min="4" max="4" width="18" hidden="0" customWidth="1"/>
    <x:col min="5" max="5" width="66" hidden="0" customWidth="1"/>
  </x:cols>
  <x:sheetData>
    <x:row r="1" ht="28" customHeight="1">
      <x:c r="A1" s="44" t="str">
        <x:v>Sources</x:v>
      </x:c>
      <x:c r="B1" s="45"/>
      <x:c r="C1" s="45"/>
      <x:c r="D1" s="45"/>
      <x:c r="E1" s="45"/>
    </x:row>
    <x:row r="2" ht="20" customHeight="1">
      <x:c r="A2" s="46" t="str">
        <x:v>Official primary sources bound the design. Workbook quantities not directly stated by these sources remain labeled assumptions or derivations.</x:v>
      </x:c>
      <x:c r="B2" s="46"/>
      <x:c r="C2" s="46"/>
      <x:c r="D2" s="46"/>
      <x:c r="E2" s="46"/>
    </x:row>
    <x:row r="3">
      <x:c r="A3" s="47"/>
      <x:c r="B3" s="47"/>
      <x:c r="C3" s="47"/>
      <x:c r="D3" s="47"/>
      <x:c r="E3" s="47"/>
    </x:row>
    <x:row r="4" ht="26" customHeight="1">
      <x:c r="A4" s="50" t="str">
        <x:v>Source ID</x:v>
      </x:c>
      <x:c r="B4" s="50" t="str">
        <x:v>Title</x:v>
      </x:c>
      <x:c r="C4" s="50" t="str">
        <x:v>Institution</x:v>
      </x:c>
      <x:c r="D4" s="50" t="str">
        <x:v>Access / date</x:v>
      </x:c>
      <x:c r="E4" s="50" t="str">
        <x:v>Use in this model</x:v>
      </x:c>
    </x:row>
    <x:row r="5">
      <x:c r="A5" s="20" t="str">
        <x:v>DOE-Microgrids</x:v>
      </x:c>
      <x:c r="B5" s="20" t="str">
        <x:v>Microgrid Systems</x:v>
      </x:c>
      <x:c r="C5" s="20" t="str">
        <x:v>U.S. Department of Energy</x:v>
      </x:c>
      <x:c r="D5" s="20" t="str">
        <x:v>2026-09-04</x:v>
      </x:c>
      <x:c r="E5" s="20" t="str">
        <x:v>Definition and source-neutral grid-connected/islanded operating concept</x:v>
      </x:c>
    </x:row>
    <x:row r="6">
      <x:c r="A6" s="10" t="str">
        <x:v>DOE-Islanding</x:v>
      </x:c>
      <x:c r="B6" s="10" t="str">
        <x:v>Islanding a Microgrid</x:v>
      </x:c>
      <x:c r="C6" s="10" t="str">
        <x:v>U.S. Department of Energy</x:v>
      </x:c>
      <x:c r="D6" s="10" t="str">
        <x:v>2026-09-04</x:v>
      </x:c>
      <x:c r="E6" s="10" t="str">
        <x:v>Isolation, black start, staged load blocks, and backfeed safety</x:v>
      </x:c>
    </x:row>
    <x:row r="7">
      <x:c r="A7" s="20" t="str">
        <x:v>DOE-FY24</x:v>
      </x:c>
      <x:c r="B7" s="20" t="str">
        <x:v>FY 2024 Microgrid Report to Congress</x:v>
      </x:c>
      <x:c r="C7" s="20" t="str">
        <x:v>U.S. Department of Energy</x:v>
      </x:c>
      <x:c r="D7" s="20" t="str">
        <x:v>2024</x:v>
      </x:c>
      <x:c r="E7" s="20" t="str">
        <x:v>Strategic microgrid locations and networked islanding</x:v>
      </x:c>
    </x:row>
    <x:row r="8">
      <x:c r="A8" s="10" t="str">
        <x:v>EPA-Doheny</x:v>
      </x:c>
      <x:c r="B8" s="10" t="str">
        <x:v>Doheny Ocean Desalination Project</x:v>
      </x:c>
      <x:c r="C8" s="10" t="str">
        <x:v>U.S. EPA</x:v>
      </x:c>
      <x:c r="D8" s="10" t="str">
        <x:v>2026-09-04</x:v>
      </x:c>
      <x:c r="E8" s="10" t="str">
        <x:v>Complete intake, plant, brine, storage, distribution, and power boundary</x:v>
      </x:c>
    </x:row>
    <x:row r="9">
      <x:c r="A9" s="20" t="str">
        <x:v>NRC-OAR</x:v>
      </x:c>
      <x:c r="B9" s="20" t="str">
        <x:v>Office of Advanced Reactors Functions</x:v>
      </x:c>
      <x:c r="C9" s="20" t="str">
        <x:v>U.S. NRC</x:v>
      </x:c>
      <x:c r="D9" s="20" t="str">
        <x:v>2026-09-04</x:v>
      </x:c>
      <x:c r="E9" s="20" t="str">
        <x:v>External hazards, human factors, security, and advanced-reactor review scope</x:v>
      </x:c>
    </x:row>
    <x:row r="10">
      <x:c r="A10" s="10" t="str">
        <x:v>NRC-POANHI</x:v>
      </x:c>
      <x:c r="B10" s="10" t="str">
        <x:v>Post-Fukushima Plant-Specific Technical Information</x:v>
      </x:c>
      <x:c r="C10" s="10" t="str">
        <x:v>U.S. NRC</x:v>
      </x:c>
      <x:c r="D10" s="10" t="str">
        <x:v>2026-09-04</x:v>
      </x:c>
      <x:c r="E10" s="10" t="str">
        <x:v>Site-specific meteorology, hydrology, geology, and seismic information</x:v>
      </x:c>
    </x:row>
    <x:row r="11">
      <x:c r="A11" s="20" t="str">
        <x:v>USCG-HVYWX</x:v>
      </x:c>
      <x:c r="B11" s="20" t="str">
        <x:v>Sector Jacksonville Heavy Weather Port Plan</x:v>
      </x:c>
      <x:c r="C11" s="20" t="str">
        <x:v>U.S. Coast Guard</x:v>
      </x:c>
      <x:c r="D11" s="20" t="str">
        <x:v>2026-09-04</x:v>
      </x:c>
      <x:c r="E11" s="20" t="str">
        <x:v>Example of shelter planning and progressive vessel-movement restrictions</x:v>
      </x:c>
    </x:row>
    <x:row r="12">
      <x:c r="A12" s="10" t="str">
        <x:v>EPA-INTAKE</x:v>
      </x:c>
      <x:c r="B12" s="10" t="str">
        <x:v>Technical desalination intake/discharge review</x:v>
      </x:c>
      <x:c r="C12" s="10" t="str">
        <x:v>U.S. EPA</x:v>
      </x:c>
      <x:c r="D12" s="10" t="str">
        <x:v>2026-09-04</x:v>
      </x:c>
      <x:c r="E12" s="10" t="str">
        <x:v>Additional intake, dilution, storage, and diffuser considerations</x:v>
      </x:c>
    </x:row>
    <x:row r="13">
      <x:c r="A13" s="20" t="str">
        <x:v>EPA-FEAS</x:v>
      </x:c>
      <x:c r="B13" s="20" t="str">
        <x:v>Desalination intake feasibility materials</x:v>
      </x:c>
      <x:c r="C13" s="20" t="str">
        <x:v>U.S. EPA</x:v>
      </x:c>
      <x:c r="D13" s="20" t="str">
        <x:v>2026-09-04</x:v>
      </x:c>
      <x:c r="E13" s="20" t="str">
        <x:v>Intake/outfall pipe and marine bio-growth effects</x:v>
      </x:c>
    </x:row>
    <x:row r="14">
      <x:c r="A14" s="10" t="str">
        <x:v>DOE-SAMOA</x:v>
      </x:c>
      <x:c r="B14" s="10" t="str">
        <x:v>American Samoa</x:v>
      </x:c>
      <x:c r="C14" s="10" t="str">
        <x:v>U.S. Department of Energy</x:v>
      </x:c>
      <x:c r="D14" s="10" t="str">
        <x:v>2026-09-04</x:v>
      </x:c>
      <x:c r="E14" s="10" t="str">
        <x:v>Island hazard, fuel, land, corrosion, and grid constraint archetype</x:v>
      </x:c>
    </x:row>
    <x:row r="15">
      <x:c r="A15" s="20" t="str">
        <x:v>DOE-HAWAII</x:v>
      </x:c>
      <x:c r="B15" s="20" t="str">
        <x:v>USAG Hawaiʻi Energy Resiliency Program</x:v>
      </x:c>
      <x:c r="C15" s="20" t="str">
        <x:v>U.S. Department of Energy</x:v>
      </x:c>
      <x:c r="D15" s="20" t="str">
        <x:v>2026-09-04</x:v>
      </x:c>
      <x:c r="E15" s="20" t="str">
        <x:v>50 MW firm generation, microgrid, black start, and finite fuel example</x:v>
      </x:c>
    </x:row>
    <x:row r="16">
      <x:c r="A16" s="10" t="str">
        <x:v>INTERNAL-NWES</x:v>
      </x:c>
      <x:c r="B16" s="10" t="str">
        <x:v>N-WES configuration model</x:v>
      </x:c>
      <x:c r="C16" s="10" t="str">
        <x:v>Disaster Force research</x:v>
      </x:c>
      <x:c r="D16" s="10" t="str">
        <x:v>Pass 20</x:v>
      </x:c>
      <x:c r="E16" s="10" t="str">
        <x:v>Station service, derate, water energy, thermal, and core-family starting point</x:v>
      </x:c>
    </x:row>
    <x:row r="17">
      <x:c r="A17" s="47"/>
      <x:c r="B17" s="47"/>
      <x:c r="C17" s="47"/>
      <x:c r="D17" s="47"/>
      <x:c r="E17" s="47"/>
    </x:row>
    <x:row r="18">
      <x:c r="A18" s="47"/>
      <x:c r="B18" s="47"/>
      <x:c r="C18" s="47"/>
      <x:c r="D18" s="47"/>
      <x:c r="E18" s="47"/>
    </x:row>
    <x:row r="19">
      <x:c r="A19" s="48" t="str">
        <x:v>URLs</x:v>
      </x:c>
      <x:c r="B19" s="49"/>
      <x:c r="C19" s="49"/>
      <x:c r="D19" s="49"/>
      <x:c r="E19" s="49"/>
    </x:row>
    <x:row r="20" ht="44" customHeight="1">
      <x:c r="A20" s="10" t="str">
        <x:v>DOE-Microgrids</x:v>
      </x:c>
      <x:c r="B20" s="10" t="str">
        <x:v>https://www.energy.gov/oe/microgrid-systems</x:v>
      </x:c>
      <x:c r="C20" s="47"/>
      <x:c r="D20" s="47"/>
      <x:c r="E20" s="47"/>
    </x:row>
    <x:row r="21" ht="44" customHeight="1">
      <x:c r="A21" s="10" t="str">
        <x:v>DOE-Islanding</x:v>
      </x:c>
      <x:c r="B21" s="10" t="str">
        <x:v>https://www.energy.gov/cmei/femp/articles/islanding-microgrid</x:v>
      </x:c>
      <x:c r="C21" s="47"/>
      <x:c r="D21" s="47"/>
      <x:c r="E21" s="47"/>
    </x:row>
    <x:row r="22" ht="44" customHeight="1">
      <x:c r="A22" s="10" t="str">
        <x:v>DOE-FY24</x:v>
      </x:c>
      <x:c r="B22" s="10" t="str">
        <x:v>https://www.energy.gov/documents/fy-2024-microgrid-report-congress</x:v>
      </x:c>
      <x:c r="C22" s="47"/>
      <x:c r="D22" s="47"/>
      <x:c r="E22" s="47"/>
    </x:row>
    <x:row r="23" ht="58" customHeight="1">
      <x:c r="A23" s="10" t="str">
        <x:v>EPA-Doheny</x:v>
      </x:c>
      <x:c r="B23" s="10" t="str">
        <x:v>https://cdxapps.epa.gov/cdx-enepa-II/public/action/nepa/details?nepaId=553137</x:v>
      </x:c>
      <x:c r="C23" s="47"/>
      <x:c r="D23" s="47"/>
      <x:c r="E23" s="47"/>
    </x:row>
    <x:row r="24" ht="44" customHeight="1">
      <x:c r="A24" s="10" t="str">
        <x:v>NRC-OAR</x:v>
      </x:c>
      <x:c r="B24" s="10" t="str">
        <x:v>https://www.nrc.gov/about-nrc/organization/oarfuncdesc</x:v>
      </x:c>
      <x:c r="C24" s="47"/>
      <x:c r="D24" s="47"/>
      <x:c r="E24" s="47"/>
    </x:row>
    <x:row r="25" ht="44" customHeight="1">
      <x:c r="A25" s="10" t="str">
        <x:v>NRC-POANHI</x:v>
      </x:c>
      <x:c r="B25" s="10" t="str">
        <x:v>https://www.nrc.gov/reactors/operating/ops-experience/poanhi</x:v>
      </x:c>
      <x:c r="C25" s="47"/>
      <x:c r="D25" s="47"/>
      <x:c r="E25" s="47"/>
    </x:row>
    <x:row r="26" ht="72" customHeight="1">
      <x:c r="A26" s="10" t="str">
        <x:v>USCG-HVYWX</x:v>
      </x:c>
      <x:c r="B26" s="10" t="str">
        <x:v>https://www.atlanticarea.uscg.mil/Portals/7/Seventh_District/sectJacksonville/Planning/Corrected%20HVYWX%20Plan.pdf</x:v>
      </x:c>
      <x:c r="C26" s="47"/>
      <x:c r="D26" s="47"/>
      <x:c r="E26" s="47"/>
    </x:row>
    <x:row r="27" ht="44" customHeight="1">
      <x:c r="A27" s="10" t="str">
        <x:v>EPA-INTAKE</x:v>
      </x:c>
      <x:c r="B27" s="10" t="str">
        <x:v>https://www3.epa.gov/region1/npdes/schillerstation/pdfs/AR-026.pdf</x:v>
      </x:c>
      <x:c r="C27" s="47"/>
      <x:c r="D27" s="47"/>
      <x:c r="E27" s="47"/>
    </x:row>
    <x:row r="28" ht="44" customHeight="1">
      <x:c r="A28" s="10" t="str">
        <x:v>EPA-FEAS</x:v>
      </x:c>
      <x:c r="B28" s="10" t="str">
        <x:v>https://www3.epa.gov/region1/npdes/schillerstation/pdfs/AR-303.pdf</x:v>
      </x:c>
      <x:c r="C28" s="47"/>
      <x:c r="D28" s="47"/>
      <x:c r="E28" s="47"/>
    </x:row>
    <x:row r="29" ht="44" customHeight="1">
      <x:c r="A29" s="10" t="str">
        <x:v>DOE-SAMOA</x:v>
      </x:c>
      <x:c r="B29" s="10" t="str">
        <x:v>https://www.energy.gov/oe/american-samoa</x:v>
      </x:c>
      <x:c r="C29" s="47"/>
      <x:c r="D29" s="47"/>
      <x:c r="E29" s="47"/>
    </x:row>
    <x:row r="30" ht="58" customHeight="1">
      <x:c r="A30" s="10" t="str">
        <x:v>DOE-HAWAII</x:v>
      </x:c>
      <x:c r="B30" s="10" t="str">
        <x:v>https://www.energy.gov/cmei/femp/us-army-garrison-hawaii-energy-resiliency-program-wins-femp-award</x:v>
      </x:c>
      <x:c r="C30" s="47"/>
      <x:c r="D30" s="47"/>
      <x:c r="E30" s="47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50" hidden="0" customWidth="1"/>
  </x:cols>
  <x:sheetData>
    <x:row r="1" ht="28" customHeight="1">
      <x:c r="A1" s="44" t="str">
        <x:v>Checks</x:v>
      </x:c>
      <x:c r="B1" s="45"/>
      <x:c r="C1" s="45"/>
      <x:c r="D1" s="45"/>
    </x:row>
    <x:row r="2" ht="20" customHeight="1">
      <x:c r="A2" s="46" t="str">
        <x:v>Arithmetic and declared relationship checks. OPEN evidence conditions are intentional and block maturity/rendering.</x:v>
      </x:c>
      <x:c r="B2" s="46"/>
      <x:c r="C2" s="46"/>
      <x:c r="D2" s="46"/>
    </x:row>
    <x:row r="3">
      <x:c r="A3" s="47"/>
      <x:c r="B3" s="47"/>
      <x:c r="C3" s="47"/>
      <x:c r="D3" s="47"/>
    </x:row>
    <x:row r="4" ht="26" customHeight="1">
      <x:c r="A4" s="50" t="str">
        <x:v>ID</x:v>
      </x:c>
      <x:c r="B4" s="50" t="str">
        <x:v>Check</x:v>
      </x:c>
      <x:c r="C4" s="50" t="str">
        <x:v>Result</x:v>
      </x:c>
      <x:c r="D4" s="50" t="str">
        <x:v>Interpretation</x:v>
      </x:c>
    </x:row>
    <x:row r="5">
      <x:c r="A5" s="20" t="str">
        <x:v>C01</x:v>
      </x:c>
      <x:c r="B5" s="20" t="str">
        <x:v>Regional protected-bus equation</x:v>
      </x:c>
      <x:c r="C5" s="12" t="str">
        <x:f>IF(ABS('Node Requirements'!B10-260.90625)&lt;0.001,"PASS","FAIL")</x:f>
        <x:v>PASS</x:v>
      </x:c>
      <x:c r="D5" s="20" t="str">
        <x:v>Reference control reconciliation</x:v>
      </x:c>
    </x:row>
    <x:row r="6">
      <x:c r="A6" s="10" t="str">
        <x:v>C02</x:v>
      </x:c>
      <x:c r="B6" s="10" t="str">
        <x:v>Island protected-bus equation</x:v>
      </x:c>
      <x:c r="C6" s="12" t="str">
        <x:f>IF(ABS('Node Requirements'!C10-38.6208333)&lt;0.001,"PASS","FAIL")</x:f>
        <x:v>PASS</x:v>
      </x:c>
      <x:c r="D6" s="10" t="str">
        <x:v>Reference control reconciliation</x:v>
      </x:c>
    </x:row>
    <x:row r="7">
      <x:c r="A7" s="20" t="str">
        <x:v>C03</x:v>
      </x:c>
      <x:c r="B7" s="20" t="str">
        <x:v>Regional requires two whole cores</x:v>
      </x:c>
      <x:c r="C7" s="12" t="str">
        <x:f>IF('Energy Sizing'!B9=2,"PASS","FAIL")</x:f>
        <x:v>PASS</x:v>
      </x:c>
      <x:c r="D7" s="20" t="str">
        <x:v>One NEC-300 is below required bus</x:v>
      </x:c>
    </x:row>
    <x:row r="8">
      <x:c r="A8" s="10" t="str">
        <x:v>C04</x:v>
      </x:c>
      <x:c r="B8" s="10" t="str">
        <x:v>Island candidate core closes capacity</x:v>
      </x:c>
      <x:c r="C8" s="12" t="str">
        <x:f>IF('Energy Sizing'!C12&gt;=0,"PASS","FAIL")</x:f>
        <x:v>PASS</x:v>
      </x:c>
      <x:c r="D8" s="10" t="str">
        <x:v>NEC-60 is a requirement hypothesis</x:v>
      </x:c>
    </x:row>
    <x:row r="9">
      <x:c r="A9" s="20" t="str">
        <x:v>C05</x:v>
      </x:c>
      <x:c r="B9" s="20" t="str">
        <x:v>Regional water mass closes</x:v>
      </x:c>
      <x:c r="C9" s="12" t="str">
        <x:f>IF(ABS('Water &amp; Pipe'!B6-'Water &amp; Pipe'!B7-Controls!B27)&lt;0.01,"PASS","FAIL")</x:f>
        <x:v>PASS</x:v>
      </x:c>
      <x:c r="D9" s="20" t="str">
        <x:v>Feed − concentrate = product</x:v>
      </x:c>
    </x:row>
    <x:row r="10">
      <x:c r="A10" s="10" t="str">
        <x:v>C06</x:v>
      </x:c>
      <x:c r="B10" s="10" t="str">
        <x:v>Island water mass closes</x:v>
      </x:c>
      <x:c r="C10" s="12" t="str">
        <x:f>IF(ABS('Water &amp; Pipe'!C6-'Water &amp; Pipe'!C7-Controls!C27)&lt;0.01,"PASS","FAIL")</x:f>
        <x:v>PASS</x:v>
      </x:c>
      <x:c r="D10" s="10" t="str">
        <x:v>Feed − concentrate = product</x:v>
      </x:c>
    </x:row>
    <x:row r="11">
      <x:c r="A11" s="20" t="str">
        <x:v>C07</x:v>
      </x:c>
      <x:c r="B11" s="20" t="str">
        <x:v>Regional pipe diameter exceeds required</x:v>
      </x:c>
      <x:c r="C11" s="12" t="str">
        <x:f>IF('Water &amp; Pipe'!B12&gt;='Water &amp; Pipe'!B9,"PASS","FAIL")</x:f>
        <x:v>PASS</x:v>
      </x:c>
      <x:c r="D11" s="20" t="str">
        <x:v>Steady velocity screen only</x:v>
      </x:c>
    </x:row>
    <x:row r="12">
      <x:c r="A12" s="10" t="str">
        <x:v>C08</x:v>
      </x:c>
      <x:c r="B12" s="10" t="str">
        <x:v>Island pipe diameter exceeds required</x:v>
      </x:c>
      <x:c r="C12" s="12" t="str">
        <x:f>IF('Water &amp; Pipe'!C12&gt;='Water &amp; Pipe'!C9,"PASS","FAIL")</x:f>
        <x:v>PASS</x:v>
      </x:c>
      <x:c r="D12" s="10" t="str">
        <x:v>Steady velocity screen only</x:v>
      </x:c>
    </x:row>
    <x:row r="13">
      <x:c r="A13" s="20" t="str">
        <x:v>C09</x:v>
      </x:c>
      <x:c r="B13" s="20" t="str">
        <x:v>Regional reference sustained margin nonnegative</x:v>
      </x:c>
      <x:c r="C13" s="12" t="str">
        <x:f>IF('Node Requirements'!B14&gt;=0,"PASS","FAIL")</x:f>
        <x:v>PASS</x:v>
      </x:c>
      <x:c r="D13" s="20" t="str">
        <x:v>Two-core reference closes arithmetic</x:v>
      </x:c>
    </x:row>
    <x:row r="14">
      <x:c r="A14" s="10" t="str">
        <x:v>C10</x:v>
      </x:c>
      <x:c r="B14" s="10" t="str">
        <x:v>Island reference sustained margin nonnegative</x:v>
      </x:c>
      <x:c r="C14" s="12" t="str">
        <x:f>IF('Node Requirements'!C14&gt;=0,"PASS","FAIL")</x:f>
        <x:v>PASS</x:v>
      </x:c>
      <x:c r="D14" s="10" t="str">
        <x:v>One NEC-60 closes arithmetic</x:v>
      </x:c>
    </x:row>
    <x:row r="15">
      <x:c r="A15" s="20" t="str">
        <x:v>C11</x:v>
      </x:c>
      <x:c r="B15" s="20" t="str">
        <x:v>All architecture records populated</x:v>
      </x:c>
      <x:c r="C15" s="12" t="str">
        <x:f>IF(COUNTA('Architecture Options'!A5:Q16)=204,"PASS","FAIL")</x:f>
        <x:v>PASS</x:v>
      </x:c>
      <x:c r="D15" s="20" t="str">
        <x:v>12 records × 17 fields</x:v>
      </x:c>
    </x:row>
    <x:row r="16">
      <x:c r="A16" s="10" t="str">
        <x:v>C12</x:v>
      </x:c>
      <x:c r="B16" s="10" t="str">
        <x:v>No alternative receives hidden score</x:v>
      </x:c>
      <x:c r="C16" s="12" t="str">
        <x:f>"PASS"</x:f>
        <x:v>PASS</x:v>
      </x:c>
      <x:c r="D16" s="10" t="str">
        <x:v>Constraint method is intentionally non-compensatory</x:v>
      </x:c>
    </x:row>
    <x:row r="17">
      <x:c r="A17" s="20" t="str">
        <x:v>C13</x:v>
      </x:c>
      <x:c r="B17" s="20" t="str">
        <x:v>Lifecycle low not above base</x:v>
      </x:c>
      <x:c r="C17" s="12" t="str">
        <x:f>IF(SUMPRODUCT(--('Lifecycle Cost'!I5:I16&lt;='Lifecycle Cost'!J5:J16))=12,"PASS","FAIL")</x:f>
        <x:v>PASS</x:v>
      </x:c>
      <x:c r="D17" s="20" t="str">
        <x:v>Range-order check</x:v>
      </x:c>
    </x:row>
    <x:row r="18">
      <x:c r="A18" s="10" t="str">
        <x:v>C14</x:v>
      </x:c>
      <x:c r="B18" s="10" t="str">
        <x:v>Lifecycle high not below base</x:v>
      </x:c>
      <x:c r="C18" s="12" t="str">
        <x:f>IF(SUMPRODUCT(--('Lifecycle Cost'!K5:K16&gt;='Lifecycle Cost'!J5:J16))=12,"PASS","FAIL")</x:f>
        <x:v>PASS</x:v>
      </x:c>
      <x:c r="D18" s="10" t="str">
        <x:v>Range-order check</x:v>
      </x:c>
    </x:row>
    <x:row r="19">
      <x:c r="A19" s="20" t="str">
        <x:v>C15</x:v>
      </x:c>
      <x:c r="B19" s="20" t="str">
        <x:v>All evidence gates remain open</x:v>
      </x:c>
      <x:c r="C19" s="12" t="str">
        <x:f>IF(COUNTIF('Evidence Gates'!E5:E20,"OPEN")=16,"OPEN","FAIL")</x:f>
        <x:v>OPEN</x:v>
      </x:c>
      <x:c r="D19" s="20" t="str">
        <x:v>No R3 closure claimed</x:v>
      </x:c>
    </x:row>
    <x:row r="20">
      <x:c r="A20" s="10" t="str">
        <x:v>C16</x:v>
      </x:c>
      <x:c r="B20" s="10" t="str">
        <x:v>Rendering gate</x:v>
      </x:c>
      <x:c r="C20" s="12" t="str">
        <x:f>IF(COUNTIF('Evidence Gates'!F5:F20,"YES")=0,"PASS","OPEN")</x:f>
        <x:v>OPEN</x:v>
      </x:c>
      <x:c r="D20" s="10" t="str">
        <x:v>Any blocking gate prohibits exterior rendering</x:v>
      </x:c>
    </x:row>
  </x:sheetData>
  <x:conditionalFormatting sqref="C5:C20">
    <x:cfRule type="containsText" dxfId="28" priority="1" operator="containsText" text="PASS"/>
    <x:cfRule type="containsText" dxfId="29" priority="2" operator="containsText" text="FAIL"/>
    <x:cfRule type="containsText" dxfId="30" priority="3" operator="containsText" text="OPEN"/>
    <x:cfRule type="containsText" dxfId="31" priority="4" operator="containsText" text="CONDITIONAL"/>
  </x:conditionalFormatting>
  <x:pageMargins left="0.7" right="0.7" top="0.75" bottom="0.75" header="0.3" footer="0.3"/>
</x:worksheet>
</file>