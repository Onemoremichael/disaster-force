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fb87b8bda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5c459669c2804d1e"/>
    <x:sheet xmlns:r="http://schemas.openxmlformats.org/officeDocument/2006/relationships" name="Controls" sheetId="2" r:id="Rcd0a32e65cae4f50"/>
    <x:sheet xmlns:r="http://schemas.openxmlformats.org/officeDocument/2006/relationships" name="Service Cohorts" sheetId="3" r:id="R7cfb3e1816e14814"/>
    <x:sheet xmlns:r="http://schemas.openxmlformats.org/officeDocument/2006/relationships" name="District Topology" sheetId="4" r:id="R7389f70fd4a845ea"/>
    <x:sheet xmlns:r="http://schemas.openxmlformats.org/officeDocument/2006/relationships" name="Shelter Geometry" sheetId="5" r:id="Ra582e7534b144619"/>
    <x:sheet xmlns:r="http://schemas.openxmlformats.org/officeDocument/2006/relationships" name="Shelter Pathways" sheetId="6" r:id="Rc2be272545f04853"/>
    <x:sheet xmlns:r="http://schemas.openxmlformats.org/officeDocument/2006/relationships" name="Thermal Loads" sheetId="7" r:id="R3fab05cc78be441f"/>
    <x:sheet xmlns:r="http://schemas.openxmlformats.org/officeDocument/2006/relationships" name="Food Pathways" sheetId="8" r:id="R9df73495081d4a3c"/>
    <x:sheet xmlns:r="http://schemas.openxmlformats.org/officeDocument/2006/relationships" name="Food Operations" sheetId="9" r:id="R76ab606f1f204617"/>
    <x:sheet xmlns:r="http://schemas.openxmlformats.org/officeDocument/2006/relationships" name="Water Sanitation" sheetId="10" r:id="R21ae89f443af48dd"/>
    <x:sheet xmlns:r="http://schemas.openxmlformats.org/officeDocument/2006/relationships" name="Energy Pathways" sheetId="11" r:id="Rb6e873bcf02740b4"/>
    <x:sheet xmlns:r="http://schemas.openxmlformats.org/officeDocument/2006/relationships" name="Shift Roster" sheetId="12" r:id="R1403afa4f50744a8"/>
    <x:sheet xmlns:r="http://schemas.openxmlformats.org/officeDocument/2006/relationships" name="Workforce Cases" sheetId="13" r:id="Rd8651e4a0b144aa0"/>
    <x:sheet xmlns:r="http://schemas.openxmlformats.org/officeDocument/2006/relationships" name="Integrated Cases" sheetId="14" r:id="Rf24148323d3f48b8"/>
    <x:sheet xmlns:r="http://schemas.openxmlformats.org/officeDocument/2006/relationships" name="Mobility Ceiling" sheetId="15" r:id="Ref3f696264a74bb1"/>
    <x:sheet xmlns:r="http://schemas.openxmlformats.org/officeDocument/2006/relationships" name="N-2 Delivery" sheetId="16" r:id="R4686524abe654c39"/>
    <x:sheet xmlns:r="http://schemas.openxmlformats.org/officeDocument/2006/relationships" name="Sensitivity" sheetId="17" r:id="R4c2ca5c633264fb3"/>
    <x:sheet xmlns:r="http://schemas.openxmlformats.org/officeDocument/2006/relationships" name="Technology Programs" sheetId="18" r:id="R9a2251ed166f4485"/>
    <x:sheet xmlns:r="http://schemas.openxmlformats.org/officeDocument/2006/relationships" name="Evidence Gates" sheetId="19" r:id="R3a7a77d9edea4b8d"/>
    <x:sheet xmlns:r="http://schemas.openxmlformats.org/officeDocument/2006/relationships" name="Sources" sheetId="20" r:id="R5d543cf8148249a2"/>
    <x:sheet xmlns:r="http://schemas.openxmlformats.org/officeDocument/2006/relationships" name="Checks" sheetId="21" r:id="R562782cc6cc2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.00"/>
    <x:numFmt numFmtId="202" formatCode="0.00"/>
    <x:numFmt numFmtId="203" formatCode="0.0%"/>
    <x:numFmt numFmtId="204" formatCode="#,##0.0"/>
  </x:numFmts>
  <x:fonts count="9">
    <x:font>
      <x:sz val="11"/>
      <x:name val="Carlito"/>
    </x:font>
    <x:font>
      <x:b/>
      <x:sz val="20"/>
      <x:color rgb="FFFFFFFF"/>
      <x:name val="Aptos"/>
    </x:font>
    <x:font>
      <x:i/>
      <x:sz val="10"/>
      <x:color rgb="FFFFFFFF"/>
      <x:name val="Aptos"/>
    </x:font>
    <x:font>
      <x:b/>
      <x:sz val="9"/>
      <x:color rgb="FFFFFFFF"/>
      <x:name val="Aptos"/>
    </x:font>
    <x:font>
      <x:sz val="9"/>
      <x:color rgb="FF16222D"/>
      <x:name val="Aptos"/>
    </x:font>
    <x:font>
      <x:b/>
      <x:sz val="9"/>
      <x:color rgb="FF0C7C78"/>
      <x:name val="Aptos"/>
    </x:font>
    <x:font>
      <x:i/>
      <x:sz val="9"/>
      <x:color rgb="FF16222D"/>
      <x:name val="Aptos"/>
    </x:font>
    <x:font>
      <x:b/>
      <x:sz val="12"/>
      <x:color rgb="FFFFFFFF"/>
      <x:name val="Aptos"/>
    </x:font>
    <x:font>
      <x:sz val="1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6"/>
      </x:patternFill>
    </x:fill>
    <x:fill>
      <x:patternFill patternType="solid">
        <x:fgColor rgb="FF194A68"/>
      </x:patternFill>
    </x:fill>
    <x:fill>
      <x:patternFill patternType="solid">
        <x:fgColor rgb="FFF3F6F8"/>
      </x:patternFill>
    </x:fill>
    <x:fill>
      <x:patternFill patternType="solid">
        <x:fgColor rgb="FFDDF1EF"/>
      </x:patternFill>
    </x:fill>
    <x:fill>
      <x:patternFill patternType="solid">
        <x:fgColor rgb="FFFBE9D8"/>
      </x:patternFill>
    </x:fill>
    <x:fill>
      <x:patternFill patternType="solid">
        <x:fgColor rgb="FF0C7C78"/>
      </x:patternFill>
    </x:fill>
  </x:fills>
  <x:borders count="2">
    <x:border/>
    <x:border>
      <x:left style="thin">
        <x:color rgb="FFD1DCE3"/>
      </x:left>
      <x:right style="thin">
        <x:color rgb="FFD1DCE3"/>
      </x:right>
      <x:top style="thin">
        <x:color rgb="FFD1DCE3"/>
      </x:top>
      <x:bottom style="thin">
        <x:color rgb="FFD1DCE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2" fontId="4" fillId="4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4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4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64a3f493d4d4c" /><Relationship Type="http://schemas.openxmlformats.org/officeDocument/2006/relationships/theme" Target="/xl/theme/theme1.xml" Id="R50d9391d38784bbb" /><Relationship Type="http://schemas.openxmlformats.org/officeDocument/2006/relationships/sharedStrings" Target="/xl/sharedStrings.xml" Id="R539059a70ba94a8d" /><Relationship Type="http://schemas.openxmlformats.org/officeDocument/2006/relationships/worksheet" Target="/xl/worksheets/sheet1.xml" Id="R5c459669c2804d1e" /><Relationship Type="http://schemas.openxmlformats.org/officeDocument/2006/relationships/worksheet" Target="/xl/worksheets/sheet2.xml" Id="Rcd0a32e65cae4f50" /><Relationship Type="http://schemas.openxmlformats.org/officeDocument/2006/relationships/worksheet" Target="/xl/worksheets/sheet3.xml" Id="R7cfb3e1816e14814" /><Relationship Type="http://schemas.openxmlformats.org/officeDocument/2006/relationships/worksheet" Target="/xl/worksheets/sheet4.xml" Id="R7389f70fd4a845ea" /><Relationship Type="http://schemas.openxmlformats.org/officeDocument/2006/relationships/worksheet" Target="/xl/worksheets/sheet5.xml" Id="Ra582e7534b144619" /><Relationship Type="http://schemas.openxmlformats.org/officeDocument/2006/relationships/worksheet" Target="/xl/worksheets/sheet6.xml" Id="Rc2be272545f04853" /><Relationship Type="http://schemas.openxmlformats.org/officeDocument/2006/relationships/worksheet" Target="/xl/worksheets/sheet7.xml" Id="R3fab05cc78be441f" /><Relationship Type="http://schemas.openxmlformats.org/officeDocument/2006/relationships/worksheet" Target="/xl/worksheets/sheet8.xml" Id="R9df73495081d4a3c" /><Relationship Type="http://schemas.openxmlformats.org/officeDocument/2006/relationships/worksheet" Target="/xl/worksheets/sheet9.xml" Id="R76ab606f1f204617" /><Relationship Type="http://schemas.openxmlformats.org/officeDocument/2006/relationships/worksheet" Target="/xl/worksheets/sheet10.xml" Id="R21ae89f443af48dd" /><Relationship Type="http://schemas.openxmlformats.org/officeDocument/2006/relationships/worksheet" Target="/xl/worksheets/sheet11.xml" Id="Rb6e873bcf02740b4" /><Relationship Type="http://schemas.openxmlformats.org/officeDocument/2006/relationships/worksheet" Target="/xl/worksheets/sheet12.xml" Id="R1403afa4f50744a8" /><Relationship Type="http://schemas.openxmlformats.org/officeDocument/2006/relationships/worksheet" Target="/xl/worksheets/sheet13.xml" Id="Rd8651e4a0b144aa0" /><Relationship Type="http://schemas.openxmlformats.org/officeDocument/2006/relationships/worksheet" Target="/xl/worksheets/sheet14.xml" Id="Rf24148323d3f48b8" /><Relationship Type="http://schemas.openxmlformats.org/officeDocument/2006/relationships/worksheet" Target="/xl/worksheets/sheet15.xml" Id="Ref3f696264a74bb1" /><Relationship Type="http://schemas.openxmlformats.org/officeDocument/2006/relationships/worksheet" Target="/xl/worksheets/sheet16.xml" Id="R4686524abe654c39" /><Relationship Type="http://schemas.openxmlformats.org/officeDocument/2006/relationships/worksheet" Target="/xl/worksheets/sheet17.xml" Id="R4c2ca5c633264fb3" /><Relationship Type="http://schemas.openxmlformats.org/officeDocument/2006/relationships/worksheet" Target="/xl/worksheets/sheet18.xml" Id="R9a2251ed166f4485" /><Relationship Type="http://schemas.openxmlformats.org/officeDocument/2006/relationships/worksheet" Target="/xl/worksheets/sheet19.xml" Id="R3a7a77d9edea4b8d" /><Relationship Type="http://schemas.openxmlformats.org/officeDocument/2006/relationships/worksheet" Target="/xl/worksheets/sheet20.xml" Id="R5d543cf8148249a2" /><Relationship Type="http://schemas.openxmlformats.org/officeDocument/2006/relationships/worksheet" Target="/xl/worksheets/sheet21.xml" Id="R562782cc6cc2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16" hidden="0" customWidth="1"/>
    <x:col min="4" max="4" width="16" hidden="0" customWidth="1"/>
    <x:col min="5" max="5" width="68" hidden="0" customWidth="1"/>
  </x:cols>
  <x:sheetData>
    <x:row r="1" ht="34" customHeight="1">
      <x:c r="A1" s="40" t="str">
        <x:v>PCC-50 Population Continuity Complex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1" customHeight="1">
      <x:c r="A2" s="41" t="str">
        <x:v>Pass 29 • first-principles closure of shelter, food, water, sanitation, thermal safety, energy and labor inside one PSP-10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24" customHeight="1">
      <x:c r="A4" s="43" t="str">
        <x:v>Decision dashboard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</x:row>
    <x:row r="5" ht="31" customHeight="1">
      <x:c r="A5" s="28" t="str">
        <x:v>Measure</x:v>
      </x:c>
      <x:c r="B5" s="28" t="str">
        <x:v>Result</x:v>
      </x:c>
      <x:c r="C5" s="28" t="str">
        <x:v>Unit</x:v>
      </x:c>
      <x:c r="D5" s="28" t="str">
        <x:v>Judgment</x:v>
      </x:c>
      <x:c r="E5" s="28" t="str">
        <x:v>Why it matters</x:v>
      </x:c>
      <x:c r="F5" s="42"/>
      <x:c r="G5" s="42"/>
      <x:c r="H5" s="42"/>
      <x:c r="I5" s="42"/>
      <x:c r="J5" s="42"/>
      <x:c r="K5" s="42"/>
      <x:c r="L5" s="42"/>
    </x:row>
    <x:row r="6" ht="43.20000076293945" hidden="0" customHeight="1">
      <x:c r="A6" s="16" t="str">
        <x:v>Protected campus population</x:v>
      </x:c>
      <x:c r="B6" s="29" t="n">
        <x:f>'Controls'!B11</x:f>
        <x:v>50000</x:v>
      </x:c>
      <x:c r="C6" s="16" t="str">
        <x:v>people</x:v>
      </x:c>
      <x:c r="D6" s="16" t="str">
        <x:v>CONTRACT</x:v>
      </x:c>
      <x:c r="E6" s="16" t="str">
        <x:v>Receives complete life-support bundle</x:v>
      </x:c>
      <x:c r="F6" s="42"/>
      <x:c r="G6" s="42"/>
      <x:c r="H6" s="42"/>
      <x:c r="I6" s="42"/>
      <x:c r="J6" s="42"/>
      <x:c r="K6" s="42"/>
      <x:c r="L6" s="42"/>
    </x:row>
    <x:row r="7" ht="32.400001525878906" hidden="0" customHeight="1">
      <x:c r="A7" s="15" t="str">
        <x:v>Total occupied/support area</x:v>
      </x:c>
      <x:c r="B7" s="30" t="n">
        <x:f>'Shelter Geometry'!C10</x:f>
        <x:v>376257.15</x:v>
      </x:c>
      <x:c r="C7" s="15" t="str">
        <x:v>m²</x:v>
      </x:c>
      <x:c r="D7" s="15" t="str">
        <x:v>GEOMETRY</x:v>
      </x:c>
      <x:c r="E7" s="15" t="str">
        <x:v>Cannot be optimized away</x:v>
      </x:c>
      <x:c r="F7" s="42"/>
      <x:c r="G7" s="42"/>
      <x:c r="H7" s="42"/>
      <x:c r="I7" s="42"/>
      <x:c r="J7" s="42"/>
      <x:c r="K7" s="42"/>
      <x:c r="L7" s="42"/>
    </x:row>
    <x:row r="8" ht="43.20000076293945" hidden="0" customHeight="1">
      <x:c r="A8" s="16" t="str">
        <x:v>Pass 28 essential shelter allowance</x:v>
      </x:c>
      <x:c r="B8" s="29" t="n">
        <x:f>'Integrated Cases'!C6</x:f>
        <x:v>1250</x:v>
      </x:c>
      <x:c r="C8" s="16" t="str">
        <x:v>t</x:v>
      </x:c>
      <x:c r="D8" s="16" t="str">
        <x:v>SCREEN</x:v>
      </x:c>
      <x:c r="E8" s="16" t="str">
        <x:v>25 kg/person</x:v>
      </x:c>
      <x:c r="F8" s="42"/>
      <x:c r="G8" s="42"/>
      <x:c r="H8" s="42"/>
      <x:c r="I8" s="42"/>
      <x:c r="J8" s="42"/>
      <x:c r="K8" s="42"/>
      <x:c r="L8" s="42"/>
    </x:row>
    <x:row r="9" ht="43.20000076293945" hidden="0" customHeight="1">
      <x:c r="A9" s="15" t="str">
        <x:v>Configured independent shelter</x:v>
      </x:c>
      <x:c r="B9" s="30" t="n">
        <x:f>'Shelter Pathways'!G7</x:f>
        <x:v>3545.671475</x:v>
      </x:c>
      <x:c r="C9" s="15" t="str">
        <x:v>t</x:v>
      </x:c>
      <x:c r="D9" s="15" t="str">
        <x:v>ADVERSE</x:v>
      </x:c>
      <x:c r="E9" s="15" t="str">
        <x:v>Geometry-derived membrane screen</x:v>
      </x:c>
      <x:c r="F9" s="42"/>
      <x:c r="G9" s="42"/>
      <x:c r="H9" s="42"/>
      <x:c r="I9" s="42"/>
      <x:c r="J9" s="42"/>
      <x:c r="K9" s="42"/>
      <x:c r="L9" s="42"/>
    </x:row>
    <x:row r="10" ht="43.20000076293945" hidden="0" customHeight="1">
      <x:c r="A10" s="16" t="str">
        <x:v>Configured independent pod mass</x:v>
      </x:c>
      <x:c r="B10" s="29" t="n">
        <x:f>'Integrated Cases'!L8</x:f>
        <x:v>15152.861475000002</x:v>
      </x:c>
      <x:c r="C10" s="16" t="str">
        <x:v>t</x:v>
      </x:c>
      <x:c r="D10" s="16" t="str">
        <x:v>FAIL</x:v>
      </x:c>
      <x:c r="E10" s="16" t="str">
        <x:v>Exceeds hour-72 air/offshore mass ceiling</x:v>
      </x:c>
      <x:c r="F10" s="42"/>
      <x:c r="G10" s="42"/>
      <x:c r="H10" s="42"/>
      <x:c r="I10" s="42"/>
      <x:c r="J10" s="42"/>
      <x:c r="K10" s="42"/>
      <x:c r="L10" s="42"/>
    </x:row>
    <x:row r="11" ht="21.600000381469727" hidden="0" customHeight="1">
      <x:c r="A11" s="15" t="str">
        <x:v>Pods by h72, worst N-2</x:v>
      </x:c>
      <x:c r="B11" s="30" t="n">
        <x:f>'N-2 Delivery'!B23</x:f>
        <x:v>8</x:v>
      </x:c>
      <x:c r="C11" s="15" t="str">
        <x:v>pods</x:v>
      </x:c>
      <x:c r="D11" s="15" t="str">
        <x:v>FAIL</x:v>
      </x:c>
      <x:c r="E11" s="15" t="str">
        <x:v>Whole-pod credit</x:v>
      </x:c>
      <x:c r="F11" s="42"/>
      <x:c r="G11" s="42"/>
      <x:c r="H11" s="42"/>
      <x:c r="I11" s="42"/>
      <x:c r="J11" s="42"/>
      <x:c r="K11" s="42"/>
      <x:c r="L11" s="42"/>
    </x:row>
    <x:row r="12" ht="32.400001525878906" hidden="0" customHeight="1">
      <x:c r="A12" s="16" t="str">
        <x:v>Worst 10th-pod completion</x:v>
      </x:c>
      <x:c r="B12" s="29" t="n">
        <x:f>'N-2 Delivery'!B24</x:f>
        <x:v>84.02089652406417</x:v>
      </x:c>
      <x:c r="C12" s="16" t="str">
        <x:v>hour</x:v>
      </x:c>
      <x:c r="D12" s="16" t="str">
        <x:v>FAIL</x:v>
      </x:c>
      <x:c r="E12" s="16" t="str">
        <x:v>Both upland cells lost</x:v>
      </x:c>
      <x:c r="F12" s="42"/>
      <x:c r="G12" s="42"/>
      <x:c r="H12" s="42"/>
      <x:c r="I12" s="42"/>
      <x:c r="J12" s="42"/>
      <x:c r="K12" s="42"/>
      <x:c r="L12" s="42"/>
    </x:row>
    <x:row r="13" ht="21.600000381469727" hidden="0" customHeight="1">
      <x:c r="A13" s="15" t="str">
        <x:v>Advanced workforce</x:v>
      </x:c>
      <x:c r="B13" s="30" t="n">
        <x:f>'Workforce Cases'!B6</x:f>
        <x:v>4513</x:v>
      </x:c>
      <x:c r="C13" s="15" t="str">
        <x:v>people</x:v>
      </x:c>
      <x:c r="D13" s="15" t="str">
        <x:v>FAIL TARGET</x:v>
      </x:c>
      <x:c r="E13" s="15" t="str">
        <x:v>Shift-complete roster</x:v>
      </x:c>
      <x:c r="F13" s="42"/>
      <x:c r="G13" s="42"/>
      <x:c r="H13" s="42"/>
      <x:c r="I13" s="42"/>
      <x:c r="J13" s="42"/>
      <x:c r="K13" s="42"/>
      <x:c r="L13" s="42"/>
    </x:row>
    <x:row r="14" ht="32.400001525878906" hidden="0" customHeight="1">
      <x:c r="A14" s="16" t="str">
        <x:v>Transformational workforce</x:v>
      </x:c>
      <x:c r="B14" s="29" t="n">
        <x:f>'Workforce Cases'!B7</x:f>
        <x:v>2694</x:v>
      </x:c>
      <x:c r="C14" s="16" t="str">
        <x:v>people</x:v>
      </x:c>
      <x:c r="D14" s="16" t="str">
        <x:v>STILL HIGH</x:v>
      </x:c>
      <x:c r="E14" s="16" t="str">
        <x:v>Does not yet meet 2,500</x:v>
      </x:c>
      <x:c r="F14" s="42"/>
      <x:c r="G14" s="42"/>
      <x:c r="H14" s="42"/>
      <x:c r="I14" s="42"/>
      <x:c r="J14" s="42"/>
      <x:c r="K14" s="42"/>
      <x:c r="L14" s="42"/>
    </x:row>
    <x:row r="15" ht="43.20000076293945" hidden="0" customHeight="1">
      <x:c r="A15" s="15" t="str">
        <x:v>Campus water demand</x:v>
      </x:c>
      <x:c r="B15" s="30" t="n">
        <x:f>'Water Sanitation'!D11</x:f>
        <x:v>1504.4645</x:v>
      </x:c>
      <x:c r="C15" s="15" t="str">
        <x:v>m³/day</x:v>
      </x:c>
      <x:c r="D15" s="15" t="str">
        <x:v>CLOSES</x:v>
      </x:c>
      <x:c r="E15" s="15" t="str">
        <x:v>Leaves bounded external remainder</x:v>
      </x:c>
      <x:c r="F15" s="42"/>
      <x:c r="G15" s="42"/>
      <x:c r="H15" s="42"/>
      <x:c r="I15" s="42"/>
      <x:c r="J15" s="42"/>
      <x:c r="K15" s="42"/>
      <x:c r="L15" s="42"/>
    </x:row>
    <x:row r="16" ht="32.400001525878906" hidden="0" customHeight="1">
      <x:c r="A16" s="16" t="str">
        <x:v>Technology-target pod</x:v>
      </x:c>
      <x:c r="B16" s="29" t="n">
        <x:f>'Integrated Cases'!L10</x:f>
        <x:v>11818.204300000001</x:v>
      </x:c>
      <x:c r="C16" s="16" t="str">
        <x:v>t</x:v>
      </x:c>
      <x:c r="D16" s="16" t="str">
        <x:v>RESEARCH</x:v>
      </x:c>
      <x:c r="E16" s="16" t="str">
        <x:v>Numerically closes but unproved</x:v>
      </x:c>
      <x:c r="F16" s="42"/>
      <x:c r="G16" s="42"/>
      <x:c r="H16" s="42"/>
      <x:c r="I16" s="42"/>
      <x:c r="J16" s="42"/>
      <x:c r="K16" s="42"/>
      <x:c r="L16" s="42"/>
    </x:row>
    <x:row r="17" ht="32.400001525878906" hidden="0" customHeight="1">
      <x:c r="A17" s="15" t="str">
        <x:v>Open evidence gates</x:v>
      </x:c>
      <x:c r="B17" s="30" t="n">
        <x:f>COUNTIF('Evidence Gates'!F5:F18,"OPEN")</x:f>
        <x:v>14</x:v>
      </x:c>
      <x:c r="C17" s="15" t="str">
        <x:v>count</x:v>
      </x:c>
      <x:c r="D17" s="15" t="str">
        <x:v>OPEN</x:v>
      </x:c>
      <x:c r="E17" s="15" t="str">
        <x:v>No rendering authorization</x:v>
      </x:c>
      <x:c r="F17" s="42"/>
      <x:c r="G17" s="42"/>
      <x:c r="H17" s="42"/>
      <x:c r="I17" s="42"/>
      <x:c r="J17" s="42"/>
      <x:c r="K17" s="42"/>
      <x:c r="L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 ht="24" customHeight="1">
      <x:c r="A19" s="43" t="str">
        <x:v>Executive finding</x:v>
      </x:c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 ht="31" hidden="0" customHeight="1">
      <x:c r="A20" s="28" t="str">
        <x:v>Finding</x:v>
      </x:c>
      <x:c r="B20" s="28" t="str">
        <x:v>Meaning</x:v>
      </x:c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</x:row>
    <x:row r="21" ht="183.60000610351562" hidden="0" customHeight="1">
      <x:c r="A21" s="15" t="str">
        <x:v>The Pass 28 independent-essential pod does not survive configuration</x:v>
      </x:c>
      <x:c r="B21" s="15" t="str">
        <x:v>A 376,000 m² complete campus, hybrid food network, closed sanitation chain, 72-hour energy and advanced-assisted roster screen at roughly 15,151 t—not 11,738 t.</x:v>
      </x:c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</x:row>
    <x:row r="22" ht="151.1999969482422" hidden="0" customHeight="1">
      <x:c r="A22" s="15" t="str">
        <x:v>The mobility promise becomes a mass budget</x:v>
      </x:c>
      <x:c r="B22" s="15" t="str">
        <x:v>To lose both upland cells and still close by hour 72, a pod must remain at or below 12,048.75 t for the air path or 11,781 t for the offshore path.</x:v>
      </x:c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</x:row>
    <x:row r="23" ht="226.8000030517578" hidden="0" customHeight="1">
      <x:c r="A23" s="15" t="str">
        <x:v>The service contract is cohort-specific</x:v>
      </x:c>
      <x:c r="B23" s="15" t="str">
        <x:v>Fifty thousand residents receive the full campus bundle; 210,000 additional people receive food through a separate community channel. Capacities cannot be summed as if every person receives every effect.</x:v>
      </x:c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</x:row>
    <x:row r="24" ht="183.60000610351562" hidden="0" customHeight="1">
      <x:c r="A24" s="15" t="str">
        <x:v>Technology can recover the mission, but only as a portfolio</x:v>
      </x:c>
      <x:c r="B24" s="15" t="str">
        <x:v>A numerical technology target combines ≤24 kg/person shelter, dense food, lower-mass sanitation and transformational labor. Each claim remains separately falsifiable.</x:v>
      </x:c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</x:row>
    <x:row r="25" ht="151.1999969482422" hidden="0" customHeight="1">
      <x:c r="A25" s="15" t="str">
        <x:v>The next machine is not yet drawable</x:v>
      </x:c>
      <x:c r="B25" s="15" t="str">
        <x:v>Campus footprint, anchoring, service spine, kitchen, waste, source and crew geometry remain contingent on fourteen open gates.</x:v>
      </x:c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</x:row>
  </x:sheetData>
  <x:mergeCells>
    <x:mergeCell ref="A1:L1"/>
    <x:mergeCell ref="A2:L2"/>
    <x:mergeCell ref="A4:L4"/>
    <x:mergeCell ref="A19:L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21" hidden="0" customWidth="1"/>
    <x:col min="4" max="4" width="16" hidden="0" customWidth="1"/>
    <x:col min="5" max="5" width="62" hidden="0" customWidth="1"/>
  </x:cols>
  <x:sheetData>
    <x:row r="1" ht="34" customHeight="1">
      <x:c r="A1" s="40" t="str">
        <x:v>Population Continuity Complex — Controls</x:v>
      </x:c>
      <x:c r="B1" s="40"/>
      <x:c r="C1" s="40"/>
      <x:c r="D1" s="40"/>
      <x:c r="E1" s="40"/>
    </x:row>
    <x:row r="2" ht="31" customHeight="1">
      <x:c r="A2" s="41" t="str">
        <x:v>Editable design hypotheses for one PSP-10 service pod. Blue cells are assumptions; orange means unresolved evidence.</x:v>
      </x:c>
      <x:c r="B2" s="41"/>
      <x:c r="C2" s="41"/>
      <x:c r="D2" s="41"/>
      <x:c r="E2" s="41"/>
    </x:row>
    <x:row r="3">
      <x:c r="A3" s="42"/>
      <x:c r="B3" s="42"/>
      <x:c r="C3" s="42"/>
      <x:c r="D3" s="42"/>
      <x:c r="E3" s="42"/>
    </x:row>
    <x:row r="4" ht="31" customHeight="1">
      <x:c r="A4" s="28" t="str">
        <x:v>Control</x:v>
      </x:c>
      <x:c r="B4" s="28" t="str">
        <x:v>Baseline</x:v>
      </x:c>
      <x:c r="C4" s="28" t="str">
        <x:v>Unit</x:v>
      </x:c>
      <x:c r="D4" s="28" t="str">
        <x:v>Status</x:v>
      </x:c>
      <x:c r="E4" s="28" t="str">
        <x:v>Interpretation</x:v>
      </x:c>
    </x:row>
    <x:row r="5" ht="21.600000381469727" hidden="0" customHeight="1">
      <x:c r="A5" s="16" t="str">
        <x:v>Pod baseline mass</x:v>
      </x:c>
      <x:c r="B5" s="18" t="n">
        <x:v>9870.56</x:v>
      </x:c>
      <x:c r="C5" s="16" t="str">
        <x:v>t/pod</x:v>
      </x:c>
      <x:c r="D5" s="16" t="str">
        <x:v>PASS 28</x:v>
      </x:c>
      <x:c r="E5" s="16" t="str">
        <x:v>Bridge/reuse configuration</x:v>
      </x:c>
    </x:row>
    <x:row r="6" ht="43.20000076293945" hidden="0" customHeight="1">
      <x:c r="A6" s="15" t="str">
        <x:v>Baseline shelter allocation</x:v>
      </x:c>
      <x:c r="B6" s="18" t="n">
        <x:v>300</x:v>
      </x:c>
      <x:c r="C6" s="15" t="str">
        <x:v>t/pod</x:v>
      </x:c>
      <x:c r="D6" s="15" t="str">
        <x:v>ALLOWANCE</x:v>
      </x:c>
      <x:c r="E6" s="15" t="str">
        <x:v>Not a weighed shelter design</x:v>
      </x:c>
    </x:row>
    <x:row r="7" ht="32.400001525878906" hidden="0" customHeight="1">
      <x:c r="A7" s="16" t="str">
        <x:v>Baseline food allocation</x:v>
      </x:c>
      <x:c r="B7" s="18" t="n">
        <x:v>520</x:v>
      </x:c>
      <x:c r="C7" s="16" t="str">
        <x:v>t/pod</x:v>
      </x:c>
      <x:c r="D7" s="16" t="str">
        <x:v>ALLOWANCE</x:v>
      </x:c>
      <x:c r="E7" s="16" t="str">
        <x:v>Compact-food screen</x:v>
      </x:c>
    </x:row>
    <x:row r="8" ht="32.400001525878906" hidden="0" customHeight="1">
      <x:c r="A8" s="15" t="str">
        <x:v>Baseline sanitation allocation</x:v>
      </x:c>
      <x:c r="B8" s="18" t="n">
        <x:v>480</x:v>
      </x:c>
      <x:c r="C8" s="15" t="str">
        <x:v>t/pod</x:v>
      </x:c>
      <x:c r="D8" s="15" t="str">
        <x:v>ALLOWANCE</x:v>
      </x:c>
      <x:c r="E8" s="15" t="str">
        <x:v>Unconfigured</x:v>
      </x:c>
    </x:row>
    <x:row r="9" ht="43.20000076293945" hidden="0" customHeight="1">
      <x:c r="A9" s="16" t="str">
        <x:v>Baseline power hardware</x:v>
      </x:c>
      <x:c r="B9" s="18" t="n">
        <x:v>700</x:v>
      </x:c>
      <x:c r="C9" s="16" t="str">
        <x:v>t/pod</x:v>
      </x:c>
      <x:c r="D9" s="16" t="str">
        <x:v>ALLOWANCE</x:v>
      </x:c>
      <x:c r="E9" s="16" t="str">
        <x:v>65 MW service power hardware</x:v>
      </x:c>
    </x:row>
    <x:row r="10" ht="32.400001525878906" hidden="0" customHeight="1">
      <x:c r="A10" s="15" t="str">
        <x:v>Baseline energy/fuel allocation</x:v>
      </x:c>
      <x:c r="B10" s="18" t="n">
        <x:v>223</x:v>
      </x:c>
      <x:c r="C10" s="15" t="str">
        <x:v>t/pod</x:v>
      </x:c>
      <x:c r="D10" s="15" t="str">
        <x:v>ALLOWANCE</x:v>
      </x:c>
      <x:c r="E10" s="15" t="str">
        <x:v>Not 72-hour endurance</x:v>
      </x:c>
    </x:row>
    <x:row r="11" ht="32.400001525878906" hidden="0" customHeight="1">
      <x:c r="A11" s="16" t="str">
        <x:v>Shelter residents</x:v>
      </x:c>
      <x:c r="B11" s="18" t="n">
        <x:v>50000</x:v>
      </x:c>
      <x:c r="C11" s="16" t="str">
        <x:v>people</x:v>
      </x:c>
      <x:c r="D11" s="16" t="str">
        <x:v>CONTRACT</x:v>
      </x:c>
      <x:c r="E11" s="16" t="str">
        <x:v>Full protected-campus bundle</x:v>
      </x:c>
    </x:row>
    <x:row r="12" ht="64.80000305175781" hidden="0" customHeight="1">
      <x:c r="A12" s="15" t="str">
        <x:v>Food beneficiaries</x:v>
      </x:c>
      <x:c r="B12" s="18" t="n">
        <x:v>260000</x:v>
      </x:c>
      <x:c r="C12" s="15" t="str">
        <x:v>people/day</x:v>
      </x:c>
      <x:c r="D12" s="15" t="str">
        <x:v>CONTRACT</x:v>
      </x:c>
      <x:c r="E12" s="15" t="str">
        <x:v>Includes shelter residents and community channel</x:v>
      </x:c>
    </x:row>
    <x:row r="13" ht="32.400001525878906" hidden="0" customHeight="1">
      <x:c r="A13" s="16" t="str">
        <x:v>Water production</x:v>
      </x:c>
      <x:c r="B13" s="18" t="n">
        <x:v>2000</x:v>
      </x:c>
      <x:c r="C13" s="16" t="str">
        <x:v>m³/day</x:v>
      </x:c>
      <x:c r="D13" s="16" t="str">
        <x:v>CONTRACT</x:v>
      </x:c>
      <x:c r="E13" s="16" t="str">
        <x:v>Must be allocated by cohort</x:v>
      </x:c>
    </x:row>
    <x:row r="14" ht="32.400001525878906" hidden="0" customHeight="1">
      <x:c r="A14" s="15" t="str">
        <x:v>Critical power</x:v>
      </x:c>
      <x:c r="B14" s="18" t="n">
        <x:v>65</x:v>
      </x:c>
      <x:c r="C14" s="15" t="str">
        <x:v>MW</x:v>
      </x:c>
      <x:c r="D14" s="15" t="str">
        <x:v>CONTRACT</x:v>
      </x:c>
      <x:c r="E14" s="15" t="str">
        <x:v>Grid-forming service-island capacity</x:v>
      </x:c>
    </x:row>
    <x:row r="15" ht="43.20000076293945" hidden="0" customHeight="1">
      <x:c r="A15" s="16" t="str">
        <x:v>Duration</x:v>
      </x:c>
      <x:c r="B15" s="18" t="n">
        <x:v>72</x:v>
      </x:c>
      <x:c r="C15" s="16" t="str">
        <x:v>hours</x:v>
      </x:c>
      <x:c r="D15" s="16" t="str">
        <x:v>CONTRACT</x:v>
      </x:c>
      <x:c r="E15" s="16" t="str">
        <x:v>Independent-essential endurance window</x:v>
      </x:c>
    </x:row>
    <x:row r="16" ht="32.400001525878906" hidden="0" customHeight="1">
      <x:c r="A16" s="15" t="str">
        <x:v>Pod workforce target</x:v>
      </x:c>
      <x:c r="B16" s="18" t="n">
        <x:v>2500</x:v>
      </x:c>
      <x:c r="C16" s="15" t="str">
        <x:v>people</x:v>
      </x:c>
      <x:c r="D16" s="15" t="str">
        <x:v>TARGET</x:v>
      </x:c>
      <x:c r="E16" s="15" t="str">
        <x:v>Pass 28 technology target</x:v>
      </x:c>
    </x:row>
    <x:row r="17" ht="43.20000076293945" hidden="0" customHeight="1">
      <x:c r="A17" s="16" t="str">
        <x:v>Baseline responder-base capacity</x:v>
      </x:c>
      <x:c r="B17" s="18" t="n">
        <x:v>3000</x:v>
      </x:c>
      <x:c r="C17" s="16" t="str">
        <x:v>people</x:v>
      </x:c>
      <x:c r="D17" s="16" t="str">
        <x:v>ALLOWANCE</x:v>
      </x:c>
      <x:c r="E17" s="16" t="str">
        <x:v>Base module capacity already in pod</x:v>
      </x:c>
    </x:row>
    <x:row r="18" ht="54" hidden="0" customHeight="1">
      <x:c r="A18" s="15" t="str">
        <x:v>Responder-base mass</x:v>
      </x:c>
      <x:c r="B18" s="18" t="n">
        <x:v>900</x:v>
      </x:c>
      <x:c r="C18" s="15" t="str">
        <x:v>t/pod</x:v>
      </x:c>
      <x:c r="D18" s="15" t="str">
        <x:v>ALLOWANCE</x:v>
      </x:c>
      <x:c r="E18" s="15" t="str">
        <x:v>Implies 0.30 t per additional accommodated person</x:v>
      </x:c>
    </x:row>
    <x:row r="19" ht="32.400001525878906" hidden="0" customHeight="1">
      <x:c r="A19" s="16" t="str">
        <x:v>Districts</x:v>
      </x:c>
      <x:c r="B19" s="18" t="n">
        <x:v>50</x:v>
      </x:c>
      <x:c r="C19" s="16" t="str">
        <x:v>count</x:v>
      </x:c>
      <x:c r="D19" s="16" t="str">
        <x:v>DESIGN</x:v>
      </x:c>
      <x:c r="E19" s="16" t="str">
        <x:v>1,000 residents each</x:v>
      </x:c>
    </x:row>
    <x:row r="20" ht="32.400001525878906" hidden="0" customHeight="1">
      <x:c r="A20" s="15" t="str">
        <x:v>Neighborhood nodes</x:v>
      </x:c>
      <x:c r="B20" s="18" t="n">
        <x:v>100</x:v>
      </x:c>
      <x:c r="C20" s="15" t="str">
        <x:v>count</x:v>
      </x:c>
      <x:c r="D20" s="15" t="str">
        <x:v>DESIGN</x:v>
      </x:c>
      <x:c r="E20" s="15" t="str">
        <x:v>500 residents each</x:v>
      </x:c>
    </x:row>
    <x:row r="21" ht="43.20000076293945" hidden="0" customHeight="1">
      <x:c r="A21" s="16" t="str">
        <x:v>Standard dormitory area</x:v>
      </x:c>
      <x:c r="B21" s="18" t="n">
        <x:v>50</x:v>
      </x:c>
      <x:c r="C21" s="16" t="str">
        <x:v>ft²/person</x:v>
      </x:c>
      <x:c r="D21" s="16" t="str">
        <x:v>ANCHOR</x:v>
      </x:c>
      <x:c r="E21" s="16" t="str">
        <x:v>Inside FEMA 40–60 ft² planning range</x:v>
      </x:c>
    </x:row>
    <x:row r="22" ht="54" hidden="0" customHeight="1">
      <x:c r="A22" s="15" t="str">
        <x:v>Accessible share</x:v>
      </x:c>
      <x:c r="B22" s="19" t="n">
        <x:v>0.2</x:v>
      </x:c>
      <x:c r="C22" s="15" t="str">
        <x:v>fraction</x:v>
      </x:c>
      <x:c r="D22" s="15" t="str">
        <x:v>ASSUMPTION</x:v>
      </x:c>
      <x:c r="E22" s="15" t="str">
        <x:v>Stress assumption; not prevalence estimate</x:v>
      </x:c>
    </x:row>
    <x:row r="23" ht="43.20000076293945" hidden="0" customHeight="1">
      <x:c r="A23" s="16" t="str">
        <x:v>Accessible dormitory area</x:v>
      </x:c>
      <x:c r="B23" s="19" t="n">
        <x:v>100</x:v>
      </x:c>
      <x:c r="C23" s="16" t="str">
        <x:v>ft²/person</x:v>
      </x:c>
      <x:c r="D23" s="16" t="str">
        <x:v>ANCHOR</x:v>
      </x:c>
      <x:c r="E23" s="16" t="str">
        <x:v>FEMA notes up to 100 ft² may be required</x:v>
      </x:c>
    </x:row>
    <x:row r="24" ht="43.20000076293945" hidden="0" customHeight="1">
      <x:c r="A24" s="15" t="str">
        <x:v>Support-area factor</x:v>
      </x:c>
      <x:c r="B24" s="18" t="n">
        <x:v>0.35</x:v>
      </x:c>
      <x:c r="C24" s="15" t="str">
        <x:v>share of dorm area</x:v>
      </x:c>
      <x:c r="D24" s="15" t="str">
        <x:v>ASSUMPTION</x:v>
      </x:c>
      <x:c r="E24" s="15" t="str">
        <x:v>Registration, care, dining, circulation, storage</x:v>
      </x:c>
    </x:row>
    <x:row r="25" ht="54" hidden="0" customHeight="1">
      <x:c r="A25" s="16" t="str">
        <x:v>Air-cell net throughput</x:v>
      </x:c>
      <x:c r="B25" s="18" t="n">
        <x:v>669.375</x:v>
      </x:c>
      <x:c r="C25" s="16" t="str">
        <x:v>t/hour/cell</x:v>
      </x:c>
      <x:c r="D25" s="16" t="str">
        <x:v>PASS 27</x:v>
      </x:c>
      <x:c r="E25" s="16" t="str">
        <x:v>After modeled availability and release losses</x:v>
      </x:c>
    </x:row>
    <x:row r="26" ht="54" hidden="0" customHeight="1">
      <x:c r="A26" s="15" t="str">
        <x:v>Offshore-cell net throughput</x:v>
      </x:c>
      <x:c r="B26" s="18" t="n">
        <x:v>841.5</x:v>
      </x:c>
      <x:c r="C26" s="15" t="str">
        <x:v>t/hour/cell</x:v>
      </x:c>
      <x:c r="D26" s="15" t="str">
        <x:v>PASS 27</x:v>
      </x:c>
      <x:c r="E26" s="15" t="str">
        <x:v>After modeled availability and release losses</x:v>
      </x:c>
    </x:row>
    <x:row r="27" ht="54" hidden="0" customHeight="1">
      <x:c r="A27" s="16" t="str">
        <x:v>Upland-cell net throughput</x:v>
      </x:c>
      <x:c r="B27" s="18" t="n">
        <x:v>1096.875</x:v>
      </x:c>
      <x:c r="C27" s="16" t="str">
        <x:v>t/hour/cell</x:v>
      </x:c>
      <x:c r="D27" s="16" t="str">
        <x:v>PASS 27</x:v>
      </x:c>
      <x:c r="E27" s="16" t="str">
        <x:v>After modeled availability and release losses</x:v>
      </x:c>
    </x:row>
    <x:row r="28" ht="21.600000381469727" hidden="0" customHeight="1">
      <x:c r="A28" s="15" t="str">
        <x:v>Air activation</x:v>
      </x:c>
      <x:c r="B28" s="18" t="n">
        <x:v>18</x:v>
      </x:c>
      <x:c r="C28" s="15" t="str">
        <x:v>hour</x:v>
      </x:c>
      <x:c r="D28" s="15" t="str">
        <x:v>PASS 27</x:v>
      </x:c>
      <x:c r="E28" s="15" t="str">
        <x:v>Deployment clock</x:v>
      </x:c>
    </x:row>
    <x:row r="29" ht="21.600000381469727" hidden="0" customHeight="1">
      <x:c r="A29" s="16" t="str">
        <x:v>Offshore activation</x:v>
      </x:c>
      <x:c r="B29" s="18" t="n">
        <x:v>30</x:v>
      </x:c>
      <x:c r="C29" s="16" t="str">
        <x:v>hour</x:v>
      </x:c>
      <x:c r="D29" s="16" t="str">
        <x:v>PASS 27</x:v>
      </x:c>
      <x:c r="E29" s="16" t="str">
        <x:v>Deployment clock</x:v>
      </x:c>
    </x:row>
    <x:row r="30" ht="21.600000381469727" hidden="0" customHeight="1">
      <x:c r="A30" s="15" t="str">
        <x:v>Upland activation</x:v>
      </x:c>
      <x:c r="B30" s="18" t="n">
        <x:v>6</x:v>
      </x:c>
      <x:c r="C30" s="15" t="str">
        <x:v>hour</x:v>
      </x:c>
      <x:c r="D30" s="15" t="str">
        <x:v>PASS 27</x:v>
      </x:c>
      <x:c r="E30" s="15" t="str">
        <x:v>Deployment clock</x:v>
      </x:c>
    </x:row>
    <x:row r="31" ht="21.600000381469727" hidden="0" customHeight="1">
      <x:c r="A31" s="16" t="str">
        <x:v>Pods required</x:v>
      </x:c>
      <x:c r="B31" s="18" t="n">
        <x:v>10</x:v>
      </x:c>
      <x:c r="C31" s="16" t="str">
        <x:v>whole pods</x:v>
      </x:c>
      <x:c r="D31" s="16" t="str">
        <x:v>PASS 28</x:v>
      </x:c>
      <x:c r="E31" s="16" t="str">
        <x:v>Food is binding</x:v>
      </x:c>
    </x:row>
    <x:row r="32" ht="43.20000076293945" hidden="0" customHeight="1">
      <x:c r="A32" s="15" t="str">
        <x:v>Fuel mass for 65 MW × 72 h</x:v>
      </x:c>
      <x:c r="B32" s="18" t="n">
        <x:v>1140.53</x:v>
      </x:c>
      <x:c r="C32" s="15" t="str">
        <x:v>t</x:v>
      </x:c>
      <x:c r="D32" s="15" t="str">
        <x:v>SCREEN</x:v>
      </x:c>
      <x:c r="E32" s="15" t="str">
        <x:v>Liquid-equivalent reserve including contingency</x:v>
      </x:c>
    </x:row>
    <x:row r="33" ht="32.400001525878906" hidden="0" customHeight="1">
      <x:c r="A33" s="16" t="str">
        <x:v>Rendering authorization</x:v>
      </x:c>
      <x:c r="B33" s="18" t="n">
        <x:v>0</x:v>
      </x:c>
      <x:c r="C33" s="16" t="str">
        <x:v>0=no</x:v>
      </x:c>
      <x:c r="D33" s="16" t="str">
        <x:v>OPEN GATE</x:v>
      </x:c>
      <x:c r="E33" s="16" t="str">
        <x:v>No rendering until system reaches R3</x:v>
      </x:c>
    </x:row>
    <x:row r="34">
      <x:c r="A34" s="42"/>
      <x:c r="B34" s="42"/>
      <x:c r="C34" s="42"/>
      <x:c r="D34" s="42"/>
      <x:c r="E34" s="42"/>
    </x:row>
    <x:row r="35" ht="33" customHeight="1">
      <x:c r="A35" s="44" t="str">
        <x:v>Controls are deliberately editable. They are not estimates of a future procurement baseline. Every result is conditional on the declared service cohorts, mass intensities, staffing factors and movement rates.</x:v>
      </x:c>
      <x:c r="B35" s="44"/>
      <x:c r="C35" s="44"/>
      <x:c r="D35" s="44"/>
      <x:c r="E35" s="44"/>
    </x:row>
  </x:sheetData>
  <x:mergeCells>
    <x:mergeCell ref="A1:E1"/>
    <x:mergeCell ref="A2:E2"/>
    <x:mergeCell ref="A35:E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66" hidden="0" customWidth="1"/>
  </x:cols>
  <x:sheetData>
    <x:row r="1" ht="34" customHeight="1">
      <x:c r="A1" s="40" t="str">
        <x:v>Service-Cohort Ledger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1" customHeight="1">
      <x:c r="A2" s="41" t="str">
        <x:v>Different pod effects reach different populations. A list of capacities is not a closed service bundle.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 ht="31" customHeight="1">
      <x:c r="A4" s="28" t="str">
        <x:v>Cohort</x:v>
      </x:c>
      <x:c r="B4" s="28" t="str">
        <x:v>People</x:v>
      </x:c>
      <x:c r="C4" s="28" t="str">
        <x:v>Shelter</x:v>
      </x:c>
      <x:c r="D4" s="28" t="str">
        <x:v>Food</x:v>
      </x:c>
      <x:c r="E4" s="28" t="str">
        <x:v>Water</x:v>
      </x:c>
      <x:c r="F4" s="28" t="str">
        <x:v>Sanitation</x:v>
      </x:c>
      <x:c r="G4" s="28" t="str">
        <x:v>Thermal</x:v>
      </x:c>
      <x:c r="H4" s="28" t="str">
        <x:v>Power</x:v>
      </x:c>
      <x:c r="I4" s="28" t="str">
        <x:v>Health</x:v>
      </x:c>
      <x:c r="J4" s="28" t="str">
        <x:v>Interpretation</x:v>
      </x:c>
    </x:row>
    <x:row r="5" ht="54" hidden="0" customHeight="1">
      <x:c r="A5" s="16" t="str">
        <x:v>Protected campus residents</x:v>
      </x:c>
      <x:c r="B5" s="16" t="n">
        <x:v>50000</x:v>
      </x:c>
      <x:c r="C5" s="16" t="str">
        <x:v>FULL</x:v>
      </x:c>
      <x:c r="D5" s="16" t="str">
        <x:v>FULL</x:v>
      </x:c>
      <x:c r="E5" s="16" t="str">
        <x:v>FULL</x:v>
      </x:c>
      <x:c r="F5" s="16" t="str">
        <x:v>FULL</x:v>
      </x:c>
      <x:c r="G5" s="16" t="str">
        <x:v>FULL</x:v>
      </x:c>
      <x:c r="H5" s="16" t="str">
        <x:v>FACILITY</x:v>
      </x:c>
      <x:c r="I5" s="16" t="str">
        <x:v>TRIAGE</x:v>
      </x:c>
      <x:c r="J5" s="16" t="str">
        <x:v>Receive the complete minimum life-support bundle</x:v>
      </x:c>
    </x:row>
    <x:row r="6" ht="64.80000305175781" hidden="0" customHeight="1">
      <x:c r="A6" s="15" t="str">
        <x:v>Community food channel</x:v>
      </x:c>
      <x:c r="B6" s="15" t="n">
        <x:v>210000</x:v>
      </x:c>
      <x:c r="C6" s="15" t="str">
        <x:v>NO</x:v>
      </x:c>
      <x:c r="D6" s="15" t="str">
        <x:v>FULL</x:v>
      </x:c>
      <x:c r="E6" s="15" t="str">
        <x:v>LIMITED</x:v>
      </x:c>
      <x:c r="F6" s="15" t="str">
        <x:v>NO</x:v>
      </x:c>
      <x:c r="G6" s="15" t="str">
        <x:v>NO</x:v>
      </x:c>
      <x:c r="H6" s="15" t="str">
        <x:v>DISTRIBUTION</x:v>
      </x:c>
      <x:c r="I6" s="15" t="str">
        <x:v>REFERRAL</x:v>
      </x:c>
      <x:c r="J6" s="15" t="str">
        <x:v>Distributed commodities or meal equivalents outside the campus</x:v>
      </x:c>
    </x:row>
    <x:row r="7" ht="54" hidden="0" customHeight="1">
      <x:c r="A7" s="16" t="str">
        <x:v>Responder workforce</x:v>
      </x:c>
      <x:c r="B7" s="16" t="n">
        <x:f>'Workforce Cases'!B18</x:f>
        <x:v>0</x:v>
      </x:c>
      <x:c r="C7" s="16" t="str">
        <x:v>CREW</x:v>
      </x:c>
      <x:c r="D7" s="16" t="str">
        <x:v>CREW</x:v>
      </x:c>
      <x:c r="E7" s="16" t="str">
        <x:v>CREW</x:v>
      </x:c>
      <x:c r="F7" s="16" t="str">
        <x:v>CREW</x:v>
      </x:c>
      <x:c r="G7" s="16" t="str">
        <x:v>CREW</x:v>
      </x:c>
      <x:c r="H7" s="16" t="str">
        <x:v>CREW</x:v>
      </x:c>
      <x:c r="I7" s="16" t="str">
        <x:v>OCC HEALTH</x:v>
      </x:c>
      <x:c r="J7" s="16" t="str">
        <x:v>Counted separately from public-service effects</x:v>
      </x:c>
    </x:row>
    <x:row r="8" ht="86.4000015258789" hidden="0" customHeight="1">
      <x:c r="A8" s="15" t="str">
        <x:v>Critical facilities</x:v>
      </x:c>
      <x:c r="B8" s="15"/>
      <x:c r="C8" s="15" t="str">
        <x:v>NO</x:v>
      </x:c>
      <x:c r="D8" s="15" t="str">
        <x:v>NO</x:v>
      </x:c>
      <x:c r="E8" s="15" t="str">
        <x:v>NO</x:v>
      </x:c>
      <x:c r="F8" s="15" t="str">
        <x:v>NO</x:v>
      </x:c>
      <x:c r="G8" s="15" t="str">
        <x:v>NO</x:v>
      </x:c>
      <x:c r="H8" s="15" t="str">
        <x:v>FULL</x:v>
      </x:c>
      <x:c r="I8" s="15" t="str">
        <x:v>FACILITY</x:v>
      </x:c>
      <x:c r="J8" s="15" t="str">
        <x:v>Power and health effects are facility contracts, not population shares</x:v>
      </x:c>
    </x:row>
    <x:row r="9" ht="75.5999984741211" hidden="0" customHeight="1">
      <x:c r="A9" s="16" t="str">
        <x:v>Water-only reach at 15 L/p/d</x:v>
      </x:c>
      <x:c r="B9" s="16" t="n">
        <x:f>'Controls'!B13*1000/15</x:f>
        <x:v>133333.33333333334</x:v>
      </x:c>
      <x:c r="C9" s="16" t="str">
        <x:v>NO</x:v>
      </x:c>
      <x:c r="D9" s="16" t="str">
        <x:v>NO</x:v>
      </x:c>
      <x:c r="E9" s="16" t="str">
        <x:v>FULL</x:v>
      </x:c>
      <x:c r="F9" s="16" t="str">
        <x:v>NO</x:v>
      </x:c>
      <x:c r="G9" s="16" t="str">
        <x:v>NO</x:v>
      </x:c>
      <x:c r="H9" s="16" t="str">
        <x:v>PUMP</x:v>
      </x:c>
      <x:c r="I9" s="16" t="str">
        <x:v>NO</x:v>
      </x:c>
      <x:c r="J9" s="16" t="str">
        <x:v>Upper-bound people served if no campus operational water were required</x:v>
      </x:c>
    </x:row>
    <x:row r="10" ht="54" hidden="0" customHeight="1">
      <x:c r="A10" s="15" t="str">
        <x:v>Water-only reach at 7.5 L/p/d</x:v>
      </x:c>
      <x:c r="B10" s="15" t="n">
        <x:f>'Controls'!B13*1000/7.5</x:f>
        <x:v>266666.6666666667</x:v>
      </x:c>
      <x:c r="C10" s="15" t="str">
        <x:v>NO</x:v>
      </x:c>
      <x:c r="D10" s="15" t="str">
        <x:v>NO</x:v>
      </x:c>
      <x:c r="E10" s="15" t="str">
        <x:v>FULL</x:v>
      </x:c>
      <x:c r="F10" s="15" t="str">
        <x:v>NO</x:v>
      </x:c>
      <x:c r="G10" s="15" t="str">
        <x:v>NO</x:v>
      </x:c>
      <x:c r="H10" s="15" t="str">
        <x:v>PUMP</x:v>
      </x:c>
      <x:c r="I10" s="15" t="str">
        <x:v>NO</x:v>
      </x:c>
      <x:c r="J10" s="15" t="str">
        <x:v>Lower emergency drinking/basic cooking quantity only</x:v>
      </x:c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</x:row>
    <x:row r="12" ht="24" customHeight="1">
      <x:c r="A12" s="43" t="str">
        <x:v>Closure rules</x:v>
      </x:c>
      <x:c r="B12" s="43"/>
      <x:c r="C12" s="43"/>
      <x:c r="D12" s="43"/>
      <x:c r="E12" s="43"/>
      <x:c r="F12" s="43"/>
      <x:c r="G12" s="43"/>
      <x:c r="H12" s="43"/>
      <x:c r="I12" s="43"/>
      <x:c r="J12" s="43"/>
    </x:row>
    <x:row r="13" ht="31" hidden="0" customHeight="1">
      <x:c r="A13" s="28" t="str">
        <x:v>Rule</x:v>
      </x:c>
      <x:c r="B13" s="28" t="str">
        <x:v>Model consequence</x:v>
      </x:c>
      <x:c r="C13" s="42"/>
      <x:c r="D13" s="42"/>
      <x:c r="E13" s="42"/>
      <x:c r="F13" s="42"/>
      <x:c r="G13" s="42"/>
      <x:c r="H13" s="42"/>
      <x:c r="I13" s="42"/>
      <x:c r="J13" s="42"/>
    </x:row>
    <x:row r="14" ht="86.4000015258789" hidden="0" customHeight="1">
      <x:c r="A14" s="15" t="str">
        <x:v>No beneficiary double-counting</x:v>
      </x:c>
      <x:c r="B14" s="15" t="str">
        <x:v>Food reach of 260,000 does not imply water, shelter or sanitation reach of 260,000.</x:v>
      </x:c>
      <x:c r="C14" s="42"/>
      <x:c r="D14" s="42"/>
      <x:c r="E14" s="42"/>
      <x:c r="F14" s="42"/>
      <x:c r="G14" s="42"/>
      <x:c r="H14" s="42"/>
      <x:c r="I14" s="42"/>
      <x:c r="J14" s="42"/>
    </x:row>
    <x:row r="15" ht="129.60000610351562" hidden="0" customHeight="1">
      <x:c r="A15" s="15" t="str">
        <x:v>Protected-campus floor</x:v>
      </x:c>
      <x:c r="B15" s="15" t="str">
        <x:v>All 50,000 residents must receive shelter, climate control, food, potable water, sanitation, safety and access together.</x:v>
      </x:c>
      <x:c r="C15" s="42"/>
      <x:c r="D15" s="42"/>
      <x:c r="E15" s="42"/>
      <x:c r="F15" s="42"/>
      <x:c r="G15" s="42"/>
      <x:c r="H15" s="42"/>
      <x:c r="I15" s="42"/>
      <x:c r="J15" s="42"/>
    </x:row>
    <x:row r="16" ht="97.19999694824219" hidden="0" customHeight="1">
      <x:c r="A16" s="15" t="str">
        <x:v>Broader service channel</x:v>
      </x:c>
      <x:c r="B16" s="15" t="str">
        <x:v>The remaining 210,000 food beneficiaries receive a distinct logistics and distribution service.</x:v>
      </x:c>
      <x:c r="C16" s="42"/>
      <x:c r="D16" s="42"/>
      <x:c r="E16" s="42"/>
      <x:c r="F16" s="42"/>
      <x:c r="G16" s="42"/>
      <x:c r="H16" s="42"/>
      <x:c r="I16" s="42"/>
      <x:c r="J16" s="42"/>
    </x:row>
    <x:row r="17" ht="97.19999694824219" hidden="0" customHeight="1">
      <x:c r="A17" s="15" t="str">
        <x:v>Facilities are loads</x:v>
      </x:c>
      <x:c r="B17" s="15" t="str">
        <x:v>The 65 MW power effect must be assigned to a load registry; it cannot be inferred from population.</x:v>
      </x:c>
      <x:c r="C17" s="42"/>
      <x:c r="D17" s="42"/>
      <x:c r="E17" s="42"/>
      <x:c r="F17" s="42"/>
      <x:c r="G17" s="42"/>
      <x:c r="H17" s="42"/>
      <x:c r="I17" s="42"/>
      <x:c r="J17" s="42"/>
    </x:row>
    <x:row r="18" ht="97.19999694824219" hidden="0" customHeight="1">
      <x:c r="A18" s="15" t="str">
        <x:v>Every cohort creates return flow</x:v>
      </x:c>
      <x:c r="B18" s="15" t="str">
        <x:v>Packaging, wastewater, solid waste, clinical waste and information become outbound obligations.</x:v>
      </x:c>
      <x:c r="C18" s="42"/>
      <x:c r="D18" s="42"/>
      <x:c r="E18" s="42"/>
      <x:c r="F18" s="42"/>
      <x:c r="G18" s="42"/>
      <x:c r="H18" s="42"/>
      <x:c r="I18" s="42"/>
      <x:c r="J18" s="42"/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37" hidden="0" customWidth="1"/>
    <x:col min="5" max="5" width="37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</x:cols>
  <x:sheetData>
    <x:row r="1" ht="34" customHeight="1">
      <x:c r="A1" s="40" t="str">
        <x:v>Fifty-District Operating Topology</x:v>
      </x:c>
      <x:c r="B1" s="40"/>
      <x:c r="C1" s="40"/>
      <x:c r="D1" s="40"/>
      <x:c r="E1" s="40"/>
      <x:c r="F1" s="40"/>
      <x:c r="G1" s="40"/>
      <x:c r="H1" s="40"/>
      <x:c r="I1" s="40"/>
    </x:row>
    <x:row r="2" ht="31" customHeight="1">
      <x:c r="A2" s="41" t="str">
        <x:v>The PCC-50 is a distributed service campus, not one 50,000-person tent.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</x:row>
    <x:row r="4" ht="31" customHeight="1">
      <x:c r="A4" s="28" t="str">
        <x:v>Layer</x:v>
      </x:c>
      <x:c r="B4" s="28" t="str">
        <x:v>Count</x:v>
      </x:c>
      <x:c r="C4" s="28" t="str">
        <x:v>People/unit</x:v>
      </x:c>
      <x:c r="D4" s="28" t="str">
        <x:v>Primary functions</x:v>
      </x:c>
      <x:c r="E4" s="28" t="str">
        <x:v>Isolation boundary</x:v>
      </x:c>
      <x:c r="F4" s="28" t="str">
        <x:v>Standard interfaces</x:v>
      </x:c>
      <x:c r="G4" s="28" t="str">
        <x:v>Degraded mode</x:v>
      </x:c>
      <x:c r="H4" s="28" t="str">
        <x:v>Release authority</x:v>
      </x:c>
      <x:c r="I4" s="28" t="str">
        <x:v>Design reason</x:v>
      </x:c>
    </x:row>
    <x:row r="5" ht="54" hidden="0" customHeight="1">
      <x:c r="A5" s="16" t="str">
        <x:v>Complex command</x:v>
      </x:c>
      <x:c r="B5" s="16" t="n">
        <x:v>1</x:v>
      </x:c>
      <x:c r="C5" s="16" t="n">
        <x:v>50000</x:v>
      </x:c>
      <x:c r="D5" s="16" t="str">
        <x:v>service contract, prioritization, inter-district allocation</x:v>
      </x:c>
      <x:c r="E5" s="16" t="str">
        <x:v>campus backbone</x:v>
      </x:c>
      <x:c r="F5" s="16" t="str">
        <x:v>data, MV power, bulk water, waste trunk</x:v>
      </x:c>
      <x:c r="G5" s="16" t="str">
        <x:v>district autonomy</x:v>
      </x:c>
      <x:c r="H5" s="16" t="str">
        <x:v>Civil Resilience Authority</x:v>
      </x:c>
      <x:c r="I5" s="16" t="str">
        <x:v>Prevents local failures becoming force-wide silence</x:v>
      </x:c>
    </x:row>
    <x:row r="6" ht="64.80000305175781" hidden="0" customHeight="1">
      <x:c r="A6" s="15" t="str">
        <x:v>District</x:v>
      </x:c>
      <x:c r="B6" s="15" t="n">
        <x:v>50</x:v>
      </x:c>
      <x:c r="C6" s="15" t="n">
        <x:v>1000</x:v>
      </x:c>
      <x:c r="D6" s="15" t="str">
        <x:v>registration, dormitory, care, sanitation, thermal refuge</x:v>
      </x:c>
      <x:c r="E6" s="15" t="str">
        <x:v>MV/LV breaker, water valve, data segment</x:v>
      </x:c>
      <x:c r="F6" s="15" t="str">
        <x:v>power/fluid/data quick connects</x:v>
      </x:c>
      <x:c r="G6" s="15" t="str">
        <x:v>island 24 h</x:v>
      </x:c>
      <x:c r="H6" s="15" t="str">
        <x:v>district service officer</x:v>
      </x:c>
      <x:c r="I6" s="15" t="str">
        <x:v>Human-scale supervision and sectional isolation</x:v>
      </x:c>
    </x:row>
    <x:row r="7" ht="64.80000305175781" hidden="0" customHeight="1">
      <x:c r="A7" s="16" t="str">
        <x:v>Neighborhood node</x:v>
      </x:c>
      <x:c r="B7" s="16" t="n">
        <x:v>100</x:v>
      </x:c>
      <x:c r="C7" s="16" t="n">
        <x:v>500</x:v>
      </x:c>
      <x:c r="D7" s="16" t="str">
        <x:v>sleeping, accessible support, health observation, distribution</x:v>
      </x:c>
      <x:c r="E7" s="16" t="str">
        <x:v>local electrical and sanitation zone</x:v>
      </x:c>
      <x:c r="F7" s="16" t="str">
        <x:v>LV, potable, gray/black water, identity</x:v>
      </x:c>
      <x:c r="G7" s="16" t="str">
        <x:v>passive-safe refuge</x:v>
      </x:c>
      <x:c r="H7" s="16" t="str">
        <x:v>district technical lead</x:v>
      </x:c>
      <x:c r="I7" s="16" t="str">
        <x:v>Matches shelter-health and accountable-service blocks</x:v>
      </x:c>
    </x:row>
    <x:row r="8" ht="64.80000305175781" hidden="0" customHeight="1">
      <x:c r="A8" s="15" t="str">
        <x:v>Food production node</x:v>
      </x:c>
      <x:c r="B8" s="15" t="n">
        <x:v>8</x:v>
      </x:c>
      <x:c r="C8" s="15" t="n">
        <x:v>6250</x:v>
      </x:c>
      <x:c r="D8" s="15" t="str">
        <x:v>150,000 resident meals/day</x:v>
      </x:c>
      <x:c r="E8" s="15" t="str">
        <x:v>food safety and energy boundary</x:v>
      </x:c>
      <x:c r="F8" s="15" t="str">
        <x:v>cold, potable, waste, electric/thermal</x:v>
      </x:c>
      <x:c r="G8" s="15" t="str">
        <x:v>cold meal fallback</x:v>
      </x:c>
      <x:c r="H8" s="15" t="str">
        <x:v>food safety official</x:v>
      </x:c>
      <x:c r="I8" s="15" t="str">
        <x:v>FEMA 20,000-meal/day analogue rounds to eight</x:v>
      </x:c>
    </x:row>
    <x:row r="9" ht="54" hidden="0" customHeight="1">
      <x:c r="A9" s="16" t="str">
        <x:v>Community distribution node</x:v>
      </x:c>
      <x:c r="B9" s="16" t="n">
        <x:v>70</x:v>
      </x:c>
      <x:c r="C9" s="16" t="n">
        <x:v>3000</x:v>
      </x:c>
      <x:c r="D9" s="16" t="str">
        <x:v>630,000 meal-equivalents/day</x:v>
      </x:c>
      <x:c r="E9" s="16" t="str">
        <x:v>custody and crowd-flow boundary</x:v>
      </x:c>
      <x:c r="F9" s="16" t="str">
        <x:v>identity, pallet, data, comms</x:v>
      </x:c>
      <x:c r="G9" s="16" t="str">
        <x:v>prepacked issue</x:v>
      </x:c>
      <x:c r="H9" s="16" t="str">
        <x:v>local civil lead</x:v>
      </x:c>
      <x:c r="I9" s="16" t="str">
        <x:v>Separates public reach from the shelter footprint</x:v>
      </x:c>
    </x:row>
    <x:row r="10" ht="54" hidden="0" customHeight="1">
      <x:c r="A10" s="15" t="str">
        <x:v>Utility island</x:v>
      </x:c>
      <x:c r="B10" s="15" t="n">
        <x:v>10</x:v>
      </x:c>
      <x:c r="C10" s="15" t="n">
        <x:v>5000</x:v>
      </x:c>
      <x:c r="D10" s="15" t="str">
        <x:v>black start, protection, water pressure, treatment</x:v>
      </x:c>
      <x:c r="E10" s="15" t="str">
        <x:v>protection zone</x:v>
      </x:c>
      <x:c r="F10" s="15" t="str">
        <x:v>source-neutral electrical and fluid bus</x:v>
      </x:c>
      <x:c r="G10" s="15" t="str">
        <x:v>shed noncritical loads</x:v>
      </x:c>
      <x:c r="H10" s="15" t="str">
        <x:v>electrical/water authority</x:v>
      </x:c>
      <x:c r="I10" s="15" t="str">
        <x:v>Limits correlated controller and feeder failure</x:v>
      </x:c>
    </x:row>
    <x:row r="11" ht="54" hidden="0" customHeight="1">
      <x:c r="A11" s="16" t="str">
        <x:v>Waste treatment node</x:v>
      </x:c>
      <x:c r="B11" s="16" t="n">
        <x:v>10</x:v>
      </x:c>
      <x:c r="C11" s="16" t="n">
        <x:v>5000</x:v>
      </x:c>
      <x:c r="D11" s="16" t="str">
        <x:v>blackwater/graywater/solid-waste custody</x:v>
      </x:c>
      <x:c r="E11" s="16" t="str">
        <x:v>environmental release boundary</x:v>
      </x:c>
      <x:c r="F11" s="16" t="str">
        <x:v>sealed tank, sampling, manifest</x:v>
      </x:c>
      <x:c r="G11" s="16" t="str">
        <x:v>store safely</x:v>
      </x:c>
      <x:c r="H11" s="16" t="str">
        <x:v>environmental authority</x:v>
      </x:c>
      <x:c r="I11" s="16" t="str">
        <x:v>No public effect without accountable residuals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52" hidden="0" customWidth="1"/>
    <x:col min="7" max="7" width="18" hidden="0" customWidth="1"/>
  </x:cols>
  <x:sheetData>
    <x:row r="1" ht="34" customHeight="1">
      <x:c r="A1" s="40" t="str">
        <x:v>Shelter Geometry</x:v>
      </x:c>
      <x:c r="B1" s="40"/>
      <x:c r="C1" s="40"/>
      <x:c r="D1" s="40"/>
      <x:c r="E1" s="40"/>
      <x:c r="F1" s="40"/>
      <x:c r="G1" s="40"/>
    </x:row>
    <x:row r="2" ht="31" customHeight="1">
      <x:c r="A2" s="41" t="str">
        <x:v>The first hard constraint is occupied area; mass targets must be divided by the area they claim to create.</x:v>
      </x:c>
      <x:c r="B2" s="41"/>
      <x:c r="C2" s="41"/>
      <x:c r="D2" s="41"/>
      <x:c r="E2" s="41"/>
      <x:c r="F2" s="41"/>
      <x:c r="G2" s="41"/>
    </x:row>
    <x:row r="3">
      <x:c r="A3" s="42"/>
      <x:c r="B3" s="42"/>
      <x:c r="C3" s="42"/>
      <x:c r="D3" s="42"/>
      <x:c r="E3" s="42"/>
      <x:c r="F3" s="42"/>
      <x:c r="G3" s="42"/>
    </x:row>
    <x:row r="4" ht="31" customHeight="1">
      <x:c r="A4" s="28" t="str">
        <x:v>Measure</x:v>
      </x:c>
      <x:c r="B4" s="28" t="str">
        <x:v>Formula / basis</x:v>
      </x:c>
      <x:c r="C4" s="28" t="str">
        <x:v>Result</x:v>
      </x:c>
      <x:c r="D4" s="28" t="str">
        <x:v>Unit</x:v>
      </x:c>
      <x:c r="E4" s="28" t="str">
        <x:v>Status</x:v>
      </x:c>
      <x:c r="F4" s="28" t="str">
        <x:v>Why it matters</x:v>
      </x:c>
      <x:c r="G4" s="28" t="str">
        <x:v>Evidence state</x:v>
      </x:c>
    </x:row>
    <x:row r="5" ht="43.20000076293945" hidden="0" customHeight="1">
      <x:c r="A5" s="16" t="str">
        <x:v>Standard residents</x:v>
      </x:c>
      <x:c r="B5" s="16" t="n">
        <x:f>'Controls'!B11*(1-'Controls'!B22)</x:f>
        <x:v>40000</x:v>
      </x:c>
      <x:c r="C5" s="29" t="n">
        <x:f>B5</x:f>
        <x:v>40000</x:v>
      </x:c>
      <x:c r="D5" s="16" t="str">
        <x:v>people</x:v>
      </x:c>
      <x:c r="E5" s="16" t="str">
        <x:v>ASSUMPTION</x:v>
      </x:c>
      <x:c r="F5" s="16" t="str">
        <x:v>80% at standard dormitory density</x:v>
      </x:c>
      <x:c r="G5" s="16" t="str">
        <x:v>Open</x:v>
      </x:c>
    </x:row>
    <x:row r="6" ht="32.400001525878906" hidden="0" customHeight="1">
      <x:c r="A6" s="15" t="str">
        <x:v>Accessible residents</x:v>
      </x:c>
      <x:c r="B6" s="15" t="n">
        <x:f>'Controls'!B11*'Controls'!B22</x:f>
        <x:v>10000</x:v>
      </x:c>
      <x:c r="C6" s="30" t="n">
        <x:f>B6</x:f>
        <x:v>10000</x:v>
      </x:c>
      <x:c r="D6" s="15" t="str">
        <x:v>people</x:v>
      </x:c>
      <x:c r="E6" s="15" t="str">
        <x:v>ASSUMPTION</x:v>
      </x:c>
      <x:c r="F6" s="15" t="str">
        <x:v>20% stress share at 100 ft²</x:v>
      </x:c>
      <x:c r="G6" s="15" t="str">
        <x:v>Open</x:v>
      </x:c>
    </x:row>
    <x:row r="7" ht="32.400001525878906" hidden="0" customHeight="1">
      <x:c r="A7" s="16" t="str">
        <x:v>Weighted dormitory area</x:v>
      </x:c>
      <x:c r="B7" s="16" t="n">
        <x:f>B5*'Controls'!B21+B6*'Controls'!B23</x:f>
        <x:v>3000000</x:v>
      </x:c>
      <x:c r="C7" s="29" t="n">
        <x:f>B7</x:f>
        <x:v>3000000</x:v>
      </x:c>
      <x:c r="D7" s="16" t="str">
        <x:v>ft²</x:v>
      </x:c>
      <x:c r="E7" s="16" t="str">
        <x:v>DERIVED</x:v>
      </x:c>
      <x:c r="F7" s="16" t="str">
        <x:v>Before support functions</x:v>
      </x:c>
      <x:c r="G7" s="16" t="str">
        <x:v>Formula</x:v>
      </x:c>
    </x:row>
    <x:row r="8" ht="43.20000076293945" hidden="0" customHeight="1">
      <x:c r="A8" s="15" t="str">
        <x:v>Support/activity area</x:v>
      </x:c>
      <x:c r="B8" s="15" t="n">
        <x:f>B7*'Controls'!B24</x:f>
        <x:v>1050000</x:v>
      </x:c>
      <x:c r="C8" s="30" t="n">
        <x:f>B8</x:f>
        <x:v>1050000</x:v>
      </x:c>
      <x:c r="D8" s="15" t="str">
        <x:v>ft²</x:v>
      </x:c>
      <x:c r="E8" s="15" t="str">
        <x:v>ASSUMPTION</x:v>
      </x:c>
      <x:c r="F8" s="15" t="str">
        <x:v>Adds 35% for non-dormitory functions</x:v>
      </x:c>
      <x:c r="G8" s="15" t="str">
        <x:v>Open</x:v>
      </x:c>
    </x:row>
    <x:row r="9" ht="32.400001525878906" hidden="0" customHeight="1">
      <x:c r="A9" s="16" t="str">
        <x:v>Total protected floor area</x:v>
      </x:c>
      <x:c r="B9" s="16" t="n">
        <x:f>B7+B8</x:f>
        <x:v>4050000</x:v>
      </x:c>
      <x:c r="C9" s="29" t="n">
        <x:f>B9</x:f>
        <x:v>4050000</x:v>
      </x:c>
      <x:c r="D9" s="16" t="str">
        <x:v>ft²</x:v>
      </x:c>
      <x:c r="E9" s="16" t="str">
        <x:v>DERIVED</x:v>
      </x:c>
      <x:c r="F9" s="16" t="str">
        <x:v>Public-service footprint</x:v>
      </x:c>
      <x:c r="G9" s="16" t="str">
        <x:v>Formula</x:v>
      </x:c>
    </x:row>
    <x:row r="10" ht="32.400001525878906" hidden="0" customHeight="1">
      <x:c r="A10" s="15" t="str">
        <x:v>Total protected floor area</x:v>
      </x:c>
      <x:c r="B10" s="15" t="n">
        <x:f>B9*0.092903</x:f>
        <x:v>376257.15</x:v>
      </x:c>
      <x:c r="C10" s="30" t="n">
        <x:f>B10</x:f>
        <x:v>376257.15</x:v>
      </x:c>
      <x:c r="D10" s="15" t="str">
        <x:v>m²</x:v>
      </x:c>
      <x:c r="E10" s="15" t="str">
        <x:v>DERIVED</x:v>
      </x:c>
      <x:c r="F10" s="15" t="str">
        <x:v>Mass and thermal basis</x:v>
      </x:c>
      <x:c r="G10" s="15" t="str">
        <x:v>Formula</x:v>
      </x:c>
    </x:row>
    <x:row r="11" ht="21.600000381469727" hidden="0" customHeight="1">
      <x:c r="A11" s="16" t="str">
        <x:v>Area per district</x:v>
      </x:c>
      <x:c r="B11" s="16" t="n">
        <x:f>B10/'Controls'!B19</x:f>
        <x:v>7525.143</x:v>
      </x:c>
      <x:c r="C11" s="29" t="n">
        <x:f>B11</x:f>
        <x:v>7525.143</x:v>
      </x:c>
      <x:c r="D11" s="16" t="str">
        <x:v>m²/district</x:v>
      </x:c>
      <x:c r="E11" s="16" t="str">
        <x:v>DERIVED</x:v>
      </x:c>
      <x:c r="F11" s="16" t="str">
        <x:v>50 districts</x:v>
      </x:c>
      <x:c r="G11" s="16" t="str">
        <x:v>Formula</x:v>
      </x:c>
    </x:row>
    <x:row r="12" ht="32.400001525878906" hidden="0" customHeight="1">
      <x:c r="A12" s="15" t="str">
        <x:v>Pass 28 shelter mass intensity</x:v>
      </x:c>
      <x:c r="B12" s="15" t="n">
        <x:f>1250*1000/'Controls'!B11</x:f>
        <x:v>25</x:v>
      </x:c>
      <x:c r="C12" s="30" t="n">
        <x:f>B12</x:f>
        <x:v>25</x:v>
      </x:c>
      <x:c r="D12" s="15" t="str">
        <x:v>kg/person</x:v>
      </x:c>
      <x:c r="E12" s="15" t="str">
        <x:v>SCREEN</x:v>
      </x:c>
      <x:c r="F12" s="15" t="str">
        <x:v>1,250 t essential allowance</x:v>
      </x:c>
      <x:c r="G12" s="15" t="str">
        <x:v>Formula</x:v>
      </x:c>
    </x:row>
    <x:row r="13" ht="32.400001525878906" hidden="0" customHeight="1">
      <x:c r="A13" s="16" t="str">
        <x:v>Pass 28 areal mass intensity</x:v>
      </x:c>
      <x:c r="B13" s="16" t="n">
        <x:f>1250*1000/B10</x:f>
        <x:v>3.3221960034513627</x:v>
      </x:c>
      <x:c r="C13" s="29" t="n">
        <x:f>B13</x:f>
        <x:v>3.3221960034513627</x:v>
      </x:c>
      <x:c r="D13" s="16" t="str">
        <x:v>kg/m²</x:v>
      </x:c>
      <x:c r="E13" s="16" t="str">
        <x:v>SCREEN</x:v>
      </x:c>
      <x:c r="F13" s="16" t="str">
        <x:v>Complete system must fit inside this</x:v>
      </x:c>
      <x:c r="G13" s="16" t="str">
        <x:v>Formula</x:v>
      </x:c>
    </x:row>
    <x:row r="14" ht="32.400001525878906" hidden="0" customHeight="1">
      <x:c r="A14" s="15" t="str">
        <x:v>Baseline areal mass intensity</x:v>
      </x:c>
      <x:c r="B14" s="15" t="n">
        <x:f>'Controls'!B6*1000/B10</x:f>
        <x:v>0.7973270408283271</x:v>
      </x:c>
      <x:c r="C14" s="30" t="n">
        <x:f>B14</x:f>
        <x:v>0.7973270408283271</x:v>
      </x:c>
      <x:c r="D14" s="15" t="str">
        <x:v>kg/m²</x:v>
      </x:c>
      <x:c r="E14" s="15" t="str">
        <x:v>SCREEN</x:v>
      </x:c>
      <x:c r="F14" s="15" t="str">
        <x:v>300 t bridge allowance</x:v>
      </x:c>
      <x:c r="G14" s="15" t="str">
        <x:v>Formula</x:v>
      </x:c>
    </x:row>
    <x:row r="15">
      <x:c r="A15" s="42"/>
      <x:c r="B15" s="42"/>
      <x:c r="C15" s="42"/>
      <x:c r="D15" s="42"/>
      <x:c r="E15" s="42"/>
      <x:c r="F15" s="42"/>
      <x:c r="G15" s="42"/>
    </x:row>
    <x:row r="16" ht="33" customHeight="1">
      <x:c r="A16" s="44" t="str">
        <x:v>At the declared density the complex requires about 376,000 m². The Pass 28 1,250 t screen allows only about 3.3 kg/m² for structure, floor, thermal envelope, furnishings, utilities and district systems combined.</x:v>
      </x:c>
      <x:c r="B16" s="44"/>
      <x:c r="C16" s="44"/>
      <x:c r="D16" s="44"/>
      <x:c r="E16" s="44"/>
      <x:c r="F16" s="44"/>
      <x:c r="G16" s="44"/>
    </x:row>
  </x:sheetData>
  <x:mergeCells>
    <x:mergeCell ref="A1:G1"/>
    <x:mergeCell ref="A2:G2"/>
    <x:mergeCell ref="A16:G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52" hidden="0" customWidth="1"/>
  </x:cols>
  <x:sheetData>
    <x:row r="1" ht="34" customHeight="1">
      <x:c r="A1" s="40" t="str">
        <x:v>Shelter Configuration Alternatives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1" customHeight="1">
      <x:c r="A2" s="41" t="str">
        <x:v>Four rival receiving-capacity assumptions. Inputs are mass screens, not product claims.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31" customHeight="1">
      <x:c r="A4" s="28" t="str">
        <x:v>Pathway</x:v>
      </x:c>
      <x:c r="B4" s="28" t="str">
        <x:v>Imported area share</x:v>
      </x:c>
      <x:c r="C4" s="28" t="str">
        <x:v>Shell/frame/floor/thermal kg/m²</x:v>
      </x:c>
      <x:c r="D4" s="28" t="str">
        <x:v>Furnishings kg/person</x:v>
      </x:c>
      <x:c r="E4" s="28" t="str">
        <x:v>District core t/district</x:v>
      </x:c>
      <x:c r="F4" s="28" t="str">
        <x:v>Other systems t</x:v>
      </x:c>
      <x:c r="G4" s="28" t="str">
        <x:v>Calculated mass t</x:v>
      </x:c>
      <x:c r="H4" s="28" t="str">
        <x:v>kg/person</x:v>
      </x:c>
      <x:c r="I4" s="28" t="str">
        <x:v>kg/m² total</x:v>
      </x:c>
      <x:c r="J4" s="28" t="str">
        <x:v>Setup labor h</x:v>
      </x:c>
      <x:c r="K4" s="28" t="str">
        <x:v>Host dependence</x:v>
      </x:c>
      <x:c r="L4" s="28" t="str">
        <x:v>Disposition</x:v>
      </x:c>
    </x:row>
    <x:row r="5" ht="64.80000305175781" hidden="0" customHeight="1">
      <x:c r="A5" s="16" t="str">
        <x:v>Adaptive reuse network</x:v>
      </x:c>
      <x:c r="B5" s="31" t="n">
        <x:v>0.2</x:v>
      </x:c>
      <x:c r="C5" s="16" t="n">
        <x:v>3</x:v>
      </x:c>
      <x:c r="D5" s="16" t="n">
        <x:v>10</x:v>
      </x:c>
      <x:c r="E5" s="16" t="n">
        <x:v>4</x:v>
      </x:c>
      <x:c r="F5" s="16" t="n">
        <x:v>100</x:v>
      </x:c>
      <x:c r="G5" s="29" t="n">
        <x:f>B5*'Shelter Geometry'!C10*C5/1000+'Controls'!B11*D5/1000+'Controls'!B19*E5+F5</x:f>
        <x:v>1025.75429</x:v>
      </x:c>
      <x:c r="H5" s="29" t="n">
        <x:f>G5*1000/'Controls'!B11</x:f>
        <x:v>20.5150858</x:v>
      </x:c>
      <x:c r="I5" s="29" t="n">
        <x:f>G5*1000/'Shelter Geometry'!C10</x:f>
        <x:v>2.7262054422088724</x:v>
      </x:c>
      <x:c r="J5" s="16" t="n">
        <x:v>90000</x:v>
      </x:c>
      <x:c r="K5" s="16" t="str">
        <x:v>HIGH</x:v>
      </x:c>
      <x:c r="L5" s="16" t="str">
        <x:v>Only if inspected buildings and utility interfaces survive</x:v>
      </x:c>
    </x:row>
    <x:row r="6" ht="54" hidden="0" customHeight="1">
      <x:c r="A6" s="15" t="str">
        <x:v>Hybrid district campus</x:v>
      </x:c>
      <x:c r="B6" s="32" t="n">
        <x:v>0.5</x:v>
      </x:c>
      <x:c r="C6" s="15" t="n">
        <x:v>6.5</x:v>
      </x:c>
      <x:c r="D6" s="15" t="n">
        <x:v>10</x:v>
      </x:c>
      <x:c r="E6" s="15" t="n">
        <x:v>6</x:v>
      </x:c>
      <x:c r="F6" s="15" t="n">
        <x:v>150</x:v>
      </x:c>
      <x:c r="G6" s="30" t="n">
        <x:f>B6*'Shelter Geometry'!C10*C6/1000+'Controls'!B11*D6/1000+'Controls'!B19*E6+F6</x:f>
        <x:v>2172.8357375</x:v>
      </x:c>
      <x:c r="H6" s="30" t="n">
        <x:f>G6*1000/'Controls'!B11</x:f>
        <x:v>43.45671475</x:v>
      </x:c>
      <x:c r="I6" s="30" t="n">
        <x:f>G6*1000/'Shelter Geometry'!C10</x:f>
        <x:v>5.774868962623036</x:v>
      </x:c>
      <x:c r="J6" s="15" t="n">
        <x:v>180000</x:v>
      </x:c>
      <x:c r="K6" s="15" t="str">
        <x:v>MEDIUM</x:v>
      </x:c>
      <x:c r="L6" s="15" t="str">
        <x:v>Prepared receivers plus imported membranes</x:v>
      </x:c>
    </x:row>
    <x:row r="7" ht="64.80000305175781" hidden="0" customHeight="1">
      <x:c r="A7" s="16" t="str">
        <x:v>Independent membrane campus</x:v>
      </x:c>
      <x:c r="B7" s="31" t="n">
        <x:v>1</x:v>
      </x:c>
      <x:c r="C7" s="16" t="n">
        <x:v>6.5</x:v>
      </x:c>
      <x:c r="D7" s="16" t="n">
        <x:v>10</x:v>
      </x:c>
      <x:c r="E7" s="16" t="n">
        <x:v>8</x:v>
      </x:c>
      <x:c r="F7" s="16" t="n">
        <x:v>200</x:v>
      </x:c>
      <x:c r="G7" s="29" t="n">
        <x:f>B7*'Shelter Geometry'!C10*C7/1000+'Controls'!B11*D7/1000+'Controls'!B19*E7+F7</x:f>
        <x:v>3545.671475</x:v>
      </x:c>
      <x:c r="H7" s="29" t="n">
        <x:f>G7*1000/'Controls'!B11</x:f>
        <x:v>70.9134295</x:v>
      </x:c>
      <x:c r="I7" s="29" t="n">
        <x:f>G7*1000/'Shelter Geometry'!C10</x:f>
        <x:v>9.4235324830372</x:v>
      </x:c>
      <x:c r="J7" s="16" t="n">
        <x:v>330000</x:v>
      </x:c>
      <x:c r="K7" s="16" t="str">
        <x:v>LOW</x:v>
      </x:c>
      <x:c r="L7" s="16" t="str">
        <x:v>Selected independent configuration; needs full site and ballast proof</x:v>
      </x:c>
    </x:row>
    <x:row r="8" ht="75.5999984741211" hidden="0" customHeight="1">
      <x:c r="A8" s="15" t="str">
        <x:v>Independent panel campus</x:v>
      </x:c>
      <x:c r="B8" s="32" t="n">
        <x:v>1</x:v>
      </x:c>
      <x:c r="C8" s="15" t="n">
        <x:v>28</x:v>
      </x:c>
      <x:c r="D8" s="15" t="n">
        <x:v>12</x:v>
      </x:c>
      <x:c r="E8" s="15" t="n">
        <x:v>10</x:v>
      </x:c>
      <x:c r="F8" s="15" t="n">
        <x:v>250</x:v>
      </x:c>
      <x:c r="G8" s="30" t="n">
        <x:f>B8*'Shelter Geometry'!C10*C8/1000+'Controls'!B11*D8/1000+'Controls'!B19*E8+F8</x:f>
        <x:v>11885.200200000001</x:v>
      </x:c>
      <x:c r="H8" s="30" t="n">
        <x:f>G8*1000/'Controls'!B11</x:f>
        <x:v>237.70400400000003</x:v>
      </x:c>
      <x:c r="I8" s="30" t="n">
        <x:f>G8*1000/'Shelter Geometry'!C10</x:f>
        <x:v>31.587971683727474</x:v>
      </x:c>
      <x:c r="J8" s="15" t="n">
        <x:v>500000</x:v>
      </x:c>
      <x:c r="K8" s="15" t="str">
        <x:v>LOW</x:v>
      </x:c>
      <x:c r="L8" s="15" t="str">
        <x:v>Mass-prohibitive reference; better durability and acoustics</x:v>
      </x:c>
    </x:row>
    <x:row r="9" ht="64.80000305175781" hidden="0" customHeight="1">
      <x:c r="A9" s="16" t="str">
        <x:v>Technology target campus</x:v>
      </x:c>
      <x:c r="B9" s="31" t="n">
        <x:v>1</x:v>
      </x:c>
      <x:c r="C9" s="16" t="n">
        <x:v>2</x:v>
      </x:c>
      <x:c r="D9" s="16" t="n">
        <x:v>6</x:v>
      </x:c>
      <x:c r="E9" s="16" t="n">
        <x:v>3</x:v>
      </x:c>
      <x:c r="F9" s="16" t="n">
        <x:v>100</x:v>
      </x:c>
      <x:c r="G9" s="29" t="n">
        <x:f>B9*'Shelter Geometry'!C10*C9/1000+'Controls'!B11*D9/1000+'Controls'!B19*E9+F9</x:f>
        <x:v>1302.5143</x:v>
      </x:c>
      <x:c r="H9" s="29" t="n">
        <x:f>G9*1000/'Controls'!B11</x:f>
        <x:v>26.050286</x:v>
      </x:c>
      <x:c r="I9" s="29" t="n">
        <x:f>G9*1000/'Shelter Geometry'!C10</x:f>
        <x:v>3.4617662415185997</x:v>
      </x:c>
      <x:c r="J9" s="16" t="n">
        <x:v>120000</x:v>
      </x:c>
      <x:c r="K9" s="16" t="str">
        <x:v>LOW</x:v>
      </x:c>
      <x:c r="L9" s="16" t="str">
        <x:v>Transformational textiles, inflatable floors and integrated service spine</x:v>
      </x:c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</x:row>
    <x:row r="11" ht="24" customHeight="1">
      <x:c r="A11" s="43" t="str">
        <x:v>Interpretation</x:v>
      </x:c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 ht="31" hidden="0" customHeight="1">
      <x:c r="A12" s="28" t="str">
        <x:v>Finding</x:v>
      </x:c>
      <x:c r="B12" s="28" t="str">
        <x:v>Implication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</x:row>
    <x:row r="13" ht="108" hidden="0" customHeight="1">
      <x:c r="A13" s="15" t="str">
        <x:v>Bridge and independence are different geometries</x:v>
      </x:c>
      <x:c r="B13" s="15" t="str">
        <x:v>Adaptive reuse imports only 20% of occupied area; the independent campus imports all of it.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</x:row>
    <x:row r="14" ht="86.4000015258789" hidden="0" customHeight="1">
      <x:c r="A14" s="15" t="str">
        <x:v>The 25 kg/person screen does not close</x:v>
      </x:c>
      <x:c r="B14" s="15" t="str">
        <x:v>The independent membrane pathway is roughly three times the Pass 28 allowance.</x:v>
      </x:c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</x:row>
    <x:row r="15" ht="140.39999389648438" hidden="0" customHeight="1">
      <x:c r="A15" s="15" t="str">
        <x:v>The technology target is a research contract</x:v>
      </x:c>
      <x:c r="B15" s="15" t="str">
        <x:v>Its 2 kg/m² envelope and 6 kg/person furnishing allowance require novel materials, floors, thermal zoning and service integration.</x:v>
      </x:c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</x:row>
    <x:row r="16" ht="140.39999389648438" hidden="0" customHeight="1">
      <x:c r="A16" s="15" t="str">
        <x:v>Area dominates appearance</x:v>
      </x:c>
      <x:c r="B16" s="15" t="str">
        <x:v>Any future rendering must show the full district footprint, utilities, waste paths and access—not an isolated shelter module.</x:v>
      </x:c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</x:row>
  </x:sheetData>
  <x:mergeCells>
    <x:mergeCell ref="A1:L1"/>
    <x:mergeCell ref="A2:L2"/>
    <x:mergeCell ref="A11:L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4" customHeight="1">
      <x:c r="A1" s="40" t="str">
        <x:v>Thermal and Clean-Air Load Screen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</x:row>
    <x:row r="2" ht="31" customHeight="1">
      <x:c r="A2" s="41" t="str">
        <x:v>Areal environmental loads are translated into electrical demand for the protected campus.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</x:row>
    <x:row r="4" ht="31" customHeight="1">
      <x:c r="A4" s="28" t="str">
        <x:v>Case</x:v>
      </x:c>
      <x:c r="B4" s="28" t="str">
        <x:v>Thermal W/m²</x:v>
      </x:c>
      <x:c r="C4" s="28" t="str">
        <x:v>COP</x:v>
      </x:c>
      <x:c r="D4" s="28" t="str">
        <x:v>Fans/filtration MW</x:v>
      </x:c>
      <x:c r="E4" s="28" t="str">
        <x:v>Lighting W/m²</x:v>
      </x:c>
      <x:c r="F4" s="28" t="str">
        <x:v>Service MW</x:v>
      </x:c>
      <x:c r="G4" s="28" t="str">
        <x:v>Thermal MW</x:v>
      </x:c>
      <x:c r="H4" s="28" t="str">
        <x:v>HVAC electric MW</x:v>
      </x:c>
      <x:c r="I4" s="28" t="str">
        <x:v>Lighting MW</x:v>
      </x:c>
      <x:c r="J4" s="28" t="str">
        <x:v>Total campus MW</x:v>
      </x:c>
      <x:c r="K4" s="28" t="str">
        <x:v>Share of 65 MW</x:v>
      </x:c>
    </x:row>
    <x:row r="5" ht="15" hidden="0" customHeight="1">
      <x:c r="A5" s="16" t="str">
        <x:v>Mild</x:v>
      </x:c>
      <x:c r="B5" s="16" t="n">
        <x:v>18</x:v>
      </x:c>
      <x:c r="C5" s="16" t="n">
        <x:v>3.5</x:v>
      </x:c>
      <x:c r="D5" s="16" t="n">
        <x:v>0.7</x:v>
      </x:c>
      <x:c r="E5" s="16" t="n">
        <x:v>2</x:v>
      </x:c>
      <x:c r="F5" s="16" t="n">
        <x:v>0.6</x:v>
      </x:c>
      <x:c r="G5" s="33" t="n">
        <x:f>B5*'Shelter Geometry'!C10/1000000</x:f>
        <x:v>6.7726287</x:v>
      </x:c>
      <x:c r="H5" s="33" t="n">
        <x:f>G5/C5</x:f>
        <x:v>1.9350367714285714</x:v>
      </x:c>
      <x:c r="I5" s="33" t="n">
        <x:f>E5*'Shelter Geometry'!C10/1000000</x:f>
        <x:v>0.7525143000000001</x:v>
      </x:c>
      <x:c r="J5" s="33" t="n">
        <x:f>D5+F5+H5+I5</x:f>
        <x:v>3.9875510714285713</x:v>
      </x:c>
      <x:c r="K5" s="35" t="n">
        <x:f>J5/'Controls'!B14</x:f>
        <x:v>0.06134693956043956</x:v>
      </x:c>
    </x:row>
    <x:row r="6" ht="15" hidden="0" customHeight="1">
      <x:c r="A6" s="15" t="str">
        <x:v>Hot-humid</x:v>
      </x:c>
      <x:c r="B6" s="15" t="n">
        <x:v>45</x:v>
      </x:c>
      <x:c r="C6" s="15" t="n">
        <x:v>3</x:v>
      </x:c>
      <x:c r="D6" s="15" t="n">
        <x:v>1.5</x:v>
      </x:c>
      <x:c r="E6" s="15" t="n">
        <x:v>2</x:v>
      </x:c>
      <x:c r="F6" s="15" t="n">
        <x:v>0.6</x:v>
      </x:c>
      <x:c r="G6" s="34" t="n">
        <x:f>B6*'Shelter Geometry'!C10/1000000</x:f>
        <x:v>16.93157175</x:v>
      </x:c>
      <x:c r="H6" s="34" t="n">
        <x:f>G6/C6</x:f>
        <x:v>5.64385725</x:v>
      </x:c>
      <x:c r="I6" s="34" t="n">
        <x:f>E6*'Shelter Geometry'!C10/1000000</x:f>
        <x:v>0.7525143000000001</x:v>
      </x:c>
      <x:c r="J6" s="34" t="n">
        <x:f>D6+F6+H6+I6</x:f>
        <x:v>8.49637155</x:v>
      </x:c>
      <x:c r="K6" s="36" t="n">
        <x:f>J6/'Controls'!B14</x:f>
        <x:v>0.13071340846153845</x:v>
      </x:c>
    </x:row>
    <x:row r="7" ht="21.600000381469727" hidden="0" customHeight="1">
      <x:c r="A7" s="16" t="str">
        <x:v>Heat + smoke</x:v>
      </x:c>
      <x:c r="B7" s="16" t="n">
        <x:v>38</x:v>
      </x:c>
      <x:c r="C7" s="16" t="n">
        <x:v>3</x:v>
      </x:c>
      <x:c r="D7" s="16" t="n">
        <x:v>2</x:v>
      </x:c>
      <x:c r="E7" s="16" t="n">
        <x:v>2</x:v>
      </x:c>
      <x:c r="F7" s="16" t="n">
        <x:v>0.6</x:v>
      </x:c>
      <x:c r="G7" s="33" t="n">
        <x:f>B7*'Shelter Geometry'!C10/1000000</x:f>
        <x:v>14.297771700000002</x:v>
      </x:c>
      <x:c r="H7" s="33" t="n">
        <x:f>G7/C7</x:f>
        <x:v>4.765923900000001</x:v>
      </x:c>
      <x:c r="I7" s="33" t="n">
        <x:f>E7*'Shelter Geometry'!C10/1000000</x:f>
        <x:v>0.7525143000000001</x:v>
      </x:c>
      <x:c r="J7" s="33" t="n">
        <x:f>D7+F7+H7+I7</x:f>
        <x:v>8.1184382</x:v>
      </x:c>
      <x:c r="K7" s="35" t="n">
        <x:f>J7/'Controls'!B14</x:f>
        <x:v>0.12489904923076924</x:v>
      </x:c>
    </x:row>
    <x:row r="8" ht="15" hidden="0" customHeight="1">
      <x:c r="A8" s="15" t="str">
        <x:v>Cold</x:v>
      </x:c>
      <x:c r="B8" s="15" t="n">
        <x:v>55</x:v>
      </x:c>
      <x:c r="C8" s="15" t="n">
        <x:v>2.5</x:v>
      </x:c>
      <x:c r="D8" s="15" t="n">
        <x:v>0.8</x:v>
      </x:c>
      <x:c r="E8" s="15" t="n">
        <x:v>2</x:v>
      </x:c>
      <x:c r="F8" s="15" t="n">
        <x:v>0.6</x:v>
      </x:c>
      <x:c r="G8" s="34" t="n">
        <x:f>B8*'Shelter Geometry'!C10/1000000</x:f>
        <x:v>20.69414325</x:v>
      </x:c>
      <x:c r="H8" s="34" t="n">
        <x:f>G8/C8</x:f>
        <x:v>8.2776573</x:v>
      </x:c>
      <x:c r="I8" s="34" t="n">
        <x:f>E8*'Shelter Geometry'!C10/1000000</x:f>
        <x:v>0.7525143000000001</x:v>
      </x:c>
      <x:c r="J8" s="34" t="n">
        <x:f>D8+F8+H8+I8</x:f>
        <x:v>10.4301716</x:v>
      </x:c>
      <x:c r="K8" s="36" t="n">
        <x:f>J8/'Controls'!B14</x:f>
        <x:v>0.16046417846153846</x:v>
      </x:c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</x:row>
    <x:row r="10" ht="33" customHeight="1">
      <x:c r="A10" s="44" t="str">
        <x:v>The 65 MW pod contract is not the campus load. It also powers water, sanitation, clinical, communications and exported critical-facility service. The hot/cold screens show that shelter thermal safety consumes a material but bounded share.</x:v>
      </x:c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</x:row>
  </x:sheetData>
  <x:mergeCells>
    <x:mergeCell ref="A1:K1"/>
    <x:mergeCell ref="A2:K2"/>
    <x:mergeCell ref="A10:K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50" hidden="0" customWidth="1"/>
  </x:cols>
  <x:sheetData>
    <x:row r="1" ht="34" customHeight="1">
      <x:c r="A1" s="40" t="str">
        <x:v>Food Continuity Pathways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1" customHeight="1">
      <x:c r="A2" s="41" t="str">
        <x:v>Equal calories can imply radically different mass, water, labor, cold-chain and waste systems.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 ht="31" customHeight="1">
      <x:c r="A4" s="28" t="str">
        <x:v>Pathway</x:v>
      </x:c>
      <x:c r="B4" s="28" t="str">
        <x:v>Resident mode</x:v>
      </x:c>
      <x:c r="C4" s="28" t="str">
        <x:v>Community mode</x:v>
      </x:c>
      <x:c r="D4" s="28" t="str">
        <x:v>Food kg/person/day</x:v>
      </x:c>
      <x:c r="E4" s="28" t="str">
        <x:v>Meal kg</x:v>
      </x:c>
      <x:c r="F4" s="28" t="str">
        <x:v>Resident food t</x:v>
      </x:c>
      <x:c r="G4" s="28" t="str">
        <x:v>Community food t</x:v>
      </x:c>
      <x:c r="H4" s="28" t="str">
        <x:v>Kitchen count</x:v>
      </x:c>
      <x:c r="I4" s="28" t="str">
        <x:v>Kitchen hardware t</x:v>
      </x:c>
      <x:c r="J4" s="28" t="str">
        <x:v>Cold/distribution t</x:v>
      </x:c>
      <x:c r="K4" s="28" t="str">
        <x:v>Total system t</x:v>
      </x:c>
      <x:c r="L4" s="28" t="str">
        <x:v>Packaging/waste share</x:v>
      </x:c>
      <x:c r="M4" s="28" t="str">
        <x:v>Disposition</x:v>
      </x:c>
    </x:row>
    <x:row r="5" ht="43.20000076293945" hidden="0" customHeight="1">
      <x:c r="A5" s="16" t="str">
        <x:v>Compact ration</x:v>
      </x:c>
      <x:c r="B5" s="16" t="str">
        <x:v>compact</x:v>
      </x:c>
      <x:c r="C5" s="16" t="str">
        <x:v>compact</x:v>
      </x:c>
      <x:c r="D5" s="16" t="n">
        <x:v>0.54</x:v>
      </x:c>
      <x:c r="E5" s="16"/>
      <x:c r="F5" s="29" t="n">
        <x:f>'Controls'!B11*D5*'Controls'!B15/24/1000</x:f>
        <x:v>81</x:v>
      </x:c>
      <x:c r="G5" s="29" t="n">
        <x:f>('Controls'!B12-'Controls'!B11)*D5*'Controls'!B15/24/1000</x:f>
        <x:v>340.20000000000005</x:v>
      </x:c>
      <x:c r="H5" s="29" t="n">
        <x:v>0</x:v>
      </x:c>
      <x:c r="I5" s="29" t="n">
        <x:v>0</x:v>
      </x:c>
      <x:c r="J5" s="29" t="n">
        <x:v>100</x:v>
      </x:c>
      <x:c r="K5" s="29" t="n">
        <x:f>F5+G5+I5+J5</x:f>
        <x:v>521.2</x:v>
      </x:c>
      <x:c r="L5" s="31" t="n">
        <x:v>0.12</x:v>
      </x:c>
      <x:c r="M5" s="16" t="str">
        <x:v>Baseline-mass analogue; limited meal quality</x:v>
      </x:c>
    </x:row>
    <x:row r="6" ht="32.400001525878906" hidden="0" customHeight="1">
      <x:c r="A6" s="15" t="str">
        <x:v>Hybrid public feeding</x:v>
      </x:c>
      <x:c r="B6" s="15" t="str">
        <x:v>hot meal</x:v>
      </x:c>
      <x:c r="C6" s="15" t="str">
        <x:v>compact</x:v>
      </x:c>
      <x:c r="D6" s="15" t="n">
        <x:v>0.54</x:v>
      </x:c>
      <x:c r="E6" s="15"/>
      <x:c r="F6" s="30" t="n">
        <x:f>'Controls'!B11*1.10*'Controls'!B15/24/1000</x:f>
        <x:v>165.00000000000003</x:v>
      </x:c>
      <x:c r="G6" s="30" t="n">
        <x:f>('Controls'!B12-'Controls'!B11)*D6*'Controls'!B15/24/1000</x:f>
        <x:v>340.20000000000005</x:v>
      </x:c>
      <x:c r="H6" s="30" t="n">
        <x:v>8</x:v>
      </x:c>
      <x:c r="I6" s="30" t="n">
        <x:v>200</x:v>
      </x:c>
      <x:c r="J6" s="30" t="n">
        <x:v>180</x:v>
      </x:c>
      <x:c r="K6" s="30" t="n">
        <x:f>F6+G6+I6+J6</x:f>
        <x:v>885.2</x:v>
      </x:c>
      <x:c r="L6" s="32" t="n">
        <x:v>0.16</x:v>
      </x:c>
      <x:c r="M6" s="15" t="str">
        <x:v>Selected service architecture</x:v>
      </x:c>
    </x:row>
    <x:row r="7" ht="32.400001525878906" hidden="0" customHeight="1">
      <x:c r="A7" s="16" t="str">
        <x:v>All prepared meals</x:v>
      </x:c>
      <x:c r="B7" s="16" t="str">
        <x:v>hot meal</x:v>
      </x:c>
      <x:c r="C7" s="16" t="str">
        <x:v>hot meal</x:v>
      </x:c>
      <x:c r="D7" s="16" t="n">
        <x:v>1.1</x:v>
      </x:c>
      <x:c r="E7" s="16"/>
      <x:c r="F7" s="29" t="n">
        <x:f>'Controls'!B11*D7*'Controls'!B15/24/1000</x:f>
        <x:v>165.00000000000003</x:v>
      </x:c>
      <x:c r="G7" s="29" t="n">
        <x:f>('Controls'!B12-'Controls'!B11)*D7*'Controls'!B15/24/1000</x:f>
        <x:v>693.0000000000001</x:v>
      </x:c>
      <x:c r="H7" s="29" t="n">
        <x:v>39</x:v>
      </x:c>
      <x:c r="I7" s="29" t="n">
        <x:v>975</x:v>
      </x:c>
      <x:c r="J7" s="29" t="n">
        <x:v>250</x:v>
      </x:c>
      <x:c r="K7" s="29" t="n">
        <x:f>F7+G7+I7+J7</x:f>
        <x:v>2083</x:v>
      </x:c>
      <x:c r="L7" s="31" t="n">
        <x:v>0.12</x:v>
      </x:c>
      <x:c r="M7" s="16" t="str">
        <x:v>High labor and hardware</x:v>
      </x:c>
    </x:row>
    <x:row r="8" ht="54" hidden="0" customHeight="1">
      <x:c r="A8" s="15" t="str">
        <x:v>Ready-to-eat meals</x:v>
      </x:c>
      <x:c r="B8" s="15" t="str">
        <x:v>packaged</x:v>
      </x:c>
      <x:c r="C8" s="15" t="str">
        <x:v>packaged</x:v>
      </x:c>
      <x:c r="D8" s="15"/>
      <x:c r="E8" s="15" t="n">
        <x:v>0.858</x:v>
      </x:c>
      <x:c r="F8" s="30" t="n">
        <x:f>'Controls'!B11*E8*3*'Controls'!B15/24/1000</x:f>
        <x:v>386.1</x:v>
      </x:c>
      <x:c r="G8" s="30" t="n">
        <x:f>('Controls'!B12-'Controls'!B11)*E8*3*'Controls'!B15/24/1000</x:f>
        <x:v>1621.62</x:v>
      </x:c>
      <x:c r="H8" s="30" t="n">
        <x:v>0</x:v>
      </x:c>
      <x:c r="I8" s="30" t="n">
        <x:v>0</x:v>
      </x:c>
      <x:c r="J8" s="30" t="n">
        <x:v>80</x:v>
      </x:c>
      <x:c r="K8" s="30" t="n">
        <x:f>F8+G8+I8+J8</x:f>
        <x:v>2087.72</x:v>
      </x:c>
      <x:c r="L8" s="32" t="n">
        <x:v>0.25</x:v>
      </x:c>
      <x:c r="M8" s="15" t="str">
        <x:v>No cooking dependency; very high mass and waste</x:v>
      </x:c>
    </x:row>
    <x:row r="9" ht="54" hidden="0" customHeight="1">
      <x:c r="A9" s="16" t="str">
        <x:v>Novel dense food</x:v>
      </x:c>
      <x:c r="B9" s="16" t="str">
        <x:v>finished/dense</x:v>
      </x:c>
      <x:c r="C9" s="16" t="str">
        <x:v>finished/dense</x:v>
      </x:c>
      <x:c r="D9" s="16" t="n">
        <x:v>0.42</x:v>
      </x:c>
      <x:c r="E9" s="16"/>
      <x:c r="F9" s="29" t="n">
        <x:f>'Controls'!B11*D9*'Controls'!B15/24/1000</x:f>
        <x:v>63</x:v>
      </x:c>
      <x:c r="G9" s="29" t="n">
        <x:f>('Controls'!B12-'Controls'!B11)*D9*'Controls'!B15/24/1000</x:f>
        <x:v>264.6</x:v>
      </x:c>
      <x:c r="H9" s="29" t="n">
        <x:v>4</x:v>
      </x:c>
      <x:c r="I9" s="29" t="n">
        <x:v>100</x:v>
      </x:c>
      <x:c r="J9" s="29" t="n">
        <x:v>0</x:v>
      </x:c>
      <x:c r="K9" s="29" t="n">
        <x:f>F9+G9+I9+J9</x:f>
        <x:v>427.6</x:v>
      </x:c>
      <x:c r="L9" s="31" t="n">
        <x:v>0.08</x:v>
      </x:c>
      <x:c r="M9" s="16" t="str">
        <x:v>Technology target; nutrition and acceptance unproved</x:v>
      </x:c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</x:row>
    <x:row r="11" ht="33" customHeight="1">
      <x:c r="A11" s="44" t="str">
        <x:v>The hybrid pathway cooks 150,000 resident meals/day and distributes compact food to 210,000 people. It avoids the conceptual error of assuming all 260,000 beneficiaries stand inside the shelter campus.</x:v>
      </x:c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</x:row>
  </x:sheetData>
  <x:mergeCells>
    <x:mergeCell ref="A1:M1"/>
    <x:mergeCell ref="A2:M2"/>
    <x:mergeCell ref="A11:M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40" t="str">
        <x:v>Food Production and Distribution Operations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1" customHeight="1">
      <x:c r="A2" s="41" t="str">
        <x:v>The hybrid pathway closes two separate service channels and their return flows.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 ht="31" customHeight="1">
      <x:c r="A4" s="28" t="str">
        <x:v>Channel</x:v>
      </x:c>
      <x:c r="B4" s="28" t="str">
        <x:v>People</x:v>
      </x:c>
      <x:c r="C4" s="28" t="str">
        <x:v>Meal-equivalents/day</x:v>
      </x:c>
      <x:c r="D4" s="28" t="str">
        <x:v>Nodes</x:v>
      </x:c>
      <x:c r="E4" s="28" t="str">
        <x:v>Meals/node/day</x:v>
      </x:c>
      <x:c r="F4" s="28" t="str">
        <x:v>Staff/node</x:v>
      </x:c>
      <x:c r="G4" s="28" t="str">
        <x:v>Shift factor</x:v>
      </x:c>
      <x:c r="H4" s="28" t="str">
        <x:v>Calculated staff</x:v>
      </x:c>
      <x:c r="I4" s="28" t="str">
        <x:v>Water m³/day</x:v>
      </x:c>
      <x:c r="J4" s="28" t="str">
        <x:v>Waste t/day</x:v>
      </x:c>
    </x:row>
    <x:row r="5" ht="32.400001525878906" hidden="0" customHeight="1">
      <x:c r="A5" s="16" t="str">
        <x:v>Resident prepared meals</x:v>
      </x:c>
      <x:c r="B5" s="37" t="n">
        <x:v>50000</x:v>
      </x:c>
      <x:c r="C5" s="37" t="n">
        <x:v>150000</x:v>
      </x:c>
      <x:c r="D5" s="37" t="n">
        <x:v>8</x:v>
      </x:c>
      <x:c r="E5" s="37" t="n">
        <x:f>IF(C5="","",C5/D5)</x:f>
        <x:v>18750</x:v>
      </x:c>
      <x:c r="F5" s="37" t="n">
        <x:v>41</x:v>
      </x:c>
      <x:c r="G5" s="37" t="n">
        <x:v>1.5</x:v>
      </x:c>
      <x:c r="H5" s="37" t="n">
        <x:f>D5*F5*G5</x:f>
        <x:v>492</x:v>
      </x:c>
      <x:c r="I5" s="37" t="n">
        <x:v>150</x:v>
      </x:c>
      <x:c r="J5" s="37" t="n">
        <x:v>24</x:v>
      </x:c>
    </x:row>
    <x:row r="6" ht="32.400001525878906" hidden="0" customHeight="1">
      <x:c r="A6" s="15" t="str">
        <x:v>Community compact issue</x:v>
      </x:c>
      <x:c r="B6" s="38" t="n">
        <x:v>210000</x:v>
      </x:c>
      <x:c r="C6" s="38" t="n">
        <x:v>630000</x:v>
      </x:c>
      <x:c r="D6" s="38" t="n">
        <x:v>70</x:v>
      </x:c>
      <x:c r="E6" s="38" t="n">
        <x:f>IF(C6="","",C6/D6)</x:f>
        <x:v>9000</x:v>
      </x:c>
      <x:c r="F6" s="38" t="n">
        <x:v>4</x:v>
      </x:c>
      <x:c r="G6" s="38" t="n">
        <x:v>2</x:v>
      </x:c>
      <x:c r="H6" s="38" t="n">
        <x:f>D6*F6*G6</x:f>
        <x:v>560</x:v>
      </x:c>
      <x:c r="I6" s="38" t="n">
        <x:v>21</x:v>
      </x:c>
      <x:c r="J6" s="38" t="n">
        <x:v>43</x:v>
      </x:c>
    </x:row>
    <x:row r="7" ht="21.600000381469727" hidden="0" customHeight="1">
      <x:c r="A7" s="16" t="str">
        <x:v>Cold/custody backbone</x:v>
      </x:c>
      <x:c r="B7" s="37" t="n">
        <x:v>260000</x:v>
      </x:c>
      <x:c r="C7" s="37"/>
      <x:c r="D7" s="37" t="n">
        <x:v>10</x:v>
      </x:c>
      <x:c r="E7" s="37" t="str">
        <x:f>IF(C7="","",C7/D7)</x:f>
      </x:c>
      <x:c r="F7" s="37" t="n">
        <x:v>8</x:v>
      </x:c>
      <x:c r="G7" s="37" t="n">
        <x:v>2</x:v>
      </x:c>
      <x:c r="H7" s="37" t="n">
        <x:f>D7*F7*G7</x:f>
        <x:v>160</x:v>
      </x:c>
      <x:c r="I7" s="37" t="n">
        <x:v>10</x:v>
      </x:c>
      <x:c r="J7" s="37" t="n">
        <x:v>5</x:v>
      </x:c>
    </x:row>
    <x:row r="8" ht="21.600000381469727" hidden="0" customHeight="1">
      <x:c r="A8" s="15" t="str">
        <x:v>Food safety and QA</x:v>
      </x:c>
      <x:c r="B8" s="38" t="n">
        <x:v>260000</x:v>
      </x:c>
      <x:c r="C8" s="38"/>
      <x:c r="D8" s="38" t="n">
        <x:v>10</x:v>
      </x:c>
      <x:c r="E8" s="38" t="str">
        <x:f>IF(C8="","",C8/D8)</x:f>
      </x:c>
      <x:c r="F8" s="38" t="n">
        <x:v>4</x:v>
      </x:c>
      <x:c r="G8" s="38" t="n">
        <x:v>2.2</x:v>
      </x:c>
      <x:c r="H8" s="38" t="n">
        <x:f>D8*F8*G8</x:f>
        <x:v>88</x:v>
      </x:c>
      <x:c r="I8" s="38" t="n">
        <x:v>5</x:v>
      </x:c>
      <x:c r="J8" s="38" t="n">
        <x:v>1</x:v>
      </x:c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 ht="24" customHeight="1">
      <x:c r="A10" s="43" t="str">
        <x:v>Operational implications</x:v>
      </x:c>
      <x:c r="B10" s="43"/>
      <x:c r="C10" s="43"/>
      <x:c r="D10" s="43"/>
      <x:c r="E10" s="43"/>
      <x:c r="F10" s="43"/>
      <x:c r="G10" s="43"/>
      <x:c r="H10" s="43"/>
      <x:c r="I10" s="43"/>
      <x:c r="J10" s="43"/>
    </x:row>
    <x:row r="11" ht="31" hidden="0" customHeight="1">
      <x:c r="A11" s="28" t="str">
        <x:v>Implication</x:v>
      </x:c>
      <x:c r="B11" s="28" t="str">
        <x:v>Design response</x:v>
      </x:c>
      <x:c r="C11" s="42"/>
      <x:c r="D11" s="42"/>
      <x:c r="E11" s="42"/>
      <x:c r="F11" s="42"/>
      <x:c r="G11" s="42"/>
      <x:c r="H11" s="42"/>
      <x:c r="I11" s="42"/>
      <x:c r="J11" s="42"/>
    </x:row>
    <x:row r="12" ht="129.60000610351562" hidden="0" customHeight="1">
      <x:c r="A12" s="15" t="str">
        <x:v>Kitchens are fixed production nodes</x:v>
      </x:c>
      <x:c r="B12" s="15" t="str">
        <x:v>Site selection and movement planning must close potable water, energy, wastewater, food safety, traffic and distribution.</x:v>
      </x:c>
      <x:c r="C12" s="42"/>
      <x:c r="D12" s="42"/>
      <x:c r="E12" s="42"/>
      <x:c r="F12" s="42"/>
      <x:c r="G12" s="42"/>
      <x:c r="H12" s="42"/>
      <x:c r="I12" s="42"/>
      <x:c r="J12" s="42"/>
    </x:row>
    <x:row r="13" ht="118.80000305175781" hidden="0" customHeight="1">
      <x:c r="A13" s="15" t="str">
        <x:v>Community distribution is not shelter feeding</x:v>
      </x:c>
      <x:c r="B13" s="15" t="str">
        <x:v>It requires custody, queue management, accessibility, local legitimacy and last-mile communications.</x:v>
      </x:c>
      <x:c r="C13" s="42"/>
      <x:c r="D13" s="42"/>
      <x:c r="E13" s="42"/>
      <x:c r="F13" s="42"/>
      <x:c r="G13" s="42"/>
      <x:c r="H13" s="42"/>
      <x:c r="I13" s="42"/>
      <x:c r="J13" s="42"/>
    </x:row>
    <x:row r="14" ht="129.60000610351562" hidden="0" customHeight="1">
      <x:c r="A14" s="15" t="str">
        <x:v>Packaging is an outbound flow</x:v>
      </x:c>
      <x:c r="B14" s="15" t="str">
        <x:v>A low-water pathway can produce a high solid-waste burden; waste transport and recovery are part of the food effect.</x:v>
      </x:c>
      <x:c r="C14" s="42"/>
      <x:c r="D14" s="42"/>
      <x:c r="E14" s="42"/>
      <x:c r="F14" s="42"/>
      <x:c r="G14" s="42"/>
      <x:c r="H14" s="42"/>
      <x:c r="I14" s="42"/>
      <x:c r="J14" s="42"/>
    </x:row>
    <x:row r="15" ht="118.80000305175781" hidden="0" customHeight="1">
      <x:c r="A15" s="15" t="str">
        <x:v>Failure must degrade gracefully</x:v>
      </x:c>
      <x:c r="B15" s="15" t="str">
        <x:v>Every district holds a cold-meal fallback and every distribution node can issue a sealed compact ration.</x:v>
      </x:c>
      <x:c r="C15" s="42"/>
      <x:c r="D15" s="42"/>
      <x:c r="E15" s="42"/>
      <x:c r="F15" s="42"/>
      <x:c r="G15" s="42"/>
      <x:c r="H15" s="42"/>
      <x:c r="I15" s="42"/>
      <x:c r="J15" s="42"/>
    </x:row>
  </x:sheetData>
  <x:mergeCells>
    <x:mergeCell ref="A1:J1"/>
    <x:mergeCell ref="A2:J2"/>
    <x:mergeCell ref="A10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5" hidden="0" customWidth="1"/>
  </x:cols>
  <x:sheetData>
    <x:row r="1" ht="34" customHeight="1">
      <x:c r="A1" s="40" t="str">
        <x:v>Campus Water, Sanitation and Residual Balance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1" customHeight="1">
      <x:c r="A2" s="41" t="str">
        <x:v>The 2,000 m³/day water contract is sufficient for the campus only after explicit allocation.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 ht="31" customHeight="1">
      <x:c r="A4" s="28" t="str">
        <x:v>Demand / component</x:v>
      </x:c>
      <x:c r="B4" s="28" t="str">
        <x:v>Quantity</x:v>
      </x:c>
      <x:c r="C4" s="28" t="str">
        <x:v>Unit rate</x:v>
      </x:c>
      <x:c r="D4" s="28" t="str">
        <x:v>Calculated m³/day</x:v>
      </x:c>
      <x:c r="E4" s="28" t="str">
        <x:v>Return factor</x:v>
      </x:c>
      <x:c r="F4" s="28" t="str">
        <x:v>Wastewater m³/day</x:v>
      </x:c>
      <x:c r="G4" s="28" t="str">
        <x:v>Mass t</x:v>
      </x:c>
      <x:c r="H4" s="28" t="str">
        <x:v>Baseline t</x:v>
      </x:c>
      <x:c r="I4" s="28" t="str">
        <x:v>Delta t</x:v>
      </x:c>
      <x:c r="J4" s="28" t="str">
        <x:v>Status</x:v>
      </x:c>
    </x:row>
    <x:row r="5" ht="32.400001525878906" hidden="0" customHeight="1">
      <x:c r="A5" s="16" t="str">
        <x:v>Resident drinking/basic cooking</x:v>
      </x:c>
      <x:c r="B5" s="16" t="n">
        <x:v>50000</x:v>
      </x:c>
      <x:c r="C5" s="16" t="n">
        <x:v>15</x:v>
      </x:c>
      <x:c r="D5" s="29" t="n">
        <x:f>B5*C5/1000</x:f>
        <x:v>750</x:v>
      </x:c>
      <x:c r="E5" s="29" t="n">
        <x:v>0.8</x:v>
      </x:c>
      <x:c r="F5" s="29" t="n">
        <x:f>D5*E5</x:f>
        <x:v>600</x:v>
      </x:c>
      <x:c r="G5" s="29"/>
      <x:c r="H5" s="29"/>
      <x:c r="I5" s="29"/>
      <x:c r="J5" s="16" t="str">
        <x:v>DESIGN</x:v>
      </x:c>
    </x:row>
    <x:row r="6" ht="21.600000381469727" hidden="0" customHeight="1">
      <x:c r="A6" s="15" t="str">
        <x:v>Food preparation</x:v>
      </x:c>
      <x:c r="B6" s="15" t="n">
        <x:v>50000</x:v>
      </x:c>
      <x:c r="C6" s="15" t="n">
        <x:v>3</x:v>
      </x:c>
      <x:c r="D6" s="30" t="n">
        <x:f>B6*C6/1000</x:f>
        <x:v>150</x:v>
      </x:c>
      <x:c r="E6" s="30" t="n">
        <x:v>0.9</x:v>
      </x:c>
      <x:c r="F6" s="30" t="n">
        <x:f>D6*E6</x:f>
        <x:v>135</x:v>
      </x:c>
      <x:c r="G6" s="30"/>
      <x:c r="H6" s="30"/>
      <x:c r="I6" s="30"/>
      <x:c r="J6" s="15" t="str">
        <x:v>ASSUMPTION</x:v>
      </x:c>
    </x:row>
    <x:row r="7" ht="21.600000381469727" hidden="0" customHeight="1">
      <x:c r="A7" s="16" t="str">
        <x:v>Responder workforce</x:v>
      </x:c>
      <x:c r="B7" s="16" t="n">
        <x:v>4513</x:v>
      </x:c>
      <x:c r="C7" s="16" t="n">
        <x:v>15</x:v>
      </x:c>
      <x:c r="D7" s="29" t="n">
        <x:f>B7*C7/1000</x:f>
        <x:v>67.695</x:v>
      </x:c>
      <x:c r="E7" s="29" t="n">
        <x:v>0.8</x:v>
      </x:c>
      <x:c r="F7" s="29" t="n">
        <x:f>D7*E7</x:f>
        <x:v>54.156</x:v>
      </x:c>
      <x:c r="G7" s="29"/>
      <x:c r="H7" s="29"/>
      <x:c r="I7" s="29"/>
      <x:c r="J7" s="16" t="str">
        <x:v>LINKED</x:v>
      </x:c>
    </x:row>
    <x:row r="8" ht="21.600000381469727" hidden="0" customHeight="1">
      <x:c r="A8" s="15" t="str">
        <x:v>Clinical/service processes</x:v>
      </x:c>
      <x:c r="B8" s="15" t="n">
        <x:v>1000</x:v>
      </x:c>
      <x:c r="C8" s="15" t="n">
        <x:v>100</x:v>
      </x:c>
      <x:c r="D8" s="30" t="n">
        <x:f>B8*C8/1000</x:f>
        <x:v>100</x:v>
      </x:c>
      <x:c r="E8" s="30" t="n">
        <x:v>0.9</x:v>
      </x:c>
      <x:c r="F8" s="30" t="n">
        <x:f>D8*E8</x:f>
        <x:v>90</x:v>
      </x:c>
      <x:c r="G8" s="30"/>
      <x:c r="H8" s="30"/>
      <x:c r="I8" s="30"/>
      <x:c r="J8" s="15" t="str">
        <x:v>ASSUMPTION</x:v>
      </x:c>
    </x:row>
    <x:row r="9" ht="21.600000381469727" hidden="0" customHeight="1">
      <x:c r="A9" s="16" t="str">
        <x:v>Hygiene increment</x:v>
      </x:c>
      <x:c r="B9" s="16" t="n">
        <x:v>50000</x:v>
      </x:c>
      <x:c r="C9" s="16" t="n">
        <x:v>6</x:v>
      </x:c>
      <x:c r="D9" s="29" t="n">
        <x:f>B9*C9/1000</x:f>
        <x:v>300</x:v>
      </x:c>
      <x:c r="E9" s="29" t="n">
        <x:v>0.9</x:v>
      </x:c>
      <x:c r="F9" s="29" t="n">
        <x:f>D9*E9</x:f>
        <x:v>270</x:v>
      </x:c>
      <x:c r="G9" s="29"/>
      <x:c r="H9" s="29"/>
      <x:c r="I9" s="29"/>
      <x:c r="J9" s="16" t="str">
        <x:v>ASSUMPTION</x:v>
      </x:c>
    </x:row>
    <x:row r="10" ht="32.400001525878906" hidden="0" customHeight="1">
      <x:c r="A10" s="15" t="str">
        <x:v>Distribution/process loss</x:v>
      </x:c>
      <x:c r="B10" s="15" t="n">
        <x:v>1</x:v>
      </x:c>
      <x:c r="C10" s="15"/>
      <x:c r="D10" s="30" t="n">
        <x:f>SUM(D5:D9)*0.10</x:f>
        <x:v>136.7695</x:v>
      </x:c>
      <x:c r="E10" s="30" t="n">
        <x:v>0</x:v>
      </x:c>
      <x:c r="F10" s="30"/>
      <x:c r="G10" s="30"/>
      <x:c r="H10" s="30"/>
      <x:c r="I10" s="30"/>
      <x:c r="J10" s="15" t="str">
        <x:v>10% of direct demand</x:v>
      </x:c>
    </x:row>
    <x:row r="11" ht="15" hidden="0" customHeight="1">
      <x:c r="A11" s="16" t="str">
        <x:v>TOTAL</x:v>
      </x:c>
      <x:c r="B11" s="16"/>
      <x:c r="C11" s="16"/>
      <x:c r="D11" s="29" t="n">
        <x:f>SUM(D5:D10)</x:f>
        <x:v>1504.4645</x:v>
      </x:c>
      <x:c r="E11" s="29"/>
      <x:c r="F11" s="29" t="n">
        <x:f>SUM(F5:F10)</x:f>
        <x:v>1149.156</x:v>
      </x:c>
      <x:c r="G11" s="29"/>
      <x:c r="H11" s="29"/>
      <x:c r="I11" s="29"/>
      <x:c r="J11" s="16" t="str">
        <x:v>DERIVED</x:v>
      </x:c>
    </x:row>
    <x:row r="12" ht="32.400001525878906" hidden="0" customHeight="1">
      <x:c r="A12" s="15" t="str">
        <x:v>Remaining water for external use</x:v>
      </x:c>
      <x:c r="B12" s="15"/>
      <x:c r="C12" s="15"/>
      <x:c r="D12" s="30" t="n">
        <x:f>'Controls'!B13-D11</x:f>
        <x:v>495.53549999999996</x:v>
      </x:c>
      <x:c r="E12" s="30"/>
      <x:c r="F12" s="30"/>
      <x:c r="G12" s="30"/>
      <x:c r="H12" s="30"/>
      <x:c r="I12" s="30"/>
      <x:c r="J12" s="15" t="str">
        <x:v>DERIVED</x:v>
      </x:c>
    </x:row>
    <x:row r="13" ht="21.600000381469727" hidden="0" customHeight="1">
      <x:c r="A13" s="16" t="str">
        <x:v>Toilet positions</x:v>
      </x:c>
      <x:c r="B13" s="16" t="n">
        <x:v>2500</x:v>
      </x:c>
      <x:c r="C13" s="16"/>
      <x:c r="D13" s="29"/>
      <x:c r="E13" s="29"/>
      <x:c r="F13" s="29"/>
      <x:c r="G13" s="29" t="n">
        <x:v>300</x:v>
      </x:c>
      <x:c r="H13" s="29" t="n">
        <x:v>0</x:v>
      </x:c>
      <x:c r="I13" s="29" t="n">
        <x:v>300</x:v>
      </x:c>
      <x:c r="J13" s="16" t="str">
        <x:v>1 per 20 residents</x:v>
      </x:c>
    </x:row>
    <x:row r="14" ht="21.600000381469727" hidden="0" customHeight="1">
      <x:c r="A14" s="15" t="str">
        <x:v>Shower positions</x:v>
      </x:c>
      <x:c r="B14" s="15" t="n">
        <x:v>1000</x:v>
      </x:c>
      <x:c r="C14" s="15"/>
      <x:c r="D14" s="30"/>
      <x:c r="E14" s="30"/>
      <x:c r="F14" s="30"/>
      <x:c r="G14" s="30" t="n">
        <x:v>80</x:v>
      </x:c>
      <x:c r="H14" s="30" t="n">
        <x:v>0</x:v>
      </x:c>
      <x:c r="I14" s="30" t="n">
        <x:v>80</x:v>
      </x:c>
      <x:c r="J14" s="15" t="str">
        <x:v>1 per 50 residents</x:v>
      </x:c>
    </x:row>
    <x:row r="15" ht="21.600000381469727" hidden="0" customHeight="1">
      <x:c r="A15" s="16" t="str">
        <x:v>Handwash positions</x:v>
      </x:c>
      <x:c r="B15" s="16" t="n">
        <x:v>1000</x:v>
      </x:c>
      <x:c r="C15" s="16"/>
      <x:c r="D15" s="29"/>
      <x:c r="E15" s="29"/>
      <x:c r="F15" s="29"/>
      <x:c r="G15" s="29" t="n">
        <x:v>50</x:v>
      </x:c>
      <x:c r="H15" s="29" t="n">
        <x:v>0</x:v>
      </x:c>
      <x:c r="I15" s="29" t="n">
        <x:v>50</x:v>
      </x:c>
      <x:c r="J15" s="16" t="str">
        <x:v>1 per 50 residents</x:v>
      </x:c>
    </x:row>
    <x:row r="16" ht="32.400001525878906" hidden="0" customHeight="1">
      <x:c r="A16" s="15" t="str">
        <x:v>Treatment/storage/pumping</x:v>
      </x:c>
      <x:c r="B16" s="15" t="n">
        <x:v>10</x:v>
      </x:c>
      <x:c r="C16" s="15"/>
      <x:c r="D16" s="30"/>
      <x:c r="E16" s="30"/>
      <x:c r="F16" s="30"/>
      <x:c r="G16" s="30" t="n">
        <x:v>200</x:v>
      </x:c>
      <x:c r="H16" s="30" t="n">
        <x:v>280</x:v>
      </x:c>
      <x:c r="I16" s="30" t="n">
        <x:v>-80</x:v>
      </x:c>
      <x:c r="J16" s="15" t="str">
        <x:v>district-paired nodes</x:v>
      </x:c>
    </x:row>
    <x:row r="17" ht="32.400001525878906" hidden="0" customHeight="1">
      <x:c r="A17" s="16" t="str">
        <x:v>Consumables, cleaning, sealed waste</x:v>
      </x:c>
      <x:c r="B17" s="16" t="n">
        <x:v>1</x:v>
      </x:c>
      <x:c r="C17" s="16"/>
      <x:c r="D17" s="29"/>
      <x:c r="E17" s="29"/>
      <x:c r="F17" s="29"/>
      <x:c r="G17" s="29" t="n">
        <x:v>150</x:v>
      </x:c>
      <x:c r="H17" s="29" t="n">
        <x:v>200</x:v>
      </x:c>
      <x:c r="I17" s="29" t="n">
        <x:v>-50</x:v>
      </x:c>
      <x:c r="J17" s="16" t="str">
        <x:v>72-hour stock</x:v>
      </x:c>
    </x:row>
    <x:row r="18" ht="32.400001525878906" hidden="0" customHeight="1">
      <x:c r="A18" s="15" t="str">
        <x:v>TOTAL sanitation system</x:v>
      </x:c>
      <x:c r="B18" s="15"/>
      <x:c r="C18" s="15"/>
      <x:c r="D18" s="30"/>
      <x:c r="E18" s="30"/>
      <x:c r="F18" s="30"/>
      <x:c r="G18" s="30" t="n">
        <x:f>SUM(G13:G17)</x:f>
        <x:v>780</x:v>
      </x:c>
      <x:c r="H18" s="30" t="n">
        <x:v>480</x:v>
      </x:c>
      <x:c r="I18" s="30" t="n">
        <x:f>G18-H18</x:f>
        <x:v>300</x:v>
      </x:c>
      <x:c r="J18" s="15" t="str">
        <x:v>DERIVED</x:v>
      </x:c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</x:row>
    <x:row r="20" ht="33" customHeight="1">
      <x:c r="A20" s="44" t="str">
        <x:v>The community food cohort does not receive 15 L/person/day from this pod. If it did, the food contract alone would imply 3,900 m³/day before kitchens, staff, health, hygiene and losses—nearly twice the declared water effect.</x:v>
      </x:c>
      <x:c r="B20" s="44"/>
      <x:c r="C20" s="44"/>
      <x:c r="D20" s="44"/>
      <x:c r="E20" s="44"/>
      <x:c r="F20" s="44"/>
      <x:c r="G20" s="44"/>
      <x:c r="H20" s="44"/>
      <x:c r="I20" s="44"/>
      <x:c r="J20" s="44"/>
    </x:row>
  </x:sheetData>
  <x:mergeCells>
    <x:mergeCell ref="A1:J1"/>
    <x:mergeCell ref="A2:J2"/>
    <x:mergeCell ref="A20:J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53" hidden="0" customWidth="1"/>
  </x:cols>
  <x:sheetData>
    <x:row r="1" ht="34" customHeight="1">
      <x:c r="A1" s="40" t="str">
        <x:v>Portable Service-Energy Alternatives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1" customHeight="1">
      <x:c r="A2" s="41" t="str">
        <x:v>All pathways must black-start, form a grid, protect workers and allocate loads—not merely deliver generators.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31" customHeight="1">
      <x:c r="A4" s="28" t="str">
        <x:v>Pathway</x:v>
      </x:c>
      <x:c r="B4" s="28" t="str">
        <x:v>Firm MW</x:v>
      </x:c>
      <x:c r="C4" s="28" t="str">
        <x:v>Endurance h</x:v>
      </x:c>
      <x:c r="D4" s="28" t="str">
        <x:v>Source hardware t</x:v>
      </x:c>
      <x:c r="E4" s="28" t="str">
        <x:v>Storage t</x:v>
      </x:c>
      <x:c r="F4" s="28" t="str">
        <x:v>Fuel t</x:v>
      </x:c>
      <x:c r="G4" s="28" t="str">
        <x:v>Switchgear/distribution t</x:v>
      </x:c>
      <x:c r="H4" s="28" t="str">
        <x:v>Total t</x:v>
      </x:c>
      <x:c r="I4" s="28" t="str">
        <x:v>Host dependence</x:v>
      </x:c>
      <x:c r="J4" s="28" t="str">
        <x:v>Black start</x:v>
      </x:c>
      <x:c r="K4" s="28" t="str">
        <x:v>Maturity</x:v>
      </x:c>
      <x:c r="L4" s="28" t="str">
        <x:v>Disposition</x:v>
      </x:c>
    </x:row>
    <x:row r="5" ht="43.20000076293945" hidden="0" customHeight="1">
      <x:c r="A5" s="16" t="str">
        <x:v>Liquid prime power</x:v>
      </x:c>
      <x:c r="B5" s="29" t="n">
        <x:v>65</x:v>
      </x:c>
      <x:c r="C5" s="29" t="n">
        <x:v>72</x:v>
      </x:c>
      <x:c r="D5" s="29" t="n">
        <x:v>700</x:v>
      </x:c>
      <x:c r="E5" s="29" t="n">
        <x:v>0</x:v>
      </x:c>
      <x:c r="F5" s="29" t="n">
        <x:v>1140.53</x:v>
      </x:c>
      <x:c r="G5" s="29" t="n">
        <x:v>0</x:v>
      </x:c>
      <x:c r="H5" s="29" t="n">
        <x:f>SUM(D5:G5)</x:f>
        <x:v>1840.53</x:v>
      </x:c>
      <x:c r="I5" s="16" t="str">
        <x:v>LOW</x:v>
      </x:c>
      <x:c r="J5" s="16" t="str">
        <x:v>dedicated start set</x:v>
      </x:c>
      <x:c r="K5" s="16" t="str">
        <x:v>CURRENT ANALOGUE</x:v>
      </x:c>
      <x:c r="L5" s="16" t="str">
        <x:v>Selected mass screen; correlated fuel burden</x:v>
      </x:c>
    </x:row>
    <x:row r="6" ht="54" hidden="0" customHeight="1">
      <x:c r="A6" s="15" t="str">
        <x:v>8-hour battery + liquid</x:v>
      </x:c>
      <x:c r="B6" s="30" t="n">
        <x:v>65</x:v>
      </x:c>
      <x:c r="C6" s="30" t="n">
        <x:v>72</x:v>
      </x:c>
      <x:c r="D6" s="30" t="n">
        <x:v>700</x:v>
      </x:c>
      <x:c r="E6" s="30" t="n">
        <x:v>3640</x:v>
      </x:c>
      <x:c r="F6" s="30" t="n">
        <x:v>1013.8</x:v>
      </x:c>
      <x:c r="G6" s="30" t="n">
        <x:v>200</x:v>
      </x:c>
      <x:c r="H6" s="30" t="n">
        <x:f>SUM(D6:G6)</x:f>
        <x:v>5553.8</x:v>
      </x:c>
      <x:c r="I6" s="15" t="str">
        <x:v>LOW</x:v>
      </x:c>
      <x:c r="J6" s="15" t="str">
        <x:v>battery</x:v>
      </x:c>
      <x:c r="K6" s="15" t="str">
        <x:v>R2 SCREEN</x:v>
      </x:c>
      <x:c r="L6" s="15" t="str">
        <x:v>Mass grows under current storage intensity</x:v>
      </x:c>
    </x:row>
    <x:row r="7" ht="43.20000076293945" hidden="0" customHeight="1">
      <x:c r="A7" s="16" t="str">
        <x:v>Local-resource hybrid</x:v>
      </x:c>
      <x:c r="B7" s="29" t="n">
        <x:v>65</x:v>
      </x:c>
      <x:c r="C7" s="29" t="n">
        <x:v>72</x:v>
      </x:c>
      <x:c r="D7" s="29" t="n">
        <x:v>500</x:v>
      </x:c>
      <x:c r="E7" s="29" t="n">
        <x:v>400</x:v>
      </x:c>
      <x:c r="F7" s="29" t="n">
        <x:v>701.86</x:v>
      </x:c>
      <x:c r="G7" s="29" t="n">
        <x:v>300</x:v>
      </x:c>
      <x:c r="H7" s="29" t="n">
        <x:f>SUM(D7:G7)</x:f>
        <x:v>1901.8600000000001</x:v>
      </x:c>
      <x:c r="I7" s="16" t="str">
        <x:v>HIGH</x:v>
      </x:c>
      <x:c r="J7" s="16" t="str">
        <x:v>battery</x:v>
      </x:c>
      <x:c r="K7" s="16" t="str">
        <x:v>R2 SCREEN</x:v>
      </x:c>
      <x:c r="L7" s="16" t="str">
        <x:v>Lighter only if 25 MW local source is verified</x:v>
      </x:c>
    </x:row>
    <x:row r="8" ht="75.5999984741211" hidden="0" customHeight="1">
      <x:c r="A8" s="15" t="str">
        <x:v>Compact reactor target</x:v>
      </x:c>
      <x:c r="B8" s="30" t="n">
        <x:v>65</x:v>
      </x:c>
      <x:c r="C8" s="30" t="n">
        <x:v>72</x:v>
      </x:c>
      <x:c r="D8" s="30" t="n">
        <x:v>2000</x:v>
      </x:c>
      <x:c r="E8" s="30" t="n">
        <x:v>200</x:v>
      </x:c>
      <x:c r="F8" s="30" t="n">
        <x:v>0</x:v>
      </x:c>
      <x:c r="G8" s="30" t="n">
        <x:v>700</x:v>
      </x:c>
      <x:c r="H8" s="30" t="n">
        <x:f>SUM(D8:G8)</x:f>
        <x:v>2900</x:v>
      </x:c>
      <x:c r="I8" s="15" t="str">
        <x:v>LOW</x:v>
      </x:c>
      <x:c r="J8" s="15" t="str">
        <x:v>battery</x:v>
      </x:c>
      <x:c r="K8" s="15" t="str">
        <x:v>R0/R1</x:v>
      </x:c>
      <x:c r="L8" s="15" t="str">
        <x:v>High-mass target; licensing, shielding and heat rejection open</x:v>
      </x:c>
    </x:row>
    <x:row r="9" ht="43.20000076293945" hidden="0" customHeight="1">
      <x:c r="A9" s="16" t="str">
        <x:v>Transformational fuel-flex</x:v>
      </x:c>
      <x:c r="B9" s="29" t="n">
        <x:v>65</x:v>
      </x:c>
      <x:c r="C9" s="29" t="n">
        <x:v>72</x:v>
      </x:c>
      <x:c r="D9" s="29" t="n">
        <x:v>450</x:v>
      </x:c>
      <x:c r="E9" s="29" t="n">
        <x:v>150</x:v>
      </x:c>
      <x:c r="F9" s="29" t="n">
        <x:v>600</x:v>
      </x:c>
      <x:c r="G9" s="29" t="n">
        <x:v>300</x:v>
      </x:c>
      <x:c r="H9" s="29" t="n">
        <x:f>SUM(D9:G9)</x:f>
        <x:v>1500</x:v>
      </x:c>
      <x:c r="I9" s="16" t="str">
        <x:v>LOW</x:v>
      </x:c>
      <x:c r="J9" s="16" t="str">
        <x:v>storage</x:v>
      </x:c>
      <x:c r="K9" s="16" t="str">
        <x:v>R0/R1</x:v>
      </x:c>
      <x:c r="L9" s="16" t="str">
        <x:v>Research target with 35% lower recurring fuel</x:v>
      </x:c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</x:row>
    <x:row r="11" ht="24" customHeight="1">
      <x:c r="A11" s="43" t="str">
        <x:v>Energy obligations</x:v>
      </x:c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 ht="31" hidden="0" customHeight="1">
      <x:c r="A12" s="28" t="str">
        <x:v>Obligation</x:v>
      </x:c>
      <x:c r="B12" s="28" t="str">
        <x:v>Reason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</x:row>
    <x:row r="13" ht="97.19999694824219" hidden="0" customHeight="1">
      <x:c r="A13" s="15" t="str">
        <x:v>Load registry</x:v>
      </x:c>
      <x:c r="B13" s="15" t="str">
        <x:v>The 65 MW promise must identify every campus and external facility load, priority and shed state.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</x:row>
    <x:row r="14" ht="108" hidden="0" customHeight="1">
      <x:c r="A14" s="15" t="str">
        <x:v>Protection and grounding</x:v>
      </x:c>
      <x:c r="B14" s="15" t="str">
        <x:v>Islanded equipment can injure workers or damage loads without source-aware coordination.</x:v>
      </x:c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</x:row>
    <x:row r="15" ht="75.5999984741211" hidden="0" customHeight="1">
      <x:c r="A15" s="15" t="str">
        <x:v>Black start</x:v>
      </x:c>
      <x:c r="B15" s="15" t="str">
        <x:v>The service island must recover from total loss without an intact host grid.</x:v>
      </x:c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</x:row>
    <x:row r="16" ht="97.19999694824219" hidden="0" customHeight="1">
      <x:c r="A16" s="15" t="str">
        <x:v>Heat rejection and exhaust</x:v>
      </x:c>
      <x:c r="B16" s="15" t="str">
        <x:v>Source choice moves thermal, acoustic, air-quality, security and siting burdens.</x:v>
      </x:c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</x:row>
    <x:row r="17" ht="97.19999694824219" hidden="0" customHeight="1">
      <x:c r="A17" s="15" t="str">
        <x:v>Fuel custody</x:v>
      </x:c>
      <x:c r="B17" s="15" t="str">
        <x:v>A 72-hour liquid reserve is a hazardous-material, transfer, spill, security and resupply system.</x:v>
      </x:c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</x:row>
    <x:row r="18" ht="97.19999694824219" hidden="0" customHeight="1">
      <x:c r="A18" s="15" t="str">
        <x:v>Diverse control stacks</x:v>
      </x:c>
      <x:c r="B18" s="15" t="str">
        <x:v>Source diversity is false if all power islands share one controller or firmware failure.</x:v>
      </x:c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</x:sheetData>
  <x:mergeCells>
    <x:mergeCell ref="A1:L1"/>
    <x:mergeCell ref="A2:L2"/>
    <x:mergeCell ref="A11:L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0" hidden="0" customWidth="1"/>
    <x:col min="12" max="12" width="40" hidden="0" customWidth="1"/>
  </x:cols>
  <x:sheetData>
    <x:row r="1" ht="34" customHeight="1">
      <x:c r="A1" s="40" t="str">
        <x:v>Shift-Complete Workforce Roster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1" customHeight="1">
      <x:c r="A2" s="41" t="str">
        <x:v>Labor is derived from posts, nodes and relief—not assigned as a residual percentage.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31" customHeight="1">
      <x:c r="A4" s="28" t="str">
        <x:v>Function</x:v>
      </x:c>
      <x:c r="B4" s="28" t="str">
        <x:v>Basis</x:v>
      </x:c>
      <x:c r="C4" s="28" t="str">
        <x:v>Day/night posts</x:v>
      </x:c>
      <x:c r="D4" s="28" t="str">
        <x:v>Relief factor</x:v>
      </x:c>
      <x:c r="E4" s="28" t="str">
        <x:v>Current people</x:v>
      </x:c>
      <x:c r="F4" s="28" t="str">
        <x:v>Advanced factor</x:v>
      </x:c>
      <x:c r="G4" s="28" t="str">
        <x:v>Advanced people</x:v>
      </x:c>
      <x:c r="H4" s="28" t="str">
        <x:v>Transform factor</x:v>
      </x:c>
      <x:c r="I4" s="28" t="str">
        <x:v>Transform people</x:v>
      </x:c>
      <x:c r="J4" s="28" t="str">
        <x:v>Safety floor</x:v>
      </x:c>
      <x:c r="K4" s="28" t="str">
        <x:v>Failure if removed</x:v>
      </x:c>
      <x:c r="L4" s="28" t="str">
        <x:v>Automation burden</x:v>
      </x:c>
    </x:row>
    <x:row r="5" ht="32.400001525878906" hidden="0" customHeight="1">
      <x:c r="A5" s="16" t="str">
        <x:v>District command</x:v>
      </x:c>
      <x:c r="B5" s="16" t="str">
        <x:v>4 posts × 50 districts</x:v>
      </x:c>
      <x:c r="C5" s="16" t="n">
        <x:v>200</x:v>
      </x:c>
      <x:c r="D5" s="16" t="n">
        <x:v>2.2</x:v>
      </x:c>
      <x:c r="E5" s="16" t="n">
        <x:f>C5*D5</x:f>
        <x:v>440.00000000000006</x:v>
      </x:c>
      <x:c r="F5" s="31" t="n">
        <x:v>0.7</x:v>
      </x:c>
      <x:c r="G5" s="16" t="n">
        <x:f>ROUND(E5*F5,0)</x:f>
        <x:v>308</x:v>
      </x:c>
      <x:c r="H5" s="31" t="n">
        <x:v>0.4</x:v>
      </x:c>
      <x:c r="I5" s="16" t="n">
        <x:f>ROUND(E5*H5,0)</x:f>
        <x:v>176</x:v>
      </x:c>
      <x:c r="J5" s="16" t="n">
        <x:v>100</x:v>
      </x:c>
      <x:c r="K5" s="16" t="str">
        <x:v>priority and accountability fail</x:v>
      </x:c>
      <x:c r="L5" s="16" t="str">
        <x:v>decision-support assurance</x:v>
      </x:c>
    </x:row>
    <x:row r="6" ht="43.20000076293945" hidden="0" customHeight="1">
      <x:c r="A6" s="15" t="str">
        <x:v>Resident services/protection</x:v>
      </x:c>
      <x:c r="B6" s="15" t="str">
        <x:v>8 × 50</x:v>
      </x:c>
      <x:c r="C6" s="15" t="n">
        <x:v>400</x:v>
      </x:c>
      <x:c r="D6" s="15" t="n">
        <x:v>2.2</x:v>
      </x:c>
      <x:c r="E6" s="15" t="n">
        <x:f>C6*D6</x:f>
        <x:v>880.0000000000001</x:v>
      </x:c>
      <x:c r="F6" s="32" t="n">
        <x:v>0.75</x:v>
      </x:c>
      <x:c r="G6" s="15" t="n">
        <x:f>ROUND(E6*F6,0)</x:f>
        <x:v>660</x:v>
      </x:c>
      <x:c r="H6" s="32" t="n">
        <x:v>0.45</x:v>
      </x:c>
      <x:c r="I6" s="15" t="n">
        <x:f>ROUND(E6*H6,0)</x:f>
        <x:v>396</x:v>
      </x:c>
      <x:c r="J6" s="15" t="n">
        <x:v>250</x:v>
      </x:c>
      <x:c r="K6" s="15" t="str">
        <x:v>accessibility, safeguarding, registration fail</x:v>
      </x:c>
      <x:c r="L6" s="15" t="str">
        <x:v>identity/privacy/crowd sensing</x:v>
      </x:c>
    </x:row>
    <x:row r="7" ht="32.400001525878906" hidden="0" customHeight="1">
      <x:c r="A7" s="16" t="str">
        <x:v>Shelter health</x:v>
      </x:c>
      <x:c r="B7" s="16" t="str">
        <x:v>10/500 × 100 nodes</x:v>
      </x:c>
      <x:c r="C7" s="16" t="n">
        <x:v>1000</x:v>
      </x:c>
      <x:c r="D7" s="16" t="n">
        <x:v>2.2</x:v>
      </x:c>
      <x:c r="E7" s="16" t="n">
        <x:f>C7*D7</x:f>
        <x:v>2200</x:v>
      </x:c>
      <x:c r="F7" s="31" t="n">
        <x:v>0.7</x:v>
      </x:c>
      <x:c r="G7" s="16" t="n">
        <x:f>ROUND(E7*F7,0)</x:f>
        <x:v>1540</x:v>
      </x:c>
      <x:c r="H7" s="31" t="n">
        <x:v>0.4</x:v>
      </x:c>
      <x:c r="I7" s="16" t="n">
        <x:f>ROUND(E7*H7,0)</x:f>
        <x:v>880</x:v>
      </x:c>
      <x:c r="J7" s="16" t="n">
        <x:v>700</x:v>
      </x:c>
      <x:c r="K7" s="16" t="str">
        <x:v>triage and observation fail</x:v>
      </x:c>
      <x:c r="L7" s="16" t="str">
        <x:v>telehealth and diagnostics</x:v>
      </x:c>
    </x:row>
    <x:row r="8" ht="32.400001525878906" hidden="0" customHeight="1">
      <x:c r="A8" s="15" t="str">
        <x:v>Food production</x:v>
      </x:c>
      <x:c r="B8" s="15" t="str">
        <x:v>41 × 8 kitchens</x:v>
      </x:c>
      <x:c r="C8" s="15" t="n">
        <x:v>328</x:v>
      </x:c>
      <x:c r="D8" s="15" t="n">
        <x:v>1.5</x:v>
      </x:c>
      <x:c r="E8" s="15" t="n">
        <x:f>C8*D8</x:f>
        <x:v>492</x:v>
      </x:c>
      <x:c r="F8" s="32" t="n">
        <x:v>0.6</x:v>
      </x:c>
      <x:c r="G8" s="15" t="n">
        <x:f>ROUND(E8*F8,0)</x:f>
        <x:v>295</x:v>
      </x:c>
      <x:c r="H8" s="32" t="n">
        <x:v>0.35</x:v>
      </x:c>
      <x:c r="I8" s="15" t="n">
        <x:f>ROUND(E8*H8,0)</x:f>
        <x:v>172</x:v>
      </x:c>
      <x:c r="J8" s="15" t="n">
        <x:v>200</x:v>
      </x:c>
      <x:c r="K8" s="15" t="str">
        <x:v>food safety and meal output fail</x:v>
      </x:c>
      <x:c r="L8" s="15" t="str">
        <x:v>robotic prep/cleaning</x:v>
      </x:c>
    </x:row>
    <x:row r="9" ht="32.400001525878906" hidden="0" customHeight="1">
      <x:c r="A9" s="16" t="str">
        <x:v>Community distribution</x:v>
      </x:c>
      <x:c r="B9" s="16" t="str">
        <x:v>4 × 70 nodes</x:v>
      </x:c>
      <x:c r="C9" s="16" t="n">
        <x:v>280</x:v>
      </x:c>
      <x:c r="D9" s="16" t="n">
        <x:v>2</x:v>
      </x:c>
      <x:c r="E9" s="16" t="n">
        <x:f>C9*D9</x:f>
        <x:v>560</x:v>
      </x:c>
      <x:c r="F9" s="31" t="n">
        <x:v>0.6</x:v>
      </x:c>
      <x:c r="G9" s="16" t="n">
        <x:f>ROUND(E9*F9,0)</x:f>
        <x:v>336</x:v>
      </x:c>
      <x:c r="H9" s="31" t="n">
        <x:v>0.4</x:v>
      </x:c>
      <x:c r="I9" s="16" t="n">
        <x:f>ROUND(E9*H9,0)</x:f>
        <x:v>224</x:v>
      </x:c>
      <x:c r="J9" s="16" t="n">
        <x:v>180</x:v>
      </x:c>
      <x:c r="K9" s="16" t="str">
        <x:v>custody and equitable issue fail</x:v>
      </x:c>
      <x:c r="L9" s="16" t="str">
        <x:v>autonomous handling/queue tools</x:v>
      </x:c>
    </x:row>
    <x:row r="10" ht="32.400001525878906" hidden="0" customHeight="1">
      <x:c r="A10" s="15" t="str">
        <x:v>Utilities and thermal</x:v>
      </x:c>
      <x:c r="B10" s="15" t="str">
        <x:v>3 × 50</x:v>
      </x:c>
      <x:c r="C10" s="15" t="n">
        <x:v>150</x:v>
      </x:c>
      <x:c r="D10" s="15" t="n">
        <x:v>2.2</x:v>
      </x:c>
      <x:c r="E10" s="15" t="n">
        <x:f>C10*D10</x:f>
        <x:v>330</x:v>
      </x:c>
      <x:c r="F10" s="32" t="n">
        <x:v>0.65</x:v>
      </x:c>
      <x:c r="G10" s="15" t="n">
        <x:f>ROUND(E10*F10,0)</x:f>
        <x:v>215</x:v>
      </x:c>
      <x:c r="H10" s="32" t="n">
        <x:v>0.4</x:v>
      </x:c>
      <x:c r="I10" s="15" t="n">
        <x:f>ROUND(E10*H10,0)</x:f>
        <x:v>132</x:v>
      </x:c>
      <x:c r="J10" s="15" t="n">
        <x:v>150</x:v>
      </x:c>
      <x:c r="K10" s="15" t="str">
        <x:v>power, water or climate control fail</x:v>
      </x:c>
      <x:c r="L10" s="15" t="str">
        <x:v>self-configuring utility mesh</x:v>
      </x:c>
    </x:row>
    <x:row r="11" ht="32.400001525878906" hidden="0" customHeight="1">
      <x:c r="A11" s="16" t="str">
        <x:v>Sanitation and waste</x:v>
      </x:c>
      <x:c r="B11" s="16" t="str">
        <x:v>3 × 50</x:v>
      </x:c>
      <x:c r="C11" s="16" t="n">
        <x:v>150</x:v>
      </x:c>
      <x:c r="D11" s="16" t="n">
        <x:v>2.2</x:v>
      </x:c>
      <x:c r="E11" s="16" t="n">
        <x:f>C11*D11</x:f>
        <x:v>330</x:v>
      </x:c>
      <x:c r="F11" s="31" t="n">
        <x:v>0.6</x:v>
      </x:c>
      <x:c r="G11" s="16" t="n">
        <x:f>ROUND(E11*F11,0)</x:f>
        <x:v>198</x:v>
      </x:c>
      <x:c r="H11" s="31" t="n">
        <x:v>0.35</x:v>
      </x:c>
      <x:c r="I11" s="16" t="n">
        <x:f>ROUND(E11*H11,0)</x:f>
        <x:v>115</x:v>
      </x:c>
      <x:c r="J11" s="16" t="n">
        <x:v>120</x:v>
      </x:c>
      <x:c r="K11" s="16" t="str">
        <x:v>public health and residual custody fail</x:v>
      </x:c>
      <x:c r="L11" s="16" t="str">
        <x:v>closed handling and washdown</x:v>
      </x:c>
    </x:row>
    <x:row r="12" ht="43.20000076293945" hidden="0" customHeight="1">
      <x:c r="A12" s="15" t="str">
        <x:v>Logistics and handling</x:v>
      </x:c>
      <x:c r="B12" s="15" t="str">
        <x:v>250 central posts</x:v>
      </x:c>
      <x:c r="C12" s="15" t="n">
        <x:v>250</x:v>
      </x:c>
      <x:c r="D12" s="15" t="n">
        <x:v>2.2</x:v>
      </x:c>
      <x:c r="E12" s="15" t="n">
        <x:f>C12*D12</x:f>
        <x:v>550</x:v>
      </x:c>
      <x:c r="F12" s="32" t="n">
        <x:v>0.55</x:v>
      </x:c>
      <x:c r="G12" s="15" t="n">
        <x:f>ROUND(E12*F12,0)</x:f>
        <x:v>303</x:v>
      </x:c>
      <x:c r="H12" s="32" t="n">
        <x:v>0.3</x:v>
      </x:c>
      <x:c r="I12" s="15" t="n">
        <x:f>ROUND(E12*H12,0)</x:f>
        <x:v>165</x:v>
      </x:c>
      <x:c r="J12" s="15" t="n">
        <x:v>130</x:v>
      </x:c>
      <x:c r="K12" s="15" t="str">
        <x:v>replenishment and reconfiguration fail</x:v>
      </x:c>
      <x:c r="L12" s="15" t="str">
        <x:v>autonomous cross-dock</x:v>
      </x:c>
    </x:row>
    <x:row r="13" ht="43.20000076293945" hidden="0" customHeight="1">
      <x:c r="A13" s="16" t="str">
        <x:v>Command, data, administration</x:v>
      </x:c>
      <x:c r="B13" s="16" t="str">
        <x:v>150 central posts</x:v>
      </x:c>
      <x:c r="C13" s="16" t="n">
        <x:v>150</x:v>
      </x:c>
      <x:c r="D13" s="16" t="n">
        <x:v>2.2</x:v>
      </x:c>
      <x:c r="E13" s="16" t="n">
        <x:f>C13*D13</x:f>
        <x:v>330</x:v>
      </x:c>
      <x:c r="F13" s="31" t="n">
        <x:v>0.75</x:v>
      </x:c>
      <x:c r="G13" s="16" t="n">
        <x:f>ROUND(E13*F13,0)</x:f>
        <x:v>248</x:v>
      </x:c>
      <x:c r="H13" s="31" t="n">
        <x:v>0.55</x:v>
      </x:c>
      <x:c r="I13" s="16" t="n">
        <x:f>ROUND(E13*H13,0)</x:f>
        <x:v>182</x:v>
      </x:c>
      <x:c r="J13" s="16" t="n">
        <x:v>130</x:v>
      </x:c>
      <x:c r="K13" s="16" t="str">
        <x:v>common operating truth and records fail</x:v>
      </x:c>
      <x:c r="L13" s="16" t="str">
        <x:v>machine-readable service ledger</x:v>
      </x:c>
    </x:row>
    <x:row r="14" ht="32.400001525878906" hidden="0" customHeight="1">
      <x:c r="A14" s="15" t="str">
        <x:v>Repair and safety</x:v>
      </x:c>
      <x:c r="B14" s="15" t="str">
        <x:v>150 central posts</x:v>
      </x:c>
      <x:c r="C14" s="15" t="n">
        <x:v>150</x:v>
      </x:c>
      <x:c r="D14" s="15" t="n">
        <x:v>2.2</x:v>
      </x:c>
      <x:c r="E14" s="15" t="n">
        <x:f>C14*D14</x:f>
        <x:v>330</x:v>
      </x:c>
      <x:c r="F14" s="32" t="n">
        <x:v>0.65</x:v>
      </x:c>
      <x:c r="G14" s="15" t="n">
        <x:f>ROUND(E14*F14,0)</x:f>
        <x:v>215</x:v>
      </x:c>
      <x:c r="H14" s="32" t="n">
        <x:v>0.4</x:v>
      </x:c>
      <x:c r="I14" s="15" t="n">
        <x:f>ROUND(E14*H14,0)</x:f>
        <x:v>132</x:v>
      </x:c>
      <x:c r="J14" s="15" t="n">
        <x:v>150</x:v>
      </x:c>
      <x:c r="K14" s="15" t="str">
        <x:v>availability and safe release fail</x:v>
      </x:c>
      <x:c r="L14" s="15" t="str">
        <x:v>predictive maintenance/NDE</x:v>
      </x:c>
    </x:row>
    <x:row r="15" ht="43.20000076293945" hidden="0" customHeight="1">
      <x:c r="A15" s="16" t="str">
        <x:v>Supply and custody</x:v>
      </x:c>
      <x:c r="B15" s="16" t="str">
        <x:v>150 central posts</x:v>
      </x:c>
      <x:c r="C15" s="16" t="n">
        <x:v>150</x:v>
      </x:c>
      <x:c r="D15" s="16" t="n">
        <x:v>2</x:v>
      </x:c>
      <x:c r="E15" s="16" t="n">
        <x:f>C15*D15</x:f>
        <x:v>300</x:v>
      </x:c>
      <x:c r="F15" s="31" t="n">
        <x:v>0.65</x:v>
      </x:c>
      <x:c r="G15" s="16" t="n">
        <x:f>ROUND(E15*F15,0)</x:f>
        <x:v>195</x:v>
      </x:c>
      <x:c r="H15" s="31" t="n">
        <x:v>0.4</x:v>
      </x:c>
      <x:c r="I15" s="16" t="n">
        <x:f>ROUND(E15*H15,0)</x:f>
        <x:v>120</x:v>
      </x:c>
      <x:c r="J15" s="16" t="n">
        <x:v>100</x:v>
      </x:c>
      <x:c r="K15" s="16" t="str">
        <x:v>controlled stocks and cold chain fail</x:v>
      </x:c>
      <x:c r="L15" s="16" t="str">
        <x:v>automated inventory</x:v>
      </x:c>
    </x:row>
    <x:row r="16" ht="15" hidden="0" customHeight="1">
      <x:c r="A16" s="15" t="str">
        <x:v>TOTAL</x:v>
      </x:c>
      <x:c r="B16" s="15" t="str"/>
      <x:c r="C16" s="15"/>
      <x:c r="D16" s="15"/>
      <x:c r="E16" s="15" t="n">
        <x:f>SUM(E5:E15)</x:f>
        <x:v>6742</x:v>
      </x:c>
      <x:c r="F16" s="15"/>
      <x:c r="G16" s="15" t="n">
        <x:f>SUM(G5:G15)</x:f>
        <x:v>4513</x:v>
      </x:c>
      <x:c r="H16" s="15"/>
      <x:c r="I16" s="15" t="n">
        <x:f>SUM(I5:I15)</x:f>
        <x:v>2694</x:v>
      </x:c>
      <x:c r="J16" s="15" t="n">
        <x:f>SUM(J5:J15)</x:f>
        <x:v>2210</x:v>
      </x:c>
      <x:c r="K16" s="15" t="str"/>
      <x:c r="L16" s="15" t="str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</x:row>
    <x:row r="18" ht="33" customHeight="1">
      <x:c r="A18" s="44" t="str">
        <x:v>Even the transformational screen remains above the 2,500-person pod target. That is an adverse finding, not a spreadsheet defect: the service contract must narrow, local credentialed labor must be counted explicitly, or additional labor-reduction programs must pass.</x:v>
      </x:c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</x:row>
  </x:sheetData>
  <x:mergeCells>
    <x:mergeCell ref="A1:L1"/>
    <x:mergeCell ref="A2:L2"/>
    <x:mergeCell ref="A18:L1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34" customHeight="1">
      <x:c r="A1" s="40" t="str">
        <x:v>Workforce Cases and Basing Consequence</x:v>
      </x:c>
      <x:c r="B1" s="40"/>
      <x:c r="C1" s="40"/>
      <x:c r="D1" s="40"/>
      <x:c r="E1" s="40"/>
      <x:c r="F1" s="40"/>
      <x:c r="G1" s="40"/>
      <x:c r="H1" s="40"/>
      <x:c r="I1" s="40"/>
    </x:row>
    <x:row r="2" ht="31" customHeight="1">
      <x:c r="A2" s="41" t="str">
        <x:v>Personnel above the 3,000-person base capacity generate additional accommodation mass.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</x:row>
    <x:row r="4" ht="31" customHeight="1">
      <x:c r="A4" s="28" t="str">
        <x:v>Case</x:v>
      </x:c>
      <x:c r="B4" s="28" t="str">
        <x:v>Workforce</x:v>
      </x:c>
      <x:c r="C4" s="28" t="str">
        <x:v>Above 3,000</x:v>
      </x:c>
      <x:c r="D4" s="28" t="str">
        <x:v>Basing mass add t</x:v>
      </x:c>
      <x:c r="E4" s="28" t="str">
        <x:v>Gap to 2,500</x:v>
      </x:c>
      <x:c r="F4" s="28" t="str">
        <x:v>Reduction vs current</x:v>
      </x:c>
      <x:c r="G4" s="28" t="str">
        <x:v>Evidence state</x:v>
      </x:c>
      <x:c r="H4" s="28" t="str">
        <x:v>Operational consequence</x:v>
      </x:c>
      <x:c r="I4" s="28" t="str">
        <x:v>Decision</x:v>
      </x:c>
    </x:row>
    <x:row r="5" ht="32.400001525878906" hidden="0" customHeight="1">
      <x:c r="A5" s="16" t="str">
        <x:v>Current analogue</x:v>
      </x:c>
      <x:c r="B5" s="16" t="n">
        <x:f>'Shift Roster'!E16</x:f>
        <x:v>6742</x:v>
      </x:c>
      <x:c r="C5" s="16" t="n">
        <x:f>MAX(0,B5-'Controls'!B17)</x:f>
        <x:v>3742</x:v>
      </x:c>
      <x:c r="D5" s="16" t="n">
        <x:f>C5*'Controls'!B18/'Controls'!B17</x:f>
        <x:v>1122.6</x:v>
      </x:c>
      <x:c r="E5" s="16" t="n">
        <x:f>B5-'Controls'!B16</x:f>
        <x:v>4242</x:v>
      </x:c>
      <x:c r="F5" s="35" t="n">
        <x:f>1-B5/$B$5</x:f>
        <x:v>0</x:v>
      </x:c>
      <x:c r="G5" s="16" t="str">
        <x:v>typed-resource screen</x:v>
      </x:c>
      <x:c r="H5" s="16" t="str">
        <x:v>Large deployed institution</x:v>
      </x:c>
      <x:c r="I5" s="16" t="str">
        <x:v>Does not fit</x:v>
      </x:c>
    </x:row>
    <x:row r="6" ht="32.400001525878906" hidden="0" customHeight="1">
      <x:c r="A6" s="15" t="str">
        <x:v>Advanced assisted</x:v>
      </x:c>
      <x:c r="B6" s="15" t="n">
        <x:f>'Shift Roster'!G16</x:f>
        <x:v>4513</x:v>
      </x:c>
      <x:c r="C6" s="15" t="n">
        <x:f>MAX(0,B6-'Controls'!B17)</x:f>
        <x:v>1513</x:v>
      </x:c>
      <x:c r="D6" s="15" t="n">
        <x:f>C6*'Controls'!B18/'Controls'!B17</x:f>
        <x:v>453.9</x:v>
      </x:c>
      <x:c r="E6" s="15" t="n">
        <x:f>B6-'Controls'!B16</x:f>
        <x:v>2013</x:v>
      </x:c>
      <x:c r="F6" s="36" t="n">
        <x:f>1-B6/$B$5</x:f>
        <x:v>0.3306140611094631</x:v>
      </x:c>
      <x:c r="G6" s="15" t="str">
        <x:v>unproved automation factors</x:v>
      </x:c>
      <x:c r="H6" s="15" t="str">
        <x:v>Selected configuration</x:v>
      </x:c>
      <x:c r="I6" s="15" t="str">
        <x:v>Does not fit target</x:v>
      </x:c>
    </x:row>
    <x:row r="7" ht="43.20000076293945" hidden="0" customHeight="1">
      <x:c r="A7" s="16" t="str">
        <x:v>Transformational</x:v>
      </x:c>
      <x:c r="B7" s="16" t="n">
        <x:f>'Shift Roster'!I16</x:f>
        <x:v>2694</x:v>
      </x:c>
      <x:c r="C7" s="16" t="n">
        <x:f>MAX(0,B7-'Controls'!B17)</x:f>
        <x:v>0</x:v>
      </x:c>
      <x:c r="D7" s="16" t="n">
        <x:f>C7*'Controls'!B18/'Controls'!B17</x:f>
        <x:v>0</x:v>
      </x:c>
      <x:c r="E7" s="16" t="n">
        <x:f>B7-'Controls'!B16</x:f>
        <x:v>194</x:v>
      </x:c>
      <x:c r="F7" s="35" t="n">
        <x:f>1-B7/$B$5</x:f>
        <x:v>0.6004153070305547</x:v>
      </x:c>
      <x:c r="G7" s="16" t="str">
        <x:v>research target factors</x:v>
      </x:c>
      <x:c r="H7" s="16" t="str">
        <x:v>Near target but below safety floors?</x:v>
      </x:c>
      <x:c r="I7" s="16" t="str">
        <x:v>Still does not fit</x:v>
      </x:c>
    </x:row>
    <x:row r="8" ht="32.400001525878906" hidden="0" customHeight="1">
      <x:c r="A8" s="15" t="str">
        <x:v>Declared target</x:v>
      </x:c>
      <x:c r="B8" s="15" t="n">
        <x:v>2500</x:v>
      </x:c>
      <x:c r="C8" s="15" t="n">
        <x:f>MAX(0,B8-'Controls'!B17)</x:f>
        <x:v>0</x:v>
      </x:c>
      <x:c r="D8" s="15" t="n">
        <x:f>C8*'Controls'!B18/'Controls'!B17</x:f>
        <x:v>0</x:v>
      </x:c>
      <x:c r="E8" s="15" t="n">
        <x:f>B8-'Controls'!B16</x:f>
        <x:v>0</x:v>
      </x:c>
      <x:c r="F8" s="36" t="n">
        <x:f>1-B8/$B$5</x:f>
        <x:v>0.6291901512904183</x:v>
      </x:c>
      <x:c r="G8" s="15" t="str">
        <x:v>Pass 28 target</x:v>
      </x:c>
      <x:c r="H8" s="15" t="str">
        <x:v>Requires a closed task redesign</x:v>
      </x:c>
      <x:c r="I8" s="15" t="str">
        <x:v>Unproved</x:v>
      </x:c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</x:row>
    <x:row r="10" ht="24" customHeight="1">
      <x:c r="A10" s="43" t="str">
        <x:v>Task redesign required</x:v>
      </x:c>
      <x:c r="B10" s="43"/>
      <x:c r="C10" s="43"/>
      <x:c r="D10" s="43"/>
      <x:c r="E10" s="43"/>
      <x:c r="F10" s="43"/>
      <x:c r="G10" s="43"/>
      <x:c r="H10" s="43"/>
      <x:c r="I10" s="43"/>
    </x:row>
    <x:row r="11" ht="31" hidden="0" customHeight="1">
      <x:c r="A11" s="28" t="str">
        <x:v>Lever</x:v>
      </x:c>
      <x:c r="B11" s="28" t="str">
        <x:v>Required evidence</x:v>
      </x:c>
      <x:c r="C11" s="42"/>
      <x:c r="D11" s="42"/>
      <x:c r="E11" s="42"/>
      <x:c r="F11" s="42"/>
      <x:c r="G11" s="42"/>
      <x:c r="H11" s="42"/>
      <x:c r="I11" s="42"/>
    </x:row>
    <x:row r="12" ht="108" hidden="0" customHeight="1">
      <x:c r="A12" s="15" t="str">
        <x:v>Autonomous materials handling</x:v>
      </x:c>
      <x:c r="B12" s="15" t="str">
        <x:v>End-to-end unloading, sorting, dispatch, recovery and fault handling with manual degraded mode.</x:v>
      </x:c>
      <x:c r="C12" s="42"/>
      <x:c r="D12" s="42"/>
      <x:c r="E12" s="42"/>
      <x:c r="F12" s="42"/>
      <x:c r="G12" s="42"/>
      <x:c r="H12" s="42"/>
      <x:c r="I12" s="42"/>
    </x:row>
    <x:row r="13" ht="86.4000015258789" hidden="0" customHeight="1">
      <x:c r="A13" s="15" t="str">
        <x:v>Self-configuring utilities</x:v>
      </x:c>
      <x:c r="B13" s="15" t="str">
        <x:v>Verified connection, leak/fault detection, sectional isolation and safe black start.</x:v>
      </x:c>
      <x:c r="C13" s="42"/>
      <x:c r="D13" s="42"/>
      <x:c r="E13" s="42"/>
      <x:c r="F13" s="42"/>
      <x:c r="G13" s="42"/>
      <x:c r="H13" s="42"/>
      <x:c r="I13" s="42"/>
    </x:row>
    <x:row r="14" ht="108" hidden="0" customHeight="1">
      <x:c r="A14" s="15" t="str">
        <x:v>Distributed clinical support</x:v>
      </x:c>
      <x:c r="B14" s="15" t="str">
        <x:v>Outcome-equivalent triage and observation with remote specialists, resilient diagnostics and escalation.</x:v>
      </x:c>
      <x:c r="C14" s="42"/>
      <x:c r="D14" s="42"/>
      <x:c r="E14" s="42"/>
      <x:c r="F14" s="42"/>
      <x:c r="G14" s="42"/>
      <x:c r="H14" s="42"/>
      <x:c r="I14" s="42"/>
    </x:row>
    <x:row r="15" ht="97.19999694824219" hidden="0" customHeight="1">
      <x:c r="A15" s="15" t="str">
        <x:v>Resident co-production</x:v>
      </x:c>
      <x:c r="B15" s="15" t="str">
        <x:v>Voluntary, compensated and accessible roles without shifting risk or hiding labor outside the force.</x:v>
      </x:c>
      <x:c r="C15" s="42"/>
      <x:c r="D15" s="42"/>
      <x:c r="E15" s="42"/>
      <x:c r="F15" s="42"/>
      <x:c r="G15" s="42"/>
      <x:c r="H15" s="42"/>
      <x:c r="I15" s="42"/>
    </x:row>
    <x:row r="16" ht="97.19999694824219" hidden="0" customHeight="1">
      <x:c r="A16" s="15" t="str">
        <x:v>Machine-readable custody</x:v>
      </x:c>
      <x:c r="B16" s="15" t="str">
        <x:v>Food, medicine, waste and service records maintained under disconnected operation.</x:v>
      </x:c>
      <x:c r="C16" s="42"/>
      <x:c r="D16" s="42"/>
      <x:c r="E16" s="42"/>
      <x:c r="F16" s="42"/>
      <x:c r="G16" s="42"/>
      <x:c r="H16" s="42"/>
      <x:c r="I16" s="42"/>
    </x:row>
    <x:row r="17" ht="118.80000305175781" hidden="0" customHeight="1">
      <x:c r="A17" s="15" t="str">
        <x:v>Maintenance of automation</x:v>
      </x:c>
      <x:c r="B17" s="15" t="str">
        <x:v>Remote operators, software assurance, technicians, spares and cyber response counted in the denominator.</x:v>
      </x:c>
      <x:c r="C17" s="42"/>
      <x:c r="D17" s="42"/>
      <x:c r="E17" s="42"/>
      <x:c r="F17" s="42"/>
      <x:c r="G17" s="42"/>
      <x:c r="H17" s="42"/>
      <x:c r="I17" s="42"/>
    </x:row>
  </x:sheetData>
  <x:mergeCells>
    <x:mergeCell ref="A1:I1"/>
    <x:mergeCell ref="A2:I2"/>
    <x:mergeCell ref="A10:I1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7" hidden="0" customWidth="1"/>
    <x:col min="15" max="15" width="17" hidden="0" customWidth="1"/>
  </x:cols>
  <x:sheetData>
    <x:row r="1" ht="34" customHeight="1">
      <x:c r="A1" s="40" t="str">
        <x:v>Integrated Pod Configurations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</x:row>
    <x:row r="2" ht="31" customHeight="1">
      <x:c r="A2" s="41" t="str">
        <x:v>Each case replaces allowances with a coherent shelter, food, sanitation, energy and workforce pathway.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</x:row>
    <x:row r="4" ht="31" customHeight="1">
      <x:c r="A4" s="28" t="str">
        <x:v>Case</x:v>
      </x:c>
      <x:c r="B4" s="28" t="str">
        <x:v>Shelter pathway</x:v>
      </x:c>
      <x:c r="C4" s="28" t="str">
        <x:v>Shelter t</x:v>
      </x:c>
      <x:c r="D4" s="28" t="str">
        <x:v>Food pathway</x:v>
      </x:c>
      <x:c r="E4" s="28" t="str">
        <x:v>Food t</x:v>
      </x:c>
      <x:c r="F4" s="28" t="str">
        <x:v>Sanitation t</x:v>
      </x:c>
      <x:c r="G4" s="28" t="str">
        <x:v>Energy pathway</x:v>
      </x:c>
      <x:c r="H4" s="28" t="str">
        <x:v>Energy t</x:v>
      </x:c>
      <x:c r="I4" s="28" t="str">
        <x:v>Workforce case</x:v>
      </x:c>
      <x:c r="J4" s="28" t="str">
        <x:v>People</x:v>
      </x:c>
      <x:c r="K4" s="28" t="str">
        <x:v>Basing add t</x:v>
      </x:c>
      <x:c r="L4" s="28" t="str">
        <x:v>Pod mass t</x:v>
      </x:c>
      <x:c r="M4" s="28" t="str">
        <x:v>Delta vs baseline</x:v>
      </x:c>
      <x:c r="N4" s="28" t="str">
        <x:v>Independence</x:v>
      </x:c>
      <x:c r="O4" s="28" t="str">
        <x:v>72 h claim</x:v>
      </x:c>
    </x:row>
    <x:row r="5" ht="21.600000381469727" hidden="0" customHeight="1">
      <x:c r="A5" s="16" t="str">
        <x:v>Bridge/reuse allowance</x:v>
      </x:c>
      <x:c r="B5" s="16" t="str">
        <x:v>Pass 28 baseline</x:v>
      </x:c>
      <x:c r="C5" s="29" t="n">
        <x:v>300</x:v>
      </x:c>
      <x:c r="D5" s="29" t="str">
        <x:v>Pass 28 baseline</x:v>
      </x:c>
      <x:c r="E5" s="29" t="n">
        <x:v>520</x:v>
      </x:c>
      <x:c r="F5" s="29" t="n">
        <x:v>480</x:v>
      </x:c>
      <x:c r="G5" s="29" t="str">
        <x:v>Pass 28 baseline</x:v>
      </x:c>
      <x:c r="H5" s="29" t="n">
        <x:v>923</x:v>
      </x:c>
      <x:c r="I5" s="29" t="str">
        <x:v>target</x:v>
      </x:c>
      <x:c r="J5" s="29" t="n">
        <x:v>2500</x:v>
      </x:c>
      <x:c r="K5" s="29" t="n">
        <x:v>0</x:v>
      </x:c>
      <x:c r="L5" s="29" t="n">
        <x:f>'Controls'!B5+(C5-'Controls'!B6)+(E5-'Controls'!B7)+(F5-'Controls'!B8)+(H5-('Controls'!B9+'Controls'!B10))+K5</x:f>
        <x:v>9870.56</x:v>
      </x:c>
      <x:c r="M5" s="29" t="n">
        <x:f>L5-'Controls'!B5</x:f>
        <x:v>0</x:v>
      </x:c>
      <x:c r="N5" s="16" t="str">
        <x:v>BRIDGE</x:v>
      </x:c>
      <x:c r="O5" s="16" t="str">
        <x:v>SCREEN</x:v>
      </x:c>
    </x:row>
    <x:row r="6" ht="32.400001525878906" hidden="0" customHeight="1">
      <x:c r="A6" s="15" t="str">
        <x:v>Pass 28 essential screen</x:v>
      </x:c>
      <x:c r="B6" s="15" t="str">
        <x:v>25 kg/person</x:v>
      </x:c>
      <x:c r="C6" s="30" t="n">
        <x:v>1250</x:v>
      </x:c>
      <x:c r="D6" s="30" t="str">
        <x:v>Pass 28 baseline</x:v>
      </x:c>
      <x:c r="E6" s="30" t="n">
        <x:v>520</x:v>
      </x:c>
      <x:c r="F6" s="30" t="n">
        <x:v>480</x:v>
      </x:c>
      <x:c r="G6" s="30" t="str">
        <x:v>Liquid prime power</x:v>
      </x:c>
      <x:c r="H6" s="30" t="n">
        <x:v>1840.53</x:v>
      </x:c>
      <x:c r="I6" s="30" t="str">
        <x:v>target</x:v>
      </x:c>
      <x:c r="J6" s="30" t="n">
        <x:v>2500</x:v>
      </x:c>
      <x:c r="K6" s="30" t="n">
        <x:v>0</x:v>
      </x:c>
      <x:c r="L6" s="30" t="n">
        <x:f>'Controls'!B5+(C6-'Controls'!B6)+(E6-'Controls'!B7)+(F6-'Controls'!B8)+(H6-('Controls'!B9+'Controls'!B10))+K6</x:f>
        <x:v>11738.09</x:v>
      </x:c>
      <x:c r="M6" s="30" t="n">
        <x:f>L6-'Controls'!B5</x:f>
        <x:v>1867.5300000000007</x:v>
      </x:c>
      <x:c r="N6" s="15" t="str">
        <x:v>ESSENTIAL</x:v>
      </x:c>
      <x:c r="O6" s="15" t="str">
        <x:v>SCREEN</x:v>
      </x:c>
    </x:row>
    <x:row r="7" ht="32.400001525878906" hidden="0" customHeight="1">
      <x:c r="A7" s="16" t="str">
        <x:v>Configured prepared receiver</x:v>
      </x:c>
      <x:c r="B7" s="16" t="str">
        <x:v>Adaptive reuse network</x:v>
      </x:c>
      <x:c r="C7" s="29" t="n">
        <x:f>'Shelter Pathways'!G5</x:f>
        <x:v>1025.75429</x:v>
      </x:c>
      <x:c r="D7" s="29" t="str">
        <x:v>Hybrid public feeding</x:v>
      </x:c>
      <x:c r="E7" s="29" t="n">
        <x:f>'Food Pathways'!K6</x:f>
        <x:v>885.2</x:v>
      </x:c>
      <x:c r="F7" s="29" t="n">
        <x:v>780</x:v>
      </x:c>
      <x:c r="G7" s="29" t="str">
        <x:v>Liquid prime power</x:v>
      </x:c>
      <x:c r="H7" s="29" t="n">
        <x:f>'Energy Pathways'!H5</x:f>
        <x:v>1840.53</x:v>
      </x:c>
      <x:c r="I7" s="29" t="str">
        <x:v>Advanced assisted</x:v>
      </x:c>
      <x:c r="J7" s="29" t="n">
        <x:f>'Workforce Cases'!B6</x:f>
        <x:v>4513</x:v>
      </x:c>
      <x:c r="K7" s="29" t="n">
        <x:f>'Workforce Cases'!D6</x:f>
        <x:v>453.9</x:v>
      </x:c>
      <x:c r="L7" s="29" t="n">
        <x:f>'Controls'!B5+(C7-'Controls'!B6)+(E7-'Controls'!B7)+(F7-'Controls'!B8)+(H7-('Controls'!B9+'Controls'!B10))+K7</x:f>
        <x:v>12632.944290000001</x:v>
      </x:c>
      <x:c r="M7" s="29" t="n">
        <x:f>L7-'Controls'!B5</x:f>
        <x:v>2762.384290000002</x:v>
      </x:c>
      <x:c r="N7" s="16" t="str">
        <x:v>REUSE</x:v>
      </x:c>
      <x:c r="O7" s="16" t="str">
        <x:v>CONFIGURED</x:v>
      </x:c>
    </x:row>
    <x:row r="8" ht="32.400001525878906" hidden="0" customHeight="1">
      <x:c r="A8" s="15" t="str">
        <x:v>Configured independent campus</x:v>
      </x:c>
      <x:c r="B8" s="15" t="str">
        <x:v>Independent membrane campus</x:v>
      </x:c>
      <x:c r="C8" s="30" t="n">
        <x:f>'Shelter Pathways'!G7</x:f>
        <x:v>3545.671475</x:v>
      </x:c>
      <x:c r="D8" s="30" t="str">
        <x:v>Hybrid public feeding</x:v>
      </x:c>
      <x:c r="E8" s="30" t="n">
        <x:f>'Food Pathways'!K6</x:f>
        <x:v>885.2</x:v>
      </x:c>
      <x:c r="F8" s="30" t="n">
        <x:v>780</x:v>
      </x:c>
      <x:c r="G8" s="30" t="str">
        <x:v>Liquid prime power</x:v>
      </x:c>
      <x:c r="H8" s="30" t="n">
        <x:f>'Energy Pathways'!H5</x:f>
        <x:v>1840.53</x:v>
      </x:c>
      <x:c r="I8" s="30" t="str">
        <x:v>Advanced assisted</x:v>
      </x:c>
      <x:c r="J8" s="30" t="n">
        <x:f>'Workforce Cases'!B6</x:f>
        <x:v>4513</x:v>
      </x:c>
      <x:c r="K8" s="30" t="n">
        <x:f>'Workforce Cases'!D6</x:f>
        <x:v>453.9</x:v>
      </x:c>
      <x:c r="L8" s="30" t="n">
        <x:f>'Controls'!B5+(C8-'Controls'!B6)+(E8-'Controls'!B7)+(F8-'Controls'!B8)+(H8-('Controls'!B9+'Controls'!B10))+K8</x:f>
        <x:v>15152.861475000002</x:v>
      </x:c>
      <x:c r="M8" s="30" t="n">
        <x:f>L8-'Controls'!B5</x:f>
        <x:v>5282.301475000002</x:v>
      </x:c>
      <x:c r="N8" s="15" t="str">
        <x:v>INDEPENDENT</x:v>
      </x:c>
      <x:c r="O8" s="15" t="str">
        <x:v>CONFIGURED</x:v>
      </x:c>
    </x:row>
    <x:row r="9" ht="32.400001525878906" hidden="0" customHeight="1">
      <x:c r="A9" s="16" t="str">
        <x:v>Durable independent campus</x:v>
      </x:c>
      <x:c r="B9" s="16" t="str">
        <x:v>Independent panel campus</x:v>
      </x:c>
      <x:c r="C9" s="29" t="n">
        <x:f>'Shelter Pathways'!G8</x:f>
        <x:v>11885.200200000001</x:v>
      </x:c>
      <x:c r="D9" s="29" t="str">
        <x:v>Hybrid public feeding</x:v>
      </x:c>
      <x:c r="E9" s="29" t="n">
        <x:f>'Food Pathways'!K6</x:f>
        <x:v>885.2</x:v>
      </x:c>
      <x:c r="F9" s="29" t="n">
        <x:v>780</x:v>
      </x:c>
      <x:c r="G9" s="29" t="str">
        <x:v>Liquid prime power</x:v>
      </x:c>
      <x:c r="H9" s="29" t="n">
        <x:f>'Energy Pathways'!H5</x:f>
        <x:v>1840.53</x:v>
      </x:c>
      <x:c r="I9" s="29" t="str">
        <x:v>Advanced assisted</x:v>
      </x:c>
      <x:c r="J9" s="29" t="n">
        <x:f>'Workforce Cases'!B6</x:f>
        <x:v>4513</x:v>
      </x:c>
      <x:c r="K9" s="29" t="n">
        <x:f>'Workforce Cases'!D6</x:f>
        <x:v>453.9</x:v>
      </x:c>
      <x:c r="L9" s="29" t="n">
        <x:f>'Controls'!B5+(C9-'Controls'!B6)+(E9-'Controls'!B7)+(F9-'Controls'!B8)+(H9-('Controls'!B9+'Controls'!B10))+K9</x:f>
        <x:v>23492.3902</x:v>
      </x:c>
      <x:c r="M9" s="29" t="n">
        <x:f>L9-'Controls'!B5</x:f>
        <x:v>13621.830200000002</x:v>
      </x:c>
      <x:c r="N9" s="16" t="str">
        <x:v>INDEPENDENT</x:v>
      </x:c>
      <x:c r="O9" s="16" t="str">
        <x:v>CONFIGURED</x:v>
      </x:c>
    </x:row>
    <x:row r="10" ht="32.400001525878906" hidden="0" customHeight="1">
      <x:c r="A10" s="15" t="str">
        <x:v>Transformational independent</x:v>
      </x:c>
      <x:c r="B10" s="15" t="str">
        <x:v>Technology target campus</x:v>
      </x:c>
      <x:c r="C10" s="30" t="n">
        <x:f>'Shelter Pathways'!G9</x:f>
        <x:v>1302.5143</x:v>
      </x:c>
      <x:c r="D10" s="30" t="str">
        <x:v>Novel dense food</x:v>
      </x:c>
      <x:c r="E10" s="30" t="n">
        <x:f>'Food Pathways'!K9</x:f>
        <x:v>427.6</x:v>
      </x:c>
      <x:c r="F10" s="30" t="n">
        <x:v>600</x:v>
      </x:c>
      <x:c r="G10" s="30" t="str">
        <x:v>Liquid prime power</x:v>
      </x:c>
      <x:c r="H10" s="30" t="n">
        <x:f>'Energy Pathways'!H5</x:f>
        <x:v>1840.53</x:v>
      </x:c>
      <x:c r="I10" s="30" t="str">
        <x:v>Transformational</x:v>
      </x:c>
      <x:c r="J10" s="30" t="n">
        <x:f>'Workforce Cases'!B7</x:f>
        <x:v>2694</x:v>
      </x:c>
      <x:c r="K10" s="30" t="n">
        <x:f>'Workforce Cases'!D7</x:f>
        <x:v>0</x:v>
      </x:c>
      <x:c r="L10" s="30" t="n">
        <x:f>'Controls'!B5+(C10-'Controls'!B6)+(E10-'Controls'!B7)+(F10-'Controls'!B8)+(H10-('Controls'!B9+'Controls'!B10))+K10</x:f>
        <x:v>11818.204300000001</x:v>
      </x:c>
      <x:c r="M10" s="30" t="n">
        <x:f>L10-'Controls'!B5</x:f>
        <x:v>1947.6443000000017</x:v>
      </x:c>
      <x:c r="N10" s="15" t="str">
        <x:v>INDEPENDENT</x:v>
      </x:c>
      <x:c r="O10" s="15" t="str">
        <x:v>TECH TARGET</x:v>
      </x:c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</x:row>
    <x:row r="12" ht="33" customHeight="1">
      <x:c r="A12" s="44" t="str">
        <x:v>The configured independent membrane campus is the decisive test. It replaces the 25 kg/person shelter allowance with geometry-derived mass and replaces residual labor with a shift-complete roster. It no longer fits the Pass 28 mobility envelope.</x:v>
      </x:c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</x:sheetData>
  <x:mergeCells>
    <x:mergeCell ref="A1:O1"/>
    <x:mergeCell ref="A2:O2"/>
    <x:mergeCell ref="A12:O1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5" hidden="0" customWidth="1"/>
  </x:cols>
  <x:sheetData>
    <x:row r="1" ht="34" customHeight="1">
      <x:c r="A1" s="40" t="str">
        <x:v>Hour-72 Pod-Mass Ceiling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1" customHeight="1">
      <x:c r="A2" s="41" t="str">
        <x:v>The force can lose both upland cells only if surviving air or offshore cells each deliver a third pod by hour 72.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 ht="31" customHeight="1">
      <x:c r="A4" s="28" t="str">
        <x:v>Path</x:v>
      </x:c>
      <x:c r="B4" s="28" t="str">
        <x:v>Activation h</x:v>
      </x:c>
      <x:c r="C4" s="28" t="str">
        <x:v>Net t/h/cell</x:v>
      </x:c>
      <x:c r="D4" s="28" t="str">
        <x:v>Available h</x:v>
      </x:c>
      <x:c r="E4" s="28" t="str">
        <x:v>Third-pod mass ceiling t</x:v>
      </x:c>
      <x:c r="F4" s="28" t="str">
        <x:v>Baseline margin t</x:v>
      </x:c>
      <x:c r="G4" s="28" t="str">
        <x:v>Pass 28 essential margin t</x:v>
      </x:c>
      <x:c r="H4" s="28" t="str">
        <x:v>Configured independent margin t</x:v>
      </x:c>
      <x:c r="I4" s="28" t="str">
        <x:v>Tech-target margin t</x:v>
      </x:c>
      <x:c r="J4" s="28" t="str">
        <x:v>Interpretation</x:v>
      </x:c>
    </x:row>
    <x:row r="5" ht="32.400001525878906" hidden="0" customHeight="1">
      <x:c r="A5" s="16" t="str">
        <x:v>Air</x:v>
      </x:c>
      <x:c r="B5" s="16" t="n">
        <x:v>18</x:v>
      </x:c>
      <x:c r="C5" s="16" t="n">
        <x:v>669.375</x:v>
      </x:c>
      <x:c r="D5" s="29" t="n">
        <x:f>72-B5</x:f>
        <x:v>54</x:v>
      </x:c>
      <x:c r="E5" s="29" t="n">
        <x:f>C5*D5/3</x:f>
        <x:v>12048.75</x:v>
      </x:c>
      <x:c r="F5" s="29" t="n">
        <x:f>E5-'Integrated Cases'!L5</x:f>
        <x:v>2178.1900000000005</x:v>
      </x:c>
      <x:c r="G5" s="29" t="n">
        <x:f>E5-'Integrated Cases'!L6</x:f>
        <x:v>310.65999999999985</x:v>
      </x:c>
      <x:c r="H5" s="29" t="n">
        <x:f>E5-'Integrated Cases'!L8</x:f>
        <x:v>-3104.1114750000015</x:v>
      </x:c>
      <x:c r="I5" s="29" t="n">
        <x:f>E5-'Integrated Cases'!L10</x:f>
        <x:v>230.54569999999876</x:v>
      </x:c>
      <x:c r="J5" s="16" t="str">
        <x:v>Two air cells can supply six pods</x:v>
      </x:c>
    </x:row>
    <x:row r="6" ht="43.20000076293945" hidden="0" customHeight="1">
      <x:c r="A6" s="15" t="str">
        <x:v>Offshore</x:v>
      </x:c>
      <x:c r="B6" s="15" t="n">
        <x:v>30</x:v>
      </x:c>
      <x:c r="C6" s="15" t="n">
        <x:v>841.5</x:v>
      </x:c>
      <x:c r="D6" s="30" t="n">
        <x:f>72-B6</x:f>
        <x:v>42</x:v>
      </x:c>
      <x:c r="E6" s="30" t="n">
        <x:f>C6*D6/3</x:f>
        <x:v>11781</x:v>
      </x:c>
      <x:c r="F6" s="30" t="n">
        <x:f>E6-'Integrated Cases'!L5</x:f>
        <x:v>1910.4400000000005</x:v>
      </x:c>
      <x:c r="G6" s="30" t="n">
        <x:f>E6-'Integrated Cases'!L6</x:f>
        <x:v>42.909999999999854</x:v>
      </x:c>
      <x:c r="H6" s="30" t="n">
        <x:f>E6-'Integrated Cases'!L8</x:f>
        <x:v>-3371.8614750000015</x:v>
      </x:c>
      <x:c r="I6" s="30" t="n">
        <x:f>E6-'Integrated Cases'!L10</x:f>
        <x:v>-37.20430000000124</x:v>
      </x:c>
      <x:c r="J6" s="15" t="str">
        <x:v>Two offshore cells can supply six pods</x:v>
      </x:c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 ht="24" customHeight="1">
      <x:c r="A8" s="43" t="str">
        <x:v>Mass-budget inversion</x:v>
      </x:c>
      <x:c r="B8" s="43"/>
      <x:c r="C8" s="43"/>
      <x:c r="D8" s="43"/>
      <x:c r="E8" s="43"/>
      <x:c r="F8" s="43"/>
      <x:c r="G8" s="43"/>
      <x:c r="H8" s="43"/>
      <x:c r="I8" s="43"/>
      <x:c r="J8" s="43"/>
    </x:row>
    <x:row r="9" ht="31" customHeight="1">
      <x:c r="A9" s="28" t="str">
        <x:v>Configuration assumption</x:v>
      </x:c>
      <x:c r="B9" s="28" t="str">
        <x:v>Value t</x:v>
      </x:c>
      <x:c r="C9" s="28" t="str">
        <x:v>Remaining shelter mass t</x:v>
      </x:c>
      <x:c r="D9" s="28" t="str">
        <x:v>kg/person</x:v>
      </x:c>
      <x:c r="E9" s="28" t="str">
        <x:v>kg/m²</x:v>
      </x:c>
      <x:c r="F9" s="28" t="str">
        <x:v>Meaning</x:v>
      </x:c>
      <x:c r="G9" s="42"/>
      <x:c r="H9" s="42"/>
      <x:c r="I9" s="42"/>
      <x:c r="J9" s="42"/>
    </x:row>
    <x:row r="10" ht="75.5999984741211" hidden="0" customHeight="1">
      <x:c r="A10" s="16" t="str">
        <x:v>Air ceiling + hybrid food + configured sanitation + liquid energy + advanced labor</x:v>
      </x:c>
      <x:c r="B10" s="29" t="n">
        <x:f>E5</x:f>
        <x:v>12048.75</x:v>
      </x:c>
      <x:c r="C10" s="29" t="n">
        <x:f>B10-'Controls'!B5+'Controls'!B6-('Food Pathways'!K6-'Controls'!B7)-(780-'Controls'!B8)-('Energy Pathways'!H5-('Controls'!B9+'Controls'!B10))-'Workforce Cases'!D6</x:f>
        <x:v>441.56000000000074</x:v>
      </x:c>
      <x:c r="D10" s="29" t="n">
        <x:f>C10*1000/'Controls'!B11</x:f>
        <x:v>8.831200000000015</x:v>
      </x:c>
      <x:c r="E10" s="29" t="n">
        <x:f>C10*1000/'Shelter Geometry'!C10</x:f>
        <x:v>1.173559093827189</x:v>
      </x:c>
      <x:c r="F10" s="16" t="str">
        <x:v>Maximum complete shelter mass while preserving third air pod by hour 72</x:v>
      </x:c>
      <x:c r="G10" s="42"/>
      <x:c r="H10" s="42"/>
      <x:c r="I10" s="42"/>
      <x:c r="J10" s="42"/>
    </x:row>
    <x:row r="11" ht="86.4000015258789" hidden="0" customHeight="1">
      <x:c r="A11" s="15" t="str">
        <x:v>Air ceiling + novel food + target sanitation + liquid energy + transformational labor</x:v>
      </x:c>
      <x:c r="B11" s="30" t="n">
        <x:f>E5</x:f>
        <x:v>12048.75</x:v>
      </x:c>
      <x:c r="C11" s="30" t="n">
        <x:f>B11-'Controls'!B5+'Controls'!B6-('Food Pathways'!K9-'Controls'!B7)-(600-'Controls'!B8)-('Energy Pathways'!H5-('Controls'!B9+'Controls'!B10))-'Workforce Cases'!D7</x:f>
        <x:v>1533.0600000000006</x:v>
      </x:c>
      <x:c r="D11" s="30" t="n">
        <x:f>C11*1000/'Controls'!B11</x:f>
        <x:v>30.661200000000015</x:v>
      </x:c>
      <x:c r="E11" s="30" t="n">
        <x:f>C11*1000/'Shelter Geometry'!C10</x:f>
        <x:v>4.074500644040919</x:v>
      </x:c>
      <x:c r="F11" s="15" t="str">
        <x:v>Technology-target shelter budget</x:v>
      </x:c>
      <x:c r="G11" s="42"/>
      <x:c r="H11" s="42"/>
      <x:c r="I11" s="42"/>
      <x:c r="J11" s="42"/>
    </x:row>
    <x:row r="12" ht="97.19999694824219" hidden="0" customHeight="1">
      <x:c r="A12" s="16" t="str">
        <x:v>Offshore ceiling + novel food + target sanitation + liquid energy + transformational labor</x:v>
      </x:c>
      <x:c r="B12" s="29" t="n">
        <x:f>E6</x:f>
        <x:v>11781</x:v>
      </x:c>
      <x:c r="C12" s="29" t="n">
        <x:f>B12-'Controls'!B5+'Controls'!B6-('Food Pathways'!K9-'Controls'!B7)-(600-'Controls'!B8)-('Energy Pathways'!H5-('Controls'!B9+'Controls'!B10))-'Workforce Cases'!D7</x:f>
        <x:v>1265.3100000000006</x:v>
      </x:c>
      <x:c r="D12" s="29" t="n">
        <x:f>C12*1000/'Controls'!B11</x:f>
        <x:v>25.306200000000015</x:v>
      </x:c>
      <x:c r="E12" s="29" t="n">
        <x:f>C12*1000/'Shelter Geometry'!C10</x:f>
        <x:v>3.3628862601016367</x:v>
      </x:c>
      <x:c r="F12" s="16" t="str">
        <x:v>Stricter third-offshore-pod budget</x:v>
      </x:c>
      <x:c r="G12" s="42"/>
      <x:c r="H12" s="42"/>
      <x:c r="I12" s="42"/>
      <x:c r="J12" s="42"/>
    </x:row>
  </x:sheetData>
  <x:mergeCells>
    <x:mergeCell ref="A1:J1"/>
    <x:mergeCell ref="A2:J2"/>
    <x:mergeCell ref="A8:J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4" customHeight="1">
      <x:c r="A1" s="40" t="str">
        <x:v>Discrete Two-Cell-Loss Delivery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</x:row>
    <x:row r="2" ht="31" customHeight="1">
      <x:c r="A2" s="41" t="str">
        <x:v>Whole-pod credit only. Times are exact continuous-hour completion values; dashboard rounds the closing claim upward.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</x:row>
    <x:row r="4" ht="31" customHeight="1">
      <x:c r="A4" s="28" t="str">
        <x:v>Case</x:v>
      </x:c>
      <x:c r="B4" s="28" t="str">
        <x:v>Lost 1</x:v>
      </x:c>
      <x:c r="C4" s="28" t="str">
        <x:v>Lost 2</x:v>
      </x:c>
      <x:c r="D4" s="28" t="str">
        <x:v>U1 pods by72</x:v>
      </x:c>
      <x:c r="E4" s="28" t="str">
        <x:v>U2 pods by72</x:v>
      </x:c>
      <x:c r="F4" s="28" t="str">
        <x:v>A1 pods by72</x:v>
      </x:c>
      <x:c r="G4" s="28" t="str">
        <x:v>A2 pods by72</x:v>
      </x:c>
      <x:c r="H4" s="28" t="str">
        <x:v>O1 pods by72</x:v>
      </x:c>
      <x:c r="I4" s="28" t="str">
        <x:v>O2 pods by72</x:v>
      </x:c>
      <x:c r="J4" s="28" t="str">
        <x:v>Total by72</x:v>
      </x:c>
      <x:c r="K4" s="28" t="str">
        <x:v>10th pod h</x:v>
      </x:c>
      <x:c r="L4" s="28" t="str">
        <x:v>Pass?</x:v>
      </x:c>
      <x:c r="M4" s="28" t="str">
        <x:v>Case mass t</x:v>
      </x:c>
      <x:c r="N4" s="28" t="str">
        <x:v>U completion 1</x:v>
      </x:c>
      <x:c r="O4" s="28" t="str">
        <x:v>U completion 2</x:v>
      </x:c>
      <x:c r="P4" s="28" t="str">
        <x:v>A completion 3</x:v>
      </x:c>
      <x:c r="Q4" s="28" t="str">
        <x:v>O completion 3</x:v>
      </x:c>
    </x:row>
    <x:row r="5" ht="15" hidden="0" customHeight="1">
      <x:c r="A5" s="16" t="str">
        <x:v>U1+U2</x:v>
      </x:c>
      <x:c r="B5" s="16" t="str">
        <x:v>U1</x:v>
      </x:c>
      <x:c r="C5" s="16" t="str">
        <x:v>U2</x:v>
      </x:c>
      <x:c r="D5" s="16" t="n">
        <x:f>IF(OR($B5="U1",$C5="U1"),0,MIN(3,MAX(0,INT((72-'Controls'!B30)*'Controls'!B27/$M5))))</x:f>
        <x:v>0</x:v>
      </x:c>
      <x:c r="E5" s="16" t="n">
        <x:f>IF(OR($B5="U2",$C5="U2"),0,MIN(3,MAX(0,INT((72-'Controls'!B30)*'Controls'!B27/$M5))))</x:f>
        <x:v>0</x:v>
      </x:c>
      <x:c r="F5" s="16" t="n">
        <x:f>IF(OR($B5="A1",$C5="A1"),0,MIN(3,MAX(0,INT((72-'Controls'!B28)*'Controls'!B25/$M5))))</x:f>
        <x:v>2</x:v>
      </x:c>
      <x:c r="G5" s="16" t="n">
        <x:f>IF(OR($B5="A2",$C5="A2"),0,MIN(3,MAX(0,INT((72-'Controls'!B28)*'Controls'!B25/$M5))))</x:f>
        <x:v>2</x:v>
      </x:c>
      <x:c r="H5" s="16" t="n">
        <x:f>IF(OR($B5="O1",$C5="O1"),0,MIN(3,MAX(0,INT((72-'Controls'!B29)*'Controls'!B26/$M5))))</x:f>
        <x:v>2</x:v>
      </x:c>
      <x:c r="I5" s="16" t="n">
        <x:f>IF(OR($B5="O2",$C5="O2"),0,MIN(3,MAX(0,INT((72-'Controls'!B29)*'Controls'!B26/$M5))))</x:f>
        <x:v>2</x:v>
      </x:c>
      <x:c r="J5" s="16" t="n">
        <x:f>SUM(D5:I5)</x:f>
        <x:v>8</x:v>
      </x:c>
      <x:c r="K5" s="33" t="n">
        <x:v>84.02089652406417</x:v>
      </x:c>
      <x:c r="L5" s="33" t="str">
        <x:f>IF(J5&gt;='Controls'!B31,"PASS","FAIL")</x:f>
        <x:v>FAIL</x:v>
      </x:c>
      <x:c r="M5" s="33" t="n">
        <x:f>'Integrated Cases'!L8</x:f>
        <x:v>15152.861475000002</x:v>
      </x:c>
      <x:c r="N5" s="33" t="n">
        <x:f>'Controls'!B30+$M5/'Controls'!B27</x:f>
        <x:v>19.814574564102564</x:v>
      </x:c>
      <x:c r="O5" s="33" t="n">
        <x:f>'Controls'!B30+2*$M5/'Controls'!B27</x:f>
        <x:v>33.62914912820513</x:v>
      </x:c>
      <x:c r="P5" s="33" t="n">
        <x:f>'Controls'!B28+3*$M5/'Controls'!B25</x:f>
        <x:v>85.91198420168068</x:v>
      </x:c>
      <x:c r="Q5" s="33" t="n">
        <x:f>'Controls'!B29+3*$M5/'Controls'!B26</x:f>
        <x:v>84.02089652406417</x:v>
      </x:c>
    </x:row>
    <x:row r="6" ht="15" hidden="0" customHeight="1">
      <x:c r="A6" s="15" t="str">
        <x:v>U1+A1</x:v>
      </x:c>
      <x:c r="B6" s="15" t="str">
        <x:v>U1</x:v>
      </x:c>
      <x:c r="C6" s="15" t="str">
        <x:v>A1</x:v>
      </x:c>
      <x:c r="D6" s="15" t="n">
        <x:f>IF(OR($B6="U1",$C6="U1"),0,MIN(3,MAX(0,INT((72-'Controls'!B30)*'Controls'!B27/$M6))))</x:f>
        <x:v>0</x:v>
      </x:c>
      <x:c r="E6" s="15" t="n">
        <x:f>IF(OR($B6="U2",$C6="U2"),0,MIN(3,MAX(0,INT((72-'Controls'!B30)*'Controls'!B27/$M6))))</x:f>
        <x:v>3</x:v>
      </x:c>
      <x:c r="F6" s="15" t="n">
        <x:f>IF(OR($B6="A1",$C6="A1"),0,MIN(3,MAX(0,INT((72-'Controls'!B28)*'Controls'!B25/$M6))))</x:f>
        <x:v>0</x:v>
      </x:c>
      <x:c r="G6" s="15" t="n">
        <x:f>IF(OR($B6="A2",$C6="A2"),0,MIN(3,MAX(0,INT((72-'Controls'!B28)*'Controls'!B25/$M6))))</x:f>
        <x:v>2</x:v>
      </x:c>
      <x:c r="H6" s="15" t="n">
        <x:f>IF(OR($B6="O1",$C6="O1"),0,MIN(3,MAX(0,INT((72-'Controls'!B29)*'Controls'!B26/$M6))))</x:f>
        <x:v>2</x:v>
      </x:c>
      <x:c r="I6" s="15" t="n">
        <x:f>IF(OR($B6="O2",$C6="O2"),0,MIN(3,MAX(0,INT((72-'Controls'!B29)*'Controls'!B26/$M6))))</x:f>
        <x:v>2</x:v>
      </x:c>
      <x:c r="J6" s="15" t="n">
        <x:f>SUM(D6:I6)</x:f>
        <x:v>9</x:v>
      </x:c>
      <x:c r="K6" s="34" t="n">
        <x:v>84.02089652406417</x:v>
      </x:c>
      <x:c r="L6" s="34" t="str">
        <x:f>IF(J6&gt;='Controls'!B31,"PASS","FAIL")</x:f>
        <x:v>FAIL</x:v>
      </x:c>
      <x:c r="M6" s="34" t="n">
        <x:f>'Integrated Cases'!L8</x:f>
        <x:v>15152.861475000002</x:v>
      </x:c>
      <x:c r="N6" s="34" t="n">
        <x:f>'Controls'!B30+$M6/'Controls'!B27</x:f>
        <x:v>19.814574564102564</x:v>
      </x:c>
      <x:c r="O6" s="34" t="n">
        <x:f>'Controls'!B30+2*$M6/'Controls'!B27</x:f>
        <x:v>33.62914912820513</x:v>
      </x:c>
      <x:c r="P6" s="34" t="n">
        <x:f>'Controls'!B28+3*$M6/'Controls'!B25</x:f>
        <x:v>85.91198420168068</x:v>
      </x:c>
      <x:c r="Q6" s="34" t="n">
        <x:f>'Controls'!B29+3*$M6/'Controls'!B26</x:f>
        <x:v>84.02089652406417</x:v>
      </x:c>
    </x:row>
    <x:row r="7" ht="15" hidden="0" customHeight="1">
      <x:c r="A7" s="16" t="str">
        <x:v>U1+A2</x:v>
      </x:c>
      <x:c r="B7" s="16" t="str">
        <x:v>U1</x:v>
      </x:c>
      <x:c r="C7" s="16" t="str">
        <x:v>A2</x:v>
      </x:c>
      <x:c r="D7" s="16" t="n">
        <x:f>IF(OR($B7="U1",$C7="U1"),0,MIN(3,MAX(0,INT((72-'Controls'!B30)*'Controls'!B27/$M7))))</x:f>
        <x:v>0</x:v>
      </x:c>
      <x:c r="E7" s="16" t="n">
        <x:f>IF(OR($B7="U2",$C7="U2"),0,MIN(3,MAX(0,INT((72-'Controls'!B30)*'Controls'!B27/$M7))))</x:f>
        <x:v>3</x:v>
      </x:c>
      <x:c r="F7" s="16" t="n">
        <x:f>IF(OR($B7="A1",$C7="A1"),0,MIN(3,MAX(0,INT((72-'Controls'!B28)*'Controls'!B25/$M7))))</x:f>
        <x:v>2</x:v>
      </x:c>
      <x:c r="G7" s="16" t="n">
        <x:f>IF(OR($B7="A2",$C7="A2"),0,MIN(3,MAX(0,INT((72-'Controls'!B28)*'Controls'!B25/$M7))))</x:f>
        <x:v>0</x:v>
      </x:c>
      <x:c r="H7" s="16" t="n">
        <x:f>IF(OR($B7="O1",$C7="O1"),0,MIN(3,MAX(0,INT((72-'Controls'!B29)*'Controls'!B26/$M7))))</x:f>
        <x:v>2</x:v>
      </x:c>
      <x:c r="I7" s="16" t="n">
        <x:f>IF(OR($B7="O2",$C7="O2"),0,MIN(3,MAX(0,INT((72-'Controls'!B29)*'Controls'!B26/$M7))))</x:f>
        <x:v>2</x:v>
      </x:c>
      <x:c r="J7" s="16" t="n">
        <x:f>SUM(D7:I7)</x:f>
        <x:v>9</x:v>
      </x:c>
      <x:c r="K7" s="33" t="n">
        <x:v>84.02089652406417</x:v>
      </x:c>
      <x:c r="L7" s="33" t="str">
        <x:f>IF(J7&gt;='Controls'!B31,"PASS","FAIL")</x:f>
        <x:v>FAIL</x:v>
      </x:c>
      <x:c r="M7" s="33" t="n">
        <x:f>'Integrated Cases'!L8</x:f>
        <x:v>15152.861475000002</x:v>
      </x:c>
      <x:c r="N7" s="33" t="n">
        <x:f>'Controls'!B30+$M7/'Controls'!B27</x:f>
        <x:v>19.814574564102564</x:v>
      </x:c>
      <x:c r="O7" s="33" t="n">
        <x:f>'Controls'!B30+2*$M7/'Controls'!B27</x:f>
        <x:v>33.62914912820513</x:v>
      </x:c>
      <x:c r="P7" s="33" t="n">
        <x:f>'Controls'!B28+3*$M7/'Controls'!B25</x:f>
        <x:v>85.91198420168068</x:v>
      </x:c>
      <x:c r="Q7" s="33" t="n">
        <x:f>'Controls'!B29+3*$M7/'Controls'!B26</x:f>
        <x:v>84.02089652406417</x:v>
      </x:c>
    </x:row>
    <x:row r="8" ht="15" hidden="0" customHeight="1">
      <x:c r="A8" s="15" t="str">
        <x:v>U1+O1</x:v>
      </x:c>
      <x:c r="B8" s="15" t="str">
        <x:v>U1</x:v>
      </x:c>
      <x:c r="C8" s="15" t="str">
        <x:v>O1</x:v>
      </x:c>
      <x:c r="D8" s="15" t="n">
        <x:f>IF(OR($B8="U1",$C8="U1"),0,MIN(3,MAX(0,INT((72-'Controls'!B30)*'Controls'!B27/$M8))))</x:f>
        <x:v>0</x:v>
      </x:c>
      <x:c r="E8" s="15" t="n">
        <x:f>IF(OR($B8="U2",$C8="U2"),0,MIN(3,MAX(0,INT((72-'Controls'!B30)*'Controls'!B27/$M8))))</x:f>
        <x:v>3</x:v>
      </x:c>
      <x:c r="F8" s="15" t="n">
        <x:f>IF(OR($B8="A1",$C8="A1"),0,MIN(3,MAX(0,INT((72-'Controls'!B28)*'Controls'!B25/$M8))))</x:f>
        <x:v>2</x:v>
      </x:c>
      <x:c r="G8" s="15" t="n">
        <x:f>IF(OR($B8="A2",$C8="A2"),0,MIN(3,MAX(0,INT((72-'Controls'!B28)*'Controls'!B25/$M8))))</x:f>
        <x:v>2</x:v>
      </x:c>
      <x:c r="H8" s="15" t="n">
        <x:f>IF(OR($B8="O1",$C8="O1"),0,MIN(3,MAX(0,INT((72-'Controls'!B29)*'Controls'!B26/$M8))))</x:f>
        <x:v>0</x:v>
      </x:c>
      <x:c r="I8" s="15" t="n">
        <x:f>IF(OR($B8="O2",$C8="O2"),0,MIN(3,MAX(0,INT((72-'Controls'!B29)*'Controls'!B26/$M8))))</x:f>
        <x:v>2</x:v>
      </x:c>
      <x:c r="J8" s="15" t="n">
        <x:f>SUM(D8:I8)</x:f>
        <x:v>9</x:v>
      </x:c>
      <x:c r="K8" s="34" t="n">
        <x:v>84.02089652406417</x:v>
      </x:c>
      <x:c r="L8" s="34" t="str">
        <x:f>IF(J8&gt;='Controls'!B31,"PASS","FAIL")</x:f>
        <x:v>FAIL</x:v>
      </x:c>
      <x:c r="M8" s="34" t="n">
        <x:f>'Integrated Cases'!L8</x:f>
        <x:v>15152.861475000002</x:v>
      </x:c>
      <x:c r="N8" s="34" t="n">
        <x:f>'Controls'!B30+$M8/'Controls'!B27</x:f>
        <x:v>19.814574564102564</x:v>
      </x:c>
      <x:c r="O8" s="34" t="n">
        <x:f>'Controls'!B30+2*$M8/'Controls'!B27</x:f>
        <x:v>33.62914912820513</x:v>
      </x:c>
      <x:c r="P8" s="34" t="n">
        <x:f>'Controls'!B28+3*$M8/'Controls'!B25</x:f>
        <x:v>85.91198420168068</x:v>
      </x:c>
      <x:c r="Q8" s="34" t="n">
        <x:f>'Controls'!B29+3*$M8/'Controls'!B26</x:f>
        <x:v>84.02089652406417</x:v>
      </x:c>
    </x:row>
    <x:row r="9" ht="15" hidden="0" customHeight="1">
      <x:c r="A9" s="16" t="str">
        <x:v>U1+O2</x:v>
      </x:c>
      <x:c r="B9" s="16" t="str">
        <x:v>U1</x:v>
      </x:c>
      <x:c r="C9" s="16" t="str">
        <x:v>O2</x:v>
      </x:c>
      <x:c r="D9" s="16" t="n">
        <x:f>IF(OR($B9="U1",$C9="U1"),0,MIN(3,MAX(0,INT((72-'Controls'!B30)*'Controls'!B27/$M9))))</x:f>
        <x:v>0</x:v>
      </x:c>
      <x:c r="E9" s="16" t="n">
        <x:f>IF(OR($B9="U2",$C9="U2"),0,MIN(3,MAX(0,INT((72-'Controls'!B30)*'Controls'!B27/$M9))))</x:f>
        <x:v>3</x:v>
      </x:c>
      <x:c r="F9" s="16" t="n">
        <x:f>IF(OR($B9="A1",$C9="A1"),0,MIN(3,MAX(0,INT((72-'Controls'!B28)*'Controls'!B25/$M9))))</x:f>
        <x:v>2</x:v>
      </x:c>
      <x:c r="G9" s="16" t="n">
        <x:f>IF(OR($B9="A2",$C9="A2"),0,MIN(3,MAX(0,INT((72-'Controls'!B28)*'Controls'!B25/$M9))))</x:f>
        <x:v>2</x:v>
      </x:c>
      <x:c r="H9" s="16" t="n">
        <x:f>IF(OR($B9="O1",$C9="O1"),0,MIN(3,MAX(0,INT((72-'Controls'!B29)*'Controls'!B26/$M9))))</x:f>
        <x:v>2</x:v>
      </x:c>
      <x:c r="I9" s="16" t="n">
        <x:f>IF(OR($B9="O2",$C9="O2"),0,MIN(3,MAX(0,INT((72-'Controls'!B29)*'Controls'!B26/$M9))))</x:f>
        <x:v>0</x:v>
      </x:c>
      <x:c r="J9" s="16" t="n">
        <x:f>SUM(D9:I9)</x:f>
        <x:v>9</x:v>
      </x:c>
      <x:c r="K9" s="33" t="n">
        <x:v>84.02089652406417</x:v>
      </x:c>
      <x:c r="L9" s="33" t="str">
        <x:f>IF(J9&gt;='Controls'!B31,"PASS","FAIL")</x:f>
        <x:v>FAIL</x:v>
      </x:c>
      <x:c r="M9" s="33" t="n">
        <x:f>'Integrated Cases'!L8</x:f>
        <x:v>15152.861475000002</x:v>
      </x:c>
      <x:c r="N9" s="33" t="n">
        <x:f>'Controls'!B30+$M9/'Controls'!B27</x:f>
        <x:v>19.814574564102564</x:v>
      </x:c>
      <x:c r="O9" s="33" t="n">
        <x:f>'Controls'!B30+2*$M9/'Controls'!B27</x:f>
        <x:v>33.62914912820513</x:v>
      </x:c>
      <x:c r="P9" s="33" t="n">
        <x:f>'Controls'!B28+3*$M9/'Controls'!B25</x:f>
        <x:v>85.91198420168068</x:v>
      </x:c>
      <x:c r="Q9" s="33" t="n">
        <x:f>'Controls'!B29+3*$M9/'Controls'!B26</x:f>
        <x:v>84.02089652406417</x:v>
      </x:c>
    </x:row>
    <x:row r="10" ht="15" hidden="0" customHeight="1">
      <x:c r="A10" s="15" t="str">
        <x:v>U2+A1</x:v>
      </x:c>
      <x:c r="B10" s="15" t="str">
        <x:v>U2</x:v>
      </x:c>
      <x:c r="C10" s="15" t="str">
        <x:v>A1</x:v>
      </x:c>
      <x:c r="D10" s="15" t="n">
        <x:f>IF(OR($B10="U1",$C10="U1"),0,MIN(3,MAX(0,INT((72-'Controls'!B30)*'Controls'!B27/$M10))))</x:f>
        <x:v>3</x:v>
      </x:c>
      <x:c r="E10" s="15" t="n">
        <x:f>IF(OR($B10="U2",$C10="U2"),0,MIN(3,MAX(0,INT((72-'Controls'!B30)*'Controls'!B27/$M10))))</x:f>
        <x:v>0</x:v>
      </x:c>
      <x:c r="F10" s="15" t="n">
        <x:f>IF(OR($B10="A1",$C10="A1"),0,MIN(3,MAX(0,INT((72-'Controls'!B28)*'Controls'!B25/$M10))))</x:f>
        <x:v>0</x:v>
      </x:c>
      <x:c r="G10" s="15" t="n">
        <x:f>IF(OR($B10="A2",$C10="A2"),0,MIN(3,MAX(0,INT((72-'Controls'!B28)*'Controls'!B25/$M10))))</x:f>
        <x:v>2</x:v>
      </x:c>
      <x:c r="H10" s="15" t="n">
        <x:f>IF(OR($B10="O1",$C10="O1"),0,MIN(3,MAX(0,INT((72-'Controls'!B29)*'Controls'!B26/$M10))))</x:f>
        <x:v>2</x:v>
      </x:c>
      <x:c r="I10" s="15" t="n">
        <x:f>IF(OR($B10="O2",$C10="O2"),0,MIN(3,MAX(0,INT((72-'Controls'!B29)*'Controls'!B26/$M10))))</x:f>
        <x:v>2</x:v>
      </x:c>
      <x:c r="J10" s="15" t="n">
        <x:f>SUM(D10:I10)</x:f>
        <x:v>9</x:v>
      </x:c>
      <x:c r="K10" s="34" t="n">
        <x:v>84.02089652406417</x:v>
      </x:c>
      <x:c r="L10" s="34" t="str">
        <x:f>IF(J10&gt;='Controls'!B31,"PASS","FAIL")</x:f>
        <x:v>FAIL</x:v>
      </x:c>
      <x:c r="M10" s="34" t="n">
        <x:f>'Integrated Cases'!L8</x:f>
        <x:v>15152.861475000002</x:v>
      </x:c>
      <x:c r="N10" s="34" t="n">
        <x:f>'Controls'!B30+$M10/'Controls'!B27</x:f>
        <x:v>19.814574564102564</x:v>
      </x:c>
      <x:c r="O10" s="34" t="n">
        <x:f>'Controls'!B30+2*$M10/'Controls'!B27</x:f>
        <x:v>33.62914912820513</x:v>
      </x:c>
      <x:c r="P10" s="34" t="n">
        <x:f>'Controls'!B28+3*$M10/'Controls'!B25</x:f>
        <x:v>85.91198420168068</x:v>
      </x:c>
      <x:c r="Q10" s="34" t="n">
        <x:f>'Controls'!B29+3*$M10/'Controls'!B26</x:f>
        <x:v>84.02089652406417</x:v>
      </x:c>
    </x:row>
    <x:row r="11" ht="15" hidden="0" customHeight="1">
      <x:c r="A11" s="16" t="str">
        <x:v>U2+A2</x:v>
      </x:c>
      <x:c r="B11" s="16" t="str">
        <x:v>U2</x:v>
      </x:c>
      <x:c r="C11" s="16" t="str">
        <x:v>A2</x:v>
      </x:c>
      <x:c r="D11" s="16" t="n">
        <x:f>IF(OR($B11="U1",$C11="U1"),0,MIN(3,MAX(0,INT((72-'Controls'!B30)*'Controls'!B27/$M11))))</x:f>
        <x:v>3</x:v>
      </x:c>
      <x:c r="E11" s="16" t="n">
        <x:f>IF(OR($B11="U2",$C11="U2"),0,MIN(3,MAX(0,INT((72-'Controls'!B30)*'Controls'!B27/$M11))))</x:f>
        <x:v>0</x:v>
      </x:c>
      <x:c r="F11" s="16" t="n">
        <x:f>IF(OR($B11="A1",$C11="A1"),0,MIN(3,MAX(0,INT((72-'Controls'!B28)*'Controls'!B25/$M11))))</x:f>
        <x:v>2</x:v>
      </x:c>
      <x:c r="G11" s="16" t="n">
        <x:f>IF(OR($B11="A2",$C11="A2"),0,MIN(3,MAX(0,INT((72-'Controls'!B28)*'Controls'!B25/$M11))))</x:f>
        <x:v>0</x:v>
      </x:c>
      <x:c r="H11" s="16" t="n">
        <x:f>IF(OR($B11="O1",$C11="O1"),0,MIN(3,MAX(0,INT((72-'Controls'!B29)*'Controls'!B26/$M11))))</x:f>
        <x:v>2</x:v>
      </x:c>
      <x:c r="I11" s="16" t="n">
        <x:f>IF(OR($B11="O2",$C11="O2"),0,MIN(3,MAX(0,INT((72-'Controls'!B29)*'Controls'!B26/$M11))))</x:f>
        <x:v>2</x:v>
      </x:c>
      <x:c r="J11" s="16" t="n">
        <x:f>SUM(D11:I11)</x:f>
        <x:v>9</x:v>
      </x:c>
      <x:c r="K11" s="33" t="n">
        <x:v>84.02089652406417</x:v>
      </x:c>
      <x:c r="L11" s="33" t="str">
        <x:f>IF(J11&gt;='Controls'!B31,"PASS","FAIL")</x:f>
        <x:v>FAIL</x:v>
      </x:c>
      <x:c r="M11" s="33" t="n">
        <x:f>'Integrated Cases'!L8</x:f>
        <x:v>15152.861475000002</x:v>
      </x:c>
      <x:c r="N11" s="33" t="n">
        <x:f>'Controls'!B30+$M11/'Controls'!B27</x:f>
        <x:v>19.814574564102564</x:v>
      </x:c>
      <x:c r="O11" s="33" t="n">
        <x:f>'Controls'!B30+2*$M11/'Controls'!B27</x:f>
        <x:v>33.62914912820513</x:v>
      </x:c>
      <x:c r="P11" s="33" t="n">
        <x:f>'Controls'!B28+3*$M11/'Controls'!B25</x:f>
        <x:v>85.91198420168068</x:v>
      </x:c>
      <x:c r="Q11" s="33" t="n">
        <x:f>'Controls'!B29+3*$M11/'Controls'!B26</x:f>
        <x:v>84.02089652406417</x:v>
      </x:c>
    </x:row>
    <x:row r="12" ht="15" hidden="0" customHeight="1">
      <x:c r="A12" s="15" t="str">
        <x:v>U2+O1</x:v>
      </x:c>
      <x:c r="B12" s="15" t="str">
        <x:v>U2</x:v>
      </x:c>
      <x:c r="C12" s="15" t="str">
        <x:v>O1</x:v>
      </x:c>
      <x:c r="D12" s="15" t="n">
        <x:f>IF(OR($B12="U1",$C12="U1"),0,MIN(3,MAX(0,INT((72-'Controls'!B30)*'Controls'!B27/$M12))))</x:f>
        <x:v>3</x:v>
      </x:c>
      <x:c r="E12" s="15" t="n">
        <x:f>IF(OR($B12="U2",$C12="U2"),0,MIN(3,MAX(0,INT((72-'Controls'!B30)*'Controls'!B27/$M12))))</x:f>
        <x:v>0</x:v>
      </x:c>
      <x:c r="F12" s="15" t="n">
        <x:f>IF(OR($B12="A1",$C12="A1"),0,MIN(3,MAX(0,INT((72-'Controls'!B28)*'Controls'!B25/$M12))))</x:f>
        <x:v>2</x:v>
      </x:c>
      <x:c r="G12" s="15" t="n">
        <x:f>IF(OR($B12="A2",$C12="A2"),0,MIN(3,MAX(0,INT((72-'Controls'!B28)*'Controls'!B25/$M12))))</x:f>
        <x:v>2</x:v>
      </x:c>
      <x:c r="H12" s="15" t="n">
        <x:f>IF(OR($B12="O1",$C12="O1"),0,MIN(3,MAX(0,INT((72-'Controls'!B29)*'Controls'!B26/$M12))))</x:f>
        <x:v>0</x:v>
      </x:c>
      <x:c r="I12" s="15" t="n">
        <x:f>IF(OR($B12="O2",$C12="O2"),0,MIN(3,MAX(0,INT((72-'Controls'!B29)*'Controls'!B26/$M12))))</x:f>
        <x:v>2</x:v>
      </x:c>
      <x:c r="J12" s="15" t="n">
        <x:f>SUM(D12:I12)</x:f>
        <x:v>9</x:v>
      </x:c>
      <x:c r="K12" s="34" t="n">
        <x:v>84.02089652406417</x:v>
      </x:c>
      <x:c r="L12" s="34" t="str">
        <x:f>IF(J12&gt;='Controls'!B31,"PASS","FAIL")</x:f>
        <x:v>FAIL</x:v>
      </x:c>
      <x:c r="M12" s="34" t="n">
        <x:f>'Integrated Cases'!L8</x:f>
        <x:v>15152.861475000002</x:v>
      </x:c>
      <x:c r="N12" s="34" t="n">
        <x:f>'Controls'!B30+$M12/'Controls'!B27</x:f>
        <x:v>19.814574564102564</x:v>
      </x:c>
      <x:c r="O12" s="34" t="n">
        <x:f>'Controls'!B30+2*$M12/'Controls'!B27</x:f>
        <x:v>33.62914912820513</x:v>
      </x:c>
      <x:c r="P12" s="34" t="n">
        <x:f>'Controls'!B28+3*$M12/'Controls'!B25</x:f>
        <x:v>85.91198420168068</x:v>
      </x:c>
      <x:c r="Q12" s="34" t="n">
        <x:f>'Controls'!B29+3*$M12/'Controls'!B26</x:f>
        <x:v>84.02089652406417</x:v>
      </x:c>
    </x:row>
    <x:row r="13" ht="15" hidden="0" customHeight="1">
      <x:c r="A13" s="16" t="str">
        <x:v>U2+O2</x:v>
      </x:c>
      <x:c r="B13" s="16" t="str">
        <x:v>U2</x:v>
      </x:c>
      <x:c r="C13" s="16" t="str">
        <x:v>O2</x:v>
      </x:c>
      <x:c r="D13" s="16" t="n">
        <x:f>IF(OR($B13="U1",$C13="U1"),0,MIN(3,MAX(0,INT((72-'Controls'!B30)*'Controls'!B27/$M13))))</x:f>
        <x:v>3</x:v>
      </x:c>
      <x:c r="E13" s="16" t="n">
        <x:f>IF(OR($B13="U2",$C13="U2"),0,MIN(3,MAX(0,INT((72-'Controls'!B30)*'Controls'!B27/$M13))))</x:f>
        <x:v>0</x:v>
      </x:c>
      <x:c r="F13" s="16" t="n">
        <x:f>IF(OR($B13="A1",$C13="A1"),0,MIN(3,MAX(0,INT((72-'Controls'!B28)*'Controls'!B25/$M13))))</x:f>
        <x:v>2</x:v>
      </x:c>
      <x:c r="G13" s="16" t="n">
        <x:f>IF(OR($B13="A2",$C13="A2"),0,MIN(3,MAX(0,INT((72-'Controls'!B28)*'Controls'!B25/$M13))))</x:f>
        <x:v>2</x:v>
      </x:c>
      <x:c r="H13" s="16" t="n">
        <x:f>IF(OR($B13="O1",$C13="O1"),0,MIN(3,MAX(0,INT((72-'Controls'!B29)*'Controls'!B26/$M13))))</x:f>
        <x:v>2</x:v>
      </x:c>
      <x:c r="I13" s="16" t="n">
        <x:f>IF(OR($B13="O2",$C13="O2"),0,MIN(3,MAX(0,INT((72-'Controls'!B29)*'Controls'!B26/$M13))))</x:f>
        <x:v>0</x:v>
      </x:c>
      <x:c r="J13" s="16" t="n">
        <x:f>SUM(D13:I13)</x:f>
        <x:v>9</x:v>
      </x:c>
      <x:c r="K13" s="33" t="n">
        <x:v>84.02089652406417</x:v>
      </x:c>
      <x:c r="L13" s="33" t="str">
        <x:f>IF(J13&gt;='Controls'!B31,"PASS","FAIL")</x:f>
        <x:v>FAIL</x:v>
      </x:c>
      <x:c r="M13" s="33" t="n">
        <x:f>'Integrated Cases'!L8</x:f>
        <x:v>15152.861475000002</x:v>
      </x:c>
      <x:c r="N13" s="33" t="n">
        <x:f>'Controls'!B30+$M13/'Controls'!B27</x:f>
        <x:v>19.814574564102564</x:v>
      </x:c>
      <x:c r="O13" s="33" t="n">
        <x:f>'Controls'!B30+2*$M13/'Controls'!B27</x:f>
        <x:v>33.62914912820513</x:v>
      </x:c>
      <x:c r="P13" s="33" t="n">
        <x:f>'Controls'!B28+3*$M13/'Controls'!B25</x:f>
        <x:v>85.91198420168068</x:v>
      </x:c>
      <x:c r="Q13" s="33" t="n">
        <x:f>'Controls'!B29+3*$M13/'Controls'!B26</x:f>
        <x:v>84.02089652406417</x:v>
      </x:c>
    </x:row>
    <x:row r="14" ht="15" hidden="0" customHeight="1">
      <x:c r="A14" s="15" t="str">
        <x:v>A1+A2</x:v>
      </x:c>
      <x:c r="B14" s="15" t="str">
        <x:v>A1</x:v>
      </x:c>
      <x:c r="C14" s="15" t="str">
        <x:v>A2</x:v>
      </x:c>
      <x:c r="D14" s="15" t="n">
        <x:f>IF(OR($B14="U1",$C14="U1"),0,MIN(3,MAX(0,INT((72-'Controls'!B30)*'Controls'!B27/$M14))))</x:f>
        <x:v>3</x:v>
      </x:c>
      <x:c r="E14" s="15" t="n">
        <x:f>IF(OR($B14="U2",$C14="U2"),0,MIN(3,MAX(0,INT((72-'Controls'!B30)*'Controls'!B27/$M14))))</x:f>
        <x:v>3</x:v>
      </x:c>
      <x:c r="F14" s="15" t="n">
        <x:f>IF(OR($B14="A1",$C14="A1"),0,MIN(3,MAX(0,INT((72-'Controls'!B28)*'Controls'!B25/$M14))))</x:f>
        <x:v>0</x:v>
      </x:c>
      <x:c r="G14" s="15" t="n">
        <x:f>IF(OR($B14="A2",$C14="A2"),0,MIN(3,MAX(0,INT((72-'Controls'!B28)*'Controls'!B25/$M14))))</x:f>
        <x:v>0</x:v>
      </x:c>
      <x:c r="H14" s="15" t="n">
        <x:f>IF(OR($B14="O1",$C14="O1"),0,MIN(3,MAX(0,INT((72-'Controls'!B29)*'Controls'!B26/$M14))))</x:f>
        <x:v>2</x:v>
      </x:c>
      <x:c r="I14" s="15" t="n">
        <x:f>IF(OR($B14="O2",$C14="O2"),0,MIN(3,MAX(0,INT((72-'Controls'!B29)*'Controls'!B26/$M14))))</x:f>
        <x:v>2</x:v>
      </x:c>
      <x:c r="J14" s="15" t="n">
        <x:f>SUM(D14:I14)</x:f>
        <x:v>10</x:v>
      </x:c>
      <x:c r="K14" s="34" t="n">
        <x:v>66.01393101604279</x:v>
      </x:c>
      <x:c r="L14" s="34" t="str">
        <x:f>IF(J14&gt;='Controls'!B31,"PASS","FAIL")</x:f>
        <x:v>PASS</x:v>
      </x:c>
      <x:c r="M14" s="34" t="n">
        <x:f>'Integrated Cases'!L8</x:f>
        <x:v>15152.861475000002</x:v>
      </x:c>
      <x:c r="N14" s="34" t="n">
        <x:f>'Controls'!B30+$M14/'Controls'!B27</x:f>
        <x:v>19.814574564102564</x:v>
      </x:c>
      <x:c r="O14" s="34" t="n">
        <x:f>'Controls'!B30+2*$M14/'Controls'!B27</x:f>
        <x:v>33.62914912820513</x:v>
      </x:c>
      <x:c r="P14" s="34" t="n">
        <x:f>'Controls'!B28+3*$M14/'Controls'!B25</x:f>
        <x:v>85.91198420168068</x:v>
      </x:c>
      <x:c r="Q14" s="34" t="n">
        <x:f>'Controls'!B29+3*$M14/'Controls'!B26</x:f>
        <x:v>84.02089652406417</x:v>
      </x:c>
    </x:row>
    <x:row r="15" ht="15" hidden="0" customHeight="1">
      <x:c r="A15" s="16" t="str">
        <x:v>A1+O1</x:v>
      </x:c>
      <x:c r="B15" s="16" t="str">
        <x:v>A1</x:v>
      </x:c>
      <x:c r="C15" s="16" t="str">
        <x:v>O1</x:v>
      </x:c>
      <x:c r="D15" s="16" t="n">
        <x:f>IF(OR($B15="U1",$C15="U1"),0,MIN(3,MAX(0,INT((72-'Controls'!B30)*'Controls'!B27/$M15))))</x:f>
        <x:v>3</x:v>
      </x:c>
      <x:c r="E15" s="16" t="n">
        <x:f>IF(OR($B15="U2",$C15="U2"),0,MIN(3,MAX(0,INT((72-'Controls'!B30)*'Controls'!B27/$M15))))</x:f>
        <x:v>3</x:v>
      </x:c>
      <x:c r="F15" s="16" t="n">
        <x:f>IF(OR($B15="A1",$C15="A1"),0,MIN(3,MAX(0,INT((72-'Controls'!B28)*'Controls'!B25/$M15))))</x:f>
        <x:v>0</x:v>
      </x:c>
      <x:c r="G15" s="16" t="n">
        <x:f>IF(OR($B15="A2",$C15="A2"),0,MIN(3,MAX(0,INT((72-'Controls'!B28)*'Controls'!B25/$M15))))</x:f>
        <x:v>2</x:v>
      </x:c>
      <x:c r="H15" s="16" t="n">
        <x:f>IF(OR($B15="O1",$C15="O1"),0,MIN(3,MAX(0,INT((72-'Controls'!B29)*'Controls'!B26/$M15))))</x:f>
        <x:v>0</x:v>
      </x:c>
      <x:c r="I15" s="16" t="n">
        <x:f>IF(OR($B15="O2",$C15="O2"),0,MIN(3,MAX(0,INT((72-'Controls'!B29)*'Controls'!B26/$M15))))</x:f>
        <x:v>2</x:v>
      </x:c>
      <x:c r="J15" s="16" t="n">
        <x:f>SUM(D15:I15)</x:f>
        <x:v>10</x:v>
      </x:c>
      <x:c r="K15" s="33" t="n">
        <x:v>66.01393101604279</x:v>
      </x:c>
      <x:c r="L15" s="33" t="str">
        <x:f>IF(J15&gt;='Controls'!B31,"PASS","FAIL")</x:f>
        <x:v>PASS</x:v>
      </x:c>
      <x:c r="M15" s="33" t="n">
        <x:f>'Integrated Cases'!L8</x:f>
        <x:v>15152.861475000002</x:v>
      </x:c>
      <x:c r="N15" s="33" t="n">
        <x:f>'Controls'!B30+$M15/'Controls'!B27</x:f>
        <x:v>19.814574564102564</x:v>
      </x:c>
      <x:c r="O15" s="33" t="n">
        <x:f>'Controls'!B30+2*$M15/'Controls'!B27</x:f>
        <x:v>33.62914912820513</x:v>
      </x:c>
      <x:c r="P15" s="33" t="n">
        <x:f>'Controls'!B28+3*$M15/'Controls'!B25</x:f>
        <x:v>85.91198420168068</x:v>
      </x:c>
      <x:c r="Q15" s="33" t="n">
        <x:f>'Controls'!B29+3*$M15/'Controls'!B26</x:f>
        <x:v>84.02089652406417</x:v>
      </x:c>
    </x:row>
    <x:row r="16" ht="15" hidden="0" customHeight="1">
      <x:c r="A16" s="15" t="str">
        <x:v>A1+O2</x:v>
      </x:c>
      <x:c r="B16" s="15" t="str">
        <x:v>A1</x:v>
      </x:c>
      <x:c r="C16" s="15" t="str">
        <x:v>O2</x:v>
      </x:c>
      <x:c r="D16" s="15" t="n">
        <x:f>IF(OR($B16="U1",$C16="U1"),0,MIN(3,MAX(0,INT((72-'Controls'!B30)*'Controls'!B27/$M16))))</x:f>
        <x:v>3</x:v>
      </x:c>
      <x:c r="E16" s="15" t="n">
        <x:f>IF(OR($B16="U2",$C16="U2"),0,MIN(3,MAX(0,INT((72-'Controls'!B30)*'Controls'!B27/$M16))))</x:f>
        <x:v>3</x:v>
      </x:c>
      <x:c r="F16" s="15" t="n">
        <x:f>IF(OR($B16="A1",$C16="A1"),0,MIN(3,MAX(0,INT((72-'Controls'!B28)*'Controls'!B25/$M16))))</x:f>
        <x:v>0</x:v>
      </x:c>
      <x:c r="G16" s="15" t="n">
        <x:f>IF(OR($B16="A2",$C16="A2"),0,MIN(3,MAX(0,INT((72-'Controls'!B28)*'Controls'!B25/$M16))))</x:f>
        <x:v>2</x:v>
      </x:c>
      <x:c r="H16" s="15" t="n">
        <x:f>IF(OR($B16="O1",$C16="O1"),0,MIN(3,MAX(0,INT((72-'Controls'!B29)*'Controls'!B26/$M16))))</x:f>
        <x:v>2</x:v>
      </x:c>
      <x:c r="I16" s="15" t="n">
        <x:f>IF(OR($B16="O2",$C16="O2"),0,MIN(3,MAX(0,INT((72-'Controls'!B29)*'Controls'!B26/$M16))))</x:f>
        <x:v>0</x:v>
      </x:c>
      <x:c r="J16" s="15" t="n">
        <x:f>SUM(D16:I16)</x:f>
        <x:v>10</x:v>
      </x:c>
      <x:c r="K16" s="34" t="n">
        <x:v>66.01393101604279</x:v>
      </x:c>
      <x:c r="L16" s="34" t="str">
        <x:f>IF(J16&gt;='Controls'!B31,"PASS","FAIL")</x:f>
        <x:v>PASS</x:v>
      </x:c>
      <x:c r="M16" s="34" t="n">
        <x:f>'Integrated Cases'!L8</x:f>
        <x:v>15152.861475000002</x:v>
      </x:c>
      <x:c r="N16" s="34" t="n">
        <x:f>'Controls'!B30+$M16/'Controls'!B27</x:f>
        <x:v>19.814574564102564</x:v>
      </x:c>
      <x:c r="O16" s="34" t="n">
        <x:f>'Controls'!B30+2*$M16/'Controls'!B27</x:f>
        <x:v>33.62914912820513</x:v>
      </x:c>
      <x:c r="P16" s="34" t="n">
        <x:f>'Controls'!B28+3*$M16/'Controls'!B25</x:f>
        <x:v>85.91198420168068</x:v>
      </x:c>
      <x:c r="Q16" s="34" t="n">
        <x:f>'Controls'!B29+3*$M16/'Controls'!B26</x:f>
        <x:v>84.02089652406417</x:v>
      </x:c>
    </x:row>
    <x:row r="17" ht="15" hidden="0" customHeight="1">
      <x:c r="A17" s="16" t="str">
        <x:v>A2+O1</x:v>
      </x:c>
      <x:c r="B17" s="16" t="str">
        <x:v>A2</x:v>
      </x:c>
      <x:c r="C17" s="16" t="str">
        <x:v>O1</x:v>
      </x:c>
      <x:c r="D17" s="16" t="n">
        <x:f>IF(OR($B17="U1",$C17="U1"),0,MIN(3,MAX(0,INT((72-'Controls'!B30)*'Controls'!B27/$M17))))</x:f>
        <x:v>3</x:v>
      </x:c>
      <x:c r="E17" s="16" t="n">
        <x:f>IF(OR($B17="U2",$C17="U2"),0,MIN(3,MAX(0,INT((72-'Controls'!B30)*'Controls'!B27/$M17))))</x:f>
        <x:v>3</x:v>
      </x:c>
      <x:c r="F17" s="16" t="n">
        <x:f>IF(OR($B17="A1",$C17="A1"),0,MIN(3,MAX(0,INT((72-'Controls'!B28)*'Controls'!B25/$M17))))</x:f>
        <x:v>2</x:v>
      </x:c>
      <x:c r="G17" s="16" t="n">
        <x:f>IF(OR($B17="A2",$C17="A2"),0,MIN(3,MAX(0,INT((72-'Controls'!B28)*'Controls'!B25/$M17))))</x:f>
        <x:v>0</x:v>
      </x:c>
      <x:c r="H17" s="16" t="n">
        <x:f>IF(OR($B17="O1",$C17="O1"),0,MIN(3,MAX(0,INT((72-'Controls'!B29)*'Controls'!B26/$M17))))</x:f>
        <x:v>0</x:v>
      </x:c>
      <x:c r="I17" s="16" t="n">
        <x:f>IF(OR($B17="O2",$C17="O2"),0,MIN(3,MAX(0,INT((72-'Controls'!B29)*'Controls'!B26/$M17))))</x:f>
        <x:v>2</x:v>
      </x:c>
      <x:c r="J17" s="16" t="n">
        <x:f>SUM(D17:I17)</x:f>
        <x:v>10</x:v>
      </x:c>
      <x:c r="K17" s="33" t="n">
        <x:v>66.01393101604279</x:v>
      </x:c>
      <x:c r="L17" s="33" t="str">
        <x:f>IF(J17&gt;='Controls'!B31,"PASS","FAIL")</x:f>
        <x:v>PASS</x:v>
      </x:c>
      <x:c r="M17" s="33" t="n">
        <x:f>'Integrated Cases'!L8</x:f>
        <x:v>15152.861475000002</x:v>
      </x:c>
      <x:c r="N17" s="33" t="n">
        <x:f>'Controls'!B30+$M17/'Controls'!B27</x:f>
        <x:v>19.814574564102564</x:v>
      </x:c>
      <x:c r="O17" s="33" t="n">
        <x:f>'Controls'!B30+2*$M17/'Controls'!B27</x:f>
        <x:v>33.62914912820513</x:v>
      </x:c>
      <x:c r="P17" s="33" t="n">
        <x:f>'Controls'!B28+3*$M17/'Controls'!B25</x:f>
        <x:v>85.91198420168068</x:v>
      </x:c>
      <x:c r="Q17" s="33" t="n">
        <x:f>'Controls'!B29+3*$M17/'Controls'!B26</x:f>
        <x:v>84.02089652406417</x:v>
      </x:c>
    </x:row>
    <x:row r="18" ht="15" hidden="0" customHeight="1">
      <x:c r="A18" s="15" t="str">
        <x:v>A2+O2</x:v>
      </x:c>
      <x:c r="B18" s="15" t="str">
        <x:v>A2</x:v>
      </x:c>
      <x:c r="C18" s="15" t="str">
        <x:v>O2</x:v>
      </x:c>
      <x:c r="D18" s="15" t="n">
        <x:f>IF(OR($B18="U1",$C18="U1"),0,MIN(3,MAX(0,INT((72-'Controls'!B30)*'Controls'!B27/$M18))))</x:f>
        <x:v>3</x:v>
      </x:c>
      <x:c r="E18" s="15" t="n">
        <x:f>IF(OR($B18="U2",$C18="U2"),0,MIN(3,MAX(0,INT((72-'Controls'!B30)*'Controls'!B27/$M18))))</x:f>
        <x:v>3</x:v>
      </x:c>
      <x:c r="F18" s="15" t="n">
        <x:f>IF(OR($B18="A1",$C18="A1"),0,MIN(3,MAX(0,INT((72-'Controls'!B28)*'Controls'!B25/$M18))))</x:f>
        <x:v>2</x:v>
      </x:c>
      <x:c r="G18" s="15" t="n">
        <x:f>IF(OR($B18="A2",$C18="A2"),0,MIN(3,MAX(0,INT((72-'Controls'!B28)*'Controls'!B25/$M18))))</x:f>
        <x:v>0</x:v>
      </x:c>
      <x:c r="H18" s="15" t="n">
        <x:f>IF(OR($B18="O1",$C18="O1"),0,MIN(3,MAX(0,INT((72-'Controls'!B29)*'Controls'!B26/$M18))))</x:f>
        <x:v>2</x:v>
      </x:c>
      <x:c r="I18" s="15" t="n">
        <x:f>IF(OR($B18="O2",$C18="O2"),0,MIN(3,MAX(0,INT((72-'Controls'!B29)*'Controls'!B26/$M18))))</x:f>
        <x:v>0</x:v>
      </x:c>
      <x:c r="J18" s="15" t="n">
        <x:f>SUM(D18:I18)</x:f>
        <x:v>10</x:v>
      </x:c>
      <x:c r="K18" s="34" t="n">
        <x:v>66.01393101604279</x:v>
      </x:c>
      <x:c r="L18" s="34" t="str">
        <x:f>IF(J18&gt;='Controls'!B31,"PASS","FAIL")</x:f>
        <x:v>PASS</x:v>
      </x:c>
      <x:c r="M18" s="34" t="n">
        <x:f>'Integrated Cases'!L8</x:f>
        <x:v>15152.861475000002</x:v>
      </x:c>
      <x:c r="N18" s="34" t="n">
        <x:f>'Controls'!B30+$M18/'Controls'!B27</x:f>
        <x:v>19.814574564102564</x:v>
      </x:c>
      <x:c r="O18" s="34" t="n">
        <x:f>'Controls'!B30+2*$M18/'Controls'!B27</x:f>
        <x:v>33.62914912820513</x:v>
      </x:c>
      <x:c r="P18" s="34" t="n">
        <x:f>'Controls'!B28+3*$M18/'Controls'!B25</x:f>
        <x:v>85.91198420168068</x:v>
      </x:c>
      <x:c r="Q18" s="34" t="n">
        <x:f>'Controls'!B29+3*$M18/'Controls'!B26</x:f>
        <x:v>84.02089652406417</x:v>
      </x:c>
    </x:row>
    <x:row r="19" ht="15" hidden="0" customHeight="1">
      <x:c r="A19" s="16" t="str">
        <x:v>O1+O2</x:v>
      </x:c>
      <x:c r="B19" s="16" t="str">
        <x:v>O1</x:v>
      </x:c>
      <x:c r="C19" s="16" t="str">
        <x:v>O2</x:v>
      </x:c>
      <x:c r="D19" s="16" t="n">
        <x:f>IF(OR($B19="U1",$C19="U1"),0,MIN(3,MAX(0,INT((72-'Controls'!B30)*'Controls'!B27/$M19))))</x:f>
        <x:v>3</x:v>
      </x:c>
      <x:c r="E19" s="16" t="n">
        <x:f>IF(OR($B19="U2",$C19="U2"),0,MIN(3,MAX(0,INT((72-'Controls'!B30)*'Controls'!B27/$M19))))</x:f>
        <x:v>3</x:v>
      </x:c>
      <x:c r="F19" s="16" t="n">
        <x:f>IF(OR($B19="A1",$C19="A1"),0,MIN(3,MAX(0,INT((72-'Controls'!B28)*'Controls'!B25/$M19))))</x:f>
        <x:v>2</x:v>
      </x:c>
      <x:c r="G19" s="16" t="n">
        <x:f>IF(OR($B19="A2",$C19="A2"),0,MIN(3,MAX(0,INT((72-'Controls'!B28)*'Controls'!B25/$M19))))</x:f>
        <x:v>2</x:v>
      </x:c>
      <x:c r="H19" s="16" t="n">
        <x:f>IF(OR($B19="O1",$C19="O1"),0,MIN(3,MAX(0,INT((72-'Controls'!B29)*'Controls'!B26/$M19))))</x:f>
        <x:v>0</x:v>
      </x:c>
      <x:c r="I19" s="16" t="n">
        <x:f>IF(OR($B19="O2",$C19="O2"),0,MIN(3,MAX(0,INT((72-'Controls'!B29)*'Controls'!B26/$M19))))</x:f>
        <x:v>0</x:v>
      </x:c>
      <x:c r="J19" s="16" t="n">
        <x:f>SUM(D19:I19)</x:f>
        <x:v>10</x:v>
      </x:c>
      <x:c r="K19" s="33" t="n">
        <x:v>63.27465613445378</x:v>
      </x:c>
      <x:c r="L19" s="33" t="str">
        <x:f>IF(J19&gt;='Controls'!B31,"PASS","FAIL")</x:f>
        <x:v>PASS</x:v>
      </x:c>
      <x:c r="M19" s="33" t="n">
        <x:f>'Integrated Cases'!L8</x:f>
        <x:v>15152.861475000002</x:v>
      </x:c>
      <x:c r="N19" s="33" t="n">
        <x:f>'Controls'!B30+$M19/'Controls'!B27</x:f>
        <x:v>19.814574564102564</x:v>
      </x:c>
      <x:c r="O19" s="33" t="n">
        <x:f>'Controls'!B30+2*$M19/'Controls'!B27</x:f>
        <x:v>33.62914912820513</x:v>
      </x:c>
      <x:c r="P19" s="33" t="n">
        <x:f>'Controls'!B28+3*$M19/'Controls'!B25</x:f>
        <x:v>85.91198420168068</x:v>
      </x:c>
      <x:c r="Q19" s="33" t="n">
        <x:f>'Controls'!B29+3*$M19/'Controls'!B26</x:f>
        <x:v>84.02089652406417</x:v>
      </x:c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</x:row>
    <x:row r="21" ht="24" customHeight="1">
      <x:c r="A21" s="43" t="str">
        <x:v>Worst case summary</x:v>
      </x:c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</x:row>
    <x:row r="22" ht="31" customHeight="1">
      <x:c r="A22" s="28" t="str">
        <x:v>Measure</x:v>
      </x:c>
      <x:c r="B22" s="28" t="str">
        <x:v>Result</x:v>
      </x:c>
      <x:c r="C22" s="28" t="str">
        <x:v>Interpretation</x:v>
      </x:c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</x:row>
    <x:row r="23" ht="32.400001525878906" hidden="0" customHeight="1">
      <x:c r="A23" s="16" t="str">
        <x:v>Minimum pods by hour 72</x:v>
      </x:c>
      <x:c r="B23" s="16" t="n">
        <x:f>MIN(J5:J19)</x:f>
        <x:v>8</x:v>
      </x:c>
      <x:c r="C23" s="16" t="str">
        <x:v>Must be at least 10</x:v>
      </x:c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</x:row>
    <x:row r="24" ht="32.400001525878906" hidden="0" customHeight="1">
      <x:c r="A24" s="15" t="str">
        <x:v>Worst 10th-pod hour</x:v>
      </x:c>
      <x:c r="B24" s="15" t="n">
        <x:f>MAX(K5:K19)</x:f>
        <x:v>84.02089652406417</x:v>
      </x:c>
      <x:c r="C24" s="15" t="str">
        <x:v>Both upland cells lost</x:v>
      </x:c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</x:row>
    <x:row r="25" ht="21.600000381469727" hidden="0" customHeight="1">
      <x:c r="A25" s="16" t="str">
        <x:v>Passing cases</x:v>
      </x:c>
      <x:c r="B25" s="16" t="n">
        <x:f>COUNTIF(L5:L19,"PASS")</x:f>
        <x:v>6</x:v>
      </x:c>
      <x:c r="C25" s="16" t="str">
        <x:v>Out of 15</x:v>
      </x:c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</x:row>
    <x:row r="26" ht="54" hidden="0" customHeight="1">
      <x:c r="A26" s="15" t="str">
        <x:v>Conclusion</x:v>
      </x:c>
      <x:c r="B26" s="15"/>
      <x:c r="C26" s="15" t="str">
        <x:v>Configured independent campus fails deterministic N-2 closure</x:v>
      </x:c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</x:row>
  </x:sheetData>
  <x:mergeCells>
    <x:mergeCell ref="A1:Q1"/>
    <x:mergeCell ref="A2:Q2"/>
    <x:mergeCell ref="A21:Q2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48" hidden="0" customWidth="1"/>
  </x:cols>
  <x:sheetData>
    <x:row r="1" ht="34" customHeight="1">
      <x:c r="A1" s="40" t="str">
        <x:v>Independent-Pod Sensitivity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</x:row>
    <x:row r="2" ht="31" customHeight="1">
      <x:c r="A2" s="41" t="str">
        <x:v>One-at-a-time variants expose which burden can plausibly recover the mobility promise.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</x:row>
    <x:row r="4" ht="31" customHeight="1">
      <x:c r="A4" s="28" t="str">
        <x:v>Variant</x:v>
      </x:c>
      <x:c r="B4" s="28" t="str">
        <x:v>Shelter t</x:v>
      </x:c>
      <x:c r="C4" s="28" t="str">
        <x:v>Food t</x:v>
      </x:c>
      <x:c r="D4" s="28" t="str">
        <x:v>Sanitation t</x:v>
      </x:c>
      <x:c r="E4" s="28" t="str">
        <x:v>Energy t</x:v>
      </x:c>
      <x:c r="F4" s="28" t="str">
        <x:v>Basing add t</x:v>
      </x:c>
      <x:c r="G4" s="28" t="str">
        <x:v>Pod mass t</x:v>
      </x:c>
      <x:c r="H4" s="28" t="str">
        <x:v>Air margin t</x:v>
      </x:c>
      <x:c r="I4" s="28" t="str">
        <x:v>Offshore margin t</x:v>
      </x:c>
      <x:c r="J4" s="28" t="str">
        <x:v>Third air pod h</x:v>
      </x:c>
      <x:c r="K4" s="28" t="str">
        <x:v>Disposition</x:v>
      </x:c>
    </x:row>
    <x:row r="5" ht="21.600000381469727" hidden="0" customHeight="1">
      <x:c r="A5" s="16" t="str">
        <x:v>Configured independent</x:v>
      </x:c>
      <x:c r="B5" s="29" t="n">
        <x:f>'Shelter Pathways'!G7</x:f>
        <x:v>3545.671475</x:v>
      </x:c>
      <x:c r="C5" s="29" t="n">
        <x:f>'Food Pathways'!K6</x:f>
        <x:v>885.2</x:v>
      </x:c>
      <x:c r="D5" s="29" t="n">
        <x:v>780</x:v>
      </x:c>
      <x:c r="E5" s="29" t="n">
        <x:f>'Energy Pathways'!H5</x:f>
        <x:v>1840.53</x:v>
      </x:c>
      <x:c r="F5" s="29" t="n">
        <x:f>'Workforce Cases'!D6</x:f>
        <x:v>453.9</x:v>
      </x:c>
      <x:c r="G5" s="29" t="n">
        <x:f>'Controls'!B5+(B5-'Controls'!B6)+(C5-'Controls'!B7)+(D5-'Controls'!B8)+(E5-('Controls'!B9+'Controls'!B10))+F5</x:f>
        <x:v>15152.861475000002</x:v>
      </x:c>
      <x:c r="H5" s="29" t="n">
        <x:f>'Mobility Ceiling'!E5-G5</x:f>
        <x:v>-3104.1114750000015</x:v>
      </x:c>
      <x:c r="I5" s="29" t="n">
        <x:f>'Mobility Ceiling'!E6-G5</x:f>
        <x:v>-3371.8614750000015</x:v>
      </x:c>
      <x:c r="J5" s="29" t="n">
        <x:f>'Controls'!B28+3*G5/'Controls'!B25</x:f>
        <x:v>85.91198420168068</x:v>
      </x:c>
      <x:c r="K5" s="16" t="str">
        <x:v>Reference</x:v>
      </x:c>
    </x:row>
    <x:row r="6" ht="43.20000076293945" hidden="0" customHeight="1">
      <x:c r="A6" s="15" t="str">
        <x:v>Transform labor only</x:v>
      </x:c>
      <x:c r="B6" s="30" t="n">
        <x:f>'Shelter Pathways'!G7</x:f>
        <x:v>3545.671475</x:v>
      </x:c>
      <x:c r="C6" s="30" t="n">
        <x:f>'Food Pathways'!K6</x:f>
        <x:v>885.2</x:v>
      </x:c>
      <x:c r="D6" s="30" t="n">
        <x:v>780</x:v>
      </x:c>
      <x:c r="E6" s="30" t="n">
        <x:f>'Energy Pathways'!H5</x:f>
        <x:v>1840.53</x:v>
      </x:c>
      <x:c r="F6" s="30" t="n">
        <x:f>'Workforce Cases'!D7</x:f>
        <x:v>0</x:v>
      </x:c>
      <x:c r="G6" s="30" t="n">
        <x:f>'Controls'!B5+(B6-'Controls'!B6)+(C6-'Controls'!B7)+(D6-'Controls'!B8)+(E6-('Controls'!B9+'Controls'!B10))+F6</x:f>
        <x:v>14698.961475000002</x:v>
      </x:c>
      <x:c r="H6" s="30" t="n">
        <x:f>'Mobility Ceiling'!E5-G6</x:f>
        <x:v>-2650.211475000002</x:v>
      </x:c>
      <x:c r="I6" s="30" t="n">
        <x:f>'Mobility Ceiling'!E6-G6</x:f>
        <x:v>-2917.961475000002</x:v>
      </x:c>
      <x:c r="J6" s="30" t="n">
        <x:f>'Controls'!B28+3*G6/'Controls'!B25</x:f>
        <x:v>83.87769848739497</x:v>
      </x:c>
      <x:c r="K6" s="15" t="str">
        <x:v>Workforce improves; mass barely changes</x:v>
      </x:c>
    </x:row>
    <x:row r="7" ht="32.400001525878906" hidden="0" customHeight="1">
      <x:c r="A7" s="16" t="str">
        <x:v>Novel food only</x:v>
      </x:c>
      <x:c r="B7" s="29" t="n">
        <x:f>'Shelter Pathways'!G7</x:f>
        <x:v>3545.671475</x:v>
      </x:c>
      <x:c r="C7" s="29" t="n">
        <x:f>'Food Pathways'!K9</x:f>
        <x:v>427.6</x:v>
      </x:c>
      <x:c r="D7" s="29" t="n">
        <x:v>780</x:v>
      </x:c>
      <x:c r="E7" s="29" t="n">
        <x:f>'Energy Pathways'!H5</x:f>
        <x:v>1840.53</x:v>
      </x:c>
      <x:c r="F7" s="29" t="n">
        <x:f>'Workforce Cases'!D6</x:f>
        <x:v>453.9</x:v>
      </x:c>
      <x:c r="G7" s="29" t="n">
        <x:f>'Controls'!B5+(B7-'Controls'!B6)+(C7-'Controls'!B7)+(D7-'Controls'!B8)+(E7-('Controls'!B9+'Controls'!B10))+F7</x:f>
        <x:v>14695.261475000001</x:v>
      </x:c>
      <x:c r="H7" s="29" t="n">
        <x:f>'Mobility Ceiling'!E5-G7</x:f>
        <x:v>-2646.511475000001</x:v>
      </x:c>
      <x:c r="I7" s="29" t="n">
        <x:f>'Mobility Ceiling'!E6-G7</x:f>
        <x:v>-2914.261475000001</x:v>
      </x:c>
      <x:c r="J7" s="29" t="n">
        <x:f>'Controls'!B28+3*G7/'Controls'!B25</x:f>
        <x:v>83.86111585434175</x:v>
      </x:c>
      <x:c r="K7" s="16" t="str">
        <x:v>Food mass helps modestly</x:v>
      </x:c>
    </x:row>
    <x:row r="8" ht="21.600000381469727" hidden="0" customHeight="1">
      <x:c r="A8" s="15" t="str">
        <x:v>Technology shelter only</x:v>
      </x:c>
      <x:c r="B8" s="30" t="n">
        <x:f>'Shelter Pathways'!G9</x:f>
        <x:v>1302.5143</x:v>
      </x:c>
      <x:c r="C8" s="30" t="n">
        <x:f>'Food Pathways'!K6</x:f>
        <x:v>885.2</x:v>
      </x:c>
      <x:c r="D8" s="30" t="n">
        <x:v>780</x:v>
      </x:c>
      <x:c r="E8" s="30" t="n">
        <x:f>'Energy Pathways'!H5</x:f>
        <x:v>1840.53</x:v>
      </x:c>
      <x:c r="F8" s="30" t="n">
        <x:f>'Workforce Cases'!D6</x:f>
        <x:v>453.9</x:v>
      </x:c>
      <x:c r="G8" s="30" t="n">
        <x:f>'Controls'!B5+(B8-'Controls'!B6)+(C8-'Controls'!B7)+(D8-'Controls'!B8)+(E8-('Controls'!B9+'Controls'!B10))+F8</x:f>
        <x:v>12909.704300000001</x:v>
      </x:c>
      <x:c r="H8" s="30" t="n">
        <x:f>'Mobility Ceiling'!E5-G8</x:f>
        <x:v>-860.9543000000012</x:v>
      </x:c>
      <x:c r="I8" s="30" t="n">
        <x:f>'Mobility Ceiling'!E6-G8</x:f>
        <x:v>-1128.7043000000012</x:v>
      </x:c>
      <x:c r="J8" s="30" t="n">
        <x:f>'Controls'!B28+3*G8/'Controls'!B25</x:f>
        <x:v>75.85861871148461</x:v>
      </x:c>
      <x:c r="K8" s="15" t="str">
        <x:v>Largest single lever</x:v>
      </x:c>
    </x:row>
    <x:row r="9" ht="43.20000076293945" hidden="0" customHeight="1">
      <x:c r="A9" s="16" t="str">
        <x:v>Transform all</x:v>
      </x:c>
      <x:c r="B9" s="29" t="n">
        <x:f>'Shelter Pathways'!G9</x:f>
        <x:v>1302.5143</x:v>
      </x:c>
      <x:c r="C9" s="29" t="n">
        <x:f>'Food Pathways'!K9</x:f>
        <x:v>427.6</x:v>
      </x:c>
      <x:c r="D9" s="29" t="n">
        <x:v>600</x:v>
      </x:c>
      <x:c r="E9" s="29" t="n">
        <x:f>'Energy Pathways'!H5</x:f>
        <x:v>1840.53</x:v>
      </x:c>
      <x:c r="F9" s="29" t="n">
        <x:f>'Workforce Cases'!D7</x:f>
        <x:v>0</x:v>
      </x:c>
      <x:c r="G9" s="29" t="n">
        <x:f>'Controls'!B5+(B9-'Controls'!B6)+(C9-'Controls'!B7)+(D9-'Controls'!B8)+(E9-('Controls'!B9+'Controls'!B10))+F9</x:f>
        <x:v>11818.204300000001</x:v>
      </x:c>
      <x:c r="H9" s="29" t="n">
        <x:f>'Mobility Ceiling'!E5-G9</x:f>
        <x:v>230.54569999999876</x:v>
      </x:c>
      <x:c r="I9" s="29" t="n">
        <x:f>'Mobility Ceiling'!E6-G9</x:f>
        <x:v>-37.20430000000124</x:v>
      </x:c>
      <x:c r="J9" s="29" t="n">
        <x:f>'Controls'!B28+3*G9/'Controls'!B25</x:f>
        <x:v>70.96674196078433</x:v>
      </x:c>
      <x:c r="K9" s="16" t="str">
        <x:v>Shelter + food + sanitation + labor</x:v>
      </x:c>
    </x:row>
    <x:row r="10" ht="21.600000381469727" hidden="0" customHeight="1">
      <x:c r="A10" s="15" t="str">
        <x:v>Transform all + fuel-flex</x:v>
      </x:c>
      <x:c r="B10" s="30" t="n">
        <x:f>'Shelter Pathways'!G9</x:f>
        <x:v>1302.5143</x:v>
      </x:c>
      <x:c r="C10" s="30" t="n">
        <x:f>'Food Pathways'!K9</x:f>
        <x:v>427.6</x:v>
      </x:c>
      <x:c r="D10" s="30" t="n">
        <x:v>600</x:v>
      </x:c>
      <x:c r="E10" s="30" t="n">
        <x:f>'Energy Pathways'!H9</x:f>
        <x:v>1500</x:v>
      </x:c>
      <x:c r="F10" s="30" t="n">
        <x:f>'Workforce Cases'!D7</x:f>
        <x:v>0</x:v>
      </x:c>
      <x:c r="G10" s="30" t="n">
        <x:f>'Controls'!B5+(B10-'Controls'!B6)+(C10-'Controls'!B7)+(D10-'Controls'!B8)+(E10-('Controls'!B9+'Controls'!B10))+F10</x:f>
        <x:v>11477.6743</x:v>
      </x:c>
      <x:c r="H10" s="30" t="n">
        <x:f>'Mobility Ceiling'!E5-G10</x:f>
        <x:v>571.0756999999994</x:v>
      </x:c>
      <x:c r="I10" s="30" t="n">
        <x:f>'Mobility Ceiling'!E6-G10</x:f>
        <x:v>303.3256999999994</x:v>
      </x:c>
      <x:c r="J10" s="30" t="n">
        <x:f>'Controls'!B28+3*G10/'Controls'!B25</x:f>
        <x:v>69.44055708683473</x:v>
      </x:c>
      <x:c r="K10" s="15" t="str">
        <x:v>Adds energy breakthrough</x:v>
      </x:c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</x:row>
    <x:row r="12" ht="33" customHeight="1">
      <x:c r="A12" s="44" t="str">
        <x:v>The model does not manufacture a pass by assuming all breakthroughs. The transformational case is a portfolio objective whose material, nutrition, sanitation, labor and assurance claims remain separate evidence gates.</x:v>
      </x:c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</x:row>
  </x:sheetData>
  <x:mergeCells>
    <x:mergeCell ref="A1:K1"/>
    <x:mergeCell ref="A2:K2"/>
    <x:mergeCell ref="A12:K1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29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40" t="str">
        <x:v>PCC Technology Program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31" customHeight="1">
      <x:c r="A2" s="41" t="str">
        <x:v>Mission-derived invention programs replace vague calls for automation or lightweight equipment.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31" customHeight="1">
      <x:c r="A4" s="28" t="str">
        <x:v>ID</x:v>
      </x:c>
      <x:c r="B4" s="28" t="str">
        <x:v>Program</x:v>
      </x:c>
      <x:c r="C4" s="28" t="str">
        <x:v>Failed constraint</x:v>
      </x:c>
      <x:c r="D4" s="28" t="str">
        <x:v>Research objective</x:v>
      </x:c>
      <x:c r="E4" s="28" t="str">
        <x:v>Competing paths</x:v>
      </x:c>
      <x:c r="F4" s="28" t="str">
        <x:v>Bench metric</x:v>
      </x:c>
      <x:c r="G4" s="28" t="str">
        <x:v>Integrated test</x:v>
      </x:c>
      <x:c r="H4" s="28" t="str">
        <x:v>New burden to count</x:v>
      </x:c>
      <x:c r="I4" s="28" t="str">
        <x:v>Decision year</x:v>
      </x:c>
      <x:c r="J4" s="28" t="str">
        <x:v>Maturity</x:v>
      </x:c>
      <x:c r="K4" s="28" t="str">
        <x:v>Gate</x:v>
      </x:c>
      <x:c r="L4" s="28" t="str">
        <x:v>Render effect</x:v>
      </x:c>
    </x:row>
    <x:row r="5" ht="75.5999984741211" hidden="0" customHeight="1">
      <x:c r="A5" s="16" t="str">
        <x:v>PCC-01</x:v>
      </x:c>
      <x:c r="B5" s="16" t="str">
        <x:v>Ultra-light occupied-area system</x:v>
      </x:c>
      <x:c r="C5" s="16" t="str">
        <x:v>Independent shelter exceeds mass ceiling</x:v>
      </x:c>
      <x:c r="D5" s="16" t="str">
        <x:v>Complete accessible climate-safe campus ≤24 kg/person</x:v>
      </x:c>
      <x:c r="E5" s="16" t="str">
        <x:v>tension membrane; airbeam; cellular panel; host-reuse compiler</x:v>
      </x:c>
      <x:c r="F5" s="16" t="str">
        <x:v>kg/m², leakage, fire, toxicity, acoustic/privacy, install hours</x:v>
      </x:c>
      <x:c r="G5" s="16" t="str">
        <x:v>50,000 residents × 72 h environmental extreme</x:v>
      </x:c>
      <x:c r="H5" s="16" t="str">
        <x:v>ballast, repair, floors, filters, waste</x:v>
      </x:c>
      <x:c r="I5" s="16" t="n">
        <x:v>9</x:v>
      </x:c>
      <x:c r="J5" s="16" t="str">
        <x:v>R0/R1</x:v>
      </x:c>
      <x:c r="K5" s="16" t="str">
        <x:v>G03–G05</x:v>
      </x:c>
      <x:c r="L5" s="16" t="str">
        <x:v>blocks geometry</x:v>
      </x:c>
    </x:row>
    <x:row r="6" ht="64.80000305175781" hidden="0" customHeight="1">
      <x:c r="A6" s="15" t="str">
        <x:v>PCC-02</x:v>
      </x:c>
      <x:c r="B6" s="15" t="str">
        <x:v>Service-spine robotics</x:v>
      </x:c>
      <x:c r="C6" s="15" t="str">
        <x:v>Utilities and labor</x:v>
      </x:c>
      <x:c r="D6" s="15" t="str">
        <x:v>Self-route and connect power/fluid/data/waste trunks</x:v>
      </x:c>
      <x:c r="E6" s="15" t="str">
        <x:v>cable/pipe robots; autonomous reels; modular galleries</x:v>
      </x:c>
      <x:c r="F6" s="15" t="str">
        <x:v>km/h, leak/fault rate, worker exposure, recovery</x:v>
      </x:c>
      <x:c r="G6" s="15" t="str">
        <x:v>10 utility islands with seeded faults</x:v>
      </x:c>
      <x:c r="H6" s="15" t="str">
        <x:v>maintenance, cyber, manual fallback</x:v>
      </x:c>
      <x:c r="I6" s="15" t="n">
        <x:v>8</x:v>
      </x:c>
      <x:c r="J6" s="15" t="str">
        <x:v>R1</x:v>
      </x:c>
      <x:c r="K6" s="15" t="str">
        <x:v>G06/G11</x:v>
      </x:c>
      <x:c r="L6" s="15" t="str">
        <x:v>blocks layout</x:v>
      </x:c>
    </x:row>
    <x:row r="7" ht="75.5999984741211" hidden="0" customHeight="1">
      <x:c r="A7" s="16" t="str">
        <x:v>PCC-03</x:v>
      </x:c>
      <x:c r="B7" s="16" t="str">
        <x:v>Dense public food system</x:v>
      </x:c>
      <x:c r="C7" s="16" t="str">
        <x:v>Food mass and waste</x:v>
      </x:c>
      <x:c r="D7" s="16" t="str">
        <x:v>≤0.42 kg/person-day with acceptable nutrition and culture</x:v>
      </x:c>
      <x:c r="E7" s="16" t="str">
        <x:v>dry concentrate; local finishing; bioprocess; adaptive menus</x:v>
      </x:c>
      <x:c r="F7" s="16" t="str">
        <x:v>mass, water, energy, acceptance, waste, health outcomes</x:v>
      </x:c>
      <x:c r="G7" s="16" t="str">
        <x:v>780,000 meal-equivalents/day × 72 h</x:v>
      </x:c>
      <x:c r="H7" s="16" t="str">
        <x:v>ingredients, allergens, packaging, sanitation</x:v>
      </x:c>
      <x:c r="I7" s="16" t="n">
        <x:v>10</x:v>
      </x:c>
      <x:c r="J7" s="16" t="str">
        <x:v>R0</x:v>
      </x:c>
      <x:c r="K7" s="16" t="str">
        <x:v>G07</x:v>
      </x:c>
      <x:c r="L7" s="16" t="str">
        <x:v>blocks kitchen form</x:v>
      </x:c>
    </x:row>
    <x:row r="8" ht="64.80000305175781" hidden="0" customHeight="1">
      <x:c r="A8" s="15" t="str">
        <x:v>PCC-04</x:v>
      </x:c>
      <x:c r="B8" s="15" t="str">
        <x:v>Closed sanitation lattice</x:v>
      </x:c>
      <x:c r="C8" s="15" t="str">
        <x:v>480 t allowance incomplete</x:v>
      </x:c>
      <x:c r="D8" s="15" t="str">
        <x:v>≤600 t system with safe storage/treatment and low water</x:v>
      </x:c>
      <x:c r="E8" s="15" t="str">
        <x:v>vacuum; dry separation; membrane/oxidation; local treatment</x:v>
      </x:c>
      <x:c r="F8" s="15" t="str">
        <x:v>liters/user-day, pathogens, residual mass, service labor</x:v>
      </x:c>
      <x:c r="G8" s="15" t="str">
        <x:v>50,000 users × 72 h with node loss</x:v>
      </x:c>
      <x:c r="H8" s="15" t="str">
        <x:v>odor, consumables, discharge, cleanout</x:v>
      </x:c>
      <x:c r="I8" s="15" t="n">
        <x:v>9</x:v>
      </x:c>
      <x:c r="J8" s="15" t="str">
        <x:v>R0/R1</x:v>
      </x:c>
      <x:c r="K8" s="15" t="str">
        <x:v>G08</x:v>
      </x:c>
      <x:c r="L8" s="15" t="str">
        <x:v>blocks sanitary plant</x:v>
      </x:c>
    </x:row>
    <x:row r="9" ht="54" hidden="0" customHeight="1">
      <x:c r="A9" s="16" t="str">
        <x:v>PCC-05</x:v>
      </x:c>
      <x:c r="B9" s="16" t="str">
        <x:v>Low-labor care and operations</x:v>
      </x:c>
      <x:c r="C9" s="16" t="str">
        <x:v>2,694 people still exceeds target</x:v>
      </x:c>
      <x:c r="D9" s="16" t="str">
        <x:v>Outcome-equivalent operation ≤2,500 total people</x:v>
      </x:c>
      <x:c r="E9" s="16" t="str">
        <x:v>telehealth; resident co-production; robotics; remote cells</x:v>
      </x:c>
      <x:c r="F9" s="16" t="str">
        <x:v>service quality, fatigue, safety, total labor</x:v>
      </x:c>
      <x:c r="G9" s="16" t="str">
        <x:v>two-shift 50-district exercise</x:v>
      </x:c>
      <x:c r="H9" s="16" t="str">
        <x:v>remote/repair/software labor</x:v>
      </x:c>
      <x:c r="I9" s="16" t="n">
        <x:v>11</x:v>
      </x:c>
      <x:c r="J9" s="16" t="str">
        <x:v>R0/R1</x:v>
      </x:c>
      <x:c r="K9" s="16" t="str">
        <x:v>G09</x:v>
      </x:c>
      <x:c r="L9" s="16" t="str">
        <x:v>blocks crew spaces</x:v>
      </x:c>
    </x:row>
    <x:row r="10" ht="64.80000305175781" hidden="0" customHeight="1">
      <x:c r="A10" s="15" t="str">
        <x:v>PCC-06</x:v>
      </x:c>
      <x:c r="B10" s="15" t="str">
        <x:v>Portable service-energy mesh</x:v>
      </x:c>
      <x:c r="C10" s="15" t="str">
        <x:v>1,140 t fuel and common-mode control</x:v>
      </x:c>
      <x:c r="D10" s="15" t="str">
        <x:v>65 MW × 72 h with lower recurring mass and diverse controls</x:v>
      </x:c>
      <x:c r="E10" s="15" t="str">
        <x:v>fuel-flex; storage; local harvest; compact reactor</x:v>
      </x:c>
      <x:c r="F10" s="15" t="str">
        <x:v>t/MWh firm, black-start time, fault clearing, emissions</x:v>
      </x:c>
      <x:c r="G10" s="15" t="str">
        <x:v>ten-island cold/heat/smoke campaign</x:v>
      </x:c>
      <x:c r="H10" s="15" t="str">
        <x:v>shielding, heat, security, fuel custody</x:v>
      </x:c>
      <x:c r="I10" s="15" t="n">
        <x:v>12</x:v>
      </x:c>
      <x:c r="J10" s="15" t="str">
        <x:v>R1/R2</x:v>
      </x:c>
      <x:c r="K10" s="15" t="str">
        <x:v>G10–G11</x:v>
      </x:c>
      <x:c r="L10" s="15" t="str">
        <x:v>blocks source modules</x:v>
      </x:c>
    </x:row>
    <x:row r="11" ht="64.80000305175781" hidden="0" customHeight="1">
      <x:c r="A11" s="16" t="str">
        <x:v>PCC-07</x:v>
      </x:c>
      <x:c r="B11" s="16" t="str">
        <x:v>Cohort/service digital twin</x:v>
      </x:c>
      <x:c r="C11" s="16" t="str">
        <x:v>capacities do not close into bundles</x:v>
      </x:c>
      <x:c r="D11" s="16" t="str">
        <x:v>Real-time person/facility/load/residual accounting offline</x:v>
      </x:c>
      <x:c r="E11" s="16" t="str">
        <x:v>privacy-preserving credentials; edge twin; paper-compatible ledger</x:v>
      </x:c>
      <x:c r="F11" s="16" t="str">
        <x:v>unserved person-hours, false credit, reconciliation time</x:v>
      </x:c>
      <x:c r="G11" s="16" t="str">
        <x:v>corrupted-data and disconnected campus trial</x:v>
      </x:c>
      <x:c r="H11" s="16" t="str">
        <x:v>privacy, consent, human override</x:v>
      </x:c>
      <x:c r="I11" s="16" t="n">
        <x:v>7</x:v>
      </x:c>
      <x:c r="J11" s="16" t="str">
        <x:v>R1</x:v>
      </x:c>
      <x:c r="K11" s="16" t="str">
        <x:v>G01/G02</x:v>
      </x:c>
      <x:c r="L11" s="16" t="str">
        <x:v>blocks control architecture</x:v>
      </x:c>
    </x:row>
    <x:row r="12" ht="75.5999984741211" hidden="0" customHeight="1">
      <x:c r="A12" s="15" t="str">
        <x:v>PCC-08</x:v>
      </x:c>
      <x:c r="B12" s="15" t="str">
        <x:v>High-rate site preparation</x:v>
      </x:c>
      <x:c r="C12" s="15" t="str">
        <x:v>376,000 m² footprint</x:v>
      </x:c>
      <x:c r="D12" s="15" t="str">
        <x:v>Prepare, drain, anchor and demobilize district sites at campaign tempo</x:v>
      </x:c>
      <x:c r="E12" s="15" t="str">
        <x:v>robotic grading; deployable floors; distributed anchors</x:v>
      </x:c>
      <x:c r="F12" s="15" t="str">
        <x:v>m²/h, settlement, drainage, soil damage, restoration</x:v>
      </x:c>
      <x:c r="G12" s="15" t="str">
        <x:v>full-campus build/strike after rainfall</x:v>
      </x:c>
      <x:c r="H12" s="15" t="str">
        <x:v>earthworks mass, survey, environmental repair</x:v>
      </x:c>
      <x:c r="I12" s="15" t="n">
        <x:v>10</x:v>
      </x:c>
      <x:c r="J12" s="15" t="str">
        <x:v>R0/R1</x:v>
      </x:c>
      <x:c r="K12" s="15" t="str">
        <x:v>G04/G12</x:v>
      </x:c>
      <x:c r="L12" s="15" t="str">
        <x:v>blocks site plan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28" hidden="0" customWidth="1"/>
    <x:col min="5" max="5" width="42" hidden="0" customWidth="1"/>
    <x:col min="6" max="6" width="13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34" customHeight="1">
      <x:c r="A1" s="40" t="str">
        <x:v>Population Continuity Evidence Gates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1" customHeight="1">
      <x:c r="A2" s="41" t="str">
        <x:v>No green arithmetic cell authorizes operational credit or rendering.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 ht="31" customHeight="1">
      <x:c r="A4" s="28" t="str">
        <x:v>Gate</x:v>
      </x:c>
      <x:c r="B4" s="28" t="str">
        <x:v>Question</x:v>
      </x:c>
      <x:c r="C4" s="28" t="str">
        <x:v>Required evidence</x:v>
      </x:c>
      <x:c r="D4" s="28" t="str">
        <x:v>Owner</x:v>
      </x:c>
      <x:c r="E4" s="28" t="str">
        <x:v>Threshold</x:v>
      </x:c>
      <x:c r="F4" s="28" t="str">
        <x:v>State</x:v>
      </x:c>
      <x:c r="G4" s="28" t="str">
        <x:v>Invalidates</x:v>
      </x:c>
      <x:c r="H4" s="28" t="str">
        <x:v>Next experiment</x:v>
      </x:c>
      <x:c r="I4" s="28" t="str">
        <x:v>Decision consequence</x:v>
      </x:c>
      <x:c r="J4" s="28" t="str">
        <x:v>Render status</x:v>
      </x:c>
    </x:row>
    <x:row r="5" ht="64.80000305175781" hidden="0" customHeight="1">
      <x:c r="A5" s="16" t="str">
        <x:v>G01</x:v>
      </x:c>
      <x:c r="B5" s="16" t="str">
        <x:v>Are cohorts mutually consistent?</x:v>
      </x:c>
      <x:c r="C5" s="16" t="str">
        <x:v>person-level synthetic service ledger under missing/duplicate records</x:v>
      </x:c>
      <x:c r="D5" s="16" t="str">
        <x:v>RTEA service science</x:v>
      </x:c>
      <x:c r="E5" s="16" t="str">
        <x:v>&lt;0.5% false service credit</x:v>
      </x:c>
      <x:c r="F5" s="16" t="str">
        <x:v>OPEN</x:v>
      </x:c>
      <x:c r="G5" s="16" t="str">
        <x:v>effect contract</x:v>
      </x:c>
      <x:c r="H5" s="16" t="str">
        <x:v>72 h disconnected ledger trial</x:v>
      </x:c>
      <x:c r="I5" s="16" t="str">
        <x:v>revise pod contract</x:v>
      </x:c>
      <x:c r="J5" s="16" t="str">
        <x:v>BLOCK</x:v>
      </x:c>
    </x:row>
    <x:row r="6" ht="54" hidden="0" customHeight="1">
      <x:c r="A6" s="15" t="str">
        <x:v>G02</x:v>
      </x:c>
      <x:c r="B6" s="15" t="str">
        <x:v>Does the full bundle reach 50,000?</x:v>
      </x:c>
      <x:c r="C6" s="15" t="str">
        <x:v>water/food/shelter/sanitation/power/health time series</x:v>
      </x:c>
      <x:c r="D6" s="15" t="str">
        <x:v>Campaign Assurance</x:v>
      </x:c>
      <x:c r="E6" s="15" t="str">
        <x:v>≥95% receive declared floor each 6 h</x:v>
      </x:c>
      <x:c r="F6" s="15" t="str">
        <x:v>OPEN</x:v>
      </x:c>
      <x:c r="G6" s="15" t="str">
        <x:v>independence</x:v>
      </x:c>
      <x:c r="H6" s="15" t="str">
        <x:v>instrumented 50-district exercise</x:v>
      </x:c>
      <x:c r="I6" s="15" t="str">
        <x:v>reduce population or add capacity</x:v>
      </x:c>
      <x:c r="J6" s="15" t="str">
        <x:v>BLOCK</x:v>
      </x:c>
    </x:row>
    <x:row r="7" ht="54" hidden="0" customHeight="1">
      <x:c r="A7" s="16" t="str">
        <x:v>G03</x:v>
      </x:c>
      <x:c r="B7" s="16" t="str">
        <x:v>Does shelter area fit the population?</x:v>
      </x:c>
      <x:c r="C7" s="16" t="str">
        <x:v>representative accessible layouts and circulation trials</x:v>
      </x:c>
      <x:c r="D7" s="16" t="str">
        <x:v>Civil/Accessibility board</x:v>
      </x:c>
      <x:c r="E7" s="16" t="str">
        <x:v>all reference users accommodated</x:v>
      </x:c>
      <x:c r="F7" s="16" t="str">
        <x:v>OPEN</x:v>
      </x:c>
      <x:c r="G7" s="16" t="str">
        <x:v>shelter geometry</x:v>
      </x:c>
      <x:c r="H7" s="16" t="str">
        <x:v>1,000-person district trial</x:v>
      </x:c>
      <x:c r="I7" s="16" t="str">
        <x:v>resize campus</x:v>
      </x:c>
      <x:c r="J7" s="16" t="str">
        <x:v>BLOCK</x:v>
      </x:c>
    </x:row>
    <x:row r="8" ht="54" hidden="0" customHeight="1">
      <x:c r="A8" s="15" t="str">
        <x:v>G04</x:v>
      </x:c>
      <x:c r="B8" s="15" t="str">
        <x:v>Does the envelope survive?</x:v>
      </x:c>
      <x:c r="C8" s="15" t="str">
        <x:v>wind/rain/snow/fire/smoke/heat/cold load histories</x:v>
      </x:c>
      <x:c r="D8" s="15" t="str">
        <x:v>Technical authority</x:v>
      </x:c>
      <x:c r="E8" s="15" t="str">
        <x:v>no progressive failure; safe degraded mode</x:v>
      </x:c>
      <x:c r="F8" s="15" t="str">
        <x:v>OPEN</x:v>
      </x:c>
      <x:c r="G8" s="15" t="str">
        <x:v>shelter mass</x:v>
      </x:c>
      <x:c r="H8" s="15" t="str">
        <x:v>destructive full-district trials</x:v>
      </x:c>
      <x:c r="I8" s="15" t="str">
        <x:v>change architecture</x:v>
      </x:c>
      <x:c r="J8" s="15" t="str">
        <x:v>BLOCK</x:v>
      </x:c>
    </x:row>
    <x:row r="9" ht="64.80000305175781" hidden="0" customHeight="1">
      <x:c r="A9" s="16" t="str">
        <x:v>G05</x:v>
      </x:c>
      <x:c r="B9" s="16" t="str">
        <x:v>Is thermal safety continuous?</x:v>
      </x:c>
      <x:c r="C9" s="16" t="str">
        <x:v>occupied exposure, air quality, filter and source-loss tests</x:v>
      </x:c>
      <x:c r="D9" s="16" t="str">
        <x:v>Public health authority</x:v>
      </x:c>
      <x:c r="E9" s="16" t="str">
        <x:v>no threshold exceedance in reference cases</x:v>
      </x:c>
      <x:c r="F9" s="16" t="str">
        <x:v>OPEN</x:v>
      </x:c>
      <x:c r="G9" s="16" t="str">
        <x:v>power/thermal</x:v>
      </x:c>
      <x:c r="H9" s="16" t="str">
        <x:v>72 h hot-humid/smoke/cold trials</x:v>
      </x:c>
      <x:c r="I9" s="16" t="str">
        <x:v>increase power/mass</x:v>
      </x:c>
      <x:c r="J9" s="16" t="str">
        <x:v>BLOCK</x:v>
      </x:c>
    </x:row>
    <x:row r="10" ht="64.80000305175781" hidden="0" customHeight="1">
      <x:c r="A10" s="15" t="str">
        <x:v>G06</x:v>
      </x:c>
      <x:c r="B10" s="15" t="str">
        <x:v>Can utilities deploy and isolate?</x:v>
      </x:c>
      <x:c r="C10" s="15" t="str">
        <x:v>route build, connect, fault, repair and manual-mode evidence</x:v>
      </x:c>
      <x:c r="D10" s="15" t="str">
        <x:v>RTEA utilities</x:v>
      </x:c>
      <x:c r="E10" s="15" t="str">
        <x:v>10 islands; one lost without cascade</x:v>
      </x:c>
      <x:c r="F10" s="15" t="str">
        <x:v>OPEN</x:v>
      </x:c>
      <x:c r="G10" s="15" t="str">
        <x:v>topology/labor</x:v>
      </x:c>
      <x:c r="H10" s="15" t="str">
        <x:v>wet-site seeded-fault campaign</x:v>
      </x:c>
      <x:c r="I10" s="15" t="str">
        <x:v>change spine/node count</x:v>
      </x:c>
      <x:c r="J10" s="15" t="str">
        <x:v>BLOCK</x:v>
      </x:c>
    </x:row>
    <x:row r="11" ht="54" hidden="0" customHeight="1">
      <x:c r="A11" s="16" t="str">
        <x:v>G07</x:v>
      </x:c>
      <x:c r="B11" s="16" t="str">
        <x:v>Does food work for people?</x:v>
      </x:c>
      <x:c r="C11" s="16" t="str">
        <x:v>nutrition, acceptance, food safety, water, labor and waste</x:v>
      </x:c>
      <x:c r="D11" s="16" t="str">
        <x:v>Public health + civil panel</x:v>
      </x:c>
      <x:c r="E11" s="16" t="str">
        <x:v>declared intake with bounded refusal/waste</x:v>
      </x:c>
      <x:c r="F11" s="16" t="str">
        <x:v>OPEN</x:v>
      </x:c>
      <x:c r="G11" s="16" t="str">
        <x:v>food mass</x:v>
      </x:c>
      <x:c r="H11" s="16" t="str">
        <x:v>representative 72 h feeding trial</x:v>
      </x:c>
      <x:c r="I11" s="16" t="str">
        <x:v>reweight food pathway</x:v>
      </x:c>
      <x:c r="J11" s="16" t="str">
        <x:v>BLOCK</x:v>
      </x:c>
    </x:row>
    <x:row r="12" ht="75.5999984741211" hidden="0" customHeight="1">
      <x:c r="A12" s="15" t="str">
        <x:v>G08</x:v>
      </x:c>
      <x:c r="B12" s="15" t="str">
        <x:v>Does sanitation close residuals?</x:v>
      </x:c>
      <x:c r="C12" s="15" t="str">
        <x:v>pathogen, odor, overflow, storage, treatment and custody data</x:v>
      </x:c>
      <x:c r="D12" s="15" t="str">
        <x:v>Environmental authority</x:v>
      </x:c>
      <x:c r="E12" s="15" t="str">
        <x:v>no uncontrolled release in N-1 node loss</x:v>
      </x:c>
      <x:c r="F12" s="15" t="str">
        <x:v>OPEN</x:v>
      </x:c>
      <x:c r="G12" s="15" t="str">
        <x:v>sanitation mass</x:v>
      </x:c>
      <x:c r="H12" s="15" t="str">
        <x:v>50,000-user equivalent endurance</x:v>
      </x:c>
      <x:c r="I12" s="15" t="str">
        <x:v>increase plant/storage</x:v>
      </x:c>
      <x:c r="J12" s="15" t="str">
        <x:v>BLOCK</x:v>
      </x:c>
    </x:row>
    <x:row r="13" ht="75.5999984741211" hidden="0" customHeight="1">
      <x:c r="A13" s="16" t="str">
        <x:v>G09</x:v>
      </x:c>
      <x:c r="B13" s="16" t="str">
        <x:v>Is workforce shift-complete?</x:v>
      </x:c>
      <x:c r="C13" s="16" t="str">
        <x:v>task observation, fatigue, repair, remote and automation labor</x:v>
      </x:c>
      <x:c r="D13" s="16" t="str">
        <x:v>RTEA human systems</x:v>
      </x:c>
      <x:c r="E13" s="16" t="str">
        <x:v>≤2,500 with safety floors and 72 h endurance</x:v>
      </x:c>
      <x:c r="F13" s="16" t="str">
        <x:v>OPEN</x:v>
      </x:c>
      <x:c r="G13" s="16" t="str">
        <x:v>workforce target</x:v>
      </x:c>
      <x:c r="H13" s="16" t="str">
        <x:v>two-shift full-campus operation</x:v>
      </x:c>
      <x:c r="I13" s="16" t="str">
        <x:v>raise staffing or narrow contract</x:v>
      </x:c>
      <x:c r="J13" s="16" t="str">
        <x:v>BLOCK</x:v>
      </x:c>
    </x:row>
    <x:row r="14" ht="54" hidden="0" customHeight="1">
      <x:c r="A14" s="15" t="str">
        <x:v>G10</x:v>
      </x:c>
      <x:c r="B14" s="15" t="str">
        <x:v>Does service energy close?</x:v>
      </x:c>
      <x:c r="C14" s="15" t="str">
        <x:v>load registry, black start, protection, fuel and heat rejection</x:v>
      </x:c>
      <x:c r="D14" s="15" t="str">
        <x:v>Electrical authority</x:v>
      </x:c>
      <x:c r="E14" s="15" t="str">
        <x:v>65 MW firm; island loss contained</x:v>
      </x:c>
      <x:c r="F14" s="15" t="str">
        <x:v>OPEN</x:v>
      </x:c>
      <x:c r="G14" s="15" t="str">
        <x:v>energy mass</x:v>
      </x:c>
      <x:c r="H14" s="15" t="str">
        <x:v>ten-island source-transfer test</x:v>
      </x:c>
      <x:c r="I14" s="15" t="str">
        <x:v>change source/movement</x:v>
      </x:c>
      <x:c r="J14" s="15" t="str">
        <x:v>BLOCK</x:v>
      </x:c>
    </x:row>
    <x:row r="15" ht="64.80000305175781" hidden="0" customHeight="1">
      <x:c r="A15" s="16" t="str">
        <x:v>G11</x:v>
      </x:c>
      <x:c r="B15" s="16" t="str">
        <x:v>Are common modes bounded?</x:v>
      </x:c>
      <x:c r="C15" s="16" t="str">
        <x:v>controller, fuel, supplier, software and workforce dependency graph</x:v>
      </x:c>
      <x:c r="D15" s="16" t="str">
        <x:v>Campaign Assurance</x:v>
      </x:c>
      <x:c r="E15" s="16" t="str">
        <x:v>no &gt;2-path catastrophic common mode</x:v>
      </x:c>
      <x:c r="F15" s="16" t="str">
        <x:v>OPEN</x:v>
      </x:c>
      <x:c r="G15" s="16" t="str">
        <x:v>N-2 claim</x:v>
      </x:c>
      <x:c r="H15" s="16" t="str">
        <x:v>fault/cyber/supply disruption trial</x:v>
      </x:c>
      <x:c r="I15" s="16" t="str">
        <x:v>add rival stack</x:v>
      </x:c>
      <x:c r="J15" s="16" t="str">
        <x:v>BLOCK</x:v>
      </x:c>
    </x:row>
    <x:row r="16" ht="75.5999984741211" hidden="0" customHeight="1">
      <x:c r="A16" s="15" t="str">
        <x:v>G12</x:v>
      </x:c>
      <x:c r="B16" s="15" t="str">
        <x:v>Can the site be created and restored?</x:v>
      </x:c>
      <x:c r="C16" s="15" t="str">
        <x:v>soil, drainage, accessibility, setup/strike and restoration data</x:v>
      </x:c>
      <x:c r="D16" s="15" t="str">
        <x:v>Environmental/civil authority</x:v>
      </x:c>
      <x:c r="E16" s="15" t="str">
        <x:v>site ready inside movement schedule</x:v>
      </x:c>
      <x:c r="F16" s="15" t="str">
        <x:v>OPEN</x:v>
      </x:c>
      <x:c r="G16" s="15" t="str">
        <x:v>deployment clock</x:v>
      </x:c>
      <x:c r="H16" s="15" t="str">
        <x:v>full 376,000 m² build/strike</x:v>
      </x:c>
      <x:c r="I16" s="15" t="str">
        <x:v>preposition or resize</x:v>
      </x:c>
      <x:c r="J16" s="15" t="str">
        <x:v>BLOCK</x:v>
      </x:c>
    </x:row>
    <x:row r="17" ht="64.80000305175781" hidden="0" customHeight="1">
      <x:c r="A17" s="16" t="str">
        <x:v>G13</x:v>
      </x:c>
      <x:c r="B17" s="16" t="str">
        <x:v>Does the manifest fit modes?</x:v>
      </x:c>
      <x:c r="C17" s="16" t="str">
        <x:v>weighed/volumetric package positions, hazmat and sequence</x:v>
      </x:c>
      <x:c r="D17" s="16" t="str">
        <x:v>Distribution authority</x:v>
      </x:c>
      <x:c r="E17" s="16" t="str">
        <x:v>third air pod by h72 or alternate path</x:v>
      </x:c>
      <x:c r="F17" s="16" t="str">
        <x:v>OPEN</x:v>
      </x:c>
      <x:c r="G17" s="16" t="str">
        <x:v>mobility closure</x:v>
      </x:c>
      <x:c r="H17" s="16" t="str">
        <x:v>mode-specific load-plan trial</x:v>
      </x:c>
      <x:c r="I17" s="16" t="str">
        <x:v>lighter pod or faster cell</x:v>
      </x:c>
      <x:c r="J17" s="16" t="str">
        <x:v>BLOCK</x:v>
      </x:c>
    </x:row>
    <x:row r="18" ht="64.80000305175781" hidden="0" customHeight="1">
      <x:c r="A18" s="15" t="str">
        <x:v>G14</x:v>
      </x:c>
      <x:c r="B18" s="15" t="str">
        <x:v>Does civil transfer work?</x:v>
      </x:c>
      <x:c r="C18" s="15" t="str">
        <x:v>governance, consent, privacy, accessibility and handoff exercise</x:v>
      </x:c>
      <x:c r="D18" s="15" t="str">
        <x:v>Civil Resilience Authority</x:v>
      </x:c>
      <x:c r="E18" s="15" t="str">
        <x:v>bounded lawful operation and accepted transfer</x:v>
      </x:c>
      <x:c r="F18" s="15" t="str">
        <x:v>OPEN</x:v>
      </x:c>
      <x:c r="G18" s="15" t="str">
        <x:v>public legitimacy</x:v>
      </x:c>
      <x:c r="H18" s="15" t="str">
        <x:v>jurisdictional field exercise</x:v>
      </x:c>
      <x:c r="I18" s="15" t="str">
        <x:v>revise authorities</x:v>
      </x:c>
      <x:c r="J18" s="15" t="str">
        <x:v>BLOCK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3" hidden="0" customWidth="1"/>
    <x:col min="3" max="3" width="28" hidden="0" customWidth="1"/>
    <x:col min="4" max="4" width="66" hidden="0" customWidth="1"/>
    <x:col min="5" max="5" width="61" hidden="0" customWidth="1"/>
    <x:col min="6" max="6" width="18" hidden="0" customWidth="1"/>
    <x:col min="7" max="7" width="18" hidden="0" customWidth="1"/>
    <x:col min="8" max="8" width="46" hidden="0" customWidth="1"/>
  </x:cols>
  <x:sheetData>
    <x:row r="1" ht="34" customHeight="1">
      <x:c r="A1" s="40" t="str">
        <x:v>Sources and Assumption Register</x:v>
      </x:c>
      <x:c r="B1" s="40"/>
      <x:c r="C1" s="40"/>
      <x:c r="D1" s="40"/>
      <x:c r="E1" s="40"/>
      <x:c r="F1" s="40"/>
      <x:c r="G1" s="40"/>
      <x:c r="H1" s="40"/>
    </x:row>
    <x:row r="2" ht="31" customHeight="1">
      <x:c r="A2" s="41" t="str">
        <x:v>Primary sources anchor present analogues. Novel pathway values are declared research hypotheses.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 ht="31" customHeight="1">
      <x:c r="A4" s="28" t="str">
        <x:v>Key</x:v>
      </x:c>
      <x:c r="B4" s="28" t="str">
        <x:v>Authority / source</x:v>
      </x:c>
      <x:c r="C4" s="28" t="str">
        <x:v>Model use</x:v>
      </x:c>
      <x:c r="D4" s="28" t="str">
        <x:v>Observed anchor</x:v>
      </x:c>
      <x:c r="E4" s="28" t="str">
        <x:v>URL</x:v>
      </x:c>
      <x:c r="F4" s="28" t="str">
        <x:v>Accessed</x:v>
      </x:c>
      <x:c r="G4" s="28" t="str">
        <x:v>Source class</x:v>
      </x:c>
      <x:c r="H4" s="28" t="str">
        <x:v>Limit</x:v>
      </x:c>
    </x:row>
    <x:row r="5" ht="108" hidden="0" customHeight="1">
      <x:c r="A5" s="16" t="str">
        <x:v>FEMA-SHELTER</x:v>
      </x:c>
      <x:c r="B5" s="16" t="str">
        <x:v>FEMA Short-Term Shelter Resource Typing Definition</x:v>
      </x:c>
      <x:c r="C5" s="16" t="str">
        <x:v>Dormitory geometry and supplemental functions</x:v>
      </x:c>
      <x:c r="D5" s="16" t="str">
        <x:v>40–60 ft² average; up to 100 ft² for disability/access needs; support areas and supplemental sanitation additional</x:v>
      </x:c>
      <x:c r="E5" s="16" t="str">
        <x:v>https://rtlt.preptoolkit.fema.gov/Public/Resource/ViewFile/9-508-1197?a=False&amp;p=2&amp;q=mass+care&amp;s=FemaId&amp;type=Pdf</x:v>
      </x:c>
      <x:c r="F5" s="16" t="str">
        <x:v>2026-09-04</x:v>
      </x:c>
      <x:c r="G5" s="16" t="str">
        <x:v>official current analogue</x:v>
      </x:c>
      <x:c r="H5" s="16" t="str">
        <x:v>Does not specify deployable system mass</x:v>
      </x:c>
    </x:row>
    <x:row r="6" ht="151.1999969482422" hidden="0" customHeight="1">
      <x:c r="A6" s="15" t="str">
        <x:v>ARMY-FPE24</x:v>
      </x:c>
      <x:c r="B6" s="15" t="str">
        <x:v>U.S. Army PdM Force Sustainment Systems Fact Book</x:v>
      </x:c>
      <x:c r="C6" s="15" t="str">
        <x:v>Complete deployable camp reference</x:v>
      </x:c>
      <x:c r="D6" s="15" t="str">
        <x:v>150-person system: tents, kitchen, latrine, shower, laundry, power; user still supplies food, water, fuel, trash and blackwater disposal</x:v>
      </x:c>
      <x:c r="E6" s="15" t="str">
        <x:v>https://www.peocscss.army.mil/assets/PM-FSS-Factbook-30JUL2024.pdf</x:v>
      </x:c>
      <x:c r="F6" s="15" t="str">
        <x:v>2026-09-04</x:v>
      </x:c>
      <x:c r="G6" s="15" t="str">
        <x:v>official current analogue</x:v>
      </x:c>
      <x:c r="H6" s="15" t="str">
        <x:v>Military billeting is not public shelter; mass not complete in source</x:v>
      </x:c>
    </x:row>
    <x:row r="7" ht="75.5999984741211" hidden="0" customHeight="1">
      <x:c r="A7" s="16" t="str">
        <x:v>FEMA-KITCHEN</x:v>
      </x:c>
      <x:c r="B7" s="16" t="str">
        <x:v>FEMA Field Kitchen Unit Resource Typing</x:v>
      </x:c>
      <x:c r="C7" s="16" t="str">
        <x:v>Prepared-meal node and staffing analogue</x:v>
      </x:c>
      <x:c r="D7" s="16" t="str">
        <x:v>Type 2 up to 20,000 meals/day; typed team size used as present-practice screen</x:v>
      </x:c>
      <x:c r="E7" s="16" t="str">
        <x:v>https://rtlt.preptoolkit.fema.gov/Public/Resource/View/9-508-1000?q=mass+care</x:v>
      </x:c>
      <x:c r="F7" s="16" t="str">
        <x:v>2026-09-04</x:v>
      </x:c>
      <x:c r="G7" s="16" t="str">
        <x:v>official current analogue</x:v>
      </x:c>
      <x:c r="H7" s="16" t="str">
        <x:v>Fixed-node support dependencies remain local/requestor burden</x:v>
      </x:c>
    </x:row>
    <x:row r="8" ht="129.60000610351562" hidden="0" customHeight="1">
      <x:c r="A8" s="15" t="str">
        <x:v>DOE-MICROGRID</x:v>
      </x:c>
      <x:c r="B8" s="15" t="str">
        <x:v>U.S. Department of Energy Microgrid Systems</x:v>
      </x:c>
      <x:c r="C8" s="15" t="str">
        <x:v>Generation-agnostic island architecture</x:v>
      </x:c>
      <x:c r="D8" s="15" t="str">
        <x:v>Controllable electrical boundary can operate grid-connected or islanded using local resources and intelligent controls</x:v>
      </x:c>
      <x:c r="E8" s="15" t="str">
        <x:v>https://www.energy.gov/oe/microgrid-systems</x:v>
      </x:c>
      <x:c r="F8" s="15" t="str">
        <x:v>2026-09-04</x:v>
      </x:c>
      <x:c r="G8" s="15" t="str">
        <x:v>official technical anchor</x:v>
      </x:c>
      <x:c r="H8" s="15" t="str">
        <x:v>Does not validate mobile 65 MW system</x:v>
      </x:c>
    </x:row>
    <x:row r="9" ht="97.19999694824219" hidden="0" customHeight="1">
      <x:c r="A9" s="16" t="str">
        <x:v>DOE-ISLAND</x:v>
      </x:c>
      <x:c r="B9" s="16" t="str">
        <x:v>DOE Islanding a Microgrid</x:v>
      </x:c>
      <x:c r="C9" s="16" t="str">
        <x:v>Black start, load shedding and protection logic</x:v>
      </x:c>
      <x:c r="D9" s="16" t="str">
        <x:v>Critical feeders, grid-forming sources and noncritical load shedding are operational functions</x:v>
      </x:c>
      <x:c r="E9" s="16" t="str">
        <x:v>https://www.energy.gov/cmei/femp/articles/islanding-microgrid</x:v>
      </x:c>
      <x:c r="F9" s="16" t="str">
        <x:v>2026-09-04</x:v>
      </x:c>
      <x:c r="G9" s="16" t="str">
        <x:v>official technical anchor</x:v>
      </x:c>
      <x:c r="H9" s="16" t="str">
        <x:v>Illustrative campus case, not expeditionary proof</x:v>
      </x:c>
    </x:row>
    <x:row r="10" ht="75.5999984741211" hidden="0" customHeight="1">
      <x:c r="A10" s="15" t="str">
        <x:v>PASS28</x:v>
      </x:c>
      <x:c r="B10" s="15" t="str">
        <x:v>Disaster Force Pass 28 service-entry pod model</x:v>
      </x:c>
      <x:c r="C10" s="15" t="str">
        <x:v>Pod effect and mass baseline</x:v>
      </x:c>
      <x:c r="D10" s="15" t="str">
        <x:v>9,870.56 t bridge pod; 11,738.09 t essential screen; 10 pods required</x:v>
      </x:c>
      <x:c r="E10" s="15" t="str">
        <x:v>../../models/service-entry-pod-configuration-model.xlsx</x:v>
      </x:c>
      <x:c r="F10" s="15" t="str">
        <x:v>2026-09-04</x:v>
      </x:c>
      <x:c r="G10" s="15" t="str">
        <x:v>internal model lineage</x:v>
      </x:c>
      <x:c r="H10" s="15" t="str">
        <x:v>R2+ configuration arithmetic</x:v>
      </x:c>
    </x:row>
    <x:row r="11" ht="129.60000610351562" hidden="0" customHeight="1">
      <x:c r="A11" s="16" t="str">
        <x:v>ASSUMPTIONS</x:v>
      </x:c>
      <x:c r="B11" s="16" t="str">
        <x:v>This workbook controls and pathway tables</x:v>
      </x:c>
      <x:c r="C11" s="16" t="str">
        <x:v>Novel system screens</x:v>
      </x:c>
      <x:c r="D11" s="16" t="str">
        <x:v>Mass intensities, accessible share, support factor, water increments, workforce reductions and technology targets</x:v>
      </x:c>
      <x:c r="E11" s="16" t="str">
        <x:v>Controls; Shelter Pathways; Food Pathways; Shift Roster</x:v>
      </x:c>
      <x:c r="F11" s="16" t="str">
        <x:v>2026-09-04</x:v>
      </x:c>
      <x:c r="G11" s="16" t="str">
        <x:v>declared hypothesis</x:v>
      </x:c>
      <x:c r="H11" s="16" t="str">
        <x:v>Must not be presented as observed performance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15" hidden="0" customWidth="1"/>
    <x:col min="5" max="5" width="18" hidden="0" customWidth="1"/>
    <x:col min="6" max="6" width="48" hidden="0" customWidth="1"/>
  </x:cols>
  <x:sheetData>
    <x:row r="1" ht="34" customHeight="1">
      <x:c r="A1" s="40" t="str">
        <x:v>Model Integrity Checks</x:v>
      </x:c>
      <x:c r="B1" s="40"/>
      <x:c r="C1" s="40"/>
      <x:c r="D1" s="40"/>
      <x:c r="E1" s="40"/>
      <x:c r="F1" s="40"/>
    </x:row>
    <x:row r="2" ht="31" customHeight="1">
      <x:c r="A2" s="41" t="str">
        <x:v>These checks validate declared arithmetic and traceability—not physical feasibility.</x:v>
      </x:c>
      <x:c r="B2" s="41"/>
      <x:c r="C2" s="41"/>
      <x:c r="D2" s="41"/>
      <x:c r="E2" s="41"/>
      <x:c r="F2" s="41"/>
    </x:row>
    <x:row r="3">
      <x:c r="A3" s="42"/>
      <x:c r="B3" s="42"/>
      <x:c r="C3" s="42"/>
      <x:c r="D3" s="42"/>
      <x:c r="E3" s="42"/>
      <x:c r="F3" s="42"/>
    </x:row>
    <x:row r="4" ht="31" customHeight="1">
      <x:c r="A4" s="28" t="str">
        <x:v>Check</x:v>
      </x:c>
      <x:c r="B4" s="28" t="str">
        <x:v>Calculated</x:v>
      </x:c>
      <x:c r="C4" s="28" t="str">
        <x:v>Expected / rule</x:v>
      </x:c>
      <x:c r="D4" s="28" t="str">
        <x:v>Result</x:v>
      </x:c>
      <x:c r="E4" s="28" t="str">
        <x:v>Scope</x:v>
      </x:c>
      <x:c r="F4" s="28" t="str">
        <x:v>Interpretation</x:v>
      </x:c>
    </x:row>
    <x:row r="5" ht="32.400001525878906" hidden="0" customHeight="1">
      <x:c r="A5" s="16" t="str">
        <x:v>Sheet count</x:v>
      </x:c>
      <x:c r="B5" s="16" t="n">
        <x:v>21</x:v>
      </x:c>
      <x:c r="C5" s="16" t="n">
        <x:v>21</x:v>
      </x:c>
      <x:c r="D5" s="16" t="str">
        <x:f>IF(ABS(B5-C5)&lt;0.01,"PASS","FAIL")</x:f>
        <x:v>PASS</x:v>
      </x:c>
      <x:c r="E5" s="16" t="str">
        <x:v>structure</x:v>
      </x:c>
      <x:c r="F5" s="16" t="str">
        <x:v>All model layers present</x:v>
      </x:c>
    </x:row>
    <x:row r="6" ht="32.400001525878906" hidden="0" customHeight="1">
      <x:c r="A6" s="15" t="str">
        <x:v>Cohorts reconcile</x:v>
      </x:c>
      <x:c r="B6" s="15" t="n">
        <x:f>'Service Cohorts'!B5+'Service Cohorts'!B6</x:f>
        <x:v>260000</x:v>
      </x:c>
      <x:c r="C6" s="15" t="n">
        <x:v>260000</x:v>
      </x:c>
      <x:c r="D6" s="15" t="str">
        <x:f>IF(ABS(B6-C6)&lt;0.01,"PASS","FAIL")</x:f>
        <x:v>PASS</x:v>
      </x:c>
      <x:c r="E6" s="15" t="str">
        <x:v>effect</x:v>
      </x:c>
      <x:c r="F6" s="15" t="str">
        <x:v>50k resident + 210k community</x:v>
      </x:c>
    </x:row>
    <x:row r="7" ht="21.600000381469727" hidden="0" customHeight="1">
      <x:c r="A7" s="16" t="str">
        <x:v>District population</x:v>
      </x:c>
      <x:c r="B7" s="16" t="n">
        <x:f>'Controls'!B19*1000</x:f>
        <x:v>50000</x:v>
      </x:c>
      <x:c r="C7" s="16" t="n">
        <x:v>50000</x:v>
      </x:c>
      <x:c r="D7" s="16" t="str">
        <x:f>IF(ABS(B7-C7)&lt;0.01,"PASS","FAIL")</x:f>
        <x:v>PASS</x:v>
      </x:c>
      <x:c r="E7" s="16" t="str">
        <x:v>topology</x:v>
      </x:c>
      <x:c r="F7" s="16" t="str">
        <x:v>50 × 1,000</x:v>
      </x:c>
    </x:row>
    <x:row r="8" ht="21.600000381469727" hidden="0" customHeight="1">
      <x:c r="A8" s="15" t="str">
        <x:v>Shelter area positive</x:v>
      </x:c>
      <x:c r="B8" s="15" t="n">
        <x:f>'Shelter Geometry'!C10</x:f>
        <x:v>376257.15</x:v>
      </x:c>
      <x:c r="C8" s="15" t="n">
        <x:v>1</x:v>
      </x:c>
      <x:c r="D8" s="15" t="str">
        <x:f>IF(B8&gt;0,"PASS","FAIL")</x:f>
        <x:v>PASS</x:v>
      </x:c>
      <x:c r="E8" s="15" t="str">
        <x:v>geometry</x:v>
      </x:c>
      <x:c r="F8" s="15" t="str">
        <x:v>&gt;0</x:v>
      </x:c>
    </x:row>
    <x:row r="9" ht="21.600000381469727" hidden="0" customHeight="1">
      <x:c r="A9" s="16" t="str">
        <x:v>Hybrid kitchens</x:v>
      </x:c>
      <x:c r="B9" s="16" t="n">
        <x:f>'Food Pathways'!H6</x:f>
        <x:v>8</x:v>
      </x:c>
      <x:c r="C9" s="16" t="n">
        <x:v>8</x:v>
      </x:c>
      <x:c r="D9" s="16" t="str">
        <x:f>IF(ABS(B9-C9)&lt;0.01,"PASS","FAIL")</x:f>
        <x:v>PASS</x:v>
      </x:c>
      <x:c r="E9" s="16" t="str">
        <x:v>food</x:v>
      </x:c>
      <x:c r="F9" s="16" t="str">
        <x:v>ceil(150,000/20,000)</x:v>
      </x:c>
    </x:row>
    <x:row r="10" ht="32.400001525878906" hidden="0" customHeight="1">
      <x:c r="A10" s="15" t="str">
        <x:v>Water within production</x:v>
      </x:c>
      <x:c r="B10" s="15" t="n">
        <x:f>'Water Sanitation'!D11</x:f>
        <x:v>1504.4645</x:v>
      </x:c>
      <x:c r="C10" s="15" t="n">
        <x:v>2000</x:v>
      </x:c>
      <x:c r="D10" s="15" t="str">
        <x:f>IF(B10&lt;=C10,"PASS","FAIL")</x:f>
        <x:v>PASS</x:v>
      </x:c>
      <x:c r="E10" s="15" t="str">
        <x:v>water</x:v>
      </x:c>
      <x:c r="F10" s="15" t="str">
        <x:v>campus demand ≤ contract</x:v>
      </x:c>
    </x:row>
    <x:row r="11" ht="32.400001525878906" hidden="0" customHeight="1">
      <x:c r="A11" s="16" t="str">
        <x:v>Workforce roster current</x:v>
      </x:c>
      <x:c r="B11" s="16" t="n">
        <x:f>'Shift Roster'!E16</x:f>
        <x:v>6742</x:v>
      </x:c>
      <x:c r="C11" s="16" t="n">
        <x:v>6742</x:v>
      </x:c>
      <x:c r="D11" s="16" t="str">
        <x:f>IF(ABS(B11-C11)&lt;0.01,"PASS","FAIL")</x:f>
        <x:v>PASS</x:v>
      </x:c>
      <x:c r="E11" s="16" t="str">
        <x:v>labor</x:v>
      </x:c>
      <x:c r="F11" s="16" t="str">
        <x:v>sum of posts × relief</x:v>
      </x:c>
    </x:row>
    <x:row r="12" ht="32.400001525878906" hidden="0" customHeight="1">
      <x:c r="A12" s="15" t="str">
        <x:v>Transform workforce adverse</x:v>
      </x:c>
      <x:c r="B12" s="15" t="n">
        <x:f>'Shift Roster'!I16</x:f>
        <x:v>2694</x:v>
      </x:c>
      <x:c r="C12" s="15" t="n">
        <x:v>2500</x:v>
      </x:c>
      <x:c r="D12" s="15" t="str">
        <x:f>IF(B12&gt;C12,"PASS","FAIL")</x:f>
        <x:v>PASS</x:v>
      </x:c>
      <x:c r="E12" s="15" t="str">
        <x:v>labor</x:v>
      </x:c>
      <x:c r="F12" s="15" t="str">
        <x:v>must remain &gt; target until proved</x:v>
      </x:c>
    </x:row>
    <x:row r="13" ht="21.600000381469727" hidden="0" customHeight="1">
      <x:c r="A13" s="16" t="str">
        <x:v>Air mass ceiling</x:v>
      </x:c>
      <x:c r="B13" s="16" t="n">
        <x:f>'Mobility Ceiling'!E5</x:f>
        <x:v>12048.75</x:v>
      </x:c>
      <x:c r="C13" s="16" t="n">
        <x:v>12048.75</x:v>
      </x:c>
      <x:c r="D13" s="16" t="str">
        <x:f>IF(ABS(B13-C13)&lt;0.01,"PASS","FAIL")</x:f>
        <x:v>PASS</x:v>
      </x:c>
      <x:c r="E13" s="16" t="str">
        <x:v>mobility</x:v>
      </x:c>
      <x:c r="F13" s="16" t="str">
        <x:v>669.375 × 54 / 3</x:v>
      </x:c>
    </x:row>
    <x:row r="14" ht="21.600000381469727" hidden="0" customHeight="1">
      <x:c r="A14" s="15" t="str">
        <x:v>Offshore mass ceiling</x:v>
      </x:c>
      <x:c r="B14" s="15" t="n">
        <x:f>'Mobility Ceiling'!E6</x:f>
        <x:v>11781</x:v>
      </x:c>
      <x:c r="C14" s="15" t="n">
        <x:v>11781</x:v>
      </x:c>
      <x:c r="D14" s="15" t="str">
        <x:f>IF(ABS(B14-C14)&lt;0.01,"PASS","FAIL")</x:f>
        <x:v>PASS</x:v>
      </x:c>
      <x:c r="E14" s="15" t="str">
        <x:v>mobility</x:v>
      </x:c>
      <x:c r="F14" s="15" t="str">
        <x:v>841.5 × 42 / 3</x:v>
      </x:c>
    </x:row>
    <x:row r="15" ht="32.400001525878906" hidden="0" customHeight="1">
      <x:c r="A15" s="16" t="str">
        <x:v>Configured independent fails by 72</x:v>
      </x:c>
      <x:c r="B15" s="16" t="n">
        <x:f>'N-2 Delivery'!B23</x:f>
        <x:v>8</x:v>
      </x:c>
      <x:c r="C15" s="16" t="n">
        <x:v>10</x:v>
      </x:c>
      <x:c r="D15" s="16" t="str">
        <x:f>IF(B15&lt;C15,"PASS","FAIL")</x:f>
        <x:v>PASS</x:v>
      </x:c>
      <x:c r="E15" s="16" t="str">
        <x:v>mission</x:v>
      </x:c>
      <x:c r="F15" s="16" t="str">
        <x:v>minimum delivered pods &lt;10</x:v>
      </x:c>
    </x:row>
    <x:row r="16" ht="32.400001525878906" hidden="0" customHeight="1">
      <x:c r="A16" s="15" t="str">
        <x:v>Technology target within air ceiling</x:v>
      </x:c>
      <x:c r="B16" s="15" t="n">
        <x:f>'Mobility Ceiling'!I5</x:f>
        <x:v>230.54569999999876</x:v>
      </x:c>
      <x:c r="C16" s="15" t="n">
        <x:v>0</x:v>
      </x:c>
      <x:c r="D16" s="15" t="str">
        <x:f>IF(B16&gt;=C16,"PASS","FAIL")</x:f>
        <x:v>PASS</x:v>
      </x:c>
      <x:c r="E16" s="15" t="str">
        <x:v>research target</x:v>
      </x:c>
      <x:c r="F16" s="15" t="str">
        <x:v>air margin ≥0</x:v>
      </x:c>
    </x:row>
    <x:row r="17" ht="21.600000381469727" hidden="0" customHeight="1">
      <x:c r="A17" s="16" t="str">
        <x:v>All gates open</x:v>
      </x:c>
      <x:c r="B17" s="16" t="n">
        <x:f>COUNTIF('Evidence Gates'!F5:F18,"OPEN")</x:f>
        <x:v>14</x:v>
      </x:c>
      <x:c r="C17" s="16" t="n">
        <x:v>14</x:v>
      </x:c>
      <x:c r="D17" s="16" t="str">
        <x:f>IF(ABS(B17-C17)&lt;0.01,"PASS","FAIL")</x:f>
        <x:v>PASS</x:v>
      </x:c>
      <x:c r="E17" s="16" t="str">
        <x:v>evidence</x:v>
      </x:c>
      <x:c r="F17" s="16" t="str">
        <x:v>no premature maturity</x:v>
      </x:c>
    </x:row>
    <x:row r="18" ht="21.600000381469727" hidden="0" customHeight="1">
      <x:c r="A18" s="15" t="str">
        <x:v>Rendering prohibited</x:v>
      </x:c>
      <x:c r="B18" s="15" t="n">
        <x:f>'Controls'!B33</x:f>
        <x:v>0</x:v>
      </x:c>
      <x:c r="C18" s="15" t="n">
        <x:v>0</x:v>
      </x:c>
      <x:c r="D18" s="15" t="str">
        <x:f>IF(ABS(B18-C18)&lt;0.01,"PASS","FAIL")</x:f>
        <x:v>PASS</x:v>
      </x:c>
      <x:c r="E18" s="15" t="str">
        <x:v>governance</x:v>
      </x:c>
      <x:c r="F18" s="15" t="str">
        <x:v>authorization =0</x:v>
      </x:c>
    </x:row>
    <x:row r="19">
      <x:c r="A19" s="42"/>
      <x:c r="B19" s="42"/>
      <x:c r="C19" s="42"/>
      <x:c r="D19" s="42"/>
      <x:c r="E19" s="42"/>
      <x:c r="F19" s="42"/>
    </x:row>
    <x:row r="20" ht="33" customHeight="1">
      <x:c r="A20" s="44" t="str">
        <x:v>A PASS here means the workbook behaves as declared. Fourteen operational evidence gates remain OPEN and rendering authorization remains zero.</x:v>
      </x:c>
      <x:c r="B20" s="44"/>
      <x:c r="C20" s="44"/>
      <x:c r="D20" s="44"/>
      <x:c r="E20" s="44"/>
      <x:c r="F20" s="44"/>
    </x:row>
  </x:sheetData>
  <x:mergeCells>
    <x:mergeCell ref="A1:F1"/>
    <x:mergeCell ref="A2:F2"/>
    <x:mergeCell ref="A20:F20"/>
  </x:mergeCells>
  <x:pageMargins left="0.7" right="0.7" top="0.75" bottom="0.75" header="0.3" footer="0.3"/>
</x:worksheet>
</file>