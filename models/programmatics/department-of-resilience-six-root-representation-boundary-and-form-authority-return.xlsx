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Root Register" sheetId="3" state="visible" r:id="rId5"/>
    <sheet name="Representation Ladder" sheetId="4" state="visible" r:id="rId6"/>
    <sheet name="Representation Register" sheetId="5" state="visible" r:id="rId7"/>
    <sheet name="Hypothesis Sets" sheetId="6" state="visible" r:id="rId8"/>
    <sheet name="View Grammar" sheetId="7" state="visible" r:id="rId9"/>
    <sheet name="Claim Matrix" sheetId="8" state="visible" r:id="rId10"/>
    <sheet name="Construction Boundary" sheetId="9" state="visible" r:id="rId11"/>
    <sheet name="Nonconversion Laws" sheetId="10" state="visible" r:id="rId12"/>
    <sheet name="Rollback" sheetId="11" state="visible" r:id="rId13"/>
    <sheet name="Finance" sheetId="12" state="visible" r:id="rId14"/>
    <sheet name="Release Gates" sheetId="13" state="visible" r:id="rId15"/>
    <sheet name="Mutations" sheetId="14" state="visible" r:id="rId16"/>
    <sheet name="Audit" sheetId="15" state="visible" r:id="rId17"/>
    <sheet name="Sources &amp; Limit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<sst xmlns="http://schemas.openxmlformats.org/spreadsheetml/2006/main" count="2295" uniqueCount="975">
  <si>
    <t xml:space="preserve">Six-root representation boundary and form-authority return</t>
  </si>
  <si>
    <t xml:space="preserve">Decision</t>
  </si>
  <si>
    <t xml:space="preserve">Value</t>
  </si>
  <si>
    <t xml:space="preserve">Unit</t>
  </si>
  <si>
    <t xml:space="preserve">State</t>
  </si>
  <si>
    <t xml:space="preserve">representation classes</t>
  </si>
  <si>
    <t xml:space="preserve">count</t>
  </si>
  <si>
    <t xml:space="preserve">CONSTITUTED</t>
  </si>
  <si>
    <t xml:space="preserve">Decision
The blanket prohibition on rendering has completed its purpose. Before performance evidence, the Department may publish service maps, causal diagrams, instrumented test sections and one equal-salience set of three mechanically divergent whole-form hypotheses per root. Every hypothesis must expose uncertainty and remain unselected. As-built records, evidence-qualified candidate exteriors, mission configurations and fleet imagery remain held.</t>
  </si>
  <si>
    <t xml:space="preserve">root-class records</t>
  </si>
  <si>
    <t xml:space="preserve">COMPLETE</t>
  </si>
  <si>
    <t xml:space="preserve">currently authorized records</t>
  </si>
  <si>
    <t xml:space="preserve">NOT ISSUED</t>
  </si>
  <si>
    <t xml:space="preserve">held records</t>
  </si>
  <si>
    <t xml:space="preserve">EVIDENCE OR WARRANT REQUIRED</t>
  </si>
  <si>
    <t xml:space="preserve">rival form hypotheses</t>
  </si>
  <si>
    <t xml:space="preserve">AUTHORIZED / NOT ISSUED</t>
  </si>
  <si>
    <t xml:space="preserve">selected hypotheses</t>
  </si>
  <si>
    <t xml:space="preserve">ZERO</t>
  </si>
  <si>
    <t xml:space="preserve">incremental ceiling</t>
  </si>
  <si>
    <t xml:space="preserve">USD B</t>
  </si>
  <si>
    <t xml:space="preserve">physical observations</t>
  </si>
  <si>
    <t xml:space="preserve">Class</t>
  </si>
  <si>
    <t xml:space="preserve">Artifact</t>
  </si>
  <si>
    <t xml:space="preserve">Minimum variants</t>
  </si>
  <si>
    <t xml:space="preserve">Eligible roots</t>
  </si>
  <si>
    <t xml:space="preserve">Issued</t>
  </si>
  <si>
    <t xml:space="preserve">Claim ceiling</t>
  </si>
  <si>
    <t xml:space="preserve">Representation and authority controls</t>
  </si>
  <si>
    <t xml:space="preserve">Blue values are controlled constitutional inputs. Zero evidence and implementation states are real holds, not missing values converted to zero.</t>
  </si>
  <si>
    <t xml:space="preserve">Control</t>
  </si>
  <si>
    <t xml:space="preserve">Authority</t>
  </si>
  <si>
    <t xml:space="preserve">roots</t>
  </si>
  <si>
    <t xml:space="preserve">Pass 216</t>
  </si>
  <si>
    <t xml:space="preserve">accounts per root</t>
  </si>
  <si>
    <t xml:space="preserve">Pass 217</t>
  </si>
  <si>
    <t xml:space="preserve">worlds per account</t>
  </si>
  <si>
    <t xml:space="preserve">cells required per root</t>
  </si>
  <si>
    <t xml:space="preserve">direct arithmetic</t>
  </si>
  <si>
    <t xml:space="preserve">design-close cells</t>
  </si>
  <si>
    <t xml:space="preserve">Pass 219</t>
  </si>
  <si>
    <t xml:space="preserve">measurement-ready cells</t>
  </si>
  <si>
    <t xml:space="preserve">measurement specifications</t>
  </si>
  <si>
    <t xml:space="preserve">minimum rival hypotheses per root</t>
  </si>
  <si>
    <t xml:space="preserve">Pass 220 decision</t>
  </si>
  <si>
    <t xml:space="preserve">hypothesis representation authority</t>
  </si>
  <si>
    <t xml:space="preserve">binary</t>
  </si>
  <si>
    <t xml:space="preserve">Pass 220 narrow release</t>
  </si>
  <si>
    <t xml:space="preserve">selected exterior authority</t>
  </si>
  <si>
    <t xml:space="preserve">held</t>
  </si>
  <si>
    <t xml:space="preserve">production exterior authority</t>
  </si>
  <si>
    <t xml:space="preserve">representation artifacts issued</t>
  </si>
  <si>
    <t xml:space="preserve">none created in this pass</t>
  </si>
  <si>
    <t xml:space="preserve">sites admitted</t>
  </si>
  <si>
    <t xml:space="preserve">source empty</t>
  </si>
  <si>
    <t xml:space="preserve">firms admitted</t>
  </si>
  <si>
    <t xml:space="preserve">awards</t>
  </si>
  <si>
    <t xml:space="preserve">capability credit</t>
  </si>
  <si>
    <t xml:space="preserve">production credit</t>
  </si>
  <si>
    <t xml:space="preserve">force quantity credit</t>
  </si>
  <si>
    <t xml:space="preserve">option ceiling</t>
  </si>
  <si>
    <t xml:space="preserve">Pass 215</t>
  </si>
  <si>
    <t xml:space="preserve">FRAME share</t>
  </si>
  <si>
    <t xml:space="preserve">share</t>
  </si>
  <si>
    <t xml:space="preserve">FRAME ceiling</t>
  </si>
  <si>
    <t xml:space="preserve">accepted authority</t>
  </si>
  <si>
    <t xml:space="preserve">paid authority</t>
  </si>
  <si>
    <t xml:space="preserve">Six root states at the form boundary</t>
  </si>
  <si>
    <t xml:space="preserve">The first four predicates authorize hypothesis work. Every physical, evidentiary, production and readiness predicate remains empty.</t>
  </si>
  <si>
    <t xml:space="preserve">System</t>
  </si>
  <si>
    <t xml:space="preserve">Root</t>
  </si>
  <si>
    <t xml:space="preserve">Article</t>
  </si>
  <si>
    <t xml:space="preserve">Option ceiling USD B</t>
  </si>
  <si>
    <t xml:space="preserve">Requirement constituted</t>
  </si>
  <si>
    <t xml:space="preserve">Section frozen</t>
  </si>
  <si>
    <t xml:space="preserve">Protocols complete</t>
  </si>
  <si>
    <t xml:space="preserve">Rival-set grammar</t>
  </si>
  <si>
    <t xml:space="preserve">Built serial</t>
  </si>
  <si>
    <t xml:space="preserve">As-built metrology</t>
  </si>
  <si>
    <t xml:space="preserve">Accepted cells</t>
  </si>
  <si>
    <t xml:space="preserve">Cells required</t>
  </si>
  <si>
    <t xml:space="preserve">SURVIVE disposition</t>
  </si>
  <si>
    <t xml:space="preserve">Cold return</t>
  </si>
  <si>
    <t xml:space="preserve">Mission evidence</t>
  </si>
  <si>
    <t xml:space="preserve">Production warrant</t>
  </si>
  <si>
    <t xml:space="preserve">Readiness warrant</t>
  </si>
  <si>
    <t xml:space="preserve">Controlling section</t>
  </si>
  <si>
    <t xml:space="preserve">MS-ET</t>
  </si>
  <si>
    <t xml:space="preserve">ET-A</t>
  </si>
  <si>
    <t xml:space="preserve">Pelagic exchange cell</t>
  </si>
  <si>
    <t xml:space="preserve">two complete motion-decoupled exchange paths</t>
  </si>
  <si>
    <t xml:space="preserve">MS-CT</t>
  </si>
  <si>
    <t xml:space="preserve">CT-C</t>
  </si>
  <si>
    <t xml:space="preserve">Occupied-building utility-spine sector</t>
  </si>
  <si>
    <t xml:space="preserve">seven isolated energy cells and five fault-contained trunks</t>
  </si>
  <si>
    <t xml:space="preserve">MS-HC</t>
  </si>
  <si>
    <t xml:space="preserve">HC-A</t>
  </si>
  <si>
    <t xml:space="preserve">Atmospheric intervention cell</t>
  </si>
  <si>
    <t xml:space="preserve">five attributable held-line sectors and eight energy cells</t>
  </si>
  <si>
    <t xml:space="preserve">MS-LF</t>
  </si>
  <si>
    <t xml:space="preserve">LF-B</t>
  </si>
  <si>
    <t xml:space="preserve">Geothermal source position</t>
  </si>
  <si>
    <t xml:space="preserve">nine access slots, four conversion cells, two water paths and paired three-cell trains</t>
  </si>
  <si>
    <t xml:space="preserve">MS-HU</t>
  </si>
  <si>
    <t xml:space="preserve">HU-A</t>
  </si>
  <si>
    <t xml:space="preserve">Complete clinical island</t>
  </si>
  <si>
    <t xml:space="preserve">eight access cells, ten care lines and six utility cells</t>
  </si>
  <si>
    <t xml:space="preserve">MS-RT</t>
  </si>
  <si>
    <t xml:space="preserve">RT-B</t>
  </si>
  <si>
    <t xml:space="preserve">Disconnected microfactory mesh</t>
  </si>
  <si>
    <t xml:space="preserve">seven process-energy cells and five complete process meshes</t>
  </si>
  <si>
    <t xml:space="preserve">Eight representation classes and their claim ceilings</t>
  </si>
  <si>
    <t xml:space="preserve">The blanket rendering ban ends only for equal-salience hypothesis sets. A supported exterior still requires evidence and cold reconstruction.</t>
  </si>
  <si>
    <t xml:space="preserve">Rank</t>
  </si>
  <si>
    <t xml:space="preserve">Permitted before performance evidence</t>
  </si>
  <si>
    <t xml:space="preserve">Complete outline</t>
  </si>
  <si>
    <t xml:space="preserve">Test geometry claim</t>
  </si>
  <si>
    <t xml:space="preserve">Performance claim</t>
  </si>
  <si>
    <t xml:space="preserve">Mission capacity claim</t>
  </si>
  <si>
    <t xml:space="preserve">Production or fleet claim</t>
  </si>
  <si>
    <t xml:space="preserve">Entry rule</t>
  </si>
  <si>
    <t xml:space="preserve">Rollback trigger</t>
  </si>
  <si>
    <t xml:space="preserve">Maximum claim</t>
  </si>
  <si>
    <t xml:space="preserve">Issued artifacts</t>
  </si>
  <si>
    <t xml:space="preserve">REP-0</t>
  </si>
  <si>
    <t xml:space="preserve">Service condition record</t>
  </si>
  <si>
    <t xml:space="preserve">constituted public-service denominator</t>
  </si>
  <si>
    <t xml:space="preserve">requirement changes</t>
  </si>
  <si>
    <t xml:space="preserve">service need only</t>
  </si>
  <si>
    <t xml:space="preserve">REP-1</t>
  </si>
  <si>
    <t xml:space="preserve">Causal topology</t>
  </si>
  <si>
    <t xml:space="preserve">frozen boundary, loads, interfaces and denial set</t>
  </si>
  <si>
    <t xml:space="preserve">causal section changes</t>
  </si>
  <si>
    <t xml:space="preserve">relationships and flows</t>
  </si>
  <si>
    <t xml:space="preserve">REP-2</t>
  </si>
  <si>
    <t xml:space="preserve">Instrumented falsification section</t>
  </si>
  <si>
    <t xml:space="preserve">complete section bills and executable protocols</t>
  </si>
  <si>
    <t xml:space="preserve">section bill or protocol changes</t>
  </si>
  <si>
    <t xml:space="preserve">test geometry only</t>
  </si>
  <si>
    <t xml:space="preserve">REP-3</t>
  </si>
  <si>
    <t xml:space="preserve">Equal-salience rival form set</t>
  </si>
  <si>
    <t xml:space="preserve">REP-2 plus three mechanically divergent hypotheses</t>
  </si>
  <si>
    <t xml:space="preserve">set loses plurality, equality or uncertainty marking</t>
  </si>
  <si>
    <t xml:space="preserve">whole form as unselected hypothesis</t>
  </si>
  <si>
    <t xml:space="preserve">REP-4</t>
  </si>
  <si>
    <t xml:space="preserve">As-built experimental record</t>
  </si>
  <si>
    <t xml:space="preserve">serialized article and accepted as-built metrology</t>
  </si>
  <si>
    <t xml:space="preserve">article changes after record</t>
  </si>
  <si>
    <t xml:space="preserve">actual test article only</t>
  </si>
  <si>
    <t xml:space="preserve">REP-5</t>
  </si>
  <si>
    <t xml:space="preserve">Evidence-qualified candidate form</t>
  </si>
  <si>
    <t xml:space="preserve">24 accepted cells, SURVIVE disposition and cold return</t>
  </si>
  <si>
    <t xml:space="preserve">evidence or independence reverses</t>
  </si>
  <si>
    <t xml:space="preserve">one supported root configuration</t>
  </si>
  <si>
    <t xml:space="preserve">REP-6</t>
  </si>
  <si>
    <t xml:space="preserve">Complete mission configuration</t>
  </si>
  <si>
    <t xml:space="preserve">REP-5 plus route-complete mission evidence</t>
  </si>
  <si>
    <t xml:space="preserve">receiver or interface evidence reverses</t>
  </si>
  <si>
    <t xml:space="preserve">one supported mission chain</t>
  </si>
  <si>
    <t xml:space="preserve">REP-7</t>
  </si>
  <si>
    <t xml:space="preserve">Production and fleet exterior</t>
  </si>
  <si>
    <t xml:space="preserve">REP-6 plus production and readiness warrants</t>
  </si>
  <si>
    <t xml:space="preserve">baseline or readiness warrant rolls back</t>
  </si>
  <si>
    <t xml:space="preserve">produced and ready configuration</t>
  </si>
  <si>
    <t xml:space="preserve">Forty-eight root-by-class authority records</t>
  </si>
  <si>
    <t xml:space="preserve">Authorization allows a bounded artifact to be commissioned. It does not mean an artifact exists, has been accepted or can support a higher claim.</t>
  </si>
  <si>
    <t xml:space="preserve">Record</t>
  </si>
  <si>
    <t xml:space="preserve">Prerequisites satisfied</t>
  </si>
  <si>
    <t xml:space="preserve">Current authorization</t>
  </si>
  <si>
    <t xml:space="preserve">Accepted</t>
  </si>
  <si>
    <t xml:space="preserve">Rollback</t>
  </si>
  <si>
    <t xml:space="preserve">ET-A-REP-0</t>
  </si>
  <si>
    <t xml:space="preserve">ET-A-REP-1</t>
  </si>
  <si>
    <t xml:space="preserve">ET-A-REP-2</t>
  </si>
  <si>
    <t xml:space="preserve">ET-A-REP-3</t>
  </si>
  <si>
    <t xml:space="preserve">ET-A-REP-4</t>
  </si>
  <si>
    <t xml:space="preserve">ET-A-REP-5</t>
  </si>
  <si>
    <t xml:space="preserve">ET-A-REP-6</t>
  </si>
  <si>
    <t xml:space="preserve">ET-A-REP-7</t>
  </si>
  <si>
    <t xml:space="preserve">CT-C-REP-0</t>
  </si>
  <si>
    <t xml:space="preserve">CT-C-REP-1</t>
  </si>
  <si>
    <t xml:space="preserve">CT-C-REP-2</t>
  </si>
  <si>
    <t xml:space="preserve">CT-C-REP-3</t>
  </si>
  <si>
    <t xml:space="preserve">CT-C-REP-4</t>
  </si>
  <si>
    <t xml:space="preserve">CT-C-REP-5</t>
  </si>
  <si>
    <t xml:space="preserve">CT-C-REP-6</t>
  </si>
  <si>
    <t xml:space="preserve">CT-C-REP-7</t>
  </si>
  <si>
    <t xml:space="preserve">HC-A-REP-0</t>
  </si>
  <si>
    <t xml:space="preserve">HC-A-REP-1</t>
  </si>
  <si>
    <t xml:space="preserve">HC-A-REP-2</t>
  </si>
  <si>
    <t xml:space="preserve">HC-A-REP-3</t>
  </si>
  <si>
    <t xml:space="preserve">HC-A-REP-4</t>
  </si>
  <si>
    <t xml:space="preserve">HC-A-REP-5</t>
  </si>
  <si>
    <t xml:space="preserve">HC-A-REP-6</t>
  </si>
  <si>
    <t xml:space="preserve">HC-A-REP-7</t>
  </si>
  <si>
    <t xml:space="preserve">LF-B-REP-0</t>
  </si>
  <si>
    <t xml:space="preserve">LF-B-REP-1</t>
  </si>
  <si>
    <t xml:space="preserve">LF-B-REP-2</t>
  </si>
  <si>
    <t xml:space="preserve">LF-B-REP-3</t>
  </si>
  <si>
    <t xml:space="preserve">LF-B-REP-4</t>
  </si>
  <si>
    <t xml:space="preserve">LF-B-REP-5</t>
  </si>
  <si>
    <t xml:space="preserve">LF-B-REP-6</t>
  </si>
  <si>
    <t xml:space="preserve">LF-B-REP-7</t>
  </si>
  <si>
    <t xml:space="preserve">HU-A-REP-0</t>
  </si>
  <si>
    <t xml:space="preserve">HU-A-REP-1</t>
  </si>
  <si>
    <t xml:space="preserve">HU-A-REP-2</t>
  </si>
  <si>
    <t xml:space="preserve">HU-A-REP-3</t>
  </si>
  <si>
    <t xml:space="preserve">HU-A-REP-4</t>
  </si>
  <si>
    <t xml:space="preserve">HU-A-REP-5</t>
  </si>
  <si>
    <t xml:space="preserve">HU-A-REP-6</t>
  </si>
  <si>
    <t xml:space="preserve">HU-A-REP-7</t>
  </si>
  <si>
    <t xml:space="preserve">RT-B-REP-0</t>
  </si>
  <si>
    <t xml:space="preserve">RT-B-REP-1</t>
  </si>
  <si>
    <t xml:space="preserve">RT-B-REP-2</t>
  </si>
  <si>
    <t xml:space="preserve">RT-B-REP-3</t>
  </si>
  <si>
    <t xml:space="preserve">RT-B-REP-4</t>
  </si>
  <si>
    <t xml:space="preserve">RT-B-REP-5</t>
  </si>
  <si>
    <t xml:space="preserve">RT-B-REP-6</t>
  </si>
  <si>
    <t xml:space="preserve">RT-B-REP-7</t>
  </si>
  <si>
    <t xml:space="preserve">Eighteen rival form hypotheses authorized but not issued</t>
  </si>
  <si>
    <t xml:space="preserve">Each root must be represented by all three mechanically divergent hypotheses with equal visual salience. Selection before evidence invalidates the set.</t>
  </si>
  <si>
    <t xml:space="preserve">Hypothesis</t>
  </si>
  <si>
    <t xml:space="preserve">Variant</t>
  </si>
  <si>
    <t xml:space="preserve">Form hypothesis</t>
  </si>
  <si>
    <t xml:space="preserve">Governing variation axis</t>
  </si>
  <si>
    <t xml:space="preserve">Mandatory causal content</t>
  </si>
  <si>
    <t xml:space="preserve">Intentionally unresolved</t>
  </si>
  <si>
    <t xml:space="preserve">Commission authority</t>
  </si>
  <si>
    <t xml:space="preserve">Selected</t>
  </si>
  <si>
    <t xml:space="preserve">ET-A-H1</t>
  </si>
  <si>
    <t xml:space="preserve">distributed twin-body exchange</t>
  </si>
  <si>
    <t xml:space="preserve">buoyancy and exchange-path separation</t>
  </si>
  <si>
    <t xml:space="preserve">full separation of both 241 t/h paths</t>
  </si>
  <si>
    <t xml:space="preserve">mission bridge, accommodation and fairing</t>
  </si>
  <si>
    <t xml:space="preserve">ET-A-H2</t>
  </si>
  <si>
    <t xml:space="preserve">articulated offshore spine</t>
  </si>
  <si>
    <t xml:space="preserve">relative-motion accommodation</t>
  </si>
  <si>
    <t xml:space="preserve">independent transition heads and custody meters</t>
  </si>
  <si>
    <t xml:space="preserve">propulsion, transit and whole-body closure</t>
  </si>
  <si>
    <t xml:space="preserve">ET-A-H3</t>
  </si>
  <si>
    <t xml:space="preserve">semi-submersible exchange lattice</t>
  </si>
  <si>
    <t xml:space="preserve">wave-response and dry-custody geometry</t>
  </si>
  <si>
    <t xml:space="preserve">two complete wet-to-dry causal routes</t>
  </si>
  <si>
    <t xml:space="preserve">stationkeeping and production structure</t>
  </si>
  <si>
    <t xml:space="preserve">CT-C-H1</t>
  </si>
  <si>
    <t xml:space="preserve">ground-supported telescoping spine</t>
  </si>
  <si>
    <t xml:space="preserve">reaction path and vertical reach</t>
  </si>
  <si>
    <t xml:space="preserve">five separately isolatable utility trunks</t>
  </si>
  <si>
    <t xml:space="preserve">road package and whole-building circulation</t>
  </si>
  <si>
    <t xml:space="preserve">CT-C-H2</t>
  </si>
  <si>
    <t xml:space="preserve">suspended facade utility belt</t>
  </si>
  <si>
    <t xml:space="preserve">occupied-boundary attachment</t>
  </si>
  <si>
    <t xml:space="preserve">reversible attachment and fault containment</t>
  </si>
  <si>
    <t xml:space="preserve">carrier, roof support and operational enclosure</t>
  </si>
  <si>
    <t xml:space="preserve">CT-C-H3</t>
  </si>
  <si>
    <t xml:space="preserve">mast-and-bridge insertion grid</t>
  </si>
  <si>
    <t xml:space="preserve">segmented reach and egress</t>
  </si>
  <si>
    <t xml:space="preserve">seven energy cells and complete trunk crossings</t>
  </si>
  <si>
    <t xml:space="preserve">deployment choreography and fleet package</t>
  </si>
  <si>
    <t xml:space="preserve">HC-A-H1</t>
  </si>
  <si>
    <t xml:space="preserve">high-endurance winged array</t>
  </si>
  <si>
    <t xml:space="preserve">carrier persistence and release geometry</t>
  </si>
  <si>
    <t xml:space="preserve">five attributable sectors with independent sensing</t>
  </si>
  <si>
    <t xml:space="preserve">airframe closure and operational basing</t>
  </si>
  <si>
    <t xml:space="preserve">HC-A-H2</t>
  </si>
  <si>
    <t xml:space="preserve">aerostat intervention train</t>
  </si>
  <si>
    <t xml:space="preserve">stationary persistence and plume observation</t>
  </si>
  <si>
    <t xml:space="preserve">delivery-to-protected-edge causal chain</t>
  </si>
  <si>
    <t xml:space="preserve">mooring estate and weather survival form</t>
  </si>
  <si>
    <t xml:space="preserve">HC-A-H3</t>
  </si>
  <si>
    <t xml:space="preserve">distributed rotorborne cells</t>
  </si>
  <si>
    <t xml:space="preserve">local control and sector isolation</t>
  </si>
  <si>
    <t xml:space="preserve">eight energy cells and five held-line sectors</t>
  </si>
  <si>
    <t xml:space="preserve">recovery, transit and fleet packaging</t>
  </si>
  <si>
    <t xml:space="preserve">LF-B-H1</t>
  </si>
  <si>
    <t xml:space="preserve">radial multi-bore source field</t>
  </si>
  <si>
    <t xml:space="preserve">well separation and central conversion</t>
  </si>
  <si>
    <t xml:space="preserve">nine access slots and four isolated converters</t>
  </si>
  <si>
    <t xml:space="preserve">permanent civil works and production campus</t>
  </si>
  <si>
    <t xml:space="preserve">LF-B-H2</t>
  </si>
  <si>
    <t xml:space="preserve">linear roadless source train</t>
  </si>
  <si>
    <t xml:space="preserve">distributed access along constrained terrain</t>
  </si>
  <si>
    <t xml:space="preserve">two independent water paths and three residual paths</t>
  </si>
  <si>
    <t xml:space="preserve">mobility system and whole-route enclosure</t>
  </si>
  <si>
    <t xml:space="preserve">LF-B-H3</t>
  </si>
  <si>
    <t xml:space="preserve">nearshore supported source island</t>
  </si>
  <si>
    <t xml:space="preserve">water access and subsurface reach</t>
  </si>
  <si>
    <t xml:space="preserve">separate bore, power, product and injection sections</t>
  </si>
  <si>
    <t xml:space="preserve">marine support form and operating habitat</t>
  </si>
  <si>
    <t xml:space="preserve">HU-A-H1</t>
  </si>
  <si>
    <t xml:space="preserve">distributed clinical courtyards</t>
  </si>
  <si>
    <t xml:space="preserve">care-line separation and patient flow</t>
  </si>
  <si>
    <t xml:space="preserve">all ten care lines across eight access cells</t>
  </si>
  <si>
    <t xml:space="preserve">staff habitat and complete logistics envelope</t>
  </si>
  <si>
    <t xml:space="preserve">HU-A-H2</t>
  </si>
  <si>
    <t xml:space="preserve">linear plug-through care spine</t>
  </si>
  <si>
    <t xml:space="preserve">clean-dirty counterflow</t>
  </si>
  <si>
    <t xml:space="preserve">six utility cells and separated residual zones</t>
  </si>
  <si>
    <t xml:space="preserve">transport shell and receiver architecture</t>
  </si>
  <si>
    <t xml:space="preserve">HU-A-H3</t>
  </si>
  <si>
    <t xml:space="preserve">stacked clinical metabolism tower</t>
  </si>
  <si>
    <t xml:space="preserve">vertical access and utility zoning</t>
  </si>
  <si>
    <t xml:space="preserve">complete care-line scope after access-cell loss</t>
  </si>
  <si>
    <t xml:space="preserve">foundation, wind and full occupancy form</t>
  </si>
  <si>
    <t xml:space="preserve">RT-B-H1</t>
  </si>
  <si>
    <t xml:space="preserve">distributed container process mesh</t>
  </si>
  <si>
    <t xml:space="preserve">node independence and field replacement</t>
  </si>
  <si>
    <t xml:space="preserve">five complete dirty-return-to-release meshes</t>
  </si>
  <si>
    <t xml:space="preserve">carrier allocation and fleet arrangement</t>
  </si>
  <si>
    <t xml:space="preserve">RT-B-H2</t>
  </si>
  <si>
    <t xml:space="preserve">radial clean-core process hub</t>
  </si>
  <si>
    <t xml:space="preserve">clean-dirty flow and release control</t>
  </si>
  <si>
    <t xml:space="preserve">nine release envelopes and seven energy cells</t>
  </si>
  <si>
    <t xml:space="preserve">operational enclosure and site circulation</t>
  </si>
  <si>
    <t xml:space="preserve">RT-B-H3</t>
  </si>
  <si>
    <t xml:space="preserve">linear mobile process train</t>
  </si>
  <si>
    <t xml:space="preserve">serial process access and disconnection</t>
  </si>
  <si>
    <t xml:space="preserve">complete metrology and material-ancestry route</t>
  </si>
  <si>
    <t xml:space="preserve">traction, roadability and production package</t>
  </si>
  <si>
    <t xml:space="preserve">Fourteen rules for technical and form representations</t>
  </si>
  <si>
    <t xml:space="preserve">A comparative technical plate may expose form hypotheses. A single polished hero image may not create a favored configuration.</t>
  </si>
  <si>
    <t xml:space="preserve">Rule</t>
  </si>
  <si>
    <t xml:space="preserve">Requirement</t>
  </si>
  <si>
    <t xml:space="preserve">Failure test</t>
  </si>
  <si>
    <t xml:space="preserve">Applies to</t>
  </si>
  <si>
    <t xml:space="preserve">Disposition</t>
  </si>
  <si>
    <t xml:space="preserve">VG-01</t>
  </si>
  <si>
    <t xml:space="preserve">show all three hypotheses together</t>
  </si>
  <si>
    <t xml:space="preserve">one omission withdraws the full root set</t>
  </si>
  <si>
    <t xml:space="preserve">WITHDRAW SET</t>
  </si>
  <si>
    <t xml:space="preserve">VG-02</t>
  </si>
  <si>
    <t xml:space="preserve">use identical scale, view angle, lighting and image area</t>
  </si>
  <si>
    <t xml:space="preserve">salience differs across hypotheses</t>
  </si>
  <si>
    <t xml:space="preserve">VG-03</t>
  </si>
  <si>
    <t xml:space="preserve">include plan, elevation and causal section</t>
  </si>
  <si>
    <t xml:space="preserve">a view needed to inspect a boundary is absent</t>
  </si>
  <si>
    <t xml:space="preserve">REP-2 to REP-7</t>
  </si>
  <si>
    <t xml:space="preserve">RETURN</t>
  </si>
  <si>
    <t xml:space="preserve">VG-04</t>
  </si>
  <si>
    <t xml:space="preserve">tag every visible object as candidate, public rig, receiver, surrogate or unresolved</t>
  </si>
  <si>
    <t xml:space="preserve">one object lacks a type</t>
  </si>
  <si>
    <t xml:space="preserve">VG-05</t>
  </si>
  <si>
    <t xml:space="preserve">distinguish measured, calculated, assumed and unresolved geometry</t>
  </si>
  <si>
    <t xml:space="preserve">an assumption appears measured</t>
  </si>
  <si>
    <t xml:space="preserve">ROLL BACK</t>
  </si>
  <si>
    <t xml:space="preserve">VG-06</t>
  </si>
  <si>
    <t xml:space="preserve">hatch or make transparent every unresolved closure</t>
  </si>
  <si>
    <t xml:space="preserve">unknown form appears finished</t>
  </si>
  <si>
    <t xml:space="preserve">REP-2 to REP-4</t>
  </si>
  <si>
    <t xml:space="preserve">DOWNGRADE</t>
  </si>
  <si>
    <t xml:space="preserve">VG-07</t>
  </si>
  <si>
    <t xml:space="preserve">display root, representation class, version and evidence state</t>
  </si>
  <si>
    <t xml:space="preserve">identity or state is missing</t>
  </si>
  <si>
    <t xml:space="preserve">all classes</t>
  </si>
  <si>
    <t xml:space="preserve">WITHDRAW</t>
  </si>
  <si>
    <t xml:space="preserve">VG-08</t>
  </si>
  <si>
    <t xml:space="preserve">show causal-account boundaries and decisive isolation</t>
  </si>
  <si>
    <t xml:space="preserve">a shared path is visually hidden</t>
  </si>
  <si>
    <t xml:space="preserve">REP-1 to REP-7</t>
  </si>
  <si>
    <t xml:space="preserve">VG-09</t>
  </si>
  <si>
    <t xml:space="preserve">omit livery, brand marks and promotional color</t>
  </si>
  <si>
    <t xml:space="preserve">presentation implies institutional selection</t>
  </si>
  <si>
    <t xml:space="preserve">REP-3 to REP-6</t>
  </si>
  <si>
    <t xml:space="preserve">VG-10</t>
  </si>
  <si>
    <t xml:space="preserve">omit people, named places and dramatic mission scenes</t>
  </si>
  <si>
    <t xml:space="preserve">context implies usability or acceptance</t>
  </si>
  <si>
    <t xml:space="preserve">VG-11</t>
  </si>
  <si>
    <t xml:space="preserve">show requirements separately from observed results</t>
  </si>
  <si>
    <t xml:space="preserve">a target appears as achieved performance</t>
  </si>
  <si>
    <t xml:space="preserve">VG-12</t>
  </si>
  <si>
    <t xml:space="preserve">show one article, never a fleet or production quantity</t>
  </si>
  <si>
    <t xml:space="preserve">multiplicity implies procurement</t>
  </si>
  <si>
    <t xml:space="preserve">VG-13</t>
  </si>
  <si>
    <t xml:space="preserve">exclude images from bid scoring and root disposition</t>
  </si>
  <si>
    <t xml:space="preserve">visual preference enters a technical decision</t>
  </si>
  <si>
    <t xml:space="preserve">VOID DECISION</t>
  </si>
  <si>
    <t xml:space="preserve">VG-14</t>
  </si>
  <si>
    <t xml:space="preserve">depict exterior surface before evidence only when the surface is itself a registered causal variable.</t>
  </si>
  <si>
    <t xml:space="preserve">decorative closure completes the silhouette</t>
  </si>
  <si>
    <t xml:space="preserve">Sixty-four representation-to-claim decisions</t>
  </si>
  <si>
    <t xml:space="preserve">Higher representation classes may carry lower-order claims, but only with the qualifier appropriate to the physical and evidentiary source.</t>
  </si>
  <si>
    <t xml:space="preserve">Class rank</t>
  </si>
  <si>
    <t xml:space="preserve">Claim</t>
  </si>
  <si>
    <t xml:space="preserve">Claim type</t>
  </si>
  <si>
    <t xml:space="preserve">Minimum rank</t>
  </si>
  <si>
    <t xml:space="preserve">Authorized by class</t>
  </si>
  <si>
    <t xml:space="preserve">Required qualifier</t>
  </si>
  <si>
    <t xml:space="preserve">REP-0-C01</t>
  </si>
  <si>
    <t xml:space="preserve">C01</t>
  </si>
  <si>
    <t xml:space="preserve">service requirement</t>
  </si>
  <si>
    <t xml:space="preserve">requirement only</t>
  </si>
  <si>
    <t xml:space="preserve">REP-0-C02</t>
  </si>
  <si>
    <t xml:space="preserve">C02</t>
  </si>
  <si>
    <t xml:space="preserve">causal relationship</t>
  </si>
  <si>
    <t xml:space="preserve">topology and flow only</t>
  </si>
  <si>
    <t xml:space="preserve">REP-0-C03</t>
  </si>
  <si>
    <t xml:space="preserve">C03</t>
  </si>
  <si>
    <t xml:space="preserve">test geometry</t>
  </si>
  <si>
    <t xml:space="preserve">registered experimental geometry</t>
  </si>
  <si>
    <t xml:space="preserve">REP-0-C04</t>
  </si>
  <si>
    <t xml:space="preserve">C04</t>
  </si>
  <si>
    <t xml:space="preserve">whole-form hypothesis</t>
  </si>
  <si>
    <t xml:space="preserve">explicitly unselected and plural</t>
  </si>
  <si>
    <t xml:space="preserve">REP-0-C05</t>
  </si>
  <si>
    <t xml:space="preserve">C05</t>
  </si>
  <si>
    <t xml:space="preserve">as-built geometry</t>
  </si>
  <si>
    <t xml:space="preserve">one serialized physical article</t>
  </si>
  <si>
    <t xml:space="preserve">REP-0-C06</t>
  </si>
  <si>
    <t xml:space="preserve">C06</t>
  </si>
  <si>
    <t xml:space="preserve">performance result</t>
  </si>
  <si>
    <t xml:space="preserve">accepted cells and surviving root</t>
  </si>
  <si>
    <t xml:space="preserve">REP-0-C07</t>
  </si>
  <si>
    <t xml:space="preserve">C07</t>
  </si>
  <si>
    <t xml:space="preserve">mission capacity</t>
  </si>
  <si>
    <t xml:space="preserve">route-complete mission evidence</t>
  </si>
  <si>
    <t xml:space="preserve">REP-0-C08</t>
  </si>
  <si>
    <t xml:space="preserve">C08</t>
  </si>
  <si>
    <t xml:space="preserve">production or fleet state</t>
  </si>
  <si>
    <t xml:space="preserve">production and readiness warrants</t>
  </si>
  <si>
    <t xml:space="preserve">REP-1-C01</t>
  </si>
  <si>
    <t xml:space="preserve">REP-1-C02</t>
  </si>
  <si>
    <t xml:space="preserve">REP-1-C03</t>
  </si>
  <si>
    <t xml:space="preserve">REP-1-C04</t>
  </si>
  <si>
    <t xml:space="preserve">REP-1-C05</t>
  </si>
  <si>
    <t xml:space="preserve">REP-1-C06</t>
  </si>
  <si>
    <t xml:space="preserve">REP-1-C07</t>
  </si>
  <si>
    <t xml:space="preserve">REP-1-C08</t>
  </si>
  <si>
    <t xml:space="preserve">REP-2-C01</t>
  </si>
  <si>
    <t xml:space="preserve">REP-2-C02</t>
  </si>
  <si>
    <t xml:space="preserve">REP-2-C03</t>
  </si>
  <si>
    <t xml:space="preserve">REP-2-C04</t>
  </si>
  <si>
    <t xml:space="preserve">REP-2-C05</t>
  </si>
  <si>
    <t xml:space="preserve">REP-2-C06</t>
  </si>
  <si>
    <t xml:space="preserve">REP-2-C07</t>
  </si>
  <si>
    <t xml:space="preserve">REP-2-C08</t>
  </si>
  <si>
    <t xml:space="preserve">REP-3-C01</t>
  </si>
  <si>
    <t xml:space="preserve">REP-3-C02</t>
  </si>
  <si>
    <t xml:space="preserve">REP-3-C03</t>
  </si>
  <si>
    <t xml:space="preserve">REP-3-C04</t>
  </si>
  <si>
    <t xml:space="preserve">REP-3-C05</t>
  </si>
  <si>
    <t xml:space="preserve">REP-3-C06</t>
  </si>
  <si>
    <t xml:space="preserve">REP-3-C07</t>
  </si>
  <si>
    <t xml:space="preserve">REP-3-C08</t>
  </si>
  <si>
    <t xml:space="preserve">REP-4-C01</t>
  </si>
  <si>
    <t xml:space="preserve">REP-4-C02</t>
  </si>
  <si>
    <t xml:space="preserve">REP-4-C03</t>
  </si>
  <si>
    <t xml:space="preserve">REP-4-C04</t>
  </si>
  <si>
    <t xml:space="preserve">REP-4-C05</t>
  </si>
  <si>
    <t xml:space="preserve">REP-4-C06</t>
  </si>
  <si>
    <t xml:space="preserve">REP-4-C07</t>
  </si>
  <si>
    <t xml:space="preserve">REP-4-C08</t>
  </si>
  <si>
    <t xml:space="preserve">REP-5-C01</t>
  </si>
  <si>
    <t xml:space="preserve">REP-5-C02</t>
  </si>
  <si>
    <t xml:space="preserve">REP-5-C03</t>
  </si>
  <si>
    <t xml:space="preserve">REP-5-C04</t>
  </si>
  <si>
    <t xml:space="preserve">REP-5-C05</t>
  </si>
  <si>
    <t xml:space="preserve">REP-5-C06</t>
  </si>
  <si>
    <t xml:space="preserve">REP-5-C07</t>
  </si>
  <si>
    <t xml:space="preserve">REP-5-C08</t>
  </si>
  <si>
    <t xml:space="preserve">REP-6-C01</t>
  </si>
  <si>
    <t xml:space="preserve">REP-6-C02</t>
  </si>
  <si>
    <t xml:space="preserve">REP-6-C03</t>
  </si>
  <si>
    <t xml:space="preserve">REP-6-C04</t>
  </si>
  <si>
    <t xml:space="preserve">REP-6-C05</t>
  </si>
  <si>
    <t xml:space="preserve">REP-6-C06</t>
  </si>
  <si>
    <t xml:space="preserve">REP-6-C07</t>
  </si>
  <si>
    <t xml:space="preserve">REP-6-C08</t>
  </si>
  <si>
    <t xml:space="preserve">REP-7-C01</t>
  </si>
  <si>
    <t xml:space="preserve">REP-7-C02</t>
  </si>
  <si>
    <t xml:space="preserve">REP-7-C03</t>
  </si>
  <si>
    <t xml:space="preserve">REP-7-C04</t>
  </si>
  <si>
    <t xml:space="preserve">REP-7-C05</t>
  </si>
  <si>
    <t xml:space="preserve">REP-7-C06</t>
  </si>
  <si>
    <t xml:space="preserve">REP-7-C07</t>
  </si>
  <si>
    <t xml:space="preserve">REP-7-C08</t>
  </si>
  <si>
    <t xml:space="preserve">Forty-eight physical-object boundary decisions</t>
  </si>
  <si>
    <t xml:space="preserve">Design authority does not create a site, firm, award or serial. Any actual build still follows the eighteen-warrant construction compact.</t>
  </si>
  <si>
    <t xml:space="preserve">Object record</t>
  </si>
  <si>
    <t xml:space="preserve">Object</t>
  </si>
  <si>
    <t xml:space="preserve">Design authority</t>
  </si>
  <si>
    <t xml:space="preserve">Physical meaning</t>
  </si>
  <si>
    <t xml:space="preserve">Limit</t>
  </si>
  <si>
    <t xml:space="preserve">Serials built</t>
  </si>
  <si>
    <t xml:space="preserve">ET-A-B1</t>
  </si>
  <si>
    <t xml:space="preserve">full-scale causal article</t>
  </si>
  <si>
    <t xml:space="preserve">complete account-bound experimental object</t>
  </si>
  <si>
    <t xml:space="preserve">may be built only through the separate eighteen-warrant construction chain</t>
  </si>
  <si>
    <t xml:space="preserve">ET-A-B2</t>
  </si>
  <si>
    <t xml:space="preserve">instrumented account section</t>
  </si>
  <si>
    <t xml:space="preserve">section bill, sensors, custody and safeing</t>
  </si>
  <si>
    <t xml:space="preserve">must expose rather than hide the decisive boundary</t>
  </si>
  <si>
    <t xml:space="preserve">ET-A-B3</t>
  </si>
  <si>
    <t xml:space="preserve">public interface fixture</t>
  </si>
  <si>
    <t xml:space="preserve">candidate-neutral receiver or challenge boundary</t>
  </si>
  <si>
    <t xml:space="preserve">cannot supply decisive candidate capacity</t>
  </si>
  <si>
    <t xml:space="preserve">ET-A-B4</t>
  </si>
  <si>
    <t xml:space="preserve">surrogate burden set</t>
  </si>
  <si>
    <t xml:space="preserve">registered mass, heat, flow, occupancy or residual surrogate</t>
  </si>
  <si>
    <t xml:space="preserve">must remain visibly distinct from candidate hardware</t>
  </si>
  <si>
    <t xml:space="preserve">ET-A-B5</t>
  </si>
  <si>
    <t xml:space="preserve">causal exterior surface</t>
  </si>
  <si>
    <t xml:space="preserve">only the bounded surface whose geometry changes the tested mechanism</t>
  </si>
  <si>
    <t xml:space="preserve">unregistered closure remains absent or unresolved</t>
  </si>
  <si>
    <t xml:space="preserve">ET-A-B6</t>
  </si>
  <si>
    <t xml:space="preserve">operational packaging</t>
  </si>
  <si>
    <t xml:space="preserve">whole transit, habitat, control and mission enclosure</t>
  </si>
  <si>
    <t xml:space="preserve">held pending route-complete evidence</t>
  </si>
  <si>
    <t xml:space="preserve">ET-A-B7</t>
  </si>
  <si>
    <t xml:space="preserve">production tooling</t>
  </si>
  <si>
    <t xml:space="preserve">repeatable production baseline and rate tooling</t>
  </si>
  <si>
    <t xml:space="preserve">held pending production warrant</t>
  </si>
  <si>
    <t xml:space="preserve">ET-A-B8</t>
  </si>
  <si>
    <t xml:space="preserve">fleet unit</t>
  </si>
  <si>
    <t xml:space="preserve">fieldable, crewed, supplied and readiness-qualified configuration</t>
  </si>
  <si>
    <t xml:space="preserve">held pending readiness warrant</t>
  </si>
  <si>
    <t xml:space="preserve">CT-C-B1</t>
  </si>
  <si>
    <t xml:space="preserve">CT-C-B2</t>
  </si>
  <si>
    <t xml:space="preserve">CT-C-B3</t>
  </si>
  <si>
    <t xml:space="preserve">CT-C-B4</t>
  </si>
  <si>
    <t xml:space="preserve">CT-C-B5</t>
  </si>
  <si>
    <t xml:space="preserve">CT-C-B6</t>
  </si>
  <si>
    <t xml:space="preserve">CT-C-B7</t>
  </si>
  <si>
    <t xml:space="preserve">CT-C-B8</t>
  </si>
  <si>
    <t xml:space="preserve">HC-A-B1</t>
  </si>
  <si>
    <t xml:space="preserve">HC-A-B2</t>
  </si>
  <si>
    <t xml:space="preserve">HC-A-B3</t>
  </si>
  <si>
    <t xml:space="preserve">HC-A-B4</t>
  </si>
  <si>
    <t xml:space="preserve">HC-A-B5</t>
  </si>
  <si>
    <t xml:space="preserve">HC-A-B6</t>
  </si>
  <si>
    <t xml:space="preserve">HC-A-B7</t>
  </si>
  <si>
    <t xml:space="preserve">HC-A-B8</t>
  </si>
  <si>
    <t xml:space="preserve">LF-B-B1</t>
  </si>
  <si>
    <t xml:space="preserve">LF-B-B2</t>
  </si>
  <si>
    <t xml:space="preserve">LF-B-B3</t>
  </si>
  <si>
    <t xml:space="preserve">LF-B-B4</t>
  </si>
  <si>
    <t xml:space="preserve">LF-B-B5</t>
  </si>
  <si>
    <t xml:space="preserve">LF-B-B6</t>
  </si>
  <si>
    <t xml:space="preserve">LF-B-B7</t>
  </si>
  <si>
    <t xml:space="preserve">LF-B-B8</t>
  </si>
  <si>
    <t xml:space="preserve">HU-A-B1</t>
  </si>
  <si>
    <t xml:space="preserve">HU-A-B2</t>
  </si>
  <si>
    <t xml:space="preserve">HU-A-B3</t>
  </si>
  <si>
    <t xml:space="preserve">HU-A-B4</t>
  </si>
  <si>
    <t xml:space="preserve">HU-A-B5</t>
  </si>
  <si>
    <t xml:space="preserve">HU-A-B6</t>
  </si>
  <si>
    <t xml:space="preserve">HU-A-B7</t>
  </si>
  <si>
    <t xml:space="preserve">HU-A-B8</t>
  </si>
  <si>
    <t xml:space="preserve">RT-B-B1</t>
  </si>
  <si>
    <t xml:space="preserve">RT-B-B2</t>
  </si>
  <si>
    <t xml:space="preserve">RT-B-B3</t>
  </si>
  <si>
    <t xml:space="preserve">RT-B-B4</t>
  </si>
  <si>
    <t xml:space="preserve">RT-B-B5</t>
  </si>
  <si>
    <t xml:space="preserve">RT-B-B6</t>
  </si>
  <si>
    <t xml:space="preserve">RT-B-B7</t>
  </si>
  <si>
    <t xml:space="preserve">RT-B-B8</t>
  </si>
  <si>
    <t xml:space="preserve">Eighteen representation nonconversion laws</t>
  </si>
  <si>
    <t xml:space="preserve">These laws prevent an image from advancing evidence, procurement, production, readiness or strategic-effect state.</t>
  </si>
  <si>
    <t xml:space="preserve">Law</t>
  </si>
  <si>
    <t xml:space="preserve">Proposition</t>
  </si>
  <si>
    <t xml:space="preserve">Consequence</t>
  </si>
  <si>
    <t xml:space="preserve">NC-01</t>
  </si>
  <si>
    <t xml:space="preserve">a representation is not evidence</t>
  </si>
  <si>
    <t xml:space="preserve">no image closes a cell or gate</t>
  </si>
  <si>
    <t xml:space="preserve">NC-02</t>
  </si>
  <si>
    <t xml:space="preserve">a dimension is not tolerance acceptance</t>
  </si>
  <si>
    <t xml:space="preserve">only accepted metrology creates as-built truth</t>
  </si>
  <si>
    <t xml:space="preserve">NC-03</t>
  </si>
  <si>
    <t xml:space="preserve">a test article is not a candidate form</t>
  </si>
  <si>
    <t xml:space="preserve">experimental geometry cannot become the operational baseline by reuse</t>
  </si>
  <si>
    <t xml:space="preserve">NC-04</t>
  </si>
  <si>
    <t xml:space="preserve">a complete outline is not a selected form</t>
  </si>
  <si>
    <t xml:space="preserve">REP-3 requires three equal alternatives</t>
  </si>
  <si>
    <t xml:space="preserve">NC-05</t>
  </si>
  <si>
    <t xml:space="preserve">visual plausibility is not causal closure</t>
  </si>
  <si>
    <t xml:space="preserve">appearance cannot cure a missing account</t>
  </si>
  <si>
    <t xml:space="preserve">NC-06</t>
  </si>
  <si>
    <t xml:space="preserve">a requirement is not observed performance</t>
  </si>
  <si>
    <t xml:space="preserve">targets and results remain separate layers</t>
  </si>
  <si>
    <t xml:space="preserve">NC-07</t>
  </si>
  <si>
    <t xml:space="preserve">an as-built record is not performance evidence</t>
  </si>
  <si>
    <t xml:space="preserve">REP-4 records existence and geometry only</t>
  </si>
  <si>
    <t xml:space="preserve">NC-08</t>
  </si>
  <si>
    <t xml:space="preserve">one passing cell is not a surviving root</t>
  </si>
  <si>
    <t xml:space="preserve">all twenty-four cells and disposition remain noncompensatory</t>
  </si>
  <si>
    <t xml:space="preserve">NC-09</t>
  </si>
  <si>
    <t xml:space="preserve">root survival is not a mission configuration</t>
  </si>
  <si>
    <t xml:space="preserve">receiver and adjacent-system evidence remain separate</t>
  </si>
  <si>
    <t xml:space="preserve">NC-10</t>
  </si>
  <si>
    <t xml:space="preserve">mission configuration is not production</t>
  </si>
  <si>
    <t xml:space="preserve">repeatability and baseline control remain separate</t>
  </si>
  <si>
    <t xml:space="preserve">NC-11</t>
  </si>
  <si>
    <t xml:space="preserve">production is not readiness</t>
  </si>
  <si>
    <t xml:space="preserve">crew, receiver, sustainment and allocation warrants remain separate</t>
  </si>
  <si>
    <t xml:space="preserve">NC-12</t>
  </si>
  <si>
    <t xml:space="preserve">common visual grammar is not common technical architecture</t>
  </si>
  <si>
    <t xml:space="preserve">roots retain different mechanisms and implementations</t>
  </si>
  <si>
    <t xml:space="preserve">NC-13</t>
  </si>
  <si>
    <t xml:space="preserve">a familiar silhouette is not lower risk</t>
  </si>
  <si>
    <t xml:space="preserve">prior cultural legibility earns no credit</t>
  </si>
  <si>
    <t xml:space="preserve">NC-14</t>
  </si>
  <si>
    <t xml:space="preserve">simulation is not observation</t>
  </si>
  <si>
    <t xml:space="preserve">synthetic imagery and analysis remain labeled</t>
  </si>
  <si>
    <t xml:space="preserve">NC-15</t>
  </si>
  <si>
    <t xml:space="preserve">a generated image is not an as-built record</t>
  </si>
  <si>
    <t xml:space="preserve">REP-4 requires a serialized physical source</t>
  </si>
  <si>
    <t xml:space="preserve">NC-16</t>
  </si>
  <si>
    <t xml:space="preserve">a rendering is not a cost estimate</t>
  </si>
  <si>
    <t xml:space="preserve">finance remains tied to accepted artifacts</t>
  </si>
  <si>
    <t xml:space="preserve">NC-17</t>
  </si>
  <si>
    <t xml:space="preserve">public attention is not selection authority</t>
  </si>
  <si>
    <t xml:space="preserve">popularity cannot enter root disposition</t>
  </si>
  <si>
    <t xml:space="preserve">NC-18</t>
  </si>
  <si>
    <t xml:space="preserve">livery is not institutional identity</t>
  </si>
  <si>
    <t xml:space="preserve">branding waits for an authorized operational configuration</t>
  </si>
  <si>
    <t xml:space="preserve">Twelve representation rollback triggers</t>
  </si>
  <si>
    <t xml:space="preserve">Rollback is local unless the same defect contaminates a root set, comparison, decision or descendant representation.</t>
  </si>
  <si>
    <t xml:space="preserve">Trigger</t>
  </si>
  <si>
    <t xml:space="preserve">Failure</t>
  </si>
  <si>
    <t xml:space="preserve">Affected state</t>
  </si>
  <si>
    <t xml:space="preserve">Mandatory response</t>
  </si>
  <si>
    <t xml:space="preserve">RB-01</t>
  </si>
  <si>
    <t xml:space="preserve">one REP-3 hypothesis is omitted</t>
  </si>
  <si>
    <t xml:space="preserve">all three form studies</t>
  </si>
  <si>
    <t xml:space="preserve">withdraw the entire root set</t>
  </si>
  <si>
    <t xml:space="preserve">RB-02</t>
  </si>
  <si>
    <t xml:space="preserve">scale, detail or viewpoint creates unequal salience</t>
  </si>
  <si>
    <t xml:space="preserve">reissue under identical grammar</t>
  </si>
  <si>
    <t xml:space="preserve">RB-03</t>
  </si>
  <si>
    <t xml:space="preserve">unresolved geometry appears resolved</t>
  </si>
  <si>
    <t xml:space="preserve">affected representation</t>
  </si>
  <si>
    <t xml:space="preserve">downgrade to REP-2</t>
  </si>
  <si>
    <t xml:space="preserve">RB-04</t>
  </si>
  <si>
    <t xml:space="preserve">target performance is labeled as observed</t>
  </si>
  <si>
    <t xml:space="preserve">affected representation and downstream citations</t>
  </si>
  <si>
    <t xml:space="preserve">withdraw and correct the claim layer</t>
  </si>
  <si>
    <t xml:space="preserve">RB-05</t>
  </si>
  <si>
    <t xml:space="preserve">a visual enters bid scoring or root disposition</t>
  </si>
  <si>
    <t xml:space="preserve">affected decision</t>
  </si>
  <si>
    <t xml:space="preserve">void and repeat without the visual</t>
  </si>
  <si>
    <t xml:space="preserve">RB-06</t>
  </si>
  <si>
    <t xml:space="preserve">an as-built article changes after metrology</t>
  </si>
  <si>
    <t xml:space="preserve">REP-4 record</t>
  </si>
  <si>
    <t xml:space="preserve">invalidate and remeasure the serial</t>
  </si>
  <si>
    <t xml:space="preserve">RB-07</t>
  </si>
  <si>
    <t xml:space="preserve">a cell acceptance is reversed</t>
  </si>
  <si>
    <t xml:space="preserve">REP-5 and every descendant</t>
  </si>
  <si>
    <t xml:space="preserve">return to REP-4 or lower</t>
  </si>
  <si>
    <t xml:space="preserve">RB-08</t>
  </si>
  <si>
    <t xml:space="preserve">cold reconstruction fails</t>
  </si>
  <si>
    <t xml:space="preserve">return to REP-4 and reopen ancestry</t>
  </si>
  <si>
    <t xml:space="preserve">RB-09</t>
  </si>
  <si>
    <t xml:space="preserve">shared decisive dependency is discovered</t>
  </si>
  <si>
    <t xml:space="preserve">affected root and paired comparisons</t>
  </si>
  <si>
    <t xml:space="preserve">return to REP-1 and rebuild independence</t>
  </si>
  <si>
    <t xml:space="preserve">RB-10</t>
  </si>
  <si>
    <t xml:space="preserve">REP-6 and REP-7</t>
  </si>
  <si>
    <t xml:space="preserve">return to REP-5</t>
  </si>
  <si>
    <t xml:space="preserve">RB-11</t>
  </si>
  <si>
    <t xml:space="preserve">production baseline diverges from evidence-qualified form</t>
  </si>
  <si>
    <t xml:space="preserve">invalidate production representation</t>
  </si>
  <si>
    <t xml:space="preserve">RB-12</t>
  </si>
  <si>
    <t xml:space="preserve">readiness warrant expires or rolls back</t>
  </si>
  <si>
    <t xml:space="preserve">fleet depiction and readiness claim</t>
  </si>
  <si>
    <t xml:space="preserve">remove REP-7 fleet context</t>
  </si>
  <si>
    <t xml:space="preserve">Representation work adds no program ceiling</t>
  </si>
  <si>
    <t xml:space="preserve">All representation deliverables sit inside the existing FRAME stage. No image, drawing or hypothesis set creates a separate appropriation or payment claim.</t>
  </si>
  <si>
    <t xml:space="preserve">Maximum FRAME USD B</t>
  </si>
  <si>
    <t xml:space="preserve">Incremental representation ceiling USD B</t>
  </si>
  <si>
    <t xml:space="preserve">Accepted USD B</t>
  </si>
  <si>
    <t xml:space="preserve">Paid USD B</t>
  </si>
  <si>
    <t xml:space="preserve">HELD</t>
  </si>
  <si>
    <t xml:space="preserve">TOTAL</t>
  </si>
  <si>
    <t xml:space="preserve">six roots</t>
  </si>
  <si>
    <t xml:space="preserve">representation boundary</t>
  </si>
  <si>
    <t xml:space="preserve">Seventy-two requirement-to-form gates</t>
  </si>
  <si>
    <t xml:space="preserve">Pass 220 closes the representation rule, not an evidence gate. G06 remains specified but open; every selected exterior remains held.</t>
  </si>
  <si>
    <t xml:space="preserve">Gate</t>
  </si>
  <si>
    <t xml:space="preserve">Order</t>
  </si>
  <si>
    <t xml:space="preserve">Gate claim</t>
  </si>
  <si>
    <t xml:space="preserve">Constituted</t>
  </si>
  <si>
    <t xml:space="preserve">Evidence accepted</t>
  </si>
  <si>
    <t xml:space="preserve">Representation effect</t>
  </si>
  <si>
    <t xml:space="preserve">Selected exterior authority</t>
  </si>
  <si>
    <t xml:space="preserve">ET-A-G01</t>
  </si>
  <si>
    <t xml:space="preserve">denominator</t>
  </si>
  <si>
    <t xml:space="preserve">REP-0 through REP-3 only</t>
  </si>
  <si>
    <t xml:space="preserve">n.a.</t>
  </si>
  <si>
    <t xml:space="preserve">ET-A-G02</t>
  </si>
  <si>
    <t xml:space="preserve">article boundary</t>
  </si>
  <si>
    <t xml:space="preserve">ET-A-G03</t>
  </si>
  <si>
    <t xml:space="preserve">form loads</t>
  </si>
  <si>
    <t xml:space="preserve">ET-A-G04</t>
  </si>
  <si>
    <t xml:space="preserve">interfaces</t>
  </si>
  <si>
    <t xml:space="preserve">ET-A-G05</t>
  </si>
  <si>
    <t xml:space="preserve">denial set</t>
  </si>
  <si>
    <t xml:space="preserve">ET-A-G06</t>
  </si>
  <si>
    <t xml:space="preserve">paper section</t>
  </si>
  <si>
    <t xml:space="preserve">SPECIFIED / NOT CLOSED</t>
  </si>
  <si>
    <t xml:space="preserve">ET-A-G07</t>
  </si>
  <si>
    <t xml:space="preserve">safety and rights</t>
  </si>
  <si>
    <t xml:space="preserve">OPEN</t>
  </si>
  <si>
    <t xml:space="preserve">NO NEW AUTHORITY</t>
  </si>
  <si>
    <t xml:space="preserve">ET-A-G08</t>
  </si>
  <si>
    <t xml:space="preserve">ancestry</t>
  </si>
  <si>
    <t xml:space="preserve">ET-A-G09</t>
  </si>
  <si>
    <t xml:space="preserve">executable build record</t>
  </si>
  <si>
    <t xml:space="preserve">ET-A-G10</t>
  </si>
  <si>
    <t xml:space="preserve">representative event</t>
  </si>
  <si>
    <t xml:space="preserve">ET-A-G11</t>
  </si>
  <si>
    <t xml:space="preserve">cold reconstruction</t>
  </si>
  <si>
    <t xml:space="preserve">ET-A-G12</t>
  </si>
  <si>
    <t xml:space="preserve">architecture warrant</t>
  </si>
  <si>
    <t xml:space="preserve">CT-C-G01</t>
  </si>
  <si>
    <t xml:space="preserve">CT-C-G02</t>
  </si>
  <si>
    <t xml:space="preserve">CT-C-G03</t>
  </si>
  <si>
    <t xml:space="preserve">CT-C-G04</t>
  </si>
  <si>
    <t xml:space="preserve">CT-C-G05</t>
  </si>
  <si>
    <t xml:space="preserve">CT-C-G06</t>
  </si>
  <si>
    <t xml:space="preserve">CT-C-G07</t>
  </si>
  <si>
    <t xml:space="preserve">CT-C-G08</t>
  </si>
  <si>
    <t xml:space="preserve">CT-C-G09</t>
  </si>
  <si>
    <t xml:space="preserve">CT-C-G10</t>
  </si>
  <si>
    <t xml:space="preserve">CT-C-G11</t>
  </si>
  <si>
    <t xml:space="preserve">CT-C-G12</t>
  </si>
  <si>
    <t xml:space="preserve">HC-A-G01</t>
  </si>
  <si>
    <t xml:space="preserve">HC-A-G02</t>
  </si>
  <si>
    <t xml:space="preserve">HC-A-G03</t>
  </si>
  <si>
    <t xml:space="preserve">HC-A-G04</t>
  </si>
  <si>
    <t xml:space="preserve">HC-A-G05</t>
  </si>
  <si>
    <t xml:space="preserve">HC-A-G06</t>
  </si>
  <si>
    <t xml:space="preserve">HC-A-G07</t>
  </si>
  <si>
    <t xml:space="preserve">HC-A-G08</t>
  </si>
  <si>
    <t xml:space="preserve">HC-A-G09</t>
  </si>
  <si>
    <t xml:space="preserve">HC-A-G10</t>
  </si>
  <si>
    <t xml:space="preserve">HC-A-G11</t>
  </si>
  <si>
    <t xml:space="preserve">HC-A-G12</t>
  </si>
  <si>
    <t xml:space="preserve">LF-B-G01</t>
  </si>
  <si>
    <t xml:space="preserve">LF-B-G02</t>
  </si>
  <si>
    <t xml:space="preserve">LF-B-G03</t>
  </si>
  <si>
    <t xml:space="preserve">LF-B-G04</t>
  </si>
  <si>
    <t xml:space="preserve">LF-B-G05</t>
  </si>
  <si>
    <t xml:space="preserve">LF-B-G06</t>
  </si>
  <si>
    <t xml:space="preserve">LF-B-G07</t>
  </si>
  <si>
    <t xml:space="preserve">LF-B-G08</t>
  </si>
  <si>
    <t xml:space="preserve">LF-B-G09</t>
  </si>
  <si>
    <t xml:space="preserve">LF-B-G10</t>
  </si>
  <si>
    <t xml:space="preserve">LF-B-G11</t>
  </si>
  <si>
    <t xml:space="preserve">LF-B-G12</t>
  </si>
  <si>
    <t xml:space="preserve">HU-A-G01</t>
  </si>
  <si>
    <t xml:space="preserve">HU-A-G02</t>
  </si>
  <si>
    <t xml:space="preserve">HU-A-G03</t>
  </si>
  <si>
    <t xml:space="preserve">HU-A-G04</t>
  </si>
  <si>
    <t xml:space="preserve">HU-A-G05</t>
  </si>
  <si>
    <t xml:space="preserve">HU-A-G06</t>
  </si>
  <si>
    <t xml:space="preserve">HU-A-G07</t>
  </si>
  <si>
    <t xml:space="preserve">HU-A-G08</t>
  </si>
  <si>
    <t xml:space="preserve">HU-A-G09</t>
  </si>
  <si>
    <t xml:space="preserve">HU-A-G10</t>
  </si>
  <si>
    <t xml:space="preserve">HU-A-G11</t>
  </si>
  <si>
    <t xml:space="preserve">HU-A-G12</t>
  </si>
  <si>
    <t xml:space="preserve">RT-B-G01</t>
  </si>
  <si>
    <t xml:space="preserve">RT-B-G02</t>
  </si>
  <si>
    <t xml:space="preserve">RT-B-G03</t>
  </si>
  <si>
    <t xml:space="preserve">RT-B-G04</t>
  </si>
  <si>
    <t xml:space="preserve">RT-B-G05</t>
  </si>
  <si>
    <t xml:space="preserve">RT-B-G06</t>
  </si>
  <si>
    <t xml:space="preserve">RT-B-G07</t>
  </si>
  <si>
    <t xml:space="preserve">RT-B-G08</t>
  </si>
  <si>
    <t xml:space="preserve">RT-B-G09</t>
  </si>
  <si>
    <t xml:space="preserve">RT-B-G10</t>
  </si>
  <si>
    <t xml:space="preserve">RT-B-G11</t>
  </si>
  <si>
    <t xml:space="preserve">RT-B-G12</t>
  </si>
  <si>
    <t xml:space="preserve">Restored control-mutation register</t>
  </si>
  <si>
    <t xml:space="preserve">The verifier applies each mutation in memory, recalculates, observes the named audit and restores the baseline.</t>
  </si>
  <si>
    <t xml:space="preserve">Mutation</t>
  </si>
  <si>
    <t xml:space="preserve">Counterfactual edit</t>
  </si>
  <si>
    <t xml:space="preserve">Expected propagation</t>
  </si>
  <si>
    <t xml:space="preserve">M01</t>
  </si>
  <si>
    <t xml:space="preserve">minimum rival set reduced below three</t>
  </si>
  <si>
    <t xml:space="preserve">rival-set minimum audit fails</t>
  </si>
  <si>
    <t xml:space="preserve">M02</t>
  </si>
  <si>
    <t xml:space="preserve">hypothesis authority removed</t>
  </si>
  <si>
    <t xml:space="preserve">hypothesis-authority audit fails</t>
  </si>
  <si>
    <t xml:space="preserve">M03</t>
  </si>
  <si>
    <t xml:space="preserve">selected exterior authority entered</t>
  </si>
  <si>
    <t xml:space="preserve">exterior-zero audit fails</t>
  </si>
  <si>
    <t xml:space="preserve">M04</t>
  </si>
  <si>
    <t xml:space="preserve">production exterior authority entered</t>
  </si>
  <si>
    <t xml:space="preserve">production-zero audit fails</t>
  </si>
  <si>
    <t xml:space="preserve">M05</t>
  </si>
  <si>
    <t xml:space="preserve">representation issued without artifact</t>
  </si>
  <si>
    <t xml:space="preserve">issued-zero audit fails</t>
  </si>
  <si>
    <t xml:space="preserve">M06</t>
  </si>
  <si>
    <t xml:space="preserve">one root requirement removed</t>
  </si>
  <si>
    <t xml:space="preserve">representation authorization falls</t>
  </si>
  <si>
    <t xml:space="preserve">M07</t>
  </si>
  <si>
    <t xml:space="preserve">one section freeze removed</t>
  </si>
  <si>
    <t xml:space="preserve">M08</t>
  </si>
  <si>
    <t xml:space="preserve">one protocol coverage removed</t>
  </si>
  <si>
    <t xml:space="preserve">M09</t>
  </si>
  <si>
    <t xml:space="preserve">one rival-set grammar removed</t>
  </si>
  <si>
    <t xml:space="preserve">REP-3 authorization falls</t>
  </si>
  <si>
    <t xml:space="preserve">M10</t>
  </si>
  <si>
    <t xml:space="preserve">one built serial entered</t>
  </si>
  <si>
    <t xml:space="preserve">as-built state changes</t>
  </si>
  <si>
    <t xml:space="preserve">M11</t>
  </si>
  <si>
    <t xml:space="preserve">one accepted cell entered</t>
  </si>
  <si>
    <t xml:space="preserve">evidence-zero audit fails</t>
  </si>
  <si>
    <t xml:space="preserve">M12</t>
  </si>
  <si>
    <t xml:space="preserve">one hypothesis selected</t>
  </si>
  <si>
    <t xml:space="preserve">invalid-selection audit fails</t>
  </si>
  <si>
    <t xml:space="preserve">M13</t>
  </si>
  <si>
    <t xml:space="preserve">one view rule removed</t>
  </si>
  <si>
    <t xml:space="preserve">view-rule count falls</t>
  </si>
  <si>
    <t xml:space="preserve">M14</t>
  </si>
  <si>
    <t xml:space="preserve">one claim decision removed</t>
  </si>
  <si>
    <t xml:space="preserve">claim-matrix count falls</t>
  </si>
  <si>
    <t xml:space="preserve">M15</t>
  </si>
  <si>
    <t xml:space="preserve">one construction authority removed</t>
  </si>
  <si>
    <t xml:space="preserve">authorized-object count falls</t>
  </si>
  <si>
    <t xml:space="preserve">M16</t>
  </si>
  <si>
    <t xml:space="preserve">one nonconversion law removed</t>
  </si>
  <si>
    <t xml:space="preserve">law count falls</t>
  </si>
  <si>
    <t xml:space="preserve">M17</t>
  </si>
  <si>
    <t xml:space="preserve">FRAME share increased</t>
  </si>
  <si>
    <t xml:space="preserve">finance reconciliation changes</t>
  </si>
  <si>
    <t xml:space="preserve">M18</t>
  </si>
  <si>
    <t xml:space="preserve">accepted money entered</t>
  </si>
  <si>
    <t xml:space="preserve">authority-held audit fails</t>
  </si>
  <si>
    <t xml:space="preserve">Terminal representation-boundary audits</t>
  </si>
  <si>
    <t xml:space="preserve">Audits observe the model and do not feed representation, construction, finance or release state.</t>
  </si>
  <si>
    <t xml:space="preserve">Audit</t>
  </si>
  <si>
    <t xml:space="preserve">Check</t>
  </si>
  <si>
    <t xml:space="preserve">Actual</t>
  </si>
  <si>
    <t xml:space="preserve">Expected</t>
  </si>
  <si>
    <t xml:space="preserve">A01</t>
  </si>
  <si>
    <t xml:space="preserve">root count</t>
  </si>
  <si>
    <t xml:space="preserve">A02</t>
  </si>
  <si>
    <t xml:space="preserve">A03</t>
  </si>
  <si>
    <t xml:space="preserve">representation records</t>
  </si>
  <si>
    <t xml:space="preserve">A04</t>
  </si>
  <si>
    <t xml:space="preserve">A05</t>
  </si>
  <si>
    <t xml:space="preserve">currently held records</t>
  </si>
  <si>
    <t xml:space="preserve">A06</t>
  </si>
  <si>
    <t xml:space="preserve">issued representations</t>
  </si>
  <si>
    <t xml:space="preserve">A07</t>
  </si>
  <si>
    <t xml:space="preserve">accepted representations</t>
  </si>
  <si>
    <t xml:space="preserve">A08</t>
  </si>
  <si>
    <t xml:space="preserve">rival hypotheses</t>
  </si>
  <si>
    <t xml:space="preserve">A09</t>
  </si>
  <si>
    <t xml:space="preserve">minimum hypotheses per root</t>
  </si>
  <si>
    <t xml:space="preserve">A10</t>
  </si>
  <si>
    <t xml:space="preserve">hypothesis commission permissions</t>
  </si>
  <si>
    <t xml:space="preserve">A11</t>
  </si>
  <si>
    <t xml:space="preserve">hypotheses issued</t>
  </si>
  <si>
    <t xml:space="preserve">A12</t>
  </si>
  <si>
    <t xml:space="preserve">hypotheses selected</t>
  </si>
  <si>
    <t xml:space="preserve">A13</t>
  </si>
  <si>
    <t xml:space="preserve">invalid hypothesis selections</t>
  </si>
  <si>
    <t xml:space="preserve">A14</t>
  </si>
  <si>
    <t xml:space="preserve">view-grammar rules</t>
  </si>
  <si>
    <t xml:space="preserve">A15</t>
  </si>
  <si>
    <t xml:space="preserve">claim decisions</t>
  </si>
  <si>
    <t xml:space="preserve">A16</t>
  </si>
  <si>
    <t xml:space="preserve">construction decisions</t>
  </si>
  <si>
    <t xml:space="preserve">A17</t>
  </si>
  <si>
    <t xml:space="preserve">design-authorized objects</t>
  </si>
  <si>
    <t xml:space="preserve">A18</t>
  </si>
  <si>
    <t xml:space="preserve">held physical objects</t>
  </si>
  <si>
    <t xml:space="preserve">A19</t>
  </si>
  <si>
    <t xml:space="preserve">built serials</t>
  </si>
  <si>
    <t xml:space="preserve">A20</t>
  </si>
  <si>
    <t xml:space="preserve">nonconversion laws</t>
  </si>
  <si>
    <t xml:space="preserve">A21</t>
  </si>
  <si>
    <t xml:space="preserve">rollback triggers</t>
  </si>
  <si>
    <t xml:space="preserve">A22</t>
  </si>
  <si>
    <t xml:space="preserve">release gates</t>
  </si>
  <si>
    <t xml:space="preserve">A23</t>
  </si>
  <si>
    <t xml:space="preserve">gate evidence accepted</t>
  </si>
  <si>
    <t xml:space="preserve">A24</t>
  </si>
  <si>
    <t xml:space="preserve">selected exterior authority at gates</t>
  </si>
  <si>
    <t xml:space="preserve">A25</t>
  </si>
  <si>
    <t xml:space="preserve">accepted cells</t>
  </si>
  <si>
    <t xml:space="preserve">A26</t>
  </si>
  <si>
    <t xml:space="preserve">surviving roots</t>
  </si>
  <si>
    <t xml:space="preserve">A27</t>
  </si>
  <si>
    <t xml:space="preserve">cold returns</t>
  </si>
  <si>
    <t xml:space="preserve">A28</t>
  </si>
  <si>
    <t xml:space="preserve">mission evidence</t>
  </si>
  <si>
    <t xml:space="preserve">A29</t>
  </si>
  <si>
    <t xml:space="preserve">production warrants</t>
  </si>
  <si>
    <t xml:space="preserve">A30</t>
  </si>
  <si>
    <t xml:space="preserve">readiness warrants</t>
  </si>
  <si>
    <t xml:space="preserve">A31</t>
  </si>
  <si>
    <t xml:space="preserve">option ceiling conserved</t>
  </si>
  <si>
    <t xml:space="preserve">A32</t>
  </si>
  <si>
    <t xml:space="preserve">FRAME ceiling conserved</t>
  </si>
  <si>
    <t xml:space="preserve">A33</t>
  </si>
  <si>
    <t xml:space="preserve">incremental representation ceiling</t>
  </si>
  <si>
    <t xml:space="preserve">A34</t>
  </si>
  <si>
    <t xml:space="preserve">accepted money</t>
  </si>
  <si>
    <t xml:space="preserve">A35</t>
  </si>
  <si>
    <t xml:space="preserve">paid money</t>
  </si>
  <si>
    <t xml:space="preserve">A36</t>
  </si>
  <si>
    <t xml:space="preserve">hypothesis authority</t>
  </si>
  <si>
    <t xml:space="preserve">A37</t>
  </si>
  <si>
    <t xml:space="preserve">A38</t>
  </si>
  <si>
    <t xml:space="preserve">A39</t>
  </si>
  <si>
    <t xml:space="preserve">artifact issue count</t>
  </si>
  <si>
    <t xml:space="preserve">A40</t>
  </si>
  <si>
    <t xml:space="preserve">implementation identities</t>
  </si>
  <si>
    <t xml:space="preserve">A41</t>
  </si>
  <si>
    <t xml:space="preserve">capability and production credit</t>
  </si>
  <si>
    <t xml:space="preserve">A42</t>
  </si>
  <si>
    <t xml:space="preserve">classes with six eligible roots</t>
  </si>
  <si>
    <t xml:space="preserve">A43</t>
  </si>
  <si>
    <t xml:space="preserve">classes with zero eligible roots</t>
  </si>
  <si>
    <t xml:space="preserve">A44</t>
  </si>
  <si>
    <t xml:space="preserve">mutation records</t>
  </si>
  <si>
    <t xml:space="preserve">Internal sources and decision limits</t>
  </si>
  <si>
    <t xml:space="preserve">This workbook integrates repository-controlled results. It introduces representation law, not physical observations.</t>
  </si>
  <si>
    <t xml:space="preserve">ID</t>
  </si>
  <si>
    <t xml:space="preserve">Source or limit</t>
  </si>
  <si>
    <t xml:space="preserve">Repository path or statement</t>
  </si>
  <si>
    <t xml:space="preserve">Use</t>
  </si>
  <si>
    <t xml:space="preserve">S01</t>
  </si>
  <si>
    <t xml:space="preserve">Pass 219 internal-section architecture</t>
  </si>
  <si>
    <t xml:space="preserve">research/force/generation/department-of-resilience-six-root-internal-section-architecture-and-measurement-constitution.md</t>
  </si>
  <si>
    <t xml:space="preserve">six sections, 85 specifications and evidence holds</t>
  </si>
  <si>
    <t xml:space="preserve">S02</t>
  </si>
  <si>
    <t xml:space="preserve">Pass 218 quantitative triage</t>
  </si>
  <si>
    <t xml:space="preserve">research/force/generation/department-of-resilience-six-root-quantitative-causal-section-triage-and-resize-constitution.md</t>
  </si>
  <si>
    <t xml:space="preserve">144 cells, resize law and missing-is-not-zero rule</t>
  </si>
  <si>
    <t xml:space="preserve">S03</t>
  </si>
  <si>
    <t xml:space="preserve">Pass 217 causal-section closure</t>
  </si>
  <si>
    <t xml:space="preserve">research/force/generation/department-of-resilience-concurrent-six-root-causal-section-closure-constitution.md</t>
  </si>
  <si>
    <t xml:space="preserve">six accounts, four worlds and independent root lanes</t>
  </si>
  <si>
    <t xml:space="preserve">S04</t>
  </si>
  <si>
    <t xml:space="preserve">Pass 216 candidate-article requirements</t>
  </si>
  <si>
    <t xml:space="preserve">research/force/generation/department-of-resilience-six-root-form-giving-candidate-article-requirement-constitution.md</t>
  </si>
  <si>
    <t xml:space="preserve">article boundaries, twelve gates and original rendering hold</t>
  </si>
  <si>
    <t xml:space="preserve">S05</t>
  </si>
  <si>
    <t xml:space="preserve">Pass 215 construction compact</t>
  </si>
  <si>
    <t xml:space="preserve">research/force/generation/department-of-resilience-national-first-sentinel-construction-compact-and-return.md</t>
  </si>
  <si>
    <t xml:space="preserve">eighteen warrants, finance and nonconversion law</t>
  </si>
  <si>
    <t xml:space="preserve">S06</t>
  </si>
  <si>
    <t xml:space="preserve">MESA-1C representation boundary</t>
  </si>
  <si>
    <t xml:space="preserve">research/force/projection/mesa1c-supplier-neutral-architecture-and-trial-constitution.md</t>
  </si>
  <si>
    <t xml:space="preserve">measured-envelope principle and premature-image risk</t>
  </si>
  <si>
    <t xml:space="preserve">Meaning</t>
  </si>
  <si>
    <t xml:space="preserve">Effect</t>
  </si>
  <si>
    <t xml:space="preserve">L01</t>
  </si>
  <si>
    <t xml:space="preserve">No external sites</t>
  </si>
  <si>
    <t xml:space="preserve">Repository-only analytical integration</t>
  </si>
  <si>
    <t xml:space="preserve">No claim depends on current external evidence</t>
  </si>
  <si>
    <t xml:space="preserve">L02</t>
  </si>
  <si>
    <t xml:space="preserve">No observed performance</t>
  </si>
  <si>
    <t xml:space="preserve">Every physical and evidence field remains zero</t>
  </si>
  <si>
    <t xml:space="preserve">REP-5 through REP-7 remain held</t>
  </si>
  <si>
    <t xml:space="preserve">L03</t>
  </si>
  <si>
    <t xml:space="preserve">No rendering produced</t>
  </si>
  <si>
    <t xml:space="preserve">This pass defines authority but creates no image</t>
  </si>
  <si>
    <t xml:space="preserve">Issued-artifact count remains zero</t>
  </si>
  <si>
    <t xml:space="preserve">L04</t>
  </si>
  <si>
    <t xml:space="preserve">Hypothesis only</t>
  </si>
  <si>
    <t xml:space="preserve">REP-3 requires three equal alternatives per root</t>
  </si>
  <si>
    <t xml:space="preserve">No hypothesis may be selected or scored</t>
  </si>
  <si>
    <t xml:space="preserve">L05</t>
  </si>
  <si>
    <t xml:space="preserve">No new money</t>
  </si>
  <si>
    <t xml:space="preserve">Representation work remains inside FRAME</t>
  </si>
  <si>
    <t xml:space="preserve">Incremental ceiling, acceptance and payment stay zero</t>
  </si>
  <si>
    <t xml:space="preserve">L06</t>
  </si>
  <si>
    <t xml:space="preserve">No implementation identities</t>
  </si>
  <si>
    <t xml:space="preserve">Sites, firms, awards and serials remain empty</t>
  </si>
  <si>
    <t xml:space="preserve">Design authority does not become construction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</si>
</sst>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0"/>
    <numFmt numFmtId="166" formatCode="0"/>
    <numFmt numFmtId="167" formatCode="#,##0"/>
    <numFmt numFmtId="168" formatCode="0.0%"/>
    <numFmt numFmtId="169" formatCode="#,##0.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937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F465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3F465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i val="true"/>
      <sz val="10"/>
      <color rgb="FF3F4650"/>
      <name val="Arial"/>
      <family val="0"/>
      <charset val="1"/>
    </font>
    <font>
      <sz val="10"/>
      <color rgb="FF0070C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375B"/>
        <bgColor rgb="FF3F4650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FFFFFF"/>
      </patternFill>
    </fill>
    <fill>
      <patternFill patternType="solid">
        <fgColor rgb="FF0F6B78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9375B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9375B"/>
      <rgbColor rgb="FF339966"/>
      <rgbColor rgb="FF003300"/>
      <rgbColor rgb="FF333300"/>
      <rgbColor rgb="FF993300"/>
      <rgbColor rgb="FF993366"/>
      <rgbColor rgb="FF333399"/>
      <rgbColor rgb="FF3F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Eligible roots by representation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"Eligible roots"</c:f>
              <c:strCache>
                <c:ptCount val="1"/>
                <c:pt idx="0">
                  <c:v>Eligible roots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Summary!$A$16:$A$23</c:f>
              <c:strCache>
                <c:ptCount val="8"/>
                <c:pt idx="0">
                  <c:v>REP-0</c:v>
                </c:pt>
                <c:pt idx="1">
                  <c:v>REP-1</c:v>
                </c:pt>
                <c:pt idx="2">
                  <c:v>REP-2</c:v>
                </c:pt>
                <c:pt idx="3">
                  <c:v>REP-3</c:v>
                </c:pt>
                <c:pt idx="4">
                  <c:v>REP-4</c:v>
                </c:pt>
                <c:pt idx="5">
                  <c:v>REP-5</c:v>
                </c:pt>
                <c:pt idx="6">
                  <c:v>REP-6</c:v>
                </c:pt>
                <c:pt idx="7">
                  <c:v>REP-7</c:v>
                </c:pt>
              </c:strCache>
            </c:strRef>
          </c:cat>
          <c:val>
            <c:numRef>
              <c:f>Summary!$D$16:$D$23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1075235"/>
        <c:axId val="69247954"/>
      </c:barChart>
      <c:catAx>
        <c:axId val="9107523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9247954"/>
        <c:crosses val="autoZero"/>
        <c:auto val="1"/>
        <c:lblAlgn val="ctr"/>
        <c:lblOffset val="100"/>
        <c:noMultiLvlLbl val="0"/>
      </c:catAx>
      <c:valAx>
        <c:axId val="6924795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1075235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1198080</xdr:colOff>
      <xdr:row>18</xdr:row>
      <xdr:rowOff>190080</xdr:rowOff>
    </xdr:to>
    <xdr:graphicFrame>
      <xdr:nvGraphicFramePr>
        <xdr:cNvPr id="1" name="Chart"/>
        <xdr:cNvGraphicFramePr/>
      </xdr:nvGraphicFramePr>
      <xdr:xfrm>
        <a:off x="12475800" y="685800"/>
        <a:ext cx="6836760" cy="398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12" min="7" style="0" width="3"/>
    <col collapsed="false" customWidth="true" hidden="false" outlineLevel="0" max="13" min="13" style="0" width="12"/>
    <col collapsed="false" customWidth="true" hidden="false" outlineLevel="0" max="18" min="14" style="0" width="17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24" hidden="false" customHeight="true" outlineLevel="0" collapsed="false">
      <c r="A4" s="3" t="s">
        <v>1</v>
      </c>
      <c r="B4" s="4" t="s">
        <v>2</v>
      </c>
      <c r="C4" s="4" t="s">
        <v>3</v>
      </c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22" hidden="false" customHeight="true" outlineLevel="0" collapsed="false">
      <c r="A5" s="7" t="s">
        <v>5</v>
      </c>
      <c r="B5" s="8" t="n">
        <f aca="false">COUNTA('Representation Ladder'!A7:A14)</f>
        <v>8</v>
      </c>
      <c r="C5" s="7" t="s">
        <v>6</v>
      </c>
      <c r="D5" s="9" t="s">
        <v>7</v>
      </c>
      <c r="E5" s="6"/>
      <c r="F5" s="10" t="s">
        <v>8</v>
      </c>
      <c r="G5" s="10"/>
      <c r="H5" s="10"/>
      <c r="I5" s="10"/>
      <c r="J5" s="10"/>
      <c r="K5" s="6"/>
      <c r="L5" s="6"/>
      <c r="M5" s="6"/>
      <c r="N5" s="6"/>
      <c r="O5" s="6"/>
      <c r="P5" s="6"/>
      <c r="Q5" s="6"/>
      <c r="R5" s="6"/>
    </row>
    <row r="6" customFormat="false" ht="22" hidden="false" customHeight="true" outlineLevel="0" collapsed="false">
      <c r="A6" s="11" t="s">
        <v>9</v>
      </c>
      <c r="B6" s="12" t="n">
        <f aca="false">COUNTA('Representation Register'!A7:A54)</f>
        <v>48</v>
      </c>
      <c r="C6" s="11" t="s">
        <v>6</v>
      </c>
      <c r="D6" s="13" t="s">
        <v>10</v>
      </c>
      <c r="E6" s="6"/>
      <c r="F6" s="10"/>
      <c r="G6" s="10"/>
      <c r="H6" s="10"/>
      <c r="I6" s="10"/>
      <c r="J6" s="10"/>
      <c r="K6" s="6"/>
      <c r="L6" s="6"/>
      <c r="M6" s="6"/>
      <c r="N6" s="6"/>
      <c r="O6" s="6"/>
      <c r="P6" s="6"/>
      <c r="Q6" s="6"/>
      <c r="R6" s="6"/>
    </row>
    <row r="7" customFormat="false" ht="22" hidden="false" customHeight="true" outlineLevel="0" collapsed="false">
      <c r="A7" s="11" t="s">
        <v>11</v>
      </c>
      <c r="B7" s="12" t="n">
        <f aca="false">SUM('Representation Register'!H7:H54)</f>
        <v>24</v>
      </c>
      <c r="C7" s="11" t="s">
        <v>6</v>
      </c>
      <c r="D7" s="13" t="s">
        <v>12</v>
      </c>
      <c r="E7" s="6"/>
      <c r="F7" s="10"/>
      <c r="G7" s="10"/>
      <c r="H7" s="10"/>
      <c r="I7" s="10"/>
      <c r="J7" s="10"/>
      <c r="K7" s="6"/>
      <c r="L7" s="6"/>
      <c r="M7" s="6"/>
      <c r="N7" s="6"/>
      <c r="O7" s="6"/>
      <c r="P7" s="6"/>
      <c r="Q7" s="6"/>
      <c r="R7" s="6"/>
    </row>
    <row r="8" customFormat="false" ht="22" hidden="false" customHeight="true" outlineLevel="0" collapsed="false">
      <c r="A8" s="11" t="s">
        <v>13</v>
      </c>
      <c r="B8" s="12" t="n">
        <f aca="false">COUNTIFS('Representation Register'!M7:M54,"HELD")</f>
        <v>24</v>
      </c>
      <c r="C8" s="11" t="s">
        <v>6</v>
      </c>
      <c r="D8" s="13" t="s">
        <v>14</v>
      </c>
      <c r="E8" s="6"/>
      <c r="F8" s="10"/>
      <c r="G8" s="10"/>
      <c r="H8" s="10"/>
      <c r="I8" s="10"/>
      <c r="J8" s="10"/>
      <c r="K8" s="6"/>
      <c r="L8" s="6"/>
      <c r="M8" s="6"/>
      <c r="N8" s="6"/>
      <c r="O8" s="6"/>
      <c r="P8" s="6"/>
      <c r="Q8" s="6"/>
      <c r="R8" s="6"/>
    </row>
    <row r="9" customFormat="false" ht="22" hidden="false" customHeight="true" outlineLevel="0" collapsed="false">
      <c r="A9" s="11" t="s">
        <v>15</v>
      </c>
      <c r="B9" s="12" t="n">
        <f aca="false">COUNTA('Hypothesis Sets'!A7:A24)</f>
        <v>18</v>
      </c>
      <c r="C9" s="11" t="s">
        <v>6</v>
      </c>
      <c r="D9" s="13" t="s">
        <v>16</v>
      </c>
      <c r="E9" s="6"/>
      <c r="F9" s="10"/>
      <c r="G9" s="10"/>
      <c r="H9" s="10"/>
      <c r="I9" s="10"/>
      <c r="J9" s="10"/>
      <c r="K9" s="6"/>
      <c r="L9" s="6"/>
      <c r="M9" s="6"/>
      <c r="N9" s="6"/>
      <c r="O9" s="6"/>
      <c r="P9" s="6"/>
      <c r="Q9" s="6"/>
      <c r="R9" s="6"/>
    </row>
    <row r="10" customFormat="false" ht="22" hidden="false" customHeight="true" outlineLevel="0" collapsed="false">
      <c r="A10" s="11" t="s">
        <v>17</v>
      </c>
      <c r="B10" s="12" t="n">
        <f aca="false">SUM('Hypothesis Sets'!K7:K24)</f>
        <v>0</v>
      </c>
      <c r="C10" s="11" t="s">
        <v>6</v>
      </c>
      <c r="D10" s="13" t="s">
        <v>18</v>
      </c>
      <c r="E10" s="6"/>
      <c r="F10" s="10"/>
      <c r="G10" s="10"/>
      <c r="H10" s="10"/>
      <c r="I10" s="10"/>
      <c r="J10" s="10"/>
      <c r="K10" s="6"/>
      <c r="L10" s="6"/>
      <c r="M10" s="6"/>
      <c r="N10" s="6"/>
      <c r="O10" s="6"/>
      <c r="P10" s="6"/>
      <c r="Q10" s="6"/>
      <c r="R10" s="6"/>
    </row>
    <row r="11" customFormat="false" ht="22" hidden="false" customHeight="true" outlineLevel="0" collapsed="false">
      <c r="A11" s="11" t="s">
        <v>19</v>
      </c>
      <c r="B11" s="14" t="n">
        <f aca="false">Finance!G13</f>
        <v>0</v>
      </c>
      <c r="C11" s="11" t="s">
        <v>20</v>
      </c>
      <c r="D11" s="13" t="s">
        <v>18</v>
      </c>
      <c r="E11" s="6"/>
      <c r="F11" s="10"/>
      <c r="G11" s="10"/>
      <c r="H11" s="10"/>
      <c r="I11" s="10"/>
      <c r="J11" s="10"/>
      <c r="K11" s="6"/>
      <c r="L11" s="6"/>
      <c r="M11" s="6"/>
      <c r="N11" s="6"/>
      <c r="O11" s="6"/>
      <c r="P11" s="6"/>
      <c r="Q11" s="6"/>
      <c r="R11" s="6"/>
    </row>
    <row r="12" customFormat="false" ht="22" hidden="false" customHeight="true" outlineLevel="0" collapsed="false">
      <c r="A12" s="15" t="s">
        <v>21</v>
      </c>
      <c r="B12" s="16" t="n">
        <f aca="false">Controls!B22</f>
        <v>0</v>
      </c>
      <c r="C12" s="15" t="s">
        <v>6</v>
      </c>
      <c r="D12" s="17" t="s">
        <v>18</v>
      </c>
      <c r="E12" s="6"/>
      <c r="F12" s="10"/>
      <c r="G12" s="10"/>
      <c r="H12" s="10"/>
      <c r="I12" s="10"/>
      <c r="J12" s="10"/>
      <c r="K12" s="6"/>
      <c r="L12" s="6"/>
      <c r="M12" s="6"/>
      <c r="N12" s="6"/>
      <c r="O12" s="6"/>
      <c r="P12" s="6"/>
      <c r="Q12" s="6"/>
      <c r="R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24" hidden="false" customHeight="true" outlineLevel="0" collapsed="false">
      <c r="A15" s="3" t="s">
        <v>22</v>
      </c>
      <c r="B15" s="4" t="s">
        <v>23</v>
      </c>
      <c r="C15" s="4" t="s">
        <v>24</v>
      </c>
      <c r="D15" s="4" t="s">
        <v>25</v>
      </c>
      <c r="E15" s="4" t="s">
        <v>26</v>
      </c>
      <c r="F15" s="5" t="s">
        <v>27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customFormat="false" ht="15" hidden="false" customHeight="false" outlineLevel="0" collapsed="false">
      <c r="A16" s="7" t="str">
        <f aca="false">'Representation Ladder'!A7</f>
        <v>REP-0</v>
      </c>
      <c r="B16" s="7" t="str">
        <f aca="false">'Representation Ladder'!C7</f>
        <v>Service condition record</v>
      </c>
      <c r="C16" s="7" t="n">
        <f aca="false">'Representation Ladder'!E7</f>
        <v>1</v>
      </c>
      <c r="D16" s="7" t="n">
        <f aca="false">'Representation Ladder'!N7</f>
        <v>6</v>
      </c>
      <c r="E16" s="7" t="n">
        <f aca="false">'Representation Ladder'!O7</f>
        <v>0</v>
      </c>
      <c r="F16" s="7" t="str">
        <f aca="false">'Representation Ladder'!M7</f>
        <v>service need only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15" hidden="false" customHeight="false" outlineLevel="0" collapsed="false">
      <c r="A17" s="11" t="str">
        <f aca="false">'Representation Ladder'!A8</f>
        <v>REP-1</v>
      </c>
      <c r="B17" s="11" t="str">
        <f aca="false">'Representation Ladder'!C8</f>
        <v>Causal topology</v>
      </c>
      <c r="C17" s="11" t="n">
        <f aca="false">'Representation Ladder'!E8</f>
        <v>1</v>
      </c>
      <c r="D17" s="11" t="n">
        <f aca="false">'Representation Ladder'!N8</f>
        <v>6</v>
      </c>
      <c r="E17" s="11" t="n">
        <f aca="false">'Representation Ladder'!O8</f>
        <v>0</v>
      </c>
      <c r="F17" s="11" t="str">
        <f aca="false">'Representation Ladder'!M8</f>
        <v>relationships and flows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customFormat="false" ht="15" hidden="false" customHeight="false" outlineLevel="0" collapsed="false">
      <c r="A18" s="11" t="str">
        <f aca="false">'Representation Ladder'!A9</f>
        <v>REP-2</v>
      </c>
      <c r="B18" s="11" t="str">
        <f aca="false">'Representation Ladder'!C9</f>
        <v>Instrumented falsification section</v>
      </c>
      <c r="C18" s="11" t="n">
        <f aca="false">'Representation Ladder'!E9</f>
        <v>1</v>
      </c>
      <c r="D18" s="11" t="n">
        <f aca="false">'Representation Ladder'!N9</f>
        <v>6</v>
      </c>
      <c r="E18" s="11" t="n">
        <f aca="false">'Representation Ladder'!O9</f>
        <v>0</v>
      </c>
      <c r="F18" s="11" t="str">
        <f aca="false">'Representation Ladder'!M9</f>
        <v>test geometry only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false" outlineLevel="0" collapsed="false">
      <c r="A19" s="11" t="str">
        <f aca="false">'Representation Ladder'!A10</f>
        <v>REP-3</v>
      </c>
      <c r="B19" s="11" t="str">
        <f aca="false">'Representation Ladder'!C10</f>
        <v>Equal-salience rival form set</v>
      </c>
      <c r="C19" s="11" t="n">
        <f aca="false">'Representation Ladder'!E10</f>
        <v>3</v>
      </c>
      <c r="D19" s="11" t="n">
        <f aca="false">'Representation Ladder'!N10</f>
        <v>6</v>
      </c>
      <c r="E19" s="11" t="n">
        <f aca="false">'Representation Ladder'!O10</f>
        <v>0</v>
      </c>
      <c r="F19" s="11" t="str">
        <f aca="false">'Representation Ladder'!M10</f>
        <v>whole form as unselected hypothesis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customFormat="false" ht="15" hidden="false" customHeight="false" outlineLevel="0" collapsed="false">
      <c r="A20" s="11" t="str">
        <f aca="false">'Representation Ladder'!A11</f>
        <v>REP-4</v>
      </c>
      <c r="B20" s="11" t="str">
        <f aca="false">'Representation Ladder'!C11</f>
        <v>As-built experimental record</v>
      </c>
      <c r="C20" s="11" t="n">
        <f aca="false">'Representation Ladder'!E11</f>
        <v>1</v>
      </c>
      <c r="D20" s="11" t="n">
        <f aca="false">'Representation Ladder'!N11</f>
        <v>0</v>
      </c>
      <c r="E20" s="11" t="n">
        <f aca="false">'Representation Ladder'!O11</f>
        <v>0</v>
      </c>
      <c r="F20" s="11" t="str">
        <f aca="false">'Representation Ladder'!M11</f>
        <v>actual test article only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false" outlineLevel="0" collapsed="false">
      <c r="A21" s="11" t="str">
        <f aca="false">'Representation Ladder'!A12</f>
        <v>REP-5</v>
      </c>
      <c r="B21" s="11" t="str">
        <f aca="false">'Representation Ladder'!C12</f>
        <v>Evidence-qualified candidate form</v>
      </c>
      <c r="C21" s="11" t="n">
        <f aca="false">'Representation Ladder'!E12</f>
        <v>1</v>
      </c>
      <c r="D21" s="11" t="n">
        <f aca="false">'Representation Ladder'!N12</f>
        <v>0</v>
      </c>
      <c r="E21" s="11" t="n">
        <f aca="false">'Representation Ladder'!O12</f>
        <v>0</v>
      </c>
      <c r="F21" s="11" t="str">
        <f aca="false">'Representation Ladder'!M12</f>
        <v>one supported root configuration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customFormat="false" ht="15" hidden="false" customHeight="false" outlineLevel="0" collapsed="false">
      <c r="A22" s="11" t="str">
        <f aca="false">'Representation Ladder'!A13</f>
        <v>REP-6</v>
      </c>
      <c r="B22" s="11" t="str">
        <f aca="false">'Representation Ladder'!C13</f>
        <v>Complete mission configuration</v>
      </c>
      <c r="C22" s="11" t="n">
        <f aca="false">'Representation Ladder'!E13</f>
        <v>1</v>
      </c>
      <c r="D22" s="11" t="n">
        <f aca="false">'Representation Ladder'!N13</f>
        <v>0</v>
      </c>
      <c r="E22" s="11" t="n">
        <f aca="false">'Representation Ladder'!O13</f>
        <v>0</v>
      </c>
      <c r="F22" s="11" t="str">
        <f aca="false">'Representation Ladder'!M13</f>
        <v>one supported mission chain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15" hidden="false" customHeight="false" outlineLevel="0" collapsed="false">
      <c r="A23" s="15" t="str">
        <f aca="false">'Representation Ladder'!A14</f>
        <v>REP-7</v>
      </c>
      <c r="B23" s="15" t="str">
        <f aca="false">'Representation Ladder'!C14</f>
        <v>Production and fleet exterior</v>
      </c>
      <c r="C23" s="15" t="n">
        <f aca="false">'Representation Ladder'!E14</f>
        <v>1</v>
      </c>
      <c r="D23" s="15" t="n">
        <f aca="false">'Representation Ladder'!N14</f>
        <v>0</v>
      </c>
      <c r="E23" s="15" t="n">
        <f aca="false">'Representation Ladder'!O14</f>
        <v>0</v>
      </c>
      <c r="F23" s="15" t="str">
        <f aca="false">'Representation Ladder'!M14</f>
        <v>produced and ready configuration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</sheetData>
  <mergeCells count="2">
    <mergeCell ref="A2:R2"/>
    <mergeCell ref="F5:J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</cols>
  <sheetData>
    <row r="2" customFormat="false" ht="24" hidden="false" customHeight="true" outlineLevel="0" collapsed="false">
      <c r="A2" s="1" t="s">
        <v>28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8" t="s">
        <v>29</v>
      </c>
      <c r="B4" s="18"/>
      <c r="C4" s="18"/>
      <c r="D4" s="18"/>
    </row>
    <row r="5" customFormat="false" ht="15" hidden="false" customHeight="false" outlineLevel="0" collapsed="false">
      <c r="A5" s="6"/>
      <c r="B5" s="6"/>
      <c r="C5" s="6"/>
      <c r="D5" s="6"/>
    </row>
    <row r="6" customFormat="false" ht="24" hidden="false" customHeight="true" outlineLevel="0" collapsed="false">
      <c r="A6" s="19" t="s">
        <v>30</v>
      </c>
      <c r="B6" s="20" t="s">
        <v>2</v>
      </c>
      <c r="C6" s="20" t="s">
        <v>3</v>
      </c>
      <c r="D6" s="21" t="s">
        <v>31</v>
      </c>
    </row>
    <row r="7" customFormat="false" ht="15" hidden="false" customHeight="false" outlineLevel="0" collapsed="false">
      <c r="A7" s="7" t="s">
        <v>32</v>
      </c>
      <c r="B7" s="22" t="n">
        <v>6</v>
      </c>
      <c r="C7" s="7" t="s">
        <v>6</v>
      </c>
      <c r="D7" s="7" t="s">
        <v>33</v>
      </c>
    </row>
    <row r="8" customFormat="false" ht="15" hidden="false" customHeight="false" outlineLevel="0" collapsed="false">
      <c r="A8" s="11" t="s">
        <v>34</v>
      </c>
      <c r="B8" s="23" t="n">
        <v>6</v>
      </c>
      <c r="C8" s="11" t="s">
        <v>6</v>
      </c>
      <c r="D8" s="11" t="s">
        <v>35</v>
      </c>
    </row>
    <row r="9" customFormat="false" ht="15" hidden="false" customHeight="false" outlineLevel="0" collapsed="false">
      <c r="A9" s="11" t="s">
        <v>36</v>
      </c>
      <c r="B9" s="23" t="n">
        <v>4</v>
      </c>
      <c r="C9" s="11" t="s">
        <v>6</v>
      </c>
      <c r="D9" s="11" t="s">
        <v>35</v>
      </c>
    </row>
    <row r="10" customFormat="false" ht="15" hidden="false" customHeight="false" outlineLevel="0" collapsed="false">
      <c r="A10" s="11" t="s">
        <v>37</v>
      </c>
      <c r="B10" s="23" t="n">
        <v>24</v>
      </c>
      <c r="C10" s="11" t="s">
        <v>6</v>
      </c>
      <c r="D10" s="11" t="s">
        <v>38</v>
      </c>
    </row>
    <row r="11" customFormat="false" ht="15" hidden="false" customHeight="false" outlineLevel="0" collapsed="false">
      <c r="A11" s="11" t="s">
        <v>39</v>
      </c>
      <c r="B11" s="23" t="n">
        <v>60</v>
      </c>
      <c r="C11" s="11" t="s">
        <v>6</v>
      </c>
      <c r="D11" s="11" t="s">
        <v>40</v>
      </c>
    </row>
    <row r="12" customFormat="false" ht="15" hidden="false" customHeight="false" outlineLevel="0" collapsed="false">
      <c r="A12" s="11" t="s">
        <v>41</v>
      </c>
      <c r="B12" s="23" t="n">
        <v>84</v>
      </c>
      <c r="C12" s="11" t="s">
        <v>6</v>
      </c>
      <c r="D12" s="11" t="s">
        <v>40</v>
      </c>
    </row>
    <row r="13" customFormat="false" ht="15" hidden="false" customHeight="false" outlineLevel="0" collapsed="false">
      <c r="A13" s="11" t="s">
        <v>42</v>
      </c>
      <c r="B13" s="23" t="n">
        <v>85</v>
      </c>
      <c r="C13" s="11" t="s">
        <v>6</v>
      </c>
      <c r="D13" s="11" t="s">
        <v>40</v>
      </c>
    </row>
    <row r="14" customFormat="false" ht="15" hidden="false" customHeight="false" outlineLevel="0" collapsed="false">
      <c r="A14" s="11" t="s">
        <v>43</v>
      </c>
      <c r="B14" s="23" t="n">
        <v>3</v>
      </c>
      <c r="C14" s="11" t="s">
        <v>6</v>
      </c>
      <c r="D14" s="11" t="s">
        <v>44</v>
      </c>
    </row>
    <row r="15" customFormat="false" ht="15" hidden="false" customHeight="false" outlineLevel="0" collapsed="false">
      <c r="A15" s="11" t="s">
        <v>45</v>
      </c>
      <c r="B15" s="23" t="n">
        <v>1</v>
      </c>
      <c r="C15" s="11" t="s">
        <v>46</v>
      </c>
      <c r="D15" s="11" t="s">
        <v>47</v>
      </c>
    </row>
    <row r="16" customFormat="false" ht="15" hidden="false" customHeight="false" outlineLevel="0" collapsed="false">
      <c r="A16" s="11" t="s">
        <v>48</v>
      </c>
      <c r="B16" s="24" t="n">
        <v>0</v>
      </c>
      <c r="C16" s="11" t="s">
        <v>46</v>
      </c>
      <c r="D16" s="11" t="s">
        <v>49</v>
      </c>
    </row>
    <row r="17" customFormat="false" ht="15" hidden="false" customHeight="false" outlineLevel="0" collapsed="false">
      <c r="A17" s="11" t="s">
        <v>50</v>
      </c>
      <c r="B17" s="24" t="n">
        <v>0</v>
      </c>
      <c r="C17" s="11" t="s">
        <v>46</v>
      </c>
      <c r="D17" s="11" t="s">
        <v>49</v>
      </c>
    </row>
    <row r="18" customFormat="false" ht="15" hidden="false" customHeight="false" outlineLevel="0" collapsed="false">
      <c r="A18" s="11" t="s">
        <v>51</v>
      </c>
      <c r="B18" s="24" t="n">
        <v>0</v>
      </c>
      <c r="C18" s="11" t="s">
        <v>6</v>
      </c>
      <c r="D18" s="11" t="s">
        <v>52</v>
      </c>
    </row>
    <row r="19" customFormat="false" ht="15" hidden="false" customHeight="false" outlineLevel="0" collapsed="false">
      <c r="A19" s="11" t="s">
        <v>53</v>
      </c>
      <c r="B19" s="24" t="n">
        <v>0</v>
      </c>
      <c r="C19" s="11" t="s">
        <v>6</v>
      </c>
      <c r="D19" s="11" t="s">
        <v>54</v>
      </c>
    </row>
    <row r="20" customFormat="false" ht="15" hidden="false" customHeight="false" outlineLevel="0" collapsed="false">
      <c r="A20" s="11" t="s">
        <v>55</v>
      </c>
      <c r="B20" s="24" t="n">
        <v>0</v>
      </c>
      <c r="C20" s="11" t="s">
        <v>6</v>
      </c>
      <c r="D20" s="11" t="s">
        <v>54</v>
      </c>
    </row>
    <row r="21" customFormat="false" ht="15" hidden="false" customHeight="false" outlineLevel="0" collapsed="false">
      <c r="A21" s="11" t="s">
        <v>56</v>
      </c>
      <c r="B21" s="24" t="n">
        <v>0</v>
      </c>
      <c r="C21" s="11" t="s">
        <v>6</v>
      </c>
      <c r="D21" s="11" t="s">
        <v>49</v>
      </c>
    </row>
    <row r="22" customFormat="false" ht="15" hidden="false" customHeight="false" outlineLevel="0" collapsed="false">
      <c r="A22" s="11" t="s">
        <v>21</v>
      </c>
      <c r="B22" s="24" t="n">
        <v>0</v>
      </c>
      <c r="C22" s="11" t="s">
        <v>6</v>
      </c>
      <c r="D22" s="11" t="s">
        <v>54</v>
      </c>
    </row>
    <row r="23" customFormat="false" ht="15" hidden="false" customHeight="false" outlineLevel="0" collapsed="false">
      <c r="A23" s="11" t="s">
        <v>57</v>
      </c>
      <c r="B23" s="24" t="n">
        <v>0</v>
      </c>
      <c r="C23" s="11" t="s">
        <v>6</v>
      </c>
      <c r="D23" s="11" t="s">
        <v>49</v>
      </c>
    </row>
    <row r="24" customFormat="false" ht="15" hidden="false" customHeight="false" outlineLevel="0" collapsed="false">
      <c r="A24" s="11" t="s">
        <v>58</v>
      </c>
      <c r="B24" s="24" t="n">
        <v>0</v>
      </c>
      <c r="C24" s="11" t="s">
        <v>6</v>
      </c>
      <c r="D24" s="11" t="s">
        <v>49</v>
      </c>
    </row>
    <row r="25" customFormat="false" ht="15" hidden="false" customHeight="false" outlineLevel="0" collapsed="false">
      <c r="A25" s="11" t="s">
        <v>59</v>
      </c>
      <c r="B25" s="24" t="n">
        <v>0</v>
      </c>
      <c r="C25" s="11" t="s">
        <v>6</v>
      </c>
      <c r="D25" s="11" t="s">
        <v>49</v>
      </c>
    </row>
    <row r="26" customFormat="false" ht="15" hidden="false" customHeight="false" outlineLevel="0" collapsed="false">
      <c r="A26" s="11" t="s">
        <v>60</v>
      </c>
      <c r="B26" s="25" t="n">
        <v>3.58691281932057</v>
      </c>
      <c r="C26" s="11" t="s">
        <v>20</v>
      </c>
      <c r="D26" s="11" t="s">
        <v>61</v>
      </c>
    </row>
    <row r="27" customFormat="false" ht="15" hidden="false" customHeight="false" outlineLevel="0" collapsed="false">
      <c r="A27" s="11" t="s">
        <v>62</v>
      </c>
      <c r="B27" s="26" t="n">
        <v>0.15</v>
      </c>
      <c r="C27" s="11" t="s">
        <v>63</v>
      </c>
      <c r="D27" s="11" t="s">
        <v>61</v>
      </c>
    </row>
    <row r="28" customFormat="false" ht="15" hidden="false" customHeight="false" outlineLevel="0" collapsed="false">
      <c r="A28" s="11" t="s">
        <v>64</v>
      </c>
      <c r="B28" s="25" t="n">
        <v>0.538036922898085</v>
      </c>
      <c r="C28" s="11" t="s">
        <v>20</v>
      </c>
      <c r="D28" s="11" t="s">
        <v>38</v>
      </c>
    </row>
    <row r="29" customFormat="false" ht="15" hidden="false" customHeight="false" outlineLevel="0" collapsed="false">
      <c r="A29" s="11" t="s">
        <v>65</v>
      </c>
      <c r="B29" s="25" t="n">
        <v>0</v>
      </c>
      <c r="C29" s="11" t="s">
        <v>20</v>
      </c>
      <c r="D29" s="11" t="s">
        <v>49</v>
      </c>
    </row>
    <row r="30" customFormat="false" ht="15" hidden="false" customHeight="false" outlineLevel="0" collapsed="false">
      <c r="A30" s="15" t="s">
        <v>66</v>
      </c>
      <c r="B30" s="27" t="n">
        <v>0</v>
      </c>
      <c r="C30" s="15" t="s">
        <v>20</v>
      </c>
      <c r="D30" s="15" t="s">
        <v>49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2" min="11" style="0" width="17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19"/>
    <col collapsed="false" customWidth="true" hidden="false" outlineLevel="0" max="17" min="16" style="0" width="20"/>
    <col collapsed="false" customWidth="true" hidden="false" outlineLevel="0" max="18" min="18" style="0" width="72"/>
  </cols>
  <sheetData>
    <row r="2" customFormat="false" ht="24" hidden="false" customHeight="true" outlineLevel="0" collapsed="false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18" t="s">
        <v>68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24" hidden="false" customHeight="true" outlineLevel="0" collapsed="false">
      <c r="A6" s="19" t="s">
        <v>69</v>
      </c>
      <c r="B6" s="20" t="s">
        <v>70</v>
      </c>
      <c r="C6" s="20" t="s">
        <v>71</v>
      </c>
      <c r="D6" s="20" t="s">
        <v>72</v>
      </c>
      <c r="E6" s="20" t="s">
        <v>73</v>
      </c>
      <c r="F6" s="20" t="s">
        <v>74</v>
      </c>
      <c r="G6" s="20" t="s">
        <v>75</v>
      </c>
      <c r="H6" s="20" t="s">
        <v>76</v>
      </c>
      <c r="I6" s="20" t="s">
        <v>77</v>
      </c>
      <c r="J6" s="20" t="s">
        <v>78</v>
      </c>
      <c r="K6" s="20" t="s">
        <v>79</v>
      </c>
      <c r="L6" s="20" t="s">
        <v>80</v>
      </c>
      <c r="M6" s="20" t="s">
        <v>81</v>
      </c>
      <c r="N6" s="20" t="s">
        <v>82</v>
      </c>
      <c r="O6" s="20" t="s">
        <v>83</v>
      </c>
      <c r="P6" s="20" t="s">
        <v>84</v>
      </c>
      <c r="Q6" s="20" t="s">
        <v>85</v>
      </c>
      <c r="R6" s="21" t="s">
        <v>86</v>
      </c>
    </row>
    <row r="7" customFormat="false" ht="15" hidden="false" customHeight="false" outlineLevel="0" collapsed="false">
      <c r="A7" s="7" t="s">
        <v>87</v>
      </c>
      <c r="B7" s="7" t="s">
        <v>88</v>
      </c>
      <c r="C7" s="7" t="s">
        <v>89</v>
      </c>
      <c r="D7" s="28" t="n">
        <v>0.50047461808185</v>
      </c>
      <c r="E7" s="29" t="n">
        <v>1</v>
      </c>
      <c r="F7" s="29" t="n">
        <v>1</v>
      </c>
      <c r="G7" s="29" t="n">
        <v>1</v>
      </c>
      <c r="H7" s="29" t="n">
        <v>1</v>
      </c>
      <c r="I7" s="9" t="n">
        <v>0</v>
      </c>
      <c r="J7" s="9" t="n">
        <v>0</v>
      </c>
      <c r="K7" s="9" t="n">
        <v>0</v>
      </c>
      <c r="L7" s="9" t="n">
        <v>24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7" t="s">
        <v>90</v>
      </c>
    </row>
    <row r="8" customFormat="false" ht="15" hidden="false" customHeight="false" outlineLevel="0" collapsed="false">
      <c r="A8" s="11" t="s">
        <v>91</v>
      </c>
      <c r="B8" s="11" t="s">
        <v>92</v>
      </c>
      <c r="C8" s="11" t="s">
        <v>93</v>
      </c>
      <c r="D8" s="25" t="n">
        <v>0.51649348177396</v>
      </c>
      <c r="E8" s="30" t="n">
        <v>1</v>
      </c>
      <c r="F8" s="30" t="n">
        <v>1</v>
      </c>
      <c r="G8" s="30" t="n">
        <v>1</v>
      </c>
      <c r="H8" s="30" t="n">
        <v>1</v>
      </c>
      <c r="I8" s="13" t="n">
        <v>0</v>
      </c>
      <c r="J8" s="13" t="n">
        <v>0</v>
      </c>
      <c r="K8" s="13" t="n">
        <v>0</v>
      </c>
      <c r="L8" s="13" t="n">
        <v>24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1" t="s">
        <v>94</v>
      </c>
    </row>
    <row r="9" customFormat="false" ht="15" hidden="false" customHeight="false" outlineLevel="0" collapsed="false">
      <c r="A9" s="11" t="s">
        <v>95</v>
      </c>
      <c r="B9" s="11" t="s">
        <v>96</v>
      </c>
      <c r="C9" s="11" t="s">
        <v>97</v>
      </c>
      <c r="D9" s="25" t="n">
        <v>0.307221654067133</v>
      </c>
      <c r="E9" s="30" t="n">
        <v>1</v>
      </c>
      <c r="F9" s="30" t="n">
        <v>1</v>
      </c>
      <c r="G9" s="30" t="n">
        <v>1</v>
      </c>
      <c r="H9" s="30" t="n">
        <v>1</v>
      </c>
      <c r="I9" s="13" t="n">
        <v>0</v>
      </c>
      <c r="J9" s="13" t="n">
        <v>0</v>
      </c>
      <c r="K9" s="13" t="n">
        <v>0</v>
      </c>
      <c r="L9" s="13" t="n">
        <v>24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1" t="s">
        <v>98</v>
      </c>
    </row>
    <row r="10" customFormat="false" ht="15" hidden="false" customHeight="false" outlineLevel="0" collapsed="false">
      <c r="A10" s="11" t="s">
        <v>99</v>
      </c>
      <c r="B10" s="11" t="s">
        <v>100</v>
      </c>
      <c r="C10" s="11" t="s">
        <v>101</v>
      </c>
      <c r="D10" s="25" t="n">
        <v>0.899412819320565</v>
      </c>
      <c r="E10" s="30" t="n">
        <v>1</v>
      </c>
      <c r="F10" s="30" t="n">
        <v>1</v>
      </c>
      <c r="G10" s="30" t="n">
        <v>1</v>
      </c>
      <c r="H10" s="30" t="n">
        <v>1</v>
      </c>
      <c r="I10" s="13" t="n">
        <v>0</v>
      </c>
      <c r="J10" s="13" t="n">
        <v>0</v>
      </c>
      <c r="K10" s="13" t="n">
        <v>0</v>
      </c>
      <c r="L10" s="13" t="n">
        <v>24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1" t="s">
        <v>102</v>
      </c>
    </row>
    <row r="11" customFormat="false" ht="15" hidden="false" customHeight="false" outlineLevel="0" collapsed="false">
      <c r="A11" s="11" t="s">
        <v>103</v>
      </c>
      <c r="B11" s="11" t="s">
        <v>104</v>
      </c>
      <c r="C11" s="11" t="s">
        <v>105</v>
      </c>
      <c r="D11" s="25" t="n">
        <v>0.860712452941095</v>
      </c>
      <c r="E11" s="30" t="n">
        <v>1</v>
      </c>
      <c r="F11" s="30" t="n">
        <v>1</v>
      </c>
      <c r="G11" s="30" t="n">
        <v>1</v>
      </c>
      <c r="H11" s="30" t="n">
        <v>1</v>
      </c>
      <c r="I11" s="13" t="n">
        <v>0</v>
      </c>
      <c r="J11" s="13" t="n">
        <v>0</v>
      </c>
      <c r="K11" s="13" t="n">
        <v>0</v>
      </c>
      <c r="L11" s="13" t="n">
        <v>24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1" t="s">
        <v>106</v>
      </c>
    </row>
    <row r="12" customFormat="false" ht="15" hidden="false" customHeight="false" outlineLevel="0" collapsed="false">
      <c r="A12" s="15" t="s">
        <v>107</v>
      </c>
      <c r="B12" s="15" t="s">
        <v>108</v>
      </c>
      <c r="C12" s="15" t="s">
        <v>109</v>
      </c>
      <c r="D12" s="27" t="n">
        <v>0.502597793135963</v>
      </c>
      <c r="E12" s="31" t="n">
        <v>1</v>
      </c>
      <c r="F12" s="31" t="n">
        <v>1</v>
      </c>
      <c r="G12" s="31" t="n">
        <v>1</v>
      </c>
      <c r="H12" s="31" t="n">
        <v>1</v>
      </c>
      <c r="I12" s="17" t="n">
        <v>0</v>
      </c>
      <c r="J12" s="17" t="n">
        <v>0</v>
      </c>
      <c r="K12" s="17" t="n">
        <v>0</v>
      </c>
      <c r="L12" s="17" t="n">
        <v>24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5" t="s">
        <v>110</v>
      </c>
    </row>
  </sheetData>
  <mergeCells count="2">
    <mergeCell ref="A2:R2"/>
    <mergeCell ref="A4:R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29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66"/>
    <col collapsed="false" customWidth="true" hidden="false" outlineLevel="0" max="12" min="12" style="0" width="54"/>
    <col collapsed="false" customWidth="true" hidden="false" outlineLevel="0" max="13" min="13" style="0" width="38"/>
    <col collapsed="false" customWidth="true" hidden="false" outlineLevel="0" max="14" min="14" style="0" width="17"/>
    <col collapsed="false" customWidth="true" hidden="false" outlineLevel="0" max="15" min="15" style="0" width="18"/>
  </cols>
  <sheetData>
    <row r="2" customFormat="false" ht="24" hidden="false" customHeight="true" outlineLevel="0" collapsed="false">
      <c r="A2" s="1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18" t="s">
        <v>112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24" hidden="false" customHeight="true" outlineLevel="0" collapsed="false">
      <c r="A6" s="19" t="s">
        <v>22</v>
      </c>
      <c r="B6" s="20" t="s">
        <v>113</v>
      </c>
      <c r="C6" s="20" t="s">
        <v>23</v>
      </c>
      <c r="D6" s="20" t="s">
        <v>114</v>
      </c>
      <c r="E6" s="20" t="s">
        <v>24</v>
      </c>
      <c r="F6" s="20" t="s">
        <v>115</v>
      </c>
      <c r="G6" s="20" t="s">
        <v>116</v>
      </c>
      <c r="H6" s="20" t="s">
        <v>117</v>
      </c>
      <c r="I6" s="20" t="s">
        <v>118</v>
      </c>
      <c r="J6" s="20" t="s">
        <v>119</v>
      </c>
      <c r="K6" s="20" t="s">
        <v>120</v>
      </c>
      <c r="L6" s="20" t="s">
        <v>121</v>
      </c>
      <c r="M6" s="20" t="s">
        <v>122</v>
      </c>
      <c r="N6" s="20" t="s">
        <v>25</v>
      </c>
      <c r="O6" s="21" t="s">
        <v>123</v>
      </c>
    </row>
    <row r="7" customFormat="false" ht="15" hidden="false" customHeight="false" outlineLevel="0" collapsed="false">
      <c r="A7" s="7" t="s">
        <v>124</v>
      </c>
      <c r="B7" s="7" t="n">
        <v>0</v>
      </c>
      <c r="C7" s="7" t="s">
        <v>125</v>
      </c>
      <c r="D7" s="7" t="n">
        <v>1</v>
      </c>
      <c r="E7" s="7" t="n">
        <v>1</v>
      </c>
      <c r="F7" s="7" t="n">
        <v>0</v>
      </c>
      <c r="G7" s="7" t="n">
        <v>0</v>
      </c>
      <c r="H7" s="9" t="n">
        <v>0</v>
      </c>
      <c r="I7" s="9" t="n">
        <v>0</v>
      </c>
      <c r="J7" s="9" t="n">
        <v>0</v>
      </c>
      <c r="K7" s="7" t="s">
        <v>126</v>
      </c>
      <c r="L7" s="7" t="s">
        <v>127</v>
      </c>
      <c r="M7" s="7" t="s">
        <v>128</v>
      </c>
      <c r="N7" s="8" t="n">
        <f aca="false">COUNTIFS('Representation Register'!$D$7:$D$54,A7,'Representation Register'!$H$7:$H$54,1)</f>
        <v>6</v>
      </c>
      <c r="O7" s="8" t="n">
        <f aca="false">SUMIFS('Representation Register'!$J$7:$J$54,'Representation Register'!$D$7:$D$54,A7)</f>
        <v>0</v>
      </c>
    </row>
    <row r="8" customFormat="false" ht="15" hidden="false" customHeight="false" outlineLevel="0" collapsed="false">
      <c r="A8" s="11" t="s">
        <v>129</v>
      </c>
      <c r="B8" s="11" t="n">
        <v>1</v>
      </c>
      <c r="C8" s="11" t="s">
        <v>130</v>
      </c>
      <c r="D8" s="11" t="n">
        <v>1</v>
      </c>
      <c r="E8" s="11" t="n">
        <v>1</v>
      </c>
      <c r="F8" s="11" t="n">
        <v>0</v>
      </c>
      <c r="G8" s="11" t="n">
        <v>0</v>
      </c>
      <c r="H8" s="13" t="n">
        <v>0</v>
      </c>
      <c r="I8" s="13" t="n">
        <v>0</v>
      </c>
      <c r="J8" s="13" t="n">
        <v>0</v>
      </c>
      <c r="K8" s="11" t="s">
        <v>131</v>
      </c>
      <c r="L8" s="11" t="s">
        <v>132</v>
      </c>
      <c r="M8" s="11" t="s">
        <v>133</v>
      </c>
      <c r="N8" s="12" t="n">
        <f aca="false">COUNTIFS('Representation Register'!$D$7:$D$54,A8,'Representation Register'!$H$7:$H$54,1)</f>
        <v>6</v>
      </c>
      <c r="O8" s="12" t="n">
        <f aca="false">SUMIFS('Representation Register'!$J$7:$J$54,'Representation Register'!$D$7:$D$54,A8)</f>
        <v>0</v>
      </c>
    </row>
    <row r="9" customFormat="false" ht="15" hidden="false" customHeight="false" outlineLevel="0" collapsed="false">
      <c r="A9" s="11" t="s">
        <v>134</v>
      </c>
      <c r="B9" s="11" t="n">
        <v>2</v>
      </c>
      <c r="C9" s="11" t="s">
        <v>135</v>
      </c>
      <c r="D9" s="11" t="n">
        <v>1</v>
      </c>
      <c r="E9" s="11" t="n">
        <v>1</v>
      </c>
      <c r="F9" s="11" t="n">
        <v>0</v>
      </c>
      <c r="G9" s="11" t="n">
        <v>1</v>
      </c>
      <c r="H9" s="13" t="n">
        <v>0</v>
      </c>
      <c r="I9" s="13" t="n">
        <v>0</v>
      </c>
      <c r="J9" s="13" t="n">
        <v>0</v>
      </c>
      <c r="K9" s="11" t="s">
        <v>136</v>
      </c>
      <c r="L9" s="11" t="s">
        <v>137</v>
      </c>
      <c r="M9" s="11" t="s">
        <v>138</v>
      </c>
      <c r="N9" s="12" t="n">
        <f aca="false">COUNTIFS('Representation Register'!$D$7:$D$54,A9,'Representation Register'!$H$7:$H$54,1)</f>
        <v>6</v>
      </c>
      <c r="O9" s="12" t="n">
        <f aca="false">SUMIFS('Representation Register'!$J$7:$J$54,'Representation Register'!$D$7:$D$54,A9)</f>
        <v>0</v>
      </c>
    </row>
    <row r="10" customFormat="false" ht="15" hidden="false" customHeight="false" outlineLevel="0" collapsed="false">
      <c r="A10" s="11" t="s">
        <v>139</v>
      </c>
      <c r="B10" s="11" t="n">
        <v>3</v>
      </c>
      <c r="C10" s="11" t="s">
        <v>140</v>
      </c>
      <c r="D10" s="11" t="n">
        <v>1</v>
      </c>
      <c r="E10" s="11" t="n">
        <v>3</v>
      </c>
      <c r="F10" s="11" t="n">
        <v>1</v>
      </c>
      <c r="G10" s="11" t="n">
        <v>1</v>
      </c>
      <c r="H10" s="13" t="n">
        <v>0</v>
      </c>
      <c r="I10" s="13" t="n">
        <v>0</v>
      </c>
      <c r="J10" s="13" t="n">
        <v>0</v>
      </c>
      <c r="K10" s="11" t="s">
        <v>141</v>
      </c>
      <c r="L10" s="11" t="s">
        <v>142</v>
      </c>
      <c r="M10" s="11" t="s">
        <v>143</v>
      </c>
      <c r="N10" s="12" t="n">
        <f aca="false">COUNTIFS('Representation Register'!$D$7:$D$54,A10,'Representation Register'!$H$7:$H$54,1)</f>
        <v>6</v>
      </c>
      <c r="O10" s="12" t="n">
        <f aca="false">SUMIFS('Representation Register'!$J$7:$J$54,'Representation Register'!$D$7:$D$54,A10)</f>
        <v>0</v>
      </c>
    </row>
    <row r="11" customFormat="false" ht="15" hidden="false" customHeight="false" outlineLevel="0" collapsed="false">
      <c r="A11" s="11" t="s">
        <v>144</v>
      </c>
      <c r="B11" s="11" t="n">
        <v>4</v>
      </c>
      <c r="C11" s="11" t="s">
        <v>145</v>
      </c>
      <c r="D11" s="11" t="n">
        <v>0</v>
      </c>
      <c r="E11" s="11" t="n">
        <v>1</v>
      </c>
      <c r="F11" s="11" t="n">
        <v>1</v>
      </c>
      <c r="G11" s="11" t="n">
        <v>1</v>
      </c>
      <c r="H11" s="13" t="n">
        <v>0</v>
      </c>
      <c r="I11" s="13" t="n">
        <v>0</v>
      </c>
      <c r="J11" s="13" t="n">
        <v>0</v>
      </c>
      <c r="K11" s="11" t="s">
        <v>146</v>
      </c>
      <c r="L11" s="11" t="s">
        <v>147</v>
      </c>
      <c r="M11" s="11" t="s">
        <v>148</v>
      </c>
      <c r="N11" s="12" t="n">
        <f aca="false">COUNTIFS('Representation Register'!$D$7:$D$54,A11,'Representation Register'!$H$7:$H$54,1)</f>
        <v>0</v>
      </c>
      <c r="O11" s="12" t="n">
        <f aca="false">SUMIFS('Representation Register'!$J$7:$J$54,'Representation Register'!$D$7:$D$54,A11)</f>
        <v>0</v>
      </c>
    </row>
    <row r="12" customFormat="false" ht="15" hidden="false" customHeight="false" outlineLevel="0" collapsed="false">
      <c r="A12" s="11" t="s">
        <v>149</v>
      </c>
      <c r="B12" s="11" t="n">
        <v>5</v>
      </c>
      <c r="C12" s="11" t="s">
        <v>150</v>
      </c>
      <c r="D12" s="11" t="n">
        <v>0</v>
      </c>
      <c r="E12" s="11" t="n">
        <v>1</v>
      </c>
      <c r="F12" s="11" t="n">
        <v>1</v>
      </c>
      <c r="G12" s="11" t="n">
        <v>1</v>
      </c>
      <c r="H12" s="13" t="n">
        <v>1</v>
      </c>
      <c r="I12" s="13" t="n">
        <v>0</v>
      </c>
      <c r="J12" s="13" t="n">
        <v>0</v>
      </c>
      <c r="K12" s="11" t="s">
        <v>151</v>
      </c>
      <c r="L12" s="11" t="s">
        <v>152</v>
      </c>
      <c r="M12" s="11" t="s">
        <v>153</v>
      </c>
      <c r="N12" s="12" t="n">
        <f aca="false">COUNTIFS('Representation Register'!$D$7:$D$54,A12,'Representation Register'!$H$7:$H$54,1)</f>
        <v>0</v>
      </c>
      <c r="O12" s="12" t="n">
        <f aca="false">SUMIFS('Representation Register'!$J$7:$J$54,'Representation Register'!$D$7:$D$54,A12)</f>
        <v>0</v>
      </c>
    </row>
    <row r="13" customFormat="false" ht="15" hidden="false" customHeight="false" outlineLevel="0" collapsed="false">
      <c r="A13" s="11" t="s">
        <v>154</v>
      </c>
      <c r="B13" s="11" t="n">
        <v>6</v>
      </c>
      <c r="C13" s="11" t="s">
        <v>155</v>
      </c>
      <c r="D13" s="11" t="n">
        <v>0</v>
      </c>
      <c r="E13" s="11" t="n">
        <v>1</v>
      </c>
      <c r="F13" s="11" t="n">
        <v>1</v>
      </c>
      <c r="G13" s="11" t="n">
        <v>1</v>
      </c>
      <c r="H13" s="13" t="n">
        <v>1</v>
      </c>
      <c r="I13" s="13" t="n">
        <v>1</v>
      </c>
      <c r="J13" s="13" t="n">
        <v>0</v>
      </c>
      <c r="K13" s="11" t="s">
        <v>156</v>
      </c>
      <c r="L13" s="11" t="s">
        <v>157</v>
      </c>
      <c r="M13" s="11" t="s">
        <v>158</v>
      </c>
      <c r="N13" s="12" t="n">
        <f aca="false">COUNTIFS('Representation Register'!$D$7:$D$54,A13,'Representation Register'!$H$7:$H$54,1)</f>
        <v>0</v>
      </c>
      <c r="O13" s="12" t="n">
        <f aca="false">SUMIFS('Representation Register'!$J$7:$J$54,'Representation Register'!$D$7:$D$54,A13)</f>
        <v>0</v>
      </c>
    </row>
    <row r="14" customFormat="false" ht="15" hidden="false" customHeight="false" outlineLevel="0" collapsed="false">
      <c r="A14" s="15" t="s">
        <v>159</v>
      </c>
      <c r="B14" s="15" t="n">
        <v>7</v>
      </c>
      <c r="C14" s="15" t="s">
        <v>160</v>
      </c>
      <c r="D14" s="15" t="n">
        <v>0</v>
      </c>
      <c r="E14" s="15" t="n">
        <v>1</v>
      </c>
      <c r="F14" s="15" t="n">
        <v>1</v>
      </c>
      <c r="G14" s="15" t="n">
        <v>1</v>
      </c>
      <c r="H14" s="17" t="n">
        <v>1</v>
      </c>
      <c r="I14" s="17" t="n">
        <v>1</v>
      </c>
      <c r="J14" s="17" t="n">
        <v>1</v>
      </c>
      <c r="K14" s="15" t="s">
        <v>161</v>
      </c>
      <c r="L14" s="15" t="s">
        <v>162</v>
      </c>
      <c r="M14" s="15" t="s">
        <v>163</v>
      </c>
      <c r="N14" s="16" t="n">
        <f aca="false">COUNTIFS('Representation Register'!$D$7:$D$54,A14,'Representation Register'!$H$7:$H$54,1)</f>
        <v>0</v>
      </c>
      <c r="O14" s="16" t="n">
        <f aca="false">SUMIFS('Representation Register'!$J$7:$J$54,'Representation Register'!$D$7:$D$54,A14)</f>
        <v>0</v>
      </c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42"/>
    <col collapsed="false" customWidth="true" hidden="false" outlineLevel="0" max="13" min="13" style="0" width="30"/>
    <col collapsed="false" customWidth="true" hidden="false" outlineLevel="0" max="14" min="14" style="0" width="54"/>
  </cols>
  <sheetData>
    <row r="2" customFormat="false" ht="24" hidden="false" customHeight="true" outlineLevel="0" collapsed="false">
      <c r="A2" s="1" t="s">
        <v>164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18" t="s">
        <v>165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24" hidden="false" customHeight="true" outlineLevel="0" collapsed="false">
      <c r="A6" s="19" t="s">
        <v>166</v>
      </c>
      <c r="B6" s="20" t="s">
        <v>69</v>
      </c>
      <c r="C6" s="20" t="s">
        <v>70</v>
      </c>
      <c r="D6" s="20" t="s">
        <v>22</v>
      </c>
      <c r="E6" s="20" t="s">
        <v>23</v>
      </c>
      <c r="F6" s="20" t="s">
        <v>113</v>
      </c>
      <c r="G6" s="20" t="s">
        <v>167</v>
      </c>
      <c r="H6" s="20" t="s">
        <v>168</v>
      </c>
      <c r="I6" s="20" t="s">
        <v>24</v>
      </c>
      <c r="J6" s="20" t="s">
        <v>26</v>
      </c>
      <c r="K6" s="20" t="s">
        <v>169</v>
      </c>
      <c r="L6" s="20" t="s">
        <v>122</v>
      </c>
      <c r="M6" s="20" t="s">
        <v>4</v>
      </c>
      <c r="N6" s="21" t="s">
        <v>170</v>
      </c>
    </row>
    <row r="7" customFormat="false" ht="15" hidden="false" customHeight="false" outlineLevel="0" collapsed="false">
      <c r="A7" s="7" t="s">
        <v>171</v>
      </c>
      <c r="B7" s="7" t="s">
        <v>87</v>
      </c>
      <c r="C7" s="7" t="s">
        <v>88</v>
      </c>
      <c r="D7" s="7" t="s">
        <v>124</v>
      </c>
      <c r="E7" s="7" t="s">
        <v>125</v>
      </c>
      <c r="F7" s="32" t="n">
        <v>0</v>
      </c>
      <c r="G7" s="33" t="n">
        <f aca="false">'Root Register'!E7</f>
        <v>1</v>
      </c>
      <c r="H7" s="33" t="n">
        <f aca="false">G7</f>
        <v>1</v>
      </c>
      <c r="I7" s="32" t="n">
        <v>1</v>
      </c>
      <c r="J7" s="34" t="n">
        <v>0</v>
      </c>
      <c r="K7" s="34" t="n">
        <v>0</v>
      </c>
      <c r="L7" s="9" t="s">
        <v>128</v>
      </c>
      <c r="M7" s="35" t="str">
        <f aca="false">IF(H7=1,IF(J7=0,"AUTHORIZED / NOT ISSUED",IF(K7=J7,"ISSUED / ACCEPTED","ISSUED / REVIEW")),"HELD")</f>
        <v>AUTHORIZED / NOT ISSUED</v>
      </c>
      <c r="N7" s="7" t="s">
        <v>127</v>
      </c>
    </row>
    <row r="8" customFormat="false" ht="15" hidden="false" customHeight="false" outlineLevel="0" collapsed="false">
      <c r="A8" s="11" t="s">
        <v>172</v>
      </c>
      <c r="B8" s="11" t="s">
        <v>87</v>
      </c>
      <c r="C8" s="11" t="s">
        <v>88</v>
      </c>
      <c r="D8" s="11" t="s">
        <v>129</v>
      </c>
      <c r="E8" s="11" t="s">
        <v>130</v>
      </c>
      <c r="F8" s="36" t="n">
        <v>1</v>
      </c>
      <c r="G8" s="37" t="n">
        <f aca="false">MIN('Root Register'!E7:F7)</f>
        <v>1</v>
      </c>
      <c r="H8" s="37" t="n">
        <f aca="false">G8</f>
        <v>1</v>
      </c>
      <c r="I8" s="36" t="n">
        <v>1</v>
      </c>
      <c r="J8" s="38" t="n">
        <v>0</v>
      </c>
      <c r="K8" s="38" t="n">
        <v>0</v>
      </c>
      <c r="L8" s="13" t="s">
        <v>133</v>
      </c>
      <c r="M8" s="39" t="str">
        <f aca="false">IF(H8=1,IF(J8=0,"AUTHORIZED / NOT ISSUED",IF(K8=J8,"ISSUED / ACCEPTED","ISSUED / REVIEW")),"HELD")</f>
        <v>AUTHORIZED / NOT ISSUED</v>
      </c>
      <c r="N8" s="11" t="s">
        <v>132</v>
      </c>
    </row>
    <row r="9" customFormat="false" ht="15" hidden="false" customHeight="false" outlineLevel="0" collapsed="false">
      <c r="A9" s="11" t="s">
        <v>173</v>
      </c>
      <c r="B9" s="11" t="s">
        <v>87</v>
      </c>
      <c r="C9" s="11" t="s">
        <v>88</v>
      </c>
      <c r="D9" s="11" t="s">
        <v>134</v>
      </c>
      <c r="E9" s="11" t="s">
        <v>135</v>
      </c>
      <c r="F9" s="36" t="n">
        <v>2</v>
      </c>
      <c r="G9" s="37" t="n">
        <f aca="false">MIN('Root Register'!E7:G7)</f>
        <v>1</v>
      </c>
      <c r="H9" s="37" t="n">
        <f aca="false">G9</f>
        <v>1</v>
      </c>
      <c r="I9" s="36" t="n">
        <v>1</v>
      </c>
      <c r="J9" s="38" t="n">
        <v>0</v>
      </c>
      <c r="K9" s="38" t="n">
        <v>0</v>
      </c>
      <c r="L9" s="13" t="s">
        <v>138</v>
      </c>
      <c r="M9" s="39" t="str">
        <f aca="false">IF(H9=1,IF(J9=0,"AUTHORIZED / NOT ISSUED",IF(K9=J9,"ISSUED / ACCEPTED","ISSUED / REVIEW")),"HELD")</f>
        <v>AUTHORIZED / NOT ISSUED</v>
      </c>
      <c r="N9" s="11" t="s">
        <v>137</v>
      </c>
    </row>
    <row r="10" customFormat="false" ht="15" hidden="false" customHeight="false" outlineLevel="0" collapsed="false">
      <c r="A10" s="11" t="s">
        <v>174</v>
      </c>
      <c r="B10" s="11" t="s">
        <v>87</v>
      </c>
      <c r="C10" s="11" t="s">
        <v>88</v>
      </c>
      <c r="D10" s="11" t="s">
        <v>139</v>
      </c>
      <c r="E10" s="11" t="s">
        <v>140</v>
      </c>
      <c r="F10" s="36" t="n">
        <v>3</v>
      </c>
      <c r="G10" s="37" t="n">
        <f aca="false">MIN('Root Register'!E7:H7)</f>
        <v>1</v>
      </c>
      <c r="H10" s="37" t="n">
        <f aca="false">G10</f>
        <v>1</v>
      </c>
      <c r="I10" s="36" t="n">
        <v>3</v>
      </c>
      <c r="J10" s="38" t="n">
        <v>0</v>
      </c>
      <c r="K10" s="38" t="n">
        <v>0</v>
      </c>
      <c r="L10" s="13" t="s">
        <v>143</v>
      </c>
      <c r="M10" s="39" t="str">
        <f aca="false">IF(H10=1,IF(J10=0,"AUTHORIZED / NOT ISSUED",IF(K10=J10,"ISSUED / ACCEPTED","ISSUED / REVIEW")),"HELD")</f>
        <v>AUTHORIZED / NOT ISSUED</v>
      </c>
      <c r="N10" s="11" t="s">
        <v>142</v>
      </c>
    </row>
    <row r="11" customFormat="false" ht="15" hidden="false" customHeight="false" outlineLevel="0" collapsed="false">
      <c r="A11" s="11" t="s">
        <v>175</v>
      </c>
      <c r="B11" s="11" t="s">
        <v>87</v>
      </c>
      <c r="C11" s="11" t="s">
        <v>88</v>
      </c>
      <c r="D11" s="11" t="s">
        <v>144</v>
      </c>
      <c r="E11" s="11" t="s">
        <v>145</v>
      </c>
      <c r="F11" s="36" t="n">
        <v>4</v>
      </c>
      <c r="G11" s="37" t="n">
        <f aca="false">MIN('Root Register'!I7:J7)</f>
        <v>0</v>
      </c>
      <c r="H11" s="37" t="n">
        <f aca="false">G11</f>
        <v>0</v>
      </c>
      <c r="I11" s="36" t="n">
        <v>1</v>
      </c>
      <c r="J11" s="38" t="n">
        <v>0</v>
      </c>
      <c r="K11" s="38" t="n">
        <v>0</v>
      </c>
      <c r="L11" s="13" t="s">
        <v>148</v>
      </c>
      <c r="M11" s="39" t="str">
        <f aca="false">IF(H11=1,IF(J11=0,"AUTHORIZED / NOT ISSUED",IF(K11=J11,"ISSUED / ACCEPTED","ISSUED / REVIEW")),"HELD")</f>
        <v>HELD</v>
      </c>
      <c r="N11" s="11" t="s">
        <v>147</v>
      </c>
    </row>
    <row r="12" customFormat="false" ht="15" hidden="false" customHeight="false" outlineLevel="0" collapsed="false">
      <c r="A12" s="11" t="s">
        <v>176</v>
      </c>
      <c r="B12" s="11" t="s">
        <v>87</v>
      </c>
      <c r="C12" s="11" t="s">
        <v>88</v>
      </c>
      <c r="D12" s="11" t="s">
        <v>149</v>
      </c>
      <c r="E12" s="11" t="s">
        <v>150</v>
      </c>
      <c r="F12" s="36" t="n">
        <v>5</v>
      </c>
      <c r="G12" s="37" t="n">
        <f aca="false">IF(AND('Root Register'!K7='Root Register'!L7,'Root Register'!M7=1,'Root Register'!N7=1),1,0)</f>
        <v>0</v>
      </c>
      <c r="H12" s="37" t="n">
        <f aca="false">G12</f>
        <v>0</v>
      </c>
      <c r="I12" s="36" t="n">
        <v>1</v>
      </c>
      <c r="J12" s="38" t="n">
        <v>0</v>
      </c>
      <c r="K12" s="38" t="n">
        <v>0</v>
      </c>
      <c r="L12" s="13" t="s">
        <v>153</v>
      </c>
      <c r="M12" s="39" t="str">
        <f aca="false">IF(H12=1,IF(J12=0,"AUTHORIZED / NOT ISSUED",IF(K12=J12,"ISSUED / ACCEPTED","ISSUED / REVIEW")),"HELD")</f>
        <v>HELD</v>
      </c>
      <c r="N12" s="11" t="s">
        <v>152</v>
      </c>
    </row>
    <row r="13" customFormat="false" ht="15" hidden="false" customHeight="false" outlineLevel="0" collapsed="false">
      <c r="A13" s="11" t="s">
        <v>177</v>
      </c>
      <c r="B13" s="11" t="s">
        <v>87</v>
      </c>
      <c r="C13" s="11" t="s">
        <v>88</v>
      </c>
      <c r="D13" s="11" t="s">
        <v>154</v>
      </c>
      <c r="E13" s="11" t="s">
        <v>155</v>
      </c>
      <c r="F13" s="36" t="n">
        <v>6</v>
      </c>
      <c r="G13" s="37" t="n">
        <f aca="false">IF(AND('Root Register'!K7='Root Register'!L7,'Root Register'!M7=1,'Root Register'!N7=1,'Root Register'!O7=1),1,0)</f>
        <v>0</v>
      </c>
      <c r="H13" s="37" t="n">
        <f aca="false">G13</f>
        <v>0</v>
      </c>
      <c r="I13" s="36" t="n">
        <v>1</v>
      </c>
      <c r="J13" s="38" t="n">
        <v>0</v>
      </c>
      <c r="K13" s="38" t="n">
        <v>0</v>
      </c>
      <c r="L13" s="13" t="s">
        <v>158</v>
      </c>
      <c r="M13" s="39" t="str">
        <f aca="false">IF(H13=1,IF(J13=0,"AUTHORIZED / NOT ISSUED",IF(K13=J13,"ISSUED / ACCEPTED","ISSUED / REVIEW")),"HELD")</f>
        <v>HELD</v>
      </c>
      <c r="N13" s="11" t="s">
        <v>157</v>
      </c>
    </row>
    <row r="14" customFormat="false" ht="15" hidden="false" customHeight="false" outlineLevel="0" collapsed="false">
      <c r="A14" s="11" t="s">
        <v>178</v>
      </c>
      <c r="B14" s="11" t="s">
        <v>87</v>
      </c>
      <c r="C14" s="11" t="s">
        <v>88</v>
      </c>
      <c r="D14" s="11" t="s">
        <v>159</v>
      </c>
      <c r="E14" s="11" t="s">
        <v>160</v>
      </c>
      <c r="F14" s="36" t="n">
        <v>7</v>
      </c>
      <c r="G14" s="37" t="n">
        <f aca="false">IF(AND('Root Register'!K7='Root Register'!L7,'Root Register'!M7=1,'Root Register'!N7=1,'Root Register'!O7=1,'Root Register'!P7=1,'Root Register'!Q7=1),1,0)</f>
        <v>0</v>
      </c>
      <c r="H14" s="37" t="n">
        <f aca="false">G14</f>
        <v>0</v>
      </c>
      <c r="I14" s="36" t="n">
        <v>1</v>
      </c>
      <c r="J14" s="38" t="n">
        <v>0</v>
      </c>
      <c r="K14" s="38" t="n">
        <v>0</v>
      </c>
      <c r="L14" s="13" t="s">
        <v>163</v>
      </c>
      <c r="M14" s="39" t="str">
        <f aca="false">IF(H14=1,IF(J14=0,"AUTHORIZED / NOT ISSUED",IF(K14=J14,"ISSUED / ACCEPTED","ISSUED / REVIEW")),"HELD")</f>
        <v>HELD</v>
      </c>
      <c r="N14" s="11" t="s">
        <v>162</v>
      </c>
    </row>
    <row r="15" customFormat="false" ht="15" hidden="false" customHeight="false" outlineLevel="0" collapsed="false">
      <c r="A15" s="11" t="s">
        <v>179</v>
      </c>
      <c r="B15" s="11" t="s">
        <v>91</v>
      </c>
      <c r="C15" s="11" t="s">
        <v>92</v>
      </c>
      <c r="D15" s="11" t="s">
        <v>124</v>
      </c>
      <c r="E15" s="11" t="s">
        <v>125</v>
      </c>
      <c r="F15" s="36" t="n">
        <v>0</v>
      </c>
      <c r="G15" s="37" t="n">
        <f aca="false">'Root Register'!E8</f>
        <v>1</v>
      </c>
      <c r="H15" s="37" t="n">
        <f aca="false">G15</f>
        <v>1</v>
      </c>
      <c r="I15" s="36" t="n">
        <v>1</v>
      </c>
      <c r="J15" s="38" t="n">
        <v>0</v>
      </c>
      <c r="K15" s="38" t="n">
        <v>0</v>
      </c>
      <c r="L15" s="13" t="s">
        <v>128</v>
      </c>
      <c r="M15" s="39" t="str">
        <f aca="false">IF(H15=1,IF(J15=0,"AUTHORIZED / NOT ISSUED",IF(K15=J15,"ISSUED / ACCEPTED","ISSUED / REVIEW")),"HELD")</f>
        <v>AUTHORIZED / NOT ISSUED</v>
      </c>
      <c r="N15" s="11" t="s">
        <v>127</v>
      </c>
    </row>
    <row r="16" customFormat="false" ht="15" hidden="false" customHeight="false" outlineLevel="0" collapsed="false">
      <c r="A16" s="11" t="s">
        <v>180</v>
      </c>
      <c r="B16" s="11" t="s">
        <v>91</v>
      </c>
      <c r="C16" s="11" t="s">
        <v>92</v>
      </c>
      <c r="D16" s="11" t="s">
        <v>129</v>
      </c>
      <c r="E16" s="11" t="s">
        <v>130</v>
      </c>
      <c r="F16" s="36" t="n">
        <v>1</v>
      </c>
      <c r="G16" s="37" t="n">
        <f aca="false">MIN('Root Register'!E8:F8)</f>
        <v>1</v>
      </c>
      <c r="H16" s="37" t="n">
        <f aca="false">G16</f>
        <v>1</v>
      </c>
      <c r="I16" s="36" t="n">
        <v>1</v>
      </c>
      <c r="J16" s="38" t="n">
        <v>0</v>
      </c>
      <c r="K16" s="38" t="n">
        <v>0</v>
      </c>
      <c r="L16" s="13" t="s">
        <v>133</v>
      </c>
      <c r="M16" s="39" t="str">
        <f aca="false">IF(H16=1,IF(J16=0,"AUTHORIZED / NOT ISSUED",IF(K16=J16,"ISSUED / ACCEPTED","ISSUED / REVIEW")),"HELD")</f>
        <v>AUTHORIZED / NOT ISSUED</v>
      </c>
      <c r="N16" s="11" t="s">
        <v>132</v>
      </c>
    </row>
    <row r="17" customFormat="false" ht="15" hidden="false" customHeight="false" outlineLevel="0" collapsed="false">
      <c r="A17" s="11" t="s">
        <v>181</v>
      </c>
      <c r="B17" s="11" t="s">
        <v>91</v>
      </c>
      <c r="C17" s="11" t="s">
        <v>92</v>
      </c>
      <c r="D17" s="11" t="s">
        <v>134</v>
      </c>
      <c r="E17" s="11" t="s">
        <v>135</v>
      </c>
      <c r="F17" s="36" t="n">
        <v>2</v>
      </c>
      <c r="G17" s="37" t="n">
        <f aca="false">MIN('Root Register'!E8:G8)</f>
        <v>1</v>
      </c>
      <c r="H17" s="37" t="n">
        <f aca="false">G17</f>
        <v>1</v>
      </c>
      <c r="I17" s="36" t="n">
        <v>1</v>
      </c>
      <c r="J17" s="38" t="n">
        <v>0</v>
      </c>
      <c r="K17" s="38" t="n">
        <v>0</v>
      </c>
      <c r="L17" s="13" t="s">
        <v>138</v>
      </c>
      <c r="M17" s="39" t="str">
        <f aca="false">IF(H17=1,IF(J17=0,"AUTHORIZED / NOT ISSUED",IF(K17=J17,"ISSUED / ACCEPTED","ISSUED / REVIEW")),"HELD")</f>
        <v>AUTHORIZED / NOT ISSUED</v>
      </c>
      <c r="N17" s="11" t="s">
        <v>137</v>
      </c>
    </row>
    <row r="18" customFormat="false" ht="15" hidden="false" customHeight="false" outlineLevel="0" collapsed="false">
      <c r="A18" s="11" t="s">
        <v>182</v>
      </c>
      <c r="B18" s="11" t="s">
        <v>91</v>
      </c>
      <c r="C18" s="11" t="s">
        <v>92</v>
      </c>
      <c r="D18" s="11" t="s">
        <v>139</v>
      </c>
      <c r="E18" s="11" t="s">
        <v>140</v>
      </c>
      <c r="F18" s="36" t="n">
        <v>3</v>
      </c>
      <c r="G18" s="37" t="n">
        <f aca="false">MIN('Root Register'!E8:H8)</f>
        <v>1</v>
      </c>
      <c r="H18" s="37" t="n">
        <f aca="false">G18</f>
        <v>1</v>
      </c>
      <c r="I18" s="36" t="n">
        <v>3</v>
      </c>
      <c r="J18" s="38" t="n">
        <v>0</v>
      </c>
      <c r="K18" s="38" t="n">
        <v>0</v>
      </c>
      <c r="L18" s="13" t="s">
        <v>143</v>
      </c>
      <c r="M18" s="39" t="str">
        <f aca="false">IF(H18=1,IF(J18=0,"AUTHORIZED / NOT ISSUED",IF(K18=J18,"ISSUED / ACCEPTED","ISSUED / REVIEW")),"HELD")</f>
        <v>AUTHORIZED / NOT ISSUED</v>
      </c>
      <c r="N18" s="11" t="s">
        <v>142</v>
      </c>
    </row>
    <row r="19" customFormat="false" ht="15" hidden="false" customHeight="false" outlineLevel="0" collapsed="false">
      <c r="A19" s="11" t="s">
        <v>183</v>
      </c>
      <c r="B19" s="11" t="s">
        <v>91</v>
      </c>
      <c r="C19" s="11" t="s">
        <v>92</v>
      </c>
      <c r="D19" s="11" t="s">
        <v>144</v>
      </c>
      <c r="E19" s="11" t="s">
        <v>145</v>
      </c>
      <c r="F19" s="36" t="n">
        <v>4</v>
      </c>
      <c r="G19" s="37" t="n">
        <f aca="false">MIN('Root Register'!I8:J8)</f>
        <v>0</v>
      </c>
      <c r="H19" s="37" t="n">
        <f aca="false">G19</f>
        <v>0</v>
      </c>
      <c r="I19" s="36" t="n">
        <v>1</v>
      </c>
      <c r="J19" s="38" t="n">
        <v>0</v>
      </c>
      <c r="K19" s="38" t="n">
        <v>0</v>
      </c>
      <c r="L19" s="13" t="s">
        <v>148</v>
      </c>
      <c r="M19" s="39" t="str">
        <f aca="false">IF(H19=1,IF(J19=0,"AUTHORIZED / NOT ISSUED",IF(K19=J19,"ISSUED / ACCEPTED","ISSUED / REVIEW")),"HELD")</f>
        <v>HELD</v>
      </c>
      <c r="N19" s="11" t="s">
        <v>147</v>
      </c>
    </row>
    <row r="20" customFormat="false" ht="15" hidden="false" customHeight="false" outlineLevel="0" collapsed="false">
      <c r="A20" s="11" t="s">
        <v>184</v>
      </c>
      <c r="B20" s="11" t="s">
        <v>91</v>
      </c>
      <c r="C20" s="11" t="s">
        <v>92</v>
      </c>
      <c r="D20" s="11" t="s">
        <v>149</v>
      </c>
      <c r="E20" s="11" t="s">
        <v>150</v>
      </c>
      <c r="F20" s="36" t="n">
        <v>5</v>
      </c>
      <c r="G20" s="37" t="n">
        <f aca="false">IF(AND('Root Register'!K8='Root Register'!L8,'Root Register'!M8=1,'Root Register'!N8=1),1,0)</f>
        <v>0</v>
      </c>
      <c r="H20" s="37" t="n">
        <f aca="false">G20</f>
        <v>0</v>
      </c>
      <c r="I20" s="36" t="n">
        <v>1</v>
      </c>
      <c r="J20" s="38" t="n">
        <v>0</v>
      </c>
      <c r="K20" s="38" t="n">
        <v>0</v>
      </c>
      <c r="L20" s="13" t="s">
        <v>153</v>
      </c>
      <c r="M20" s="39" t="str">
        <f aca="false">IF(H20=1,IF(J20=0,"AUTHORIZED / NOT ISSUED",IF(K20=J20,"ISSUED / ACCEPTED","ISSUED / REVIEW")),"HELD")</f>
        <v>HELD</v>
      </c>
      <c r="N20" s="11" t="s">
        <v>152</v>
      </c>
    </row>
    <row r="21" customFormat="false" ht="15" hidden="false" customHeight="false" outlineLevel="0" collapsed="false">
      <c r="A21" s="11" t="s">
        <v>185</v>
      </c>
      <c r="B21" s="11" t="s">
        <v>91</v>
      </c>
      <c r="C21" s="11" t="s">
        <v>92</v>
      </c>
      <c r="D21" s="11" t="s">
        <v>154</v>
      </c>
      <c r="E21" s="11" t="s">
        <v>155</v>
      </c>
      <c r="F21" s="36" t="n">
        <v>6</v>
      </c>
      <c r="G21" s="37" t="n">
        <f aca="false">IF(AND('Root Register'!K8='Root Register'!L8,'Root Register'!M8=1,'Root Register'!N8=1,'Root Register'!O8=1),1,0)</f>
        <v>0</v>
      </c>
      <c r="H21" s="37" t="n">
        <f aca="false">G21</f>
        <v>0</v>
      </c>
      <c r="I21" s="36" t="n">
        <v>1</v>
      </c>
      <c r="J21" s="38" t="n">
        <v>0</v>
      </c>
      <c r="K21" s="38" t="n">
        <v>0</v>
      </c>
      <c r="L21" s="13" t="s">
        <v>158</v>
      </c>
      <c r="M21" s="39" t="str">
        <f aca="false">IF(H21=1,IF(J21=0,"AUTHORIZED / NOT ISSUED",IF(K21=J21,"ISSUED / ACCEPTED","ISSUED / REVIEW")),"HELD")</f>
        <v>HELD</v>
      </c>
      <c r="N21" s="11" t="s">
        <v>157</v>
      </c>
    </row>
    <row r="22" customFormat="false" ht="15" hidden="false" customHeight="false" outlineLevel="0" collapsed="false">
      <c r="A22" s="11" t="s">
        <v>186</v>
      </c>
      <c r="B22" s="11" t="s">
        <v>91</v>
      </c>
      <c r="C22" s="11" t="s">
        <v>92</v>
      </c>
      <c r="D22" s="11" t="s">
        <v>159</v>
      </c>
      <c r="E22" s="11" t="s">
        <v>160</v>
      </c>
      <c r="F22" s="36" t="n">
        <v>7</v>
      </c>
      <c r="G22" s="37" t="n">
        <f aca="false">IF(AND('Root Register'!K8='Root Register'!L8,'Root Register'!M8=1,'Root Register'!N8=1,'Root Register'!O8=1,'Root Register'!P8=1,'Root Register'!Q8=1),1,0)</f>
        <v>0</v>
      </c>
      <c r="H22" s="37" t="n">
        <f aca="false">G22</f>
        <v>0</v>
      </c>
      <c r="I22" s="36" t="n">
        <v>1</v>
      </c>
      <c r="J22" s="38" t="n">
        <v>0</v>
      </c>
      <c r="K22" s="38" t="n">
        <v>0</v>
      </c>
      <c r="L22" s="13" t="s">
        <v>163</v>
      </c>
      <c r="M22" s="39" t="str">
        <f aca="false">IF(H22=1,IF(J22=0,"AUTHORIZED / NOT ISSUED",IF(K22=J22,"ISSUED / ACCEPTED","ISSUED / REVIEW")),"HELD")</f>
        <v>HELD</v>
      </c>
      <c r="N22" s="11" t="s">
        <v>162</v>
      </c>
    </row>
    <row r="23" customFormat="false" ht="15" hidden="false" customHeight="false" outlineLevel="0" collapsed="false">
      <c r="A23" s="11" t="s">
        <v>187</v>
      </c>
      <c r="B23" s="11" t="s">
        <v>95</v>
      </c>
      <c r="C23" s="11" t="s">
        <v>96</v>
      </c>
      <c r="D23" s="11" t="s">
        <v>124</v>
      </c>
      <c r="E23" s="11" t="s">
        <v>125</v>
      </c>
      <c r="F23" s="36" t="n">
        <v>0</v>
      </c>
      <c r="G23" s="37" t="n">
        <f aca="false">'Root Register'!E9</f>
        <v>1</v>
      </c>
      <c r="H23" s="37" t="n">
        <f aca="false">G23</f>
        <v>1</v>
      </c>
      <c r="I23" s="36" t="n">
        <v>1</v>
      </c>
      <c r="J23" s="38" t="n">
        <v>0</v>
      </c>
      <c r="K23" s="38" t="n">
        <v>0</v>
      </c>
      <c r="L23" s="13" t="s">
        <v>128</v>
      </c>
      <c r="M23" s="39" t="str">
        <f aca="false">IF(H23=1,IF(J23=0,"AUTHORIZED / NOT ISSUED",IF(K23=J23,"ISSUED / ACCEPTED","ISSUED / REVIEW")),"HELD")</f>
        <v>AUTHORIZED / NOT ISSUED</v>
      </c>
      <c r="N23" s="11" t="s">
        <v>127</v>
      </c>
    </row>
    <row r="24" customFormat="false" ht="15" hidden="false" customHeight="false" outlineLevel="0" collapsed="false">
      <c r="A24" s="11" t="s">
        <v>188</v>
      </c>
      <c r="B24" s="11" t="s">
        <v>95</v>
      </c>
      <c r="C24" s="11" t="s">
        <v>96</v>
      </c>
      <c r="D24" s="11" t="s">
        <v>129</v>
      </c>
      <c r="E24" s="11" t="s">
        <v>130</v>
      </c>
      <c r="F24" s="36" t="n">
        <v>1</v>
      </c>
      <c r="G24" s="37" t="n">
        <f aca="false">MIN('Root Register'!E9:F9)</f>
        <v>1</v>
      </c>
      <c r="H24" s="37" t="n">
        <f aca="false">G24</f>
        <v>1</v>
      </c>
      <c r="I24" s="36" t="n">
        <v>1</v>
      </c>
      <c r="J24" s="38" t="n">
        <v>0</v>
      </c>
      <c r="K24" s="38" t="n">
        <v>0</v>
      </c>
      <c r="L24" s="13" t="s">
        <v>133</v>
      </c>
      <c r="M24" s="39" t="str">
        <f aca="false">IF(H24=1,IF(J24=0,"AUTHORIZED / NOT ISSUED",IF(K24=J24,"ISSUED / ACCEPTED","ISSUED / REVIEW")),"HELD")</f>
        <v>AUTHORIZED / NOT ISSUED</v>
      </c>
      <c r="N24" s="11" t="s">
        <v>132</v>
      </c>
    </row>
    <row r="25" customFormat="false" ht="15" hidden="false" customHeight="false" outlineLevel="0" collapsed="false">
      <c r="A25" s="11" t="s">
        <v>189</v>
      </c>
      <c r="B25" s="11" t="s">
        <v>95</v>
      </c>
      <c r="C25" s="11" t="s">
        <v>96</v>
      </c>
      <c r="D25" s="11" t="s">
        <v>134</v>
      </c>
      <c r="E25" s="11" t="s">
        <v>135</v>
      </c>
      <c r="F25" s="36" t="n">
        <v>2</v>
      </c>
      <c r="G25" s="37" t="n">
        <f aca="false">MIN('Root Register'!E9:G9)</f>
        <v>1</v>
      </c>
      <c r="H25" s="37" t="n">
        <f aca="false">G25</f>
        <v>1</v>
      </c>
      <c r="I25" s="36" t="n">
        <v>1</v>
      </c>
      <c r="J25" s="38" t="n">
        <v>0</v>
      </c>
      <c r="K25" s="38" t="n">
        <v>0</v>
      </c>
      <c r="L25" s="13" t="s">
        <v>138</v>
      </c>
      <c r="M25" s="39" t="str">
        <f aca="false">IF(H25=1,IF(J25=0,"AUTHORIZED / NOT ISSUED",IF(K25=J25,"ISSUED / ACCEPTED","ISSUED / REVIEW")),"HELD")</f>
        <v>AUTHORIZED / NOT ISSUED</v>
      </c>
      <c r="N25" s="11" t="s">
        <v>137</v>
      </c>
    </row>
    <row r="26" customFormat="false" ht="15" hidden="false" customHeight="false" outlineLevel="0" collapsed="false">
      <c r="A26" s="11" t="s">
        <v>190</v>
      </c>
      <c r="B26" s="11" t="s">
        <v>95</v>
      </c>
      <c r="C26" s="11" t="s">
        <v>96</v>
      </c>
      <c r="D26" s="11" t="s">
        <v>139</v>
      </c>
      <c r="E26" s="11" t="s">
        <v>140</v>
      </c>
      <c r="F26" s="36" t="n">
        <v>3</v>
      </c>
      <c r="G26" s="37" t="n">
        <f aca="false">MIN('Root Register'!E9:H9)</f>
        <v>1</v>
      </c>
      <c r="H26" s="37" t="n">
        <f aca="false">G26</f>
        <v>1</v>
      </c>
      <c r="I26" s="36" t="n">
        <v>3</v>
      </c>
      <c r="J26" s="38" t="n">
        <v>0</v>
      </c>
      <c r="K26" s="38" t="n">
        <v>0</v>
      </c>
      <c r="L26" s="13" t="s">
        <v>143</v>
      </c>
      <c r="M26" s="39" t="str">
        <f aca="false">IF(H26=1,IF(J26=0,"AUTHORIZED / NOT ISSUED",IF(K26=J26,"ISSUED / ACCEPTED","ISSUED / REVIEW")),"HELD")</f>
        <v>AUTHORIZED / NOT ISSUED</v>
      </c>
      <c r="N26" s="11" t="s">
        <v>142</v>
      </c>
    </row>
    <row r="27" customFormat="false" ht="15" hidden="false" customHeight="false" outlineLevel="0" collapsed="false">
      <c r="A27" s="11" t="s">
        <v>191</v>
      </c>
      <c r="B27" s="11" t="s">
        <v>95</v>
      </c>
      <c r="C27" s="11" t="s">
        <v>96</v>
      </c>
      <c r="D27" s="11" t="s">
        <v>144</v>
      </c>
      <c r="E27" s="11" t="s">
        <v>145</v>
      </c>
      <c r="F27" s="36" t="n">
        <v>4</v>
      </c>
      <c r="G27" s="37" t="n">
        <f aca="false">MIN('Root Register'!I9:J9)</f>
        <v>0</v>
      </c>
      <c r="H27" s="37" t="n">
        <f aca="false">G27</f>
        <v>0</v>
      </c>
      <c r="I27" s="36" t="n">
        <v>1</v>
      </c>
      <c r="J27" s="38" t="n">
        <v>0</v>
      </c>
      <c r="K27" s="38" t="n">
        <v>0</v>
      </c>
      <c r="L27" s="13" t="s">
        <v>148</v>
      </c>
      <c r="M27" s="39" t="str">
        <f aca="false">IF(H27=1,IF(J27=0,"AUTHORIZED / NOT ISSUED",IF(K27=J27,"ISSUED / ACCEPTED","ISSUED / REVIEW")),"HELD")</f>
        <v>HELD</v>
      </c>
      <c r="N27" s="11" t="s">
        <v>147</v>
      </c>
    </row>
    <row r="28" customFormat="false" ht="15" hidden="false" customHeight="false" outlineLevel="0" collapsed="false">
      <c r="A28" s="11" t="s">
        <v>192</v>
      </c>
      <c r="B28" s="11" t="s">
        <v>95</v>
      </c>
      <c r="C28" s="11" t="s">
        <v>96</v>
      </c>
      <c r="D28" s="11" t="s">
        <v>149</v>
      </c>
      <c r="E28" s="11" t="s">
        <v>150</v>
      </c>
      <c r="F28" s="36" t="n">
        <v>5</v>
      </c>
      <c r="G28" s="37" t="n">
        <f aca="false">IF(AND('Root Register'!K9='Root Register'!L9,'Root Register'!M9=1,'Root Register'!N9=1),1,0)</f>
        <v>0</v>
      </c>
      <c r="H28" s="37" t="n">
        <f aca="false">G28</f>
        <v>0</v>
      </c>
      <c r="I28" s="36" t="n">
        <v>1</v>
      </c>
      <c r="J28" s="38" t="n">
        <v>0</v>
      </c>
      <c r="K28" s="38" t="n">
        <v>0</v>
      </c>
      <c r="L28" s="13" t="s">
        <v>153</v>
      </c>
      <c r="M28" s="39" t="str">
        <f aca="false">IF(H28=1,IF(J28=0,"AUTHORIZED / NOT ISSUED",IF(K28=J28,"ISSUED / ACCEPTED","ISSUED / REVIEW")),"HELD")</f>
        <v>HELD</v>
      </c>
      <c r="N28" s="11" t="s">
        <v>152</v>
      </c>
    </row>
    <row r="29" customFormat="false" ht="15" hidden="false" customHeight="false" outlineLevel="0" collapsed="false">
      <c r="A29" s="11" t="s">
        <v>193</v>
      </c>
      <c r="B29" s="11" t="s">
        <v>95</v>
      </c>
      <c r="C29" s="11" t="s">
        <v>96</v>
      </c>
      <c r="D29" s="11" t="s">
        <v>154</v>
      </c>
      <c r="E29" s="11" t="s">
        <v>155</v>
      </c>
      <c r="F29" s="36" t="n">
        <v>6</v>
      </c>
      <c r="G29" s="37" t="n">
        <f aca="false">IF(AND('Root Register'!K9='Root Register'!L9,'Root Register'!M9=1,'Root Register'!N9=1,'Root Register'!O9=1),1,0)</f>
        <v>0</v>
      </c>
      <c r="H29" s="37" t="n">
        <f aca="false">G29</f>
        <v>0</v>
      </c>
      <c r="I29" s="36" t="n">
        <v>1</v>
      </c>
      <c r="J29" s="38" t="n">
        <v>0</v>
      </c>
      <c r="K29" s="38" t="n">
        <v>0</v>
      </c>
      <c r="L29" s="13" t="s">
        <v>158</v>
      </c>
      <c r="M29" s="39" t="str">
        <f aca="false">IF(H29=1,IF(J29=0,"AUTHORIZED / NOT ISSUED",IF(K29=J29,"ISSUED / ACCEPTED","ISSUED / REVIEW")),"HELD")</f>
        <v>HELD</v>
      </c>
      <c r="N29" s="11" t="s">
        <v>157</v>
      </c>
    </row>
    <row r="30" customFormat="false" ht="15" hidden="false" customHeight="false" outlineLevel="0" collapsed="false">
      <c r="A30" s="11" t="s">
        <v>194</v>
      </c>
      <c r="B30" s="11" t="s">
        <v>95</v>
      </c>
      <c r="C30" s="11" t="s">
        <v>96</v>
      </c>
      <c r="D30" s="11" t="s">
        <v>159</v>
      </c>
      <c r="E30" s="11" t="s">
        <v>160</v>
      </c>
      <c r="F30" s="36" t="n">
        <v>7</v>
      </c>
      <c r="G30" s="37" t="n">
        <f aca="false">IF(AND('Root Register'!K9='Root Register'!L9,'Root Register'!M9=1,'Root Register'!N9=1,'Root Register'!O9=1,'Root Register'!P9=1,'Root Register'!Q9=1),1,0)</f>
        <v>0</v>
      </c>
      <c r="H30" s="37" t="n">
        <f aca="false">G30</f>
        <v>0</v>
      </c>
      <c r="I30" s="36" t="n">
        <v>1</v>
      </c>
      <c r="J30" s="38" t="n">
        <v>0</v>
      </c>
      <c r="K30" s="38" t="n">
        <v>0</v>
      </c>
      <c r="L30" s="13" t="s">
        <v>163</v>
      </c>
      <c r="M30" s="39" t="str">
        <f aca="false">IF(H30=1,IF(J30=0,"AUTHORIZED / NOT ISSUED",IF(K30=J30,"ISSUED / ACCEPTED","ISSUED / REVIEW")),"HELD")</f>
        <v>HELD</v>
      </c>
      <c r="N30" s="11" t="s">
        <v>162</v>
      </c>
    </row>
    <row r="31" customFormat="false" ht="15" hidden="false" customHeight="false" outlineLevel="0" collapsed="false">
      <c r="A31" s="11" t="s">
        <v>195</v>
      </c>
      <c r="B31" s="11" t="s">
        <v>99</v>
      </c>
      <c r="C31" s="11" t="s">
        <v>100</v>
      </c>
      <c r="D31" s="11" t="s">
        <v>124</v>
      </c>
      <c r="E31" s="11" t="s">
        <v>125</v>
      </c>
      <c r="F31" s="36" t="n">
        <v>0</v>
      </c>
      <c r="G31" s="37" t="n">
        <f aca="false">'Root Register'!E10</f>
        <v>1</v>
      </c>
      <c r="H31" s="37" t="n">
        <f aca="false">G31</f>
        <v>1</v>
      </c>
      <c r="I31" s="36" t="n">
        <v>1</v>
      </c>
      <c r="J31" s="38" t="n">
        <v>0</v>
      </c>
      <c r="K31" s="38" t="n">
        <v>0</v>
      </c>
      <c r="L31" s="13" t="s">
        <v>128</v>
      </c>
      <c r="M31" s="39" t="str">
        <f aca="false">IF(H31=1,IF(J31=0,"AUTHORIZED / NOT ISSUED",IF(K31=J31,"ISSUED / ACCEPTED","ISSUED / REVIEW")),"HELD")</f>
        <v>AUTHORIZED / NOT ISSUED</v>
      </c>
      <c r="N31" s="11" t="s">
        <v>127</v>
      </c>
    </row>
    <row r="32" customFormat="false" ht="15" hidden="false" customHeight="false" outlineLevel="0" collapsed="false">
      <c r="A32" s="11" t="s">
        <v>196</v>
      </c>
      <c r="B32" s="11" t="s">
        <v>99</v>
      </c>
      <c r="C32" s="11" t="s">
        <v>100</v>
      </c>
      <c r="D32" s="11" t="s">
        <v>129</v>
      </c>
      <c r="E32" s="11" t="s">
        <v>130</v>
      </c>
      <c r="F32" s="36" t="n">
        <v>1</v>
      </c>
      <c r="G32" s="37" t="n">
        <f aca="false">MIN('Root Register'!E10:F10)</f>
        <v>1</v>
      </c>
      <c r="H32" s="37" t="n">
        <f aca="false">G32</f>
        <v>1</v>
      </c>
      <c r="I32" s="36" t="n">
        <v>1</v>
      </c>
      <c r="J32" s="38" t="n">
        <v>0</v>
      </c>
      <c r="K32" s="38" t="n">
        <v>0</v>
      </c>
      <c r="L32" s="13" t="s">
        <v>133</v>
      </c>
      <c r="M32" s="39" t="str">
        <f aca="false">IF(H32=1,IF(J32=0,"AUTHORIZED / NOT ISSUED",IF(K32=J32,"ISSUED / ACCEPTED","ISSUED / REVIEW")),"HELD")</f>
        <v>AUTHORIZED / NOT ISSUED</v>
      </c>
      <c r="N32" s="11" t="s">
        <v>132</v>
      </c>
    </row>
    <row r="33" customFormat="false" ht="15" hidden="false" customHeight="false" outlineLevel="0" collapsed="false">
      <c r="A33" s="11" t="s">
        <v>197</v>
      </c>
      <c r="B33" s="11" t="s">
        <v>99</v>
      </c>
      <c r="C33" s="11" t="s">
        <v>100</v>
      </c>
      <c r="D33" s="11" t="s">
        <v>134</v>
      </c>
      <c r="E33" s="11" t="s">
        <v>135</v>
      </c>
      <c r="F33" s="36" t="n">
        <v>2</v>
      </c>
      <c r="G33" s="37" t="n">
        <f aca="false">MIN('Root Register'!E10:G10)</f>
        <v>1</v>
      </c>
      <c r="H33" s="37" t="n">
        <f aca="false">G33</f>
        <v>1</v>
      </c>
      <c r="I33" s="36" t="n">
        <v>1</v>
      </c>
      <c r="J33" s="38" t="n">
        <v>0</v>
      </c>
      <c r="K33" s="38" t="n">
        <v>0</v>
      </c>
      <c r="L33" s="13" t="s">
        <v>138</v>
      </c>
      <c r="M33" s="39" t="str">
        <f aca="false">IF(H33=1,IF(J33=0,"AUTHORIZED / NOT ISSUED",IF(K33=J33,"ISSUED / ACCEPTED","ISSUED / REVIEW")),"HELD")</f>
        <v>AUTHORIZED / NOT ISSUED</v>
      </c>
      <c r="N33" s="11" t="s">
        <v>137</v>
      </c>
    </row>
    <row r="34" customFormat="false" ht="15" hidden="false" customHeight="false" outlineLevel="0" collapsed="false">
      <c r="A34" s="11" t="s">
        <v>198</v>
      </c>
      <c r="B34" s="11" t="s">
        <v>99</v>
      </c>
      <c r="C34" s="11" t="s">
        <v>100</v>
      </c>
      <c r="D34" s="11" t="s">
        <v>139</v>
      </c>
      <c r="E34" s="11" t="s">
        <v>140</v>
      </c>
      <c r="F34" s="36" t="n">
        <v>3</v>
      </c>
      <c r="G34" s="37" t="n">
        <f aca="false">MIN('Root Register'!E10:H10)</f>
        <v>1</v>
      </c>
      <c r="H34" s="37" t="n">
        <f aca="false">G34</f>
        <v>1</v>
      </c>
      <c r="I34" s="36" t="n">
        <v>3</v>
      </c>
      <c r="J34" s="38" t="n">
        <v>0</v>
      </c>
      <c r="K34" s="38" t="n">
        <v>0</v>
      </c>
      <c r="L34" s="13" t="s">
        <v>143</v>
      </c>
      <c r="M34" s="39" t="str">
        <f aca="false">IF(H34=1,IF(J34=0,"AUTHORIZED / NOT ISSUED",IF(K34=J34,"ISSUED / ACCEPTED","ISSUED / REVIEW")),"HELD")</f>
        <v>AUTHORIZED / NOT ISSUED</v>
      </c>
      <c r="N34" s="11" t="s">
        <v>142</v>
      </c>
    </row>
    <row r="35" customFormat="false" ht="15" hidden="false" customHeight="false" outlineLevel="0" collapsed="false">
      <c r="A35" s="11" t="s">
        <v>199</v>
      </c>
      <c r="B35" s="11" t="s">
        <v>99</v>
      </c>
      <c r="C35" s="11" t="s">
        <v>100</v>
      </c>
      <c r="D35" s="11" t="s">
        <v>144</v>
      </c>
      <c r="E35" s="11" t="s">
        <v>145</v>
      </c>
      <c r="F35" s="36" t="n">
        <v>4</v>
      </c>
      <c r="G35" s="37" t="n">
        <f aca="false">MIN('Root Register'!I10:J10)</f>
        <v>0</v>
      </c>
      <c r="H35" s="37" t="n">
        <f aca="false">G35</f>
        <v>0</v>
      </c>
      <c r="I35" s="36" t="n">
        <v>1</v>
      </c>
      <c r="J35" s="38" t="n">
        <v>0</v>
      </c>
      <c r="K35" s="38" t="n">
        <v>0</v>
      </c>
      <c r="L35" s="13" t="s">
        <v>148</v>
      </c>
      <c r="M35" s="39" t="str">
        <f aca="false">IF(H35=1,IF(J35=0,"AUTHORIZED / NOT ISSUED",IF(K35=J35,"ISSUED / ACCEPTED","ISSUED / REVIEW")),"HELD")</f>
        <v>HELD</v>
      </c>
      <c r="N35" s="11" t="s">
        <v>147</v>
      </c>
    </row>
    <row r="36" customFormat="false" ht="15" hidden="false" customHeight="false" outlineLevel="0" collapsed="false">
      <c r="A36" s="11" t="s">
        <v>200</v>
      </c>
      <c r="B36" s="11" t="s">
        <v>99</v>
      </c>
      <c r="C36" s="11" t="s">
        <v>100</v>
      </c>
      <c r="D36" s="11" t="s">
        <v>149</v>
      </c>
      <c r="E36" s="11" t="s">
        <v>150</v>
      </c>
      <c r="F36" s="36" t="n">
        <v>5</v>
      </c>
      <c r="G36" s="37" t="n">
        <f aca="false">IF(AND('Root Register'!K10='Root Register'!L10,'Root Register'!M10=1,'Root Register'!N10=1),1,0)</f>
        <v>0</v>
      </c>
      <c r="H36" s="37" t="n">
        <f aca="false">G36</f>
        <v>0</v>
      </c>
      <c r="I36" s="36" t="n">
        <v>1</v>
      </c>
      <c r="J36" s="38" t="n">
        <v>0</v>
      </c>
      <c r="K36" s="38" t="n">
        <v>0</v>
      </c>
      <c r="L36" s="13" t="s">
        <v>153</v>
      </c>
      <c r="M36" s="39" t="str">
        <f aca="false">IF(H36=1,IF(J36=0,"AUTHORIZED / NOT ISSUED",IF(K36=J36,"ISSUED / ACCEPTED","ISSUED / REVIEW")),"HELD")</f>
        <v>HELD</v>
      </c>
      <c r="N36" s="11" t="s">
        <v>152</v>
      </c>
    </row>
    <row r="37" customFormat="false" ht="15" hidden="false" customHeight="false" outlineLevel="0" collapsed="false">
      <c r="A37" s="11" t="s">
        <v>201</v>
      </c>
      <c r="B37" s="11" t="s">
        <v>99</v>
      </c>
      <c r="C37" s="11" t="s">
        <v>100</v>
      </c>
      <c r="D37" s="11" t="s">
        <v>154</v>
      </c>
      <c r="E37" s="11" t="s">
        <v>155</v>
      </c>
      <c r="F37" s="36" t="n">
        <v>6</v>
      </c>
      <c r="G37" s="37" t="n">
        <f aca="false">IF(AND('Root Register'!K10='Root Register'!L10,'Root Register'!M10=1,'Root Register'!N10=1,'Root Register'!O10=1),1,0)</f>
        <v>0</v>
      </c>
      <c r="H37" s="37" t="n">
        <f aca="false">G37</f>
        <v>0</v>
      </c>
      <c r="I37" s="36" t="n">
        <v>1</v>
      </c>
      <c r="J37" s="38" t="n">
        <v>0</v>
      </c>
      <c r="K37" s="38" t="n">
        <v>0</v>
      </c>
      <c r="L37" s="13" t="s">
        <v>158</v>
      </c>
      <c r="M37" s="39" t="str">
        <f aca="false">IF(H37=1,IF(J37=0,"AUTHORIZED / NOT ISSUED",IF(K37=J37,"ISSUED / ACCEPTED","ISSUED / REVIEW")),"HELD")</f>
        <v>HELD</v>
      </c>
      <c r="N37" s="11" t="s">
        <v>157</v>
      </c>
    </row>
    <row r="38" customFormat="false" ht="15" hidden="false" customHeight="false" outlineLevel="0" collapsed="false">
      <c r="A38" s="11" t="s">
        <v>202</v>
      </c>
      <c r="B38" s="11" t="s">
        <v>99</v>
      </c>
      <c r="C38" s="11" t="s">
        <v>100</v>
      </c>
      <c r="D38" s="11" t="s">
        <v>159</v>
      </c>
      <c r="E38" s="11" t="s">
        <v>160</v>
      </c>
      <c r="F38" s="36" t="n">
        <v>7</v>
      </c>
      <c r="G38" s="37" t="n">
        <f aca="false">IF(AND('Root Register'!K10='Root Register'!L10,'Root Register'!M10=1,'Root Register'!N10=1,'Root Register'!O10=1,'Root Register'!P10=1,'Root Register'!Q10=1),1,0)</f>
        <v>0</v>
      </c>
      <c r="H38" s="37" t="n">
        <f aca="false">G38</f>
        <v>0</v>
      </c>
      <c r="I38" s="36" t="n">
        <v>1</v>
      </c>
      <c r="J38" s="38" t="n">
        <v>0</v>
      </c>
      <c r="K38" s="38" t="n">
        <v>0</v>
      </c>
      <c r="L38" s="13" t="s">
        <v>163</v>
      </c>
      <c r="M38" s="39" t="str">
        <f aca="false">IF(H38=1,IF(J38=0,"AUTHORIZED / NOT ISSUED",IF(K38=J38,"ISSUED / ACCEPTED","ISSUED / REVIEW")),"HELD")</f>
        <v>HELD</v>
      </c>
      <c r="N38" s="11" t="s">
        <v>162</v>
      </c>
    </row>
    <row r="39" customFormat="false" ht="15" hidden="false" customHeight="false" outlineLevel="0" collapsed="false">
      <c r="A39" s="11" t="s">
        <v>203</v>
      </c>
      <c r="B39" s="11" t="s">
        <v>103</v>
      </c>
      <c r="C39" s="11" t="s">
        <v>104</v>
      </c>
      <c r="D39" s="11" t="s">
        <v>124</v>
      </c>
      <c r="E39" s="11" t="s">
        <v>125</v>
      </c>
      <c r="F39" s="36" t="n">
        <v>0</v>
      </c>
      <c r="G39" s="37" t="n">
        <f aca="false">'Root Register'!E11</f>
        <v>1</v>
      </c>
      <c r="H39" s="37" t="n">
        <f aca="false">G39</f>
        <v>1</v>
      </c>
      <c r="I39" s="36" t="n">
        <v>1</v>
      </c>
      <c r="J39" s="38" t="n">
        <v>0</v>
      </c>
      <c r="K39" s="38" t="n">
        <v>0</v>
      </c>
      <c r="L39" s="13" t="s">
        <v>128</v>
      </c>
      <c r="M39" s="39" t="str">
        <f aca="false">IF(H39=1,IF(J39=0,"AUTHORIZED / NOT ISSUED",IF(K39=J39,"ISSUED / ACCEPTED","ISSUED / REVIEW")),"HELD")</f>
        <v>AUTHORIZED / NOT ISSUED</v>
      </c>
      <c r="N39" s="11" t="s">
        <v>127</v>
      </c>
    </row>
    <row r="40" customFormat="false" ht="15" hidden="false" customHeight="false" outlineLevel="0" collapsed="false">
      <c r="A40" s="11" t="s">
        <v>204</v>
      </c>
      <c r="B40" s="11" t="s">
        <v>103</v>
      </c>
      <c r="C40" s="11" t="s">
        <v>104</v>
      </c>
      <c r="D40" s="11" t="s">
        <v>129</v>
      </c>
      <c r="E40" s="11" t="s">
        <v>130</v>
      </c>
      <c r="F40" s="36" t="n">
        <v>1</v>
      </c>
      <c r="G40" s="37" t="n">
        <f aca="false">MIN('Root Register'!E11:F11)</f>
        <v>1</v>
      </c>
      <c r="H40" s="37" t="n">
        <f aca="false">G40</f>
        <v>1</v>
      </c>
      <c r="I40" s="36" t="n">
        <v>1</v>
      </c>
      <c r="J40" s="38" t="n">
        <v>0</v>
      </c>
      <c r="K40" s="38" t="n">
        <v>0</v>
      </c>
      <c r="L40" s="13" t="s">
        <v>133</v>
      </c>
      <c r="M40" s="39" t="str">
        <f aca="false">IF(H40=1,IF(J40=0,"AUTHORIZED / NOT ISSUED",IF(K40=J40,"ISSUED / ACCEPTED","ISSUED / REVIEW")),"HELD")</f>
        <v>AUTHORIZED / NOT ISSUED</v>
      </c>
      <c r="N40" s="11" t="s">
        <v>132</v>
      </c>
    </row>
    <row r="41" customFormat="false" ht="15" hidden="false" customHeight="false" outlineLevel="0" collapsed="false">
      <c r="A41" s="11" t="s">
        <v>205</v>
      </c>
      <c r="B41" s="11" t="s">
        <v>103</v>
      </c>
      <c r="C41" s="11" t="s">
        <v>104</v>
      </c>
      <c r="D41" s="11" t="s">
        <v>134</v>
      </c>
      <c r="E41" s="11" t="s">
        <v>135</v>
      </c>
      <c r="F41" s="36" t="n">
        <v>2</v>
      </c>
      <c r="G41" s="37" t="n">
        <f aca="false">MIN('Root Register'!E11:G11)</f>
        <v>1</v>
      </c>
      <c r="H41" s="37" t="n">
        <f aca="false">G41</f>
        <v>1</v>
      </c>
      <c r="I41" s="36" t="n">
        <v>1</v>
      </c>
      <c r="J41" s="38" t="n">
        <v>0</v>
      </c>
      <c r="K41" s="38" t="n">
        <v>0</v>
      </c>
      <c r="L41" s="13" t="s">
        <v>138</v>
      </c>
      <c r="M41" s="39" t="str">
        <f aca="false">IF(H41=1,IF(J41=0,"AUTHORIZED / NOT ISSUED",IF(K41=J41,"ISSUED / ACCEPTED","ISSUED / REVIEW")),"HELD")</f>
        <v>AUTHORIZED / NOT ISSUED</v>
      </c>
      <c r="N41" s="11" t="s">
        <v>137</v>
      </c>
    </row>
    <row r="42" customFormat="false" ht="15" hidden="false" customHeight="false" outlineLevel="0" collapsed="false">
      <c r="A42" s="11" t="s">
        <v>206</v>
      </c>
      <c r="B42" s="11" t="s">
        <v>103</v>
      </c>
      <c r="C42" s="11" t="s">
        <v>104</v>
      </c>
      <c r="D42" s="11" t="s">
        <v>139</v>
      </c>
      <c r="E42" s="11" t="s">
        <v>140</v>
      </c>
      <c r="F42" s="36" t="n">
        <v>3</v>
      </c>
      <c r="G42" s="37" t="n">
        <f aca="false">MIN('Root Register'!E11:H11)</f>
        <v>1</v>
      </c>
      <c r="H42" s="37" t="n">
        <f aca="false">G42</f>
        <v>1</v>
      </c>
      <c r="I42" s="36" t="n">
        <v>3</v>
      </c>
      <c r="J42" s="38" t="n">
        <v>0</v>
      </c>
      <c r="K42" s="38" t="n">
        <v>0</v>
      </c>
      <c r="L42" s="13" t="s">
        <v>143</v>
      </c>
      <c r="M42" s="39" t="str">
        <f aca="false">IF(H42=1,IF(J42=0,"AUTHORIZED / NOT ISSUED",IF(K42=J42,"ISSUED / ACCEPTED","ISSUED / REVIEW")),"HELD")</f>
        <v>AUTHORIZED / NOT ISSUED</v>
      </c>
      <c r="N42" s="11" t="s">
        <v>142</v>
      </c>
    </row>
    <row r="43" customFormat="false" ht="15" hidden="false" customHeight="false" outlineLevel="0" collapsed="false">
      <c r="A43" s="11" t="s">
        <v>207</v>
      </c>
      <c r="B43" s="11" t="s">
        <v>103</v>
      </c>
      <c r="C43" s="11" t="s">
        <v>104</v>
      </c>
      <c r="D43" s="11" t="s">
        <v>144</v>
      </c>
      <c r="E43" s="11" t="s">
        <v>145</v>
      </c>
      <c r="F43" s="36" t="n">
        <v>4</v>
      </c>
      <c r="G43" s="37" t="n">
        <f aca="false">MIN('Root Register'!I11:J11)</f>
        <v>0</v>
      </c>
      <c r="H43" s="37" t="n">
        <f aca="false">G43</f>
        <v>0</v>
      </c>
      <c r="I43" s="36" t="n">
        <v>1</v>
      </c>
      <c r="J43" s="38" t="n">
        <v>0</v>
      </c>
      <c r="K43" s="38" t="n">
        <v>0</v>
      </c>
      <c r="L43" s="13" t="s">
        <v>148</v>
      </c>
      <c r="M43" s="39" t="str">
        <f aca="false">IF(H43=1,IF(J43=0,"AUTHORIZED / NOT ISSUED",IF(K43=J43,"ISSUED / ACCEPTED","ISSUED / REVIEW")),"HELD")</f>
        <v>HELD</v>
      </c>
      <c r="N43" s="11" t="s">
        <v>147</v>
      </c>
    </row>
    <row r="44" customFormat="false" ht="15" hidden="false" customHeight="false" outlineLevel="0" collapsed="false">
      <c r="A44" s="11" t="s">
        <v>208</v>
      </c>
      <c r="B44" s="11" t="s">
        <v>103</v>
      </c>
      <c r="C44" s="11" t="s">
        <v>104</v>
      </c>
      <c r="D44" s="11" t="s">
        <v>149</v>
      </c>
      <c r="E44" s="11" t="s">
        <v>150</v>
      </c>
      <c r="F44" s="36" t="n">
        <v>5</v>
      </c>
      <c r="G44" s="37" t="n">
        <f aca="false">IF(AND('Root Register'!K11='Root Register'!L11,'Root Register'!M11=1,'Root Register'!N11=1),1,0)</f>
        <v>0</v>
      </c>
      <c r="H44" s="37" t="n">
        <f aca="false">G44</f>
        <v>0</v>
      </c>
      <c r="I44" s="36" t="n">
        <v>1</v>
      </c>
      <c r="J44" s="38" t="n">
        <v>0</v>
      </c>
      <c r="K44" s="38" t="n">
        <v>0</v>
      </c>
      <c r="L44" s="13" t="s">
        <v>153</v>
      </c>
      <c r="M44" s="39" t="str">
        <f aca="false">IF(H44=1,IF(J44=0,"AUTHORIZED / NOT ISSUED",IF(K44=J44,"ISSUED / ACCEPTED","ISSUED / REVIEW")),"HELD")</f>
        <v>HELD</v>
      </c>
      <c r="N44" s="11" t="s">
        <v>152</v>
      </c>
    </row>
    <row r="45" customFormat="false" ht="15" hidden="false" customHeight="false" outlineLevel="0" collapsed="false">
      <c r="A45" s="11" t="s">
        <v>209</v>
      </c>
      <c r="B45" s="11" t="s">
        <v>103</v>
      </c>
      <c r="C45" s="11" t="s">
        <v>104</v>
      </c>
      <c r="D45" s="11" t="s">
        <v>154</v>
      </c>
      <c r="E45" s="11" t="s">
        <v>155</v>
      </c>
      <c r="F45" s="36" t="n">
        <v>6</v>
      </c>
      <c r="G45" s="37" t="n">
        <f aca="false">IF(AND('Root Register'!K11='Root Register'!L11,'Root Register'!M11=1,'Root Register'!N11=1,'Root Register'!O11=1),1,0)</f>
        <v>0</v>
      </c>
      <c r="H45" s="37" t="n">
        <f aca="false">G45</f>
        <v>0</v>
      </c>
      <c r="I45" s="36" t="n">
        <v>1</v>
      </c>
      <c r="J45" s="38" t="n">
        <v>0</v>
      </c>
      <c r="K45" s="38" t="n">
        <v>0</v>
      </c>
      <c r="L45" s="13" t="s">
        <v>158</v>
      </c>
      <c r="M45" s="39" t="str">
        <f aca="false">IF(H45=1,IF(J45=0,"AUTHORIZED / NOT ISSUED",IF(K45=J45,"ISSUED / ACCEPTED","ISSUED / REVIEW")),"HELD")</f>
        <v>HELD</v>
      </c>
      <c r="N45" s="11" t="s">
        <v>157</v>
      </c>
    </row>
    <row r="46" customFormat="false" ht="15" hidden="false" customHeight="false" outlineLevel="0" collapsed="false">
      <c r="A46" s="11" t="s">
        <v>210</v>
      </c>
      <c r="B46" s="11" t="s">
        <v>103</v>
      </c>
      <c r="C46" s="11" t="s">
        <v>104</v>
      </c>
      <c r="D46" s="11" t="s">
        <v>159</v>
      </c>
      <c r="E46" s="11" t="s">
        <v>160</v>
      </c>
      <c r="F46" s="36" t="n">
        <v>7</v>
      </c>
      <c r="G46" s="37" t="n">
        <f aca="false">IF(AND('Root Register'!K11='Root Register'!L11,'Root Register'!M11=1,'Root Register'!N11=1,'Root Register'!O11=1,'Root Register'!P11=1,'Root Register'!Q11=1),1,0)</f>
        <v>0</v>
      </c>
      <c r="H46" s="37" t="n">
        <f aca="false">G46</f>
        <v>0</v>
      </c>
      <c r="I46" s="36" t="n">
        <v>1</v>
      </c>
      <c r="J46" s="38" t="n">
        <v>0</v>
      </c>
      <c r="K46" s="38" t="n">
        <v>0</v>
      </c>
      <c r="L46" s="13" t="s">
        <v>163</v>
      </c>
      <c r="M46" s="39" t="str">
        <f aca="false">IF(H46=1,IF(J46=0,"AUTHORIZED / NOT ISSUED",IF(K46=J46,"ISSUED / ACCEPTED","ISSUED / REVIEW")),"HELD")</f>
        <v>HELD</v>
      </c>
      <c r="N46" s="11" t="s">
        <v>162</v>
      </c>
    </row>
    <row r="47" customFormat="false" ht="15" hidden="false" customHeight="false" outlineLevel="0" collapsed="false">
      <c r="A47" s="11" t="s">
        <v>211</v>
      </c>
      <c r="B47" s="11" t="s">
        <v>107</v>
      </c>
      <c r="C47" s="11" t="s">
        <v>108</v>
      </c>
      <c r="D47" s="11" t="s">
        <v>124</v>
      </c>
      <c r="E47" s="11" t="s">
        <v>125</v>
      </c>
      <c r="F47" s="36" t="n">
        <v>0</v>
      </c>
      <c r="G47" s="37" t="n">
        <f aca="false">'Root Register'!E12</f>
        <v>1</v>
      </c>
      <c r="H47" s="37" t="n">
        <f aca="false">G47</f>
        <v>1</v>
      </c>
      <c r="I47" s="36" t="n">
        <v>1</v>
      </c>
      <c r="J47" s="38" t="n">
        <v>0</v>
      </c>
      <c r="K47" s="38" t="n">
        <v>0</v>
      </c>
      <c r="L47" s="13" t="s">
        <v>128</v>
      </c>
      <c r="M47" s="39" t="str">
        <f aca="false">IF(H47=1,IF(J47=0,"AUTHORIZED / NOT ISSUED",IF(K47=J47,"ISSUED / ACCEPTED","ISSUED / REVIEW")),"HELD")</f>
        <v>AUTHORIZED / NOT ISSUED</v>
      </c>
      <c r="N47" s="11" t="s">
        <v>127</v>
      </c>
    </row>
    <row r="48" customFormat="false" ht="15" hidden="false" customHeight="false" outlineLevel="0" collapsed="false">
      <c r="A48" s="11" t="s">
        <v>212</v>
      </c>
      <c r="B48" s="11" t="s">
        <v>107</v>
      </c>
      <c r="C48" s="11" t="s">
        <v>108</v>
      </c>
      <c r="D48" s="11" t="s">
        <v>129</v>
      </c>
      <c r="E48" s="11" t="s">
        <v>130</v>
      </c>
      <c r="F48" s="36" t="n">
        <v>1</v>
      </c>
      <c r="G48" s="37" t="n">
        <f aca="false">MIN('Root Register'!E12:F12)</f>
        <v>1</v>
      </c>
      <c r="H48" s="37" t="n">
        <f aca="false">G48</f>
        <v>1</v>
      </c>
      <c r="I48" s="36" t="n">
        <v>1</v>
      </c>
      <c r="J48" s="38" t="n">
        <v>0</v>
      </c>
      <c r="K48" s="38" t="n">
        <v>0</v>
      </c>
      <c r="L48" s="13" t="s">
        <v>133</v>
      </c>
      <c r="M48" s="39" t="str">
        <f aca="false">IF(H48=1,IF(J48=0,"AUTHORIZED / NOT ISSUED",IF(K48=J48,"ISSUED / ACCEPTED","ISSUED / REVIEW")),"HELD")</f>
        <v>AUTHORIZED / NOT ISSUED</v>
      </c>
      <c r="N48" s="11" t="s">
        <v>132</v>
      </c>
    </row>
    <row r="49" customFormat="false" ht="15" hidden="false" customHeight="false" outlineLevel="0" collapsed="false">
      <c r="A49" s="11" t="s">
        <v>213</v>
      </c>
      <c r="B49" s="11" t="s">
        <v>107</v>
      </c>
      <c r="C49" s="11" t="s">
        <v>108</v>
      </c>
      <c r="D49" s="11" t="s">
        <v>134</v>
      </c>
      <c r="E49" s="11" t="s">
        <v>135</v>
      </c>
      <c r="F49" s="36" t="n">
        <v>2</v>
      </c>
      <c r="G49" s="37" t="n">
        <f aca="false">MIN('Root Register'!E12:G12)</f>
        <v>1</v>
      </c>
      <c r="H49" s="37" t="n">
        <f aca="false">G49</f>
        <v>1</v>
      </c>
      <c r="I49" s="36" t="n">
        <v>1</v>
      </c>
      <c r="J49" s="38" t="n">
        <v>0</v>
      </c>
      <c r="K49" s="38" t="n">
        <v>0</v>
      </c>
      <c r="L49" s="13" t="s">
        <v>138</v>
      </c>
      <c r="M49" s="39" t="str">
        <f aca="false">IF(H49=1,IF(J49=0,"AUTHORIZED / NOT ISSUED",IF(K49=J49,"ISSUED / ACCEPTED","ISSUED / REVIEW")),"HELD")</f>
        <v>AUTHORIZED / NOT ISSUED</v>
      </c>
      <c r="N49" s="11" t="s">
        <v>137</v>
      </c>
    </row>
    <row r="50" customFormat="false" ht="15" hidden="false" customHeight="false" outlineLevel="0" collapsed="false">
      <c r="A50" s="11" t="s">
        <v>214</v>
      </c>
      <c r="B50" s="11" t="s">
        <v>107</v>
      </c>
      <c r="C50" s="11" t="s">
        <v>108</v>
      </c>
      <c r="D50" s="11" t="s">
        <v>139</v>
      </c>
      <c r="E50" s="11" t="s">
        <v>140</v>
      </c>
      <c r="F50" s="36" t="n">
        <v>3</v>
      </c>
      <c r="G50" s="37" t="n">
        <f aca="false">MIN('Root Register'!E12:H12)</f>
        <v>1</v>
      </c>
      <c r="H50" s="37" t="n">
        <f aca="false">G50</f>
        <v>1</v>
      </c>
      <c r="I50" s="36" t="n">
        <v>3</v>
      </c>
      <c r="J50" s="38" t="n">
        <v>0</v>
      </c>
      <c r="K50" s="38" t="n">
        <v>0</v>
      </c>
      <c r="L50" s="13" t="s">
        <v>143</v>
      </c>
      <c r="M50" s="39" t="str">
        <f aca="false">IF(H50=1,IF(J50=0,"AUTHORIZED / NOT ISSUED",IF(K50=J50,"ISSUED / ACCEPTED","ISSUED / REVIEW")),"HELD")</f>
        <v>AUTHORIZED / NOT ISSUED</v>
      </c>
      <c r="N50" s="11" t="s">
        <v>142</v>
      </c>
    </row>
    <row r="51" customFormat="false" ht="15" hidden="false" customHeight="false" outlineLevel="0" collapsed="false">
      <c r="A51" s="11" t="s">
        <v>215</v>
      </c>
      <c r="B51" s="11" t="s">
        <v>107</v>
      </c>
      <c r="C51" s="11" t="s">
        <v>108</v>
      </c>
      <c r="D51" s="11" t="s">
        <v>144</v>
      </c>
      <c r="E51" s="11" t="s">
        <v>145</v>
      </c>
      <c r="F51" s="36" t="n">
        <v>4</v>
      </c>
      <c r="G51" s="37" t="n">
        <f aca="false">MIN('Root Register'!I12:J12)</f>
        <v>0</v>
      </c>
      <c r="H51" s="37" t="n">
        <f aca="false">G51</f>
        <v>0</v>
      </c>
      <c r="I51" s="36" t="n">
        <v>1</v>
      </c>
      <c r="J51" s="38" t="n">
        <v>0</v>
      </c>
      <c r="K51" s="38" t="n">
        <v>0</v>
      </c>
      <c r="L51" s="13" t="s">
        <v>148</v>
      </c>
      <c r="M51" s="39" t="str">
        <f aca="false">IF(H51=1,IF(J51=0,"AUTHORIZED / NOT ISSUED",IF(K51=J51,"ISSUED / ACCEPTED","ISSUED / REVIEW")),"HELD")</f>
        <v>HELD</v>
      </c>
      <c r="N51" s="11" t="s">
        <v>147</v>
      </c>
    </row>
    <row r="52" customFormat="false" ht="15" hidden="false" customHeight="false" outlineLevel="0" collapsed="false">
      <c r="A52" s="11" t="s">
        <v>216</v>
      </c>
      <c r="B52" s="11" t="s">
        <v>107</v>
      </c>
      <c r="C52" s="11" t="s">
        <v>108</v>
      </c>
      <c r="D52" s="11" t="s">
        <v>149</v>
      </c>
      <c r="E52" s="11" t="s">
        <v>150</v>
      </c>
      <c r="F52" s="36" t="n">
        <v>5</v>
      </c>
      <c r="G52" s="37" t="n">
        <f aca="false">IF(AND('Root Register'!K12='Root Register'!L12,'Root Register'!M12=1,'Root Register'!N12=1),1,0)</f>
        <v>0</v>
      </c>
      <c r="H52" s="37" t="n">
        <f aca="false">G52</f>
        <v>0</v>
      </c>
      <c r="I52" s="36" t="n">
        <v>1</v>
      </c>
      <c r="J52" s="38" t="n">
        <v>0</v>
      </c>
      <c r="K52" s="38" t="n">
        <v>0</v>
      </c>
      <c r="L52" s="13" t="s">
        <v>153</v>
      </c>
      <c r="M52" s="39" t="str">
        <f aca="false">IF(H52=1,IF(J52=0,"AUTHORIZED / NOT ISSUED",IF(K52=J52,"ISSUED / ACCEPTED","ISSUED / REVIEW")),"HELD")</f>
        <v>HELD</v>
      </c>
      <c r="N52" s="11" t="s">
        <v>152</v>
      </c>
    </row>
    <row r="53" customFormat="false" ht="15" hidden="false" customHeight="false" outlineLevel="0" collapsed="false">
      <c r="A53" s="11" t="s">
        <v>217</v>
      </c>
      <c r="B53" s="11" t="s">
        <v>107</v>
      </c>
      <c r="C53" s="11" t="s">
        <v>108</v>
      </c>
      <c r="D53" s="11" t="s">
        <v>154</v>
      </c>
      <c r="E53" s="11" t="s">
        <v>155</v>
      </c>
      <c r="F53" s="36" t="n">
        <v>6</v>
      </c>
      <c r="G53" s="37" t="n">
        <f aca="false">IF(AND('Root Register'!K12='Root Register'!L12,'Root Register'!M12=1,'Root Register'!N12=1,'Root Register'!O12=1),1,0)</f>
        <v>0</v>
      </c>
      <c r="H53" s="37" t="n">
        <f aca="false">G53</f>
        <v>0</v>
      </c>
      <c r="I53" s="36" t="n">
        <v>1</v>
      </c>
      <c r="J53" s="38" t="n">
        <v>0</v>
      </c>
      <c r="K53" s="38" t="n">
        <v>0</v>
      </c>
      <c r="L53" s="13" t="s">
        <v>158</v>
      </c>
      <c r="M53" s="39" t="str">
        <f aca="false">IF(H53=1,IF(J53=0,"AUTHORIZED / NOT ISSUED",IF(K53=J53,"ISSUED / ACCEPTED","ISSUED / REVIEW")),"HELD")</f>
        <v>HELD</v>
      </c>
      <c r="N53" s="11" t="s">
        <v>157</v>
      </c>
    </row>
    <row r="54" customFormat="false" ht="15" hidden="false" customHeight="false" outlineLevel="0" collapsed="false">
      <c r="A54" s="15" t="s">
        <v>218</v>
      </c>
      <c r="B54" s="15" t="s">
        <v>107</v>
      </c>
      <c r="C54" s="15" t="s">
        <v>108</v>
      </c>
      <c r="D54" s="15" t="s">
        <v>159</v>
      </c>
      <c r="E54" s="15" t="s">
        <v>160</v>
      </c>
      <c r="F54" s="40" t="n">
        <v>7</v>
      </c>
      <c r="G54" s="41" t="n">
        <f aca="false">IF(AND('Root Register'!K12='Root Register'!L12,'Root Register'!M12=1,'Root Register'!N12=1,'Root Register'!O12=1,'Root Register'!P12=1,'Root Register'!Q12=1),1,0)</f>
        <v>0</v>
      </c>
      <c r="H54" s="41" t="n">
        <f aca="false">G54</f>
        <v>0</v>
      </c>
      <c r="I54" s="40" t="n">
        <v>1</v>
      </c>
      <c r="J54" s="42" t="n">
        <v>0</v>
      </c>
      <c r="K54" s="42" t="n">
        <v>0</v>
      </c>
      <c r="L54" s="17" t="s">
        <v>163</v>
      </c>
      <c r="M54" s="43" t="str">
        <f aca="false">IF(H54=1,IF(J54=0,"AUTHORIZED / NOT ISSUED",IF(K54=J54,"ISSUED / ACCEPTED","ISSUED / REVIEW")),"HELD")</f>
        <v>HELD</v>
      </c>
      <c r="N54" s="15" t="s">
        <v>162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62"/>
    <col collapsed="false" customWidth="true" hidden="false" outlineLevel="0" max="8" min="8" style="0" width="58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2" customFormat="false" ht="24" hidden="false" customHeight="true" outlineLevel="0" collapsed="false">
      <c r="A2" s="1" t="s">
        <v>219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8" t="s">
        <v>220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24" hidden="false" customHeight="true" outlineLevel="0" collapsed="false">
      <c r="A6" s="19" t="s">
        <v>221</v>
      </c>
      <c r="B6" s="20" t="s">
        <v>69</v>
      </c>
      <c r="C6" s="20" t="s">
        <v>70</v>
      </c>
      <c r="D6" s="20" t="s">
        <v>222</v>
      </c>
      <c r="E6" s="20" t="s">
        <v>223</v>
      </c>
      <c r="F6" s="20" t="s">
        <v>224</v>
      </c>
      <c r="G6" s="20" t="s">
        <v>225</v>
      </c>
      <c r="H6" s="20" t="s">
        <v>226</v>
      </c>
      <c r="I6" s="20" t="s">
        <v>227</v>
      </c>
      <c r="J6" s="20" t="s">
        <v>26</v>
      </c>
      <c r="K6" s="20" t="s">
        <v>228</v>
      </c>
      <c r="L6" s="21" t="s">
        <v>4</v>
      </c>
    </row>
    <row r="7" customFormat="false" ht="15" hidden="false" customHeight="false" outlineLevel="0" collapsed="false">
      <c r="A7" s="7" t="s">
        <v>229</v>
      </c>
      <c r="B7" s="7" t="s">
        <v>87</v>
      </c>
      <c r="C7" s="7" t="s">
        <v>88</v>
      </c>
      <c r="D7" s="32" t="n">
        <v>1</v>
      </c>
      <c r="E7" s="7" t="s">
        <v>230</v>
      </c>
      <c r="F7" s="7" t="s">
        <v>231</v>
      </c>
      <c r="G7" s="7" t="s">
        <v>232</v>
      </c>
      <c r="H7" s="7" t="s">
        <v>233</v>
      </c>
      <c r="I7" s="8" t="n">
        <f aca="false">'Representation Register'!H10</f>
        <v>1</v>
      </c>
      <c r="J7" s="9" t="n">
        <v>0</v>
      </c>
      <c r="K7" s="9" t="n">
        <v>0</v>
      </c>
      <c r="L7" s="35" t="str">
        <f aca="false">IF(K7&gt;0,"INVALID SELECTION",IF(I7=1,IF(J7=0,"AUTHORIZED / NOT ISSUED","ISSUED / UNSELECTED"),"HELD"))</f>
        <v>AUTHORIZED / NOT ISSUED</v>
      </c>
    </row>
    <row r="8" customFormat="false" ht="15" hidden="false" customHeight="false" outlineLevel="0" collapsed="false">
      <c r="A8" s="11" t="s">
        <v>234</v>
      </c>
      <c r="B8" s="11" t="s">
        <v>87</v>
      </c>
      <c r="C8" s="11" t="s">
        <v>88</v>
      </c>
      <c r="D8" s="36" t="n">
        <v>2</v>
      </c>
      <c r="E8" s="11" t="s">
        <v>235</v>
      </c>
      <c r="F8" s="11" t="s">
        <v>236</v>
      </c>
      <c r="G8" s="11" t="s">
        <v>237</v>
      </c>
      <c r="H8" s="11" t="s">
        <v>238</v>
      </c>
      <c r="I8" s="12" t="n">
        <f aca="false">'Representation Register'!H10</f>
        <v>1</v>
      </c>
      <c r="J8" s="13" t="n">
        <v>0</v>
      </c>
      <c r="K8" s="13" t="n">
        <v>0</v>
      </c>
      <c r="L8" s="39" t="str">
        <f aca="false">IF(K8&gt;0,"INVALID SELECTION",IF(I8=1,IF(J8=0,"AUTHORIZED / NOT ISSUED","ISSUED / UNSELECTED"),"HELD"))</f>
        <v>AUTHORIZED / NOT ISSUED</v>
      </c>
    </row>
    <row r="9" customFormat="false" ht="15" hidden="false" customHeight="false" outlineLevel="0" collapsed="false">
      <c r="A9" s="11" t="s">
        <v>239</v>
      </c>
      <c r="B9" s="11" t="s">
        <v>87</v>
      </c>
      <c r="C9" s="11" t="s">
        <v>88</v>
      </c>
      <c r="D9" s="36" t="n">
        <v>3</v>
      </c>
      <c r="E9" s="11" t="s">
        <v>240</v>
      </c>
      <c r="F9" s="11" t="s">
        <v>241</v>
      </c>
      <c r="G9" s="11" t="s">
        <v>242</v>
      </c>
      <c r="H9" s="11" t="s">
        <v>243</v>
      </c>
      <c r="I9" s="12" t="n">
        <f aca="false">'Representation Register'!H10</f>
        <v>1</v>
      </c>
      <c r="J9" s="13" t="n">
        <v>0</v>
      </c>
      <c r="K9" s="13" t="n">
        <v>0</v>
      </c>
      <c r="L9" s="39" t="str">
        <f aca="false">IF(K9&gt;0,"INVALID SELECTION",IF(I9=1,IF(J9=0,"AUTHORIZED / NOT ISSUED","ISSUED / UNSELECTED"),"HELD"))</f>
        <v>AUTHORIZED / NOT ISSUED</v>
      </c>
    </row>
    <row r="10" customFormat="false" ht="15" hidden="false" customHeight="false" outlineLevel="0" collapsed="false">
      <c r="A10" s="11" t="s">
        <v>244</v>
      </c>
      <c r="B10" s="11" t="s">
        <v>91</v>
      </c>
      <c r="C10" s="11" t="s">
        <v>92</v>
      </c>
      <c r="D10" s="36" t="n">
        <v>1</v>
      </c>
      <c r="E10" s="11" t="s">
        <v>245</v>
      </c>
      <c r="F10" s="11" t="s">
        <v>246</v>
      </c>
      <c r="G10" s="11" t="s">
        <v>247</v>
      </c>
      <c r="H10" s="11" t="s">
        <v>248</v>
      </c>
      <c r="I10" s="12" t="n">
        <f aca="false">'Representation Register'!H18</f>
        <v>1</v>
      </c>
      <c r="J10" s="13" t="n">
        <v>0</v>
      </c>
      <c r="K10" s="13" t="n">
        <v>0</v>
      </c>
      <c r="L10" s="39" t="str">
        <f aca="false">IF(K10&gt;0,"INVALID SELECTION",IF(I10=1,IF(J10=0,"AUTHORIZED / NOT ISSUED","ISSUED / UNSELECTED"),"HELD"))</f>
        <v>AUTHORIZED / NOT ISSUED</v>
      </c>
    </row>
    <row r="11" customFormat="false" ht="15" hidden="false" customHeight="false" outlineLevel="0" collapsed="false">
      <c r="A11" s="11" t="s">
        <v>249</v>
      </c>
      <c r="B11" s="11" t="s">
        <v>91</v>
      </c>
      <c r="C11" s="11" t="s">
        <v>92</v>
      </c>
      <c r="D11" s="36" t="n">
        <v>2</v>
      </c>
      <c r="E11" s="11" t="s">
        <v>250</v>
      </c>
      <c r="F11" s="11" t="s">
        <v>251</v>
      </c>
      <c r="G11" s="11" t="s">
        <v>252</v>
      </c>
      <c r="H11" s="11" t="s">
        <v>253</v>
      </c>
      <c r="I11" s="12" t="n">
        <f aca="false">'Representation Register'!H18</f>
        <v>1</v>
      </c>
      <c r="J11" s="13" t="n">
        <v>0</v>
      </c>
      <c r="K11" s="13" t="n">
        <v>0</v>
      </c>
      <c r="L11" s="39" t="str">
        <f aca="false">IF(K11&gt;0,"INVALID SELECTION",IF(I11=1,IF(J11=0,"AUTHORIZED / NOT ISSUED","ISSUED / UNSELECTED"),"HELD"))</f>
        <v>AUTHORIZED / NOT ISSUED</v>
      </c>
    </row>
    <row r="12" customFormat="false" ht="15" hidden="false" customHeight="false" outlineLevel="0" collapsed="false">
      <c r="A12" s="11" t="s">
        <v>254</v>
      </c>
      <c r="B12" s="11" t="s">
        <v>91</v>
      </c>
      <c r="C12" s="11" t="s">
        <v>92</v>
      </c>
      <c r="D12" s="36" t="n">
        <v>3</v>
      </c>
      <c r="E12" s="11" t="s">
        <v>255</v>
      </c>
      <c r="F12" s="11" t="s">
        <v>256</v>
      </c>
      <c r="G12" s="11" t="s">
        <v>257</v>
      </c>
      <c r="H12" s="11" t="s">
        <v>258</v>
      </c>
      <c r="I12" s="12" t="n">
        <f aca="false">'Representation Register'!H18</f>
        <v>1</v>
      </c>
      <c r="J12" s="13" t="n">
        <v>0</v>
      </c>
      <c r="K12" s="13" t="n">
        <v>0</v>
      </c>
      <c r="L12" s="39" t="str">
        <f aca="false">IF(K12&gt;0,"INVALID SELECTION",IF(I12=1,IF(J12=0,"AUTHORIZED / NOT ISSUED","ISSUED / UNSELECTED"),"HELD"))</f>
        <v>AUTHORIZED / NOT ISSUED</v>
      </c>
    </row>
    <row r="13" customFormat="false" ht="15" hidden="false" customHeight="false" outlineLevel="0" collapsed="false">
      <c r="A13" s="11" t="s">
        <v>259</v>
      </c>
      <c r="B13" s="11" t="s">
        <v>95</v>
      </c>
      <c r="C13" s="11" t="s">
        <v>96</v>
      </c>
      <c r="D13" s="36" t="n">
        <v>1</v>
      </c>
      <c r="E13" s="11" t="s">
        <v>260</v>
      </c>
      <c r="F13" s="11" t="s">
        <v>261</v>
      </c>
      <c r="G13" s="11" t="s">
        <v>262</v>
      </c>
      <c r="H13" s="11" t="s">
        <v>263</v>
      </c>
      <c r="I13" s="12" t="n">
        <f aca="false">'Representation Register'!H26</f>
        <v>1</v>
      </c>
      <c r="J13" s="13" t="n">
        <v>0</v>
      </c>
      <c r="K13" s="13" t="n">
        <v>0</v>
      </c>
      <c r="L13" s="39" t="str">
        <f aca="false">IF(K13&gt;0,"INVALID SELECTION",IF(I13=1,IF(J13=0,"AUTHORIZED / NOT ISSUED","ISSUED / UNSELECTED"),"HELD"))</f>
        <v>AUTHORIZED / NOT ISSUED</v>
      </c>
    </row>
    <row r="14" customFormat="false" ht="15" hidden="false" customHeight="false" outlineLevel="0" collapsed="false">
      <c r="A14" s="11" t="s">
        <v>264</v>
      </c>
      <c r="B14" s="11" t="s">
        <v>95</v>
      </c>
      <c r="C14" s="11" t="s">
        <v>96</v>
      </c>
      <c r="D14" s="36" t="n">
        <v>2</v>
      </c>
      <c r="E14" s="11" t="s">
        <v>265</v>
      </c>
      <c r="F14" s="11" t="s">
        <v>266</v>
      </c>
      <c r="G14" s="11" t="s">
        <v>267</v>
      </c>
      <c r="H14" s="11" t="s">
        <v>268</v>
      </c>
      <c r="I14" s="12" t="n">
        <f aca="false">'Representation Register'!H26</f>
        <v>1</v>
      </c>
      <c r="J14" s="13" t="n">
        <v>0</v>
      </c>
      <c r="K14" s="13" t="n">
        <v>0</v>
      </c>
      <c r="L14" s="39" t="str">
        <f aca="false">IF(K14&gt;0,"INVALID SELECTION",IF(I14=1,IF(J14=0,"AUTHORIZED / NOT ISSUED","ISSUED / UNSELECTED"),"HELD"))</f>
        <v>AUTHORIZED / NOT ISSUED</v>
      </c>
    </row>
    <row r="15" customFormat="false" ht="15" hidden="false" customHeight="false" outlineLevel="0" collapsed="false">
      <c r="A15" s="11" t="s">
        <v>269</v>
      </c>
      <c r="B15" s="11" t="s">
        <v>95</v>
      </c>
      <c r="C15" s="11" t="s">
        <v>96</v>
      </c>
      <c r="D15" s="36" t="n">
        <v>3</v>
      </c>
      <c r="E15" s="11" t="s">
        <v>270</v>
      </c>
      <c r="F15" s="11" t="s">
        <v>271</v>
      </c>
      <c r="G15" s="11" t="s">
        <v>272</v>
      </c>
      <c r="H15" s="11" t="s">
        <v>273</v>
      </c>
      <c r="I15" s="12" t="n">
        <f aca="false">'Representation Register'!H26</f>
        <v>1</v>
      </c>
      <c r="J15" s="13" t="n">
        <v>0</v>
      </c>
      <c r="K15" s="13" t="n">
        <v>0</v>
      </c>
      <c r="L15" s="39" t="str">
        <f aca="false">IF(K15&gt;0,"INVALID SELECTION",IF(I15=1,IF(J15=0,"AUTHORIZED / NOT ISSUED","ISSUED / UNSELECTED"),"HELD"))</f>
        <v>AUTHORIZED / NOT ISSUED</v>
      </c>
    </row>
    <row r="16" customFormat="false" ht="15" hidden="false" customHeight="false" outlineLevel="0" collapsed="false">
      <c r="A16" s="11" t="s">
        <v>274</v>
      </c>
      <c r="B16" s="11" t="s">
        <v>99</v>
      </c>
      <c r="C16" s="11" t="s">
        <v>100</v>
      </c>
      <c r="D16" s="36" t="n">
        <v>1</v>
      </c>
      <c r="E16" s="11" t="s">
        <v>275</v>
      </c>
      <c r="F16" s="11" t="s">
        <v>276</v>
      </c>
      <c r="G16" s="11" t="s">
        <v>277</v>
      </c>
      <c r="H16" s="11" t="s">
        <v>278</v>
      </c>
      <c r="I16" s="12" t="n">
        <f aca="false">'Representation Register'!H34</f>
        <v>1</v>
      </c>
      <c r="J16" s="13" t="n">
        <v>0</v>
      </c>
      <c r="K16" s="13" t="n">
        <v>0</v>
      </c>
      <c r="L16" s="39" t="str">
        <f aca="false">IF(K16&gt;0,"INVALID SELECTION",IF(I16=1,IF(J16=0,"AUTHORIZED / NOT ISSUED","ISSUED / UNSELECTED"),"HELD"))</f>
        <v>AUTHORIZED / NOT ISSUED</v>
      </c>
    </row>
    <row r="17" customFormat="false" ht="15" hidden="false" customHeight="false" outlineLevel="0" collapsed="false">
      <c r="A17" s="11" t="s">
        <v>279</v>
      </c>
      <c r="B17" s="11" t="s">
        <v>99</v>
      </c>
      <c r="C17" s="11" t="s">
        <v>100</v>
      </c>
      <c r="D17" s="36" t="n">
        <v>2</v>
      </c>
      <c r="E17" s="11" t="s">
        <v>280</v>
      </c>
      <c r="F17" s="11" t="s">
        <v>281</v>
      </c>
      <c r="G17" s="11" t="s">
        <v>282</v>
      </c>
      <c r="H17" s="11" t="s">
        <v>283</v>
      </c>
      <c r="I17" s="12" t="n">
        <f aca="false">'Representation Register'!H34</f>
        <v>1</v>
      </c>
      <c r="J17" s="13" t="n">
        <v>0</v>
      </c>
      <c r="K17" s="13" t="n">
        <v>0</v>
      </c>
      <c r="L17" s="39" t="str">
        <f aca="false">IF(K17&gt;0,"INVALID SELECTION",IF(I17=1,IF(J17=0,"AUTHORIZED / NOT ISSUED","ISSUED / UNSELECTED"),"HELD"))</f>
        <v>AUTHORIZED / NOT ISSUED</v>
      </c>
    </row>
    <row r="18" customFormat="false" ht="15" hidden="false" customHeight="false" outlineLevel="0" collapsed="false">
      <c r="A18" s="11" t="s">
        <v>284</v>
      </c>
      <c r="B18" s="11" t="s">
        <v>99</v>
      </c>
      <c r="C18" s="11" t="s">
        <v>100</v>
      </c>
      <c r="D18" s="36" t="n">
        <v>3</v>
      </c>
      <c r="E18" s="11" t="s">
        <v>285</v>
      </c>
      <c r="F18" s="11" t="s">
        <v>286</v>
      </c>
      <c r="G18" s="11" t="s">
        <v>287</v>
      </c>
      <c r="H18" s="11" t="s">
        <v>288</v>
      </c>
      <c r="I18" s="12" t="n">
        <f aca="false">'Representation Register'!H34</f>
        <v>1</v>
      </c>
      <c r="J18" s="13" t="n">
        <v>0</v>
      </c>
      <c r="K18" s="13" t="n">
        <v>0</v>
      </c>
      <c r="L18" s="39" t="str">
        <f aca="false">IF(K18&gt;0,"INVALID SELECTION",IF(I18=1,IF(J18=0,"AUTHORIZED / NOT ISSUED","ISSUED / UNSELECTED"),"HELD"))</f>
        <v>AUTHORIZED / NOT ISSUED</v>
      </c>
    </row>
    <row r="19" customFormat="false" ht="15" hidden="false" customHeight="false" outlineLevel="0" collapsed="false">
      <c r="A19" s="11" t="s">
        <v>289</v>
      </c>
      <c r="B19" s="11" t="s">
        <v>103</v>
      </c>
      <c r="C19" s="11" t="s">
        <v>104</v>
      </c>
      <c r="D19" s="36" t="n">
        <v>1</v>
      </c>
      <c r="E19" s="11" t="s">
        <v>290</v>
      </c>
      <c r="F19" s="11" t="s">
        <v>291</v>
      </c>
      <c r="G19" s="11" t="s">
        <v>292</v>
      </c>
      <c r="H19" s="11" t="s">
        <v>293</v>
      </c>
      <c r="I19" s="12" t="n">
        <f aca="false">'Representation Register'!H42</f>
        <v>1</v>
      </c>
      <c r="J19" s="13" t="n">
        <v>0</v>
      </c>
      <c r="K19" s="13" t="n">
        <v>0</v>
      </c>
      <c r="L19" s="39" t="str">
        <f aca="false">IF(K19&gt;0,"INVALID SELECTION",IF(I19=1,IF(J19=0,"AUTHORIZED / NOT ISSUED","ISSUED / UNSELECTED"),"HELD"))</f>
        <v>AUTHORIZED / NOT ISSUED</v>
      </c>
    </row>
    <row r="20" customFormat="false" ht="15" hidden="false" customHeight="false" outlineLevel="0" collapsed="false">
      <c r="A20" s="11" t="s">
        <v>294</v>
      </c>
      <c r="B20" s="11" t="s">
        <v>103</v>
      </c>
      <c r="C20" s="11" t="s">
        <v>104</v>
      </c>
      <c r="D20" s="36" t="n">
        <v>2</v>
      </c>
      <c r="E20" s="11" t="s">
        <v>295</v>
      </c>
      <c r="F20" s="11" t="s">
        <v>296</v>
      </c>
      <c r="G20" s="11" t="s">
        <v>297</v>
      </c>
      <c r="H20" s="11" t="s">
        <v>298</v>
      </c>
      <c r="I20" s="12" t="n">
        <f aca="false">'Representation Register'!H42</f>
        <v>1</v>
      </c>
      <c r="J20" s="13" t="n">
        <v>0</v>
      </c>
      <c r="K20" s="13" t="n">
        <v>0</v>
      </c>
      <c r="L20" s="39" t="str">
        <f aca="false">IF(K20&gt;0,"INVALID SELECTION",IF(I20=1,IF(J20=0,"AUTHORIZED / NOT ISSUED","ISSUED / UNSELECTED"),"HELD"))</f>
        <v>AUTHORIZED / NOT ISSUED</v>
      </c>
    </row>
    <row r="21" customFormat="false" ht="15" hidden="false" customHeight="false" outlineLevel="0" collapsed="false">
      <c r="A21" s="11" t="s">
        <v>299</v>
      </c>
      <c r="B21" s="11" t="s">
        <v>103</v>
      </c>
      <c r="C21" s="11" t="s">
        <v>104</v>
      </c>
      <c r="D21" s="36" t="n">
        <v>3</v>
      </c>
      <c r="E21" s="11" t="s">
        <v>300</v>
      </c>
      <c r="F21" s="11" t="s">
        <v>301</v>
      </c>
      <c r="G21" s="11" t="s">
        <v>302</v>
      </c>
      <c r="H21" s="11" t="s">
        <v>303</v>
      </c>
      <c r="I21" s="12" t="n">
        <f aca="false">'Representation Register'!H42</f>
        <v>1</v>
      </c>
      <c r="J21" s="13" t="n">
        <v>0</v>
      </c>
      <c r="K21" s="13" t="n">
        <v>0</v>
      </c>
      <c r="L21" s="39" t="str">
        <f aca="false">IF(K21&gt;0,"INVALID SELECTION",IF(I21=1,IF(J21=0,"AUTHORIZED / NOT ISSUED","ISSUED / UNSELECTED"),"HELD"))</f>
        <v>AUTHORIZED / NOT ISSUED</v>
      </c>
    </row>
    <row r="22" customFormat="false" ht="15" hidden="false" customHeight="false" outlineLevel="0" collapsed="false">
      <c r="A22" s="11" t="s">
        <v>304</v>
      </c>
      <c r="B22" s="11" t="s">
        <v>107</v>
      </c>
      <c r="C22" s="11" t="s">
        <v>108</v>
      </c>
      <c r="D22" s="36" t="n">
        <v>1</v>
      </c>
      <c r="E22" s="11" t="s">
        <v>305</v>
      </c>
      <c r="F22" s="11" t="s">
        <v>306</v>
      </c>
      <c r="G22" s="11" t="s">
        <v>307</v>
      </c>
      <c r="H22" s="11" t="s">
        <v>308</v>
      </c>
      <c r="I22" s="12" t="n">
        <f aca="false">'Representation Register'!H50</f>
        <v>1</v>
      </c>
      <c r="J22" s="13" t="n">
        <v>0</v>
      </c>
      <c r="K22" s="13" t="n">
        <v>0</v>
      </c>
      <c r="L22" s="39" t="str">
        <f aca="false">IF(K22&gt;0,"INVALID SELECTION",IF(I22=1,IF(J22=0,"AUTHORIZED / NOT ISSUED","ISSUED / UNSELECTED"),"HELD"))</f>
        <v>AUTHORIZED / NOT ISSUED</v>
      </c>
    </row>
    <row r="23" customFormat="false" ht="15" hidden="false" customHeight="false" outlineLevel="0" collapsed="false">
      <c r="A23" s="11" t="s">
        <v>309</v>
      </c>
      <c r="B23" s="11" t="s">
        <v>107</v>
      </c>
      <c r="C23" s="11" t="s">
        <v>108</v>
      </c>
      <c r="D23" s="36" t="n">
        <v>2</v>
      </c>
      <c r="E23" s="11" t="s">
        <v>310</v>
      </c>
      <c r="F23" s="11" t="s">
        <v>311</v>
      </c>
      <c r="G23" s="11" t="s">
        <v>312</v>
      </c>
      <c r="H23" s="11" t="s">
        <v>313</v>
      </c>
      <c r="I23" s="12" t="n">
        <f aca="false">'Representation Register'!H50</f>
        <v>1</v>
      </c>
      <c r="J23" s="13" t="n">
        <v>0</v>
      </c>
      <c r="K23" s="13" t="n">
        <v>0</v>
      </c>
      <c r="L23" s="39" t="str">
        <f aca="false">IF(K23&gt;0,"INVALID SELECTION",IF(I23=1,IF(J23=0,"AUTHORIZED / NOT ISSUED","ISSUED / UNSELECTED"),"HELD"))</f>
        <v>AUTHORIZED / NOT ISSUED</v>
      </c>
    </row>
    <row r="24" customFormat="false" ht="15" hidden="false" customHeight="false" outlineLevel="0" collapsed="false">
      <c r="A24" s="15" t="s">
        <v>314</v>
      </c>
      <c r="B24" s="15" t="s">
        <v>107</v>
      </c>
      <c r="C24" s="15" t="s">
        <v>108</v>
      </c>
      <c r="D24" s="40" t="n">
        <v>3</v>
      </c>
      <c r="E24" s="15" t="s">
        <v>315</v>
      </c>
      <c r="F24" s="15" t="s">
        <v>316</v>
      </c>
      <c r="G24" s="15" t="s">
        <v>317</v>
      </c>
      <c r="H24" s="15" t="s">
        <v>318</v>
      </c>
      <c r="I24" s="16" t="n">
        <f aca="false">'Representation Register'!H50</f>
        <v>1</v>
      </c>
      <c r="J24" s="17" t="n">
        <v>0</v>
      </c>
      <c r="K24" s="17" t="n">
        <v>0</v>
      </c>
      <c r="L24" s="43" t="str">
        <f aca="false">IF(K24&gt;0,"INVALID SELECTION",IF(I24=1,IF(J24=0,"AUTHORIZED / NOT ISSUED","ISSUED / UNSELECTED"),"HELD"))</f>
        <v>AUTHORIZED / NOT ISSUED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  <col collapsed="false" customWidth="true" hidden="false" outlineLevel="0" max="3" min="3" style="0" width="62"/>
    <col collapsed="false" customWidth="true" hidden="false" outlineLevel="0" max="4" min="4" style="0" width="24"/>
    <col collapsed="false" customWidth="true" hidden="false" outlineLevel="0" max="5" min="5" style="0" width="22"/>
  </cols>
  <sheetData>
    <row r="2" customFormat="false" ht="24" hidden="false" customHeight="true" outlineLevel="0" collapsed="false">
      <c r="A2" s="1" t="s">
        <v>319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8" t="s">
        <v>320</v>
      </c>
      <c r="B4" s="18"/>
      <c r="C4" s="18"/>
      <c r="D4" s="18"/>
      <c r="E4" s="18"/>
    </row>
    <row r="5" customFormat="false" ht="15" hidden="false" customHeight="false" outlineLevel="0" collapsed="false">
      <c r="A5" s="6"/>
      <c r="B5" s="6"/>
      <c r="C5" s="6"/>
      <c r="D5" s="6"/>
      <c r="E5" s="6"/>
    </row>
    <row r="6" customFormat="false" ht="24" hidden="false" customHeight="true" outlineLevel="0" collapsed="false">
      <c r="A6" s="19" t="s">
        <v>321</v>
      </c>
      <c r="B6" s="20" t="s">
        <v>322</v>
      </c>
      <c r="C6" s="20" t="s">
        <v>323</v>
      </c>
      <c r="D6" s="20" t="s">
        <v>324</v>
      </c>
      <c r="E6" s="21" t="s">
        <v>325</v>
      </c>
    </row>
    <row r="7" customFormat="false" ht="15" hidden="false" customHeight="false" outlineLevel="0" collapsed="false">
      <c r="A7" s="7" t="s">
        <v>326</v>
      </c>
      <c r="B7" s="7" t="s">
        <v>327</v>
      </c>
      <c r="C7" s="7" t="s">
        <v>328</v>
      </c>
      <c r="D7" s="7" t="s">
        <v>139</v>
      </c>
      <c r="E7" s="7" t="s">
        <v>329</v>
      </c>
    </row>
    <row r="8" customFormat="false" ht="15" hidden="false" customHeight="false" outlineLevel="0" collapsed="false">
      <c r="A8" s="11" t="s">
        <v>330</v>
      </c>
      <c r="B8" s="11" t="s">
        <v>331</v>
      </c>
      <c r="C8" s="11" t="s">
        <v>332</v>
      </c>
      <c r="D8" s="11" t="s">
        <v>139</v>
      </c>
      <c r="E8" s="11" t="s">
        <v>329</v>
      </c>
    </row>
    <row r="9" customFormat="false" ht="15" hidden="false" customHeight="false" outlineLevel="0" collapsed="false">
      <c r="A9" s="11" t="s">
        <v>333</v>
      </c>
      <c r="B9" s="11" t="s">
        <v>334</v>
      </c>
      <c r="C9" s="11" t="s">
        <v>335</v>
      </c>
      <c r="D9" s="11" t="s">
        <v>336</v>
      </c>
      <c r="E9" s="11" t="s">
        <v>337</v>
      </c>
    </row>
    <row r="10" customFormat="false" ht="15" hidden="false" customHeight="false" outlineLevel="0" collapsed="false">
      <c r="A10" s="11" t="s">
        <v>338</v>
      </c>
      <c r="B10" s="11" t="s">
        <v>339</v>
      </c>
      <c r="C10" s="11" t="s">
        <v>340</v>
      </c>
      <c r="D10" s="11" t="s">
        <v>336</v>
      </c>
      <c r="E10" s="11" t="s">
        <v>337</v>
      </c>
    </row>
    <row r="11" customFormat="false" ht="15" hidden="false" customHeight="false" outlineLevel="0" collapsed="false">
      <c r="A11" s="11" t="s">
        <v>341</v>
      </c>
      <c r="B11" s="11" t="s">
        <v>342</v>
      </c>
      <c r="C11" s="11" t="s">
        <v>343</v>
      </c>
      <c r="D11" s="11" t="s">
        <v>336</v>
      </c>
      <c r="E11" s="11" t="s">
        <v>344</v>
      </c>
    </row>
    <row r="12" customFormat="false" ht="15" hidden="false" customHeight="false" outlineLevel="0" collapsed="false">
      <c r="A12" s="11" t="s">
        <v>345</v>
      </c>
      <c r="B12" s="11" t="s">
        <v>346</v>
      </c>
      <c r="C12" s="11" t="s">
        <v>347</v>
      </c>
      <c r="D12" s="11" t="s">
        <v>348</v>
      </c>
      <c r="E12" s="11" t="s">
        <v>349</v>
      </c>
    </row>
    <row r="13" customFormat="false" ht="15" hidden="false" customHeight="false" outlineLevel="0" collapsed="false">
      <c r="A13" s="11" t="s">
        <v>350</v>
      </c>
      <c r="B13" s="11" t="s">
        <v>351</v>
      </c>
      <c r="C13" s="11" t="s">
        <v>352</v>
      </c>
      <c r="D13" s="11" t="s">
        <v>353</v>
      </c>
      <c r="E13" s="11" t="s">
        <v>354</v>
      </c>
    </row>
    <row r="14" customFormat="false" ht="15" hidden="false" customHeight="false" outlineLevel="0" collapsed="false">
      <c r="A14" s="11" t="s">
        <v>355</v>
      </c>
      <c r="B14" s="11" t="s">
        <v>356</v>
      </c>
      <c r="C14" s="11" t="s">
        <v>357</v>
      </c>
      <c r="D14" s="11" t="s">
        <v>358</v>
      </c>
      <c r="E14" s="11" t="s">
        <v>337</v>
      </c>
    </row>
    <row r="15" customFormat="false" ht="15" hidden="false" customHeight="false" outlineLevel="0" collapsed="false">
      <c r="A15" s="11" t="s">
        <v>359</v>
      </c>
      <c r="B15" s="11" t="s">
        <v>360</v>
      </c>
      <c r="C15" s="11" t="s">
        <v>361</v>
      </c>
      <c r="D15" s="11" t="s">
        <v>362</v>
      </c>
      <c r="E15" s="11" t="s">
        <v>354</v>
      </c>
    </row>
    <row r="16" customFormat="false" ht="15" hidden="false" customHeight="false" outlineLevel="0" collapsed="false">
      <c r="A16" s="11" t="s">
        <v>363</v>
      </c>
      <c r="B16" s="11" t="s">
        <v>364</v>
      </c>
      <c r="C16" s="11" t="s">
        <v>365</v>
      </c>
      <c r="D16" s="11" t="s">
        <v>139</v>
      </c>
      <c r="E16" s="11" t="s">
        <v>354</v>
      </c>
    </row>
    <row r="17" customFormat="false" ht="15" hidden="false" customHeight="false" outlineLevel="0" collapsed="false">
      <c r="A17" s="11" t="s">
        <v>366</v>
      </c>
      <c r="B17" s="11" t="s">
        <v>367</v>
      </c>
      <c r="C17" s="11" t="s">
        <v>368</v>
      </c>
      <c r="D17" s="11" t="s">
        <v>353</v>
      </c>
      <c r="E17" s="11" t="s">
        <v>344</v>
      </c>
    </row>
    <row r="18" customFormat="false" ht="15" hidden="false" customHeight="false" outlineLevel="0" collapsed="false">
      <c r="A18" s="11" t="s">
        <v>369</v>
      </c>
      <c r="B18" s="11" t="s">
        <v>370</v>
      </c>
      <c r="C18" s="11" t="s">
        <v>371</v>
      </c>
      <c r="D18" s="11" t="s">
        <v>362</v>
      </c>
      <c r="E18" s="11" t="s">
        <v>354</v>
      </c>
    </row>
    <row r="19" customFormat="false" ht="15" hidden="false" customHeight="false" outlineLevel="0" collapsed="false">
      <c r="A19" s="11" t="s">
        <v>372</v>
      </c>
      <c r="B19" s="11" t="s">
        <v>373</v>
      </c>
      <c r="C19" s="11" t="s">
        <v>374</v>
      </c>
      <c r="D19" s="11" t="s">
        <v>139</v>
      </c>
      <c r="E19" s="11" t="s">
        <v>375</v>
      </c>
    </row>
    <row r="20" customFormat="false" ht="15" hidden="false" customHeight="false" outlineLevel="0" collapsed="false">
      <c r="A20" s="15" t="s">
        <v>376</v>
      </c>
      <c r="B20" s="15" t="s">
        <v>377</v>
      </c>
      <c r="C20" s="15" t="s">
        <v>378</v>
      </c>
      <c r="D20" s="15" t="s">
        <v>348</v>
      </c>
      <c r="E20" s="15" t="s">
        <v>349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6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379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8" t="s">
        <v>380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</row>
    <row r="6" customFormat="false" ht="24" hidden="false" customHeight="true" outlineLevel="0" collapsed="false">
      <c r="A6" s="19" t="s">
        <v>1</v>
      </c>
      <c r="B6" s="20" t="s">
        <v>22</v>
      </c>
      <c r="C6" s="20" t="s">
        <v>381</v>
      </c>
      <c r="D6" s="20" t="s">
        <v>382</v>
      </c>
      <c r="E6" s="20" t="s">
        <v>383</v>
      </c>
      <c r="F6" s="20" t="s">
        <v>384</v>
      </c>
      <c r="G6" s="20" t="s">
        <v>385</v>
      </c>
      <c r="H6" s="20" t="s">
        <v>386</v>
      </c>
      <c r="I6" s="21" t="s">
        <v>4</v>
      </c>
    </row>
    <row r="7" customFormat="false" ht="15" hidden="false" customHeight="false" outlineLevel="0" collapsed="false">
      <c r="A7" s="7" t="s">
        <v>387</v>
      </c>
      <c r="B7" s="7" t="s">
        <v>124</v>
      </c>
      <c r="C7" s="32" t="n">
        <v>0</v>
      </c>
      <c r="D7" s="32" t="s">
        <v>388</v>
      </c>
      <c r="E7" s="7" t="s">
        <v>389</v>
      </c>
      <c r="F7" s="32" t="n">
        <v>0</v>
      </c>
      <c r="G7" s="33" t="n">
        <f aca="false">IF(C7&gt;=F7,1,0)</f>
        <v>1</v>
      </c>
      <c r="H7" s="7" t="s">
        <v>390</v>
      </c>
      <c r="I7" s="8" t="str">
        <f aca="false">IF(G7=1,"PERMITTED","PROHIBITED")</f>
        <v>PERMITTED</v>
      </c>
    </row>
    <row r="8" customFormat="false" ht="15" hidden="false" customHeight="false" outlineLevel="0" collapsed="false">
      <c r="A8" s="11" t="s">
        <v>391</v>
      </c>
      <c r="B8" s="11" t="s">
        <v>124</v>
      </c>
      <c r="C8" s="36" t="n">
        <v>0</v>
      </c>
      <c r="D8" s="36" t="s">
        <v>392</v>
      </c>
      <c r="E8" s="11" t="s">
        <v>393</v>
      </c>
      <c r="F8" s="36" t="n">
        <v>1</v>
      </c>
      <c r="G8" s="37" t="n">
        <f aca="false">IF(C8&gt;=F8,1,0)</f>
        <v>0</v>
      </c>
      <c r="H8" s="11" t="s">
        <v>394</v>
      </c>
      <c r="I8" s="12" t="str">
        <f aca="false">IF(G8=1,"PERMITTED","PROHIBITED")</f>
        <v>PROHIBITED</v>
      </c>
    </row>
    <row r="9" customFormat="false" ht="15" hidden="false" customHeight="false" outlineLevel="0" collapsed="false">
      <c r="A9" s="11" t="s">
        <v>395</v>
      </c>
      <c r="B9" s="11" t="s">
        <v>124</v>
      </c>
      <c r="C9" s="36" t="n">
        <v>0</v>
      </c>
      <c r="D9" s="36" t="s">
        <v>396</v>
      </c>
      <c r="E9" s="11" t="s">
        <v>397</v>
      </c>
      <c r="F9" s="36" t="n">
        <v>2</v>
      </c>
      <c r="G9" s="37" t="n">
        <f aca="false">IF(C9&gt;=F9,1,0)</f>
        <v>0</v>
      </c>
      <c r="H9" s="11" t="s">
        <v>398</v>
      </c>
      <c r="I9" s="12" t="str">
        <f aca="false">IF(G9=1,"PERMITTED","PROHIBITED")</f>
        <v>PROHIBITED</v>
      </c>
    </row>
    <row r="10" customFormat="false" ht="15" hidden="false" customHeight="false" outlineLevel="0" collapsed="false">
      <c r="A10" s="11" t="s">
        <v>399</v>
      </c>
      <c r="B10" s="11" t="s">
        <v>124</v>
      </c>
      <c r="C10" s="36" t="n">
        <v>0</v>
      </c>
      <c r="D10" s="36" t="s">
        <v>400</v>
      </c>
      <c r="E10" s="11" t="s">
        <v>401</v>
      </c>
      <c r="F10" s="36" t="n">
        <v>3</v>
      </c>
      <c r="G10" s="37" t="n">
        <f aca="false">IF(C10&gt;=F10,1,0)</f>
        <v>0</v>
      </c>
      <c r="H10" s="11" t="s">
        <v>402</v>
      </c>
      <c r="I10" s="12" t="str">
        <f aca="false">IF(G10=1,"PERMITTED","PROHIBITED")</f>
        <v>PROHIBITED</v>
      </c>
    </row>
    <row r="11" customFormat="false" ht="15" hidden="false" customHeight="false" outlineLevel="0" collapsed="false">
      <c r="A11" s="11" t="s">
        <v>403</v>
      </c>
      <c r="B11" s="11" t="s">
        <v>124</v>
      </c>
      <c r="C11" s="36" t="n">
        <v>0</v>
      </c>
      <c r="D11" s="36" t="s">
        <v>404</v>
      </c>
      <c r="E11" s="11" t="s">
        <v>405</v>
      </c>
      <c r="F11" s="36" t="n">
        <v>4</v>
      </c>
      <c r="G11" s="37" t="n">
        <f aca="false">IF(C11&gt;=F11,1,0)</f>
        <v>0</v>
      </c>
      <c r="H11" s="11" t="s">
        <v>406</v>
      </c>
      <c r="I11" s="12" t="str">
        <f aca="false">IF(G11=1,"PERMITTED","PROHIBITED")</f>
        <v>PROHIBITED</v>
      </c>
    </row>
    <row r="12" customFormat="false" ht="15" hidden="false" customHeight="false" outlineLevel="0" collapsed="false">
      <c r="A12" s="11" t="s">
        <v>407</v>
      </c>
      <c r="B12" s="11" t="s">
        <v>124</v>
      </c>
      <c r="C12" s="36" t="n">
        <v>0</v>
      </c>
      <c r="D12" s="36" t="s">
        <v>408</v>
      </c>
      <c r="E12" s="11" t="s">
        <v>409</v>
      </c>
      <c r="F12" s="36" t="n">
        <v>5</v>
      </c>
      <c r="G12" s="37" t="n">
        <f aca="false">IF(C12&gt;=F12,1,0)</f>
        <v>0</v>
      </c>
      <c r="H12" s="11" t="s">
        <v>410</v>
      </c>
      <c r="I12" s="12" t="str">
        <f aca="false">IF(G12=1,"PERMITTED","PROHIBITED")</f>
        <v>PROHIBITED</v>
      </c>
    </row>
    <row r="13" customFormat="false" ht="15" hidden="false" customHeight="false" outlineLevel="0" collapsed="false">
      <c r="A13" s="11" t="s">
        <v>411</v>
      </c>
      <c r="B13" s="11" t="s">
        <v>124</v>
      </c>
      <c r="C13" s="36" t="n">
        <v>0</v>
      </c>
      <c r="D13" s="36" t="s">
        <v>412</v>
      </c>
      <c r="E13" s="11" t="s">
        <v>413</v>
      </c>
      <c r="F13" s="36" t="n">
        <v>6</v>
      </c>
      <c r="G13" s="37" t="n">
        <f aca="false">IF(C13&gt;=F13,1,0)</f>
        <v>0</v>
      </c>
      <c r="H13" s="11" t="s">
        <v>414</v>
      </c>
      <c r="I13" s="12" t="str">
        <f aca="false">IF(G13=1,"PERMITTED","PROHIBITED")</f>
        <v>PROHIBITED</v>
      </c>
    </row>
    <row r="14" customFormat="false" ht="15" hidden="false" customHeight="false" outlineLevel="0" collapsed="false">
      <c r="A14" s="11" t="s">
        <v>415</v>
      </c>
      <c r="B14" s="11" t="s">
        <v>124</v>
      </c>
      <c r="C14" s="36" t="n">
        <v>0</v>
      </c>
      <c r="D14" s="36" t="s">
        <v>416</v>
      </c>
      <c r="E14" s="11" t="s">
        <v>417</v>
      </c>
      <c r="F14" s="36" t="n">
        <v>7</v>
      </c>
      <c r="G14" s="37" t="n">
        <f aca="false">IF(C14&gt;=F14,1,0)</f>
        <v>0</v>
      </c>
      <c r="H14" s="11" t="s">
        <v>418</v>
      </c>
      <c r="I14" s="12" t="str">
        <f aca="false">IF(G14=1,"PERMITTED","PROHIBITED")</f>
        <v>PROHIBITED</v>
      </c>
    </row>
    <row r="15" customFormat="false" ht="15" hidden="false" customHeight="false" outlineLevel="0" collapsed="false">
      <c r="A15" s="11" t="s">
        <v>419</v>
      </c>
      <c r="B15" s="11" t="s">
        <v>129</v>
      </c>
      <c r="C15" s="36" t="n">
        <v>1</v>
      </c>
      <c r="D15" s="36" t="s">
        <v>388</v>
      </c>
      <c r="E15" s="11" t="s">
        <v>389</v>
      </c>
      <c r="F15" s="36" t="n">
        <v>0</v>
      </c>
      <c r="G15" s="37" t="n">
        <f aca="false">IF(C15&gt;=F15,1,0)</f>
        <v>1</v>
      </c>
      <c r="H15" s="11" t="s">
        <v>390</v>
      </c>
      <c r="I15" s="12" t="str">
        <f aca="false">IF(G15=1,"PERMITTED","PROHIBITED")</f>
        <v>PERMITTED</v>
      </c>
    </row>
    <row r="16" customFormat="false" ht="15" hidden="false" customHeight="false" outlineLevel="0" collapsed="false">
      <c r="A16" s="11" t="s">
        <v>420</v>
      </c>
      <c r="B16" s="11" t="s">
        <v>129</v>
      </c>
      <c r="C16" s="36" t="n">
        <v>1</v>
      </c>
      <c r="D16" s="36" t="s">
        <v>392</v>
      </c>
      <c r="E16" s="11" t="s">
        <v>393</v>
      </c>
      <c r="F16" s="36" t="n">
        <v>1</v>
      </c>
      <c r="G16" s="37" t="n">
        <f aca="false">IF(C16&gt;=F16,1,0)</f>
        <v>1</v>
      </c>
      <c r="H16" s="11" t="s">
        <v>394</v>
      </c>
      <c r="I16" s="12" t="str">
        <f aca="false">IF(G16=1,"PERMITTED","PROHIBITED")</f>
        <v>PERMITTED</v>
      </c>
    </row>
    <row r="17" customFormat="false" ht="15" hidden="false" customHeight="false" outlineLevel="0" collapsed="false">
      <c r="A17" s="11" t="s">
        <v>421</v>
      </c>
      <c r="B17" s="11" t="s">
        <v>129</v>
      </c>
      <c r="C17" s="36" t="n">
        <v>1</v>
      </c>
      <c r="D17" s="36" t="s">
        <v>396</v>
      </c>
      <c r="E17" s="11" t="s">
        <v>397</v>
      </c>
      <c r="F17" s="36" t="n">
        <v>2</v>
      </c>
      <c r="G17" s="37" t="n">
        <f aca="false">IF(C17&gt;=F17,1,0)</f>
        <v>0</v>
      </c>
      <c r="H17" s="11" t="s">
        <v>398</v>
      </c>
      <c r="I17" s="12" t="str">
        <f aca="false">IF(G17=1,"PERMITTED","PROHIBITED")</f>
        <v>PROHIBITED</v>
      </c>
    </row>
    <row r="18" customFormat="false" ht="15" hidden="false" customHeight="false" outlineLevel="0" collapsed="false">
      <c r="A18" s="11" t="s">
        <v>422</v>
      </c>
      <c r="B18" s="11" t="s">
        <v>129</v>
      </c>
      <c r="C18" s="36" t="n">
        <v>1</v>
      </c>
      <c r="D18" s="36" t="s">
        <v>400</v>
      </c>
      <c r="E18" s="11" t="s">
        <v>401</v>
      </c>
      <c r="F18" s="36" t="n">
        <v>3</v>
      </c>
      <c r="G18" s="37" t="n">
        <f aca="false">IF(C18&gt;=F18,1,0)</f>
        <v>0</v>
      </c>
      <c r="H18" s="11" t="s">
        <v>402</v>
      </c>
      <c r="I18" s="12" t="str">
        <f aca="false">IF(G18=1,"PERMITTED","PROHIBITED")</f>
        <v>PROHIBITED</v>
      </c>
    </row>
    <row r="19" customFormat="false" ht="15" hidden="false" customHeight="false" outlineLevel="0" collapsed="false">
      <c r="A19" s="11" t="s">
        <v>423</v>
      </c>
      <c r="B19" s="11" t="s">
        <v>129</v>
      </c>
      <c r="C19" s="36" t="n">
        <v>1</v>
      </c>
      <c r="D19" s="36" t="s">
        <v>404</v>
      </c>
      <c r="E19" s="11" t="s">
        <v>405</v>
      </c>
      <c r="F19" s="36" t="n">
        <v>4</v>
      </c>
      <c r="G19" s="37" t="n">
        <f aca="false">IF(C19&gt;=F19,1,0)</f>
        <v>0</v>
      </c>
      <c r="H19" s="11" t="s">
        <v>406</v>
      </c>
      <c r="I19" s="12" t="str">
        <f aca="false">IF(G19=1,"PERMITTED","PROHIBITED")</f>
        <v>PROHIBITED</v>
      </c>
    </row>
    <row r="20" customFormat="false" ht="15" hidden="false" customHeight="false" outlineLevel="0" collapsed="false">
      <c r="A20" s="11" t="s">
        <v>424</v>
      </c>
      <c r="B20" s="11" t="s">
        <v>129</v>
      </c>
      <c r="C20" s="36" t="n">
        <v>1</v>
      </c>
      <c r="D20" s="36" t="s">
        <v>408</v>
      </c>
      <c r="E20" s="11" t="s">
        <v>409</v>
      </c>
      <c r="F20" s="36" t="n">
        <v>5</v>
      </c>
      <c r="G20" s="37" t="n">
        <f aca="false">IF(C20&gt;=F20,1,0)</f>
        <v>0</v>
      </c>
      <c r="H20" s="11" t="s">
        <v>410</v>
      </c>
      <c r="I20" s="12" t="str">
        <f aca="false">IF(G20=1,"PERMITTED","PROHIBITED")</f>
        <v>PROHIBITED</v>
      </c>
    </row>
    <row r="21" customFormat="false" ht="15" hidden="false" customHeight="false" outlineLevel="0" collapsed="false">
      <c r="A21" s="11" t="s">
        <v>425</v>
      </c>
      <c r="B21" s="11" t="s">
        <v>129</v>
      </c>
      <c r="C21" s="36" t="n">
        <v>1</v>
      </c>
      <c r="D21" s="36" t="s">
        <v>412</v>
      </c>
      <c r="E21" s="11" t="s">
        <v>413</v>
      </c>
      <c r="F21" s="36" t="n">
        <v>6</v>
      </c>
      <c r="G21" s="37" t="n">
        <f aca="false">IF(C21&gt;=F21,1,0)</f>
        <v>0</v>
      </c>
      <c r="H21" s="11" t="s">
        <v>414</v>
      </c>
      <c r="I21" s="12" t="str">
        <f aca="false">IF(G21=1,"PERMITTED","PROHIBITED")</f>
        <v>PROHIBITED</v>
      </c>
    </row>
    <row r="22" customFormat="false" ht="15" hidden="false" customHeight="false" outlineLevel="0" collapsed="false">
      <c r="A22" s="11" t="s">
        <v>426</v>
      </c>
      <c r="B22" s="11" t="s">
        <v>129</v>
      </c>
      <c r="C22" s="36" t="n">
        <v>1</v>
      </c>
      <c r="D22" s="36" t="s">
        <v>416</v>
      </c>
      <c r="E22" s="11" t="s">
        <v>417</v>
      </c>
      <c r="F22" s="36" t="n">
        <v>7</v>
      </c>
      <c r="G22" s="37" t="n">
        <f aca="false">IF(C22&gt;=F22,1,0)</f>
        <v>0</v>
      </c>
      <c r="H22" s="11" t="s">
        <v>418</v>
      </c>
      <c r="I22" s="12" t="str">
        <f aca="false">IF(G22=1,"PERMITTED","PROHIBITED")</f>
        <v>PROHIBITED</v>
      </c>
    </row>
    <row r="23" customFormat="false" ht="15" hidden="false" customHeight="false" outlineLevel="0" collapsed="false">
      <c r="A23" s="11" t="s">
        <v>427</v>
      </c>
      <c r="B23" s="11" t="s">
        <v>134</v>
      </c>
      <c r="C23" s="36" t="n">
        <v>2</v>
      </c>
      <c r="D23" s="36" t="s">
        <v>388</v>
      </c>
      <c r="E23" s="11" t="s">
        <v>389</v>
      </c>
      <c r="F23" s="36" t="n">
        <v>0</v>
      </c>
      <c r="G23" s="37" t="n">
        <f aca="false">IF(C23&gt;=F23,1,0)</f>
        <v>1</v>
      </c>
      <c r="H23" s="11" t="s">
        <v>390</v>
      </c>
      <c r="I23" s="12" t="str">
        <f aca="false">IF(G23=1,"PERMITTED","PROHIBITED")</f>
        <v>PERMITTED</v>
      </c>
    </row>
    <row r="24" customFormat="false" ht="15" hidden="false" customHeight="false" outlineLevel="0" collapsed="false">
      <c r="A24" s="11" t="s">
        <v>428</v>
      </c>
      <c r="B24" s="11" t="s">
        <v>134</v>
      </c>
      <c r="C24" s="36" t="n">
        <v>2</v>
      </c>
      <c r="D24" s="36" t="s">
        <v>392</v>
      </c>
      <c r="E24" s="11" t="s">
        <v>393</v>
      </c>
      <c r="F24" s="36" t="n">
        <v>1</v>
      </c>
      <c r="G24" s="37" t="n">
        <f aca="false">IF(C24&gt;=F24,1,0)</f>
        <v>1</v>
      </c>
      <c r="H24" s="11" t="s">
        <v>394</v>
      </c>
      <c r="I24" s="12" t="str">
        <f aca="false">IF(G24=1,"PERMITTED","PROHIBITED")</f>
        <v>PERMITTED</v>
      </c>
    </row>
    <row r="25" customFormat="false" ht="15" hidden="false" customHeight="false" outlineLevel="0" collapsed="false">
      <c r="A25" s="11" t="s">
        <v>429</v>
      </c>
      <c r="B25" s="11" t="s">
        <v>134</v>
      </c>
      <c r="C25" s="36" t="n">
        <v>2</v>
      </c>
      <c r="D25" s="36" t="s">
        <v>396</v>
      </c>
      <c r="E25" s="11" t="s">
        <v>397</v>
      </c>
      <c r="F25" s="36" t="n">
        <v>2</v>
      </c>
      <c r="G25" s="37" t="n">
        <f aca="false">IF(C25&gt;=F25,1,0)</f>
        <v>1</v>
      </c>
      <c r="H25" s="11" t="s">
        <v>398</v>
      </c>
      <c r="I25" s="12" t="str">
        <f aca="false">IF(G25=1,"PERMITTED","PROHIBITED")</f>
        <v>PERMITTED</v>
      </c>
    </row>
    <row r="26" customFormat="false" ht="15" hidden="false" customHeight="false" outlineLevel="0" collapsed="false">
      <c r="A26" s="11" t="s">
        <v>430</v>
      </c>
      <c r="B26" s="11" t="s">
        <v>134</v>
      </c>
      <c r="C26" s="36" t="n">
        <v>2</v>
      </c>
      <c r="D26" s="36" t="s">
        <v>400</v>
      </c>
      <c r="E26" s="11" t="s">
        <v>401</v>
      </c>
      <c r="F26" s="36" t="n">
        <v>3</v>
      </c>
      <c r="G26" s="37" t="n">
        <f aca="false">IF(C26&gt;=F26,1,0)</f>
        <v>0</v>
      </c>
      <c r="H26" s="11" t="s">
        <v>402</v>
      </c>
      <c r="I26" s="12" t="str">
        <f aca="false">IF(G26=1,"PERMITTED","PROHIBITED")</f>
        <v>PROHIBITED</v>
      </c>
    </row>
    <row r="27" customFormat="false" ht="15" hidden="false" customHeight="false" outlineLevel="0" collapsed="false">
      <c r="A27" s="11" t="s">
        <v>431</v>
      </c>
      <c r="B27" s="11" t="s">
        <v>134</v>
      </c>
      <c r="C27" s="36" t="n">
        <v>2</v>
      </c>
      <c r="D27" s="36" t="s">
        <v>404</v>
      </c>
      <c r="E27" s="11" t="s">
        <v>405</v>
      </c>
      <c r="F27" s="36" t="n">
        <v>4</v>
      </c>
      <c r="G27" s="37" t="n">
        <f aca="false">IF(C27&gt;=F27,1,0)</f>
        <v>0</v>
      </c>
      <c r="H27" s="11" t="s">
        <v>406</v>
      </c>
      <c r="I27" s="12" t="str">
        <f aca="false">IF(G27=1,"PERMITTED","PROHIBITED")</f>
        <v>PROHIBITED</v>
      </c>
    </row>
    <row r="28" customFormat="false" ht="15" hidden="false" customHeight="false" outlineLevel="0" collapsed="false">
      <c r="A28" s="11" t="s">
        <v>432</v>
      </c>
      <c r="B28" s="11" t="s">
        <v>134</v>
      </c>
      <c r="C28" s="36" t="n">
        <v>2</v>
      </c>
      <c r="D28" s="36" t="s">
        <v>408</v>
      </c>
      <c r="E28" s="11" t="s">
        <v>409</v>
      </c>
      <c r="F28" s="36" t="n">
        <v>5</v>
      </c>
      <c r="G28" s="37" t="n">
        <f aca="false">IF(C28&gt;=F28,1,0)</f>
        <v>0</v>
      </c>
      <c r="H28" s="11" t="s">
        <v>410</v>
      </c>
      <c r="I28" s="12" t="str">
        <f aca="false">IF(G28=1,"PERMITTED","PROHIBITED")</f>
        <v>PROHIBITED</v>
      </c>
    </row>
    <row r="29" customFormat="false" ht="15" hidden="false" customHeight="false" outlineLevel="0" collapsed="false">
      <c r="A29" s="11" t="s">
        <v>433</v>
      </c>
      <c r="B29" s="11" t="s">
        <v>134</v>
      </c>
      <c r="C29" s="36" t="n">
        <v>2</v>
      </c>
      <c r="D29" s="36" t="s">
        <v>412</v>
      </c>
      <c r="E29" s="11" t="s">
        <v>413</v>
      </c>
      <c r="F29" s="36" t="n">
        <v>6</v>
      </c>
      <c r="G29" s="37" t="n">
        <f aca="false">IF(C29&gt;=F29,1,0)</f>
        <v>0</v>
      </c>
      <c r="H29" s="11" t="s">
        <v>414</v>
      </c>
      <c r="I29" s="12" t="str">
        <f aca="false">IF(G29=1,"PERMITTED","PROHIBITED")</f>
        <v>PROHIBITED</v>
      </c>
    </row>
    <row r="30" customFormat="false" ht="15" hidden="false" customHeight="false" outlineLevel="0" collapsed="false">
      <c r="A30" s="11" t="s">
        <v>434</v>
      </c>
      <c r="B30" s="11" t="s">
        <v>134</v>
      </c>
      <c r="C30" s="36" t="n">
        <v>2</v>
      </c>
      <c r="D30" s="36" t="s">
        <v>416</v>
      </c>
      <c r="E30" s="11" t="s">
        <v>417</v>
      </c>
      <c r="F30" s="36" t="n">
        <v>7</v>
      </c>
      <c r="G30" s="37" t="n">
        <f aca="false">IF(C30&gt;=F30,1,0)</f>
        <v>0</v>
      </c>
      <c r="H30" s="11" t="s">
        <v>418</v>
      </c>
      <c r="I30" s="12" t="str">
        <f aca="false">IF(G30=1,"PERMITTED","PROHIBITED")</f>
        <v>PROHIBITED</v>
      </c>
    </row>
    <row r="31" customFormat="false" ht="15" hidden="false" customHeight="false" outlineLevel="0" collapsed="false">
      <c r="A31" s="11" t="s">
        <v>435</v>
      </c>
      <c r="B31" s="11" t="s">
        <v>139</v>
      </c>
      <c r="C31" s="36" t="n">
        <v>3</v>
      </c>
      <c r="D31" s="36" t="s">
        <v>388</v>
      </c>
      <c r="E31" s="11" t="s">
        <v>389</v>
      </c>
      <c r="F31" s="36" t="n">
        <v>0</v>
      </c>
      <c r="G31" s="37" t="n">
        <f aca="false">IF(C31&gt;=F31,1,0)</f>
        <v>1</v>
      </c>
      <c r="H31" s="11" t="s">
        <v>390</v>
      </c>
      <c r="I31" s="12" t="str">
        <f aca="false">IF(G31=1,"PERMITTED","PROHIBITED")</f>
        <v>PERMITTED</v>
      </c>
    </row>
    <row r="32" customFormat="false" ht="15" hidden="false" customHeight="false" outlineLevel="0" collapsed="false">
      <c r="A32" s="11" t="s">
        <v>436</v>
      </c>
      <c r="B32" s="11" t="s">
        <v>139</v>
      </c>
      <c r="C32" s="36" t="n">
        <v>3</v>
      </c>
      <c r="D32" s="36" t="s">
        <v>392</v>
      </c>
      <c r="E32" s="11" t="s">
        <v>393</v>
      </c>
      <c r="F32" s="36" t="n">
        <v>1</v>
      </c>
      <c r="G32" s="37" t="n">
        <f aca="false">IF(C32&gt;=F32,1,0)</f>
        <v>1</v>
      </c>
      <c r="H32" s="11" t="s">
        <v>394</v>
      </c>
      <c r="I32" s="12" t="str">
        <f aca="false">IF(G32=1,"PERMITTED","PROHIBITED")</f>
        <v>PERMITTED</v>
      </c>
    </row>
    <row r="33" customFormat="false" ht="15" hidden="false" customHeight="false" outlineLevel="0" collapsed="false">
      <c r="A33" s="11" t="s">
        <v>437</v>
      </c>
      <c r="B33" s="11" t="s">
        <v>139</v>
      </c>
      <c r="C33" s="36" t="n">
        <v>3</v>
      </c>
      <c r="D33" s="36" t="s">
        <v>396</v>
      </c>
      <c r="E33" s="11" t="s">
        <v>397</v>
      </c>
      <c r="F33" s="36" t="n">
        <v>2</v>
      </c>
      <c r="G33" s="37" t="n">
        <f aca="false">IF(C33&gt;=F33,1,0)</f>
        <v>1</v>
      </c>
      <c r="H33" s="11" t="s">
        <v>398</v>
      </c>
      <c r="I33" s="12" t="str">
        <f aca="false">IF(G33=1,"PERMITTED","PROHIBITED")</f>
        <v>PERMITTED</v>
      </c>
    </row>
    <row r="34" customFormat="false" ht="15" hidden="false" customHeight="false" outlineLevel="0" collapsed="false">
      <c r="A34" s="11" t="s">
        <v>438</v>
      </c>
      <c r="B34" s="11" t="s">
        <v>139</v>
      </c>
      <c r="C34" s="36" t="n">
        <v>3</v>
      </c>
      <c r="D34" s="36" t="s">
        <v>400</v>
      </c>
      <c r="E34" s="11" t="s">
        <v>401</v>
      </c>
      <c r="F34" s="36" t="n">
        <v>3</v>
      </c>
      <c r="G34" s="37" t="n">
        <f aca="false">IF(C34&gt;=F34,1,0)</f>
        <v>1</v>
      </c>
      <c r="H34" s="11" t="s">
        <v>402</v>
      </c>
      <c r="I34" s="12" t="str">
        <f aca="false">IF(G34=1,"PERMITTED","PROHIBITED")</f>
        <v>PERMITTED</v>
      </c>
    </row>
    <row r="35" customFormat="false" ht="15" hidden="false" customHeight="false" outlineLevel="0" collapsed="false">
      <c r="A35" s="11" t="s">
        <v>439</v>
      </c>
      <c r="B35" s="11" t="s">
        <v>139</v>
      </c>
      <c r="C35" s="36" t="n">
        <v>3</v>
      </c>
      <c r="D35" s="36" t="s">
        <v>404</v>
      </c>
      <c r="E35" s="11" t="s">
        <v>405</v>
      </c>
      <c r="F35" s="36" t="n">
        <v>4</v>
      </c>
      <c r="G35" s="37" t="n">
        <f aca="false">IF(C35&gt;=F35,1,0)</f>
        <v>0</v>
      </c>
      <c r="H35" s="11" t="s">
        <v>406</v>
      </c>
      <c r="I35" s="12" t="str">
        <f aca="false">IF(G35=1,"PERMITTED","PROHIBITED")</f>
        <v>PROHIBITED</v>
      </c>
    </row>
    <row r="36" customFormat="false" ht="15" hidden="false" customHeight="false" outlineLevel="0" collapsed="false">
      <c r="A36" s="11" t="s">
        <v>440</v>
      </c>
      <c r="B36" s="11" t="s">
        <v>139</v>
      </c>
      <c r="C36" s="36" t="n">
        <v>3</v>
      </c>
      <c r="D36" s="36" t="s">
        <v>408</v>
      </c>
      <c r="E36" s="11" t="s">
        <v>409</v>
      </c>
      <c r="F36" s="36" t="n">
        <v>5</v>
      </c>
      <c r="G36" s="37" t="n">
        <f aca="false">IF(C36&gt;=F36,1,0)</f>
        <v>0</v>
      </c>
      <c r="H36" s="11" t="s">
        <v>410</v>
      </c>
      <c r="I36" s="12" t="str">
        <f aca="false">IF(G36=1,"PERMITTED","PROHIBITED")</f>
        <v>PROHIBITED</v>
      </c>
    </row>
    <row r="37" customFormat="false" ht="15" hidden="false" customHeight="false" outlineLevel="0" collapsed="false">
      <c r="A37" s="11" t="s">
        <v>441</v>
      </c>
      <c r="B37" s="11" t="s">
        <v>139</v>
      </c>
      <c r="C37" s="36" t="n">
        <v>3</v>
      </c>
      <c r="D37" s="36" t="s">
        <v>412</v>
      </c>
      <c r="E37" s="11" t="s">
        <v>413</v>
      </c>
      <c r="F37" s="36" t="n">
        <v>6</v>
      </c>
      <c r="G37" s="37" t="n">
        <f aca="false">IF(C37&gt;=F37,1,0)</f>
        <v>0</v>
      </c>
      <c r="H37" s="11" t="s">
        <v>414</v>
      </c>
      <c r="I37" s="12" t="str">
        <f aca="false">IF(G37=1,"PERMITTED","PROHIBITED")</f>
        <v>PROHIBITED</v>
      </c>
    </row>
    <row r="38" customFormat="false" ht="15" hidden="false" customHeight="false" outlineLevel="0" collapsed="false">
      <c r="A38" s="11" t="s">
        <v>442</v>
      </c>
      <c r="B38" s="11" t="s">
        <v>139</v>
      </c>
      <c r="C38" s="36" t="n">
        <v>3</v>
      </c>
      <c r="D38" s="36" t="s">
        <v>416</v>
      </c>
      <c r="E38" s="11" t="s">
        <v>417</v>
      </c>
      <c r="F38" s="36" t="n">
        <v>7</v>
      </c>
      <c r="G38" s="37" t="n">
        <f aca="false">IF(C38&gt;=F38,1,0)</f>
        <v>0</v>
      </c>
      <c r="H38" s="11" t="s">
        <v>418</v>
      </c>
      <c r="I38" s="12" t="str">
        <f aca="false">IF(G38=1,"PERMITTED","PROHIBITED")</f>
        <v>PROHIBITED</v>
      </c>
    </row>
    <row r="39" customFormat="false" ht="15" hidden="false" customHeight="false" outlineLevel="0" collapsed="false">
      <c r="A39" s="11" t="s">
        <v>443</v>
      </c>
      <c r="B39" s="11" t="s">
        <v>144</v>
      </c>
      <c r="C39" s="36" t="n">
        <v>4</v>
      </c>
      <c r="D39" s="36" t="s">
        <v>388</v>
      </c>
      <c r="E39" s="11" t="s">
        <v>389</v>
      </c>
      <c r="F39" s="36" t="n">
        <v>0</v>
      </c>
      <c r="G39" s="37" t="n">
        <f aca="false">IF(C39&gt;=F39,1,0)</f>
        <v>1</v>
      </c>
      <c r="H39" s="11" t="s">
        <v>390</v>
      </c>
      <c r="I39" s="12" t="str">
        <f aca="false">IF(G39=1,"PERMITTED","PROHIBITED")</f>
        <v>PERMITTED</v>
      </c>
    </row>
    <row r="40" customFormat="false" ht="15" hidden="false" customHeight="false" outlineLevel="0" collapsed="false">
      <c r="A40" s="11" t="s">
        <v>444</v>
      </c>
      <c r="B40" s="11" t="s">
        <v>144</v>
      </c>
      <c r="C40" s="36" t="n">
        <v>4</v>
      </c>
      <c r="D40" s="36" t="s">
        <v>392</v>
      </c>
      <c r="E40" s="11" t="s">
        <v>393</v>
      </c>
      <c r="F40" s="36" t="n">
        <v>1</v>
      </c>
      <c r="G40" s="37" t="n">
        <f aca="false">IF(C40&gt;=F40,1,0)</f>
        <v>1</v>
      </c>
      <c r="H40" s="11" t="s">
        <v>394</v>
      </c>
      <c r="I40" s="12" t="str">
        <f aca="false">IF(G40=1,"PERMITTED","PROHIBITED")</f>
        <v>PERMITTED</v>
      </c>
    </row>
    <row r="41" customFormat="false" ht="15" hidden="false" customHeight="false" outlineLevel="0" collapsed="false">
      <c r="A41" s="11" t="s">
        <v>445</v>
      </c>
      <c r="B41" s="11" t="s">
        <v>144</v>
      </c>
      <c r="C41" s="36" t="n">
        <v>4</v>
      </c>
      <c r="D41" s="36" t="s">
        <v>396</v>
      </c>
      <c r="E41" s="11" t="s">
        <v>397</v>
      </c>
      <c r="F41" s="36" t="n">
        <v>2</v>
      </c>
      <c r="G41" s="37" t="n">
        <f aca="false">IF(C41&gt;=F41,1,0)</f>
        <v>1</v>
      </c>
      <c r="H41" s="11" t="s">
        <v>398</v>
      </c>
      <c r="I41" s="12" t="str">
        <f aca="false">IF(G41=1,"PERMITTED","PROHIBITED")</f>
        <v>PERMITTED</v>
      </c>
    </row>
    <row r="42" customFormat="false" ht="15" hidden="false" customHeight="false" outlineLevel="0" collapsed="false">
      <c r="A42" s="11" t="s">
        <v>446</v>
      </c>
      <c r="B42" s="11" t="s">
        <v>144</v>
      </c>
      <c r="C42" s="36" t="n">
        <v>4</v>
      </c>
      <c r="D42" s="36" t="s">
        <v>400</v>
      </c>
      <c r="E42" s="11" t="s">
        <v>401</v>
      </c>
      <c r="F42" s="36" t="n">
        <v>3</v>
      </c>
      <c r="G42" s="37" t="n">
        <f aca="false">IF(C42&gt;=F42,1,0)</f>
        <v>1</v>
      </c>
      <c r="H42" s="11" t="s">
        <v>402</v>
      </c>
      <c r="I42" s="12" t="str">
        <f aca="false">IF(G42=1,"PERMITTED","PROHIBITED")</f>
        <v>PERMITTED</v>
      </c>
    </row>
    <row r="43" customFormat="false" ht="15" hidden="false" customHeight="false" outlineLevel="0" collapsed="false">
      <c r="A43" s="11" t="s">
        <v>447</v>
      </c>
      <c r="B43" s="11" t="s">
        <v>144</v>
      </c>
      <c r="C43" s="36" t="n">
        <v>4</v>
      </c>
      <c r="D43" s="36" t="s">
        <v>404</v>
      </c>
      <c r="E43" s="11" t="s">
        <v>405</v>
      </c>
      <c r="F43" s="36" t="n">
        <v>4</v>
      </c>
      <c r="G43" s="37" t="n">
        <f aca="false">IF(C43&gt;=F43,1,0)</f>
        <v>1</v>
      </c>
      <c r="H43" s="11" t="s">
        <v>406</v>
      </c>
      <c r="I43" s="12" t="str">
        <f aca="false">IF(G43=1,"PERMITTED","PROHIBITED")</f>
        <v>PERMITTED</v>
      </c>
    </row>
    <row r="44" customFormat="false" ht="15" hidden="false" customHeight="false" outlineLevel="0" collapsed="false">
      <c r="A44" s="11" t="s">
        <v>448</v>
      </c>
      <c r="B44" s="11" t="s">
        <v>144</v>
      </c>
      <c r="C44" s="36" t="n">
        <v>4</v>
      </c>
      <c r="D44" s="36" t="s">
        <v>408</v>
      </c>
      <c r="E44" s="11" t="s">
        <v>409</v>
      </c>
      <c r="F44" s="36" t="n">
        <v>5</v>
      </c>
      <c r="G44" s="37" t="n">
        <f aca="false">IF(C44&gt;=F44,1,0)</f>
        <v>0</v>
      </c>
      <c r="H44" s="11" t="s">
        <v>410</v>
      </c>
      <c r="I44" s="12" t="str">
        <f aca="false">IF(G44=1,"PERMITTED","PROHIBITED")</f>
        <v>PROHIBITED</v>
      </c>
    </row>
    <row r="45" customFormat="false" ht="15" hidden="false" customHeight="false" outlineLevel="0" collapsed="false">
      <c r="A45" s="11" t="s">
        <v>449</v>
      </c>
      <c r="B45" s="11" t="s">
        <v>144</v>
      </c>
      <c r="C45" s="36" t="n">
        <v>4</v>
      </c>
      <c r="D45" s="36" t="s">
        <v>412</v>
      </c>
      <c r="E45" s="11" t="s">
        <v>413</v>
      </c>
      <c r="F45" s="36" t="n">
        <v>6</v>
      </c>
      <c r="G45" s="37" t="n">
        <f aca="false">IF(C45&gt;=F45,1,0)</f>
        <v>0</v>
      </c>
      <c r="H45" s="11" t="s">
        <v>414</v>
      </c>
      <c r="I45" s="12" t="str">
        <f aca="false">IF(G45=1,"PERMITTED","PROHIBITED")</f>
        <v>PROHIBITED</v>
      </c>
    </row>
    <row r="46" customFormat="false" ht="15" hidden="false" customHeight="false" outlineLevel="0" collapsed="false">
      <c r="A46" s="11" t="s">
        <v>450</v>
      </c>
      <c r="B46" s="11" t="s">
        <v>144</v>
      </c>
      <c r="C46" s="36" t="n">
        <v>4</v>
      </c>
      <c r="D46" s="36" t="s">
        <v>416</v>
      </c>
      <c r="E46" s="11" t="s">
        <v>417</v>
      </c>
      <c r="F46" s="36" t="n">
        <v>7</v>
      </c>
      <c r="G46" s="37" t="n">
        <f aca="false">IF(C46&gt;=F46,1,0)</f>
        <v>0</v>
      </c>
      <c r="H46" s="11" t="s">
        <v>418</v>
      </c>
      <c r="I46" s="12" t="str">
        <f aca="false">IF(G46=1,"PERMITTED","PROHIBITED")</f>
        <v>PROHIBITED</v>
      </c>
    </row>
    <row r="47" customFormat="false" ht="15" hidden="false" customHeight="false" outlineLevel="0" collapsed="false">
      <c r="A47" s="11" t="s">
        <v>451</v>
      </c>
      <c r="B47" s="11" t="s">
        <v>149</v>
      </c>
      <c r="C47" s="36" t="n">
        <v>5</v>
      </c>
      <c r="D47" s="36" t="s">
        <v>388</v>
      </c>
      <c r="E47" s="11" t="s">
        <v>389</v>
      </c>
      <c r="F47" s="36" t="n">
        <v>0</v>
      </c>
      <c r="G47" s="37" t="n">
        <f aca="false">IF(C47&gt;=F47,1,0)</f>
        <v>1</v>
      </c>
      <c r="H47" s="11" t="s">
        <v>390</v>
      </c>
      <c r="I47" s="12" t="str">
        <f aca="false">IF(G47=1,"PERMITTED","PROHIBITED")</f>
        <v>PERMITTED</v>
      </c>
    </row>
    <row r="48" customFormat="false" ht="15" hidden="false" customHeight="false" outlineLevel="0" collapsed="false">
      <c r="A48" s="11" t="s">
        <v>452</v>
      </c>
      <c r="B48" s="11" t="s">
        <v>149</v>
      </c>
      <c r="C48" s="36" t="n">
        <v>5</v>
      </c>
      <c r="D48" s="36" t="s">
        <v>392</v>
      </c>
      <c r="E48" s="11" t="s">
        <v>393</v>
      </c>
      <c r="F48" s="36" t="n">
        <v>1</v>
      </c>
      <c r="G48" s="37" t="n">
        <f aca="false">IF(C48&gt;=F48,1,0)</f>
        <v>1</v>
      </c>
      <c r="H48" s="11" t="s">
        <v>394</v>
      </c>
      <c r="I48" s="12" t="str">
        <f aca="false">IF(G48=1,"PERMITTED","PROHIBITED")</f>
        <v>PERMITTED</v>
      </c>
    </row>
    <row r="49" customFormat="false" ht="15" hidden="false" customHeight="false" outlineLevel="0" collapsed="false">
      <c r="A49" s="11" t="s">
        <v>453</v>
      </c>
      <c r="B49" s="11" t="s">
        <v>149</v>
      </c>
      <c r="C49" s="36" t="n">
        <v>5</v>
      </c>
      <c r="D49" s="36" t="s">
        <v>396</v>
      </c>
      <c r="E49" s="11" t="s">
        <v>397</v>
      </c>
      <c r="F49" s="36" t="n">
        <v>2</v>
      </c>
      <c r="G49" s="37" t="n">
        <f aca="false">IF(C49&gt;=F49,1,0)</f>
        <v>1</v>
      </c>
      <c r="H49" s="11" t="s">
        <v>398</v>
      </c>
      <c r="I49" s="12" t="str">
        <f aca="false">IF(G49=1,"PERMITTED","PROHIBITED")</f>
        <v>PERMITTED</v>
      </c>
    </row>
    <row r="50" customFormat="false" ht="15" hidden="false" customHeight="false" outlineLevel="0" collapsed="false">
      <c r="A50" s="11" t="s">
        <v>454</v>
      </c>
      <c r="B50" s="11" t="s">
        <v>149</v>
      </c>
      <c r="C50" s="36" t="n">
        <v>5</v>
      </c>
      <c r="D50" s="36" t="s">
        <v>400</v>
      </c>
      <c r="E50" s="11" t="s">
        <v>401</v>
      </c>
      <c r="F50" s="36" t="n">
        <v>3</v>
      </c>
      <c r="G50" s="37" t="n">
        <f aca="false">IF(C50&gt;=F50,1,0)</f>
        <v>1</v>
      </c>
      <c r="H50" s="11" t="s">
        <v>402</v>
      </c>
      <c r="I50" s="12" t="str">
        <f aca="false">IF(G50=1,"PERMITTED","PROHIBITED")</f>
        <v>PERMITTED</v>
      </c>
    </row>
    <row r="51" customFormat="false" ht="15" hidden="false" customHeight="false" outlineLevel="0" collapsed="false">
      <c r="A51" s="11" t="s">
        <v>455</v>
      </c>
      <c r="B51" s="11" t="s">
        <v>149</v>
      </c>
      <c r="C51" s="36" t="n">
        <v>5</v>
      </c>
      <c r="D51" s="36" t="s">
        <v>404</v>
      </c>
      <c r="E51" s="11" t="s">
        <v>405</v>
      </c>
      <c r="F51" s="36" t="n">
        <v>4</v>
      </c>
      <c r="G51" s="37" t="n">
        <f aca="false">IF(C51&gt;=F51,1,0)</f>
        <v>1</v>
      </c>
      <c r="H51" s="11" t="s">
        <v>406</v>
      </c>
      <c r="I51" s="12" t="str">
        <f aca="false">IF(G51=1,"PERMITTED","PROHIBITED")</f>
        <v>PERMITTED</v>
      </c>
    </row>
    <row r="52" customFormat="false" ht="15" hidden="false" customHeight="false" outlineLevel="0" collapsed="false">
      <c r="A52" s="11" t="s">
        <v>456</v>
      </c>
      <c r="B52" s="11" t="s">
        <v>149</v>
      </c>
      <c r="C52" s="36" t="n">
        <v>5</v>
      </c>
      <c r="D52" s="36" t="s">
        <v>408</v>
      </c>
      <c r="E52" s="11" t="s">
        <v>409</v>
      </c>
      <c r="F52" s="36" t="n">
        <v>5</v>
      </c>
      <c r="G52" s="37" t="n">
        <f aca="false">IF(C52&gt;=F52,1,0)</f>
        <v>1</v>
      </c>
      <c r="H52" s="11" t="s">
        <v>410</v>
      </c>
      <c r="I52" s="12" t="str">
        <f aca="false">IF(G52=1,"PERMITTED","PROHIBITED")</f>
        <v>PERMITTED</v>
      </c>
    </row>
    <row r="53" customFormat="false" ht="15" hidden="false" customHeight="false" outlineLevel="0" collapsed="false">
      <c r="A53" s="11" t="s">
        <v>457</v>
      </c>
      <c r="B53" s="11" t="s">
        <v>149</v>
      </c>
      <c r="C53" s="36" t="n">
        <v>5</v>
      </c>
      <c r="D53" s="36" t="s">
        <v>412</v>
      </c>
      <c r="E53" s="11" t="s">
        <v>413</v>
      </c>
      <c r="F53" s="36" t="n">
        <v>6</v>
      </c>
      <c r="G53" s="37" t="n">
        <f aca="false">IF(C53&gt;=F53,1,0)</f>
        <v>0</v>
      </c>
      <c r="H53" s="11" t="s">
        <v>414</v>
      </c>
      <c r="I53" s="12" t="str">
        <f aca="false">IF(G53=1,"PERMITTED","PROHIBITED")</f>
        <v>PROHIBITED</v>
      </c>
    </row>
    <row r="54" customFormat="false" ht="15" hidden="false" customHeight="false" outlineLevel="0" collapsed="false">
      <c r="A54" s="11" t="s">
        <v>458</v>
      </c>
      <c r="B54" s="11" t="s">
        <v>149</v>
      </c>
      <c r="C54" s="36" t="n">
        <v>5</v>
      </c>
      <c r="D54" s="36" t="s">
        <v>416</v>
      </c>
      <c r="E54" s="11" t="s">
        <v>417</v>
      </c>
      <c r="F54" s="36" t="n">
        <v>7</v>
      </c>
      <c r="G54" s="37" t="n">
        <f aca="false">IF(C54&gt;=F54,1,0)</f>
        <v>0</v>
      </c>
      <c r="H54" s="11" t="s">
        <v>418</v>
      </c>
      <c r="I54" s="12" t="str">
        <f aca="false">IF(G54=1,"PERMITTED","PROHIBITED")</f>
        <v>PROHIBITED</v>
      </c>
    </row>
    <row r="55" customFormat="false" ht="15" hidden="false" customHeight="false" outlineLevel="0" collapsed="false">
      <c r="A55" s="11" t="s">
        <v>459</v>
      </c>
      <c r="B55" s="11" t="s">
        <v>154</v>
      </c>
      <c r="C55" s="36" t="n">
        <v>6</v>
      </c>
      <c r="D55" s="36" t="s">
        <v>388</v>
      </c>
      <c r="E55" s="11" t="s">
        <v>389</v>
      </c>
      <c r="F55" s="36" t="n">
        <v>0</v>
      </c>
      <c r="G55" s="37" t="n">
        <f aca="false">IF(C55&gt;=F55,1,0)</f>
        <v>1</v>
      </c>
      <c r="H55" s="11" t="s">
        <v>390</v>
      </c>
      <c r="I55" s="12" t="str">
        <f aca="false">IF(G55=1,"PERMITTED","PROHIBITED")</f>
        <v>PERMITTED</v>
      </c>
    </row>
    <row r="56" customFormat="false" ht="15" hidden="false" customHeight="false" outlineLevel="0" collapsed="false">
      <c r="A56" s="11" t="s">
        <v>460</v>
      </c>
      <c r="B56" s="11" t="s">
        <v>154</v>
      </c>
      <c r="C56" s="36" t="n">
        <v>6</v>
      </c>
      <c r="D56" s="36" t="s">
        <v>392</v>
      </c>
      <c r="E56" s="11" t="s">
        <v>393</v>
      </c>
      <c r="F56" s="36" t="n">
        <v>1</v>
      </c>
      <c r="G56" s="37" t="n">
        <f aca="false">IF(C56&gt;=F56,1,0)</f>
        <v>1</v>
      </c>
      <c r="H56" s="11" t="s">
        <v>394</v>
      </c>
      <c r="I56" s="12" t="str">
        <f aca="false">IF(G56=1,"PERMITTED","PROHIBITED")</f>
        <v>PERMITTED</v>
      </c>
    </row>
    <row r="57" customFormat="false" ht="15" hidden="false" customHeight="false" outlineLevel="0" collapsed="false">
      <c r="A57" s="11" t="s">
        <v>461</v>
      </c>
      <c r="B57" s="11" t="s">
        <v>154</v>
      </c>
      <c r="C57" s="36" t="n">
        <v>6</v>
      </c>
      <c r="D57" s="36" t="s">
        <v>396</v>
      </c>
      <c r="E57" s="11" t="s">
        <v>397</v>
      </c>
      <c r="F57" s="36" t="n">
        <v>2</v>
      </c>
      <c r="G57" s="37" t="n">
        <f aca="false">IF(C57&gt;=F57,1,0)</f>
        <v>1</v>
      </c>
      <c r="H57" s="11" t="s">
        <v>398</v>
      </c>
      <c r="I57" s="12" t="str">
        <f aca="false">IF(G57=1,"PERMITTED","PROHIBITED")</f>
        <v>PERMITTED</v>
      </c>
    </row>
    <row r="58" customFormat="false" ht="15" hidden="false" customHeight="false" outlineLevel="0" collapsed="false">
      <c r="A58" s="11" t="s">
        <v>462</v>
      </c>
      <c r="B58" s="11" t="s">
        <v>154</v>
      </c>
      <c r="C58" s="36" t="n">
        <v>6</v>
      </c>
      <c r="D58" s="36" t="s">
        <v>400</v>
      </c>
      <c r="E58" s="11" t="s">
        <v>401</v>
      </c>
      <c r="F58" s="36" t="n">
        <v>3</v>
      </c>
      <c r="G58" s="37" t="n">
        <f aca="false">IF(C58&gt;=F58,1,0)</f>
        <v>1</v>
      </c>
      <c r="H58" s="11" t="s">
        <v>402</v>
      </c>
      <c r="I58" s="12" t="str">
        <f aca="false">IF(G58=1,"PERMITTED","PROHIBITED")</f>
        <v>PERMITTED</v>
      </c>
    </row>
    <row r="59" customFormat="false" ht="15" hidden="false" customHeight="false" outlineLevel="0" collapsed="false">
      <c r="A59" s="11" t="s">
        <v>463</v>
      </c>
      <c r="B59" s="11" t="s">
        <v>154</v>
      </c>
      <c r="C59" s="36" t="n">
        <v>6</v>
      </c>
      <c r="D59" s="36" t="s">
        <v>404</v>
      </c>
      <c r="E59" s="11" t="s">
        <v>405</v>
      </c>
      <c r="F59" s="36" t="n">
        <v>4</v>
      </c>
      <c r="G59" s="37" t="n">
        <f aca="false">IF(C59&gt;=F59,1,0)</f>
        <v>1</v>
      </c>
      <c r="H59" s="11" t="s">
        <v>406</v>
      </c>
      <c r="I59" s="12" t="str">
        <f aca="false">IF(G59=1,"PERMITTED","PROHIBITED")</f>
        <v>PERMITTED</v>
      </c>
    </row>
    <row r="60" customFormat="false" ht="15" hidden="false" customHeight="false" outlineLevel="0" collapsed="false">
      <c r="A60" s="11" t="s">
        <v>464</v>
      </c>
      <c r="B60" s="11" t="s">
        <v>154</v>
      </c>
      <c r="C60" s="36" t="n">
        <v>6</v>
      </c>
      <c r="D60" s="36" t="s">
        <v>408</v>
      </c>
      <c r="E60" s="11" t="s">
        <v>409</v>
      </c>
      <c r="F60" s="36" t="n">
        <v>5</v>
      </c>
      <c r="G60" s="37" t="n">
        <f aca="false">IF(C60&gt;=F60,1,0)</f>
        <v>1</v>
      </c>
      <c r="H60" s="11" t="s">
        <v>410</v>
      </c>
      <c r="I60" s="12" t="str">
        <f aca="false">IF(G60=1,"PERMITTED","PROHIBITED")</f>
        <v>PERMITTED</v>
      </c>
    </row>
    <row r="61" customFormat="false" ht="15" hidden="false" customHeight="false" outlineLevel="0" collapsed="false">
      <c r="A61" s="11" t="s">
        <v>465</v>
      </c>
      <c r="B61" s="11" t="s">
        <v>154</v>
      </c>
      <c r="C61" s="36" t="n">
        <v>6</v>
      </c>
      <c r="D61" s="36" t="s">
        <v>412</v>
      </c>
      <c r="E61" s="11" t="s">
        <v>413</v>
      </c>
      <c r="F61" s="36" t="n">
        <v>6</v>
      </c>
      <c r="G61" s="37" t="n">
        <f aca="false">IF(C61&gt;=F61,1,0)</f>
        <v>1</v>
      </c>
      <c r="H61" s="11" t="s">
        <v>414</v>
      </c>
      <c r="I61" s="12" t="str">
        <f aca="false">IF(G61=1,"PERMITTED","PROHIBITED")</f>
        <v>PERMITTED</v>
      </c>
    </row>
    <row r="62" customFormat="false" ht="15" hidden="false" customHeight="false" outlineLevel="0" collapsed="false">
      <c r="A62" s="11" t="s">
        <v>466</v>
      </c>
      <c r="B62" s="11" t="s">
        <v>154</v>
      </c>
      <c r="C62" s="36" t="n">
        <v>6</v>
      </c>
      <c r="D62" s="36" t="s">
        <v>416</v>
      </c>
      <c r="E62" s="11" t="s">
        <v>417</v>
      </c>
      <c r="F62" s="36" t="n">
        <v>7</v>
      </c>
      <c r="G62" s="37" t="n">
        <f aca="false">IF(C62&gt;=F62,1,0)</f>
        <v>0</v>
      </c>
      <c r="H62" s="11" t="s">
        <v>418</v>
      </c>
      <c r="I62" s="12" t="str">
        <f aca="false">IF(G62=1,"PERMITTED","PROHIBITED")</f>
        <v>PROHIBITED</v>
      </c>
    </row>
    <row r="63" customFormat="false" ht="15" hidden="false" customHeight="false" outlineLevel="0" collapsed="false">
      <c r="A63" s="11" t="s">
        <v>467</v>
      </c>
      <c r="B63" s="11" t="s">
        <v>159</v>
      </c>
      <c r="C63" s="36" t="n">
        <v>7</v>
      </c>
      <c r="D63" s="36" t="s">
        <v>388</v>
      </c>
      <c r="E63" s="11" t="s">
        <v>389</v>
      </c>
      <c r="F63" s="36" t="n">
        <v>0</v>
      </c>
      <c r="G63" s="37" t="n">
        <f aca="false">IF(C63&gt;=F63,1,0)</f>
        <v>1</v>
      </c>
      <c r="H63" s="11" t="s">
        <v>390</v>
      </c>
      <c r="I63" s="12" t="str">
        <f aca="false">IF(G63=1,"PERMITTED","PROHIBITED")</f>
        <v>PERMITTED</v>
      </c>
    </row>
    <row r="64" customFormat="false" ht="15" hidden="false" customHeight="false" outlineLevel="0" collapsed="false">
      <c r="A64" s="11" t="s">
        <v>468</v>
      </c>
      <c r="B64" s="11" t="s">
        <v>159</v>
      </c>
      <c r="C64" s="36" t="n">
        <v>7</v>
      </c>
      <c r="D64" s="36" t="s">
        <v>392</v>
      </c>
      <c r="E64" s="11" t="s">
        <v>393</v>
      </c>
      <c r="F64" s="36" t="n">
        <v>1</v>
      </c>
      <c r="G64" s="37" t="n">
        <f aca="false">IF(C64&gt;=F64,1,0)</f>
        <v>1</v>
      </c>
      <c r="H64" s="11" t="s">
        <v>394</v>
      </c>
      <c r="I64" s="12" t="str">
        <f aca="false">IF(G64=1,"PERMITTED","PROHIBITED")</f>
        <v>PERMITTED</v>
      </c>
    </row>
    <row r="65" customFormat="false" ht="15" hidden="false" customHeight="false" outlineLevel="0" collapsed="false">
      <c r="A65" s="11" t="s">
        <v>469</v>
      </c>
      <c r="B65" s="11" t="s">
        <v>159</v>
      </c>
      <c r="C65" s="36" t="n">
        <v>7</v>
      </c>
      <c r="D65" s="36" t="s">
        <v>396</v>
      </c>
      <c r="E65" s="11" t="s">
        <v>397</v>
      </c>
      <c r="F65" s="36" t="n">
        <v>2</v>
      </c>
      <c r="G65" s="37" t="n">
        <f aca="false">IF(C65&gt;=F65,1,0)</f>
        <v>1</v>
      </c>
      <c r="H65" s="11" t="s">
        <v>398</v>
      </c>
      <c r="I65" s="12" t="str">
        <f aca="false">IF(G65=1,"PERMITTED","PROHIBITED")</f>
        <v>PERMITTED</v>
      </c>
    </row>
    <row r="66" customFormat="false" ht="15" hidden="false" customHeight="false" outlineLevel="0" collapsed="false">
      <c r="A66" s="11" t="s">
        <v>470</v>
      </c>
      <c r="B66" s="11" t="s">
        <v>159</v>
      </c>
      <c r="C66" s="36" t="n">
        <v>7</v>
      </c>
      <c r="D66" s="36" t="s">
        <v>400</v>
      </c>
      <c r="E66" s="11" t="s">
        <v>401</v>
      </c>
      <c r="F66" s="36" t="n">
        <v>3</v>
      </c>
      <c r="G66" s="37" t="n">
        <f aca="false">IF(C66&gt;=F66,1,0)</f>
        <v>1</v>
      </c>
      <c r="H66" s="11" t="s">
        <v>402</v>
      </c>
      <c r="I66" s="12" t="str">
        <f aca="false">IF(G66=1,"PERMITTED","PROHIBITED")</f>
        <v>PERMITTED</v>
      </c>
    </row>
    <row r="67" customFormat="false" ht="15" hidden="false" customHeight="false" outlineLevel="0" collapsed="false">
      <c r="A67" s="11" t="s">
        <v>471</v>
      </c>
      <c r="B67" s="11" t="s">
        <v>159</v>
      </c>
      <c r="C67" s="36" t="n">
        <v>7</v>
      </c>
      <c r="D67" s="36" t="s">
        <v>404</v>
      </c>
      <c r="E67" s="11" t="s">
        <v>405</v>
      </c>
      <c r="F67" s="36" t="n">
        <v>4</v>
      </c>
      <c r="G67" s="37" t="n">
        <f aca="false">IF(C67&gt;=F67,1,0)</f>
        <v>1</v>
      </c>
      <c r="H67" s="11" t="s">
        <v>406</v>
      </c>
      <c r="I67" s="12" t="str">
        <f aca="false">IF(G67=1,"PERMITTED","PROHIBITED")</f>
        <v>PERMITTED</v>
      </c>
    </row>
    <row r="68" customFormat="false" ht="15" hidden="false" customHeight="false" outlineLevel="0" collapsed="false">
      <c r="A68" s="11" t="s">
        <v>472</v>
      </c>
      <c r="B68" s="11" t="s">
        <v>159</v>
      </c>
      <c r="C68" s="36" t="n">
        <v>7</v>
      </c>
      <c r="D68" s="36" t="s">
        <v>408</v>
      </c>
      <c r="E68" s="11" t="s">
        <v>409</v>
      </c>
      <c r="F68" s="36" t="n">
        <v>5</v>
      </c>
      <c r="G68" s="37" t="n">
        <f aca="false">IF(C68&gt;=F68,1,0)</f>
        <v>1</v>
      </c>
      <c r="H68" s="11" t="s">
        <v>410</v>
      </c>
      <c r="I68" s="12" t="str">
        <f aca="false">IF(G68=1,"PERMITTED","PROHIBITED")</f>
        <v>PERMITTED</v>
      </c>
    </row>
    <row r="69" customFormat="false" ht="15" hidden="false" customHeight="false" outlineLevel="0" collapsed="false">
      <c r="A69" s="11" t="s">
        <v>473</v>
      </c>
      <c r="B69" s="11" t="s">
        <v>159</v>
      </c>
      <c r="C69" s="36" t="n">
        <v>7</v>
      </c>
      <c r="D69" s="36" t="s">
        <v>412</v>
      </c>
      <c r="E69" s="11" t="s">
        <v>413</v>
      </c>
      <c r="F69" s="36" t="n">
        <v>6</v>
      </c>
      <c r="G69" s="37" t="n">
        <f aca="false">IF(C69&gt;=F69,1,0)</f>
        <v>1</v>
      </c>
      <c r="H69" s="11" t="s">
        <v>414</v>
      </c>
      <c r="I69" s="12" t="str">
        <f aca="false">IF(G69=1,"PERMITTED","PROHIBITED")</f>
        <v>PERMITTED</v>
      </c>
    </row>
    <row r="70" customFormat="false" ht="15" hidden="false" customHeight="false" outlineLevel="0" collapsed="false">
      <c r="A70" s="15" t="s">
        <v>474</v>
      </c>
      <c r="B70" s="15" t="s">
        <v>159</v>
      </c>
      <c r="C70" s="40" t="n">
        <v>7</v>
      </c>
      <c r="D70" s="40" t="s">
        <v>416</v>
      </c>
      <c r="E70" s="15" t="s">
        <v>417</v>
      </c>
      <c r="F70" s="40" t="n">
        <v>7</v>
      </c>
      <c r="G70" s="41" t="n">
        <f aca="false">IF(C70&gt;=F70,1,0)</f>
        <v>1</v>
      </c>
      <c r="H70" s="15" t="s">
        <v>418</v>
      </c>
      <c r="I70" s="16" t="str">
        <f aca="false">IF(G70=1,"PERMITTED","PROHIBITED")</f>
        <v>PERMITTED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58"/>
    <col collapsed="false" customWidth="true" hidden="false" outlineLevel="0" max="7" min="7" style="0" width="64"/>
    <col collapsed="false" customWidth="true" hidden="false" outlineLevel="0" max="8" min="8" style="0" width="16"/>
    <col collapsed="false" customWidth="true" hidden="false" outlineLevel="0" max="9" min="9" style="0" width="34"/>
  </cols>
  <sheetData>
    <row r="2" customFormat="false" ht="24" hidden="false" customHeight="true" outlineLevel="0" collapsed="false">
      <c r="A2" s="1" t="s">
        <v>475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8" t="s">
        <v>476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</row>
    <row r="6" customFormat="false" ht="24" hidden="false" customHeight="true" outlineLevel="0" collapsed="false">
      <c r="A6" s="19" t="s">
        <v>477</v>
      </c>
      <c r="B6" s="20" t="s">
        <v>69</v>
      </c>
      <c r="C6" s="20" t="s">
        <v>70</v>
      </c>
      <c r="D6" s="20" t="s">
        <v>478</v>
      </c>
      <c r="E6" s="20" t="s">
        <v>479</v>
      </c>
      <c r="F6" s="20" t="s">
        <v>480</v>
      </c>
      <c r="G6" s="20" t="s">
        <v>481</v>
      </c>
      <c r="H6" s="20" t="s">
        <v>482</v>
      </c>
      <c r="I6" s="21" t="s">
        <v>4</v>
      </c>
    </row>
    <row r="7" customFormat="false" ht="15" hidden="false" customHeight="false" outlineLevel="0" collapsed="false">
      <c r="A7" s="7" t="s">
        <v>483</v>
      </c>
      <c r="B7" s="7" t="s">
        <v>87</v>
      </c>
      <c r="C7" s="7" t="s">
        <v>88</v>
      </c>
      <c r="D7" s="7" t="s">
        <v>484</v>
      </c>
      <c r="E7" s="32" t="n">
        <v>1</v>
      </c>
      <c r="F7" s="7" t="s">
        <v>485</v>
      </c>
      <c r="G7" s="7" t="s">
        <v>486</v>
      </c>
      <c r="H7" s="34" t="n">
        <v>0</v>
      </c>
      <c r="I7" s="35" t="str">
        <f aca="false">IF(E7=1,IF(H7=0,"DESIGN AUTHORIZED / NO SERIAL","SERIAL EXISTS"),"HELD")</f>
        <v>DESIGN AUTHORIZED / NO SERIAL</v>
      </c>
    </row>
    <row r="8" customFormat="false" ht="15" hidden="false" customHeight="false" outlineLevel="0" collapsed="false">
      <c r="A8" s="11" t="s">
        <v>487</v>
      </c>
      <c r="B8" s="11" t="s">
        <v>87</v>
      </c>
      <c r="C8" s="11" t="s">
        <v>88</v>
      </c>
      <c r="D8" s="11" t="s">
        <v>488</v>
      </c>
      <c r="E8" s="36" t="n">
        <v>1</v>
      </c>
      <c r="F8" s="11" t="s">
        <v>489</v>
      </c>
      <c r="G8" s="11" t="s">
        <v>490</v>
      </c>
      <c r="H8" s="38" t="n">
        <v>0</v>
      </c>
      <c r="I8" s="39" t="str">
        <f aca="false">IF(E8=1,IF(H8=0,"DESIGN AUTHORIZED / NO SERIAL","SERIAL EXISTS"),"HELD")</f>
        <v>DESIGN AUTHORIZED / NO SERIAL</v>
      </c>
    </row>
    <row r="9" customFormat="false" ht="15" hidden="false" customHeight="false" outlineLevel="0" collapsed="false">
      <c r="A9" s="11" t="s">
        <v>491</v>
      </c>
      <c r="B9" s="11" t="s">
        <v>87</v>
      </c>
      <c r="C9" s="11" t="s">
        <v>88</v>
      </c>
      <c r="D9" s="11" t="s">
        <v>492</v>
      </c>
      <c r="E9" s="36" t="n">
        <v>1</v>
      </c>
      <c r="F9" s="11" t="s">
        <v>493</v>
      </c>
      <c r="G9" s="11" t="s">
        <v>494</v>
      </c>
      <c r="H9" s="38" t="n">
        <v>0</v>
      </c>
      <c r="I9" s="39" t="str">
        <f aca="false">IF(E9=1,IF(H9=0,"DESIGN AUTHORIZED / NO SERIAL","SERIAL EXISTS"),"HELD")</f>
        <v>DESIGN AUTHORIZED / NO SERIAL</v>
      </c>
    </row>
    <row r="10" customFormat="false" ht="15" hidden="false" customHeight="false" outlineLevel="0" collapsed="false">
      <c r="A10" s="11" t="s">
        <v>495</v>
      </c>
      <c r="B10" s="11" t="s">
        <v>87</v>
      </c>
      <c r="C10" s="11" t="s">
        <v>88</v>
      </c>
      <c r="D10" s="11" t="s">
        <v>496</v>
      </c>
      <c r="E10" s="36" t="n">
        <v>1</v>
      </c>
      <c r="F10" s="11" t="s">
        <v>497</v>
      </c>
      <c r="G10" s="11" t="s">
        <v>498</v>
      </c>
      <c r="H10" s="38" t="n">
        <v>0</v>
      </c>
      <c r="I10" s="39" t="str">
        <f aca="false">IF(E10=1,IF(H10=0,"DESIGN AUTHORIZED / NO SERIAL","SERIAL EXISTS"),"HELD")</f>
        <v>DESIGN AUTHORIZED / NO SERIAL</v>
      </c>
    </row>
    <row r="11" customFormat="false" ht="15" hidden="false" customHeight="false" outlineLevel="0" collapsed="false">
      <c r="A11" s="11" t="s">
        <v>499</v>
      </c>
      <c r="B11" s="11" t="s">
        <v>87</v>
      </c>
      <c r="C11" s="11" t="s">
        <v>88</v>
      </c>
      <c r="D11" s="11" t="s">
        <v>500</v>
      </c>
      <c r="E11" s="36" t="n">
        <v>1</v>
      </c>
      <c r="F11" s="11" t="s">
        <v>501</v>
      </c>
      <c r="G11" s="11" t="s">
        <v>502</v>
      </c>
      <c r="H11" s="38" t="n">
        <v>0</v>
      </c>
      <c r="I11" s="39" t="str">
        <f aca="false">IF(E11=1,IF(H11=0,"DESIGN AUTHORIZED / NO SERIAL","SERIAL EXISTS"),"HELD")</f>
        <v>DESIGN AUTHORIZED / NO SERIAL</v>
      </c>
    </row>
    <row r="12" customFormat="false" ht="15" hidden="false" customHeight="false" outlineLevel="0" collapsed="false">
      <c r="A12" s="11" t="s">
        <v>503</v>
      </c>
      <c r="B12" s="11" t="s">
        <v>87</v>
      </c>
      <c r="C12" s="11" t="s">
        <v>88</v>
      </c>
      <c r="D12" s="11" t="s">
        <v>504</v>
      </c>
      <c r="E12" s="36" t="n">
        <v>0</v>
      </c>
      <c r="F12" s="11" t="s">
        <v>505</v>
      </c>
      <c r="G12" s="11" t="s">
        <v>506</v>
      </c>
      <c r="H12" s="38" t="n">
        <v>0</v>
      </c>
      <c r="I12" s="39" t="str">
        <f aca="false">IF(E12=1,IF(H12=0,"DESIGN AUTHORIZED / NO SERIAL","SERIAL EXISTS"),"HELD")</f>
        <v>HELD</v>
      </c>
    </row>
    <row r="13" customFormat="false" ht="15" hidden="false" customHeight="false" outlineLevel="0" collapsed="false">
      <c r="A13" s="11" t="s">
        <v>507</v>
      </c>
      <c r="B13" s="11" t="s">
        <v>87</v>
      </c>
      <c r="C13" s="11" t="s">
        <v>88</v>
      </c>
      <c r="D13" s="11" t="s">
        <v>508</v>
      </c>
      <c r="E13" s="36" t="n">
        <v>0</v>
      </c>
      <c r="F13" s="11" t="s">
        <v>509</v>
      </c>
      <c r="G13" s="11" t="s">
        <v>510</v>
      </c>
      <c r="H13" s="38" t="n">
        <v>0</v>
      </c>
      <c r="I13" s="39" t="str">
        <f aca="false">IF(E13=1,IF(H13=0,"DESIGN AUTHORIZED / NO SERIAL","SERIAL EXISTS"),"HELD")</f>
        <v>HELD</v>
      </c>
    </row>
    <row r="14" customFormat="false" ht="15" hidden="false" customHeight="false" outlineLevel="0" collapsed="false">
      <c r="A14" s="11" t="s">
        <v>511</v>
      </c>
      <c r="B14" s="11" t="s">
        <v>87</v>
      </c>
      <c r="C14" s="11" t="s">
        <v>88</v>
      </c>
      <c r="D14" s="11" t="s">
        <v>512</v>
      </c>
      <c r="E14" s="36" t="n">
        <v>0</v>
      </c>
      <c r="F14" s="11" t="s">
        <v>513</v>
      </c>
      <c r="G14" s="11" t="s">
        <v>514</v>
      </c>
      <c r="H14" s="38" t="n">
        <v>0</v>
      </c>
      <c r="I14" s="39" t="str">
        <f aca="false">IF(E14=1,IF(H14=0,"DESIGN AUTHORIZED / NO SERIAL","SERIAL EXISTS"),"HELD")</f>
        <v>HELD</v>
      </c>
    </row>
    <row r="15" customFormat="false" ht="15" hidden="false" customHeight="false" outlineLevel="0" collapsed="false">
      <c r="A15" s="11" t="s">
        <v>515</v>
      </c>
      <c r="B15" s="11" t="s">
        <v>91</v>
      </c>
      <c r="C15" s="11" t="s">
        <v>92</v>
      </c>
      <c r="D15" s="11" t="s">
        <v>484</v>
      </c>
      <c r="E15" s="36" t="n">
        <v>1</v>
      </c>
      <c r="F15" s="11" t="s">
        <v>485</v>
      </c>
      <c r="G15" s="11" t="s">
        <v>486</v>
      </c>
      <c r="H15" s="38" t="n">
        <v>0</v>
      </c>
      <c r="I15" s="39" t="str">
        <f aca="false">IF(E15=1,IF(H15=0,"DESIGN AUTHORIZED / NO SERIAL","SERIAL EXISTS"),"HELD")</f>
        <v>DESIGN AUTHORIZED / NO SERIAL</v>
      </c>
    </row>
    <row r="16" customFormat="false" ht="15" hidden="false" customHeight="false" outlineLevel="0" collapsed="false">
      <c r="A16" s="11" t="s">
        <v>516</v>
      </c>
      <c r="B16" s="11" t="s">
        <v>91</v>
      </c>
      <c r="C16" s="11" t="s">
        <v>92</v>
      </c>
      <c r="D16" s="11" t="s">
        <v>488</v>
      </c>
      <c r="E16" s="36" t="n">
        <v>1</v>
      </c>
      <c r="F16" s="11" t="s">
        <v>489</v>
      </c>
      <c r="G16" s="11" t="s">
        <v>490</v>
      </c>
      <c r="H16" s="38" t="n">
        <v>0</v>
      </c>
      <c r="I16" s="39" t="str">
        <f aca="false">IF(E16=1,IF(H16=0,"DESIGN AUTHORIZED / NO SERIAL","SERIAL EXISTS"),"HELD")</f>
        <v>DESIGN AUTHORIZED / NO SERIAL</v>
      </c>
    </row>
    <row r="17" customFormat="false" ht="15" hidden="false" customHeight="false" outlineLevel="0" collapsed="false">
      <c r="A17" s="11" t="s">
        <v>517</v>
      </c>
      <c r="B17" s="11" t="s">
        <v>91</v>
      </c>
      <c r="C17" s="11" t="s">
        <v>92</v>
      </c>
      <c r="D17" s="11" t="s">
        <v>492</v>
      </c>
      <c r="E17" s="36" t="n">
        <v>1</v>
      </c>
      <c r="F17" s="11" t="s">
        <v>493</v>
      </c>
      <c r="G17" s="11" t="s">
        <v>494</v>
      </c>
      <c r="H17" s="38" t="n">
        <v>0</v>
      </c>
      <c r="I17" s="39" t="str">
        <f aca="false">IF(E17=1,IF(H17=0,"DESIGN AUTHORIZED / NO SERIAL","SERIAL EXISTS"),"HELD")</f>
        <v>DESIGN AUTHORIZED / NO SERIAL</v>
      </c>
    </row>
    <row r="18" customFormat="false" ht="15" hidden="false" customHeight="false" outlineLevel="0" collapsed="false">
      <c r="A18" s="11" t="s">
        <v>518</v>
      </c>
      <c r="B18" s="11" t="s">
        <v>91</v>
      </c>
      <c r="C18" s="11" t="s">
        <v>92</v>
      </c>
      <c r="D18" s="11" t="s">
        <v>496</v>
      </c>
      <c r="E18" s="36" t="n">
        <v>1</v>
      </c>
      <c r="F18" s="11" t="s">
        <v>497</v>
      </c>
      <c r="G18" s="11" t="s">
        <v>498</v>
      </c>
      <c r="H18" s="38" t="n">
        <v>0</v>
      </c>
      <c r="I18" s="39" t="str">
        <f aca="false">IF(E18=1,IF(H18=0,"DESIGN AUTHORIZED / NO SERIAL","SERIAL EXISTS"),"HELD")</f>
        <v>DESIGN AUTHORIZED / NO SERIAL</v>
      </c>
    </row>
    <row r="19" customFormat="false" ht="15" hidden="false" customHeight="false" outlineLevel="0" collapsed="false">
      <c r="A19" s="11" t="s">
        <v>519</v>
      </c>
      <c r="B19" s="11" t="s">
        <v>91</v>
      </c>
      <c r="C19" s="11" t="s">
        <v>92</v>
      </c>
      <c r="D19" s="11" t="s">
        <v>500</v>
      </c>
      <c r="E19" s="36" t="n">
        <v>1</v>
      </c>
      <c r="F19" s="11" t="s">
        <v>501</v>
      </c>
      <c r="G19" s="11" t="s">
        <v>502</v>
      </c>
      <c r="H19" s="38" t="n">
        <v>0</v>
      </c>
      <c r="I19" s="39" t="str">
        <f aca="false">IF(E19=1,IF(H19=0,"DESIGN AUTHORIZED / NO SERIAL","SERIAL EXISTS"),"HELD")</f>
        <v>DESIGN AUTHORIZED / NO SERIAL</v>
      </c>
    </row>
    <row r="20" customFormat="false" ht="15" hidden="false" customHeight="false" outlineLevel="0" collapsed="false">
      <c r="A20" s="11" t="s">
        <v>520</v>
      </c>
      <c r="B20" s="11" t="s">
        <v>91</v>
      </c>
      <c r="C20" s="11" t="s">
        <v>92</v>
      </c>
      <c r="D20" s="11" t="s">
        <v>504</v>
      </c>
      <c r="E20" s="36" t="n">
        <v>0</v>
      </c>
      <c r="F20" s="11" t="s">
        <v>505</v>
      </c>
      <c r="G20" s="11" t="s">
        <v>506</v>
      </c>
      <c r="H20" s="38" t="n">
        <v>0</v>
      </c>
      <c r="I20" s="39" t="str">
        <f aca="false">IF(E20=1,IF(H20=0,"DESIGN AUTHORIZED / NO SERIAL","SERIAL EXISTS"),"HELD")</f>
        <v>HELD</v>
      </c>
    </row>
    <row r="21" customFormat="false" ht="15" hidden="false" customHeight="false" outlineLevel="0" collapsed="false">
      <c r="A21" s="11" t="s">
        <v>521</v>
      </c>
      <c r="B21" s="11" t="s">
        <v>91</v>
      </c>
      <c r="C21" s="11" t="s">
        <v>92</v>
      </c>
      <c r="D21" s="11" t="s">
        <v>508</v>
      </c>
      <c r="E21" s="36" t="n">
        <v>0</v>
      </c>
      <c r="F21" s="11" t="s">
        <v>509</v>
      </c>
      <c r="G21" s="11" t="s">
        <v>510</v>
      </c>
      <c r="H21" s="38" t="n">
        <v>0</v>
      </c>
      <c r="I21" s="39" t="str">
        <f aca="false">IF(E21=1,IF(H21=0,"DESIGN AUTHORIZED / NO SERIAL","SERIAL EXISTS"),"HELD")</f>
        <v>HELD</v>
      </c>
    </row>
    <row r="22" customFormat="false" ht="15" hidden="false" customHeight="false" outlineLevel="0" collapsed="false">
      <c r="A22" s="11" t="s">
        <v>522</v>
      </c>
      <c r="B22" s="11" t="s">
        <v>91</v>
      </c>
      <c r="C22" s="11" t="s">
        <v>92</v>
      </c>
      <c r="D22" s="11" t="s">
        <v>512</v>
      </c>
      <c r="E22" s="36" t="n">
        <v>0</v>
      </c>
      <c r="F22" s="11" t="s">
        <v>513</v>
      </c>
      <c r="G22" s="11" t="s">
        <v>514</v>
      </c>
      <c r="H22" s="38" t="n">
        <v>0</v>
      </c>
      <c r="I22" s="39" t="str">
        <f aca="false">IF(E22=1,IF(H22=0,"DESIGN AUTHORIZED / NO SERIAL","SERIAL EXISTS"),"HELD")</f>
        <v>HELD</v>
      </c>
    </row>
    <row r="23" customFormat="false" ht="15" hidden="false" customHeight="false" outlineLevel="0" collapsed="false">
      <c r="A23" s="11" t="s">
        <v>523</v>
      </c>
      <c r="B23" s="11" t="s">
        <v>95</v>
      </c>
      <c r="C23" s="11" t="s">
        <v>96</v>
      </c>
      <c r="D23" s="11" t="s">
        <v>484</v>
      </c>
      <c r="E23" s="36" t="n">
        <v>1</v>
      </c>
      <c r="F23" s="11" t="s">
        <v>485</v>
      </c>
      <c r="G23" s="11" t="s">
        <v>486</v>
      </c>
      <c r="H23" s="38" t="n">
        <v>0</v>
      </c>
      <c r="I23" s="39" t="str">
        <f aca="false">IF(E23=1,IF(H23=0,"DESIGN AUTHORIZED / NO SERIAL","SERIAL EXISTS"),"HELD")</f>
        <v>DESIGN AUTHORIZED / NO SERIAL</v>
      </c>
    </row>
    <row r="24" customFormat="false" ht="15" hidden="false" customHeight="false" outlineLevel="0" collapsed="false">
      <c r="A24" s="11" t="s">
        <v>524</v>
      </c>
      <c r="B24" s="11" t="s">
        <v>95</v>
      </c>
      <c r="C24" s="11" t="s">
        <v>96</v>
      </c>
      <c r="D24" s="11" t="s">
        <v>488</v>
      </c>
      <c r="E24" s="36" t="n">
        <v>1</v>
      </c>
      <c r="F24" s="11" t="s">
        <v>489</v>
      </c>
      <c r="G24" s="11" t="s">
        <v>490</v>
      </c>
      <c r="H24" s="38" t="n">
        <v>0</v>
      </c>
      <c r="I24" s="39" t="str">
        <f aca="false">IF(E24=1,IF(H24=0,"DESIGN AUTHORIZED / NO SERIAL","SERIAL EXISTS"),"HELD")</f>
        <v>DESIGN AUTHORIZED / NO SERIAL</v>
      </c>
    </row>
    <row r="25" customFormat="false" ht="15" hidden="false" customHeight="false" outlineLevel="0" collapsed="false">
      <c r="A25" s="11" t="s">
        <v>525</v>
      </c>
      <c r="B25" s="11" t="s">
        <v>95</v>
      </c>
      <c r="C25" s="11" t="s">
        <v>96</v>
      </c>
      <c r="D25" s="11" t="s">
        <v>492</v>
      </c>
      <c r="E25" s="36" t="n">
        <v>1</v>
      </c>
      <c r="F25" s="11" t="s">
        <v>493</v>
      </c>
      <c r="G25" s="11" t="s">
        <v>494</v>
      </c>
      <c r="H25" s="38" t="n">
        <v>0</v>
      </c>
      <c r="I25" s="39" t="str">
        <f aca="false">IF(E25=1,IF(H25=0,"DESIGN AUTHORIZED / NO SERIAL","SERIAL EXISTS"),"HELD")</f>
        <v>DESIGN AUTHORIZED / NO SERIAL</v>
      </c>
    </row>
    <row r="26" customFormat="false" ht="15" hidden="false" customHeight="false" outlineLevel="0" collapsed="false">
      <c r="A26" s="11" t="s">
        <v>526</v>
      </c>
      <c r="B26" s="11" t="s">
        <v>95</v>
      </c>
      <c r="C26" s="11" t="s">
        <v>96</v>
      </c>
      <c r="D26" s="11" t="s">
        <v>496</v>
      </c>
      <c r="E26" s="36" t="n">
        <v>1</v>
      </c>
      <c r="F26" s="11" t="s">
        <v>497</v>
      </c>
      <c r="G26" s="11" t="s">
        <v>498</v>
      </c>
      <c r="H26" s="38" t="n">
        <v>0</v>
      </c>
      <c r="I26" s="39" t="str">
        <f aca="false">IF(E26=1,IF(H26=0,"DESIGN AUTHORIZED / NO SERIAL","SERIAL EXISTS"),"HELD")</f>
        <v>DESIGN AUTHORIZED / NO SERIAL</v>
      </c>
    </row>
    <row r="27" customFormat="false" ht="15" hidden="false" customHeight="false" outlineLevel="0" collapsed="false">
      <c r="A27" s="11" t="s">
        <v>527</v>
      </c>
      <c r="B27" s="11" t="s">
        <v>95</v>
      </c>
      <c r="C27" s="11" t="s">
        <v>96</v>
      </c>
      <c r="D27" s="11" t="s">
        <v>500</v>
      </c>
      <c r="E27" s="36" t="n">
        <v>1</v>
      </c>
      <c r="F27" s="11" t="s">
        <v>501</v>
      </c>
      <c r="G27" s="11" t="s">
        <v>502</v>
      </c>
      <c r="H27" s="38" t="n">
        <v>0</v>
      </c>
      <c r="I27" s="39" t="str">
        <f aca="false">IF(E27=1,IF(H27=0,"DESIGN AUTHORIZED / NO SERIAL","SERIAL EXISTS"),"HELD")</f>
        <v>DESIGN AUTHORIZED / NO SERIAL</v>
      </c>
    </row>
    <row r="28" customFormat="false" ht="15" hidden="false" customHeight="false" outlineLevel="0" collapsed="false">
      <c r="A28" s="11" t="s">
        <v>528</v>
      </c>
      <c r="B28" s="11" t="s">
        <v>95</v>
      </c>
      <c r="C28" s="11" t="s">
        <v>96</v>
      </c>
      <c r="D28" s="11" t="s">
        <v>504</v>
      </c>
      <c r="E28" s="36" t="n">
        <v>0</v>
      </c>
      <c r="F28" s="11" t="s">
        <v>505</v>
      </c>
      <c r="G28" s="11" t="s">
        <v>506</v>
      </c>
      <c r="H28" s="38" t="n">
        <v>0</v>
      </c>
      <c r="I28" s="39" t="str">
        <f aca="false">IF(E28=1,IF(H28=0,"DESIGN AUTHORIZED / NO SERIAL","SERIAL EXISTS"),"HELD")</f>
        <v>HELD</v>
      </c>
    </row>
    <row r="29" customFormat="false" ht="15" hidden="false" customHeight="false" outlineLevel="0" collapsed="false">
      <c r="A29" s="11" t="s">
        <v>529</v>
      </c>
      <c r="B29" s="11" t="s">
        <v>95</v>
      </c>
      <c r="C29" s="11" t="s">
        <v>96</v>
      </c>
      <c r="D29" s="11" t="s">
        <v>508</v>
      </c>
      <c r="E29" s="36" t="n">
        <v>0</v>
      </c>
      <c r="F29" s="11" t="s">
        <v>509</v>
      </c>
      <c r="G29" s="11" t="s">
        <v>510</v>
      </c>
      <c r="H29" s="38" t="n">
        <v>0</v>
      </c>
      <c r="I29" s="39" t="str">
        <f aca="false">IF(E29=1,IF(H29=0,"DESIGN AUTHORIZED / NO SERIAL","SERIAL EXISTS"),"HELD")</f>
        <v>HELD</v>
      </c>
    </row>
    <row r="30" customFormat="false" ht="15" hidden="false" customHeight="false" outlineLevel="0" collapsed="false">
      <c r="A30" s="11" t="s">
        <v>530</v>
      </c>
      <c r="B30" s="11" t="s">
        <v>95</v>
      </c>
      <c r="C30" s="11" t="s">
        <v>96</v>
      </c>
      <c r="D30" s="11" t="s">
        <v>512</v>
      </c>
      <c r="E30" s="36" t="n">
        <v>0</v>
      </c>
      <c r="F30" s="11" t="s">
        <v>513</v>
      </c>
      <c r="G30" s="11" t="s">
        <v>514</v>
      </c>
      <c r="H30" s="38" t="n">
        <v>0</v>
      </c>
      <c r="I30" s="39" t="str">
        <f aca="false">IF(E30=1,IF(H30=0,"DESIGN AUTHORIZED / NO SERIAL","SERIAL EXISTS"),"HELD")</f>
        <v>HELD</v>
      </c>
    </row>
    <row r="31" customFormat="false" ht="15" hidden="false" customHeight="false" outlineLevel="0" collapsed="false">
      <c r="A31" s="11" t="s">
        <v>531</v>
      </c>
      <c r="B31" s="11" t="s">
        <v>99</v>
      </c>
      <c r="C31" s="11" t="s">
        <v>100</v>
      </c>
      <c r="D31" s="11" t="s">
        <v>484</v>
      </c>
      <c r="E31" s="36" t="n">
        <v>1</v>
      </c>
      <c r="F31" s="11" t="s">
        <v>485</v>
      </c>
      <c r="G31" s="11" t="s">
        <v>486</v>
      </c>
      <c r="H31" s="38" t="n">
        <v>0</v>
      </c>
      <c r="I31" s="39" t="str">
        <f aca="false">IF(E31=1,IF(H31=0,"DESIGN AUTHORIZED / NO SERIAL","SERIAL EXISTS"),"HELD")</f>
        <v>DESIGN AUTHORIZED / NO SERIAL</v>
      </c>
    </row>
    <row r="32" customFormat="false" ht="15" hidden="false" customHeight="false" outlineLevel="0" collapsed="false">
      <c r="A32" s="11" t="s">
        <v>532</v>
      </c>
      <c r="B32" s="11" t="s">
        <v>99</v>
      </c>
      <c r="C32" s="11" t="s">
        <v>100</v>
      </c>
      <c r="D32" s="11" t="s">
        <v>488</v>
      </c>
      <c r="E32" s="36" t="n">
        <v>1</v>
      </c>
      <c r="F32" s="11" t="s">
        <v>489</v>
      </c>
      <c r="G32" s="11" t="s">
        <v>490</v>
      </c>
      <c r="H32" s="38" t="n">
        <v>0</v>
      </c>
      <c r="I32" s="39" t="str">
        <f aca="false">IF(E32=1,IF(H32=0,"DESIGN AUTHORIZED / NO SERIAL","SERIAL EXISTS"),"HELD")</f>
        <v>DESIGN AUTHORIZED / NO SERIAL</v>
      </c>
    </row>
    <row r="33" customFormat="false" ht="15" hidden="false" customHeight="false" outlineLevel="0" collapsed="false">
      <c r="A33" s="11" t="s">
        <v>533</v>
      </c>
      <c r="B33" s="11" t="s">
        <v>99</v>
      </c>
      <c r="C33" s="11" t="s">
        <v>100</v>
      </c>
      <c r="D33" s="11" t="s">
        <v>492</v>
      </c>
      <c r="E33" s="36" t="n">
        <v>1</v>
      </c>
      <c r="F33" s="11" t="s">
        <v>493</v>
      </c>
      <c r="G33" s="11" t="s">
        <v>494</v>
      </c>
      <c r="H33" s="38" t="n">
        <v>0</v>
      </c>
      <c r="I33" s="39" t="str">
        <f aca="false">IF(E33=1,IF(H33=0,"DESIGN AUTHORIZED / NO SERIAL","SERIAL EXISTS"),"HELD")</f>
        <v>DESIGN AUTHORIZED / NO SERIAL</v>
      </c>
    </row>
    <row r="34" customFormat="false" ht="15" hidden="false" customHeight="false" outlineLevel="0" collapsed="false">
      <c r="A34" s="11" t="s">
        <v>534</v>
      </c>
      <c r="B34" s="11" t="s">
        <v>99</v>
      </c>
      <c r="C34" s="11" t="s">
        <v>100</v>
      </c>
      <c r="D34" s="11" t="s">
        <v>496</v>
      </c>
      <c r="E34" s="36" t="n">
        <v>1</v>
      </c>
      <c r="F34" s="11" t="s">
        <v>497</v>
      </c>
      <c r="G34" s="11" t="s">
        <v>498</v>
      </c>
      <c r="H34" s="38" t="n">
        <v>0</v>
      </c>
      <c r="I34" s="39" t="str">
        <f aca="false">IF(E34=1,IF(H34=0,"DESIGN AUTHORIZED / NO SERIAL","SERIAL EXISTS"),"HELD")</f>
        <v>DESIGN AUTHORIZED / NO SERIAL</v>
      </c>
    </row>
    <row r="35" customFormat="false" ht="15" hidden="false" customHeight="false" outlineLevel="0" collapsed="false">
      <c r="A35" s="11" t="s">
        <v>535</v>
      </c>
      <c r="B35" s="11" t="s">
        <v>99</v>
      </c>
      <c r="C35" s="11" t="s">
        <v>100</v>
      </c>
      <c r="D35" s="11" t="s">
        <v>500</v>
      </c>
      <c r="E35" s="36" t="n">
        <v>1</v>
      </c>
      <c r="F35" s="11" t="s">
        <v>501</v>
      </c>
      <c r="G35" s="11" t="s">
        <v>502</v>
      </c>
      <c r="H35" s="38" t="n">
        <v>0</v>
      </c>
      <c r="I35" s="39" t="str">
        <f aca="false">IF(E35=1,IF(H35=0,"DESIGN AUTHORIZED / NO SERIAL","SERIAL EXISTS"),"HELD")</f>
        <v>DESIGN AUTHORIZED / NO SERIAL</v>
      </c>
    </row>
    <row r="36" customFormat="false" ht="15" hidden="false" customHeight="false" outlineLevel="0" collapsed="false">
      <c r="A36" s="11" t="s">
        <v>536</v>
      </c>
      <c r="B36" s="11" t="s">
        <v>99</v>
      </c>
      <c r="C36" s="11" t="s">
        <v>100</v>
      </c>
      <c r="D36" s="11" t="s">
        <v>504</v>
      </c>
      <c r="E36" s="36" t="n">
        <v>0</v>
      </c>
      <c r="F36" s="11" t="s">
        <v>505</v>
      </c>
      <c r="G36" s="11" t="s">
        <v>506</v>
      </c>
      <c r="H36" s="38" t="n">
        <v>0</v>
      </c>
      <c r="I36" s="39" t="str">
        <f aca="false">IF(E36=1,IF(H36=0,"DESIGN AUTHORIZED / NO SERIAL","SERIAL EXISTS"),"HELD")</f>
        <v>HELD</v>
      </c>
    </row>
    <row r="37" customFormat="false" ht="15" hidden="false" customHeight="false" outlineLevel="0" collapsed="false">
      <c r="A37" s="11" t="s">
        <v>537</v>
      </c>
      <c r="B37" s="11" t="s">
        <v>99</v>
      </c>
      <c r="C37" s="11" t="s">
        <v>100</v>
      </c>
      <c r="D37" s="11" t="s">
        <v>508</v>
      </c>
      <c r="E37" s="36" t="n">
        <v>0</v>
      </c>
      <c r="F37" s="11" t="s">
        <v>509</v>
      </c>
      <c r="G37" s="11" t="s">
        <v>510</v>
      </c>
      <c r="H37" s="38" t="n">
        <v>0</v>
      </c>
      <c r="I37" s="39" t="str">
        <f aca="false">IF(E37=1,IF(H37=0,"DESIGN AUTHORIZED / NO SERIAL","SERIAL EXISTS"),"HELD")</f>
        <v>HELD</v>
      </c>
    </row>
    <row r="38" customFormat="false" ht="15" hidden="false" customHeight="false" outlineLevel="0" collapsed="false">
      <c r="A38" s="11" t="s">
        <v>538</v>
      </c>
      <c r="B38" s="11" t="s">
        <v>99</v>
      </c>
      <c r="C38" s="11" t="s">
        <v>100</v>
      </c>
      <c r="D38" s="11" t="s">
        <v>512</v>
      </c>
      <c r="E38" s="36" t="n">
        <v>0</v>
      </c>
      <c r="F38" s="11" t="s">
        <v>513</v>
      </c>
      <c r="G38" s="11" t="s">
        <v>514</v>
      </c>
      <c r="H38" s="38" t="n">
        <v>0</v>
      </c>
      <c r="I38" s="39" t="str">
        <f aca="false">IF(E38=1,IF(H38=0,"DESIGN AUTHORIZED / NO SERIAL","SERIAL EXISTS"),"HELD")</f>
        <v>HELD</v>
      </c>
    </row>
    <row r="39" customFormat="false" ht="15" hidden="false" customHeight="false" outlineLevel="0" collapsed="false">
      <c r="A39" s="11" t="s">
        <v>539</v>
      </c>
      <c r="B39" s="11" t="s">
        <v>103</v>
      </c>
      <c r="C39" s="11" t="s">
        <v>104</v>
      </c>
      <c r="D39" s="11" t="s">
        <v>484</v>
      </c>
      <c r="E39" s="36" t="n">
        <v>1</v>
      </c>
      <c r="F39" s="11" t="s">
        <v>485</v>
      </c>
      <c r="G39" s="11" t="s">
        <v>486</v>
      </c>
      <c r="H39" s="38" t="n">
        <v>0</v>
      </c>
      <c r="I39" s="39" t="str">
        <f aca="false">IF(E39=1,IF(H39=0,"DESIGN AUTHORIZED / NO SERIAL","SERIAL EXISTS"),"HELD")</f>
        <v>DESIGN AUTHORIZED / NO SERIAL</v>
      </c>
    </row>
    <row r="40" customFormat="false" ht="15" hidden="false" customHeight="false" outlineLevel="0" collapsed="false">
      <c r="A40" s="11" t="s">
        <v>540</v>
      </c>
      <c r="B40" s="11" t="s">
        <v>103</v>
      </c>
      <c r="C40" s="11" t="s">
        <v>104</v>
      </c>
      <c r="D40" s="11" t="s">
        <v>488</v>
      </c>
      <c r="E40" s="36" t="n">
        <v>1</v>
      </c>
      <c r="F40" s="11" t="s">
        <v>489</v>
      </c>
      <c r="G40" s="11" t="s">
        <v>490</v>
      </c>
      <c r="H40" s="38" t="n">
        <v>0</v>
      </c>
      <c r="I40" s="39" t="str">
        <f aca="false">IF(E40=1,IF(H40=0,"DESIGN AUTHORIZED / NO SERIAL","SERIAL EXISTS"),"HELD")</f>
        <v>DESIGN AUTHORIZED / NO SERIAL</v>
      </c>
    </row>
    <row r="41" customFormat="false" ht="15" hidden="false" customHeight="false" outlineLevel="0" collapsed="false">
      <c r="A41" s="11" t="s">
        <v>541</v>
      </c>
      <c r="B41" s="11" t="s">
        <v>103</v>
      </c>
      <c r="C41" s="11" t="s">
        <v>104</v>
      </c>
      <c r="D41" s="11" t="s">
        <v>492</v>
      </c>
      <c r="E41" s="36" t="n">
        <v>1</v>
      </c>
      <c r="F41" s="11" t="s">
        <v>493</v>
      </c>
      <c r="G41" s="11" t="s">
        <v>494</v>
      </c>
      <c r="H41" s="38" t="n">
        <v>0</v>
      </c>
      <c r="I41" s="39" t="str">
        <f aca="false">IF(E41=1,IF(H41=0,"DESIGN AUTHORIZED / NO SERIAL","SERIAL EXISTS"),"HELD")</f>
        <v>DESIGN AUTHORIZED / NO SERIAL</v>
      </c>
    </row>
    <row r="42" customFormat="false" ht="15" hidden="false" customHeight="false" outlineLevel="0" collapsed="false">
      <c r="A42" s="11" t="s">
        <v>542</v>
      </c>
      <c r="B42" s="11" t="s">
        <v>103</v>
      </c>
      <c r="C42" s="11" t="s">
        <v>104</v>
      </c>
      <c r="D42" s="11" t="s">
        <v>496</v>
      </c>
      <c r="E42" s="36" t="n">
        <v>1</v>
      </c>
      <c r="F42" s="11" t="s">
        <v>497</v>
      </c>
      <c r="G42" s="11" t="s">
        <v>498</v>
      </c>
      <c r="H42" s="38" t="n">
        <v>0</v>
      </c>
      <c r="I42" s="39" t="str">
        <f aca="false">IF(E42=1,IF(H42=0,"DESIGN AUTHORIZED / NO SERIAL","SERIAL EXISTS"),"HELD")</f>
        <v>DESIGN AUTHORIZED / NO SERIAL</v>
      </c>
    </row>
    <row r="43" customFormat="false" ht="15" hidden="false" customHeight="false" outlineLevel="0" collapsed="false">
      <c r="A43" s="11" t="s">
        <v>543</v>
      </c>
      <c r="B43" s="11" t="s">
        <v>103</v>
      </c>
      <c r="C43" s="11" t="s">
        <v>104</v>
      </c>
      <c r="D43" s="11" t="s">
        <v>500</v>
      </c>
      <c r="E43" s="36" t="n">
        <v>1</v>
      </c>
      <c r="F43" s="11" t="s">
        <v>501</v>
      </c>
      <c r="G43" s="11" t="s">
        <v>502</v>
      </c>
      <c r="H43" s="38" t="n">
        <v>0</v>
      </c>
      <c r="I43" s="39" t="str">
        <f aca="false">IF(E43=1,IF(H43=0,"DESIGN AUTHORIZED / NO SERIAL","SERIAL EXISTS"),"HELD")</f>
        <v>DESIGN AUTHORIZED / NO SERIAL</v>
      </c>
    </row>
    <row r="44" customFormat="false" ht="15" hidden="false" customHeight="false" outlineLevel="0" collapsed="false">
      <c r="A44" s="11" t="s">
        <v>544</v>
      </c>
      <c r="B44" s="11" t="s">
        <v>103</v>
      </c>
      <c r="C44" s="11" t="s">
        <v>104</v>
      </c>
      <c r="D44" s="11" t="s">
        <v>504</v>
      </c>
      <c r="E44" s="36" t="n">
        <v>0</v>
      </c>
      <c r="F44" s="11" t="s">
        <v>505</v>
      </c>
      <c r="G44" s="11" t="s">
        <v>506</v>
      </c>
      <c r="H44" s="38" t="n">
        <v>0</v>
      </c>
      <c r="I44" s="39" t="str">
        <f aca="false">IF(E44=1,IF(H44=0,"DESIGN AUTHORIZED / NO SERIAL","SERIAL EXISTS"),"HELD")</f>
        <v>HELD</v>
      </c>
    </row>
    <row r="45" customFormat="false" ht="15" hidden="false" customHeight="false" outlineLevel="0" collapsed="false">
      <c r="A45" s="11" t="s">
        <v>545</v>
      </c>
      <c r="B45" s="11" t="s">
        <v>103</v>
      </c>
      <c r="C45" s="11" t="s">
        <v>104</v>
      </c>
      <c r="D45" s="11" t="s">
        <v>508</v>
      </c>
      <c r="E45" s="36" t="n">
        <v>0</v>
      </c>
      <c r="F45" s="11" t="s">
        <v>509</v>
      </c>
      <c r="G45" s="11" t="s">
        <v>510</v>
      </c>
      <c r="H45" s="38" t="n">
        <v>0</v>
      </c>
      <c r="I45" s="39" t="str">
        <f aca="false">IF(E45=1,IF(H45=0,"DESIGN AUTHORIZED / NO SERIAL","SERIAL EXISTS"),"HELD")</f>
        <v>HELD</v>
      </c>
    </row>
    <row r="46" customFormat="false" ht="15" hidden="false" customHeight="false" outlineLevel="0" collapsed="false">
      <c r="A46" s="11" t="s">
        <v>546</v>
      </c>
      <c r="B46" s="11" t="s">
        <v>103</v>
      </c>
      <c r="C46" s="11" t="s">
        <v>104</v>
      </c>
      <c r="D46" s="11" t="s">
        <v>512</v>
      </c>
      <c r="E46" s="36" t="n">
        <v>0</v>
      </c>
      <c r="F46" s="11" t="s">
        <v>513</v>
      </c>
      <c r="G46" s="11" t="s">
        <v>514</v>
      </c>
      <c r="H46" s="38" t="n">
        <v>0</v>
      </c>
      <c r="I46" s="39" t="str">
        <f aca="false">IF(E46=1,IF(H46=0,"DESIGN AUTHORIZED / NO SERIAL","SERIAL EXISTS"),"HELD")</f>
        <v>HELD</v>
      </c>
    </row>
    <row r="47" customFormat="false" ht="15" hidden="false" customHeight="false" outlineLevel="0" collapsed="false">
      <c r="A47" s="11" t="s">
        <v>547</v>
      </c>
      <c r="B47" s="11" t="s">
        <v>107</v>
      </c>
      <c r="C47" s="11" t="s">
        <v>108</v>
      </c>
      <c r="D47" s="11" t="s">
        <v>484</v>
      </c>
      <c r="E47" s="36" t="n">
        <v>1</v>
      </c>
      <c r="F47" s="11" t="s">
        <v>485</v>
      </c>
      <c r="G47" s="11" t="s">
        <v>486</v>
      </c>
      <c r="H47" s="38" t="n">
        <v>0</v>
      </c>
      <c r="I47" s="39" t="str">
        <f aca="false">IF(E47=1,IF(H47=0,"DESIGN AUTHORIZED / NO SERIAL","SERIAL EXISTS"),"HELD")</f>
        <v>DESIGN AUTHORIZED / NO SERIAL</v>
      </c>
    </row>
    <row r="48" customFormat="false" ht="15" hidden="false" customHeight="false" outlineLevel="0" collapsed="false">
      <c r="A48" s="11" t="s">
        <v>548</v>
      </c>
      <c r="B48" s="11" t="s">
        <v>107</v>
      </c>
      <c r="C48" s="11" t="s">
        <v>108</v>
      </c>
      <c r="D48" s="11" t="s">
        <v>488</v>
      </c>
      <c r="E48" s="36" t="n">
        <v>1</v>
      </c>
      <c r="F48" s="11" t="s">
        <v>489</v>
      </c>
      <c r="G48" s="11" t="s">
        <v>490</v>
      </c>
      <c r="H48" s="38" t="n">
        <v>0</v>
      </c>
      <c r="I48" s="39" t="str">
        <f aca="false">IF(E48=1,IF(H48=0,"DESIGN AUTHORIZED / NO SERIAL","SERIAL EXISTS"),"HELD")</f>
        <v>DESIGN AUTHORIZED / NO SERIAL</v>
      </c>
    </row>
    <row r="49" customFormat="false" ht="15" hidden="false" customHeight="false" outlineLevel="0" collapsed="false">
      <c r="A49" s="11" t="s">
        <v>549</v>
      </c>
      <c r="B49" s="11" t="s">
        <v>107</v>
      </c>
      <c r="C49" s="11" t="s">
        <v>108</v>
      </c>
      <c r="D49" s="11" t="s">
        <v>492</v>
      </c>
      <c r="E49" s="36" t="n">
        <v>1</v>
      </c>
      <c r="F49" s="11" t="s">
        <v>493</v>
      </c>
      <c r="G49" s="11" t="s">
        <v>494</v>
      </c>
      <c r="H49" s="38" t="n">
        <v>0</v>
      </c>
      <c r="I49" s="39" t="str">
        <f aca="false">IF(E49=1,IF(H49=0,"DESIGN AUTHORIZED / NO SERIAL","SERIAL EXISTS"),"HELD")</f>
        <v>DESIGN AUTHORIZED / NO SERIAL</v>
      </c>
    </row>
    <row r="50" customFormat="false" ht="15" hidden="false" customHeight="false" outlineLevel="0" collapsed="false">
      <c r="A50" s="11" t="s">
        <v>550</v>
      </c>
      <c r="B50" s="11" t="s">
        <v>107</v>
      </c>
      <c r="C50" s="11" t="s">
        <v>108</v>
      </c>
      <c r="D50" s="11" t="s">
        <v>496</v>
      </c>
      <c r="E50" s="36" t="n">
        <v>1</v>
      </c>
      <c r="F50" s="11" t="s">
        <v>497</v>
      </c>
      <c r="G50" s="11" t="s">
        <v>498</v>
      </c>
      <c r="H50" s="38" t="n">
        <v>0</v>
      </c>
      <c r="I50" s="39" t="str">
        <f aca="false">IF(E50=1,IF(H50=0,"DESIGN AUTHORIZED / NO SERIAL","SERIAL EXISTS"),"HELD")</f>
        <v>DESIGN AUTHORIZED / NO SERIAL</v>
      </c>
    </row>
    <row r="51" customFormat="false" ht="15" hidden="false" customHeight="false" outlineLevel="0" collapsed="false">
      <c r="A51" s="11" t="s">
        <v>551</v>
      </c>
      <c r="B51" s="11" t="s">
        <v>107</v>
      </c>
      <c r="C51" s="11" t="s">
        <v>108</v>
      </c>
      <c r="D51" s="11" t="s">
        <v>500</v>
      </c>
      <c r="E51" s="36" t="n">
        <v>1</v>
      </c>
      <c r="F51" s="11" t="s">
        <v>501</v>
      </c>
      <c r="G51" s="11" t="s">
        <v>502</v>
      </c>
      <c r="H51" s="38" t="n">
        <v>0</v>
      </c>
      <c r="I51" s="39" t="str">
        <f aca="false">IF(E51=1,IF(H51=0,"DESIGN AUTHORIZED / NO SERIAL","SERIAL EXISTS"),"HELD")</f>
        <v>DESIGN AUTHORIZED / NO SERIAL</v>
      </c>
    </row>
    <row r="52" customFormat="false" ht="15" hidden="false" customHeight="false" outlineLevel="0" collapsed="false">
      <c r="A52" s="11" t="s">
        <v>552</v>
      </c>
      <c r="B52" s="11" t="s">
        <v>107</v>
      </c>
      <c r="C52" s="11" t="s">
        <v>108</v>
      </c>
      <c r="D52" s="11" t="s">
        <v>504</v>
      </c>
      <c r="E52" s="36" t="n">
        <v>0</v>
      </c>
      <c r="F52" s="11" t="s">
        <v>505</v>
      </c>
      <c r="G52" s="11" t="s">
        <v>506</v>
      </c>
      <c r="H52" s="38" t="n">
        <v>0</v>
      </c>
      <c r="I52" s="39" t="str">
        <f aca="false">IF(E52=1,IF(H52=0,"DESIGN AUTHORIZED / NO SERIAL","SERIAL EXISTS"),"HELD")</f>
        <v>HELD</v>
      </c>
    </row>
    <row r="53" customFormat="false" ht="15" hidden="false" customHeight="false" outlineLevel="0" collapsed="false">
      <c r="A53" s="11" t="s">
        <v>553</v>
      </c>
      <c r="B53" s="11" t="s">
        <v>107</v>
      </c>
      <c r="C53" s="11" t="s">
        <v>108</v>
      </c>
      <c r="D53" s="11" t="s">
        <v>508</v>
      </c>
      <c r="E53" s="36" t="n">
        <v>0</v>
      </c>
      <c r="F53" s="11" t="s">
        <v>509</v>
      </c>
      <c r="G53" s="11" t="s">
        <v>510</v>
      </c>
      <c r="H53" s="38" t="n">
        <v>0</v>
      </c>
      <c r="I53" s="39" t="str">
        <f aca="false">IF(E53=1,IF(H53=0,"DESIGN AUTHORIZED / NO SERIAL","SERIAL EXISTS"),"HELD")</f>
        <v>HELD</v>
      </c>
    </row>
    <row r="54" customFormat="false" ht="15" hidden="false" customHeight="false" outlineLevel="0" collapsed="false">
      <c r="A54" s="15" t="s">
        <v>554</v>
      </c>
      <c r="B54" s="15" t="s">
        <v>107</v>
      </c>
      <c r="C54" s="15" t="s">
        <v>108</v>
      </c>
      <c r="D54" s="15" t="s">
        <v>512</v>
      </c>
      <c r="E54" s="40" t="n">
        <v>0</v>
      </c>
      <c r="F54" s="15" t="s">
        <v>513</v>
      </c>
      <c r="G54" s="15" t="s">
        <v>514</v>
      </c>
      <c r="H54" s="42" t="n">
        <v>0</v>
      </c>
      <c r="I54" s="43" t="str">
        <f aca="false">IF(E54=1,IF(H54=0,"DESIGN AUTHORIZED / NO SERIAL","SERIAL EXISTS"),"HELD")</f>
        <v>HELD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2"/>
  </cols>
  <sheetData>
    <row r="2" customFormat="false" ht="24" hidden="false" customHeight="true" outlineLevel="0" collapsed="false">
      <c r="A2" s="1" t="s">
        <v>555</v>
      </c>
      <c r="B2" s="1"/>
      <c r="C2" s="1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8" t="s">
        <v>556</v>
      </c>
      <c r="B4" s="18"/>
      <c r="C4" s="18"/>
    </row>
    <row r="5" customFormat="false" ht="15" hidden="false" customHeight="false" outlineLevel="0" collapsed="false">
      <c r="A5" s="6"/>
      <c r="B5" s="6"/>
      <c r="C5" s="6"/>
    </row>
    <row r="6" customFormat="false" ht="24" hidden="false" customHeight="true" outlineLevel="0" collapsed="false">
      <c r="A6" s="19" t="s">
        <v>557</v>
      </c>
      <c r="B6" s="20" t="s">
        <v>558</v>
      </c>
      <c r="C6" s="21" t="s">
        <v>559</v>
      </c>
    </row>
    <row r="7" customFormat="false" ht="15" hidden="false" customHeight="false" outlineLevel="0" collapsed="false">
      <c r="A7" s="7" t="s">
        <v>560</v>
      </c>
      <c r="B7" s="7" t="s">
        <v>561</v>
      </c>
      <c r="C7" s="7" t="s">
        <v>562</v>
      </c>
    </row>
    <row r="8" customFormat="false" ht="15" hidden="false" customHeight="false" outlineLevel="0" collapsed="false">
      <c r="A8" s="11" t="s">
        <v>563</v>
      </c>
      <c r="B8" s="11" t="s">
        <v>564</v>
      </c>
      <c r="C8" s="11" t="s">
        <v>565</v>
      </c>
    </row>
    <row r="9" customFormat="false" ht="15" hidden="false" customHeight="false" outlineLevel="0" collapsed="false">
      <c r="A9" s="11" t="s">
        <v>566</v>
      </c>
      <c r="B9" s="11" t="s">
        <v>567</v>
      </c>
      <c r="C9" s="11" t="s">
        <v>568</v>
      </c>
    </row>
    <row r="10" customFormat="false" ht="15" hidden="false" customHeight="false" outlineLevel="0" collapsed="false">
      <c r="A10" s="11" t="s">
        <v>569</v>
      </c>
      <c r="B10" s="11" t="s">
        <v>570</v>
      </c>
      <c r="C10" s="11" t="s">
        <v>571</v>
      </c>
    </row>
    <row r="11" customFormat="false" ht="15" hidden="false" customHeight="false" outlineLevel="0" collapsed="false">
      <c r="A11" s="11" t="s">
        <v>572</v>
      </c>
      <c r="B11" s="11" t="s">
        <v>573</v>
      </c>
      <c r="C11" s="11" t="s">
        <v>574</v>
      </c>
    </row>
    <row r="12" customFormat="false" ht="15" hidden="false" customHeight="false" outlineLevel="0" collapsed="false">
      <c r="A12" s="11" t="s">
        <v>575</v>
      </c>
      <c r="B12" s="11" t="s">
        <v>576</v>
      </c>
      <c r="C12" s="11" t="s">
        <v>577</v>
      </c>
    </row>
    <row r="13" customFormat="false" ht="15" hidden="false" customHeight="false" outlineLevel="0" collapsed="false">
      <c r="A13" s="11" t="s">
        <v>578</v>
      </c>
      <c r="B13" s="11" t="s">
        <v>579</v>
      </c>
      <c r="C13" s="11" t="s">
        <v>580</v>
      </c>
    </row>
    <row r="14" customFormat="false" ht="15" hidden="false" customHeight="false" outlineLevel="0" collapsed="false">
      <c r="A14" s="11" t="s">
        <v>581</v>
      </c>
      <c r="B14" s="11" t="s">
        <v>582</v>
      </c>
      <c r="C14" s="11" t="s">
        <v>583</v>
      </c>
    </row>
    <row r="15" customFormat="false" ht="15" hidden="false" customHeight="false" outlineLevel="0" collapsed="false">
      <c r="A15" s="11" t="s">
        <v>584</v>
      </c>
      <c r="B15" s="11" t="s">
        <v>585</v>
      </c>
      <c r="C15" s="11" t="s">
        <v>586</v>
      </c>
    </row>
    <row r="16" customFormat="false" ht="15" hidden="false" customHeight="false" outlineLevel="0" collapsed="false">
      <c r="A16" s="11" t="s">
        <v>587</v>
      </c>
      <c r="B16" s="11" t="s">
        <v>588</v>
      </c>
      <c r="C16" s="11" t="s">
        <v>589</v>
      </c>
    </row>
    <row r="17" customFormat="false" ht="15" hidden="false" customHeight="false" outlineLevel="0" collapsed="false">
      <c r="A17" s="11" t="s">
        <v>590</v>
      </c>
      <c r="B17" s="11" t="s">
        <v>591</v>
      </c>
      <c r="C17" s="11" t="s">
        <v>592</v>
      </c>
    </row>
    <row r="18" customFormat="false" ht="15" hidden="false" customHeight="false" outlineLevel="0" collapsed="false">
      <c r="A18" s="11" t="s">
        <v>593</v>
      </c>
      <c r="B18" s="11" t="s">
        <v>594</v>
      </c>
      <c r="C18" s="11" t="s">
        <v>595</v>
      </c>
    </row>
    <row r="19" customFormat="false" ht="15" hidden="false" customHeight="false" outlineLevel="0" collapsed="false">
      <c r="A19" s="11" t="s">
        <v>596</v>
      </c>
      <c r="B19" s="11" t="s">
        <v>597</v>
      </c>
      <c r="C19" s="11" t="s">
        <v>598</v>
      </c>
    </row>
    <row r="20" customFormat="false" ht="15" hidden="false" customHeight="false" outlineLevel="0" collapsed="false">
      <c r="A20" s="11" t="s">
        <v>599</v>
      </c>
      <c r="B20" s="11" t="s">
        <v>600</v>
      </c>
      <c r="C20" s="11" t="s">
        <v>601</v>
      </c>
    </row>
    <row r="21" customFormat="false" ht="15" hidden="false" customHeight="false" outlineLevel="0" collapsed="false">
      <c r="A21" s="11" t="s">
        <v>602</v>
      </c>
      <c r="B21" s="11" t="s">
        <v>603</v>
      </c>
      <c r="C21" s="11" t="s">
        <v>604</v>
      </c>
    </row>
    <row r="22" customFormat="false" ht="15" hidden="false" customHeight="false" outlineLevel="0" collapsed="false">
      <c r="A22" s="11" t="s">
        <v>605</v>
      </c>
      <c r="B22" s="11" t="s">
        <v>606</v>
      </c>
      <c r="C22" s="11" t="s">
        <v>607</v>
      </c>
    </row>
    <row r="23" customFormat="false" ht="15" hidden="false" customHeight="false" outlineLevel="0" collapsed="false">
      <c r="A23" s="11" t="s">
        <v>608</v>
      </c>
      <c r="B23" s="11" t="s">
        <v>609</v>
      </c>
      <c r="C23" s="11" t="s">
        <v>610</v>
      </c>
    </row>
    <row r="24" customFormat="false" ht="15" hidden="false" customHeight="false" outlineLevel="0" collapsed="false">
      <c r="A24" s="15" t="s">
        <v>611</v>
      </c>
      <c r="B24" s="15" t="s">
        <v>612</v>
      </c>
      <c r="C24" s="15" t="s">
        <v>613</v>
      </c>
    </row>
  </sheetData>
  <mergeCells count="2">
    <mergeCell ref="A2:C2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52"/>
    <col collapsed="false" customWidth="true" hidden="false" outlineLevel="0" max="4" min="4" style="0" width="62"/>
  </cols>
  <sheetData>
    <row r="2" customFormat="false" ht="24" hidden="false" customHeight="true" outlineLevel="0" collapsed="false">
      <c r="A2" s="1" t="s">
        <v>614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8" t="s">
        <v>615</v>
      </c>
      <c r="B4" s="18"/>
      <c r="C4" s="18"/>
      <c r="D4" s="18"/>
    </row>
    <row r="5" customFormat="false" ht="15" hidden="false" customHeight="false" outlineLevel="0" collapsed="false">
      <c r="A5" s="6"/>
      <c r="B5" s="6"/>
      <c r="C5" s="6"/>
      <c r="D5" s="6"/>
    </row>
    <row r="6" customFormat="false" ht="24" hidden="false" customHeight="true" outlineLevel="0" collapsed="false">
      <c r="A6" s="19" t="s">
        <v>616</v>
      </c>
      <c r="B6" s="20" t="s">
        <v>617</v>
      </c>
      <c r="C6" s="20" t="s">
        <v>618</v>
      </c>
      <c r="D6" s="21" t="s">
        <v>619</v>
      </c>
    </row>
    <row r="7" customFormat="false" ht="15" hidden="false" customHeight="false" outlineLevel="0" collapsed="false">
      <c r="A7" s="7" t="s">
        <v>620</v>
      </c>
      <c r="B7" s="7" t="s">
        <v>621</v>
      </c>
      <c r="C7" s="7" t="s">
        <v>622</v>
      </c>
      <c r="D7" s="7" t="s">
        <v>623</v>
      </c>
    </row>
    <row r="8" customFormat="false" ht="15" hidden="false" customHeight="false" outlineLevel="0" collapsed="false">
      <c r="A8" s="11" t="s">
        <v>624</v>
      </c>
      <c r="B8" s="11" t="s">
        <v>625</v>
      </c>
      <c r="C8" s="11" t="s">
        <v>622</v>
      </c>
      <c r="D8" s="11" t="s">
        <v>626</v>
      </c>
    </row>
    <row r="9" customFormat="false" ht="15" hidden="false" customHeight="false" outlineLevel="0" collapsed="false">
      <c r="A9" s="11" t="s">
        <v>627</v>
      </c>
      <c r="B9" s="11" t="s">
        <v>628</v>
      </c>
      <c r="C9" s="11" t="s">
        <v>629</v>
      </c>
      <c r="D9" s="11" t="s">
        <v>630</v>
      </c>
    </row>
    <row r="10" customFormat="false" ht="15" hidden="false" customHeight="false" outlineLevel="0" collapsed="false">
      <c r="A10" s="11" t="s">
        <v>631</v>
      </c>
      <c r="B10" s="11" t="s">
        <v>632</v>
      </c>
      <c r="C10" s="11" t="s">
        <v>633</v>
      </c>
      <c r="D10" s="11" t="s">
        <v>634</v>
      </c>
    </row>
    <row r="11" customFormat="false" ht="15" hidden="false" customHeight="false" outlineLevel="0" collapsed="false">
      <c r="A11" s="11" t="s">
        <v>635</v>
      </c>
      <c r="B11" s="11" t="s">
        <v>636</v>
      </c>
      <c r="C11" s="11" t="s">
        <v>637</v>
      </c>
      <c r="D11" s="11" t="s">
        <v>638</v>
      </c>
    </row>
    <row r="12" customFormat="false" ht="15" hidden="false" customHeight="false" outlineLevel="0" collapsed="false">
      <c r="A12" s="11" t="s">
        <v>639</v>
      </c>
      <c r="B12" s="11" t="s">
        <v>640</v>
      </c>
      <c r="C12" s="11" t="s">
        <v>641</v>
      </c>
      <c r="D12" s="11" t="s">
        <v>642</v>
      </c>
    </row>
    <row r="13" customFormat="false" ht="15" hidden="false" customHeight="false" outlineLevel="0" collapsed="false">
      <c r="A13" s="11" t="s">
        <v>643</v>
      </c>
      <c r="B13" s="11" t="s">
        <v>644</v>
      </c>
      <c r="C13" s="11" t="s">
        <v>645</v>
      </c>
      <c r="D13" s="11" t="s">
        <v>646</v>
      </c>
    </row>
    <row r="14" customFormat="false" ht="15" hidden="false" customHeight="false" outlineLevel="0" collapsed="false">
      <c r="A14" s="11" t="s">
        <v>647</v>
      </c>
      <c r="B14" s="11" t="s">
        <v>648</v>
      </c>
      <c r="C14" s="11" t="s">
        <v>645</v>
      </c>
      <c r="D14" s="11" t="s">
        <v>649</v>
      </c>
    </row>
    <row r="15" customFormat="false" ht="15" hidden="false" customHeight="false" outlineLevel="0" collapsed="false">
      <c r="A15" s="11" t="s">
        <v>650</v>
      </c>
      <c r="B15" s="11" t="s">
        <v>651</v>
      </c>
      <c r="C15" s="11" t="s">
        <v>652</v>
      </c>
      <c r="D15" s="11" t="s">
        <v>653</v>
      </c>
    </row>
    <row r="16" customFormat="false" ht="15" hidden="false" customHeight="false" outlineLevel="0" collapsed="false">
      <c r="A16" s="11" t="s">
        <v>654</v>
      </c>
      <c r="B16" s="11" t="s">
        <v>157</v>
      </c>
      <c r="C16" s="11" t="s">
        <v>655</v>
      </c>
      <c r="D16" s="11" t="s">
        <v>656</v>
      </c>
    </row>
    <row r="17" customFormat="false" ht="15" hidden="false" customHeight="false" outlineLevel="0" collapsed="false">
      <c r="A17" s="11" t="s">
        <v>657</v>
      </c>
      <c r="B17" s="11" t="s">
        <v>658</v>
      </c>
      <c r="C17" s="11" t="s">
        <v>159</v>
      </c>
      <c r="D17" s="11" t="s">
        <v>659</v>
      </c>
    </row>
    <row r="18" customFormat="false" ht="15" hidden="false" customHeight="false" outlineLevel="0" collapsed="false">
      <c r="A18" s="15" t="s">
        <v>660</v>
      </c>
      <c r="B18" s="15" t="s">
        <v>661</v>
      </c>
      <c r="C18" s="15" t="s">
        <v>662</v>
      </c>
      <c r="D18" s="15" t="s">
        <v>663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25"/>
    <col collapsed="false" customWidth="true" hidden="false" outlineLevel="0" max="7" min="7" style="0" width="35"/>
    <col collapsed="false" customWidth="true" hidden="false" outlineLevel="0" max="8" min="8" style="0" width="18"/>
    <col collapsed="false" customWidth="true" hidden="false" outlineLevel="0" max="10" min="9" style="0" width="16"/>
  </cols>
  <sheetData>
    <row r="2" customFormat="false" ht="24" hidden="false" customHeight="true" outlineLevel="0" collapsed="false">
      <c r="A2" s="1" t="s">
        <v>664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8" t="s">
        <v>665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24" hidden="false" customHeight="true" outlineLevel="0" collapsed="false">
      <c r="A6" s="19" t="s">
        <v>69</v>
      </c>
      <c r="B6" s="20" t="s">
        <v>70</v>
      </c>
      <c r="C6" s="20" t="s">
        <v>71</v>
      </c>
      <c r="D6" s="20" t="s">
        <v>72</v>
      </c>
      <c r="E6" s="20" t="s">
        <v>62</v>
      </c>
      <c r="F6" s="20" t="s">
        <v>666</v>
      </c>
      <c r="G6" s="20" t="s">
        <v>667</v>
      </c>
      <c r="H6" s="20" t="s">
        <v>668</v>
      </c>
      <c r="I6" s="20" t="s">
        <v>669</v>
      </c>
      <c r="J6" s="21" t="s">
        <v>4</v>
      </c>
    </row>
    <row r="7" customFormat="false" ht="15" hidden="false" customHeight="false" outlineLevel="0" collapsed="false">
      <c r="A7" s="7" t="s">
        <v>87</v>
      </c>
      <c r="B7" s="7" t="s">
        <v>88</v>
      </c>
      <c r="C7" s="7" t="s">
        <v>89</v>
      </c>
      <c r="D7" s="44" t="n">
        <v>0.50047461808185</v>
      </c>
      <c r="E7" s="45" t="n">
        <f aca="false">Controls!$B$27</f>
        <v>0.15</v>
      </c>
      <c r="F7" s="46" t="n">
        <f aca="false">D7*E7</f>
        <v>0.0750711927122775</v>
      </c>
      <c r="G7" s="47" t="n">
        <v>0</v>
      </c>
      <c r="H7" s="47" t="n">
        <v>0</v>
      </c>
      <c r="I7" s="47" t="n">
        <v>0</v>
      </c>
      <c r="J7" s="9" t="s">
        <v>670</v>
      </c>
    </row>
    <row r="8" customFormat="false" ht="15" hidden="false" customHeight="false" outlineLevel="0" collapsed="false">
      <c r="A8" s="11" t="s">
        <v>91</v>
      </c>
      <c r="B8" s="11" t="s">
        <v>92</v>
      </c>
      <c r="C8" s="11" t="s">
        <v>93</v>
      </c>
      <c r="D8" s="48" t="n">
        <v>0.51649348177396</v>
      </c>
      <c r="E8" s="49" t="n">
        <f aca="false">Controls!$B$27</f>
        <v>0.15</v>
      </c>
      <c r="F8" s="14" t="n">
        <f aca="false">D8*E8</f>
        <v>0.077474022266094</v>
      </c>
      <c r="G8" s="50" t="n">
        <v>0</v>
      </c>
      <c r="H8" s="50" t="n">
        <v>0</v>
      </c>
      <c r="I8" s="50" t="n">
        <v>0</v>
      </c>
      <c r="J8" s="13" t="s">
        <v>670</v>
      </c>
    </row>
    <row r="9" customFormat="false" ht="15" hidden="false" customHeight="false" outlineLevel="0" collapsed="false">
      <c r="A9" s="11" t="s">
        <v>95</v>
      </c>
      <c r="B9" s="11" t="s">
        <v>96</v>
      </c>
      <c r="C9" s="11" t="s">
        <v>97</v>
      </c>
      <c r="D9" s="48" t="n">
        <v>0.307221654067133</v>
      </c>
      <c r="E9" s="49" t="n">
        <f aca="false">Controls!$B$27</f>
        <v>0.15</v>
      </c>
      <c r="F9" s="14" t="n">
        <f aca="false">D9*E9</f>
        <v>0.0460832481100699</v>
      </c>
      <c r="G9" s="50" t="n">
        <v>0</v>
      </c>
      <c r="H9" s="50" t="n">
        <v>0</v>
      </c>
      <c r="I9" s="50" t="n">
        <v>0</v>
      </c>
      <c r="J9" s="13" t="s">
        <v>670</v>
      </c>
    </row>
    <row r="10" customFormat="false" ht="15" hidden="false" customHeight="false" outlineLevel="0" collapsed="false">
      <c r="A10" s="11" t="s">
        <v>99</v>
      </c>
      <c r="B10" s="11" t="s">
        <v>100</v>
      </c>
      <c r="C10" s="11" t="s">
        <v>101</v>
      </c>
      <c r="D10" s="48" t="n">
        <v>0.899412819320565</v>
      </c>
      <c r="E10" s="49" t="n">
        <f aca="false">Controls!$B$27</f>
        <v>0.15</v>
      </c>
      <c r="F10" s="14" t="n">
        <f aca="false">D10*E10</f>
        <v>0.134911922898085</v>
      </c>
      <c r="G10" s="50" t="n">
        <v>0</v>
      </c>
      <c r="H10" s="50" t="n">
        <v>0</v>
      </c>
      <c r="I10" s="50" t="n">
        <v>0</v>
      </c>
      <c r="J10" s="13" t="s">
        <v>670</v>
      </c>
    </row>
    <row r="11" customFormat="false" ht="15" hidden="false" customHeight="false" outlineLevel="0" collapsed="false">
      <c r="A11" s="11" t="s">
        <v>103</v>
      </c>
      <c r="B11" s="11" t="s">
        <v>104</v>
      </c>
      <c r="C11" s="11" t="s">
        <v>105</v>
      </c>
      <c r="D11" s="48" t="n">
        <v>0.860712452941095</v>
      </c>
      <c r="E11" s="49" t="n">
        <f aca="false">Controls!$B$27</f>
        <v>0.15</v>
      </c>
      <c r="F11" s="14" t="n">
        <f aca="false">D11*E11</f>
        <v>0.129106867941164</v>
      </c>
      <c r="G11" s="50" t="n">
        <v>0</v>
      </c>
      <c r="H11" s="50" t="n">
        <v>0</v>
      </c>
      <c r="I11" s="50" t="n">
        <v>0</v>
      </c>
      <c r="J11" s="13" t="s">
        <v>670</v>
      </c>
    </row>
    <row r="12" customFormat="false" ht="15" hidden="false" customHeight="false" outlineLevel="0" collapsed="false">
      <c r="A12" s="15" t="s">
        <v>107</v>
      </c>
      <c r="B12" s="15" t="s">
        <v>108</v>
      </c>
      <c r="C12" s="15" t="s">
        <v>109</v>
      </c>
      <c r="D12" s="51" t="n">
        <v>0.502597793135963</v>
      </c>
      <c r="E12" s="52" t="n">
        <f aca="false">Controls!$B$27</f>
        <v>0.15</v>
      </c>
      <c r="F12" s="53" t="n">
        <f aca="false">D12*E12</f>
        <v>0.0753896689703944</v>
      </c>
      <c r="G12" s="54" t="n">
        <v>0</v>
      </c>
      <c r="H12" s="54" t="n">
        <v>0</v>
      </c>
      <c r="I12" s="54" t="n">
        <v>0</v>
      </c>
      <c r="J12" s="17" t="s">
        <v>670</v>
      </c>
    </row>
    <row r="13" customFormat="false" ht="24" hidden="false" customHeight="true" outlineLevel="0" collapsed="false">
      <c r="A13" s="55" t="s">
        <v>671</v>
      </c>
      <c r="B13" s="56" t="s">
        <v>672</v>
      </c>
      <c r="C13" s="56" t="s">
        <v>673</v>
      </c>
      <c r="D13" s="57" t="n">
        <f aca="false">SUM(D7:D12)</f>
        <v>3.58691281932057</v>
      </c>
      <c r="E13" s="56"/>
      <c r="F13" s="57" t="n">
        <f aca="false">SUM(F7:F12)</f>
        <v>0.538036922898085</v>
      </c>
      <c r="G13" s="57" t="n">
        <f aca="false">SUM(G7:G12)</f>
        <v>0</v>
      </c>
      <c r="H13" s="57" t="n">
        <f aca="false">SUM(H7:H12)</f>
        <v>0</v>
      </c>
      <c r="I13" s="57" t="n">
        <f aca="false">SUM(I7:I12)</f>
        <v>0</v>
      </c>
      <c r="J13" s="58" t="s">
        <v>670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42"/>
    <col collapsed="false" customWidth="true" hidden="false" outlineLevel="0" max="10" min="10" style="0" width="28"/>
  </cols>
  <sheetData>
    <row r="2" customFormat="false" ht="24" hidden="false" customHeight="true" outlineLevel="0" collapsed="false">
      <c r="A2" s="1" t="s">
        <v>674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8" t="s">
        <v>675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24" hidden="false" customHeight="true" outlineLevel="0" collapsed="false">
      <c r="A6" s="19" t="s">
        <v>676</v>
      </c>
      <c r="B6" s="20" t="s">
        <v>69</v>
      </c>
      <c r="C6" s="20" t="s">
        <v>70</v>
      </c>
      <c r="D6" s="20" t="s">
        <v>677</v>
      </c>
      <c r="E6" s="20" t="s">
        <v>678</v>
      </c>
      <c r="F6" s="20" t="s">
        <v>4</v>
      </c>
      <c r="G6" s="20" t="s">
        <v>679</v>
      </c>
      <c r="H6" s="20" t="s">
        <v>680</v>
      </c>
      <c r="I6" s="20" t="s">
        <v>681</v>
      </c>
      <c r="J6" s="21" t="s">
        <v>682</v>
      </c>
    </row>
    <row r="7" customFormat="false" ht="15" hidden="false" customHeight="false" outlineLevel="0" collapsed="false">
      <c r="A7" s="7" t="s">
        <v>683</v>
      </c>
      <c r="B7" s="7" t="s">
        <v>87</v>
      </c>
      <c r="C7" s="7" t="s">
        <v>88</v>
      </c>
      <c r="D7" s="32" t="n">
        <v>1</v>
      </c>
      <c r="E7" s="7" t="s">
        <v>684</v>
      </c>
      <c r="F7" s="7" t="s">
        <v>7</v>
      </c>
      <c r="G7" s="32" t="n">
        <v>1</v>
      </c>
      <c r="H7" s="34" t="n">
        <v>0</v>
      </c>
      <c r="I7" s="9" t="s">
        <v>685</v>
      </c>
      <c r="J7" s="9" t="s">
        <v>686</v>
      </c>
    </row>
    <row r="8" customFormat="false" ht="15" hidden="false" customHeight="false" outlineLevel="0" collapsed="false">
      <c r="A8" s="11" t="s">
        <v>687</v>
      </c>
      <c r="B8" s="11" t="s">
        <v>87</v>
      </c>
      <c r="C8" s="11" t="s">
        <v>88</v>
      </c>
      <c r="D8" s="36" t="n">
        <v>2</v>
      </c>
      <c r="E8" s="11" t="s">
        <v>688</v>
      </c>
      <c r="F8" s="11" t="s">
        <v>7</v>
      </c>
      <c r="G8" s="36" t="n">
        <v>1</v>
      </c>
      <c r="H8" s="38" t="n">
        <v>0</v>
      </c>
      <c r="I8" s="13" t="s">
        <v>685</v>
      </c>
      <c r="J8" s="13" t="s">
        <v>686</v>
      </c>
    </row>
    <row r="9" customFormat="false" ht="15" hidden="false" customHeight="false" outlineLevel="0" collapsed="false">
      <c r="A9" s="11" t="s">
        <v>689</v>
      </c>
      <c r="B9" s="11" t="s">
        <v>87</v>
      </c>
      <c r="C9" s="11" t="s">
        <v>88</v>
      </c>
      <c r="D9" s="36" t="n">
        <v>3</v>
      </c>
      <c r="E9" s="11" t="s">
        <v>690</v>
      </c>
      <c r="F9" s="11" t="s">
        <v>7</v>
      </c>
      <c r="G9" s="36" t="n">
        <v>1</v>
      </c>
      <c r="H9" s="38" t="n">
        <v>0</v>
      </c>
      <c r="I9" s="13" t="s">
        <v>685</v>
      </c>
      <c r="J9" s="13" t="s">
        <v>686</v>
      </c>
    </row>
    <row r="10" customFormat="false" ht="15" hidden="false" customHeight="false" outlineLevel="0" collapsed="false">
      <c r="A10" s="11" t="s">
        <v>691</v>
      </c>
      <c r="B10" s="11" t="s">
        <v>87</v>
      </c>
      <c r="C10" s="11" t="s">
        <v>88</v>
      </c>
      <c r="D10" s="36" t="n">
        <v>4</v>
      </c>
      <c r="E10" s="11" t="s">
        <v>692</v>
      </c>
      <c r="F10" s="11" t="s">
        <v>7</v>
      </c>
      <c r="G10" s="36" t="n">
        <v>1</v>
      </c>
      <c r="H10" s="38" t="n">
        <v>0</v>
      </c>
      <c r="I10" s="13" t="s">
        <v>685</v>
      </c>
      <c r="J10" s="13" t="s">
        <v>686</v>
      </c>
    </row>
    <row r="11" customFormat="false" ht="15" hidden="false" customHeight="false" outlineLevel="0" collapsed="false">
      <c r="A11" s="11" t="s">
        <v>693</v>
      </c>
      <c r="B11" s="11" t="s">
        <v>87</v>
      </c>
      <c r="C11" s="11" t="s">
        <v>88</v>
      </c>
      <c r="D11" s="36" t="n">
        <v>5</v>
      </c>
      <c r="E11" s="11" t="s">
        <v>694</v>
      </c>
      <c r="F11" s="11" t="s">
        <v>7</v>
      </c>
      <c r="G11" s="36" t="n">
        <v>1</v>
      </c>
      <c r="H11" s="38" t="n">
        <v>0</v>
      </c>
      <c r="I11" s="13" t="s">
        <v>685</v>
      </c>
      <c r="J11" s="13" t="s">
        <v>686</v>
      </c>
    </row>
    <row r="12" customFormat="false" ht="15" hidden="false" customHeight="false" outlineLevel="0" collapsed="false">
      <c r="A12" s="11" t="s">
        <v>695</v>
      </c>
      <c r="B12" s="11" t="s">
        <v>87</v>
      </c>
      <c r="C12" s="11" t="s">
        <v>88</v>
      </c>
      <c r="D12" s="36" t="n">
        <v>6</v>
      </c>
      <c r="E12" s="11" t="s">
        <v>696</v>
      </c>
      <c r="F12" s="11" t="s">
        <v>697</v>
      </c>
      <c r="G12" s="36" t="n">
        <v>0</v>
      </c>
      <c r="H12" s="38" t="n">
        <v>0</v>
      </c>
      <c r="I12" s="13" t="s">
        <v>685</v>
      </c>
      <c r="J12" s="13" t="s">
        <v>686</v>
      </c>
    </row>
    <row r="13" customFormat="false" ht="15" hidden="false" customHeight="false" outlineLevel="0" collapsed="false">
      <c r="A13" s="11" t="s">
        <v>698</v>
      </c>
      <c r="B13" s="11" t="s">
        <v>87</v>
      </c>
      <c r="C13" s="11" t="s">
        <v>88</v>
      </c>
      <c r="D13" s="36" t="n">
        <v>7</v>
      </c>
      <c r="E13" s="11" t="s">
        <v>699</v>
      </c>
      <c r="F13" s="11" t="s">
        <v>700</v>
      </c>
      <c r="G13" s="36" t="n">
        <v>0</v>
      </c>
      <c r="H13" s="38" t="n">
        <v>0</v>
      </c>
      <c r="I13" s="13" t="s">
        <v>701</v>
      </c>
      <c r="J13" s="13" t="s">
        <v>686</v>
      </c>
    </row>
    <row r="14" customFormat="false" ht="15" hidden="false" customHeight="false" outlineLevel="0" collapsed="false">
      <c r="A14" s="11" t="s">
        <v>702</v>
      </c>
      <c r="B14" s="11" t="s">
        <v>87</v>
      </c>
      <c r="C14" s="11" t="s">
        <v>88</v>
      </c>
      <c r="D14" s="36" t="n">
        <v>8</v>
      </c>
      <c r="E14" s="11" t="s">
        <v>703</v>
      </c>
      <c r="F14" s="11" t="s">
        <v>700</v>
      </c>
      <c r="G14" s="36" t="n">
        <v>0</v>
      </c>
      <c r="H14" s="38" t="n">
        <v>0</v>
      </c>
      <c r="I14" s="13" t="s">
        <v>701</v>
      </c>
      <c r="J14" s="13" t="s">
        <v>686</v>
      </c>
    </row>
    <row r="15" customFormat="false" ht="15" hidden="false" customHeight="false" outlineLevel="0" collapsed="false">
      <c r="A15" s="11" t="s">
        <v>704</v>
      </c>
      <c r="B15" s="11" t="s">
        <v>87</v>
      </c>
      <c r="C15" s="11" t="s">
        <v>88</v>
      </c>
      <c r="D15" s="36" t="n">
        <v>9</v>
      </c>
      <c r="E15" s="11" t="s">
        <v>705</v>
      </c>
      <c r="F15" s="11" t="s">
        <v>700</v>
      </c>
      <c r="G15" s="36" t="n">
        <v>0</v>
      </c>
      <c r="H15" s="38" t="n">
        <v>0</v>
      </c>
      <c r="I15" s="13" t="s">
        <v>701</v>
      </c>
      <c r="J15" s="13" t="s">
        <v>686</v>
      </c>
    </row>
    <row r="16" customFormat="false" ht="15" hidden="false" customHeight="false" outlineLevel="0" collapsed="false">
      <c r="A16" s="11" t="s">
        <v>706</v>
      </c>
      <c r="B16" s="11" t="s">
        <v>87</v>
      </c>
      <c r="C16" s="11" t="s">
        <v>88</v>
      </c>
      <c r="D16" s="36" t="n">
        <v>10</v>
      </c>
      <c r="E16" s="11" t="s">
        <v>707</v>
      </c>
      <c r="F16" s="11" t="s">
        <v>700</v>
      </c>
      <c r="G16" s="36" t="n">
        <v>0</v>
      </c>
      <c r="H16" s="38" t="n">
        <v>0</v>
      </c>
      <c r="I16" s="13" t="s">
        <v>701</v>
      </c>
      <c r="J16" s="13" t="s">
        <v>686</v>
      </c>
    </row>
    <row r="17" customFormat="false" ht="15" hidden="false" customHeight="false" outlineLevel="0" collapsed="false">
      <c r="A17" s="11" t="s">
        <v>708</v>
      </c>
      <c r="B17" s="11" t="s">
        <v>87</v>
      </c>
      <c r="C17" s="11" t="s">
        <v>88</v>
      </c>
      <c r="D17" s="36" t="n">
        <v>11</v>
      </c>
      <c r="E17" s="11" t="s">
        <v>709</v>
      </c>
      <c r="F17" s="11" t="s">
        <v>700</v>
      </c>
      <c r="G17" s="36" t="n">
        <v>0</v>
      </c>
      <c r="H17" s="38" t="n">
        <v>0</v>
      </c>
      <c r="I17" s="13" t="s">
        <v>701</v>
      </c>
      <c r="J17" s="13" t="s">
        <v>686</v>
      </c>
    </row>
    <row r="18" customFormat="false" ht="15" hidden="false" customHeight="false" outlineLevel="0" collapsed="false">
      <c r="A18" s="11" t="s">
        <v>710</v>
      </c>
      <c r="B18" s="11" t="s">
        <v>87</v>
      </c>
      <c r="C18" s="11" t="s">
        <v>88</v>
      </c>
      <c r="D18" s="36" t="n">
        <v>12</v>
      </c>
      <c r="E18" s="11" t="s">
        <v>711</v>
      </c>
      <c r="F18" s="11" t="s">
        <v>700</v>
      </c>
      <c r="G18" s="36" t="n">
        <v>0</v>
      </c>
      <c r="H18" s="38" t="n">
        <v>0</v>
      </c>
      <c r="I18" s="13" t="s">
        <v>701</v>
      </c>
      <c r="J18" s="13" t="s">
        <v>670</v>
      </c>
    </row>
    <row r="19" customFormat="false" ht="15" hidden="false" customHeight="false" outlineLevel="0" collapsed="false">
      <c r="A19" s="11" t="s">
        <v>712</v>
      </c>
      <c r="B19" s="11" t="s">
        <v>91</v>
      </c>
      <c r="C19" s="11" t="s">
        <v>92</v>
      </c>
      <c r="D19" s="36" t="n">
        <v>1</v>
      </c>
      <c r="E19" s="11" t="s">
        <v>684</v>
      </c>
      <c r="F19" s="11" t="s">
        <v>7</v>
      </c>
      <c r="G19" s="36" t="n">
        <v>1</v>
      </c>
      <c r="H19" s="38" t="n">
        <v>0</v>
      </c>
      <c r="I19" s="13" t="s">
        <v>685</v>
      </c>
      <c r="J19" s="13" t="s">
        <v>686</v>
      </c>
    </row>
    <row r="20" customFormat="false" ht="15" hidden="false" customHeight="false" outlineLevel="0" collapsed="false">
      <c r="A20" s="11" t="s">
        <v>713</v>
      </c>
      <c r="B20" s="11" t="s">
        <v>91</v>
      </c>
      <c r="C20" s="11" t="s">
        <v>92</v>
      </c>
      <c r="D20" s="36" t="n">
        <v>2</v>
      </c>
      <c r="E20" s="11" t="s">
        <v>688</v>
      </c>
      <c r="F20" s="11" t="s">
        <v>7</v>
      </c>
      <c r="G20" s="36" t="n">
        <v>1</v>
      </c>
      <c r="H20" s="38" t="n">
        <v>0</v>
      </c>
      <c r="I20" s="13" t="s">
        <v>685</v>
      </c>
      <c r="J20" s="13" t="s">
        <v>686</v>
      </c>
    </row>
    <row r="21" customFormat="false" ht="15" hidden="false" customHeight="false" outlineLevel="0" collapsed="false">
      <c r="A21" s="11" t="s">
        <v>714</v>
      </c>
      <c r="B21" s="11" t="s">
        <v>91</v>
      </c>
      <c r="C21" s="11" t="s">
        <v>92</v>
      </c>
      <c r="D21" s="36" t="n">
        <v>3</v>
      </c>
      <c r="E21" s="11" t="s">
        <v>690</v>
      </c>
      <c r="F21" s="11" t="s">
        <v>7</v>
      </c>
      <c r="G21" s="36" t="n">
        <v>1</v>
      </c>
      <c r="H21" s="38" t="n">
        <v>0</v>
      </c>
      <c r="I21" s="13" t="s">
        <v>685</v>
      </c>
      <c r="J21" s="13" t="s">
        <v>686</v>
      </c>
    </row>
    <row r="22" customFormat="false" ht="15" hidden="false" customHeight="false" outlineLevel="0" collapsed="false">
      <c r="A22" s="11" t="s">
        <v>715</v>
      </c>
      <c r="B22" s="11" t="s">
        <v>91</v>
      </c>
      <c r="C22" s="11" t="s">
        <v>92</v>
      </c>
      <c r="D22" s="36" t="n">
        <v>4</v>
      </c>
      <c r="E22" s="11" t="s">
        <v>692</v>
      </c>
      <c r="F22" s="11" t="s">
        <v>7</v>
      </c>
      <c r="G22" s="36" t="n">
        <v>1</v>
      </c>
      <c r="H22" s="38" t="n">
        <v>0</v>
      </c>
      <c r="I22" s="13" t="s">
        <v>685</v>
      </c>
      <c r="J22" s="13" t="s">
        <v>686</v>
      </c>
    </row>
    <row r="23" customFormat="false" ht="15" hidden="false" customHeight="false" outlineLevel="0" collapsed="false">
      <c r="A23" s="11" t="s">
        <v>716</v>
      </c>
      <c r="B23" s="11" t="s">
        <v>91</v>
      </c>
      <c r="C23" s="11" t="s">
        <v>92</v>
      </c>
      <c r="D23" s="36" t="n">
        <v>5</v>
      </c>
      <c r="E23" s="11" t="s">
        <v>694</v>
      </c>
      <c r="F23" s="11" t="s">
        <v>7</v>
      </c>
      <c r="G23" s="36" t="n">
        <v>1</v>
      </c>
      <c r="H23" s="38" t="n">
        <v>0</v>
      </c>
      <c r="I23" s="13" t="s">
        <v>685</v>
      </c>
      <c r="J23" s="13" t="s">
        <v>686</v>
      </c>
    </row>
    <row r="24" customFormat="false" ht="15" hidden="false" customHeight="false" outlineLevel="0" collapsed="false">
      <c r="A24" s="11" t="s">
        <v>717</v>
      </c>
      <c r="B24" s="11" t="s">
        <v>91</v>
      </c>
      <c r="C24" s="11" t="s">
        <v>92</v>
      </c>
      <c r="D24" s="36" t="n">
        <v>6</v>
      </c>
      <c r="E24" s="11" t="s">
        <v>696</v>
      </c>
      <c r="F24" s="11" t="s">
        <v>697</v>
      </c>
      <c r="G24" s="36" t="n">
        <v>0</v>
      </c>
      <c r="H24" s="38" t="n">
        <v>0</v>
      </c>
      <c r="I24" s="13" t="s">
        <v>685</v>
      </c>
      <c r="J24" s="13" t="s">
        <v>686</v>
      </c>
    </row>
    <row r="25" customFormat="false" ht="15" hidden="false" customHeight="false" outlineLevel="0" collapsed="false">
      <c r="A25" s="11" t="s">
        <v>718</v>
      </c>
      <c r="B25" s="11" t="s">
        <v>91</v>
      </c>
      <c r="C25" s="11" t="s">
        <v>92</v>
      </c>
      <c r="D25" s="36" t="n">
        <v>7</v>
      </c>
      <c r="E25" s="11" t="s">
        <v>699</v>
      </c>
      <c r="F25" s="11" t="s">
        <v>700</v>
      </c>
      <c r="G25" s="36" t="n">
        <v>0</v>
      </c>
      <c r="H25" s="38" t="n">
        <v>0</v>
      </c>
      <c r="I25" s="13" t="s">
        <v>701</v>
      </c>
      <c r="J25" s="13" t="s">
        <v>686</v>
      </c>
    </row>
    <row r="26" customFormat="false" ht="15" hidden="false" customHeight="false" outlineLevel="0" collapsed="false">
      <c r="A26" s="11" t="s">
        <v>719</v>
      </c>
      <c r="B26" s="11" t="s">
        <v>91</v>
      </c>
      <c r="C26" s="11" t="s">
        <v>92</v>
      </c>
      <c r="D26" s="36" t="n">
        <v>8</v>
      </c>
      <c r="E26" s="11" t="s">
        <v>703</v>
      </c>
      <c r="F26" s="11" t="s">
        <v>700</v>
      </c>
      <c r="G26" s="36" t="n">
        <v>0</v>
      </c>
      <c r="H26" s="38" t="n">
        <v>0</v>
      </c>
      <c r="I26" s="13" t="s">
        <v>701</v>
      </c>
      <c r="J26" s="13" t="s">
        <v>686</v>
      </c>
    </row>
    <row r="27" customFormat="false" ht="15" hidden="false" customHeight="false" outlineLevel="0" collapsed="false">
      <c r="A27" s="11" t="s">
        <v>720</v>
      </c>
      <c r="B27" s="11" t="s">
        <v>91</v>
      </c>
      <c r="C27" s="11" t="s">
        <v>92</v>
      </c>
      <c r="D27" s="36" t="n">
        <v>9</v>
      </c>
      <c r="E27" s="11" t="s">
        <v>705</v>
      </c>
      <c r="F27" s="11" t="s">
        <v>700</v>
      </c>
      <c r="G27" s="36" t="n">
        <v>0</v>
      </c>
      <c r="H27" s="38" t="n">
        <v>0</v>
      </c>
      <c r="I27" s="13" t="s">
        <v>701</v>
      </c>
      <c r="J27" s="13" t="s">
        <v>686</v>
      </c>
    </row>
    <row r="28" customFormat="false" ht="15" hidden="false" customHeight="false" outlineLevel="0" collapsed="false">
      <c r="A28" s="11" t="s">
        <v>721</v>
      </c>
      <c r="B28" s="11" t="s">
        <v>91</v>
      </c>
      <c r="C28" s="11" t="s">
        <v>92</v>
      </c>
      <c r="D28" s="36" t="n">
        <v>10</v>
      </c>
      <c r="E28" s="11" t="s">
        <v>707</v>
      </c>
      <c r="F28" s="11" t="s">
        <v>700</v>
      </c>
      <c r="G28" s="36" t="n">
        <v>0</v>
      </c>
      <c r="H28" s="38" t="n">
        <v>0</v>
      </c>
      <c r="I28" s="13" t="s">
        <v>701</v>
      </c>
      <c r="J28" s="13" t="s">
        <v>686</v>
      </c>
    </row>
    <row r="29" customFormat="false" ht="15" hidden="false" customHeight="false" outlineLevel="0" collapsed="false">
      <c r="A29" s="11" t="s">
        <v>722</v>
      </c>
      <c r="B29" s="11" t="s">
        <v>91</v>
      </c>
      <c r="C29" s="11" t="s">
        <v>92</v>
      </c>
      <c r="D29" s="36" t="n">
        <v>11</v>
      </c>
      <c r="E29" s="11" t="s">
        <v>709</v>
      </c>
      <c r="F29" s="11" t="s">
        <v>700</v>
      </c>
      <c r="G29" s="36" t="n">
        <v>0</v>
      </c>
      <c r="H29" s="38" t="n">
        <v>0</v>
      </c>
      <c r="I29" s="13" t="s">
        <v>701</v>
      </c>
      <c r="J29" s="13" t="s">
        <v>686</v>
      </c>
    </row>
    <row r="30" customFormat="false" ht="15" hidden="false" customHeight="false" outlineLevel="0" collapsed="false">
      <c r="A30" s="11" t="s">
        <v>723</v>
      </c>
      <c r="B30" s="11" t="s">
        <v>91</v>
      </c>
      <c r="C30" s="11" t="s">
        <v>92</v>
      </c>
      <c r="D30" s="36" t="n">
        <v>12</v>
      </c>
      <c r="E30" s="11" t="s">
        <v>711</v>
      </c>
      <c r="F30" s="11" t="s">
        <v>700</v>
      </c>
      <c r="G30" s="36" t="n">
        <v>0</v>
      </c>
      <c r="H30" s="38" t="n">
        <v>0</v>
      </c>
      <c r="I30" s="13" t="s">
        <v>701</v>
      </c>
      <c r="J30" s="13" t="s">
        <v>670</v>
      </c>
    </row>
    <row r="31" customFormat="false" ht="15" hidden="false" customHeight="false" outlineLevel="0" collapsed="false">
      <c r="A31" s="11" t="s">
        <v>724</v>
      </c>
      <c r="B31" s="11" t="s">
        <v>95</v>
      </c>
      <c r="C31" s="11" t="s">
        <v>96</v>
      </c>
      <c r="D31" s="36" t="n">
        <v>1</v>
      </c>
      <c r="E31" s="11" t="s">
        <v>684</v>
      </c>
      <c r="F31" s="11" t="s">
        <v>7</v>
      </c>
      <c r="G31" s="36" t="n">
        <v>1</v>
      </c>
      <c r="H31" s="38" t="n">
        <v>0</v>
      </c>
      <c r="I31" s="13" t="s">
        <v>685</v>
      </c>
      <c r="J31" s="13" t="s">
        <v>686</v>
      </c>
    </row>
    <row r="32" customFormat="false" ht="15" hidden="false" customHeight="false" outlineLevel="0" collapsed="false">
      <c r="A32" s="11" t="s">
        <v>725</v>
      </c>
      <c r="B32" s="11" t="s">
        <v>95</v>
      </c>
      <c r="C32" s="11" t="s">
        <v>96</v>
      </c>
      <c r="D32" s="36" t="n">
        <v>2</v>
      </c>
      <c r="E32" s="11" t="s">
        <v>688</v>
      </c>
      <c r="F32" s="11" t="s">
        <v>7</v>
      </c>
      <c r="G32" s="36" t="n">
        <v>1</v>
      </c>
      <c r="H32" s="38" t="n">
        <v>0</v>
      </c>
      <c r="I32" s="13" t="s">
        <v>685</v>
      </c>
      <c r="J32" s="13" t="s">
        <v>686</v>
      </c>
    </row>
    <row r="33" customFormat="false" ht="15" hidden="false" customHeight="false" outlineLevel="0" collapsed="false">
      <c r="A33" s="11" t="s">
        <v>726</v>
      </c>
      <c r="B33" s="11" t="s">
        <v>95</v>
      </c>
      <c r="C33" s="11" t="s">
        <v>96</v>
      </c>
      <c r="D33" s="36" t="n">
        <v>3</v>
      </c>
      <c r="E33" s="11" t="s">
        <v>690</v>
      </c>
      <c r="F33" s="11" t="s">
        <v>7</v>
      </c>
      <c r="G33" s="36" t="n">
        <v>1</v>
      </c>
      <c r="H33" s="38" t="n">
        <v>0</v>
      </c>
      <c r="I33" s="13" t="s">
        <v>685</v>
      </c>
      <c r="J33" s="13" t="s">
        <v>686</v>
      </c>
    </row>
    <row r="34" customFormat="false" ht="15" hidden="false" customHeight="false" outlineLevel="0" collapsed="false">
      <c r="A34" s="11" t="s">
        <v>727</v>
      </c>
      <c r="B34" s="11" t="s">
        <v>95</v>
      </c>
      <c r="C34" s="11" t="s">
        <v>96</v>
      </c>
      <c r="D34" s="36" t="n">
        <v>4</v>
      </c>
      <c r="E34" s="11" t="s">
        <v>692</v>
      </c>
      <c r="F34" s="11" t="s">
        <v>7</v>
      </c>
      <c r="G34" s="36" t="n">
        <v>1</v>
      </c>
      <c r="H34" s="38" t="n">
        <v>0</v>
      </c>
      <c r="I34" s="13" t="s">
        <v>685</v>
      </c>
      <c r="J34" s="13" t="s">
        <v>686</v>
      </c>
    </row>
    <row r="35" customFormat="false" ht="15" hidden="false" customHeight="false" outlineLevel="0" collapsed="false">
      <c r="A35" s="11" t="s">
        <v>728</v>
      </c>
      <c r="B35" s="11" t="s">
        <v>95</v>
      </c>
      <c r="C35" s="11" t="s">
        <v>96</v>
      </c>
      <c r="D35" s="36" t="n">
        <v>5</v>
      </c>
      <c r="E35" s="11" t="s">
        <v>694</v>
      </c>
      <c r="F35" s="11" t="s">
        <v>7</v>
      </c>
      <c r="G35" s="36" t="n">
        <v>1</v>
      </c>
      <c r="H35" s="38" t="n">
        <v>0</v>
      </c>
      <c r="I35" s="13" t="s">
        <v>685</v>
      </c>
      <c r="J35" s="13" t="s">
        <v>686</v>
      </c>
    </row>
    <row r="36" customFormat="false" ht="15" hidden="false" customHeight="false" outlineLevel="0" collapsed="false">
      <c r="A36" s="11" t="s">
        <v>729</v>
      </c>
      <c r="B36" s="11" t="s">
        <v>95</v>
      </c>
      <c r="C36" s="11" t="s">
        <v>96</v>
      </c>
      <c r="D36" s="36" t="n">
        <v>6</v>
      </c>
      <c r="E36" s="11" t="s">
        <v>696</v>
      </c>
      <c r="F36" s="11" t="s">
        <v>697</v>
      </c>
      <c r="G36" s="36" t="n">
        <v>0</v>
      </c>
      <c r="H36" s="38" t="n">
        <v>0</v>
      </c>
      <c r="I36" s="13" t="s">
        <v>685</v>
      </c>
      <c r="J36" s="13" t="s">
        <v>686</v>
      </c>
    </row>
    <row r="37" customFormat="false" ht="15" hidden="false" customHeight="false" outlineLevel="0" collapsed="false">
      <c r="A37" s="11" t="s">
        <v>730</v>
      </c>
      <c r="B37" s="11" t="s">
        <v>95</v>
      </c>
      <c r="C37" s="11" t="s">
        <v>96</v>
      </c>
      <c r="D37" s="36" t="n">
        <v>7</v>
      </c>
      <c r="E37" s="11" t="s">
        <v>699</v>
      </c>
      <c r="F37" s="11" t="s">
        <v>700</v>
      </c>
      <c r="G37" s="36" t="n">
        <v>0</v>
      </c>
      <c r="H37" s="38" t="n">
        <v>0</v>
      </c>
      <c r="I37" s="13" t="s">
        <v>701</v>
      </c>
      <c r="J37" s="13" t="s">
        <v>686</v>
      </c>
    </row>
    <row r="38" customFormat="false" ht="15" hidden="false" customHeight="false" outlineLevel="0" collapsed="false">
      <c r="A38" s="11" t="s">
        <v>731</v>
      </c>
      <c r="B38" s="11" t="s">
        <v>95</v>
      </c>
      <c r="C38" s="11" t="s">
        <v>96</v>
      </c>
      <c r="D38" s="36" t="n">
        <v>8</v>
      </c>
      <c r="E38" s="11" t="s">
        <v>703</v>
      </c>
      <c r="F38" s="11" t="s">
        <v>700</v>
      </c>
      <c r="G38" s="36" t="n">
        <v>0</v>
      </c>
      <c r="H38" s="38" t="n">
        <v>0</v>
      </c>
      <c r="I38" s="13" t="s">
        <v>701</v>
      </c>
      <c r="J38" s="13" t="s">
        <v>686</v>
      </c>
    </row>
    <row r="39" customFormat="false" ht="15" hidden="false" customHeight="false" outlineLevel="0" collapsed="false">
      <c r="A39" s="11" t="s">
        <v>732</v>
      </c>
      <c r="B39" s="11" t="s">
        <v>95</v>
      </c>
      <c r="C39" s="11" t="s">
        <v>96</v>
      </c>
      <c r="D39" s="36" t="n">
        <v>9</v>
      </c>
      <c r="E39" s="11" t="s">
        <v>705</v>
      </c>
      <c r="F39" s="11" t="s">
        <v>700</v>
      </c>
      <c r="G39" s="36" t="n">
        <v>0</v>
      </c>
      <c r="H39" s="38" t="n">
        <v>0</v>
      </c>
      <c r="I39" s="13" t="s">
        <v>701</v>
      </c>
      <c r="J39" s="13" t="s">
        <v>686</v>
      </c>
    </row>
    <row r="40" customFormat="false" ht="15" hidden="false" customHeight="false" outlineLevel="0" collapsed="false">
      <c r="A40" s="11" t="s">
        <v>733</v>
      </c>
      <c r="B40" s="11" t="s">
        <v>95</v>
      </c>
      <c r="C40" s="11" t="s">
        <v>96</v>
      </c>
      <c r="D40" s="36" t="n">
        <v>10</v>
      </c>
      <c r="E40" s="11" t="s">
        <v>707</v>
      </c>
      <c r="F40" s="11" t="s">
        <v>700</v>
      </c>
      <c r="G40" s="36" t="n">
        <v>0</v>
      </c>
      <c r="H40" s="38" t="n">
        <v>0</v>
      </c>
      <c r="I40" s="13" t="s">
        <v>701</v>
      </c>
      <c r="J40" s="13" t="s">
        <v>686</v>
      </c>
    </row>
    <row r="41" customFormat="false" ht="15" hidden="false" customHeight="false" outlineLevel="0" collapsed="false">
      <c r="A41" s="11" t="s">
        <v>734</v>
      </c>
      <c r="B41" s="11" t="s">
        <v>95</v>
      </c>
      <c r="C41" s="11" t="s">
        <v>96</v>
      </c>
      <c r="D41" s="36" t="n">
        <v>11</v>
      </c>
      <c r="E41" s="11" t="s">
        <v>709</v>
      </c>
      <c r="F41" s="11" t="s">
        <v>700</v>
      </c>
      <c r="G41" s="36" t="n">
        <v>0</v>
      </c>
      <c r="H41" s="38" t="n">
        <v>0</v>
      </c>
      <c r="I41" s="13" t="s">
        <v>701</v>
      </c>
      <c r="J41" s="13" t="s">
        <v>686</v>
      </c>
    </row>
    <row r="42" customFormat="false" ht="15" hidden="false" customHeight="false" outlineLevel="0" collapsed="false">
      <c r="A42" s="11" t="s">
        <v>735</v>
      </c>
      <c r="B42" s="11" t="s">
        <v>95</v>
      </c>
      <c r="C42" s="11" t="s">
        <v>96</v>
      </c>
      <c r="D42" s="36" t="n">
        <v>12</v>
      </c>
      <c r="E42" s="11" t="s">
        <v>711</v>
      </c>
      <c r="F42" s="11" t="s">
        <v>700</v>
      </c>
      <c r="G42" s="36" t="n">
        <v>0</v>
      </c>
      <c r="H42" s="38" t="n">
        <v>0</v>
      </c>
      <c r="I42" s="13" t="s">
        <v>701</v>
      </c>
      <c r="J42" s="13" t="s">
        <v>670</v>
      </c>
    </row>
    <row r="43" customFormat="false" ht="15" hidden="false" customHeight="false" outlineLevel="0" collapsed="false">
      <c r="A43" s="11" t="s">
        <v>736</v>
      </c>
      <c r="B43" s="11" t="s">
        <v>99</v>
      </c>
      <c r="C43" s="11" t="s">
        <v>100</v>
      </c>
      <c r="D43" s="36" t="n">
        <v>1</v>
      </c>
      <c r="E43" s="11" t="s">
        <v>684</v>
      </c>
      <c r="F43" s="11" t="s">
        <v>7</v>
      </c>
      <c r="G43" s="36" t="n">
        <v>1</v>
      </c>
      <c r="H43" s="38" t="n">
        <v>0</v>
      </c>
      <c r="I43" s="13" t="s">
        <v>685</v>
      </c>
      <c r="J43" s="13" t="s">
        <v>686</v>
      </c>
    </row>
    <row r="44" customFormat="false" ht="15" hidden="false" customHeight="false" outlineLevel="0" collapsed="false">
      <c r="A44" s="11" t="s">
        <v>737</v>
      </c>
      <c r="B44" s="11" t="s">
        <v>99</v>
      </c>
      <c r="C44" s="11" t="s">
        <v>100</v>
      </c>
      <c r="D44" s="36" t="n">
        <v>2</v>
      </c>
      <c r="E44" s="11" t="s">
        <v>688</v>
      </c>
      <c r="F44" s="11" t="s">
        <v>7</v>
      </c>
      <c r="G44" s="36" t="n">
        <v>1</v>
      </c>
      <c r="H44" s="38" t="n">
        <v>0</v>
      </c>
      <c r="I44" s="13" t="s">
        <v>685</v>
      </c>
      <c r="J44" s="13" t="s">
        <v>686</v>
      </c>
    </row>
    <row r="45" customFormat="false" ht="15" hidden="false" customHeight="false" outlineLevel="0" collapsed="false">
      <c r="A45" s="11" t="s">
        <v>738</v>
      </c>
      <c r="B45" s="11" t="s">
        <v>99</v>
      </c>
      <c r="C45" s="11" t="s">
        <v>100</v>
      </c>
      <c r="D45" s="36" t="n">
        <v>3</v>
      </c>
      <c r="E45" s="11" t="s">
        <v>690</v>
      </c>
      <c r="F45" s="11" t="s">
        <v>7</v>
      </c>
      <c r="G45" s="36" t="n">
        <v>1</v>
      </c>
      <c r="H45" s="38" t="n">
        <v>0</v>
      </c>
      <c r="I45" s="13" t="s">
        <v>685</v>
      </c>
      <c r="J45" s="13" t="s">
        <v>686</v>
      </c>
    </row>
    <row r="46" customFormat="false" ht="15" hidden="false" customHeight="false" outlineLevel="0" collapsed="false">
      <c r="A46" s="11" t="s">
        <v>739</v>
      </c>
      <c r="B46" s="11" t="s">
        <v>99</v>
      </c>
      <c r="C46" s="11" t="s">
        <v>100</v>
      </c>
      <c r="D46" s="36" t="n">
        <v>4</v>
      </c>
      <c r="E46" s="11" t="s">
        <v>692</v>
      </c>
      <c r="F46" s="11" t="s">
        <v>7</v>
      </c>
      <c r="G46" s="36" t="n">
        <v>1</v>
      </c>
      <c r="H46" s="38" t="n">
        <v>0</v>
      </c>
      <c r="I46" s="13" t="s">
        <v>685</v>
      </c>
      <c r="J46" s="13" t="s">
        <v>686</v>
      </c>
    </row>
    <row r="47" customFormat="false" ht="15" hidden="false" customHeight="false" outlineLevel="0" collapsed="false">
      <c r="A47" s="11" t="s">
        <v>740</v>
      </c>
      <c r="B47" s="11" t="s">
        <v>99</v>
      </c>
      <c r="C47" s="11" t="s">
        <v>100</v>
      </c>
      <c r="D47" s="36" t="n">
        <v>5</v>
      </c>
      <c r="E47" s="11" t="s">
        <v>694</v>
      </c>
      <c r="F47" s="11" t="s">
        <v>7</v>
      </c>
      <c r="G47" s="36" t="n">
        <v>1</v>
      </c>
      <c r="H47" s="38" t="n">
        <v>0</v>
      </c>
      <c r="I47" s="13" t="s">
        <v>685</v>
      </c>
      <c r="J47" s="13" t="s">
        <v>686</v>
      </c>
    </row>
    <row r="48" customFormat="false" ht="15" hidden="false" customHeight="false" outlineLevel="0" collapsed="false">
      <c r="A48" s="11" t="s">
        <v>741</v>
      </c>
      <c r="B48" s="11" t="s">
        <v>99</v>
      </c>
      <c r="C48" s="11" t="s">
        <v>100</v>
      </c>
      <c r="D48" s="36" t="n">
        <v>6</v>
      </c>
      <c r="E48" s="11" t="s">
        <v>696</v>
      </c>
      <c r="F48" s="11" t="s">
        <v>697</v>
      </c>
      <c r="G48" s="36" t="n">
        <v>0</v>
      </c>
      <c r="H48" s="38" t="n">
        <v>0</v>
      </c>
      <c r="I48" s="13" t="s">
        <v>685</v>
      </c>
      <c r="J48" s="13" t="s">
        <v>686</v>
      </c>
    </row>
    <row r="49" customFormat="false" ht="15" hidden="false" customHeight="false" outlineLevel="0" collapsed="false">
      <c r="A49" s="11" t="s">
        <v>742</v>
      </c>
      <c r="B49" s="11" t="s">
        <v>99</v>
      </c>
      <c r="C49" s="11" t="s">
        <v>100</v>
      </c>
      <c r="D49" s="36" t="n">
        <v>7</v>
      </c>
      <c r="E49" s="11" t="s">
        <v>699</v>
      </c>
      <c r="F49" s="11" t="s">
        <v>700</v>
      </c>
      <c r="G49" s="36" t="n">
        <v>0</v>
      </c>
      <c r="H49" s="38" t="n">
        <v>0</v>
      </c>
      <c r="I49" s="13" t="s">
        <v>701</v>
      </c>
      <c r="J49" s="13" t="s">
        <v>686</v>
      </c>
    </row>
    <row r="50" customFormat="false" ht="15" hidden="false" customHeight="false" outlineLevel="0" collapsed="false">
      <c r="A50" s="11" t="s">
        <v>743</v>
      </c>
      <c r="B50" s="11" t="s">
        <v>99</v>
      </c>
      <c r="C50" s="11" t="s">
        <v>100</v>
      </c>
      <c r="D50" s="36" t="n">
        <v>8</v>
      </c>
      <c r="E50" s="11" t="s">
        <v>703</v>
      </c>
      <c r="F50" s="11" t="s">
        <v>700</v>
      </c>
      <c r="G50" s="36" t="n">
        <v>0</v>
      </c>
      <c r="H50" s="38" t="n">
        <v>0</v>
      </c>
      <c r="I50" s="13" t="s">
        <v>701</v>
      </c>
      <c r="J50" s="13" t="s">
        <v>686</v>
      </c>
    </row>
    <row r="51" customFormat="false" ht="15" hidden="false" customHeight="false" outlineLevel="0" collapsed="false">
      <c r="A51" s="11" t="s">
        <v>744</v>
      </c>
      <c r="B51" s="11" t="s">
        <v>99</v>
      </c>
      <c r="C51" s="11" t="s">
        <v>100</v>
      </c>
      <c r="D51" s="36" t="n">
        <v>9</v>
      </c>
      <c r="E51" s="11" t="s">
        <v>705</v>
      </c>
      <c r="F51" s="11" t="s">
        <v>700</v>
      </c>
      <c r="G51" s="36" t="n">
        <v>0</v>
      </c>
      <c r="H51" s="38" t="n">
        <v>0</v>
      </c>
      <c r="I51" s="13" t="s">
        <v>701</v>
      </c>
      <c r="J51" s="13" t="s">
        <v>686</v>
      </c>
    </row>
    <row r="52" customFormat="false" ht="15" hidden="false" customHeight="false" outlineLevel="0" collapsed="false">
      <c r="A52" s="11" t="s">
        <v>745</v>
      </c>
      <c r="B52" s="11" t="s">
        <v>99</v>
      </c>
      <c r="C52" s="11" t="s">
        <v>100</v>
      </c>
      <c r="D52" s="36" t="n">
        <v>10</v>
      </c>
      <c r="E52" s="11" t="s">
        <v>707</v>
      </c>
      <c r="F52" s="11" t="s">
        <v>700</v>
      </c>
      <c r="G52" s="36" t="n">
        <v>0</v>
      </c>
      <c r="H52" s="38" t="n">
        <v>0</v>
      </c>
      <c r="I52" s="13" t="s">
        <v>701</v>
      </c>
      <c r="J52" s="13" t="s">
        <v>686</v>
      </c>
    </row>
    <row r="53" customFormat="false" ht="15" hidden="false" customHeight="false" outlineLevel="0" collapsed="false">
      <c r="A53" s="11" t="s">
        <v>746</v>
      </c>
      <c r="B53" s="11" t="s">
        <v>99</v>
      </c>
      <c r="C53" s="11" t="s">
        <v>100</v>
      </c>
      <c r="D53" s="36" t="n">
        <v>11</v>
      </c>
      <c r="E53" s="11" t="s">
        <v>709</v>
      </c>
      <c r="F53" s="11" t="s">
        <v>700</v>
      </c>
      <c r="G53" s="36" t="n">
        <v>0</v>
      </c>
      <c r="H53" s="38" t="n">
        <v>0</v>
      </c>
      <c r="I53" s="13" t="s">
        <v>701</v>
      </c>
      <c r="J53" s="13" t="s">
        <v>686</v>
      </c>
    </row>
    <row r="54" customFormat="false" ht="15" hidden="false" customHeight="false" outlineLevel="0" collapsed="false">
      <c r="A54" s="11" t="s">
        <v>747</v>
      </c>
      <c r="B54" s="11" t="s">
        <v>99</v>
      </c>
      <c r="C54" s="11" t="s">
        <v>100</v>
      </c>
      <c r="D54" s="36" t="n">
        <v>12</v>
      </c>
      <c r="E54" s="11" t="s">
        <v>711</v>
      </c>
      <c r="F54" s="11" t="s">
        <v>700</v>
      </c>
      <c r="G54" s="36" t="n">
        <v>0</v>
      </c>
      <c r="H54" s="38" t="n">
        <v>0</v>
      </c>
      <c r="I54" s="13" t="s">
        <v>701</v>
      </c>
      <c r="J54" s="13" t="s">
        <v>670</v>
      </c>
    </row>
    <row r="55" customFormat="false" ht="15" hidden="false" customHeight="false" outlineLevel="0" collapsed="false">
      <c r="A55" s="11" t="s">
        <v>748</v>
      </c>
      <c r="B55" s="11" t="s">
        <v>103</v>
      </c>
      <c r="C55" s="11" t="s">
        <v>104</v>
      </c>
      <c r="D55" s="36" t="n">
        <v>1</v>
      </c>
      <c r="E55" s="11" t="s">
        <v>684</v>
      </c>
      <c r="F55" s="11" t="s">
        <v>7</v>
      </c>
      <c r="G55" s="36" t="n">
        <v>1</v>
      </c>
      <c r="H55" s="38" t="n">
        <v>0</v>
      </c>
      <c r="I55" s="13" t="s">
        <v>685</v>
      </c>
      <c r="J55" s="13" t="s">
        <v>686</v>
      </c>
    </row>
    <row r="56" customFormat="false" ht="15" hidden="false" customHeight="false" outlineLevel="0" collapsed="false">
      <c r="A56" s="11" t="s">
        <v>749</v>
      </c>
      <c r="B56" s="11" t="s">
        <v>103</v>
      </c>
      <c r="C56" s="11" t="s">
        <v>104</v>
      </c>
      <c r="D56" s="36" t="n">
        <v>2</v>
      </c>
      <c r="E56" s="11" t="s">
        <v>688</v>
      </c>
      <c r="F56" s="11" t="s">
        <v>7</v>
      </c>
      <c r="G56" s="36" t="n">
        <v>1</v>
      </c>
      <c r="H56" s="38" t="n">
        <v>0</v>
      </c>
      <c r="I56" s="13" t="s">
        <v>685</v>
      </c>
      <c r="J56" s="13" t="s">
        <v>686</v>
      </c>
    </row>
    <row r="57" customFormat="false" ht="15" hidden="false" customHeight="false" outlineLevel="0" collapsed="false">
      <c r="A57" s="11" t="s">
        <v>750</v>
      </c>
      <c r="B57" s="11" t="s">
        <v>103</v>
      </c>
      <c r="C57" s="11" t="s">
        <v>104</v>
      </c>
      <c r="D57" s="36" t="n">
        <v>3</v>
      </c>
      <c r="E57" s="11" t="s">
        <v>690</v>
      </c>
      <c r="F57" s="11" t="s">
        <v>7</v>
      </c>
      <c r="G57" s="36" t="n">
        <v>1</v>
      </c>
      <c r="H57" s="38" t="n">
        <v>0</v>
      </c>
      <c r="I57" s="13" t="s">
        <v>685</v>
      </c>
      <c r="J57" s="13" t="s">
        <v>686</v>
      </c>
    </row>
    <row r="58" customFormat="false" ht="15" hidden="false" customHeight="false" outlineLevel="0" collapsed="false">
      <c r="A58" s="11" t="s">
        <v>751</v>
      </c>
      <c r="B58" s="11" t="s">
        <v>103</v>
      </c>
      <c r="C58" s="11" t="s">
        <v>104</v>
      </c>
      <c r="D58" s="36" t="n">
        <v>4</v>
      </c>
      <c r="E58" s="11" t="s">
        <v>692</v>
      </c>
      <c r="F58" s="11" t="s">
        <v>7</v>
      </c>
      <c r="G58" s="36" t="n">
        <v>1</v>
      </c>
      <c r="H58" s="38" t="n">
        <v>0</v>
      </c>
      <c r="I58" s="13" t="s">
        <v>685</v>
      </c>
      <c r="J58" s="13" t="s">
        <v>686</v>
      </c>
    </row>
    <row r="59" customFormat="false" ht="15" hidden="false" customHeight="false" outlineLevel="0" collapsed="false">
      <c r="A59" s="11" t="s">
        <v>752</v>
      </c>
      <c r="B59" s="11" t="s">
        <v>103</v>
      </c>
      <c r="C59" s="11" t="s">
        <v>104</v>
      </c>
      <c r="D59" s="36" t="n">
        <v>5</v>
      </c>
      <c r="E59" s="11" t="s">
        <v>694</v>
      </c>
      <c r="F59" s="11" t="s">
        <v>7</v>
      </c>
      <c r="G59" s="36" t="n">
        <v>1</v>
      </c>
      <c r="H59" s="38" t="n">
        <v>0</v>
      </c>
      <c r="I59" s="13" t="s">
        <v>685</v>
      </c>
      <c r="J59" s="13" t="s">
        <v>686</v>
      </c>
    </row>
    <row r="60" customFormat="false" ht="15" hidden="false" customHeight="false" outlineLevel="0" collapsed="false">
      <c r="A60" s="11" t="s">
        <v>753</v>
      </c>
      <c r="B60" s="11" t="s">
        <v>103</v>
      </c>
      <c r="C60" s="11" t="s">
        <v>104</v>
      </c>
      <c r="D60" s="36" t="n">
        <v>6</v>
      </c>
      <c r="E60" s="11" t="s">
        <v>696</v>
      </c>
      <c r="F60" s="11" t="s">
        <v>697</v>
      </c>
      <c r="G60" s="36" t="n">
        <v>0</v>
      </c>
      <c r="H60" s="38" t="n">
        <v>0</v>
      </c>
      <c r="I60" s="13" t="s">
        <v>685</v>
      </c>
      <c r="J60" s="13" t="s">
        <v>686</v>
      </c>
    </row>
    <row r="61" customFormat="false" ht="15" hidden="false" customHeight="false" outlineLevel="0" collapsed="false">
      <c r="A61" s="11" t="s">
        <v>754</v>
      </c>
      <c r="B61" s="11" t="s">
        <v>103</v>
      </c>
      <c r="C61" s="11" t="s">
        <v>104</v>
      </c>
      <c r="D61" s="36" t="n">
        <v>7</v>
      </c>
      <c r="E61" s="11" t="s">
        <v>699</v>
      </c>
      <c r="F61" s="11" t="s">
        <v>700</v>
      </c>
      <c r="G61" s="36" t="n">
        <v>0</v>
      </c>
      <c r="H61" s="38" t="n">
        <v>0</v>
      </c>
      <c r="I61" s="13" t="s">
        <v>701</v>
      </c>
      <c r="J61" s="13" t="s">
        <v>686</v>
      </c>
    </row>
    <row r="62" customFormat="false" ht="15" hidden="false" customHeight="false" outlineLevel="0" collapsed="false">
      <c r="A62" s="11" t="s">
        <v>755</v>
      </c>
      <c r="B62" s="11" t="s">
        <v>103</v>
      </c>
      <c r="C62" s="11" t="s">
        <v>104</v>
      </c>
      <c r="D62" s="36" t="n">
        <v>8</v>
      </c>
      <c r="E62" s="11" t="s">
        <v>703</v>
      </c>
      <c r="F62" s="11" t="s">
        <v>700</v>
      </c>
      <c r="G62" s="36" t="n">
        <v>0</v>
      </c>
      <c r="H62" s="38" t="n">
        <v>0</v>
      </c>
      <c r="I62" s="13" t="s">
        <v>701</v>
      </c>
      <c r="J62" s="13" t="s">
        <v>686</v>
      </c>
    </row>
    <row r="63" customFormat="false" ht="15" hidden="false" customHeight="false" outlineLevel="0" collapsed="false">
      <c r="A63" s="11" t="s">
        <v>756</v>
      </c>
      <c r="B63" s="11" t="s">
        <v>103</v>
      </c>
      <c r="C63" s="11" t="s">
        <v>104</v>
      </c>
      <c r="D63" s="36" t="n">
        <v>9</v>
      </c>
      <c r="E63" s="11" t="s">
        <v>705</v>
      </c>
      <c r="F63" s="11" t="s">
        <v>700</v>
      </c>
      <c r="G63" s="36" t="n">
        <v>0</v>
      </c>
      <c r="H63" s="38" t="n">
        <v>0</v>
      </c>
      <c r="I63" s="13" t="s">
        <v>701</v>
      </c>
      <c r="J63" s="13" t="s">
        <v>686</v>
      </c>
    </row>
    <row r="64" customFormat="false" ht="15" hidden="false" customHeight="false" outlineLevel="0" collapsed="false">
      <c r="A64" s="11" t="s">
        <v>757</v>
      </c>
      <c r="B64" s="11" t="s">
        <v>103</v>
      </c>
      <c r="C64" s="11" t="s">
        <v>104</v>
      </c>
      <c r="D64" s="36" t="n">
        <v>10</v>
      </c>
      <c r="E64" s="11" t="s">
        <v>707</v>
      </c>
      <c r="F64" s="11" t="s">
        <v>700</v>
      </c>
      <c r="G64" s="36" t="n">
        <v>0</v>
      </c>
      <c r="H64" s="38" t="n">
        <v>0</v>
      </c>
      <c r="I64" s="13" t="s">
        <v>701</v>
      </c>
      <c r="J64" s="13" t="s">
        <v>686</v>
      </c>
    </row>
    <row r="65" customFormat="false" ht="15" hidden="false" customHeight="false" outlineLevel="0" collapsed="false">
      <c r="A65" s="11" t="s">
        <v>758</v>
      </c>
      <c r="B65" s="11" t="s">
        <v>103</v>
      </c>
      <c r="C65" s="11" t="s">
        <v>104</v>
      </c>
      <c r="D65" s="36" t="n">
        <v>11</v>
      </c>
      <c r="E65" s="11" t="s">
        <v>709</v>
      </c>
      <c r="F65" s="11" t="s">
        <v>700</v>
      </c>
      <c r="G65" s="36" t="n">
        <v>0</v>
      </c>
      <c r="H65" s="38" t="n">
        <v>0</v>
      </c>
      <c r="I65" s="13" t="s">
        <v>701</v>
      </c>
      <c r="J65" s="13" t="s">
        <v>686</v>
      </c>
    </row>
    <row r="66" customFormat="false" ht="15" hidden="false" customHeight="false" outlineLevel="0" collapsed="false">
      <c r="A66" s="11" t="s">
        <v>759</v>
      </c>
      <c r="B66" s="11" t="s">
        <v>103</v>
      </c>
      <c r="C66" s="11" t="s">
        <v>104</v>
      </c>
      <c r="D66" s="36" t="n">
        <v>12</v>
      </c>
      <c r="E66" s="11" t="s">
        <v>711</v>
      </c>
      <c r="F66" s="11" t="s">
        <v>700</v>
      </c>
      <c r="G66" s="36" t="n">
        <v>0</v>
      </c>
      <c r="H66" s="38" t="n">
        <v>0</v>
      </c>
      <c r="I66" s="13" t="s">
        <v>701</v>
      </c>
      <c r="J66" s="13" t="s">
        <v>670</v>
      </c>
    </row>
    <row r="67" customFormat="false" ht="15" hidden="false" customHeight="false" outlineLevel="0" collapsed="false">
      <c r="A67" s="11" t="s">
        <v>760</v>
      </c>
      <c r="B67" s="11" t="s">
        <v>107</v>
      </c>
      <c r="C67" s="11" t="s">
        <v>108</v>
      </c>
      <c r="D67" s="36" t="n">
        <v>1</v>
      </c>
      <c r="E67" s="11" t="s">
        <v>684</v>
      </c>
      <c r="F67" s="11" t="s">
        <v>7</v>
      </c>
      <c r="G67" s="36" t="n">
        <v>1</v>
      </c>
      <c r="H67" s="38" t="n">
        <v>0</v>
      </c>
      <c r="I67" s="13" t="s">
        <v>685</v>
      </c>
      <c r="J67" s="13" t="s">
        <v>686</v>
      </c>
    </row>
    <row r="68" customFormat="false" ht="15" hidden="false" customHeight="false" outlineLevel="0" collapsed="false">
      <c r="A68" s="11" t="s">
        <v>761</v>
      </c>
      <c r="B68" s="11" t="s">
        <v>107</v>
      </c>
      <c r="C68" s="11" t="s">
        <v>108</v>
      </c>
      <c r="D68" s="36" t="n">
        <v>2</v>
      </c>
      <c r="E68" s="11" t="s">
        <v>688</v>
      </c>
      <c r="F68" s="11" t="s">
        <v>7</v>
      </c>
      <c r="G68" s="36" t="n">
        <v>1</v>
      </c>
      <c r="H68" s="38" t="n">
        <v>0</v>
      </c>
      <c r="I68" s="13" t="s">
        <v>685</v>
      </c>
      <c r="J68" s="13" t="s">
        <v>686</v>
      </c>
    </row>
    <row r="69" customFormat="false" ht="15" hidden="false" customHeight="false" outlineLevel="0" collapsed="false">
      <c r="A69" s="11" t="s">
        <v>762</v>
      </c>
      <c r="B69" s="11" t="s">
        <v>107</v>
      </c>
      <c r="C69" s="11" t="s">
        <v>108</v>
      </c>
      <c r="D69" s="36" t="n">
        <v>3</v>
      </c>
      <c r="E69" s="11" t="s">
        <v>690</v>
      </c>
      <c r="F69" s="11" t="s">
        <v>7</v>
      </c>
      <c r="G69" s="36" t="n">
        <v>1</v>
      </c>
      <c r="H69" s="38" t="n">
        <v>0</v>
      </c>
      <c r="I69" s="13" t="s">
        <v>685</v>
      </c>
      <c r="J69" s="13" t="s">
        <v>686</v>
      </c>
    </row>
    <row r="70" customFormat="false" ht="15" hidden="false" customHeight="false" outlineLevel="0" collapsed="false">
      <c r="A70" s="11" t="s">
        <v>763</v>
      </c>
      <c r="B70" s="11" t="s">
        <v>107</v>
      </c>
      <c r="C70" s="11" t="s">
        <v>108</v>
      </c>
      <c r="D70" s="36" t="n">
        <v>4</v>
      </c>
      <c r="E70" s="11" t="s">
        <v>692</v>
      </c>
      <c r="F70" s="11" t="s">
        <v>7</v>
      </c>
      <c r="G70" s="36" t="n">
        <v>1</v>
      </c>
      <c r="H70" s="38" t="n">
        <v>0</v>
      </c>
      <c r="I70" s="13" t="s">
        <v>685</v>
      </c>
      <c r="J70" s="13" t="s">
        <v>686</v>
      </c>
    </row>
    <row r="71" customFormat="false" ht="15" hidden="false" customHeight="false" outlineLevel="0" collapsed="false">
      <c r="A71" s="11" t="s">
        <v>764</v>
      </c>
      <c r="B71" s="11" t="s">
        <v>107</v>
      </c>
      <c r="C71" s="11" t="s">
        <v>108</v>
      </c>
      <c r="D71" s="36" t="n">
        <v>5</v>
      </c>
      <c r="E71" s="11" t="s">
        <v>694</v>
      </c>
      <c r="F71" s="11" t="s">
        <v>7</v>
      </c>
      <c r="G71" s="36" t="n">
        <v>1</v>
      </c>
      <c r="H71" s="38" t="n">
        <v>0</v>
      </c>
      <c r="I71" s="13" t="s">
        <v>685</v>
      </c>
      <c r="J71" s="13" t="s">
        <v>686</v>
      </c>
    </row>
    <row r="72" customFormat="false" ht="15" hidden="false" customHeight="false" outlineLevel="0" collapsed="false">
      <c r="A72" s="11" t="s">
        <v>765</v>
      </c>
      <c r="B72" s="11" t="s">
        <v>107</v>
      </c>
      <c r="C72" s="11" t="s">
        <v>108</v>
      </c>
      <c r="D72" s="36" t="n">
        <v>6</v>
      </c>
      <c r="E72" s="11" t="s">
        <v>696</v>
      </c>
      <c r="F72" s="11" t="s">
        <v>697</v>
      </c>
      <c r="G72" s="36" t="n">
        <v>0</v>
      </c>
      <c r="H72" s="38" t="n">
        <v>0</v>
      </c>
      <c r="I72" s="13" t="s">
        <v>685</v>
      </c>
      <c r="J72" s="13" t="s">
        <v>686</v>
      </c>
    </row>
    <row r="73" customFormat="false" ht="15" hidden="false" customHeight="false" outlineLevel="0" collapsed="false">
      <c r="A73" s="11" t="s">
        <v>766</v>
      </c>
      <c r="B73" s="11" t="s">
        <v>107</v>
      </c>
      <c r="C73" s="11" t="s">
        <v>108</v>
      </c>
      <c r="D73" s="36" t="n">
        <v>7</v>
      </c>
      <c r="E73" s="11" t="s">
        <v>699</v>
      </c>
      <c r="F73" s="11" t="s">
        <v>700</v>
      </c>
      <c r="G73" s="36" t="n">
        <v>0</v>
      </c>
      <c r="H73" s="38" t="n">
        <v>0</v>
      </c>
      <c r="I73" s="13" t="s">
        <v>701</v>
      </c>
      <c r="J73" s="13" t="s">
        <v>686</v>
      </c>
    </row>
    <row r="74" customFormat="false" ht="15" hidden="false" customHeight="false" outlineLevel="0" collapsed="false">
      <c r="A74" s="11" t="s">
        <v>767</v>
      </c>
      <c r="B74" s="11" t="s">
        <v>107</v>
      </c>
      <c r="C74" s="11" t="s">
        <v>108</v>
      </c>
      <c r="D74" s="36" t="n">
        <v>8</v>
      </c>
      <c r="E74" s="11" t="s">
        <v>703</v>
      </c>
      <c r="F74" s="11" t="s">
        <v>700</v>
      </c>
      <c r="G74" s="36" t="n">
        <v>0</v>
      </c>
      <c r="H74" s="38" t="n">
        <v>0</v>
      </c>
      <c r="I74" s="13" t="s">
        <v>701</v>
      </c>
      <c r="J74" s="13" t="s">
        <v>686</v>
      </c>
    </row>
    <row r="75" customFormat="false" ht="15" hidden="false" customHeight="false" outlineLevel="0" collapsed="false">
      <c r="A75" s="11" t="s">
        <v>768</v>
      </c>
      <c r="B75" s="11" t="s">
        <v>107</v>
      </c>
      <c r="C75" s="11" t="s">
        <v>108</v>
      </c>
      <c r="D75" s="36" t="n">
        <v>9</v>
      </c>
      <c r="E75" s="11" t="s">
        <v>705</v>
      </c>
      <c r="F75" s="11" t="s">
        <v>700</v>
      </c>
      <c r="G75" s="36" t="n">
        <v>0</v>
      </c>
      <c r="H75" s="38" t="n">
        <v>0</v>
      </c>
      <c r="I75" s="13" t="s">
        <v>701</v>
      </c>
      <c r="J75" s="13" t="s">
        <v>686</v>
      </c>
    </row>
    <row r="76" customFormat="false" ht="15" hidden="false" customHeight="false" outlineLevel="0" collapsed="false">
      <c r="A76" s="11" t="s">
        <v>769</v>
      </c>
      <c r="B76" s="11" t="s">
        <v>107</v>
      </c>
      <c r="C76" s="11" t="s">
        <v>108</v>
      </c>
      <c r="D76" s="36" t="n">
        <v>10</v>
      </c>
      <c r="E76" s="11" t="s">
        <v>707</v>
      </c>
      <c r="F76" s="11" t="s">
        <v>700</v>
      </c>
      <c r="G76" s="36" t="n">
        <v>0</v>
      </c>
      <c r="H76" s="38" t="n">
        <v>0</v>
      </c>
      <c r="I76" s="13" t="s">
        <v>701</v>
      </c>
      <c r="J76" s="13" t="s">
        <v>686</v>
      </c>
    </row>
    <row r="77" customFormat="false" ht="15" hidden="false" customHeight="false" outlineLevel="0" collapsed="false">
      <c r="A77" s="11" t="s">
        <v>770</v>
      </c>
      <c r="B77" s="11" t="s">
        <v>107</v>
      </c>
      <c r="C77" s="11" t="s">
        <v>108</v>
      </c>
      <c r="D77" s="36" t="n">
        <v>11</v>
      </c>
      <c r="E77" s="11" t="s">
        <v>709</v>
      </c>
      <c r="F77" s="11" t="s">
        <v>700</v>
      </c>
      <c r="G77" s="36" t="n">
        <v>0</v>
      </c>
      <c r="H77" s="38" t="n">
        <v>0</v>
      </c>
      <c r="I77" s="13" t="s">
        <v>701</v>
      </c>
      <c r="J77" s="13" t="s">
        <v>686</v>
      </c>
    </row>
    <row r="78" customFormat="false" ht="15" hidden="false" customHeight="false" outlineLevel="0" collapsed="false">
      <c r="A78" s="15" t="s">
        <v>771</v>
      </c>
      <c r="B78" s="15" t="s">
        <v>107</v>
      </c>
      <c r="C78" s="15" t="s">
        <v>108</v>
      </c>
      <c r="D78" s="40" t="n">
        <v>12</v>
      </c>
      <c r="E78" s="15" t="s">
        <v>711</v>
      </c>
      <c r="F78" s="15" t="s">
        <v>700</v>
      </c>
      <c r="G78" s="40" t="n">
        <v>0</v>
      </c>
      <c r="H78" s="42" t="n">
        <v>0</v>
      </c>
      <c r="I78" s="17" t="s">
        <v>701</v>
      </c>
      <c r="J78" s="17" t="s">
        <v>670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52"/>
  </cols>
  <sheetData>
    <row r="2" customFormat="false" ht="24" hidden="false" customHeight="true" outlineLevel="0" collapsed="false">
      <c r="A2" s="1" t="s">
        <v>772</v>
      </c>
      <c r="B2" s="1"/>
      <c r="C2" s="1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8" t="s">
        <v>773</v>
      </c>
      <c r="B4" s="18"/>
      <c r="C4" s="18"/>
    </row>
    <row r="5" customFormat="false" ht="15" hidden="false" customHeight="false" outlineLevel="0" collapsed="false">
      <c r="A5" s="6"/>
      <c r="B5" s="6"/>
      <c r="C5" s="6"/>
    </row>
    <row r="6" customFormat="false" ht="24" hidden="false" customHeight="true" outlineLevel="0" collapsed="false">
      <c r="A6" s="19" t="s">
        <v>774</v>
      </c>
      <c r="B6" s="20" t="s">
        <v>775</v>
      </c>
      <c r="C6" s="21" t="s">
        <v>776</v>
      </c>
    </row>
    <row r="7" customFormat="false" ht="15" hidden="false" customHeight="false" outlineLevel="0" collapsed="false">
      <c r="A7" s="7" t="s">
        <v>777</v>
      </c>
      <c r="B7" s="7" t="s">
        <v>778</v>
      </c>
      <c r="C7" s="7" t="s">
        <v>779</v>
      </c>
    </row>
    <row r="8" customFormat="false" ht="15" hidden="false" customHeight="false" outlineLevel="0" collapsed="false">
      <c r="A8" s="11" t="s">
        <v>780</v>
      </c>
      <c r="B8" s="11" t="s">
        <v>781</v>
      </c>
      <c r="C8" s="11" t="s">
        <v>782</v>
      </c>
    </row>
    <row r="9" customFormat="false" ht="15" hidden="false" customHeight="false" outlineLevel="0" collapsed="false">
      <c r="A9" s="11" t="s">
        <v>783</v>
      </c>
      <c r="B9" s="11" t="s">
        <v>784</v>
      </c>
      <c r="C9" s="11" t="s">
        <v>785</v>
      </c>
    </row>
    <row r="10" customFormat="false" ht="15" hidden="false" customHeight="false" outlineLevel="0" collapsed="false">
      <c r="A10" s="11" t="s">
        <v>786</v>
      </c>
      <c r="B10" s="11" t="s">
        <v>787</v>
      </c>
      <c r="C10" s="11" t="s">
        <v>788</v>
      </c>
    </row>
    <row r="11" customFormat="false" ht="15" hidden="false" customHeight="false" outlineLevel="0" collapsed="false">
      <c r="A11" s="11" t="s">
        <v>789</v>
      </c>
      <c r="B11" s="11" t="s">
        <v>790</v>
      </c>
      <c r="C11" s="11" t="s">
        <v>791</v>
      </c>
    </row>
    <row r="12" customFormat="false" ht="15" hidden="false" customHeight="false" outlineLevel="0" collapsed="false">
      <c r="A12" s="11" t="s">
        <v>792</v>
      </c>
      <c r="B12" s="11" t="s">
        <v>793</v>
      </c>
      <c r="C12" s="11" t="s">
        <v>794</v>
      </c>
    </row>
    <row r="13" customFormat="false" ht="15" hidden="false" customHeight="false" outlineLevel="0" collapsed="false">
      <c r="A13" s="11" t="s">
        <v>795</v>
      </c>
      <c r="B13" s="11" t="s">
        <v>796</v>
      </c>
      <c r="C13" s="11" t="s">
        <v>794</v>
      </c>
    </row>
    <row r="14" customFormat="false" ht="15" hidden="false" customHeight="false" outlineLevel="0" collapsed="false">
      <c r="A14" s="11" t="s">
        <v>797</v>
      </c>
      <c r="B14" s="11" t="s">
        <v>798</v>
      </c>
      <c r="C14" s="11" t="s">
        <v>794</v>
      </c>
    </row>
    <row r="15" customFormat="false" ht="15" hidden="false" customHeight="false" outlineLevel="0" collapsed="false">
      <c r="A15" s="11" t="s">
        <v>799</v>
      </c>
      <c r="B15" s="11" t="s">
        <v>800</v>
      </c>
      <c r="C15" s="11" t="s">
        <v>801</v>
      </c>
    </row>
    <row r="16" customFormat="false" ht="15" hidden="false" customHeight="false" outlineLevel="0" collapsed="false">
      <c r="A16" s="11" t="s">
        <v>802</v>
      </c>
      <c r="B16" s="11" t="s">
        <v>803</v>
      </c>
      <c r="C16" s="11" t="s">
        <v>804</v>
      </c>
    </row>
    <row r="17" customFormat="false" ht="15" hidden="false" customHeight="false" outlineLevel="0" collapsed="false">
      <c r="A17" s="11" t="s">
        <v>805</v>
      </c>
      <c r="B17" s="11" t="s">
        <v>806</v>
      </c>
      <c r="C17" s="11" t="s">
        <v>807</v>
      </c>
    </row>
    <row r="18" customFormat="false" ht="15" hidden="false" customHeight="false" outlineLevel="0" collapsed="false">
      <c r="A18" s="11" t="s">
        <v>808</v>
      </c>
      <c r="B18" s="11" t="s">
        <v>809</v>
      </c>
      <c r="C18" s="11" t="s">
        <v>810</v>
      </c>
    </row>
    <row r="19" customFormat="false" ht="15" hidden="false" customHeight="false" outlineLevel="0" collapsed="false">
      <c r="A19" s="11" t="s">
        <v>811</v>
      </c>
      <c r="B19" s="11" t="s">
        <v>812</v>
      </c>
      <c r="C19" s="11" t="s">
        <v>813</v>
      </c>
    </row>
    <row r="20" customFormat="false" ht="15" hidden="false" customHeight="false" outlineLevel="0" collapsed="false">
      <c r="A20" s="11" t="s">
        <v>814</v>
      </c>
      <c r="B20" s="11" t="s">
        <v>815</v>
      </c>
      <c r="C20" s="11" t="s">
        <v>816</v>
      </c>
    </row>
    <row r="21" customFormat="false" ht="15" hidden="false" customHeight="false" outlineLevel="0" collapsed="false">
      <c r="A21" s="11" t="s">
        <v>817</v>
      </c>
      <c r="B21" s="11" t="s">
        <v>818</v>
      </c>
      <c r="C21" s="11" t="s">
        <v>819</v>
      </c>
    </row>
    <row r="22" customFormat="false" ht="15" hidden="false" customHeight="false" outlineLevel="0" collapsed="false">
      <c r="A22" s="11" t="s">
        <v>820</v>
      </c>
      <c r="B22" s="11" t="s">
        <v>821</v>
      </c>
      <c r="C22" s="11" t="s">
        <v>822</v>
      </c>
    </row>
    <row r="23" customFormat="false" ht="15" hidden="false" customHeight="false" outlineLevel="0" collapsed="false">
      <c r="A23" s="11" t="s">
        <v>823</v>
      </c>
      <c r="B23" s="11" t="s">
        <v>824</v>
      </c>
      <c r="C23" s="11" t="s">
        <v>825</v>
      </c>
    </row>
    <row r="24" customFormat="false" ht="15" hidden="false" customHeight="false" outlineLevel="0" collapsed="false">
      <c r="A24" s="15" t="s">
        <v>826</v>
      </c>
      <c r="B24" s="15" t="s">
        <v>827</v>
      </c>
      <c r="C24" s="15" t="s">
        <v>828</v>
      </c>
    </row>
  </sheetData>
  <mergeCells count="2">
    <mergeCell ref="A2:C2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829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8" t="s">
        <v>830</v>
      </c>
      <c r="B4" s="18"/>
      <c r="C4" s="18"/>
      <c r="D4" s="18"/>
      <c r="E4" s="18"/>
    </row>
    <row r="5" customFormat="false" ht="15" hidden="false" customHeight="false" outlineLevel="0" collapsed="false">
      <c r="A5" s="6"/>
      <c r="B5" s="6"/>
      <c r="C5" s="6"/>
      <c r="D5" s="6"/>
      <c r="E5" s="6"/>
    </row>
    <row r="6" customFormat="false" ht="24" hidden="false" customHeight="true" outlineLevel="0" collapsed="false">
      <c r="A6" s="19" t="s">
        <v>831</v>
      </c>
      <c r="B6" s="20" t="s">
        <v>832</v>
      </c>
      <c r="C6" s="20" t="s">
        <v>833</v>
      </c>
      <c r="D6" s="20" t="s">
        <v>834</v>
      </c>
      <c r="E6" s="21" t="s">
        <v>4</v>
      </c>
    </row>
    <row r="7" customFormat="false" ht="15" hidden="false" customHeight="false" outlineLevel="0" collapsed="false">
      <c r="A7" s="7" t="s">
        <v>835</v>
      </c>
      <c r="B7" s="7" t="s">
        <v>836</v>
      </c>
      <c r="C7" s="59" t="n">
        <f aca="false">COUNTA('Root Register'!B7:B12)</f>
        <v>6</v>
      </c>
      <c r="D7" s="59" t="n">
        <v>6</v>
      </c>
      <c r="E7" s="8" t="str">
        <f aca="false">IF(ABS(C7-D7)&lt;0.000001,"PASS","FAIL")</f>
        <v>PASS</v>
      </c>
    </row>
    <row r="8" customFormat="false" ht="15" hidden="false" customHeight="false" outlineLevel="0" collapsed="false">
      <c r="A8" s="11" t="s">
        <v>837</v>
      </c>
      <c r="B8" s="11" t="s">
        <v>5</v>
      </c>
      <c r="C8" s="60" t="n">
        <f aca="false">COUNTA('Representation Ladder'!A7:A14)</f>
        <v>8</v>
      </c>
      <c r="D8" s="60" t="n">
        <v>8</v>
      </c>
      <c r="E8" s="12" t="str">
        <f aca="false">IF(ABS(C8-D8)&lt;0.000001,"PASS","FAIL")</f>
        <v>PASS</v>
      </c>
    </row>
    <row r="9" customFormat="false" ht="15" hidden="false" customHeight="false" outlineLevel="0" collapsed="false">
      <c r="A9" s="11" t="s">
        <v>838</v>
      </c>
      <c r="B9" s="11" t="s">
        <v>839</v>
      </c>
      <c r="C9" s="60" t="n">
        <f aca="false">COUNTA('Representation Register'!A7:A54)</f>
        <v>48</v>
      </c>
      <c r="D9" s="60" t="n">
        <v>48</v>
      </c>
      <c r="E9" s="12" t="str">
        <f aca="false">IF(ABS(C9-D9)&lt;0.000001,"PASS","FAIL")</f>
        <v>PASS</v>
      </c>
    </row>
    <row r="10" customFormat="false" ht="15" hidden="false" customHeight="false" outlineLevel="0" collapsed="false">
      <c r="A10" s="11" t="s">
        <v>840</v>
      </c>
      <c r="B10" s="11" t="s">
        <v>11</v>
      </c>
      <c r="C10" s="60" t="n">
        <f aca="false">SUM('Representation Register'!H7:H54)</f>
        <v>24</v>
      </c>
      <c r="D10" s="60" t="n">
        <v>24</v>
      </c>
      <c r="E10" s="12" t="str">
        <f aca="false">IF(ABS(C10-D10)&lt;0.000001,"PASS","FAIL")</f>
        <v>PASS</v>
      </c>
    </row>
    <row r="11" customFormat="false" ht="15" hidden="false" customHeight="false" outlineLevel="0" collapsed="false">
      <c r="A11" s="11" t="s">
        <v>841</v>
      </c>
      <c r="B11" s="11" t="s">
        <v>842</v>
      </c>
      <c r="C11" s="60" t="n">
        <f aca="false">COUNTIFS('Representation Register'!M7:M54,"HELD")</f>
        <v>24</v>
      </c>
      <c r="D11" s="60" t="n">
        <v>24</v>
      </c>
      <c r="E11" s="12" t="str">
        <f aca="false">IF(ABS(C11-D11)&lt;0.000001,"PASS","FAIL")</f>
        <v>PASS</v>
      </c>
    </row>
    <row r="12" customFormat="false" ht="15" hidden="false" customHeight="false" outlineLevel="0" collapsed="false">
      <c r="A12" s="11" t="s">
        <v>843</v>
      </c>
      <c r="B12" s="11" t="s">
        <v>844</v>
      </c>
      <c r="C12" s="60" t="n">
        <f aca="false">SUM('Representation Register'!J7:J54)</f>
        <v>0</v>
      </c>
      <c r="D12" s="60" t="n">
        <v>0</v>
      </c>
      <c r="E12" s="12" t="str">
        <f aca="false">IF(ABS(C12-D12)&lt;0.000001,"PASS","FAIL")</f>
        <v>PASS</v>
      </c>
    </row>
    <row r="13" customFormat="false" ht="15" hidden="false" customHeight="false" outlineLevel="0" collapsed="false">
      <c r="A13" s="11" t="s">
        <v>845</v>
      </c>
      <c r="B13" s="11" t="s">
        <v>846</v>
      </c>
      <c r="C13" s="60" t="n">
        <f aca="false">SUM('Representation Register'!K7:K54)</f>
        <v>0</v>
      </c>
      <c r="D13" s="60" t="n">
        <v>0</v>
      </c>
      <c r="E13" s="12" t="str">
        <f aca="false">IF(ABS(C13-D13)&lt;0.000001,"PASS","FAIL")</f>
        <v>PASS</v>
      </c>
    </row>
    <row r="14" customFormat="false" ht="15" hidden="false" customHeight="false" outlineLevel="0" collapsed="false">
      <c r="A14" s="11" t="s">
        <v>847</v>
      </c>
      <c r="B14" s="11" t="s">
        <v>848</v>
      </c>
      <c r="C14" s="60" t="n">
        <f aca="false">COUNTA('Hypothesis Sets'!A7:A24)</f>
        <v>18</v>
      </c>
      <c r="D14" s="60" t="n">
        <v>18</v>
      </c>
      <c r="E14" s="12" t="str">
        <f aca="false">IF(ABS(C14-D14)&lt;0.000001,"PASS","FAIL")</f>
        <v>PASS</v>
      </c>
    </row>
    <row r="15" customFormat="false" ht="15" hidden="false" customHeight="false" outlineLevel="0" collapsed="false">
      <c r="A15" s="11" t="s">
        <v>849</v>
      </c>
      <c r="B15" s="11" t="s">
        <v>850</v>
      </c>
      <c r="C15" s="60" t="n">
        <f aca="false">Controls!B14</f>
        <v>3</v>
      </c>
      <c r="D15" s="60" t="n">
        <v>3</v>
      </c>
      <c r="E15" s="12" t="str">
        <f aca="false">IF(ABS(C15-D15)&lt;0.000001,"PASS","FAIL")</f>
        <v>PASS</v>
      </c>
    </row>
    <row r="16" customFormat="false" ht="15" hidden="false" customHeight="false" outlineLevel="0" collapsed="false">
      <c r="A16" s="11" t="s">
        <v>851</v>
      </c>
      <c r="B16" s="11" t="s">
        <v>852</v>
      </c>
      <c r="C16" s="60" t="n">
        <f aca="false">SUM('Hypothesis Sets'!I7:I24)</f>
        <v>18</v>
      </c>
      <c r="D16" s="60" t="n">
        <v>18</v>
      </c>
      <c r="E16" s="12" t="str">
        <f aca="false">IF(ABS(C16-D16)&lt;0.000001,"PASS","FAIL")</f>
        <v>PASS</v>
      </c>
    </row>
    <row r="17" customFormat="false" ht="15" hidden="false" customHeight="false" outlineLevel="0" collapsed="false">
      <c r="A17" s="11" t="s">
        <v>853</v>
      </c>
      <c r="B17" s="11" t="s">
        <v>854</v>
      </c>
      <c r="C17" s="60" t="n">
        <f aca="false">SUM('Hypothesis Sets'!J7:J24)</f>
        <v>0</v>
      </c>
      <c r="D17" s="60" t="n">
        <v>0</v>
      </c>
      <c r="E17" s="12" t="str">
        <f aca="false">IF(ABS(C17-D17)&lt;0.000001,"PASS","FAIL")</f>
        <v>PASS</v>
      </c>
    </row>
    <row r="18" customFormat="false" ht="15" hidden="false" customHeight="false" outlineLevel="0" collapsed="false">
      <c r="A18" s="11" t="s">
        <v>855</v>
      </c>
      <c r="B18" s="11" t="s">
        <v>856</v>
      </c>
      <c r="C18" s="60" t="n">
        <f aca="false">SUM('Hypothesis Sets'!K7:K24)</f>
        <v>0</v>
      </c>
      <c r="D18" s="60" t="n">
        <v>0</v>
      </c>
      <c r="E18" s="12" t="str">
        <f aca="false">IF(ABS(C18-D18)&lt;0.000001,"PASS","FAIL")</f>
        <v>PASS</v>
      </c>
    </row>
    <row r="19" customFormat="false" ht="15" hidden="false" customHeight="false" outlineLevel="0" collapsed="false">
      <c r="A19" s="11" t="s">
        <v>857</v>
      </c>
      <c r="B19" s="11" t="s">
        <v>858</v>
      </c>
      <c r="C19" s="60" t="n">
        <f aca="false">COUNTIFS('Hypothesis Sets'!L7:L24,"INVALID SELECTION")</f>
        <v>0</v>
      </c>
      <c r="D19" s="60" t="n">
        <v>0</v>
      </c>
      <c r="E19" s="12" t="str">
        <f aca="false">IF(ABS(C19-D19)&lt;0.000001,"PASS","FAIL")</f>
        <v>PASS</v>
      </c>
    </row>
    <row r="20" customFormat="false" ht="15" hidden="false" customHeight="false" outlineLevel="0" collapsed="false">
      <c r="A20" s="11" t="s">
        <v>859</v>
      </c>
      <c r="B20" s="11" t="s">
        <v>860</v>
      </c>
      <c r="C20" s="60" t="n">
        <f aca="false">COUNTA('View Grammar'!A7:A20)</f>
        <v>14</v>
      </c>
      <c r="D20" s="60" t="n">
        <v>14</v>
      </c>
      <c r="E20" s="12" t="str">
        <f aca="false">IF(ABS(C20-D20)&lt;0.000001,"PASS","FAIL")</f>
        <v>PASS</v>
      </c>
    </row>
    <row r="21" customFormat="false" ht="15" hidden="false" customHeight="false" outlineLevel="0" collapsed="false">
      <c r="A21" s="11" t="s">
        <v>861</v>
      </c>
      <c r="B21" s="11" t="s">
        <v>862</v>
      </c>
      <c r="C21" s="60" t="n">
        <f aca="false">COUNTA('Claim Matrix'!A7:A70)</f>
        <v>64</v>
      </c>
      <c r="D21" s="60" t="n">
        <v>64</v>
      </c>
      <c r="E21" s="12" t="str">
        <f aca="false">IF(ABS(C21-D21)&lt;0.000001,"PASS","FAIL")</f>
        <v>PASS</v>
      </c>
    </row>
    <row r="22" customFormat="false" ht="15" hidden="false" customHeight="false" outlineLevel="0" collapsed="false">
      <c r="A22" s="11" t="s">
        <v>863</v>
      </c>
      <c r="B22" s="11" t="s">
        <v>864</v>
      </c>
      <c r="C22" s="60" t="n">
        <f aca="false">COUNTA('Construction Boundary'!A7:A54)</f>
        <v>48</v>
      </c>
      <c r="D22" s="60" t="n">
        <v>48</v>
      </c>
      <c r="E22" s="12" t="str">
        <f aca="false">IF(ABS(C22-D22)&lt;0.000001,"PASS","FAIL")</f>
        <v>PASS</v>
      </c>
    </row>
    <row r="23" customFormat="false" ht="15" hidden="false" customHeight="false" outlineLevel="0" collapsed="false">
      <c r="A23" s="11" t="s">
        <v>865</v>
      </c>
      <c r="B23" s="11" t="s">
        <v>866</v>
      </c>
      <c r="C23" s="60" t="n">
        <f aca="false">SUM('Construction Boundary'!E7:E54)</f>
        <v>30</v>
      </c>
      <c r="D23" s="60" t="n">
        <v>30</v>
      </c>
      <c r="E23" s="12" t="str">
        <f aca="false">IF(ABS(C23-D23)&lt;0.000001,"PASS","FAIL")</f>
        <v>PASS</v>
      </c>
    </row>
    <row r="24" customFormat="false" ht="15" hidden="false" customHeight="false" outlineLevel="0" collapsed="false">
      <c r="A24" s="11" t="s">
        <v>867</v>
      </c>
      <c r="B24" s="11" t="s">
        <v>868</v>
      </c>
      <c r="C24" s="60" t="n">
        <f aca="false">COUNTIFS('Construction Boundary'!I7:I54,"HELD")</f>
        <v>18</v>
      </c>
      <c r="D24" s="60" t="n">
        <v>18</v>
      </c>
      <c r="E24" s="12" t="str">
        <f aca="false">IF(ABS(C24-D24)&lt;0.000001,"PASS","FAIL")</f>
        <v>PASS</v>
      </c>
    </row>
    <row r="25" customFormat="false" ht="15" hidden="false" customHeight="false" outlineLevel="0" collapsed="false">
      <c r="A25" s="11" t="s">
        <v>869</v>
      </c>
      <c r="B25" s="11" t="s">
        <v>870</v>
      </c>
      <c r="C25" s="60" t="n">
        <f aca="false">SUM('Construction Boundary'!H7:H54)</f>
        <v>0</v>
      </c>
      <c r="D25" s="60" t="n">
        <v>0</v>
      </c>
      <c r="E25" s="12" t="str">
        <f aca="false">IF(ABS(C25-D25)&lt;0.000001,"PASS","FAIL")</f>
        <v>PASS</v>
      </c>
    </row>
    <row r="26" customFormat="false" ht="15" hidden="false" customHeight="false" outlineLevel="0" collapsed="false">
      <c r="A26" s="11" t="s">
        <v>871</v>
      </c>
      <c r="B26" s="11" t="s">
        <v>872</v>
      </c>
      <c r="C26" s="60" t="n">
        <f aca="false">COUNTA('Nonconversion Laws'!A7:A24)</f>
        <v>18</v>
      </c>
      <c r="D26" s="60" t="n">
        <v>18</v>
      </c>
      <c r="E26" s="12" t="str">
        <f aca="false">IF(ABS(C26-D26)&lt;0.000001,"PASS","FAIL")</f>
        <v>PASS</v>
      </c>
    </row>
    <row r="27" customFormat="false" ht="15" hidden="false" customHeight="false" outlineLevel="0" collapsed="false">
      <c r="A27" s="11" t="s">
        <v>873</v>
      </c>
      <c r="B27" s="11" t="s">
        <v>874</v>
      </c>
      <c r="C27" s="60" t="n">
        <f aca="false">COUNTA(Rollback!A7:A18)</f>
        <v>12</v>
      </c>
      <c r="D27" s="60" t="n">
        <v>12</v>
      </c>
      <c r="E27" s="12" t="str">
        <f aca="false">IF(ABS(C27-D27)&lt;0.000001,"PASS","FAIL")</f>
        <v>PASS</v>
      </c>
    </row>
    <row r="28" customFormat="false" ht="15" hidden="false" customHeight="false" outlineLevel="0" collapsed="false">
      <c r="A28" s="11" t="s">
        <v>875</v>
      </c>
      <c r="B28" s="11" t="s">
        <v>876</v>
      </c>
      <c r="C28" s="60" t="n">
        <f aca="false">COUNTA('Release Gates'!A7:A78)</f>
        <v>72</v>
      </c>
      <c r="D28" s="60" t="n">
        <v>72</v>
      </c>
      <c r="E28" s="12" t="str">
        <f aca="false">IF(ABS(C28-D28)&lt;0.000001,"PASS","FAIL")</f>
        <v>PASS</v>
      </c>
    </row>
    <row r="29" customFormat="false" ht="15" hidden="false" customHeight="false" outlineLevel="0" collapsed="false">
      <c r="A29" s="11" t="s">
        <v>877</v>
      </c>
      <c r="B29" s="11" t="s">
        <v>878</v>
      </c>
      <c r="C29" s="60" t="n">
        <f aca="false">SUM('Release Gates'!H7:H78)</f>
        <v>0</v>
      </c>
      <c r="D29" s="60" t="n">
        <v>0</v>
      </c>
      <c r="E29" s="12" t="str">
        <f aca="false">IF(ABS(C29-D29)&lt;0.000001,"PASS","FAIL")</f>
        <v>PASS</v>
      </c>
    </row>
    <row r="30" customFormat="false" ht="15" hidden="false" customHeight="false" outlineLevel="0" collapsed="false">
      <c r="A30" s="11" t="s">
        <v>879</v>
      </c>
      <c r="B30" s="11" t="s">
        <v>880</v>
      </c>
      <c r="C30" s="60" t="n">
        <f aca="false">SUM('Release Gates'!J7:J78)</f>
        <v>0</v>
      </c>
      <c r="D30" s="60" t="n">
        <v>0</v>
      </c>
      <c r="E30" s="12" t="str">
        <f aca="false">IF(ABS(C30-D30)&lt;0.000001,"PASS","FAIL")</f>
        <v>PASS</v>
      </c>
    </row>
    <row r="31" customFormat="false" ht="15" hidden="false" customHeight="false" outlineLevel="0" collapsed="false">
      <c r="A31" s="11" t="s">
        <v>881</v>
      </c>
      <c r="B31" s="11" t="s">
        <v>882</v>
      </c>
      <c r="C31" s="60" t="n">
        <f aca="false">SUM('Root Register'!K7:K12)</f>
        <v>0</v>
      </c>
      <c r="D31" s="60" t="n">
        <v>0</v>
      </c>
      <c r="E31" s="12" t="str">
        <f aca="false">IF(ABS(C31-D31)&lt;0.000001,"PASS","FAIL")</f>
        <v>PASS</v>
      </c>
    </row>
    <row r="32" customFormat="false" ht="15" hidden="false" customHeight="false" outlineLevel="0" collapsed="false">
      <c r="A32" s="11" t="s">
        <v>883</v>
      </c>
      <c r="B32" s="11" t="s">
        <v>884</v>
      </c>
      <c r="C32" s="60" t="n">
        <f aca="false">SUM('Root Register'!M7:M12)</f>
        <v>0</v>
      </c>
      <c r="D32" s="60" t="n">
        <v>0</v>
      </c>
      <c r="E32" s="12" t="str">
        <f aca="false">IF(ABS(C32-D32)&lt;0.000001,"PASS","FAIL")</f>
        <v>PASS</v>
      </c>
    </row>
    <row r="33" customFormat="false" ht="15" hidden="false" customHeight="false" outlineLevel="0" collapsed="false">
      <c r="A33" s="11" t="s">
        <v>885</v>
      </c>
      <c r="B33" s="11" t="s">
        <v>886</v>
      </c>
      <c r="C33" s="60" t="n">
        <f aca="false">SUM('Root Register'!N7:N12)</f>
        <v>0</v>
      </c>
      <c r="D33" s="60" t="n">
        <v>0</v>
      </c>
      <c r="E33" s="12" t="str">
        <f aca="false">IF(ABS(C33-D33)&lt;0.000001,"PASS","FAIL")</f>
        <v>PASS</v>
      </c>
    </row>
    <row r="34" customFormat="false" ht="15" hidden="false" customHeight="false" outlineLevel="0" collapsed="false">
      <c r="A34" s="11" t="s">
        <v>887</v>
      </c>
      <c r="B34" s="11" t="s">
        <v>888</v>
      </c>
      <c r="C34" s="60" t="n">
        <f aca="false">SUM('Root Register'!O7:O12)</f>
        <v>0</v>
      </c>
      <c r="D34" s="60" t="n">
        <v>0</v>
      </c>
      <c r="E34" s="12" t="str">
        <f aca="false">IF(ABS(C34-D34)&lt;0.000001,"PASS","FAIL")</f>
        <v>PASS</v>
      </c>
    </row>
    <row r="35" customFormat="false" ht="15" hidden="false" customHeight="false" outlineLevel="0" collapsed="false">
      <c r="A35" s="11" t="s">
        <v>889</v>
      </c>
      <c r="B35" s="11" t="s">
        <v>890</v>
      </c>
      <c r="C35" s="60" t="n">
        <f aca="false">SUM('Root Register'!P7:P12)</f>
        <v>0</v>
      </c>
      <c r="D35" s="60" t="n">
        <v>0</v>
      </c>
      <c r="E35" s="12" t="str">
        <f aca="false">IF(ABS(C35-D35)&lt;0.000001,"PASS","FAIL")</f>
        <v>PASS</v>
      </c>
    </row>
    <row r="36" customFormat="false" ht="15" hidden="false" customHeight="false" outlineLevel="0" collapsed="false">
      <c r="A36" s="11" t="s">
        <v>891</v>
      </c>
      <c r="B36" s="11" t="s">
        <v>892</v>
      </c>
      <c r="C36" s="60" t="n">
        <f aca="false">SUM('Root Register'!Q7:Q12)</f>
        <v>0</v>
      </c>
      <c r="D36" s="60" t="n">
        <v>0</v>
      </c>
      <c r="E36" s="12" t="str">
        <f aca="false">IF(ABS(C36-D36)&lt;0.000001,"PASS","FAIL")</f>
        <v>PASS</v>
      </c>
    </row>
    <row r="37" customFormat="false" ht="15" hidden="false" customHeight="false" outlineLevel="0" collapsed="false">
      <c r="A37" s="11" t="s">
        <v>893</v>
      </c>
      <c r="B37" s="11" t="s">
        <v>894</v>
      </c>
      <c r="C37" s="60" t="n">
        <f aca="false">Finance!D13</f>
        <v>3.58691281932057</v>
      </c>
      <c r="D37" s="60" t="n">
        <v>3.58691281932057</v>
      </c>
      <c r="E37" s="12" t="str">
        <f aca="false">IF(ABS(C37-D37)&lt;0.000001,"PASS","FAIL")</f>
        <v>PASS</v>
      </c>
    </row>
    <row r="38" customFormat="false" ht="15" hidden="false" customHeight="false" outlineLevel="0" collapsed="false">
      <c r="A38" s="11" t="s">
        <v>895</v>
      </c>
      <c r="B38" s="11" t="s">
        <v>896</v>
      </c>
      <c r="C38" s="60" t="n">
        <f aca="false">Finance!F13</f>
        <v>0.538036922898085</v>
      </c>
      <c r="D38" s="60" t="n">
        <v>0.538036922898085</v>
      </c>
      <c r="E38" s="12" t="str">
        <f aca="false">IF(ABS(C38-D38)&lt;0.000001,"PASS","FAIL")</f>
        <v>PASS</v>
      </c>
    </row>
    <row r="39" customFormat="false" ht="15" hidden="false" customHeight="false" outlineLevel="0" collapsed="false">
      <c r="A39" s="11" t="s">
        <v>897</v>
      </c>
      <c r="B39" s="11" t="s">
        <v>898</v>
      </c>
      <c r="C39" s="60" t="n">
        <f aca="false">Finance!G13</f>
        <v>0</v>
      </c>
      <c r="D39" s="60" t="n">
        <v>0</v>
      </c>
      <c r="E39" s="12" t="str">
        <f aca="false">IF(ABS(C39-D39)&lt;0.000001,"PASS","FAIL")</f>
        <v>PASS</v>
      </c>
    </row>
    <row r="40" customFormat="false" ht="15" hidden="false" customHeight="false" outlineLevel="0" collapsed="false">
      <c r="A40" s="11" t="s">
        <v>899</v>
      </c>
      <c r="B40" s="11" t="s">
        <v>900</v>
      </c>
      <c r="C40" s="60" t="n">
        <f aca="false">Finance!H13</f>
        <v>0</v>
      </c>
      <c r="D40" s="60" t="n">
        <v>0</v>
      </c>
      <c r="E40" s="12" t="str">
        <f aca="false">IF(ABS(C40-D40)&lt;0.000001,"PASS","FAIL")</f>
        <v>PASS</v>
      </c>
    </row>
    <row r="41" customFormat="false" ht="15" hidden="false" customHeight="false" outlineLevel="0" collapsed="false">
      <c r="A41" s="11" t="s">
        <v>901</v>
      </c>
      <c r="B41" s="11" t="s">
        <v>902</v>
      </c>
      <c r="C41" s="60" t="n">
        <f aca="false">Finance!I13</f>
        <v>0</v>
      </c>
      <c r="D41" s="60" t="n">
        <v>0</v>
      </c>
      <c r="E41" s="12" t="str">
        <f aca="false">IF(ABS(C41-D41)&lt;0.000001,"PASS","FAIL")</f>
        <v>PASS</v>
      </c>
    </row>
    <row r="42" customFormat="false" ht="15" hidden="false" customHeight="false" outlineLevel="0" collapsed="false">
      <c r="A42" s="11" t="s">
        <v>903</v>
      </c>
      <c r="B42" s="11" t="s">
        <v>904</v>
      </c>
      <c r="C42" s="60" t="n">
        <f aca="false">Controls!B15</f>
        <v>1</v>
      </c>
      <c r="D42" s="60" t="n">
        <v>1</v>
      </c>
      <c r="E42" s="12" t="str">
        <f aca="false">IF(ABS(C42-D42)&lt;0.000001,"PASS","FAIL")</f>
        <v>PASS</v>
      </c>
    </row>
    <row r="43" customFormat="false" ht="15" hidden="false" customHeight="false" outlineLevel="0" collapsed="false">
      <c r="A43" s="11" t="s">
        <v>905</v>
      </c>
      <c r="B43" s="11" t="s">
        <v>48</v>
      </c>
      <c r="C43" s="60" t="n">
        <f aca="false">Controls!B16</f>
        <v>0</v>
      </c>
      <c r="D43" s="60" t="n">
        <v>0</v>
      </c>
      <c r="E43" s="12" t="str">
        <f aca="false">IF(ABS(C43-D43)&lt;0.000001,"PASS","FAIL")</f>
        <v>PASS</v>
      </c>
    </row>
    <row r="44" customFormat="false" ht="15" hidden="false" customHeight="false" outlineLevel="0" collapsed="false">
      <c r="A44" s="11" t="s">
        <v>906</v>
      </c>
      <c r="B44" s="11" t="s">
        <v>50</v>
      </c>
      <c r="C44" s="60" t="n">
        <f aca="false">Controls!B17</f>
        <v>0</v>
      </c>
      <c r="D44" s="60" t="n">
        <v>0</v>
      </c>
      <c r="E44" s="12" t="str">
        <f aca="false">IF(ABS(C44-D44)&lt;0.000001,"PASS","FAIL")</f>
        <v>PASS</v>
      </c>
    </row>
    <row r="45" customFormat="false" ht="15" hidden="false" customHeight="false" outlineLevel="0" collapsed="false">
      <c r="A45" s="11" t="s">
        <v>907</v>
      </c>
      <c r="B45" s="11" t="s">
        <v>908</v>
      </c>
      <c r="C45" s="60" t="n">
        <f aca="false">Controls!B18</f>
        <v>0</v>
      </c>
      <c r="D45" s="60" t="n">
        <v>0</v>
      </c>
      <c r="E45" s="12" t="str">
        <f aca="false">IF(ABS(C45-D45)&lt;0.000001,"PASS","FAIL")</f>
        <v>PASS</v>
      </c>
    </row>
    <row r="46" customFormat="false" ht="15" hidden="false" customHeight="false" outlineLevel="0" collapsed="false">
      <c r="A46" s="11" t="s">
        <v>909</v>
      </c>
      <c r="B46" s="11" t="s">
        <v>910</v>
      </c>
      <c r="C46" s="60" t="n">
        <f aca="false">SUM(Controls!B19:B21)</f>
        <v>0</v>
      </c>
      <c r="D46" s="60" t="n">
        <v>0</v>
      </c>
      <c r="E46" s="12" t="str">
        <f aca="false">IF(ABS(C46-D46)&lt;0.000001,"PASS","FAIL")</f>
        <v>PASS</v>
      </c>
    </row>
    <row r="47" customFormat="false" ht="15" hidden="false" customHeight="false" outlineLevel="0" collapsed="false">
      <c r="A47" s="11" t="s">
        <v>911</v>
      </c>
      <c r="B47" s="11" t="s">
        <v>912</v>
      </c>
      <c r="C47" s="60" t="n">
        <f aca="false">SUM(Controls!B23:B25)</f>
        <v>0</v>
      </c>
      <c r="D47" s="60" t="n">
        <v>0</v>
      </c>
      <c r="E47" s="12" t="str">
        <f aca="false">IF(ABS(C47-D47)&lt;0.000001,"PASS","FAIL")</f>
        <v>PASS</v>
      </c>
    </row>
    <row r="48" customFormat="false" ht="15" hidden="false" customHeight="false" outlineLevel="0" collapsed="false">
      <c r="A48" s="11" t="s">
        <v>913</v>
      </c>
      <c r="B48" s="11" t="s">
        <v>914</v>
      </c>
      <c r="C48" s="60" t="n">
        <f aca="false">COUNTIFS('Representation Ladder'!N7:N14,6)</f>
        <v>4</v>
      </c>
      <c r="D48" s="60" t="n">
        <v>4</v>
      </c>
      <c r="E48" s="12" t="str">
        <f aca="false">IF(ABS(C48-D48)&lt;0.000001,"PASS","FAIL")</f>
        <v>PASS</v>
      </c>
    </row>
    <row r="49" customFormat="false" ht="15" hidden="false" customHeight="false" outlineLevel="0" collapsed="false">
      <c r="A49" s="11" t="s">
        <v>915</v>
      </c>
      <c r="B49" s="11" t="s">
        <v>916</v>
      </c>
      <c r="C49" s="60" t="n">
        <f aca="false">COUNTIFS('Representation Ladder'!N7:N14,0)</f>
        <v>4</v>
      </c>
      <c r="D49" s="60" t="n">
        <v>4</v>
      </c>
      <c r="E49" s="12" t="str">
        <f aca="false">IF(ABS(C49-D49)&lt;0.000001,"PASS","FAIL")</f>
        <v>PASS</v>
      </c>
    </row>
    <row r="50" customFormat="false" ht="15" hidden="false" customHeight="false" outlineLevel="0" collapsed="false">
      <c r="A50" s="15" t="s">
        <v>917</v>
      </c>
      <c r="B50" s="15" t="s">
        <v>918</v>
      </c>
      <c r="C50" s="61" t="n">
        <f aca="false">COUNTA(Mutations!A7:A24)</f>
        <v>18</v>
      </c>
      <c r="D50" s="61" t="n">
        <v>18</v>
      </c>
      <c r="E50" s="16" t="str">
        <f aca="false">IF(ABS(C50-D50)&lt;0.000001,"PASS","FAIL")</f>
        <v>PASS</v>
      </c>
    </row>
  </sheetData>
  <mergeCells count="2">
    <mergeCell ref="A2:E2"/>
    <mergeCell ref="A4:E4"/>
  </mergeCells>
  <conditionalFormatting sqref="E7:E50">
    <cfRule type="containsText" priority="2" operator="containsText" aboveAverage="0" equalAverage="0" bottom="0" percent="0" rank="0" text="FAIL" dxfId="0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08"/>
    <col collapsed="false" customWidth="true" hidden="false" outlineLevel="0" max="4" min="4" style="0" width="62"/>
  </cols>
  <sheetData>
    <row r="2" customFormat="false" ht="24" hidden="false" customHeight="true" outlineLevel="0" collapsed="false">
      <c r="A2" s="1" t="s">
        <v>919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8" t="s">
        <v>920</v>
      </c>
      <c r="B4" s="18"/>
      <c r="C4" s="18"/>
      <c r="D4" s="18"/>
    </row>
    <row r="5" customFormat="false" ht="15" hidden="false" customHeight="false" outlineLevel="0" collapsed="false">
      <c r="A5" s="6"/>
      <c r="B5" s="6"/>
      <c r="C5" s="6"/>
      <c r="D5" s="6"/>
    </row>
    <row r="6" customFormat="false" ht="24" hidden="false" customHeight="true" outlineLevel="0" collapsed="false">
      <c r="A6" s="19" t="s">
        <v>921</v>
      </c>
      <c r="B6" s="20" t="s">
        <v>922</v>
      </c>
      <c r="C6" s="20" t="s">
        <v>923</v>
      </c>
      <c r="D6" s="21" t="s">
        <v>924</v>
      </c>
    </row>
    <row r="7" customFormat="false" ht="15" hidden="false" customHeight="false" outlineLevel="0" collapsed="false">
      <c r="A7" s="7" t="s">
        <v>925</v>
      </c>
      <c r="B7" s="7" t="s">
        <v>926</v>
      </c>
      <c r="C7" s="7" t="s">
        <v>927</v>
      </c>
      <c r="D7" s="7" t="s">
        <v>928</v>
      </c>
    </row>
    <row r="8" customFormat="false" ht="15" hidden="false" customHeight="false" outlineLevel="0" collapsed="false">
      <c r="A8" s="11" t="s">
        <v>929</v>
      </c>
      <c r="B8" s="11" t="s">
        <v>930</v>
      </c>
      <c r="C8" s="11" t="s">
        <v>931</v>
      </c>
      <c r="D8" s="11" t="s">
        <v>932</v>
      </c>
    </row>
    <row r="9" customFormat="false" ht="15" hidden="false" customHeight="false" outlineLevel="0" collapsed="false">
      <c r="A9" s="11" t="s">
        <v>933</v>
      </c>
      <c r="B9" s="11" t="s">
        <v>934</v>
      </c>
      <c r="C9" s="11" t="s">
        <v>935</v>
      </c>
      <c r="D9" s="11" t="s">
        <v>936</v>
      </c>
    </row>
    <row r="10" customFormat="false" ht="15" hidden="false" customHeight="false" outlineLevel="0" collapsed="false">
      <c r="A10" s="11" t="s">
        <v>937</v>
      </c>
      <c r="B10" s="11" t="s">
        <v>938</v>
      </c>
      <c r="C10" s="11" t="s">
        <v>939</v>
      </c>
      <c r="D10" s="11" t="s">
        <v>940</v>
      </c>
    </row>
    <row r="11" customFormat="false" ht="15" hidden="false" customHeight="false" outlineLevel="0" collapsed="false">
      <c r="A11" s="11" t="s">
        <v>941</v>
      </c>
      <c r="B11" s="11" t="s">
        <v>942</v>
      </c>
      <c r="C11" s="11" t="s">
        <v>943</v>
      </c>
      <c r="D11" s="11" t="s">
        <v>944</v>
      </c>
    </row>
    <row r="12" customFormat="false" ht="15" hidden="false" customHeight="false" outlineLevel="0" collapsed="false">
      <c r="A12" s="15" t="s">
        <v>945</v>
      </c>
      <c r="B12" s="15" t="s">
        <v>946</v>
      </c>
      <c r="C12" s="15" t="s">
        <v>947</v>
      </c>
      <c r="D12" s="15" t="s">
        <v>948</v>
      </c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24" hidden="false" customHeight="true" outlineLevel="0" collapsed="false">
      <c r="A15" s="55" t="s">
        <v>921</v>
      </c>
      <c r="B15" s="56" t="s">
        <v>481</v>
      </c>
      <c r="C15" s="56" t="s">
        <v>949</v>
      </c>
      <c r="D15" s="58" t="s">
        <v>950</v>
      </c>
    </row>
    <row r="16" customFormat="false" ht="15" hidden="false" customHeight="false" outlineLevel="0" collapsed="false">
      <c r="A16" s="7" t="s">
        <v>951</v>
      </c>
      <c r="B16" s="7" t="s">
        <v>952</v>
      </c>
      <c r="C16" s="7" t="s">
        <v>953</v>
      </c>
      <c r="D16" s="7" t="s">
        <v>954</v>
      </c>
    </row>
    <row r="17" customFormat="false" ht="15" hidden="false" customHeight="false" outlineLevel="0" collapsed="false">
      <c r="A17" s="11" t="s">
        <v>955</v>
      </c>
      <c r="B17" s="11" t="s">
        <v>956</v>
      </c>
      <c r="C17" s="11" t="s">
        <v>957</v>
      </c>
      <c r="D17" s="11" t="s">
        <v>958</v>
      </c>
    </row>
    <row r="18" customFormat="false" ht="15" hidden="false" customHeight="false" outlineLevel="0" collapsed="false">
      <c r="A18" s="11" t="s">
        <v>959</v>
      </c>
      <c r="B18" s="11" t="s">
        <v>960</v>
      </c>
      <c r="C18" s="11" t="s">
        <v>961</v>
      </c>
      <c r="D18" s="11" t="s">
        <v>962</v>
      </c>
    </row>
    <row r="19" customFormat="false" ht="15" hidden="false" customHeight="false" outlineLevel="0" collapsed="false">
      <c r="A19" s="11" t="s">
        <v>963</v>
      </c>
      <c r="B19" s="11" t="s">
        <v>964</v>
      </c>
      <c r="C19" s="11" t="s">
        <v>965</v>
      </c>
      <c r="D19" s="11" t="s">
        <v>966</v>
      </c>
    </row>
    <row r="20" customFormat="false" ht="15" hidden="false" customHeight="false" outlineLevel="0" collapsed="false">
      <c r="A20" s="11" t="s">
        <v>967</v>
      </c>
      <c r="B20" s="11" t="s">
        <v>968</v>
      </c>
      <c r="C20" s="11" t="s">
        <v>969</v>
      </c>
      <c r="D20" s="11" t="s">
        <v>970</v>
      </c>
    </row>
    <row r="21" customFormat="false" ht="15" hidden="false" customHeight="false" outlineLevel="0" collapsed="false">
      <c r="A21" s="15" t="s">
        <v>971</v>
      </c>
      <c r="B21" s="15" t="s">
        <v>972</v>
      </c>
      <c r="C21" s="15" t="s">
        <v>973</v>
      </c>
      <c r="D21" s="15" t="s">
        <v>974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