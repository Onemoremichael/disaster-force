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Controls" sheetId="2" state="visible" r:id="rId4"/>
    <sheet name="Hypothesis Audit" sheetId="3" state="visible" r:id="rId5"/>
    <sheet name="Contradictions" sheetId="4" state="visible" r:id="rId6"/>
    <sheet name="Replacement Forms" sheetId="5" state="visible" r:id="rId7"/>
    <sheet name="Finance" sheetId="6" state="visible" r:id="rId8"/>
    <sheet name="Mutations" sheetId="7" state="visible" r:id="rId9"/>
    <sheet name="Audit" sheetId="8" state="visible" r:id="rId10"/>
    <sheet name="Sources &amp; Limits" sheetId="9" state="visible" r:id="rId11"/>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<sst xmlns="http://schemas.openxmlformats.org/spreadsheetml/2006/main" count="538" uniqueCount="350">
  <si>
    <t xml:space="preserve">Six-root form-induced contradiction audit</t>
  </si>
  <si>
    <t xml:space="preserve">Decision</t>
  </si>
  <si>
    <t xml:space="preserve">Value</t>
  </si>
  <si>
    <t xml:space="preserve">State</t>
  </si>
  <si>
    <t xml:space="preserve">Disposition</t>
  </si>
  <si>
    <t xml:space="preserve">Count</t>
  </si>
  <si>
    <t xml:space="preserve">hypotheses audited</t>
  </si>
  <si>
    <t xml:space="preserve">COMPLETE</t>
  </si>
  <si>
    <t xml:space="preserve">Decision
Three hypotheses remain suitable for dimensioned study. Ten retain their defining topology only after bounded interface revisions. Five are withdrawn because the common failure is the feature that defines their form: one winged airframe, one marine frame, one clinical tower, one clean core and one serial process train. Five replacement specifications preserve the intended mechanism without carrying the failed topology forward. No branch is killed and no form is selected.</t>
  </si>
  <si>
    <t xml:space="preserve">Retain</t>
  </si>
  <si>
    <t xml:space="preserve">audit domains</t>
  </si>
  <si>
    <t xml:space="preserve">CONSTITUTED</t>
  </si>
  <si>
    <t xml:space="preserve">Revise</t>
  </si>
  <si>
    <t xml:space="preserve">domain decisions</t>
  </si>
  <si>
    <t xml:space="preserve">Withdraw / replace</t>
  </si>
  <si>
    <t xml:space="preserve">retain</t>
  </si>
  <si>
    <t xml:space="preserve">RETAIN</t>
  </si>
  <si>
    <t xml:space="preserve">revise</t>
  </si>
  <si>
    <t xml:space="preserve">REVISE</t>
  </si>
  <si>
    <t xml:space="preserve">withdraw / replace</t>
  </si>
  <si>
    <t xml:space="preserve">WITHDRAW / REPLACE</t>
  </si>
  <si>
    <t xml:space="preserve">fatal domain findings</t>
  </si>
  <si>
    <t xml:space="preserve">TOPOLOGY-FATAL</t>
  </si>
  <si>
    <t xml:space="preserve">bounded revision findings</t>
  </si>
  <si>
    <t xml:space="preserve">BOUNDED</t>
  </si>
  <si>
    <t xml:space="preserve">branch kills</t>
  </si>
  <si>
    <t xml:space="preserve">ZERO</t>
  </si>
  <si>
    <t xml:space="preserve">replacement forms</t>
  </si>
  <si>
    <t xml:space="preserve">SPECIFICATION ONLY</t>
  </si>
  <si>
    <t xml:space="preserve">incremental ceiling USD B</t>
  </si>
  <si>
    <t xml:space="preserve">accepted USD B</t>
  </si>
  <si>
    <t xml:space="preserve">Form-induced contradiction controls</t>
  </si>
  <si>
    <t xml:space="preserve">Control</t>
  </si>
  <si>
    <t xml:space="preserve">Unit</t>
  </si>
  <si>
    <t xml:space="preserve">Authority</t>
  </si>
  <si>
    <t xml:space="preserve">roots</t>
  </si>
  <si>
    <t xml:space="preserve">count</t>
  </si>
  <si>
    <t xml:space="preserve">Pass 221</t>
  </si>
  <si>
    <t xml:space="preserve">hypotheses per root</t>
  </si>
  <si>
    <t xml:space="preserve">Pass 220</t>
  </si>
  <si>
    <t xml:space="preserve">Pass 222 decision</t>
  </si>
  <si>
    <t xml:space="preserve">pass score</t>
  </si>
  <si>
    <t xml:space="preserve">ordinal</t>
  </si>
  <si>
    <t xml:space="preserve">no contradiction visible</t>
  </si>
  <si>
    <t xml:space="preserve">revise score</t>
  </si>
  <si>
    <t xml:space="preserve">bounded correction preserves topology</t>
  </si>
  <si>
    <t xml:space="preserve">withdraw score</t>
  </si>
  <si>
    <t xml:space="preserve">correction changes defining topology</t>
  </si>
  <si>
    <t xml:space="preserve">selected hypotheses</t>
  </si>
  <si>
    <t xml:space="preserve">held</t>
  </si>
  <si>
    <t xml:space="preserve">accepted observations</t>
  </si>
  <si>
    <t xml:space="preserve">source empty</t>
  </si>
  <si>
    <t xml:space="preserve">FRAME share</t>
  </si>
  <si>
    <t xml:space="preserve">share</t>
  </si>
  <si>
    <t xml:space="preserve">Pass 215</t>
  </si>
  <si>
    <t xml:space="preserve">incremental contradiction-audit ceiling</t>
  </si>
  <si>
    <t xml:space="preserve">USD B</t>
  </si>
  <si>
    <t xml:space="preserve">no new authority</t>
  </si>
  <si>
    <t xml:space="preserve">Eighteen hypothesis contradiction audit</t>
  </si>
  <si>
    <t xml:space="preserve">Hypothesis</t>
  </si>
  <si>
    <t xml:space="preserve">System</t>
  </si>
  <si>
    <t xml:space="preserve">Root</t>
  </si>
  <si>
    <t xml:space="preserve">Variant</t>
  </si>
  <si>
    <t xml:space="preserve">Form hypothesis</t>
  </si>
  <si>
    <t xml:space="preserve">Plate file</t>
  </si>
  <si>
    <t xml:space="preserve">Causal independence</t>
  </si>
  <si>
    <t xml:space="preserve">Access and egress</t>
  </si>
  <si>
    <t xml:space="preserve">Residual custody</t>
  </si>
  <si>
    <t xml:space="preserve">Cold reconstruction</t>
  </si>
  <si>
    <t xml:space="preserve">Decisive support ancestry</t>
  </si>
  <si>
    <t xml:space="preserve">Unresolved envelope discipline</t>
  </si>
  <si>
    <t xml:space="preserve">Maximum severity</t>
  </si>
  <si>
    <t xml:space="preserve">Fatal domains</t>
  </si>
  <si>
    <t xml:space="preserve">Revision domains</t>
  </si>
  <si>
    <t xml:space="preserve">Required action</t>
  </si>
  <si>
    <t xml:space="preserve">ID occurrences</t>
  </si>
  <si>
    <t xml:space="preserve">Root occurrences</t>
  </si>
  <si>
    <t xml:space="preserve">ET-A-A</t>
  </si>
  <si>
    <t xml:space="preserve">MS-ET</t>
  </si>
  <si>
    <t xml:space="preserve">ET-A</t>
  </si>
  <si>
    <t xml:space="preserve">A</t>
  </si>
  <si>
    <t xml:space="preserve">Distributed twin-body exchange</t>
  </si>
  <si>
    <t xml:space="preserve">et-a-rep3-rival-form-set.png</t>
  </si>
  <si>
    <t xml:space="preserve">Split custody, residual handling and cold-build records by path</t>
  </si>
  <si>
    <t xml:space="preserve">ET-A-B</t>
  </si>
  <si>
    <t xml:space="preserve">B</t>
  </si>
  <si>
    <t xml:space="preserve">Articulated offshore spine</t>
  </si>
  <si>
    <t xml:space="preserve">Create independently safeable articulation chains and dual load paths</t>
  </si>
  <si>
    <t xml:space="preserve">ET-A-C</t>
  </si>
  <si>
    <t xml:space="preserve">C</t>
  </si>
  <si>
    <t xml:space="preserve">Semi-submersible exchange lattice</t>
  </si>
  <si>
    <t xml:space="preserve">Split wet-to-dry frames and leave stationkeeping closure unresolved</t>
  </si>
  <si>
    <t xml:space="preserve">CT-C-A</t>
  </si>
  <si>
    <t xml:space="preserve">MS-CT</t>
  </si>
  <si>
    <t xml:space="preserve">CT-C</t>
  </si>
  <si>
    <t xml:space="preserve">Ground-supported telescoping spine</t>
  </si>
  <si>
    <t xml:space="preserve">ct-c-rep3-rival-form-set.png</t>
  </si>
  <si>
    <t xml:space="preserve">Segment reaction paths, safeing and rebuild sections by trunk group</t>
  </si>
  <si>
    <t xml:space="preserve">CT-C-B</t>
  </si>
  <si>
    <t xml:space="preserve">Suspended facade utility belt</t>
  </si>
  <si>
    <t xml:space="preserve">Use independently qualified anchor zones and fail-safe belt breaks</t>
  </si>
  <si>
    <t xml:space="preserve">CT-C-C</t>
  </si>
  <si>
    <t xml:space="preserve">Mast-and-bridge insertion grid</t>
  </si>
  <si>
    <t xml:space="preserve">Retain separation; dimension bridge-drop and egress boundaries</t>
  </si>
  <si>
    <t xml:space="preserve">HC-A-A</t>
  </si>
  <si>
    <t xml:space="preserve">MS-HC</t>
  </si>
  <si>
    <t xml:space="preserve">HC-A</t>
  </si>
  <si>
    <t xml:space="preserve">High-endurance winged array</t>
  </si>
  <si>
    <t xml:space="preserve">hc-a-rep3-rival-form-set.png</t>
  </si>
  <si>
    <t xml:space="preserve">Replace with independently safeable winged sector cells</t>
  </si>
  <si>
    <t xml:space="preserve">HC-A-B</t>
  </si>
  <si>
    <t xml:space="preserve">Aerostat intervention train</t>
  </si>
  <si>
    <t xml:space="preserve">Separate tethers, local energy, control and recovery by sector</t>
  </si>
  <si>
    <t xml:space="preserve">HC-A-C</t>
  </si>
  <si>
    <t xml:space="preserve">Distributed rotorborne cells</t>
  </si>
  <si>
    <t xml:space="preserve">Retain local control and prohibit common decisive network service</t>
  </si>
  <si>
    <t xml:space="preserve">LF-B-A</t>
  </si>
  <si>
    <t xml:space="preserve">MS-LF</t>
  </si>
  <si>
    <t xml:space="preserve">LF-B</t>
  </si>
  <si>
    <t xml:space="preserve">Radial multi-bore source field</t>
  </si>
  <si>
    <t xml:space="preserve">lf-b-rep3-rival-form-set.png</t>
  </si>
  <si>
    <t xml:space="preserve">Split conversion, product and injection headers into loss-defined cells</t>
  </si>
  <si>
    <t xml:space="preserve">LF-B-B</t>
  </si>
  <si>
    <t xml:space="preserve">Linear roadless source train</t>
  </si>
  <si>
    <t xml:space="preserve">Separate route basins and preserve independent cold access</t>
  </si>
  <si>
    <t xml:space="preserve">LF-B-C</t>
  </si>
  <si>
    <t xml:space="preserve">Nearshore supported source island</t>
  </si>
  <si>
    <t xml:space="preserve">Replace with a separated nearshore caisson archipelago</t>
  </si>
  <si>
    <t xml:space="preserve">HU-A-A</t>
  </si>
  <si>
    <t xml:space="preserve">MS-HU</t>
  </si>
  <si>
    <t xml:space="preserve">HU-A</t>
  </si>
  <si>
    <t xml:space="preserve">Distributed clinical courtyards</t>
  </si>
  <si>
    <t xml:space="preserve">hu-a-rep3-rival-form-set.png</t>
  </si>
  <si>
    <t xml:space="preserve">Distribute six utilities and residual custody across isolated courts</t>
  </si>
  <si>
    <t xml:space="preserve">HU-A-B</t>
  </si>
  <si>
    <t xml:space="preserve">Linear plug-through care spine</t>
  </si>
  <si>
    <t xml:space="preserve">Add isolatable spine sections and independent bypass circulation</t>
  </si>
  <si>
    <t xml:space="preserve">HU-A-C</t>
  </si>
  <si>
    <t xml:space="preserve">Stacked clinical metabolism tower</t>
  </si>
  <si>
    <t xml:space="preserve">Replace with paired independently founded clinical towers</t>
  </si>
  <si>
    <t xml:space="preserve">RT-B-A</t>
  </si>
  <si>
    <t xml:space="preserve">MS-RT</t>
  </si>
  <si>
    <t xml:space="preserve">RT-B</t>
  </si>
  <si>
    <t xml:space="preserve">Distributed container process mesh</t>
  </si>
  <si>
    <t xml:space="preserve">rt-b-rep3-rival-form-set.png</t>
  </si>
  <si>
    <t xml:space="preserve">Retain node-local ancestry, metrology and signed release</t>
  </si>
  <si>
    <t xml:space="preserve">RT-B-B</t>
  </si>
  <si>
    <t xml:space="preserve">Radial clean-core process hub</t>
  </si>
  <si>
    <t xml:space="preserve">Replace with five complete petals and a reference-only public center</t>
  </si>
  <si>
    <t xml:space="preserve">RT-B-C</t>
  </si>
  <si>
    <t xml:space="preserve">Linear mobile process train</t>
  </si>
  <si>
    <t xml:space="preserve">Replace with parallel complete mobile microfactory trainlets</t>
  </si>
  <si>
    <t xml:space="preserve">Primary form-induced contradictions</t>
  </si>
  <si>
    <t xml:space="preserve">Contradiction</t>
  </si>
  <si>
    <t xml:space="preserve">Decisive domain</t>
  </si>
  <si>
    <t xml:space="preserve">Domain name</t>
  </si>
  <si>
    <t xml:space="preserve">Severity</t>
  </si>
  <si>
    <t xml:space="preserve">Visible conflict</t>
  </si>
  <si>
    <t xml:space="preserve">Required correction</t>
  </si>
  <si>
    <t xml:space="preserve">K01</t>
  </si>
  <si>
    <t xml:space="preserve">D01</t>
  </si>
  <si>
    <t xml:space="preserve">Shared dry-custody manifold visually reunites two paths</t>
  </si>
  <si>
    <t xml:space="preserve">REVISE BEFORE DIMENSIONED DESIGN</t>
  </si>
  <si>
    <t xml:space="preserve">K02</t>
  </si>
  <si>
    <t xml:space="preserve">One articulated spine can propagate structural loss between paths</t>
  </si>
  <si>
    <t xml:space="preserve">K03</t>
  </si>
  <si>
    <t xml:space="preserve">Common deck lattice and custody zone hide path independence</t>
  </si>
  <si>
    <t xml:space="preserve">K04</t>
  </si>
  <si>
    <t xml:space="preserve">One base and mast carry all trunks and attachments</t>
  </si>
  <si>
    <t xml:space="preserve">K05</t>
  </si>
  <si>
    <t xml:space="preserve">Shared roof anchors and belt truss borrow one host reaction path</t>
  </si>
  <si>
    <t xml:space="preserve">K06</t>
  </si>
  <si>
    <t xml:space="preserve">One airframe is the load, energy and flight-control ancestor for every sector</t>
  </si>
  <si>
    <t xml:space="preserve">K07</t>
  </si>
  <si>
    <t xml:space="preserve">Mooring and power-data custody can collapse into one train controller</t>
  </si>
  <si>
    <t xml:space="preserve">K08</t>
  </si>
  <si>
    <t xml:space="preserve">Central headers and co-located conversion can reunite isolated bores</t>
  </si>
  <si>
    <t xml:space="preserve">K09</t>
  </si>
  <si>
    <t xml:space="preserve">Both water paths and rebuild access share one linear corridor</t>
  </si>
  <si>
    <t xml:space="preserve">K10</t>
  </si>
  <si>
    <t xml:space="preserve">One marine frame is the structural ancestor of all nine access positions</t>
  </si>
  <si>
    <t xml:space="preserve">K11</t>
  </si>
  <si>
    <t xml:space="preserve">Central utility and residual court can reunite otherwise separate care cells</t>
  </si>
  <si>
    <t xml:space="preserve">K12</t>
  </si>
  <si>
    <t xml:space="preserve">One longitudinal spine is a common access and clean-dirty flow ancestor</t>
  </si>
  <si>
    <t xml:space="preserve">K13</t>
  </si>
  <si>
    <t xml:space="preserve">Foundation, shafts and vertical access concentrate every care line</t>
  </si>
  <si>
    <t xml:space="preserve">K14</t>
  </si>
  <si>
    <t xml:space="preserve">One clean metrology core is the decisive stage for all five meshes</t>
  </si>
  <si>
    <t xml:space="preserve">K15</t>
  </si>
  <si>
    <t xml:space="preserve">The depicted train serializes five stages instead of five complete meshes</t>
  </si>
  <si>
    <t xml:space="preserve">Five topology-preserving replacement orders</t>
  </si>
  <si>
    <t xml:space="preserve">Withdrawn hypothesis</t>
  </si>
  <si>
    <t xml:space="preserve">Replacement form</t>
  </si>
  <si>
    <t xml:space="preserve">Required architecture</t>
  </si>
  <si>
    <t xml:space="preserve">What remains invariant</t>
  </si>
  <si>
    <t xml:space="preserve">Release state</t>
  </si>
  <si>
    <t xml:space="preserve">Independent winged sector cells</t>
  </si>
  <si>
    <t xml:space="preserve">Five separately safeable lifting bodies retain attributable sector release without one airframe ancestor</t>
  </si>
  <si>
    <t xml:space="preserve">Preserves wing-borne persistence; removes shared structure, energy and flight control</t>
  </si>
  <si>
    <t xml:space="preserve">SPECIFICATION ONLY / NOT RENDERED</t>
  </si>
  <si>
    <t xml:space="preserve">Nearshore caisson source archipelago</t>
  </si>
  <si>
    <t xml:space="preserve">Three independently founded caissons divide nine access positions, conversion, product and injection paths</t>
  </si>
  <si>
    <t xml:space="preserve">Preserves nearshore access; removes the single marine frame</t>
  </si>
  <si>
    <t xml:space="preserve">Paired clinical metabolism towers</t>
  </si>
  <si>
    <t xml:space="preserve">Two independently founded vertical zones duplicate access, utilities and each indivisible care line</t>
  </si>
  <si>
    <t xml:space="preserve">Preserves vertical clinical metabolism; removes one foundation and shaft ancestry</t>
  </si>
  <si>
    <t xml:space="preserve">Five-petal independent clean-core ring</t>
  </si>
  <si>
    <t xml:space="preserve">Each petal contains a complete dirty-return-to-signed-release mesh; the center supplies reference only</t>
  </si>
  <si>
    <t xml:space="preserve">Preserves radial form; removes the common decisive metrology core</t>
  </si>
  <si>
    <t xml:space="preserve">Parallel mobile microfactory trainlets</t>
  </si>
  <si>
    <t xml:space="preserve">Five mobile trainlets each contain the complete process and metrology chain</t>
  </si>
  <si>
    <t xml:space="preserve">Preserves linear mobility; removes serial stage dependence</t>
  </si>
  <si>
    <t xml:space="preserve">Contradiction work adds no program ceiling</t>
  </si>
  <si>
    <t xml:space="preserve">Article</t>
  </si>
  <si>
    <t xml:space="preserve">Option ceiling USD B</t>
  </si>
  <si>
    <t xml:space="preserve">Maximum FRAME USD B</t>
  </si>
  <si>
    <t xml:space="preserve">Incremental audit ceiling USD B</t>
  </si>
  <si>
    <t xml:space="preserve">Accepted USD B</t>
  </si>
  <si>
    <t xml:space="preserve">Paid USD B</t>
  </si>
  <si>
    <t xml:space="preserve">Pelagic exchange cell</t>
  </si>
  <si>
    <t xml:space="preserve">Occupied-building utility-spine sector</t>
  </si>
  <si>
    <t xml:space="preserve">Atmospheric intervention cell</t>
  </si>
  <si>
    <t xml:space="preserve">Geothermal source position</t>
  </si>
  <si>
    <t xml:space="preserve">Complete clinical island</t>
  </si>
  <si>
    <t xml:space="preserve">Disconnected microfactory mesh</t>
  </si>
  <si>
    <t xml:space="preserve">TOTAL</t>
  </si>
  <si>
    <t xml:space="preserve">six roots</t>
  </si>
  <si>
    <t xml:space="preserve">form contradiction audit</t>
  </si>
  <si>
    <t xml:space="preserve">Mutation test register</t>
  </si>
  <si>
    <t xml:space="preserve">Mutation</t>
  </si>
  <si>
    <t xml:space="preserve">Controlled change</t>
  </si>
  <si>
    <t xml:space="preserve">Expected detection</t>
  </si>
  <si>
    <t xml:space="preserve">Detected</t>
  </si>
  <si>
    <t xml:space="preserve">Restored</t>
  </si>
  <si>
    <t xml:space="preserve">M01</t>
  </si>
  <si>
    <t xml:space="preserve">change CT-C-C independence 0 to 1</t>
  </si>
  <si>
    <t xml:space="preserve">retain count falls and revise count rises</t>
  </si>
  <si>
    <t xml:space="preserve">M02</t>
  </si>
  <si>
    <t xml:space="preserve">change HC-A-A fatal independence 2 to 1</t>
  </si>
  <si>
    <t xml:space="preserve">fatal-domain total falls</t>
  </si>
  <si>
    <t xml:space="preserve">M03</t>
  </si>
  <si>
    <t xml:space="preserve">remove one hypothesis identifier</t>
  </si>
  <si>
    <t xml:space="preserve">hypothesis-count audit fails</t>
  </si>
  <si>
    <t xml:space="preserve">M04</t>
  </si>
  <si>
    <t xml:space="preserve">change replacement count by blanking one row</t>
  </si>
  <si>
    <t xml:space="preserve">replacement-count audit fails</t>
  </si>
  <si>
    <t xml:space="preserve">M05</t>
  </si>
  <si>
    <t xml:space="preserve">enter one selected hypothesis</t>
  </si>
  <si>
    <t xml:space="preserve">zero-selection audit fails</t>
  </si>
  <si>
    <t xml:space="preserve">M06</t>
  </si>
  <si>
    <t xml:space="preserve">enter one branch kill</t>
  </si>
  <si>
    <t xml:space="preserve">branch-kill decision audit fails</t>
  </si>
  <si>
    <t xml:space="preserve">M07</t>
  </si>
  <si>
    <t xml:space="preserve">raise FRAME share</t>
  </si>
  <si>
    <t xml:space="preserve">finance ceiling changes and audit fails</t>
  </si>
  <si>
    <t xml:space="preserve">M08</t>
  </si>
  <si>
    <t xml:space="preserve">enter incremental ceiling</t>
  </si>
  <si>
    <t xml:space="preserve">finance hold fails</t>
  </si>
  <si>
    <t xml:space="preserve">M09</t>
  </si>
  <si>
    <t xml:space="preserve">enter accepted payment</t>
  </si>
  <si>
    <t xml:space="preserve">M10</t>
  </si>
  <si>
    <t xml:space="preserve">remove one domain</t>
  </si>
  <si>
    <t xml:space="preserve">domain-count audit fails</t>
  </si>
  <si>
    <t xml:space="preserve">M11</t>
  </si>
  <si>
    <t xml:space="preserve">erase one score</t>
  </si>
  <si>
    <t xml:space="preserve">domain-decision audit fails</t>
  </si>
  <si>
    <t xml:space="preserve">M12</t>
  </si>
  <si>
    <t xml:space="preserve">change withdrawn form to all-pass scores</t>
  </si>
  <si>
    <t xml:space="preserve">withdraw count changes</t>
  </si>
  <si>
    <t xml:space="preserve">Independent workbook checks</t>
  </si>
  <si>
    <t xml:space="preserve">Audit</t>
  </si>
  <si>
    <t xml:space="preserve">Check</t>
  </si>
  <si>
    <t xml:space="preserve">Actual</t>
  </si>
  <si>
    <t xml:space="preserve">Expected</t>
  </si>
  <si>
    <t xml:space="preserve">Result</t>
  </si>
  <si>
    <t xml:space="preserve">A01</t>
  </si>
  <si>
    <t xml:space="preserve">hypothesis count</t>
  </si>
  <si>
    <t xml:space="preserve">A02</t>
  </si>
  <si>
    <t xml:space="preserve">unique hypothesis count</t>
  </si>
  <si>
    <t xml:space="preserve">A03</t>
  </si>
  <si>
    <t xml:space="preserve">complete three-hypothesis roots</t>
  </si>
  <si>
    <t xml:space="preserve">A04</t>
  </si>
  <si>
    <t xml:space="preserve">domain count</t>
  </si>
  <si>
    <t xml:space="preserve">A05</t>
  </si>
  <si>
    <t xml:space="preserve">A06</t>
  </si>
  <si>
    <t xml:space="preserve">pass cells</t>
  </si>
  <si>
    <t xml:space="preserve">A07</t>
  </si>
  <si>
    <t xml:space="preserve">revision cells</t>
  </si>
  <si>
    <t xml:space="preserve">A08</t>
  </si>
  <si>
    <t xml:space="preserve">fatal cells</t>
  </si>
  <si>
    <t xml:space="preserve">A09</t>
  </si>
  <si>
    <t xml:space="preserve">retain dispositions</t>
  </si>
  <si>
    <t xml:space="preserve">A10</t>
  </si>
  <si>
    <t xml:space="preserve">revise dispositions</t>
  </si>
  <si>
    <t xml:space="preserve">A11</t>
  </si>
  <si>
    <t xml:space="preserve">withdraw dispositions</t>
  </si>
  <si>
    <t xml:space="preserve">A12</t>
  </si>
  <si>
    <t xml:space="preserve">disposition total</t>
  </si>
  <si>
    <t xml:space="preserve">A13</t>
  </si>
  <si>
    <t xml:space="preserve">primary contradictions</t>
  </si>
  <si>
    <t xml:space="preserve">A14</t>
  </si>
  <si>
    <t xml:space="preserve">A15</t>
  </si>
  <si>
    <t xml:space="preserve">A16</t>
  </si>
  <si>
    <t xml:space="preserve">A17</t>
  </si>
  <si>
    <t xml:space="preserve">A18</t>
  </si>
  <si>
    <t xml:space="preserve">option ceiling conservation</t>
  </si>
  <si>
    <t xml:space="preserve">A19</t>
  </si>
  <si>
    <t xml:space="preserve">FRAME ceiling conservation</t>
  </si>
  <si>
    <t xml:space="preserve">A20</t>
  </si>
  <si>
    <t xml:space="preserve">incremental ceiling</t>
  </si>
  <si>
    <t xml:space="preserve">A21</t>
  </si>
  <si>
    <t xml:space="preserve">accepted amount</t>
  </si>
  <si>
    <t xml:space="preserve">A22</t>
  </si>
  <si>
    <t xml:space="preserve">paid amount</t>
  </si>
  <si>
    <t xml:space="preserve">A23</t>
  </si>
  <si>
    <t xml:space="preserve">finance states held</t>
  </si>
  <si>
    <t xml:space="preserve">A24</t>
  </si>
  <si>
    <t xml:space="preserve">mutations detected</t>
  </si>
  <si>
    <t xml:space="preserve">A25</t>
  </si>
  <si>
    <t xml:space="preserve">mutations restored</t>
  </si>
  <si>
    <t xml:space="preserve">Sources and limits</t>
  </si>
  <si>
    <t xml:space="preserve">Source</t>
  </si>
  <si>
    <t xml:space="preserve">Role</t>
  </si>
  <si>
    <t xml:space="preserve">Controlled use</t>
  </si>
  <si>
    <t xml:space="preserve">Limit</t>
  </si>
  <si>
    <t xml:space="preserve">Pass 221 rival visual set issuance</t>
  </si>
  <si>
    <t xml:space="preserve">representation source</t>
  </si>
  <si>
    <t xml:space="preserve">six issued REP-3 Markdown-and-raster records</t>
  </si>
  <si>
    <t xml:space="preserve">generated marks are not metrology</t>
  </si>
  <si>
    <t xml:space="preserve">Pass 220 representation boundary</t>
  </si>
  <si>
    <t xml:space="preserve">authority source</t>
  </si>
  <si>
    <t xml:space="preserve">representation ladder, view rules and nonconversion law</t>
  </si>
  <si>
    <t xml:space="preserve">REP-4 through REP-7 remain held</t>
  </si>
  <si>
    <t xml:space="preserve">Pass 219 internal-section architecture</t>
  </si>
  <si>
    <t xml:space="preserve">technical source</t>
  </si>
  <si>
    <t xml:space="preserve">six root-native bills, isolation and reconstruction requirements</t>
  </si>
  <si>
    <t xml:space="preserve">no physical observation exists</t>
  </si>
  <si>
    <t xml:space="preserve">Pass 218 quantitative triage</t>
  </si>
  <si>
    <t xml:space="preserve">negative source</t>
  </si>
  <si>
    <t xml:space="preserve">missing-is-not-zero and 2.5-percent design screen</t>
  </si>
  <si>
    <t xml:space="preserve">design arithmetic is not evidence</t>
  </si>
  <si>
    <t xml:space="preserve">Pass 215 construction compact</t>
  </si>
  <si>
    <t xml:space="preserve">finance and warrant source</t>
  </si>
  <si>
    <t xml:space="preserve">option ceilings and FRAME share</t>
  </si>
  <si>
    <t xml:space="preserve">no firm, site, award or payment exists</t>
  </si>
  <si>
    <t xml:space="preserve">Pass 222 expert visual audit</t>
  </si>
  <si>
    <t xml:space="preserve">judgment source</t>
  </si>
  <si>
    <t xml:space="preserve">explicit six-domain ordinal dispositions</t>
  </si>
  <si>
    <t xml:space="preserve">not engineering analysis or measured validation</t>
  </si>
</sst>
</file>

<file path=xl/styles.xml><?xml version="1.0" encoding="utf-8"?>
<styleSheet xmlns="http://schemas.openxmlformats.org/spreadsheetml/2006/main">
  <numFmts count="5">
    <numFmt numFmtId="164" formatCode="General"/>
    <numFmt numFmtId="165" formatCode="#,##0"/>
    <numFmt numFmtId="166" formatCode="0.000"/>
    <numFmt numFmtId="167" formatCode="0"/>
    <numFmt numFmtId="168" formatCode="0.0%"/>
  </numFmts>
  <fonts count="9">
    <font>
      <sz val="10"/>
      <name val="Arial"/>
      <family val="2"/>
    </font>
    <font>
      <sz val="10"/>
      <name val="Arial"/>
      <family val="0"/>
    </font>
    <font>
      <sz val="10"/>
      <name val="Arial"/>
      <family val="0"/>
    </font>
    <font>
      <sz val="10"/>
      <name val="Arial"/>
      <family val="0"/>
    </font>
    <font>
      <sz val="11"/>
      <name val="Calibri"/>
      <family val="0"/>
      <charset val="1"/>
    </font>
    <font>
      <b val="true"/>
      <sz val="10"/>
      <color rgb="FF263746"/>
      <name val="Arial"/>
      <family val="0"/>
      <charset val="1"/>
    </font>
    <font>
      <sz val="10"/>
      <color rgb="FF263746"/>
      <name val="Arial"/>
      <family val="0"/>
      <charset val="1"/>
    </font>
    <font>
      <b val="true"/>
      <sz val="9"/>
      <color rgb="FF000000"/>
      <name val="Arial"/>
      <family val="2"/>
    </font>
    <font>
      <sz val="7.5"/>
      <color rgb="FF000000"/>
      <name val="Arial"/>
      <family val="2"/>
    </font>
  </fonts>
  <fills count="6">
    <fill>
      <patternFill patternType="none"/>
    </fill>
    <fill>
      <patternFill patternType="gray125"/>
    </fill>
    <fill>
      <patternFill patternType="solid">
        <fgColor rgb="FF17365D"/>
        <bgColor rgb="FF263746"/>
      </patternFill>
    </fill>
    <fill>
      <patternFill patternType="solid">
        <fgColor rgb="FFFFF2CC"/>
        <bgColor rgb="FFFCE8E6"/>
      </patternFill>
    </fill>
    <fill>
      <patternFill patternType="solid">
        <fgColor rgb="FFFCE8E6"/>
        <bgColor rgb="FFFFF2CC"/>
      </patternFill>
    </fill>
    <fill>
      <patternFill patternType="solid">
        <fgColor rgb="FF0F6B78"/>
        <bgColor rgb="FF156082"/>
      </patternFill>
    </fill>
  </fills>
  <borders count="8">
    <border diagonalUp="false" diagonalDown="false">
      <left/>
      <right/>
      <top/>
      <bottom/>
      <diagonal/>
    </border>
    <border diagonalUp="false" diagonalDown="false">
      <left/>
      <right/>
      <top/>
      <bottom style="thin">
        <color rgb="FF17365D"/>
      </bottom>
      <diagonal/>
    </border>
    <border diagonalUp="false" diagonalDown="false">
      <left/>
      <right style="thin">
        <color rgb="FFFFFFFF"/>
      </right>
      <top/>
      <bottom/>
      <diagonal/>
    </border>
    <border diagonalUp="false" diagonalDown="false">
      <left style="thin">
        <color rgb="FFFFFFFF"/>
      </left>
      <right style="thin">
        <color rgb="FFFFFFFF"/>
      </right>
      <top/>
      <bottom/>
      <diagonal/>
    </border>
    <border diagonalUp="false" diagonalDown="false">
      <left style="thin">
        <color rgb="FFFFFFFF"/>
      </left>
      <right/>
      <top/>
      <bottom/>
      <diagonal/>
    </border>
    <border diagonalUp="false" diagonalDown="false">
      <left/>
      <right/>
      <top/>
      <bottom style="thin">
        <color rgb="FFD8E1EB"/>
      </bottom>
      <diagonal/>
    </border>
    <border diagonalUp="false" diagonalDown="false">
      <left/>
      <right/>
      <top style="thin">
        <color rgb="FFD8E1EB"/>
      </top>
      <bottom style="thin">
        <color rgb="FFD8E1EB"/>
      </bottom>
      <diagonal/>
    </border>
    <border diagonalUp="false" diagonalDown="false">
      <left/>
      <right/>
      <top style="thin">
        <color rgb="FFD8E1EB"/>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false">
      <alignment horizontal="general" vertical="center" textRotation="0" wrapText="false" indent="0" shrinkToFit="false"/>
      <protection locked="true" hidden="false"/>
    </xf>
    <xf numFmtId="164" fontId="6" fillId="0" borderId="1" xfId="20" applyFont="true" applyBorder="true" applyAlignment="true" applyProtection="false">
      <alignment horizontal="general" vertical="center" textRotation="0" wrapText="false" indent="0" shrinkToFit="false"/>
      <protection locked="true" hidden="false"/>
    </xf>
    <xf numFmtId="164" fontId="5" fillId="2" borderId="2" xfId="20" applyFont="true" applyBorder="true" applyAlignment="true" applyProtection="false">
      <alignment horizontal="center" vertical="center" textRotation="0" wrapText="true" indent="0" shrinkToFit="false"/>
      <protection locked="true" hidden="false"/>
    </xf>
    <xf numFmtId="164" fontId="5" fillId="2" borderId="3" xfId="20" applyFont="true" applyBorder="true" applyAlignment="true" applyProtection="false">
      <alignment horizontal="center" vertical="center" textRotation="0" wrapText="true" indent="0" shrinkToFit="false"/>
      <protection locked="true" hidden="false"/>
    </xf>
    <xf numFmtId="164" fontId="5" fillId="2" borderId="4" xfId="20" applyFont="true" applyBorder="true" applyAlignment="true" applyProtection="false">
      <alignment horizontal="center" vertical="center" textRotation="0" wrapText="true" indent="0" shrinkToFit="false"/>
      <protection locked="true" hidden="false"/>
    </xf>
    <xf numFmtId="164" fontId="6" fillId="0" borderId="0" xfId="20" applyFont="true" applyBorder="true" applyAlignment="true" applyProtection="false">
      <alignment horizontal="general" vertical="center" textRotation="0" wrapText="false" indent="0" shrinkToFit="false"/>
      <protection locked="true" hidden="false"/>
    </xf>
    <xf numFmtId="164" fontId="6" fillId="0" borderId="5" xfId="20" applyFont="true" applyBorder="true" applyAlignment="true" applyProtection="false">
      <alignment horizontal="general" vertical="center" textRotation="0" wrapText="true" indent="0" shrinkToFit="false"/>
      <protection locked="true" hidden="false"/>
    </xf>
    <xf numFmtId="165" fontId="6" fillId="0" borderId="5" xfId="20" applyFont="true" applyBorder="true" applyAlignment="true" applyProtection="false">
      <alignment horizontal="general" vertical="center" textRotation="0" wrapText="true" indent="0" shrinkToFit="false"/>
      <protection locked="true" hidden="false"/>
    </xf>
    <xf numFmtId="164" fontId="6" fillId="3" borderId="0" xfId="20" applyFont="true" applyBorder="true" applyAlignment="true" applyProtection="false">
      <alignment horizontal="general" vertical="center" textRotation="0" wrapText="true" indent="0" shrinkToFit="false"/>
      <protection locked="true" hidden="false"/>
    </xf>
    <xf numFmtId="165" fontId="6" fillId="0" borderId="0" xfId="20" applyFont="true" applyBorder="true" applyAlignment="true" applyProtection="false">
      <alignment horizontal="general" vertical="center" textRotation="0" wrapText="false" indent="0" shrinkToFit="false"/>
      <protection locked="true" hidden="false"/>
    </xf>
    <xf numFmtId="164" fontId="6" fillId="0" borderId="6" xfId="20" applyFont="true" applyBorder="true" applyAlignment="true" applyProtection="false">
      <alignment horizontal="general" vertical="center" textRotation="0" wrapText="true" indent="0" shrinkToFit="false"/>
      <protection locked="true" hidden="false"/>
    </xf>
    <xf numFmtId="165" fontId="6" fillId="0" borderId="6" xfId="20" applyFont="true" applyBorder="true" applyAlignment="true" applyProtection="false">
      <alignment horizontal="general" vertical="center" textRotation="0" wrapText="true" indent="0" shrinkToFit="false"/>
      <protection locked="true" hidden="false"/>
    </xf>
    <xf numFmtId="164" fontId="6" fillId="3" borderId="6" xfId="20" applyFont="true" applyBorder="true" applyAlignment="true" applyProtection="false">
      <alignment horizontal="general" vertical="center" textRotation="0" wrapText="true" indent="0" shrinkToFit="false"/>
      <protection locked="true" hidden="false"/>
    </xf>
    <xf numFmtId="164" fontId="6" fillId="4" borderId="6" xfId="20" applyFont="true" applyBorder="true" applyAlignment="true" applyProtection="false">
      <alignment horizontal="general" vertical="center" textRotation="0" wrapText="true" indent="0" shrinkToFit="false"/>
      <protection locked="true" hidden="false"/>
    </xf>
    <xf numFmtId="166" fontId="6" fillId="0" borderId="6" xfId="20" applyFont="true" applyBorder="true" applyAlignment="true" applyProtection="false">
      <alignment horizontal="general" vertical="center" textRotation="0" wrapText="true" indent="0" shrinkToFit="false"/>
      <protection locked="true" hidden="false"/>
    </xf>
    <xf numFmtId="164" fontId="6" fillId="0" borderId="7" xfId="20" applyFont="true" applyBorder="true" applyAlignment="true" applyProtection="false">
      <alignment horizontal="general" vertical="center" textRotation="0" wrapText="true" indent="0" shrinkToFit="false"/>
      <protection locked="true" hidden="false"/>
    </xf>
    <xf numFmtId="166" fontId="6" fillId="0" borderId="7" xfId="20" applyFont="true" applyBorder="true" applyAlignment="true" applyProtection="false">
      <alignment horizontal="general" vertical="center" textRotation="0" wrapText="true" indent="0" shrinkToFit="false"/>
      <protection locked="true" hidden="false"/>
    </xf>
    <xf numFmtId="165" fontId="6" fillId="3" borderId="6" xfId="20" applyFont="true" applyBorder="true" applyAlignment="true" applyProtection="false">
      <alignment horizontal="general" vertical="center" textRotation="0" wrapText="true" indent="0" shrinkToFit="false"/>
      <protection locked="true" hidden="false"/>
    </xf>
    <xf numFmtId="168" fontId="6" fillId="0" borderId="6" xfId="20" applyFont="true" applyBorder="true" applyAlignment="true" applyProtection="false">
      <alignment horizontal="general" vertical="center" textRotation="0" wrapText="true" indent="0" shrinkToFit="false"/>
      <protection locked="true" hidden="false"/>
    </xf>
    <xf numFmtId="165" fontId="6" fillId="0" borderId="7" xfId="20" applyFont="true" applyBorder="true" applyAlignment="true" applyProtection="false">
      <alignment horizontal="general" vertical="center" textRotation="0" wrapText="true" indent="0" shrinkToFit="false"/>
      <protection locked="true" hidden="false"/>
    </xf>
    <xf numFmtId="166" fontId="6" fillId="0" borderId="5" xfId="20" applyFont="true" applyBorder="true" applyAlignment="true" applyProtection="false">
      <alignment horizontal="general" vertical="center" textRotation="0" wrapText="true" indent="0" shrinkToFit="false"/>
      <protection locked="true" hidden="false"/>
    </xf>
    <xf numFmtId="168" fontId="6" fillId="0" borderId="5" xfId="20" applyFont="true" applyBorder="true" applyAlignment="true" applyProtection="false">
      <alignment horizontal="general" vertical="center" textRotation="0" wrapText="true" indent="0" shrinkToFit="false"/>
      <protection locked="true" hidden="false"/>
    </xf>
    <xf numFmtId="164" fontId="5" fillId="5" borderId="7" xfId="20" applyFont="true" applyBorder="true" applyAlignment="true" applyProtection="false">
      <alignment horizontal="general" vertical="center" textRotation="0" wrapText="true" indent="0" shrinkToFit="false"/>
      <protection locked="true" hidden="false"/>
    </xf>
    <xf numFmtId="166" fontId="5" fillId="5" borderId="7" xfId="20" applyFont="true" applyBorder="tru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7">
    <dxf>
      <font>
        <b val="1"/>
        <color rgb="FF9C0006"/>
      </font>
      <fill>
        <patternFill>
          <bgColor rgb="FFFCE8E6"/>
        </patternFill>
      </fill>
    </dxf>
    <dxf>
      <font>
        <color rgb="FF7F6000"/>
      </font>
      <fill>
        <patternFill>
          <bgColor rgb="FFFFF2CC"/>
        </patternFill>
      </fill>
    </dxf>
    <dxf>
      <font>
        <b val="1"/>
        <color rgb="FF9C0006"/>
      </font>
      <fill>
        <patternFill>
          <bgColor rgb="FFFCE8E6"/>
        </patternFill>
      </fill>
    </dxf>
    <dxf>
      <font>
        <color rgb="FF7F6000"/>
      </font>
      <fill>
        <patternFill>
          <bgColor rgb="FFFFF2CC"/>
        </patternFill>
      </fill>
    </dxf>
    <dxf>
      <font>
        <color rgb="FF375623"/>
      </font>
      <fill>
        <patternFill>
          <bgColor rgb="FFE2F0D9"/>
        </patternFill>
      </fill>
    </dxf>
    <dxf>
      <font>
        <b val="1"/>
        <color rgb="FF9C0006"/>
      </font>
      <fill>
        <patternFill>
          <bgColor rgb="FFFCE8E6"/>
        </patternFill>
      </fill>
    </dxf>
    <dxf>
      <font>
        <b val="1"/>
        <color rgb="FF9C0006"/>
      </font>
      <fill>
        <patternFill>
          <bgColor rgb="FFFCE8E6"/>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F6B78"/>
      <rgbColor rgb="FFCCCCCC"/>
      <rgbColor rgb="FF8B8B8B"/>
      <rgbColor rgb="FF9999FF"/>
      <rgbColor rgb="FF993366"/>
      <rgbColor rgb="FFFFF2CC"/>
      <rgbColor rgb="FFD8E1EB"/>
      <rgbColor rgb="FF660066"/>
      <rgbColor rgb="FFFF8080"/>
      <rgbColor rgb="FF0066CC"/>
      <rgbColor rgb="FFD9D9D9"/>
      <rgbColor rgb="FF000080"/>
      <rgbColor rgb="FFFF00FF"/>
      <rgbColor rgb="FFFFFF00"/>
      <rgbColor rgb="FF00FFFF"/>
      <rgbColor rgb="FF800080"/>
      <rgbColor rgb="FF800000"/>
      <rgbColor rgb="FF156082"/>
      <rgbColor rgb="FF0000FF"/>
      <rgbColor rgb="FF00CCFF"/>
      <rgbColor rgb="FFCCFFFF"/>
      <rgbColor rgb="FFE2F0D9"/>
      <rgbColor rgb="FFFCE8E6"/>
      <rgbColor rgb="FF99CCFF"/>
      <rgbColor rgb="FFFF99CC"/>
      <rgbColor rgb="FFCC99FF"/>
      <rgbColor rgb="FFFFCC99"/>
      <rgbColor rgb="FF3366FF"/>
      <rgbColor rgb="FF33CCCC"/>
      <rgbColor rgb="FF99CC00"/>
      <rgbColor rgb="FFFFCC00"/>
      <rgbColor rgb="FFFF9900"/>
      <rgbColor rgb="FFFF6600"/>
      <rgbColor rgb="FF666699"/>
      <rgbColor rgb="FF969696"/>
      <rgbColor rgb="FF17365D"/>
      <rgbColor rgb="FF339966"/>
      <rgbColor rgb="FF003300"/>
      <rgbColor rgb="FF375623"/>
      <rgbColor rgb="FF993300"/>
      <rgbColor rgb="FF993366"/>
      <rgbColor rgb="FF333399"/>
      <rgbColor rgb="FF26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900" b="1" u="none" strike="noStrike">
                <a:solidFill>
                  <a:srgbClr val="000000"/>
                </a:solidFill>
                <a:uFillTx/>
                <a:latin typeface="Arial"/>
                <a:ea typeface="Arial"/>
              </a:rPr>
              <a:t>Hypothesis disposition</a:t>
            </a:r>
          </a:p>
        </c:rich>
      </c:tx>
      <c:overlay val="0"/>
      <c:spPr>
        <a:noFill/>
        <a:ln w="0">
          <a:noFill/>
        </a:ln>
      </c:spPr>
    </c:title>
    <c:autoTitleDeleted val="0"/>
    <c:plotArea>
      <c:barChart>
        <c:barDir val="col"/>
        <c:grouping val="clustered"/>
        <c:varyColors val="0"/>
        <c:ser>
          <c:idx val="0"/>
          <c:order val="0"/>
          <c:tx>
            <c:strRef>
              <c:f>"Count"</c:f>
              <c:strCache>
                <c:ptCount val="1"/>
                <c:pt idx="0">
                  <c:v>Count</c:v>
                </c:pt>
              </c:strCache>
            </c:strRef>
          </c:tx>
          <c:spPr>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Summary!$M$5:$M$7</c:f>
              <c:strCache>
                <c:ptCount val="3"/>
                <c:pt idx="0">
                  <c:v>Retain</c:v>
                </c:pt>
                <c:pt idx="1">
                  <c:v>Revise</c:v>
                </c:pt>
                <c:pt idx="2">
                  <c:v>Withdraw / replace</c:v>
                </c:pt>
              </c:strCache>
            </c:strRef>
          </c:cat>
          <c:val>
            <c:numRef>
              <c:f>Summary!$N$5:$N$7</c:f>
              <c:numCache>
                <c:formatCode>#,##0</c:formatCode>
                <c:ptCount val="3"/>
                <c:pt idx="0">
                  <c:v>3</c:v>
                </c:pt>
                <c:pt idx="1">
                  <c:v>10</c:v>
                </c:pt>
                <c:pt idx="2">
                  <c:v>5</c:v>
                </c:pt>
              </c:numCache>
            </c:numRef>
          </c:val>
        </c:ser>
        <c:gapWidth val="150"/>
        <c:overlap val="0"/>
        <c:axId val="18162623"/>
        <c:axId val="73092707"/>
      </c:barChart>
      <c:catAx>
        <c:axId val="18162623"/>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750" b="0" u="none" strike="noStrike">
                <a:solidFill>
                  <a:srgbClr val="000000"/>
                </a:solidFill>
                <a:uFillTx/>
                <a:latin typeface="Arial"/>
                <a:ea typeface="Arial"/>
              </a:defRPr>
            </a:pPr>
          </a:p>
        </c:txPr>
        <c:crossAx val="73092707"/>
        <c:crosses val="autoZero"/>
        <c:auto val="1"/>
        <c:lblAlgn val="ctr"/>
        <c:lblOffset val="100"/>
        <c:noMultiLvlLbl val="0"/>
      </c:catAx>
      <c:valAx>
        <c:axId val="73092707"/>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12600">
            <a:solidFill>
              <a:srgbClr val="8B8B8B"/>
            </a:solidFill>
            <a:round/>
          </a:ln>
        </c:spPr>
        <c:txPr>
          <a:bodyPr/>
          <a:lstStyle/>
          <a:p>
            <a:pPr>
              <a:defRPr sz="750" b="0" u="none" strike="noStrike">
                <a:solidFill>
                  <a:srgbClr val="000000"/>
                </a:solidFill>
                <a:uFillTx/>
                <a:latin typeface="Arial"/>
                <a:ea typeface="Arial"/>
              </a:defRPr>
            </a:pPr>
          </a:p>
        </c:txPr>
        <c:crossAx val="18162623"/>
        <c:crosses val="autoZero"/>
        <c:crossBetween val="between"/>
      </c:valAx>
      <c:spPr>
        <a:ln w="0">
          <a:noFill/>
        </a:ln>
      </c:spPr>
    </c:plotArea>
    <c:plotVisOnly val="1"/>
    <c:dispBlanksAs val="zero"/>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8</xdr:row>
      <xdr:rowOff>0</xdr:rowOff>
    </xdr:from>
    <xdr:to>
      <xdr:col>17</xdr:col>
      <xdr:colOff>281520</xdr:colOff>
      <xdr:row>23</xdr:row>
      <xdr:rowOff>190440</xdr:rowOff>
    </xdr:to>
    <xdr:graphicFrame>
      <xdr:nvGraphicFramePr>
        <xdr:cNvPr id="1" name="Chart"/>
        <xdr:cNvGraphicFramePr/>
      </xdr:nvGraphicFramePr>
      <xdr:xfrm>
        <a:off x="12757680" y="1689120"/>
        <a:ext cx="4369680" cy="3047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R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27"/>
    <col collapsed="false" customWidth="true" hidden="false" outlineLevel="0" max="4" min="4" style="0" width="4"/>
    <col collapsed="false" customWidth="true" hidden="false" outlineLevel="0" max="10" min="5" style="0" width="16"/>
    <col collapsed="false" customWidth="true" hidden="false" outlineLevel="0" max="12" min="11" style="0" width="4"/>
    <col collapsed="false" customWidth="true" hidden="false" outlineLevel="0" max="13" min="13" style="0" width="28"/>
    <col collapsed="false" customWidth="true" hidden="false" outlineLevel="0" max="14" min="14" style="0" width="14"/>
    <col collapsed="false" customWidth="true" hidden="false" outlineLevel="0" max="18" min="15" style="0" width="4"/>
  </cols>
  <sheetData>
    <row r="2" customFormat="false" ht="15" hidden="false" customHeight="false" outlineLevel="0" collapsed="false">
      <c r="A2" s="1" t="s">
        <v>0</v>
      </c>
      <c r="B2" s="1"/>
      <c r="C2" s="1"/>
      <c r="D2" s="1"/>
      <c r="E2" s="1"/>
      <c r="F2" s="1"/>
      <c r="G2" s="1"/>
      <c r="H2" s="1"/>
      <c r="I2" s="1"/>
      <c r="J2" s="1"/>
      <c r="K2" s="1"/>
      <c r="L2" s="1"/>
      <c r="M2" s="1"/>
      <c r="N2" s="1"/>
      <c r="O2" s="1"/>
      <c r="P2" s="1"/>
      <c r="Q2" s="1"/>
      <c r="R2" s="1"/>
    </row>
    <row r="3" customFormat="false" ht="15" hidden="false" customHeight="false" outlineLevel="0" collapsed="false">
      <c r="A3" s="2"/>
      <c r="B3" s="2"/>
      <c r="C3" s="2"/>
      <c r="D3" s="2"/>
      <c r="E3" s="2"/>
      <c r="F3" s="2"/>
      <c r="G3" s="2"/>
      <c r="H3" s="2"/>
      <c r="I3" s="2"/>
      <c r="J3" s="2"/>
      <c r="K3" s="2"/>
      <c r="L3" s="2"/>
      <c r="M3" s="2"/>
      <c r="N3" s="2"/>
      <c r="O3" s="2"/>
      <c r="P3" s="2"/>
      <c r="Q3" s="2"/>
      <c r="R3" s="2"/>
    </row>
    <row r="4" customFormat="false" ht="28" hidden="false" customHeight="true" outlineLevel="0" collapsed="false">
      <c r="A4" s="3" t="s">
        <v>1</v>
      </c>
      <c r="B4" s="4" t="s">
        <v>2</v>
      </c>
      <c r="C4" s="5" t="s">
        <v>3</v>
      </c>
      <c r="D4" s="6"/>
      <c r="E4" s="6"/>
      <c r="F4" s="6"/>
      <c r="G4" s="6"/>
      <c r="H4" s="6"/>
      <c r="I4" s="6"/>
      <c r="J4" s="6"/>
      <c r="K4" s="6"/>
      <c r="L4" s="6"/>
      <c r="M4" s="3" t="s">
        <v>4</v>
      </c>
      <c r="N4" s="5" t="s">
        <v>5</v>
      </c>
      <c r="O4" s="6"/>
      <c r="P4" s="6"/>
      <c r="Q4" s="6"/>
      <c r="R4" s="6"/>
    </row>
    <row r="5" customFormat="false" ht="15" hidden="false" customHeight="true" outlineLevel="0" collapsed="false">
      <c r="A5" s="7" t="s">
        <v>6</v>
      </c>
      <c r="B5" s="8" t="n">
        <f aca="false">COUNTA('Hypothesis Audit'!A5:A22)</f>
        <v>18</v>
      </c>
      <c r="C5" s="7" t="s">
        <v>7</v>
      </c>
      <c r="D5" s="6"/>
      <c r="E5" s="9" t="s">
        <v>8</v>
      </c>
      <c r="F5" s="9"/>
      <c r="G5" s="9"/>
      <c r="H5" s="9"/>
      <c r="I5" s="9"/>
      <c r="J5" s="9"/>
      <c r="K5" s="6"/>
      <c r="L5" s="6"/>
      <c r="M5" s="6" t="s">
        <v>9</v>
      </c>
      <c r="N5" s="10" t="n">
        <f aca="false">B8</f>
        <v>3</v>
      </c>
      <c r="O5" s="6"/>
      <c r="P5" s="6"/>
      <c r="Q5" s="6"/>
      <c r="R5" s="6"/>
    </row>
    <row r="6" customFormat="false" ht="15" hidden="false" customHeight="false" outlineLevel="0" collapsed="false">
      <c r="A6" s="11" t="s">
        <v>10</v>
      </c>
      <c r="B6" s="12" t="n">
        <f aca="false">COUNTA(Controls!A9:A14)</f>
        <v>6</v>
      </c>
      <c r="C6" s="11" t="s">
        <v>11</v>
      </c>
      <c r="D6" s="6"/>
      <c r="E6" s="9"/>
      <c r="F6" s="9"/>
      <c r="G6" s="9"/>
      <c r="H6" s="9"/>
      <c r="I6" s="9"/>
      <c r="J6" s="9"/>
      <c r="K6" s="6"/>
      <c r="L6" s="6"/>
      <c r="M6" s="6" t="s">
        <v>12</v>
      </c>
      <c r="N6" s="10" t="n">
        <f aca="false">B9</f>
        <v>10</v>
      </c>
      <c r="O6" s="6"/>
      <c r="P6" s="6"/>
      <c r="Q6" s="6"/>
      <c r="R6" s="6"/>
    </row>
    <row r="7" customFormat="false" ht="15" hidden="false" customHeight="false" outlineLevel="0" collapsed="false">
      <c r="A7" s="11" t="s">
        <v>13</v>
      </c>
      <c r="B7" s="12" t="n">
        <f aca="false">B5*B6</f>
        <v>108</v>
      </c>
      <c r="C7" s="11" t="s">
        <v>7</v>
      </c>
      <c r="D7" s="6"/>
      <c r="E7" s="9"/>
      <c r="F7" s="9"/>
      <c r="G7" s="9"/>
      <c r="H7" s="9"/>
      <c r="I7" s="9"/>
      <c r="J7" s="9"/>
      <c r="K7" s="6"/>
      <c r="L7" s="6"/>
      <c r="M7" s="6" t="s">
        <v>14</v>
      </c>
      <c r="N7" s="10" t="n">
        <f aca="false">B10</f>
        <v>5</v>
      </c>
      <c r="O7" s="6"/>
      <c r="P7" s="6"/>
      <c r="Q7" s="6"/>
      <c r="R7" s="6"/>
    </row>
    <row r="8" customFormat="false" ht="15" hidden="false" customHeight="false" outlineLevel="0" collapsed="false">
      <c r="A8" s="11" t="s">
        <v>15</v>
      </c>
      <c r="B8" s="12" t="n">
        <f aca="false">COUNTIF('Hypothesis Audit'!P5:P22,"RETAIN")</f>
        <v>3</v>
      </c>
      <c r="C8" s="11" t="s">
        <v>16</v>
      </c>
      <c r="D8" s="6"/>
      <c r="E8" s="9"/>
      <c r="F8" s="9"/>
      <c r="G8" s="9"/>
      <c r="H8" s="9"/>
      <c r="I8" s="9"/>
      <c r="J8" s="9"/>
      <c r="K8" s="6"/>
      <c r="L8" s="6"/>
      <c r="M8" s="6"/>
      <c r="N8" s="6"/>
      <c r="O8" s="6"/>
      <c r="P8" s="6"/>
      <c r="Q8" s="6"/>
      <c r="R8" s="6"/>
    </row>
    <row r="9" customFormat="false" ht="15" hidden="false" customHeight="false" outlineLevel="0" collapsed="false">
      <c r="A9" s="11" t="s">
        <v>17</v>
      </c>
      <c r="B9" s="12" t="n">
        <f aca="false">COUNTIF('Hypothesis Audit'!P5:P22,"REVISE")</f>
        <v>10</v>
      </c>
      <c r="C9" s="13" t="s">
        <v>18</v>
      </c>
      <c r="D9" s="6"/>
      <c r="E9" s="9"/>
      <c r="F9" s="9"/>
      <c r="G9" s="9"/>
      <c r="H9" s="9"/>
      <c r="I9" s="9"/>
      <c r="J9" s="9"/>
      <c r="K9" s="6"/>
      <c r="L9" s="6"/>
      <c r="M9" s="6"/>
      <c r="N9" s="6"/>
      <c r="O9" s="6"/>
      <c r="P9" s="6"/>
      <c r="Q9" s="6"/>
      <c r="R9" s="6"/>
    </row>
    <row r="10" customFormat="false" ht="15" hidden="false" customHeight="false" outlineLevel="0" collapsed="false">
      <c r="A10" s="11" t="s">
        <v>19</v>
      </c>
      <c r="B10" s="12" t="n">
        <f aca="false">COUNTIF('Hypothesis Audit'!P5:P22,"WITHDRAW / REPLACE")</f>
        <v>5</v>
      </c>
      <c r="C10" s="14" t="s">
        <v>20</v>
      </c>
      <c r="D10" s="6"/>
      <c r="E10" s="9"/>
      <c r="F10" s="9"/>
      <c r="G10" s="9"/>
      <c r="H10" s="9"/>
      <c r="I10" s="9"/>
      <c r="J10" s="9"/>
      <c r="K10" s="6"/>
      <c r="L10" s="6"/>
      <c r="M10" s="6"/>
      <c r="N10" s="6"/>
      <c r="O10" s="6"/>
      <c r="P10" s="6"/>
      <c r="Q10" s="6"/>
      <c r="R10" s="6"/>
    </row>
    <row r="11" customFormat="false" ht="15" hidden="false" customHeight="false" outlineLevel="0" collapsed="false">
      <c r="A11" s="11" t="s">
        <v>21</v>
      </c>
      <c r="B11" s="12" t="n">
        <f aca="false">SUM('Hypothesis Audit'!N5:N22)</f>
        <v>13</v>
      </c>
      <c r="C11" s="14" t="s">
        <v>22</v>
      </c>
      <c r="D11" s="6"/>
      <c r="E11" s="9"/>
      <c r="F11" s="9"/>
      <c r="G11" s="9"/>
      <c r="H11" s="9"/>
      <c r="I11" s="9"/>
      <c r="J11" s="9"/>
      <c r="K11" s="6"/>
      <c r="L11" s="6"/>
      <c r="M11" s="6"/>
      <c r="N11" s="6"/>
      <c r="O11" s="6"/>
      <c r="P11" s="6"/>
      <c r="Q11" s="6"/>
      <c r="R11" s="6"/>
    </row>
    <row r="12" customFormat="false" ht="15" hidden="false" customHeight="false" outlineLevel="0" collapsed="false">
      <c r="A12" s="11" t="s">
        <v>23</v>
      </c>
      <c r="B12" s="12" t="n">
        <f aca="false">SUM('Hypothesis Audit'!O5:O22)</f>
        <v>61</v>
      </c>
      <c r="C12" s="11" t="s">
        <v>24</v>
      </c>
      <c r="D12" s="6"/>
      <c r="E12" s="9"/>
      <c r="F12" s="9"/>
      <c r="G12" s="9"/>
      <c r="H12" s="9"/>
      <c r="I12" s="9"/>
      <c r="J12" s="9"/>
      <c r="K12" s="6"/>
      <c r="L12" s="6"/>
      <c r="M12" s="6"/>
      <c r="N12" s="6"/>
      <c r="O12" s="6"/>
      <c r="P12" s="6"/>
      <c r="Q12" s="6"/>
      <c r="R12" s="6"/>
    </row>
    <row r="13" customFormat="false" ht="15" hidden="false" customHeight="false" outlineLevel="0" collapsed="false">
      <c r="A13" s="11" t="s">
        <v>25</v>
      </c>
      <c r="B13" s="12" t="n">
        <f aca="false">Controls!B14</f>
        <v>0</v>
      </c>
      <c r="C13" s="11" t="s">
        <v>26</v>
      </c>
      <c r="D13" s="6"/>
      <c r="E13" s="6"/>
      <c r="F13" s="6"/>
      <c r="G13" s="6"/>
      <c r="H13" s="6"/>
      <c r="I13" s="6"/>
      <c r="J13" s="6"/>
      <c r="K13" s="6"/>
      <c r="L13" s="6"/>
      <c r="M13" s="6"/>
      <c r="N13" s="6"/>
      <c r="O13" s="6"/>
      <c r="P13" s="6"/>
      <c r="Q13" s="6"/>
      <c r="R13" s="6"/>
    </row>
    <row r="14" customFormat="false" ht="15" hidden="false" customHeight="false" outlineLevel="0" collapsed="false">
      <c r="A14" s="11" t="s">
        <v>27</v>
      </c>
      <c r="B14" s="12" t="n">
        <f aca="false">COUNTA('Replacement Forms'!A5:A9)</f>
        <v>5</v>
      </c>
      <c r="C14" s="11" t="s">
        <v>28</v>
      </c>
      <c r="D14" s="6"/>
      <c r="E14" s="6"/>
      <c r="F14" s="6"/>
      <c r="G14" s="6"/>
      <c r="H14" s="6"/>
      <c r="I14" s="6"/>
      <c r="J14" s="6"/>
      <c r="K14" s="6"/>
      <c r="L14" s="6"/>
      <c r="M14" s="6"/>
      <c r="N14" s="6"/>
      <c r="O14" s="6"/>
      <c r="P14" s="6"/>
      <c r="Q14" s="6"/>
      <c r="R14" s="6"/>
    </row>
    <row r="15" customFormat="false" ht="15" hidden="false" customHeight="false" outlineLevel="0" collapsed="false">
      <c r="A15" s="11" t="s">
        <v>29</v>
      </c>
      <c r="B15" s="15" t="n">
        <f aca="false">Finance!G11</f>
        <v>0</v>
      </c>
      <c r="C15" s="11" t="s">
        <v>26</v>
      </c>
      <c r="D15" s="6"/>
      <c r="E15" s="6"/>
      <c r="F15" s="6"/>
      <c r="G15" s="6"/>
      <c r="H15" s="6"/>
      <c r="I15" s="6"/>
      <c r="J15" s="6"/>
      <c r="K15" s="6"/>
      <c r="L15" s="6"/>
      <c r="M15" s="6"/>
      <c r="N15" s="6"/>
      <c r="O15" s="6"/>
      <c r="P15" s="6"/>
      <c r="Q15" s="6"/>
      <c r="R15" s="6"/>
    </row>
    <row r="16" customFormat="false" ht="15" hidden="false" customHeight="false" outlineLevel="0" collapsed="false">
      <c r="A16" s="16" t="s">
        <v>30</v>
      </c>
      <c r="B16" s="17" t="n">
        <f aca="false">Finance!H11</f>
        <v>0</v>
      </c>
      <c r="C16" s="16" t="s">
        <v>26</v>
      </c>
      <c r="D16" s="6"/>
      <c r="E16" s="6"/>
      <c r="F16" s="6"/>
      <c r="G16" s="6"/>
      <c r="H16" s="6"/>
      <c r="I16" s="6"/>
      <c r="J16" s="6"/>
      <c r="K16" s="6"/>
      <c r="L16" s="6"/>
      <c r="M16" s="6"/>
      <c r="N16" s="6"/>
      <c r="O16" s="6"/>
      <c r="P16" s="6"/>
      <c r="Q16" s="6"/>
      <c r="R16" s="6"/>
    </row>
  </sheetData>
  <mergeCells count="2">
    <mergeCell ref="A2:R2"/>
    <mergeCell ref="E5:J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3" min="2" style="0" width="16"/>
    <col collapsed="false" customWidth="true" hidden="false" outlineLevel="0" max="4" min="4" style="0" width="44"/>
  </cols>
  <sheetData>
    <row r="2" customFormat="false" ht="15" hidden="false" customHeight="false" outlineLevel="0" collapsed="false">
      <c r="A2" s="1" t="s">
        <v>31</v>
      </c>
      <c r="B2" s="1"/>
      <c r="C2" s="1"/>
      <c r="D2" s="1"/>
    </row>
    <row r="3" customFormat="false" ht="15" hidden="false" customHeight="false" outlineLevel="0" collapsed="false">
      <c r="A3" s="2"/>
      <c r="B3" s="2"/>
      <c r="C3" s="2"/>
      <c r="D3" s="2"/>
    </row>
    <row r="4" customFormat="false" ht="15" hidden="false" customHeight="false" outlineLevel="0" collapsed="false">
      <c r="A4" s="6"/>
      <c r="B4" s="6"/>
      <c r="C4" s="6"/>
      <c r="D4" s="6"/>
    </row>
    <row r="5" customFormat="false" ht="28" hidden="false" customHeight="true" outlineLevel="0" collapsed="false">
      <c r="A5" s="3" t="s">
        <v>32</v>
      </c>
      <c r="B5" s="4" t="s">
        <v>2</v>
      </c>
      <c r="C5" s="4" t="s">
        <v>33</v>
      </c>
      <c r="D5" s="5" t="s">
        <v>34</v>
      </c>
    </row>
    <row r="6" customFormat="false" ht="15" hidden="false" customHeight="false" outlineLevel="0" collapsed="false">
      <c r="A6" s="7" t="s">
        <v>35</v>
      </c>
      <c r="B6" s="8" t="n">
        <v>6</v>
      </c>
      <c r="C6" s="7" t="s">
        <v>36</v>
      </c>
      <c r="D6" s="7" t="s">
        <v>37</v>
      </c>
    </row>
    <row r="7" customFormat="false" ht="15" hidden="false" customHeight="false" outlineLevel="0" collapsed="false">
      <c r="A7" s="11" t="s">
        <v>38</v>
      </c>
      <c r="B7" s="12" t="n">
        <v>3</v>
      </c>
      <c r="C7" s="11" t="s">
        <v>36</v>
      </c>
      <c r="D7" s="11" t="s">
        <v>39</v>
      </c>
    </row>
    <row r="8" customFormat="false" ht="15" hidden="false" customHeight="false" outlineLevel="0" collapsed="false">
      <c r="A8" s="11" t="s">
        <v>10</v>
      </c>
      <c r="B8" s="12" t="n">
        <v>6</v>
      </c>
      <c r="C8" s="11" t="s">
        <v>36</v>
      </c>
      <c r="D8" s="11" t="s">
        <v>40</v>
      </c>
    </row>
    <row r="9" customFormat="false" ht="15" hidden="false" customHeight="false" outlineLevel="0" collapsed="false">
      <c r="A9" s="11" t="s">
        <v>41</v>
      </c>
      <c r="B9" s="12" t="n">
        <v>0</v>
      </c>
      <c r="C9" s="11" t="s">
        <v>42</v>
      </c>
      <c r="D9" s="11" t="s">
        <v>43</v>
      </c>
    </row>
    <row r="10" customFormat="false" ht="15" hidden="false" customHeight="false" outlineLevel="0" collapsed="false">
      <c r="A10" s="11" t="s">
        <v>44</v>
      </c>
      <c r="B10" s="12" t="n">
        <v>1</v>
      </c>
      <c r="C10" s="11" t="s">
        <v>42</v>
      </c>
      <c r="D10" s="11" t="s">
        <v>45</v>
      </c>
    </row>
    <row r="11" customFormat="false" ht="15" hidden="false" customHeight="false" outlineLevel="0" collapsed="false">
      <c r="A11" s="11" t="s">
        <v>46</v>
      </c>
      <c r="B11" s="12" t="n">
        <v>2</v>
      </c>
      <c r="C11" s="11" t="s">
        <v>42</v>
      </c>
      <c r="D11" s="11" t="s">
        <v>47</v>
      </c>
    </row>
    <row r="12" customFormat="false" ht="15" hidden="false" customHeight="false" outlineLevel="0" collapsed="false">
      <c r="A12" s="11" t="s">
        <v>48</v>
      </c>
      <c r="B12" s="18" t="n">
        <v>0</v>
      </c>
      <c r="C12" s="11" t="s">
        <v>36</v>
      </c>
      <c r="D12" s="11" t="s">
        <v>49</v>
      </c>
    </row>
    <row r="13" customFormat="false" ht="15" hidden="false" customHeight="false" outlineLevel="0" collapsed="false">
      <c r="A13" s="11" t="s">
        <v>50</v>
      </c>
      <c r="B13" s="18" t="n">
        <v>0</v>
      </c>
      <c r="C13" s="11" t="s">
        <v>36</v>
      </c>
      <c r="D13" s="11" t="s">
        <v>51</v>
      </c>
    </row>
    <row r="14" customFormat="false" ht="15" hidden="false" customHeight="false" outlineLevel="0" collapsed="false">
      <c r="A14" s="11" t="s">
        <v>25</v>
      </c>
      <c r="B14" s="18" t="n">
        <v>0</v>
      </c>
      <c r="C14" s="11" t="s">
        <v>36</v>
      </c>
      <c r="D14" s="11" t="s">
        <v>40</v>
      </c>
    </row>
    <row r="15" customFormat="false" ht="15" hidden="false" customHeight="false" outlineLevel="0" collapsed="false">
      <c r="A15" s="11" t="s">
        <v>52</v>
      </c>
      <c r="B15" s="19" t="n">
        <v>0.15</v>
      </c>
      <c r="C15" s="11" t="s">
        <v>53</v>
      </c>
      <c r="D15" s="11" t="s">
        <v>54</v>
      </c>
    </row>
    <row r="16" customFormat="false" ht="15" hidden="false" customHeight="false" outlineLevel="0" collapsed="false">
      <c r="A16" s="16" t="s">
        <v>55</v>
      </c>
      <c r="B16" s="17" t="n">
        <v>0</v>
      </c>
      <c r="C16" s="16" t="s">
        <v>56</v>
      </c>
      <c r="D16" s="16" t="s">
        <v>57</v>
      </c>
    </row>
  </sheetData>
  <mergeCells count="1">
    <mergeCell ref="A2:D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4" min="3" style="0" width="10"/>
    <col collapsed="false" customWidth="true" hidden="false" outlineLevel="0" max="5" min="5" style="0" width="36"/>
    <col collapsed="false" customWidth="true" hidden="false" outlineLevel="0" max="6" min="6" style="0" width="34"/>
    <col collapsed="false" customWidth="true" hidden="false" outlineLevel="0" max="9" min="7" style="0" width="17"/>
    <col collapsed="false" customWidth="true" hidden="false" outlineLevel="0" max="10" min="10" style="0" width="19"/>
    <col collapsed="false" customWidth="true" hidden="false" outlineLevel="0" max="12" min="11" style="0" width="22"/>
    <col collapsed="false" customWidth="true" hidden="false" outlineLevel="0" max="13" min="13" style="0" width="17"/>
    <col collapsed="false" customWidth="true" hidden="false" outlineLevel="0" max="14" min="14" style="0" width="15"/>
    <col collapsed="false" customWidth="true" hidden="false" outlineLevel="0" max="15" min="15" style="0" width="17"/>
    <col collapsed="false" customWidth="true" hidden="false" outlineLevel="0" max="16" min="16" style="0" width="24"/>
    <col collapsed="false" customWidth="true" hidden="false" outlineLevel="0" max="17" min="17" style="0" width="62"/>
    <col collapsed="false" customWidth="true" hidden="false" outlineLevel="0" max="18" min="18" style="0" width="17"/>
    <col collapsed="false" customWidth="true" hidden="false" outlineLevel="0" max="19" min="19" style="0" width="18"/>
  </cols>
  <sheetData>
    <row r="2" customFormat="false" ht="15" hidden="false" customHeight="false" outlineLevel="0" collapsed="false">
      <c r="A2" s="1" t="s">
        <v>58</v>
      </c>
      <c r="B2" s="1"/>
      <c r="C2" s="1"/>
      <c r="D2" s="1"/>
      <c r="E2" s="1"/>
      <c r="F2" s="1"/>
      <c r="G2" s="1"/>
      <c r="H2" s="1"/>
      <c r="I2" s="1"/>
      <c r="J2" s="1"/>
      <c r="K2" s="1"/>
      <c r="L2" s="1"/>
      <c r="M2" s="1"/>
      <c r="N2" s="1"/>
      <c r="O2" s="1"/>
      <c r="P2" s="1"/>
      <c r="Q2" s="1"/>
      <c r="R2" s="1"/>
      <c r="S2" s="1"/>
    </row>
    <row r="3" customFormat="false" ht="15" hidden="false" customHeight="false" outlineLevel="0" collapsed="false">
      <c r="A3" s="2"/>
      <c r="B3" s="2"/>
      <c r="C3" s="2"/>
      <c r="D3" s="2"/>
      <c r="E3" s="2"/>
      <c r="F3" s="2"/>
      <c r="G3" s="2"/>
      <c r="H3" s="2"/>
      <c r="I3" s="2"/>
      <c r="J3" s="2"/>
      <c r="K3" s="2"/>
      <c r="L3" s="2"/>
      <c r="M3" s="2"/>
      <c r="N3" s="2"/>
      <c r="O3" s="2"/>
      <c r="P3" s="2"/>
      <c r="Q3" s="2"/>
      <c r="R3" s="2"/>
      <c r="S3" s="2"/>
    </row>
    <row r="4" customFormat="false" ht="28" hidden="false" customHeight="true" outlineLevel="0" collapsed="false">
      <c r="A4" s="3" t="s">
        <v>59</v>
      </c>
      <c r="B4" s="4" t="s">
        <v>60</v>
      </c>
      <c r="C4" s="4" t="s">
        <v>61</v>
      </c>
      <c r="D4" s="4" t="s">
        <v>62</v>
      </c>
      <c r="E4" s="4" t="s">
        <v>63</v>
      </c>
      <c r="F4" s="4" t="s">
        <v>64</v>
      </c>
      <c r="G4" s="4" t="s">
        <v>65</v>
      </c>
      <c r="H4" s="4" t="s">
        <v>66</v>
      </c>
      <c r="I4" s="4" t="s">
        <v>67</v>
      </c>
      <c r="J4" s="4" t="s">
        <v>68</v>
      </c>
      <c r="K4" s="4" t="s">
        <v>69</v>
      </c>
      <c r="L4" s="4" t="s">
        <v>70</v>
      </c>
      <c r="M4" s="4" t="s">
        <v>71</v>
      </c>
      <c r="N4" s="4" t="s">
        <v>72</v>
      </c>
      <c r="O4" s="4" t="s">
        <v>73</v>
      </c>
      <c r="P4" s="4" t="s">
        <v>4</v>
      </c>
      <c r="Q4" s="4" t="s">
        <v>74</v>
      </c>
      <c r="R4" s="4" t="s">
        <v>75</v>
      </c>
      <c r="S4" s="5" t="s">
        <v>76</v>
      </c>
    </row>
    <row r="5" customFormat="false" ht="15" hidden="false" customHeight="false" outlineLevel="0" collapsed="false">
      <c r="A5" s="7" t="s">
        <v>77</v>
      </c>
      <c r="B5" s="7" t="s">
        <v>78</v>
      </c>
      <c r="C5" s="7" t="s">
        <v>79</v>
      </c>
      <c r="D5" s="7" t="s">
        <v>80</v>
      </c>
      <c r="E5" s="7" t="s">
        <v>81</v>
      </c>
      <c r="F5" s="7" t="s">
        <v>82</v>
      </c>
      <c r="G5" s="8" t="n">
        <v>1</v>
      </c>
      <c r="H5" s="8" t="n">
        <v>0</v>
      </c>
      <c r="I5" s="8" t="n">
        <v>1</v>
      </c>
      <c r="J5" s="8" t="n">
        <v>1</v>
      </c>
      <c r="K5" s="8" t="n">
        <v>1</v>
      </c>
      <c r="L5" s="8" t="n">
        <v>0</v>
      </c>
      <c r="M5" s="8" t="n">
        <f aca="false">MAX(G5:L5)</f>
        <v>1</v>
      </c>
      <c r="N5" s="8" t="n">
        <f aca="false">COUNTIF(G5:L5,Controls!$B$11)</f>
        <v>0</v>
      </c>
      <c r="O5" s="8" t="n">
        <f aca="false">COUNTIF(G5:L5,Controls!$B$10)</f>
        <v>4</v>
      </c>
      <c r="P5" s="7" t="str">
        <f aca="false">IF(M5=Controls!$B$11,"WITHDRAW / REPLACE",IF(M5=Controls!$B$10,"REVISE","RETAIN"))</f>
        <v>REVISE</v>
      </c>
      <c r="Q5" s="7" t="s">
        <v>83</v>
      </c>
      <c r="R5" s="8" t="n">
        <f aca="false">COUNTIF($A$5:$A$22,A5)</f>
        <v>1</v>
      </c>
      <c r="S5" s="8" t="n">
        <f aca="false">COUNTIF($C$5:$C$22,C5)</f>
        <v>3</v>
      </c>
    </row>
    <row r="6" customFormat="false" ht="15" hidden="false" customHeight="false" outlineLevel="0" collapsed="false">
      <c r="A6" s="11" t="s">
        <v>84</v>
      </c>
      <c r="B6" s="11" t="s">
        <v>78</v>
      </c>
      <c r="C6" s="11" t="s">
        <v>79</v>
      </c>
      <c r="D6" s="11" t="s">
        <v>85</v>
      </c>
      <c r="E6" s="11" t="s">
        <v>86</v>
      </c>
      <c r="F6" s="11" t="s">
        <v>82</v>
      </c>
      <c r="G6" s="12" t="n">
        <v>1</v>
      </c>
      <c r="H6" s="12" t="n">
        <v>0</v>
      </c>
      <c r="I6" s="12" t="n">
        <v>1</v>
      </c>
      <c r="J6" s="12" t="n">
        <v>1</v>
      </c>
      <c r="K6" s="12" t="n">
        <v>1</v>
      </c>
      <c r="L6" s="12" t="n">
        <v>0</v>
      </c>
      <c r="M6" s="12" t="n">
        <f aca="false">MAX(G6:L6)</f>
        <v>1</v>
      </c>
      <c r="N6" s="12" t="n">
        <f aca="false">COUNTIF(G6:L6,Controls!$B$11)</f>
        <v>0</v>
      </c>
      <c r="O6" s="12" t="n">
        <f aca="false">COUNTIF(G6:L6,Controls!$B$10)</f>
        <v>4</v>
      </c>
      <c r="P6" s="11" t="str">
        <f aca="false">IF(M6=Controls!$B$11,"WITHDRAW / REPLACE",IF(M6=Controls!$B$10,"REVISE","RETAIN"))</f>
        <v>REVISE</v>
      </c>
      <c r="Q6" s="11" t="s">
        <v>87</v>
      </c>
      <c r="R6" s="12" t="n">
        <f aca="false">COUNTIF($A$5:$A$22,A6)</f>
        <v>1</v>
      </c>
      <c r="S6" s="12" t="n">
        <f aca="false">COUNTIF($C$5:$C$22,C6)</f>
        <v>3</v>
      </c>
    </row>
    <row r="7" customFormat="false" ht="15" hidden="false" customHeight="false" outlineLevel="0" collapsed="false">
      <c r="A7" s="11" t="s">
        <v>88</v>
      </c>
      <c r="B7" s="11" t="s">
        <v>78</v>
      </c>
      <c r="C7" s="11" t="s">
        <v>79</v>
      </c>
      <c r="D7" s="11" t="s">
        <v>89</v>
      </c>
      <c r="E7" s="11" t="s">
        <v>90</v>
      </c>
      <c r="F7" s="11" t="s">
        <v>82</v>
      </c>
      <c r="G7" s="12" t="n">
        <v>1</v>
      </c>
      <c r="H7" s="12" t="n">
        <v>0</v>
      </c>
      <c r="I7" s="12" t="n">
        <v>1</v>
      </c>
      <c r="J7" s="12" t="n">
        <v>1</v>
      </c>
      <c r="K7" s="12" t="n">
        <v>1</v>
      </c>
      <c r="L7" s="12" t="n">
        <v>1</v>
      </c>
      <c r="M7" s="12" t="n">
        <f aca="false">MAX(G7:L7)</f>
        <v>1</v>
      </c>
      <c r="N7" s="12" t="n">
        <f aca="false">COUNTIF(G7:L7,Controls!$B$11)</f>
        <v>0</v>
      </c>
      <c r="O7" s="12" t="n">
        <f aca="false">COUNTIF(G7:L7,Controls!$B$10)</f>
        <v>5</v>
      </c>
      <c r="P7" s="11" t="str">
        <f aca="false">IF(M7=Controls!$B$11,"WITHDRAW / REPLACE",IF(M7=Controls!$B$10,"REVISE","RETAIN"))</f>
        <v>REVISE</v>
      </c>
      <c r="Q7" s="11" t="s">
        <v>91</v>
      </c>
      <c r="R7" s="12" t="n">
        <f aca="false">COUNTIF($A$5:$A$22,A7)</f>
        <v>1</v>
      </c>
      <c r="S7" s="12" t="n">
        <f aca="false">COUNTIF($C$5:$C$22,C7)</f>
        <v>3</v>
      </c>
    </row>
    <row r="8" customFormat="false" ht="15" hidden="false" customHeight="false" outlineLevel="0" collapsed="false">
      <c r="A8" s="11" t="s">
        <v>92</v>
      </c>
      <c r="B8" s="11" t="s">
        <v>93</v>
      </c>
      <c r="C8" s="11" t="s">
        <v>94</v>
      </c>
      <c r="D8" s="11" t="s">
        <v>80</v>
      </c>
      <c r="E8" s="11" t="s">
        <v>95</v>
      </c>
      <c r="F8" s="11" t="s">
        <v>96</v>
      </c>
      <c r="G8" s="12" t="n">
        <v>1</v>
      </c>
      <c r="H8" s="12" t="n">
        <v>1</v>
      </c>
      <c r="I8" s="12" t="n">
        <v>0</v>
      </c>
      <c r="J8" s="12" t="n">
        <v>1</v>
      </c>
      <c r="K8" s="12" t="n">
        <v>1</v>
      </c>
      <c r="L8" s="12" t="n">
        <v>1</v>
      </c>
      <c r="M8" s="12" t="n">
        <f aca="false">MAX(G8:L8)</f>
        <v>1</v>
      </c>
      <c r="N8" s="12" t="n">
        <f aca="false">COUNTIF(G8:L8,Controls!$B$11)</f>
        <v>0</v>
      </c>
      <c r="O8" s="12" t="n">
        <f aca="false">COUNTIF(G8:L8,Controls!$B$10)</f>
        <v>5</v>
      </c>
      <c r="P8" s="11" t="str">
        <f aca="false">IF(M8=Controls!$B$11,"WITHDRAW / REPLACE",IF(M8=Controls!$B$10,"REVISE","RETAIN"))</f>
        <v>REVISE</v>
      </c>
      <c r="Q8" s="11" t="s">
        <v>97</v>
      </c>
      <c r="R8" s="12" t="n">
        <f aca="false">COUNTIF($A$5:$A$22,A8)</f>
        <v>1</v>
      </c>
      <c r="S8" s="12" t="n">
        <f aca="false">COUNTIF($C$5:$C$22,C8)</f>
        <v>3</v>
      </c>
    </row>
    <row r="9" customFormat="false" ht="15" hidden="false" customHeight="false" outlineLevel="0" collapsed="false">
      <c r="A9" s="11" t="s">
        <v>98</v>
      </c>
      <c r="B9" s="11" t="s">
        <v>93</v>
      </c>
      <c r="C9" s="11" t="s">
        <v>94</v>
      </c>
      <c r="D9" s="11" t="s">
        <v>85</v>
      </c>
      <c r="E9" s="11" t="s">
        <v>99</v>
      </c>
      <c r="F9" s="11" t="s">
        <v>96</v>
      </c>
      <c r="G9" s="12" t="n">
        <v>1</v>
      </c>
      <c r="H9" s="12" t="n">
        <v>1</v>
      </c>
      <c r="I9" s="12" t="n">
        <v>0</v>
      </c>
      <c r="J9" s="12" t="n">
        <v>1</v>
      </c>
      <c r="K9" s="12" t="n">
        <v>1</v>
      </c>
      <c r="L9" s="12" t="n">
        <v>1</v>
      </c>
      <c r="M9" s="12" t="n">
        <f aca="false">MAX(G9:L9)</f>
        <v>1</v>
      </c>
      <c r="N9" s="12" t="n">
        <f aca="false">COUNTIF(G9:L9,Controls!$B$11)</f>
        <v>0</v>
      </c>
      <c r="O9" s="12" t="n">
        <f aca="false">COUNTIF(G9:L9,Controls!$B$10)</f>
        <v>5</v>
      </c>
      <c r="P9" s="11" t="str">
        <f aca="false">IF(M9=Controls!$B$11,"WITHDRAW / REPLACE",IF(M9=Controls!$B$10,"REVISE","RETAIN"))</f>
        <v>REVISE</v>
      </c>
      <c r="Q9" s="11" t="s">
        <v>100</v>
      </c>
      <c r="R9" s="12" t="n">
        <f aca="false">COUNTIF($A$5:$A$22,A9)</f>
        <v>1</v>
      </c>
      <c r="S9" s="12" t="n">
        <f aca="false">COUNTIF($C$5:$C$22,C9)</f>
        <v>3</v>
      </c>
    </row>
    <row r="10" customFormat="false" ht="15" hidden="false" customHeight="false" outlineLevel="0" collapsed="false">
      <c r="A10" s="11" t="s">
        <v>101</v>
      </c>
      <c r="B10" s="11" t="s">
        <v>93</v>
      </c>
      <c r="C10" s="11" t="s">
        <v>94</v>
      </c>
      <c r="D10" s="11" t="s">
        <v>89</v>
      </c>
      <c r="E10" s="11" t="s">
        <v>102</v>
      </c>
      <c r="F10" s="11" t="s">
        <v>96</v>
      </c>
      <c r="G10" s="12" t="n">
        <v>0</v>
      </c>
      <c r="H10" s="12" t="n">
        <v>0</v>
      </c>
      <c r="I10" s="12" t="n">
        <v>0</v>
      </c>
      <c r="J10" s="12" t="n">
        <v>0</v>
      </c>
      <c r="K10" s="12" t="n">
        <v>0</v>
      </c>
      <c r="L10" s="12" t="n">
        <v>0</v>
      </c>
      <c r="M10" s="12" t="n">
        <f aca="false">MAX(G10:L10)</f>
        <v>0</v>
      </c>
      <c r="N10" s="12" t="n">
        <f aca="false">COUNTIF(G10:L10,Controls!$B$11)</f>
        <v>0</v>
      </c>
      <c r="O10" s="12" t="n">
        <f aca="false">COUNTIF(G10:L10,Controls!$B$10)</f>
        <v>0</v>
      </c>
      <c r="P10" s="11" t="str">
        <f aca="false">IF(M10=Controls!$B$11,"WITHDRAW / REPLACE",IF(M10=Controls!$B$10,"REVISE","RETAIN"))</f>
        <v>RETAIN</v>
      </c>
      <c r="Q10" s="11" t="s">
        <v>103</v>
      </c>
      <c r="R10" s="12" t="n">
        <f aca="false">COUNTIF($A$5:$A$22,A10)</f>
        <v>1</v>
      </c>
      <c r="S10" s="12" t="n">
        <f aca="false">COUNTIF($C$5:$C$22,C10)</f>
        <v>3</v>
      </c>
    </row>
    <row r="11" customFormat="false" ht="15" hidden="false" customHeight="false" outlineLevel="0" collapsed="false">
      <c r="A11" s="11" t="s">
        <v>104</v>
      </c>
      <c r="B11" s="11" t="s">
        <v>105</v>
      </c>
      <c r="C11" s="11" t="s">
        <v>106</v>
      </c>
      <c r="D11" s="11" t="s">
        <v>80</v>
      </c>
      <c r="E11" s="11" t="s">
        <v>107</v>
      </c>
      <c r="F11" s="11" t="s">
        <v>108</v>
      </c>
      <c r="G11" s="12" t="n">
        <v>2</v>
      </c>
      <c r="H11" s="12" t="n">
        <v>0</v>
      </c>
      <c r="I11" s="12" t="n">
        <v>1</v>
      </c>
      <c r="J11" s="12" t="n">
        <v>1</v>
      </c>
      <c r="K11" s="12" t="n">
        <v>2</v>
      </c>
      <c r="L11" s="12" t="n">
        <v>1</v>
      </c>
      <c r="M11" s="12" t="n">
        <f aca="false">MAX(G11:L11)</f>
        <v>2</v>
      </c>
      <c r="N11" s="12" t="n">
        <f aca="false">COUNTIF(G11:L11,Controls!$B$11)</f>
        <v>2</v>
      </c>
      <c r="O11" s="12" t="n">
        <f aca="false">COUNTIF(G11:L11,Controls!$B$10)</f>
        <v>3</v>
      </c>
      <c r="P11" s="11" t="str">
        <f aca="false">IF(M11=Controls!$B$11,"WITHDRAW / REPLACE",IF(M11=Controls!$B$10,"REVISE","RETAIN"))</f>
        <v>WITHDRAW / REPLACE</v>
      </c>
      <c r="Q11" s="11" t="s">
        <v>109</v>
      </c>
      <c r="R11" s="12" t="n">
        <f aca="false">COUNTIF($A$5:$A$22,A11)</f>
        <v>1</v>
      </c>
      <c r="S11" s="12" t="n">
        <f aca="false">COUNTIF($C$5:$C$22,C11)</f>
        <v>3</v>
      </c>
    </row>
    <row r="12" customFormat="false" ht="15" hidden="false" customHeight="false" outlineLevel="0" collapsed="false">
      <c r="A12" s="11" t="s">
        <v>110</v>
      </c>
      <c r="B12" s="11" t="s">
        <v>105</v>
      </c>
      <c r="C12" s="11" t="s">
        <v>106</v>
      </c>
      <c r="D12" s="11" t="s">
        <v>85</v>
      </c>
      <c r="E12" s="11" t="s">
        <v>111</v>
      </c>
      <c r="F12" s="11" t="s">
        <v>108</v>
      </c>
      <c r="G12" s="12" t="n">
        <v>1</v>
      </c>
      <c r="H12" s="12" t="n">
        <v>1</v>
      </c>
      <c r="I12" s="12" t="n">
        <v>1</v>
      </c>
      <c r="J12" s="12" t="n">
        <v>1</v>
      </c>
      <c r="K12" s="12" t="n">
        <v>1</v>
      </c>
      <c r="L12" s="12" t="n">
        <v>0</v>
      </c>
      <c r="M12" s="12" t="n">
        <f aca="false">MAX(G12:L12)</f>
        <v>1</v>
      </c>
      <c r="N12" s="12" t="n">
        <f aca="false">COUNTIF(G12:L12,Controls!$B$11)</f>
        <v>0</v>
      </c>
      <c r="O12" s="12" t="n">
        <f aca="false">COUNTIF(G12:L12,Controls!$B$10)</f>
        <v>5</v>
      </c>
      <c r="P12" s="11" t="str">
        <f aca="false">IF(M12=Controls!$B$11,"WITHDRAW / REPLACE",IF(M12=Controls!$B$10,"REVISE","RETAIN"))</f>
        <v>REVISE</v>
      </c>
      <c r="Q12" s="11" t="s">
        <v>112</v>
      </c>
      <c r="R12" s="12" t="n">
        <f aca="false">COUNTIF($A$5:$A$22,A12)</f>
        <v>1</v>
      </c>
      <c r="S12" s="12" t="n">
        <f aca="false">COUNTIF($C$5:$C$22,C12)</f>
        <v>3</v>
      </c>
    </row>
    <row r="13" customFormat="false" ht="15" hidden="false" customHeight="false" outlineLevel="0" collapsed="false">
      <c r="A13" s="11" t="s">
        <v>113</v>
      </c>
      <c r="B13" s="11" t="s">
        <v>105</v>
      </c>
      <c r="C13" s="11" t="s">
        <v>106</v>
      </c>
      <c r="D13" s="11" t="s">
        <v>89</v>
      </c>
      <c r="E13" s="11" t="s">
        <v>114</v>
      </c>
      <c r="F13" s="11" t="s">
        <v>108</v>
      </c>
      <c r="G13" s="12" t="n">
        <v>0</v>
      </c>
      <c r="H13" s="12" t="n">
        <v>0</v>
      </c>
      <c r="I13" s="12" t="n">
        <v>0</v>
      </c>
      <c r="J13" s="12" t="n">
        <v>0</v>
      </c>
      <c r="K13" s="12" t="n">
        <v>0</v>
      </c>
      <c r="L13" s="12" t="n">
        <v>0</v>
      </c>
      <c r="M13" s="12" t="n">
        <f aca="false">MAX(G13:L13)</f>
        <v>0</v>
      </c>
      <c r="N13" s="12" t="n">
        <f aca="false">COUNTIF(G13:L13,Controls!$B$11)</f>
        <v>0</v>
      </c>
      <c r="O13" s="12" t="n">
        <f aca="false">COUNTIF(G13:L13,Controls!$B$10)</f>
        <v>0</v>
      </c>
      <c r="P13" s="11" t="str">
        <f aca="false">IF(M13=Controls!$B$11,"WITHDRAW / REPLACE",IF(M13=Controls!$B$10,"REVISE","RETAIN"))</f>
        <v>RETAIN</v>
      </c>
      <c r="Q13" s="11" t="s">
        <v>115</v>
      </c>
      <c r="R13" s="12" t="n">
        <f aca="false">COUNTIF($A$5:$A$22,A13)</f>
        <v>1</v>
      </c>
      <c r="S13" s="12" t="n">
        <f aca="false">COUNTIF($C$5:$C$22,C13)</f>
        <v>3</v>
      </c>
    </row>
    <row r="14" customFormat="false" ht="15" hidden="false" customHeight="false" outlineLevel="0" collapsed="false">
      <c r="A14" s="11" t="s">
        <v>116</v>
      </c>
      <c r="B14" s="11" t="s">
        <v>117</v>
      </c>
      <c r="C14" s="11" t="s">
        <v>118</v>
      </c>
      <c r="D14" s="11" t="s">
        <v>80</v>
      </c>
      <c r="E14" s="11" t="s">
        <v>119</v>
      </c>
      <c r="F14" s="11" t="s">
        <v>120</v>
      </c>
      <c r="G14" s="12" t="n">
        <v>1</v>
      </c>
      <c r="H14" s="12" t="n">
        <v>1</v>
      </c>
      <c r="I14" s="12" t="n">
        <v>1</v>
      </c>
      <c r="J14" s="12" t="n">
        <v>1</v>
      </c>
      <c r="K14" s="12" t="n">
        <v>1</v>
      </c>
      <c r="L14" s="12" t="n">
        <v>0</v>
      </c>
      <c r="M14" s="12" t="n">
        <f aca="false">MAX(G14:L14)</f>
        <v>1</v>
      </c>
      <c r="N14" s="12" t="n">
        <f aca="false">COUNTIF(G14:L14,Controls!$B$11)</f>
        <v>0</v>
      </c>
      <c r="O14" s="12" t="n">
        <f aca="false">COUNTIF(G14:L14,Controls!$B$10)</f>
        <v>5</v>
      </c>
      <c r="P14" s="11" t="str">
        <f aca="false">IF(M14=Controls!$B$11,"WITHDRAW / REPLACE",IF(M14=Controls!$B$10,"REVISE","RETAIN"))</f>
        <v>REVISE</v>
      </c>
      <c r="Q14" s="11" t="s">
        <v>121</v>
      </c>
      <c r="R14" s="12" t="n">
        <f aca="false">COUNTIF($A$5:$A$22,A14)</f>
        <v>1</v>
      </c>
      <c r="S14" s="12" t="n">
        <f aca="false">COUNTIF($C$5:$C$22,C14)</f>
        <v>3</v>
      </c>
    </row>
    <row r="15" customFormat="false" ht="15" hidden="false" customHeight="false" outlineLevel="0" collapsed="false">
      <c r="A15" s="11" t="s">
        <v>122</v>
      </c>
      <c r="B15" s="11" t="s">
        <v>117</v>
      </c>
      <c r="C15" s="11" t="s">
        <v>118</v>
      </c>
      <c r="D15" s="11" t="s">
        <v>85</v>
      </c>
      <c r="E15" s="11" t="s">
        <v>123</v>
      </c>
      <c r="F15" s="11" t="s">
        <v>120</v>
      </c>
      <c r="G15" s="12" t="n">
        <v>1</v>
      </c>
      <c r="H15" s="12" t="n">
        <v>1</v>
      </c>
      <c r="I15" s="12" t="n">
        <v>1</v>
      </c>
      <c r="J15" s="12" t="n">
        <v>1</v>
      </c>
      <c r="K15" s="12" t="n">
        <v>1</v>
      </c>
      <c r="L15" s="12" t="n">
        <v>0</v>
      </c>
      <c r="M15" s="12" t="n">
        <f aca="false">MAX(G15:L15)</f>
        <v>1</v>
      </c>
      <c r="N15" s="12" t="n">
        <f aca="false">COUNTIF(G15:L15,Controls!$B$11)</f>
        <v>0</v>
      </c>
      <c r="O15" s="12" t="n">
        <f aca="false">COUNTIF(G15:L15,Controls!$B$10)</f>
        <v>5</v>
      </c>
      <c r="P15" s="11" t="str">
        <f aca="false">IF(M15=Controls!$B$11,"WITHDRAW / REPLACE",IF(M15=Controls!$B$10,"REVISE","RETAIN"))</f>
        <v>REVISE</v>
      </c>
      <c r="Q15" s="11" t="s">
        <v>124</v>
      </c>
      <c r="R15" s="12" t="n">
        <f aca="false">COUNTIF($A$5:$A$22,A15)</f>
        <v>1</v>
      </c>
      <c r="S15" s="12" t="n">
        <f aca="false">COUNTIF($C$5:$C$22,C15)</f>
        <v>3</v>
      </c>
    </row>
    <row r="16" customFormat="false" ht="15" hidden="false" customHeight="false" outlineLevel="0" collapsed="false">
      <c r="A16" s="11" t="s">
        <v>125</v>
      </c>
      <c r="B16" s="11" t="s">
        <v>117</v>
      </c>
      <c r="C16" s="11" t="s">
        <v>118</v>
      </c>
      <c r="D16" s="11" t="s">
        <v>89</v>
      </c>
      <c r="E16" s="11" t="s">
        <v>126</v>
      </c>
      <c r="F16" s="11" t="s">
        <v>120</v>
      </c>
      <c r="G16" s="12" t="n">
        <v>2</v>
      </c>
      <c r="H16" s="12" t="n">
        <v>1</v>
      </c>
      <c r="I16" s="12" t="n">
        <v>1</v>
      </c>
      <c r="J16" s="12" t="n">
        <v>1</v>
      </c>
      <c r="K16" s="12" t="n">
        <v>2</v>
      </c>
      <c r="L16" s="12" t="n">
        <v>1</v>
      </c>
      <c r="M16" s="12" t="n">
        <f aca="false">MAX(G16:L16)</f>
        <v>2</v>
      </c>
      <c r="N16" s="12" t="n">
        <f aca="false">COUNTIF(G16:L16,Controls!$B$11)</f>
        <v>2</v>
      </c>
      <c r="O16" s="12" t="n">
        <f aca="false">COUNTIF(G16:L16,Controls!$B$10)</f>
        <v>4</v>
      </c>
      <c r="P16" s="11" t="str">
        <f aca="false">IF(M16=Controls!$B$11,"WITHDRAW / REPLACE",IF(M16=Controls!$B$10,"REVISE","RETAIN"))</f>
        <v>WITHDRAW / REPLACE</v>
      </c>
      <c r="Q16" s="11" t="s">
        <v>127</v>
      </c>
      <c r="R16" s="12" t="n">
        <f aca="false">COUNTIF($A$5:$A$22,A16)</f>
        <v>1</v>
      </c>
      <c r="S16" s="12" t="n">
        <f aca="false">COUNTIF($C$5:$C$22,C16)</f>
        <v>3</v>
      </c>
    </row>
    <row r="17" customFormat="false" ht="15" hidden="false" customHeight="false" outlineLevel="0" collapsed="false">
      <c r="A17" s="11" t="s">
        <v>128</v>
      </c>
      <c r="B17" s="11" t="s">
        <v>129</v>
      </c>
      <c r="C17" s="11" t="s">
        <v>130</v>
      </c>
      <c r="D17" s="11" t="s">
        <v>80</v>
      </c>
      <c r="E17" s="11" t="s">
        <v>131</v>
      </c>
      <c r="F17" s="11" t="s">
        <v>132</v>
      </c>
      <c r="G17" s="12" t="n">
        <v>1</v>
      </c>
      <c r="H17" s="12" t="n">
        <v>1</v>
      </c>
      <c r="I17" s="12" t="n">
        <v>1</v>
      </c>
      <c r="J17" s="12" t="n">
        <v>1</v>
      </c>
      <c r="K17" s="12" t="n">
        <v>1</v>
      </c>
      <c r="L17" s="12" t="n">
        <v>0</v>
      </c>
      <c r="M17" s="12" t="n">
        <f aca="false">MAX(G17:L17)</f>
        <v>1</v>
      </c>
      <c r="N17" s="12" t="n">
        <f aca="false">COUNTIF(G17:L17,Controls!$B$11)</f>
        <v>0</v>
      </c>
      <c r="O17" s="12" t="n">
        <f aca="false">COUNTIF(G17:L17,Controls!$B$10)</f>
        <v>5</v>
      </c>
      <c r="P17" s="11" t="str">
        <f aca="false">IF(M17=Controls!$B$11,"WITHDRAW / REPLACE",IF(M17=Controls!$B$10,"REVISE","RETAIN"))</f>
        <v>REVISE</v>
      </c>
      <c r="Q17" s="11" t="s">
        <v>133</v>
      </c>
      <c r="R17" s="12" t="n">
        <f aca="false">COUNTIF($A$5:$A$22,A17)</f>
        <v>1</v>
      </c>
      <c r="S17" s="12" t="n">
        <f aca="false">COUNTIF($C$5:$C$22,C17)</f>
        <v>3</v>
      </c>
    </row>
    <row r="18" customFormat="false" ht="15" hidden="false" customHeight="false" outlineLevel="0" collapsed="false">
      <c r="A18" s="11" t="s">
        <v>134</v>
      </c>
      <c r="B18" s="11" t="s">
        <v>129</v>
      </c>
      <c r="C18" s="11" t="s">
        <v>130</v>
      </c>
      <c r="D18" s="11" t="s">
        <v>85</v>
      </c>
      <c r="E18" s="11" t="s">
        <v>135</v>
      </c>
      <c r="F18" s="11" t="s">
        <v>132</v>
      </c>
      <c r="G18" s="12" t="n">
        <v>1</v>
      </c>
      <c r="H18" s="12" t="n">
        <v>1</v>
      </c>
      <c r="I18" s="12" t="n">
        <v>1</v>
      </c>
      <c r="J18" s="12" t="n">
        <v>1</v>
      </c>
      <c r="K18" s="12" t="n">
        <v>1</v>
      </c>
      <c r="L18" s="12" t="n">
        <v>0</v>
      </c>
      <c r="M18" s="12" t="n">
        <f aca="false">MAX(G18:L18)</f>
        <v>1</v>
      </c>
      <c r="N18" s="12" t="n">
        <f aca="false">COUNTIF(G18:L18,Controls!$B$11)</f>
        <v>0</v>
      </c>
      <c r="O18" s="12" t="n">
        <f aca="false">COUNTIF(G18:L18,Controls!$B$10)</f>
        <v>5</v>
      </c>
      <c r="P18" s="11" t="str">
        <f aca="false">IF(M18=Controls!$B$11,"WITHDRAW / REPLACE",IF(M18=Controls!$B$10,"REVISE","RETAIN"))</f>
        <v>REVISE</v>
      </c>
      <c r="Q18" s="11" t="s">
        <v>136</v>
      </c>
      <c r="R18" s="12" t="n">
        <f aca="false">COUNTIF($A$5:$A$22,A18)</f>
        <v>1</v>
      </c>
      <c r="S18" s="12" t="n">
        <f aca="false">COUNTIF($C$5:$C$22,C18)</f>
        <v>3</v>
      </c>
    </row>
    <row r="19" customFormat="false" ht="15" hidden="false" customHeight="false" outlineLevel="0" collapsed="false">
      <c r="A19" s="11" t="s">
        <v>137</v>
      </c>
      <c r="B19" s="11" t="s">
        <v>129</v>
      </c>
      <c r="C19" s="11" t="s">
        <v>130</v>
      </c>
      <c r="D19" s="11" t="s">
        <v>89</v>
      </c>
      <c r="E19" s="11" t="s">
        <v>138</v>
      </c>
      <c r="F19" s="11" t="s">
        <v>132</v>
      </c>
      <c r="G19" s="12" t="n">
        <v>2</v>
      </c>
      <c r="H19" s="12" t="n">
        <v>2</v>
      </c>
      <c r="I19" s="12" t="n">
        <v>1</v>
      </c>
      <c r="J19" s="12" t="n">
        <v>1</v>
      </c>
      <c r="K19" s="12" t="n">
        <v>2</v>
      </c>
      <c r="L19" s="12" t="n">
        <v>1</v>
      </c>
      <c r="M19" s="12" t="n">
        <f aca="false">MAX(G19:L19)</f>
        <v>2</v>
      </c>
      <c r="N19" s="12" t="n">
        <f aca="false">COUNTIF(G19:L19,Controls!$B$11)</f>
        <v>3</v>
      </c>
      <c r="O19" s="12" t="n">
        <f aca="false">COUNTIF(G19:L19,Controls!$B$10)</f>
        <v>3</v>
      </c>
      <c r="P19" s="11" t="str">
        <f aca="false">IF(M19=Controls!$B$11,"WITHDRAW / REPLACE",IF(M19=Controls!$B$10,"REVISE","RETAIN"))</f>
        <v>WITHDRAW / REPLACE</v>
      </c>
      <c r="Q19" s="11" t="s">
        <v>139</v>
      </c>
      <c r="R19" s="12" t="n">
        <f aca="false">COUNTIF($A$5:$A$22,A19)</f>
        <v>1</v>
      </c>
      <c r="S19" s="12" t="n">
        <f aca="false">COUNTIF($C$5:$C$22,C19)</f>
        <v>3</v>
      </c>
    </row>
    <row r="20" customFormat="false" ht="15" hidden="false" customHeight="false" outlineLevel="0" collapsed="false">
      <c r="A20" s="11" t="s">
        <v>140</v>
      </c>
      <c r="B20" s="11" t="s">
        <v>141</v>
      </c>
      <c r="C20" s="11" t="s">
        <v>142</v>
      </c>
      <c r="D20" s="11" t="s">
        <v>80</v>
      </c>
      <c r="E20" s="11" t="s">
        <v>143</v>
      </c>
      <c r="F20" s="11" t="s">
        <v>144</v>
      </c>
      <c r="G20" s="12" t="n">
        <v>0</v>
      </c>
      <c r="H20" s="12" t="n">
        <v>0</v>
      </c>
      <c r="I20" s="12" t="n">
        <v>0</v>
      </c>
      <c r="J20" s="12" t="n">
        <v>0</v>
      </c>
      <c r="K20" s="12" t="n">
        <v>0</v>
      </c>
      <c r="L20" s="12" t="n">
        <v>0</v>
      </c>
      <c r="M20" s="12" t="n">
        <f aca="false">MAX(G20:L20)</f>
        <v>0</v>
      </c>
      <c r="N20" s="12" t="n">
        <f aca="false">COUNTIF(G20:L20,Controls!$B$11)</f>
        <v>0</v>
      </c>
      <c r="O20" s="12" t="n">
        <f aca="false">COUNTIF(G20:L20,Controls!$B$10)</f>
        <v>0</v>
      </c>
      <c r="P20" s="11" t="str">
        <f aca="false">IF(M20=Controls!$B$11,"WITHDRAW / REPLACE",IF(M20=Controls!$B$10,"REVISE","RETAIN"))</f>
        <v>RETAIN</v>
      </c>
      <c r="Q20" s="11" t="s">
        <v>145</v>
      </c>
      <c r="R20" s="12" t="n">
        <f aca="false">COUNTIF($A$5:$A$22,A20)</f>
        <v>1</v>
      </c>
      <c r="S20" s="12" t="n">
        <f aca="false">COUNTIF($C$5:$C$22,C20)</f>
        <v>3</v>
      </c>
    </row>
    <row r="21" customFormat="false" ht="15" hidden="false" customHeight="false" outlineLevel="0" collapsed="false">
      <c r="A21" s="11" t="s">
        <v>146</v>
      </c>
      <c r="B21" s="11" t="s">
        <v>141</v>
      </c>
      <c r="C21" s="11" t="s">
        <v>142</v>
      </c>
      <c r="D21" s="11" t="s">
        <v>85</v>
      </c>
      <c r="E21" s="11" t="s">
        <v>147</v>
      </c>
      <c r="F21" s="11" t="s">
        <v>144</v>
      </c>
      <c r="G21" s="12" t="n">
        <v>2</v>
      </c>
      <c r="H21" s="12" t="n">
        <v>0</v>
      </c>
      <c r="I21" s="12" t="n">
        <v>2</v>
      </c>
      <c r="J21" s="12" t="n">
        <v>2</v>
      </c>
      <c r="K21" s="12" t="n">
        <v>2</v>
      </c>
      <c r="L21" s="12" t="n">
        <v>0</v>
      </c>
      <c r="M21" s="12" t="n">
        <f aca="false">MAX(G21:L21)</f>
        <v>2</v>
      </c>
      <c r="N21" s="12" t="n">
        <f aca="false">COUNTIF(G21:L21,Controls!$B$11)</f>
        <v>4</v>
      </c>
      <c r="O21" s="12" t="n">
        <f aca="false">COUNTIF(G21:L21,Controls!$B$10)</f>
        <v>0</v>
      </c>
      <c r="P21" s="11" t="str">
        <f aca="false">IF(M21=Controls!$B$11,"WITHDRAW / REPLACE",IF(M21=Controls!$B$10,"REVISE","RETAIN"))</f>
        <v>WITHDRAW / REPLACE</v>
      </c>
      <c r="Q21" s="11" t="s">
        <v>148</v>
      </c>
      <c r="R21" s="12" t="n">
        <f aca="false">COUNTIF($A$5:$A$22,A21)</f>
        <v>1</v>
      </c>
      <c r="S21" s="12" t="n">
        <f aca="false">COUNTIF($C$5:$C$22,C21)</f>
        <v>3</v>
      </c>
    </row>
    <row r="22" customFormat="false" ht="15" hidden="false" customHeight="false" outlineLevel="0" collapsed="false">
      <c r="A22" s="16" t="s">
        <v>149</v>
      </c>
      <c r="B22" s="16" t="s">
        <v>141</v>
      </c>
      <c r="C22" s="16" t="s">
        <v>142</v>
      </c>
      <c r="D22" s="16" t="s">
        <v>89</v>
      </c>
      <c r="E22" s="16" t="s">
        <v>150</v>
      </c>
      <c r="F22" s="16" t="s">
        <v>144</v>
      </c>
      <c r="G22" s="20" t="n">
        <v>2</v>
      </c>
      <c r="H22" s="20" t="n">
        <v>0</v>
      </c>
      <c r="I22" s="20" t="n">
        <v>1</v>
      </c>
      <c r="J22" s="20" t="n">
        <v>2</v>
      </c>
      <c r="K22" s="20" t="n">
        <v>1</v>
      </c>
      <c r="L22" s="20" t="n">
        <v>1</v>
      </c>
      <c r="M22" s="20" t="n">
        <f aca="false">MAX(G22:L22)</f>
        <v>2</v>
      </c>
      <c r="N22" s="20" t="n">
        <f aca="false">COUNTIF(G22:L22,Controls!$B$11)</f>
        <v>2</v>
      </c>
      <c r="O22" s="20" t="n">
        <f aca="false">COUNTIF(G22:L22,Controls!$B$10)</f>
        <v>3</v>
      </c>
      <c r="P22" s="16" t="str">
        <f aca="false">IF(M22=Controls!$B$11,"WITHDRAW / REPLACE",IF(M22=Controls!$B$10,"REVISE","RETAIN"))</f>
        <v>WITHDRAW / REPLACE</v>
      </c>
      <c r="Q22" s="16" t="s">
        <v>151</v>
      </c>
      <c r="R22" s="20" t="n">
        <f aca="false">COUNTIF($A$5:$A$22,A22)</f>
        <v>1</v>
      </c>
      <c r="S22" s="20" t="n">
        <f aca="false">COUNTIF($C$5:$C$22,C22)</f>
        <v>3</v>
      </c>
    </row>
  </sheetData>
  <mergeCells count="1">
    <mergeCell ref="A2:S2"/>
  </mergeCells>
  <conditionalFormatting sqref="G5:L22">
    <cfRule type="cellIs" priority="2" operator="equal" aboveAverage="0" equalAverage="0" bottom="0" percent="0" rank="0" text="" dxfId="0">
      <formula>2</formula>
    </cfRule>
    <cfRule type="cellIs" priority="3" operator="equal" aboveAverage="0" equalAverage="0" bottom="0" percent="0" rank="0" text="" dxfId="1">
      <formula>1</formula>
    </cfRule>
  </conditionalFormatting>
  <conditionalFormatting sqref="P5:P22">
    <cfRule type="containsText" priority="4" operator="containsText" aboveAverage="0" equalAverage="0" bottom="0" percent="0" rank="0" text="WITHDRAW" dxfId="2">
      <formula>NOT(ISERROR(SEARCH("WITHDRAW",P5)))</formula>
    </cfRule>
    <cfRule type="containsText" priority="5" operator="containsText" aboveAverage="0" equalAverage="0" bottom="0" percent="0" rank="0" text="REVISE" dxfId="3">
      <formula>NOT(ISERROR(SEARCH("REVISE",P5)))</formula>
    </cfRule>
    <cfRule type="containsText" priority="6" operator="containsText" aboveAverage="0" equalAverage="0" bottom="0" percent="0" rank="0" text="RETAIN" dxfId="4">
      <formula>NOT(ISERROR(SEARCH("RETAIN",P5)))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7"/>
    <col collapsed="false" customWidth="true" hidden="false" outlineLevel="0" max="2" min="2" style="0" width="10"/>
    <col collapsed="false" customWidth="true" hidden="false" outlineLevel="0" max="4" min="3" style="0" width="17"/>
    <col collapsed="false" customWidth="true" hidden="false" outlineLevel="0" max="5" min="5" style="0" width="27"/>
    <col collapsed="false" customWidth="true" hidden="false" outlineLevel="0" max="6" min="6" style="0" width="12"/>
    <col collapsed="false" customWidth="true" hidden="false" outlineLevel="0" max="8" min="7" style="0" width="58"/>
    <col collapsed="false" customWidth="true" hidden="false" outlineLevel="0" max="9" min="9" style="0" width="28"/>
  </cols>
  <sheetData>
    <row r="2" customFormat="false" ht="15" hidden="false" customHeight="false" outlineLevel="0" collapsed="false">
      <c r="A2" s="1" t="s">
        <v>152</v>
      </c>
      <c r="B2" s="1"/>
      <c r="C2" s="1"/>
      <c r="D2" s="1"/>
      <c r="E2" s="1"/>
      <c r="F2" s="1"/>
      <c r="G2" s="1"/>
      <c r="H2" s="1"/>
      <c r="I2" s="1"/>
    </row>
    <row r="3" customFormat="false" ht="15" hidden="false" customHeight="false" outlineLevel="0" collapsed="false">
      <c r="A3" s="2"/>
      <c r="B3" s="2"/>
      <c r="C3" s="2"/>
      <c r="D3" s="2"/>
      <c r="E3" s="2"/>
      <c r="F3" s="2"/>
      <c r="G3" s="2"/>
      <c r="H3" s="2"/>
      <c r="I3" s="2"/>
    </row>
    <row r="4" customFormat="false" ht="28" hidden="false" customHeight="true" outlineLevel="0" collapsed="false">
      <c r="A4" s="3" t="s">
        <v>153</v>
      </c>
      <c r="B4" s="4" t="s">
        <v>61</v>
      </c>
      <c r="C4" s="4" t="s">
        <v>59</v>
      </c>
      <c r="D4" s="4" t="s">
        <v>154</v>
      </c>
      <c r="E4" s="4" t="s">
        <v>155</v>
      </c>
      <c r="F4" s="4" t="s">
        <v>156</v>
      </c>
      <c r="G4" s="4" t="s">
        <v>157</v>
      </c>
      <c r="H4" s="4" t="s">
        <v>158</v>
      </c>
      <c r="I4" s="5" t="s">
        <v>4</v>
      </c>
    </row>
    <row r="5" customFormat="false" ht="23.85" hidden="false" customHeight="false" outlineLevel="0" collapsed="false">
      <c r="A5" s="7" t="s">
        <v>159</v>
      </c>
      <c r="B5" s="7" t="s">
        <v>79</v>
      </c>
      <c r="C5" s="7" t="s">
        <v>77</v>
      </c>
      <c r="D5" s="7" t="s">
        <v>160</v>
      </c>
      <c r="E5" s="7" t="s">
        <v>65</v>
      </c>
      <c r="F5" s="8" t="n">
        <v>1</v>
      </c>
      <c r="G5" s="7" t="s">
        <v>161</v>
      </c>
      <c r="H5" s="7" t="s">
        <v>83</v>
      </c>
      <c r="I5" s="7" t="s">
        <v>162</v>
      </c>
    </row>
    <row r="6" customFormat="false" ht="23.85" hidden="false" customHeight="false" outlineLevel="0" collapsed="false">
      <c r="A6" s="11" t="s">
        <v>163</v>
      </c>
      <c r="B6" s="11" t="s">
        <v>79</v>
      </c>
      <c r="C6" s="11" t="s">
        <v>84</v>
      </c>
      <c r="D6" s="11" t="s">
        <v>160</v>
      </c>
      <c r="E6" s="11" t="s">
        <v>65</v>
      </c>
      <c r="F6" s="12" t="n">
        <v>1</v>
      </c>
      <c r="G6" s="11" t="s">
        <v>164</v>
      </c>
      <c r="H6" s="11" t="s">
        <v>87</v>
      </c>
      <c r="I6" s="11" t="s">
        <v>162</v>
      </c>
    </row>
    <row r="7" customFormat="false" ht="23.85" hidden="false" customHeight="false" outlineLevel="0" collapsed="false">
      <c r="A7" s="11" t="s">
        <v>165</v>
      </c>
      <c r="B7" s="11" t="s">
        <v>79</v>
      </c>
      <c r="C7" s="11" t="s">
        <v>88</v>
      </c>
      <c r="D7" s="11" t="s">
        <v>160</v>
      </c>
      <c r="E7" s="11" t="s">
        <v>65</v>
      </c>
      <c r="F7" s="12" t="n">
        <v>1</v>
      </c>
      <c r="G7" s="11" t="s">
        <v>166</v>
      </c>
      <c r="H7" s="11" t="s">
        <v>91</v>
      </c>
      <c r="I7" s="11" t="s">
        <v>162</v>
      </c>
    </row>
    <row r="8" customFormat="false" ht="23.85" hidden="false" customHeight="false" outlineLevel="0" collapsed="false">
      <c r="A8" s="11" t="s">
        <v>167</v>
      </c>
      <c r="B8" s="11" t="s">
        <v>94</v>
      </c>
      <c r="C8" s="11" t="s">
        <v>92</v>
      </c>
      <c r="D8" s="11" t="s">
        <v>160</v>
      </c>
      <c r="E8" s="11" t="s">
        <v>65</v>
      </c>
      <c r="F8" s="12" t="n">
        <v>1</v>
      </c>
      <c r="G8" s="11" t="s">
        <v>168</v>
      </c>
      <c r="H8" s="11" t="s">
        <v>97</v>
      </c>
      <c r="I8" s="11" t="s">
        <v>162</v>
      </c>
    </row>
    <row r="9" customFormat="false" ht="23.85" hidden="false" customHeight="false" outlineLevel="0" collapsed="false">
      <c r="A9" s="11" t="s">
        <v>169</v>
      </c>
      <c r="B9" s="11" t="s">
        <v>94</v>
      </c>
      <c r="C9" s="11" t="s">
        <v>98</v>
      </c>
      <c r="D9" s="11" t="s">
        <v>160</v>
      </c>
      <c r="E9" s="11" t="s">
        <v>65</v>
      </c>
      <c r="F9" s="12" t="n">
        <v>1</v>
      </c>
      <c r="G9" s="11" t="s">
        <v>170</v>
      </c>
      <c r="H9" s="11" t="s">
        <v>100</v>
      </c>
      <c r="I9" s="11" t="s">
        <v>162</v>
      </c>
    </row>
    <row r="10" customFormat="false" ht="23.85" hidden="false" customHeight="false" outlineLevel="0" collapsed="false">
      <c r="A10" s="11" t="s">
        <v>171</v>
      </c>
      <c r="B10" s="11" t="s">
        <v>106</v>
      </c>
      <c r="C10" s="11" t="s">
        <v>104</v>
      </c>
      <c r="D10" s="11" t="s">
        <v>160</v>
      </c>
      <c r="E10" s="11" t="s">
        <v>65</v>
      </c>
      <c r="F10" s="12" t="n">
        <v>2</v>
      </c>
      <c r="G10" s="11" t="s">
        <v>172</v>
      </c>
      <c r="H10" s="11" t="s">
        <v>109</v>
      </c>
      <c r="I10" s="11" t="s">
        <v>20</v>
      </c>
    </row>
    <row r="11" customFormat="false" ht="23.85" hidden="false" customHeight="false" outlineLevel="0" collapsed="false">
      <c r="A11" s="11" t="s">
        <v>173</v>
      </c>
      <c r="B11" s="11" t="s">
        <v>106</v>
      </c>
      <c r="C11" s="11" t="s">
        <v>110</v>
      </c>
      <c r="D11" s="11" t="s">
        <v>160</v>
      </c>
      <c r="E11" s="11" t="s">
        <v>65</v>
      </c>
      <c r="F11" s="12" t="n">
        <v>1</v>
      </c>
      <c r="G11" s="11" t="s">
        <v>174</v>
      </c>
      <c r="H11" s="11" t="s">
        <v>112</v>
      </c>
      <c r="I11" s="11" t="s">
        <v>162</v>
      </c>
    </row>
    <row r="12" customFormat="false" ht="23.85" hidden="false" customHeight="false" outlineLevel="0" collapsed="false">
      <c r="A12" s="11" t="s">
        <v>175</v>
      </c>
      <c r="B12" s="11" t="s">
        <v>118</v>
      </c>
      <c r="C12" s="11" t="s">
        <v>116</v>
      </c>
      <c r="D12" s="11" t="s">
        <v>160</v>
      </c>
      <c r="E12" s="11" t="s">
        <v>65</v>
      </c>
      <c r="F12" s="12" t="n">
        <v>1</v>
      </c>
      <c r="G12" s="11" t="s">
        <v>176</v>
      </c>
      <c r="H12" s="11" t="s">
        <v>121</v>
      </c>
      <c r="I12" s="11" t="s">
        <v>162</v>
      </c>
    </row>
    <row r="13" customFormat="false" ht="23.85" hidden="false" customHeight="false" outlineLevel="0" collapsed="false">
      <c r="A13" s="11" t="s">
        <v>177</v>
      </c>
      <c r="B13" s="11" t="s">
        <v>118</v>
      </c>
      <c r="C13" s="11" t="s">
        <v>122</v>
      </c>
      <c r="D13" s="11" t="s">
        <v>160</v>
      </c>
      <c r="E13" s="11" t="s">
        <v>65</v>
      </c>
      <c r="F13" s="12" t="n">
        <v>1</v>
      </c>
      <c r="G13" s="11" t="s">
        <v>178</v>
      </c>
      <c r="H13" s="11" t="s">
        <v>124</v>
      </c>
      <c r="I13" s="11" t="s">
        <v>162</v>
      </c>
    </row>
    <row r="14" customFormat="false" ht="15" hidden="false" customHeight="false" outlineLevel="0" collapsed="false">
      <c r="A14" s="11" t="s">
        <v>179</v>
      </c>
      <c r="B14" s="11" t="s">
        <v>118</v>
      </c>
      <c r="C14" s="11" t="s">
        <v>125</v>
      </c>
      <c r="D14" s="11" t="s">
        <v>160</v>
      </c>
      <c r="E14" s="11" t="s">
        <v>65</v>
      </c>
      <c r="F14" s="12" t="n">
        <v>2</v>
      </c>
      <c r="G14" s="11" t="s">
        <v>180</v>
      </c>
      <c r="H14" s="11" t="s">
        <v>127</v>
      </c>
      <c r="I14" s="11" t="s">
        <v>20</v>
      </c>
    </row>
    <row r="15" customFormat="false" ht="23.85" hidden="false" customHeight="false" outlineLevel="0" collapsed="false">
      <c r="A15" s="11" t="s">
        <v>181</v>
      </c>
      <c r="B15" s="11" t="s">
        <v>130</v>
      </c>
      <c r="C15" s="11" t="s">
        <v>128</v>
      </c>
      <c r="D15" s="11" t="s">
        <v>160</v>
      </c>
      <c r="E15" s="11" t="s">
        <v>65</v>
      </c>
      <c r="F15" s="12" t="n">
        <v>1</v>
      </c>
      <c r="G15" s="11" t="s">
        <v>182</v>
      </c>
      <c r="H15" s="11" t="s">
        <v>133</v>
      </c>
      <c r="I15" s="11" t="s">
        <v>162</v>
      </c>
    </row>
    <row r="16" customFormat="false" ht="23.85" hidden="false" customHeight="false" outlineLevel="0" collapsed="false">
      <c r="A16" s="11" t="s">
        <v>183</v>
      </c>
      <c r="B16" s="11" t="s">
        <v>130</v>
      </c>
      <c r="C16" s="11" t="s">
        <v>134</v>
      </c>
      <c r="D16" s="11" t="s">
        <v>160</v>
      </c>
      <c r="E16" s="11" t="s">
        <v>65</v>
      </c>
      <c r="F16" s="12" t="n">
        <v>1</v>
      </c>
      <c r="G16" s="11" t="s">
        <v>184</v>
      </c>
      <c r="H16" s="11" t="s">
        <v>136</v>
      </c>
      <c r="I16" s="11" t="s">
        <v>162</v>
      </c>
    </row>
    <row r="17" customFormat="false" ht="15" hidden="false" customHeight="false" outlineLevel="0" collapsed="false">
      <c r="A17" s="11" t="s">
        <v>185</v>
      </c>
      <c r="B17" s="11" t="s">
        <v>130</v>
      </c>
      <c r="C17" s="11" t="s">
        <v>137</v>
      </c>
      <c r="D17" s="11" t="s">
        <v>160</v>
      </c>
      <c r="E17" s="11" t="s">
        <v>65</v>
      </c>
      <c r="F17" s="12" t="n">
        <v>2</v>
      </c>
      <c r="G17" s="11" t="s">
        <v>186</v>
      </c>
      <c r="H17" s="11" t="s">
        <v>139</v>
      </c>
      <c r="I17" s="11" t="s">
        <v>20</v>
      </c>
    </row>
    <row r="18" customFormat="false" ht="15" hidden="false" customHeight="false" outlineLevel="0" collapsed="false">
      <c r="A18" s="11" t="s">
        <v>187</v>
      </c>
      <c r="B18" s="11" t="s">
        <v>142</v>
      </c>
      <c r="C18" s="11" t="s">
        <v>146</v>
      </c>
      <c r="D18" s="11" t="s">
        <v>160</v>
      </c>
      <c r="E18" s="11" t="s">
        <v>65</v>
      </c>
      <c r="F18" s="12" t="n">
        <v>2</v>
      </c>
      <c r="G18" s="11" t="s">
        <v>188</v>
      </c>
      <c r="H18" s="11" t="s">
        <v>148</v>
      </c>
      <c r="I18" s="11" t="s">
        <v>20</v>
      </c>
    </row>
    <row r="19" customFormat="false" ht="23.85" hidden="false" customHeight="false" outlineLevel="0" collapsed="false">
      <c r="A19" s="16" t="s">
        <v>189</v>
      </c>
      <c r="B19" s="16" t="s">
        <v>142</v>
      </c>
      <c r="C19" s="16" t="s">
        <v>149</v>
      </c>
      <c r="D19" s="16" t="s">
        <v>160</v>
      </c>
      <c r="E19" s="16" t="s">
        <v>65</v>
      </c>
      <c r="F19" s="20" t="n">
        <v>2</v>
      </c>
      <c r="G19" s="16" t="s">
        <v>190</v>
      </c>
      <c r="H19" s="16" t="s">
        <v>151</v>
      </c>
      <c r="I19" s="16" t="s">
        <v>20</v>
      </c>
    </row>
  </sheetData>
  <mergeCells count="1">
    <mergeCell ref="A2:I2"/>
  </mergeCells>
  <conditionalFormatting sqref="F5:F19">
    <cfRule type="cellIs" priority="2" operator="equal" aboveAverage="0" equalAverage="0" bottom="0" percent="0" rank="0" text="" dxfId="5">
      <formula>2</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2" min="2" style="0" width="39"/>
    <col collapsed="false" customWidth="true" hidden="false" outlineLevel="0" max="3" min="3" style="0" width="73"/>
    <col collapsed="false" customWidth="true" hidden="false" outlineLevel="0" max="4" min="4" style="0" width="68"/>
    <col collapsed="false" customWidth="true" hidden="false" outlineLevel="0" max="5" min="5" style="0" width="34"/>
  </cols>
  <sheetData>
    <row r="2" customFormat="false" ht="15" hidden="false" customHeight="false" outlineLevel="0" collapsed="false">
      <c r="A2" s="1" t="s">
        <v>191</v>
      </c>
      <c r="B2" s="1"/>
      <c r="C2" s="1"/>
      <c r="D2" s="1"/>
      <c r="E2" s="1"/>
    </row>
    <row r="3" customFormat="false" ht="15" hidden="false" customHeight="false" outlineLevel="0" collapsed="false">
      <c r="A3" s="2"/>
      <c r="B3" s="2"/>
      <c r="C3" s="2"/>
      <c r="D3" s="2"/>
      <c r="E3" s="2"/>
    </row>
    <row r="4" customFormat="false" ht="28" hidden="false" customHeight="true" outlineLevel="0" collapsed="false">
      <c r="A4" s="3" t="s">
        <v>192</v>
      </c>
      <c r="B4" s="4" t="s">
        <v>193</v>
      </c>
      <c r="C4" s="4" t="s">
        <v>194</v>
      </c>
      <c r="D4" s="4" t="s">
        <v>195</v>
      </c>
      <c r="E4" s="5" t="s">
        <v>196</v>
      </c>
    </row>
    <row r="5" customFormat="false" ht="23.85" hidden="false" customHeight="false" outlineLevel="0" collapsed="false">
      <c r="A5" s="7" t="s">
        <v>104</v>
      </c>
      <c r="B5" s="7" t="s">
        <v>197</v>
      </c>
      <c r="C5" s="7" t="s">
        <v>198</v>
      </c>
      <c r="D5" s="7" t="s">
        <v>199</v>
      </c>
      <c r="E5" s="7" t="s">
        <v>200</v>
      </c>
    </row>
    <row r="6" customFormat="false" ht="23.85" hidden="false" customHeight="false" outlineLevel="0" collapsed="false">
      <c r="A6" s="11" t="s">
        <v>125</v>
      </c>
      <c r="B6" s="11" t="s">
        <v>201</v>
      </c>
      <c r="C6" s="11" t="s">
        <v>202</v>
      </c>
      <c r="D6" s="11" t="s">
        <v>203</v>
      </c>
      <c r="E6" s="11" t="s">
        <v>200</v>
      </c>
    </row>
    <row r="7" customFormat="false" ht="23.85" hidden="false" customHeight="false" outlineLevel="0" collapsed="false">
      <c r="A7" s="11" t="s">
        <v>137</v>
      </c>
      <c r="B7" s="11" t="s">
        <v>204</v>
      </c>
      <c r="C7" s="11" t="s">
        <v>205</v>
      </c>
      <c r="D7" s="11" t="s">
        <v>206</v>
      </c>
      <c r="E7" s="11" t="s">
        <v>200</v>
      </c>
    </row>
    <row r="8" customFormat="false" ht="23.85" hidden="false" customHeight="false" outlineLevel="0" collapsed="false">
      <c r="A8" s="11" t="s">
        <v>146</v>
      </c>
      <c r="B8" s="11" t="s">
        <v>207</v>
      </c>
      <c r="C8" s="11" t="s">
        <v>208</v>
      </c>
      <c r="D8" s="11" t="s">
        <v>209</v>
      </c>
      <c r="E8" s="11" t="s">
        <v>200</v>
      </c>
    </row>
    <row r="9" customFormat="false" ht="23.85" hidden="false" customHeight="false" outlineLevel="0" collapsed="false">
      <c r="A9" s="16" t="s">
        <v>149</v>
      </c>
      <c r="B9" s="16" t="s">
        <v>210</v>
      </c>
      <c r="C9" s="16" t="s">
        <v>211</v>
      </c>
      <c r="D9" s="16" t="s">
        <v>212</v>
      </c>
      <c r="E9" s="16" t="s">
        <v>200</v>
      </c>
    </row>
  </sheetData>
  <mergeCells count="1">
    <mergeCell ref="A2:E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40"/>
    <col collapsed="false" customWidth="true" hidden="false" outlineLevel="0" max="4" min="4" style="0" width="23"/>
    <col collapsed="false" customWidth="true" hidden="false" outlineLevel="0" max="5" min="5" style="0" width="17"/>
    <col collapsed="false" customWidth="true" hidden="false" outlineLevel="0" max="6" min="6" style="0" width="25"/>
    <col collapsed="false" customWidth="true" hidden="false" outlineLevel="0" max="7" min="7" style="0" width="31"/>
    <col collapsed="false" customWidth="true" hidden="false" outlineLevel="0" max="8" min="8" style="0" width="18"/>
    <col collapsed="false" customWidth="true" hidden="false" outlineLevel="0" max="10" min="9" style="0" width="16"/>
  </cols>
  <sheetData>
    <row r="2" customFormat="false" ht="15" hidden="false" customHeight="false" outlineLevel="0" collapsed="false">
      <c r="A2" s="1" t="s">
        <v>213</v>
      </c>
      <c r="B2" s="1"/>
      <c r="C2" s="1"/>
      <c r="D2" s="1"/>
      <c r="E2" s="1"/>
      <c r="F2" s="1"/>
      <c r="G2" s="1"/>
      <c r="H2" s="1"/>
      <c r="I2" s="1"/>
      <c r="J2" s="1"/>
    </row>
    <row r="3" customFormat="false" ht="15" hidden="false" customHeight="false" outlineLevel="0" collapsed="false">
      <c r="A3" s="2"/>
      <c r="B3" s="2"/>
      <c r="C3" s="2"/>
      <c r="D3" s="2"/>
      <c r="E3" s="2"/>
      <c r="F3" s="2"/>
      <c r="G3" s="2"/>
      <c r="H3" s="2"/>
      <c r="I3" s="2"/>
      <c r="J3" s="2"/>
    </row>
    <row r="4" customFormat="false" ht="28" hidden="false" customHeight="true" outlineLevel="0" collapsed="false">
      <c r="A4" s="3" t="s">
        <v>60</v>
      </c>
      <c r="B4" s="4" t="s">
        <v>61</v>
      </c>
      <c r="C4" s="4" t="s">
        <v>214</v>
      </c>
      <c r="D4" s="4" t="s">
        <v>215</v>
      </c>
      <c r="E4" s="4" t="s">
        <v>52</v>
      </c>
      <c r="F4" s="4" t="s">
        <v>216</v>
      </c>
      <c r="G4" s="4" t="s">
        <v>217</v>
      </c>
      <c r="H4" s="4" t="s">
        <v>218</v>
      </c>
      <c r="I4" s="4" t="s">
        <v>219</v>
      </c>
      <c r="J4" s="5" t="s">
        <v>3</v>
      </c>
    </row>
    <row r="5" customFormat="false" ht="15" hidden="false" customHeight="false" outlineLevel="0" collapsed="false">
      <c r="A5" s="7" t="s">
        <v>78</v>
      </c>
      <c r="B5" s="7" t="s">
        <v>79</v>
      </c>
      <c r="C5" s="7" t="s">
        <v>220</v>
      </c>
      <c r="D5" s="21" t="n">
        <v>0.50047461808185</v>
      </c>
      <c r="E5" s="22" t="n">
        <f aca="false">Controls!$B$15</f>
        <v>0.15</v>
      </c>
      <c r="F5" s="21" t="n">
        <f aca="false">D5*E5</f>
        <v>0.0750711927122775</v>
      </c>
      <c r="G5" s="21" t="n">
        <f aca="false">Controls!$B$16</f>
        <v>0</v>
      </c>
      <c r="H5" s="21" t="n">
        <v>0</v>
      </c>
      <c r="I5" s="21" t="n">
        <v>0</v>
      </c>
      <c r="J5" s="7" t="str">
        <f aca="false">IF(OR(G5&gt;0,H5&gt;0,I5&gt;0),"INVALID","HELD")</f>
        <v>HELD</v>
      </c>
    </row>
    <row r="6" customFormat="false" ht="15" hidden="false" customHeight="false" outlineLevel="0" collapsed="false">
      <c r="A6" s="11" t="s">
        <v>93</v>
      </c>
      <c r="B6" s="11" t="s">
        <v>94</v>
      </c>
      <c r="C6" s="11" t="s">
        <v>221</v>
      </c>
      <c r="D6" s="15" t="n">
        <v>0.51649348177396</v>
      </c>
      <c r="E6" s="19" t="n">
        <f aca="false">Controls!$B$15</f>
        <v>0.15</v>
      </c>
      <c r="F6" s="15" t="n">
        <f aca="false">D6*E6</f>
        <v>0.077474022266094</v>
      </c>
      <c r="G6" s="15" t="n">
        <f aca="false">Controls!$B$16</f>
        <v>0</v>
      </c>
      <c r="H6" s="15" t="n">
        <v>0</v>
      </c>
      <c r="I6" s="15" t="n">
        <v>0</v>
      </c>
      <c r="J6" s="11" t="str">
        <f aca="false">IF(OR(G6&gt;0,H6&gt;0,I6&gt;0),"INVALID","HELD")</f>
        <v>HELD</v>
      </c>
    </row>
    <row r="7" customFormat="false" ht="15" hidden="false" customHeight="false" outlineLevel="0" collapsed="false">
      <c r="A7" s="11" t="s">
        <v>105</v>
      </c>
      <c r="B7" s="11" t="s">
        <v>106</v>
      </c>
      <c r="C7" s="11" t="s">
        <v>222</v>
      </c>
      <c r="D7" s="15" t="n">
        <v>0.307221654067133</v>
      </c>
      <c r="E7" s="19" t="n">
        <f aca="false">Controls!$B$15</f>
        <v>0.15</v>
      </c>
      <c r="F7" s="15" t="n">
        <f aca="false">D7*E7</f>
        <v>0.0460832481100699</v>
      </c>
      <c r="G7" s="15" t="n">
        <f aca="false">Controls!$B$16</f>
        <v>0</v>
      </c>
      <c r="H7" s="15" t="n">
        <v>0</v>
      </c>
      <c r="I7" s="15" t="n">
        <v>0</v>
      </c>
      <c r="J7" s="11" t="str">
        <f aca="false">IF(OR(G7&gt;0,H7&gt;0,I7&gt;0),"INVALID","HELD")</f>
        <v>HELD</v>
      </c>
    </row>
    <row r="8" customFormat="false" ht="15" hidden="false" customHeight="false" outlineLevel="0" collapsed="false">
      <c r="A8" s="11" t="s">
        <v>117</v>
      </c>
      <c r="B8" s="11" t="s">
        <v>118</v>
      </c>
      <c r="C8" s="11" t="s">
        <v>223</v>
      </c>
      <c r="D8" s="15" t="n">
        <v>0.899412819320565</v>
      </c>
      <c r="E8" s="19" t="n">
        <f aca="false">Controls!$B$15</f>
        <v>0.15</v>
      </c>
      <c r="F8" s="15" t="n">
        <f aca="false">D8*E8</f>
        <v>0.134911922898085</v>
      </c>
      <c r="G8" s="15" t="n">
        <f aca="false">Controls!$B$16</f>
        <v>0</v>
      </c>
      <c r="H8" s="15" t="n">
        <v>0</v>
      </c>
      <c r="I8" s="15" t="n">
        <v>0</v>
      </c>
      <c r="J8" s="11" t="str">
        <f aca="false">IF(OR(G8&gt;0,H8&gt;0,I8&gt;0),"INVALID","HELD")</f>
        <v>HELD</v>
      </c>
    </row>
    <row r="9" customFormat="false" ht="15" hidden="false" customHeight="false" outlineLevel="0" collapsed="false">
      <c r="A9" s="11" t="s">
        <v>129</v>
      </c>
      <c r="B9" s="11" t="s">
        <v>130</v>
      </c>
      <c r="C9" s="11" t="s">
        <v>224</v>
      </c>
      <c r="D9" s="15" t="n">
        <v>0.860712452941095</v>
      </c>
      <c r="E9" s="19" t="n">
        <f aca="false">Controls!$B$15</f>
        <v>0.15</v>
      </c>
      <c r="F9" s="15" t="n">
        <f aca="false">D9*E9</f>
        <v>0.129106867941164</v>
      </c>
      <c r="G9" s="15" t="n">
        <f aca="false">Controls!$B$16</f>
        <v>0</v>
      </c>
      <c r="H9" s="15" t="n">
        <v>0</v>
      </c>
      <c r="I9" s="15" t="n">
        <v>0</v>
      </c>
      <c r="J9" s="11" t="str">
        <f aca="false">IF(OR(G9&gt;0,H9&gt;0,I9&gt;0),"INVALID","HELD")</f>
        <v>HELD</v>
      </c>
    </row>
    <row r="10" customFormat="false" ht="15" hidden="false" customHeight="false" outlineLevel="0" collapsed="false">
      <c r="A10" s="11" t="s">
        <v>141</v>
      </c>
      <c r="B10" s="11" t="s">
        <v>142</v>
      </c>
      <c r="C10" s="11" t="s">
        <v>225</v>
      </c>
      <c r="D10" s="15" t="n">
        <v>0.502597793135963</v>
      </c>
      <c r="E10" s="19" t="n">
        <f aca="false">Controls!$B$15</f>
        <v>0.15</v>
      </c>
      <c r="F10" s="15" t="n">
        <f aca="false">D10*E10</f>
        <v>0.0753896689703944</v>
      </c>
      <c r="G10" s="15" t="n">
        <f aca="false">Controls!$B$16</f>
        <v>0</v>
      </c>
      <c r="H10" s="15" t="n">
        <v>0</v>
      </c>
      <c r="I10" s="15" t="n">
        <v>0</v>
      </c>
      <c r="J10" s="11" t="str">
        <f aca="false">IF(OR(G10&gt;0,H10&gt;0,I10&gt;0),"INVALID","HELD")</f>
        <v>HELD</v>
      </c>
    </row>
    <row r="11" customFormat="false" ht="15" hidden="false" customHeight="false" outlineLevel="0" collapsed="false">
      <c r="A11" s="23" t="s">
        <v>226</v>
      </c>
      <c r="B11" s="23" t="s">
        <v>227</v>
      </c>
      <c r="C11" s="23" t="s">
        <v>228</v>
      </c>
      <c r="D11" s="24" t="n">
        <f aca="false">SUM(D5:D10)</f>
        <v>3.58691281932057</v>
      </c>
      <c r="E11" s="23"/>
      <c r="F11" s="24" t="n">
        <f aca="false">SUM(F5:F10)</f>
        <v>0.538036922898085</v>
      </c>
      <c r="G11" s="24" t="n">
        <f aca="false">SUM(G5:G10)</f>
        <v>0</v>
      </c>
      <c r="H11" s="24" t="n">
        <f aca="false">SUM(H5:H10)</f>
        <v>0</v>
      </c>
      <c r="I11" s="24" t="n">
        <f aca="false">SUM(I5:I10)</f>
        <v>0</v>
      </c>
      <c r="J11" s="23" t="str">
        <f aca="false">IF(COUNTIF(J5:J10,"INVALID")&gt;0,"INVALID","HELD")</f>
        <v>HELD</v>
      </c>
    </row>
  </sheetData>
  <mergeCells count="1">
    <mergeCell ref="A2:J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53"/>
    <col collapsed="false" customWidth="true" hidden="false" outlineLevel="0" max="3" min="3" style="0" width="50"/>
    <col collapsed="false" customWidth="true" hidden="false" outlineLevel="0" max="5" min="4" style="0" width="14"/>
  </cols>
  <sheetData>
    <row r="2" customFormat="false" ht="15" hidden="false" customHeight="false" outlineLevel="0" collapsed="false">
      <c r="A2" s="1" t="s">
        <v>229</v>
      </c>
      <c r="B2" s="1"/>
      <c r="C2" s="1"/>
      <c r="D2" s="1"/>
      <c r="E2" s="1"/>
    </row>
    <row r="3" customFormat="false" ht="15" hidden="false" customHeight="false" outlineLevel="0" collapsed="false">
      <c r="A3" s="2"/>
      <c r="B3" s="2"/>
      <c r="C3" s="2"/>
      <c r="D3" s="2"/>
      <c r="E3" s="2"/>
    </row>
    <row r="4" customFormat="false" ht="28" hidden="false" customHeight="true" outlineLevel="0" collapsed="false">
      <c r="A4" s="3" t="s">
        <v>230</v>
      </c>
      <c r="B4" s="4" t="s">
        <v>231</v>
      </c>
      <c r="C4" s="4" t="s">
        <v>232</v>
      </c>
      <c r="D4" s="4" t="s">
        <v>233</v>
      </c>
      <c r="E4" s="5" t="s">
        <v>234</v>
      </c>
    </row>
    <row r="5" customFormat="false" ht="15" hidden="false" customHeight="false" outlineLevel="0" collapsed="false">
      <c r="A5" s="7" t="s">
        <v>235</v>
      </c>
      <c r="B5" s="7" t="s">
        <v>236</v>
      </c>
      <c r="C5" s="7" t="s">
        <v>237</v>
      </c>
      <c r="D5" s="8" t="n">
        <v>1</v>
      </c>
      <c r="E5" s="8" t="n">
        <v>1</v>
      </c>
    </row>
    <row r="6" customFormat="false" ht="15" hidden="false" customHeight="false" outlineLevel="0" collapsed="false">
      <c r="A6" s="11" t="s">
        <v>238</v>
      </c>
      <c r="B6" s="11" t="s">
        <v>239</v>
      </c>
      <c r="C6" s="11" t="s">
        <v>240</v>
      </c>
      <c r="D6" s="12" t="n">
        <v>1</v>
      </c>
      <c r="E6" s="12" t="n">
        <v>1</v>
      </c>
    </row>
    <row r="7" customFormat="false" ht="15" hidden="false" customHeight="false" outlineLevel="0" collapsed="false">
      <c r="A7" s="11" t="s">
        <v>241</v>
      </c>
      <c r="B7" s="11" t="s">
        <v>242</v>
      </c>
      <c r="C7" s="11" t="s">
        <v>243</v>
      </c>
      <c r="D7" s="12" t="n">
        <v>1</v>
      </c>
      <c r="E7" s="12" t="n">
        <v>1</v>
      </c>
    </row>
    <row r="8" customFormat="false" ht="15" hidden="false" customHeight="false" outlineLevel="0" collapsed="false">
      <c r="A8" s="11" t="s">
        <v>244</v>
      </c>
      <c r="B8" s="11" t="s">
        <v>245</v>
      </c>
      <c r="C8" s="11" t="s">
        <v>246</v>
      </c>
      <c r="D8" s="12" t="n">
        <v>1</v>
      </c>
      <c r="E8" s="12" t="n">
        <v>1</v>
      </c>
    </row>
    <row r="9" customFormat="false" ht="15" hidden="false" customHeight="false" outlineLevel="0" collapsed="false">
      <c r="A9" s="11" t="s">
        <v>247</v>
      </c>
      <c r="B9" s="11" t="s">
        <v>248</v>
      </c>
      <c r="C9" s="11" t="s">
        <v>249</v>
      </c>
      <c r="D9" s="12" t="n">
        <v>1</v>
      </c>
      <c r="E9" s="12" t="n">
        <v>1</v>
      </c>
    </row>
    <row r="10" customFormat="false" ht="15" hidden="false" customHeight="false" outlineLevel="0" collapsed="false">
      <c r="A10" s="11" t="s">
        <v>250</v>
      </c>
      <c r="B10" s="11" t="s">
        <v>251</v>
      </c>
      <c r="C10" s="11" t="s">
        <v>252</v>
      </c>
      <c r="D10" s="12" t="n">
        <v>1</v>
      </c>
      <c r="E10" s="12" t="n">
        <v>1</v>
      </c>
    </row>
    <row r="11" customFormat="false" ht="15" hidden="false" customHeight="false" outlineLevel="0" collapsed="false">
      <c r="A11" s="11" t="s">
        <v>253</v>
      </c>
      <c r="B11" s="11" t="s">
        <v>254</v>
      </c>
      <c r="C11" s="11" t="s">
        <v>255</v>
      </c>
      <c r="D11" s="12" t="n">
        <v>1</v>
      </c>
      <c r="E11" s="12" t="n">
        <v>1</v>
      </c>
    </row>
    <row r="12" customFormat="false" ht="15" hidden="false" customHeight="false" outlineLevel="0" collapsed="false">
      <c r="A12" s="11" t="s">
        <v>256</v>
      </c>
      <c r="B12" s="11" t="s">
        <v>257</v>
      </c>
      <c r="C12" s="11" t="s">
        <v>258</v>
      </c>
      <c r="D12" s="12" t="n">
        <v>1</v>
      </c>
      <c r="E12" s="12" t="n">
        <v>1</v>
      </c>
    </row>
    <row r="13" customFormat="false" ht="15" hidden="false" customHeight="false" outlineLevel="0" collapsed="false">
      <c r="A13" s="11" t="s">
        <v>259</v>
      </c>
      <c r="B13" s="11" t="s">
        <v>260</v>
      </c>
      <c r="C13" s="11" t="s">
        <v>258</v>
      </c>
      <c r="D13" s="12" t="n">
        <v>1</v>
      </c>
      <c r="E13" s="12" t="n">
        <v>1</v>
      </c>
    </row>
    <row r="14" customFormat="false" ht="15" hidden="false" customHeight="false" outlineLevel="0" collapsed="false">
      <c r="A14" s="11" t="s">
        <v>261</v>
      </c>
      <c r="B14" s="11" t="s">
        <v>262</v>
      </c>
      <c r="C14" s="11" t="s">
        <v>263</v>
      </c>
      <c r="D14" s="12" t="n">
        <v>1</v>
      </c>
      <c r="E14" s="12" t="n">
        <v>1</v>
      </c>
    </row>
    <row r="15" customFormat="false" ht="15" hidden="false" customHeight="false" outlineLevel="0" collapsed="false">
      <c r="A15" s="11" t="s">
        <v>264</v>
      </c>
      <c r="B15" s="11" t="s">
        <v>265</v>
      </c>
      <c r="C15" s="11" t="s">
        <v>266</v>
      </c>
      <c r="D15" s="12" t="n">
        <v>1</v>
      </c>
      <c r="E15" s="12" t="n">
        <v>1</v>
      </c>
    </row>
    <row r="16" customFormat="false" ht="15" hidden="false" customHeight="false" outlineLevel="0" collapsed="false">
      <c r="A16" s="16" t="s">
        <v>267</v>
      </c>
      <c r="B16" s="16" t="s">
        <v>268</v>
      </c>
      <c r="C16" s="16" t="s">
        <v>269</v>
      </c>
      <c r="D16" s="20" t="n">
        <v>1</v>
      </c>
      <c r="E16" s="20" t="n">
        <v>1</v>
      </c>
    </row>
  </sheetData>
  <mergeCells count="1">
    <mergeCell ref="A2:E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2"/>
    <col collapsed="false" customWidth="true" hidden="false" outlineLevel="0" max="4" min="3" style="0" width="18"/>
    <col collapsed="false" customWidth="true" hidden="false" outlineLevel="0" max="5" min="5" style="0" width="14"/>
  </cols>
  <sheetData>
    <row r="2" customFormat="false" ht="15" hidden="false" customHeight="false" outlineLevel="0" collapsed="false">
      <c r="A2" s="1" t="s">
        <v>270</v>
      </c>
      <c r="B2" s="1"/>
      <c r="C2" s="1"/>
      <c r="D2" s="1"/>
      <c r="E2" s="1"/>
    </row>
    <row r="3" customFormat="false" ht="15" hidden="false" customHeight="false" outlineLevel="0" collapsed="false">
      <c r="A3" s="2"/>
      <c r="B3" s="2"/>
      <c r="C3" s="2"/>
      <c r="D3" s="2"/>
      <c r="E3" s="2"/>
    </row>
    <row r="4" customFormat="false" ht="28" hidden="false" customHeight="true" outlineLevel="0" collapsed="false">
      <c r="A4" s="3" t="s">
        <v>271</v>
      </c>
      <c r="B4" s="4" t="s">
        <v>272</v>
      </c>
      <c r="C4" s="4" t="s">
        <v>273</v>
      </c>
      <c r="D4" s="4" t="s">
        <v>274</v>
      </c>
      <c r="E4" s="5" t="s">
        <v>275</v>
      </c>
    </row>
    <row r="5" customFormat="false" ht="15" hidden="false" customHeight="false" outlineLevel="0" collapsed="false">
      <c r="A5" s="7" t="s">
        <v>276</v>
      </c>
      <c r="B5" s="7" t="s">
        <v>277</v>
      </c>
      <c r="C5" s="21" t="n">
        <f aca="false">COUNTA('Hypothesis Audit'!A5:A22)</f>
        <v>18</v>
      </c>
      <c r="D5" s="21" t="n">
        <v>18</v>
      </c>
      <c r="E5" s="7" t="str">
        <f aca="false">IF(ABS(C5-D5)&lt;0.0000001,"PASS","FAIL")</f>
        <v>PASS</v>
      </c>
    </row>
    <row r="6" customFormat="false" ht="15" hidden="false" customHeight="false" outlineLevel="0" collapsed="false">
      <c r="A6" s="11" t="s">
        <v>278</v>
      </c>
      <c r="B6" s="11" t="s">
        <v>279</v>
      </c>
      <c r="C6" s="15" t="n">
        <f aca="false">COUNTIF('Hypothesis Audit'!R5:R22,1)</f>
        <v>18</v>
      </c>
      <c r="D6" s="15" t="n">
        <v>18</v>
      </c>
      <c r="E6" s="11" t="str">
        <f aca="false">IF(ABS(C6-D6)&lt;0.0000001,"PASS","FAIL")</f>
        <v>PASS</v>
      </c>
    </row>
    <row r="7" customFormat="false" ht="15" hidden="false" customHeight="false" outlineLevel="0" collapsed="false">
      <c r="A7" s="11" t="s">
        <v>280</v>
      </c>
      <c r="B7" s="11" t="s">
        <v>281</v>
      </c>
      <c r="C7" s="15" t="n">
        <f aca="false">COUNTIF('Hypothesis Audit'!S5:S22,3)/3</f>
        <v>6</v>
      </c>
      <c r="D7" s="15" t="n">
        <v>6</v>
      </c>
      <c r="E7" s="11" t="str">
        <f aca="false">IF(ABS(C7-D7)&lt;0.0000001,"PASS","FAIL")</f>
        <v>PASS</v>
      </c>
    </row>
    <row r="8" customFormat="false" ht="15" hidden="false" customHeight="false" outlineLevel="0" collapsed="false">
      <c r="A8" s="11" t="s">
        <v>282</v>
      </c>
      <c r="B8" s="11" t="s">
        <v>283</v>
      </c>
      <c r="C8" s="15" t="n">
        <f aca="false">COUNTA(Controls!A9:A14)</f>
        <v>6</v>
      </c>
      <c r="D8" s="15" t="n">
        <v>6</v>
      </c>
      <c r="E8" s="11" t="str">
        <f aca="false">IF(ABS(C8-D8)&lt;0.0000001,"PASS","FAIL")</f>
        <v>PASS</v>
      </c>
    </row>
    <row r="9" customFormat="false" ht="15" hidden="false" customHeight="false" outlineLevel="0" collapsed="false">
      <c r="A9" s="11" t="s">
        <v>284</v>
      </c>
      <c r="B9" s="11" t="s">
        <v>13</v>
      </c>
      <c r="C9" s="15" t="n">
        <f aca="false">COUNT('Hypothesis Audit'!G5:L22)</f>
        <v>108</v>
      </c>
      <c r="D9" s="15" t="n">
        <v>108</v>
      </c>
      <c r="E9" s="11" t="str">
        <f aca="false">IF(ABS(C9-D9)&lt;0.0000001,"PASS","FAIL")</f>
        <v>PASS</v>
      </c>
    </row>
    <row r="10" customFormat="false" ht="15" hidden="false" customHeight="false" outlineLevel="0" collapsed="false">
      <c r="A10" s="11" t="s">
        <v>285</v>
      </c>
      <c r="B10" s="11" t="s">
        <v>286</v>
      </c>
      <c r="C10" s="15" t="n">
        <f aca="false">COUNTIF('Hypothesis Audit'!G5:L22,0)</f>
        <v>34</v>
      </c>
      <c r="D10" s="15" t="n">
        <v>34</v>
      </c>
      <c r="E10" s="11" t="str">
        <f aca="false">IF(ABS(C10-D10)&lt;0.0000001,"PASS","FAIL")</f>
        <v>PASS</v>
      </c>
    </row>
    <row r="11" customFormat="false" ht="15" hidden="false" customHeight="false" outlineLevel="0" collapsed="false">
      <c r="A11" s="11" t="s">
        <v>287</v>
      </c>
      <c r="B11" s="11" t="s">
        <v>288</v>
      </c>
      <c r="C11" s="15" t="n">
        <f aca="false">COUNTIF('Hypothesis Audit'!G5:L22,1)</f>
        <v>61</v>
      </c>
      <c r="D11" s="15" t="n">
        <v>61</v>
      </c>
      <c r="E11" s="11" t="str">
        <f aca="false">IF(ABS(C11-D11)&lt;0.0000001,"PASS","FAIL")</f>
        <v>PASS</v>
      </c>
    </row>
    <row r="12" customFormat="false" ht="15" hidden="false" customHeight="false" outlineLevel="0" collapsed="false">
      <c r="A12" s="11" t="s">
        <v>289</v>
      </c>
      <c r="B12" s="11" t="s">
        <v>290</v>
      </c>
      <c r="C12" s="15" t="n">
        <f aca="false">COUNTIF('Hypothesis Audit'!G5:L22,2)</f>
        <v>13</v>
      </c>
      <c r="D12" s="15" t="n">
        <v>13</v>
      </c>
      <c r="E12" s="11" t="str">
        <f aca="false">IF(ABS(C12-D12)&lt;0.0000001,"PASS","FAIL")</f>
        <v>PASS</v>
      </c>
    </row>
    <row r="13" customFormat="false" ht="15" hidden="false" customHeight="false" outlineLevel="0" collapsed="false">
      <c r="A13" s="11" t="s">
        <v>291</v>
      </c>
      <c r="B13" s="11" t="s">
        <v>292</v>
      </c>
      <c r="C13" s="15" t="n">
        <f aca="false">COUNTIF('Hypothesis Audit'!P5:P22,"RETAIN")</f>
        <v>3</v>
      </c>
      <c r="D13" s="15" t="n">
        <v>3</v>
      </c>
      <c r="E13" s="11" t="str">
        <f aca="false">IF(ABS(C13-D13)&lt;0.0000001,"PASS","FAIL")</f>
        <v>PASS</v>
      </c>
    </row>
    <row r="14" customFormat="false" ht="15" hidden="false" customHeight="false" outlineLevel="0" collapsed="false">
      <c r="A14" s="11" t="s">
        <v>293</v>
      </c>
      <c r="B14" s="11" t="s">
        <v>294</v>
      </c>
      <c r="C14" s="15" t="n">
        <f aca="false">COUNTIF('Hypothesis Audit'!P5:P22,"REVISE")</f>
        <v>10</v>
      </c>
      <c r="D14" s="15" t="n">
        <v>10</v>
      </c>
      <c r="E14" s="11" t="str">
        <f aca="false">IF(ABS(C14-D14)&lt;0.0000001,"PASS","FAIL")</f>
        <v>PASS</v>
      </c>
    </row>
    <row r="15" customFormat="false" ht="15" hidden="false" customHeight="false" outlineLevel="0" collapsed="false">
      <c r="A15" s="11" t="s">
        <v>295</v>
      </c>
      <c r="B15" s="11" t="s">
        <v>296</v>
      </c>
      <c r="C15" s="15" t="n">
        <f aca="false">COUNTIF('Hypothesis Audit'!P5:P22,"WITHDRAW / REPLACE")</f>
        <v>5</v>
      </c>
      <c r="D15" s="15" t="n">
        <v>5</v>
      </c>
      <c r="E15" s="11" t="str">
        <f aca="false">IF(ABS(C15-D15)&lt;0.0000001,"PASS","FAIL")</f>
        <v>PASS</v>
      </c>
    </row>
    <row r="16" customFormat="false" ht="15" hidden="false" customHeight="false" outlineLevel="0" collapsed="false">
      <c r="A16" s="11" t="s">
        <v>297</v>
      </c>
      <c r="B16" s="11" t="s">
        <v>298</v>
      </c>
      <c r="C16" s="15" t="n">
        <f aca="false">SUM(C13:C15)</f>
        <v>18</v>
      </c>
      <c r="D16" s="15" t="n">
        <v>18</v>
      </c>
      <c r="E16" s="11" t="str">
        <f aca="false">IF(ABS(C16-D16)&lt;0.0000001,"PASS","FAIL")</f>
        <v>PASS</v>
      </c>
    </row>
    <row r="17" customFormat="false" ht="15" hidden="false" customHeight="false" outlineLevel="0" collapsed="false">
      <c r="A17" s="11" t="s">
        <v>299</v>
      </c>
      <c r="B17" s="11" t="s">
        <v>300</v>
      </c>
      <c r="C17" s="15" t="n">
        <f aca="false">COUNTA(Contradictions!A5:A19)</f>
        <v>15</v>
      </c>
      <c r="D17" s="15" t="n">
        <v>15</v>
      </c>
      <c r="E17" s="11" t="str">
        <f aca="false">IF(ABS(C17-D17)&lt;0.0000001,"PASS","FAIL")</f>
        <v>PASS</v>
      </c>
    </row>
    <row r="18" customFormat="false" ht="15" hidden="false" customHeight="false" outlineLevel="0" collapsed="false">
      <c r="A18" s="11" t="s">
        <v>301</v>
      </c>
      <c r="B18" s="11" t="s">
        <v>27</v>
      </c>
      <c r="C18" s="15" t="n">
        <f aca="false">COUNTA('Replacement Forms'!A5:A9)</f>
        <v>5</v>
      </c>
      <c r="D18" s="15" t="n">
        <v>5</v>
      </c>
      <c r="E18" s="11" t="str">
        <f aca="false">IF(ABS(C18-D18)&lt;0.0000001,"PASS","FAIL")</f>
        <v>PASS</v>
      </c>
    </row>
    <row r="19" customFormat="false" ht="15" hidden="false" customHeight="false" outlineLevel="0" collapsed="false">
      <c r="A19" s="11" t="s">
        <v>302</v>
      </c>
      <c r="B19" s="11" t="s">
        <v>48</v>
      </c>
      <c r="C19" s="15" t="n">
        <f aca="false">Controls!B12</f>
        <v>0</v>
      </c>
      <c r="D19" s="15" t="n">
        <v>0</v>
      </c>
      <c r="E19" s="11" t="str">
        <f aca="false">IF(ABS(C19-D19)&lt;0.0000001,"PASS","FAIL")</f>
        <v>PASS</v>
      </c>
    </row>
    <row r="20" customFormat="false" ht="15" hidden="false" customHeight="false" outlineLevel="0" collapsed="false">
      <c r="A20" s="11" t="s">
        <v>303</v>
      </c>
      <c r="B20" s="11" t="s">
        <v>50</v>
      </c>
      <c r="C20" s="15" t="n">
        <f aca="false">Controls!B13</f>
        <v>0</v>
      </c>
      <c r="D20" s="15" t="n">
        <v>0</v>
      </c>
      <c r="E20" s="11" t="str">
        <f aca="false">IF(ABS(C20-D20)&lt;0.0000001,"PASS","FAIL")</f>
        <v>PASS</v>
      </c>
    </row>
    <row r="21" customFormat="false" ht="15" hidden="false" customHeight="false" outlineLevel="0" collapsed="false">
      <c r="A21" s="11" t="s">
        <v>304</v>
      </c>
      <c r="B21" s="11" t="s">
        <v>25</v>
      </c>
      <c r="C21" s="15" t="n">
        <f aca="false">Controls!B14</f>
        <v>0</v>
      </c>
      <c r="D21" s="15" t="n">
        <v>0</v>
      </c>
      <c r="E21" s="11" t="str">
        <f aca="false">IF(ABS(C21-D21)&lt;0.0000001,"PASS","FAIL")</f>
        <v>PASS</v>
      </c>
    </row>
    <row r="22" customFormat="false" ht="15" hidden="false" customHeight="false" outlineLevel="0" collapsed="false">
      <c r="A22" s="11" t="s">
        <v>305</v>
      </c>
      <c r="B22" s="11" t="s">
        <v>306</v>
      </c>
      <c r="C22" s="15" t="n">
        <f aca="false">Finance!D11</f>
        <v>3.58691281932057</v>
      </c>
      <c r="D22" s="15" t="n">
        <v>3.58691281932057</v>
      </c>
      <c r="E22" s="11" t="str">
        <f aca="false">IF(ABS(C22-D22)&lt;0.0000001,"PASS","FAIL")</f>
        <v>PASS</v>
      </c>
    </row>
    <row r="23" customFormat="false" ht="15" hidden="false" customHeight="false" outlineLevel="0" collapsed="false">
      <c r="A23" s="11" t="s">
        <v>307</v>
      </c>
      <c r="B23" s="11" t="s">
        <v>308</v>
      </c>
      <c r="C23" s="15" t="n">
        <f aca="false">Finance!F11</f>
        <v>0.538036922898085</v>
      </c>
      <c r="D23" s="15" t="n">
        <v>0.538036922898085</v>
      </c>
      <c r="E23" s="11" t="str">
        <f aca="false">IF(ABS(C23-D23)&lt;0.0000001,"PASS","FAIL")</f>
        <v>PASS</v>
      </c>
    </row>
    <row r="24" customFormat="false" ht="15" hidden="false" customHeight="false" outlineLevel="0" collapsed="false">
      <c r="A24" s="11" t="s">
        <v>309</v>
      </c>
      <c r="B24" s="11" t="s">
        <v>310</v>
      </c>
      <c r="C24" s="15" t="n">
        <f aca="false">Finance!G11</f>
        <v>0</v>
      </c>
      <c r="D24" s="15" t="n">
        <v>0</v>
      </c>
      <c r="E24" s="11" t="str">
        <f aca="false">IF(ABS(C24-D24)&lt;0.0000001,"PASS","FAIL")</f>
        <v>PASS</v>
      </c>
    </row>
    <row r="25" customFormat="false" ht="15" hidden="false" customHeight="false" outlineLevel="0" collapsed="false">
      <c r="A25" s="11" t="s">
        <v>311</v>
      </c>
      <c r="B25" s="11" t="s">
        <v>312</v>
      </c>
      <c r="C25" s="15" t="n">
        <f aca="false">Finance!H11</f>
        <v>0</v>
      </c>
      <c r="D25" s="15" t="n">
        <v>0</v>
      </c>
      <c r="E25" s="11" t="str">
        <f aca="false">IF(ABS(C25-D25)&lt;0.0000001,"PASS","FAIL")</f>
        <v>PASS</v>
      </c>
    </row>
    <row r="26" customFormat="false" ht="15" hidden="false" customHeight="false" outlineLevel="0" collapsed="false">
      <c r="A26" s="11" t="s">
        <v>313</v>
      </c>
      <c r="B26" s="11" t="s">
        <v>314</v>
      </c>
      <c r="C26" s="15" t="n">
        <f aca="false">Finance!I11</f>
        <v>0</v>
      </c>
      <c r="D26" s="15" t="n">
        <v>0</v>
      </c>
      <c r="E26" s="11" t="str">
        <f aca="false">IF(ABS(C26-D26)&lt;0.0000001,"PASS","FAIL")</f>
        <v>PASS</v>
      </c>
    </row>
    <row r="27" customFormat="false" ht="15" hidden="false" customHeight="false" outlineLevel="0" collapsed="false">
      <c r="A27" s="11" t="s">
        <v>315</v>
      </c>
      <c r="B27" s="11" t="s">
        <v>316</v>
      </c>
      <c r="C27" s="15" t="n">
        <f aca="false">COUNTIF(Finance!J5:J10,"HELD")</f>
        <v>6</v>
      </c>
      <c r="D27" s="15" t="n">
        <v>6</v>
      </c>
      <c r="E27" s="11" t="str">
        <f aca="false">IF(ABS(C27-D27)&lt;0.0000001,"PASS","FAIL")</f>
        <v>PASS</v>
      </c>
    </row>
    <row r="28" customFormat="false" ht="15" hidden="false" customHeight="false" outlineLevel="0" collapsed="false">
      <c r="A28" s="11" t="s">
        <v>317</v>
      </c>
      <c r="B28" s="11" t="s">
        <v>318</v>
      </c>
      <c r="C28" s="15" t="n">
        <f aca="false">SUM(Mutations!D5:D16)</f>
        <v>12</v>
      </c>
      <c r="D28" s="15" t="n">
        <v>12</v>
      </c>
      <c r="E28" s="11" t="str">
        <f aca="false">IF(ABS(C28-D28)&lt;0.0000001,"PASS","FAIL")</f>
        <v>PASS</v>
      </c>
    </row>
    <row r="29" customFormat="false" ht="15" hidden="false" customHeight="false" outlineLevel="0" collapsed="false">
      <c r="A29" s="16" t="s">
        <v>319</v>
      </c>
      <c r="B29" s="16" t="s">
        <v>320</v>
      </c>
      <c r="C29" s="17" t="n">
        <f aca="false">SUM(Mutations!E5:E16)</f>
        <v>12</v>
      </c>
      <c r="D29" s="17" t="n">
        <v>12</v>
      </c>
      <c r="E29" s="16" t="str">
        <f aca="false">IF(ABS(C29-D29)&lt;0.0000001,"PASS","FAIL")</f>
        <v>PASS</v>
      </c>
    </row>
  </sheetData>
  <mergeCells count="1">
    <mergeCell ref="A2:E2"/>
  </mergeCells>
  <conditionalFormatting sqref="E5:E29">
    <cfRule type="containsText" priority="2" operator="containsText" aboveAverage="0" equalAverage="0" bottom="0" percent="0" rank="0" text="FAIL" dxfId="6">
      <formula>NOT(ISERROR(SEARCH("FAIL",E5)))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3"/>
    <col collapsed="false" customWidth="true" hidden="false" outlineLevel="0" max="2" min="2" style="0" width="26"/>
    <col collapsed="false" customWidth="true" hidden="false" outlineLevel="0" max="3" min="3" style="0" width="58"/>
    <col collapsed="false" customWidth="true" hidden="false" outlineLevel="0" max="4" min="4" style="0" width="52"/>
  </cols>
  <sheetData>
    <row r="2" customFormat="false" ht="15" hidden="false" customHeight="false" outlineLevel="0" collapsed="false">
      <c r="A2" s="1" t="s">
        <v>321</v>
      </c>
      <c r="B2" s="1"/>
      <c r="C2" s="1"/>
      <c r="D2" s="1"/>
    </row>
    <row r="3" customFormat="false" ht="15" hidden="false" customHeight="false" outlineLevel="0" collapsed="false">
      <c r="A3" s="2"/>
      <c r="B3" s="2"/>
      <c r="C3" s="2"/>
      <c r="D3" s="2"/>
    </row>
    <row r="4" customFormat="false" ht="28" hidden="false" customHeight="true" outlineLevel="0" collapsed="false">
      <c r="A4" s="3" t="s">
        <v>322</v>
      </c>
      <c r="B4" s="4" t="s">
        <v>323</v>
      </c>
      <c r="C4" s="4" t="s">
        <v>324</v>
      </c>
      <c r="D4" s="5" t="s">
        <v>325</v>
      </c>
    </row>
    <row r="5" customFormat="false" ht="15" hidden="false" customHeight="false" outlineLevel="0" collapsed="false">
      <c r="A5" s="7" t="s">
        <v>326</v>
      </c>
      <c r="B5" s="7" t="s">
        <v>327</v>
      </c>
      <c r="C5" s="7" t="s">
        <v>328</v>
      </c>
      <c r="D5" s="7" t="s">
        <v>329</v>
      </c>
    </row>
    <row r="6" customFormat="false" ht="15" hidden="false" customHeight="false" outlineLevel="0" collapsed="false">
      <c r="A6" s="11" t="s">
        <v>330</v>
      </c>
      <c r="B6" s="11" t="s">
        <v>331</v>
      </c>
      <c r="C6" s="11" t="s">
        <v>332</v>
      </c>
      <c r="D6" s="11" t="s">
        <v>333</v>
      </c>
    </row>
    <row r="7" customFormat="false" ht="15" hidden="false" customHeight="false" outlineLevel="0" collapsed="false">
      <c r="A7" s="11" t="s">
        <v>334</v>
      </c>
      <c r="B7" s="11" t="s">
        <v>335</v>
      </c>
      <c r="C7" s="11" t="s">
        <v>336</v>
      </c>
      <c r="D7" s="11" t="s">
        <v>337</v>
      </c>
    </row>
    <row r="8" customFormat="false" ht="15" hidden="false" customHeight="false" outlineLevel="0" collapsed="false">
      <c r="A8" s="11" t="s">
        <v>338</v>
      </c>
      <c r="B8" s="11" t="s">
        <v>339</v>
      </c>
      <c r="C8" s="11" t="s">
        <v>340</v>
      </c>
      <c r="D8" s="11" t="s">
        <v>341</v>
      </c>
    </row>
    <row r="9" customFormat="false" ht="15" hidden="false" customHeight="false" outlineLevel="0" collapsed="false">
      <c r="A9" s="11" t="s">
        <v>342</v>
      </c>
      <c r="B9" s="11" t="s">
        <v>343</v>
      </c>
      <c r="C9" s="11" t="s">
        <v>344</v>
      </c>
      <c r="D9" s="11" t="s">
        <v>345</v>
      </c>
    </row>
    <row r="10" customFormat="false" ht="15" hidden="false" customHeight="false" outlineLevel="0" collapsed="false">
      <c r="A10" s="16" t="s">
        <v>346</v>
      </c>
      <c r="B10" s="16" t="s">
        <v>347</v>
      </c>
      <c r="C10" s="16" t="s">
        <v>348</v>
      </c>
      <c r="D10" s="16" t="s">
        <v>349</v>
      </c>
    </row>
  </sheetData>
  <mergeCells count="1">
    <mergeCell ref="A2:D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