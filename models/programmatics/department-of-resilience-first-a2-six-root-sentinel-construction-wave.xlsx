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trols" sheetId="2" state="visible" r:id="rId4"/>
    <sheet name="Alternatives" sheetId="3" state="visible" r:id="rId5"/>
    <sheet name="Sentinel Selection" sheetId="4" state="visible" r:id="rId6"/>
    <sheet name="Root Endpoints" sheetId="5" state="visible" r:id="rId7"/>
    <sheet name="Station Nuclei" sheetId="6" state="visible" r:id="rId8"/>
    <sheet name="Receiver States" sheetId="7" state="visible" r:id="rId9"/>
    <sheet name="Method Cards" sheetId="8" state="visible" r:id="rId10"/>
    <sheet name="Method Realizations" sheetId="9" state="visible" r:id="rId11"/>
    <sheet name="Event Register" sheetId="10" state="visible" r:id="rId12"/>
    <sheet name="Evidence Packages" sheetId="11" state="visible" r:id="rId13"/>
    <sheet name="Authority" sheetId="12" state="visible" r:id="rId14"/>
    <sheet name="Stage Schedule" sheetId="13" state="visible" r:id="rId15"/>
    <sheet name="Cancellation Law" sheetId="14" state="visible" r:id="rId16"/>
    <sheet name="Maximum Loss" sheetId="15" state="visible" r:id="rId17"/>
    <sheet name="Technology Agenda" sheetId="16" state="visible" r:id="rId18"/>
    <sheet name="Warrant State" sheetId="17" state="visible" r:id="rId19"/>
    <sheet name="Stress Tests" sheetId="18" state="visible" r:id="rId20"/>
    <sheet name="Mutations" sheetId="19" state="visible" r:id="rId21"/>
    <sheet name="Audit" sheetId="20" state="visible" r:id="rId22"/>
    <sheet name="Sources &amp; Limits" sheetId="21" state="visible" r:id="rId2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<sst xmlns="http://schemas.openxmlformats.org/spreadsheetml/2006/main" count="6038" uniqueCount="1694">
  <si>
    <t xml:space="preserve">First A2 six-root sentinel construction wave</t>
  </si>
  <si>
    <t xml:space="preserve">The smallest all-six construction portfolio that can both resize a configuration and kill a causal lineage while leaving the full twenty-four-root estate unbuilt.</t>
  </si>
  <si>
    <t xml:space="preserve">Decision</t>
  </si>
  <si>
    <t xml:space="preserve">Selected architecture</t>
  </si>
  <si>
    <t xml:space="preserve">Selected roots</t>
  </si>
  <si>
    <t xml:space="preserve">Verdict</t>
  </si>
  <si>
    <t xml:space="preserve">CLOSE</t>
  </si>
  <si>
    <t xml:space="preserve">MS-ET</t>
  </si>
  <si>
    <t xml:space="preserve">ET-A</t>
  </si>
  <si>
    <t xml:space="preserve">Pelagic heavy bridge</t>
  </si>
  <si>
    <t xml:space="preserve">Branch</t>
  </si>
  <si>
    <t xml:space="preserve">A2C-1, first of at most five</t>
  </si>
  <si>
    <t xml:space="preserve">MS-CT</t>
  </si>
  <si>
    <t xml:space="preserve">CT-C</t>
  </si>
  <si>
    <t xml:space="preserve">Building utility spine</t>
  </si>
  <si>
    <t xml:space="preserve">Current state</t>
  </si>
  <si>
    <t xml:space="preserve">WARRANT-CONSTITUTED; obligations and observations remain zero</t>
  </si>
  <si>
    <t xml:space="preserve">MS-HC</t>
  </si>
  <si>
    <t xml:space="preserve">HC-A</t>
  </si>
  <si>
    <t xml:space="preserve">Atmospheric flux wing</t>
  </si>
  <si>
    <t xml:space="preserve">MS-LF</t>
  </si>
  <si>
    <t xml:space="preserve">LF-B</t>
  </si>
  <si>
    <t xml:space="preserve">Inland geothermal train</t>
  </si>
  <si>
    <t xml:space="preserve">Physical portfolio</t>
  </si>
  <si>
    <t xml:space="preserve">MS-HU</t>
  </si>
  <si>
    <t xml:space="preserve">HU-A</t>
  </si>
  <si>
    <t xml:space="preserve">Clinical continuity campus</t>
  </si>
  <si>
    <t xml:space="preserve">Measure</t>
  </si>
  <si>
    <t xml:space="preserve">Value</t>
  </si>
  <si>
    <t xml:space="preserve">Unit</t>
  </si>
  <si>
    <t xml:space="preserve">Interpretation</t>
  </si>
  <si>
    <t xml:space="preserve">MS-RT</t>
  </si>
  <si>
    <t xml:space="preserve">RT-B</t>
  </si>
  <si>
    <t xml:space="preserve">Microfactory mesh</t>
  </si>
  <si>
    <t xml:space="preserve">Selected sentinel roots</t>
  </si>
  <si>
    <t xml:space="preserve">count</t>
  </si>
  <si>
    <t xml:space="preserve">One per mission system</t>
  </si>
  <si>
    <t xml:space="preserve">Endpoint definitions</t>
  </si>
  <si>
    <t xml:space="preserve">Balance plus causal keystone</t>
  </si>
  <si>
    <t xml:space="preserve">Station nuclei</t>
  </si>
  <si>
    <t xml:space="preserve">Challenge, control, and reconstruction in all six systems</t>
  </si>
  <si>
    <t xml:space="preserve">Release rule</t>
  </si>
  <si>
    <t xml:space="preserve">Initial lanes</t>
  </si>
  <si>
    <t xml:space="preserve">One sentinel and one regeneration lane per station</t>
  </si>
  <si>
    <t xml:space="preserve">1</t>
  </si>
  <si>
    <t xml:space="preserve">Method fails</t>
  </si>
  <si>
    <t xml:space="preserve">Stop after S0; no candidate execution</t>
  </si>
  <si>
    <t xml:space="preserve">Held expansion lanes</t>
  </si>
  <si>
    <t xml:space="preserve">Three root lanes per station remain unbuilt</t>
  </si>
  <si>
    <t xml:space="preserve">2</t>
  </si>
  <si>
    <t xml:space="preserve">Balance upper bound &lt; 1.00</t>
  </si>
  <si>
    <t xml:space="preserve">RESIZE current configuration</t>
  </si>
  <si>
    <t xml:space="preserve">Receiver states</t>
  </si>
  <si>
    <t xml:space="preserve">Complete public handoff denominator</t>
  </si>
  <si>
    <t xml:space="preserve">3</t>
  </si>
  <si>
    <t xml:space="preserve">Keystone upper bound &lt; 1.00</t>
  </si>
  <si>
    <t xml:space="preserve">KILL causal lineage</t>
  </si>
  <si>
    <t xml:space="preserve">Unlike method realizations</t>
  </si>
  <si>
    <t xml:space="preserve">Two physical lineages per method card</t>
  </si>
  <si>
    <t xml:space="preserve">4</t>
  </si>
  <si>
    <t xml:space="preserve">Interval crosses threshold</t>
  </si>
  <si>
    <t xml:space="preserve">HOLD; no imputation</t>
  </si>
  <si>
    <t xml:space="preserve">Decisive events</t>
  </si>
  <si>
    <t xml:space="preserve">Twelve per selected root</t>
  </si>
  <si>
    <t xml:space="preserve">5</t>
  </si>
  <si>
    <t xml:space="preserve">Both endpoints support</t>
  </si>
  <si>
    <t xml:space="preserve">Cold reconstruction still required</t>
  </si>
  <si>
    <t xml:space="preserve">Evidence packages</t>
  </si>
  <si>
    <t xml:space="preserve">Five per event</t>
  </si>
  <si>
    <t xml:space="preserve">6</t>
  </si>
  <si>
    <t xml:space="preserve">Cold reproduction completes</t>
  </si>
  <si>
    <t xml:space="preserve">BUILD PROOF eligible, not capable</t>
  </si>
  <si>
    <t xml:space="preserve">Maximum attempts</t>
  </si>
  <si>
    <t xml:space="preserve">Invalidity-only reserve cannot replace adverse evidence</t>
  </si>
  <si>
    <t xml:space="preserve">Authority and loss boundaries</t>
  </si>
  <si>
    <t xml:space="preserve">Audit state</t>
  </si>
  <si>
    <t xml:space="preserve">Boundary</t>
  </si>
  <si>
    <t xml:space="preserve">Meaning</t>
  </si>
  <si>
    <t xml:space="preserve">Terminal audits</t>
  </si>
  <si>
    <t xml:space="preserve">Selected private ceiling</t>
  </si>
  <si>
    <t xml:space="preserve">USD B</t>
  </si>
  <si>
    <t xml:space="preserve">One quarter of each system's cohort option</t>
  </si>
  <si>
    <t xml:space="preserve">Restored mutations</t>
  </si>
  <si>
    <t xml:space="preserve">Reusable public-method ceiling</t>
  </si>
  <si>
    <t xml:space="preserve">Nested inside the USD 80.0B enabling account</t>
  </si>
  <si>
    <t xml:space="preserve">Formula errors</t>
  </si>
  <si>
    <t xml:space="preserve">Combined construction-wave ceiling</t>
  </si>
  <si>
    <t xml:space="preserve">Authority only; not an obligation</t>
  </si>
  <si>
    <t xml:space="preserve">Master result</t>
  </si>
  <si>
    <t xml:space="preserve">All-six valid KILL ceiling at BREAK</t>
  </si>
  <si>
    <t xml:space="preserve">Public 75% plus private 85%; remaining stages cancelled</t>
  </si>
  <si>
    <t xml:space="preserve">Largest single-root KILL ceiling</t>
  </si>
  <si>
    <t xml:space="preserve">Maximum root-specific paid exposure</t>
  </si>
  <si>
    <t xml:space="preserve">Unreleased if all six die at BREAK</t>
  </si>
  <si>
    <t xml:space="preserve">Public cold/replay plus private TRANSFER remain held</t>
  </si>
  <si>
    <t xml:space="preserve">Protected failure reserve used</t>
  </si>
  <si>
    <t xml:space="preserve">Remains untouched without exact invalidity</t>
  </si>
  <si>
    <t xml:space="preserve">Current obligations</t>
  </si>
  <si>
    <t xml:space="preserve">No firm, site, or serial exists</t>
  </si>
  <si>
    <t xml:space="preserve">Current capability credit</t>
  </si>
  <si>
    <t xml:space="preserve">A2 construction cannot create force credit</t>
  </si>
  <si>
    <t xml:space="preserve">Blue values are inherited planning controls. They are ceilings and test denominators, not obligations, observations, or capability.</t>
  </si>
  <si>
    <t xml:space="preserve">Control</t>
  </si>
  <si>
    <t xml:space="preserve">Authority</t>
  </si>
  <si>
    <t xml:space="preserve">First tranche</t>
  </si>
  <si>
    <t xml:space="preserve">Pass 206/210</t>
  </si>
  <si>
    <t xml:space="preserve">Mission systems</t>
  </si>
  <si>
    <t xml:space="preserve">Service technical bases</t>
  </si>
  <si>
    <t xml:space="preserve">Common capacity</t>
  </si>
  <si>
    <t xml:space="preserve">Sovereign technical estate</t>
  </si>
  <si>
    <t xml:space="preserve">Protected failure reserve</t>
  </si>
  <si>
    <t xml:space="preserve">Public and enabling account</t>
  </si>
  <si>
    <t xml:space="preserve">Pass 210, cross-classified</t>
  </si>
  <si>
    <t xml:space="preserve">Public-method reservation</t>
  </si>
  <si>
    <t xml:space="preserve">Pass 209/210, nested</t>
  </si>
  <si>
    <t xml:space="preserve">First-cohort stageable options</t>
  </si>
  <si>
    <t xml:space="preserve">Pass 208/210</t>
  </si>
  <si>
    <t xml:space="preserve">Roots per system</t>
  </si>
  <si>
    <t xml:space="preserve">Pass 175/210</t>
  </si>
  <si>
    <t xml:space="preserve">Mission systems in sentinel wave</t>
  </si>
  <si>
    <t xml:space="preserve">Pass 208</t>
  </si>
  <si>
    <t xml:space="preserve">Pass 211</t>
  </si>
  <si>
    <t xml:space="preserve">Receiver states per system</t>
  </si>
  <si>
    <t xml:space="preserve">Pass 209</t>
  </si>
  <si>
    <t xml:space="preserve">Method cards per receiver state</t>
  </si>
  <si>
    <t xml:space="preserve">Unlike realizations per method card</t>
  </si>
  <si>
    <t xml:space="preserve">Endpoints per root</t>
  </si>
  <si>
    <t xml:space="preserve">Pass 183</t>
  </si>
  <si>
    <t xml:space="preserve">Rig roles per root</t>
  </si>
  <si>
    <t xml:space="preserve">Valid events per rig role</t>
  </si>
  <si>
    <t xml:space="preserve">Evidence packages per event</t>
  </si>
  <si>
    <t xml:space="preserve">Invalidity-only attempts per root</t>
  </si>
  <si>
    <t xml:space="preserve">Initial root lanes per station</t>
  </si>
  <si>
    <t xml:space="preserve">Regeneration lanes per station</t>
  </si>
  <si>
    <t xml:space="preserve">Pass 184/211</t>
  </si>
  <si>
    <t xml:space="preserve">Held expansion lanes per station</t>
  </si>
  <si>
    <t xml:space="preserve">FRAME share</t>
  </si>
  <si>
    <t xml:space="preserve">share</t>
  </si>
  <si>
    <t xml:space="preserve">Pass 207</t>
  </si>
  <si>
    <t xml:space="preserve">MAKE share</t>
  </si>
  <si>
    <t xml:space="preserve">BREAK share</t>
  </si>
  <si>
    <t xml:space="preserve">TRANSFER share</t>
  </si>
  <si>
    <t xml:space="preserve">Public qualification share</t>
  </si>
  <si>
    <t xml:space="preserve">Pass 183/211</t>
  </si>
  <si>
    <t xml:space="preserve">Public challenge/control share</t>
  </si>
  <si>
    <t xml:space="preserve">Public valid-trial incremental share</t>
  </si>
  <si>
    <t xml:space="preserve">Public cold/replay share</t>
  </si>
  <si>
    <t xml:space="preserve">Normalized decision threshold</t>
  </si>
  <si>
    <t xml:space="preserve">ratio</t>
  </si>
  <si>
    <t xml:space="preserve">Pass 211 boundary</t>
  </si>
  <si>
    <t xml:space="preserve">Exterior rendering authority</t>
  </si>
  <si>
    <t xml:space="preserve">binary</t>
  </si>
  <si>
    <t xml:space="preserve">Held</t>
  </si>
  <si>
    <t xml:space="preserve">Named sites</t>
  </si>
  <si>
    <t xml:space="preserve">Source empty</t>
  </si>
  <si>
    <t xml:space="preserve">Named firms</t>
  </si>
  <si>
    <t xml:space="preserve">Physical serials</t>
  </si>
  <si>
    <t xml:space="preserve">Physical observations</t>
  </si>
  <si>
    <t xml:space="preserve">Construction architecture comparison</t>
  </si>
  <si>
    <t xml:space="preserve">A valid architecture must pass every gate. A larger portfolio does not compensate for a failed truth, independence, or loss-control gate.</t>
  </si>
  <si>
    <t xml:space="preserve">Alternative</t>
  </si>
  <si>
    <t xml:space="preserve">Core move</t>
  </si>
  <si>
    <t xml:space="preserve">All six systems enter</t>
  </si>
  <si>
    <t xml:space="preserve">Balance and keystone stay distinct</t>
  </si>
  <si>
    <t xml:space="preserve">Three rig roles remain independent</t>
  </si>
  <si>
    <t xml:space="preserve">Two unlike public realizations</t>
  </si>
  <si>
    <t xml:space="preserve">Candidate and public work co-gated</t>
  </si>
  <si>
    <t xml:space="preserve">Reusable public estate</t>
  </si>
  <si>
    <t xml:space="preserve">Maximum paid loss bounded</t>
  </si>
  <si>
    <t xml:space="preserve">Avoids unneeded root construction</t>
  </si>
  <si>
    <t xml:space="preserve">Pass count</t>
  </si>
  <si>
    <t xml:space="preserve">Disposition</t>
  </si>
  <si>
    <t xml:space="preserve">Balance-first</t>
  </si>
  <si>
    <t xml:space="preserve">Build only limiting-account rigs</t>
  </si>
  <si>
    <t xml:space="preserve">Keystone-first</t>
  </si>
  <si>
    <t xml:space="preserve">Build only decisive-mechanism denial rigs</t>
  </si>
  <si>
    <t xml:space="preserve">Receiver-bootstrap</t>
  </si>
  <si>
    <t xml:space="preserve">Build the public estate before candidate rigs</t>
  </si>
  <si>
    <t xml:space="preserve">Compound falsification</t>
  </si>
  <si>
    <t xml:space="preserve">One root per system; both endpoints and all roles</t>
  </si>
  <si>
    <t xml:space="preserve">Full estate</t>
  </si>
  <si>
    <t xml:space="preserve">All twenty-four roots and all lanes at once</t>
  </si>
  <si>
    <t xml:space="preserve">Six sentinel roots</t>
  </si>
  <si>
    <t xml:space="preserve">Selection is lexicographic: lowest largest-cell-loss margin in each system, then a frozen tie-break based on cross-system causal leverage.</t>
  </si>
  <si>
    <t xml:space="preserve">Root</t>
  </si>
  <si>
    <t xml:space="preserve">System</t>
  </si>
  <si>
    <t xml:space="preserve">Mechanism</t>
  </si>
  <si>
    <t xml:space="preserve">Limiting account</t>
  </si>
  <si>
    <t xml:space="preserve">Loss margin</t>
  </si>
  <si>
    <t xml:space="preserve">Tie order</t>
  </si>
  <si>
    <t xml:space="preserve">Selection rank</t>
  </si>
  <si>
    <t xml:space="preserve">State</t>
  </si>
  <si>
    <t xml:space="preserve">System option (USD B)</t>
  </si>
  <si>
    <t xml:space="preserve">Root option (USD B)</t>
  </si>
  <si>
    <t xml:space="preserve">Tie-break basis</t>
  </si>
  <si>
    <t xml:space="preserve">Construction warrant</t>
  </si>
  <si>
    <t xml:space="preserve">Route flow</t>
  </si>
  <si>
    <t xml:space="preserve">Lowest system margin</t>
  </si>
  <si>
    <t xml:space="preserve">ET-B</t>
  </si>
  <si>
    <t xml:space="preserve">Aerostatic sky bridge</t>
  </si>
  <si>
    <t xml:space="preserve">Later margin</t>
  </si>
  <si>
    <t xml:space="preserve">ET-C</t>
  </si>
  <si>
    <t xml:space="preserve">Terrain corridor train</t>
  </si>
  <si>
    <t xml:space="preserve">Mass</t>
  </si>
  <si>
    <t xml:space="preserve">ET-D</t>
  </si>
  <si>
    <t xml:space="preserve">Amphibious mesh</t>
  </si>
  <si>
    <t xml:space="preserve">Safety</t>
  </si>
  <si>
    <t xml:space="preserve">CT-A</t>
  </si>
  <si>
    <t xml:space="preserve">Civic edge grid</t>
  </si>
  <si>
    <t xml:space="preserve">Above exact-boundary pair</t>
  </si>
  <si>
    <t xml:space="preserve">CT-B</t>
  </si>
  <si>
    <t xml:space="preserve">Air-and-skin reach</t>
  </si>
  <si>
    <t xml:space="preserve">Energy</t>
  </si>
  <si>
    <t xml:space="preserve">Exact tie; lower compound leverage</t>
  </si>
  <si>
    <t xml:space="preserve">Exact tie; tests lifeline-to-building interface</t>
  </si>
  <si>
    <t xml:space="preserve">CT-D</t>
  </si>
  <si>
    <t xml:space="preserve">Neighborhood machine swarm</t>
  </si>
  <si>
    <t xml:space="preserve">HC-B</t>
  </si>
  <si>
    <t xml:space="preserve">Hydraulic intervention lattice</t>
  </si>
  <si>
    <t xml:space="preserve">HC-C</t>
  </si>
  <si>
    <t xml:space="preserve">Autonomous terrain corps</t>
  </si>
  <si>
    <t xml:space="preserve">HC-D</t>
  </si>
  <si>
    <t xml:space="preserve">Boundary-control field</t>
  </si>
  <si>
    <t xml:space="preserve">LF-A</t>
  </si>
  <si>
    <t xml:space="preserve">Oceanic nuclear utility</t>
  </si>
  <si>
    <t xml:space="preserve">Higher source margin</t>
  </si>
  <si>
    <t xml:space="preserve">Tie; greatest unresolved source-state leverage</t>
  </si>
  <si>
    <t xml:space="preserve">LF-C</t>
  </si>
  <si>
    <t xml:space="preserve">Renewable electrochemical swarm</t>
  </si>
  <si>
    <t xml:space="preserve">Tie; later source-state root</t>
  </si>
  <si>
    <t xml:space="preserve">LF-D</t>
  </si>
  <si>
    <t xml:space="preserve">Synthetic-fuel service fleet</t>
  </si>
  <si>
    <t xml:space="preserve">Tie; imported fuel confounds entry</t>
  </si>
  <si>
    <t xml:space="preserve">HU-B</t>
  </si>
  <si>
    <t xml:space="preserve">Neighborhood care fabric</t>
  </si>
  <si>
    <t xml:space="preserve">HU-C</t>
  </si>
  <si>
    <t xml:space="preserve">Mobile care network</t>
  </si>
  <si>
    <t xml:space="preserve">HU-D</t>
  </si>
  <si>
    <t xml:space="preserve">Host-building conversion</t>
  </si>
  <si>
    <t xml:space="preserve">RT-A</t>
  </si>
  <si>
    <t xml:space="preserve">Heavy arsenal base</t>
  </si>
  <si>
    <t xml:space="preserve">RT-C</t>
  </si>
  <si>
    <t xml:space="preserve">Exchange-remanufacture network</t>
  </si>
  <si>
    <t xml:space="preserve">RT-D</t>
  </si>
  <si>
    <t xml:space="preserve">Closed-loop sustainment fleet</t>
  </si>
  <si>
    <t xml:space="preserve">Paired A2 endpoint constitution</t>
  </si>
  <si>
    <t xml:space="preserve">Each selected root receives one balance endpoint and one causal-keystone endpoint. A valid adverse balance result resizes; a valid adverse keystone result kills.</t>
  </si>
  <si>
    <t xml:space="preserve">Endpoint</t>
  </si>
  <si>
    <t xml:space="preserve">Type</t>
  </si>
  <si>
    <t xml:space="preserve">Normalized threshold</t>
  </si>
  <si>
    <t xml:space="preserve">Measured question</t>
  </si>
  <si>
    <t xml:space="preserve">Adverse action</t>
  </si>
  <si>
    <t xml:space="preserve">Rig roles</t>
  </si>
  <si>
    <t xml:space="preserve">Unlike lineages</t>
  </si>
  <si>
    <t xml:space="preserve">Observation</t>
  </si>
  <si>
    <t xml:space="preserve">A2-ET-A-BAL</t>
  </si>
  <si>
    <t xml:space="preserve">BALANCE</t>
  </si>
  <si>
    <t xml:space="preserve">Accepted complete tonnes per day through dry handoff after largest-connector loss</t>
  </si>
  <si>
    <t xml:space="preserve">RESIZE</t>
  </si>
  <si>
    <t xml:space="preserve">A2-ET-A-KEY</t>
  </si>
  <si>
    <t xml:space="preserve">KEYSTONE</t>
  </si>
  <si>
    <t xml:space="preserve">Sectional hydrostatics, stabilized exchange, and custody remain one causal route after denial</t>
  </si>
  <si>
    <t xml:space="preserve">KILL</t>
  </si>
  <si>
    <t xml:space="preserve">A2-CT-C-BAL</t>
  </si>
  <si>
    <t xml:space="preserve">Accepted occupied-building utility positions per delivered MWh after one trunk loss</t>
  </si>
  <si>
    <t xml:space="preserve">A2-CT-C-KEY</t>
  </si>
  <si>
    <t xml:space="preserve">Reversible robotic attachment and isolated transfer avoid structural, smoke, and contamination propagation</t>
  </si>
  <si>
    <t xml:space="preserve">A2-HC-A-BAL</t>
  </si>
  <si>
    <t xml:space="preserve">Attributed protected-edge kilometres per delivery cycle after largest-cell loss</t>
  </si>
  <si>
    <t xml:space="preserve">A2-HC-A-KEY</t>
  </si>
  <si>
    <t xml:space="preserve">High-duty flight, sensing, and precision deposition produce persistent held effect under plume denial</t>
  </si>
  <si>
    <t xml:space="preserve">A2-LF-B-BAL</t>
  </si>
  <si>
    <t xml:space="preserve">Delivered water, firm electricity, and thermal service divided by the common required bus</t>
  </si>
  <si>
    <t xml:space="preserve">A2-LF-B-KEY</t>
  </si>
  <si>
    <t xml:space="preserve">Rapid-bore subsurface characterization reaches day-21 service without unstable drawdown or induced hazard</t>
  </si>
  <si>
    <t xml:space="preserve">A2-HU-A-BAL</t>
  </si>
  <si>
    <t xml:space="preserve">Staffed, supplied, dischargeable care positions per deployed tonne after island loss</t>
  </si>
  <si>
    <t xml:space="preserve">A2-HU-A-KEY</t>
  </si>
  <si>
    <t xml:space="preserve">Clinical relationships survive utility-family, labor, and destination denial without deleting a care line</t>
  </si>
  <si>
    <t xml:space="preserve">A2-RT-B-BAL</t>
  </si>
  <si>
    <t xml:space="preserve">Independently qualified output per MWh during depot and vendor-key loss</t>
  </si>
  <si>
    <t xml:space="preserve">A2-RT-B-KEY</t>
  </si>
  <si>
    <t xml:space="preserve">Disconnected production reproduces material ancestry, calibration, and qualification</t>
  </si>
  <si>
    <t xml:space="preserve">Eighteen public proving-station nuclei</t>
  </si>
  <si>
    <t xml:space="preserve">Three station roles are formed in every mission system. Each begins with one sentinel lane and one regeneration lane, while three future root lanes stay physically and fiscally held.</t>
  </si>
  <si>
    <t xml:space="preserve">Station nucleus</t>
  </si>
  <si>
    <t xml:space="preserve">Role</t>
  </si>
  <si>
    <t xml:space="preserve">Role duty</t>
  </si>
  <si>
    <t xml:space="preserve">Active root lane</t>
  </si>
  <si>
    <t xml:space="preserve">Regeneration lane</t>
  </si>
  <si>
    <t xml:space="preserve">Full lanes</t>
  </si>
  <si>
    <t xml:space="preserve">Site identity</t>
  </si>
  <si>
    <t xml:space="preserve">Operator identity</t>
  </si>
  <si>
    <t xml:space="preserve">ST-ET-CHA</t>
  </si>
  <si>
    <t xml:space="preserve">CHALLENGE</t>
  </si>
  <si>
    <t xml:space="preserve">Creates the decisive denial state without supplying candidate control</t>
  </si>
  <si>
    <t xml:space="preserve">SOURCE EMPTY</t>
  </si>
  <si>
    <t xml:space="preserve">WARRANT-CONSTITUTED</t>
  </si>
  <si>
    <t xml:space="preserve">ST-ET-CON</t>
  </si>
  <si>
    <t xml:space="preserve">CONTROL</t>
  </si>
  <si>
    <t xml:space="preserve">Measures background burden in a matched, separately operated world</t>
  </si>
  <si>
    <t xml:space="preserve">ST-ET-REC</t>
  </si>
  <si>
    <t xml:space="preserve">RECONSTRUCTION</t>
  </si>
  <si>
    <t xml:space="preserve">Cold-builds and replays from public technical data outside candidate craft lineage</t>
  </si>
  <si>
    <t xml:space="preserve">ST-CT-CHA</t>
  </si>
  <si>
    <t xml:space="preserve">ST-CT-CON</t>
  </si>
  <si>
    <t xml:space="preserve">ST-CT-REC</t>
  </si>
  <si>
    <t xml:space="preserve">ST-HC-CHA</t>
  </si>
  <si>
    <t xml:space="preserve">ST-HC-CON</t>
  </si>
  <si>
    <t xml:space="preserve">ST-HC-REC</t>
  </si>
  <si>
    <t xml:space="preserve">ST-LF-CHA</t>
  </si>
  <si>
    <t xml:space="preserve">ST-LF-CON</t>
  </si>
  <si>
    <t xml:space="preserve">ST-LF-REC</t>
  </si>
  <si>
    <t xml:space="preserve">ST-HU-CHA</t>
  </si>
  <si>
    <t xml:space="preserve">ST-HU-CON</t>
  </si>
  <si>
    <t xml:space="preserve">ST-HU-REC</t>
  </si>
  <si>
    <t xml:space="preserve">ST-RT-CHA</t>
  </si>
  <si>
    <t xml:space="preserve">ST-RT-CON</t>
  </si>
  <si>
    <t xml:space="preserve">ST-RT-REC</t>
  </si>
  <si>
    <t xml:space="preserve">Twenty-four receiver states</t>
  </si>
  <si>
    <t xml:space="preserve">All four states in each system enter because a root may not pass at the machine boundary while failing the public handoff.</t>
  </si>
  <si>
    <t xml:space="preserve">State ID</t>
  </si>
  <si>
    <t xml:space="preserve">Selected root</t>
  </si>
  <si>
    <t xml:space="preserve">Load and quality card</t>
  </si>
  <si>
    <t xml:space="preserve">Denied-condition card</t>
  </si>
  <si>
    <t xml:space="preserve">Recovery and burden card</t>
  </si>
  <si>
    <t xml:space="preserve">ET-RS1</t>
  </si>
  <si>
    <t xml:space="preserve">Moving interface</t>
  </si>
  <si>
    <t xml:space="preserve">ET-RS1-LQ</t>
  </si>
  <si>
    <t xml:space="preserve">ET-RS1-DEN</t>
  </si>
  <si>
    <t xml:space="preserve">ET-RS1-RCB</t>
  </si>
  <si>
    <t xml:space="preserve">ET-RS2</t>
  </si>
  <si>
    <t xml:space="preserve">Shore transition</t>
  </si>
  <si>
    <t xml:space="preserve">ET-RS2-LQ</t>
  </si>
  <si>
    <t xml:space="preserve">ET-RS2-DEN</t>
  </si>
  <si>
    <t xml:space="preserve">ET-RS2-RCB</t>
  </si>
  <si>
    <t xml:space="preserve">ET-RS3</t>
  </si>
  <si>
    <t xml:space="preserve">Dry staging</t>
  </si>
  <si>
    <t xml:space="preserve">ET-RS3-LQ</t>
  </si>
  <si>
    <t xml:space="preserve">ET-RS3-DEN</t>
  </si>
  <si>
    <t xml:space="preserve">ET-RS3-RCB</t>
  </si>
  <si>
    <t xml:space="preserve">ET-RS4</t>
  </si>
  <si>
    <t xml:space="preserve">Onward handoff</t>
  </si>
  <si>
    <t xml:space="preserve">ET-RS4-LQ</t>
  </si>
  <si>
    <t xml:space="preserve">ET-RS4-DEN</t>
  </si>
  <si>
    <t xml:space="preserve">ET-RS4-RCB</t>
  </si>
  <si>
    <t xml:space="preserve">CT-RS1</t>
  </si>
  <si>
    <t xml:space="preserve">District approach</t>
  </si>
  <si>
    <t xml:space="preserve">CT-RS1-LQ</t>
  </si>
  <si>
    <t xml:space="preserve">CT-RS1-DEN</t>
  </si>
  <si>
    <t xml:space="preserve">CT-RS1-RCB</t>
  </si>
  <si>
    <t xml:space="preserve">CT-RS2</t>
  </si>
  <si>
    <t xml:space="preserve">Occupied low-rise</t>
  </si>
  <si>
    <t xml:space="preserve">CT-RS2-LQ</t>
  </si>
  <si>
    <t xml:space="preserve">CT-RS2-DEN</t>
  </si>
  <si>
    <t xml:space="preserve">CT-RS2-RCB</t>
  </si>
  <si>
    <t xml:space="preserve">CT-RS3</t>
  </si>
  <si>
    <t xml:space="preserve">High-rise vertical</t>
  </si>
  <si>
    <t xml:space="preserve">CT-RS3-LQ</t>
  </si>
  <si>
    <t xml:space="preserve">CT-RS3-DEN</t>
  </si>
  <si>
    <t xml:space="preserve">CT-RS3-RCB</t>
  </si>
  <si>
    <t xml:space="preserve">CT-RS4</t>
  </si>
  <si>
    <t xml:space="preserve">Refuge and egress</t>
  </si>
  <si>
    <t xml:space="preserve">CT-RS4-LQ</t>
  </si>
  <si>
    <t xml:space="preserve">CT-RS4-DEN</t>
  </si>
  <si>
    <t xml:space="preserve">CT-RS4-RCB</t>
  </si>
  <si>
    <t xml:space="preserve">HC-RS1</t>
  </si>
  <si>
    <t xml:space="preserve">Advancing edge</t>
  </si>
  <si>
    <t xml:space="preserve">HC-RS1-LQ</t>
  </si>
  <si>
    <t xml:space="preserve">HC-RS1-DEN</t>
  </si>
  <si>
    <t xml:space="preserve">HC-RS1-RCB</t>
  </si>
  <si>
    <t xml:space="preserve">HC-RS2</t>
  </si>
  <si>
    <t xml:space="preserve">Ember and interface</t>
  </si>
  <si>
    <t xml:space="preserve">HC-RS2-LQ</t>
  </si>
  <si>
    <t xml:space="preserve">HC-RS2-DEN</t>
  </si>
  <si>
    <t xml:space="preserve">HC-RS2-RCB</t>
  </si>
  <si>
    <t xml:space="preserve">HC-RS3</t>
  </si>
  <si>
    <t xml:space="preserve">Plume and airspace</t>
  </si>
  <si>
    <t xml:space="preserve">HC-RS3-LQ</t>
  </si>
  <si>
    <t xml:space="preserve">HC-RS3-DEN</t>
  </si>
  <si>
    <t xml:space="preserve">HC-RS3-RCB</t>
  </si>
  <si>
    <t xml:space="preserve">HC-RS4</t>
  </si>
  <si>
    <t xml:space="preserve">Residual and re-ignition</t>
  </si>
  <si>
    <t xml:space="preserve">HC-RS4-LQ</t>
  </si>
  <si>
    <t xml:space="preserve">HC-RS4-DEN</t>
  </si>
  <si>
    <t xml:space="preserve">HC-RS4-RCB</t>
  </si>
  <si>
    <t xml:space="preserve">LF-RS1</t>
  </si>
  <si>
    <t xml:space="preserve">Source admission</t>
  </si>
  <si>
    <t xml:space="preserve">LF-RS1-LQ</t>
  </si>
  <si>
    <t xml:space="preserve">LF-RS1-DEN</t>
  </si>
  <si>
    <t xml:space="preserve">LF-RS1-RCB</t>
  </si>
  <si>
    <t xml:space="preserve">LF-RS2</t>
  </si>
  <si>
    <t xml:space="preserve">Multi-product conversion</t>
  </si>
  <si>
    <t xml:space="preserve">LF-RS2-LQ</t>
  </si>
  <si>
    <t xml:space="preserve">LF-RS2-DEN</t>
  </si>
  <si>
    <t xml:space="preserve">LF-RS2-RCB</t>
  </si>
  <si>
    <t xml:space="preserve">LF-RS3</t>
  </si>
  <si>
    <t xml:space="preserve">Corridor and storage</t>
  </si>
  <si>
    <t xml:space="preserve">LF-RS3-LQ</t>
  </si>
  <si>
    <t xml:space="preserve">LF-RS3-DEN</t>
  </si>
  <si>
    <t xml:space="preserve">LF-RS3-RCB</t>
  </si>
  <si>
    <t xml:space="preserve">LF-RS4</t>
  </si>
  <si>
    <t xml:space="preserve">Point of use and residual</t>
  </si>
  <si>
    <t xml:space="preserve">LF-RS4-LQ</t>
  </si>
  <si>
    <t xml:space="preserve">LF-RS4-DEN</t>
  </si>
  <si>
    <t xml:space="preserve">LF-RS4-RCB</t>
  </si>
  <si>
    <t xml:space="preserve">HU-RS1</t>
  </si>
  <si>
    <t xml:space="preserve">Reception and triage</t>
  </si>
  <si>
    <t xml:space="preserve">HU-RS1-LQ</t>
  </si>
  <si>
    <t xml:space="preserve">HU-RS1-DEN</t>
  </si>
  <si>
    <t xml:space="preserve">HU-RS1-RCB</t>
  </si>
  <si>
    <t xml:space="preserve">HU-RS2</t>
  </si>
  <si>
    <t xml:space="preserve">Acute and critical care</t>
  </si>
  <si>
    <t xml:space="preserve">HU-RS2-LQ</t>
  </si>
  <si>
    <t xml:space="preserve">HU-RS2-DEN</t>
  </si>
  <si>
    <t xml:space="preserve">HU-RS2-RCB</t>
  </si>
  <si>
    <t xml:space="preserve">HU-RS3</t>
  </si>
  <si>
    <t xml:space="preserve">Specialty dependency</t>
  </si>
  <si>
    <t xml:space="preserve">HU-RS3-LQ</t>
  </si>
  <si>
    <t xml:space="preserve">HU-RS3-DEN</t>
  </si>
  <si>
    <t xml:space="preserve">HU-RS3-RCB</t>
  </si>
  <si>
    <t xml:space="preserve">HU-RS4</t>
  </si>
  <si>
    <t xml:space="preserve">Discharge and continuity</t>
  </si>
  <si>
    <t xml:space="preserve">HU-RS4-LQ</t>
  </si>
  <si>
    <t xml:space="preserve">HU-RS4-DEN</t>
  </si>
  <si>
    <t xml:space="preserve">HU-RS4-RCB</t>
  </si>
  <si>
    <t xml:space="preserve">RT-RS1</t>
  </si>
  <si>
    <t xml:space="preserve">Dirty return</t>
  </si>
  <si>
    <t xml:space="preserve">RT-RS1-LQ</t>
  </si>
  <si>
    <t xml:space="preserve">RT-RS1-DEN</t>
  </si>
  <si>
    <t xml:space="preserve">RT-RS1-RCB</t>
  </si>
  <si>
    <t xml:space="preserve">RT-RS2</t>
  </si>
  <si>
    <t xml:space="preserve">Diagnosis and disassembly</t>
  </si>
  <si>
    <t xml:space="preserve">RT-RS2-LQ</t>
  </si>
  <si>
    <t xml:space="preserve">RT-RS2-DEN</t>
  </si>
  <si>
    <t xml:space="preserve">RT-RS2-RCB</t>
  </si>
  <si>
    <t xml:space="preserve">RT-RS3</t>
  </si>
  <si>
    <t xml:space="preserve">Repair and remanufacture</t>
  </si>
  <si>
    <t xml:space="preserve">RT-RS3-LQ</t>
  </si>
  <si>
    <t xml:space="preserve">RT-RS3-DEN</t>
  </si>
  <si>
    <t xml:space="preserve">RT-RS3-RCB</t>
  </si>
  <si>
    <t xml:space="preserve">RT-RS4</t>
  </si>
  <si>
    <t xml:space="preserve">Calibration and release</t>
  </si>
  <si>
    <t xml:space="preserve">RT-RS4-LQ</t>
  </si>
  <si>
    <t xml:space="preserve">RT-RS4-DEN</t>
  </si>
  <si>
    <t xml:space="preserve">RT-RS4-RCB</t>
  </si>
  <si>
    <t xml:space="preserve">Seventy-two public method cards</t>
  </si>
  <si>
    <t xml:space="preserve">Each receiver state has load-and-quality, denied-condition, and recovery-and-burden cards. These define public questions, not candidate implementations.</t>
  </si>
  <si>
    <t xml:space="preserve">Method card</t>
  </si>
  <si>
    <t xml:space="preserve">Inquiry</t>
  </si>
  <si>
    <t xml:space="preserve">Public question</t>
  </si>
  <si>
    <t xml:space="preserve">Required lineages</t>
  </si>
  <si>
    <t xml:space="preserve">Accepted lineages</t>
  </si>
  <si>
    <t xml:space="preserve">Status</t>
  </si>
  <si>
    <t xml:space="preserve">Candidate code prohibited</t>
  </si>
  <si>
    <t xml:space="preserve">LOAD AND QUALITY</t>
  </si>
  <si>
    <t xml:space="preserve">What useful service reaches the receiver, at what rate and uncertainty?</t>
  </si>
  <si>
    <t xml:space="preserve">YES</t>
  </si>
  <si>
    <t xml:space="preserve">DENIED CONDITION</t>
  </si>
  <si>
    <t xml:space="preserve">Does the service survive its frozen largest-loss and rights boundary?</t>
  </si>
  <si>
    <t xml:space="preserve">RECOVERY AND BURDEN</t>
  </si>
  <si>
    <t xml:space="preserve">Can the root reset, account for residuals, and leave the receiver in an accepted state?</t>
  </si>
  <si>
    <t xml:space="preserve">One hundred forty-four unlike physical realization lineages</t>
  </si>
  <si>
    <t xml:space="preserve">Every card receives two physically unlike public implementations. A lineage identity, site, instrument set, and acceptance record remain source empty.</t>
  </si>
  <si>
    <t xml:space="preserve">Realization</t>
  </si>
  <si>
    <t xml:space="preserve">Lineage</t>
  </si>
  <si>
    <t xml:space="preserve">Physical implementation family</t>
  </si>
  <si>
    <t xml:space="preserve">Independence requirement</t>
  </si>
  <si>
    <t xml:space="preserve">Direct realization reserve (USD B)</t>
  </si>
  <si>
    <t xml:space="preserve">Site</t>
  </si>
  <si>
    <t xml:space="preserve">Operator</t>
  </si>
  <si>
    <t xml:space="preserve">Accepted</t>
  </si>
  <si>
    <t xml:space="preserve">Candidate credit</t>
  </si>
  <si>
    <t xml:space="preserve">ET-RS1-LQ-L1</t>
  </si>
  <si>
    <t xml:space="preserve">L1</t>
  </si>
  <si>
    <t xml:space="preserve">Moving-basin and flexible-shore field</t>
  </si>
  <si>
    <t xml:space="preserve">Different beneficial control, executive command, decisive tooling, and evidence custody</t>
  </si>
  <si>
    <t xml:space="preserve">ET-RS1-LQ-L2</t>
  </si>
  <si>
    <t xml:space="preserve">L2</t>
  </si>
  <si>
    <t xml:space="preserve">Independent articulated-motion and breakable-handoff complex</t>
  </si>
  <si>
    <t xml:space="preserve">ET-RS1-DEN-L1</t>
  </si>
  <si>
    <t xml:space="preserve">ET-RS1-DEN-L2</t>
  </si>
  <si>
    <t xml:space="preserve">ET-RS1-RCB-L1</t>
  </si>
  <si>
    <t xml:space="preserve">ET-RS1-RCB-L2</t>
  </si>
  <si>
    <t xml:space="preserve">ET-RS2-LQ-L1</t>
  </si>
  <si>
    <t xml:space="preserve">ET-RS2-LQ-L2</t>
  </si>
  <si>
    <t xml:space="preserve">ET-RS2-DEN-L1</t>
  </si>
  <si>
    <t xml:space="preserve">ET-RS2-DEN-L2</t>
  </si>
  <si>
    <t xml:space="preserve">ET-RS2-RCB-L1</t>
  </si>
  <si>
    <t xml:space="preserve">ET-RS2-RCB-L2</t>
  </si>
  <si>
    <t xml:space="preserve">ET-RS3-LQ-L1</t>
  </si>
  <si>
    <t xml:space="preserve">ET-RS3-LQ-L2</t>
  </si>
  <si>
    <t xml:space="preserve">ET-RS3-DEN-L1</t>
  </si>
  <si>
    <t xml:space="preserve">ET-RS3-DEN-L2</t>
  </si>
  <si>
    <t xml:space="preserve">ET-RS3-RCB-L1</t>
  </si>
  <si>
    <t xml:space="preserve">ET-RS3-RCB-L2</t>
  </si>
  <si>
    <t xml:space="preserve">ET-RS4-LQ-L1</t>
  </si>
  <si>
    <t xml:space="preserve">ET-RS4-LQ-L2</t>
  </si>
  <si>
    <t xml:space="preserve">ET-RS4-DEN-L1</t>
  </si>
  <si>
    <t xml:space="preserve">ET-RS4-DEN-L2</t>
  </si>
  <si>
    <t xml:space="preserve">ET-RS4-RCB-L1</t>
  </si>
  <si>
    <t xml:space="preserve">ET-RS4-RCB-L2</t>
  </si>
  <si>
    <t xml:space="preserve">CT-RS1-LQ-L1</t>
  </si>
  <si>
    <t xml:space="preserve">Reconfigurable multistory sacrificial facade</t>
  </si>
  <si>
    <t xml:space="preserve">CT-RS1-LQ-L2</t>
  </si>
  <si>
    <t xml:space="preserve">Independent fault-insertable occupied-utility block</t>
  </si>
  <si>
    <t xml:space="preserve">CT-RS1-DEN-L1</t>
  </si>
  <si>
    <t xml:space="preserve">CT-RS1-DEN-L2</t>
  </si>
  <si>
    <t xml:space="preserve">CT-RS1-RCB-L1</t>
  </si>
  <si>
    <t xml:space="preserve">CT-RS1-RCB-L2</t>
  </si>
  <si>
    <t xml:space="preserve">CT-RS2-LQ-L1</t>
  </si>
  <si>
    <t xml:space="preserve">CT-RS2-LQ-L2</t>
  </si>
  <si>
    <t xml:space="preserve">CT-RS2-DEN-L1</t>
  </si>
  <si>
    <t xml:space="preserve">CT-RS2-DEN-L2</t>
  </si>
  <si>
    <t xml:space="preserve">CT-RS2-RCB-L1</t>
  </si>
  <si>
    <t xml:space="preserve">CT-RS2-RCB-L2</t>
  </si>
  <si>
    <t xml:space="preserve">CT-RS3-LQ-L1</t>
  </si>
  <si>
    <t xml:space="preserve">CT-RS3-LQ-L2</t>
  </si>
  <si>
    <t xml:space="preserve">CT-RS3-DEN-L1</t>
  </si>
  <si>
    <t xml:space="preserve">CT-RS3-DEN-L2</t>
  </si>
  <si>
    <t xml:space="preserve">CT-RS3-RCB-L1</t>
  </si>
  <si>
    <t xml:space="preserve">CT-RS3-RCB-L2</t>
  </si>
  <si>
    <t xml:space="preserve">CT-RS4-LQ-L1</t>
  </si>
  <si>
    <t xml:space="preserve">CT-RS4-LQ-L2</t>
  </si>
  <si>
    <t xml:space="preserve">CT-RS4-DEN-L1</t>
  </si>
  <si>
    <t xml:space="preserve">CT-RS4-DEN-L2</t>
  </si>
  <si>
    <t xml:space="preserve">CT-RS4-RCB-L1</t>
  </si>
  <si>
    <t xml:space="preserve">CT-RS4-RCB-L2</t>
  </si>
  <si>
    <t xml:space="preserve">HC-RS1-LQ-L1</t>
  </si>
  <si>
    <t xml:space="preserve">Closed atmospheric flux canyon</t>
  </si>
  <si>
    <t xml:space="preserve">HC-RS1-LQ-L2</t>
  </si>
  <si>
    <t xml:space="preserve">Independent instrumented landscape boundary field</t>
  </si>
  <si>
    <t xml:space="preserve">HC-RS1-DEN-L1</t>
  </si>
  <si>
    <t xml:space="preserve">HC-RS1-DEN-L2</t>
  </si>
  <si>
    <t xml:space="preserve">HC-RS1-RCB-L1</t>
  </si>
  <si>
    <t xml:space="preserve">HC-RS1-RCB-L2</t>
  </si>
  <si>
    <t xml:space="preserve">HC-RS2-LQ-L1</t>
  </si>
  <si>
    <t xml:space="preserve">HC-RS2-LQ-L2</t>
  </si>
  <si>
    <t xml:space="preserve">HC-RS2-DEN-L1</t>
  </si>
  <si>
    <t xml:space="preserve">HC-RS2-DEN-L2</t>
  </si>
  <si>
    <t xml:space="preserve">HC-RS2-RCB-L1</t>
  </si>
  <si>
    <t xml:space="preserve">HC-RS2-RCB-L2</t>
  </si>
  <si>
    <t xml:space="preserve">HC-RS3-LQ-L1</t>
  </si>
  <si>
    <t xml:space="preserve">HC-RS3-LQ-L2</t>
  </si>
  <si>
    <t xml:space="preserve">HC-RS3-DEN-L1</t>
  </si>
  <si>
    <t xml:space="preserve">HC-RS3-DEN-L2</t>
  </si>
  <si>
    <t xml:space="preserve">HC-RS3-RCB-L1</t>
  </si>
  <si>
    <t xml:space="preserve">HC-RS3-RCB-L2</t>
  </si>
  <si>
    <t xml:space="preserve">HC-RS4-LQ-L1</t>
  </si>
  <si>
    <t xml:space="preserve">HC-RS4-LQ-L2</t>
  </si>
  <si>
    <t xml:space="preserve">HC-RS4-DEN-L1</t>
  </si>
  <si>
    <t xml:space="preserve">HC-RS4-DEN-L2</t>
  </si>
  <si>
    <t xml:space="preserve">HC-RS4-RCB-L1</t>
  </si>
  <si>
    <t xml:space="preserve">HC-RS4-RCB-L2</t>
  </si>
  <si>
    <t xml:space="preserve">LF-RS1-LQ-L1</t>
  </si>
  <si>
    <t xml:space="preserve">Coupled source-treatment-grid hydraulic loop</t>
  </si>
  <si>
    <t xml:space="preserve">LF-RS1-LQ-L2</t>
  </si>
  <si>
    <t xml:space="preserve">Independent multi-geology heat-water field</t>
  </si>
  <si>
    <t xml:space="preserve">LF-RS1-DEN-L1</t>
  </si>
  <si>
    <t xml:space="preserve">LF-RS1-DEN-L2</t>
  </si>
  <si>
    <t xml:space="preserve">LF-RS1-RCB-L1</t>
  </si>
  <si>
    <t xml:space="preserve">LF-RS1-RCB-L2</t>
  </si>
  <si>
    <t xml:space="preserve">LF-RS2-LQ-L1</t>
  </si>
  <si>
    <t xml:space="preserve">LF-RS2-LQ-L2</t>
  </si>
  <si>
    <t xml:space="preserve">LF-RS2-DEN-L1</t>
  </si>
  <si>
    <t xml:space="preserve">LF-RS2-DEN-L2</t>
  </si>
  <si>
    <t xml:space="preserve">LF-RS2-RCB-L1</t>
  </si>
  <si>
    <t xml:space="preserve">LF-RS2-RCB-L2</t>
  </si>
  <si>
    <t xml:space="preserve">LF-RS3-LQ-L1</t>
  </si>
  <si>
    <t xml:space="preserve">LF-RS3-LQ-L2</t>
  </si>
  <si>
    <t xml:space="preserve">LF-RS3-DEN-L1</t>
  </si>
  <si>
    <t xml:space="preserve">LF-RS3-DEN-L2</t>
  </si>
  <si>
    <t xml:space="preserve">LF-RS3-RCB-L1</t>
  </si>
  <si>
    <t xml:space="preserve">LF-RS3-RCB-L2</t>
  </si>
  <si>
    <t xml:space="preserve">LF-RS4-LQ-L1</t>
  </si>
  <si>
    <t xml:space="preserve">LF-RS4-LQ-L2</t>
  </si>
  <si>
    <t xml:space="preserve">LF-RS4-DEN-L1</t>
  </si>
  <si>
    <t xml:space="preserve">LF-RS4-DEN-L2</t>
  </si>
  <si>
    <t xml:space="preserve">LF-RS4-RCB-L1</t>
  </si>
  <si>
    <t xml:space="preserve">LF-RS4-RCB-L2</t>
  </si>
  <si>
    <t xml:space="preserve">HU-RS1-LQ-L1</t>
  </si>
  <si>
    <t xml:space="preserve">Acuity-state clinical process campus</t>
  </si>
  <si>
    <t xml:space="preserve">HU-RS1-LQ-L2</t>
  </si>
  <si>
    <t xml:space="preserve">Independent distributed continuity and destination network</t>
  </si>
  <si>
    <t xml:space="preserve">HU-RS1-DEN-L1</t>
  </si>
  <si>
    <t xml:space="preserve">HU-RS1-DEN-L2</t>
  </si>
  <si>
    <t xml:space="preserve">HU-RS1-RCB-L1</t>
  </si>
  <si>
    <t xml:space="preserve">HU-RS1-RCB-L2</t>
  </si>
  <si>
    <t xml:space="preserve">HU-RS2-LQ-L1</t>
  </si>
  <si>
    <t xml:space="preserve">HU-RS2-LQ-L2</t>
  </si>
  <si>
    <t xml:space="preserve">HU-RS2-DEN-L1</t>
  </si>
  <si>
    <t xml:space="preserve">HU-RS2-DEN-L2</t>
  </si>
  <si>
    <t xml:space="preserve">HU-RS2-RCB-L1</t>
  </si>
  <si>
    <t xml:space="preserve">HU-RS2-RCB-L2</t>
  </si>
  <si>
    <t xml:space="preserve">HU-RS3-LQ-L1</t>
  </si>
  <si>
    <t xml:space="preserve">HU-RS3-LQ-L2</t>
  </si>
  <si>
    <t xml:space="preserve">HU-RS3-DEN-L1</t>
  </si>
  <si>
    <t xml:space="preserve">HU-RS3-DEN-L2</t>
  </si>
  <si>
    <t xml:space="preserve">HU-RS3-RCB-L1</t>
  </si>
  <si>
    <t xml:space="preserve">HU-RS3-RCB-L2</t>
  </si>
  <si>
    <t xml:space="preserve">HU-RS4-LQ-L1</t>
  </si>
  <si>
    <t xml:space="preserve">HU-RS4-LQ-L2</t>
  </si>
  <si>
    <t xml:space="preserve">HU-RS4-DEN-L1</t>
  </si>
  <si>
    <t xml:space="preserve">HU-RS4-DEN-L2</t>
  </si>
  <si>
    <t xml:space="preserve">HU-RS4-RCB-L1</t>
  </si>
  <si>
    <t xml:space="preserve">HU-RS4-RCB-L2</t>
  </si>
  <si>
    <t xml:space="preserve">RT-RS1-LQ-L1</t>
  </si>
  <si>
    <t xml:space="preserve">Controlled disassembly-remanufacture factory</t>
  </si>
  <si>
    <t xml:space="preserve">RT-RS1-LQ-L2</t>
  </si>
  <si>
    <t xml:space="preserve">Independent disconnected production and qualification cell</t>
  </si>
  <si>
    <t xml:space="preserve">RT-RS1-DEN-L1</t>
  </si>
  <si>
    <t xml:space="preserve">RT-RS1-DEN-L2</t>
  </si>
  <si>
    <t xml:space="preserve">RT-RS1-RCB-L1</t>
  </si>
  <si>
    <t xml:space="preserve">RT-RS1-RCB-L2</t>
  </si>
  <si>
    <t xml:space="preserve">RT-RS2-LQ-L1</t>
  </si>
  <si>
    <t xml:space="preserve">RT-RS2-LQ-L2</t>
  </si>
  <si>
    <t xml:space="preserve">RT-RS2-DEN-L1</t>
  </si>
  <si>
    <t xml:space="preserve">RT-RS2-DEN-L2</t>
  </si>
  <si>
    <t xml:space="preserve">RT-RS2-RCB-L1</t>
  </si>
  <si>
    <t xml:space="preserve">RT-RS2-RCB-L2</t>
  </si>
  <si>
    <t xml:space="preserve">RT-RS3-LQ-L1</t>
  </si>
  <si>
    <t xml:space="preserve">RT-RS3-LQ-L2</t>
  </si>
  <si>
    <t xml:space="preserve">RT-RS3-DEN-L1</t>
  </si>
  <si>
    <t xml:space="preserve">RT-RS3-DEN-L2</t>
  </si>
  <si>
    <t xml:space="preserve">RT-RS3-RCB-L1</t>
  </si>
  <si>
    <t xml:space="preserve">RT-RS3-RCB-L2</t>
  </si>
  <si>
    <t xml:space="preserve">RT-RS4-LQ-L1</t>
  </si>
  <si>
    <t xml:space="preserve">RT-RS4-LQ-L2</t>
  </si>
  <si>
    <t xml:space="preserve">RT-RS4-DEN-L1</t>
  </si>
  <si>
    <t xml:space="preserve">RT-RS4-DEN-L2</t>
  </si>
  <si>
    <t xml:space="preserve">RT-RS4-RCB-L1</t>
  </si>
  <si>
    <t xml:space="preserve">RT-RS4-RCB-L2</t>
  </si>
  <si>
    <t xml:space="preserve">Seventy-two decisive A2 events</t>
  </si>
  <si>
    <t xml:space="preserve">The wave selects twelve events from each chosen A1's forty-eight prospective slots: two endpoint families, three rig roles, and two unlike realization lineages.</t>
  </si>
  <si>
    <t xml:space="preserve">Event</t>
  </si>
  <si>
    <t xml:space="preserve">Rig role</t>
  </si>
  <si>
    <t xml:space="preserve">Method lineage</t>
  </si>
  <si>
    <t xml:space="preserve">Receiver-state coverage</t>
  </si>
  <si>
    <t xml:space="preserve">Required valid credit</t>
  </si>
  <si>
    <t xml:space="preserve">Required packages</t>
  </si>
  <si>
    <t xml:space="preserve">Accepted packages</t>
  </si>
  <si>
    <t xml:space="preserve">Event state</t>
  </si>
  <si>
    <t xml:space="preserve">EV-ET-A-BAL-CHA-L1</t>
  </si>
  <si>
    <t xml:space="preserve">BAL</t>
  </si>
  <si>
    <t xml:space="preserve">All four MS-ET receiver states; frozen card crosswalk</t>
  </si>
  <si>
    <t xml:space="preserve">EV-ET-A-BAL-CHA-L2</t>
  </si>
  <si>
    <t xml:space="preserve">EV-ET-A-BAL-CON-L1</t>
  </si>
  <si>
    <t xml:space="preserve">EV-ET-A-BAL-CON-L2</t>
  </si>
  <si>
    <t xml:space="preserve">EV-ET-A-BAL-REC-L1</t>
  </si>
  <si>
    <t xml:space="preserve">EV-ET-A-BAL-REC-L2</t>
  </si>
  <si>
    <t xml:space="preserve">EV-ET-A-KEY-CHA-L1</t>
  </si>
  <si>
    <t xml:space="preserve">KEY</t>
  </si>
  <si>
    <t xml:space="preserve">EV-ET-A-KEY-CHA-L2</t>
  </si>
  <si>
    <t xml:space="preserve">EV-ET-A-KEY-CON-L1</t>
  </si>
  <si>
    <t xml:space="preserve">EV-ET-A-KEY-CON-L2</t>
  </si>
  <si>
    <t xml:space="preserve">EV-ET-A-KEY-REC-L1</t>
  </si>
  <si>
    <t xml:space="preserve">EV-ET-A-KEY-REC-L2</t>
  </si>
  <si>
    <t xml:space="preserve">EV-CT-C-BAL-CHA-L1</t>
  </si>
  <si>
    <t xml:space="preserve">All four MS-CT receiver states; frozen card crosswalk</t>
  </si>
  <si>
    <t xml:space="preserve">EV-CT-C-BAL-CHA-L2</t>
  </si>
  <si>
    <t xml:space="preserve">EV-CT-C-BAL-CON-L1</t>
  </si>
  <si>
    <t xml:space="preserve">EV-CT-C-BAL-CON-L2</t>
  </si>
  <si>
    <t xml:space="preserve">EV-CT-C-BAL-REC-L1</t>
  </si>
  <si>
    <t xml:space="preserve">EV-CT-C-BAL-REC-L2</t>
  </si>
  <si>
    <t xml:space="preserve">EV-CT-C-KEY-CHA-L1</t>
  </si>
  <si>
    <t xml:space="preserve">EV-CT-C-KEY-CHA-L2</t>
  </si>
  <si>
    <t xml:space="preserve">EV-CT-C-KEY-CON-L1</t>
  </si>
  <si>
    <t xml:space="preserve">EV-CT-C-KEY-CON-L2</t>
  </si>
  <si>
    <t xml:space="preserve">EV-CT-C-KEY-REC-L1</t>
  </si>
  <si>
    <t xml:space="preserve">EV-CT-C-KEY-REC-L2</t>
  </si>
  <si>
    <t xml:space="preserve">EV-HC-A-BAL-CHA-L1</t>
  </si>
  <si>
    <t xml:space="preserve">All four MS-HC receiver states; frozen card crosswalk</t>
  </si>
  <si>
    <t xml:space="preserve">EV-HC-A-BAL-CHA-L2</t>
  </si>
  <si>
    <t xml:space="preserve">EV-HC-A-BAL-CON-L1</t>
  </si>
  <si>
    <t xml:space="preserve">EV-HC-A-BAL-CON-L2</t>
  </si>
  <si>
    <t xml:space="preserve">EV-HC-A-BAL-REC-L1</t>
  </si>
  <si>
    <t xml:space="preserve">EV-HC-A-BAL-REC-L2</t>
  </si>
  <si>
    <t xml:space="preserve">EV-HC-A-KEY-CHA-L1</t>
  </si>
  <si>
    <t xml:space="preserve">EV-HC-A-KEY-CHA-L2</t>
  </si>
  <si>
    <t xml:space="preserve">EV-HC-A-KEY-CON-L1</t>
  </si>
  <si>
    <t xml:space="preserve">EV-HC-A-KEY-CON-L2</t>
  </si>
  <si>
    <t xml:space="preserve">EV-HC-A-KEY-REC-L1</t>
  </si>
  <si>
    <t xml:space="preserve">EV-HC-A-KEY-REC-L2</t>
  </si>
  <si>
    <t xml:space="preserve">EV-LF-B-BAL-CHA-L1</t>
  </si>
  <si>
    <t xml:space="preserve">All four MS-LF receiver states; frozen card crosswalk</t>
  </si>
  <si>
    <t xml:space="preserve">EV-LF-B-BAL-CHA-L2</t>
  </si>
  <si>
    <t xml:space="preserve">EV-LF-B-BAL-CON-L1</t>
  </si>
  <si>
    <t xml:space="preserve">EV-LF-B-BAL-CON-L2</t>
  </si>
  <si>
    <t xml:space="preserve">EV-LF-B-BAL-REC-L1</t>
  </si>
  <si>
    <t xml:space="preserve">EV-LF-B-BAL-REC-L2</t>
  </si>
  <si>
    <t xml:space="preserve">EV-LF-B-KEY-CHA-L1</t>
  </si>
  <si>
    <t xml:space="preserve">EV-LF-B-KEY-CHA-L2</t>
  </si>
  <si>
    <t xml:space="preserve">EV-LF-B-KEY-CON-L1</t>
  </si>
  <si>
    <t xml:space="preserve">EV-LF-B-KEY-CON-L2</t>
  </si>
  <si>
    <t xml:space="preserve">EV-LF-B-KEY-REC-L1</t>
  </si>
  <si>
    <t xml:space="preserve">EV-LF-B-KEY-REC-L2</t>
  </si>
  <si>
    <t xml:space="preserve">EV-HU-A-BAL-CHA-L1</t>
  </si>
  <si>
    <t xml:space="preserve">All four MS-HU receiver states; frozen card crosswalk</t>
  </si>
  <si>
    <t xml:space="preserve">EV-HU-A-BAL-CHA-L2</t>
  </si>
  <si>
    <t xml:space="preserve">EV-HU-A-BAL-CON-L1</t>
  </si>
  <si>
    <t xml:space="preserve">EV-HU-A-BAL-CON-L2</t>
  </si>
  <si>
    <t xml:space="preserve">EV-HU-A-BAL-REC-L1</t>
  </si>
  <si>
    <t xml:space="preserve">EV-HU-A-BAL-REC-L2</t>
  </si>
  <si>
    <t xml:space="preserve">EV-HU-A-KEY-CHA-L1</t>
  </si>
  <si>
    <t xml:space="preserve">EV-HU-A-KEY-CHA-L2</t>
  </si>
  <si>
    <t xml:space="preserve">EV-HU-A-KEY-CON-L1</t>
  </si>
  <si>
    <t xml:space="preserve">EV-HU-A-KEY-CON-L2</t>
  </si>
  <si>
    <t xml:space="preserve">EV-HU-A-KEY-REC-L1</t>
  </si>
  <si>
    <t xml:space="preserve">EV-HU-A-KEY-REC-L2</t>
  </si>
  <si>
    <t xml:space="preserve">EV-RT-B-BAL-CHA-L1</t>
  </si>
  <si>
    <t xml:space="preserve">All four MS-RT receiver states; frozen card crosswalk</t>
  </si>
  <si>
    <t xml:space="preserve">EV-RT-B-BAL-CHA-L2</t>
  </si>
  <si>
    <t xml:space="preserve">EV-RT-B-BAL-CON-L1</t>
  </si>
  <si>
    <t xml:space="preserve">EV-RT-B-BAL-CON-L2</t>
  </si>
  <si>
    <t xml:space="preserve">EV-RT-B-BAL-REC-L1</t>
  </si>
  <si>
    <t xml:space="preserve">EV-RT-B-BAL-REC-L2</t>
  </si>
  <si>
    <t xml:space="preserve">EV-RT-B-KEY-CHA-L1</t>
  </si>
  <si>
    <t xml:space="preserve">EV-RT-B-KEY-CHA-L2</t>
  </si>
  <si>
    <t xml:space="preserve">EV-RT-B-KEY-CON-L1</t>
  </si>
  <si>
    <t xml:space="preserve">EV-RT-B-KEY-CON-L2</t>
  </si>
  <si>
    <t xml:space="preserve">EV-RT-B-KEY-REC-L1</t>
  </si>
  <si>
    <t xml:space="preserve">EV-RT-B-KEY-REC-L2</t>
  </si>
  <si>
    <t xml:space="preserve">Three hundred sixty evidence packages</t>
  </si>
  <si>
    <t xml:space="preserve">Five separately accepted packages are required for every valid event. Missing evidence produces HOLD, never a favorable zero.</t>
  </si>
  <si>
    <t xml:space="preserve">Package</t>
  </si>
  <si>
    <t xml:space="preserve">Package type</t>
  </si>
  <si>
    <t xml:space="preserve">Custodian</t>
  </si>
  <si>
    <t xml:space="preserve">Record hash</t>
  </si>
  <si>
    <t xml:space="preserve">EV-ET-A-BAL-CHA-L1-CONFI</t>
  </si>
  <si>
    <t xml:space="preserve">CONFIGURATION</t>
  </si>
  <si>
    <t xml:space="preserve">EV-ET-A-BAL-CHA-L1-METRO</t>
  </si>
  <si>
    <t xml:space="preserve">METROLOGY</t>
  </si>
  <si>
    <t xml:space="preserve">EV-ET-A-BAL-CHA-L1-CUSTO</t>
  </si>
  <si>
    <t xml:space="preserve">CUSTODY</t>
  </si>
  <si>
    <t xml:space="preserve">EV-ET-A-BAL-CHA-L1-SAFET</t>
  </si>
  <si>
    <t xml:space="preserve">SAFETY AND RIGHTS</t>
  </si>
  <si>
    <t xml:space="preserve">EV-ET-A-BAL-CHA-L1-INDEP</t>
  </si>
  <si>
    <t xml:space="preserve">INDEPENDENT REPLAY</t>
  </si>
  <si>
    <t xml:space="preserve">EV-ET-A-BAL-CHA-L2-CONFI</t>
  </si>
  <si>
    <t xml:space="preserve">EV-ET-A-BAL-CHA-L2-METRO</t>
  </si>
  <si>
    <t xml:space="preserve">EV-ET-A-BAL-CHA-L2-CUSTO</t>
  </si>
  <si>
    <t xml:space="preserve">EV-ET-A-BAL-CHA-L2-SAFET</t>
  </si>
  <si>
    <t xml:space="preserve">EV-ET-A-BAL-CHA-L2-INDEP</t>
  </si>
  <si>
    <t xml:space="preserve">EV-ET-A-BAL-CON-L1-CONFI</t>
  </si>
  <si>
    <t xml:space="preserve">EV-ET-A-BAL-CON-L1-METRO</t>
  </si>
  <si>
    <t xml:space="preserve">EV-ET-A-BAL-CON-L1-CUSTO</t>
  </si>
  <si>
    <t xml:space="preserve">EV-ET-A-BAL-CON-L1-SAFET</t>
  </si>
  <si>
    <t xml:space="preserve">EV-ET-A-BAL-CON-L1-INDEP</t>
  </si>
  <si>
    <t xml:space="preserve">EV-ET-A-BAL-CON-L2-CONFI</t>
  </si>
  <si>
    <t xml:space="preserve">EV-ET-A-BAL-CON-L2-METRO</t>
  </si>
  <si>
    <t xml:space="preserve">EV-ET-A-BAL-CON-L2-CUSTO</t>
  </si>
  <si>
    <t xml:space="preserve">EV-ET-A-BAL-CON-L2-SAFET</t>
  </si>
  <si>
    <t xml:space="preserve">EV-ET-A-BAL-CON-L2-INDEP</t>
  </si>
  <si>
    <t xml:space="preserve">EV-ET-A-BAL-REC-L1-CONFI</t>
  </si>
  <si>
    <t xml:space="preserve">EV-ET-A-BAL-REC-L1-METRO</t>
  </si>
  <si>
    <t xml:space="preserve">EV-ET-A-BAL-REC-L1-CUSTO</t>
  </si>
  <si>
    <t xml:space="preserve">EV-ET-A-BAL-REC-L1-SAFET</t>
  </si>
  <si>
    <t xml:space="preserve">EV-ET-A-BAL-REC-L1-INDEP</t>
  </si>
  <si>
    <t xml:space="preserve">EV-ET-A-BAL-REC-L2-CONFI</t>
  </si>
  <si>
    <t xml:space="preserve">EV-ET-A-BAL-REC-L2-METRO</t>
  </si>
  <si>
    <t xml:space="preserve">EV-ET-A-BAL-REC-L2-CUSTO</t>
  </si>
  <si>
    <t xml:space="preserve">EV-ET-A-BAL-REC-L2-SAFET</t>
  </si>
  <si>
    <t xml:space="preserve">EV-ET-A-BAL-REC-L2-INDEP</t>
  </si>
  <si>
    <t xml:space="preserve">EV-ET-A-KEY-CHA-L1-CONFI</t>
  </si>
  <si>
    <t xml:space="preserve">EV-ET-A-KEY-CHA-L1-METRO</t>
  </si>
  <si>
    <t xml:space="preserve">EV-ET-A-KEY-CHA-L1-CUSTO</t>
  </si>
  <si>
    <t xml:space="preserve">EV-ET-A-KEY-CHA-L1-SAFET</t>
  </si>
  <si>
    <t xml:space="preserve">EV-ET-A-KEY-CHA-L1-INDEP</t>
  </si>
  <si>
    <t xml:space="preserve">EV-ET-A-KEY-CHA-L2-CONFI</t>
  </si>
  <si>
    <t xml:space="preserve">EV-ET-A-KEY-CHA-L2-METRO</t>
  </si>
  <si>
    <t xml:space="preserve">EV-ET-A-KEY-CHA-L2-CUSTO</t>
  </si>
  <si>
    <t xml:space="preserve">EV-ET-A-KEY-CHA-L2-SAFET</t>
  </si>
  <si>
    <t xml:space="preserve">EV-ET-A-KEY-CHA-L2-INDEP</t>
  </si>
  <si>
    <t xml:space="preserve">EV-ET-A-KEY-CON-L1-CONFI</t>
  </si>
  <si>
    <t xml:space="preserve">EV-ET-A-KEY-CON-L1-METRO</t>
  </si>
  <si>
    <t xml:space="preserve">EV-ET-A-KEY-CON-L1-CUSTO</t>
  </si>
  <si>
    <t xml:space="preserve">EV-ET-A-KEY-CON-L1-SAFET</t>
  </si>
  <si>
    <t xml:space="preserve">EV-ET-A-KEY-CON-L1-INDEP</t>
  </si>
  <si>
    <t xml:space="preserve">EV-ET-A-KEY-CON-L2-CONFI</t>
  </si>
  <si>
    <t xml:space="preserve">EV-ET-A-KEY-CON-L2-METRO</t>
  </si>
  <si>
    <t xml:space="preserve">EV-ET-A-KEY-CON-L2-CUSTO</t>
  </si>
  <si>
    <t xml:space="preserve">EV-ET-A-KEY-CON-L2-SAFET</t>
  </si>
  <si>
    <t xml:space="preserve">EV-ET-A-KEY-CON-L2-INDEP</t>
  </si>
  <si>
    <t xml:space="preserve">EV-ET-A-KEY-REC-L1-CONFI</t>
  </si>
  <si>
    <t xml:space="preserve">EV-ET-A-KEY-REC-L1-METRO</t>
  </si>
  <si>
    <t xml:space="preserve">EV-ET-A-KEY-REC-L1-CUSTO</t>
  </si>
  <si>
    <t xml:space="preserve">EV-ET-A-KEY-REC-L1-SAFET</t>
  </si>
  <si>
    <t xml:space="preserve">EV-ET-A-KEY-REC-L1-INDEP</t>
  </si>
  <si>
    <t xml:space="preserve">EV-ET-A-KEY-REC-L2-CONFI</t>
  </si>
  <si>
    <t xml:space="preserve">EV-ET-A-KEY-REC-L2-METRO</t>
  </si>
  <si>
    <t xml:space="preserve">EV-ET-A-KEY-REC-L2-CUSTO</t>
  </si>
  <si>
    <t xml:space="preserve">EV-ET-A-KEY-REC-L2-SAFET</t>
  </si>
  <si>
    <t xml:space="preserve">EV-ET-A-KEY-REC-L2-INDEP</t>
  </si>
  <si>
    <t xml:space="preserve">EV-CT-C-BAL-CHA-L1-CONFI</t>
  </si>
  <si>
    <t xml:space="preserve">EV-CT-C-BAL-CHA-L1-METRO</t>
  </si>
  <si>
    <t xml:space="preserve">EV-CT-C-BAL-CHA-L1-CUSTO</t>
  </si>
  <si>
    <t xml:space="preserve">EV-CT-C-BAL-CHA-L1-SAFET</t>
  </si>
  <si>
    <t xml:space="preserve">EV-CT-C-BAL-CHA-L1-INDEP</t>
  </si>
  <si>
    <t xml:space="preserve">EV-CT-C-BAL-CHA-L2-CONFI</t>
  </si>
  <si>
    <t xml:space="preserve">EV-CT-C-BAL-CHA-L2-METRO</t>
  </si>
  <si>
    <t xml:space="preserve">EV-CT-C-BAL-CHA-L2-CUSTO</t>
  </si>
  <si>
    <t xml:space="preserve">EV-CT-C-BAL-CHA-L2-SAFET</t>
  </si>
  <si>
    <t xml:space="preserve">EV-CT-C-BAL-CHA-L2-INDEP</t>
  </si>
  <si>
    <t xml:space="preserve">EV-CT-C-BAL-CON-L1-CONFI</t>
  </si>
  <si>
    <t xml:space="preserve">EV-CT-C-BAL-CON-L1-METRO</t>
  </si>
  <si>
    <t xml:space="preserve">EV-CT-C-BAL-CON-L1-CUSTO</t>
  </si>
  <si>
    <t xml:space="preserve">EV-CT-C-BAL-CON-L1-SAFET</t>
  </si>
  <si>
    <t xml:space="preserve">EV-CT-C-BAL-CON-L1-INDEP</t>
  </si>
  <si>
    <t xml:space="preserve">EV-CT-C-BAL-CON-L2-CONFI</t>
  </si>
  <si>
    <t xml:space="preserve">EV-CT-C-BAL-CON-L2-METRO</t>
  </si>
  <si>
    <t xml:space="preserve">EV-CT-C-BAL-CON-L2-CUSTO</t>
  </si>
  <si>
    <t xml:space="preserve">EV-CT-C-BAL-CON-L2-SAFET</t>
  </si>
  <si>
    <t xml:space="preserve">EV-CT-C-BAL-CON-L2-INDEP</t>
  </si>
  <si>
    <t xml:space="preserve">EV-CT-C-BAL-REC-L1-CONFI</t>
  </si>
  <si>
    <t xml:space="preserve">EV-CT-C-BAL-REC-L1-METRO</t>
  </si>
  <si>
    <t xml:space="preserve">EV-CT-C-BAL-REC-L1-CUSTO</t>
  </si>
  <si>
    <t xml:space="preserve">EV-CT-C-BAL-REC-L1-SAFET</t>
  </si>
  <si>
    <t xml:space="preserve">EV-CT-C-BAL-REC-L1-INDEP</t>
  </si>
  <si>
    <t xml:space="preserve">EV-CT-C-BAL-REC-L2-CONFI</t>
  </si>
  <si>
    <t xml:space="preserve">EV-CT-C-BAL-REC-L2-METRO</t>
  </si>
  <si>
    <t xml:space="preserve">EV-CT-C-BAL-REC-L2-CUSTO</t>
  </si>
  <si>
    <t xml:space="preserve">EV-CT-C-BAL-REC-L2-SAFET</t>
  </si>
  <si>
    <t xml:space="preserve">EV-CT-C-BAL-REC-L2-INDEP</t>
  </si>
  <si>
    <t xml:space="preserve">EV-CT-C-KEY-CHA-L1-CONFI</t>
  </si>
  <si>
    <t xml:space="preserve">EV-CT-C-KEY-CHA-L1-METRO</t>
  </si>
  <si>
    <t xml:space="preserve">EV-CT-C-KEY-CHA-L1-CUSTO</t>
  </si>
  <si>
    <t xml:space="preserve">EV-CT-C-KEY-CHA-L1-SAFET</t>
  </si>
  <si>
    <t xml:space="preserve">EV-CT-C-KEY-CHA-L1-INDEP</t>
  </si>
  <si>
    <t xml:space="preserve">EV-CT-C-KEY-CHA-L2-CONFI</t>
  </si>
  <si>
    <t xml:space="preserve">EV-CT-C-KEY-CHA-L2-METRO</t>
  </si>
  <si>
    <t xml:space="preserve">EV-CT-C-KEY-CHA-L2-CUSTO</t>
  </si>
  <si>
    <t xml:space="preserve">EV-CT-C-KEY-CHA-L2-SAFET</t>
  </si>
  <si>
    <t xml:space="preserve">EV-CT-C-KEY-CHA-L2-INDEP</t>
  </si>
  <si>
    <t xml:space="preserve">EV-CT-C-KEY-CON-L1-CONFI</t>
  </si>
  <si>
    <t xml:space="preserve">EV-CT-C-KEY-CON-L1-METRO</t>
  </si>
  <si>
    <t xml:space="preserve">EV-CT-C-KEY-CON-L1-CUSTO</t>
  </si>
  <si>
    <t xml:space="preserve">EV-CT-C-KEY-CON-L1-SAFET</t>
  </si>
  <si>
    <t xml:space="preserve">EV-CT-C-KEY-CON-L1-INDEP</t>
  </si>
  <si>
    <t xml:space="preserve">EV-CT-C-KEY-CON-L2-CONFI</t>
  </si>
  <si>
    <t xml:space="preserve">EV-CT-C-KEY-CON-L2-METRO</t>
  </si>
  <si>
    <t xml:space="preserve">EV-CT-C-KEY-CON-L2-CUSTO</t>
  </si>
  <si>
    <t xml:space="preserve">EV-CT-C-KEY-CON-L2-SAFET</t>
  </si>
  <si>
    <t xml:space="preserve">EV-CT-C-KEY-CON-L2-INDEP</t>
  </si>
  <si>
    <t xml:space="preserve">EV-CT-C-KEY-REC-L1-CONFI</t>
  </si>
  <si>
    <t xml:space="preserve">EV-CT-C-KEY-REC-L1-METRO</t>
  </si>
  <si>
    <t xml:space="preserve">EV-CT-C-KEY-REC-L1-CUSTO</t>
  </si>
  <si>
    <t xml:space="preserve">EV-CT-C-KEY-REC-L1-SAFET</t>
  </si>
  <si>
    <t xml:space="preserve">EV-CT-C-KEY-REC-L1-INDEP</t>
  </si>
  <si>
    <t xml:space="preserve">EV-CT-C-KEY-REC-L2-CONFI</t>
  </si>
  <si>
    <t xml:space="preserve">EV-CT-C-KEY-REC-L2-METRO</t>
  </si>
  <si>
    <t xml:space="preserve">EV-CT-C-KEY-REC-L2-CUSTO</t>
  </si>
  <si>
    <t xml:space="preserve">EV-CT-C-KEY-REC-L2-SAFET</t>
  </si>
  <si>
    <t xml:space="preserve">EV-CT-C-KEY-REC-L2-INDEP</t>
  </si>
  <si>
    <t xml:space="preserve">EV-HC-A-BAL-CHA-L1-CONFI</t>
  </si>
  <si>
    <t xml:space="preserve">EV-HC-A-BAL-CHA-L1-METRO</t>
  </si>
  <si>
    <t xml:space="preserve">EV-HC-A-BAL-CHA-L1-CUSTO</t>
  </si>
  <si>
    <t xml:space="preserve">EV-HC-A-BAL-CHA-L1-SAFET</t>
  </si>
  <si>
    <t xml:space="preserve">EV-HC-A-BAL-CHA-L1-INDEP</t>
  </si>
  <si>
    <t xml:space="preserve">EV-HC-A-BAL-CHA-L2-CONFI</t>
  </si>
  <si>
    <t xml:space="preserve">EV-HC-A-BAL-CHA-L2-METRO</t>
  </si>
  <si>
    <t xml:space="preserve">EV-HC-A-BAL-CHA-L2-CUSTO</t>
  </si>
  <si>
    <t xml:space="preserve">EV-HC-A-BAL-CHA-L2-SAFET</t>
  </si>
  <si>
    <t xml:space="preserve">EV-HC-A-BAL-CHA-L2-INDEP</t>
  </si>
  <si>
    <t xml:space="preserve">EV-HC-A-BAL-CON-L1-CONFI</t>
  </si>
  <si>
    <t xml:space="preserve">EV-HC-A-BAL-CON-L1-METRO</t>
  </si>
  <si>
    <t xml:space="preserve">EV-HC-A-BAL-CON-L1-CUSTO</t>
  </si>
  <si>
    <t xml:space="preserve">EV-HC-A-BAL-CON-L1-SAFET</t>
  </si>
  <si>
    <t xml:space="preserve">EV-HC-A-BAL-CON-L1-INDEP</t>
  </si>
  <si>
    <t xml:space="preserve">EV-HC-A-BAL-CON-L2-CONFI</t>
  </si>
  <si>
    <t xml:space="preserve">EV-HC-A-BAL-CON-L2-METRO</t>
  </si>
  <si>
    <t xml:space="preserve">EV-HC-A-BAL-CON-L2-CUSTO</t>
  </si>
  <si>
    <t xml:space="preserve">EV-HC-A-BAL-CON-L2-SAFET</t>
  </si>
  <si>
    <t xml:space="preserve">EV-HC-A-BAL-CON-L2-INDEP</t>
  </si>
  <si>
    <t xml:space="preserve">EV-HC-A-BAL-REC-L1-CONFI</t>
  </si>
  <si>
    <t xml:space="preserve">EV-HC-A-BAL-REC-L1-METRO</t>
  </si>
  <si>
    <t xml:space="preserve">EV-HC-A-BAL-REC-L1-CUSTO</t>
  </si>
  <si>
    <t xml:space="preserve">EV-HC-A-BAL-REC-L1-SAFET</t>
  </si>
  <si>
    <t xml:space="preserve">EV-HC-A-BAL-REC-L1-INDEP</t>
  </si>
  <si>
    <t xml:space="preserve">EV-HC-A-BAL-REC-L2-CONFI</t>
  </si>
  <si>
    <t xml:space="preserve">EV-HC-A-BAL-REC-L2-METRO</t>
  </si>
  <si>
    <t xml:space="preserve">EV-HC-A-BAL-REC-L2-CUSTO</t>
  </si>
  <si>
    <t xml:space="preserve">EV-HC-A-BAL-REC-L2-SAFET</t>
  </si>
  <si>
    <t xml:space="preserve">EV-HC-A-BAL-REC-L2-INDEP</t>
  </si>
  <si>
    <t xml:space="preserve">EV-HC-A-KEY-CHA-L1-CONFI</t>
  </si>
  <si>
    <t xml:space="preserve">EV-HC-A-KEY-CHA-L1-METRO</t>
  </si>
  <si>
    <t xml:space="preserve">EV-HC-A-KEY-CHA-L1-CUSTO</t>
  </si>
  <si>
    <t xml:space="preserve">EV-HC-A-KEY-CHA-L1-SAFET</t>
  </si>
  <si>
    <t xml:space="preserve">EV-HC-A-KEY-CHA-L1-INDEP</t>
  </si>
  <si>
    <t xml:space="preserve">EV-HC-A-KEY-CHA-L2-CONFI</t>
  </si>
  <si>
    <t xml:space="preserve">EV-HC-A-KEY-CHA-L2-METRO</t>
  </si>
  <si>
    <t xml:space="preserve">EV-HC-A-KEY-CHA-L2-CUSTO</t>
  </si>
  <si>
    <t xml:space="preserve">EV-HC-A-KEY-CHA-L2-SAFET</t>
  </si>
  <si>
    <t xml:space="preserve">EV-HC-A-KEY-CHA-L2-INDEP</t>
  </si>
  <si>
    <t xml:space="preserve">EV-HC-A-KEY-CON-L1-CONFI</t>
  </si>
  <si>
    <t xml:space="preserve">EV-HC-A-KEY-CON-L1-METRO</t>
  </si>
  <si>
    <t xml:space="preserve">EV-HC-A-KEY-CON-L1-CUSTO</t>
  </si>
  <si>
    <t xml:space="preserve">EV-HC-A-KEY-CON-L1-SAFET</t>
  </si>
  <si>
    <t xml:space="preserve">EV-HC-A-KEY-CON-L1-INDEP</t>
  </si>
  <si>
    <t xml:space="preserve">EV-HC-A-KEY-CON-L2-CONFI</t>
  </si>
  <si>
    <t xml:space="preserve">EV-HC-A-KEY-CON-L2-METRO</t>
  </si>
  <si>
    <t xml:space="preserve">EV-HC-A-KEY-CON-L2-CUSTO</t>
  </si>
  <si>
    <t xml:space="preserve">EV-HC-A-KEY-CON-L2-SAFET</t>
  </si>
  <si>
    <t xml:space="preserve">EV-HC-A-KEY-CON-L2-INDEP</t>
  </si>
  <si>
    <t xml:space="preserve">EV-HC-A-KEY-REC-L1-CONFI</t>
  </si>
  <si>
    <t xml:space="preserve">EV-HC-A-KEY-REC-L1-METRO</t>
  </si>
  <si>
    <t xml:space="preserve">EV-HC-A-KEY-REC-L1-CUSTO</t>
  </si>
  <si>
    <t xml:space="preserve">EV-HC-A-KEY-REC-L1-SAFET</t>
  </si>
  <si>
    <t xml:space="preserve">EV-HC-A-KEY-REC-L1-INDEP</t>
  </si>
  <si>
    <t xml:space="preserve">EV-HC-A-KEY-REC-L2-CONFI</t>
  </si>
  <si>
    <t xml:space="preserve">EV-HC-A-KEY-REC-L2-METRO</t>
  </si>
  <si>
    <t xml:space="preserve">EV-HC-A-KEY-REC-L2-CUSTO</t>
  </si>
  <si>
    <t xml:space="preserve">EV-HC-A-KEY-REC-L2-SAFET</t>
  </si>
  <si>
    <t xml:space="preserve">EV-HC-A-KEY-REC-L2-INDEP</t>
  </si>
  <si>
    <t xml:space="preserve">EV-LF-B-BAL-CHA-L1-CONFI</t>
  </si>
  <si>
    <t xml:space="preserve">EV-LF-B-BAL-CHA-L1-METRO</t>
  </si>
  <si>
    <t xml:space="preserve">EV-LF-B-BAL-CHA-L1-CUSTO</t>
  </si>
  <si>
    <t xml:space="preserve">EV-LF-B-BAL-CHA-L1-SAFET</t>
  </si>
  <si>
    <t xml:space="preserve">EV-LF-B-BAL-CHA-L1-INDEP</t>
  </si>
  <si>
    <t xml:space="preserve">EV-LF-B-BAL-CHA-L2-CONFI</t>
  </si>
  <si>
    <t xml:space="preserve">EV-LF-B-BAL-CHA-L2-METRO</t>
  </si>
  <si>
    <t xml:space="preserve">EV-LF-B-BAL-CHA-L2-CUSTO</t>
  </si>
  <si>
    <t xml:space="preserve">EV-LF-B-BAL-CHA-L2-SAFET</t>
  </si>
  <si>
    <t xml:space="preserve">EV-LF-B-BAL-CHA-L2-INDEP</t>
  </si>
  <si>
    <t xml:space="preserve">EV-LF-B-BAL-CON-L1-CONFI</t>
  </si>
  <si>
    <t xml:space="preserve">EV-LF-B-BAL-CON-L1-METRO</t>
  </si>
  <si>
    <t xml:space="preserve">EV-LF-B-BAL-CON-L1-CUSTO</t>
  </si>
  <si>
    <t xml:space="preserve">EV-LF-B-BAL-CON-L1-SAFET</t>
  </si>
  <si>
    <t xml:space="preserve">EV-LF-B-BAL-CON-L1-INDEP</t>
  </si>
  <si>
    <t xml:space="preserve">EV-LF-B-BAL-CON-L2-CONFI</t>
  </si>
  <si>
    <t xml:space="preserve">EV-LF-B-BAL-CON-L2-METRO</t>
  </si>
  <si>
    <t xml:space="preserve">EV-LF-B-BAL-CON-L2-CUSTO</t>
  </si>
  <si>
    <t xml:space="preserve">EV-LF-B-BAL-CON-L2-SAFET</t>
  </si>
  <si>
    <t xml:space="preserve">EV-LF-B-BAL-CON-L2-INDEP</t>
  </si>
  <si>
    <t xml:space="preserve">EV-LF-B-BAL-REC-L1-CONFI</t>
  </si>
  <si>
    <t xml:space="preserve">EV-LF-B-BAL-REC-L1-METRO</t>
  </si>
  <si>
    <t xml:space="preserve">EV-LF-B-BAL-REC-L1-CUSTO</t>
  </si>
  <si>
    <t xml:space="preserve">EV-LF-B-BAL-REC-L1-SAFET</t>
  </si>
  <si>
    <t xml:space="preserve">EV-LF-B-BAL-REC-L1-INDEP</t>
  </si>
  <si>
    <t xml:space="preserve">EV-LF-B-BAL-REC-L2-CONFI</t>
  </si>
  <si>
    <t xml:space="preserve">EV-LF-B-BAL-REC-L2-METRO</t>
  </si>
  <si>
    <t xml:space="preserve">EV-LF-B-BAL-REC-L2-CUSTO</t>
  </si>
  <si>
    <t xml:space="preserve">EV-LF-B-BAL-REC-L2-SAFET</t>
  </si>
  <si>
    <t xml:space="preserve">EV-LF-B-BAL-REC-L2-INDEP</t>
  </si>
  <si>
    <t xml:space="preserve">EV-LF-B-KEY-CHA-L1-CONFI</t>
  </si>
  <si>
    <t xml:space="preserve">EV-LF-B-KEY-CHA-L1-METRO</t>
  </si>
  <si>
    <t xml:space="preserve">EV-LF-B-KEY-CHA-L1-CUSTO</t>
  </si>
  <si>
    <t xml:space="preserve">EV-LF-B-KEY-CHA-L1-SAFET</t>
  </si>
  <si>
    <t xml:space="preserve">EV-LF-B-KEY-CHA-L1-INDEP</t>
  </si>
  <si>
    <t xml:space="preserve">EV-LF-B-KEY-CHA-L2-CONFI</t>
  </si>
  <si>
    <t xml:space="preserve">EV-LF-B-KEY-CHA-L2-METRO</t>
  </si>
  <si>
    <t xml:space="preserve">EV-LF-B-KEY-CHA-L2-CUSTO</t>
  </si>
  <si>
    <t xml:space="preserve">EV-LF-B-KEY-CHA-L2-SAFET</t>
  </si>
  <si>
    <t xml:space="preserve">EV-LF-B-KEY-CHA-L2-INDEP</t>
  </si>
  <si>
    <t xml:space="preserve">EV-LF-B-KEY-CON-L1-CONFI</t>
  </si>
  <si>
    <t xml:space="preserve">EV-LF-B-KEY-CON-L1-METRO</t>
  </si>
  <si>
    <t xml:space="preserve">EV-LF-B-KEY-CON-L1-CUSTO</t>
  </si>
  <si>
    <t xml:space="preserve">EV-LF-B-KEY-CON-L1-SAFET</t>
  </si>
  <si>
    <t xml:space="preserve">EV-LF-B-KEY-CON-L1-INDEP</t>
  </si>
  <si>
    <t xml:space="preserve">EV-LF-B-KEY-CON-L2-CONFI</t>
  </si>
  <si>
    <t xml:space="preserve">EV-LF-B-KEY-CON-L2-METRO</t>
  </si>
  <si>
    <t xml:space="preserve">EV-LF-B-KEY-CON-L2-CUSTO</t>
  </si>
  <si>
    <t xml:space="preserve">EV-LF-B-KEY-CON-L2-SAFET</t>
  </si>
  <si>
    <t xml:space="preserve">EV-LF-B-KEY-CON-L2-INDEP</t>
  </si>
  <si>
    <t xml:space="preserve">EV-LF-B-KEY-REC-L1-CONFI</t>
  </si>
  <si>
    <t xml:space="preserve">EV-LF-B-KEY-REC-L1-METRO</t>
  </si>
  <si>
    <t xml:space="preserve">EV-LF-B-KEY-REC-L1-CUSTO</t>
  </si>
  <si>
    <t xml:space="preserve">EV-LF-B-KEY-REC-L1-SAFET</t>
  </si>
  <si>
    <t xml:space="preserve">EV-LF-B-KEY-REC-L1-INDEP</t>
  </si>
  <si>
    <t xml:space="preserve">EV-LF-B-KEY-REC-L2-CONFI</t>
  </si>
  <si>
    <t xml:space="preserve">EV-LF-B-KEY-REC-L2-METRO</t>
  </si>
  <si>
    <t xml:space="preserve">EV-LF-B-KEY-REC-L2-CUSTO</t>
  </si>
  <si>
    <t xml:space="preserve">EV-LF-B-KEY-REC-L2-SAFET</t>
  </si>
  <si>
    <t xml:space="preserve">EV-LF-B-KEY-REC-L2-INDEP</t>
  </si>
  <si>
    <t xml:space="preserve">EV-HU-A-BAL-CHA-L1-CONFI</t>
  </si>
  <si>
    <t xml:space="preserve">EV-HU-A-BAL-CHA-L1-METRO</t>
  </si>
  <si>
    <t xml:space="preserve">EV-HU-A-BAL-CHA-L1-CUSTO</t>
  </si>
  <si>
    <t xml:space="preserve">EV-HU-A-BAL-CHA-L1-SAFET</t>
  </si>
  <si>
    <t xml:space="preserve">EV-HU-A-BAL-CHA-L1-INDEP</t>
  </si>
  <si>
    <t xml:space="preserve">EV-HU-A-BAL-CHA-L2-CONFI</t>
  </si>
  <si>
    <t xml:space="preserve">EV-HU-A-BAL-CHA-L2-METRO</t>
  </si>
  <si>
    <t xml:space="preserve">EV-HU-A-BAL-CHA-L2-CUSTO</t>
  </si>
  <si>
    <t xml:space="preserve">EV-HU-A-BAL-CHA-L2-SAFET</t>
  </si>
  <si>
    <t xml:space="preserve">EV-HU-A-BAL-CHA-L2-INDEP</t>
  </si>
  <si>
    <t xml:space="preserve">EV-HU-A-BAL-CON-L1-CONFI</t>
  </si>
  <si>
    <t xml:space="preserve">EV-HU-A-BAL-CON-L1-METRO</t>
  </si>
  <si>
    <t xml:space="preserve">EV-HU-A-BAL-CON-L1-CUSTO</t>
  </si>
  <si>
    <t xml:space="preserve">EV-HU-A-BAL-CON-L1-SAFET</t>
  </si>
  <si>
    <t xml:space="preserve">EV-HU-A-BAL-CON-L1-INDEP</t>
  </si>
  <si>
    <t xml:space="preserve">EV-HU-A-BAL-CON-L2-CONFI</t>
  </si>
  <si>
    <t xml:space="preserve">EV-HU-A-BAL-CON-L2-METRO</t>
  </si>
  <si>
    <t xml:space="preserve">EV-HU-A-BAL-CON-L2-CUSTO</t>
  </si>
  <si>
    <t xml:space="preserve">EV-HU-A-BAL-CON-L2-SAFET</t>
  </si>
  <si>
    <t xml:space="preserve">EV-HU-A-BAL-CON-L2-INDEP</t>
  </si>
  <si>
    <t xml:space="preserve">EV-HU-A-BAL-REC-L1-CONFI</t>
  </si>
  <si>
    <t xml:space="preserve">EV-HU-A-BAL-REC-L1-METRO</t>
  </si>
  <si>
    <t xml:space="preserve">EV-HU-A-BAL-REC-L1-CUSTO</t>
  </si>
  <si>
    <t xml:space="preserve">EV-HU-A-BAL-REC-L1-SAFET</t>
  </si>
  <si>
    <t xml:space="preserve">EV-HU-A-BAL-REC-L1-INDEP</t>
  </si>
  <si>
    <t xml:space="preserve">EV-HU-A-BAL-REC-L2-CONFI</t>
  </si>
  <si>
    <t xml:space="preserve">EV-HU-A-BAL-REC-L2-METRO</t>
  </si>
  <si>
    <t xml:space="preserve">EV-HU-A-BAL-REC-L2-CUSTO</t>
  </si>
  <si>
    <t xml:space="preserve">EV-HU-A-BAL-REC-L2-SAFET</t>
  </si>
  <si>
    <t xml:space="preserve">EV-HU-A-BAL-REC-L2-INDEP</t>
  </si>
  <si>
    <t xml:space="preserve">EV-HU-A-KEY-CHA-L1-CONFI</t>
  </si>
  <si>
    <t xml:space="preserve">EV-HU-A-KEY-CHA-L1-METRO</t>
  </si>
  <si>
    <t xml:space="preserve">EV-HU-A-KEY-CHA-L1-CUSTO</t>
  </si>
  <si>
    <t xml:space="preserve">EV-HU-A-KEY-CHA-L1-SAFET</t>
  </si>
  <si>
    <t xml:space="preserve">EV-HU-A-KEY-CHA-L1-INDEP</t>
  </si>
  <si>
    <t xml:space="preserve">EV-HU-A-KEY-CHA-L2-CONFI</t>
  </si>
  <si>
    <t xml:space="preserve">EV-HU-A-KEY-CHA-L2-METRO</t>
  </si>
  <si>
    <t xml:space="preserve">EV-HU-A-KEY-CHA-L2-CUSTO</t>
  </si>
  <si>
    <t xml:space="preserve">EV-HU-A-KEY-CHA-L2-SAFET</t>
  </si>
  <si>
    <t xml:space="preserve">EV-HU-A-KEY-CHA-L2-INDEP</t>
  </si>
  <si>
    <t xml:space="preserve">EV-HU-A-KEY-CON-L1-CONFI</t>
  </si>
  <si>
    <t xml:space="preserve">EV-HU-A-KEY-CON-L1-METRO</t>
  </si>
  <si>
    <t xml:space="preserve">EV-HU-A-KEY-CON-L1-CUSTO</t>
  </si>
  <si>
    <t xml:space="preserve">EV-HU-A-KEY-CON-L1-SAFET</t>
  </si>
  <si>
    <t xml:space="preserve">EV-HU-A-KEY-CON-L1-INDEP</t>
  </si>
  <si>
    <t xml:space="preserve">EV-HU-A-KEY-CON-L2-CONFI</t>
  </si>
  <si>
    <t xml:space="preserve">EV-HU-A-KEY-CON-L2-METRO</t>
  </si>
  <si>
    <t xml:space="preserve">EV-HU-A-KEY-CON-L2-CUSTO</t>
  </si>
  <si>
    <t xml:space="preserve">EV-HU-A-KEY-CON-L2-SAFET</t>
  </si>
  <si>
    <t xml:space="preserve">EV-HU-A-KEY-CON-L2-INDEP</t>
  </si>
  <si>
    <t xml:space="preserve">EV-HU-A-KEY-REC-L1-CONFI</t>
  </si>
  <si>
    <t xml:space="preserve">EV-HU-A-KEY-REC-L1-METRO</t>
  </si>
  <si>
    <t xml:space="preserve">EV-HU-A-KEY-REC-L1-CUSTO</t>
  </si>
  <si>
    <t xml:space="preserve">EV-HU-A-KEY-REC-L1-SAFET</t>
  </si>
  <si>
    <t xml:space="preserve">EV-HU-A-KEY-REC-L1-INDEP</t>
  </si>
  <si>
    <t xml:space="preserve">EV-HU-A-KEY-REC-L2-CONFI</t>
  </si>
  <si>
    <t xml:space="preserve">EV-HU-A-KEY-REC-L2-METRO</t>
  </si>
  <si>
    <t xml:space="preserve">EV-HU-A-KEY-REC-L2-CUSTO</t>
  </si>
  <si>
    <t xml:space="preserve">EV-HU-A-KEY-REC-L2-SAFET</t>
  </si>
  <si>
    <t xml:space="preserve">EV-HU-A-KEY-REC-L2-INDEP</t>
  </si>
  <si>
    <t xml:space="preserve">EV-RT-B-BAL-CHA-L1-CONFI</t>
  </si>
  <si>
    <t xml:space="preserve">EV-RT-B-BAL-CHA-L1-METRO</t>
  </si>
  <si>
    <t xml:space="preserve">EV-RT-B-BAL-CHA-L1-CUSTO</t>
  </si>
  <si>
    <t xml:space="preserve">EV-RT-B-BAL-CHA-L1-SAFET</t>
  </si>
  <si>
    <t xml:space="preserve">EV-RT-B-BAL-CHA-L1-INDEP</t>
  </si>
  <si>
    <t xml:space="preserve">EV-RT-B-BAL-CHA-L2-CONFI</t>
  </si>
  <si>
    <t xml:space="preserve">EV-RT-B-BAL-CHA-L2-METRO</t>
  </si>
  <si>
    <t xml:space="preserve">EV-RT-B-BAL-CHA-L2-CUSTO</t>
  </si>
  <si>
    <t xml:space="preserve">EV-RT-B-BAL-CHA-L2-SAFET</t>
  </si>
  <si>
    <t xml:space="preserve">EV-RT-B-BAL-CHA-L2-INDEP</t>
  </si>
  <si>
    <t xml:space="preserve">EV-RT-B-BAL-CON-L1-CONFI</t>
  </si>
  <si>
    <t xml:space="preserve">EV-RT-B-BAL-CON-L1-METRO</t>
  </si>
  <si>
    <t xml:space="preserve">EV-RT-B-BAL-CON-L1-CUSTO</t>
  </si>
  <si>
    <t xml:space="preserve">EV-RT-B-BAL-CON-L1-SAFET</t>
  </si>
  <si>
    <t xml:space="preserve">EV-RT-B-BAL-CON-L1-INDEP</t>
  </si>
  <si>
    <t xml:space="preserve">EV-RT-B-BAL-CON-L2-CONFI</t>
  </si>
  <si>
    <t xml:space="preserve">EV-RT-B-BAL-CON-L2-METRO</t>
  </si>
  <si>
    <t xml:space="preserve">EV-RT-B-BAL-CON-L2-CUSTO</t>
  </si>
  <si>
    <t xml:space="preserve">EV-RT-B-BAL-CON-L2-SAFET</t>
  </si>
  <si>
    <t xml:space="preserve">EV-RT-B-BAL-CON-L2-INDEP</t>
  </si>
  <si>
    <t xml:space="preserve">EV-RT-B-BAL-REC-L1-CONFI</t>
  </si>
  <si>
    <t xml:space="preserve">EV-RT-B-BAL-REC-L1-METRO</t>
  </si>
  <si>
    <t xml:space="preserve">EV-RT-B-BAL-REC-L1-CUSTO</t>
  </si>
  <si>
    <t xml:space="preserve">EV-RT-B-BAL-REC-L1-SAFET</t>
  </si>
  <si>
    <t xml:space="preserve">EV-RT-B-BAL-REC-L1-INDEP</t>
  </si>
  <si>
    <t xml:space="preserve">EV-RT-B-BAL-REC-L2-CONFI</t>
  </si>
  <si>
    <t xml:space="preserve">EV-RT-B-BAL-REC-L2-METRO</t>
  </si>
  <si>
    <t xml:space="preserve">EV-RT-B-BAL-REC-L2-CUSTO</t>
  </si>
  <si>
    <t xml:space="preserve">EV-RT-B-BAL-REC-L2-SAFET</t>
  </si>
  <si>
    <t xml:space="preserve">EV-RT-B-BAL-REC-L2-INDEP</t>
  </si>
  <si>
    <t xml:space="preserve">EV-RT-B-KEY-CHA-L1-CONFI</t>
  </si>
  <si>
    <t xml:space="preserve">EV-RT-B-KEY-CHA-L1-METRO</t>
  </si>
  <si>
    <t xml:space="preserve">EV-RT-B-KEY-CHA-L1-CUSTO</t>
  </si>
  <si>
    <t xml:space="preserve">EV-RT-B-KEY-CHA-L1-SAFET</t>
  </si>
  <si>
    <t xml:space="preserve">EV-RT-B-KEY-CHA-L1-INDEP</t>
  </si>
  <si>
    <t xml:space="preserve">EV-RT-B-KEY-CHA-L2-CONFI</t>
  </si>
  <si>
    <t xml:space="preserve">EV-RT-B-KEY-CHA-L2-METRO</t>
  </si>
  <si>
    <t xml:space="preserve">EV-RT-B-KEY-CHA-L2-CUSTO</t>
  </si>
  <si>
    <t xml:space="preserve">EV-RT-B-KEY-CHA-L2-SAFET</t>
  </si>
  <si>
    <t xml:space="preserve">EV-RT-B-KEY-CHA-L2-INDEP</t>
  </si>
  <si>
    <t xml:space="preserve">EV-RT-B-KEY-CON-L1-CONFI</t>
  </si>
  <si>
    <t xml:space="preserve">EV-RT-B-KEY-CON-L1-METRO</t>
  </si>
  <si>
    <t xml:space="preserve">EV-RT-B-KEY-CON-L1-CUSTO</t>
  </si>
  <si>
    <t xml:space="preserve">EV-RT-B-KEY-CON-L1-SAFET</t>
  </si>
  <si>
    <t xml:space="preserve">EV-RT-B-KEY-CON-L1-INDEP</t>
  </si>
  <si>
    <t xml:space="preserve">EV-RT-B-KEY-CON-L2-CONFI</t>
  </si>
  <si>
    <t xml:space="preserve">EV-RT-B-KEY-CON-L2-METRO</t>
  </si>
  <si>
    <t xml:space="preserve">EV-RT-B-KEY-CON-L2-CUSTO</t>
  </si>
  <si>
    <t xml:space="preserve">EV-RT-B-KEY-CON-L2-SAFET</t>
  </si>
  <si>
    <t xml:space="preserve">EV-RT-B-KEY-CON-L2-INDEP</t>
  </si>
  <si>
    <t xml:space="preserve">EV-RT-B-KEY-REC-L1-CONFI</t>
  </si>
  <si>
    <t xml:space="preserve">EV-RT-B-KEY-REC-L1-METRO</t>
  </si>
  <si>
    <t xml:space="preserve">EV-RT-B-KEY-REC-L1-CUSTO</t>
  </si>
  <si>
    <t xml:space="preserve">EV-RT-B-KEY-REC-L1-SAFET</t>
  </si>
  <si>
    <t xml:space="preserve">EV-RT-B-KEY-REC-L1-INDEP</t>
  </si>
  <si>
    <t xml:space="preserve">EV-RT-B-KEY-REC-L2-CONFI</t>
  </si>
  <si>
    <t xml:space="preserve">EV-RT-B-KEY-REC-L2-METRO</t>
  </si>
  <si>
    <t xml:space="preserve">EV-RT-B-KEY-REC-L2-CUSTO</t>
  </si>
  <si>
    <t xml:space="preserve">EV-RT-B-KEY-REC-L2-SAFET</t>
  </si>
  <si>
    <t xml:space="preserve">EV-RT-B-KEY-REC-L2-INDEP</t>
  </si>
  <si>
    <t xml:space="preserve">Conserved private and public authority</t>
  </si>
  <si>
    <t xml:space="preserve">The selected private ceiling is one quarter of each system's first-cohort option. The public USD 12.0B reservation remains nested inside enabling authority.</t>
  </si>
  <si>
    <t xml:space="preserve">Sentinel root</t>
  </si>
  <si>
    <t xml:space="preserve">FRAME 15%</t>
  </si>
  <si>
    <t xml:space="preserve">MAKE 35%</t>
  </si>
  <si>
    <t xml:space="preserve">BREAK 35%</t>
  </si>
  <si>
    <t xml:space="preserve">TRANSFER 15%</t>
  </si>
  <si>
    <t xml:space="preserve">Kill-paid ceiling 85%</t>
  </si>
  <si>
    <t xml:space="preserve">Current paid</t>
  </si>
  <si>
    <t xml:space="preserve">TOTAL</t>
  </si>
  <si>
    <t xml:space="preserve">Six-root wave</t>
  </si>
  <si>
    <t xml:space="preserve">Public account</t>
  </si>
  <si>
    <t xml:space="preserve">Reserved (USD B)</t>
  </si>
  <si>
    <t xml:space="preserve">Share</t>
  </si>
  <si>
    <t xml:space="preserve">Six A0 method packages</t>
  </si>
  <si>
    <t xml:space="preserve">Twenty-four receiver-state lines</t>
  </si>
  <si>
    <t xml:space="preserve">One hundred forty-four method realizations</t>
  </si>
  <si>
    <t xml:space="preserve">One hundred forty-four calibration chains</t>
  </si>
  <si>
    <t xml:space="preserve">Reset and forensics</t>
  </si>
  <si>
    <t xml:space="preserve">Rights and safety fixtures</t>
  </si>
  <si>
    <t xml:space="preserve">Replay and cold-run capacity</t>
  </si>
  <si>
    <t xml:space="preserve">Uncertainty reserve</t>
  </si>
  <si>
    <t xml:space="preserve">NESTED IN USD 80.0B</t>
  </si>
  <si>
    <t xml:space="preserve">Four-stage release and cancellation schedule</t>
  </si>
  <si>
    <t xml:space="preserve">Public and private authority move on different ledgers. The valid all-kill case stops after BREAK and withholds both public cold/replay and private TRANSFER.</t>
  </si>
  <si>
    <t xml:space="preserve">Stage</t>
  </si>
  <si>
    <t xml:space="preserve">Physical gate</t>
  </si>
  <si>
    <t xml:space="preserve">Public share</t>
  </si>
  <si>
    <t xml:space="preserve">Public increment (USD B)</t>
  </si>
  <si>
    <t xml:space="preserve">Private stage</t>
  </si>
  <si>
    <t xml:space="preserve">Private share</t>
  </si>
  <si>
    <t xml:space="preserve">Private increment (USD B)</t>
  </si>
  <si>
    <t xml:space="preserve">Cumulative paid ceiling</t>
  </si>
  <si>
    <t xml:space="preserve">Cancellation boundary</t>
  </si>
  <si>
    <t xml:space="preserve">Cumulative ceiling</t>
  </si>
  <si>
    <t xml:space="preserve">S0</t>
  </si>
  <si>
    <t xml:space="preserve">Method and station qualification</t>
  </si>
  <si>
    <t xml:space="preserve">FRAME</t>
  </si>
  <si>
    <t xml:space="preserve">Failure stops all dependent construction</t>
  </si>
  <si>
    <t xml:space="preserve">S1</t>
  </si>
  <si>
    <t xml:space="preserve">Paired challenge/control construction accepted</t>
  </si>
  <si>
    <t xml:space="preserve">MAKE</t>
  </si>
  <si>
    <t xml:space="preserve">Failure holds affected system and returns unreleased authority</t>
  </si>
  <si>
    <t xml:space="preserve">S2</t>
  </si>
  <si>
    <t xml:space="preserve">Twelve valid endpoint events and sixty packages per root</t>
  </si>
  <si>
    <t xml:space="preserve">BREAK</t>
  </si>
  <si>
    <t xml:space="preserve">Valid keystone failure kills; valid balance failure resizes</t>
  </si>
  <si>
    <t xml:space="preserve">S3</t>
  </si>
  <si>
    <t xml:space="preserve">Cold outside reconstruction and final disposition</t>
  </si>
  <si>
    <t xml:space="preserve">TRANSFER</t>
  </si>
  <si>
    <t xml:space="preserve">Missing or disagreeing replay holds; no proof release</t>
  </si>
  <si>
    <t xml:space="preserve">Maximum-loss and cancellation law</t>
  </si>
  <si>
    <t xml:space="preserve">Cancellation preserves valid adverse evidence, returns unearned authority to the owning system, and forbids transfer to a surviving winner.</t>
  </si>
  <si>
    <t xml:space="preserve">Trigger</t>
  </si>
  <si>
    <t xml:space="preserve">Scope</t>
  </si>
  <si>
    <t xml:space="preserve">Required state</t>
  </si>
  <si>
    <t xml:space="preserve">Immediate action</t>
  </si>
  <si>
    <t xml:space="preserve">Paid artifact boundary</t>
  </si>
  <si>
    <t xml:space="preserve">Returned authority</t>
  </si>
  <si>
    <t xml:space="preserve">Evidence treatment</t>
  </si>
  <si>
    <t xml:space="preserve">Successor permitted</t>
  </si>
  <si>
    <t xml:space="preserve">Public method lineages disagree</t>
  </si>
  <si>
    <t xml:space="preserve">Method card/system</t>
  </si>
  <si>
    <t xml:space="preserve">HOLD</t>
  </si>
  <si>
    <t xml:space="preserve">Stop dependent events and freeze both implementations</t>
  </si>
  <si>
    <t xml:space="preserve">Accepted public work only</t>
  </si>
  <si>
    <t xml:space="preserve">All unreleased public and private authority</t>
  </si>
  <si>
    <t xml:space="preserve">Preserve both results; no averaging</t>
  </si>
  <si>
    <t xml:space="preserve">Only after independent method correction</t>
  </si>
  <si>
    <t xml:space="preserve">Station independence collision</t>
  </si>
  <si>
    <t xml:space="preserve">Station role/system</t>
  </si>
  <si>
    <t xml:space="preserve">SUSPEND</t>
  </si>
  <si>
    <t xml:space="preserve">Remove conflicted control, tooling, or custody chain</t>
  </si>
  <si>
    <t xml:space="preserve">Accepted separable artifacts only</t>
  </si>
  <si>
    <t xml:space="preserve">Unreleased system authority</t>
  </si>
  <si>
    <t xml:space="preserve">Preserve collision record</t>
  </si>
  <si>
    <t xml:space="preserve">Yes, with clean public reconstitution</t>
  </si>
  <si>
    <t xml:space="preserve">Balance upper bound below 1.00</t>
  </si>
  <si>
    <t xml:space="preserve">Root configuration</t>
  </si>
  <si>
    <t xml:space="preserve">Cancel current CF1 scale and reopen denominator-preserving design</t>
  </si>
  <si>
    <t xml:space="preserve">Through BREAK if event valid</t>
  </si>
  <si>
    <t xml:space="preserve">TRANSFER and unearned root authority</t>
  </si>
  <si>
    <t xml:space="preserve">Permanent adverse evidence</t>
  </si>
  <si>
    <t xml:space="preserve">Yes, same mechanism with new controlled baseline</t>
  </si>
  <si>
    <t xml:space="preserve">Keystone upper bound below 1.00</t>
  </si>
  <si>
    <t xml:space="preserve">Root lineage</t>
  </si>
  <si>
    <t xml:space="preserve">Terminate lineage and prohibit favorable retest</t>
  </si>
  <si>
    <t xml:space="preserve">Only genuinely unlike replacement lineage</t>
  </si>
  <si>
    <t xml:space="preserve">Interval crosses 1.00</t>
  </si>
  <si>
    <t xml:space="preserve">Root endpoint</t>
  </si>
  <si>
    <t xml:space="preserve">No disposition and no next-stage release</t>
  </si>
  <si>
    <t xml:space="preserve">Accepted artifacts to current stage</t>
  </si>
  <si>
    <t xml:space="preserve">All later authority</t>
  </si>
  <si>
    <t xml:space="preserve">Preserve uncertainty and missingness</t>
  </si>
  <si>
    <t xml:space="preserve">Yes, only preregistered additional work</t>
  </si>
  <si>
    <t xml:space="preserve">Missing event or package</t>
  </si>
  <si>
    <t xml:space="preserve">No credit and no imputed zero</t>
  </si>
  <si>
    <t xml:space="preserve">Accepted complete artifacts only</t>
  </si>
  <si>
    <t xml:space="preserve">Missing remains missing</t>
  </si>
  <si>
    <t xml:space="preserve">Yes, within attempt cap</t>
  </si>
  <si>
    <t xml:space="preserve">More than two invalidity attempts</t>
  </si>
  <si>
    <t xml:space="preserve">Terminate lineage</t>
  </si>
  <si>
    <t xml:space="preserve">Accepted valid artifacts only</t>
  </si>
  <si>
    <t xml:space="preserve">All unreleased root authority</t>
  </si>
  <si>
    <t xml:space="preserve">Preserve invalid attempts</t>
  </si>
  <si>
    <t xml:space="preserve">No successor from killed branch</t>
  </si>
  <si>
    <t xml:space="preserve">Ancestry collision</t>
  </si>
  <si>
    <t xml:space="preserve">Affected roots</t>
  </si>
  <si>
    <t xml:space="preserve">Terminate collided lineage or both if attribution cannot be separated</t>
  </si>
  <si>
    <t xml:space="preserve">Accepted uncontaminated artifacts only</t>
  </si>
  <si>
    <t xml:space="preserve">All unreleased affected authority</t>
  </si>
  <si>
    <t xml:space="preserve">Preserve collision graph</t>
  </si>
  <si>
    <t xml:space="preserve">Only clean unlike recharter</t>
  </si>
  <si>
    <t xml:space="preserve">Safety or rights terminal breach</t>
  </si>
  <si>
    <t xml:space="preserve">Event/root</t>
  </si>
  <si>
    <t xml:space="preserve">KILL OR HOLD</t>
  </si>
  <si>
    <t xml:space="preserve">Inspector stops work; validity authority classifies cause</t>
  </si>
  <si>
    <t xml:space="preserve">No credit from protective intervention</t>
  </si>
  <si>
    <t xml:space="preserve">All later affected authority</t>
  </si>
  <si>
    <t xml:space="preserve">Preserve intervention as evidence</t>
  </si>
  <si>
    <t xml:space="preserve">Only after independent remedy</t>
  </si>
  <si>
    <t xml:space="preserve">One realization or station lost</t>
  </si>
  <si>
    <t xml:space="preserve">Method/system</t>
  </si>
  <si>
    <t xml:space="preserve">Do not collapse to surviving lineage</t>
  </si>
  <si>
    <t xml:space="preserve">Accepted completed work only</t>
  </si>
  <si>
    <t xml:space="preserve">Dependent later authority</t>
  </si>
  <si>
    <t xml:space="preserve">Preserve pre-loss record</t>
  </si>
  <si>
    <t xml:space="preserve">Yes, replace unlike capacity</t>
  </si>
  <si>
    <t xml:space="preserve">BUILD PROOF ELIGIBLE</t>
  </si>
  <si>
    <t xml:space="preserve">Release only after four-root system cohort is non-HOLD</t>
  </si>
  <si>
    <t xml:space="preserve">Through TRANSFER after cold replay</t>
  </si>
  <si>
    <t xml:space="preserve">None within root option</t>
  </si>
  <si>
    <t xml:space="preserve">Support does not equal capability</t>
  </si>
  <si>
    <t xml:space="preserve">Yes, proof construction only</t>
  </si>
  <si>
    <t xml:space="preserve">Premature identity, award, or serial claim</t>
  </si>
  <si>
    <t xml:space="preserve">Program</t>
  </si>
  <si>
    <t xml:space="preserve">VOID</t>
  </si>
  <si>
    <t xml:space="preserve">Withdraw defective warrant and reopen clean competition</t>
  </si>
  <si>
    <t xml:space="preserve">No defective artifact payment</t>
  </si>
  <si>
    <t xml:space="preserve">All associated authority</t>
  </si>
  <si>
    <t xml:space="preserve">Preserve administrative breach</t>
  </si>
  <si>
    <t xml:space="preserve">Yes, after clean reissue</t>
  </si>
  <si>
    <t xml:space="preserve">Maximum paid exposure boundaries</t>
  </si>
  <si>
    <t xml:space="preserve">These are contractual ceilings, not forecasts. Public facilities remain public assets even when a candidate root is validly killed.</t>
  </si>
  <si>
    <t xml:space="preserve">Public paid (USD B)</t>
  </si>
  <si>
    <t xml:space="preserve">Private paid (USD B)</t>
  </si>
  <si>
    <t xml:space="preserve">Total paid (USD B)</t>
  </si>
  <si>
    <t xml:space="preserve">Unreleased (USD B)</t>
  </si>
  <si>
    <t xml:space="preserve">Method fails at first gate</t>
  </si>
  <si>
    <t xml:space="preserve">Maximum common-method exposure before qualification</t>
  </si>
  <si>
    <t xml:space="preserve">Private work before any valid endpoint outcome</t>
  </si>
  <si>
    <t xml:space="preserve">FRAME and MAKE only; public estate shown separately</t>
  </si>
  <si>
    <t xml:space="preserve">All six roots validly killed at BREAK</t>
  </si>
  <si>
    <t xml:space="preserve">Public 75% remains reusable; TRANSFER and cold/replay stay held</t>
  </si>
  <si>
    <t xml:space="preserve">Largest single root killed at BREAK</t>
  </si>
  <si>
    <t xml:space="preserve">Root-specific exposure excludes shared public estate</t>
  </si>
  <si>
    <t xml:space="preserve">All six roots support and transfer</t>
  </si>
  <si>
    <t xml:space="preserve">Upper construction-wave ceiling; still no capability credit</t>
  </si>
  <si>
    <t xml:space="preserve">Mission-driven proving technology agenda</t>
  </si>
  <si>
    <t xml:space="preserve">The first construction wave funds public truth machinery and root-native science that normal markets have little reason to develop.</t>
  </si>
  <si>
    <t xml:space="preserve">Technology objective</t>
  </si>
  <si>
    <t xml:space="preserve">First physical truth object</t>
  </si>
  <si>
    <t xml:space="preserve">Kill or redesign signal</t>
  </si>
  <si>
    <t xml:space="preserve">T-ET-1</t>
  </si>
  <si>
    <t xml:space="preserve">Programmable wave-load and hydrostatic exchange fields</t>
  </si>
  <si>
    <t xml:space="preserve">Full-scale moving-interface load frame</t>
  </si>
  <si>
    <t xml:space="preserve">Custody or stability breaks below service rate</t>
  </si>
  <si>
    <t xml:space="preserve">T-ET-2</t>
  </si>
  <si>
    <t xml:space="preserve">Self-forming wet-to-dry terminal mechanics</t>
  </si>
  <si>
    <t xml:space="preserve">Breakable shore transition and ground-bearing field</t>
  </si>
  <si>
    <t xml:space="preserve">Largest connector loss defeats dry handoff</t>
  </si>
  <si>
    <t xml:space="preserve">T-ET-3</t>
  </si>
  <si>
    <t xml:space="preserve">Machine-readable custody under motion and damage</t>
  </si>
  <si>
    <t xml:space="preserve">Physical manifest and transfer truth system</t>
  </si>
  <si>
    <t xml:space="preserve">Mass or ownership becomes untraceable</t>
  </si>
  <si>
    <t xml:space="preserve">T-CT-1</t>
  </si>
  <si>
    <t xml:space="preserve">Reversible load-safe attachment to unknown facades</t>
  </si>
  <si>
    <t xml:space="preserve">Full-scale reconfigurable building skin</t>
  </si>
  <si>
    <t xml:space="preserve">Anchor load propagates damage</t>
  </si>
  <si>
    <t xml:space="preserve">T-CT-2</t>
  </si>
  <si>
    <t xml:space="preserve">Robotic utility insertion through smoke and contamination</t>
  </si>
  <si>
    <t xml:space="preserve">Fault-insertable occupied utility block</t>
  </si>
  <si>
    <t xml:space="preserve">Isolation cannot prevent cross-domain casualty</t>
  </si>
  <si>
    <t xml:space="preserve">T-CT-3</t>
  </si>
  <si>
    <t xml:space="preserve">Human-safe temporary lift, stair, power, and water trunks</t>
  </si>
  <si>
    <t xml:space="preserve">Instrumented multi-utility spine</t>
  </si>
  <si>
    <t xml:space="preserve">Access rate or lawful egress falls below threshold</t>
  </si>
  <si>
    <t xml:space="preserve">T-HC-1</t>
  </si>
  <si>
    <t xml:space="preserve">High-duty thermal structures and rapid regenerative flight</t>
  </si>
  <si>
    <t xml:space="preserve">Thermal-cycle wing and propulsion article</t>
  </si>
  <si>
    <t xml:space="preserve">Duty cycle requires hidden fleet multiplication</t>
  </si>
  <si>
    <t xml:space="preserve">T-HC-2</t>
  </si>
  <si>
    <t xml:space="preserve">Sparse plume tomography without common autonomy</t>
  </si>
  <si>
    <t xml:space="preserve">Independent atmospheric state fields</t>
  </si>
  <si>
    <t xml:space="preserve">State disagreement prevents attributed effect</t>
  </si>
  <si>
    <t xml:space="preserve">T-HC-3</t>
  </si>
  <si>
    <t xml:space="preserve">Precision multi-agent fluid deposition reconstruction</t>
  </si>
  <si>
    <t xml:space="preserve">Full-scale drop-field metrology</t>
  </si>
  <si>
    <t xml:space="preserve">Delivered fluid cannot be tied to held edge</t>
  </si>
  <si>
    <t xml:space="preserve">T-LF-1</t>
  </si>
  <si>
    <t xml:space="preserve">Rapid-bore geothermal under uncertain geology</t>
  </si>
  <si>
    <t xml:space="preserve">Instrumented multi-geology bore and circulation field</t>
  </si>
  <si>
    <t xml:space="preserve">Day-21 firm output causes drawdown or induced hazard</t>
  </si>
  <si>
    <t xml:space="preserve">T-LF-2</t>
  </si>
  <si>
    <t xml:space="preserve">Coupled geochemistry, treatment, and residual closure</t>
  </si>
  <si>
    <t xml:space="preserve">Closed heat-water-brine loop</t>
  </si>
  <si>
    <t xml:space="preserve">Scaling or residual custody breaks complete service</t>
  </si>
  <si>
    <t xml:space="preserve">T-LF-3</t>
  </si>
  <si>
    <t xml:space="preserve">Autonomous pipe and conductor corridor construction</t>
  </si>
  <si>
    <t xml:space="preserve">Robotic buried utility reach</t>
  </si>
  <si>
    <t xml:space="preserve">Deployment clock or crossing burden dominates source</t>
  </si>
  <si>
    <t xml:space="preserve">T-HU-1</t>
  </si>
  <si>
    <t xml:space="preserve">Reconfigurable sterile and critical-care metabolism</t>
  </si>
  <si>
    <t xml:space="preserve">Acuity-state clinical process island</t>
  </si>
  <si>
    <t xml:space="preserve">Mass reduction deletes a care line or safe state</t>
  </si>
  <si>
    <t xml:space="preserve">T-HU-2</t>
  </si>
  <si>
    <t xml:space="preserve">Relationship-preserving clinical identity and transfer</t>
  </si>
  <si>
    <t xml:space="preserve">Distributed patient-path custody field</t>
  </si>
  <si>
    <t xml:space="preserve">Therapy, identity, staff, or destination separates</t>
  </si>
  <si>
    <t xml:space="preserve">T-HU-3</t>
  </si>
  <si>
    <t xml:space="preserve">Autonomous supply, waste, and discharge logistics</t>
  </si>
  <si>
    <t xml:space="preserve">Closed clinical counterflow testbed</t>
  </si>
  <si>
    <t xml:space="preserve">Receiver or residual burden remains external</t>
  </si>
  <si>
    <t xml:space="preserve">T-RT-1</t>
  </si>
  <si>
    <t xml:space="preserve">Portable material-state qualification</t>
  </si>
  <si>
    <t xml:space="preserve">Disconnected coupon-to-part qualification cell</t>
  </si>
  <si>
    <t xml:space="preserve">Output lacks material-equivalence evidence</t>
  </si>
  <si>
    <t xml:space="preserve">T-RT-2</t>
  </si>
  <si>
    <t xml:space="preserve">Tamper-evident serial ancestry without vendor keys</t>
  </si>
  <si>
    <t xml:space="preserve">Cold genealogy and calibration vault</t>
  </si>
  <si>
    <t xml:space="preserve">Reproduction depends on hidden software or calibration</t>
  </si>
  <si>
    <t xml:space="preserve">T-RT-3</t>
  </si>
  <si>
    <t xml:space="preserve">Adaptive microfactory energy and process control</t>
  </si>
  <si>
    <t xml:space="preserve">Multi-process islanded production mesh</t>
  </si>
  <si>
    <t xml:space="preserve">Qualified output per MWh falls below threshold</t>
  </si>
  <si>
    <t xml:space="preserve">Construction-wave state ledger</t>
  </si>
  <si>
    <t xml:space="preserve">Selection and authority are real program decisions. They do not create a contract, site, serial, observation, payment, or capability state.</t>
  </si>
  <si>
    <t xml:space="preserve">Object</t>
  </si>
  <si>
    <t xml:space="preserve">Quantity</t>
  </si>
  <si>
    <t xml:space="preserve">State now</t>
  </si>
  <si>
    <t xml:space="preserve">Authorized transition</t>
  </si>
  <si>
    <t xml:space="preserve">Still prohibited</t>
  </si>
  <si>
    <t xml:space="preserve">Owning warrant</t>
  </si>
  <si>
    <t xml:space="preserve">Sentinel roots</t>
  </si>
  <si>
    <t xml:space="preserve">Compete bounded A2 packages</t>
  </si>
  <si>
    <t xml:space="preserve">Winner, article, or proof inference</t>
  </si>
  <si>
    <t xml:space="preserve">Mission System Command</t>
  </si>
  <si>
    <t xml:space="preserve">FROZEN</t>
  </si>
  <si>
    <t xml:space="preserve">Publish preregistered thresholds</t>
  </si>
  <si>
    <t xml:space="preserve">Outcome-aware amendment</t>
  </si>
  <si>
    <t xml:space="preserve">Root Disposition Board</t>
  </si>
  <si>
    <t xml:space="preserve">Compete functional public stations</t>
  </si>
  <si>
    <t xml:space="preserve">Site or operator inference</t>
  </si>
  <si>
    <t xml:space="preserve">Resilience Proving Service</t>
  </si>
  <si>
    <t xml:space="preserve">Initial station lanes</t>
  </si>
  <si>
    <t xml:space="preserve">One root plus one regeneration lane per station</t>
  </si>
  <si>
    <t xml:space="preserve">Three held root lanes per station</t>
  </si>
  <si>
    <t xml:space="preserve">Proving commands</t>
  </si>
  <si>
    <t xml:space="preserve">Construct public state lines</t>
  </si>
  <si>
    <t xml:space="preserve">Candidate-defined receiver truth</t>
  </si>
  <si>
    <t xml:space="preserve">Mission System Commands</t>
  </si>
  <si>
    <t xml:space="preserve">Method cards</t>
  </si>
  <si>
    <t xml:space="preserve">Construct unlike realizations</t>
  </si>
  <si>
    <t xml:space="preserve">Shared candidate control code</t>
  </si>
  <si>
    <t xml:space="preserve">Standards and Custody Command</t>
  </si>
  <si>
    <t xml:space="preserve">Method realizations</t>
  </si>
  <si>
    <t xml:space="preserve">Compete two unlike lineages per card</t>
  </si>
  <si>
    <t xml:space="preserve">Acceptance before evidence</t>
  </si>
  <si>
    <t xml:space="preserve">Worlds/Counterfactual Commands</t>
  </si>
  <si>
    <t xml:space="preserve">HELD</t>
  </si>
  <si>
    <t xml:space="preserve">Schedule only after all antecedent warrants</t>
  </si>
  <si>
    <t xml:space="preserve">Counting prospective slots as evidence</t>
  </si>
  <si>
    <t xml:space="preserve">Event validity authority</t>
  </si>
  <si>
    <t xml:space="preserve">Populate only from valid physical events</t>
  </si>
  <si>
    <t xml:space="preserve">Imputation or favorable averaging</t>
  </si>
  <si>
    <t xml:space="preserve">Private option ceiling</t>
  </si>
  <si>
    <t xml:space="preserve">RESERVED</t>
  </si>
  <si>
    <t xml:space="preserve">Release four artifact payments</t>
  </si>
  <si>
    <t xml:space="preserve">Transfer between roots</t>
  </si>
  <si>
    <t xml:space="preserve">Program Comptroller</t>
  </si>
  <si>
    <t xml:space="preserve">Public reserve</t>
  </si>
  <si>
    <t xml:space="preserve">Release 25/50/0/25 by public gates</t>
  </si>
  <si>
    <t xml:space="preserve">Add to USD 80.0B account</t>
  </si>
  <si>
    <t xml:space="preserve">Obligations and payments</t>
  </si>
  <si>
    <t xml:space="preserve">None until named warrant succession</t>
  </si>
  <si>
    <t xml:space="preserve">Schedule-to-payment conversion</t>
  </si>
  <si>
    <t xml:space="preserve">Capability and production credit</t>
  </si>
  <si>
    <t xml:space="preserve">None in A2</t>
  </si>
  <si>
    <t xml:space="preserve">Prototype-to-force conversion</t>
  </si>
  <si>
    <t xml:space="preserve">Capability authority</t>
  </si>
  <si>
    <t xml:space="preserve">Exterior rendering</t>
  </si>
  <si>
    <t xml:space="preserve">None before representative geometry</t>
  </si>
  <si>
    <t xml:space="preserve">Form choosing mechanism</t>
  </si>
  <si>
    <t xml:space="preserve">Design authority</t>
  </si>
  <si>
    <t xml:space="preserve">Architecture stress tests</t>
  </si>
  <si>
    <t xml:space="preserve">Each case asks whether one attractive shortcut can preserve the selected construction constitution. PASS means the law rejects the shortcut or preserves the invariant.</t>
  </si>
  <si>
    <t xml:space="preserve">Test</t>
  </si>
  <si>
    <t xml:space="preserve">Perturbation</t>
  </si>
  <si>
    <t xml:space="preserve">Expected response</t>
  </si>
  <si>
    <t xml:space="preserve">Formula result</t>
  </si>
  <si>
    <t xml:space="preserve">Why it matters</t>
  </si>
  <si>
    <t xml:space="preserve">ST-01</t>
  </si>
  <si>
    <t xml:space="preserve">Only five systems enter</t>
  </si>
  <si>
    <t xml:space="preserve">FAIL</t>
  </si>
  <si>
    <t xml:space="preserve">Reject partial portfolio</t>
  </si>
  <si>
    <t xml:space="preserve">ST-02</t>
  </si>
  <si>
    <t xml:space="preserve">Balance endpoint omitted</t>
  </si>
  <si>
    <t xml:space="preserve">Reject mechanism-only testing</t>
  </si>
  <si>
    <t xml:space="preserve">ST-03</t>
  </si>
  <si>
    <t xml:space="preserve">Keystone endpoint omitted</t>
  </si>
  <si>
    <t xml:space="preserve">Reject scale-only testing</t>
  </si>
  <si>
    <t xml:space="preserve">ST-04</t>
  </si>
  <si>
    <t xml:space="preserve">Only two rig roles</t>
  </si>
  <si>
    <t xml:space="preserve">Preserve cold outside reconstruction</t>
  </si>
  <si>
    <t xml:space="preserve">ST-05</t>
  </si>
  <si>
    <t xml:space="preserve">One method lineage</t>
  </si>
  <si>
    <t xml:space="preserve">Prevent self-confirming public truth</t>
  </si>
  <si>
    <t xml:space="preserve">ST-06</t>
  </si>
  <si>
    <t xml:space="preserve">Twenty-four roots built</t>
  </si>
  <si>
    <t xml:space="preserve">Reject excess first-wave exposure</t>
  </si>
  <si>
    <t xml:space="preserve">ST-07</t>
  </si>
  <si>
    <t xml:space="preserve">Public reserve raised to USD 13B</t>
  </si>
  <si>
    <t xml:space="preserve">Conserve nested authority</t>
  </si>
  <si>
    <t xml:space="preserve">ST-08</t>
  </si>
  <si>
    <t xml:space="preserve">Private wave exceeds selected six-root options</t>
  </si>
  <si>
    <t xml:space="preserve">Preserve root-specific ceiling</t>
  </si>
  <si>
    <t xml:space="preserve">ST-09</t>
  </si>
  <si>
    <t xml:space="preserve">TRANSFER paid after valid keystone kill</t>
  </si>
  <si>
    <t xml:space="preserve">Withhold unearned cold transfer</t>
  </si>
  <si>
    <t xml:space="preserve">ST-10</t>
  </si>
  <si>
    <t xml:space="preserve">Failure reserve used for ordinary construction</t>
  </si>
  <si>
    <t xml:space="preserve">Protect invalidity and reconstitution capacity</t>
  </si>
  <si>
    <t xml:space="preserve">ST-11</t>
  </si>
  <si>
    <t xml:space="preserve">One active and one regeneration lane per station</t>
  </si>
  <si>
    <t xml:space="preserve">PASS</t>
  </si>
  <si>
    <t xml:space="preserve">Minimum functional nucleus</t>
  </si>
  <si>
    <t xml:space="preserve">ST-12</t>
  </si>
  <si>
    <t xml:space="preserve">Three future root lanes remain held</t>
  </si>
  <si>
    <t xml:space="preserve">Preserve four-root expansion without building it</t>
  </si>
  <si>
    <t xml:space="preserve">ST-13</t>
  </si>
  <si>
    <t xml:space="preserve">Current obligations remain zero</t>
  </si>
  <si>
    <t xml:space="preserve">Authority is not a contract</t>
  </si>
  <si>
    <t xml:space="preserve">ST-14</t>
  </si>
  <si>
    <t xml:space="preserve">Current capability credit remains zero</t>
  </si>
  <si>
    <t xml:space="preserve">Construction is not capability</t>
  </si>
  <si>
    <t xml:space="preserve">ST-15</t>
  </si>
  <si>
    <t xml:space="preserve">Sites remain source empty</t>
  </si>
  <si>
    <t xml:space="preserve">No geography inferred</t>
  </si>
  <si>
    <t xml:space="preserve">ST-16</t>
  </si>
  <si>
    <t xml:space="preserve">Exterior rendering remains held</t>
  </si>
  <si>
    <t xml:space="preserve">No premature form lock</t>
  </si>
  <si>
    <t xml:space="preserve">Restored mutation register</t>
  </si>
  <si>
    <t xml:space="preserve">The builder changes fourteen controlling inputs one at a time, verifies that the master audit fails, and restores the authoritative value before export.</t>
  </si>
  <si>
    <t xml:space="preserve">Mutation</t>
  </si>
  <si>
    <t xml:space="preserve">Target</t>
  </si>
  <si>
    <t xml:space="preserve">Expected master state</t>
  </si>
  <si>
    <t xml:space="preserve">Observed in build</t>
  </si>
  <si>
    <t xml:space="preserve">Restored</t>
  </si>
  <si>
    <t xml:space="preserve">Purpose</t>
  </si>
  <si>
    <t xml:space="preserve">M01</t>
  </si>
  <si>
    <t xml:space="preserve">Controls!B5</t>
  </si>
  <si>
    <t xml:space="preserve">First tranche +1</t>
  </si>
  <si>
    <t xml:space="preserve">DETECTED</t>
  </si>
  <si>
    <t xml:space="preserve">Tranche conservation</t>
  </si>
  <si>
    <t xml:space="preserve">M02</t>
  </si>
  <si>
    <t xml:space="preserve">Controls!B6</t>
  </si>
  <si>
    <t xml:space="preserve">Mission systems +1</t>
  </si>
  <si>
    <t xml:space="preserve">Account conservation</t>
  </si>
  <si>
    <t xml:space="preserve">M03</t>
  </si>
  <si>
    <t xml:space="preserve">Controls!B10</t>
  </si>
  <si>
    <t xml:space="preserve">Failure reserve +1</t>
  </si>
  <si>
    <t xml:space="preserve">Reserve protection</t>
  </si>
  <si>
    <t xml:space="preserve">M04</t>
  </si>
  <si>
    <t xml:space="preserve">Controls!B12</t>
  </si>
  <si>
    <t xml:space="preserve">Public method +1</t>
  </si>
  <si>
    <t xml:space="preserve">Nested public ceiling</t>
  </si>
  <si>
    <t xml:space="preserve">M05</t>
  </si>
  <si>
    <t xml:space="preserve">Controls!B13</t>
  </si>
  <si>
    <t xml:space="preserve">Cohort options +1</t>
  </si>
  <si>
    <t xml:space="preserve">Inherited private ceiling</t>
  </si>
  <si>
    <t xml:space="preserve">M06</t>
  </si>
  <si>
    <t xml:space="preserve">Controls!B15</t>
  </si>
  <si>
    <t xml:space="preserve">Mission systems −1</t>
  </si>
  <si>
    <t xml:space="preserve">All-six requirement</t>
  </si>
  <si>
    <t xml:space="preserve">M07</t>
  </si>
  <si>
    <t xml:space="preserve">Controls!B16</t>
  </si>
  <si>
    <t xml:space="preserve">Selected roots +1</t>
  </si>
  <si>
    <t xml:space="preserve">One-root-per-system rule</t>
  </si>
  <si>
    <t xml:space="preserve">M08</t>
  </si>
  <si>
    <t xml:space="preserve">Controls!B17</t>
  </si>
  <si>
    <t xml:space="preserve">Receiver states +1</t>
  </si>
  <si>
    <t xml:space="preserve">Receiver denominator</t>
  </si>
  <si>
    <t xml:space="preserve">M09</t>
  </si>
  <si>
    <t xml:space="preserve">Controls!B18</t>
  </si>
  <si>
    <t xml:space="preserve">Method cards +1</t>
  </si>
  <si>
    <t xml:space="preserve">Method-card denominator</t>
  </si>
  <si>
    <t xml:space="preserve">M10</t>
  </si>
  <si>
    <t xml:space="preserve">Controls!B19</t>
  </si>
  <si>
    <t xml:space="preserve">Lineages −1</t>
  </si>
  <si>
    <t xml:space="preserve">Unlike realization rule</t>
  </si>
  <si>
    <t xml:space="preserve">M11</t>
  </si>
  <si>
    <t xml:space="preserve">Controls!B20</t>
  </si>
  <si>
    <t xml:space="preserve">Endpoints −1</t>
  </si>
  <si>
    <t xml:space="preserve">Paired endpoint rule</t>
  </si>
  <si>
    <t xml:space="preserve">M12</t>
  </si>
  <si>
    <t xml:space="preserve">Controls!B21</t>
  </si>
  <si>
    <t xml:space="preserve">Rig roles −1</t>
  </si>
  <si>
    <t xml:space="preserve">Cold-reconstruction role</t>
  </si>
  <si>
    <t xml:space="preserve">M13</t>
  </si>
  <si>
    <t xml:space="preserve">Controls!B22</t>
  </si>
  <si>
    <t xml:space="preserve">Events per role −1</t>
  </si>
  <si>
    <t xml:space="preserve">Event denominator</t>
  </si>
  <si>
    <t xml:space="preserve">M14</t>
  </si>
  <si>
    <t xml:space="preserve">Controls!B23</t>
  </si>
  <si>
    <t xml:space="preserve">Packages per event −1</t>
  </si>
  <si>
    <t xml:space="preserve">Evidence completeness</t>
  </si>
  <si>
    <t xml:space="preserve">Terminal audit</t>
  </si>
  <si>
    <t xml:space="preserve">The master result fails if any invariant below fails. Checks use fixed authoritative boundaries rather than reading their expected answer from the same input.</t>
  </si>
  <si>
    <t xml:space="preserve">Audit</t>
  </si>
  <si>
    <t xml:space="preserve">Requirement</t>
  </si>
  <si>
    <t xml:space="preserve">Expected</t>
  </si>
  <si>
    <t xml:space="preserve">Actual</t>
  </si>
  <si>
    <t xml:space="preserve">A01</t>
  </si>
  <si>
    <t xml:space="preserve">First tranche conserved</t>
  </si>
  <si>
    <t xml:space="preserve">A02</t>
  </si>
  <si>
    <t xml:space="preserve">Five accounts sum to tranche</t>
  </si>
  <si>
    <t xml:space="preserve">A03</t>
  </si>
  <si>
    <t xml:space="preserve">Public/enabling account unchanged</t>
  </si>
  <si>
    <t xml:space="preserve">A04</t>
  </si>
  <si>
    <t xml:space="preserve">Public-method reserve unchanged</t>
  </si>
  <si>
    <t xml:space="preserve">A05</t>
  </si>
  <si>
    <t xml:space="preserve">Public method remains nested</t>
  </si>
  <si>
    <t xml:space="preserve">A06</t>
  </si>
  <si>
    <t xml:space="preserve">Cohort stageable ceiling unchanged</t>
  </si>
  <si>
    <t xml:space="preserve">A07</t>
  </si>
  <si>
    <t xml:space="preserve">A08</t>
  </si>
  <si>
    <t xml:space="preserve">A09</t>
  </si>
  <si>
    <t xml:space="preserve">A10</t>
  </si>
  <si>
    <t xml:space="preserve">One selected root per system</t>
  </si>
  <si>
    <t xml:space="preserve">A11</t>
  </si>
  <si>
    <t xml:space="preserve">ET-A selected</t>
  </si>
  <si>
    <t xml:space="preserve">SELECTED</t>
  </si>
  <si>
    <t xml:space="preserve">A12</t>
  </si>
  <si>
    <t xml:space="preserve">CT-C selected</t>
  </si>
  <si>
    <t xml:space="preserve">A13</t>
  </si>
  <si>
    <t xml:space="preserve">HC-A selected</t>
  </si>
  <si>
    <t xml:space="preserve">A14</t>
  </si>
  <si>
    <t xml:space="preserve">LF-B selected</t>
  </si>
  <si>
    <t xml:space="preserve">A15</t>
  </si>
  <si>
    <t xml:space="preserve">HU-A selected</t>
  </si>
  <si>
    <t xml:space="preserve">A16</t>
  </si>
  <si>
    <t xml:space="preserve">RT-B selected</t>
  </si>
  <si>
    <t xml:space="preserve">A17</t>
  </si>
  <si>
    <t xml:space="preserve">A18</t>
  </si>
  <si>
    <t xml:space="preserve">Method cards per state</t>
  </si>
  <si>
    <t xml:space="preserve">A19</t>
  </si>
  <si>
    <t xml:space="preserve">Unlike realizations per card</t>
  </si>
  <si>
    <t xml:space="preserve">A20</t>
  </si>
  <si>
    <t xml:space="preserve">Paired endpoints</t>
  </si>
  <si>
    <t xml:space="preserve">A21</t>
  </si>
  <si>
    <t xml:space="preserve">Three rig roles</t>
  </si>
  <si>
    <t xml:space="preserve">A22</t>
  </si>
  <si>
    <t xml:space="preserve">Four events per role</t>
  </si>
  <si>
    <t xml:space="preserve">A23</t>
  </si>
  <si>
    <t xml:space="preserve">Five packages per event</t>
  </si>
  <si>
    <t xml:space="preserve">A24</t>
  </si>
  <si>
    <t xml:space="preserve">Two invalidity attempts per root</t>
  </si>
  <si>
    <t xml:space="preserve">A25</t>
  </si>
  <si>
    <t xml:space="preserve">Receiver-state total</t>
  </si>
  <si>
    <t xml:space="preserve">A26</t>
  </si>
  <si>
    <t xml:space="preserve">Method-card total</t>
  </si>
  <si>
    <t xml:space="preserve">A27</t>
  </si>
  <si>
    <t xml:space="preserve">Realization total</t>
  </si>
  <si>
    <t xml:space="preserve">A28</t>
  </si>
  <si>
    <t xml:space="preserve">Endpoint total</t>
  </si>
  <si>
    <t xml:space="preserve">A29</t>
  </si>
  <si>
    <t xml:space="preserve">Event total</t>
  </si>
  <si>
    <t xml:space="preserve">A30</t>
  </si>
  <si>
    <t xml:space="preserve">Evidence-package total</t>
  </si>
  <si>
    <t xml:space="preserve">A31</t>
  </si>
  <si>
    <t xml:space="preserve">Station nuclei total</t>
  </si>
  <si>
    <t xml:space="preserve">A32</t>
  </si>
  <si>
    <t xml:space="preserve">Initial lane total</t>
  </si>
  <si>
    <t xml:space="preserve">A33</t>
  </si>
  <si>
    <t xml:space="preserve">Full lane total</t>
  </si>
  <si>
    <t xml:space="preserve">A34</t>
  </si>
  <si>
    <t xml:space="preserve">A35</t>
  </si>
  <si>
    <t xml:space="preserve">Private selected ceiling</t>
  </si>
  <si>
    <t xml:space="preserve">A36</t>
  </si>
  <si>
    <t xml:space="preserve">A37</t>
  </si>
  <si>
    <t xml:space="preserve">A38</t>
  </si>
  <si>
    <t xml:space="preserve">A39</t>
  </si>
  <si>
    <t xml:space="preserve">A40</t>
  </si>
  <si>
    <t xml:space="preserve">Private shares sum to one</t>
  </si>
  <si>
    <t xml:space="preserve">A41</t>
  </si>
  <si>
    <t xml:space="preserve">Public shares sum to one</t>
  </si>
  <si>
    <t xml:space="preserve">A42</t>
  </si>
  <si>
    <t xml:space="preserve">Public reserve categories sum</t>
  </si>
  <si>
    <t xml:space="preserve">A43</t>
  </si>
  <si>
    <t xml:space="preserve">Combined wave ceiling</t>
  </si>
  <si>
    <t xml:space="preserve">A44</t>
  </si>
  <si>
    <t xml:space="preserve">All-kill paid ceiling</t>
  </si>
  <si>
    <t xml:space="preserve">A45</t>
  </si>
  <si>
    <t xml:space="preserve">All-kill unexercised ceiling</t>
  </si>
  <si>
    <t xml:space="preserve">A46</t>
  </si>
  <si>
    <t xml:space="preserve">Failure reserve untouched</t>
  </si>
  <si>
    <t xml:space="preserve">A47</t>
  </si>
  <si>
    <t xml:space="preserve">Current obligations zero</t>
  </si>
  <si>
    <t xml:space="preserve">A48</t>
  </si>
  <si>
    <t xml:space="preserve">Current capability credit zero</t>
  </si>
  <si>
    <t xml:space="preserve">A49</t>
  </si>
  <si>
    <t xml:space="preserve">Exterior rendering held</t>
  </si>
  <si>
    <t xml:space="preserve">A50</t>
  </si>
  <si>
    <t xml:space="preserve">Sites source empty</t>
  </si>
  <si>
    <t xml:space="preserve">A51</t>
  </si>
  <si>
    <t xml:space="preserve">Firms source empty</t>
  </si>
  <si>
    <t xml:space="preserve">A52</t>
  </si>
  <si>
    <t xml:space="preserve">Serials source empty</t>
  </si>
  <si>
    <t xml:space="preserve">A53</t>
  </si>
  <si>
    <t xml:space="preserve">Observations source empty</t>
  </si>
  <si>
    <t xml:space="preserve">A54</t>
  </si>
  <si>
    <t xml:space="preserve">All endpoint observations empty</t>
  </si>
  <si>
    <t xml:space="preserve">A55</t>
  </si>
  <si>
    <t xml:space="preserve">All event observations empty</t>
  </si>
  <si>
    <t xml:space="preserve">A56</t>
  </si>
  <si>
    <t xml:space="preserve">All evidence packages open</t>
  </si>
  <si>
    <t xml:space="preserve">A57</t>
  </si>
  <si>
    <t xml:space="preserve">All method realizations unaccepted</t>
  </si>
  <si>
    <t xml:space="preserve">A58</t>
  </si>
  <si>
    <t xml:space="preserve">All alternatives have one selected pass</t>
  </si>
  <si>
    <t xml:space="preserve">A59</t>
  </si>
  <si>
    <t xml:space="preserve">Compound falsification selected</t>
  </si>
  <si>
    <t xml:space="preserve">A60</t>
  </si>
  <si>
    <t xml:space="preserve">Stress tests agree</t>
  </si>
  <si>
    <t xml:space="preserve">A61</t>
  </si>
  <si>
    <t xml:space="preserve">No candidate credit from method realizations</t>
  </si>
  <si>
    <t xml:space="preserve">A62</t>
  </si>
  <si>
    <t xml:space="preserve">No current private payment</t>
  </si>
  <si>
    <t xml:space="preserve">A63</t>
  </si>
  <si>
    <t xml:space="preserve">No named station sites</t>
  </si>
  <si>
    <t xml:space="preserve">A64</t>
  </si>
  <si>
    <t xml:space="preserve">No named station operators</t>
  </si>
  <si>
    <t xml:space="preserve">Internal sources and model limits</t>
  </si>
  <si>
    <t xml:space="preserve">No external sites are used. Every figure is inherited from a prior repository constitution or derived directly from those figures.</t>
  </si>
  <si>
    <t xml:space="preserve">Source</t>
  </si>
  <si>
    <t xml:space="preserve">Repository artifact</t>
  </si>
  <si>
    <t xml:space="preserve">Inherited decision or figure</t>
  </si>
  <si>
    <t xml:space="preserve">Use in this model</t>
  </si>
  <si>
    <t xml:space="preserve">Limit</t>
  </si>
  <si>
    <t xml:space="preserve">Pass 210</t>
  </si>
  <si>
    <t xml:space="preserve">research/force/generation/department-of-resilience-national-first-physical-launch-compact-and-return.md</t>
  </si>
  <si>
    <t xml:space="preserve">USD 200B tranche; zero-state launch lattice</t>
  </si>
  <si>
    <t xml:space="preserve">Parent fiscal and warrant state</t>
  </si>
  <si>
    <t xml:space="preserve">Planning authority, not execution</t>
  </si>
  <si>
    <t xml:space="preserve">research/force/generation/department-of-resilience-federated-public-method-grid-and-first-a1-experimental-release-constitution.md</t>
  </si>
  <si>
    <t xml:space="preserve">24 states; 72 cards; 144 realizations; USD 12B reserve</t>
  </si>
  <si>
    <t xml:space="preserve">Public method and receiver estate</t>
  </si>
  <si>
    <t xml:space="preserve">Implementations and evidence source empty</t>
  </si>
  <si>
    <t xml:space="preserve">research/force/generation/department-of-resilience-first-six-system-requirement-cohort-and-public-service-vector-constitution.md</t>
  </si>
  <si>
    <t xml:space="preserve">Six fields; 24 A1s; USD 14.347651277B stageable</t>
  </si>
  <si>
    <t xml:space="preserve">Root options and selected system fields</t>
  </si>
  <si>
    <t xml:space="preserve">No root is awarded</t>
  </si>
  <si>
    <t xml:space="preserve">research/force/generation/department-of-resilience-first-tranche-industrial-transaction-and-anti-convergence-constitution.md</t>
  </si>
  <si>
    <t xml:space="preserve">FRAME/MAKE/BREAK/TRANSFER = 15/35/35/15</t>
  </si>
  <si>
    <t xml:space="preserve">Private payment ladder</t>
  </si>
  <si>
    <t xml:space="preserve">Payment requires accepted artifact</t>
  </si>
  <si>
    <t xml:space="preserve">Pass 184</t>
  </si>
  <si>
    <t xml:space="preserve">research/force/generation/department-of-resilience-proving-service-and-synchronized-proof-wave-return.md</t>
  </si>
  <si>
    <t xml:space="preserve">Challenge/control/reconstruction roles and regeneration lanes</t>
  </si>
  <si>
    <t xml:space="preserve">Public station constitution</t>
  </si>
  <si>
    <t xml:space="preserve">Prior estate covered five non-lifeline systems</t>
  </si>
  <si>
    <t xml:space="preserve">research/force/generation/department-of-resilience-twenty-root-pre-article-falsification-and-scale-decision-constitution.md</t>
  </si>
  <si>
    <t xml:space="preserve">Two endpoints; three roles; 12 events; 60 packages; two invalidity attempts</t>
  </si>
  <si>
    <t xml:space="preserve">A2 evidence topology and disposition</t>
  </si>
  <si>
    <t xml:space="preserve">Non-lifeline basis extended to all-six sentinel</t>
  </si>
  <si>
    <t xml:space="preserve">Pass 182</t>
  </si>
  <si>
    <t xml:space="preserve">research/force/generation/department-of-resilience-twenty-non-lifeline-root-first-principles-physical-balance-constitution.md</t>
  </si>
  <si>
    <t xml:space="preserve">Non-lifeline loss margins and limiting accounts</t>
  </si>
  <si>
    <t xml:space="preserve">Fragility-first root selection</t>
  </si>
  <si>
    <t xml:space="preserve">Paper coefficients only</t>
  </si>
  <si>
    <t xml:space="preserve">Pass 176</t>
  </si>
  <si>
    <t xml:space="preserve">research/force/generation/department-of-resilience-lifeline-four-root-physical-configuration-and-g3-entry-constitution.md</t>
  </si>
  <si>
    <t xml:space="preserve">Lifeline source margins and hypotheses</t>
  </si>
  <si>
    <t xml:space="preserve">Lifeline tie set and root option</t>
  </si>
  <si>
    <t xml:space="preserve">Full G3 proof remains later</t>
  </si>
  <si>
    <t xml:space="preserve">Model limits</t>
  </si>
  <si>
    <t xml:space="preserve">Implication</t>
  </si>
  <si>
    <t xml:space="preserve">No physical observations</t>
  </si>
  <si>
    <t xml:space="preserve">Every endpoint, event, package, and acceptance remains HOLD or source empty.</t>
  </si>
  <si>
    <t xml:space="preserve">No named sites or firms</t>
  </si>
  <si>
    <t xml:space="preserve">Construction warrants can be competed but cannot become notice to proceed.</t>
  </si>
  <si>
    <t xml:space="preserve">No cost estimate</t>
  </si>
  <si>
    <t xml:space="preserve">USD values are conserved authority ceilings, not bids, forecasts, or asset values.</t>
  </si>
  <si>
    <t xml:space="preserve">No production inference</t>
  </si>
  <si>
    <t xml:space="preserve">A2 can only resize, kill, hold, or make one root eligible for later proof.</t>
  </si>
  <si>
    <t xml:space="preserve">No geographic design</t>
  </si>
  <si>
    <t xml:space="preserve">Station nuclei are functional formations; site separation is a later warrant.</t>
  </si>
  <si>
    <t xml:space="preserve">No exterior form</t>
  </si>
  <si>
    <t xml:space="preserve">Rendering remains held until representative subsystem geometry is earned.</t>
  </si>
  <si>
    <t xml:space="preserve">Tie-break judgment</t>
  </si>
  <si>
    <t xml:space="preserve">CT-C and LF-B are selected from exact-margin ties by frozen cross-system causal leverage.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</si>
</sst>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%"/>
    <numFmt numFmtId="167" formatCode="0.0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7324D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b val="true"/>
      <sz val="9"/>
      <color rgb="FF000000"/>
      <name val="Arial"/>
      <family val="2"/>
    </font>
    <font>
      <sz val="7.5"/>
      <color rgb="FF000000"/>
      <name val="Arial"/>
      <family val="2"/>
    </font>
    <font>
      <sz val="10"/>
      <color rgb="FF000000"/>
      <name val="Arial"/>
      <family val="2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24D"/>
        <bgColor rgb="FF1F1F1F"/>
      </patternFill>
    </fill>
    <fill>
      <patternFill patternType="solid">
        <fgColor rgb="FFF3F6F8"/>
        <bgColor rgb="FFFFFFFF"/>
      </patternFill>
    </fill>
    <fill>
      <patternFill patternType="solid">
        <fgColor rgb="FFD9EAF7"/>
        <bgColor rgb="FFD9E2F3"/>
      </patternFill>
    </fill>
    <fill>
      <patternFill patternType="solid">
        <fgColor rgb="FF2F75B5"/>
        <bgColor rgb="FF156082"/>
      </patternFill>
    </fill>
    <fill>
      <patternFill patternType="solid">
        <fgColor rgb="FFE7E6E6"/>
        <bgColor rgb="FFE2F0D9"/>
      </patternFill>
    </fill>
    <fill>
      <patternFill patternType="solid">
        <fgColor rgb="FFE2F0D9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9">
    <dxf>
      <font>
        <b val="1"/>
        <color rgb="FF548235"/>
      </font>
      <fill>
        <patternFill>
          <bgColor rgb="FFE2F0D9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ill>
        <patternFill>
          <bgColor rgb="FFE7E6E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156082"/>
      <rgbColor rgb="FFB4C6D7"/>
      <rgbColor rgb="FF8B8B8B"/>
      <rgbColor rgb="FF9999FF"/>
      <rgbColor rgb="FF993366"/>
      <rgbColor rgb="FFF3F6F8"/>
      <rgbColor rgb="FFD9EA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F0D9"/>
      <rgbColor rgb="FFE7E6E6"/>
      <rgbColor rgb="FFD9D9D9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1F1F1F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Cumulative paid authority (USD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"Cumulative ceiling"</c:f>
              <c:strCache>
                <c:ptCount val="1"/>
                <c:pt idx="0">
                  <c:v>Cumulative ceiling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'Stage Schedule'!$K$5:$K$8</c:f>
              <c:strCache>
                <c:ptCount val="4"/>
                <c:pt idx="0">
                  <c:v>S0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</c:strCache>
            </c:strRef>
          </c:cat>
          <c:val>
            <c:numRef>
              <c:f>'Stage Schedule'!$L$5:$L$8</c:f>
              <c:numCache>
                <c:formatCode>0.000</c:formatCode>
                <c:ptCount val="4"/>
                <c:pt idx="0">
                  <c:v>3.53803692289808</c:v>
                </c:pt>
                <c:pt idx="1">
                  <c:v>10.7934564096603</c:v>
                </c:pt>
                <c:pt idx="2">
                  <c:v>12.0488758964225</c:v>
                </c:pt>
                <c:pt idx="3">
                  <c:v>15.5869128193206</c:v>
                </c:pt>
              </c:numCache>
            </c:numRef>
          </c:val>
        </c:ser>
        <c:gapWidth val="150"/>
        <c:overlap val="0"/>
        <c:axId val="5370359"/>
        <c:axId val="14025160"/>
      </c:barChart>
      <c:catAx>
        <c:axId val="537035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75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4025160"/>
        <c:crosses val="autoZero"/>
        <c:auto val="1"/>
        <c:lblAlgn val="ctr"/>
        <c:lblOffset val="100"/>
        <c:noMultiLvlLbl val="0"/>
      </c:catAx>
      <c:valAx>
        <c:axId val="1402516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370359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9</xdr:row>
      <xdr:rowOff>0</xdr:rowOff>
    </xdr:from>
    <xdr:to>
      <xdr:col>17</xdr:col>
      <xdr:colOff>611280</xdr:colOff>
      <xdr:row>25</xdr:row>
      <xdr:rowOff>190080</xdr:rowOff>
    </xdr:to>
    <xdr:graphicFrame>
      <xdr:nvGraphicFramePr>
        <xdr:cNvPr id="1" name="Chart"/>
        <xdr:cNvGraphicFramePr/>
      </xdr:nvGraphicFramePr>
      <xdr:xfrm>
        <a:off x="10141560" y="2585160"/>
        <a:ext cx="511776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0" width="12.22"/>
    <col collapsed="false" customWidth="true" hidden="false" outlineLevel="0" max="3" min="3" style="0" width="8.89"/>
    <col collapsed="false" customWidth="true" hidden="false" outlineLevel="0" max="4" min="4" style="0" width="40"/>
    <col collapsed="false" customWidth="true" hidden="false" outlineLevel="0" max="5" min="5" style="0" width="2.78"/>
    <col collapsed="false" customWidth="true" hidden="false" outlineLevel="0" max="7" min="6" style="0" width="11.67"/>
    <col collapsed="false" customWidth="true" hidden="false" outlineLevel="0" max="8" min="8" style="0" width="27.78"/>
  </cols>
  <sheetData>
    <row r="1" customFormat="false" ht="2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2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3"/>
      <c r="J4" s="3"/>
      <c r="K4" s="3"/>
      <c r="L4" s="3"/>
    </row>
    <row r="5" customFormat="false" ht="23.85" hidden="false" customHeight="false" outlineLevel="0" collapsed="false">
      <c r="A5" s="5" t="s">
        <v>3</v>
      </c>
      <c r="B5" s="5" t="str">
        <f aca="false">INDEX(Alternatives!A5:A9,MATCH("PASS",Alternatives!L5:L9,0))</f>
        <v>Compound falsification</v>
      </c>
      <c r="C5" s="3"/>
      <c r="D5" s="3"/>
      <c r="E5" s="3"/>
      <c r="F5" s="4" t="s">
        <v>4</v>
      </c>
      <c r="G5" s="4"/>
      <c r="H5" s="4"/>
      <c r="I5" s="3"/>
      <c r="J5" s="3"/>
      <c r="K5" s="3"/>
      <c r="L5" s="3"/>
    </row>
    <row r="6" customFormat="false" ht="15" hidden="false" customHeight="false" outlineLevel="0" collapsed="false">
      <c r="A6" s="5" t="s">
        <v>5</v>
      </c>
      <c r="B6" s="5" t="s">
        <v>6</v>
      </c>
      <c r="C6" s="3"/>
      <c r="D6" s="3"/>
      <c r="E6" s="3"/>
      <c r="F6" s="5" t="s">
        <v>7</v>
      </c>
      <c r="G6" s="5" t="s">
        <v>8</v>
      </c>
      <c r="H6" s="5" t="s">
        <v>9</v>
      </c>
      <c r="I6" s="3"/>
      <c r="J6" s="3"/>
      <c r="K6" s="3"/>
      <c r="L6" s="3"/>
    </row>
    <row r="7" customFormat="false" ht="23.85" hidden="false" customHeight="false" outlineLevel="0" collapsed="false">
      <c r="A7" s="5" t="s">
        <v>10</v>
      </c>
      <c r="B7" s="5" t="s">
        <v>11</v>
      </c>
      <c r="C7" s="3"/>
      <c r="D7" s="3"/>
      <c r="E7" s="3"/>
      <c r="F7" s="5" t="s">
        <v>12</v>
      </c>
      <c r="G7" s="5" t="s">
        <v>13</v>
      </c>
      <c r="H7" s="5" t="s">
        <v>14</v>
      </c>
      <c r="I7" s="3"/>
      <c r="J7" s="3"/>
      <c r="K7" s="3"/>
      <c r="L7" s="3"/>
    </row>
    <row r="8" customFormat="false" ht="68.65" hidden="false" customHeight="false" outlineLevel="0" collapsed="false">
      <c r="A8" s="5" t="s">
        <v>15</v>
      </c>
      <c r="B8" s="5" t="s">
        <v>16</v>
      </c>
      <c r="C8" s="3"/>
      <c r="D8" s="3"/>
      <c r="E8" s="3"/>
      <c r="F8" s="5" t="s">
        <v>17</v>
      </c>
      <c r="G8" s="5" t="s">
        <v>18</v>
      </c>
      <c r="H8" s="5" t="s">
        <v>19</v>
      </c>
      <c r="I8" s="3"/>
      <c r="J8" s="3"/>
      <c r="K8" s="3"/>
      <c r="L8" s="3"/>
    </row>
    <row r="9" customFormat="false" ht="15" hidden="false" customHeight="false" outlineLevel="0" collapsed="false">
      <c r="A9" s="3"/>
      <c r="B9" s="3"/>
      <c r="C9" s="3"/>
      <c r="D9" s="3"/>
      <c r="E9" s="3"/>
      <c r="F9" s="5" t="s">
        <v>20</v>
      </c>
      <c r="G9" s="5" t="s">
        <v>21</v>
      </c>
      <c r="H9" s="5" t="s">
        <v>22</v>
      </c>
      <c r="I9" s="3"/>
      <c r="J9" s="3"/>
      <c r="K9" s="3"/>
      <c r="L9" s="3"/>
    </row>
    <row r="10" customFormat="false" ht="22" hidden="false" customHeight="true" outlineLevel="0" collapsed="false">
      <c r="A10" s="4" t="s">
        <v>23</v>
      </c>
      <c r="B10" s="4"/>
      <c r="C10" s="4"/>
      <c r="D10" s="4"/>
      <c r="E10" s="3"/>
      <c r="F10" s="5" t="s">
        <v>24</v>
      </c>
      <c r="G10" s="5" t="s">
        <v>25</v>
      </c>
      <c r="H10" s="5" t="s">
        <v>26</v>
      </c>
      <c r="I10" s="3"/>
      <c r="J10" s="3"/>
      <c r="K10" s="3"/>
      <c r="L10" s="3"/>
    </row>
    <row r="11" customFormat="false" ht="30" hidden="false" customHeight="true" outlineLevel="0" collapsed="false">
      <c r="A11" s="6" t="s">
        <v>27</v>
      </c>
      <c r="B11" s="6" t="s">
        <v>28</v>
      </c>
      <c r="C11" s="6" t="s">
        <v>29</v>
      </c>
      <c r="D11" s="6" t="s">
        <v>30</v>
      </c>
      <c r="E11" s="3"/>
      <c r="F11" s="5" t="s">
        <v>31</v>
      </c>
      <c r="G11" s="5" t="s">
        <v>32</v>
      </c>
      <c r="H11" s="5" t="s">
        <v>33</v>
      </c>
      <c r="I11" s="3"/>
      <c r="J11" s="3"/>
      <c r="K11" s="3"/>
      <c r="L11" s="3"/>
    </row>
    <row r="12" customFormat="false" ht="15" hidden="false" customHeight="false" outlineLevel="0" collapsed="false">
      <c r="A12" s="5" t="s">
        <v>34</v>
      </c>
      <c r="B12" s="5" t="n">
        <f aca="false">COUNTIF('Sentinel Selection'!H5:H28,"SELECTED")</f>
        <v>6</v>
      </c>
      <c r="C12" s="5" t="s">
        <v>35</v>
      </c>
      <c r="D12" s="5" t="s">
        <v>36</v>
      </c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5" t="s">
        <v>37</v>
      </c>
      <c r="B13" s="5" t="n">
        <f aca="false">COUNTA('Root Endpoints'!A5:A16)</f>
        <v>12</v>
      </c>
      <c r="C13" s="5" t="s">
        <v>35</v>
      </c>
      <c r="D13" s="5" t="s">
        <v>38</v>
      </c>
      <c r="E13" s="3"/>
      <c r="F13" s="3"/>
      <c r="G13" s="3"/>
      <c r="H13" s="3"/>
      <c r="I13" s="3"/>
      <c r="J13" s="3"/>
      <c r="K13" s="3"/>
      <c r="L13" s="3"/>
    </row>
    <row r="14" customFormat="false" ht="23.85" hidden="false" customHeight="false" outlineLevel="0" collapsed="false">
      <c r="A14" s="5" t="s">
        <v>39</v>
      </c>
      <c r="B14" s="5" t="n">
        <f aca="false">COUNTA('Station Nuclei'!A5:A22)</f>
        <v>18</v>
      </c>
      <c r="C14" s="5" t="s">
        <v>35</v>
      </c>
      <c r="D14" s="5" t="s">
        <v>40</v>
      </c>
      <c r="E14" s="3"/>
      <c r="F14" s="4" t="s">
        <v>41</v>
      </c>
      <c r="G14" s="4"/>
      <c r="H14" s="4"/>
      <c r="I14" s="3"/>
      <c r="J14" s="3"/>
      <c r="K14" s="3"/>
      <c r="L14" s="3"/>
    </row>
    <row r="15" customFormat="false" ht="23.85" hidden="false" customHeight="false" outlineLevel="0" collapsed="false">
      <c r="A15" s="5" t="s">
        <v>42</v>
      </c>
      <c r="B15" s="5" t="n">
        <f aca="false">SUM('Station Nuclei'!H5:H22)</f>
        <v>36</v>
      </c>
      <c r="C15" s="5" t="s">
        <v>35</v>
      </c>
      <c r="D15" s="5" t="s">
        <v>43</v>
      </c>
      <c r="E15" s="3"/>
      <c r="F15" s="5" t="s">
        <v>44</v>
      </c>
      <c r="G15" s="5" t="s">
        <v>45</v>
      </c>
      <c r="H15" s="5" t="s">
        <v>46</v>
      </c>
      <c r="I15" s="3"/>
      <c r="J15" s="3"/>
      <c r="K15" s="3"/>
      <c r="L15" s="3"/>
    </row>
    <row r="16" customFormat="false" ht="35.05" hidden="false" customHeight="false" outlineLevel="0" collapsed="false">
      <c r="A16" s="5" t="s">
        <v>47</v>
      </c>
      <c r="B16" s="5" t="n">
        <f aca="false">SUM('Station Nuclei'!G5:G22)</f>
        <v>54</v>
      </c>
      <c r="C16" s="5" t="s">
        <v>35</v>
      </c>
      <c r="D16" s="5" t="s">
        <v>48</v>
      </c>
      <c r="E16" s="3"/>
      <c r="F16" s="5" t="s">
        <v>49</v>
      </c>
      <c r="G16" s="5" t="s">
        <v>50</v>
      </c>
      <c r="H16" s="5" t="s">
        <v>51</v>
      </c>
      <c r="I16" s="3"/>
      <c r="J16" s="3"/>
      <c r="K16" s="3"/>
      <c r="L16" s="3"/>
    </row>
    <row r="17" customFormat="false" ht="35.05" hidden="false" customHeight="false" outlineLevel="0" collapsed="false">
      <c r="A17" s="5" t="s">
        <v>52</v>
      </c>
      <c r="B17" s="5" t="n">
        <f aca="false">COUNTA('Receiver States'!A5:A28)</f>
        <v>24</v>
      </c>
      <c r="C17" s="5" t="s">
        <v>35</v>
      </c>
      <c r="D17" s="5" t="s">
        <v>53</v>
      </c>
      <c r="E17" s="3"/>
      <c r="F17" s="5" t="s">
        <v>54</v>
      </c>
      <c r="G17" s="5" t="s">
        <v>55</v>
      </c>
      <c r="H17" s="5" t="s">
        <v>56</v>
      </c>
      <c r="I17" s="3"/>
      <c r="J17" s="3"/>
      <c r="K17" s="3"/>
      <c r="L17" s="3"/>
    </row>
    <row r="18" customFormat="false" ht="35.05" hidden="false" customHeight="false" outlineLevel="0" collapsed="false">
      <c r="A18" s="5" t="s">
        <v>57</v>
      </c>
      <c r="B18" s="5" t="n">
        <f aca="false">COUNTA('Method Realizations'!A5:A148)</f>
        <v>144</v>
      </c>
      <c r="C18" s="5" t="s">
        <v>35</v>
      </c>
      <c r="D18" s="5" t="s">
        <v>58</v>
      </c>
      <c r="E18" s="3"/>
      <c r="F18" s="5" t="s">
        <v>59</v>
      </c>
      <c r="G18" s="5" t="s">
        <v>60</v>
      </c>
      <c r="H18" s="5" t="s">
        <v>61</v>
      </c>
      <c r="I18" s="3"/>
      <c r="J18" s="3"/>
      <c r="K18" s="3"/>
      <c r="L18" s="3"/>
    </row>
    <row r="19" customFormat="false" ht="35.05" hidden="false" customHeight="false" outlineLevel="0" collapsed="false">
      <c r="A19" s="5" t="s">
        <v>62</v>
      </c>
      <c r="B19" s="5" t="n">
        <f aca="false">COUNTA('Event Register'!A5:A76)</f>
        <v>72</v>
      </c>
      <c r="C19" s="5" t="s">
        <v>35</v>
      </c>
      <c r="D19" s="5" t="s">
        <v>63</v>
      </c>
      <c r="E19" s="3"/>
      <c r="F19" s="5" t="s">
        <v>64</v>
      </c>
      <c r="G19" s="5" t="s">
        <v>65</v>
      </c>
      <c r="H19" s="5" t="s">
        <v>66</v>
      </c>
      <c r="I19" s="3"/>
      <c r="J19" s="3"/>
      <c r="K19" s="3"/>
      <c r="L19" s="3"/>
    </row>
    <row r="20" customFormat="false" ht="35.05" hidden="false" customHeight="false" outlineLevel="0" collapsed="false">
      <c r="A20" s="5" t="s">
        <v>67</v>
      </c>
      <c r="B20" s="5" t="n">
        <f aca="false">COUNTA('Evidence Packages'!A5:A364)</f>
        <v>360</v>
      </c>
      <c r="C20" s="5" t="s">
        <v>35</v>
      </c>
      <c r="D20" s="5" t="s">
        <v>68</v>
      </c>
      <c r="E20" s="3"/>
      <c r="F20" s="5" t="s">
        <v>69</v>
      </c>
      <c r="G20" s="5" t="s">
        <v>70</v>
      </c>
      <c r="H20" s="5" t="s">
        <v>71</v>
      </c>
      <c r="I20" s="3"/>
      <c r="J20" s="3"/>
      <c r="K20" s="3"/>
      <c r="L20" s="3"/>
    </row>
    <row r="21" customFormat="false" ht="23.85" hidden="false" customHeight="false" outlineLevel="0" collapsed="false">
      <c r="A21" s="5" t="s">
        <v>72</v>
      </c>
      <c r="B21" s="5" t="n">
        <f aca="false">COUNTA('Event Register'!A5:A76)+Controls!B16*Controls!B24</f>
        <v>84</v>
      </c>
      <c r="C21" s="5" t="s">
        <v>35</v>
      </c>
      <c r="D21" s="5" t="s">
        <v>73</v>
      </c>
      <c r="E21" s="3"/>
      <c r="F21" s="3"/>
      <c r="G21" s="3"/>
      <c r="H21" s="3"/>
      <c r="I21" s="3"/>
      <c r="J21" s="3"/>
      <c r="K21" s="3"/>
      <c r="L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22" hidden="false" customHeight="true" outlineLevel="0" collapsed="false">
      <c r="A24" s="4" t="s">
        <v>74</v>
      </c>
      <c r="B24" s="4"/>
      <c r="C24" s="4"/>
      <c r="D24" s="4"/>
      <c r="E24" s="3"/>
      <c r="F24" s="4" t="s">
        <v>75</v>
      </c>
      <c r="G24" s="4"/>
      <c r="H24" s="4"/>
      <c r="I24" s="3"/>
      <c r="J24" s="3"/>
      <c r="K24" s="3"/>
      <c r="L24" s="3"/>
    </row>
    <row r="25" customFormat="false" ht="30" hidden="false" customHeight="true" outlineLevel="0" collapsed="false">
      <c r="A25" s="6" t="s">
        <v>76</v>
      </c>
      <c r="B25" s="6" t="s">
        <v>28</v>
      </c>
      <c r="C25" s="6" t="s">
        <v>29</v>
      </c>
      <c r="D25" s="6" t="s">
        <v>77</v>
      </c>
      <c r="E25" s="3"/>
      <c r="F25" s="5" t="s">
        <v>78</v>
      </c>
      <c r="G25" s="5" t="n">
        <v>64</v>
      </c>
      <c r="H25" s="3"/>
      <c r="I25" s="3"/>
      <c r="J25" s="3"/>
      <c r="K25" s="3"/>
      <c r="L25" s="3"/>
    </row>
    <row r="26" customFormat="false" ht="23.85" hidden="false" customHeight="false" outlineLevel="0" collapsed="false">
      <c r="A26" s="5" t="s">
        <v>79</v>
      </c>
      <c r="B26" s="7" t="n">
        <f aca="false">Authority!D11</f>
        <v>3.58691281932056</v>
      </c>
      <c r="C26" s="5" t="s">
        <v>80</v>
      </c>
      <c r="D26" s="5" t="s">
        <v>81</v>
      </c>
      <c r="E26" s="3"/>
      <c r="F26" s="5" t="s">
        <v>82</v>
      </c>
      <c r="G26" s="5" t="n">
        <v>14</v>
      </c>
      <c r="H26" s="3"/>
      <c r="I26" s="3"/>
      <c r="J26" s="3"/>
      <c r="K26" s="3"/>
      <c r="L26" s="3"/>
    </row>
    <row r="27" customFormat="false" ht="23.85" hidden="false" customHeight="false" outlineLevel="0" collapsed="false">
      <c r="A27" s="5" t="s">
        <v>83</v>
      </c>
      <c r="B27" s="7" t="n">
        <f aca="false">Authority!B24</f>
        <v>12</v>
      </c>
      <c r="C27" s="5" t="s">
        <v>80</v>
      </c>
      <c r="D27" s="5" t="s">
        <v>84</v>
      </c>
      <c r="E27" s="3"/>
      <c r="F27" s="5" t="s">
        <v>85</v>
      </c>
      <c r="G27" s="5" t="n">
        <v>0</v>
      </c>
      <c r="H27" s="3"/>
      <c r="I27" s="3"/>
      <c r="J27" s="3"/>
      <c r="K27" s="3"/>
      <c r="L27" s="3"/>
    </row>
    <row r="28" customFormat="false" ht="23.85" hidden="false" customHeight="false" outlineLevel="0" collapsed="false">
      <c r="A28" s="5" t="s">
        <v>86</v>
      </c>
      <c r="B28" s="7" t="n">
        <f aca="false">'Stage Schedule'!H8</f>
        <v>15.5869128193206</v>
      </c>
      <c r="C28" s="5" t="s">
        <v>80</v>
      </c>
      <c r="D28" s="5" t="s">
        <v>87</v>
      </c>
      <c r="E28" s="3"/>
      <c r="F28" s="5" t="s">
        <v>88</v>
      </c>
      <c r="G28" s="5" t="str">
        <f aca="false">Audit!B4</f>
        <v>PASS</v>
      </c>
      <c r="H28" s="3"/>
      <c r="I28" s="3"/>
      <c r="J28" s="3"/>
      <c r="K28" s="3"/>
      <c r="L28" s="3"/>
    </row>
    <row r="29" customFormat="false" ht="23.85" hidden="false" customHeight="false" outlineLevel="0" collapsed="false">
      <c r="A29" s="5" t="s">
        <v>89</v>
      </c>
      <c r="B29" s="7" t="n">
        <f aca="false">'Maximum Loss'!D7</f>
        <v>12.0488758964225</v>
      </c>
      <c r="C29" s="5" t="s">
        <v>80</v>
      </c>
      <c r="D29" s="5" t="s">
        <v>90</v>
      </c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5" t="s">
        <v>91</v>
      </c>
      <c r="B30" s="7" t="n">
        <f aca="false">'Maximum Loss'!D8</f>
        <v>0.76450089642248</v>
      </c>
      <c r="C30" s="5" t="s">
        <v>80</v>
      </c>
      <c r="D30" s="5" t="s">
        <v>92</v>
      </c>
      <c r="E30" s="3"/>
      <c r="F30" s="3"/>
      <c r="G30" s="3"/>
      <c r="H30" s="3"/>
      <c r="I30" s="3"/>
      <c r="J30" s="3"/>
      <c r="K30" s="3"/>
      <c r="L30" s="3"/>
    </row>
    <row r="31" customFormat="false" ht="23.85" hidden="false" customHeight="false" outlineLevel="0" collapsed="false">
      <c r="A31" s="5" t="s">
        <v>93</v>
      </c>
      <c r="B31" s="7" t="n">
        <f aca="false">'Maximum Loss'!E7</f>
        <v>3.53803692289808</v>
      </c>
      <c r="C31" s="5" t="s">
        <v>80</v>
      </c>
      <c r="D31" s="5" t="s">
        <v>94</v>
      </c>
      <c r="E31" s="3"/>
      <c r="F31" s="3"/>
      <c r="G31" s="3"/>
      <c r="H31" s="3"/>
      <c r="I31" s="3"/>
      <c r="J31" s="3"/>
      <c r="K31" s="3"/>
      <c r="L31" s="3"/>
    </row>
    <row r="32" customFormat="false" ht="15" hidden="false" customHeight="false" outlineLevel="0" collapsed="false">
      <c r="A32" s="5" t="s">
        <v>95</v>
      </c>
      <c r="B32" s="7" t="n">
        <f aca="false">'Maximum Loss'!F7</f>
        <v>0</v>
      </c>
      <c r="C32" s="5" t="s">
        <v>80</v>
      </c>
      <c r="D32" s="5" t="s">
        <v>96</v>
      </c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false" outlineLevel="0" collapsed="false">
      <c r="A33" s="5" t="s">
        <v>97</v>
      </c>
      <c r="B33" s="7" t="n">
        <f aca="false">Controls!B37</f>
        <v>0</v>
      </c>
      <c r="C33" s="5" t="s">
        <v>80</v>
      </c>
      <c r="D33" s="5" t="s">
        <v>98</v>
      </c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false" outlineLevel="0" collapsed="false">
      <c r="A34" s="5" t="s">
        <v>99</v>
      </c>
      <c r="B34" s="7" t="n">
        <f aca="false">Controls!B38</f>
        <v>0</v>
      </c>
      <c r="C34" s="5" t="s">
        <v>35</v>
      </c>
      <c r="D34" s="5" t="s">
        <v>100</v>
      </c>
      <c r="E34" s="3"/>
      <c r="F34" s="3"/>
      <c r="G34" s="3"/>
      <c r="H34" s="3"/>
      <c r="I34" s="3"/>
      <c r="J34" s="3"/>
      <c r="K34" s="3"/>
      <c r="L34" s="3"/>
    </row>
  </sheetData>
  <mergeCells count="8">
    <mergeCell ref="A1:L1"/>
    <mergeCell ref="A2:L2"/>
    <mergeCell ref="A4:H4"/>
    <mergeCell ref="F5:H5"/>
    <mergeCell ref="A10:D10"/>
    <mergeCell ref="F14:H14"/>
    <mergeCell ref="A24:D24"/>
    <mergeCell ref="F24:H24"/>
  </mergeCells>
  <conditionalFormatting sqref="G28">
    <cfRule type="containsText" priority="2" operator="containsText" aboveAverage="0" equalAverage="0" bottom="0" percent="0" rank="0" text="PASS" dxfId="0">
      <formula>NOT(ISERROR(SEARCH("PASS",G28)))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22"/>
    <col collapsed="false" customWidth="true" hidden="false" outlineLevel="0" max="2" min="2" style="0" width="11.67"/>
    <col collapsed="false" customWidth="true" hidden="false" outlineLevel="0" max="3" min="3" style="0" width="11.11"/>
    <col collapsed="false" customWidth="true" hidden="false" outlineLevel="0" max="4" min="4" style="0" width="24.44"/>
  </cols>
  <sheetData>
    <row r="1" customFormat="false" ht="2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102</v>
      </c>
      <c r="B4" s="6" t="s">
        <v>28</v>
      </c>
      <c r="C4" s="6" t="s">
        <v>29</v>
      </c>
      <c r="D4" s="6" t="s">
        <v>103</v>
      </c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5" t="s">
        <v>104</v>
      </c>
      <c r="B5" s="8" t="n">
        <v>200</v>
      </c>
      <c r="C5" s="5" t="s">
        <v>80</v>
      </c>
      <c r="D5" s="5" t="s">
        <v>105</v>
      </c>
      <c r="E5" s="3"/>
      <c r="F5" s="3"/>
      <c r="G5" s="3"/>
      <c r="H5" s="3"/>
      <c r="I5" s="3"/>
      <c r="J5" s="3"/>
      <c r="K5" s="3"/>
      <c r="L5" s="3"/>
    </row>
    <row r="6" customFormat="false" ht="15" hidden="false" customHeight="false" outlineLevel="0" collapsed="false">
      <c r="A6" s="5" t="s">
        <v>106</v>
      </c>
      <c r="B6" s="8" t="n">
        <v>110</v>
      </c>
      <c r="C6" s="5" t="s">
        <v>80</v>
      </c>
      <c r="D6" s="5" t="s">
        <v>105</v>
      </c>
      <c r="E6" s="3"/>
      <c r="F6" s="3"/>
      <c r="G6" s="3"/>
      <c r="H6" s="3"/>
      <c r="I6" s="3"/>
      <c r="J6" s="3"/>
      <c r="K6" s="3"/>
      <c r="L6" s="3"/>
    </row>
    <row r="7" customFormat="false" ht="15" hidden="false" customHeight="false" outlineLevel="0" collapsed="false">
      <c r="A7" s="5" t="s">
        <v>107</v>
      </c>
      <c r="B7" s="8" t="n">
        <v>30</v>
      </c>
      <c r="C7" s="5" t="s">
        <v>80</v>
      </c>
      <c r="D7" s="5" t="s">
        <v>105</v>
      </c>
      <c r="E7" s="3"/>
      <c r="F7" s="3"/>
      <c r="G7" s="3"/>
      <c r="H7" s="3"/>
      <c r="I7" s="3"/>
      <c r="J7" s="3"/>
      <c r="K7" s="3"/>
      <c r="L7" s="3"/>
    </row>
    <row r="8" customFormat="false" ht="15" hidden="false" customHeight="false" outlineLevel="0" collapsed="false">
      <c r="A8" s="5" t="s">
        <v>108</v>
      </c>
      <c r="B8" s="8" t="n">
        <v>30</v>
      </c>
      <c r="C8" s="5" t="s">
        <v>80</v>
      </c>
      <c r="D8" s="5" t="s">
        <v>105</v>
      </c>
      <c r="E8" s="3"/>
      <c r="F8" s="3"/>
      <c r="G8" s="3"/>
      <c r="H8" s="3"/>
      <c r="I8" s="3"/>
      <c r="J8" s="3"/>
      <c r="K8" s="3"/>
      <c r="L8" s="3"/>
    </row>
    <row r="9" customFormat="false" ht="15" hidden="false" customHeight="false" outlineLevel="0" collapsed="false">
      <c r="A9" s="5" t="s">
        <v>109</v>
      </c>
      <c r="B9" s="8" t="n">
        <v>20</v>
      </c>
      <c r="C9" s="5" t="s">
        <v>80</v>
      </c>
      <c r="D9" s="5" t="s">
        <v>105</v>
      </c>
      <c r="E9" s="3"/>
      <c r="F9" s="3"/>
      <c r="G9" s="3"/>
      <c r="H9" s="3"/>
      <c r="I9" s="3"/>
      <c r="J9" s="3"/>
      <c r="K9" s="3"/>
      <c r="L9" s="3"/>
    </row>
    <row r="10" customFormat="false" ht="15" hidden="false" customHeight="false" outlineLevel="0" collapsed="false">
      <c r="A10" s="5" t="s">
        <v>110</v>
      </c>
      <c r="B10" s="8" t="n">
        <v>10</v>
      </c>
      <c r="C10" s="5" t="s">
        <v>80</v>
      </c>
      <c r="D10" s="5" t="s">
        <v>105</v>
      </c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false" outlineLevel="0" collapsed="false">
      <c r="A11" s="5" t="s">
        <v>111</v>
      </c>
      <c r="B11" s="8" t="n">
        <v>80</v>
      </c>
      <c r="C11" s="5" t="s">
        <v>80</v>
      </c>
      <c r="D11" s="5" t="s">
        <v>112</v>
      </c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false" outlineLevel="0" collapsed="false">
      <c r="A12" s="5" t="s">
        <v>113</v>
      </c>
      <c r="B12" s="8" t="n">
        <v>12</v>
      </c>
      <c r="C12" s="5" t="s">
        <v>80</v>
      </c>
      <c r="D12" s="5" t="s">
        <v>114</v>
      </c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5" t="s">
        <v>115</v>
      </c>
      <c r="B13" s="8" t="n">
        <v>14.3476512772823</v>
      </c>
      <c r="C13" s="5" t="s">
        <v>80</v>
      </c>
      <c r="D13" s="5" t="s">
        <v>116</v>
      </c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false" outlineLevel="0" collapsed="false">
      <c r="A14" s="5" t="s">
        <v>117</v>
      </c>
      <c r="B14" s="8" t="n">
        <v>4</v>
      </c>
      <c r="C14" s="5" t="s">
        <v>35</v>
      </c>
      <c r="D14" s="5" t="s">
        <v>118</v>
      </c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false" outlineLevel="0" collapsed="false">
      <c r="A15" s="5" t="s">
        <v>119</v>
      </c>
      <c r="B15" s="8" t="n">
        <v>6</v>
      </c>
      <c r="C15" s="5" t="s">
        <v>35</v>
      </c>
      <c r="D15" s="5" t="s">
        <v>120</v>
      </c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false" outlineLevel="0" collapsed="false">
      <c r="A16" s="5" t="s">
        <v>34</v>
      </c>
      <c r="B16" s="8" t="n">
        <v>6</v>
      </c>
      <c r="C16" s="5" t="s">
        <v>35</v>
      </c>
      <c r="D16" s="5" t="s">
        <v>121</v>
      </c>
      <c r="E16" s="3"/>
      <c r="F16" s="3"/>
      <c r="G16" s="3"/>
      <c r="H16" s="3"/>
      <c r="I16" s="3"/>
      <c r="J16" s="3"/>
      <c r="K16" s="3"/>
      <c r="L16" s="3"/>
    </row>
    <row r="17" customFormat="false" ht="15" hidden="false" customHeight="false" outlineLevel="0" collapsed="false">
      <c r="A17" s="5" t="s">
        <v>122</v>
      </c>
      <c r="B17" s="8" t="n">
        <v>4</v>
      </c>
      <c r="C17" s="5" t="s">
        <v>35</v>
      </c>
      <c r="D17" s="5" t="s">
        <v>123</v>
      </c>
      <c r="E17" s="3"/>
      <c r="F17" s="3"/>
      <c r="G17" s="3"/>
      <c r="H17" s="3"/>
      <c r="I17" s="3"/>
      <c r="J17" s="3"/>
      <c r="K17" s="3"/>
      <c r="L17" s="3"/>
    </row>
    <row r="18" customFormat="false" ht="15" hidden="false" customHeight="false" outlineLevel="0" collapsed="false">
      <c r="A18" s="5" t="s">
        <v>124</v>
      </c>
      <c r="B18" s="8" t="n">
        <v>3</v>
      </c>
      <c r="C18" s="5" t="s">
        <v>35</v>
      </c>
      <c r="D18" s="5" t="s">
        <v>123</v>
      </c>
      <c r="E18" s="3"/>
      <c r="F18" s="3"/>
      <c r="G18" s="3"/>
      <c r="H18" s="3"/>
      <c r="I18" s="3"/>
      <c r="J18" s="3"/>
      <c r="K18" s="3"/>
      <c r="L18" s="3"/>
    </row>
    <row r="19" customFormat="false" ht="23.85" hidden="false" customHeight="false" outlineLevel="0" collapsed="false">
      <c r="A19" s="5" t="s">
        <v>125</v>
      </c>
      <c r="B19" s="8" t="n">
        <v>2</v>
      </c>
      <c r="C19" s="5" t="s">
        <v>35</v>
      </c>
      <c r="D19" s="5" t="s">
        <v>123</v>
      </c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false" outlineLevel="0" collapsed="false">
      <c r="A20" s="5" t="s">
        <v>126</v>
      </c>
      <c r="B20" s="8" t="n">
        <v>2</v>
      </c>
      <c r="C20" s="5" t="s">
        <v>35</v>
      </c>
      <c r="D20" s="5" t="s">
        <v>127</v>
      </c>
      <c r="E20" s="3"/>
      <c r="F20" s="3"/>
      <c r="G20" s="3"/>
      <c r="H20" s="3"/>
      <c r="I20" s="3"/>
      <c r="J20" s="3"/>
      <c r="K20" s="3"/>
      <c r="L20" s="3"/>
    </row>
    <row r="21" customFormat="false" ht="15" hidden="false" customHeight="false" outlineLevel="0" collapsed="false">
      <c r="A21" s="5" t="s">
        <v>128</v>
      </c>
      <c r="B21" s="8" t="n">
        <v>3</v>
      </c>
      <c r="C21" s="5" t="s">
        <v>35</v>
      </c>
      <c r="D21" s="5" t="s">
        <v>127</v>
      </c>
      <c r="E21" s="3"/>
      <c r="F21" s="3"/>
      <c r="G21" s="3"/>
      <c r="H21" s="3"/>
      <c r="I21" s="3"/>
      <c r="J21" s="3"/>
      <c r="K21" s="3"/>
      <c r="L21" s="3"/>
    </row>
    <row r="22" customFormat="false" ht="15" hidden="false" customHeight="false" outlineLevel="0" collapsed="false">
      <c r="A22" s="5" t="s">
        <v>129</v>
      </c>
      <c r="B22" s="8" t="n">
        <v>4</v>
      </c>
      <c r="C22" s="5" t="s">
        <v>35</v>
      </c>
      <c r="D22" s="5" t="s">
        <v>127</v>
      </c>
      <c r="E22" s="3"/>
      <c r="F22" s="3"/>
      <c r="G22" s="3"/>
      <c r="H22" s="3"/>
      <c r="I22" s="3"/>
      <c r="J22" s="3"/>
      <c r="K22" s="3"/>
      <c r="L22" s="3"/>
    </row>
    <row r="23" customFormat="false" ht="15" hidden="false" customHeight="false" outlineLevel="0" collapsed="false">
      <c r="A23" s="5" t="s">
        <v>130</v>
      </c>
      <c r="B23" s="8" t="n">
        <v>5</v>
      </c>
      <c r="C23" s="5" t="s">
        <v>35</v>
      </c>
      <c r="D23" s="5" t="s">
        <v>127</v>
      </c>
      <c r="E23" s="3"/>
      <c r="F23" s="3"/>
      <c r="G23" s="3"/>
      <c r="H23" s="3"/>
      <c r="I23" s="3"/>
      <c r="J23" s="3"/>
      <c r="K23" s="3"/>
      <c r="L23" s="3"/>
    </row>
    <row r="24" customFormat="false" ht="15" hidden="false" customHeight="false" outlineLevel="0" collapsed="false">
      <c r="A24" s="5" t="s">
        <v>131</v>
      </c>
      <c r="B24" s="8" t="n">
        <v>2</v>
      </c>
      <c r="C24" s="5" t="s">
        <v>35</v>
      </c>
      <c r="D24" s="5" t="s">
        <v>127</v>
      </c>
      <c r="E24" s="3"/>
      <c r="F24" s="3"/>
      <c r="G24" s="3"/>
      <c r="H24" s="3"/>
      <c r="I24" s="3"/>
      <c r="J24" s="3"/>
      <c r="K24" s="3"/>
      <c r="L24" s="3"/>
    </row>
    <row r="25" customFormat="false" ht="15" hidden="false" customHeight="false" outlineLevel="0" collapsed="false">
      <c r="A25" s="5" t="s">
        <v>132</v>
      </c>
      <c r="B25" s="8" t="n">
        <v>1</v>
      </c>
      <c r="C25" s="5" t="s">
        <v>35</v>
      </c>
      <c r="D25" s="5" t="s">
        <v>121</v>
      </c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false" outlineLevel="0" collapsed="false">
      <c r="A26" s="5" t="s">
        <v>133</v>
      </c>
      <c r="B26" s="8" t="n">
        <v>1</v>
      </c>
      <c r="C26" s="5" t="s">
        <v>35</v>
      </c>
      <c r="D26" s="5" t="s">
        <v>134</v>
      </c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false" outlineLevel="0" collapsed="false">
      <c r="A27" s="5" t="s">
        <v>135</v>
      </c>
      <c r="B27" s="8" t="n">
        <v>3</v>
      </c>
      <c r="C27" s="5" t="s">
        <v>35</v>
      </c>
      <c r="D27" s="5" t="s">
        <v>121</v>
      </c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A28" s="5" t="s">
        <v>136</v>
      </c>
      <c r="B28" s="9" t="n">
        <v>0.15</v>
      </c>
      <c r="C28" s="5" t="s">
        <v>137</v>
      </c>
      <c r="D28" s="5" t="s">
        <v>138</v>
      </c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false" outlineLevel="0" collapsed="false">
      <c r="A29" s="5" t="s">
        <v>139</v>
      </c>
      <c r="B29" s="9" t="n">
        <v>0.35</v>
      </c>
      <c r="C29" s="5" t="s">
        <v>137</v>
      </c>
      <c r="D29" s="5" t="s">
        <v>138</v>
      </c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5" t="s">
        <v>140</v>
      </c>
      <c r="B30" s="9" t="n">
        <v>0.35</v>
      </c>
      <c r="C30" s="5" t="s">
        <v>137</v>
      </c>
      <c r="D30" s="5" t="s">
        <v>138</v>
      </c>
      <c r="E30" s="3"/>
      <c r="F30" s="3"/>
      <c r="G30" s="3"/>
      <c r="H30" s="3"/>
      <c r="I30" s="3"/>
      <c r="J30" s="3"/>
      <c r="K30" s="3"/>
      <c r="L30" s="3"/>
    </row>
    <row r="31" customFormat="false" ht="15" hidden="false" customHeight="false" outlineLevel="0" collapsed="false">
      <c r="A31" s="5" t="s">
        <v>141</v>
      </c>
      <c r="B31" s="9" t="n">
        <v>0.15</v>
      </c>
      <c r="C31" s="5" t="s">
        <v>137</v>
      </c>
      <c r="D31" s="5" t="s">
        <v>138</v>
      </c>
      <c r="E31" s="3"/>
      <c r="F31" s="3"/>
      <c r="G31" s="3"/>
      <c r="H31" s="3"/>
      <c r="I31" s="3"/>
      <c r="J31" s="3"/>
      <c r="K31" s="3"/>
      <c r="L31" s="3"/>
    </row>
    <row r="32" customFormat="false" ht="15" hidden="false" customHeight="false" outlineLevel="0" collapsed="false">
      <c r="A32" s="5" t="s">
        <v>142</v>
      </c>
      <c r="B32" s="9" t="n">
        <v>0.25</v>
      </c>
      <c r="C32" s="5" t="s">
        <v>137</v>
      </c>
      <c r="D32" s="5" t="s">
        <v>143</v>
      </c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false" outlineLevel="0" collapsed="false">
      <c r="A33" s="5" t="s">
        <v>144</v>
      </c>
      <c r="B33" s="9" t="n">
        <v>0.5</v>
      </c>
      <c r="C33" s="5" t="s">
        <v>137</v>
      </c>
      <c r="D33" s="5" t="s">
        <v>143</v>
      </c>
      <c r="E33" s="3"/>
      <c r="F33" s="3"/>
      <c r="G33" s="3"/>
      <c r="H33" s="3"/>
      <c r="I33" s="3"/>
      <c r="J33" s="3"/>
      <c r="K33" s="3"/>
      <c r="L33" s="3"/>
    </row>
    <row r="34" customFormat="false" ht="23.85" hidden="false" customHeight="false" outlineLevel="0" collapsed="false">
      <c r="A34" s="5" t="s">
        <v>145</v>
      </c>
      <c r="B34" s="9" t="n">
        <v>0</v>
      </c>
      <c r="C34" s="5" t="s">
        <v>137</v>
      </c>
      <c r="D34" s="5" t="s">
        <v>121</v>
      </c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false" outlineLevel="0" collapsed="false">
      <c r="A35" s="5" t="s">
        <v>146</v>
      </c>
      <c r="B35" s="9" t="n">
        <v>0.25</v>
      </c>
      <c r="C35" s="5" t="s">
        <v>137</v>
      </c>
      <c r="D35" s="5" t="s">
        <v>143</v>
      </c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5" t="s">
        <v>147</v>
      </c>
      <c r="B36" s="8" t="n">
        <v>1</v>
      </c>
      <c r="C36" s="5" t="s">
        <v>148</v>
      </c>
      <c r="D36" s="5" t="s">
        <v>127</v>
      </c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false" outlineLevel="0" collapsed="false">
      <c r="A37" s="5" t="s">
        <v>97</v>
      </c>
      <c r="B37" s="8" t="n">
        <v>0</v>
      </c>
      <c r="C37" s="5" t="s">
        <v>80</v>
      </c>
      <c r="D37" s="5" t="s">
        <v>149</v>
      </c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false" outlineLevel="0" collapsed="false">
      <c r="A38" s="5" t="s">
        <v>99</v>
      </c>
      <c r="B38" s="8" t="n">
        <v>0</v>
      </c>
      <c r="C38" s="5" t="s">
        <v>35</v>
      </c>
      <c r="D38" s="5" t="s">
        <v>149</v>
      </c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false" outlineLevel="0" collapsed="false">
      <c r="A39" s="5" t="s">
        <v>150</v>
      </c>
      <c r="B39" s="8" t="n">
        <v>0</v>
      </c>
      <c r="C39" s="5" t="s">
        <v>151</v>
      </c>
      <c r="D39" s="5" t="s">
        <v>152</v>
      </c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false" outlineLevel="0" collapsed="false">
      <c r="A40" s="5" t="s">
        <v>153</v>
      </c>
      <c r="B40" s="8" t="n">
        <v>0</v>
      </c>
      <c r="C40" s="5" t="s">
        <v>35</v>
      </c>
      <c r="D40" s="5" t="s">
        <v>154</v>
      </c>
      <c r="E40" s="3"/>
      <c r="F40" s="3"/>
      <c r="G40" s="3"/>
      <c r="H40" s="3"/>
      <c r="I40" s="3"/>
      <c r="J40" s="3"/>
      <c r="K40" s="3"/>
      <c r="L40" s="3"/>
    </row>
    <row r="41" customFormat="false" ht="15" hidden="false" customHeight="false" outlineLevel="0" collapsed="false">
      <c r="A41" s="5" t="s">
        <v>155</v>
      </c>
      <c r="B41" s="8" t="n">
        <v>0</v>
      </c>
      <c r="C41" s="5" t="s">
        <v>35</v>
      </c>
      <c r="D41" s="5" t="s">
        <v>154</v>
      </c>
      <c r="E41" s="3"/>
      <c r="F41" s="3"/>
      <c r="G41" s="3"/>
      <c r="H41" s="3"/>
      <c r="I41" s="3"/>
      <c r="J41" s="3"/>
      <c r="K41" s="3"/>
      <c r="L41" s="3"/>
    </row>
    <row r="42" customFormat="false" ht="15" hidden="false" customHeight="false" outlineLevel="0" collapsed="false">
      <c r="A42" s="5" t="s">
        <v>156</v>
      </c>
      <c r="B42" s="8" t="n">
        <v>0</v>
      </c>
      <c r="C42" s="5" t="s">
        <v>35</v>
      </c>
      <c r="D42" s="5" t="s">
        <v>154</v>
      </c>
      <c r="E42" s="3"/>
      <c r="F42" s="3"/>
      <c r="G42" s="3"/>
      <c r="H42" s="3"/>
      <c r="I42" s="3"/>
      <c r="J42" s="3"/>
      <c r="K42" s="3"/>
      <c r="L42" s="3"/>
    </row>
    <row r="43" customFormat="false" ht="15" hidden="false" customHeight="false" outlineLevel="0" collapsed="false">
      <c r="A43" s="5" t="s">
        <v>157</v>
      </c>
      <c r="B43" s="8" t="n">
        <v>0</v>
      </c>
      <c r="C43" s="5" t="s">
        <v>35</v>
      </c>
      <c r="D43" s="5" t="s">
        <v>154</v>
      </c>
      <c r="E43" s="3"/>
      <c r="F43" s="3"/>
      <c r="G43" s="3"/>
      <c r="H43" s="3"/>
      <c r="I43" s="3"/>
      <c r="J43" s="3"/>
      <c r="K43" s="3"/>
      <c r="L43" s="3"/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67"/>
    <col collapsed="false" customWidth="true" hidden="false" outlineLevel="0" max="2" min="2" style="0" width="30"/>
    <col collapsed="false" customWidth="true" hidden="false" outlineLevel="0" max="11" min="3" style="0" width="10.21"/>
    <col collapsed="false" customWidth="true" hidden="false" outlineLevel="0" max="12" min="12" style="0" width="10"/>
  </cols>
  <sheetData>
    <row r="1" customFormat="false" ht="26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159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160</v>
      </c>
      <c r="B4" s="6" t="s">
        <v>161</v>
      </c>
      <c r="C4" s="6" t="s">
        <v>162</v>
      </c>
      <c r="D4" s="6" t="s">
        <v>163</v>
      </c>
      <c r="E4" s="6" t="s">
        <v>164</v>
      </c>
      <c r="F4" s="6" t="s">
        <v>165</v>
      </c>
      <c r="G4" s="6" t="s">
        <v>166</v>
      </c>
      <c r="H4" s="6" t="s">
        <v>167</v>
      </c>
      <c r="I4" s="6" t="s">
        <v>168</v>
      </c>
      <c r="J4" s="6" t="s">
        <v>169</v>
      </c>
      <c r="K4" s="6" t="s">
        <v>170</v>
      </c>
      <c r="L4" s="6" t="s">
        <v>171</v>
      </c>
    </row>
    <row r="5" customFormat="false" ht="15" hidden="false" customHeight="false" outlineLevel="0" collapsed="false">
      <c r="A5" s="5" t="s">
        <v>172</v>
      </c>
      <c r="B5" s="5" t="s">
        <v>173</v>
      </c>
      <c r="C5" s="10" t="n">
        <v>1</v>
      </c>
      <c r="D5" s="10" t="n">
        <v>0</v>
      </c>
      <c r="E5" s="10" t="n">
        <v>1</v>
      </c>
      <c r="F5" s="10" t="n">
        <v>1</v>
      </c>
      <c r="G5" s="10" t="n">
        <v>1</v>
      </c>
      <c r="H5" s="10" t="n">
        <v>1</v>
      </c>
      <c r="I5" s="10" t="n">
        <v>1</v>
      </c>
      <c r="J5" s="10" t="n">
        <v>1</v>
      </c>
      <c r="K5" s="5" t="n">
        <f aca="false">SUM(C5:J5)</f>
        <v>7</v>
      </c>
      <c r="L5" s="5" t="str">
        <f aca="false">IF(K5=8,"PASS","FAIL")</f>
        <v>FAIL</v>
      </c>
    </row>
    <row r="6" customFormat="false" ht="23.85" hidden="false" customHeight="false" outlineLevel="0" collapsed="false">
      <c r="A6" s="5" t="s">
        <v>174</v>
      </c>
      <c r="B6" s="5" t="s">
        <v>175</v>
      </c>
      <c r="C6" s="10" t="n">
        <v>1</v>
      </c>
      <c r="D6" s="10" t="n">
        <v>0</v>
      </c>
      <c r="E6" s="10" t="n">
        <v>1</v>
      </c>
      <c r="F6" s="10" t="n">
        <v>1</v>
      </c>
      <c r="G6" s="10" t="n">
        <v>1</v>
      </c>
      <c r="H6" s="10" t="n">
        <v>1</v>
      </c>
      <c r="I6" s="10" t="n">
        <v>1</v>
      </c>
      <c r="J6" s="10" t="n">
        <v>1</v>
      </c>
      <c r="K6" s="5" t="n">
        <f aca="false">SUM(C6:J6)</f>
        <v>7</v>
      </c>
      <c r="L6" s="5" t="str">
        <f aca="false">IF(K6=8,"PASS","FAIL")</f>
        <v>FAIL</v>
      </c>
    </row>
    <row r="7" customFormat="false" ht="23.85" hidden="false" customHeight="false" outlineLevel="0" collapsed="false">
      <c r="A7" s="5" t="s">
        <v>176</v>
      </c>
      <c r="B7" s="5" t="s">
        <v>177</v>
      </c>
      <c r="C7" s="10" t="n">
        <v>1</v>
      </c>
      <c r="D7" s="10" t="n">
        <v>0</v>
      </c>
      <c r="E7" s="10" t="n">
        <v>1</v>
      </c>
      <c r="F7" s="10" t="n">
        <v>1</v>
      </c>
      <c r="G7" s="10" t="n">
        <v>0</v>
      </c>
      <c r="H7" s="10" t="n">
        <v>1</v>
      </c>
      <c r="I7" s="10" t="n">
        <v>0</v>
      </c>
      <c r="J7" s="10" t="n">
        <v>0</v>
      </c>
      <c r="K7" s="5" t="n">
        <f aca="false">SUM(C7:J7)</f>
        <v>4</v>
      </c>
      <c r="L7" s="5" t="str">
        <f aca="false">IF(K7=8,"PASS","FAIL")</f>
        <v>FAIL</v>
      </c>
    </row>
    <row r="8" customFormat="false" ht="23.85" hidden="false" customHeight="false" outlineLevel="0" collapsed="false">
      <c r="A8" s="5" t="s">
        <v>178</v>
      </c>
      <c r="B8" s="5" t="s">
        <v>179</v>
      </c>
      <c r="C8" s="10" t="n">
        <v>1</v>
      </c>
      <c r="D8" s="10" t="n">
        <v>1</v>
      </c>
      <c r="E8" s="10" t="n">
        <v>1</v>
      </c>
      <c r="F8" s="10" t="n">
        <v>1</v>
      </c>
      <c r="G8" s="10" t="n">
        <v>1</v>
      </c>
      <c r="H8" s="10" t="n">
        <v>1</v>
      </c>
      <c r="I8" s="10" t="n">
        <v>1</v>
      </c>
      <c r="J8" s="10" t="n">
        <v>1</v>
      </c>
      <c r="K8" s="5" t="n">
        <f aca="false">SUM(C8:J8)</f>
        <v>8</v>
      </c>
      <c r="L8" s="5" t="str">
        <f aca="false">IF(K8=8,"PASS","FAIL")</f>
        <v>PASS</v>
      </c>
    </row>
    <row r="9" customFormat="false" ht="23.85" hidden="false" customHeight="false" outlineLevel="0" collapsed="false">
      <c r="A9" s="5" t="s">
        <v>180</v>
      </c>
      <c r="B9" s="5" t="s">
        <v>181</v>
      </c>
      <c r="C9" s="10" t="n">
        <v>1</v>
      </c>
      <c r="D9" s="10" t="n">
        <v>1</v>
      </c>
      <c r="E9" s="10" t="n">
        <v>1</v>
      </c>
      <c r="F9" s="10" t="n">
        <v>1</v>
      </c>
      <c r="G9" s="10" t="n">
        <v>1</v>
      </c>
      <c r="H9" s="10" t="n">
        <v>1</v>
      </c>
      <c r="I9" s="10" t="n">
        <v>0</v>
      </c>
      <c r="J9" s="10" t="n">
        <v>0</v>
      </c>
      <c r="K9" s="5" t="n">
        <f aca="false">SUM(C9:J9)</f>
        <v>6</v>
      </c>
      <c r="L9" s="5" t="str">
        <f aca="false">IF(K9=8,"PASS","FAIL")</f>
        <v>FAIL</v>
      </c>
    </row>
  </sheetData>
  <mergeCells count="2">
    <mergeCell ref="A1:L1"/>
    <mergeCell ref="A2:L2"/>
  </mergeCells>
  <conditionalFormatting sqref="L5:L9">
    <cfRule type="containsText" priority="2" operator="containsText" aboveAverage="0" equalAverage="0" bottom="0" percent="0" rank="0" text="PASS" dxfId="1">
      <formula>NOT(ISERROR(SEARCH("PASS",L5)))</formula>
    </cfRule>
    <cfRule type="containsText" priority="3" operator="containsText" aboveAverage="0" equalAverage="0" bottom="0" percent="0" rank="0" text="FAIL" dxfId="2">
      <formula>NOT(ISERROR(SEARCH("FAIL",L5)))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.34"/>
    <col collapsed="false" customWidth="true" hidden="false" outlineLevel="0" max="2" min="2" style="0" width="7.78"/>
    <col collapsed="false" customWidth="true" hidden="false" outlineLevel="0" max="3" min="3" style="0" width="20.56"/>
    <col collapsed="false" customWidth="true" hidden="false" outlineLevel="0" max="4" min="4" style="0" width="11.11"/>
    <col collapsed="false" customWidth="true" hidden="false" outlineLevel="0" max="5" min="5" style="0" width="8.89"/>
    <col collapsed="false" customWidth="true" hidden="false" outlineLevel="0" max="6" min="6" style="0" width="7.78"/>
    <col collapsed="false" customWidth="true" hidden="false" outlineLevel="0" max="7" min="7" style="0" width="8.89"/>
    <col collapsed="false" customWidth="true" hidden="false" outlineLevel="0" max="8" min="8" style="0" width="10"/>
    <col collapsed="false" customWidth="true" hidden="false" outlineLevel="0" max="10" min="9" style="0" width="10.56"/>
    <col collapsed="false" customWidth="true" hidden="false" outlineLevel="0" max="11" min="11" style="0" width="28.89"/>
    <col collapsed="false" customWidth="true" hidden="false" outlineLevel="0" max="12" min="12" style="0" width="16.11"/>
  </cols>
  <sheetData>
    <row r="1" customFormat="false" ht="26" hidden="false" customHeight="true" outlineLevel="0" collapsed="false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183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184</v>
      </c>
      <c r="B4" s="6" t="s">
        <v>185</v>
      </c>
      <c r="C4" s="6" t="s">
        <v>186</v>
      </c>
      <c r="D4" s="6" t="s">
        <v>187</v>
      </c>
      <c r="E4" s="6" t="s">
        <v>188</v>
      </c>
      <c r="F4" s="6" t="s">
        <v>189</v>
      </c>
      <c r="G4" s="6" t="s">
        <v>190</v>
      </c>
      <c r="H4" s="6" t="s">
        <v>191</v>
      </c>
      <c r="I4" s="6" t="s">
        <v>192</v>
      </c>
      <c r="J4" s="6" t="s">
        <v>193</v>
      </c>
      <c r="K4" s="6" t="s">
        <v>194</v>
      </c>
      <c r="L4" s="6" t="s">
        <v>195</v>
      </c>
    </row>
    <row r="5" customFormat="false" ht="23.85" hidden="false" customHeight="false" outlineLevel="0" collapsed="false">
      <c r="A5" s="5" t="s">
        <v>8</v>
      </c>
      <c r="B5" s="5" t="s">
        <v>7</v>
      </c>
      <c r="C5" s="5" t="s">
        <v>9</v>
      </c>
      <c r="D5" s="5" t="s">
        <v>196</v>
      </c>
      <c r="E5" s="7" t="n">
        <v>1.024</v>
      </c>
      <c r="F5" s="5" t="n">
        <v>1</v>
      </c>
      <c r="G5" s="5" t="n">
        <f aca="false">COUNTIFS($B$5:$B$28,B5,$E$5:$E$28,"&lt;"&amp;E5)+COUNTIFS($B$5:$B$28,B5,$E$5:$E$28,E5,$F$5:$F$28,"&lt;"&amp;F5)+1</f>
        <v>1</v>
      </c>
      <c r="H5" s="5" t="str">
        <f aca="false">IF(G5=1,"SELECTED","HELD")</f>
        <v>SELECTED</v>
      </c>
      <c r="I5" s="7" t="n">
        <v>2.0018984723274</v>
      </c>
      <c r="J5" s="7" t="n">
        <f aca="false">I5/Controls!$B$14</f>
        <v>0.50047461808185</v>
      </c>
      <c r="K5" s="5" t="s">
        <v>197</v>
      </c>
      <c r="L5" s="5" t="str">
        <f aca="false">IF(H5="SELECTED","WARRANT-CONSTITUTED","HELD")</f>
        <v>WARRANT-CONSTITUTED</v>
      </c>
    </row>
    <row r="6" customFormat="false" ht="15" hidden="false" customHeight="false" outlineLevel="0" collapsed="false">
      <c r="A6" s="5" t="s">
        <v>198</v>
      </c>
      <c r="B6" s="5" t="s">
        <v>7</v>
      </c>
      <c r="C6" s="5" t="s">
        <v>199</v>
      </c>
      <c r="D6" s="5" t="s">
        <v>196</v>
      </c>
      <c r="E6" s="7" t="n">
        <v>1.04</v>
      </c>
      <c r="F6" s="5" t="n">
        <v>2</v>
      </c>
      <c r="G6" s="5" t="n">
        <f aca="false">COUNTIFS($B$5:$B$28,B6,$E$5:$E$28,"&lt;"&amp;E6)+COUNTIFS($B$5:$B$28,B6,$E$5:$E$28,E6,$F$5:$F$28,"&lt;"&amp;F6)+1</f>
        <v>2</v>
      </c>
      <c r="H6" s="5" t="str">
        <f aca="false">IF(G6=1,"SELECTED","HELD")</f>
        <v>HELD</v>
      </c>
      <c r="I6" s="7" t="n">
        <v>2.0018984723274</v>
      </c>
      <c r="J6" s="7" t="n">
        <f aca="false">I6/Controls!$B$14</f>
        <v>0.50047461808185</v>
      </c>
      <c r="K6" s="5" t="s">
        <v>200</v>
      </c>
      <c r="L6" s="5" t="str">
        <f aca="false">IF(H6="SELECTED","WARRANT-CONSTITUTED","HELD")</f>
        <v>HELD</v>
      </c>
    </row>
    <row r="7" customFormat="false" ht="15" hidden="false" customHeight="false" outlineLevel="0" collapsed="false">
      <c r="A7" s="5" t="s">
        <v>201</v>
      </c>
      <c r="B7" s="5" t="s">
        <v>7</v>
      </c>
      <c r="C7" s="5" t="s">
        <v>202</v>
      </c>
      <c r="D7" s="5" t="s">
        <v>203</v>
      </c>
      <c r="E7" s="7" t="n">
        <v>1.04651162790698</v>
      </c>
      <c r="F7" s="5" t="n">
        <v>3</v>
      </c>
      <c r="G7" s="5" t="n">
        <f aca="false">COUNTIFS($B$5:$B$28,B7,$E$5:$E$28,"&lt;"&amp;E7)+COUNTIFS($B$5:$B$28,B7,$E$5:$E$28,E7,$F$5:$F$28,"&lt;"&amp;F7)+1</f>
        <v>3</v>
      </c>
      <c r="H7" s="5" t="str">
        <f aca="false">IF(G7=1,"SELECTED","HELD")</f>
        <v>HELD</v>
      </c>
      <c r="I7" s="7" t="n">
        <v>2.0018984723274</v>
      </c>
      <c r="J7" s="7" t="n">
        <f aca="false">I7/Controls!$B$14</f>
        <v>0.50047461808185</v>
      </c>
      <c r="K7" s="5" t="s">
        <v>200</v>
      </c>
      <c r="L7" s="5" t="str">
        <f aca="false">IF(H7="SELECTED","WARRANT-CONSTITUTED","HELD")</f>
        <v>HELD</v>
      </c>
    </row>
    <row r="8" customFormat="false" ht="15" hidden="false" customHeight="false" outlineLevel="0" collapsed="false">
      <c r="A8" s="5" t="s">
        <v>204</v>
      </c>
      <c r="B8" s="5" t="s">
        <v>7</v>
      </c>
      <c r="C8" s="5" t="s">
        <v>205</v>
      </c>
      <c r="D8" s="5" t="s">
        <v>206</v>
      </c>
      <c r="E8" s="7" t="n">
        <v>1.05</v>
      </c>
      <c r="F8" s="5" t="n">
        <v>4</v>
      </c>
      <c r="G8" s="5" t="n">
        <f aca="false">COUNTIFS($B$5:$B$28,B8,$E$5:$E$28,"&lt;"&amp;E8)+COUNTIFS($B$5:$B$28,B8,$E$5:$E$28,E8,$F$5:$F$28,"&lt;"&amp;F8)+1</f>
        <v>4</v>
      </c>
      <c r="H8" s="5" t="str">
        <f aca="false">IF(G8=1,"SELECTED","HELD")</f>
        <v>HELD</v>
      </c>
      <c r="I8" s="7" t="n">
        <v>2.0018984723274</v>
      </c>
      <c r="J8" s="7" t="n">
        <f aca="false">I8/Controls!$B$14</f>
        <v>0.50047461808185</v>
      </c>
      <c r="K8" s="5" t="s">
        <v>200</v>
      </c>
      <c r="L8" s="5" t="str">
        <f aca="false">IF(H8="SELECTED","WARRANT-CONSTITUTED","HELD")</f>
        <v>HELD</v>
      </c>
    </row>
    <row r="9" customFormat="false" ht="15" hidden="false" customHeight="false" outlineLevel="0" collapsed="false">
      <c r="A9" s="5" t="s">
        <v>207</v>
      </c>
      <c r="B9" s="5" t="s">
        <v>12</v>
      </c>
      <c r="C9" s="5" t="s">
        <v>208</v>
      </c>
      <c r="D9" s="5" t="s">
        <v>196</v>
      </c>
      <c r="E9" s="7" t="n">
        <v>1.024</v>
      </c>
      <c r="F9" s="5" t="n">
        <v>3</v>
      </c>
      <c r="G9" s="5" t="n">
        <f aca="false">COUNTIFS($B$5:$B$28,B9,$E$5:$E$28,"&lt;"&amp;E9)+COUNTIFS($B$5:$B$28,B9,$E$5:$E$28,E9,$F$5:$F$28,"&lt;"&amp;F9)+1</f>
        <v>3</v>
      </c>
      <c r="H9" s="5" t="str">
        <f aca="false">IF(G9=1,"SELECTED","HELD")</f>
        <v>HELD</v>
      </c>
      <c r="I9" s="7" t="n">
        <v>2.06597392709584</v>
      </c>
      <c r="J9" s="7" t="n">
        <f aca="false">I9/Controls!$B$14</f>
        <v>0.51649348177396</v>
      </c>
      <c r="K9" s="5" t="s">
        <v>209</v>
      </c>
      <c r="L9" s="5" t="str">
        <f aca="false">IF(H9="SELECTED","WARRANT-CONSTITUTED","HELD")</f>
        <v>HELD</v>
      </c>
    </row>
    <row r="10" customFormat="false" ht="23.85" hidden="false" customHeight="false" outlineLevel="0" collapsed="false">
      <c r="A10" s="5" t="s">
        <v>210</v>
      </c>
      <c r="B10" s="5" t="s">
        <v>12</v>
      </c>
      <c r="C10" s="5" t="s">
        <v>211</v>
      </c>
      <c r="D10" s="5" t="s">
        <v>212</v>
      </c>
      <c r="E10" s="7" t="n">
        <v>1</v>
      </c>
      <c r="F10" s="5" t="n">
        <v>2</v>
      </c>
      <c r="G10" s="5" t="n">
        <f aca="false">COUNTIFS($B$5:$B$28,B10,$E$5:$E$28,"&lt;"&amp;E10)+COUNTIFS($B$5:$B$28,B10,$E$5:$E$28,E10,$F$5:$F$28,"&lt;"&amp;F10)+1</f>
        <v>2</v>
      </c>
      <c r="H10" s="5" t="str">
        <f aca="false">IF(G10=1,"SELECTED","HELD")</f>
        <v>HELD</v>
      </c>
      <c r="I10" s="7" t="n">
        <v>2.06597392709584</v>
      </c>
      <c r="J10" s="7" t="n">
        <f aca="false">I10/Controls!$B$14</f>
        <v>0.51649348177396</v>
      </c>
      <c r="K10" s="5" t="s">
        <v>213</v>
      </c>
      <c r="L10" s="5" t="str">
        <f aca="false">IF(H10="SELECTED","WARRANT-CONSTITUTED","HELD")</f>
        <v>HELD</v>
      </c>
    </row>
    <row r="11" customFormat="false" ht="23.85" hidden="false" customHeight="false" outlineLevel="0" collapsed="false">
      <c r="A11" s="5" t="s">
        <v>13</v>
      </c>
      <c r="B11" s="5" t="s">
        <v>12</v>
      </c>
      <c r="C11" s="5" t="s">
        <v>14</v>
      </c>
      <c r="D11" s="5" t="s">
        <v>212</v>
      </c>
      <c r="E11" s="7" t="n">
        <v>1</v>
      </c>
      <c r="F11" s="5" t="n">
        <v>1</v>
      </c>
      <c r="G11" s="5" t="n">
        <f aca="false">COUNTIFS($B$5:$B$28,B11,$E$5:$E$28,"&lt;"&amp;E11)+COUNTIFS($B$5:$B$28,B11,$E$5:$E$28,E11,$F$5:$F$28,"&lt;"&amp;F11)+1</f>
        <v>1</v>
      </c>
      <c r="H11" s="5" t="str">
        <f aca="false">IF(G11=1,"SELECTED","HELD")</f>
        <v>SELECTED</v>
      </c>
      <c r="I11" s="7" t="n">
        <v>2.06597392709584</v>
      </c>
      <c r="J11" s="7" t="n">
        <f aca="false">I11/Controls!$B$14</f>
        <v>0.51649348177396</v>
      </c>
      <c r="K11" s="5" t="s">
        <v>214</v>
      </c>
      <c r="L11" s="5" t="str">
        <f aca="false">IF(H11="SELECTED","WARRANT-CONSTITUTED","HELD")</f>
        <v>WARRANT-CONSTITUTED</v>
      </c>
    </row>
    <row r="12" customFormat="false" ht="23.85" hidden="false" customHeight="false" outlineLevel="0" collapsed="false">
      <c r="A12" s="5" t="s">
        <v>215</v>
      </c>
      <c r="B12" s="5" t="s">
        <v>12</v>
      </c>
      <c r="C12" s="5" t="s">
        <v>216</v>
      </c>
      <c r="D12" s="5" t="s">
        <v>212</v>
      </c>
      <c r="E12" s="7" t="n">
        <v>1.02631578947368</v>
      </c>
      <c r="F12" s="5" t="n">
        <v>4</v>
      </c>
      <c r="G12" s="5" t="n">
        <f aca="false">COUNTIFS($B$5:$B$28,B12,$E$5:$E$28,"&lt;"&amp;E12)+COUNTIFS($B$5:$B$28,B12,$E$5:$E$28,E12,$F$5:$F$28,"&lt;"&amp;F12)+1</f>
        <v>4</v>
      </c>
      <c r="H12" s="5" t="str">
        <f aca="false">IF(G12=1,"SELECTED","HELD")</f>
        <v>HELD</v>
      </c>
      <c r="I12" s="7" t="n">
        <v>2.06597392709584</v>
      </c>
      <c r="J12" s="7" t="n">
        <f aca="false">I12/Controls!$B$14</f>
        <v>0.51649348177396</v>
      </c>
      <c r="K12" s="5" t="s">
        <v>200</v>
      </c>
      <c r="L12" s="5" t="str">
        <f aca="false">IF(H12="SELECTED","WARRANT-CONSTITUTED","HELD")</f>
        <v>HELD</v>
      </c>
    </row>
    <row r="13" customFormat="false" ht="23.85" hidden="false" customHeight="false" outlineLevel="0" collapsed="false">
      <c r="A13" s="5" t="s">
        <v>18</v>
      </c>
      <c r="B13" s="5" t="s">
        <v>17</v>
      </c>
      <c r="C13" s="5" t="s">
        <v>19</v>
      </c>
      <c r="D13" s="5" t="s">
        <v>196</v>
      </c>
      <c r="E13" s="7" t="n">
        <v>1.024</v>
      </c>
      <c r="F13" s="5" t="n">
        <v>1</v>
      </c>
      <c r="G13" s="5" t="n">
        <f aca="false">COUNTIFS($B$5:$B$28,B13,$E$5:$E$28,"&lt;"&amp;E13)+COUNTIFS($B$5:$B$28,B13,$E$5:$E$28,E13,$F$5:$F$28,"&lt;"&amp;F13)+1</f>
        <v>1</v>
      </c>
      <c r="H13" s="5" t="str">
        <f aca="false">IF(G13=1,"SELECTED","HELD")</f>
        <v>SELECTED</v>
      </c>
      <c r="I13" s="7" t="n">
        <v>1.22888661626853</v>
      </c>
      <c r="J13" s="7" t="n">
        <f aca="false">I13/Controls!$B$14</f>
        <v>0.307221654067133</v>
      </c>
      <c r="K13" s="5" t="s">
        <v>197</v>
      </c>
      <c r="L13" s="5" t="str">
        <f aca="false">IF(H13="SELECTED","WARRANT-CONSTITUTED","HELD")</f>
        <v>WARRANT-CONSTITUTED</v>
      </c>
    </row>
    <row r="14" customFormat="false" ht="23.85" hidden="false" customHeight="false" outlineLevel="0" collapsed="false">
      <c r="A14" s="5" t="s">
        <v>217</v>
      </c>
      <c r="B14" s="5" t="s">
        <v>17</v>
      </c>
      <c r="C14" s="5" t="s">
        <v>218</v>
      </c>
      <c r="D14" s="5" t="s">
        <v>196</v>
      </c>
      <c r="E14" s="7" t="n">
        <v>1.04</v>
      </c>
      <c r="F14" s="5" t="n">
        <v>3</v>
      </c>
      <c r="G14" s="5" t="n">
        <f aca="false">COUNTIFS($B$5:$B$28,B14,$E$5:$E$28,"&lt;"&amp;E14)+COUNTIFS($B$5:$B$28,B14,$E$5:$E$28,E14,$F$5:$F$28,"&lt;"&amp;F14)+1</f>
        <v>3</v>
      </c>
      <c r="H14" s="5" t="str">
        <f aca="false">IF(G14=1,"SELECTED","HELD")</f>
        <v>HELD</v>
      </c>
      <c r="I14" s="7" t="n">
        <v>1.22888661626853</v>
      </c>
      <c r="J14" s="7" t="n">
        <f aca="false">I14/Controls!$B$14</f>
        <v>0.307221654067133</v>
      </c>
      <c r="K14" s="5" t="s">
        <v>200</v>
      </c>
      <c r="L14" s="5" t="str">
        <f aca="false">IF(H14="SELECTED","WARRANT-CONSTITUTED","HELD")</f>
        <v>HELD</v>
      </c>
    </row>
    <row r="15" customFormat="false" ht="23.85" hidden="false" customHeight="false" outlineLevel="0" collapsed="false">
      <c r="A15" s="5" t="s">
        <v>219</v>
      </c>
      <c r="B15" s="5" t="s">
        <v>17</v>
      </c>
      <c r="C15" s="5" t="s">
        <v>220</v>
      </c>
      <c r="D15" s="5" t="s">
        <v>203</v>
      </c>
      <c r="E15" s="7" t="n">
        <v>1.0375</v>
      </c>
      <c r="F15" s="5" t="n">
        <v>2</v>
      </c>
      <c r="G15" s="5" t="n">
        <f aca="false">COUNTIFS($B$5:$B$28,B15,$E$5:$E$28,"&lt;"&amp;E15)+COUNTIFS($B$5:$B$28,B15,$E$5:$E$28,E15,$F$5:$F$28,"&lt;"&amp;F15)+1</f>
        <v>2</v>
      </c>
      <c r="H15" s="5" t="str">
        <f aca="false">IF(G15=1,"SELECTED","HELD")</f>
        <v>HELD</v>
      </c>
      <c r="I15" s="7" t="n">
        <v>1.22888661626853</v>
      </c>
      <c r="J15" s="7" t="n">
        <f aca="false">I15/Controls!$B$14</f>
        <v>0.307221654067133</v>
      </c>
      <c r="K15" s="5" t="s">
        <v>200</v>
      </c>
      <c r="L15" s="5" t="str">
        <f aca="false">IF(H15="SELECTED","WARRANT-CONSTITUTED","HELD")</f>
        <v>HELD</v>
      </c>
    </row>
    <row r="16" customFormat="false" ht="15" hidden="false" customHeight="false" outlineLevel="0" collapsed="false">
      <c r="A16" s="5" t="s">
        <v>221</v>
      </c>
      <c r="B16" s="5" t="s">
        <v>17</v>
      </c>
      <c r="C16" s="5" t="s">
        <v>222</v>
      </c>
      <c r="D16" s="5" t="s">
        <v>203</v>
      </c>
      <c r="E16" s="7" t="n">
        <v>1.04</v>
      </c>
      <c r="F16" s="5" t="n">
        <v>4</v>
      </c>
      <c r="G16" s="5" t="n">
        <f aca="false">COUNTIFS($B$5:$B$28,B16,$E$5:$E$28,"&lt;"&amp;E16)+COUNTIFS($B$5:$B$28,B16,$E$5:$E$28,E16,$F$5:$F$28,"&lt;"&amp;F16)+1</f>
        <v>4</v>
      </c>
      <c r="H16" s="5" t="str">
        <f aca="false">IF(G16=1,"SELECTED","HELD")</f>
        <v>HELD</v>
      </c>
      <c r="I16" s="7" t="n">
        <v>1.22888661626853</v>
      </c>
      <c r="J16" s="7" t="n">
        <f aca="false">I16/Controls!$B$14</f>
        <v>0.307221654067133</v>
      </c>
      <c r="K16" s="5" t="s">
        <v>200</v>
      </c>
      <c r="L16" s="5" t="str">
        <f aca="false">IF(H16="SELECTED","WARRANT-CONSTITUTED","HELD")</f>
        <v>HELD</v>
      </c>
    </row>
    <row r="17" customFormat="false" ht="15" hidden="false" customHeight="false" outlineLevel="0" collapsed="false">
      <c r="A17" s="5" t="s">
        <v>223</v>
      </c>
      <c r="B17" s="5" t="s">
        <v>20</v>
      </c>
      <c r="C17" s="5" t="s">
        <v>224</v>
      </c>
      <c r="D17" s="5" t="s">
        <v>212</v>
      </c>
      <c r="E17" s="7" t="n">
        <v>1.662604233483</v>
      </c>
      <c r="F17" s="5" t="n">
        <v>4</v>
      </c>
      <c r="G17" s="5" t="n">
        <f aca="false">COUNTIFS($B$5:$B$28,B17,$E$5:$E$28,"&lt;"&amp;E17)+COUNTIFS($B$5:$B$28,B17,$E$5:$E$28,E17,$F$5:$F$28,"&lt;"&amp;F17)+1</f>
        <v>4</v>
      </c>
      <c r="H17" s="5" t="str">
        <f aca="false">IF(G17=1,"SELECTED","HELD")</f>
        <v>HELD</v>
      </c>
      <c r="I17" s="7" t="n">
        <v>3.59765127728226</v>
      </c>
      <c r="J17" s="7" t="n">
        <f aca="false">I17/Controls!$B$14</f>
        <v>0.899412819320565</v>
      </c>
      <c r="K17" s="5" t="s">
        <v>225</v>
      </c>
      <c r="L17" s="5" t="str">
        <f aca="false">IF(H17="SELECTED","WARRANT-CONSTITUTED","HELD")</f>
        <v>HELD</v>
      </c>
    </row>
    <row r="18" customFormat="false" ht="23.85" hidden="false" customHeight="false" outlineLevel="0" collapsed="false">
      <c r="A18" s="5" t="s">
        <v>21</v>
      </c>
      <c r="B18" s="5" t="s">
        <v>20</v>
      </c>
      <c r="C18" s="5" t="s">
        <v>22</v>
      </c>
      <c r="D18" s="5" t="s">
        <v>212</v>
      </c>
      <c r="E18" s="7" t="n">
        <v>1.0709206012773</v>
      </c>
      <c r="F18" s="5" t="n">
        <v>1</v>
      </c>
      <c r="G18" s="5" t="n">
        <f aca="false">COUNTIFS($B$5:$B$28,B18,$E$5:$E$28,"&lt;"&amp;E18)+COUNTIFS($B$5:$B$28,B18,$E$5:$E$28,E18,$F$5:$F$28,"&lt;"&amp;F18)+1</f>
        <v>1</v>
      </c>
      <c r="H18" s="5" t="str">
        <f aca="false">IF(G18=1,"SELECTED","HELD")</f>
        <v>SELECTED</v>
      </c>
      <c r="I18" s="7" t="n">
        <v>3.59765127728226</v>
      </c>
      <c r="J18" s="7" t="n">
        <f aca="false">I18/Controls!$B$14</f>
        <v>0.899412819320565</v>
      </c>
      <c r="K18" s="5" t="s">
        <v>226</v>
      </c>
      <c r="L18" s="5" t="str">
        <f aca="false">IF(H18="SELECTED","WARRANT-CONSTITUTED","HELD")</f>
        <v>WARRANT-CONSTITUTED</v>
      </c>
    </row>
    <row r="19" customFormat="false" ht="23.85" hidden="false" customHeight="false" outlineLevel="0" collapsed="false">
      <c r="A19" s="5" t="s">
        <v>227</v>
      </c>
      <c r="B19" s="5" t="s">
        <v>20</v>
      </c>
      <c r="C19" s="5" t="s">
        <v>228</v>
      </c>
      <c r="D19" s="5" t="s">
        <v>212</v>
      </c>
      <c r="E19" s="7" t="n">
        <v>1.0709206012773</v>
      </c>
      <c r="F19" s="5" t="n">
        <v>2</v>
      </c>
      <c r="G19" s="5" t="n">
        <f aca="false">COUNTIFS($B$5:$B$28,B19,$E$5:$E$28,"&lt;"&amp;E19)+COUNTIFS($B$5:$B$28,B19,$E$5:$E$28,E19,$F$5:$F$28,"&lt;"&amp;F19)+1</f>
        <v>2</v>
      </c>
      <c r="H19" s="5" t="str">
        <f aca="false">IF(G19=1,"SELECTED","HELD")</f>
        <v>HELD</v>
      </c>
      <c r="I19" s="7" t="n">
        <v>3.59765127728226</v>
      </c>
      <c r="J19" s="7" t="n">
        <f aca="false">I19/Controls!$B$14</f>
        <v>0.899412819320565</v>
      </c>
      <c r="K19" s="5" t="s">
        <v>229</v>
      </c>
      <c r="L19" s="5" t="str">
        <f aca="false">IF(H19="SELECTED","WARRANT-CONSTITUTED","HELD")</f>
        <v>HELD</v>
      </c>
    </row>
    <row r="20" customFormat="false" ht="23.85" hidden="false" customHeight="false" outlineLevel="0" collapsed="false">
      <c r="A20" s="5" t="s">
        <v>230</v>
      </c>
      <c r="B20" s="5" t="s">
        <v>20</v>
      </c>
      <c r="C20" s="5" t="s">
        <v>231</v>
      </c>
      <c r="D20" s="5" t="s">
        <v>212</v>
      </c>
      <c r="E20" s="7" t="n">
        <v>1.0709206012773</v>
      </c>
      <c r="F20" s="5" t="n">
        <v>3</v>
      </c>
      <c r="G20" s="5" t="n">
        <f aca="false">COUNTIFS($B$5:$B$28,B20,$E$5:$E$28,"&lt;"&amp;E20)+COUNTIFS($B$5:$B$28,B20,$E$5:$E$28,E20,$F$5:$F$28,"&lt;"&amp;F20)+1</f>
        <v>3</v>
      </c>
      <c r="H20" s="5" t="str">
        <f aca="false">IF(G20=1,"SELECTED","HELD")</f>
        <v>HELD</v>
      </c>
      <c r="I20" s="7" t="n">
        <v>3.59765127728226</v>
      </c>
      <c r="J20" s="7" t="n">
        <f aca="false">I20/Controls!$B$14</f>
        <v>0.899412819320565</v>
      </c>
      <c r="K20" s="5" t="s">
        <v>232</v>
      </c>
      <c r="L20" s="5" t="str">
        <f aca="false">IF(H20="SELECTED","WARRANT-CONSTITUTED","HELD")</f>
        <v>HELD</v>
      </c>
    </row>
    <row r="21" customFormat="false" ht="23.85" hidden="false" customHeight="false" outlineLevel="0" collapsed="false">
      <c r="A21" s="5" t="s">
        <v>25</v>
      </c>
      <c r="B21" s="5" t="s">
        <v>24</v>
      </c>
      <c r="C21" s="5" t="s">
        <v>26</v>
      </c>
      <c r="D21" s="5" t="s">
        <v>203</v>
      </c>
      <c r="E21" s="7" t="n">
        <v>1.008</v>
      </c>
      <c r="F21" s="5" t="n">
        <v>1</v>
      </c>
      <c r="G21" s="5" t="n">
        <f aca="false">COUNTIFS($B$5:$B$28,B21,$E$5:$E$28,"&lt;"&amp;E21)+COUNTIFS($B$5:$B$28,B21,$E$5:$E$28,E21,$F$5:$F$28,"&lt;"&amp;F21)+1</f>
        <v>1</v>
      </c>
      <c r="H21" s="5" t="str">
        <f aca="false">IF(G21=1,"SELECTED","HELD")</f>
        <v>SELECTED</v>
      </c>
      <c r="I21" s="7" t="n">
        <v>3.44284981176438</v>
      </c>
      <c r="J21" s="7" t="n">
        <f aca="false">I21/Controls!$B$14</f>
        <v>0.860712452941095</v>
      </c>
      <c r="K21" s="5" t="s">
        <v>197</v>
      </c>
      <c r="L21" s="5" t="str">
        <f aca="false">IF(H21="SELECTED","WARRANT-CONSTITUTED","HELD")</f>
        <v>WARRANT-CONSTITUTED</v>
      </c>
    </row>
    <row r="22" customFormat="false" ht="23.85" hidden="false" customHeight="false" outlineLevel="0" collapsed="false">
      <c r="A22" s="5" t="s">
        <v>233</v>
      </c>
      <c r="B22" s="5" t="s">
        <v>24</v>
      </c>
      <c r="C22" s="5" t="s">
        <v>234</v>
      </c>
      <c r="D22" s="5" t="s">
        <v>196</v>
      </c>
      <c r="E22" s="7" t="n">
        <v>1.048</v>
      </c>
      <c r="F22" s="5" t="n">
        <v>4</v>
      </c>
      <c r="G22" s="5" t="n">
        <f aca="false">COUNTIFS($B$5:$B$28,B22,$E$5:$E$28,"&lt;"&amp;E22)+COUNTIFS($B$5:$B$28,B22,$E$5:$E$28,E22,$F$5:$F$28,"&lt;"&amp;F22)+1</f>
        <v>4</v>
      </c>
      <c r="H22" s="5" t="str">
        <f aca="false">IF(G22=1,"SELECTED","HELD")</f>
        <v>HELD</v>
      </c>
      <c r="I22" s="7" t="n">
        <v>3.44284981176438</v>
      </c>
      <c r="J22" s="7" t="n">
        <f aca="false">I22/Controls!$B$14</f>
        <v>0.860712452941095</v>
      </c>
      <c r="K22" s="5" t="s">
        <v>200</v>
      </c>
      <c r="L22" s="5" t="str">
        <f aca="false">IF(H22="SELECTED","WARRANT-CONSTITUTED","HELD")</f>
        <v>HELD</v>
      </c>
    </row>
    <row r="23" customFormat="false" ht="15" hidden="false" customHeight="false" outlineLevel="0" collapsed="false">
      <c r="A23" s="5" t="s">
        <v>235</v>
      </c>
      <c r="B23" s="5" t="s">
        <v>24</v>
      </c>
      <c r="C23" s="5" t="s">
        <v>236</v>
      </c>
      <c r="D23" s="5" t="s">
        <v>203</v>
      </c>
      <c r="E23" s="7" t="n">
        <v>1.04347826086957</v>
      </c>
      <c r="F23" s="5" t="n">
        <v>3</v>
      </c>
      <c r="G23" s="5" t="n">
        <f aca="false">COUNTIFS($B$5:$B$28,B23,$E$5:$E$28,"&lt;"&amp;E23)+COUNTIFS($B$5:$B$28,B23,$E$5:$E$28,E23,$F$5:$F$28,"&lt;"&amp;F23)+1</f>
        <v>3</v>
      </c>
      <c r="H23" s="5" t="str">
        <f aca="false">IF(G23=1,"SELECTED","HELD")</f>
        <v>HELD</v>
      </c>
      <c r="I23" s="7" t="n">
        <v>3.44284981176438</v>
      </c>
      <c r="J23" s="7" t="n">
        <f aca="false">I23/Controls!$B$14</f>
        <v>0.860712452941095</v>
      </c>
      <c r="K23" s="5" t="s">
        <v>200</v>
      </c>
      <c r="L23" s="5" t="str">
        <f aca="false">IF(H23="SELECTED","WARRANT-CONSTITUTED","HELD")</f>
        <v>HELD</v>
      </c>
    </row>
    <row r="24" customFormat="false" ht="15" hidden="false" customHeight="false" outlineLevel="0" collapsed="false">
      <c r="A24" s="5" t="s">
        <v>237</v>
      </c>
      <c r="B24" s="5" t="s">
        <v>24</v>
      </c>
      <c r="C24" s="5" t="s">
        <v>238</v>
      </c>
      <c r="D24" s="5" t="s">
        <v>203</v>
      </c>
      <c r="E24" s="7" t="n">
        <v>1.01379310344828</v>
      </c>
      <c r="F24" s="5" t="n">
        <v>2</v>
      </c>
      <c r="G24" s="5" t="n">
        <f aca="false">COUNTIFS($B$5:$B$28,B24,$E$5:$E$28,"&lt;"&amp;E24)+COUNTIFS($B$5:$B$28,B24,$E$5:$E$28,E24,$F$5:$F$28,"&lt;"&amp;F24)+1</f>
        <v>2</v>
      </c>
      <c r="H24" s="5" t="str">
        <f aca="false">IF(G24=1,"SELECTED","HELD")</f>
        <v>HELD</v>
      </c>
      <c r="I24" s="7" t="n">
        <v>3.44284981176438</v>
      </c>
      <c r="J24" s="7" t="n">
        <f aca="false">I24/Controls!$B$14</f>
        <v>0.860712452941095</v>
      </c>
      <c r="K24" s="5" t="s">
        <v>200</v>
      </c>
      <c r="L24" s="5" t="str">
        <f aca="false">IF(H24="SELECTED","WARRANT-CONSTITUTED","HELD")</f>
        <v>HELD</v>
      </c>
    </row>
    <row r="25" customFormat="false" ht="15" hidden="false" customHeight="false" outlineLevel="0" collapsed="false">
      <c r="A25" s="5" t="s">
        <v>239</v>
      </c>
      <c r="B25" s="5" t="s">
        <v>31</v>
      </c>
      <c r="C25" s="5" t="s">
        <v>240</v>
      </c>
      <c r="D25" s="5" t="s">
        <v>212</v>
      </c>
      <c r="E25" s="7" t="n">
        <v>1.01666666666667</v>
      </c>
      <c r="F25" s="5" t="n">
        <v>3</v>
      </c>
      <c r="G25" s="5" t="n">
        <f aca="false">COUNTIFS($B$5:$B$28,B25,$E$5:$E$28,"&lt;"&amp;E25)+COUNTIFS($B$5:$B$28,B25,$E$5:$E$28,E25,$F$5:$F$28,"&lt;"&amp;F25)+1</f>
        <v>3</v>
      </c>
      <c r="H25" s="5" t="str">
        <f aca="false">IF(G25=1,"SELECTED","HELD")</f>
        <v>HELD</v>
      </c>
      <c r="I25" s="7" t="n">
        <v>2.01039117254385</v>
      </c>
      <c r="J25" s="7" t="n">
        <f aca="false">I25/Controls!$B$14</f>
        <v>0.502597793135963</v>
      </c>
      <c r="K25" s="5" t="s">
        <v>200</v>
      </c>
      <c r="L25" s="5" t="str">
        <f aca="false">IF(H25="SELECTED","WARRANT-CONSTITUTED","HELD")</f>
        <v>HELD</v>
      </c>
    </row>
    <row r="26" customFormat="false" ht="23.85" hidden="false" customHeight="false" outlineLevel="0" collapsed="false">
      <c r="A26" s="5" t="s">
        <v>32</v>
      </c>
      <c r="B26" s="5" t="s">
        <v>31</v>
      </c>
      <c r="C26" s="5" t="s">
        <v>33</v>
      </c>
      <c r="D26" s="5" t="s">
        <v>212</v>
      </c>
      <c r="E26" s="7" t="n">
        <v>1.00645161290323</v>
      </c>
      <c r="F26" s="5" t="n">
        <v>1</v>
      </c>
      <c r="G26" s="5" t="n">
        <f aca="false">COUNTIFS($B$5:$B$28,B26,$E$5:$E$28,"&lt;"&amp;E26)+COUNTIFS($B$5:$B$28,B26,$E$5:$E$28,E26,$F$5:$F$28,"&lt;"&amp;F26)+1</f>
        <v>1</v>
      </c>
      <c r="H26" s="5" t="str">
        <f aca="false">IF(G26=1,"SELECTED","HELD")</f>
        <v>SELECTED</v>
      </c>
      <c r="I26" s="7" t="n">
        <v>2.01039117254385</v>
      </c>
      <c r="J26" s="7" t="n">
        <f aca="false">I26/Controls!$B$14</f>
        <v>0.502597793135963</v>
      </c>
      <c r="K26" s="5" t="s">
        <v>197</v>
      </c>
      <c r="L26" s="5" t="str">
        <f aca="false">IF(H26="SELECTED","WARRANT-CONSTITUTED","HELD")</f>
        <v>WARRANT-CONSTITUTED</v>
      </c>
    </row>
    <row r="27" customFormat="false" ht="23.85" hidden="false" customHeight="false" outlineLevel="0" collapsed="false">
      <c r="A27" s="5" t="s">
        <v>241</v>
      </c>
      <c r="B27" s="5" t="s">
        <v>31</v>
      </c>
      <c r="C27" s="5" t="s">
        <v>242</v>
      </c>
      <c r="D27" s="5" t="s">
        <v>212</v>
      </c>
      <c r="E27" s="7" t="n">
        <v>1.02222222222222</v>
      </c>
      <c r="F27" s="5" t="n">
        <v>4</v>
      </c>
      <c r="G27" s="5" t="n">
        <f aca="false">COUNTIFS($B$5:$B$28,B27,$E$5:$E$28,"&lt;"&amp;E27)+COUNTIFS($B$5:$B$28,B27,$E$5:$E$28,E27,$F$5:$F$28,"&lt;"&amp;F27)+1</f>
        <v>4</v>
      </c>
      <c r="H27" s="5" t="str">
        <f aca="false">IF(G27=1,"SELECTED","HELD")</f>
        <v>HELD</v>
      </c>
      <c r="I27" s="7" t="n">
        <v>2.01039117254385</v>
      </c>
      <c r="J27" s="7" t="n">
        <f aca="false">I27/Controls!$B$14</f>
        <v>0.502597793135963</v>
      </c>
      <c r="K27" s="5" t="s">
        <v>200</v>
      </c>
      <c r="L27" s="5" t="str">
        <f aca="false">IF(H27="SELECTED","WARRANT-CONSTITUTED","HELD")</f>
        <v>HELD</v>
      </c>
    </row>
    <row r="28" customFormat="false" ht="23.85" hidden="false" customHeight="false" outlineLevel="0" collapsed="false">
      <c r="A28" s="5" t="s">
        <v>243</v>
      </c>
      <c r="B28" s="5" t="s">
        <v>31</v>
      </c>
      <c r="C28" s="5" t="s">
        <v>244</v>
      </c>
      <c r="D28" s="5" t="s">
        <v>212</v>
      </c>
      <c r="E28" s="7" t="n">
        <v>1.01315789473684</v>
      </c>
      <c r="F28" s="5" t="n">
        <v>2</v>
      </c>
      <c r="G28" s="5" t="n">
        <f aca="false">COUNTIFS($B$5:$B$28,B28,$E$5:$E$28,"&lt;"&amp;E28)+COUNTIFS($B$5:$B$28,B28,$E$5:$E$28,E28,$F$5:$F$28,"&lt;"&amp;F28)+1</f>
        <v>2</v>
      </c>
      <c r="H28" s="5" t="str">
        <f aca="false">IF(G28=1,"SELECTED","HELD")</f>
        <v>HELD</v>
      </c>
      <c r="I28" s="7" t="n">
        <v>2.01039117254385</v>
      </c>
      <c r="J28" s="7" t="n">
        <f aca="false">I28/Controls!$B$14</f>
        <v>0.502597793135963</v>
      </c>
      <c r="K28" s="5" t="s">
        <v>200</v>
      </c>
      <c r="L28" s="5" t="str">
        <f aca="false">IF(H28="SELECTED","WARRANT-CONSTITUTED","HELD")</f>
        <v>HELD</v>
      </c>
    </row>
  </sheetData>
  <mergeCells count="2">
    <mergeCell ref="A1:L1"/>
    <mergeCell ref="A2:L2"/>
  </mergeCells>
  <conditionalFormatting sqref="H5:H28">
    <cfRule type="containsText" priority="2" operator="containsText" aboveAverage="0" equalAverage="0" bottom="0" percent="0" rank="0" text="SELECTED" dxfId="3">
      <formula>NOT(ISERROR(SEARCH("SELECTED",H5)))</formula>
    </cfRule>
  </conditionalFormatting>
  <conditionalFormatting sqref="L5:L28">
    <cfRule type="containsText" priority="3" operator="containsText" aboveAverage="0" equalAverage="0" bottom="0" percent="0" rank="0" text="HELD" dxfId="4">
      <formula>NOT(ISERROR(SEARCH("HELD",L5)))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7.22"/>
    <col collapsed="false" customWidth="true" hidden="false" outlineLevel="0" max="3" min="3" style="0" width="7.78"/>
    <col collapsed="false" customWidth="true" hidden="false" outlineLevel="0" max="4" min="4" style="0" width="8.34"/>
    <col collapsed="false" customWidth="true" hidden="false" outlineLevel="0" max="5" min="5" style="0" width="9.44"/>
    <col collapsed="false" customWidth="true" hidden="false" outlineLevel="0" max="6" min="6" style="0" width="10"/>
    <col collapsed="false" customWidth="true" hidden="false" outlineLevel="0" max="7" min="7" style="0" width="42.79"/>
    <col collapsed="false" customWidth="true" hidden="false" outlineLevel="0" max="8" min="8" style="0" width="8.34"/>
    <col collapsed="false" customWidth="true" hidden="false" outlineLevel="0" max="9" min="9" style="0" width="7.22"/>
    <col collapsed="false" customWidth="true" hidden="false" outlineLevel="0" max="10" min="10" style="0" width="7.78"/>
    <col collapsed="false" customWidth="true" hidden="false" outlineLevel="0" max="12" min="11" style="0" width="9.44"/>
  </cols>
  <sheetData>
    <row r="1" customFormat="false" ht="26" hidden="false" customHeight="true" outlineLevel="0" collapsed="false">
      <c r="A1" s="1" t="s">
        <v>245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246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247</v>
      </c>
      <c r="B4" s="6" t="s">
        <v>184</v>
      </c>
      <c r="C4" s="6" t="s">
        <v>185</v>
      </c>
      <c r="D4" s="6" t="s">
        <v>248</v>
      </c>
      <c r="E4" s="6" t="s">
        <v>249</v>
      </c>
      <c r="F4" s="6" t="s">
        <v>187</v>
      </c>
      <c r="G4" s="6" t="s">
        <v>250</v>
      </c>
      <c r="H4" s="6" t="s">
        <v>251</v>
      </c>
      <c r="I4" s="6" t="s">
        <v>252</v>
      </c>
      <c r="J4" s="6" t="s">
        <v>253</v>
      </c>
      <c r="K4" s="6" t="s">
        <v>254</v>
      </c>
      <c r="L4" s="6" t="s">
        <v>171</v>
      </c>
    </row>
    <row r="5" customFormat="false" ht="23.85" hidden="false" customHeight="false" outlineLevel="0" collapsed="false">
      <c r="A5" s="5" t="s">
        <v>255</v>
      </c>
      <c r="B5" s="5" t="s">
        <v>8</v>
      </c>
      <c r="C5" s="5" t="s">
        <v>7</v>
      </c>
      <c r="D5" s="5" t="s">
        <v>256</v>
      </c>
      <c r="E5" s="7" t="n">
        <v>1</v>
      </c>
      <c r="F5" s="5" t="s">
        <v>196</v>
      </c>
      <c r="G5" s="5" t="s">
        <v>257</v>
      </c>
      <c r="H5" s="5" t="s">
        <v>258</v>
      </c>
      <c r="I5" s="5" t="n">
        <v>3</v>
      </c>
      <c r="J5" s="5" t="n">
        <v>2</v>
      </c>
      <c r="K5" s="5"/>
      <c r="L5" s="5" t="str">
        <f aca="false">IF(K5="","HOLD","UNADMITTED")</f>
        <v>HOLD</v>
      </c>
    </row>
    <row r="6" customFormat="false" ht="23.85" hidden="false" customHeight="false" outlineLevel="0" collapsed="false">
      <c r="A6" s="5" t="s">
        <v>259</v>
      </c>
      <c r="B6" s="5" t="s">
        <v>8</v>
      </c>
      <c r="C6" s="5" t="s">
        <v>7</v>
      </c>
      <c r="D6" s="5" t="s">
        <v>260</v>
      </c>
      <c r="E6" s="7" t="n">
        <v>1</v>
      </c>
      <c r="F6" s="5" t="s">
        <v>196</v>
      </c>
      <c r="G6" s="5" t="s">
        <v>261</v>
      </c>
      <c r="H6" s="5" t="s">
        <v>262</v>
      </c>
      <c r="I6" s="5" t="n">
        <v>3</v>
      </c>
      <c r="J6" s="5" t="n">
        <v>2</v>
      </c>
      <c r="K6" s="5"/>
      <c r="L6" s="5" t="str">
        <f aca="false">IF(K6="","HOLD","UNADMITTED")</f>
        <v>HOLD</v>
      </c>
    </row>
    <row r="7" customFormat="false" ht="23.85" hidden="false" customHeight="false" outlineLevel="0" collapsed="false">
      <c r="A7" s="5" t="s">
        <v>263</v>
      </c>
      <c r="B7" s="5" t="s">
        <v>13</v>
      </c>
      <c r="C7" s="5" t="s">
        <v>12</v>
      </c>
      <c r="D7" s="5" t="s">
        <v>256</v>
      </c>
      <c r="E7" s="7" t="n">
        <v>1</v>
      </c>
      <c r="F7" s="5" t="s">
        <v>212</v>
      </c>
      <c r="G7" s="5" t="s">
        <v>264</v>
      </c>
      <c r="H7" s="5" t="s">
        <v>258</v>
      </c>
      <c r="I7" s="5" t="n">
        <v>3</v>
      </c>
      <c r="J7" s="5" t="n">
        <v>2</v>
      </c>
      <c r="K7" s="5"/>
      <c r="L7" s="5" t="str">
        <f aca="false">IF(K7="","HOLD","UNADMITTED")</f>
        <v>HOLD</v>
      </c>
    </row>
    <row r="8" customFormat="false" ht="35.05" hidden="false" customHeight="false" outlineLevel="0" collapsed="false">
      <c r="A8" s="5" t="s">
        <v>265</v>
      </c>
      <c r="B8" s="5" t="s">
        <v>13</v>
      </c>
      <c r="C8" s="5" t="s">
        <v>12</v>
      </c>
      <c r="D8" s="5" t="s">
        <v>260</v>
      </c>
      <c r="E8" s="7" t="n">
        <v>1</v>
      </c>
      <c r="F8" s="5" t="s">
        <v>212</v>
      </c>
      <c r="G8" s="5" t="s">
        <v>266</v>
      </c>
      <c r="H8" s="5" t="s">
        <v>262</v>
      </c>
      <c r="I8" s="5" t="n">
        <v>3</v>
      </c>
      <c r="J8" s="5" t="n">
        <v>2</v>
      </c>
      <c r="K8" s="5"/>
      <c r="L8" s="5" t="str">
        <f aca="false">IF(K8="","HOLD","UNADMITTED")</f>
        <v>HOLD</v>
      </c>
    </row>
    <row r="9" customFormat="false" ht="23.85" hidden="false" customHeight="false" outlineLevel="0" collapsed="false">
      <c r="A9" s="5" t="s">
        <v>267</v>
      </c>
      <c r="B9" s="5" t="s">
        <v>18</v>
      </c>
      <c r="C9" s="5" t="s">
        <v>17</v>
      </c>
      <c r="D9" s="5" t="s">
        <v>256</v>
      </c>
      <c r="E9" s="7" t="n">
        <v>1</v>
      </c>
      <c r="F9" s="5" t="s">
        <v>196</v>
      </c>
      <c r="G9" s="5" t="s">
        <v>268</v>
      </c>
      <c r="H9" s="5" t="s">
        <v>258</v>
      </c>
      <c r="I9" s="5" t="n">
        <v>3</v>
      </c>
      <c r="J9" s="5" t="n">
        <v>2</v>
      </c>
      <c r="K9" s="5"/>
      <c r="L9" s="5" t="str">
        <f aca="false">IF(K9="","HOLD","UNADMITTED")</f>
        <v>HOLD</v>
      </c>
    </row>
    <row r="10" customFormat="false" ht="23.85" hidden="false" customHeight="false" outlineLevel="0" collapsed="false">
      <c r="A10" s="5" t="s">
        <v>269</v>
      </c>
      <c r="B10" s="5" t="s">
        <v>18</v>
      </c>
      <c r="C10" s="5" t="s">
        <v>17</v>
      </c>
      <c r="D10" s="5" t="s">
        <v>260</v>
      </c>
      <c r="E10" s="7" t="n">
        <v>1</v>
      </c>
      <c r="F10" s="5" t="s">
        <v>196</v>
      </c>
      <c r="G10" s="5" t="s">
        <v>270</v>
      </c>
      <c r="H10" s="5" t="s">
        <v>262</v>
      </c>
      <c r="I10" s="5" t="n">
        <v>3</v>
      </c>
      <c r="J10" s="5" t="n">
        <v>2</v>
      </c>
      <c r="K10" s="5"/>
      <c r="L10" s="5" t="str">
        <f aca="false">IF(K10="","HOLD","UNADMITTED")</f>
        <v>HOLD</v>
      </c>
    </row>
    <row r="11" customFormat="false" ht="23.85" hidden="false" customHeight="false" outlineLevel="0" collapsed="false">
      <c r="A11" s="5" t="s">
        <v>271</v>
      </c>
      <c r="B11" s="5" t="s">
        <v>21</v>
      </c>
      <c r="C11" s="5" t="s">
        <v>20</v>
      </c>
      <c r="D11" s="5" t="s">
        <v>256</v>
      </c>
      <c r="E11" s="7" t="n">
        <v>1</v>
      </c>
      <c r="F11" s="5" t="s">
        <v>212</v>
      </c>
      <c r="G11" s="5" t="s">
        <v>272</v>
      </c>
      <c r="H11" s="5" t="s">
        <v>258</v>
      </c>
      <c r="I11" s="5" t="n">
        <v>3</v>
      </c>
      <c r="J11" s="5" t="n">
        <v>2</v>
      </c>
      <c r="K11" s="5"/>
      <c r="L11" s="5" t="str">
        <f aca="false">IF(K11="","HOLD","UNADMITTED")</f>
        <v>HOLD</v>
      </c>
    </row>
    <row r="12" customFormat="false" ht="35.05" hidden="false" customHeight="false" outlineLevel="0" collapsed="false">
      <c r="A12" s="5" t="s">
        <v>273</v>
      </c>
      <c r="B12" s="5" t="s">
        <v>21</v>
      </c>
      <c r="C12" s="5" t="s">
        <v>20</v>
      </c>
      <c r="D12" s="5" t="s">
        <v>260</v>
      </c>
      <c r="E12" s="7" t="n">
        <v>1</v>
      </c>
      <c r="F12" s="5" t="s">
        <v>212</v>
      </c>
      <c r="G12" s="5" t="s">
        <v>274</v>
      </c>
      <c r="H12" s="5" t="s">
        <v>262</v>
      </c>
      <c r="I12" s="5" t="n">
        <v>3</v>
      </c>
      <c r="J12" s="5" t="n">
        <v>2</v>
      </c>
      <c r="K12" s="5"/>
      <c r="L12" s="5" t="str">
        <f aca="false">IF(K12="","HOLD","UNADMITTED")</f>
        <v>HOLD</v>
      </c>
    </row>
    <row r="13" customFormat="false" ht="23.85" hidden="false" customHeight="false" outlineLevel="0" collapsed="false">
      <c r="A13" s="5" t="s">
        <v>275</v>
      </c>
      <c r="B13" s="5" t="s">
        <v>25</v>
      </c>
      <c r="C13" s="5" t="s">
        <v>24</v>
      </c>
      <c r="D13" s="5" t="s">
        <v>256</v>
      </c>
      <c r="E13" s="7" t="n">
        <v>1</v>
      </c>
      <c r="F13" s="5" t="s">
        <v>203</v>
      </c>
      <c r="G13" s="5" t="s">
        <v>276</v>
      </c>
      <c r="H13" s="5" t="s">
        <v>258</v>
      </c>
      <c r="I13" s="5" t="n">
        <v>3</v>
      </c>
      <c r="J13" s="5" t="n">
        <v>2</v>
      </c>
      <c r="K13" s="5"/>
      <c r="L13" s="5" t="str">
        <f aca="false">IF(K13="","HOLD","UNADMITTED")</f>
        <v>HOLD</v>
      </c>
    </row>
    <row r="14" customFormat="false" ht="23.85" hidden="false" customHeight="false" outlineLevel="0" collapsed="false">
      <c r="A14" s="5" t="s">
        <v>277</v>
      </c>
      <c r="B14" s="5" t="s">
        <v>25</v>
      </c>
      <c r="C14" s="5" t="s">
        <v>24</v>
      </c>
      <c r="D14" s="5" t="s">
        <v>260</v>
      </c>
      <c r="E14" s="7" t="n">
        <v>1</v>
      </c>
      <c r="F14" s="5" t="s">
        <v>203</v>
      </c>
      <c r="G14" s="5" t="s">
        <v>278</v>
      </c>
      <c r="H14" s="5" t="s">
        <v>262</v>
      </c>
      <c r="I14" s="5" t="n">
        <v>3</v>
      </c>
      <c r="J14" s="5" t="n">
        <v>2</v>
      </c>
      <c r="K14" s="5"/>
      <c r="L14" s="5" t="str">
        <f aca="false">IF(K14="","HOLD","UNADMITTED")</f>
        <v>HOLD</v>
      </c>
    </row>
    <row r="15" customFormat="false" ht="23.85" hidden="false" customHeight="false" outlineLevel="0" collapsed="false">
      <c r="A15" s="5" t="s">
        <v>279</v>
      </c>
      <c r="B15" s="5" t="s">
        <v>32</v>
      </c>
      <c r="C15" s="5" t="s">
        <v>31</v>
      </c>
      <c r="D15" s="5" t="s">
        <v>256</v>
      </c>
      <c r="E15" s="7" t="n">
        <v>1</v>
      </c>
      <c r="F15" s="5" t="s">
        <v>212</v>
      </c>
      <c r="G15" s="5" t="s">
        <v>280</v>
      </c>
      <c r="H15" s="5" t="s">
        <v>258</v>
      </c>
      <c r="I15" s="5" t="n">
        <v>3</v>
      </c>
      <c r="J15" s="5" t="n">
        <v>2</v>
      </c>
      <c r="K15" s="5"/>
      <c r="L15" s="5" t="str">
        <f aca="false">IF(K15="","HOLD","UNADMITTED")</f>
        <v>HOLD</v>
      </c>
    </row>
    <row r="16" customFormat="false" ht="23.85" hidden="false" customHeight="false" outlineLevel="0" collapsed="false">
      <c r="A16" s="5" t="s">
        <v>281</v>
      </c>
      <c r="B16" s="5" t="s">
        <v>32</v>
      </c>
      <c r="C16" s="5" t="s">
        <v>31</v>
      </c>
      <c r="D16" s="5" t="s">
        <v>260</v>
      </c>
      <c r="E16" s="7" t="n">
        <v>1</v>
      </c>
      <c r="F16" s="5" t="s">
        <v>212</v>
      </c>
      <c r="G16" s="5" t="s">
        <v>282</v>
      </c>
      <c r="H16" s="5" t="s">
        <v>262</v>
      </c>
      <c r="I16" s="5" t="n">
        <v>3</v>
      </c>
      <c r="J16" s="5" t="n">
        <v>2</v>
      </c>
      <c r="K16" s="5"/>
      <c r="L16" s="5" t="str">
        <f aca="false">IF(K16="","HOLD","UNADMITTED")</f>
        <v>HOLD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.78"/>
    <col collapsed="false" customWidth="true" hidden="false" outlineLevel="0" max="3" min="3" style="0" width="11.67"/>
    <col collapsed="false" customWidth="true" hidden="false" outlineLevel="0" max="4" min="4" style="0" width="36.67"/>
    <col collapsed="false" customWidth="true" hidden="false" outlineLevel="0" max="5" min="5" style="0" width="8.89"/>
    <col collapsed="false" customWidth="true" hidden="false" outlineLevel="0" max="6" min="6" style="0" width="10"/>
    <col collapsed="false" customWidth="true" hidden="false" outlineLevel="0" max="7" min="7" style="0" width="10.56"/>
    <col collapsed="false" customWidth="true" hidden="false" outlineLevel="0" max="8" min="8" style="0" width="8.34"/>
    <col collapsed="false" customWidth="true" hidden="false" outlineLevel="0" max="9" min="9" style="0" width="7.78"/>
    <col collapsed="false" customWidth="true" hidden="false" outlineLevel="0" max="11" min="10" style="0" width="11.67"/>
    <col collapsed="false" customWidth="true" hidden="false" outlineLevel="0" max="12" min="12" style="0" width="16.67"/>
  </cols>
  <sheetData>
    <row r="1" customFormat="false" ht="26" hidden="false" customHeight="true" outlineLevel="0" collapsed="false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284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285</v>
      </c>
      <c r="B4" s="6" t="s">
        <v>185</v>
      </c>
      <c r="C4" s="6" t="s">
        <v>286</v>
      </c>
      <c r="D4" s="6" t="s">
        <v>287</v>
      </c>
      <c r="E4" s="6" t="s">
        <v>288</v>
      </c>
      <c r="F4" s="6" t="s">
        <v>289</v>
      </c>
      <c r="G4" s="6" t="s">
        <v>47</v>
      </c>
      <c r="H4" s="6" t="s">
        <v>42</v>
      </c>
      <c r="I4" s="6" t="s">
        <v>290</v>
      </c>
      <c r="J4" s="6" t="s">
        <v>291</v>
      </c>
      <c r="K4" s="6" t="s">
        <v>292</v>
      </c>
      <c r="L4" s="6" t="s">
        <v>191</v>
      </c>
    </row>
    <row r="5" customFormat="false" ht="23.85" hidden="false" customHeight="false" outlineLevel="0" collapsed="false">
      <c r="A5" s="5" t="s">
        <v>293</v>
      </c>
      <c r="B5" s="5" t="s">
        <v>7</v>
      </c>
      <c r="C5" s="5" t="s">
        <v>294</v>
      </c>
      <c r="D5" s="5" t="s">
        <v>295</v>
      </c>
      <c r="E5" s="5" t="s">
        <v>8</v>
      </c>
      <c r="F5" s="5" t="n">
        <v>1</v>
      </c>
      <c r="G5" s="5" t="n">
        <v>3</v>
      </c>
      <c r="H5" s="5" t="n">
        <f aca="false">F5+Controls!$B$25</f>
        <v>2</v>
      </c>
      <c r="I5" s="5" t="n">
        <f aca="false">H5+G5</f>
        <v>5</v>
      </c>
      <c r="J5" s="11" t="s">
        <v>296</v>
      </c>
      <c r="K5" s="11" t="s">
        <v>296</v>
      </c>
      <c r="L5" s="5" t="s">
        <v>297</v>
      </c>
    </row>
    <row r="6" customFormat="false" ht="23.85" hidden="false" customHeight="false" outlineLevel="0" collapsed="false">
      <c r="A6" s="5" t="s">
        <v>298</v>
      </c>
      <c r="B6" s="5" t="s">
        <v>7</v>
      </c>
      <c r="C6" s="5" t="s">
        <v>299</v>
      </c>
      <c r="D6" s="5" t="s">
        <v>300</v>
      </c>
      <c r="E6" s="5" t="s">
        <v>8</v>
      </c>
      <c r="F6" s="5" t="n">
        <v>1</v>
      </c>
      <c r="G6" s="5" t="n">
        <v>3</v>
      </c>
      <c r="H6" s="5" t="n">
        <f aca="false">F6+Controls!$B$25</f>
        <v>2</v>
      </c>
      <c r="I6" s="5" t="n">
        <f aca="false">H6+G6</f>
        <v>5</v>
      </c>
      <c r="J6" s="11" t="s">
        <v>296</v>
      </c>
      <c r="K6" s="11" t="s">
        <v>296</v>
      </c>
      <c r="L6" s="5" t="s">
        <v>297</v>
      </c>
    </row>
    <row r="7" customFormat="false" ht="23.85" hidden="false" customHeight="false" outlineLevel="0" collapsed="false">
      <c r="A7" s="5" t="s">
        <v>301</v>
      </c>
      <c r="B7" s="5" t="s">
        <v>7</v>
      </c>
      <c r="C7" s="5" t="s">
        <v>302</v>
      </c>
      <c r="D7" s="5" t="s">
        <v>303</v>
      </c>
      <c r="E7" s="5" t="s">
        <v>8</v>
      </c>
      <c r="F7" s="5" t="n">
        <v>1</v>
      </c>
      <c r="G7" s="5" t="n">
        <v>3</v>
      </c>
      <c r="H7" s="5" t="n">
        <f aca="false">F7+Controls!$B$25</f>
        <v>2</v>
      </c>
      <c r="I7" s="5" t="n">
        <f aca="false">H7+G7</f>
        <v>5</v>
      </c>
      <c r="J7" s="11" t="s">
        <v>296</v>
      </c>
      <c r="K7" s="11" t="s">
        <v>296</v>
      </c>
      <c r="L7" s="5" t="s">
        <v>297</v>
      </c>
    </row>
    <row r="8" customFormat="false" ht="23.85" hidden="false" customHeight="false" outlineLevel="0" collapsed="false">
      <c r="A8" s="5" t="s">
        <v>304</v>
      </c>
      <c r="B8" s="5" t="s">
        <v>12</v>
      </c>
      <c r="C8" s="5" t="s">
        <v>294</v>
      </c>
      <c r="D8" s="5" t="s">
        <v>295</v>
      </c>
      <c r="E8" s="5" t="s">
        <v>13</v>
      </c>
      <c r="F8" s="5" t="n">
        <v>1</v>
      </c>
      <c r="G8" s="5" t="n">
        <v>3</v>
      </c>
      <c r="H8" s="5" t="n">
        <f aca="false">F8+Controls!$B$25</f>
        <v>2</v>
      </c>
      <c r="I8" s="5" t="n">
        <f aca="false">H8+G8</f>
        <v>5</v>
      </c>
      <c r="J8" s="11" t="s">
        <v>296</v>
      </c>
      <c r="K8" s="11" t="s">
        <v>296</v>
      </c>
      <c r="L8" s="5" t="s">
        <v>297</v>
      </c>
    </row>
    <row r="9" customFormat="false" ht="23.85" hidden="false" customHeight="false" outlineLevel="0" collapsed="false">
      <c r="A9" s="5" t="s">
        <v>305</v>
      </c>
      <c r="B9" s="5" t="s">
        <v>12</v>
      </c>
      <c r="C9" s="5" t="s">
        <v>299</v>
      </c>
      <c r="D9" s="5" t="s">
        <v>300</v>
      </c>
      <c r="E9" s="5" t="s">
        <v>13</v>
      </c>
      <c r="F9" s="5" t="n">
        <v>1</v>
      </c>
      <c r="G9" s="5" t="n">
        <v>3</v>
      </c>
      <c r="H9" s="5" t="n">
        <f aca="false">F9+Controls!$B$25</f>
        <v>2</v>
      </c>
      <c r="I9" s="5" t="n">
        <f aca="false">H9+G9</f>
        <v>5</v>
      </c>
      <c r="J9" s="11" t="s">
        <v>296</v>
      </c>
      <c r="K9" s="11" t="s">
        <v>296</v>
      </c>
      <c r="L9" s="5" t="s">
        <v>297</v>
      </c>
    </row>
    <row r="10" customFormat="false" ht="23.85" hidden="false" customHeight="false" outlineLevel="0" collapsed="false">
      <c r="A10" s="5" t="s">
        <v>306</v>
      </c>
      <c r="B10" s="5" t="s">
        <v>12</v>
      </c>
      <c r="C10" s="5" t="s">
        <v>302</v>
      </c>
      <c r="D10" s="5" t="s">
        <v>303</v>
      </c>
      <c r="E10" s="5" t="s">
        <v>13</v>
      </c>
      <c r="F10" s="5" t="n">
        <v>1</v>
      </c>
      <c r="G10" s="5" t="n">
        <v>3</v>
      </c>
      <c r="H10" s="5" t="n">
        <f aca="false">F10+Controls!$B$25</f>
        <v>2</v>
      </c>
      <c r="I10" s="5" t="n">
        <f aca="false">H10+G10</f>
        <v>5</v>
      </c>
      <c r="J10" s="11" t="s">
        <v>296</v>
      </c>
      <c r="K10" s="11" t="s">
        <v>296</v>
      </c>
      <c r="L10" s="5" t="s">
        <v>297</v>
      </c>
    </row>
    <row r="11" customFormat="false" ht="23.85" hidden="false" customHeight="false" outlineLevel="0" collapsed="false">
      <c r="A11" s="5" t="s">
        <v>307</v>
      </c>
      <c r="B11" s="5" t="s">
        <v>17</v>
      </c>
      <c r="C11" s="5" t="s">
        <v>294</v>
      </c>
      <c r="D11" s="5" t="s">
        <v>295</v>
      </c>
      <c r="E11" s="5" t="s">
        <v>18</v>
      </c>
      <c r="F11" s="5" t="n">
        <v>1</v>
      </c>
      <c r="G11" s="5" t="n">
        <v>3</v>
      </c>
      <c r="H11" s="5" t="n">
        <f aca="false">F11+Controls!$B$25</f>
        <v>2</v>
      </c>
      <c r="I11" s="5" t="n">
        <f aca="false">H11+G11</f>
        <v>5</v>
      </c>
      <c r="J11" s="11" t="s">
        <v>296</v>
      </c>
      <c r="K11" s="11" t="s">
        <v>296</v>
      </c>
      <c r="L11" s="5" t="s">
        <v>297</v>
      </c>
    </row>
    <row r="12" customFormat="false" ht="23.85" hidden="false" customHeight="false" outlineLevel="0" collapsed="false">
      <c r="A12" s="5" t="s">
        <v>308</v>
      </c>
      <c r="B12" s="5" t="s">
        <v>17</v>
      </c>
      <c r="C12" s="5" t="s">
        <v>299</v>
      </c>
      <c r="D12" s="5" t="s">
        <v>300</v>
      </c>
      <c r="E12" s="5" t="s">
        <v>18</v>
      </c>
      <c r="F12" s="5" t="n">
        <v>1</v>
      </c>
      <c r="G12" s="5" t="n">
        <v>3</v>
      </c>
      <c r="H12" s="5" t="n">
        <f aca="false">F12+Controls!$B$25</f>
        <v>2</v>
      </c>
      <c r="I12" s="5" t="n">
        <f aca="false">H12+G12</f>
        <v>5</v>
      </c>
      <c r="J12" s="11" t="s">
        <v>296</v>
      </c>
      <c r="K12" s="11" t="s">
        <v>296</v>
      </c>
      <c r="L12" s="5" t="s">
        <v>297</v>
      </c>
    </row>
    <row r="13" customFormat="false" ht="23.85" hidden="false" customHeight="false" outlineLevel="0" collapsed="false">
      <c r="A13" s="5" t="s">
        <v>309</v>
      </c>
      <c r="B13" s="5" t="s">
        <v>17</v>
      </c>
      <c r="C13" s="5" t="s">
        <v>302</v>
      </c>
      <c r="D13" s="5" t="s">
        <v>303</v>
      </c>
      <c r="E13" s="5" t="s">
        <v>18</v>
      </c>
      <c r="F13" s="5" t="n">
        <v>1</v>
      </c>
      <c r="G13" s="5" t="n">
        <v>3</v>
      </c>
      <c r="H13" s="5" t="n">
        <f aca="false">F13+Controls!$B$25</f>
        <v>2</v>
      </c>
      <c r="I13" s="5" t="n">
        <f aca="false">H13+G13</f>
        <v>5</v>
      </c>
      <c r="J13" s="11" t="s">
        <v>296</v>
      </c>
      <c r="K13" s="11" t="s">
        <v>296</v>
      </c>
      <c r="L13" s="5" t="s">
        <v>297</v>
      </c>
    </row>
    <row r="14" customFormat="false" ht="23.85" hidden="false" customHeight="false" outlineLevel="0" collapsed="false">
      <c r="A14" s="5" t="s">
        <v>310</v>
      </c>
      <c r="B14" s="5" t="s">
        <v>20</v>
      </c>
      <c r="C14" s="5" t="s">
        <v>294</v>
      </c>
      <c r="D14" s="5" t="s">
        <v>295</v>
      </c>
      <c r="E14" s="5" t="s">
        <v>21</v>
      </c>
      <c r="F14" s="5" t="n">
        <v>1</v>
      </c>
      <c r="G14" s="5" t="n">
        <v>3</v>
      </c>
      <c r="H14" s="5" t="n">
        <f aca="false">F14+Controls!$B$25</f>
        <v>2</v>
      </c>
      <c r="I14" s="5" t="n">
        <f aca="false">H14+G14</f>
        <v>5</v>
      </c>
      <c r="J14" s="11" t="s">
        <v>296</v>
      </c>
      <c r="K14" s="11" t="s">
        <v>296</v>
      </c>
      <c r="L14" s="5" t="s">
        <v>297</v>
      </c>
    </row>
    <row r="15" customFormat="false" ht="23.85" hidden="false" customHeight="false" outlineLevel="0" collapsed="false">
      <c r="A15" s="5" t="s">
        <v>311</v>
      </c>
      <c r="B15" s="5" t="s">
        <v>20</v>
      </c>
      <c r="C15" s="5" t="s">
        <v>299</v>
      </c>
      <c r="D15" s="5" t="s">
        <v>300</v>
      </c>
      <c r="E15" s="5" t="s">
        <v>21</v>
      </c>
      <c r="F15" s="5" t="n">
        <v>1</v>
      </c>
      <c r="G15" s="5" t="n">
        <v>3</v>
      </c>
      <c r="H15" s="5" t="n">
        <f aca="false">F15+Controls!$B$25</f>
        <v>2</v>
      </c>
      <c r="I15" s="5" t="n">
        <f aca="false">H15+G15</f>
        <v>5</v>
      </c>
      <c r="J15" s="11" t="s">
        <v>296</v>
      </c>
      <c r="K15" s="11" t="s">
        <v>296</v>
      </c>
      <c r="L15" s="5" t="s">
        <v>297</v>
      </c>
    </row>
    <row r="16" customFormat="false" ht="23.85" hidden="false" customHeight="false" outlineLevel="0" collapsed="false">
      <c r="A16" s="5" t="s">
        <v>312</v>
      </c>
      <c r="B16" s="5" t="s">
        <v>20</v>
      </c>
      <c r="C16" s="5" t="s">
        <v>302</v>
      </c>
      <c r="D16" s="5" t="s">
        <v>303</v>
      </c>
      <c r="E16" s="5" t="s">
        <v>21</v>
      </c>
      <c r="F16" s="5" t="n">
        <v>1</v>
      </c>
      <c r="G16" s="5" t="n">
        <v>3</v>
      </c>
      <c r="H16" s="5" t="n">
        <f aca="false">F16+Controls!$B$25</f>
        <v>2</v>
      </c>
      <c r="I16" s="5" t="n">
        <f aca="false">H16+G16</f>
        <v>5</v>
      </c>
      <c r="J16" s="11" t="s">
        <v>296</v>
      </c>
      <c r="K16" s="11" t="s">
        <v>296</v>
      </c>
      <c r="L16" s="5" t="s">
        <v>297</v>
      </c>
    </row>
    <row r="17" customFormat="false" ht="23.85" hidden="false" customHeight="false" outlineLevel="0" collapsed="false">
      <c r="A17" s="5" t="s">
        <v>313</v>
      </c>
      <c r="B17" s="5" t="s">
        <v>24</v>
      </c>
      <c r="C17" s="5" t="s">
        <v>294</v>
      </c>
      <c r="D17" s="5" t="s">
        <v>295</v>
      </c>
      <c r="E17" s="5" t="s">
        <v>25</v>
      </c>
      <c r="F17" s="5" t="n">
        <v>1</v>
      </c>
      <c r="G17" s="5" t="n">
        <v>3</v>
      </c>
      <c r="H17" s="5" t="n">
        <f aca="false">F17+Controls!$B$25</f>
        <v>2</v>
      </c>
      <c r="I17" s="5" t="n">
        <f aca="false">H17+G17</f>
        <v>5</v>
      </c>
      <c r="J17" s="11" t="s">
        <v>296</v>
      </c>
      <c r="K17" s="11" t="s">
        <v>296</v>
      </c>
      <c r="L17" s="5" t="s">
        <v>297</v>
      </c>
    </row>
    <row r="18" customFormat="false" ht="23.85" hidden="false" customHeight="false" outlineLevel="0" collapsed="false">
      <c r="A18" s="5" t="s">
        <v>314</v>
      </c>
      <c r="B18" s="5" t="s">
        <v>24</v>
      </c>
      <c r="C18" s="5" t="s">
        <v>299</v>
      </c>
      <c r="D18" s="5" t="s">
        <v>300</v>
      </c>
      <c r="E18" s="5" t="s">
        <v>25</v>
      </c>
      <c r="F18" s="5" t="n">
        <v>1</v>
      </c>
      <c r="G18" s="5" t="n">
        <v>3</v>
      </c>
      <c r="H18" s="5" t="n">
        <f aca="false">F18+Controls!$B$25</f>
        <v>2</v>
      </c>
      <c r="I18" s="5" t="n">
        <f aca="false">H18+G18</f>
        <v>5</v>
      </c>
      <c r="J18" s="11" t="s">
        <v>296</v>
      </c>
      <c r="K18" s="11" t="s">
        <v>296</v>
      </c>
      <c r="L18" s="5" t="s">
        <v>297</v>
      </c>
    </row>
    <row r="19" customFormat="false" ht="23.85" hidden="false" customHeight="false" outlineLevel="0" collapsed="false">
      <c r="A19" s="5" t="s">
        <v>315</v>
      </c>
      <c r="B19" s="5" t="s">
        <v>24</v>
      </c>
      <c r="C19" s="5" t="s">
        <v>302</v>
      </c>
      <c r="D19" s="5" t="s">
        <v>303</v>
      </c>
      <c r="E19" s="5" t="s">
        <v>25</v>
      </c>
      <c r="F19" s="5" t="n">
        <v>1</v>
      </c>
      <c r="G19" s="5" t="n">
        <v>3</v>
      </c>
      <c r="H19" s="5" t="n">
        <f aca="false">F19+Controls!$B$25</f>
        <v>2</v>
      </c>
      <c r="I19" s="5" t="n">
        <f aca="false">H19+G19</f>
        <v>5</v>
      </c>
      <c r="J19" s="11" t="s">
        <v>296</v>
      </c>
      <c r="K19" s="11" t="s">
        <v>296</v>
      </c>
      <c r="L19" s="5" t="s">
        <v>297</v>
      </c>
    </row>
    <row r="20" customFormat="false" ht="23.85" hidden="false" customHeight="false" outlineLevel="0" collapsed="false">
      <c r="A20" s="5" t="s">
        <v>316</v>
      </c>
      <c r="B20" s="5" t="s">
        <v>31</v>
      </c>
      <c r="C20" s="5" t="s">
        <v>294</v>
      </c>
      <c r="D20" s="5" t="s">
        <v>295</v>
      </c>
      <c r="E20" s="5" t="s">
        <v>32</v>
      </c>
      <c r="F20" s="5" t="n">
        <v>1</v>
      </c>
      <c r="G20" s="5" t="n">
        <v>3</v>
      </c>
      <c r="H20" s="5" t="n">
        <f aca="false">F20+Controls!$B$25</f>
        <v>2</v>
      </c>
      <c r="I20" s="5" t="n">
        <f aca="false">H20+G20</f>
        <v>5</v>
      </c>
      <c r="J20" s="11" t="s">
        <v>296</v>
      </c>
      <c r="K20" s="11" t="s">
        <v>296</v>
      </c>
      <c r="L20" s="5" t="s">
        <v>297</v>
      </c>
    </row>
    <row r="21" customFormat="false" ht="23.85" hidden="false" customHeight="false" outlineLevel="0" collapsed="false">
      <c r="A21" s="5" t="s">
        <v>317</v>
      </c>
      <c r="B21" s="5" t="s">
        <v>31</v>
      </c>
      <c r="C21" s="5" t="s">
        <v>299</v>
      </c>
      <c r="D21" s="5" t="s">
        <v>300</v>
      </c>
      <c r="E21" s="5" t="s">
        <v>32</v>
      </c>
      <c r="F21" s="5" t="n">
        <v>1</v>
      </c>
      <c r="G21" s="5" t="n">
        <v>3</v>
      </c>
      <c r="H21" s="5" t="n">
        <f aca="false">F21+Controls!$B$25</f>
        <v>2</v>
      </c>
      <c r="I21" s="5" t="n">
        <f aca="false">H21+G21</f>
        <v>5</v>
      </c>
      <c r="J21" s="11" t="s">
        <v>296</v>
      </c>
      <c r="K21" s="11" t="s">
        <v>296</v>
      </c>
      <c r="L21" s="5" t="s">
        <v>297</v>
      </c>
    </row>
    <row r="22" customFormat="false" ht="23.85" hidden="false" customHeight="false" outlineLevel="0" collapsed="false">
      <c r="A22" s="5" t="s">
        <v>318</v>
      </c>
      <c r="B22" s="5" t="s">
        <v>31</v>
      </c>
      <c r="C22" s="5" t="s">
        <v>302</v>
      </c>
      <c r="D22" s="5" t="s">
        <v>303</v>
      </c>
      <c r="E22" s="5" t="s">
        <v>32</v>
      </c>
      <c r="F22" s="5" t="n">
        <v>1</v>
      </c>
      <c r="G22" s="5" t="n">
        <v>3</v>
      </c>
      <c r="H22" s="5" t="n">
        <f aca="false">F22+Controls!$B$25</f>
        <v>2</v>
      </c>
      <c r="I22" s="5" t="n">
        <f aca="false">H22+G22</f>
        <v>5</v>
      </c>
      <c r="J22" s="11" t="s">
        <v>296</v>
      </c>
      <c r="K22" s="11" t="s">
        <v>296</v>
      </c>
      <c r="L22" s="5" t="s">
        <v>297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.89"/>
    <col collapsed="false" customWidth="true" hidden="false" outlineLevel="0" max="2" min="2" style="0" width="7.78"/>
    <col collapsed="false" customWidth="true" hidden="false" outlineLevel="0" max="3" min="3" style="0" width="20"/>
    <col collapsed="false" customWidth="true" hidden="false" outlineLevel="0" max="4" min="4" style="0" width="8.34"/>
    <col collapsed="false" customWidth="true" hidden="false" outlineLevel="0" max="7" min="5" style="0" width="11.67"/>
    <col collapsed="false" customWidth="true" hidden="false" outlineLevel="0" max="8" min="8" style="0" width="16.11"/>
  </cols>
  <sheetData>
    <row r="1" customFormat="false" ht="26" hidden="false" customHeight="true" outlineLevel="0" collapsed="false">
      <c r="A1" s="1" t="s">
        <v>319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320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321</v>
      </c>
      <c r="B4" s="6" t="s">
        <v>185</v>
      </c>
      <c r="C4" s="6" t="s">
        <v>191</v>
      </c>
      <c r="D4" s="6" t="s">
        <v>322</v>
      </c>
      <c r="E4" s="6" t="s">
        <v>323</v>
      </c>
      <c r="F4" s="6" t="s">
        <v>324</v>
      </c>
      <c r="G4" s="6" t="s">
        <v>325</v>
      </c>
      <c r="H4" s="6" t="s">
        <v>191</v>
      </c>
      <c r="I4" s="3"/>
      <c r="J4" s="3"/>
      <c r="K4" s="3"/>
      <c r="L4" s="3"/>
    </row>
    <row r="5" customFormat="false" ht="23.85" hidden="false" customHeight="false" outlineLevel="0" collapsed="false">
      <c r="A5" s="5" t="s">
        <v>326</v>
      </c>
      <c r="B5" s="5" t="s">
        <v>7</v>
      </c>
      <c r="C5" s="5" t="s">
        <v>327</v>
      </c>
      <c r="D5" s="5" t="s">
        <v>8</v>
      </c>
      <c r="E5" s="5" t="s">
        <v>328</v>
      </c>
      <c r="F5" s="5" t="s">
        <v>329</v>
      </c>
      <c r="G5" s="5" t="s">
        <v>330</v>
      </c>
      <c r="H5" s="5" t="s">
        <v>297</v>
      </c>
      <c r="I5" s="3"/>
      <c r="J5" s="3"/>
      <c r="K5" s="3"/>
      <c r="L5" s="3"/>
    </row>
    <row r="6" customFormat="false" ht="23.85" hidden="false" customHeight="false" outlineLevel="0" collapsed="false">
      <c r="A6" s="5" t="s">
        <v>331</v>
      </c>
      <c r="B6" s="5" t="s">
        <v>7</v>
      </c>
      <c r="C6" s="5" t="s">
        <v>332</v>
      </c>
      <c r="D6" s="5" t="s">
        <v>8</v>
      </c>
      <c r="E6" s="5" t="s">
        <v>333</v>
      </c>
      <c r="F6" s="5" t="s">
        <v>334</v>
      </c>
      <c r="G6" s="5" t="s">
        <v>335</v>
      </c>
      <c r="H6" s="5" t="s">
        <v>297</v>
      </c>
      <c r="I6" s="3"/>
      <c r="J6" s="3"/>
      <c r="K6" s="3"/>
      <c r="L6" s="3"/>
    </row>
    <row r="7" customFormat="false" ht="23.85" hidden="false" customHeight="false" outlineLevel="0" collapsed="false">
      <c r="A7" s="5" t="s">
        <v>336</v>
      </c>
      <c r="B7" s="5" t="s">
        <v>7</v>
      </c>
      <c r="C7" s="5" t="s">
        <v>337</v>
      </c>
      <c r="D7" s="5" t="s">
        <v>8</v>
      </c>
      <c r="E7" s="5" t="s">
        <v>338</v>
      </c>
      <c r="F7" s="5" t="s">
        <v>339</v>
      </c>
      <c r="G7" s="5" t="s">
        <v>340</v>
      </c>
      <c r="H7" s="5" t="s">
        <v>297</v>
      </c>
      <c r="I7" s="3"/>
      <c r="J7" s="3"/>
      <c r="K7" s="3"/>
      <c r="L7" s="3"/>
    </row>
    <row r="8" customFormat="false" ht="23.85" hidden="false" customHeight="false" outlineLevel="0" collapsed="false">
      <c r="A8" s="5" t="s">
        <v>341</v>
      </c>
      <c r="B8" s="5" t="s">
        <v>7</v>
      </c>
      <c r="C8" s="5" t="s">
        <v>342</v>
      </c>
      <c r="D8" s="5" t="s">
        <v>8</v>
      </c>
      <c r="E8" s="5" t="s">
        <v>343</v>
      </c>
      <c r="F8" s="5" t="s">
        <v>344</v>
      </c>
      <c r="G8" s="5" t="s">
        <v>345</v>
      </c>
      <c r="H8" s="5" t="s">
        <v>297</v>
      </c>
      <c r="I8" s="3"/>
      <c r="J8" s="3"/>
      <c r="K8" s="3"/>
      <c r="L8" s="3"/>
    </row>
    <row r="9" customFormat="false" ht="23.85" hidden="false" customHeight="false" outlineLevel="0" collapsed="false">
      <c r="A9" s="5" t="s">
        <v>346</v>
      </c>
      <c r="B9" s="5" t="s">
        <v>12</v>
      </c>
      <c r="C9" s="5" t="s">
        <v>347</v>
      </c>
      <c r="D9" s="5" t="s">
        <v>13</v>
      </c>
      <c r="E9" s="5" t="s">
        <v>348</v>
      </c>
      <c r="F9" s="5" t="s">
        <v>349</v>
      </c>
      <c r="G9" s="5" t="s">
        <v>350</v>
      </c>
      <c r="H9" s="5" t="s">
        <v>297</v>
      </c>
      <c r="I9" s="3"/>
      <c r="J9" s="3"/>
      <c r="K9" s="3"/>
      <c r="L9" s="3"/>
    </row>
    <row r="10" customFormat="false" ht="23.85" hidden="false" customHeight="false" outlineLevel="0" collapsed="false">
      <c r="A10" s="5" t="s">
        <v>351</v>
      </c>
      <c r="B10" s="5" t="s">
        <v>12</v>
      </c>
      <c r="C10" s="5" t="s">
        <v>352</v>
      </c>
      <c r="D10" s="5" t="s">
        <v>13</v>
      </c>
      <c r="E10" s="5" t="s">
        <v>353</v>
      </c>
      <c r="F10" s="5" t="s">
        <v>354</v>
      </c>
      <c r="G10" s="5" t="s">
        <v>355</v>
      </c>
      <c r="H10" s="5" t="s">
        <v>297</v>
      </c>
      <c r="I10" s="3"/>
      <c r="J10" s="3"/>
      <c r="K10" s="3"/>
      <c r="L10" s="3"/>
    </row>
    <row r="11" customFormat="false" ht="23.85" hidden="false" customHeight="false" outlineLevel="0" collapsed="false">
      <c r="A11" s="5" t="s">
        <v>356</v>
      </c>
      <c r="B11" s="5" t="s">
        <v>12</v>
      </c>
      <c r="C11" s="5" t="s">
        <v>357</v>
      </c>
      <c r="D11" s="5" t="s">
        <v>13</v>
      </c>
      <c r="E11" s="5" t="s">
        <v>358</v>
      </c>
      <c r="F11" s="5" t="s">
        <v>359</v>
      </c>
      <c r="G11" s="5" t="s">
        <v>360</v>
      </c>
      <c r="H11" s="5" t="s">
        <v>297</v>
      </c>
      <c r="I11" s="3"/>
      <c r="J11" s="3"/>
      <c r="K11" s="3"/>
      <c r="L11" s="3"/>
    </row>
    <row r="12" customFormat="false" ht="23.85" hidden="false" customHeight="false" outlineLevel="0" collapsed="false">
      <c r="A12" s="5" t="s">
        <v>361</v>
      </c>
      <c r="B12" s="5" t="s">
        <v>12</v>
      </c>
      <c r="C12" s="5" t="s">
        <v>362</v>
      </c>
      <c r="D12" s="5" t="s">
        <v>13</v>
      </c>
      <c r="E12" s="5" t="s">
        <v>363</v>
      </c>
      <c r="F12" s="5" t="s">
        <v>364</v>
      </c>
      <c r="G12" s="5" t="s">
        <v>365</v>
      </c>
      <c r="H12" s="5" t="s">
        <v>297</v>
      </c>
      <c r="I12" s="3"/>
      <c r="J12" s="3"/>
      <c r="K12" s="3"/>
      <c r="L12" s="3"/>
    </row>
    <row r="13" customFormat="false" ht="23.85" hidden="false" customHeight="false" outlineLevel="0" collapsed="false">
      <c r="A13" s="5" t="s">
        <v>366</v>
      </c>
      <c r="B13" s="5" t="s">
        <v>17</v>
      </c>
      <c r="C13" s="5" t="s">
        <v>367</v>
      </c>
      <c r="D13" s="5" t="s">
        <v>18</v>
      </c>
      <c r="E13" s="5" t="s">
        <v>368</v>
      </c>
      <c r="F13" s="5" t="s">
        <v>369</v>
      </c>
      <c r="G13" s="5" t="s">
        <v>370</v>
      </c>
      <c r="H13" s="5" t="s">
        <v>297</v>
      </c>
      <c r="I13" s="3"/>
      <c r="J13" s="3"/>
      <c r="K13" s="3"/>
      <c r="L13" s="3"/>
    </row>
    <row r="14" customFormat="false" ht="23.85" hidden="false" customHeight="false" outlineLevel="0" collapsed="false">
      <c r="A14" s="5" t="s">
        <v>371</v>
      </c>
      <c r="B14" s="5" t="s">
        <v>17</v>
      </c>
      <c r="C14" s="5" t="s">
        <v>372</v>
      </c>
      <c r="D14" s="5" t="s">
        <v>18</v>
      </c>
      <c r="E14" s="5" t="s">
        <v>373</v>
      </c>
      <c r="F14" s="5" t="s">
        <v>374</v>
      </c>
      <c r="G14" s="5" t="s">
        <v>375</v>
      </c>
      <c r="H14" s="5" t="s">
        <v>297</v>
      </c>
      <c r="I14" s="3"/>
      <c r="J14" s="3"/>
      <c r="K14" s="3"/>
      <c r="L14" s="3"/>
    </row>
    <row r="15" customFormat="false" ht="23.85" hidden="false" customHeight="false" outlineLevel="0" collapsed="false">
      <c r="A15" s="5" t="s">
        <v>376</v>
      </c>
      <c r="B15" s="5" t="s">
        <v>17</v>
      </c>
      <c r="C15" s="5" t="s">
        <v>377</v>
      </c>
      <c r="D15" s="5" t="s">
        <v>18</v>
      </c>
      <c r="E15" s="5" t="s">
        <v>378</v>
      </c>
      <c r="F15" s="5" t="s">
        <v>379</v>
      </c>
      <c r="G15" s="5" t="s">
        <v>380</v>
      </c>
      <c r="H15" s="5" t="s">
        <v>297</v>
      </c>
      <c r="I15" s="3"/>
      <c r="J15" s="3"/>
      <c r="K15" s="3"/>
      <c r="L15" s="3"/>
    </row>
    <row r="16" customFormat="false" ht="23.85" hidden="false" customHeight="false" outlineLevel="0" collapsed="false">
      <c r="A16" s="5" t="s">
        <v>381</v>
      </c>
      <c r="B16" s="5" t="s">
        <v>17</v>
      </c>
      <c r="C16" s="5" t="s">
        <v>382</v>
      </c>
      <c r="D16" s="5" t="s">
        <v>18</v>
      </c>
      <c r="E16" s="5" t="s">
        <v>383</v>
      </c>
      <c r="F16" s="5" t="s">
        <v>384</v>
      </c>
      <c r="G16" s="5" t="s">
        <v>385</v>
      </c>
      <c r="H16" s="5" t="s">
        <v>297</v>
      </c>
      <c r="I16" s="3"/>
      <c r="J16" s="3"/>
      <c r="K16" s="3"/>
      <c r="L16" s="3"/>
    </row>
    <row r="17" customFormat="false" ht="23.85" hidden="false" customHeight="false" outlineLevel="0" collapsed="false">
      <c r="A17" s="5" t="s">
        <v>386</v>
      </c>
      <c r="B17" s="5" t="s">
        <v>20</v>
      </c>
      <c r="C17" s="5" t="s">
        <v>387</v>
      </c>
      <c r="D17" s="5" t="s">
        <v>21</v>
      </c>
      <c r="E17" s="5" t="s">
        <v>388</v>
      </c>
      <c r="F17" s="5" t="s">
        <v>389</v>
      </c>
      <c r="G17" s="5" t="s">
        <v>390</v>
      </c>
      <c r="H17" s="5" t="s">
        <v>297</v>
      </c>
      <c r="I17" s="3"/>
      <c r="J17" s="3"/>
      <c r="K17" s="3"/>
      <c r="L17" s="3"/>
    </row>
    <row r="18" customFormat="false" ht="23.85" hidden="false" customHeight="false" outlineLevel="0" collapsed="false">
      <c r="A18" s="5" t="s">
        <v>391</v>
      </c>
      <c r="B18" s="5" t="s">
        <v>20</v>
      </c>
      <c r="C18" s="5" t="s">
        <v>392</v>
      </c>
      <c r="D18" s="5" t="s">
        <v>21</v>
      </c>
      <c r="E18" s="5" t="s">
        <v>393</v>
      </c>
      <c r="F18" s="5" t="s">
        <v>394</v>
      </c>
      <c r="G18" s="5" t="s">
        <v>395</v>
      </c>
      <c r="H18" s="5" t="s">
        <v>297</v>
      </c>
      <c r="I18" s="3"/>
      <c r="J18" s="3"/>
      <c r="K18" s="3"/>
      <c r="L18" s="3"/>
    </row>
    <row r="19" customFormat="false" ht="23.85" hidden="false" customHeight="false" outlineLevel="0" collapsed="false">
      <c r="A19" s="5" t="s">
        <v>396</v>
      </c>
      <c r="B19" s="5" t="s">
        <v>20</v>
      </c>
      <c r="C19" s="5" t="s">
        <v>397</v>
      </c>
      <c r="D19" s="5" t="s">
        <v>21</v>
      </c>
      <c r="E19" s="5" t="s">
        <v>398</v>
      </c>
      <c r="F19" s="5" t="s">
        <v>399</v>
      </c>
      <c r="G19" s="5" t="s">
        <v>400</v>
      </c>
      <c r="H19" s="5" t="s">
        <v>297</v>
      </c>
      <c r="I19" s="3"/>
      <c r="J19" s="3"/>
      <c r="K19" s="3"/>
      <c r="L19" s="3"/>
    </row>
    <row r="20" customFormat="false" ht="23.85" hidden="false" customHeight="false" outlineLevel="0" collapsed="false">
      <c r="A20" s="5" t="s">
        <v>401</v>
      </c>
      <c r="B20" s="5" t="s">
        <v>20</v>
      </c>
      <c r="C20" s="5" t="s">
        <v>402</v>
      </c>
      <c r="D20" s="5" t="s">
        <v>21</v>
      </c>
      <c r="E20" s="5" t="s">
        <v>403</v>
      </c>
      <c r="F20" s="5" t="s">
        <v>404</v>
      </c>
      <c r="G20" s="5" t="s">
        <v>405</v>
      </c>
      <c r="H20" s="5" t="s">
        <v>297</v>
      </c>
      <c r="I20" s="3"/>
      <c r="J20" s="3"/>
      <c r="K20" s="3"/>
      <c r="L20" s="3"/>
    </row>
    <row r="21" customFormat="false" ht="23.85" hidden="false" customHeight="false" outlineLevel="0" collapsed="false">
      <c r="A21" s="5" t="s">
        <v>406</v>
      </c>
      <c r="B21" s="5" t="s">
        <v>24</v>
      </c>
      <c r="C21" s="5" t="s">
        <v>407</v>
      </c>
      <c r="D21" s="5" t="s">
        <v>25</v>
      </c>
      <c r="E21" s="5" t="s">
        <v>408</v>
      </c>
      <c r="F21" s="5" t="s">
        <v>409</v>
      </c>
      <c r="G21" s="5" t="s">
        <v>410</v>
      </c>
      <c r="H21" s="5" t="s">
        <v>297</v>
      </c>
      <c r="I21" s="3"/>
      <c r="J21" s="3"/>
      <c r="K21" s="3"/>
      <c r="L21" s="3"/>
    </row>
    <row r="22" customFormat="false" ht="23.85" hidden="false" customHeight="false" outlineLevel="0" collapsed="false">
      <c r="A22" s="5" t="s">
        <v>411</v>
      </c>
      <c r="B22" s="5" t="s">
        <v>24</v>
      </c>
      <c r="C22" s="5" t="s">
        <v>412</v>
      </c>
      <c r="D22" s="5" t="s">
        <v>25</v>
      </c>
      <c r="E22" s="5" t="s">
        <v>413</v>
      </c>
      <c r="F22" s="5" t="s">
        <v>414</v>
      </c>
      <c r="G22" s="5" t="s">
        <v>415</v>
      </c>
      <c r="H22" s="5" t="s">
        <v>297</v>
      </c>
      <c r="I22" s="3"/>
      <c r="J22" s="3"/>
      <c r="K22" s="3"/>
      <c r="L22" s="3"/>
    </row>
    <row r="23" customFormat="false" ht="23.85" hidden="false" customHeight="false" outlineLevel="0" collapsed="false">
      <c r="A23" s="5" t="s">
        <v>416</v>
      </c>
      <c r="B23" s="5" t="s">
        <v>24</v>
      </c>
      <c r="C23" s="5" t="s">
        <v>417</v>
      </c>
      <c r="D23" s="5" t="s">
        <v>25</v>
      </c>
      <c r="E23" s="5" t="s">
        <v>418</v>
      </c>
      <c r="F23" s="5" t="s">
        <v>419</v>
      </c>
      <c r="G23" s="5" t="s">
        <v>420</v>
      </c>
      <c r="H23" s="5" t="s">
        <v>297</v>
      </c>
      <c r="I23" s="3"/>
      <c r="J23" s="3"/>
      <c r="K23" s="3"/>
      <c r="L23" s="3"/>
    </row>
    <row r="24" customFormat="false" ht="23.85" hidden="false" customHeight="false" outlineLevel="0" collapsed="false">
      <c r="A24" s="5" t="s">
        <v>421</v>
      </c>
      <c r="B24" s="5" t="s">
        <v>24</v>
      </c>
      <c r="C24" s="5" t="s">
        <v>422</v>
      </c>
      <c r="D24" s="5" t="s">
        <v>25</v>
      </c>
      <c r="E24" s="5" t="s">
        <v>423</v>
      </c>
      <c r="F24" s="5" t="s">
        <v>424</v>
      </c>
      <c r="G24" s="5" t="s">
        <v>425</v>
      </c>
      <c r="H24" s="5" t="s">
        <v>297</v>
      </c>
      <c r="I24" s="3"/>
      <c r="J24" s="3"/>
      <c r="K24" s="3"/>
      <c r="L24" s="3"/>
    </row>
    <row r="25" customFormat="false" ht="23.85" hidden="false" customHeight="false" outlineLevel="0" collapsed="false">
      <c r="A25" s="5" t="s">
        <v>426</v>
      </c>
      <c r="B25" s="5" t="s">
        <v>31</v>
      </c>
      <c r="C25" s="5" t="s">
        <v>427</v>
      </c>
      <c r="D25" s="5" t="s">
        <v>32</v>
      </c>
      <c r="E25" s="5" t="s">
        <v>428</v>
      </c>
      <c r="F25" s="5" t="s">
        <v>429</v>
      </c>
      <c r="G25" s="5" t="s">
        <v>430</v>
      </c>
      <c r="H25" s="5" t="s">
        <v>297</v>
      </c>
      <c r="I25" s="3"/>
      <c r="J25" s="3"/>
      <c r="K25" s="3"/>
      <c r="L25" s="3"/>
    </row>
    <row r="26" customFormat="false" ht="23.85" hidden="false" customHeight="false" outlineLevel="0" collapsed="false">
      <c r="A26" s="5" t="s">
        <v>431</v>
      </c>
      <c r="B26" s="5" t="s">
        <v>31</v>
      </c>
      <c r="C26" s="5" t="s">
        <v>432</v>
      </c>
      <c r="D26" s="5" t="s">
        <v>32</v>
      </c>
      <c r="E26" s="5" t="s">
        <v>433</v>
      </c>
      <c r="F26" s="5" t="s">
        <v>434</v>
      </c>
      <c r="G26" s="5" t="s">
        <v>435</v>
      </c>
      <c r="H26" s="5" t="s">
        <v>297</v>
      </c>
      <c r="I26" s="3"/>
      <c r="J26" s="3"/>
      <c r="K26" s="3"/>
      <c r="L26" s="3"/>
    </row>
    <row r="27" customFormat="false" ht="23.85" hidden="false" customHeight="false" outlineLevel="0" collapsed="false">
      <c r="A27" s="5" t="s">
        <v>436</v>
      </c>
      <c r="B27" s="5" t="s">
        <v>31</v>
      </c>
      <c r="C27" s="5" t="s">
        <v>437</v>
      </c>
      <c r="D27" s="5" t="s">
        <v>32</v>
      </c>
      <c r="E27" s="5" t="s">
        <v>438</v>
      </c>
      <c r="F27" s="5" t="s">
        <v>439</v>
      </c>
      <c r="G27" s="5" t="s">
        <v>440</v>
      </c>
      <c r="H27" s="5" t="s">
        <v>297</v>
      </c>
      <c r="I27" s="3"/>
      <c r="J27" s="3"/>
      <c r="K27" s="3"/>
      <c r="L27" s="3"/>
    </row>
    <row r="28" customFormat="false" ht="23.85" hidden="false" customHeight="false" outlineLevel="0" collapsed="false">
      <c r="A28" s="5" t="s">
        <v>441</v>
      </c>
      <c r="B28" s="5" t="s">
        <v>31</v>
      </c>
      <c r="C28" s="5" t="s">
        <v>442</v>
      </c>
      <c r="D28" s="5" t="s">
        <v>32</v>
      </c>
      <c r="E28" s="5" t="s">
        <v>443</v>
      </c>
      <c r="F28" s="5" t="s">
        <v>444</v>
      </c>
      <c r="G28" s="5" t="s">
        <v>445</v>
      </c>
      <c r="H28" s="5" t="s">
        <v>297</v>
      </c>
      <c r="I28" s="3"/>
      <c r="J28" s="3"/>
      <c r="K28" s="3"/>
      <c r="L28" s="3"/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.22"/>
    <col collapsed="false" customWidth="true" hidden="false" outlineLevel="0" max="2" min="2" style="0" width="8.89"/>
    <col collapsed="false" customWidth="true" hidden="false" outlineLevel="0" max="3" min="3" style="0" width="7.78"/>
    <col collapsed="false" customWidth="true" hidden="false" outlineLevel="0" max="4" min="4" style="0" width="13.89"/>
    <col collapsed="false" customWidth="true" hidden="false" outlineLevel="0" max="5" min="5" style="0" width="42.22"/>
    <col collapsed="false" customWidth="true" hidden="false" outlineLevel="0" max="6" min="6" style="0" width="8.34"/>
    <col collapsed="false" customWidth="true" hidden="false" outlineLevel="0" max="7" min="7" style="0" width="8.89"/>
    <col collapsed="false" customWidth="true" hidden="false" outlineLevel="0" max="8" min="8" style="0" width="9.44"/>
    <col collapsed="false" customWidth="true" hidden="false" outlineLevel="0" max="9" min="9" style="0" width="8.89"/>
    <col collapsed="false" customWidth="true" hidden="false" outlineLevel="0" max="10" min="10" style="0" width="13.34"/>
  </cols>
  <sheetData>
    <row r="1" customFormat="false" ht="26" hidden="false" customHeight="true" outlineLevel="0" collapsed="false">
      <c r="A1" s="1" t="s">
        <v>446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447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448</v>
      </c>
      <c r="B4" s="6" t="s">
        <v>321</v>
      </c>
      <c r="C4" s="6" t="s">
        <v>185</v>
      </c>
      <c r="D4" s="6" t="s">
        <v>449</v>
      </c>
      <c r="E4" s="6" t="s">
        <v>450</v>
      </c>
      <c r="F4" s="6" t="s">
        <v>322</v>
      </c>
      <c r="G4" s="6" t="s">
        <v>451</v>
      </c>
      <c r="H4" s="6" t="s">
        <v>452</v>
      </c>
      <c r="I4" s="6" t="s">
        <v>453</v>
      </c>
      <c r="J4" s="6" t="s">
        <v>454</v>
      </c>
      <c r="K4" s="3"/>
      <c r="L4" s="3"/>
    </row>
    <row r="5" customFormat="false" ht="23.85" hidden="false" customHeight="false" outlineLevel="0" collapsed="false">
      <c r="A5" s="5" t="s">
        <v>328</v>
      </c>
      <c r="B5" s="5" t="s">
        <v>326</v>
      </c>
      <c r="C5" s="5" t="s">
        <v>7</v>
      </c>
      <c r="D5" s="5" t="s">
        <v>455</v>
      </c>
      <c r="E5" s="5" t="s">
        <v>456</v>
      </c>
      <c r="F5" s="5" t="s">
        <v>8</v>
      </c>
      <c r="G5" s="5" t="n">
        <v>2</v>
      </c>
      <c r="H5" s="12" t="n">
        <v>0</v>
      </c>
      <c r="I5" s="5" t="str">
        <f aca="false">IF(H5=G5,"ACCEPTED","HELD")</f>
        <v>HELD</v>
      </c>
      <c r="J5" s="5" t="s">
        <v>457</v>
      </c>
      <c r="K5" s="3"/>
      <c r="L5" s="3"/>
    </row>
    <row r="6" customFormat="false" ht="23.85" hidden="false" customHeight="false" outlineLevel="0" collapsed="false">
      <c r="A6" s="5" t="s">
        <v>329</v>
      </c>
      <c r="B6" s="5" t="s">
        <v>326</v>
      </c>
      <c r="C6" s="5" t="s">
        <v>7</v>
      </c>
      <c r="D6" s="5" t="s">
        <v>458</v>
      </c>
      <c r="E6" s="5" t="s">
        <v>459</v>
      </c>
      <c r="F6" s="5" t="s">
        <v>8</v>
      </c>
      <c r="G6" s="5" t="n">
        <v>2</v>
      </c>
      <c r="H6" s="12" t="n">
        <v>0</v>
      </c>
      <c r="I6" s="5" t="str">
        <f aca="false">IF(H6=G6,"ACCEPTED","HELD")</f>
        <v>HELD</v>
      </c>
      <c r="J6" s="5" t="s">
        <v>457</v>
      </c>
      <c r="K6" s="3"/>
      <c r="L6" s="3"/>
    </row>
    <row r="7" customFormat="false" ht="23.85" hidden="false" customHeight="false" outlineLevel="0" collapsed="false">
      <c r="A7" s="5" t="s">
        <v>330</v>
      </c>
      <c r="B7" s="5" t="s">
        <v>326</v>
      </c>
      <c r="C7" s="5" t="s">
        <v>7</v>
      </c>
      <c r="D7" s="5" t="s">
        <v>460</v>
      </c>
      <c r="E7" s="5" t="s">
        <v>461</v>
      </c>
      <c r="F7" s="5" t="s">
        <v>8</v>
      </c>
      <c r="G7" s="5" t="n">
        <v>2</v>
      </c>
      <c r="H7" s="12" t="n">
        <v>0</v>
      </c>
      <c r="I7" s="5" t="str">
        <f aca="false">IF(H7=G7,"ACCEPTED","HELD")</f>
        <v>HELD</v>
      </c>
      <c r="J7" s="5" t="s">
        <v>457</v>
      </c>
      <c r="K7" s="3"/>
      <c r="L7" s="3"/>
    </row>
    <row r="8" customFormat="false" ht="23.85" hidden="false" customHeight="false" outlineLevel="0" collapsed="false">
      <c r="A8" s="5" t="s">
        <v>333</v>
      </c>
      <c r="B8" s="5" t="s">
        <v>331</v>
      </c>
      <c r="C8" s="5" t="s">
        <v>7</v>
      </c>
      <c r="D8" s="5" t="s">
        <v>455</v>
      </c>
      <c r="E8" s="5" t="s">
        <v>456</v>
      </c>
      <c r="F8" s="5" t="s">
        <v>8</v>
      </c>
      <c r="G8" s="5" t="n">
        <v>2</v>
      </c>
      <c r="H8" s="12" t="n">
        <v>0</v>
      </c>
      <c r="I8" s="5" t="str">
        <f aca="false">IF(H8=G8,"ACCEPTED","HELD")</f>
        <v>HELD</v>
      </c>
      <c r="J8" s="5" t="s">
        <v>457</v>
      </c>
      <c r="K8" s="3"/>
      <c r="L8" s="3"/>
    </row>
    <row r="9" customFormat="false" ht="23.85" hidden="false" customHeight="false" outlineLevel="0" collapsed="false">
      <c r="A9" s="5" t="s">
        <v>334</v>
      </c>
      <c r="B9" s="5" t="s">
        <v>331</v>
      </c>
      <c r="C9" s="5" t="s">
        <v>7</v>
      </c>
      <c r="D9" s="5" t="s">
        <v>458</v>
      </c>
      <c r="E9" s="5" t="s">
        <v>459</v>
      </c>
      <c r="F9" s="5" t="s">
        <v>8</v>
      </c>
      <c r="G9" s="5" t="n">
        <v>2</v>
      </c>
      <c r="H9" s="12" t="n">
        <v>0</v>
      </c>
      <c r="I9" s="5" t="str">
        <f aca="false">IF(H9=G9,"ACCEPTED","HELD")</f>
        <v>HELD</v>
      </c>
      <c r="J9" s="5" t="s">
        <v>457</v>
      </c>
      <c r="K9" s="3"/>
      <c r="L9" s="3"/>
    </row>
    <row r="10" customFormat="false" ht="23.85" hidden="false" customHeight="false" outlineLevel="0" collapsed="false">
      <c r="A10" s="5" t="s">
        <v>335</v>
      </c>
      <c r="B10" s="5" t="s">
        <v>331</v>
      </c>
      <c r="C10" s="5" t="s">
        <v>7</v>
      </c>
      <c r="D10" s="5" t="s">
        <v>460</v>
      </c>
      <c r="E10" s="5" t="s">
        <v>461</v>
      </c>
      <c r="F10" s="5" t="s">
        <v>8</v>
      </c>
      <c r="G10" s="5" t="n">
        <v>2</v>
      </c>
      <c r="H10" s="12" t="n">
        <v>0</v>
      </c>
      <c r="I10" s="5" t="str">
        <f aca="false">IF(H10=G10,"ACCEPTED","HELD")</f>
        <v>HELD</v>
      </c>
      <c r="J10" s="5" t="s">
        <v>457</v>
      </c>
      <c r="K10" s="3"/>
      <c r="L10" s="3"/>
    </row>
    <row r="11" customFormat="false" ht="23.85" hidden="false" customHeight="false" outlineLevel="0" collapsed="false">
      <c r="A11" s="5" t="s">
        <v>338</v>
      </c>
      <c r="B11" s="5" t="s">
        <v>336</v>
      </c>
      <c r="C11" s="5" t="s">
        <v>7</v>
      </c>
      <c r="D11" s="5" t="s">
        <v>455</v>
      </c>
      <c r="E11" s="5" t="s">
        <v>456</v>
      </c>
      <c r="F11" s="5" t="s">
        <v>8</v>
      </c>
      <c r="G11" s="5" t="n">
        <v>2</v>
      </c>
      <c r="H11" s="12" t="n">
        <v>0</v>
      </c>
      <c r="I11" s="5" t="str">
        <f aca="false">IF(H11=G11,"ACCEPTED","HELD")</f>
        <v>HELD</v>
      </c>
      <c r="J11" s="5" t="s">
        <v>457</v>
      </c>
      <c r="K11" s="3"/>
      <c r="L11" s="3"/>
    </row>
    <row r="12" customFormat="false" ht="23.85" hidden="false" customHeight="false" outlineLevel="0" collapsed="false">
      <c r="A12" s="5" t="s">
        <v>339</v>
      </c>
      <c r="B12" s="5" t="s">
        <v>336</v>
      </c>
      <c r="C12" s="5" t="s">
        <v>7</v>
      </c>
      <c r="D12" s="5" t="s">
        <v>458</v>
      </c>
      <c r="E12" s="5" t="s">
        <v>459</v>
      </c>
      <c r="F12" s="5" t="s">
        <v>8</v>
      </c>
      <c r="G12" s="5" t="n">
        <v>2</v>
      </c>
      <c r="H12" s="12" t="n">
        <v>0</v>
      </c>
      <c r="I12" s="5" t="str">
        <f aca="false">IF(H12=G12,"ACCEPTED","HELD")</f>
        <v>HELD</v>
      </c>
      <c r="J12" s="5" t="s">
        <v>457</v>
      </c>
      <c r="K12" s="3"/>
      <c r="L12" s="3"/>
    </row>
    <row r="13" customFormat="false" ht="23.85" hidden="false" customHeight="false" outlineLevel="0" collapsed="false">
      <c r="A13" s="5" t="s">
        <v>340</v>
      </c>
      <c r="B13" s="5" t="s">
        <v>336</v>
      </c>
      <c r="C13" s="5" t="s">
        <v>7</v>
      </c>
      <c r="D13" s="5" t="s">
        <v>460</v>
      </c>
      <c r="E13" s="5" t="s">
        <v>461</v>
      </c>
      <c r="F13" s="5" t="s">
        <v>8</v>
      </c>
      <c r="G13" s="5" t="n">
        <v>2</v>
      </c>
      <c r="H13" s="12" t="n">
        <v>0</v>
      </c>
      <c r="I13" s="5" t="str">
        <f aca="false">IF(H13=G13,"ACCEPTED","HELD")</f>
        <v>HELD</v>
      </c>
      <c r="J13" s="5" t="s">
        <v>457</v>
      </c>
      <c r="K13" s="3"/>
      <c r="L13" s="3"/>
    </row>
    <row r="14" customFormat="false" ht="23.85" hidden="false" customHeight="false" outlineLevel="0" collapsed="false">
      <c r="A14" s="5" t="s">
        <v>343</v>
      </c>
      <c r="B14" s="5" t="s">
        <v>341</v>
      </c>
      <c r="C14" s="5" t="s">
        <v>7</v>
      </c>
      <c r="D14" s="5" t="s">
        <v>455</v>
      </c>
      <c r="E14" s="5" t="s">
        <v>456</v>
      </c>
      <c r="F14" s="5" t="s">
        <v>8</v>
      </c>
      <c r="G14" s="5" t="n">
        <v>2</v>
      </c>
      <c r="H14" s="12" t="n">
        <v>0</v>
      </c>
      <c r="I14" s="5" t="str">
        <f aca="false">IF(H14=G14,"ACCEPTED","HELD")</f>
        <v>HELD</v>
      </c>
      <c r="J14" s="5" t="s">
        <v>457</v>
      </c>
      <c r="K14" s="3"/>
      <c r="L14" s="3"/>
    </row>
    <row r="15" customFormat="false" ht="23.85" hidden="false" customHeight="false" outlineLevel="0" collapsed="false">
      <c r="A15" s="5" t="s">
        <v>344</v>
      </c>
      <c r="B15" s="5" t="s">
        <v>341</v>
      </c>
      <c r="C15" s="5" t="s">
        <v>7</v>
      </c>
      <c r="D15" s="5" t="s">
        <v>458</v>
      </c>
      <c r="E15" s="5" t="s">
        <v>459</v>
      </c>
      <c r="F15" s="5" t="s">
        <v>8</v>
      </c>
      <c r="G15" s="5" t="n">
        <v>2</v>
      </c>
      <c r="H15" s="12" t="n">
        <v>0</v>
      </c>
      <c r="I15" s="5" t="str">
        <f aca="false">IF(H15=G15,"ACCEPTED","HELD")</f>
        <v>HELD</v>
      </c>
      <c r="J15" s="5" t="s">
        <v>457</v>
      </c>
      <c r="K15" s="3"/>
      <c r="L15" s="3"/>
    </row>
    <row r="16" customFormat="false" ht="23.85" hidden="false" customHeight="false" outlineLevel="0" collapsed="false">
      <c r="A16" s="5" t="s">
        <v>345</v>
      </c>
      <c r="B16" s="5" t="s">
        <v>341</v>
      </c>
      <c r="C16" s="5" t="s">
        <v>7</v>
      </c>
      <c r="D16" s="5" t="s">
        <v>460</v>
      </c>
      <c r="E16" s="5" t="s">
        <v>461</v>
      </c>
      <c r="F16" s="5" t="s">
        <v>8</v>
      </c>
      <c r="G16" s="5" t="n">
        <v>2</v>
      </c>
      <c r="H16" s="12" t="n">
        <v>0</v>
      </c>
      <c r="I16" s="5" t="str">
        <f aca="false">IF(H16=G16,"ACCEPTED","HELD")</f>
        <v>HELD</v>
      </c>
      <c r="J16" s="5" t="s">
        <v>457</v>
      </c>
      <c r="K16" s="3"/>
      <c r="L16" s="3"/>
    </row>
    <row r="17" customFormat="false" ht="23.85" hidden="false" customHeight="false" outlineLevel="0" collapsed="false">
      <c r="A17" s="5" t="s">
        <v>348</v>
      </c>
      <c r="B17" s="5" t="s">
        <v>346</v>
      </c>
      <c r="C17" s="5" t="s">
        <v>12</v>
      </c>
      <c r="D17" s="5" t="s">
        <v>455</v>
      </c>
      <c r="E17" s="5" t="s">
        <v>456</v>
      </c>
      <c r="F17" s="5" t="s">
        <v>13</v>
      </c>
      <c r="G17" s="5" t="n">
        <v>2</v>
      </c>
      <c r="H17" s="12" t="n">
        <v>0</v>
      </c>
      <c r="I17" s="5" t="str">
        <f aca="false">IF(H17=G17,"ACCEPTED","HELD")</f>
        <v>HELD</v>
      </c>
      <c r="J17" s="5" t="s">
        <v>457</v>
      </c>
      <c r="K17" s="3"/>
      <c r="L17" s="3"/>
    </row>
    <row r="18" customFormat="false" ht="23.85" hidden="false" customHeight="false" outlineLevel="0" collapsed="false">
      <c r="A18" s="5" t="s">
        <v>349</v>
      </c>
      <c r="B18" s="5" t="s">
        <v>346</v>
      </c>
      <c r="C18" s="5" t="s">
        <v>12</v>
      </c>
      <c r="D18" s="5" t="s">
        <v>458</v>
      </c>
      <c r="E18" s="5" t="s">
        <v>459</v>
      </c>
      <c r="F18" s="5" t="s">
        <v>13</v>
      </c>
      <c r="G18" s="5" t="n">
        <v>2</v>
      </c>
      <c r="H18" s="12" t="n">
        <v>0</v>
      </c>
      <c r="I18" s="5" t="str">
        <f aca="false">IF(H18=G18,"ACCEPTED","HELD")</f>
        <v>HELD</v>
      </c>
      <c r="J18" s="5" t="s">
        <v>457</v>
      </c>
      <c r="K18" s="3"/>
      <c r="L18" s="3"/>
    </row>
    <row r="19" customFormat="false" ht="23.85" hidden="false" customHeight="false" outlineLevel="0" collapsed="false">
      <c r="A19" s="5" t="s">
        <v>350</v>
      </c>
      <c r="B19" s="5" t="s">
        <v>346</v>
      </c>
      <c r="C19" s="5" t="s">
        <v>12</v>
      </c>
      <c r="D19" s="5" t="s">
        <v>460</v>
      </c>
      <c r="E19" s="5" t="s">
        <v>461</v>
      </c>
      <c r="F19" s="5" t="s">
        <v>13</v>
      </c>
      <c r="G19" s="5" t="n">
        <v>2</v>
      </c>
      <c r="H19" s="12" t="n">
        <v>0</v>
      </c>
      <c r="I19" s="5" t="str">
        <f aca="false">IF(H19=G19,"ACCEPTED","HELD")</f>
        <v>HELD</v>
      </c>
      <c r="J19" s="5" t="s">
        <v>457</v>
      </c>
      <c r="K19" s="3"/>
      <c r="L19" s="3"/>
    </row>
    <row r="20" customFormat="false" ht="23.85" hidden="false" customHeight="false" outlineLevel="0" collapsed="false">
      <c r="A20" s="5" t="s">
        <v>353</v>
      </c>
      <c r="B20" s="5" t="s">
        <v>351</v>
      </c>
      <c r="C20" s="5" t="s">
        <v>12</v>
      </c>
      <c r="D20" s="5" t="s">
        <v>455</v>
      </c>
      <c r="E20" s="5" t="s">
        <v>456</v>
      </c>
      <c r="F20" s="5" t="s">
        <v>13</v>
      </c>
      <c r="G20" s="5" t="n">
        <v>2</v>
      </c>
      <c r="H20" s="12" t="n">
        <v>0</v>
      </c>
      <c r="I20" s="5" t="str">
        <f aca="false">IF(H20=G20,"ACCEPTED","HELD")</f>
        <v>HELD</v>
      </c>
      <c r="J20" s="5" t="s">
        <v>457</v>
      </c>
      <c r="K20" s="3"/>
      <c r="L20" s="3"/>
    </row>
    <row r="21" customFormat="false" ht="23.85" hidden="false" customHeight="false" outlineLevel="0" collapsed="false">
      <c r="A21" s="5" t="s">
        <v>354</v>
      </c>
      <c r="B21" s="5" t="s">
        <v>351</v>
      </c>
      <c r="C21" s="5" t="s">
        <v>12</v>
      </c>
      <c r="D21" s="5" t="s">
        <v>458</v>
      </c>
      <c r="E21" s="5" t="s">
        <v>459</v>
      </c>
      <c r="F21" s="5" t="s">
        <v>13</v>
      </c>
      <c r="G21" s="5" t="n">
        <v>2</v>
      </c>
      <c r="H21" s="12" t="n">
        <v>0</v>
      </c>
      <c r="I21" s="5" t="str">
        <f aca="false">IF(H21=G21,"ACCEPTED","HELD")</f>
        <v>HELD</v>
      </c>
      <c r="J21" s="5" t="s">
        <v>457</v>
      </c>
      <c r="K21" s="3"/>
      <c r="L21" s="3"/>
    </row>
    <row r="22" customFormat="false" ht="23.85" hidden="false" customHeight="false" outlineLevel="0" collapsed="false">
      <c r="A22" s="5" t="s">
        <v>355</v>
      </c>
      <c r="B22" s="5" t="s">
        <v>351</v>
      </c>
      <c r="C22" s="5" t="s">
        <v>12</v>
      </c>
      <c r="D22" s="5" t="s">
        <v>460</v>
      </c>
      <c r="E22" s="5" t="s">
        <v>461</v>
      </c>
      <c r="F22" s="5" t="s">
        <v>13</v>
      </c>
      <c r="G22" s="5" t="n">
        <v>2</v>
      </c>
      <c r="H22" s="12" t="n">
        <v>0</v>
      </c>
      <c r="I22" s="5" t="str">
        <f aca="false">IF(H22=G22,"ACCEPTED","HELD")</f>
        <v>HELD</v>
      </c>
      <c r="J22" s="5" t="s">
        <v>457</v>
      </c>
      <c r="K22" s="3"/>
      <c r="L22" s="3"/>
    </row>
    <row r="23" customFormat="false" ht="23.85" hidden="false" customHeight="false" outlineLevel="0" collapsed="false">
      <c r="A23" s="5" t="s">
        <v>358</v>
      </c>
      <c r="B23" s="5" t="s">
        <v>356</v>
      </c>
      <c r="C23" s="5" t="s">
        <v>12</v>
      </c>
      <c r="D23" s="5" t="s">
        <v>455</v>
      </c>
      <c r="E23" s="5" t="s">
        <v>456</v>
      </c>
      <c r="F23" s="5" t="s">
        <v>13</v>
      </c>
      <c r="G23" s="5" t="n">
        <v>2</v>
      </c>
      <c r="H23" s="12" t="n">
        <v>0</v>
      </c>
      <c r="I23" s="5" t="str">
        <f aca="false">IF(H23=G23,"ACCEPTED","HELD")</f>
        <v>HELD</v>
      </c>
      <c r="J23" s="5" t="s">
        <v>457</v>
      </c>
      <c r="K23" s="3"/>
      <c r="L23" s="3"/>
    </row>
    <row r="24" customFormat="false" ht="23.85" hidden="false" customHeight="false" outlineLevel="0" collapsed="false">
      <c r="A24" s="5" t="s">
        <v>359</v>
      </c>
      <c r="B24" s="5" t="s">
        <v>356</v>
      </c>
      <c r="C24" s="5" t="s">
        <v>12</v>
      </c>
      <c r="D24" s="5" t="s">
        <v>458</v>
      </c>
      <c r="E24" s="5" t="s">
        <v>459</v>
      </c>
      <c r="F24" s="5" t="s">
        <v>13</v>
      </c>
      <c r="G24" s="5" t="n">
        <v>2</v>
      </c>
      <c r="H24" s="12" t="n">
        <v>0</v>
      </c>
      <c r="I24" s="5" t="str">
        <f aca="false">IF(H24=G24,"ACCEPTED","HELD")</f>
        <v>HELD</v>
      </c>
      <c r="J24" s="5" t="s">
        <v>457</v>
      </c>
      <c r="K24" s="3"/>
      <c r="L24" s="3"/>
    </row>
    <row r="25" customFormat="false" ht="23.85" hidden="false" customHeight="false" outlineLevel="0" collapsed="false">
      <c r="A25" s="5" t="s">
        <v>360</v>
      </c>
      <c r="B25" s="5" t="s">
        <v>356</v>
      </c>
      <c r="C25" s="5" t="s">
        <v>12</v>
      </c>
      <c r="D25" s="5" t="s">
        <v>460</v>
      </c>
      <c r="E25" s="5" t="s">
        <v>461</v>
      </c>
      <c r="F25" s="5" t="s">
        <v>13</v>
      </c>
      <c r="G25" s="5" t="n">
        <v>2</v>
      </c>
      <c r="H25" s="12" t="n">
        <v>0</v>
      </c>
      <c r="I25" s="5" t="str">
        <f aca="false">IF(H25=G25,"ACCEPTED","HELD")</f>
        <v>HELD</v>
      </c>
      <c r="J25" s="5" t="s">
        <v>457</v>
      </c>
      <c r="K25" s="3"/>
      <c r="L25" s="3"/>
    </row>
    <row r="26" customFormat="false" ht="23.85" hidden="false" customHeight="false" outlineLevel="0" collapsed="false">
      <c r="A26" s="5" t="s">
        <v>363</v>
      </c>
      <c r="B26" s="5" t="s">
        <v>361</v>
      </c>
      <c r="C26" s="5" t="s">
        <v>12</v>
      </c>
      <c r="D26" s="5" t="s">
        <v>455</v>
      </c>
      <c r="E26" s="5" t="s">
        <v>456</v>
      </c>
      <c r="F26" s="5" t="s">
        <v>13</v>
      </c>
      <c r="G26" s="5" t="n">
        <v>2</v>
      </c>
      <c r="H26" s="12" t="n">
        <v>0</v>
      </c>
      <c r="I26" s="5" t="str">
        <f aca="false">IF(H26=G26,"ACCEPTED","HELD")</f>
        <v>HELD</v>
      </c>
      <c r="J26" s="5" t="s">
        <v>457</v>
      </c>
      <c r="K26" s="3"/>
      <c r="L26" s="3"/>
    </row>
    <row r="27" customFormat="false" ht="23.85" hidden="false" customHeight="false" outlineLevel="0" collapsed="false">
      <c r="A27" s="5" t="s">
        <v>364</v>
      </c>
      <c r="B27" s="5" t="s">
        <v>361</v>
      </c>
      <c r="C27" s="5" t="s">
        <v>12</v>
      </c>
      <c r="D27" s="5" t="s">
        <v>458</v>
      </c>
      <c r="E27" s="5" t="s">
        <v>459</v>
      </c>
      <c r="F27" s="5" t="s">
        <v>13</v>
      </c>
      <c r="G27" s="5" t="n">
        <v>2</v>
      </c>
      <c r="H27" s="12" t="n">
        <v>0</v>
      </c>
      <c r="I27" s="5" t="str">
        <f aca="false">IF(H27=G27,"ACCEPTED","HELD")</f>
        <v>HELD</v>
      </c>
      <c r="J27" s="5" t="s">
        <v>457</v>
      </c>
      <c r="K27" s="3"/>
      <c r="L27" s="3"/>
    </row>
    <row r="28" customFormat="false" ht="23.85" hidden="false" customHeight="false" outlineLevel="0" collapsed="false">
      <c r="A28" s="5" t="s">
        <v>365</v>
      </c>
      <c r="B28" s="5" t="s">
        <v>361</v>
      </c>
      <c r="C28" s="5" t="s">
        <v>12</v>
      </c>
      <c r="D28" s="5" t="s">
        <v>460</v>
      </c>
      <c r="E28" s="5" t="s">
        <v>461</v>
      </c>
      <c r="F28" s="5" t="s">
        <v>13</v>
      </c>
      <c r="G28" s="5" t="n">
        <v>2</v>
      </c>
      <c r="H28" s="12" t="n">
        <v>0</v>
      </c>
      <c r="I28" s="5" t="str">
        <f aca="false">IF(H28=G28,"ACCEPTED","HELD")</f>
        <v>HELD</v>
      </c>
      <c r="J28" s="5" t="s">
        <v>457</v>
      </c>
      <c r="K28" s="3"/>
      <c r="L28" s="3"/>
    </row>
    <row r="29" customFormat="false" ht="23.85" hidden="false" customHeight="false" outlineLevel="0" collapsed="false">
      <c r="A29" s="5" t="s">
        <v>368</v>
      </c>
      <c r="B29" s="5" t="s">
        <v>366</v>
      </c>
      <c r="C29" s="5" t="s">
        <v>17</v>
      </c>
      <c r="D29" s="5" t="s">
        <v>455</v>
      </c>
      <c r="E29" s="5" t="s">
        <v>456</v>
      </c>
      <c r="F29" s="5" t="s">
        <v>18</v>
      </c>
      <c r="G29" s="5" t="n">
        <v>2</v>
      </c>
      <c r="H29" s="12" t="n">
        <v>0</v>
      </c>
      <c r="I29" s="5" t="str">
        <f aca="false">IF(H29=G29,"ACCEPTED","HELD")</f>
        <v>HELD</v>
      </c>
      <c r="J29" s="5" t="s">
        <v>457</v>
      </c>
      <c r="K29" s="3"/>
      <c r="L29" s="3"/>
    </row>
    <row r="30" customFormat="false" ht="23.85" hidden="false" customHeight="false" outlineLevel="0" collapsed="false">
      <c r="A30" s="5" t="s">
        <v>369</v>
      </c>
      <c r="B30" s="5" t="s">
        <v>366</v>
      </c>
      <c r="C30" s="5" t="s">
        <v>17</v>
      </c>
      <c r="D30" s="5" t="s">
        <v>458</v>
      </c>
      <c r="E30" s="5" t="s">
        <v>459</v>
      </c>
      <c r="F30" s="5" t="s">
        <v>18</v>
      </c>
      <c r="G30" s="5" t="n">
        <v>2</v>
      </c>
      <c r="H30" s="12" t="n">
        <v>0</v>
      </c>
      <c r="I30" s="5" t="str">
        <f aca="false">IF(H30=G30,"ACCEPTED","HELD")</f>
        <v>HELD</v>
      </c>
      <c r="J30" s="5" t="s">
        <v>457</v>
      </c>
      <c r="K30" s="3"/>
      <c r="L30" s="3"/>
    </row>
    <row r="31" customFormat="false" ht="23.85" hidden="false" customHeight="false" outlineLevel="0" collapsed="false">
      <c r="A31" s="5" t="s">
        <v>370</v>
      </c>
      <c r="B31" s="5" t="s">
        <v>366</v>
      </c>
      <c r="C31" s="5" t="s">
        <v>17</v>
      </c>
      <c r="D31" s="5" t="s">
        <v>460</v>
      </c>
      <c r="E31" s="5" t="s">
        <v>461</v>
      </c>
      <c r="F31" s="5" t="s">
        <v>18</v>
      </c>
      <c r="G31" s="5" t="n">
        <v>2</v>
      </c>
      <c r="H31" s="12" t="n">
        <v>0</v>
      </c>
      <c r="I31" s="5" t="str">
        <f aca="false">IF(H31=G31,"ACCEPTED","HELD")</f>
        <v>HELD</v>
      </c>
      <c r="J31" s="5" t="s">
        <v>457</v>
      </c>
      <c r="K31" s="3"/>
      <c r="L31" s="3"/>
    </row>
    <row r="32" customFormat="false" ht="23.85" hidden="false" customHeight="false" outlineLevel="0" collapsed="false">
      <c r="A32" s="5" t="s">
        <v>373</v>
      </c>
      <c r="B32" s="5" t="s">
        <v>371</v>
      </c>
      <c r="C32" s="5" t="s">
        <v>17</v>
      </c>
      <c r="D32" s="5" t="s">
        <v>455</v>
      </c>
      <c r="E32" s="5" t="s">
        <v>456</v>
      </c>
      <c r="F32" s="5" t="s">
        <v>18</v>
      </c>
      <c r="G32" s="5" t="n">
        <v>2</v>
      </c>
      <c r="H32" s="12" t="n">
        <v>0</v>
      </c>
      <c r="I32" s="5" t="str">
        <f aca="false">IF(H32=G32,"ACCEPTED","HELD")</f>
        <v>HELD</v>
      </c>
      <c r="J32" s="5" t="s">
        <v>457</v>
      </c>
      <c r="K32" s="3"/>
      <c r="L32" s="3"/>
    </row>
    <row r="33" customFormat="false" ht="23.85" hidden="false" customHeight="false" outlineLevel="0" collapsed="false">
      <c r="A33" s="5" t="s">
        <v>374</v>
      </c>
      <c r="B33" s="5" t="s">
        <v>371</v>
      </c>
      <c r="C33" s="5" t="s">
        <v>17</v>
      </c>
      <c r="D33" s="5" t="s">
        <v>458</v>
      </c>
      <c r="E33" s="5" t="s">
        <v>459</v>
      </c>
      <c r="F33" s="5" t="s">
        <v>18</v>
      </c>
      <c r="G33" s="5" t="n">
        <v>2</v>
      </c>
      <c r="H33" s="12" t="n">
        <v>0</v>
      </c>
      <c r="I33" s="5" t="str">
        <f aca="false">IF(H33=G33,"ACCEPTED","HELD")</f>
        <v>HELD</v>
      </c>
      <c r="J33" s="5" t="s">
        <v>457</v>
      </c>
      <c r="K33" s="3"/>
      <c r="L33" s="3"/>
    </row>
    <row r="34" customFormat="false" ht="23.85" hidden="false" customHeight="false" outlineLevel="0" collapsed="false">
      <c r="A34" s="5" t="s">
        <v>375</v>
      </c>
      <c r="B34" s="5" t="s">
        <v>371</v>
      </c>
      <c r="C34" s="5" t="s">
        <v>17</v>
      </c>
      <c r="D34" s="5" t="s">
        <v>460</v>
      </c>
      <c r="E34" s="5" t="s">
        <v>461</v>
      </c>
      <c r="F34" s="5" t="s">
        <v>18</v>
      </c>
      <c r="G34" s="5" t="n">
        <v>2</v>
      </c>
      <c r="H34" s="12" t="n">
        <v>0</v>
      </c>
      <c r="I34" s="5" t="str">
        <f aca="false">IF(H34=G34,"ACCEPTED","HELD")</f>
        <v>HELD</v>
      </c>
      <c r="J34" s="5" t="s">
        <v>457</v>
      </c>
      <c r="K34" s="3"/>
      <c r="L34" s="3"/>
    </row>
    <row r="35" customFormat="false" ht="23.85" hidden="false" customHeight="false" outlineLevel="0" collapsed="false">
      <c r="A35" s="5" t="s">
        <v>378</v>
      </c>
      <c r="B35" s="5" t="s">
        <v>376</v>
      </c>
      <c r="C35" s="5" t="s">
        <v>17</v>
      </c>
      <c r="D35" s="5" t="s">
        <v>455</v>
      </c>
      <c r="E35" s="5" t="s">
        <v>456</v>
      </c>
      <c r="F35" s="5" t="s">
        <v>18</v>
      </c>
      <c r="G35" s="5" t="n">
        <v>2</v>
      </c>
      <c r="H35" s="12" t="n">
        <v>0</v>
      </c>
      <c r="I35" s="5" t="str">
        <f aca="false">IF(H35=G35,"ACCEPTED","HELD")</f>
        <v>HELD</v>
      </c>
      <c r="J35" s="5" t="s">
        <v>457</v>
      </c>
      <c r="K35" s="3"/>
      <c r="L35" s="3"/>
    </row>
    <row r="36" customFormat="false" ht="23.85" hidden="false" customHeight="false" outlineLevel="0" collapsed="false">
      <c r="A36" s="5" t="s">
        <v>379</v>
      </c>
      <c r="B36" s="5" t="s">
        <v>376</v>
      </c>
      <c r="C36" s="5" t="s">
        <v>17</v>
      </c>
      <c r="D36" s="5" t="s">
        <v>458</v>
      </c>
      <c r="E36" s="5" t="s">
        <v>459</v>
      </c>
      <c r="F36" s="5" t="s">
        <v>18</v>
      </c>
      <c r="G36" s="5" t="n">
        <v>2</v>
      </c>
      <c r="H36" s="12" t="n">
        <v>0</v>
      </c>
      <c r="I36" s="5" t="str">
        <f aca="false">IF(H36=G36,"ACCEPTED","HELD")</f>
        <v>HELD</v>
      </c>
      <c r="J36" s="5" t="s">
        <v>457</v>
      </c>
      <c r="K36" s="3"/>
      <c r="L36" s="3"/>
    </row>
    <row r="37" customFormat="false" ht="23.85" hidden="false" customHeight="false" outlineLevel="0" collapsed="false">
      <c r="A37" s="5" t="s">
        <v>380</v>
      </c>
      <c r="B37" s="5" t="s">
        <v>376</v>
      </c>
      <c r="C37" s="5" t="s">
        <v>17</v>
      </c>
      <c r="D37" s="5" t="s">
        <v>460</v>
      </c>
      <c r="E37" s="5" t="s">
        <v>461</v>
      </c>
      <c r="F37" s="5" t="s">
        <v>18</v>
      </c>
      <c r="G37" s="5" t="n">
        <v>2</v>
      </c>
      <c r="H37" s="12" t="n">
        <v>0</v>
      </c>
      <c r="I37" s="5" t="str">
        <f aca="false">IF(H37=G37,"ACCEPTED","HELD")</f>
        <v>HELD</v>
      </c>
      <c r="J37" s="5" t="s">
        <v>457</v>
      </c>
      <c r="K37" s="3"/>
      <c r="L37" s="3"/>
    </row>
    <row r="38" customFormat="false" ht="23.85" hidden="false" customHeight="false" outlineLevel="0" collapsed="false">
      <c r="A38" s="5" t="s">
        <v>383</v>
      </c>
      <c r="B38" s="5" t="s">
        <v>381</v>
      </c>
      <c r="C38" s="5" t="s">
        <v>17</v>
      </c>
      <c r="D38" s="5" t="s">
        <v>455</v>
      </c>
      <c r="E38" s="5" t="s">
        <v>456</v>
      </c>
      <c r="F38" s="5" t="s">
        <v>18</v>
      </c>
      <c r="G38" s="5" t="n">
        <v>2</v>
      </c>
      <c r="H38" s="12" t="n">
        <v>0</v>
      </c>
      <c r="I38" s="5" t="str">
        <f aca="false">IF(H38=G38,"ACCEPTED","HELD")</f>
        <v>HELD</v>
      </c>
      <c r="J38" s="5" t="s">
        <v>457</v>
      </c>
      <c r="K38" s="3"/>
      <c r="L38" s="3"/>
    </row>
    <row r="39" customFormat="false" ht="23.85" hidden="false" customHeight="false" outlineLevel="0" collapsed="false">
      <c r="A39" s="5" t="s">
        <v>384</v>
      </c>
      <c r="B39" s="5" t="s">
        <v>381</v>
      </c>
      <c r="C39" s="5" t="s">
        <v>17</v>
      </c>
      <c r="D39" s="5" t="s">
        <v>458</v>
      </c>
      <c r="E39" s="5" t="s">
        <v>459</v>
      </c>
      <c r="F39" s="5" t="s">
        <v>18</v>
      </c>
      <c r="G39" s="5" t="n">
        <v>2</v>
      </c>
      <c r="H39" s="12" t="n">
        <v>0</v>
      </c>
      <c r="I39" s="5" t="str">
        <f aca="false">IF(H39=G39,"ACCEPTED","HELD")</f>
        <v>HELD</v>
      </c>
      <c r="J39" s="5" t="s">
        <v>457</v>
      </c>
      <c r="K39" s="3"/>
      <c r="L39" s="3"/>
    </row>
    <row r="40" customFormat="false" ht="23.85" hidden="false" customHeight="false" outlineLevel="0" collapsed="false">
      <c r="A40" s="5" t="s">
        <v>385</v>
      </c>
      <c r="B40" s="5" t="s">
        <v>381</v>
      </c>
      <c r="C40" s="5" t="s">
        <v>17</v>
      </c>
      <c r="D40" s="5" t="s">
        <v>460</v>
      </c>
      <c r="E40" s="5" t="s">
        <v>461</v>
      </c>
      <c r="F40" s="5" t="s">
        <v>18</v>
      </c>
      <c r="G40" s="5" t="n">
        <v>2</v>
      </c>
      <c r="H40" s="12" t="n">
        <v>0</v>
      </c>
      <c r="I40" s="5" t="str">
        <f aca="false">IF(H40=G40,"ACCEPTED","HELD")</f>
        <v>HELD</v>
      </c>
      <c r="J40" s="5" t="s">
        <v>457</v>
      </c>
      <c r="K40" s="3"/>
      <c r="L40" s="3"/>
    </row>
    <row r="41" customFormat="false" ht="23.85" hidden="false" customHeight="false" outlineLevel="0" collapsed="false">
      <c r="A41" s="5" t="s">
        <v>388</v>
      </c>
      <c r="B41" s="5" t="s">
        <v>386</v>
      </c>
      <c r="C41" s="5" t="s">
        <v>20</v>
      </c>
      <c r="D41" s="5" t="s">
        <v>455</v>
      </c>
      <c r="E41" s="5" t="s">
        <v>456</v>
      </c>
      <c r="F41" s="5" t="s">
        <v>21</v>
      </c>
      <c r="G41" s="5" t="n">
        <v>2</v>
      </c>
      <c r="H41" s="12" t="n">
        <v>0</v>
      </c>
      <c r="I41" s="5" t="str">
        <f aca="false">IF(H41=G41,"ACCEPTED","HELD")</f>
        <v>HELD</v>
      </c>
      <c r="J41" s="5" t="s">
        <v>457</v>
      </c>
      <c r="K41" s="3"/>
      <c r="L41" s="3"/>
    </row>
    <row r="42" customFormat="false" ht="23.85" hidden="false" customHeight="false" outlineLevel="0" collapsed="false">
      <c r="A42" s="5" t="s">
        <v>389</v>
      </c>
      <c r="B42" s="5" t="s">
        <v>386</v>
      </c>
      <c r="C42" s="5" t="s">
        <v>20</v>
      </c>
      <c r="D42" s="5" t="s">
        <v>458</v>
      </c>
      <c r="E42" s="5" t="s">
        <v>459</v>
      </c>
      <c r="F42" s="5" t="s">
        <v>21</v>
      </c>
      <c r="G42" s="5" t="n">
        <v>2</v>
      </c>
      <c r="H42" s="12" t="n">
        <v>0</v>
      </c>
      <c r="I42" s="5" t="str">
        <f aca="false">IF(H42=G42,"ACCEPTED","HELD")</f>
        <v>HELD</v>
      </c>
      <c r="J42" s="5" t="s">
        <v>457</v>
      </c>
      <c r="K42" s="3"/>
      <c r="L42" s="3"/>
    </row>
    <row r="43" customFormat="false" ht="23.85" hidden="false" customHeight="false" outlineLevel="0" collapsed="false">
      <c r="A43" s="5" t="s">
        <v>390</v>
      </c>
      <c r="B43" s="5" t="s">
        <v>386</v>
      </c>
      <c r="C43" s="5" t="s">
        <v>20</v>
      </c>
      <c r="D43" s="5" t="s">
        <v>460</v>
      </c>
      <c r="E43" s="5" t="s">
        <v>461</v>
      </c>
      <c r="F43" s="5" t="s">
        <v>21</v>
      </c>
      <c r="G43" s="5" t="n">
        <v>2</v>
      </c>
      <c r="H43" s="12" t="n">
        <v>0</v>
      </c>
      <c r="I43" s="5" t="str">
        <f aca="false">IF(H43=G43,"ACCEPTED","HELD")</f>
        <v>HELD</v>
      </c>
      <c r="J43" s="5" t="s">
        <v>457</v>
      </c>
      <c r="K43" s="3"/>
      <c r="L43" s="3"/>
    </row>
    <row r="44" customFormat="false" ht="23.85" hidden="false" customHeight="false" outlineLevel="0" collapsed="false">
      <c r="A44" s="5" t="s">
        <v>393</v>
      </c>
      <c r="B44" s="5" t="s">
        <v>391</v>
      </c>
      <c r="C44" s="5" t="s">
        <v>20</v>
      </c>
      <c r="D44" s="5" t="s">
        <v>455</v>
      </c>
      <c r="E44" s="5" t="s">
        <v>456</v>
      </c>
      <c r="F44" s="5" t="s">
        <v>21</v>
      </c>
      <c r="G44" s="5" t="n">
        <v>2</v>
      </c>
      <c r="H44" s="12" t="n">
        <v>0</v>
      </c>
      <c r="I44" s="5" t="str">
        <f aca="false">IF(H44=G44,"ACCEPTED","HELD")</f>
        <v>HELD</v>
      </c>
      <c r="J44" s="5" t="s">
        <v>457</v>
      </c>
      <c r="K44" s="3"/>
      <c r="L44" s="3"/>
    </row>
    <row r="45" customFormat="false" ht="23.85" hidden="false" customHeight="false" outlineLevel="0" collapsed="false">
      <c r="A45" s="5" t="s">
        <v>394</v>
      </c>
      <c r="B45" s="5" t="s">
        <v>391</v>
      </c>
      <c r="C45" s="5" t="s">
        <v>20</v>
      </c>
      <c r="D45" s="5" t="s">
        <v>458</v>
      </c>
      <c r="E45" s="5" t="s">
        <v>459</v>
      </c>
      <c r="F45" s="5" t="s">
        <v>21</v>
      </c>
      <c r="G45" s="5" t="n">
        <v>2</v>
      </c>
      <c r="H45" s="12" t="n">
        <v>0</v>
      </c>
      <c r="I45" s="5" t="str">
        <f aca="false">IF(H45=G45,"ACCEPTED","HELD")</f>
        <v>HELD</v>
      </c>
      <c r="J45" s="5" t="s">
        <v>457</v>
      </c>
      <c r="K45" s="3"/>
      <c r="L45" s="3"/>
    </row>
    <row r="46" customFormat="false" ht="23.85" hidden="false" customHeight="false" outlineLevel="0" collapsed="false">
      <c r="A46" s="5" t="s">
        <v>395</v>
      </c>
      <c r="B46" s="5" t="s">
        <v>391</v>
      </c>
      <c r="C46" s="5" t="s">
        <v>20</v>
      </c>
      <c r="D46" s="5" t="s">
        <v>460</v>
      </c>
      <c r="E46" s="5" t="s">
        <v>461</v>
      </c>
      <c r="F46" s="5" t="s">
        <v>21</v>
      </c>
      <c r="G46" s="5" t="n">
        <v>2</v>
      </c>
      <c r="H46" s="12" t="n">
        <v>0</v>
      </c>
      <c r="I46" s="5" t="str">
        <f aca="false">IF(H46=G46,"ACCEPTED","HELD")</f>
        <v>HELD</v>
      </c>
      <c r="J46" s="5" t="s">
        <v>457</v>
      </c>
      <c r="K46" s="3"/>
      <c r="L46" s="3"/>
    </row>
    <row r="47" customFormat="false" ht="23.85" hidden="false" customHeight="false" outlineLevel="0" collapsed="false">
      <c r="A47" s="5" t="s">
        <v>398</v>
      </c>
      <c r="B47" s="5" t="s">
        <v>396</v>
      </c>
      <c r="C47" s="5" t="s">
        <v>20</v>
      </c>
      <c r="D47" s="5" t="s">
        <v>455</v>
      </c>
      <c r="E47" s="5" t="s">
        <v>456</v>
      </c>
      <c r="F47" s="5" t="s">
        <v>21</v>
      </c>
      <c r="G47" s="5" t="n">
        <v>2</v>
      </c>
      <c r="H47" s="12" t="n">
        <v>0</v>
      </c>
      <c r="I47" s="5" t="str">
        <f aca="false">IF(H47=G47,"ACCEPTED","HELD")</f>
        <v>HELD</v>
      </c>
      <c r="J47" s="5" t="s">
        <v>457</v>
      </c>
      <c r="K47" s="3"/>
      <c r="L47" s="3"/>
    </row>
    <row r="48" customFormat="false" ht="23.85" hidden="false" customHeight="false" outlineLevel="0" collapsed="false">
      <c r="A48" s="5" t="s">
        <v>399</v>
      </c>
      <c r="B48" s="5" t="s">
        <v>396</v>
      </c>
      <c r="C48" s="5" t="s">
        <v>20</v>
      </c>
      <c r="D48" s="5" t="s">
        <v>458</v>
      </c>
      <c r="E48" s="5" t="s">
        <v>459</v>
      </c>
      <c r="F48" s="5" t="s">
        <v>21</v>
      </c>
      <c r="G48" s="5" t="n">
        <v>2</v>
      </c>
      <c r="H48" s="12" t="n">
        <v>0</v>
      </c>
      <c r="I48" s="5" t="str">
        <f aca="false">IF(H48=G48,"ACCEPTED","HELD")</f>
        <v>HELD</v>
      </c>
      <c r="J48" s="5" t="s">
        <v>457</v>
      </c>
      <c r="K48" s="3"/>
      <c r="L48" s="3"/>
    </row>
    <row r="49" customFormat="false" ht="23.85" hidden="false" customHeight="false" outlineLevel="0" collapsed="false">
      <c r="A49" s="5" t="s">
        <v>400</v>
      </c>
      <c r="B49" s="5" t="s">
        <v>396</v>
      </c>
      <c r="C49" s="5" t="s">
        <v>20</v>
      </c>
      <c r="D49" s="5" t="s">
        <v>460</v>
      </c>
      <c r="E49" s="5" t="s">
        <v>461</v>
      </c>
      <c r="F49" s="5" t="s">
        <v>21</v>
      </c>
      <c r="G49" s="5" t="n">
        <v>2</v>
      </c>
      <c r="H49" s="12" t="n">
        <v>0</v>
      </c>
      <c r="I49" s="5" t="str">
        <f aca="false">IF(H49=G49,"ACCEPTED","HELD")</f>
        <v>HELD</v>
      </c>
      <c r="J49" s="5" t="s">
        <v>457</v>
      </c>
      <c r="K49" s="3"/>
      <c r="L49" s="3"/>
    </row>
    <row r="50" customFormat="false" ht="23.85" hidden="false" customHeight="false" outlineLevel="0" collapsed="false">
      <c r="A50" s="5" t="s">
        <v>403</v>
      </c>
      <c r="B50" s="5" t="s">
        <v>401</v>
      </c>
      <c r="C50" s="5" t="s">
        <v>20</v>
      </c>
      <c r="D50" s="5" t="s">
        <v>455</v>
      </c>
      <c r="E50" s="5" t="s">
        <v>456</v>
      </c>
      <c r="F50" s="5" t="s">
        <v>21</v>
      </c>
      <c r="G50" s="5" t="n">
        <v>2</v>
      </c>
      <c r="H50" s="12" t="n">
        <v>0</v>
      </c>
      <c r="I50" s="5" t="str">
        <f aca="false">IF(H50=G50,"ACCEPTED","HELD")</f>
        <v>HELD</v>
      </c>
      <c r="J50" s="5" t="s">
        <v>457</v>
      </c>
      <c r="K50" s="3"/>
      <c r="L50" s="3"/>
    </row>
    <row r="51" customFormat="false" ht="23.85" hidden="false" customHeight="false" outlineLevel="0" collapsed="false">
      <c r="A51" s="5" t="s">
        <v>404</v>
      </c>
      <c r="B51" s="5" t="s">
        <v>401</v>
      </c>
      <c r="C51" s="5" t="s">
        <v>20</v>
      </c>
      <c r="D51" s="5" t="s">
        <v>458</v>
      </c>
      <c r="E51" s="5" t="s">
        <v>459</v>
      </c>
      <c r="F51" s="5" t="s">
        <v>21</v>
      </c>
      <c r="G51" s="5" t="n">
        <v>2</v>
      </c>
      <c r="H51" s="12" t="n">
        <v>0</v>
      </c>
      <c r="I51" s="5" t="str">
        <f aca="false">IF(H51=G51,"ACCEPTED","HELD")</f>
        <v>HELD</v>
      </c>
      <c r="J51" s="5" t="s">
        <v>457</v>
      </c>
      <c r="K51" s="3"/>
      <c r="L51" s="3"/>
    </row>
    <row r="52" customFormat="false" ht="23.85" hidden="false" customHeight="false" outlineLevel="0" collapsed="false">
      <c r="A52" s="5" t="s">
        <v>405</v>
      </c>
      <c r="B52" s="5" t="s">
        <v>401</v>
      </c>
      <c r="C52" s="5" t="s">
        <v>20</v>
      </c>
      <c r="D52" s="5" t="s">
        <v>460</v>
      </c>
      <c r="E52" s="5" t="s">
        <v>461</v>
      </c>
      <c r="F52" s="5" t="s">
        <v>21</v>
      </c>
      <c r="G52" s="5" t="n">
        <v>2</v>
      </c>
      <c r="H52" s="12" t="n">
        <v>0</v>
      </c>
      <c r="I52" s="5" t="str">
        <f aca="false">IF(H52=G52,"ACCEPTED","HELD")</f>
        <v>HELD</v>
      </c>
      <c r="J52" s="5" t="s">
        <v>457</v>
      </c>
      <c r="K52" s="3"/>
      <c r="L52" s="3"/>
    </row>
    <row r="53" customFormat="false" ht="23.85" hidden="false" customHeight="false" outlineLevel="0" collapsed="false">
      <c r="A53" s="5" t="s">
        <v>408</v>
      </c>
      <c r="B53" s="5" t="s">
        <v>406</v>
      </c>
      <c r="C53" s="5" t="s">
        <v>24</v>
      </c>
      <c r="D53" s="5" t="s">
        <v>455</v>
      </c>
      <c r="E53" s="5" t="s">
        <v>456</v>
      </c>
      <c r="F53" s="5" t="s">
        <v>25</v>
      </c>
      <c r="G53" s="5" t="n">
        <v>2</v>
      </c>
      <c r="H53" s="12" t="n">
        <v>0</v>
      </c>
      <c r="I53" s="5" t="str">
        <f aca="false">IF(H53=G53,"ACCEPTED","HELD")</f>
        <v>HELD</v>
      </c>
      <c r="J53" s="5" t="s">
        <v>457</v>
      </c>
      <c r="K53" s="3"/>
      <c r="L53" s="3"/>
    </row>
    <row r="54" customFormat="false" ht="23.85" hidden="false" customHeight="false" outlineLevel="0" collapsed="false">
      <c r="A54" s="5" t="s">
        <v>409</v>
      </c>
      <c r="B54" s="5" t="s">
        <v>406</v>
      </c>
      <c r="C54" s="5" t="s">
        <v>24</v>
      </c>
      <c r="D54" s="5" t="s">
        <v>458</v>
      </c>
      <c r="E54" s="5" t="s">
        <v>459</v>
      </c>
      <c r="F54" s="5" t="s">
        <v>25</v>
      </c>
      <c r="G54" s="5" t="n">
        <v>2</v>
      </c>
      <c r="H54" s="12" t="n">
        <v>0</v>
      </c>
      <c r="I54" s="5" t="str">
        <f aca="false">IF(H54=G54,"ACCEPTED","HELD")</f>
        <v>HELD</v>
      </c>
      <c r="J54" s="5" t="s">
        <v>457</v>
      </c>
      <c r="K54" s="3"/>
      <c r="L54" s="3"/>
    </row>
    <row r="55" customFormat="false" ht="23.85" hidden="false" customHeight="false" outlineLevel="0" collapsed="false">
      <c r="A55" s="5" t="s">
        <v>410</v>
      </c>
      <c r="B55" s="5" t="s">
        <v>406</v>
      </c>
      <c r="C55" s="5" t="s">
        <v>24</v>
      </c>
      <c r="D55" s="5" t="s">
        <v>460</v>
      </c>
      <c r="E55" s="5" t="s">
        <v>461</v>
      </c>
      <c r="F55" s="5" t="s">
        <v>25</v>
      </c>
      <c r="G55" s="5" t="n">
        <v>2</v>
      </c>
      <c r="H55" s="12" t="n">
        <v>0</v>
      </c>
      <c r="I55" s="5" t="str">
        <f aca="false">IF(H55=G55,"ACCEPTED","HELD")</f>
        <v>HELD</v>
      </c>
      <c r="J55" s="5" t="s">
        <v>457</v>
      </c>
      <c r="K55" s="3"/>
      <c r="L55" s="3"/>
    </row>
    <row r="56" customFormat="false" ht="23.85" hidden="false" customHeight="false" outlineLevel="0" collapsed="false">
      <c r="A56" s="5" t="s">
        <v>413</v>
      </c>
      <c r="B56" s="5" t="s">
        <v>411</v>
      </c>
      <c r="C56" s="5" t="s">
        <v>24</v>
      </c>
      <c r="D56" s="5" t="s">
        <v>455</v>
      </c>
      <c r="E56" s="5" t="s">
        <v>456</v>
      </c>
      <c r="F56" s="5" t="s">
        <v>25</v>
      </c>
      <c r="G56" s="5" t="n">
        <v>2</v>
      </c>
      <c r="H56" s="12" t="n">
        <v>0</v>
      </c>
      <c r="I56" s="5" t="str">
        <f aca="false">IF(H56=G56,"ACCEPTED","HELD")</f>
        <v>HELD</v>
      </c>
      <c r="J56" s="5" t="s">
        <v>457</v>
      </c>
      <c r="K56" s="3"/>
      <c r="L56" s="3"/>
    </row>
    <row r="57" customFormat="false" ht="23.85" hidden="false" customHeight="false" outlineLevel="0" collapsed="false">
      <c r="A57" s="5" t="s">
        <v>414</v>
      </c>
      <c r="B57" s="5" t="s">
        <v>411</v>
      </c>
      <c r="C57" s="5" t="s">
        <v>24</v>
      </c>
      <c r="D57" s="5" t="s">
        <v>458</v>
      </c>
      <c r="E57" s="5" t="s">
        <v>459</v>
      </c>
      <c r="F57" s="5" t="s">
        <v>25</v>
      </c>
      <c r="G57" s="5" t="n">
        <v>2</v>
      </c>
      <c r="H57" s="12" t="n">
        <v>0</v>
      </c>
      <c r="I57" s="5" t="str">
        <f aca="false">IF(H57=G57,"ACCEPTED","HELD")</f>
        <v>HELD</v>
      </c>
      <c r="J57" s="5" t="s">
        <v>457</v>
      </c>
      <c r="K57" s="3"/>
      <c r="L57" s="3"/>
    </row>
    <row r="58" customFormat="false" ht="23.85" hidden="false" customHeight="false" outlineLevel="0" collapsed="false">
      <c r="A58" s="5" t="s">
        <v>415</v>
      </c>
      <c r="B58" s="5" t="s">
        <v>411</v>
      </c>
      <c r="C58" s="5" t="s">
        <v>24</v>
      </c>
      <c r="D58" s="5" t="s">
        <v>460</v>
      </c>
      <c r="E58" s="5" t="s">
        <v>461</v>
      </c>
      <c r="F58" s="5" t="s">
        <v>25</v>
      </c>
      <c r="G58" s="5" t="n">
        <v>2</v>
      </c>
      <c r="H58" s="12" t="n">
        <v>0</v>
      </c>
      <c r="I58" s="5" t="str">
        <f aca="false">IF(H58=G58,"ACCEPTED","HELD")</f>
        <v>HELD</v>
      </c>
      <c r="J58" s="5" t="s">
        <v>457</v>
      </c>
      <c r="K58" s="3"/>
      <c r="L58" s="3"/>
    </row>
    <row r="59" customFormat="false" ht="23.85" hidden="false" customHeight="false" outlineLevel="0" collapsed="false">
      <c r="A59" s="5" t="s">
        <v>418</v>
      </c>
      <c r="B59" s="5" t="s">
        <v>416</v>
      </c>
      <c r="C59" s="5" t="s">
        <v>24</v>
      </c>
      <c r="D59" s="5" t="s">
        <v>455</v>
      </c>
      <c r="E59" s="5" t="s">
        <v>456</v>
      </c>
      <c r="F59" s="5" t="s">
        <v>25</v>
      </c>
      <c r="G59" s="5" t="n">
        <v>2</v>
      </c>
      <c r="H59" s="12" t="n">
        <v>0</v>
      </c>
      <c r="I59" s="5" t="str">
        <f aca="false">IF(H59=G59,"ACCEPTED","HELD")</f>
        <v>HELD</v>
      </c>
      <c r="J59" s="5" t="s">
        <v>457</v>
      </c>
      <c r="K59" s="3"/>
      <c r="L59" s="3"/>
    </row>
    <row r="60" customFormat="false" ht="23.85" hidden="false" customHeight="false" outlineLevel="0" collapsed="false">
      <c r="A60" s="5" t="s">
        <v>419</v>
      </c>
      <c r="B60" s="5" t="s">
        <v>416</v>
      </c>
      <c r="C60" s="5" t="s">
        <v>24</v>
      </c>
      <c r="D60" s="5" t="s">
        <v>458</v>
      </c>
      <c r="E60" s="5" t="s">
        <v>459</v>
      </c>
      <c r="F60" s="5" t="s">
        <v>25</v>
      </c>
      <c r="G60" s="5" t="n">
        <v>2</v>
      </c>
      <c r="H60" s="12" t="n">
        <v>0</v>
      </c>
      <c r="I60" s="5" t="str">
        <f aca="false">IF(H60=G60,"ACCEPTED","HELD")</f>
        <v>HELD</v>
      </c>
      <c r="J60" s="5" t="s">
        <v>457</v>
      </c>
      <c r="K60" s="3"/>
      <c r="L60" s="3"/>
    </row>
    <row r="61" customFormat="false" ht="23.85" hidden="false" customHeight="false" outlineLevel="0" collapsed="false">
      <c r="A61" s="5" t="s">
        <v>420</v>
      </c>
      <c r="B61" s="5" t="s">
        <v>416</v>
      </c>
      <c r="C61" s="5" t="s">
        <v>24</v>
      </c>
      <c r="D61" s="5" t="s">
        <v>460</v>
      </c>
      <c r="E61" s="5" t="s">
        <v>461</v>
      </c>
      <c r="F61" s="5" t="s">
        <v>25</v>
      </c>
      <c r="G61" s="5" t="n">
        <v>2</v>
      </c>
      <c r="H61" s="12" t="n">
        <v>0</v>
      </c>
      <c r="I61" s="5" t="str">
        <f aca="false">IF(H61=G61,"ACCEPTED","HELD")</f>
        <v>HELD</v>
      </c>
      <c r="J61" s="5" t="s">
        <v>457</v>
      </c>
      <c r="K61" s="3"/>
      <c r="L61" s="3"/>
    </row>
    <row r="62" customFormat="false" ht="23.85" hidden="false" customHeight="false" outlineLevel="0" collapsed="false">
      <c r="A62" s="5" t="s">
        <v>423</v>
      </c>
      <c r="B62" s="5" t="s">
        <v>421</v>
      </c>
      <c r="C62" s="5" t="s">
        <v>24</v>
      </c>
      <c r="D62" s="5" t="s">
        <v>455</v>
      </c>
      <c r="E62" s="5" t="s">
        <v>456</v>
      </c>
      <c r="F62" s="5" t="s">
        <v>25</v>
      </c>
      <c r="G62" s="5" t="n">
        <v>2</v>
      </c>
      <c r="H62" s="12" t="n">
        <v>0</v>
      </c>
      <c r="I62" s="5" t="str">
        <f aca="false">IF(H62=G62,"ACCEPTED","HELD")</f>
        <v>HELD</v>
      </c>
      <c r="J62" s="5" t="s">
        <v>457</v>
      </c>
      <c r="K62" s="3"/>
      <c r="L62" s="3"/>
    </row>
    <row r="63" customFormat="false" ht="23.85" hidden="false" customHeight="false" outlineLevel="0" collapsed="false">
      <c r="A63" s="5" t="s">
        <v>424</v>
      </c>
      <c r="B63" s="5" t="s">
        <v>421</v>
      </c>
      <c r="C63" s="5" t="s">
        <v>24</v>
      </c>
      <c r="D63" s="5" t="s">
        <v>458</v>
      </c>
      <c r="E63" s="5" t="s">
        <v>459</v>
      </c>
      <c r="F63" s="5" t="s">
        <v>25</v>
      </c>
      <c r="G63" s="5" t="n">
        <v>2</v>
      </c>
      <c r="H63" s="12" t="n">
        <v>0</v>
      </c>
      <c r="I63" s="5" t="str">
        <f aca="false">IF(H63=G63,"ACCEPTED","HELD")</f>
        <v>HELD</v>
      </c>
      <c r="J63" s="5" t="s">
        <v>457</v>
      </c>
      <c r="K63" s="3"/>
      <c r="L63" s="3"/>
    </row>
    <row r="64" customFormat="false" ht="23.85" hidden="false" customHeight="false" outlineLevel="0" collapsed="false">
      <c r="A64" s="5" t="s">
        <v>425</v>
      </c>
      <c r="B64" s="5" t="s">
        <v>421</v>
      </c>
      <c r="C64" s="5" t="s">
        <v>24</v>
      </c>
      <c r="D64" s="5" t="s">
        <v>460</v>
      </c>
      <c r="E64" s="5" t="s">
        <v>461</v>
      </c>
      <c r="F64" s="5" t="s">
        <v>25</v>
      </c>
      <c r="G64" s="5" t="n">
        <v>2</v>
      </c>
      <c r="H64" s="12" t="n">
        <v>0</v>
      </c>
      <c r="I64" s="5" t="str">
        <f aca="false">IF(H64=G64,"ACCEPTED","HELD")</f>
        <v>HELD</v>
      </c>
      <c r="J64" s="5" t="s">
        <v>457</v>
      </c>
      <c r="K64" s="3"/>
      <c r="L64" s="3"/>
    </row>
    <row r="65" customFormat="false" ht="23.85" hidden="false" customHeight="false" outlineLevel="0" collapsed="false">
      <c r="A65" s="5" t="s">
        <v>428</v>
      </c>
      <c r="B65" s="5" t="s">
        <v>426</v>
      </c>
      <c r="C65" s="5" t="s">
        <v>31</v>
      </c>
      <c r="D65" s="5" t="s">
        <v>455</v>
      </c>
      <c r="E65" s="5" t="s">
        <v>456</v>
      </c>
      <c r="F65" s="5" t="s">
        <v>32</v>
      </c>
      <c r="G65" s="5" t="n">
        <v>2</v>
      </c>
      <c r="H65" s="12" t="n">
        <v>0</v>
      </c>
      <c r="I65" s="5" t="str">
        <f aca="false">IF(H65=G65,"ACCEPTED","HELD")</f>
        <v>HELD</v>
      </c>
      <c r="J65" s="5" t="s">
        <v>457</v>
      </c>
      <c r="K65" s="3"/>
      <c r="L65" s="3"/>
    </row>
    <row r="66" customFormat="false" ht="23.85" hidden="false" customHeight="false" outlineLevel="0" collapsed="false">
      <c r="A66" s="5" t="s">
        <v>429</v>
      </c>
      <c r="B66" s="5" t="s">
        <v>426</v>
      </c>
      <c r="C66" s="5" t="s">
        <v>31</v>
      </c>
      <c r="D66" s="5" t="s">
        <v>458</v>
      </c>
      <c r="E66" s="5" t="s">
        <v>459</v>
      </c>
      <c r="F66" s="5" t="s">
        <v>32</v>
      </c>
      <c r="G66" s="5" t="n">
        <v>2</v>
      </c>
      <c r="H66" s="12" t="n">
        <v>0</v>
      </c>
      <c r="I66" s="5" t="str">
        <f aca="false">IF(H66=G66,"ACCEPTED","HELD")</f>
        <v>HELD</v>
      </c>
      <c r="J66" s="5" t="s">
        <v>457</v>
      </c>
      <c r="K66" s="3"/>
      <c r="L66" s="3"/>
    </row>
    <row r="67" customFormat="false" ht="23.85" hidden="false" customHeight="false" outlineLevel="0" collapsed="false">
      <c r="A67" s="5" t="s">
        <v>430</v>
      </c>
      <c r="B67" s="5" t="s">
        <v>426</v>
      </c>
      <c r="C67" s="5" t="s">
        <v>31</v>
      </c>
      <c r="D67" s="5" t="s">
        <v>460</v>
      </c>
      <c r="E67" s="5" t="s">
        <v>461</v>
      </c>
      <c r="F67" s="5" t="s">
        <v>32</v>
      </c>
      <c r="G67" s="5" t="n">
        <v>2</v>
      </c>
      <c r="H67" s="12" t="n">
        <v>0</v>
      </c>
      <c r="I67" s="5" t="str">
        <f aca="false">IF(H67=G67,"ACCEPTED","HELD")</f>
        <v>HELD</v>
      </c>
      <c r="J67" s="5" t="s">
        <v>457</v>
      </c>
      <c r="K67" s="3"/>
      <c r="L67" s="3"/>
    </row>
    <row r="68" customFormat="false" ht="23.85" hidden="false" customHeight="false" outlineLevel="0" collapsed="false">
      <c r="A68" s="5" t="s">
        <v>433</v>
      </c>
      <c r="B68" s="5" t="s">
        <v>431</v>
      </c>
      <c r="C68" s="5" t="s">
        <v>31</v>
      </c>
      <c r="D68" s="5" t="s">
        <v>455</v>
      </c>
      <c r="E68" s="5" t="s">
        <v>456</v>
      </c>
      <c r="F68" s="5" t="s">
        <v>32</v>
      </c>
      <c r="G68" s="5" t="n">
        <v>2</v>
      </c>
      <c r="H68" s="12" t="n">
        <v>0</v>
      </c>
      <c r="I68" s="5" t="str">
        <f aca="false">IF(H68=G68,"ACCEPTED","HELD")</f>
        <v>HELD</v>
      </c>
      <c r="J68" s="5" t="s">
        <v>457</v>
      </c>
      <c r="K68" s="3"/>
      <c r="L68" s="3"/>
    </row>
    <row r="69" customFormat="false" ht="23.85" hidden="false" customHeight="false" outlineLevel="0" collapsed="false">
      <c r="A69" s="5" t="s">
        <v>434</v>
      </c>
      <c r="B69" s="5" t="s">
        <v>431</v>
      </c>
      <c r="C69" s="5" t="s">
        <v>31</v>
      </c>
      <c r="D69" s="5" t="s">
        <v>458</v>
      </c>
      <c r="E69" s="5" t="s">
        <v>459</v>
      </c>
      <c r="F69" s="5" t="s">
        <v>32</v>
      </c>
      <c r="G69" s="5" t="n">
        <v>2</v>
      </c>
      <c r="H69" s="12" t="n">
        <v>0</v>
      </c>
      <c r="I69" s="5" t="str">
        <f aca="false">IF(H69=G69,"ACCEPTED","HELD")</f>
        <v>HELD</v>
      </c>
      <c r="J69" s="5" t="s">
        <v>457</v>
      </c>
      <c r="K69" s="3"/>
      <c r="L69" s="3"/>
    </row>
    <row r="70" customFormat="false" ht="23.85" hidden="false" customHeight="false" outlineLevel="0" collapsed="false">
      <c r="A70" s="5" t="s">
        <v>435</v>
      </c>
      <c r="B70" s="5" t="s">
        <v>431</v>
      </c>
      <c r="C70" s="5" t="s">
        <v>31</v>
      </c>
      <c r="D70" s="5" t="s">
        <v>460</v>
      </c>
      <c r="E70" s="5" t="s">
        <v>461</v>
      </c>
      <c r="F70" s="5" t="s">
        <v>32</v>
      </c>
      <c r="G70" s="5" t="n">
        <v>2</v>
      </c>
      <c r="H70" s="12" t="n">
        <v>0</v>
      </c>
      <c r="I70" s="5" t="str">
        <f aca="false">IF(H70=G70,"ACCEPTED","HELD")</f>
        <v>HELD</v>
      </c>
      <c r="J70" s="5" t="s">
        <v>457</v>
      </c>
      <c r="K70" s="3"/>
      <c r="L70" s="3"/>
    </row>
    <row r="71" customFormat="false" ht="23.85" hidden="false" customHeight="false" outlineLevel="0" collapsed="false">
      <c r="A71" s="5" t="s">
        <v>438</v>
      </c>
      <c r="B71" s="5" t="s">
        <v>436</v>
      </c>
      <c r="C71" s="5" t="s">
        <v>31</v>
      </c>
      <c r="D71" s="5" t="s">
        <v>455</v>
      </c>
      <c r="E71" s="5" t="s">
        <v>456</v>
      </c>
      <c r="F71" s="5" t="s">
        <v>32</v>
      </c>
      <c r="G71" s="5" t="n">
        <v>2</v>
      </c>
      <c r="H71" s="12" t="n">
        <v>0</v>
      </c>
      <c r="I71" s="5" t="str">
        <f aca="false">IF(H71=G71,"ACCEPTED","HELD")</f>
        <v>HELD</v>
      </c>
      <c r="J71" s="5" t="s">
        <v>457</v>
      </c>
      <c r="K71" s="3"/>
      <c r="L71" s="3"/>
    </row>
    <row r="72" customFormat="false" ht="23.85" hidden="false" customHeight="false" outlineLevel="0" collapsed="false">
      <c r="A72" s="5" t="s">
        <v>439</v>
      </c>
      <c r="B72" s="5" t="s">
        <v>436</v>
      </c>
      <c r="C72" s="5" t="s">
        <v>31</v>
      </c>
      <c r="D72" s="5" t="s">
        <v>458</v>
      </c>
      <c r="E72" s="5" t="s">
        <v>459</v>
      </c>
      <c r="F72" s="5" t="s">
        <v>32</v>
      </c>
      <c r="G72" s="5" t="n">
        <v>2</v>
      </c>
      <c r="H72" s="12" t="n">
        <v>0</v>
      </c>
      <c r="I72" s="5" t="str">
        <f aca="false">IF(H72=G72,"ACCEPTED","HELD")</f>
        <v>HELD</v>
      </c>
      <c r="J72" s="5" t="s">
        <v>457</v>
      </c>
      <c r="K72" s="3"/>
      <c r="L72" s="3"/>
    </row>
    <row r="73" customFormat="false" ht="23.85" hidden="false" customHeight="false" outlineLevel="0" collapsed="false">
      <c r="A73" s="5" t="s">
        <v>440</v>
      </c>
      <c r="B73" s="5" t="s">
        <v>436</v>
      </c>
      <c r="C73" s="5" t="s">
        <v>31</v>
      </c>
      <c r="D73" s="5" t="s">
        <v>460</v>
      </c>
      <c r="E73" s="5" t="s">
        <v>461</v>
      </c>
      <c r="F73" s="5" t="s">
        <v>32</v>
      </c>
      <c r="G73" s="5" t="n">
        <v>2</v>
      </c>
      <c r="H73" s="12" t="n">
        <v>0</v>
      </c>
      <c r="I73" s="5" t="str">
        <f aca="false">IF(H73=G73,"ACCEPTED","HELD")</f>
        <v>HELD</v>
      </c>
      <c r="J73" s="5" t="s">
        <v>457</v>
      </c>
      <c r="K73" s="3"/>
      <c r="L73" s="3"/>
    </row>
    <row r="74" customFormat="false" ht="23.85" hidden="false" customHeight="false" outlineLevel="0" collapsed="false">
      <c r="A74" s="5" t="s">
        <v>443</v>
      </c>
      <c r="B74" s="5" t="s">
        <v>441</v>
      </c>
      <c r="C74" s="5" t="s">
        <v>31</v>
      </c>
      <c r="D74" s="5" t="s">
        <v>455</v>
      </c>
      <c r="E74" s="5" t="s">
        <v>456</v>
      </c>
      <c r="F74" s="5" t="s">
        <v>32</v>
      </c>
      <c r="G74" s="5" t="n">
        <v>2</v>
      </c>
      <c r="H74" s="12" t="n">
        <v>0</v>
      </c>
      <c r="I74" s="5" t="str">
        <f aca="false">IF(H74=G74,"ACCEPTED","HELD")</f>
        <v>HELD</v>
      </c>
      <c r="J74" s="5" t="s">
        <v>457</v>
      </c>
      <c r="K74" s="3"/>
      <c r="L74" s="3"/>
    </row>
    <row r="75" customFormat="false" ht="23.85" hidden="false" customHeight="false" outlineLevel="0" collapsed="false">
      <c r="A75" s="5" t="s">
        <v>444</v>
      </c>
      <c r="B75" s="5" t="s">
        <v>441</v>
      </c>
      <c r="C75" s="5" t="s">
        <v>31</v>
      </c>
      <c r="D75" s="5" t="s">
        <v>458</v>
      </c>
      <c r="E75" s="5" t="s">
        <v>459</v>
      </c>
      <c r="F75" s="5" t="s">
        <v>32</v>
      </c>
      <c r="G75" s="5" t="n">
        <v>2</v>
      </c>
      <c r="H75" s="12" t="n">
        <v>0</v>
      </c>
      <c r="I75" s="5" t="str">
        <f aca="false">IF(H75=G75,"ACCEPTED","HELD")</f>
        <v>HELD</v>
      </c>
      <c r="J75" s="5" t="s">
        <v>457</v>
      </c>
      <c r="K75" s="3"/>
      <c r="L75" s="3"/>
    </row>
    <row r="76" customFormat="false" ht="23.85" hidden="false" customHeight="false" outlineLevel="0" collapsed="false">
      <c r="A76" s="5" t="s">
        <v>445</v>
      </c>
      <c r="B76" s="5" t="s">
        <v>441</v>
      </c>
      <c r="C76" s="5" t="s">
        <v>31</v>
      </c>
      <c r="D76" s="5" t="s">
        <v>460</v>
      </c>
      <c r="E76" s="5" t="s">
        <v>461</v>
      </c>
      <c r="F76" s="5" t="s">
        <v>32</v>
      </c>
      <c r="G76" s="5" t="n">
        <v>2</v>
      </c>
      <c r="H76" s="12" t="n">
        <v>0</v>
      </c>
      <c r="I76" s="5" t="str">
        <f aca="false">IF(H76=G76,"ACCEPTED","HELD")</f>
        <v>HELD</v>
      </c>
      <c r="J76" s="5" t="s">
        <v>457</v>
      </c>
      <c r="K76" s="3"/>
      <c r="L76" s="3"/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11"/>
    <col collapsed="false" customWidth="true" hidden="false" outlineLevel="0" max="2" min="2" style="0" width="12.78"/>
    <col collapsed="false" customWidth="true" hidden="false" outlineLevel="0" max="3" min="3" style="0" width="7.78"/>
    <col collapsed="false" customWidth="true" hidden="false" outlineLevel="0" max="4" min="4" style="0" width="7.22"/>
    <col collapsed="false" customWidth="true" hidden="false" outlineLevel="0" max="5" min="5" style="0" width="30"/>
    <col collapsed="false" customWidth="true" hidden="false" outlineLevel="0" max="6" min="6" style="0" width="33.33"/>
    <col collapsed="false" customWidth="true" hidden="false" outlineLevel="0" max="7" min="7" style="0" width="10.56"/>
    <col collapsed="false" customWidth="true" hidden="false" outlineLevel="0" max="9" min="8" style="0" width="11.67"/>
    <col collapsed="false" customWidth="true" hidden="false" outlineLevel="0" max="10" min="10" style="0" width="7.78"/>
    <col collapsed="false" customWidth="true" hidden="false" outlineLevel="0" max="11" min="11" style="0" width="16.11"/>
    <col collapsed="false" customWidth="true" hidden="false" outlineLevel="0" max="12" min="12" style="0" width="10"/>
  </cols>
  <sheetData>
    <row r="1" customFormat="false" ht="26" hidden="false" customHeight="true" outlineLevel="0" collapsed="false">
      <c r="A1" s="1" t="s">
        <v>462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463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464</v>
      </c>
      <c r="B4" s="6" t="s">
        <v>448</v>
      </c>
      <c r="C4" s="6" t="s">
        <v>185</v>
      </c>
      <c r="D4" s="6" t="s">
        <v>465</v>
      </c>
      <c r="E4" s="6" t="s">
        <v>466</v>
      </c>
      <c r="F4" s="6" t="s">
        <v>467</v>
      </c>
      <c r="G4" s="6" t="s">
        <v>468</v>
      </c>
      <c r="H4" s="6" t="s">
        <v>469</v>
      </c>
      <c r="I4" s="6" t="s">
        <v>470</v>
      </c>
      <c r="J4" s="6" t="s">
        <v>471</v>
      </c>
      <c r="K4" s="6" t="s">
        <v>453</v>
      </c>
      <c r="L4" s="6" t="s">
        <v>472</v>
      </c>
    </row>
    <row r="5" customFormat="false" ht="35.05" hidden="false" customHeight="false" outlineLevel="0" collapsed="false">
      <c r="A5" s="5" t="s">
        <v>473</v>
      </c>
      <c r="B5" s="5" t="s">
        <v>328</v>
      </c>
      <c r="C5" s="5" t="s">
        <v>7</v>
      </c>
      <c r="D5" s="5" t="s">
        <v>474</v>
      </c>
      <c r="E5" s="5" t="s">
        <v>475</v>
      </c>
      <c r="F5" s="5" t="s">
        <v>476</v>
      </c>
      <c r="G5" s="7" t="n">
        <f aca="false">1.8/144</f>
        <v>0.0125</v>
      </c>
      <c r="H5" s="5" t="s">
        <v>296</v>
      </c>
      <c r="I5" s="5" t="s">
        <v>296</v>
      </c>
      <c r="J5" s="12" t="n">
        <v>0</v>
      </c>
      <c r="K5" s="5" t="str">
        <f aca="false">IF(J5=1,"ACCEPTED","WARRANT-CONSTITUTED")</f>
        <v>WARRANT-CONSTITUTED</v>
      </c>
      <c r="L5" s="5" t="n">
        <v>0</v>
      </c>
    </row>
    <row r="6" customFormat="false" ht="35.05" hidden="false" customHeight="false" outlineLevel="0" collapsed="false">
      <c r="A6" s="5" t="s">
        <v>477</v>
      </c>
      <c r="B6" s="5" t="s">
        <v>328</v>
      </c>
      <c r="C6" s="5" t="s">
        <v>7</v>
      </c>
      <c r="D6" s="5" t="s">
        <v>478</v>
      </c>
      <c r="E6" s="5" t="s">
        <v>479</v>
      </c>
      <c r="F6" s="5" t="s">
        <v>476</v>
      </c>
      <c r="G6" s="7" t="n">
        <f aca="false">1.8/144</f>
        <v>0.0125</v>
      </c>
      <c r="H6" s="5" t="s">
        <v>296</v>
      </c>
      <c r="I6" s="5" t="s">
        <v>296</v>
      </c>
      <c r="J6" s="12" t="n">
        <v>0</v>
      </c>
      <c r="K6" s="5" t="str">
        <f aca="false">IF(J6=1,"ACCEPTED","WARRANT-CONSTITUTED")</f>
        <v>WARRANT-CONSTITUTED</v>
      </c>
      <c r="L6" s="5" t="n">
        <v>0</v>
      </c>
    </row>
    <row r="7" customFormat="false" ht="35.05" hidden="false" customHeight="false" outlineLevel="0" collapsed="false">
      <c r="A7" s="5" t="s">
        <v>480</v>
      </c>
      <c r="B7" s="5" t="s">
        <v>329</v>
      </c>
      <c r="C7" s="5" t="s">
        <v>7</v>
      </c>
      <c r="D7" s="5" t="s">
        <v>474</v>
      </c>
      <c r="E7" s="5" t="s">
        <v>475</v>
      </c>
      <c r="F7" s="5" t="s">
        <v>476</v>
      </c>
      <c r="G7" s="7" t="n">
        <f aca="false">1.8/144</f>
        <v>0.0125</v>
      </c>
      <c r="H7" s="5" t="s">
        <v>296</v>
      </c>
      <c r="I7" s="5" t="s">
        <v>296</v>
      </c>
      <c r="J7" s="12" t="n">
        <v>0</v>
      </c>
      <c r="K7" s="5" t="str">
        <f aca="false">IF(J7=1,"ACCEPTED","WARRANT-CONSTITUTED")</f>
        <v>WARRANT-CONSTITUTED</v>
      </c>
      <c r="L7" s="5" t="n">
        <v>0</v>
      </c>
    </row>
    <row r="8" customFormat="false" ht="35.05" hidden="false" customHeight="false" outlineLevel="0" collapsed="false">
      <c r="A8" s="5" t="s">
        <v>481</v>
      </c>
      <c r="B8" s="5" t="s">
        <v>329</v>
      </c>
      <c r="C8" s="5" t="s">
        <v>7</v>
      </c>
      <c r="D8" s="5" t="s">
        <v>478</v>
      </c>
      <c r="E8" s="5" t="s">
        <v>479</v>
      </c>
      <c r="F8" s="5" t="s">
        <v>476</v>
      </c>
      <c r="G8" s="7" t="n">
        <f aca="false">1.8/144</f>
        <v>0.0125</v>
      </c>
      <c r="H8" s="5" t="s">
        <v>296</v>
      </c>
      <c r="I8" s="5" t="s">
        <v>296</v>
      </c>
      <c r="J8" s="12" t="n">
        <v>0</v>
      </c>
      <c r="K8" s="5" t="str">
        <f aca="false">IF(J8=1,"ACCEPTED","WARRANT-CONSTITUTED")</f>
        <v>WARRANT-CONSTITUTED</v>
      </c>
      <c r="L8" s="5" t="n">
        <v>0</v>
      </c>
    </row>
    <row r="9" customFormat="false" ht="35.05" hidden="false" customHeight="false" outlineLevel="0" collapsed="false">
      <c r="A9" s="5" t="s">
        <v>482</v>
      </c>
      <c r="B9" s="5" t="s">
        <v>330</v>
      </c>
      <c r="C9" s="5" t="s">
        <v>7</v>
      </c>
      <c r="D9" s="5" t="s">
        <v>474</v>
      </c>
      <c r="E9" s="5" t="s">
        <v>475</v>
      </c>
      <c r="F9" s="5" t="s">
        <v>476</v>
      </c>
      <c r="G9" s="7" t="n">
        <f aca="false">1.8/144</f>
        <v>0.0125</v>
      </c>
      <c r="H9" s="5" t="s">
        <v>296</v>
      </c>
      <c r="I9" s="5" t="s">
        <v>296</v>
      </c>
      <c r="J9" s="12" t="n">
        <v>0</v>
      </c>
      <c r="K9" s="5" t="str">
        <f aca="false">IF(J9=1,"ACCEPTED","WARRANT-CONSTITUTED")</f>
        <v>WARRANT-CONSTITUTED</v>
      </c>
      <c r="L9" s="5" t="n">
        <v>0</v>
      </c>
    </row>
    <row r="10" customFormat="false" ht="35.05" hidden="false" customHeight="false" outlineLevel="0" collapsed="false">
      <c r="A10" s="5" t="s">
        <v>483</v>
      </c>
      <c r="B10" s="5" t="s">
        <v>330</v>
      </c>
      <c r="C10" s="5" t="s">
        <v>7</v>
      </c>
      <c r="D10" s="5" t="s">
        <v>478</v>
      </c>
      <c r="E10" s="5" t="s">
        <v>479</v>
      </c>
      <c r="F10" s="5" t="s">
        <v>476</v>
      </c>
      <c r="G10" s="7" t="n">
        <f aca="false">1.8/144</f>
        <v>0.0125</v>
      </c>
      <c r="H10" s="5" t="s">
        <v>296</v>
      </c>
      <c r="I10" s="5" t="s">
        <v>296</v>
      </c>
      <c r="J10" s="12" t="n">
        <v>0</v>
      </c>
      <c r="K10" s="5" t="str">
        <f aca="false">IF(J10=1,"ACCEPTED","WARRANT-CONSTITUTED")</f>
        <v>WARRANT-CONSTITUTED</v>
      </c>
      <c r="L10" s="5" t="n">
        <v>0</v>
      </c>
    </row>
    <row r="11" customFormat="false" ht="35.05" hidden="false" customHeight="false" outlineLevel="0" collapsed="false">
      <c r="A11" s="5" t="s">
        <v>484</v>
      </c>
      <c r="B11" s="5" t="s">
        <v>333</v>
      </c>
      <c r="C11" s="5" t="s">
        <v>7</v>
      </c>
      <c r="D11" s="5" t="s">
        <v>474</v>
      </c>
      <c r="E11" s="5" t="s">
        <v>475</v>
      </c>
      <c r="F11" s="5" t="s">
        <v>476</v>
      </c>
      <c r="G11" s="7" t="n">
        <f aca="false">1.8/144</f>
        <v>0.0125</v>
      </c>
      <c r="H11" s="5" t="s">
        <v>296</v>
      </c>
      <c r="I11" s="5" t="s">
        <v>296</v>
      </c>
      <c r="J11" s="12" t="n">
        <v>0</v>
      </c>
      <c r="K11" s="5" t="str">
        <f aca="false">IF(J11=1,"ACCEPTED","WARRANT-CONSTITUTED")</f>
        <v>WARRANT-CONSTITUTED</v>
      </c>
      <c r="L11" s="5" t="n">
        <v>0</v>
      </c>
    </row>
    <row r="12" customFormat="false" ht="35.05" hidden="false" customHeight="false" outlineLevel="0" collapsed="false">
      <c r="A12" s="5" t="s">
        <v>485</v>
      </c>
      <c r="B12" s="5" t="s">
        <v>333</v>
      </c>
      <c r="C12" s="5" t="s">
        <v>7</v>
      </c>
      <c r="D12" s="5" t="s">
        <v>478</v>
      </c>
      <c r="E12" s="5" t="s">
        <v>479</v>
      </c>
      <c r="F12" s="5" t="s">
        <v>476</v>
      </c>
      <c r="G12" s="7" t="n">
        <f aca="false">1.8/144</f>
        <v>0.0125</v>
      </c>
      <c r="H12" s="5" t="s">
        <v>296</v>
      </c>
      <c r="I12" s="5" t="s">
        <v>296</v>
      </c>
      <c r="J12" s="12" t="n">
        <v>0</v>
      </c>
      <c r="K12" s="5" t="str">
        <f aca="false">IF(J12=1,"ACCEPTED","WARRANT-CONSTITUTED")</f>
        <v>WARRANT-CONSTITUTED</v>
      </c>
      <c r="L12" s="5" t="n">
        <v>0</v>
      </c>
    </row>
    <row r="13" customFormat="false" ht="35.05" hidden="false" customHeight="false" outlineLevel="0" collapsed="false">
      <c r="A13" s="5" t="s">
        <v>486</v>
      </c>
      <c r="B13" s="5" t="s">
        <v>334</v>
      </c>
      <c r="C13" s="5" t="s">
        <v>7</v>
      </c>
      <c r="D13" s="5" t="s">
        <v>474</v>
      </c>
      <c r="E13" s="5" t="s">
        <v>475</v>
      </c>
      <c r="F13" s="5" t="s">
        <v>476</v>
      </c>
      <c r="G13" s="7" t="n">
        <f aca="false">1.8/144</f>
        <v>0.0125</v>
      </c>
      <c r="H13" s="5" t="s">
        <v>296</v>
      </c>
      <c r="I13" s="5" t="s">
        <v>296</v>
      </c>
      <c r="J13" s="12" t="n">
        <v>0</v>
      </c>
      <c r="K13" s="5" t="str">
        <f aca="false">IF(J13=1,"ACCEPTED","WARRANT-CONSTITUTED")</f>
        <v>WARRANT-CONSTITUTED</v>
      </c>
      <c r="L13" s="5" t="n">
        <v>0</v>
      </c>
    </row>
    <row r="14" customFormat="false" ht="35.05" hidden="false" customHeight="false" outlineLevel="0" collapsed="false">
      <c r="A14" s="5" t="s">
        <v>487</v>
      </c>
      <c r="B14" s="5" t="s">
        <v>334</v>
      </c>
      <c r="C14" s="5" t="s">
        <v>7</v>
      </c>
      <c r="D14" s="5" t="s">
        <v>478</v>
      </c>
      <c r="E14" s="5" t="s">
        <v>479</v>
      </c>
      <c r="F14" s="5" t="s">
        <v>476</v>
      </c>
      <c r="G14" s="7" t="n">
        <f aca="false">1.8/144</f>
        <v>0.0125</v>
      </c>
      <c r="H14" s="5" t="s">
        <v>296</v>
      </c>
      <c r="I14" s="5" t="s">
        <v>296</v>
      </c>
      <c r="J14" s="12" t="n">
        <v>0</v>
      </c>
      <c r="K14" s="5" t="str">
        <f aca="false">IF(J14=1,"ACCEPTED","WARRANT-CONSTITUTED")</f>
        <v>WARRANT-CONSTITUTED</v>
      </c>
      <c r="L14" s="5" t="n">
        <v>0</v>
      </c>
    </row>
    <row r="15" customFormat="false" ht="35.05" hidden="false" customHeight="false" outlineLevel="0" collapsed="false">
      <c r="A15" s="5" t="s">
        <v>488</v>
      </c>
      <c r="B15" s="5" t="s">
        <v>335</v>
      </c>
      <c r="C15" s="5" t="s">
        <v>7</v>
      </c>
      <c r="D15" s="5" t="s">
        <v>474</v>
      </c>
      <c r="E15" s="5" t="s">
        <v>475</v>
      </c>
      <c r="F15" s="5" t="s">
        <v>476</v>
      </c>
      <c r="G15" s="7" t="n">
        <f aca="false">1.8/144</f>
        <v>0.0125</v>
      </c>
      <c r="H15" s="5" t="s">
        <v>296</v>
      </c>
      <c r="I15" s="5" t="s">
        <v>296</v>
      </c>
      <c r="J15" s="12" t="n">
        <v>0</v>
      </c>
      <c r="K15" s="5" t="str">
        <f aca="false">IF(J15=1,"ACCEPTED","WARRANT-CONSTITUTED")</f>
        <v>WARRANT-CONSTITUTED</v>
      </c>
      <c r="L15" s="5" t="n">
        <v>0</v>
      </c>
    </row>
    <row r="16" customFormat="false" ht="35.05" hidden="false" customHeight="false" outlineLevel="0" collapsed="false">
      <c r="A16" s="5" t="s">
        <v>489</v>
      </c>
      <c r="B16" s="5" t="s">
        <v>335</v>
      </c>
      <c r="C16" s="5" t="s">
        <v>7</v>
      </c>
      <c r="D16" s="5" t="s">
        <v>478</v>
      </c>
      <c r="E16" s="5" t="s">
        <v>479</v>
      </c>
      <c r="F16" s="5" t="s">
        <v>476</v>
      </c>
      <c r="G16" s="7" t="n">
        <f aca="false">1.8/144</f>
        <v>0.0125</v>
      </c>
      <c r="H16" s="5" t="s">
        <v>296</v>
      </c>
      <c r="I16" s="5" t="s">
        <v>296</v>
      </c>
      <c r="J16" s="12" t="n">
        <v>0</v>
      </c>
      <c r="K16" s="5" t="str">
        <f aca="false">IF(J16=1,"ACCEPTED","WARRANT-CONSTITUTED")</f>
        <v>WARRANT-CONSTITUTED</v>
      </c>
      <c r="L16" s="5" t="n">
        <v>0</v>
      </c>
    </row>
    <row r="17" customFormat="false" ht="35.05" hidden="false" customHeight="false" outlineLevel="0" collapsed="false">
      <c r="A17" s="5" t="s">
        <v>490</v>
      </c>
      <c r="B17" s="5" t="s">
        <v>338</v>
      </c>
      <c r="C17" s="5" t="s">
        <v>7</v>
      </c>
      <c r="D17" s="5" t="s">
        <v>474</v>
      </c>
      <c r="E17" s="5" t="s">
        <v>475</v>
      </c>
      <c r="F17" s="5" t="s">
        <v>476</v>
      </c>
      <c r="G17" s="7" t="n">
        <f aca="false">1.8/144</f>
        <v>0.0125</v>
      </c>
      <c r="H17" s="5" t="s">
        <v>296</v>
      </c>
      <c r="I17" s="5" t="s">
        <v>296</v>
      </c>
      <c r="J17" s="12" t="n">
        <v>0</v>
      </c>
      <c r="K17" s="5" t="str">
        <f aca="false">IF(J17=1,"ACCEPTED","WARRANT-CONSTITUTED")</f>
        <v>WARRANT-CONSTITUTED</v>
      </c>
      <c r="L17" s="5" t="n">
        <v>0</v>
      </c>
    </row>
    <row r="18" customFormat="false" ht="35.05" hidden="false" customHeight="false" outlineLevel="0" collapsed="false">
      <c r="A18" s="5" t="s">
        <v>491</v>
      </c>
      <c r="B18" s="5" t="s">
        <v>338</v>
      </c>
      <c r="C18" s="5" t="s">
        <v>7</v>
      </c>
      <c r="D18" s="5" t="s">
        <v>478</v>
      </c>
      <c r="E18" s="5" t="s">
        <v>479</v>
      </c>
      <c r="F18" s="5" t="s">
        <v>476</v>
      </c>
      <c r="G18" s="7" t="n">
        <f aca="false">1.8/144</f>
        <v>0.0125</v>
      </c>
      <c r="H18" s="5" t="s">
        <v>296</v>
      </c>
      <c r="I18" s="5" t="s">
        <v>296</v>
      </c>
      <c r="J18" s="12" t="n">
        <v>0</v>
      </c>
      <c r="K18" s="5" t="str">
        <f aca="false">IF(J18=1,"ACCEPTED","WARRANT-CONSTITUTED")</f>
        <v>WARRANT-CONSTITUTED</v>
      </c>
      <c r="L18" s="5" t="n">
        <v>0</v>
      </c>
    </row>
    <row r="19" customFormat="false" ht="35.05" hidden="false" customHeight="false" outlineLevel="0" collapsed="false">
      <c r="A19" s="5" t="s">
        <v>492</v>
      </c>
      <c r="B19" s="5" t="s">
        <v>339</v>
      </c>
      <c r="C19" s="5" t="s">
        <v>7</v>
      </c>
      <c r="D19" s="5" t="s">
        <v>474</v>
      </c>
      <c r="E19" s="5" t="s">
        <v>475</v>
      </c>
      <c r="F19" s="5" t="s">
        <v>476</v>
      </c>
      <c r="G19" s="7" t="n">
        <f aca="false">1.8/144</f>
        <v>0.0125</v>
      </c>
      <c r="H19" s="5" t="s">
        <v>296</v>
      </c>
      <c r="I19" s="5" t="s">
        <v>296</v>
      </c>
      <c r="J19" s="12" t="n">
        <v>0</v>
      </c>
      <c r="K19" s="5" t="str">
        <f aca="false">IF(J19=1,"ACCEPTED","WARRANT-CONSTITUTED")</f>
        <v>WARRANT-CONSTITUTED</v>
      </c>
      <c r="L19" s="5" t="n">
        <v>0</v>
      </c>
    </row>
    <row r="20" customFormat="false" ht="35.05" hidden="false" customHeight="false" outlineLevel="0" collapsed="false">
      <c r="A20" s="5" t="s">
        <v>493</v>
      </c>
      <c r="B20" s="5" t="s">
        <v>339</v>
      </c>
      <c r="C20" s="5" t="s">
        <v>7</v>
      </c>
      <c r="D20" s="5" t="s">
        <v>478</v>
      </c>
      <c r="E20" s="5" t="s">
        <v>479</v>
      </c>
      <c r="F20" s="5" t="s">
        <v>476</v>
      </c>
      <c r="G20" s="7" t="n">
        <f aca="false">1.8/144</f>
        <v>0.0125</v>
      </c>
      <c r="H20" s="5" t="s">
        <v>296</v>
      </c>
      <c r="I20" s="5" t="s">
        <v>296</v>
      </c>
      <c r="J20" s="12" t="n">
        <v>0</v>
      </c>
      <c r="K20" s="5" t="str">
        <f aca="false">IF(J20=1,"ACCEPTED","WARRANT-CONSTITUTED")</f>
        <v>WARRANT-CONSTITUTED</v>
      </c>
      <c r="L20" s="5" t="n">
        <v>0</v>
      </c>
    </row>
    <row r="21" customFormat="false" ht="35.05" hidden="false" customHeight="false" outlineLevel="0" collapsed="false">
      <c r="A21" s="5" t="s">
        <v>494</v>
      </c>
      <c r="B21" s="5" t="s">
        <v>340</v>
      </c>
      <c r="C21" s="5" t="s">
        <v>7</v>
      </c>
      <c r="D21" s="5" t="s">
        <v>474</v>
      </c>
      <c r="E21" s="5" t="s">
        <v>475</v>
      </c>
      <c r="F21" s="5" t="s">
        <v>476</v>
      </c>
      <c r="G21" s="7" t="n">
        <f aca="false">1.8/144</f>
        <v>0.0125</v>
      </c>
      <c r="H21" s="5" t="s">
        <v>296</v>
      </c>
      <c r="I21" s="5" t="s">
        <v>296</v>
      </c>
      <c r="J21" s="12" t="n">
        <v>0</v>
      </c>
      <c r="K21" s="5" t="str">
        <f aca="false">IF(J21=1,"ACCEPTED","WARRANT-CONSTITUTED")</f>
        <v>WARRANT-CONSTITUTED</v>
      </c>
      <c r="L21" s="5" t="n">
        <v>0</v>
      </c>
    </row>
    <row r="22" customFormat="false" ht="35.05" hidden="false" customHeight="false" outlineLevel="0" collapsed="false">
      <c r="A22" s="5" t="s">
        <v>495</v>
      </c>
      <c r="B22" s="5" t="s">
        <v>340</v>
      </c>
      <c r="C22" s="5" t="s">
        <v>7</v>
      </c>
      <c r="D22" s="5" t="s">
        <v>478</v>
      </c>
      <c r="E22" s="5" t="s">
        <v>479</v>
      </c>
      <c r="F22" s="5" t="s">
        <v>476</v>
      </c>
      <c r="G22" s="7" t="n">
        <f aca="false">1.8/144</f>
        <v>0.0125</v>
      </c>
      <c r="H22" s="5" t="s">
        <v>296</v>
      </c>
      <c r="I22" s="5" t="s">
        <v>296</v>
      </c>
      <c r="J22" s="12" t="n">
        <v>0</v>
      </c>
      <c r="K22" s="5" t="str">
        <f aca="false">IF(J22=1,"ACCEPTED","WARRANT-CONSTITUTED")</f>
        <v>WARRANT-CONSTITUTED</v>
      </c>
      <c r="L22" s="5" t="n">
        <v>0</v>
      </c>
    </row>
    <row r="23" customFormat="false" ht="35.05" hidden="false" customHeight="false" outlineLevel="0" collapsed="false">
      <c r="A23" s="5" t="s">
        <v>496</v>
      </c>
      <c r="B23" s="5" t="s">
        <v>343</v>
      </c>
      <c r="C23" s="5" t="s">
        <v>7</v>
      </c>
      <c r="D23" s="5" t="s">
        <v>474</v>
      </c>
      <c r="E23" s="5" t="s">
        <v>475</v>
      </c>
      <c r="F23" s="5" t="s">
        <v>476</v>
      </c>
      <c r="G23" s="7" t="n">
        <f aca="false">1.8/144</f>
        <v>0.0125</v>
      </c>
      <c r="H23" s="5" t="s">
        <v>296</v>
      </c>
      <c r="I23" s="5" t="s">
        <v>296</v>
      </c>
      <c r="J23" s="12" t="n">
        <v>0</v>
      </c>
      <c r="K23" s="5" t="str">
        <f aca="false">IF(J23=1,"ACCEPTED","WARRANT-CONSTITUTED")</f>
        <v>WARRANT-CONSTITUTED</v>
      </c>
      <c r="L23" s="5" t="n">
        <v>0</v>
      </c>
    </row>
    <row r="24" customFormat="false" ht="35.05" hidden="false" customHeight="false" outlineLevel="0" collapsed="false">
      <c r="A24" s="5" t="s">
        <v>497</v>
      </c>
      <c r="B24" s="5" t="s">
        <v>343</v>
      </c>
      <c r="C24" s="5" t="s">
        <v>7</v>
      </c>
      <c r="D24" s="5" t="s">
        <v>478</v>
      </c>
      <c r="E24" s="5" t="s">
        <v>479</v>
      </c>
      <c r="F24" s="5" t="s">
        <v>476</v>
      </c>
      <c r="G24" s="7" t="n">
        <f aca="false">1.8/144</f>
        <v>0.0125</v>
      </c>
      <c r="H24" s="5" t="s">
        <v>296</v>
      </c>
      <c r="I24" s="5" t="s">
        <v>296</v>
      </c>
      <c r="J24" s="12" t="n">
        <v>0</v>
      </c>
      <c r="K24" s="5" t="str">
        <f aca="false">IF(J24=1,"ACCEPTED","WARRANT-CONSTITUTED")</f>
        <v>WARRANT-CONSTITUTED</v>
      </c>
      <c r="L24" s="5" t="n">
        <v>0</v>
      </c>
    </row>
    <row r="25" customFormat="false" ht="35.05" hidden="false" customHeight="false" outlineLevel="0" collapsed="false">
      <c r="A25" s="5" t="s">
        <v>498</v>
      </c>
      <c r="B25" s="5" t="s">
        <v>344</v>
      </c>
      <c r="C25" s="5" t="s">
        <v>7</v>
      </c>
      <c r="D25" s="5" t="s">
        <v>474</v>
      </c>
      <c r="E25" s="5" t="s">
        <v>475</v>
      </c>
      <c r="F25" s="5" t="s">
        <v>476</v>
      </c>
      <c r="G25" s="7" t="n">
        <f aca="false">1.8/144</f>
        <v>0.0125</v>
      </c>
      <c r="H25" s="5" t="s">
        <v>296</v>
      </c>
      <c r="I25" s="5" t="s">
        <v>296</v>
      </c>
      <c r="J25" s="12" t="n">
        <v>0</v>
      </c>
      <c r="K25" s="5" t="str">
        <f aca="false">IF(J25=1,"ACCEPTED","WARRANT-CONSTITUTED")</f>
        <v>WARRANT-CONSTITUTED</v>
      </c>
      <c r="L25" s="5" t="n">
        <v>0</v>
      </c>
    </row>
    <row r="26" customFormat="false" ht="35.05" hidden="false" customHeight="false" outlineLevel="0" collapsed="false">
      <c r="A26" s="5" t="s">
        <v>499</v>
      </c>
      <c r="B26" s="5" t="s">
        <v>344</v>
      </c>
      <c r="C26" s="5" t="s">
        <v>7</v>
      </c>
      <c r="D26" s="5" t="s">
        <v>478</v>
      </c>
      <c r="E26" s="5" t="s">
        <v>479</v>
      </c>
      <c r="F26" s="5" t="s">
        <v>476</v>
      </c>
      <c r="G26" s="7" t="n">
        <f aca="false">1.8/144</f>
        <v>0.0125</v>
      </c>
      <c r="H26" s="5" t="s">
        <v>296</v>
      </c>
      <c r="I26" s="5" t="s">
        <v>296</v>
      </c>
      <c r="J26" s="12" t="n">
        <v>0</v>
      </c>
      <c r="K26" s="5" t="str">
        <f aca="false">IF(J26=1,"ACCEPTED","WARRANT-CONSTITUTED")</f>
        <v>WARRANT-CONSTITUTED</v>
      </c>
      <c r="L26" s="5" t="n">
        <v>0</v>
      </c>
    </row>
    <row r="27" customFormat="false" ht="35.05" hidden="false" customHeight="false" outlineLevel="0" collapsed="false">
      <c r="A27" s="5" t="s">
        <v>500</v>
      </c>
      <c r="B27" s="5" t="s">
        <v>345</v>
      </c>
      <c r="C27" s="5" t="s">
        <v>7</v>
      </c>
      <c r="D27" s="5" t="s">
        <v>474</v>
      </c>
      <c r="E27" s="5" t="s">
        <v>475</v>
      </c>
      <c r="F27" s="5" t="s">
        <v>476</v>
      </c>
      <c r="G27" s="7" t="n">
        <f aca="false">1.8/144</f>
        <v>0.0125</v>
      </c>
      <c r="H27" s="5" t="s">
        <v>296</v>
      </c>
      <c r="I27" s="5" t="s">
        <v>296</v>
      </c>
      <c r="J27" s="12" t="n">
        <v>0</v>
      </c>
      <c r="K27" s="5" t="str">
        <f aca="false">IF(J27=1,"ACCEPTED","WARRANT-CONSTITUTED")</f>
        <v>WARRANT-CONSTITUTED</v>
      </c>
      <c r="L27" s="5" t="n">
        <v>0</v>
      </c>
    </row>
    <row r="28" customFormat="false" ht="35.05" hidden="false" customHeight="false" outlineLevel="0" collapsed="false">
      <c r="A28" s="5" t="s">
        <v>501</v>
      </c>
      <c r="B28" s="5" t="s">
        <v>345</v>
      </c>
      <c r="C28" s="5" t="s">
        <v>7</v>
      </c>
      <c r="D28" s="5" t="s">
        <v>478</v>
      </c>
      <c r="E28" s="5" t="s">
        <v>479</v>
      </c>
      <c r="F28" s="5" t="s">
        <v>476</v>
      </c>
      <c r="G28" s="7" t="n">
        <f aca="false">1.8/144</f>
        <v>0.0125</v>
      </c>
      <c r="H28" s="5" t="s">
        <v>296</v>
      </c>
      <c r="I28" s="5" t="s">
        <v>296</v>
      </c>
      <c r="J28" s="12" t="n">
        <v>0</v>
      </c>
      <c r="K28" s="5" t="str">
        <f aca="false">IF(J28=1,"ACCEPTED","WARRANT-CONSTITUTED")</f>
        <v>WARRANT-CONSTITUTED</v>
      </c>
      <c r="L28" s="5" t="n">
        <v>0</v>
      </c>
    </row>
    <row r="29" customFormat="false" ht="35.05" hidden="false" customHeight="false" outlineLevel="0" collapsed="false">
      <c r="A29" s="5" t="s">
        <v>502</v>
      </c>
      <c r="B29" s="5" t="s">
        <v>348</v>
      </c>
      <c r="C29" s="5" t="s">
        <v>12</v>
      </c>
      <c r="D29" s="5" t="s">
        <v>474</v>
      </c>
      <c r="E29" s="5" t="s">
        <v>503</v>
      </c>
      <c r="F29" s="5" t="s">
        <v>476</v>
      </c>
      <c r="G29" s="7" t="n">
        <f aca="false">1.8/144</f>
        <v>0.0125</v>
      </c>
      <c r="H29" s="5" t="s">
        <v>296</v>
      </c>
      <c r="I29" s="5" t="s">
        <v>296</v>
      </c>
      <c r="J29" s="12" t="n">
        <v>0</v>
      </c>
      <c r="K29" s="5" t="str">
        <f aca="false">IF(J29=1,"ACCEPTED","WARRANT-CONSTITUTED")</f>
        <v>WARRANT-CONSTITUTED</v>
      </c>
      <c r="L29" s="5" t="n">
        <v>0</v>
      </c>
    </row>
    <row r="30" customFormat="false" ht="35.05" hidden="false" customHeight="false" outlineLevel="0" collapsed="false">
      <c r="A30" s="5" t="s">
        <v>504</v>
      </c>
      <c r="B30" s="5" t="s">
        <v>348</v>
      </c>
      <c r="C30" s="5" t="s">
        <v>12</v>
      </c>
      <c r="D30" s="5" t="s">
        <v>478</v>
      </c>
      <c r="E30" s="5" t="s">
        <v>505</v>
      </c>
      <c r="F30" s="5" t="s">
        <v>476</v>
      </c>
      <c r="G30" s="7" t="n">
        <f aca="false">1.8/144</f>
        <v>0.0125</v>
      </c>
      <c r="H30" s="5" t="s">
        <v>296</v>
      </c>
      <c r="I30" s="5" t="s">
        <v>296</v>
      </c>
      <c r="J30" s="12" t="n">
        <v>0</v>
      </c>
      <c r="K30" s="5" t="str">
        <f aca="false">IF(J30=1,"ACCEPTED","WARRANT-CONSTITUTED")</f>
        <v>WARRANT-CONSTITUTED</v>
      </c>
      <c r="L30" s="5" t="n">
        <v>0</v>
      </c>
    </row>
    <row r="31" customFormat="false" ht="35.05" hidden="false" customHeight="false" outlineLevel="0" collapsed="false">
      <c r="A31" s="5" t="s">
        <v>506</v>
      </c>
      <c r="B31" s="5" t="s">
        <v>349</v>
      </c>
      <c r="C31" s="5" t="s">
        <v>12</v>
      </c>
      <c r="D31" s="5" t="s">
        <v>474</v>
      </c>
      <c r="E31" s="5" t="s">
        <v>503</v>
      </c>
      <c r="F31" s="5" t="s">
        <v>476</v>
      </c>
      <c r="G31" s="7" t="n">
        <f aca="false">1.8/144</f>
        <v>0.0125</v>
      </c>
      <c r="H31" s="5" t="s">
        <v>296</v>
      </c>
      <c r="I31" s="5" t="s">
        <v>296</v>
      </c>
      <c r="J31" s="12" t="n">
        <v>0</v>
      </c>
      <c r="K31" s="5" t="str">
        <f aca="false">IF(J31=1,"ACCEPTED","WARRANT-CONSTITUTED")</f>
        <v>WARRANT-CONSTITUTED</v>
      </c>
      <c r="L31" s="5" t="n">
        <v>0</v>
      </c>
    </row>
    <row r="32" customFormat="false" ht="35.05" hidden="false" customHeight="false" outlineLevel="0" collapsed="false">
      <c r="A32" s="5" t="s">
        <v>507</v>
      </c>
      <c r="B32" s="5" t="s">
        <v>349</v>
      </c>
      <c r="C32" s="5" t="s">
        <v>12</v>
      </c>
      <c r="D32" s="5" t="s">
        <v>478</v>
      </c>
      <c r="E32" s="5" t="s">
        <v>505</v>
      </c>
      <c r="F32" s="5" t="s">
        <v>476</v>
      </c>
      <c r="G32" s="7" t="n">
        <f aca="false">1.8/144</f>
        <v>0.0125</v>
      </c>
      <c r="H32" s="5" t="s">
        <v>296</v>
      </c>
      <c r="I32" s="5" t="s">
        <v>296</v>
      </c>
      <c r="J32" s="12" t="n">
        <v>0</v>
      </c>
      <c r="K32" s="5" t="str">
        <f aca="false">IF(J32=1,"ACCEPTED","WARRANT-CONSTITUTED")</f>
        <v>WARRANT-CONSTITUTED</v>
      </c>
      <c r="L32" s="5" t="n">
        <v>0</v>
      </c>
    </row>
    <row r="33" customFormat="false" ht="35.05" hidden="false" customHeight="false" outlineLevel="0" collapsed="false">
      <c r="A33" s="5" t="s">
        <v>508</v>
      </c>
      <c r="B33" s="5" t="s">
        <v>350</v>
      </c>
      <c r="C33" s="5" t="s">
        <v>12</v>
      </c>
      <c r="D33" s="5" t="s">
        <v>474</v>
      </c>
      <c r="E33" s="5" t="s">
        <v>503</v>
      </c>
      <c r="F33" s="5" t="s">
        <v>476</v>
      </c>
      <c r="G33" s="7" t="n">
        <f aca="false">1.8/144</f>
        <v>0.0125</v>
      </c>
      <c r="H33" s="5" t="s">
        <v>296</v>
      </c>
      <c r="I33" s="5" t="s">
        <v>296</v>
      </c>
      <c r="J33" s="12" t="n">
        <v>0</v>
      </c>
      <c r="K33" s="5" t="str">
        <f aca="false">IF(J33=1,"ACCEPTED","WARRANT-CONSTITUTED")</f>
        <v>WARRANT-CONSTITUTED</v>
      </c>
      <c r="L33" s="5" t="n">
        <v>0</v>
      </c>
    </row>
    <row r="34" customFormat="false" ht="35.05" hidden="false" customHeight="false" outlineLevel="0" collapsed="false">
      <c r="A34" s="5" t="s">
        <v>509</v>
      </c>
      <c r="B34" s="5" t="s">
        <v>350</v>
      </c>
      <c r="C34" s="5" t="s">
        <v>12</v>
      </c>
      <c r="D34" s="5" t="s">
        <v>478</v>
      </c>
      <c r="E34" s="5" t="s">
        <v>505</v>
      </c>
      <c r="F34" s="5" t="s">
        <v>476</v>
      </c>
      <c r="G34" s="7" t="n">
        <f aca="false">1.8/144</f>
        <v>0.0125</v>
      </c>
      <c r="H34" s="5" t="s">
        <v>296</v>
      </c>
      <c r="I34" s="5" t="s">
        <v>296</v>
      </c>
      <c r="J34" s="12" t="n">
        <v>0</v>
      </c>
      <c r="K34" s="5" t="str">
        <f aca="false">IF(J34=1,"ACCEPTED","WARRANT-CONSTITUTED")</f>
        <v>WARRANT-CONSTITUTED</v>
      </c>
      <c r="L34" s="5" t="n">
        <v>0</v>
      </c>
    </row>
    <row r="35" customFormat="false" ht="35.05" hidden="false" customHeight="false" outlineLevel="0" collapsed="false">
      <c r="A35" s="5" t="s">
        <v>510</v>
      </c>
      <c r="B35" s="5" t="s">
        <v>353</v>
      </c>
      <c r="C35" s="5" t="s">
        <v>12</v>
      </c>
      <c r="D35" s="5" t="s">
        <v>474</v>
      </c>
      <c r="E35" s="5" t="s">
        <v>503</v>
      </c>
      <c r="F35" s="5" t="s">
        <v>476</v>
      </c>
      <c r="G35" s="7" t="n">
        <f aca="false">1.8/144</f>
        <v>0.0125</v>
      </c>
      <c r="H35" s="5" t="s">
        <v>296</v>
      </c>
      <c r="I35" s="5" t="s">
        <v>296</v>
      </c>
      <c r="J35" s="12" t="n">
        <v>0</v>
      </c>
      <c r="K35" s="5" t="str">
        <f aca="false">IF(J35=1,"ACCEPTED","WARRANT-CONSTITUTED")</f>
        <v>WARRANT-CONSTITUTED</v>
      </c>
      <c r="L35" s="5" t="n">
        <v>0</v>
      </c>
    </row>
    <row r="36" customFormat="false" ht="35.05" hidden="false" customHeight="false" outlineLevel="0" collapsed="false">
      <c r="A36" s="5" t="s">
        <v>511</v>
      </c>
      <c r="B36" s="5" t="s">
        <v>353</v>
      </c>
      <c r="C36" s="5" t="s">
        <v>12</v>
      </c>
      <c r="D36" s="5" t="s">
        <v>478</v>
      </c>
      <c r="E36" s="5" t="s">
        <v>505</v>
      </c>
      <c r="F36" s="5" t="s">
        <v>476</v>
      </c>
      <c r="G36" s="7" t="n">
        <f aca="false">1.8/144</f>
        <v>0.0125</v>
      </c>
      <c r="H36" s="5" t="s">
        <v>296</v>
      </c>
      <c r="I36" s="5" t="s">
        <v>296</v>
      </c>
      <c r="J36" s="12" t="n">
        <v>0</v>
      </c>
      <c r="K36" s="5" t="str">
        <f aca="false">IF(J36=1,"ACCEPTED","WARRANT-CONSTITUTED")</f>
        <v>WARRANT-CONSTITUTED</v>
      </c>
      <c r="L36" s="5" t="n">
        <v>0</v>
      </c>
    </row>
    <row r="37" customFormat="false" ht="35.05" hidden="false" customHeight="false" outlineLevel="0" collapsed="false">
      <c r="A37" s="5" t="s">
        <v>512</v>
      </c>
      <c r="B37" s="5" t="s">
        <v>354</v>
      </c>
      <c r="C37" s="5" t="s">
        <v>12</v>
      </c>
      <c r="D37" s="5" t="s">
        <v>474</v>
      </c>
      <c r="E37" s="5" t="s">
        <v>503</v>
      </c>
      <c r="F37" s="5" t="s">
        <v>476</v>
      </c>
      <c r="G37" s="7" t="n">
        <f aca="false">1.8/144</f>
        <v>0.0125</v>
      </c>
      <c r="H37" s="5" t="s">
        <v>296</v>
      </c>
      <c r="I37" s="5" t="s">
        <v>296</v>
      </c>
      <c r="J37" s="12" t="n">
        <v>0</v>
      </c>
      <c r="K37" s="5" t="str">
        <f aca="false">IF(J37=1,"ACCEPTED","WARRANT-CONSTITUTED")</f>
        <v>WARRANT-CONSTITUTED</v>
      </c>
      <c r="L37" s="5" t="n">
        <v>0</v>
      </c>
    </row>
    <row r="38" customFormat="false" ht="35.05" hidden="false" customHeight="false" outlineLevel="0" collapsed="false">
      <c r="A38" s="5" t="s">
        <v>513</v>
      </c>
      <c r="B38" s="5" t="s">
        <v>354</v>
      </c>
      <c r="C38" s="5" t="s">
        <v>12</v>
      </c>
      <c r="D38" s="5" t="s">
        <v>478</v>
      </c>
      <c r="E38" s="5" t="s">
        <v>505</v>
      </c>
      <c r="F38" s="5" t="s">
        <v>476</v>
      </c>
      <c r="G38" s="7" t="n">
        <f aca="false">1.8/144</f>
        <v>0.0125</v>
      </c>
      <c r="H38" s="5" t="s">
        <v>296</v>
      </c>
      <c r="I38" s="5" t="s">
        <v>296</v>
      </c>
      <c r="J38" s="12" t="n">
        <v>0</v>
      </c>
      <c r="K38" s="5" t="str">
        <f aca="false">IF(J38=1,"ACCEPTED","WARRANT-CONSTITUTED")</f>
        <v>WARRANT-CONSTITUTED</v>
      </c>
      <c r="L38" s="5" t="n">
        <v>0</v>
      </c>
    </row>
    <row r="39" customFormat="false" ht="35.05" hidden="false" customHeight="false" outlineLevel="0" collapsed="false">
      <c r="A39" s="5" t="s">
        <v>514</v>
      </c>
      <c r="B39" s="5" t="s">
        <v>355</v>
      </c>
      <c r="C39" s="5" t="s">
        <v>12</v>
      </c>
      <c r="D39" s="5" t="s">
        <v>474</v>
      </c>
      <c r="E39" s="5" t="s">
        <v>503</v>
      </c>
      <c r="F39" s="5" t="s">
        <v>476</v>
      </c>
      <c r="G39" s="7" t="n">
        <f aca="false">1.8/144</f>
        <v>0.0125</v>
      </c>
      <c r="H39" s="5" t="s">
        <v>296</v>
      </c>
      <c r="I39" s="5" t="s">
        <v>296</v>
      </c>
      <c r="J39" s="12" t="n">
        <v>0</v>
      </c>
      <c r="K39" s="5" t="str">
        <f aca="false">IF(J39=1,"ACCEPTED","WARRANT-CONSTITUTED")</f>
        <v>WARRANT-CONSTITUTED</v>
      </c>
      <c r="L39" s="5" t="n">
        <v>0</v>
      </c>
    </row>
    <row r="40" customFormat="false" ht="35.05" hidden="false" customHeight="false" outlineLevel="0" collapsed="false">
      <c r="A40" s="5" t="s">
        <v>515</v>
      </c>
      <c r="B40" s="5" t="s">
        <v>355</v>
      </c>
      <c r="C40" s="5" t="s">
        <v>12</v>
      </c>
      <c r="D40" s="5" t="s">
        <v>478</v>
      </c>
      <c r="E40" s="5" t="s">
        <v>505</v>
      </c>
      <c r="F40" s="5" t="s">
        <v>476</v>
      </c>
      <c r="G40" s="7" t="n">
        <f aca="false">1.8/144</f>
        <v>0.0125</v>
      </c>
      <c r="H40" s="5" t="s">
        <v>296</v>
      </c>
      <c r="I40" s="5" t="s">
        <v>296</v>
      </c>
      <c r="J40" s="12" t="n">
        <v>0</v>
      </c>
      <c r="K40" s="5" t="str">
        <f aca="false">IF(J40=1,"ACCEPTED","WARRANT-CONSTITUTED")</f>
        <v>WARRANT-CONSTITUTED</v>
      </c>
      <c r="L40" s="5" t="n">
        <v>0</v>
      </c>
    </row>
    <row r="41" customFormat="false" ht="35.05" hidden="false" customHeight="false" outlineLevel="0" collapsed="false">
      <c r="A41" s="5" t="s">
        <v>516</v>
      </c>
      <c r="B41" s="5" t="s">
        <v>358</v>
      </c>
      <c r="C41" s="5" t="s">
        <v>12</v>
      </c>
      <c r="D41" s="5" t="s">
        <v>474</v>
      </c>
      <c r="E41" s="5" t="s">
        <v>503</v>
      </c>
      <c r="F41" s="5" t="s">
        <v>476</v>
      </c>
      <c r="G41" s="7" t="n">
        <f aca="false">1.8/144</f>
        <v>0.0125</v>
      </c>
      <c r="H41" s="5" t="s">
        <v>296</v>
      </c>
      <c r="I41" s="5" t="s">
        <v>296</v>
      </c>
      <c r="J41" s="12" t="n">
        <v>0</v>
      </c>
      <c r="K41" s="5" t="str">
        <f aca="false">IF(J41=1,"ACCEPTED","WARRANT-CONSTITUTED")</f>
        <v>WARRANT-CONSTITUTED</v>
      </c>
      <c r="L41" s="5" t="n">
        <v>0</v>
      </c>
    </row>
    <row r="42" customFormat="false" ht="35.05" hidden="false" customHeight="false" outlineLevel="0" collapsed="false">
      <c r="A42" s="5" t="s">
        <v>517</v>
      </c>
      <c r="B42" s="5" t="s">
        <v>358</v>
      </c>
      <c r="C42" s="5" t="s">
        <v>12</v>
      </c>
      <c r="D42" s="5" t="s">
        <v>478</v>
      </c>
      <c r="E42" s="5" t="s">
        <v>505</v>
      </c>
      <c r="F42" s="5" t="s">
        <v>476</v>
      </c>
      <c r="G42" s="7" t="n">
        <f aca="false">1.8/144</f>
        <v>0.0125</v>
      </c>
      <c r="H42" s="5" t="s">
        <v>296</v>
      </c>
      <c r="I42" s="5" t="s">
        <v>296</v>
      </c>
      <c r="J42" s="12" t="n">
        <v>0</v>
      </c>
      <c r="K42" s="5" t="str">
        <f aca="false">IF(J42=1,"ACCEPTED","WARRANT-CONSTITUTED")</f>
        <v>WARRANT-CONSTITUTED</v>
      </c>
      <c r="L42" s="5" t="n">
        <v>0</v>
      </c>
    </row>
    <row r="43" customFormat="false" ht="35.05" hidden="false" customHeight="false" outlineLevel="0" collapsed="false">
      <c r="A43" s="5" t="s">
        <v>518</v>
      </c>
      <c r="B43" s="5" t="s">
        <v>359</v>
      </c>
      <c r="C43" s="5" t="s">
        <v>12</v>
      </c>
      <c r="D43" s="5" t="s">
        <v>474</v>
      </c>
      <c r="E43" s="5" t="s">
        <v>503</v>
      </c>
      <c r="F43" s="5" t="s">
        <v>476</v>
      </c>
      <c r="G43" s="7" t="n">
        <f aca="false">1.8/144</f>
        <v>0.0125</v>
      </c>
      <c r="H43" s="5" t="s">
        <v>296</v>
      </c>
      <c r="I43" s="5" t="s">
        <v>296</v>
      </c>
      <c r="J43" s="12" t="n">
        <v>0</v>
      </c>
      <c r="K43" s="5" t="str">
        <f aca="false">IF(J43=1,"ACCEPTED","WARRANT-CONSTITUTED")</f>
        <v>WARRANT-CONSTITUTED</v>
      </c>
      <c r="L43" s="5" t="n">
        <v>0</v>
      </c>
    </row>
    <row r="44" customFormat="false" ht="35.05" hidden="false" customHeight="false" outlineLevel="0" collapsed="false">
      <c r="A44" s="5" t="s">
        <v>519</v>
      </c>
      <c r="B44" s="5" t="s">
        <v>359</v>
      </c>
      <c r="C44" s="5" t="s">
        <v>12</v>
      </c>
      <c r="D44" s="5" t="s">
        <v>478</v>
      </c>
      <c r="E44" s="5" t="s">
        <v>505</v>
      </c>
      <c r="F44" s="5" t="s">
        <v>476</v>
      </c>
      <c r="G44" s="7" t="n">
        <f aca="false">1.8/144</f>
        <v>0.0125</v>
      </c>
      <c r="H44" s="5" t="s">
        <v>296</v>
      </c>
      <c r="I44" s="5" t="s">
        <v>296</v>
      </c>
      <c r="J44" s="12" t="n">
        <v>0</v>
      </c>
      <c r="K44" s="5" t="str">
        <f aca="false">IF(J44=1,"ACCEPTED","WARRANT-CONSTITUTED")</f>
        <v>WARRANT-CONSTITUTED</v>
      </c>
      <c r="L44" s="5" t="n">
        <v>0</v>
      </c>
    </row>
    <row r="45" customFormat="false" ht="35.05" hidden="false" customHeight="false" outlineLevel="0" collapsed="false">
      <c r="A45" s="5" t="s">
        <v>520</v>
      </c>
      <c r="B45" s="5" t="s">
        <v>360</v>
      </c>
      <c r="C45" s="5" t="s">
        <v>12</v>
      </c>
      <c r="D45" s="5" t="s">
        <v>474</v>
      </c>
      <c r="E45" s="5" t="s">
        <v>503</v>
      </c>
      <c r="F45" s="5" t="s">
        <v>476</v>
      </c>
      <c r="G45" s="7" t="n">
        <f aca="false">1.8/144</f>
        <v>0.0125</v>
      </c>
      <c r="H45" s="5" t="s">
        <v>296</v>
      </c>
      <c r="I45" s="5" t="s">
        <v>296</v>
      </c>
      <c r="J45" s="12" t="n">
        <v>0</v>
      </c>
      <c r="K45" s="5" t="str">
        <f aca="false">IF(J45=1,"ACCEPTED","WARRANT-CONSTITUTED")</f>
        <v>WARRANT-CONSTITUTED</v>
      </c>
      <c r="L45" s="5" t="n">
        <v>0</v>
      </c>
    </row>
    <row r="46" customFormat="false" ht="35.05" hidden="false" customHeight="false" outlineLevel="0" collapsed="false">
      <c r="A46" s="5" t="s">
        <v>521</v>
      </c>
      <c r="B46" s="5" t="s">
        <v>360</v>
      </c>
      <c r="C46" s="5" t="s">
        <v>12</v>
      </c>
      <c r="D46" s="5" t="s">
        <v>478</v>
      </c>
      <c r="E46" s="5" t="s">
        <v>505</v>
      </c>
      <c r="F46" s="5" t="s">
        <v>476</v>
      </c>
      <c r="G46" s="7" t="n">
        <f aca="false">1.8/144</f>
        <v>0.0125</v>
      </c>
      <c r="H46" s="5" t="s">
        <v>296</v>
      </c>
      <c r="I46" s="5" t="s">
        <v>296</v>
      </c>
      <c r="J46" s="12" t="n">
        <v>0</v>
      </c>
      <c r="K46" s="5" t="str">
        <f aca="false">IF(J46=1,"ACCEPTED","WARRANT-CONSTITUTED")</f>
        <v>WARRANT-CONSTITUTED</v>
      </c>
      <c r="L46" s="5" t="n">
        <v>0</v>
      </c>
    </row>
    <row r="47" customFormat="false" ht="35.05" hidden="false" customHeight="false" outlineLevel="0" collapsed="false">
      <c r="A47" s="5" t="s">
        <v>522</v>
      </c>
      <c r="B47" s="5" t="s">
        <v>363</v>
      </c>
      <c r="C47" s="5" t="s">
        <v>12</v>
      </c>
      <c r="D47" s="5" t="s">
        <v>474</v>
      </c>
      <c r="E47" s="5" t="s">
        <v>503</v>
      </c>
      <c r="F47" s="5" t="s">
        <v>476</v>
      </c>
      <c r="G47" s="7" t="n">
        <f aca="false">1.8/144</f>
        <v>0.0125</v>
      </c>
      <c r="H47" s="5" t="s">
        <v>296</v>
      </c>
      <c r="I47" s="5" t="s">
        <v>296</v>
      </c>
      <c r="J47" s="12" t="n">
        <v>0</v>
      </c>
      <c r="K47" s="5" t="str">
        <f aca="false">IF(J47=1,"ACCEPTED","WARRANT-CONSTITUTED")</f>
        <v>WARRANT-CONSTITUTED</v>
      </c>
      <c r="L47" s="5" t="n">
        <v>0</v>
      </c>
    </row>
    <row r="48" customFormat="false" ht="35.05" hidden="false" customHeight="false" outlineLevel="0" collapsed="false">
      <c r="A48" s="5" t="s">
        <v>523</v>
      </c>
      <c r="B48" s="5" t="s">
        <v>363</v>
      </c>
      <c r="C48" s="5" t="s">
        <v>12</v>
      </c>
      <c r="D48" s="5" t="s">
        <v>478</v>
      </c>
      <c r="E48" s="5" t="s">
        <v>505</v>
      </c>
      <c r="F48" s="5" t="s">
        <v>476</v>
      </c>
      <c r="G48" s="7" t="n">
        <f aca="false">1.8/144</f>
        <v>0.0125</v>
      </c>
      <c r="H48" s="5" t="s">
        <v>296</v>
      </c>
      <c r="I48" s="5" t="s">
        <v>296</v>
      </c>
      <c r="J48" s="12" t="n">
        <v>0</v>
      </c>
      <c r="K48" s="5" t="str">
        <f aca="false">IF(J48=1,"ACCEPTED","WARRANT-CONSTITUTED")</f>
        <v>WARRANT-CONSTITUTED</v>
      </c>
      <c r="L48" s="5" t="n">
        <v>0</v>
      </c>
    </row>
    <row r="49" customFormat="false" ht="35.05" hidden="false" customHeight="false" outlineLevel="0" collapsed="false">
      <c r="A49" s="5" t="s">
        <v>524</v>
      </c>
      <c r="B49" s="5" t="s">
        <v>364</v>
      </c>
      <c r="C49" s="5" t="s">
        <v>12</v>
      </c>
      <c r="D49" s="5" t="s">
        <v>474</v>
      </c>
      <c r="E49" s="5" t="s">
        <v>503</v>
      </c>
      <c r="F49" s="5" t="s">
        <v>476</v>
      </c>
      <c r="G49" s="7" t="n">
        <f aca="false">1.8/144</f>
        <v>0.0125</v>
      </c>
      <c r="H49" s="5" t="s">
        <v>296</v>
      </c>
      <c r="I49" s="5" t="s">
        <v>296</v>
      </c>
      <c r="J49" s="12" t="n">
        <v>0</v>
      </c>
      <c r="K49" s="5" t="str">
        <f aca="false">IF(J49=1,"ACCEPTED","WARRANT-CONSTITUTED")</f>
        <v>WARRANT-CONSTITUTED</v>
      </c>
      <c r="L49" s="5" t="n">
        <v>0</v>
      </c>
    </row>
    <row r="50" customFormat="false" ht="35.05" hidden="false" customHeight="false" outlineLevel="0" collapsed="false">
      <c r="A50" s="5" t="s">
        <v>525</v>
      </c>
      <c r="B50" s="5" t="s">
        <v>364</v>
      </c>
      <c r="C50" s="5" t="s">
        <v>12</v>
      </c>
      <c r="D50" s="5" t="s">
        <v>478</v>
      </c>
      <c r="E50" s="5" t="s">
        <v>505</v>
      </c>
      <c r="F50" s="5" t="s">
        <v>476</v>
      </c>
      <c r="G50" s="7" t="n">
        <f aca="false">1.8/144</f>
        <v>0.0125</v>
      </c>
      <c r="H50" s="5" t="s">
        <v>296</v>
      </c>
      <c r="I50" s="5" t="s">
        <v>296</v>
      </c>
      <c r="J50" s="12" t="n">
        <v>0</v>
      </c>
      <c r="K50" s="5" t="str">
        <f aca="false">IF(J50=1,"ACCEPTED","WARRANT-CONSTITUTED")</f>
        <v>WARRANT-CONSTITUTED</v>
      </c>
      <c r="L50" s="5" t="n">
        <v>0</v>
      </c>
    </row>
    <row r="51" customFormat="false" ht="35.05" hidden="false" customHeight="false" outlineLevel="0" collapsed="false">
      <c r="A51" s="5" t="s">
        <v>526</v>
      </c>
      <c r="B51" s="5" t="s">
        <v>365</v>
      </c>
      <c r="C51" s="5" t="s">
        <v>12</v>
      </c>
      <c r="D51" s="5" t="s">
        <v>474</v>
      </c>
      <c r="E51" s="5" t="s">
        <v>503</v>
      </c>
      <c r="F51" s="5" t="s">
        <v>476</v>
      </c>
      <c r="G51" s="7" t="n">
        <f aca="false">1.8/144</f>
        <v>0.0125</v>
      </c>
      <c r="H51" s="5" t="s">
        <v>296</v>
      </c>
      <c r="I51" s="5" t="s">
        <v>296</v>
      </c>
      <c r="J51" s="12" t="n">
        <v>0</v>
      </c>
      <c r="K51" s="5" t="str">
        <f aca="false">IF(J51=1,"ACCEPTED","WARRANT-CONSTITUTED")</f>
        <v>WARRANT-CONSTITUTED</v>
      </c>
      <c r="L51" s="5" t="n">
        <v>0</v>
      </c>
    </row>
    <row r="52" customFormat="false" ht="35.05" hidden="false" customHeight="false" outlineLevel="0" collapsed="false">
      <c r="A52" s="5" t="s">
        <v>527</v>
      </c>
      <c r="B52" s="5" t="s">
        <v>365</v>
      </c>
      <c r="C52" s="5" t="s">
        <v>12</v>
      </c>
      <c r="D52" s="5" t="s">
        <v>478</v>
      </c>
      <c r="E52" s="5" t="s">
        <v>505</v>
      </c>
      <c r="F52" s="5" t="s">
        <v>476</v>
      </c>
      <c r="G52" s="7" t="n">
        <f aca="false">1.8/144</f>
        <v>0.0125</v>
      </c>
      <c r="H52" s="5" t="s">
        <v>296</v>
      </c>
      <c r="I52" s="5" t="s">
        <v>296</v>
      </c>
      <c r="J52" s="12" t="n">
        <v>0</v>
      </c>
      <c r="K52" s="5" t="str">
        <f aca="false">IF(J52=1,"ACCEPTED","WARRANT-CONSTITUTED")</f>
        <v>WARRANT-CONSTITUTED</v>
      </c>
      <c r="L52" s="5" t="n">
        <v>0</v>
      </c>
    </row>
    <row r="53" customFormat="false" ht="35.05" hidden="false" customHeight="false" outlineLevel="0" collapsed="false">
      <c r="A53" s="5" t="s">
        <v>528</v>
      </c>
      <c r="B53" s="5" t="s">
        <v>368</v>
      </c>
      <c r="C53" s="5" t="s">
        <v>17</v>
      </c>
      <c r="D53" s="5" t="s">
        <v>474</v>
      </c>
      <c r="E53" s="5" t="s">
        <v>529</v>
      </c>
      <c r="F53" s="5" t="s">
        <v>476</v>
      </c>
      <c r="G53" s="7" t="n">
        <f aca="false">1.8/144</f>
        <v>0.0125</v>
      </c>
      <c r="H53" s="5" t="s">
        <v>296</v>
      </c>
      <c r="I53" s="5" t="s">
        <v>296</v>
      </c>
      <c r="J53" s="12" t="n">
        <v>0</v>
      </c>
      <c r="K53" s="5" t="str">
        <f aca="false">IF(J53=1,"ACCEPTED","WARRANT-CONSTITUTED")</f>
        <v>WARRANT-CONSTITUTED</v>
      </c>
      <c r="L53" s="5" t="n">
        <v>0</v>
      </c>
    </row>
    <row r="54" customFormat="false" ht="35.05" hidden="false" customHeight="false" outlineLevel="0" collapsed="false">
      <c r="A54" s="5" t="s">
        <v>530</v>
      </c>
      <c r="B54" s="5" t="s">
        <v>368</v>
      </c>
      <c r="C54" s="5" t="s">
        <v>17</v>
      </c>
      <c r="D54" s="5" t="s">
        <v>478</v>
      </c>
      <c r="E54" s="5" t="s">
        <v>531</v>
      </c>
      <c r="F54" s="5" t="s">
        <v>476</v>
      </c>
      <c r="G54" s="7" t="n">
        <f aca="false">1.8/144</f>
        <v>0.0125</v>
      </c>
      <c r="H54" s="5" t="s">
        <v>296</v>
      </c>
      <c r="I54" s="5" t="s">
        <v>296</v>
      </c>
      <c r="J54" s="12" t="n">
        <v>0</v>
      </c>
      <c r="K54" s="5" t="str">
        <f aca="false">IF(J54=1,"ACCEPTED","WARRANT-CONSTITUTED")</f>
        <v>WARRANT-CONSTITUTED</v>
      </c>
      <c r="L54" s="5" t="n">
        <v>0</v>
      </c>
    </row>
    <row r="55" customFormat="false" ht="35.05" hidden="false" customHeight="false" outlineLevel="0" collapsed="false">
      <c r="A55" s="5" t="s">
        <v>532</v>
      </c>
      <c r="B55" s="5" t="s">
        <v>369</v>
      </c>
      <c r="C55" s="5" t="s">
        <v>17</v>
      </c>
      <c r="D55" s="5" t="s">
        <v>474</v>
      </c>
      <c r="E55" s="5" t="s">
        <v>529</v>
      </c>
      <c r="F55" s="5" t="s">
        <v>476</v>
      </c>
      <c r="G55" s="7" t="n">
        <f aca="false">1.8/144</f>
        <v>0.0125</v>
      </c>
      <c r="H55" s="5" t="s">
        <v>296</v>
      </c>
      <c r="I55" s="5" t="s">
        <v>296</v>
      </c>
      <c r="J55" s="12" t="n">
        <v>0</v>
      </c>
      <c r="K55" s="5" t="str">
        <f aca="false">IF(J55=1,"ACCEPTED","WARRANT-CONSTITUTED")</f>
        <v>WARRANT-CONSTITUTED</v>
      </c>
      <c r="L55" s="5" t="n">
        <v>0</v>
      </c>
    </row>
    <row r="56" customFormat="false" ht="35.05" hidden="false" customHeight="false" outlineLevel="0" collapsed="false">
      <c r="A56" s="5" t="s">
        <v>533</v>
      </c>
      <c r="B56" s="5" t="s">
        <v>369</v>
      </c>
      <c r="C56" s="5" t="s">
        <v>17</v>
      </c>
      <c r="D56" s="5" t="s">
        <v>478</v>
      </c>
      <c r="E56" s="5" t="s">
        <v>531</v>
      </c>
      <c r="F56" s="5" t="s">
        <v>476</v>
      </c>
      <c r="G56" s="7" t="n">
        <f aca="false">1.8/144</f>
        <v>0.0125</v>
      </c>
      <c r="H56" s="5" t="s">
        <v>296</v>
      </c>
      <c r="I56" s="5" t="s">
        <v>296</v>
      </c>
      <c r="J56" s="12" t="n">
        <v>0</v>
      </c>
      <c r="K56" s="5" t="str">
        <f aca="false">IF(J56=1,"ACCEPTED","WARRANT-CONSTITUTED")</f>
        <v>WARRANT-CONSTITUTED</v>
      </c>
      <c r="L56" s="5" t="n">
        <v>0</v>
      </c>
    </row>
    <row r="57" customFormat="false" ht="35.05" hidden="false" customHeight="false" outlineLevel="0" collapsed="false">
      <c r="A57" s="5" t="s">
        <v>534</v>
      </c>
      <c r="B57" s="5" t="s">
        <v>370</v>
      </c>
      <c r="C57" s="5" t="s">
        <v>17</v>
      </c>
      <c r="D57" s="5" t="s">
        <v>474</v>
      </c>
      <c r="E57" s="5" t="s">
        <v>529</v>
      </c>
      <c r="F57" s="5" t="s">
        <v>476</v>
      </c>
      <c r="G57" s="7" t="n">
        <f aca="false">1.8/144</f>
        <v>0.0125</v>
      </c>
      <c r="H57" s="5" t="s">
        <v>296</v>
      </c>
      <c r="I57" s="5" t="s">
        <v>296</v>
      </c>
      <c r="J57" s="12" t="n">
        <v>0</v>
      </c>
      <c r="K57" s="5" t="str">
        <f aca="false">IF(J57=1,"ACCEPTED","WARRANT-CONSTITUTED")</f>
        <v>WARRANT-CONSTITUTED</v>
      </c>
      <c r="L57" s="5" t="n">
        <v>0</v>
      </c>
    </row>
    <row r="58" customFormat="false" ht="35.05" hidden="false" customHeight="false" outlineLevel="0" collapsed="false">
      <c r="A58" s="5" t="s">
        <v>535</v>
      </c>
      <c r="B58" s="5" t="s">
        <v>370</v>
      </c>
      <c r="C58" s="5" t="s">
        <v>17</v>
      </c>
      <c r="D58" s="5" t="s">
        <v>478</v>
      </c>
      <c r="E58" s="5" t="s">
        <v>531</v>
      </c>
      <c r="F58" s="5" t="s">
        <v>476</v>
      </c>
      <c r="G58" s="7" t="n">
        <f aca="false">1.8/144</f>
        <v>0.0125</v>
      </c>
      <c r="H58" s="5" t="s">
        <v>296</v>
      </c>
      <c r="I58" s="5" t="s">
        <v>296</v>
      </c>
      <c r="J58" s="12" t="n">
        <v>0</v>
      </c>
      <c r="K58" s="5" t="str">
        <f aca="false">IF(J58=1,"ACCEPTED","WARRANT-CONSTITUTED")</f>
        <v>WARRANT-CONSTITUTED</v>
      </c>
      <c r="L58" s="5" t="n">
        <v>0</v>
      </c>
    </row>
    <row r="59" customFormat="false" ht="35.05" hidden="false" customHeight="false" outlineLevel="0" collapsed="false">
      <c r="A59" s="5" t="s">
        <v>536</v>
      </c>
      <c r="B59" s="5" t="s">
        <v>373</v>
      </c>
      <c r="C59" s="5" t="s">
        <v>17</v>
      </c>
      <c r="D59" s="5" t="s">
        <v>474</v>
      </c>
      <c r="E59" s="5" t="s">
        <v>529</v>
      </c>
      <c r="F59" s="5" t="s">
        <v>476</v>
      </c>
      <c r="G59" s="7" t="n">
        <f aca="false">1.8/144</f>
        <v>0.0125</v>
      </c>
      <c r="H59" s="5" t="s">
        <v>296</v>
      </c>
      <c r="I59" s="5" t="s">
        <v>296</v>
      </c>
      <c r="J59" s="12" t="n">
        <v>0</v>
      </c>
      <c r="K59" s="5" t="str">
        <f aca="false">IF(J59=1,"ACCEPTED","WARRANT-CONSTITUTED")</f>
        <v>WARRANT-CONSTITUTED</v>
      </c>
      <c r="L59" s="5" t="n">
        <v>0</v>
      </c>
    </row>
    <row r="60" customFormat="false" ht="35.05" hidden="false" customHeight="false" outlineLevel="0" collapsed="false">
      <c r="A60" s="5" t="s">
        <v>537</v>
      </c>
      <c r="B60" s="5" t="s">
        <v>373</v>
      </c>
      <c r="C60" s="5" t="s">
        <v>17</v>
      </c>
      <c r="D60" s="5" t="s">
        <v>478</v>
      </c>
      <c r="E60" s="5" t="s">
        <v>531</v>
      </c>
      <c r="F60" s="5" t="s">
        <v>476</v>
      </c>
      <c r="G60" s="7" t="n">
        <f aca="false">1.8/144</f>
        <v>0.0125</v>
      </c>
      <c r="H60" s="5" t="s">
        <v>296</v>
      </c>
      <c r="I60" s="5" t="s">
        <v>296</v>
      </c>
      <c r="J60" s="12" t="n">
        <v>0</v>
      </c>
      <c r="K60" s="5" t="str">
        <f aca="false">IF(J60=1,"ACCEPTED","WARRANT-CONSTITUTED")</f>
        <v>WARRANT-CONSTITUTED</v>
      </c>
      <c r="L60" s="5" t="n">
        <v>0</v>
      </c>
    </row>
    <row r="61" customFormat="false" ht="35.05" hidden="false" customHeight="false" outlineLevel="0" collapsed="false">
      <c r="A61" s="5" t="s">
        <v>538</v>
      </c>
      <c r="B61" s="5" t="s">
        <v>374</v>
      </c>
      <c r="C61" s="5" t="s">
        <v>17</v>
      </c>
      <c r="D61" s="5" t="s">
        <v>474</v>
      </c>
      <c r="E61" s="5" t="s">
        <v>529</v>
      </c>
      <c r="F61" s="5" t="s">
        <v>476</v>
      </c>
      <c r="G61" s="7" t="n">
        <f aca="false">1.8/144</f>
        <v>0.0125</v>
      </c>
      <c r="H61" s="5" t="s">
        <v>296</v>
      </c>
      <c r="I61" s="5" t="s">
        <v>296</v>
      </c>
      <c r="J61" s="12" t="n">
        <v>0</v>
      </c>
      <c r="K61" s="5" t="str">
        <f aca="false">IF(J61=1,"ACCEPTED","WARRANT-CONSTITUTED")</f>
        <v>WARRANT-CONSTITUTED</v>
      </c>
      <c r="L61" s="5" t="n">
        <v>0</v>
      </c>
    </row>
    <row r="62" customFormat="false" ht="35.05" hidden="false" customHeight="false" outlineLevel="0" collapsed="false">
      <c r="A62" s="5" t="s">
        <v>539</v>
      </c>
      <c r="B62" s="5" t="s">
        <v>374</v>
      </c>
      <c r="C62" s="5" t="s">
        <v>17</v>
      </c>
      <c r="D62" s="5" t="s">
        <v>478</v>
      </c>
      <c r="E62" s="5" t="s">
        <v>531</v>
      </c>
      <c r="F62" s="5" t="s">
        <v>476</v>
      </c>
      <c r="G62" s="7" t="n">
        <f aca="false">1.8/144</f>
        <v>0.0125</v>
      </c>
      <c r="H62" s="5" t="s">
        <v>296</v>
      </c>
      <c r="I62" s="5" t="s">
        <v>296</v>
      </c>
      <c r="J62" s="12" t="n">
        <v>0</v>
      </c>
      <c r="K62" s="5" t="str">
        <f aca="false">IF(J62=1,"ACCEPTED","WARRANT-CONSTITUTED")</f>
        <v>WARRANT-CONSTITUTED</v>
      </c>
      <c r="L62" s="5" t="n">
        <v>0</v>
      </c>
    </row>
    <row r="63" customFormat="false" ht="35.05" hidden="false" customHeight="false" outlineLevel="0" collapsed="false">
      <c r="A63" s="5" t="s">
        <v>540</v>
      </c>
      <c r="B63" s="5" t="s">
        <v>375</v>
      </c>
      <c r="C63" s="5" t="s">
        <v>17</v>
      </c>
      <c r="D63" s="5" t="s">
        <v>474</v>
      </c>
      <c r="E63" s="5" t="s">
        <v>529</v>
      </c>
      <c r="F63" s="5" t="s">
        <v>476</v>
      </c>
      <c r="G63" s="7" t="n">
        <f aca="false">1.8/144</f>
        <v>0.0125</v>
      </c>
      <c r="H63" s="5" t="s">
        <v>296</v>
      </c>
      <c r="I63" s="5" t="s">
        <v>296</v>
      </c>
      <c r="J63" s="12" t="n">
        <v>0</v>
      </c>
      <c r="K63" s="5" t="str">
        <f aca="false">IF(J63=1,"ACCEPTED","WARRANT-CONSTITUTED")</f>
        <v>WARRANT-CONSTITUTED</v>
      </c>
      <c r="L63" s="5" t="n">
        <v>0</v>
      </c>
    </row>
    <row r="64" customFormat="false" ht="35.05" hidden="false" customHeight="false" outlineLevel="0" collapsed="false">
      <c r="A64" s="5" t="s">
        <v>541</v>
      </c>
      <c r="B64" s="5" t="s">
        <v>375</v>
      </c>
      <c r="C64" s="5" t="s">
        <v>17</v>
      </c>
      <c r="D64" s="5" t="s">
        <v>478</v>
      </c>
      <c r="E64" s="5" t="s">
        <v>531</v>
      </c>
      <c r="F64" s="5" t="s">
        <v>476</v>
      </c>
      <c r="G64" s="7" t="n">
        <f aca="false">1.8/144</f>
        <v>0.0125</v>
      </c>
      <c r="H64" s="5" t="s">
        <v>296</v>
      </c>
      <c r="I64" s="5" t="s">
        <v>296</v>
      </c>
      <c r="J64" s="12" t="n">
        <v>0</v>
      </c>
      <c r="K64" s="5" t="str">
        <f aca="false">IF(J64=1,"ACCEPTED","WARRANT-CONSTITUTED")</f>
        <v>WARRANT-CONSTITUTED</v>
      </c>
      <c r="L64" s="5" t="n">
        <v>0</v>
      </c>
    </row>
    <row r="65" customFormat="false" ht="35.05" hidden="false" customHeight="false" outlineLevel="0" collapsed="false">
      <c r="A65" s="5" t="s">
        <v>542</v>
      </c>
      <c r="B65" s="5" t="s">
        <v>378</v>
      </c>
      <c r="C65" s="5" t="s">
        <v>17</v>
      </c>
      <c r="D65" s="5" t="s">
        <v>474</v>
      </c>
      <c r="E65" s="5" t="s">
        <v>529</v>
      </c>
      <c r="F65" s="5" t="s">
        <v>476</v>
      </c>
      <c r="G65" s="7" t="n">
        <f aca="false">1.8/144</f>
        <v>0.0125</v>
      </c>
      <c r="H65" s="5" t="s">
        <v>296</v>
      </c>
      <c r="I65" s="5" t="s">
        <v>296</v>
      </c>
      <c r="J65" s="12" t="n">
        <v>0</v>
      </c>
      <c r="K65" s="5" t="str">
        <f aca="false">IF(J65=1,"ACCEPTED","WARRANT-CONSTITUTED")</f>
        <v>WARRANT-CONSTITUTED</v>
      </c>
      <c r="L65" s="5" t="n">
        <v>0</v>
      </c>
    </row>
    <row r="66" customFormat="false" ht="35.05" hidden="false" customHeight="false" outlineLevel="0" collapsed="false">
      <c r="A66" s="5" t="s">
        <v>543</v>
      </c>
      <c r="B66" s="5" t="s">
        <v>378</v>
      </c>
      <c r="C66" s="5" t="s">
        <v>17</v>
      </c>
      <c r="D66" s="5" t="s">
        <v>478</v>
      </c>
      <c r="E66" s="5" t="s">
        <v>531</v>
      </c>
      <c r="F66" s="5" t="s">
        <v>476</v>
      </c>
      <c r="G66" s="7" t="n">
        <f aca="false">1.8/144</f>
        <v>0.0125</v>
      </c>
      <c r="H66" s="5" t="s">
        <v>296</v>
      </c>
      <c r="I66" s="5" t="s">
        <v>296</v>
      </c>
      <c r="J66" s="12" t="n">
        <v>0</v>
      </c>
      <c r="K66" s="5" t="str">
        <f aca="false">IF(J66=1,"ACCEPTED","WARRANT-CONSTITUTED")</f>
        <v>WARRANT-CONSTITUTED</v>
      </c>
      <c r="L66" s="5" t="n">
        <v>0</v>
      </c>
    </row>
    <row r="67" customFormat="false" ht="35.05" hidden="false" customHeight="false" outlineLevel="0" collapsed="false">
      <c r="A67" s="5" t="s">
        <v>544</v>
      </c>
      <c r="B67" s="5" t="s">
        <v>379</v>
      </c>
      <c r="C67" s="5" t="s">
        <v>17</v>
      </c>
      <c r="D67" s="5" t="s">
        <v>474</v>
      </c>
      <c r="E67" s="5" t="s">
        <v>529</v>
      </c>
      <c r="F67" s="5" t="s">
        <v>476</v>
      </c>
      <c r="G67" s="7" t="n">
        <f aca="false">1.8/144</f>
        <v>0.0125</v>
      </c>
      <c r="H67" s="5" t="s">
        <v>296</v>
      </c>
      <c r="I67" s="5" t="s">
        <v>296</v>
      </c>
      <c r="J67" s="12" t="n">
        <v>0</v>
      </c>
      <c r="K67" s="5" t="str">
        <f aca="false">IF(J67=1,"ACCEPTED","WARRANT-CONSTITUTED")</f>
        <v>WARRANT-CONSTITUTED</v>
      </c>
      <c r="L67" s="5" t="n">
        <v>0</v>
      </c>
    </row>
    <row r="68" customFormat="false" ht="35.05" hidden="false" customHeight="false" outlineLevel="0" collapsed="false">
      <c r="A68" s="5" t="s">
        <v>545</v>
      </c>
      <c r="B68" s="5" t="s">
        <v>379</v>
      </c>
      <c r="C68" s="5" t="s">
        <v>17</v>
      </c>
      <c r="D68" s="5" t="s">
        <v>478</v>
      </c>
      <c r="E68" s="5" t="s">
        <v>531</v>
      </c>
      <c r="F68" s="5" t="s">
        <v>476</v>
      </c>
      <c r="G68" s="7" t="n">
        <f aca="false">1.8/144</f>
        <v>0.0125</v>
      </c>
      <c r="H68" s="5" t="s">
        <v>296</v>
      </c>
      <c r="I68" s="5" t="s">
        <v>296</v>
      </c>
      <c r="J68" s="12" t="n">
        <v>0</v>
      </c>
      <c r="K68" s="5" t="str">
        <f aca="false">IF(J68=1,"ACCEPTED","WARRANT-CONSTITUTED")</f>
        <v>WARRANT-CONSTITUTED</v>
      </c>
      <c r="L68" s="5" t="n">
        <v>0</v>
      </c>
    </row>
    <row r="69" customFormat="false" ht="35.05" hidden="false" customHeight="false" outlineLevel="0" collapsed="false">
      <c r="A69" s="5" t="s">
        <v>546</v>
      </c>
      <c r="B69" s="5" t="s">
        <v>380</v>
      </c>
      <c r="C69" s="5" t="s">
        <v>17</v>
      </c>
      <c r="D69" s="5" t="s">
        <v>474</v>
      </c>
      <c r="E69" s="5" t="s">
        <v>529</v>
      </c>
      <c r="F69" s="5" t="s">
        <v>476</v>
      </c>
      <c r="G69" s="7" t="n">
        <f aca="false">1.8/144</f>
        <v>0.0125</v>
      </c>
      <c r="H69" s="5" t="s">
        <v>296</v>
      </c>
      <c r="I69" s="5" t="s">
        <v>296</v>
      </c>
      <c r="J69" s="12" t="n">
        <v>0</v>
      </c>
      <c r="K69" s="5" t="str">
        <f aca="false">IF(J69=1,"ACCEPTED","WARRANT-CONSTITUTED")</f>
        <v>WARRANT-CONSTITUTED</v>
      </c>
      <c r="L69" s="5" t="n">
        <v>0</v>
      </c>
    </row>
    <row r="70" customFormat="false" ht="35.05" hidden="false" customHeight="false" outlineLevel="0" collapsed="false">
      <c r="A70" s="5" t="s">
        <v>547</v>
      </c>
      <c r="B70" s="5" t="s">
        <v>380</v>
      </c>
      <c r="C70" s="5" t="s">
        <v>17</v>
      </c>
      <c r="D70" s="5" t="s">
        <v>478</v>
      </c>
      <c r="E70" s="5" t="s">
        <v>531</v>
      </c>
      <c r="F70" s="5" t="s">
        <v>476</v>
      </c>
      <c r="G70" s="7" t="n">
        <f aca="false">1.8/144</f>
        <v>0.0125</v>
      </c>
      <c r="H70" s="5" t="s">
        <v>296</v>
      </c>
      <c r="I70" s="5" t="s">
        <v>296</v>
      </c>
      <c r="J70" s="12" t="n">
        <v>0</v>
      </c>
      <c r="K70" s="5" t="str">
        <f aca="false">IF(J70=1,"ACCEPTED","WARRANT-CONSTITUTED")</f>
        <v>WARRANT-CONSTITUTED</v>
      </c>
      <c r="L70" s="5" t="n">
        <v>0</v>
      </c>
    </row>
    <row r="71" customFormat="false" ht="35.05" hidden="false" customHeight="false" outlineLevel="0" collapsed="false">
      <c r="A71" s="5" t="s">
        <v>548</v>
      </c>
      <c r="B71" s="5" t="s">
        <v>383</v>
      </c>
      <c r="C71" s="5" t="s">
        <v>17</v>
      </c>
      <c r="D71" s="5" t="s">
        <v>474</v>
      </c>
      <c r="E71" s="5" t="s">
        <v>529</v>
      </c>
      <c r="F71" s="5" t="s">
        <v>476</v>
      </c>
      <c r="G71" s="7" t="n">
        <f aca="false">1.8/144</f>
        <v>0.0125</v>
      </c>
      <c r="H71" s="5" t="s">
        <v>296</v>
      </c>
      <c r="I71" s="5" t="s">
        <v>296</v>
      </c>
      <c r="J71" s="12" t="n">
        <v>0</v>
      </c>
      <c r="K71" s="5" t="str">
        <f aca="false">IF(J71=1,"ACCEPTED","WARRANT-CONSTITUTED")</f>
        <v>WARRANT-CONSTITUTED</v>
      </c>
      <c r="L71" s="5" t="n">
        <v>0</v>
      </c>
    </row>
    <row r="72" customFormat="false" ht="35.05" hidden="false" customHeight="false" outlineLevel="0" collapsed="false">
      <c r="A72" s="5" t="s">
        <v>549</v>
      </c>
      <c r="B72" s="5" t="s">
        <v>383</v>
      </c>
      <c r="C72" s="5" t="s">
        <v>17</v>
      </c>
      <c r="D72" s="5" t="s">
        <v>478</v>
      </c>
      <c r="E72" s="5" t="s">
        <v>531</v>
      </c>
      <c r="F72" s="5" t="s">
        <v>476</v>
      </c>
      <c r="G72" s="7" t="n">
        <f aca="false">1.8/144</f>
        <v>0.0125</v>
      </c>
      <c r="H72" s="5" t="s">
        <v>296</v>
      </c>
      <c r="I72" s="5" t="s">
        <v>296</v>
      </c>
      <c r="J72" s="12" t="n">
        <v>0</v>
      </c>
      <c r="K72" s="5" t="str">
        <f aca="false">IF(J72=1,"ACCEPTED","WARRANT-CONSTITUTED")</f>
        <v>WARRANT-CONSTITUTED</v>
      </c>
      <c r="L72" s="5" t="n">
        <v>0</v>
      </c>
    </row>
    <row r="73" customFormat="false" ht="35.05" hidden="false" customHeight="false" outlineLevel="0" collapsed="false">
      <c r="A73" s="5" t="s">
        <v>550</v>
      </c>
      <c r="B73" s="5" t="s">
        <v>384</v>
      </c>
      <c r="C73" s="5" t="s">
        <v>17</v>
      </c>
      <c r="D73" s="5" t="s">
        <v>474</v>
      </c>
      <c r="E73" s="5" t="s">
        <v>529</v>
      </c>
      <c r="F73" s="5" t="s">
        <v>476</v>
      </c>
      <c r="G73" s="7" t="n">
        <f aca="false">1.8/144</f>
        <v>0.0125</v>
      </c>
      <c r="H73" s="5" t="s">
        <v>296</v>
      </c>
      <c r="I73" s="5" t="s">
        <v>296</v>
      </c>
      <c r="J73" s="12" t="n">
        <v>0</v>
      </c>
      <c r="K73" s="5" t="str">
        <f aca="false">IF(J73=1,"ACCEPTED","WARRANT-CONSTITUTED")</f>
        <v>WARRANT-CONSTITUTED</v>
      </c>
      <c r="L73" s="5" t="n">
        <v>0</v>
      </c>
    </row>
    <row r="74" customFormat="false" ht="35.05" hidden="false" customHeight="false" outlineLevel="0" collapsed="false">
      <c r="A74" s="5" t="s">
        <v>551</v>
      </c>
      <c r="B74" s="5" t="s">
        <v>384</v>
      </c>
      <c r="C74" s="5" t="s">
        <v>17</v>
      </c>
      <c r="D74" s="5" t="s">
        <v>478</v>
      </c>
      <c r="E74" s="5" t="s">
        <v>531</v>
      </c>
      <c r="F74" s="5" t="s">
        <v>476</v>
      </c>
      <c r="G74" s="7" t="n">
        <f aca="false">1.8/144</f>
        <v>0.0125</v>
      </c>
      <c r="H74" s="5" t="s">
        <v>296</v>
      </c>
      <c r="I74" s="5" t="s">
        <v>296</v>
      </c>
      <c r="J74" s="12" t="n">
        <v>0</v>
      </c>
      <c r="K74" s="5" t="str">
        <f aca="false">IF(J74=1,"ACCEPTED","WARRANT-CONSTITUTED")</f>
        <v>WARRANT-CONSTITUTED</v>
      </c>
      <c r="L74" s="5" t="n">
        <v>0</v>
      </c>
    </row>
    <row r="75" customFormat="false" ht="35.05" hidden="false" customHeight="false" outlineLevel="0" collapsed="false">
      <c r="A75" s="5" t="s">
        <v>552</v>
      </c>
      <c r="B75" s="5" t="s">
        <v>385</v>
      </c>
      <c r="C75" s="5" t="s">
        <v>17</v>
      </c>
      <c r="D75" s="5" t="s">
        <v>474</v>
      </c>
      <c r="E75" s="5" t="s">
        <v>529</v>
      </c>
      <c r="F75" s="5" t="s">
        <v>476</v>
      </c>
      <c r="G75" s="7" t="n">
        <f aca="false">1.8/144</f>
        <v>0.0125</v>
      </c>
      <c r="H75" s="5" t="s">
        <v>296</v>
      </c>
      <c r="I75" s="5" t="s">
        <v>296</v>
      </c>
      <c r="J75" s="12" t="n">
        <v>0</v>
      </c>
      <c r="K75" s="5" t="str">
        <f aca="false">IF(J75=1,"ACCEPTED","WARRANT-CONSTITUTED")</f>
        <v>WARRANT-CONSTITUTED</v>
      </c>
      <c r="L75" s="5" t="n">
        <v>0</v>
      </c>
    </row>
    <row r="76" customFormat="false" ht="35.05" hidden="false" customHeight="false" outlineLevel="0" collapsed="false">
      <c r="A76" s="5" t="s">
        <v>553</v>
      </c>
      <c r="B76" s="5" t="s">
        <v>385</v>
      </c>
      <c r="C76" s="5" t="s">
        <v>17</v>
      </c>
      <c r="D76" s="5" t="s">
        <v>478</v>
      </c>
      <c r="E76" s="5" t="s">
        <v>531</v>
      </c>
      <c r="F76" s="5" t="s">
        <v>476</v>
      </c>
      <c r="G76" s="7" t="n">
        <f aca="false">1.8/144</f>
        <v>0.0125</v>
      </c>
      <c r="H76" s="5" t="s">
        <v>296</v>
      </c>
      <c r="I76" s="5" t="s">
        <v>296</v>
      </c>
      <c r="J76" s="12" t="n">
        <v>0</v>
      </c>
      <c r="K76" s="5" t="str">
        <f aca="false">IF(J76=1,"ACCEPTED","WARRANT-CONSTITUTED")</f>
        <v>WARRANT-CONSTITUTED</v>
      </c>
      <c r="L76" s="5" t="n">
        <v>0</v>
      </c>
    </row>
    <row r="77" customFormat="false" ht="35.05" hidden="false" customHeight="false" outlineLevel="0" collapsed="false">
      <c r="A77" s="5" t="s">
        <v>554</v>
      </c>
      <c r="B77" s="5" t="s">
        <v>388</v>
      </c>
      <c r="C77" s="5" t="s">
        <v>20</v>
      </c>
      <c r="D77" s="5" t="s">
        <v>474</v>
      </c>
      <c r="E77" s="5" t="s">
        <v>555</v>
      </c>
      <c r="F77" s="5" t="s">
        <v>476</v>
      </c>
      <c r="G77" s="7" t="n">
        <f aca="false">1.8/144</f>
        <v>0.0125</v>
      </c>
      <c r="H77" s="5" t="s">
        <v>296</v>
      </c>
      <c r="I77" s="5" t="s">
        <v>296</v>
      </c>
      <c r="J77" s="12" t="n">
        <v>0</v>
      </c>
      <c r="K77" s="5" t="str">
        <f aca="false">IF(J77=1,"ACCEPTED","WARRANT-CONSTITUTED")</f>
        <v>WARRANT-CONSTITUTED</v>
      </c>
      <c r="L77" s="5" t="n">
        <v>0</v>
      </c>
    </row>
    <row r="78" customFormat="false" ht="35.05" hidden="false" customHeight="false" outlineLevel="0" collapsed="false">
      <c r="A78" s="5" t="s">
        <v>556</v>
      </c>
      <c r="B78" s="5" t="s">
        <v>388</v>
      </c>
      <c r="C78" s="5" t="s">
        <v>20</v>
      </c>
      <c r="D78" s="5" t="s">
        <v>478</v>
      </c>
      <c r="E78" s="5" t="s">
        <v>557</v>
      </c>
      <c r="F78" s="5" t="s">
        <v>476</v>
      </c>
      <c r="G78" s="7" t="n">
        <f aca="false">1.8/144</f>
        <v>0.0125</v>
      </c>
      <c r="H78" s="5" t="s">
        <v>296</v>
      </c>
      <c r="I78" s="5" t="s">
        <v>296</v>
      </c>
      <c r="J78" s="12" t="n">
        <v>0</v>
      </c>
      <c r="K78" s="5" t="str">
        <f aca="false">IF(J78=1,"ACCEPTED","WARRANT-CONSTITUTED")</f>
        <v>WARRANT-CONSTITUTED</v>
      </c>
      <c r="L78" s="5" t="n">
        <v>0</v>
      </c>
    </row>
    <row r="79" customFormat="false" ht="35.05" hidden="false" customHeight="false" outlineLevel="0" collapsed="false">
      <c r="A79" s="5" t="s">
        <v>558</v>
      </c>
      <c r="B79" s="5" t="s">
        <v>389</v>
      </c>
      <c r="C79" s="5" t="s">
        <v>20</v>
      </c>
      <c r="D79" s="5" t="s">
        <v>474</v>
      </c>
      <c r="E79" s="5" t="s">
        <v>555</v>
      </c>
      <c r="F79" s="5" t="s">
        <v>476</v>
      </c>
      <c r="G79" s="7" t="n">
        <f aca="false">1.8/144</f>
        <v>0.0125</v>
      </c>
      <c r="H79" s="5" t="s">
        <v>296</v>
      </c>
      <c r="I79" s="5" t="s">
        <v>296</v>
      </c>
      <c r="J79" s="12" t="n">
        <v>0</v>
      </c>
      <c r="K79" s="5" t="str">
        <f aca="false">IF(J79=1,"ACCEPTED","WARRANT-CONSTITUTED")</f>
        <v>WARRANT-CONSTITUTED</v>
      </c>
      <c r="L79" s="5" t="n">
        <v>0</v>
      </c>
    </row>
    <row r="80" customFormat="false" ht="35.05" hidden="false" customHeight="false" outlineLevel="0" collapsed="false">
      <c r="A80" s="5" t="s">
        <v>559</v>
      </c>
      <c r="B80" s="5" t="s">
        <v>389</v>
      </c>
      <c r="C80" s="5" t="s">
        <v>20</v>
      </c>
      <c r="D80" s="5" t="s">
        <v>478</v>
      </c>
      <c r="E80" s="5" t="s">
        <v>557</v>
      </c>
      <c r="F80" s="5" t="s">
        <v>476</v>
      </c>
      <c r="G80" s="7" t="n">
        <f aca="false">1.8/144</f>
        <v>0.0125</v>
      </c>
      <c r="H80" s="5" t="s">
        <v>296</v>
      </c>
      <c r="I80" s="5" t="s">
        <v>296</v>
      </c>
      <c r="J80" s="12" t="n">
        <v>0</v>
      </c>
      <c r="K80" s="5" t="str">
        <f aca="false">IF(J80=1,"ACCEPTED","WARRANT-CONSTITUTED")</f>
        <v>WARRANT-CONSTITUTED</v>
      </c>
      <c r="L80" s="5" t="n">
        <v>0</v>
      </c>
    </row>
    <row r="81" customFormat="false" ht="35.05" hidden="false" customHeight="false" outlineLevel="0" collapsed="false">
      <c r="A81" s="5" t="s">
        <v>560</v>
      </c>
      <c r="B81" s="5" t="s">
        <v>390</v>
      </c>
      <c r="C81" s="5" t="s">
        <v>20</v>
      </c>
      <c r="D81" s="5" t="s">
        <v>474</v>
      </c>
      <c r="E81" s="5" t="s">
        <v>555</v>
      </c>
      <c r="F81" s="5" t="s">
        <v>476</v>
      </c>
      <c r="G81" s="7" t="n">
        <f aca="false">1.8/144</f>
        <v>0.0125</v>
      </c>
      <c r="H81" s="5" t="s">
        <v>296</v>
      </c>
      <c r="I81" s="5" t="s">
        <v>296</v>
      </c>
      <c r="J81" s="12" t="n">
        <v>0</v>
      </c>
      <c r="K81" s="5" t="str">
        <f aca="false">IF(J81=1,"ACCEPTED","WARRANT-CONSTITUTED")</f>
        <v>WARRANT-CONSTITUTED</v>
      </c>
      <c r="L81" s="5" t="n">
        <v>0</v>
      </c>
    </row>
    <row r="82" customFormat="false" ht="35.05" hidden="false" customHeight="false" outlineLevel="0" collapsed="false">
      <c r="A82" s="5" t="s">
        <v>561</v>
      </c>
      <c r="B82" s="5" t="s">
        <v>390</v>
      </c>
      <c r="C82" s="5" t="s">
        <v>20</v>
      </c>
      <c r="D82" s="5" t="s">
        <v>478</v>
      </c>
      <c r="E82" s="5" t="s">
        <v>557</v>
      </c>
      <c r="F82" s="5" t="s">
        <v>476</v>
      </c>
      <c r="G82" s="7" t="n">
        <f aca="false">1.8/144</f>
        <v>0.0125</v>
      </c>
      <c r="H82" s="5" t="s">
        <v>296</v>
      </c>
      <c r="I82" s="5" t="s">
        <v>296</v>
      </c>
      <c r="J82" s="12" t="n">
        <v>0</v>
      </c>
      <c r="K82" s="5" t="str">
        <f aca="false">IF(J82=1,"ACCEPTED","WARRANT-CONSTITUTED")</f>
        <v>WARRANT-CONSTITUTED</v>
      </c>
      <c r="L82" s="5" t="n">
        <v>0</v>
      </c>
    </row>
    <row r="83" customFormat="false" ht="35.05" hidden="false" customHeight="false" outlineLevel="0" collapsed="false">
      <c r="A83" s="5" t="s">
        <v>562</v>
      </c>
      <c r="B83" s="5" t="s">
        <v>393</v>
      </c>
      <c r="C83" s="5" t="s">
        <v>20</v>
      </c>
      <c r="D83" s="5" t="s">
        <v>474</v>
      </c>
      <c r="E83" s="5" t="s">
        <v>555</v>
      </c>
      <c r="F83" s="5" t="s">
        <v>476</v>
      </c>
      <c r="G83" s="7" t="n">
        <f aca="false">1.8/144</f>
        <v>0.0125</v>
      </c>
      <c r="H83" s="5" t="s">
        <v>296</v>
      </c>
      <c r="I83" s="5" t="s">
        <v>296</v>
      </c>
      <c r="J83" s="12" t="n">
        <v>0</v>
      </c>
      <c r="K83" s="5" t="str">
        <f aca="false">IF(J83=1,"ACCEPTED","WARRANT-CONSTITUTED")</f>
        <v>WARRANT-CONSTITUTED</v>
      </c>
      <c r="L83" s="5" t="n">
        <v>0</v>
      </c>
    </row>
    <row r="84" customFormat="false" ht="35.05" hidden="false" customHeight="false" outlineLevel="0" collapsed="false">
      <c r="A84" s="5" t="s">
        <v>563</v>
      </c>
      <c r="B84" s="5" t="s">
        <v>393</v>
      </c>
      <c r="C84" s="5" t="s">
        <v>20</v>
      </c>
      <c r="D84" s="5" t="s">
        <v>478</v>
      </c>
      <c r="E84" s="5" t="s">
        <v>557</v>
      </c>
      <c r="F84" s="5" t="s">
        <v>476</v>
      </c>
      <c r="G84" s="7" t="n">
        <f aca="false">1.8/144</f>
        <v>0.0125</v>
      </c>
      <c r="H84" s="5" t="s">
        <v>296</v>
      </c>
      <c r="I84" s="5" t="s">
        <v>296</v>
      </c>
      <c r="J84" s="12" t="n">
        <v>0</v>
      </c>
      <c r="K84" s="5" t="str">
        <f aca="false">IF(J84=1,"ACCEPTED","WARRANT-CONSTITUTED")</f>
        <v>WARRANT-CONSTITUTED</v>
      </c>
      <c r="L84" s="5" t="n">
        <v>0</v>
      </c>
    </row>
    <row r="85" customFormat="false" ht="35.05" hidden="false" customHeight="false" outlineLevel="0" collapsed="false">
      <c r="A85" s="5" t="s">
        <v>564</v>
      </c>
      <c r="B85" s="5" t="s">
        <v>394</v>
      </c>
      <c r="C85" s="5" t="s">
        <v>20</v>
      </c>
      <c r="D85" s="5" t="s">
        <v>474</v>
      </c>
      <c r="E85" s="5" t="s">
        <v>555</v>
      </c>
      <c r="F85" s="5" t="s">
        <v>476</v>
      </c>
      <c r="G85" s="7" t="n">
        <f aca="false">1.8/144</f>
        <v>0.0125</v>
      </c>
      <c r="H85" s="5" t="s">
        <v>296</v>
      </c>
      <c r="I85" s="5" t="s">
        <v>296</v>
      </c>
      <c r="J85" s="12" t="n">
        <v>0</v>
      </c>
      <c r="K85" s="5" t="str">
        <f aca="false">IF(J85=1,"ACCEPTED","WARRANT-CONSTITUTED")</f>
        <v>WARRANT-CONSTITUTED</v>
      </c>
      <c r="L85" s="5" t="n">
        <v>0</v>
      </c>
    </row>
    <row r="86" customFormat="false" ht="35.05" hidden="false" customHeight="false" outlineLevel="0" collapsed="false">
      <c r="A86" s="5" t="s">
        <v>565</v>
      </c>
      <c r="B86" s="5" t="s">
        <v>394</v>
      </c>
      <c r="C86" s="5" t="s">
        <v>20</v>
      </c>
      <c r="D86" s="5" t="s">
        <v>478</v>
      </c>
      <c r="E86" s="5" t="s">
        <v>557</v>
      </c>
      <c r="F86" s="5" t="s">
        <v>476</v>
      </c>
      <c r="G86" s="7" t="n">
        <f aca="false">1.8/144</f>
        <v>0.0125</v>
      </c>
      <c r="H86" s="5" t="s">
        <v>296</v>
      </c>
      <c r="I86" s="5" t="s">
        <v>296</v>
      </c>
      <c r="J86" s="12" t="n">
        <v>0</v>
      </c>
      <c r="K86" s="5" t="str">
        <f aca="false">IF(J86=1,"ACCEPTED","WARRANT-CONSTITUTED")</f>
        <v>WARRANT-CONSTITUTED</v>
      </c>
      <c r="L86" s="5" t="n">
        <v>0</v>
      </c>
    </row>
    <row r="87" customFormat="false" ht="35.05" hidden="false" customHeight="false" outlineLevel="0" collapsed="false">
      <c r="A87" s="5" t="s">
        <v>566</v>
      </c>
      <c r="B87" s="5" t="s">
        <v>395</v>
      </c>
      <c r="C87" s="5" t="s">
        <v>20</v>
      </c>
      <c r="D87" s="5" t="s">
        <v>474</v>
      </c>
      <c r="E87" s="5" t="s">
        <v>555</v>
      </c>
      <c r="F87" s="5" t="s">
        <v>476</v>
      </c>
      <c r="G87" s="7" t="n">
        <f aca="false">1.8/144</f>
        <v>0.0125</v>
      </c>
      <c r="H87" s="5" t="s">
        <v>296</v>
      </c>
      <c r="I87" s="5" t="s">
        <v>296</v>
      </c>
      <c r="J87" s="12" t="n">
        <v>0</v>
      </c>
      <c r="K87" s="5" t="str">
        <f aca="false">IF(J87=1,"ACCEPTED","WARRANT-CONSTITUTED")</f>
        <v>WARRANT-CONSTITUTED</v>
      </c>
      <c r="L87" s="5" t="n">
        <v>0</v>
      </c>
    </row>
    <row r="88" customFormat="false" ht="35.05" hidden="false" customHeight="false" outlineLevel="0" collapsed="false">
      <c r="A88" s="5" t="s">
        <v>567</v>
      </c>
      <c r="B88" s="5" t="s">
        <v>395</v>
      </c>
      <c r="C88" s="5" t="s">
        <v>20</v>
      </c>
      <c r="D88" s="5" t="s">
        <v>478</v>
      </c>
      <c r="E88" s="5" t="s">
        <v>557</v>
      </c>
      <c r="F88" s="5" t="s">
        <v>476</v>
      </c>
      <c r="G88" s="7" t="n">
        <f aca="false">1.8/144</f>
        <v>0.0125</v>
      </c>
      <c r="H88" s="5" t="s">
        <v>296</v>
      </c>
      <c r="I88" s="5" t="s">
        <v>296</v>
      </c>
      <c r="J88" s="12" t="n">
        <v>0</v>
      </c>
      <c r="K88" s="5" t="str">
        <f aca="false">IF(J88=1,"ACCEPTED","WARRANT-CONSTITUTED")</f>
        <v>WARRANT-CONSTITUTED</v>
      </c>
      <c r="L88" s="5" t="n">
        <v>0</v>
      </c>
    </row>
    <row r="89" customFormat="false" ht="35.05" hidden="false" customHeight="false" outlineLevel="0" collapsed="false">
      <c r="A89" s="5" t="s">
        <v>568</v>
      </c>
      <c r="B89" s="5" t="s">
        <v>398</v>
      </c>
      <c r="C89" s="5" t="s">
        <v>20</v>
      </c>
      <c r="D89" s="5" t="s">
        <v>474</v>
      </c>
      <c r="E89" s="5" t="s">
        <v>555</v>
      </c>
      <c r="F89" s="5" t="s">
        <v>476</v>
      </c>
      <c r="G89" s="7" t="n">
        <f aca="false">1.8/144</f>
        <v>0.0125</v>
      </c>
      <c r="H89" s="5" t="s">
        <v>296</v>
      </c>
      <c r="I89" s="5" t="s">
        <v>296</v>
      </c>
      <c r="J89" s="12" t="n">
        <v>0</v>
      </c>
      <c r="K89" s="5" t="str">
        <f aca="false">IF(J89=1,"ACCEPTED","WARRANT-CONSTITUTED")</f>
        <v>WARRANT-CONSTITUTED</v>
      </c>
      <c r="L89" s="5" t="n">
        <v>0</v>
      </c>
    </row>
    <row r="90" customFormat="false" ht="35.05" hidden="false" customHeight="false" outlineLevel="0" collapsed="false">
      <c r="A90" s="5" t="s">
        <v>569</v>
      </c>
      <c r="B90" s="5" t="s">
        <v>398</v>
      </c>
      <c r="C90" s="5" t="s">
        <v>20</v>
      </c>
      <c r="D90" s="5" t="s">
        <v>478</v>
      </c>
      <c r="E90" s="5" t="s">
        <v>557</v>
      </c>
      <c r="F90" s="5" t="s">
        <v>476</v>
      </c>
      <c r="G90" s="7" t="n">
        <f aca="false">1.8/144</f>
        <v>0.0125</v>
      </c>
      <c r="H90" s="5" t="s">
        <v>296</v>
      </c>
      <c r="I90" s="5" t="s">
        <v>296</v>
      </c>
      <c r="J90" s="12" t="n">
        <v>0</v>
      </c>
      <c r="K90" s="5" t="str">
        <f aca="false">IF(J90=1,"ACCEPTED","WARRANT-CONSTITUTED")</f>
        <v>WARRANT-CONSTITUTED</v>
      </c>
      <c r="L90" s="5" t="n">
        <v>0</v>
      </c>
    </row>
    <row r="91" customFormat="false" ht="35.05" hidden="false" customHeight="false" outlineLevel="0" collapsed="false">
      <c r="A91" s="5" t="s">
        <v>570</v>
      </c>
      <c r="B91" s="5" t="s">
        <v>399</v>
      </c>
      <c r="C91" s="5" t="s">
        <v>20</v>
      </c>
      <c r="D91" s="5" t="s">
        <v>474</v>
      </c>
      <c r="E91" s="5" t="s">
        <v>555</v>
      </c>
      <c r="F91" s="5" t="s">
        <v>476</v>
      </c>
      <c r="G91" s="7" t="n">
        <f aca="false">1.8/144</f>
        <v>0.0125</v>
      </c>
      <c r="H91" s="5" t="s">
        <v>296</v>
      </c>
      <c r="I91" s="5" t="s">
        <v>296</v>
      </c>
      <c r="J91" s="12" t="n">
        <v>0</v>
      </c>
      <c r="K91" s="5" t="str">
        <f aca="false">IF(J91=1,"ACCEPTED","WARRANT-CONSTITUTED")</f>
        <v>WARRANT-CONSTITUTED</v>
      </c>
      <c r="L91" s="5" t="n">
        <v>0</v>
      </c>
    </row>
    <row r="92" customFormat="false" ht="35.05" hidden="false" customHeight="false" outlineLevel="0" collapsed="false">
      <c r="A92" s="5" t="s">
        <v>571</v>
      </c>
      <c r="B92" s="5" t="s">
        <v>399</v>
      </c>
      <c r="C92" s="5" t="s">
        <v>20</v>
      </c>
      <c r="D92" s="5" t="s">
        <v>478</v>
      </c>
      <c r="E92" s="5" t="s">
        <v>557</v>
      </c>
      <c r="F92" s="5" t="s">
        <v>476</v>
      </c>
      <c r="G92" s="7" t="n">
        <f aca="false">1.8/144</f>
        <v>0.0125</v>
      </c>
      <c r="H92" s="5" t="s">
        <v>296</v>
      </c>
      <c r="I92" s="5" t="s">
        <v>296</v>
      </c>
      <c r="J92" s="12" t="n">
        <v>0</v>
      </c>
      <c r="K92" s="5" t="str">
        <f aca="false">IF(J92=1,"ACCEPTED","WARRANT-CONSTITUTED")</f>
        <v>WARRANT-CONSTITUTED</v>
      </c>
      <c r="L92" s="5" t="n">
        <v>0</v>
      </c>
    </row>
    <row r="93" customFormat="false" ht="35.05" hidden="false" customHeight="false" outlineLevel="0" collapsed="false">
      <c r="A93" s="5" t="s">
        <v>572</v>
      </c>
      <c r="B93" s="5" t="s">
        <v>400</v>
      </c>
      <c r="C93" s="5" t="s">
        <v>20</v>
      </c>
      <c r="D93" s="5" t="s">
        <v>474</v>
      </c>
      <c r="E93" s="5" t="s">
        <v>555</v>
      </c>
      <c r="F93" s="5" t="s">
        <v>476</v>
      </c>
      <c r="G93" s="7" t="n">
        <f aca="false">1.8/144</f>
        <v>0.0125</v>
      </c>
      <c r="H93" s="5" t="s">
        <v>296</v>
      </c>
      <c r="I93" s="5" t="s">
        <v>296</v>
      </c>
      <c r="J93" s="12" t="n">
        <v>0</v>
      </c>
      <c r="K93" s="5" t="str">
        <f aca="false">IF(J93=1,"ACCEPTED","WARRANT-CONSTITUTED")</f>
        <v>WARRANT-CONSTITUTED</v>
      </c>
      <c r="L93" s="5" t="n">
        <v>0</v>
      </c>
    </row>
    <row r="94" customFormat="false" ht="35.05" hidden="false" customHeight="false" outlineLevel="0" collapsed="false">
      <c r="A94" s="5" t="s">
        <v>573</v>
      </c>
      <c r="B94" s="5" t="s">
        <v>400</v>
      </c>
      <c r="C94" s="5" t="s">
        <v>20</v>
      </c>
      <c r="D94" s="5" t="s">
        <v>478</v>
      </c>
      <c r="E94" s="5" t="s">
        <v>557</v>
      </c>
      <c r="F94" s="5" t="s">
        <v>476</v>
      </c>
      <c r="G94" s="7" t="n">
        <f aca="false">1.8/144</f>
        <v>0.0125</v>
      </c>
      <c r="H94" s="5" t="s">
        <v>296</v>
      </c>
      <c r="I94" s="5" t="s">
        <v>296</v>
      </c>
      <c r="J94" s="12" t="n">
        <v>0</v>
      </c>
      <c r="K94" s="5" t="str">
        <f aca="false">IF(J94=1,"ACCEPTED","WARRANT-CONSTITUTED")</f>
        <v>WARRANT-CONSTITUTED</v>
      </c>
      <c r="L94" s="5" t="n">
        <v>0</v>
      </c>
    </row>
    <row r="95" customFormat="false" ht="35.05" hidden="false" customHeight="false" outlineLevel="0" collapsed="false">
      <c r="A95" s="5" t="s">
        <v>574</v>
      </c>
      <c r="B95" s="5" t="s">
        <v>403</v>
      </c>
      <c r="C95" s="5" t="s">
        <v>20</v>
      </c>
      <c r="D95" s="5" t="s">
        <v>474</v>
      </c>
      <c r="E95" s="5" t="s">
        <v>555</v>
      </c>
      <c r="F95" s="5" t="s">
        <v>476</v>
      </c>
      <c r="G95" s="7" t="n">
        <f aca="false">1.8/144</f>
        <v>0.0125</v>
      </c>
      <c r="H95" s="5" t="s">
        <v>296</v>
      </c>
      <c r="I95" s="5" t="s">
        <v>296</v>
      </c>
      <c r="J95" s="12" t="n">
        <v>0</v>
      </c>
      <c r="K95" s="5" t="str">
        <f aca="false">IF(J95=1,"ACCEPTED","WARRANT-CONSTITUTED")</f>
        <v>WARRANT-CONSTITUTED</v>
      </c>
      <c r="L95" s="5" t="n">
        <v>0</v>
      </c>
    </row>
    <row r="96" customFormat="false" ht="35.05" hidden="false" customHeight="false" outlineLevel="0" collapsed="false">
      <c r="A96" s="5" t="s">
        <v>575</v>
      </c>
      <c r="B96" s="5" t="s">
        <v>403</v>
      </c>
      <c r="C96" s="5" t="s">
        <v>20</v>
      </c>
      <c r="D96" s="5" t="s">
        <v>478</v>
      </c>
      <c r="E96" s="5" t="s">
        <v>557</v>
      </c>
      <c r="F96" s="5" t="s">
        <v>476</v>
      </c>
      <c r="G96" s="7" t="n">
        <f aca="false">1.8/144</f>
        <v>0.0125</v>
      </c>
      <c r="H96" s="5" t="s">
        <v>296</v>
      </c>
      <c r="I96" s="5" t="s">
        <v>296</v>
      </c>
      <c r="J96" s="12" t="n">
        <v>0</v>
      </c>
      <c r="K96" s="5" t="str">
        <f aca="false">IF(J96=1,"ACCEPTED","WARRANT-CONSTITUTED")</f>
        <v>WARRANT-CONSTITUTED</v>
      </c>
      <c r="L96" s="5" t="n">
        <v>0</v>
      </c>
    </row>
    <row r="97" customFormat="false" ht="35.05" hidden="false" customHeight="false" outlineLevel="0" collapsed="false">
      <c r="A97" s="5" t="s">
        <v>576</v>
      </c>
      <c r="B97" s="5" t="s">
        <v>404</v>
      </c>
      <c r="C97" s="5" t="s">
        <v>20</v>
      </c>
      <c r="D97" s="5" t="s">
        <v>474</v>
      </c>
      <c r="E97" s="5" t="s">
        <v>555</v>
      </c>
      <c r="F97" s="5" t="s">
        <v>476</v>
      </c>
      <c r="G97" s="7" t="n">
        <f aca="false">1.8/144</f>
        <v>0.0125</v>
      </c>
      <c r="H97" s="5" t="s">
        <v>296</v>
      </c>
      <c r="I97" s="5" t="s">
        <v>296</v>
      </c>
      <c r="J97" s="12" t="n">
        <v>0</v>
      </c>
      <c r="K97" s="5" t="str">
        <f aca="false">IF(J97=1,"ACCEPTED","WARRANT-CONSTITUTED")</f>
        <v>WARRANT-CONSTITUTED</v>
      </c>
      <c r="L97" s="5" t="n">
        <v>0</v>
      </c>
    </row>
    <row r="98" customFormat="false" ht="35.05" hidden="false" customHeight="false" outlineLevel="0" collapsed="false">
      <c r="A98" s="5" t="s">
        <v>577</v>
      </c>
      <c r="B98" s="5" t="s">
        <v>404</v>
      </c>
      <c r="C98" s="5" t="s">
        <v>20</v>
      </c>
      <c r="D98" s="5" t="s">
        <v>478</v>
      </c>
      <c r="E98" s="5" t="s">
        <v>557</v>
      </c>
      <c r="F98" s="5" t="s">
        <v>476</v>
      </c>
      <c r="G98" s="7" t="n">
        <f aca="false">1.8/144</f>
        <v>0.0125</v>
      </c>
      <c r="H98" s="5" t="s">
        <v>296</v>
      </c>
      <c r="I98" s="5" t="s">
        <v>296</v>
      </c>
      <c r="J98" s="12" t="n">
        <v>0</v>
      </c>
      <c r="K98" s="5" t="str">
        <f aca="false">IF(J98=1,"ACCEPTED","WARRANT-CONSTITUTED")</f>
        <v>WARRANT-CONSTITUTED</v>
      </c>
      <c r="L98" s="5" t="n">
        <v>0</v>
      </c>
    </row>
    <row r="99" customFormat="false" ht="35.05" hidden="false" customHeight="false" outlineLevel="0" collapsed="false">
      <c r="A99" s="5" t="s">
        <v>578</v>
      </c>
      <c r="B99" s="5" t="s">
        <v>405</v>
      </c>
      <c r="C99" s="5" t="s">
        <v>20</v>
      </c>
      <c r="D99" s="5" t="s">
        <v>474</v>
      </c>
      <c r="E99" s="5" t="s">
        <v>555</v>
      </c>
      <c r="F99" s="5" t="s">
        <v>476</v>
      </c>
      <c r="G99" s="7" t="n">
        <f aca="false">1.8/144</f>
        <v>0.0125</v>
      </c>
      <c r="H99" s="5" t="s">
        <v>296</v>
      </c>
      <c r="I99" s="5" t="s">
        <v>296</v>
      </c>
      <c r="J99" s="12" t="n">
        <v>0</v>
      </c>
      <c r="K99" s="5" t="str">
        <f aca="false">IF(J99=1,"ACCEPTED","WARRANT-CONSTITUTED")</f>
        <v>WARRANT-CONSTITUTED</v>
      </c>
      <c r="L99" s="5" t="n">
        <v>0</v>
      </c>
    </row>
    <row r="100" customFormat="false" ht="35.05" hidden="false" customHeight="false" outlineLevel="0" collapsed="false">
      <c r="A100" s="5" t="s">
        <v>579</v>
      </c>
      <c r="B100" s="5" t="s">
        <v>405</v>
      </c>
      <c r="C100" s="5" t="s">
        <v>20</v>
      </c>
      <c r="D100" s="5" t="s">
        <v>478</v>
      </c>
      <c r="E100" s="5" t="s">
        <v>557</v>
      </c>
      <c r="F100" s="5" t="s">
        <v>476</v>
      </c>
      <c r="G100" s="7" t="n">
        <f aca="false">1.8/144</f>
        <v>0.0125</v>
      </c>
      <c r="H100" s="5" t="s">
        <v>296</v>
      </c>
      <c r="I100" s="5" t="s">
        <v>296</v>
      </c>
      <c r="J100" s="12" t="n">
        <v>0</v>
      </c>
      <c r="K100" s="5" t="str">
        <f aca="false">IF(J100=1,"ACCEPTED","WARRANT-CONSTITUTED")</f>
        <v>WARRANT-CONSTITUTED</v>
      </c>
      <c r="L100" s="5" t="n">
        <v>0</v>
      </c>
    </row>
    <row r="101" customFormat="false" ht="35.05" hidden="false" customHeight="false" outlineLevel="0" collapsed="false">
      <c r="A101" s="5" t="s">
        <v>580</v>
      </c>
      <c r="B101" s="5" t="s">
        <v>408</v>
      </c>
      <c r="C101" s="5" t="s">
        <v>24</v>
      </c>
      <c r="D101" s="5" t="s">
        <v>474</v>
      </c>
      <c r="E101" s="5" t="s">
        <v>581</v>
      </c>
      <c r="F101" s="5" t="s">
        <v>476</v>
      </c>
      <c r="G101" s="7" t="n">
        <f aca="false">1.8/144</f>
        <v>0.0125</v>
      </c>
      <c r="H101" s="5" t="s">
        <v>296</v>
      </c>
      <c r="I101" s="5" t="s">
        <v>296</v>
      </c>
      <c r="J101" s="12" t="n">
        <v>0</v>
      </c>
      <c r="K101" s="5" t="str">
        <f aca="false">IF(J101=1,"ACCEPTED","WARRANT-CONSTITUTED")</f>
        <v>WARRANT-CONSTITUTED</v>
      </c>
      <c r="L101" s="5" t="n">
        <v>0</v>
      </c>
    </row>
    <row r="102" customFormat="false" ht="35.05" hidden="false" customHeight="false" outlineLevel="0" collapsed="false">
      <c r="A102" s="5" t="s">
        <v>582</v>
      </c>
      <c r="B102" s="5" t="s">
        <v>408</v>
      </c>
      <c r="C102" s="5" t="s">
        <v>24</v>
      </c>
      <c r="D102" s="5" t="s">
        <v>478</v>
      </c>
      <c r="E102" s="5" t="s">
        <v>583</v>
      </c>
      <c r="F102" s="5" t="s">
        <v>476</v>
      </c>
      <c r="G102" s="7" t="n">
        <f aca="false">1.8/144</f>
        <v>0.0125</v>
      </c>
      <c r="H102" s="5" t="s">
        <v>296</v>
      </c>
      <c r="I102" s="5" t="s">
        <v>296</v>
      </c>
      <c r="J102" s="12" t="n">
        <v>0</v>
      </c>
      <c r="K102" s="5" t="str">
        <f aca="false">IF(J102=1,"ACCEPTED","WARRANT-CONSTITUTED")</f>
        <v>WARRANT-CONSTITUTED</v>
      </c>
      <c r="L102" s="5" t="n">
        <v>0</v>
      </c>
    </row>
    <row r="103" customFormat="false" ht="35.05" hidden="false" customHeight="false" outlineLevel="0" collapsed="false">
      <c r="A103" s="5" t="s">
        <v>584</v>
      </c>
      <c r="B103" s="5" t="s">
        <v>409</v>
      </c>
      <c r="C103" s="5" t="s">
        <v>24</v>
      </c>
      <c r="D103" s="5" t="s">
        <v>474</v>
      </c>
      <c r="E103" s="5" t="s">
        <v>581</v>
      </c>
      <c r="F103" s="5" t="s">
        <v>476</v>
      </c>
      <c r="G103" s="7" t="n">
        <f aca="false">1.8/144</f>
        <v>0.0125</v>
      </c>
      <c r="H103" s="5" t="s">
        <v>296</v>
      </c>
      <c r="I103" s="5" t="s">
        <v>296</v>
      </c>
      <c r="J103" s="12" t="n">
        <v>0</v>
      </c>
      <c r="K103" s="5" t="str">
        <f aca="false">IF(J103=1,"ACCEPTED","WARRANT-CONSTITUTED")</f>
        <v>WARRANT-CONSTITUTED</v>
      </c>
      <c r="L103" s="5" t="n">
        <v>0</v>
      </c>
    </row>
    <row r="104" customFormat="false" ht="35.05" hidden="false" customHeight="false" outlineLevel="0" collapsed="false">
      <c r="A104" s="5" t="s">
        <v>585</v>
      </c>
      <c r="B104" s="5" t="s">
        <v>409</v>
      </c>
      <c r="C104" s="5" t="s">
        <v>24</v>
      </c>
      <c r="D104" s="5" t="s">
        <v>478</v>
      </c>
      <c r="E104" s="5" t="s">
        <v>583</v>
      </c>
      <c r="F104" s="5" t="s">
        <v>476</v>
      </c>
      <c r="G104" s="7" t="n">
        <f aca="false">1.8/144</f>
        <v>0.0125</v>
      </c>
      <c r="H104" s="5" t="s">
        <v>296</v>
      </c>
      <c r="I104" s="5" t="s">
        <v>296</v>
      </c>
      <c r="J104" s="12" t="n">
        <v>0</v>
      </c>
      <c r="K104" s="5" t="str">
        <f aca="false">IF(J104=1,"ACCEPTED","WARRANT-CONSTITUTED")</f>
        <v>WARRANT-CONSTITUTED</v>
      </c>
      <c r="L104" s="5" t="n">
        <v>0</v>
      </c>
    </row>
    <row r="105" customFormat="false" ht="35.05" hidden="false" customHeight="false" outlineLevel="0" collapsed="false">
      <c r="A105" s="5" t="s">
        <v>586</v>
      </c>
      <c r="B105" s="5" t="s">
        <v>410</v>
      </c>
      <c r="C105" s="5" t="s">
        <v>24</v>
      </c>
      <c r="D105" s="5" t="s">
        <v>474</v>
      </c>
      <c r="E105" s="5" t="s">
        <v>581</v>
      </c>
      <c r="F105" s="5" t="s">
        <v>476</v>
      </c>
      <c r="G105" s="7" t="n">
        <f aca="false">1.8/144</f>
        <v>0.0125</v>
      </c>
      <c r="H105" s="5" t="s">
        <v>296</v>
      </c>
      <c r="I105" s="5" t="s">
        <v>296</v>
      </c>
      <c r="J105" s="12" t="n">
        <v>0</v>
      </c>
      <c r="K105" s="5" t="str">
        <f aca="false">IF(J105=1,"ACCEPTED","WARRANT-CONSTITUTED")</f>
        <v>WARRANT-CONSTITUTED</v>
      </c>
      <c r="L105" s="5" t="n">
        <v>0</v>
      </c>
    </row>
    <row r="106" customFormat="false" ht="35.05" hidden="false" customHeight="false" outlineLevel="0" collapsed="false">
      <c r="A106" s="5" t="s">
        <v>587</v>
      </c>
      <c r="B106" s="5" t="s">
        <v>410</v>
      </c>
      <c r="C106" s="5" t="s">
        <v>24</v>
      </c>
      <c r="D106" s="5" t="s">
        <v>478</v>
      </c>
      <c r="E106" s="5" t="s">
        <v>583</v>
      </c>
      <c r="F106" s="5" t="s">
        <v>476</v>
      </c>
      <c r="G106" s="7" t="n">
        <f aca="false">1.8/144</f>
        <v>0.0125</v>
      </c>
      <c r="H106" s="5" t="s">
        <v>296</v>
      </c>
      <c r="I106" s="5" t="s">
        <v>296</v>
      </c>
      <c r="J106" s="12" t="n">
        <v>0</v>
      </c>
      <c r="K106" s="5" t="str">
        <f aca="false">IF(J106=1,"ACCEPTED","WARRANT-CONSTITUTED")</f>
        <v>WARRANT-CONSTITUTED</v>
      </c>
      <c r="L106" s="5" t="n">
        <v>0</v>
      </c>
    </row>
    <row r="107" customFormat="false" ht="35.05" hidden="false" customHeight="false" outlineLevel="0" collapsed="false">
      <c r="A107" s="5" t="s">
        <v>588</v>
      </c>
      <c r="B107" s="5" t="s">
        <v>413</v>
      </c>
      <c r="C107" s="5" t="s">
        <v>24</v>
      </c>
      <c r="D107" s="5" t="s">
        <v>474</v>
      </c>
      <c r="E107" s="5" t="s">
        <v>581</v>
      </c>
      <c r="F107" s="5" t="s">
        <v>476</v>
      </c>
      <c r="G107" s="7" t="n">
        <f aca="false">1.8/144</f>
        <v>0.0125</v>
      </c>
      <c r="H107" s="5" t="s">
        <v>296</v>
      </c>
      <c r="I107" s="5" t="s">
        <v>296</v>
      </c>
      <c r="J107" s="12" t="n">
        <v>0</v>
      </c>
      <c r="K107" s="5" t="str">
        <f aca="false">IF(J107=1,"ACCEPTED","WARRANT-CONSTITUTED")</f>
        <v>WARRANT-CONSTITUTED</v>
      </c>
      <c r="L107" s="5" t="n">
        <v>0</v>
      </c>
    </row>
    <row r="108" customFormat="false" ht="35.05" hidden="false" customHeight="false" outlineLevel="0" collapsed="false">
      <c r="A108" s="5" t="s">
        <v>589</v>
      </c>
      <c r="B108" s="5" t="s">
        <v>413</v>
      </c>
      <c r="C108" s="5" t="s">
        <v>24</v>
      </c>
      <c r="D108" s="5" t="s">
        <v>478</v>
      </c>
      <c r="E108" s="5" t="s">
        <v>583</v>
      </c>
      <c r="F108" s="5" t="s">
        <v>476</v>
      </c>
      <c r="G108" s="7" t="n">
        <f aca="false">1.8/144</f>
        <v>0.0125</v>
      </c>
      <c r="H108" s="5" t="s">
        <v>296</v>
      </c>
      <c r="I108" s="5" t="s">
        <v>296</v>
      </c>
      <c r="J108" s="12" t="n">
        <v>0</v>
      </c>
      <c r="K108" s="5" t="str">
        <f aca="false">IF(J108=1,"ACCEPTED","WARRANT-CONSTITUTED")</f>
        <v>WARRANT-CONSTITUTED</v>
      </c>
      <c r="L108" s="5" t="n">
        <v>0</v>
      </c>
    </row>
    <row r="109" customFormat="false" ht="35.05" hidden="false" customHeight="false" outlineLevel="0" collapsed="false">
      <c r="A109" s="5" t="s">
        <v>590</v>
      </c>
      <c r="B109" s="5" t="s">
        <v>414</v>
      </c>
      <c r="C109" s="5" t="s">
        <v>24</v>
      </c>
      <c r="D109" s="5" t="s">
        <v>474</v>
      </c>
      <c r="E109" s="5" t="s">
        <v>581</v>
      </c>
      <c r="F109" s="5" t="s">
        <v>476</v>
      </c>
      <c r="G109" s="7" t="n">
        <f aca="false">1.8/144</f>
        <v>0.0125</v>
      </c>
      <c r="H109" s="5" t="s">
        <v>296</v>
      </c>
      <c r="I109" s="5" t="s">
        <v>296</v>
      </c>
      <c r="J109" s="12" t="n">
        <v>0</v>
      </c>
      <c r="K109" s="5" t="str">
        <f aca="false">IF(J109=1,"ACCEPTED","WARRANT-CONSTITUTED")</f>
        <v>WARRANT-CONSTITUTED</v>
      </c>
      <c r="L109" s="5" t="n">
        <v>0</v>
      </c>
    </row>
    <row r="110" customFormat="false" ht="35.05" hidden="false" customHeight="false" outlineLevel="0" collapsed="false">
      <c r="A110" s="5" t="s">
        <v>591</v>
      </c>
      <c r="B110" s="5" t="s">
        <v>414</v>
      </c>
      <c r="C110" s="5" t="s">
        <v>24</v>
      </c>
      <c r="D110" s="5" t="s">
        <v>478</v>
      </c>
      <c r="E110" s="5" t="s">
        <v>583</v>
      </c>
      <c r="F110" s="5" t="s">
        <v>476</v>
      </c>
      <c r="G110" s="7" t="n">
        <f aca="false">1.8/144</f>
        <v>0.0125</v>
      </c>
      <c r="H110" s="5" t="s">
        <v>296</v>
      </c>
      <c r="I110" s="5" t="s">
        <v>296</v>
      </c>
      <c r="J110" s="12" t="n">
        <v>0</v>
      </c>
      <c r="K110" s="5" t="str">
        <f aca="false">IF(J110=1,"ACCEPTED","WARRANT-CONSTITUTED")</f>
        <v>WARRANT-CONSTITUTED</v>
      </c>
      <c r="L110" s="5" t="n">
        <v>0</v>
      </c>
    </row>
    <row r="111" customFormat="false" ht="35.05" hidden="false" customHeight="false" outlineLevel="0" collapsed="false">
      <c r="A111" s="5" t="s">
        <v>592</v>
      </c>
      <c r="B111" s="5" t="s">
        <v>415</v>
      </c>
      <c r="C111" s="5" t="s">
        <v>24</v>
      </c>
      <c r="D111" s="5" t="s">
        <v>474</v>
      </c>
      <c r="E111" s="5" t="s">
        <v>581</v>
      </c>
      <c r="F111" s="5" t="s">
        <v>476</v>
      </c>
      <c r="G111" s="7" t="n">
        <f aca="false">1.8/144</f>
        <v>0.0125</v>
      </c>
      <c r="H111" s="5" t="s">
        <v>296</v>
      </c>
      <c r="I111" s="5" t="s">
        <v>296</v>
      </c>
      <c r="J111" s="12" t="n">
        <v>0</v>
      </c>
      <c r="K111" s="5" t="str">
        <f aca="false">IF(J111=1,"ACCEPTED","WARRANT-CONSTITUTED")</f>
        <v>WARRANT-CONSTITUTED</v>
      </c>
      <c r="L111" s="5" t="n">
        <v>0</v>
      </c>
    </row>
    <row r="112" customFormat="false" ht="35.05" hidden="false" customHeight="false" outlineLevel="0" collapsed="false">
      <c r="A112" s="5" t="s">
        <v>593</v>
      </c>
      <c r="B112" s="5" t="s">
        <v>415</v>
      </c>
      <c r="C112" s="5" t="s">
        <v>24</v>
      </c>
      <c r="D112" s="5" t="s">
        <v>478</v>
      </c>
      <c r="E112" s="5" t="s">
        <v>583</v>
      </c>
      <c r="F112" s="5" t="s">
        <v>476</v>
      </c>
      <c r="G112" s="7" t="n">
        <f aca="false">1.8/144</f>
        <v>0.0125</v>
      </c>
      <c r="H112" s="5" t="s">
        <v>296</v>
      </c>
      <c r="I112" s="5" t="s">
        <v>296</v>
      </c>
      <c r="J112" s="12" t="n">
        <v>0</v>
      </c>
      <c r="K112" s="5" t="str">
        <f aca="false">IF(J112=1,"ACCEPTED","WARRANT-CONSTITUTED")</f>
        <v>WARRANT-CONSTITUTED</v>
      </c>
      <c r="L112" s="5" t="n">
        <v>0</v>
      </c>
    </row>
    <row r="113" customFormat="false" ht="35.05" hidden="false" customHeight="false" outlineLevel="0" collapsed="false">
      <c r="A113" s="5" t="s">
        <v>594</v>
      </c>
      <c r="B113" s="5" t="s">
        <v>418</v>
      </c>
      <c r="C113" s="5" t="s">
        <v>24</v>
      </c>
      <c r="D113" s="5" t="s">
        <v>474</v>
      </c>
      <c r="E113" s="5" t="s">
        <v>581</v>
      </c>
      <c r="F113" s="5" t="s">
        <v>476</v>
      </c>
      <c r="G113" s="7" t="n">
        <f aca="false">1.8/144</f>
        <v>0.0125</v>
      </c>
      <c r="H113" s="5" t="s">
        <v>296</v>
      </c>
      <c r="I113" s="5" t="s">
        <v>296</v>
      </c>
      <c r="J113" s="12" t="n">
        <v>0</v>
      </c>
      <c r="K113" s="5" t="str">
        <f aca="false">IF(J113=1,"ACCEPTED","WARRANT-CONSTITUTED")</f>
        <v>WARRANT-CONSTITUTED</v>
      </c>
      <c r="L113" s="5" t="n">
        <v>0</v>
      </c>
    </row>
    <row r="114" customFormat="false" ht="35.05" hidden="false" customHeight="false" outlineLevel="0" collapsed="false">
      <c r="A114" s="5" t="s">
        <v>595</v>
      </c>
      <c r="B114" s="5" t="s">
        <v>418</v>
      </c>
      <c r="C114" s="5" t="s">
        <v>24</v>
      </c>
      <c r="D114" s="5" t="s">
        <v>478</v>
      </c>
      <c r="E114" s="5" t="s">
        <v>583</v>
      </c>
      <c r="F114" s="5" t="s">
        <v>476</v>
      </c>
      <c r="G114" s="7" t="n">
        <f aca="false">1.8/144</f>
        <v>0.0125</v>
      </c>
      <c r="H114" s="5" t="s">
        <v>296</v>
      </c>
      <c r="I114" s="5" t="s">
        <v>296</v>
      </c>
      <c r="J114" s="12" t="n">
        <v>0</v>
      </c>
      <c r="K114" s="5" t="str">
        <f aca="false">IF(J114=1,"ACCEPTED","WARRANT-CONSTITUTED")</f>
        <v>WARRANT-CONSTITUTED</v>
      </c>
      <c r="L114" s="5" t="n">
        <v>0</v>
      </c>
    </row>
    <row r="115" customFormat="false" ht="35.05" hidden="false" customHeight="false" outlineLevel="0" collapsed="false">
      <c r="A115" s="5" t="s">
        <v>596</v>
      </c>
      <c r="B115" s="5" t="s">
        <v>419</v>
      </c>
      <c r="C115" s="5" t="s">
        <v>24</v>
      </c>
      <c r="D115" s="5" t="s">
        <v>474</v>
      </c>
      <c r="E115" s="5" t="s">
        <v>581</v>
      </c>
      <c r="F115" s="5" t="s">
        <v>476</v>
      </c>
      <c r="G115" s="7" t="n">
        <f aca="false">1.8/144</f>
        <v>0.0125</v>
      </c>
      <c r="H115" s="5" t="s">
        <v>296</v>
      </c>
      <c r="I115" s="5" t="s">
        <v>296</v>
      </c>
      <c r="J115" s="12" t="n">
        <v>0</v>
      </c>
      <c r="K115" s="5" t="str">
        <f aca="false">IF(J115=1,"ACCEPTED","WARRANT-CONSTITUTED")</f>
        <v>WARRANT-CONSTITUTED</v>
      </c>
      <c r="L115" s="5" t="n">
        <v>0</v>
      </c>
    </row>
    <row r="116" customFormat="false" ht="35.05" hidden="false" customHeight="false" outlineLevel="0" collapsed="false">
      <c r="A116" s="5" t="s">
        <v>597</v>
      </c>
      <c r="B116" s="5" t="s">
        <v>419</v>
      </c>
      <c r="C116" s="5" t="s">
        <v>24</v>
      </c>
      <c r="D116" s="5" t="s">
        <v>478</v>
      </c>
      <c r="E116" s="5" t="s">
        <v>583</v>
      </c>
      <c r="F116" s="5" t="s">
        <v>476</v>
      </c>
      <c r="G116" s="7" t="n">
        <f aca="false">1.8/144</f>
        <v>0.0125</v>
      </c>
      <c r="H116" s="5" t="s">
        <v>296</v>
      </c>
      <c r="I116" s="5" t="s">
        <v>296</v>
      </c>
      <c r="J116" s="12" t="n">
        <v>0</v>
      </c>
      <c r="K116" s="5" t="str">
        <f aca="false">IF(J116=1,"ACCEPTED","WARRANT-CONSTITUTED")</f>
        <v>WARRANT-CONSTITUTED</v>
      </c>
      <c r="L116" s="5" t="n">
        <v>0</v>
      </c>
    </row>
    <row r="117" customFormat="false" ht="35.05" hidden="false" customHeight="false" outlineLevel="0" collapsed="false">
      <c r="A117" s="5" t="s">
        <v>598</v>
      </c>
      <c r="B117" s="5" t="s">
        <v>420</v>
      </c>
      <c r="C117" s="5" t="s">
        <v>24</v>
      </c>
      <c r="D117" s="5" t="s">
        <v>474</v>
      </c>
      <c r="E117" s="5" t="s">
        <v>581</v>
      </c>
      <c r="F117" s="5" t="s">
        <v>476</v>
      </c>
      <c r="G117" s="7" t="n">
        <f aca="false">1.8/144</f>
        <v>0.0125</v>
      </c>
      <c r="H117" s="5" t="s">
        <v>296</v>
      </c>
      <c r="I117" s="5" t="s">
        <v>296</v>
      </c>
      <c r="J117" s="12" t="n">
        <v>0</v>
      </c>
      <c r="K117" s="5" t="str">
        <f aca="false">IF(J117=1,"ACCEPTED","WARRANT-CONSTITUTED")</f>
        <v>WARRANT-CONSTITUTED</v>
      </c>
      <c r="L117" s="5" t="n">
        <v>0</v>
      </c>
    </row>
    <row r="118" customFormat="false" ht="35.05" hidden="false" customHeight="false" outlineLevel="0" collapsed="false">
      <c r="A118" s="5" t="s">
        <v>599</v>
      </c>
      <c r="B118" s="5" t="s">
        <v>420</v>
      </c>
      <c r="C118" s="5" t="s">
        <v>24</v>
      </c>
      <c r="D118" s="5" t="s">
        <v>478</v>
      </c>
      <c r="E118" s="5" t="s">
        <v>583</v>
      </c>
      <c r="F118" s="5" t="s">
        <v>476</v>
      </c>
      <c r="G118" s="7" t="n">
        <f aca="false">1.8/144</f>
        <v>0.0125</v>
      </c>
      <c r="H118" s="5" t="s">
        <v>296</v>
      </c>
      <c r="I118" s="5" t="s">
        <v>296</v>
      </c>
      <c r="J118" s="12" t="n">
        <v>0</v>
      </c>
      <c r="K118" s="5" t="str">
        <f aca="false">IF(J118=1,"ACCEPTED","WARRANT-CONSTITUTED")</f>
        <v>WARRANT-CONSTITUTED</v>
      </c>
      <c r="L118" s="5" t="n">
        <v>0</v>
      </c>
    </row>
    <row r="119" customFormat="false" ht="35.05" hidden="false" customHeight="false" outlineLevel="0" collapsed="false">
      <c r="A119" s="5" t="s">
        <v>600</v>
      </c>
      <c r="B119" s="5" t="s">
        <v>423</v>
      </c>
      <c r="C119" s="5" t="s">
        <v>24</v>
      </c>
      <c r="D119" s="5" t="s">
        <v>474</v>
      </c>
      <c r="E119" s="5" t="s">
        <v>581</v>
      </c>
      <c r="F119" s="5" t="s">
        <v>476</v>
      </c>
      <c r="G119" s="7" t="n">
        <f aca="false">1.8/144</f>
        <v>0.0125</v>
      </c>
      <c r="H119" s="5" t="s">
        <v>296</v>
      </c>
      <c r="I119" s="5" t="s">
        <v>296</v>
      </c>
      <c r="J119" s="12" t="n">
        <v>0</v>
      </c>
      <c r="K119" s="5" t="str">
        <f aca="false">IF(J119=1,"ACCEPTED","WARRANT-CONSTITUTED")</f>
        <v>WARRANT-CONSTITUTED</v>
      </c>
      <c r="L119" s="5" t="n">
        <v>0</v>
      </c>
    </row>
    <row r="120" customFormat="false" ht="35.05" hidden="false" customHeight="false" outlineLevel="0" collapsed="false">
      <c r="A120" s="5" t="s">
        <v>601</v>
      </c>
      <c r="B120" s="5" t="s">
        <v>423</v>
      </c>
      <c r="C120" s="5" t="s">
        <v>24</v>
      </c>
      <c r="D120" s="5" t="s">
        <v>478</v>
      </c>
      <c r="E120" s="5" t="s">
        <v>583</v>
      </c>
      <c r="F120" s="5" t="s">
        <v>476</v>
      </c>
      <c r="G120" s="7" t="n">
        <f aca="false">1.8/144</f>
        <v>0.0125</v>
      </c>
      <c r="H120" s="5" t="s">
        <v>296</v>
      </c>
      <c r="I120" s="5" t="s">
        <v>296</v>
      </c>
      <c r="J120" s="12" t="n">
        <v>0</v>
      </c>
      <c r="K120" s="5" t="str">
        <f aca="false">IF(J120=1,"ACCEPTED","WARRANT-CONSTITUTED")</f>
        <v>WARRANT-CONSTITUTED</v>
      </c>
      <c r="L120" s="5" t="n">
        <v>0</v>
      </c>
    </row>
    <row r="121" customFormat="false" ht="35.05" hidden="false" customHeight="false" outlineLevel="0" collapsed="false">
      <c r="A121" s="5" t="s">
        <v>602</v>
      </c>
      <c r="B121" s="5" t="s">
        <v>424</v>
      </c>
      <c r="C121" s="5" t="s">
        <v>24</v>
      </c>
      <c r="D121" s="5" t="s">
        <v>474</v>
      </c>
      <c r="E121" s="5" t="s">
        <v>581</v>
      </c>
      <c r="F121" s="5" t="s">
        <v>476</v>
      </c>
      <c r="G121" s="7" t="n">
        <f aca="false">1.8/144</f>
        <v>0.0125</v>
      </c>
      <c r="H121" s="5" t="s">
        <v>296</v>
      </c>
      <c r="I121" s="5" t="s">
        <v>296</v>
      </c>
      <c r="J121" s="12" t="n">
        <v>0</v>
      </c>
      <c r="K121" s="5" t="str">
        <f aca="false">IF(J121=1,"ACCEPTED","WARRANT-CONSTITUTED")</f>
        <v>WARRANT-CONSTITUTED</v>
      </c>
      <c r="L121" s="5" t="n">
        <v>0</v>
      </c>
    </row>
    <row r="122" customFormat="false" ht="35.05" hidden="false" customHeight="false" outlineLevel="0" collapsed="false">
      <c r="A122" s="5" t="s">
        <v>603</v>
      </c>
      <c r="B122" s="5" t="s">
        <v>424</v>
      </c>
      <c r="C122" s="5" t="s">
        <v>24</v>
      </c>
      <c r="D122" s="5" t="s">
        <v>478</v>
      </c>
      <c r="E122" s="5" t="s">
        <v>583</v>
      </c>
      <c r="F122" s="5" t="s">
        <v>476</v>
      </c>
      <c r="G122" s="7" t="n">
        <f aca="false">1.8/144</f>
        <v>0.0125</v>
      </c>
      <c r="H122" s="5" t="s">
        <v>296</v>
      </c>
      <c r="I122" s="5" t="s">
        <v>296</v>
      </c>
      <c r="J122" s="12" t="n">
        <v>0</v>
      </c>
      <c r="K122" s="5" t="str">
        <f aca="false">IF(J122=1,"ACCEPTED","WARRANT-CONSTITUTED")</f>
        <v>WARRANT-CONSTITUTED</v>
      </c>
      <c r="L122" s="5" t="n">
        <v>0</v>
      </c>
    </row>
    <row r="123" customFormat="false" ht="35.05" hidden="false" customHeight="false" outlineLevel="0" collapsed="false">
      <c r="A123" s="5" t="s">
        <v>604</v>
      </c>
      <c r="B123" s="5" t="s">
        <v>425</v>
      </c>
      <c r="C123" s="5" t="s">
        <v>24</v>
      </c>
      <c r="D123" s="5" t="s">
        <v>474</v>
      </c>
      <c r="E123" s="5" t="s">
        <v>581</v>
      </c>
      <c r="F123" s="5" t="s">
        <v>476</v>
      </c>
      <c r="G123" s="7" t="n">
        <f aca="false">1.8/144</f>
        <v>0.0125</v>
      </c>
      <c r="H123" s="5" t="s">
        <v>296</v>
      </c>
      <c r="I123" s="5" t="s">
        <v>296</v>
      </c>
      <c r="J123" s="12" t="n">
        <v>0</v>
      </c>
      <c r="K123" s="5" t="str">
        <f aca="false">IF(J123=1,"ACCEPTED","WARRANT-CONSTITUTED")</f>
        <v>WARRANT-CONSTITUTED</v>
      </c>
      <c r="L123" s="5" t="n">
        <v>0</v>
      </c>
    </row>
    <row r="124" customFormat="false" ht="35.05" hidden="false" customHeight="false" outlineLevel="0" collapsed="false">
      <c r="A124" s="5" t="s">
        <v>605</v>
      </c>
      <c r="B124" s="5" t="s">
        <v>425</v>
      </c>
      <c r="C124" s="5" t="s">
        <v>24</v>
      </c>
      <c r="D124" s="5" t="s">
        <v>478</v>
      </c>
      <c r="E124" s="5" t="s">
        <v>583</v>
      </c>
      <c r="F124" s="5" t="s">
        <v>476</v>
      </c>
      <c r="G124" s="7" t="n">
        <f aca="false">1.8/144</f>
        <v>0.0125</v>
      </c>
      <c r="H124" s="5" t="s">
        <v>296</v>
      </c>
      <c r="I124" s="5" t="s">
        <v>296</v>
      </c>
      <c r="J124" s="12" t="n">
        <v>0</v>
      </c>
      <c r="K124" s="5" t="str">
        <f aca="false">IF(J124=1,"ACCEPTED","WARRANT-CONSTITUTED")</f>
        <v>WARRANT-CONSTITUTED</v>
      </c>
      <c r="L124" s="5" t="n">
        <v>0</v>
      </c>
    </row>
    <row r="125" customFormat="false" ht="35.05" hidden="false" customHeight="false" outlineLevel="0" collapsed="false">
      <c r="A125" s="5" t="s">
        <v>606</v>
      </c>
      <c r="B125" s="5" t="s">
        <v>428</v>
      </c>
      <c r="C125" s="5" t="s">
        <v>31</v>
      </c>
      <c r="D125" s="5" t="s">
        <v>474</v>
      </c>
      <c r="E125" s="5" t="s">
        <v>607</v>
      </c>
      <c r="F125" s="5" t="s">
        <v>476</v>
      </c>
      <c r="G125" s="7" t="n">
        <f aca="false">1.8/144</f>
        <v>0.0125</v>
      </c>
      <c r="H125" s="5" t="s">
        <v>296</v>
      </c>
      <c r="I125" s="5" t="s">
        <v>296</v>
      </c>
      <c r="J125" s="12" t="n">
        <v>0</v>
      </c>
      <c r="K125" s="5" t="str">
        <f aca="false">IF(J125=1,"ACCEPTED","WARRANT-CONSTITUTED")</f>
        <v>WARRANT-CONSTITUTED</v>
      </c>
      <c r="L125" s="5" t="n">
        <v>0</v>
      </c>
    </row>
    <row r="126" customFormat="false" ht="35.05" hidden="false" customHeight="false" outlineLevel="0" collapsed="false">
      <c r="A126" s="5" t="s">
        <v>608</v>
      </c>
      <c r="B126" s="5" t="s">
        <v>428</v>
      </c>
      <c r="C126" s="5" t="s">
        <v>31</v>
      </c>
      <c r="D126" s="5" t="s">
        <v>478</v>
      </c>
      <c r="E126" s="5" t="s">
        <v>609</v>
      </c>
      <c r="F126" s="5" t="s">
        <v>476</v>
      </c>
      <c r="G126" s="7" t="n">
        <f aca="false">1.8/144</f>
        <v>0.0125</v>
      </c>
      <c r="H126" s="5" t="s">
        <v>296</v>
      </c>
      <c r="I126" s="5" t="s">
        <v>296</v>
      </c>
      <c r="J126" s="12" t="n">
        <v>0</v>
      </c>
      <c r="K126" s="5" t="str">
        <f aca="false">IF(J126=1,"ACCEPTED","WARRANT-CONSTITUTED")</f>
        <v>WARRANT-CONSTITUTED</v>
      </c>
      <c r="L126" s="5" t="n">
        <v>0</v>
      </c>
    </row>
    <row r="127" customFormat="false" ht="35.05" hidden="false" customHeight="false" outlineLevel="0" collapsed="false">
      <c r="A127" s="5" t="s">
        <v>610</v>
      </c>
      <c r="B127" s="5" t="s">
        <v>429</v>
      </c>
      <c r="C127" s="5" t="s">
        <v>31</v>
      </c>
      <c r="D127" s="5" t="s">
        <v>474</v>
      </c>
      <c r="E127" s="5" t="s">
        <v>607</v>
      </c>
      <c r="F127" s="5" t="s">
        <v>476</v>
      </c>
      <c r="G127" s="7" t="n">
        <f aca="false">1.8/144</f>
        <v>0.0125</v>
      </c>
      <c r="H127" s="5" t="s">
        <v>296</v>
      </c>
      <c r="I127" s="5" t="s">
        <v>296</v>
      </c>
      <c r="J127" s="12" t="n">
        <v>0</v>
      </c>
      <c r="K127" s="5" t="str">
        <f aca="false">IF(J127=1,"ACCEPTED","WARRANT-CONSTITUTED")</f>
        <v>WARRANT-CONSTITUTED</v>
      </c>
      <c r="L127" s="5" t="n">
        <v>0</v>
      </c>
    </row>
    <row r="128" customFormat="false" ht="35.05" hidden="false" customHeight="false" outlineLevel="0" collapsed="false">
      <c r="A128" s="5" t="s">
        <v>611</v>
      </c>
      <c r="B128" s="5" t="s">
        <v>429</v>
      </c>
      <c r="C128" s="5" t="s">
        <v>31</v>
      </c>
      <c r="D128" s="5" t="s">
        <v>478</v>
      </c>
      <c r="E128" s="5" t="s">
        <v>609</v>
      </c>
      <c r="F128" s="5" t="s">
        <v>476</v>
      </c>
      <c r="G128" s="7" t="n">
        <f aca="false">1.8/144</f>
        <v>0.0125</v>
      </c>
      <c r="H128" s="5" t="s">
        <v>296</v>
      </c>
      <c r="I128" s="5" t="s">
        <v>296</v>
      </c>
      <c r="J128" s="12" t="n">
        <v>0</v>
      </c>
      <c r="K128" s="5" t="str">
        <f aca="false">IF(J128=1,"ACCEPTED","WARRANT-CONSTITUTED")</f>
        <v>WARRANT-CONSTITUTED</v>
      </c>
      <c r="L128" s="5" t="n">
        <v>0</v>
      </c>
    </row>
    <row r="129" customFormat="false" ht="35.05" hidden="false" customHeight="false" outlineLevel="0" collapsed="false">
      <c r="A129" s="5" t="s">
        <v>612</v>
      </c>
      <c r="B129" s="5" t="s">
        <v>430</v>
      </c>
      <c r="C129" s="5" t="s">
        <v>31</v>
      </c>
      <c r="D129" s="5" t="s">
        <v>474</v>
      </c>
      <c r="E129" s="5" t="s">
        <v>607</v>
      </c>
      <c r="F129" s="5" t="s">
        <v>476</v>
      </c>
      <c r="G129" s="7" t="n">
        <f aca="false">1.8/144</f>
        <v>0.0125</v>
      </c>
      <c r="H129" s="5" t="s">
        <v>296</v>
      </c>
      <c r="I129" s="5" t="s">
        <v>296</v>
      </c>
      <c r="J129" s="12" t="n">
        <v>0</v>
      </c>
      <c r="K129" s="5" t="str">
        <f aca="false">IF(J129=1,"ACCEPTED","WARRANT-CONSTITUTED")</f>
        <v>WARRANT-CONSTITUTED</v>
      </c>
      <c r="L129" s="5" t="n">
        <v>0</v>
      </c>
    </row>
    <row r="130" customFormat="false" ht="35.05" hidden="false" customHeight="false" outlineLevel="0" collapsed="false">
      <c r="A130" s="5" t="s">
        <v>613</v>
      </c>
      <c r="B130" s="5" t="s">
        <v>430</v>
      </c>
      <c r="C130" s="5" t="s">
        <v>31</v>
      </c>
      <c r="D130" s="5" t="s">
        <v>478</v>
      </c>
      <c r="E130" s="5" t="s">
        <v>609</v>
      </c>
      <c r="F130" s="5" t="s">
        <v>476</v>
      </c>
      <c r="G130" s="7" t="n">
        <f aca="false">1.8/144</f>
        <v>0.0125</v>
      </c>
      <c r="H130" s="5" t="s">
        <v>296</v>
      </c>
      <c r="I130" s="5" t="s">
        <v>296</v>
      </c>
      <c r="J130" s="12" t="n">
        <v>0</v>
      </c>
      <c r="K130" s="5" t="str">
        <f aca="false">IF(J130=1,"ACCEPTED","WARRANT-CONSTITUTED")</f>
        <v>WARRANT-CONSTITUTED</v>
      </c>
      <c r="L130" s="5" t="n">
        <v>0</v>
      </c>
    </row>
    <row r="131" customFormat="false" ht="35.05" hidden="false" customHeight="false" outlineLevel="0" collapsed="false">
      <c r="A131" s="5" t="s">
        <v>614</v>
      </c>
      <c r="B131" s="5" t="s">
        <v>433</v>
      </c>
      <c r="C131" s="5" t="s">
        <v>31</v>
      </c>
      <c r="D131" s="5" t="s">
        <v>474</v>
      </c>
      <c r="E131" s="5" t="s">
        <v>607</v>
      </c>
      <c r="F131" s="5" t="s">
        <v>476</v>
      </c>
      <c r="G131" s="7" t="n">
        <f aca="false">1.8/144</f>
        <v>0.0125</v>
      </c>
      <c r="H131" s="5" t="s">
        <v>296</v>
      </c>
      <c r="I131" s="5" t="s">
        <v>296</v>
      </c>
      <c r="J131" s="12" t="n">
        <v>0</v>
      </c>
      <c r="K131" s="5" t="str">
        <f aca="false">IF(J131=1,"ACCEPTED","WARRANT-CONSTITUTED")</f>
        <v>WARRANT-CONSTITUTED</v>
      </c>
      <c r="L131" s="5" t="n">
        <v>0</v>
      </c>
    </row>
    <row r="132" customFormat="false" ht="35.05" hidden="false" customHeight="false" outlineLevel="0" collapsed="false">
      <c r="A132" s="5" t="s">
        <v>615</v>
      </c>
      <c r="B132" s="5" t="s">
        <v>433</v>
      </c>
      <c r="C132" s="5" t="s">
        <v>31</v>
      </c>
      <c r="D132" s="5" t="s">
        <v>478</v>
      </c>
      <c r="E132" s="5" t="s">
        <v>609</v>
      </c>
      <c r="F132" s="5" t="s">
        <v>476</v>
      </c>
      <c r="G132" s="7" t="n">
        <f aca="false">1.8/144</f>
        <v>0.0125</v>
      </c>
      <c r="H132" s="5" t="s">
        <v>296</v>
      </c>
      <c r="I132" s="5" t="s">
        <v>296</v>
      </c>
      <c r="J132" s="12" t="n">
        <v>0</v>
      </c>
      <c r="K132" s="5" t="str">
        <f aca="false">IF(J132=1,"ACCEPTED","WARRANT-CONSTITUTED")</f>
        <v>WARRANT-CONSTITUTED</v>
      </c>
      <c r="L132" s="5" t="n">
        <v>0</v>
      </c>
    </row>
    <row r="133" customFormat="false" ht="35.05" hidden="false" customHeight="false" outlineLevel="0" collapsed="false">
      <c r="A133" s="5" t="s">
        <v>616</v>
      </c>
      <c r="B133" s="5" t="s">
        <v>434</v>
      </c>
      <c r="C133" s="5" t="s">
        <v>31</v>
      </c>
      <c r="D133" s="5" t="s">
        <v>474</v>
      </c>
      <c r="E133" s="5" t="s">
        <v>607</v>
      </c>
      <c r="F133" s="5" t="s">
        <v>476</v>
      </c>
      <c r="G133" s="7" t="n">
        <f aca="false">1.8/144</f>
        <v>0.0125</v>
      </c>
      <c r="H133" s="5" t="s">
        <v>296</v>
      </c>
      <c r="I133" s="5" t="s">
        <v>296</v>
      </c>
      <c r="J133" s="12" t="n">
        <v>0</v>
      </c>
      <c r="K133" s="5" t="str">
        <f aca="false">IF(J133=1,"ACCEPTED","WARRANT-CONSTITUTED")</f>
        <v>WARRANT-CONSTITUTED</v>
      </c>
      <c r="L133" s="5" t="n">
        <v>0</v>
      </c>
    </row>
    <row r="134" customFormat="false" ht="35.05" hidden="false" customHeight="false" outlineLevel="0" collapsed="false">
      <c r="A134" s="5" t="s">
        <v>617</v>
      </c>
      <c r="B134" s="5" t="s">
        <v>434</v>
      </c>
      <c r="C134" s="5" t="s">
        <v>31</v>
      </c>
      <c r="D134" s="5" t="s">
        <v>478</v>
      </c>
      <c r="E134" s="5" t="s">
        <v>609</v>
      </c>
      <c r="F134" s="5" t="s">
        <v>476</v>
      </c>
      <c r="G134" s="7" t="n">
        <f aca="false">1.8/144</f>
        <v>0.0125</v>
      </c>
      <c r="H134" s="5" t="s">
        <v>296</v>
      </c>
      <c r="I134" s="5" t="s">
        <v>296</v>
      </c>
      <c r="J134" s="12" t="n">
        <v>0</v>
      </c>
      <c r="K134" s="5" t="str">
        <f aca="false">IF(J134=1,"ACCEPTED","WARRANT-CONSTITUTED")</f>
        <v>WARRANT-CONSTITUTED</v>
      </c>
      <c r="L134" s="5" t="n">
        <v>0</v>
      </c>
    </row>
    <row r="135" customFormat="false" ht="35.05" hidden="false" customHeight="false" outlineLevel="0" collapsed="false">
      <c r="A135" s="5" t="s">
        <v>618</v>
      </c>
      <c r="B135" s="5" t="s">
        <v>435</v>
      </c>
      <c r="C135" s="5" t="s">
        <v>31</v>
      </c>
      <c r="D135" s="5" t="s">
        <v>474</v>
      </c>
      <c r="E135" s="5" t="s">
        <v>607</v>
      </c>
      <c r="F135" s="5" t="s">
        <v>476</v>
      </c>
      <c r="G135" s="7" t="n">
        <f aca="false">1.8/144</f>
        <v>0.0125</v>
      </c>
      <c r="H135" s="5" t="s">
        <v>296</v>
      </c>
      <c r="I135" s="5" t="s">
        <v>296</v>
      </c>
      <c r="J135" s="12" t="n">
        <v>0</v>
      </c>
      <c r="K135" s="5" t="str">
        <f aca="false">IF(J135=1,"ACCEPTED","WARRANT-CONSTITUTED")</f>
        <v>WARRANT-CONSTITUTED</v>
      </c>
      <c r="L135" s="5" t="n">
        <v>0</v>
      </c>
    </row>
    <row r="136" customFormat="false" ht="35.05" hidden="false" customHeight="false" outlineLevel="0" collapsed="false">
      <c r="A136" s="5" t="s">
        <v>619</v>
      </c>
      <c r="B136" s="5" t="s">
        <v>435</v>
      </c>
      <c r="C136" s="5" t="s">
        <v>31</v>
      </c>
      <c r="D136" s="5" t="s">
        <v>478</v>
      </c>
      <c r="E136" s="5" t="s">
        <v>609</v>
      </c>
      <c r="F136" s="5" t="s">
        <v>476</v>
      </c>
      <c r="G136" s="7" t="n">
        <f aca="false">1.8/144</f>
        <v>0.0125</v>
      </c>
      <c r="H136" s="5" t="s">
        <v>296</v>
      </c>
      <c r="I136" s="5" t="s">
        <v>296</v>
      </c>
      <c r="J136" s="12" t="n">
        <v>0</v>
      </c>
      <c r="K136" s="5" t="str">
        <f aca="false">IF(J136=1,"ACCEPTED","WARRANT-CONSTITUTED")</f>
        <v>WARRANT-CONSTITUTED</v>
      </c>
      <c r="L136" s="5" t="n">
        <v>0</v>
      </c>
    </row>
    <row r="137" customFormat="false" ht="35.05" hidden="false" customHeight="false" outlineLevel="0" collapsed="false">
      <c r="A137" s="5" t="s">
        <v>620</v>
      </c>
      <c r="B137" s="5" t="s">
        <v>438</v>
      </c>
      <c r="C137" s="5" t="s">
        <v>31</v>
      </c>
      <c r="D137" s="5" t="s">
        <v>474</v>
      </c>
      <c r="E137" s="5" t="s">
        <v>607</v>
      </c>
      <c r="F137" s="5" t="s">
        <v>476</v>
      </c>
      <c r="G137" s="7" t="n">
        <f aca="false">1.8/144</f>
        <v>0.0125</v>
      </c>
      <c r="H137" s="5" t="s">
        <v>296</v>
      </c>
      <c r="I137" s="5" t="s">
        <v>296</v>
      </c>
      <c r="J137" s="12" t="n">
        <v>0</v>
      </c>
      <c r="K137" s="5" t="str">
        <f aca="false">IF(J137=1,"ACCEPTED","WARRANT-CONSTITUTED")</f>
        <v>WARRANT-CONSTITUTED</v>
      </c>
      <c r="L137" s="5" t="n">
        <v>0</v>
      </c>
    </row>
    <row r="138" customFormat="false" ht="35.05" hidden="false" customHeight="false" outlineLevel="0" collapsed="false">
      <c r="A138" s="5" t="s">
        <v>621</v>
      </c>
      <c r="B138" s="5" t="s">
        <v>438</v>
      </c>
      <c r="C138" s="5" t="s">
        <v>31</v>
      </c>
      <c r="D138" s="5" t="s">
        <v>478</v>
      </c>
      <c r="E138" s="5" t="s">
        <v>609</v>
      </c>
      <c r="F138" s="5" t="s">
        <v>476</v>
      </c>
      <c r="G138" s="7" t="n">
        <f aca="false">1.8/144</f>
        <v>0.0125</v>
      </c>
      <c r="H138" s="5" t="s">
        <v>296</v>
      </c>
      <c r="I138" s="5" t="s">
        <v>296</v>
      </c>
      <c r="J138" s="12" t="n">
        <v>0</v>
      </c>
      <c r="K138" s="5" t="str">
        <f aca="false">IF(J138=1,"ACCEPTED","WARRANT-CONSTITUTED")</f>
        <v>WARRANT-CONSTITUTED</v>
      </c>
      <c r="L138" s="5" t="n">
        <v>0</v>
      </c>
    </row>
    <row r="139" customFormat="false" ht="35.05" hidden="false" customHeight="false" outlineLevel="0" collapsed="false">
      <c r="A139" s="5" t="s">
        <v>622</v>
      </c>
      <c r="B139" s="5" t="s">
        <v>439</v>
      </c>
      <c r="C139" s="5" t="s">
        <v>31</v>
      </c>
      <c r="D139" s="5" t="s">
        <v>474</v>
      </c>
      <c r="E139" s="5" t="s">
        <v>607</v>
      </c>
      <c r="F139" s="5" t="s">
        <v>476</v>
      </c>
      <c r="G139" s="7" t="n">
        <f aca="false">1.8/144</f>
        <v>0.0125</v>
      </c>
      <c r="H139" s="5" t="s">
        <v>296</v>
      </c>
      <c r="I139" s="5" t="s">
        <v>296</v>
      </c>
      <c r="J139" s="12" t="n">
        <v>0</v>
      </c>
      <c r="K139" s="5" t="str">
        <f aca="false">IF(J139=1,"ACCEPTED","WARRANT-CONSTITUTED")</f>
        <v>WARRANT-CONSTITUTED</v>
      </c>
      <c r="L139" s="5" t="n">
        <v>0</v>
      </c>
    </row>
    <row r="140" customFormat="false" ht="35.05" hidden="false" customHeight="false" outlineLevel="0" collapsed="false">
      <c r="A140" s="5" t="s">
        <v>623</v>
      </c>
      <c r="B140" s="5" t="s">
        <v>439</v>
      </c>
      <c r="C140" s="5" t="s">
        <v>31</v>
      </c>
      <c r="D140" s="5" t="s">
        <v>478</v>
      </c>
      <c r="E140" s="5" t="s">
        <v>609</v>
      </c>
      <c r="F140" s="5" t="s">
        <v>476</v>
      </c>
      <c r="G140" s="7" t="n">
        <f aca="false">1.8/144</f>
        <v>0.0125</v>
      </c>
      <c r="H140" s="5" t="s">
        <v>296</v>
      </c>
      <c r="I140" s="5" t="s">
        <v>296</v>
      </c>
      <c r="J140" s="12" t="n">
        <v>0</v>
      </c>
      <c r="K140" s="5" t="str">
        <f aca="false">IF(J140=1,"ACCEPTED","WARRANT-CONSTITUTED")</f>
        <v>WARRANT-CONSTITUTED</v>
      </c>
      <c r="L140" s="5" t="n">
        <v>0</v>
      </c>
    </row>
    <row r="141" customFormat="false" ht="35.05" hidden="false" customHeight="false" outlineLevel="0" collapsed="false">
      <c r="A141" s="5" t="s">
        <v>624</v>
      </c>
      <c r="B141" s="5" t="s">
        <v>440</v>
      </c>
      <c r="C141" s="5" t="s">
        <v>31</v>
      </c>
      <c r="D141" s="5" t="s">
        <v>474</v>
      </c>
      <c r="E141" s="5" t="s">
        <v>607</v>
      </c>
      <c r="F141" s="5" t="s">
        <v>476</v>
      </c>
      <c r="G141" s="7" t="n">
        <f aca="false">1.8/144</f>
        <v>0.0125</v>
      </c>
      <c r="H141" s="5" t="s">
        <v>296</v>
      </c>
      <c r="I141" s="5" t="s">
        <v>296</v>
      </c>
      <c r="J141" s="12" t="n">
        <v>0</v>
      </c>
      <c r="K141" s="5" t="str">
        <f aca="false">IF(J141=1,"ACCEPTED","WARRANT-CONSTITUTED")</f>
        <v>WARRANT-CONSTITUTED</v>
      </c>
      <c r="L141" s="5" t="n">
        <v>0</v>
      </c>
    </row>
    <row r="142" customFormat="false" ht="35.05" hidden="false" customHeight="false" outlineLevel="0" collapsed="false">
      <c r="A142" s="5" t="s">
        <v>625</v>
      </c>
      <c r="B142" s="5" t="s">
        <v>440</v>
      </c>
      <c r="C142" s="5" t="s">
        <v>31</v>
      </c>
      <c r="D142" s="5" t="s">
        <v>478</v>
      </c>
      <c r="E142" s="5" t="s">
        <v>609</v>
      </c>
      <c r="F142" s="5" t="s">
        <v>476</v>
      </c>
      <c r="G142" s="7" t="n">
        <f aca="false">1.8/144</f>
        <v>0.0125</v>
      </c>
      <c r="H142" s="5" t="s">
        <v>296</v>
      </c>
      <c r="I142" s="5" t="s">
        <v>296</v>
      </c>
      <c r="J142" s="12" t="n">
        <v>0</v>
      </c>
      <c r="K142" s="5" t="str">
        <f aca="false">IF(J142=1,"ACCEPTED","WARRANT-CONSTITUTED")</f>
        <v>WARRANT-CONSTITUTED</v>
      </c>
      <c r="L142" s="5" t="n">
        <v>0</v>
      </c>
    </row>
    <row r="143" customFormat="false" ht="35.05" hidden="false" customHeight="false" outlineLevel="0" collapsed="false">
      <c r="A143" s="5" t="s">
        <v>626</v>
      </c>
      <c r="B143" s="5" t="s">
        <v>443</v>
      </c>
      <c r="C143" s="5" t="s">
        <v>31</v>
      </c>
      <c r="D143" s="5" t="s">
        <v>474</v>
      </c>
      <c r="E143" s="5" t="s">
        <v>607</v>
      </c>
      <c r="F143" s="5" t="s">
        <v>476</v>
      </c>
      <c r="G143" s="7" t="n">
        <f aca="false">1.8/144</f>
        <v>0.0125</v>
      </c>
      <c r="H143" s="5" t="s">
        <v>296</v>
      </c>
      <c r="I143" s="5" t="s">
        <v>296</v>
      </c>
      <c r="J143" s="12" t="n">
        <v>0</v>
      </c>
      <c r="K143" s="5" t="str">
        <f aca="false">IF(J143=1,"ACCEPTED","WARRANT-CONSTITUTED")</f>
        <v>WARRANT-CONSTITUTED</v>
      </c>
      <c r="L143" s="5" t="n">
        <v>0</v>
      </c>
    </row>
    <row r="144" customFormat="false" ht="35.05" hidden="false" customHeight="false" outlineLevel="0" collapsed="false">
      <c r="A144" s="5" t="s">
        <v>627</v>
      </c>
      <c r="B144" s="5" t="s">
        <v>443</v>
      </c>
      <c r="C144" s="5" t="s">
        <v>31</v>
      </c>
      <c r="D144" s="5" t="s">
        <v>478</v>
      </c>
      <c r="E144" s="5" t="s">
        <v>609</v>
      </c>
      <c r="F144" s="5" t="s">
        <v>476</v>
      </c>
      <c r="G144" s="7" t="n">
        <f aca="false">1.8/144</f>
        <v>0.0125</v>
      </c>
      <c r="H144" s="5" t="s">
        <v>296</v>
      </c>
      <c r="I144" s="5" t="s">
        <v>296</v>
      </c>
      <c r="J144" s="12" t="n">
        <v>0</v>
      </c>
      <c r="K144" s="5" t="str">
        <f aca="false">IF(J144=1,"ACCEPTED","WARRANT-CONSTITUTED")</f>
        <v>WARRANT-CONSTITUTED</v>
      </c>
      <c r="L144" s="5" t="n">
        <v>0</v>
      </c>
    </row>
    <row r="145" customFormat="false" ht="35.05" hidden="false" customHeight="false" outlineLevel="0" collapsed="false">
      <c r="A145" s="5" t="s">
        <v>628</v>
      </c>
      <c r="B145" s="5" t="s">
        <v>444</v>
      </c>
      <c r="C145" s="5" t="s">
        <v>31</v>
      </c>
      <c r="D145" s="5" t="s">
        <v>474</v>
      </c>
      <c r="E145" s="5" t="s">
        <v>607</v>
      </c>
      <c r="F145" s="5" t="s">
        <v>476</v>
      </c>
      <c r="G145" s="7" t="n">
        <f aca="false">1.8/144</f>
        <v>0.0125</v>
      </c>
      <c r="H145" s="5" t="s">
        <v>296</v>
      </c>
      <c r="I145" s="5" t="s">
        <v>296</v>
      </c>
      <c r="J145" s="12" t="n">
        <v>0</v>
      </c>
      <c r="K145" s="5" t="str">
        <f aca="false">IF(J145=1,"ACCEPTED","WARRANT-CONSTITUTED")</f>
        <v>WARRANT-CONSTITUTED</v>
      </c>
      <c r="L145" s="5" t="n">
        <v>0</v>
      </c>
    </row>
    <row r="146" customFormat="false" ht="35.05" hidden="false" customHeight="false" outlineLevel="0" collapsed="false">
      <c r="A146" s="5" t="s">
        <v>629</v>
      </c>
      <c r="B146" s="5" t="s">
        <v>444</v>
      </c>
      <c r="C146" s="5" t="s">
        <v>31</v>
      </c>
      <c r="D146" s="5" t="s">
        <v>478</v>
      </c>
      <c r="E146" s="5" t="s">
        <v>609</v>
      </c>
      <c r="F146" s="5" t="s">
        <v>476</v>
      </c>
      <c r="G146" s="7" t="n">
        <f aca="false">1.8/144</f>
        <v>0.0125</v>
      </c>
      <c r="H146" s="5" t="s">
        <v>296</v>
      </c>
      <c r="I146" s="5" t="s">
        <v>296</v>
      </c>
      <c r="J146" s="12" t="n">
        <v>0</v>
      </c>
      <c r="K146" s="5" t="str">
        <f aca="false">IF(J146=1,"ACCEPTED","WARRANT-CONSTITUTED")</f>
        <v>WARRANT-CONSTITUTED</v>
      </c>
      <c r="L146" s="5" t="n">
        <v>0</v>
      </c>
    </row>
    <row r="147" customFormat="false" ht="35.05" hidden="false" customHeight="false" outlineLevel="0" collapsed="false">
      <c r="A147" s="5" t="s">
        <v>630</v>
      </c>
      <c r="B147" s="5" t="s">
        <v>445</v>
      </c>
      <c r="C147" s="5" t="s">
        <v>31</v>
      </c>
      <c r="D147" s="5" t="s">
        <v>474</v>
      </c>
      <c r="E147" s="5" t="s">
        <v>607</v>
      </c>
      <c r="F147" s="5" t="s">
        <v>476</v>
      </c>
      <c r="G147" s="7" t="n">
        <f aca="false">1.8/144</f>
        <v>0.0125</v>
      </c>
      <c r="H147" s="5" t="s">
        <v>296</v>
      </c>
      <c r="I147" s="5" t="s">
        <v>296</v>
      </c>
      <c r="J147" s="12" t="n">
        <v>0</v>
      </c>
      <c r="K147" s="5" t="str">
        <f aca="false">IF(J147=1,"ACCEPTED","WARRANT-CONSTITUTED")</f>
        <v>WARRANT-CONSTITUTED</v>
      </c>
      <c r="L147" s="5" t="n">
        <v>0</v>
      </c>
    </row>
    <row r="148" customFormat="false" ht="35.05" hidden="false" customHeight="false" outlineLevel="0" collapsed="false">
      <c r="A148" s="5" t="s">
        <v>631</v>
      </c>
      <c r="B148" s="5" t="s">
        <v>445</v>
      </c>
      <c r="C148" s="5" t="s">
        <v>31</v>
      </c>
      <c r="D148" s="5" t="s">
        <v>478</v>
      </c>
      <c r="E148" s="5" t="s">
        <v>609</v>
      </c>
      <c r="F148" s="5" t="s">
        <v>476</v>
      </c>
      <c r="G148" s="7" t="n">
        <f aca="false">1.8/144</f>
        <v>0.0125</v>
      </c>
      <c r="H148" s="5" t="s">
        <v>296</v>
      </c>
      <c r="I148" s="5" t="s">
        <v>296</v>
      </c>
      <c r="J148" s="12" t="n">
        <v>0</v>
      </c>
      <c r="K148" s="5" t="str">
        <f aca="false">IF(J148=1,"ACCEPTED","WARRANT-CONSTITUTED")</f>
        <v>WARRANT-CONSTITUTED</v>
      </c>
      <c r="L148" s="5" t="n">
        <v>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22"/>
    <col collapsed="false" customWidth="true" hidden="false" outlineLevel="0" max="2" min="2" style="0" width="7.22"/>
    <col collapsed="false" customWidth="true" hidden="false" outlineLevel="0" max="4" min="3" style="0" width="7.78"/>
    <col collapsed="false" customWidth="true" hidden="false" outlineLevel="0" max="5" min="5" style="0" width="11.11"/>
    <col collapsed="false" customWidth="true" hidden="false" outlineLevel="0" max="6" min="6" style="0" width="10"/>
    <col collapsed="false" customWidth="true" hidden="false" outlineLevel="0" max="7" min="7" style="0" width="33.33"/>
    <col collapsed="false" customWidth="true" hidden="false" outlineLevel="0" max="10" min="8" style="0" width="9.44"/>
    <col collapsed="false" customWidth="true" hidden="false" outlineLevel="0" max="11" min="11" style="0" width="10"/>
    <col collapsed="false" customWidth="true" hidden="false" outlineLevel="0" max="12" min="12" style="0" width="10.56"/>
  </cols>
  <sheetData>
    <row r="1" customFormat="false" ht="26" hidden="false" customHeight="true" outlineLevel="0" collapsed="false">
      <c r="A1" s="1" t="s">
        <v>632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633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634</v>
      </c>
      <c r="B4" s="6" t="s">
        <v>184</v>
      </c>
      <c r="C4" s="6" t="s">
        <v>185</v>
      </c>
      <c r="D4" s="6" t="s">
        <v>247</v>
      </c>
      <c r="E4" s="6" t="s">
        <v>635</v>
      </c>
      <c r="F4" s="6" t="s">
        <v>636</v>
      </c>
      <c r="G4" s="6" t="s">
        <v>637</v>
      </c>
      <c r="H4" s="6" t="s">
        <v>638</v>
      </c>
      <c r="I4" s="6" t="s">
        <v>639</v>
      </c>
      <c r="J4" s="6" t="s">
        <v>640</v>
      </c>
      <c r="K4" s="6" t="s">
        <v>254</v>
      </c>
      <c r="L4" s="6" t="s">
        <v>641</v>
      </c>
    </row>
    <row r="5" customFormat="false" ht="23.85" hidden="false" customHeight="false" outlineLevel="0" collapsed="false">
      <c r="A5" s="5" t="s">
        <v>642</v>
      </c>
      <c r="B5" s="5" t="s">
        <v>8</v>
      </c>
      <c r="C5" s="5" t="s">
        <v>7</v>
      </c>
      <c r="D5" s="5" t="s">
        <v>643</v>
      </c>
      <c r="E5" s="5" t="s">
        <v>294</v>
      </c>
      <c r="F5" s="5" t="s">
        <v>474</v>
      </c>
      <c r="G5" s="5" t="s">
        <v>644</v>
      </c>
      <c r="H5" s="5" t="n">
        <v>1</v>
      </c>
      <c r="I5" s="5" t="n">
        <v>5</v>
      </c>
      <c r="J5" s="12" t="n">
        <v>0</v>
      </c>
      <c r="K5" s="5"/>
      <c r="L5" s="5" t="str">
        <f aca="false">IF(AND(H5=1,J5=I5,K5&lt;&gt;""),"ADJUDICABLE","HOLD")</f>
        <v>HOLD</v>
      </c>
    </row>
    <row r="6" customFormat="false" ht="23.85" hidden="false" customHeight="false" outlineLevel="0" collapsed="false">
      <c r="A6" s="5" t="s">
        <v>645</v>
      </c>
      <c r="B6" s="5" t="s">
        <v>8</v>
      </c>
      <c r="C6" s="5" t="s">
        <v>7</v>
      </c>
      <c r="D6" s="5" t="s">
        <v>643</v>
      </c>
      <c r="E6" s="5" t="s">
        <v>294</v>
      </c>
      <c r="F6" s="5" t="s">
        <v>478</v>
      </c>
      <c r="G6" s="5" t="s">
        <v>644</v>
      </c>
      <c r="H6" s="5" t="n">
        <v>1</v>
      </c>
      <c r="I6" s="5" t="n">
        <v>5</v>
      </c>
      <c r="J6" s="12" t="n">
        <v>0</v>
      </c>
      <c r="K6" s="5"/>
      <c r="L6" s="5" t="str">
        <f aca="false">IF(AND(H6=1,J6=I6,K6&lt;&gt;""),"ADJUDICABLE","HOLD")</f>
        <v>HOLD</v>
      </c>
    </row>
    <row r="7" customFormat="false" ht="23.85" hidden="false" customHeight="false" outlineLevel="0" collapsed="false">
      <c r="A7" s="5" t="s">
        <v>646</v>
      </c>
      <c r="B7" s="5" t="s">
        <v>8</v>
      </c>
      <c r="C7" s="5" t="s">
        <v>7</v>
      </c>
      <c r="D7" s="5" t="s">
        <v>643</v>
      </c>
      <c r="E7" s="5" t="s">
        <v>299</v>
      </c>
      <c r="F7" s="5" t="s">
        <v>474</v>
      </c>
      <c r="G7" s="5" t="s">
        <v>644</v>
      </c>
      <c r="H7" s="5" t="n">
        <v>1</v>
      </c>
      <c r="I7" s="5" t="n">
        <v>5</v>
      </c>
      <c r="J7" s="12" t="n">
        <v>0</v>
      </c>
      <c r="K7" s="5"/>
      <c r="L7" s="5" t="str">
        <f aca="false">IF(AND(H7=1,J7=I7,K7&lt;&gt;""),"ADJUDICABLE","HOLD")</f>
        <v>HOLD</v>
      </c>
    </row>
    <row r="8" customFormat="false" ht="23.85" hidden="false" customHeight="false" outlineLevel="0" collapsed="false">
      <c r="A8" s="5" t="s">
        <v>647</v>
      </c>
      <c r="B8" s="5" t="s">
        <v>8</v>
      </c>
      <c r="C8" s="5" t="s">
        <v>7</v>
      </c>
      <c r="D8" s="5" t="s">
        <v>643</v>
      </c>
      <c r="E8" s="5" t="s">
        <v>299</v>
      </c>
      <c r="F8" s="5" t="s">
        <v>478</v>
      </c>
      <c r="G8" s="5" t="s">
        <v>644</v>
      </c>
      <c r="H8" s="5" t="n">
        <v>1</v>
      </c>
      <c r="I8" s="5" t="n">
        <v>5</v>
      </c>
      <c r="J8" s="12" t="n">
        <v>0</v>
      </c>
      <c r="K8" s="5"/>
      <c r="L8" s="5" t="str">
        <f aca="false">IF(AND(H8=1,J8=I8,K8&lt;&gt;""),"ADJUDICABLE","HOLD")</f>
        <v>HOLD</v>
      </c>
    </row>
    <row r="9" customFormat="false" ht="23.85" hidden="false" customHeight="false" outlineLevel="0" collapsed="false">
      <c r="A9" s="5" t="s">
        <v>648</v>
      </c>
      <c r="B9" s="5" t="s">
        <v>8</v>
      </c>
      <c r="C9" s="5" t="s">
        <v>7</v>
      </c>
      <c r="D9" s="5" t="s">
        <v>643</v>
      </c>
      <c r="E9" s="5" t="s">
        <v>302</v>
      </c>
      <c r="F9" s="5" t="s">
        <v>474</v>
      </c>
      <c r="G9" s="5" t="s">
        <v>644</v>
      </c>
      <c r="H9" s="5" t="n">
        <v>1</v>
      </c>
      <c r="I9" s="5" t="n">
        <v>5</v>
      </c>
      <c r="J9" s="12" t="n">
        <v>0</v>
      </c>
      <c r="K9" s="5"/>
      <c r="L9" s="5" t="str">
        <f aca="false">IF(AND(H9=1,J9=I9,K9&lt;&gt;""),"ADJUDICABLE","HOLD")</f>
        <v>HOLD</v>
      </c>
    </row>
    <row r="10" customFormat="false" ht="23.85" hidden="false" customHeight="false" outlineLevel="0" collapsed="false">
      <c r="A10" s="5" t="s">
        <v>649</v>
      </c>
      <c r="B10" s="5" t="s">
        <v>8</v>
      </c>
      <c r="C10" s="5" t="s">
        <v>7</v>
      </c>
      <c r="D10" s="5" t="s">
        <v>643</v>
      </c>
      <c r="E10" s="5" t="s">
        <v>302</v>
      </c>
      <c r="F10" s="5" t="s">
        <v>478</v>
      </c>
      <c r="G10" s="5" t="s">
        <v>644</v>
      </c>
      <c r="H10" s="5" t="n">
        <v>1</v>
      </c>
      <c r="I10" s="5" t="n">
        <v>5</v>
      </c>
      <c r="J10" s="12" t="n">
        <v>0</v>
      </c>
      <c r="K10" s="5"/>
      <c r="L10" s="5" t="str">
        <f aca="false">IF(AND(H10=1,J10=I10,K10&lt;&gt;""),"ADJUDICABLE","HOLD")</f>
        <v>HOLD</v>
      </c>
    </row>
    <row r="11" customFormat="false" ht="23.85" hidden="false" customHeight="false" outlineLevel="0" collapsed="false">
      <c r="A11" s="5" t="s">
        <v>650</v>
      </c>
      <c r="B11" s="5" t="s">
        <v>8</v>
      </c>
      <c r="C11" s="5" t="s">
        <v>7</v>
      </c>
      <c r="D11" s="5" t="s">
        <v>651</v>
      </c>
      <c r="E11" s="5" t="s">
        <v>294</v>
      </c>
      <c r="F11" s="5" t="s">
        <v>474</v>
      </c>
      <c r="G11" s="5" t="s">
        <v>644</v>
      </c>
      <c r="H11" s="5" t="n">
        <v>1</v>
      </c>
      <c r="I11" s="5" t="n">
        <v>5</v>
      </c>
      <c r="J11" s="12" t="n">
        <v>0</v>
      </c>
      <c r="K11" s="5"/>
      <c r="L11" s="5" t="str">
        <f aca="false">IF(AND(H11=1,J11=I11,K11&lt;&gt;""),"ADJUDICABLE","HOLD")</f>
        <v>HOLD</v>
      </c>
    </row>
    <row r="12" customFormat="false" ht="23.85" hidden="false" customHeight="false" outlineLevel="0" collapsed="false">
      <c r="A12" s="5" t="s">
        <v>652</v>
      </c>
      <c r="B12" s="5" t="s">
        <v>8</v>
      </c>
      <c r="C12" s="5" t="s">
        <v>7</v>
      </c>
      <c r="D12" s="5" t="s">
        <v>651</v>
      </c>
      <c r="E12" s="5" t="s">
        <v>294</v>
      </c>
      <c r="F12" s="5" t="s">
        <v>478</v>
      </c>
      <c r="G12" s="5" t="s">
        <v>644</v>
      </c>
      <c r="H12" s="5" t="n">
        <v>1</v>
      </c>
      <c r="I12" s="5" t="n">
        <v>5</v>
      </c>
      <c r="J12" s="12" t="n">
        <v>0</v>
      </c>
      <c r="K12" s="5"/>
      <c r="L12" s="5" t="str">
        <f aca="false">IF(AND(H12=1,J12=I12,K12&lt;&gt;""),"ADJUDICABLE","HOLD")</f>
        <v>HOLD</v>
      </c>
    </row>
    <row r="13" customFormat="false" ht="23.85" hidden="false" customHeight="false" outlineLevel="0" collapsed="false">
      <c r="A13" s="5" t="s">
        <v>653</v>
      </c>
      <c r="B13" s="5" t="s">
        <v>8</v>
      </c>
      <c r="C13" s="5" t="s">
        <v>7</v>
      </c>
      <c r="D13" s="5" t="s">
        <v>651</v>
      </c>
      <c r="E13" s="5" t="s">
        <v>299</v>
      </c>
      <c r="F13" s="5" t="s">
        <v>474</v>
      </c>
      <c r="G13" s="5" t="s">
        <v>644</v>
      </c>
      <c r="H13" s="5" t="n">
        <v>1</v>
      </c>
      <c r="I13" s="5" t="n">
        <v>5</v>
      </c>
      <c r="J13" s="12" t="n">
        <v>0</v>
      </c>
      <c r="K13" s="5"/>
      <c r="L13" s="5" t="str">
        <f aca="false">IF(AND(H13=1,J13=I13,K13&lt;&gt;""),"ADJUDICABLE","HOLD")</f>
        <v>HOLD</v>
      </c>
    </row>
    <row r="14" customFormat="false" ht="23.85" hidden="false" customHeight="false" outlineLevel="0" collapsed="false">
      <c r="A14" s="5" t="s">
        <v>654</v>
      </c>
      <c r="B14" s="5" t="s">
        <v>8</v>
      </c>
      <c r="C14" s="5" t="s">
        <v>7</v>
      </c>
      <c r="D14" s="5" t="s">
        <v>651</v>
      </c>
      <c r="E14" s="5" t="s">
        <v>299</v>
      </c>
      <c r="F14" s="5" t="s">
        <v>478</v>
      </c>
      <c r="G14" s="5" t="s">
        <v>644</v>
      </c>
      <c r="H14" s="5" t="n">
        <v>1</v>
      </c>
      <c r="I14" s="5" t="n">
        <v>5</v>
      </c>
      <c r="J14" s="12" t="n">
        <v>0</v>
      </c>
      <c r="K14" s="5"/>
      <c r="L14" s="5" t="str">
        <f aca="false">IF(AND(H14=1,J14=I14,K14&lt;&gt;""),"ADJUDICABLE","HOLD")</f>
        <v>HOLD</v>
      </c>
    </row>
    <row r="15" customFormat="false" ht="23.85" hidden="false" customHeight="false" outlineLevel="0" collapsed="false">
      <c r="A15" s="5" t="s">
        <v>655</v>
      </c>
      <c r="B15" s="5" t="s">
        <v>8</v>
      </c>
      <c r="C15" s="5" t="s">
        <v>7</v>
      </c>
      <c r="D15" s="5" t="s">
        <v>651</v>
      </c>
      <c r="E15" s="5" t="s">
        <v>302</v>
      </c>
      <c r="F15" s="5" t="s">
        <v>474</v>
      </c>
      <c r="G15" s="5" t="s">
        <v>644</v>
      </c>
      <c r="H15" s="5" t="n">
        <v>1</v>
      </c>
      <c r="I15" s="5" t="n">
        <v>5</v>
      </c>
      <c r="J15" s="12" t="n">
        <v>0</v>
      </c>
      <c r="K15" s="5"/>
      <c r="L15" s="5" t="str">
        <f aca="false">IF(AND(H15=1,J15=I15,K15&lt;&gt;""),"ADJUDICABLE","HOLD")</f>
        <v>HOLD</v>
      </c>
    </row>
    <row r="16" customFormat="false" ht="23.85" hidden="false" customHeight="false" outlineLevel="0" collapsed="false">
      <c r="A16" s="5" t="s">
        <v>656</v>
      </c>
      <c r="B16" s="5" t="s">
        <v>8</v>
      </c>
      <c r="C16" s="5" t="s">
        <v>7</v>
      </c>
      <c r="D16" s="5" t="s">
        <v>651</v>
      </c>
      <c r="E16" s="5" t="s">
        <v>302</v>
      </c>
      <c r="F16" s="5" t="s">
        <v>478</v>
      </c>
      <c r="G16" s="5" t="s">
        <v>644</v>
      </c>
      <c r="H16" s="5" t="n">
        <v>1</v>
      </c>
      <c r="I16" s="5" t="n">
        <v>5</v>
      </c>
      <c r="J16" s="12" t="n">
        <v>0</v>
      </c>
      <c r="K16" s="5"/>
      <c r="L16" s="5" t="str">
        <f aca="false">IF(AND(H16=1,J16=I16,K16&lt;&gt;""),"ADJUDICABLE","HOLD")</f>
        <v>HOLD</v>
      </c>
    </row>
    <row r="17" customFormat="false" ht="23.85" hidden="false" customHeight="false" outlineLevel="0" collapsed="false">
      <c r="A17" s="5" t="s">
        <v>657</v>
      </c>
      <c r="B17" s="5" t="s">
        <v>13</v>
      </c>
      <c r="C17" s="5" t="s">
        <v>12</v>
      </c>
      <c r="D17" s="5" t="s">
        <v>643</v>
      </c>
      <c r="E17" s="5" t="s">
        <v>294</v>
      </c>
      <c r="F17" s="5" t="s">
        <v>474</v>
      </c>
      <c r="G17" s="5" t="s">
        <v>658</v>
      </c>
      <c r="H17" s="5" t="n">
        <v>1</v>
      </c>
      <c r="I17" s="5" t="n">
        <v>5</v>
      </c>
      <c r="J17" s="12" t="n">
        <v>0</v>
      </c>
      <c r="K17" s="5"/>
      <c r="L17" s="5" t="str">
        <f aca="false">IF(AND(H17=1,J17=I17,K17&lt;&gt;""),"ADJUDICABLE","HOLD")</f>
        <v>HOLD</v>
      </c>
    </row>
    <row r="18" customFormat="false" ht="23.85" hidden="false" customHeight="false" outlineLevel="0" collapsed="false">
      <c r="A18" s="5" t="s">
        <v>659</v>
      </c>
      <c r="B18" s="5" t="s">
        <v>13</v>
      </c>
      <c r="C18" s="5" t="s">
        <v>12</v>
      </c>
      <c r="D18" s="5" t="s">
        <v>643</v>
      </c>
      <c r="E18" s="5" t="s">
        <v>294</v>
      </c>
      <c r="F18" s="5" t="s">
        <v>478</v>
      </c>
      <c r="G18" s="5" t="s">
        <v>658</v>
      </c>
      <c r="H18" s="5" t="n">
        <v>1</v>
      </c>
      <c r="I18" s="5" t="n">
        <v>5</v>
      </c>
      <c r="J18" s="12" t="n">
        <v>0</v>
      </c>
      <c r="K18" s="5"/>
      <c r="L18" s="5" t="str">
        <f aca="false">IF(AND(H18=1,J18=I18,K18&lt;&gt;""),"ADJUDICABLE","HOLD")</f>
        <v>HOLD</v>
      </c>
    </row>
    <row r="19" customFormat="false" ht="23.85" hidden="false" customHeight="false" outlineLevel="0" collapsed="false">
      <c r="A19" s="5" t="s">
        <v>660</v>
      </c>
      <c r="B19" s="5" t="s">
        <v>13</v>
      </c>
      <c r="C19" s="5" t="s">
        <v>12</v>
      </c>
      <c r="D19" s="5" t="s">
        <v>643</v>
      </c>
      <c r="E19" s="5" t="s">
        <v>299</v>
      </c>
      <c r="F19" s="5" t="s">
        <v>474</v>
      </c>
      <c r="G19" s="5" t="s">
        <v>658</v>
      </c>
      <c r="H19" s="5" t="n">
        <v>1</v>
      </c>
      <c r="I19" s="5" t="n">
        <v>5</v>
      </c>
      <c r="J19" s="12" t="n">
        <v>0</v>
      </c>
      <c r="K19" s="5"/>
      <c r="L19" s="5" t="str">
        <f aca="false">IF(AND(H19=1,J19=I19,K19&lt;&gt;""),"ADJUDICABLE","HOLD")</f>
        <v>HOLD</v>
      </c>
    </row>
    <row r="20" customFormat="false" ht="23.85" hidden="false" customHeight="false" outlineLevel="0" collapsed="false">
      <c r="A20" s="5" t="s">
        <v>661</v>
      </c>
      <c r="B20" s="5" t="s">
        <v>13</v>
      </c>
      <c r="C20" s="5" t="s">
        <v>12</v>
      </c>
      <c r="D20" s="5" t="s">
        <v>643</v>
      </c>
      <c r="E20" s="5" t="s">
        <v>299</v>
      </c>
      <c r="F20" s="5" t="s">
        <v>478</v>
      </c>
      <c r="G20" s="5" t="s">
        <v>658</v>
      </c>
      <c r="H20" s="5" t="n">
        <v>1</v>
      </c>
      <c r="I20" s="5" t="n">
        <v>5</v>
      </c>
      <c r="J20" s="12" t="n">
        <v>0</v>
      </c>
      <c r="K20" s="5"/>
      <c r="L20" s="5" t="str">
        <f aca="false">IF(AND(H20=1,J20=I20,K20&lt;&gt;""),"ADJUDICABLE","HOLD")</f>
        <v>HOLD</v>
      </c>
    </row>
    <row r="21" customFormat="false" ht="23.85" hidden="false" customHeight="false" outlineLevel="0" collapsed="false">
      <c r="A21" s="5" t="s">
        <v>662</v>
      </c>
      <c r="B21" s="5" t="s">
        <v>13</v>
      </c>
      <c r="C21" s="5" t="s">
        <v>12</v>
      </c>
      <c r="D21" s="5" t="s">
        <v>643</v>
      </c>
      <c r="E21" s="5" t="s">
        <v>302</v>
      </c>
      <c r="F21" s="5" t="s">
        <v>474</v>
      </c>
      <c r="G21" s="5" t="s">
        <v>658</v>
      </c>
      <c r="H21" s="5" t="n">
        <v>1</v>
      </c>
      <c r="I21" s="5" t="n">
        <v>5</v>
      </c>
      <c r="J21" s="12" t="n">
        <v>0</v>
      </c>
      <c r="K21" s="5"/>
      <c r="L21" s="5" t="str">
        <f aca="false">IF(AND(H21=1,J21=I21,K21&lt;&gt;""),"ADJUDICABLE","HOLD")</f>
        <v>HOLD</v>
      </c>
    </row>
    <row r="22" customFormat="false" ht="23.85" hidden="false" customHeight="false" outlineLevel="0" collapsed="false">
      <c r="A22" s="5" t="s">
        <v>663</v>
      </c>
      <c r="B22" s="5" t="s">
        <v>13</v>
      </c>
      <c r="C22" s="5" t="s">
        <v>12</v>
      </c>
      <c r="D22" s="5" t="s">
        <v>643</v>
      </c>
      <c r="E22" s="5" t="s">
        <v>302</v>
      </c>
      <c r="F22" s="5" t="s">
        <v>478</v>
      </c>
      <c r="G22" s="5" t="s">
        <v>658</v>
      </c>
      <c r="H22" s="5" t="n">
        <v>1</v>
      </c>
      <c r="I22" s="5" t="n">
        <v>5</v>
      </c>
      <c r="J22" s="12" t="n">
        <v>0</v>
      </c>
      <c r="K22" s="5"/>
      <c r="L22" s="5" t="str">
        <f aca="false">IF(AND(H22=1,J22=I22,K22&lt;&gt;""),"ADJUDICABLE","HOLD")</f>
        <v>HOLD</v>
      </c>
    </row>
    <row r="23" customFormat="false" ht="23.85" hidden="false" customHeight="false" outlineLevel="0" collapsed="false">
      <c r="A23" s="5" t="s">
        <v>664</v>
      </c>
      <c r="B23" s="5" t="s">
        <v>13</v>
      </c>
      <c r="C23" s="5" t="s">
        <v>12</v>
      </c>
      <c r="D23" s="5" t="s">
        <v>651</v>
      </c>
      <c r="E23" s="5" t="s">
        <v>294</v>
      </c>
      <c r="F23" s="5" t="s">
        <v>474</v>
      </c>
      <c r="G23" s="5" t="s">
        <v>658</v>
      </c>
      <c r="H23" s="5" t="n">
        <v>1</v>
      </c>
      <c r="I23" s="5" t="n">
        <v>5</v>
      </c>
      <c r="J23" s="12" t="n">
        <v>0</v>
      </c>
      <c r="K23" s="5"/>
      <c r="L23" s="5" t="str">
        <f aca="false">IF(AND(H23=1,J23=I23,K23&lt;&gt;""),"ADJUDICABLE","HOLD")</f>
        <v>HOLD</v>
      </c>
    </row>
    <row r="24" customFormat="false" ht="23.85" hidden="false" customHeight="false" outlineLevel="0" collapsed="false">
      <c r="A24" s="5" t="s">
        <v>665</v>
      </c>
      <c r="B24" s="5" t="s">
        <v>13</v>
      </c>
      <c r="C24" s="5" t="s">
        <v>12</v>
      </c>
      <c r="D24" s="5" t="s">
        <v>651</v>
      </c>
      <c r="E24" s="5" t="s">
        <v>294</v>
      </c>
      <c r="F24" s="5" t="s">
        <v>478</v>
      </c>
      <c r="G24" s="5" t="s">
        <v>658</v>
      </c>
      <c r="H24" s="5" t="n">
        <v>1</v>
      </c>
      <c r="I24" s="5" t="n">
        <v>5</v>
      </c>
      <c r="J24" s="12" t="n">
        <v>0</v>
      </c>
      <c r="K24" s="5"/>
      <c r="L24" s="5" t="str">
        <f aca="false">IF(AND(H24=1,J24=I24,K24&lt;&gt;""),"ADJUDICABLE","HOLD")</f>
        <v>HOLD</v>
      </c>
    </row>
    <row r="25" customFormat="false" ht="23.85" hidden="false" customHeight="false" outlineLevel="0" collapsed="false">
      <c r="A25" s="5" t="s">
        <v>666</v>
      </c>
      <c r="B25" s="5" t="s">
        <v>13</v>
      </c>
      <c r="C25" s="5" t="s">
        <v>12</v>
      </c>
      <c r="D25" s="5" t="s">
        <v>651</v>
      </c>
      <c r="E25" s="5" t="s">
        <v>299</v>
      </c>
      <c r="F25" s="5" t="s">
        <v>474</v>
      </c>
      <c r="G25" s="5" t="s">
        <v>658</v>
      </c>
      <c r="H25" s="5" t="n">
        <v>1</v>
      </c>
      <c r="I25" s="5" t="n">
        <v>5</v>
      </c>
      <c r="J25" s="12" t="n">
        <v>0</v>
      </c>
      <c r="K25" s="5"/>
      <c r="L25" s="5" t="str">
        <f aca="false">IF(AND(H25=1,J25=I25,K25&lt;&gt;""),"ADJUDICABLE","HOLD")</f>
        <v>HOLD</v>
      </c>
    </row>
    <row r="26" customFormat="false" ht="23.85" hidden="false" customHeight="false" outlineLevel="0" collapsed="false">
      <c r="A26" s="5" t="s">
        <v>667</v>
      </c>
      <c r="B26" s="5" t="s">
        <v>13</v>
      </c>
      <c r="C26" s="5" t="s">
        <v>12</v>
      </c>
      <c r="D26" s="5" t="s">
        <v>651</v>
      </c>
      <c r="E26" s="5" t="s">
        <v>299</v>
      </c>
      <c r="F26" s="5" t="s">
        <v>478</v>
      </c>
      <c r="G26" s="5" t="s">
        <v>658</v>
      </c>
      <c r="H26" s="5" t="n">
        <v>1</v>
      </c>
      <c r="I26" s="5" t="n">
        <v>5</v>
      </c>
      <c r="J26" s="12" t="n">
        <v>0</v>
      </c>
      <c r="K26" s="5"/>
      <c r="L26" s="5" t="str">
        <f aca="false">IF(AND(H26=1,J26=I26,K26&lt;&gt;""),"ADJUDICABLE","HOLD")</f>
        <v>HOLD</v>
      </c>
    </row>
    <row r="27" customFormat="false" ht="23.85" hidden="false" customHeight="false" outlineLevel="0" collapsed="false">
      <c r="A27" s="5" t="s">
        <v>668</v>
      </c>
      <c r="B27" s="5" t="s">
        <v>13</v>
      </c>
      <c r="C27" s="5" t="s">
        <v>12</v>
      </c>
      <c r="D27" s="5" t="s">
        <v>651</v>
      </c>
      <c r="E27" s="5" t="s">
        <v>302</v>
      </c>
      <c r="F27" s="5" t="s">
        <v>474</v>
      </c>
      <c r="G27" s="5" t="s">
        <v>658</v>
      </c>
      <c r="H27" s="5" t="n">
        <v>1</v>
      </c>
      <c r="I27" s="5" t="n">
        <v>5</v>
      </c>
      <c r="J27" s="12" t="n">
        <v>0</v>
      </c>
      <c r="K27" s="5"/>
      <c r="L27" s="5" t="str">
        <f aca="false">IF(AND(H27=1,J27=I27,K27&lt;&gt;""),"ADJUDICABLE","HOLD")</f>
        <v>HOLD</v>
      </c>
    </row>
    <row r="28" customFormat="false" ht="23.85" hidden="false" customHeight="false" outlineLevel="0" collapsed="false">
      <c r="A28" s="5" t="s">
        <v>669</v>
      </c>
      <c r="B28" s="5" t="s">
        <v>13</v>
      </c>
      <c r="C28" s="5" t="s">
        <v>12</v>
      </c>
      <c r="D28" s="5" t="s">
        <v>651</v>
      </c>
      <c r="E28" s="5" t="s">
        <v>302</v>
      </c>
      <c r="F28" s="5" t="s">
        <v>478</v>
      </c>
      <c r="G28" s="5" t="s">
        <v>658</v>
      </c>
      <c r="H28" s="5" t="n">
        <v>1</v>
      </c>
      <c r="I28" s="5" t="n">
        <v>5</v>
      </c>
      <c r="J28" s="12" t="n">
        <v>0</v>
      </c>
      <c r="K28" s="5"/>
      <c r="L28" s="5" t="str">
        <f aca="false">IF(AND(H28=1,J28=I28,K28&lt;&gt;""),"ADJUDICABLE","HOLD")</f>
        <v>HOLD</v>
      </c>
    </row>
    <row r="29" customFormat="false" ht="23.85" hidden="false" customHeight="false" outlineLevel="0" collapsed="false">
      <c r="A29" s="5" t="s">
        <v>670</v>
      </c>
      <c r="B29" s="5" t="s">
        <v>18</v>
      </c>
      <c r="C29" s="5" t="s">
        <v>17</v>
      </c>
      <c r="D29" s="5" t="s">
        <v>643</v>
      </c>
      <c r="E29" s="5" t="s">
        <v>294</v>
      </c>
      <c r="F29" s="5" t="s">
        <v>474</v>
      </c>
      <c r="G29" s="5" t="s">
        <v>671</v>
      </c>
      <c r="H29" s="5" t="n">
        <v>1</v>
      </c>
      <c r="I29" s="5" t="n">
        <v>5</v>
      </c>
      <c r="J29" s="12" t="n">
        <v>0</v>
      </c>
      <c r="K29" s="5"/>
      <c r="L29" s="5" t="str">
        <f aca="false">IF(AND(H29=1,J29=I29,K29&lt;&gt;""),"ADJUDICABLE","HOLD")</f>
        <v>HOLD</v>
      </c>
    </row>
    <row r="30" customFormat="false" ht="23.85" hidden="false" customHeight="false" outlineLevel="0" collapsed="false">
      <c r="A30" s="5" t="s">
        <v>672</v>
      </c>
      <c r="B30" s="5" t="s">
        <v>18</v>
      </c>
      <c r="C30" s="5" t="s">
        <v>17</v>
      </c>
      <c r="D30" s="5" t="s">
        <v>643</v>
      </c>
      <c r="E30" s="5" t="s">
        <v>294</v>
      </c>
      <c r="F30" s="5" t="s">
        <v>478</v>
      </c>
      <c r="G30" s="5" t="s">
        <v>671</v>
      </c>
      <c r="H30" s="5" t="n">
        <v>1</v>
      </c>
      <c r="I30" s="5" t="n">
        <v>5</v>
      </c>
      <c r="J30" s="12" t="n">
        <v>0</v>
      </c>
      <c r="K30" s="5"/>
      <c r="L30" s="5" t="str">
        <f aca="false">IF(AND(H30=1,J30=I30,K30&lt;&gt;""),"ADJUDICABLE","HOLD")</f>
        <v>HOLD</v>
      </c>
    </row>
    <row r="31" customFormat="false" ht="23.85" hidden="false" customHeight="false" outlineLevel="0" collapsed="false">
      <c r="A31" s="5" t="s">
        <v>673</v>
      </c>
      <c r="B31" s="5" t="s">
        <v>18</v>
      </c>
      <c r="C31" s="5" t="s">
        <v>17</v>
      </c>
      <c r="D31" s="5" t="s">
        <v>643</v>
      </c>
      <c r="E31" s="5" t="s">
        <v>299</v>
      </c>
      <c r="F31" s="5" t="s">
        <v>474</v>
      </c>
      <c r="G31" s="5" t="s">
        <v>671</v>
      </c>
      <c r="H31" s="5" t="n">
        <v>1</v>
      </c>
      <c r="I31" s="5" t="n">
        <v>5</v>
      </c>
      <c r="J31" s="12" t="n">
        <v>0</v>
      </c>
      <c r="K31" s="5"/>
      <c r="L31" s="5" t="str">
        <f aca="false">IF(AND(H31=1,J31=I31,K31&lt;&gt;""),"ADJUDICABLE","HOLD")</f>
        <v>HOLD</v>
      </c>
    </row>
    <row r="32" customFormat="false" ht="23.85" hidden="false" customHeight="false" outlineLevel="0" collapsed="false">
      <c r="A32" s="5" t="s">
        <v>674</v>
      </c>
      <c r="B32" s="5" t="s">
        <v>18</v>
      </c>
      <c r="C32" s="5" t="s">
        <v>17</v>
      </c>
      <c r="D32" s="5" t="s">
        <v>643</v>
      </c>
      <c r="E32" s="5" t="s">
        <v>299</v>
      </c>
      <c r="F32" s="5" t="s">
        <v>478</v>
      </c>
      <c r="G32" s="5" t="s">
        <v>671</v>
      </c>
      <c r="H32" s="5" t="n">
        <v>1</v>
      </c>
      <c r="I32" s="5" t="n">
        <v>5</v>
      </c>
      <c r="J32" s="12" t="n">
        <v>0</v>
      </c>
      <c r="K32" s="5"/>
      <c r="L32" s="5" t="str">
        <f aca="false">IF(AND(H32=1,J32=I32,K32&lt;&gt;""),"ADJUDICABLE","HOLD")</f>
        <v>HOLD</v>
      </c>
    </row>
    <row r="33" customFormat="false" ht="23.85" hidden="false" customHeight="false" outlineLevel="0" collapsed="false">
      <c r="A33" s="5" t="s">
        <v>675</v>
      </c>
      <c r="B33" s="5" t="s">
        <v>18</v>
      </c>
      <c r="C33" s="5" t="s">
        <v>17</v>
      </c>
      <c r="D33" s="5" t="s">
        <v>643</v>
      </c>
      <c r="E33" s="5" t="s">
        <v>302</v>
      </c>
      <c r="F33" s="5" t="s">
        <v>474</v>
      </c>
      <c r="G33" s="5" t="s">
        <v>671</v>
      </c>
      <c r="H33" s="5" t="n">
        <v>1</v>
      </c>
      <c r="I33" s="5" t="n">
        <v>5</v>
      </c>
      <c r="J33" s="12" t="n">
        <v>0</v>
      </c>
      <c r="K33" s="5"/>
      <c r="L33" s="5" t="str">
        <f aca="false">IF(AND(H33=1,J33=I33,K33&lt;&gt;""),"ADJUDICABLE","HOLD")</f>
        <v>HOLD</v>
      </c>
    </row>
    <row r="34" customFormat="false" ht="23.85" hidden="false" customHeight="false" outlineLevel="0" collapsed="false">
      <c r="A34" s="5" t="s">
        <v>676</v>
      </c>
      <c r="B34" s="5" t="s">
        <v>18</v>
      </c>
      <c r="C34" s="5" t="s">
        <v>17</v>
      </c>
      <c r="D34" s="5" t="s">
        <v>643</v>
      </c>
      <c r="E34" s="5" t="s">
        <v>302</v>
      </c>
      <c r="F34" s="5" t="s">
        <v>478</v>
      </c>
      <c r="G34" s="5" t="s">
        <v>671</v>
      </c>
      <c r="H34" s="5" t="n">
        <v>1</v>
      </c>
      <c r="I34" s="5" t="n">
        <v>5</v>
      </c>
      <c r="J34" s="12" t="n">
        <v>0</v>
      </c>
      <c r="K34" s="5"/>
      <c r="L34" s="5" t="str">
        <f aca="false">IF(AND(H34=1,J34=I34,K34&lt;&gt;""),"ADJUDICABLE","HOLD")</f>
        <v>HOLD</v>
      </c>
    </row>
    <row r="35" customFormat="false" ht="23.85" hidden="false" customHeight="false" outlineLevel="0" collapsed="false">
      <c r="A35" s="5" t="s">
        <v>677</v>
      </c>
      <c r="B35" s="5" t="s">
        <v>18</v>
      </c>
      <c r="C35" s="5" t="s">
        <v>17</v>
      </c>
      <c r="D35" s="5" t="s">
        <v>651</v>
      </c>
      <c r="E35" s="5" t="s">
        <v>294</v>
      </c>
      <c r="F35" s="5" t="s">
        <v>474</v>
      </c>
      <c r="G35" s="5" t="s">
        <v>671</v>
      </c>
      <c r="H35" s="5" t="n">
        <v>1</v>
      </c>
      <c r="I35" s="5" t="n">
        <v>5</v>
      </c>
      <c r="J35" s="12" t="n">
        <v>0</v>
      </c>
      <c r="K35" s="5"/>
      <c r="L35" s="5" t="str">
        <f aca="false">IF(AND(H35=1,J35=I35,K35&lt;&gt;""),"ADJUDICABLE","HOLD")</f>
        <v>HOLD</v>
      </c>
    </row>
    <row r="36" customFormat="false" ht="23.85" hidden="false" customHeight="false" outlineLevel="0" collapsed="false">
      <c r="A36" s="5" t="s">
        <v>678</v>
      </c>
      <c r="B36" s="5" t="s">
        <v>18</v>
      </c>
      <c r="C36" s="5" t="s">
        <v>17</v>
      </c>
      <c r="D36" s="5" t="s">
        <v>651</v>
      </c>
      <c r="E36" s="5" t="s">
        <v>294</v>
      </c>
      <c r="F36" s="5" t="s">
        <v>478</v>
      </c>
      <c r="G36" s="5" t="s">
        <v>671</v>
      </c>
      <c r="H36" s="5" t="n">
        <v>1</v>
      </c>
      <c r="I36" s="5" t="n">
        <v>5</v>
      </c>
      <c r="J36" s="12" t="n">
        <v>0</v>
      </c>
      <c r="K36" s="5"/>
      <c r="L36" s="5" t="str">
        <f aca="false">IF(AND(H36=1,J36=I36,K36&lt;&gt;""),"ADJUDICABLE","HOLD")</f>
        <v>HOLD</v>
      </c>
    </row>
    <row r="37" customFormat="false" ht="23.85" hidden="false" customHeight="false" outlineLevel="0" collapsed="false">
      <c r="A37" s="5" t="s">
        <v>679</v>
      </c>
      <c r="B37" s="5" t="s">
        <v>18</v>
      </c>
      <c r="C37" s="5" t="s">
        <v>17</v>
      </c>
      <c r="D37" s="5" t="s">
        <v>651</v>
      </c>
      <c r="E37" s="5" t="s">
        <v>299</v>
      </c>
      <c r="F37" s="5" t="s">
        <v>474</v>
      </c>
      <c r="G37" s="5" t="s">
        <v>671</v>
      </c>
      <c r="H37" s="5" t="n">
        <v>1</v>
      </c>
      <c r="I37" s="5" t="n">
        <v>5</v>
      </c>
      <c r="J37" s="12" t="n">
        <v>0</v>
      </c>
      <c r="K37" s="5"/>
      <c r="L37" s="5" t="str">
        <f aca="false">IF(AND(H37=1,J37=I37,K37&lt;&gt;""),"ADJUDICABLE","HOLD")</f>
        <v>HOLD</v>
      </c>
    </row>
    <row r="38" customFormat="false" ht="23.85" hidden="false" customHeight="false" outlineLevel="0" collapsed="false">
      <c r="A38" s="5" t="s">
        <v>680</v>
      </c>
      <c r="B38" s="5" t="s">
        <v>18</v>
      </c>
      <c r="C38" s="5" t="s">
        <v>17</v>
      </c>
      <c r="D38" s="5" t="s">
        <v>651</v>
      </c>
      <c r="E38" s="5" t="s">
        <v>299</v>
      </c>
      <c r="F38" s="5" t="s">
        <v>478</v>
      </c>
      <c r="G38" s="5" t="s">
        <v>671</v>
      </c>
      <c r="H38" s="5" t="n">
        <v>1</v>
      </c>
      <c r="I38" s="5" t="n">
        <v>5</v>
      </c>
      <c r="J38" s="12" t="n">
        <v>0</v>
      </c>
      <c r="K38" s="5"/>
      <c r="L38" s="5" t="str">
        <f aca="false">IF(AND(H38=1,J38=I38,K38&lt;&gt;""),"ADJUDICABLE","HOLD")</f>
        <v>HOLD</v>
      </c>
    </row>
    <row r="39" customFormat="false" ht="23.85" hidden="false" customHeight="false" outlineLevel="0" collapsed="false">
      <c r="A39" s="5" t="s">
        <v>681</v>
      </c>
      <c r="B39" s="5" t="s">
        <v>18</v>
      </c>
      <c r="C39" s="5" t="s">
        <v>17</v>
      </c>
      <c r="D39" s="5" t="s">
        <v>651</v>
      </c>
      <c r="E39" s="5" t="s">
        <v>302</v>
      </c>
      <c r="F39" s="5" t="s">
        <v>474</v>
      </c>
      <c r="G39" s="5" t="s">
        <v>671</v>
      </c>
      <c r="H39" s="5" t="n">
        <v>1</v>
      </c>
      <c r="I39" s="5" t="n">
        <v>5</v>
      </c>
      <c r="J39" s="12" t="n">
        <v>0</v>
      </c>
      <c r="K39" s="5"/>
      <c r="L39" s="5" t="str">
        <f aca="false">IF(AND(H39=1,J39=I39,K39&lt;&gt;""),"ADJUDICABLE","HOLD")</f>
        <v>HOLD</v>
      </c>
    </row>
    <row r="40" customFormat="false" ht="23.85" hidden="false" customHeight="false" outlineLevel="0" collapsed="false">
      <c r="A40" s="5" t="s">
        <v>682</v>
      </c>
      <c r="B40" s="5" t="s">
        <v>18</v>
      </c>
      <c r="C40" s="5" t="s">
        <v>17</v>
      </c>
      <c r="D40" s="5" t="s">
        <v>651</v>
      </c>
      <c r="E40" s="5" t="s">
        <v>302</v>
      </c>
      <c r="F40" s="5" t="s">
        <v>478</v>
      </c>
      <c r="G40" s="5" t="s">
        <v>671</v>
      </c>
      <c r="H40" s="5" t="n">
        <v>1</v>
      </c>
      <c r="I40" s="5" t="n">
        <v>5</v>
      </c>
      <c r="J40" s="12" t="n">
        <v>0</v>
      </c>
      <c r="K40" s="5"/>
      <c r="L40" s="5" t="str">
        <f aca="false">IF(AND(H40=1,J40=I40,K40&lt;&gt;""),"ADJUDICABLE","HOLD")</f>
        <v>HOLD</v>
      </c>
    </row>
    <row r="41" customFormat="false" ht="23.85" hidden="false" customHeight="false" outlineLevel="0" collapsed="false">
      <c r="A41" s="5" t="s">
        <v>683</v>
      </c>
      <c r="B41" s="5" t="s">
        <v>21</v>
      </c>
      <c r="C41" s="5" t="s">
        <v>20</v>
      </c>
      <c r="D41" s="5" t="s">
        <v>643</v>
      </c>
      <c r="E41" s="5" t="s">
        <v>294</v>
      </c>
      <c r="F41" s="5" t="s">
        <v>474</v>
      </c>
      <c r="G41" s="5" t="s">
        <v>684</v>
      </c>
      <c r="H41" s="5" t="n">
        <v>1</v>
      </c>
      <c r="I41" s="5" t="n">
        <v>5</v>
      </c>
      <c r="J41" s="12" t="n">
        <v>0</v>
      </c>
      <c r="K41" s="5"/>
      <c r="L41" s="5" t="str">
        <f aca="false">IF(AND(H41=1,J41=I41,K41&lt;&gt;""),"ADJUDICABLE","HOLD")</f>
        <v>HOLD</v>
      </c>
    </row>
    <row r="42" customFormat="false" ht="23.85" hidden="false" customHeight="false" outlineLevel="0" collapsed="false">
      <c r="A42" s="5" t="s">
        <v>685</v>
      </c>
      <c r="B42" s="5" t="s">
        <v>21</v>
      </c>
      <c r="C42" s="5" t="s">
        <v>20</v>
      </c>
      <c r="D42" s="5" t="s">
        <v>643</v>
      </c>
      <c r="E42" s="5" t="s">
        <v>294</v>
      </c>
      <c r="F42" s="5" t="s">
        <v>478</v>
      </c>
      <c r="G42" s="5" t="s">
        <v>684</v>
      </c>
      <c r="H42" s="5" t="n">
        <v>1</v>
      </c>
      <c r="I42" s="5" t="n">
        <v>5</v>
      </c>
      <c r="J42" s="12" t="n">
        <v>0</v>
      </c>
      <c r="K42" s="5"/>
      <c r="L42" s="5" t="str">
        <f aca="false">IF(AND(H42=1,J42=I42,K42&lt;&gt;""),"ADJUDICABLE","HOLD")</f>
        <v>HOLD</v>
      </c>
    </row>
    <row r="43" customFormat="false" ht="23.85" hidden="false" customHeight="false" outlineLevel="0" collapsed="false">
      <c r="A43" s="5" t="s">
        <v>686</v>
      </c>
      <c r="B43" s="5" t="s">
        <v>21</v>
      </c>
      <c r="C43" s="5" t="s">
        <v>20</v>
      </c>
      <c r="D43" s="5" t="s">
        <v>643</v>
      </c>
      <c r="E43" s="5" t="s">
        <v>299</v>
      </c>
      <c r="F43" s="5" t="s">
        <v>474</v>
      </c>
      <c r="G43" s="5" t="s">
        <v>684</v>
      </c>
      <c r="H43" s="5" t="n">
        <v>1</v>
      </c>
      <c r="I43" s="5" t="n">
        <v>5</v>
      </c>
      <c r="J43" s="12" t="n">
        <v>0</v>
      </c>
      <c r="K43" s="5"/>
      <c r="L43" s="5" t="str">
        <f aca="false">IF(AND(H43=1,J43=I43,K43&lt;&gt;""),"ADJUDICABLE","HOLD")</f>
        <v>HOLD</v>
      </c>
    </row>
    <row r="44" customFormat="false" ht="23.85" hidden="false" customHeight="false" outlineLevel="0" collapsed="false">
      <c r="A44" s="5" t="s">
        <v>687</v>
      </c>
      <c r="B44" s="5" t="s">
        <v>21</v>
      </c>
      <c r="C44" s="5" t="s">
        <v>20</v>
      </c>
      <c r="D44" s="5" t="s">
        <v>643</v>
      </c>
      <c r="E44" s="5" t="s">
        <v>299</v>
      </c>
      <c r="F44" s="5" t="s">
        <v>478</v>
      </c>
      <c r="G44" s="5" t="s">
        <v>684</v>
      </c>
      <c r="H44" s="5" t="n">
        <v>1</v>
      </c>
      <c r="I44" s="5" t="n">
        <v>5</v>
      </c>
      <c r="J44" s="12" t="n">
        <v>0</v>
      </c>
      <c r="K44" s="5"/>
      <c r="L44" s="5" t="str">
        <f aca="false">IF(AND(H44=1,J44=I44,K44&lt;&gt;""),"ADJUDICABLE","HOLD")</f>
        <v>HOLD</v>
      </c>
    </row>
    <row r="45" customFormat="false" ht="23.85" hidden="false" customHeight="false" outlineLevel="0" collapsed="false">
      <c r="A45" s="5" t="s">
        <v>688</v>
      </c>
      <c r="B45" s="5" t="s">
        <v>21</v>
      </c>
      <c r="C45" s="5" t="s">
        <v>20</v>
      </c>
      <c r="D45" s="5" t="s">
        <v>643</v>
      </c>
      <c r="E45" s="5" t="s">
        <v>302</v>
      </c>
      <c r="F45" s="5" t="s">
        <v>474</v>
      </c>
      <c r="G45" s="5" t="s">
        <v>684</v>
      </c>
      <c r="H45" s="5" t="n">
        <v>1</v>
      </c>
      <c r="I45" s="5" t="n">
        <v>5</v>
      </c>
      <c r="J45" s="12" t="n">
        <v>0</v>
      </c>
      <c r="K45" s="5"/>
      <c r="L45" s="5" t="str">
        <f aca="false">IF(AND(H45=1,J45=I45,K45&lt;&gt;""),"ADJUDICABLE","HOLD")</f>
        <v>HOLD</v>
      </c>
    </row>
    <row r="46" customFormat="false" ht="23.85" hidden="false" customHeight="false" outlineLevel="0" collapsed="false">
      <c r="A46" s="5" t="s">
        <v>689</v>
      </c>
      <c r="B46" s="5" t="s">
        <v>21</v>
      </c>
      <c r="C46" s="5" t="s">
        <v>20</v>
      </c>
      <c r="D46" s="5" t="s">
        <v>643</v>
      </c>
      <c r="E46" s="5" t="s">
        <v>302</v>
      </c>
      <c r="F46" s="5" t="s">
        <v>478</v>
      </c>
      <c r="G46" s="5" t="s">
        <v>684</v>
      </c>
      <c r="H46" s="5" t="n">
        <v>1</v>
      </c>
      <c r="I46" s="5" t="n">
        <v>5</v>
      </c>
      <c r="J46" s="12" t="n">
        <v>0</v>
      </c>
      <c r="K46" s="5"/>
      <c r="L46" s="5" t="str">
        <f aca="false">IF(AND(H46=1,J46=I46,K46&lt;&gt;""),"ADJUDICABLE","HOLD")</f>
        <v>HOLD</v>
      </c>
    </row>
    <row r="47" customFormat="false" ht="23.85" hidden="false" customHeight="false" outlineLevel="0" collapsed="false">
      <c r="A47" s="5" t="s">
        <v>690</v>
      </c>
      <c r="B47" s="5" t="s">
        <v>21</v>
      </c>
      <c r="C47" s="5" t="s">
        <v>20</v>
      </c>
      <c r="D47" s="5" t="s">
        <v>651</v>
      </c>
      <c r="E47" s="5" t="s">
        <v>294</v>
      </c>
      <c r="F47" s="5" t="s">
        <v>474</v>
      </c>
      <c r="G47" s="5" t="s">
        <v>684</v>
      </c>
      <c r="H47" s="5" t="n">
        <v>1</v>
      </c>
      <c r="I47" s="5" t="n">
        <v>5</v>
      </c>
      <c r="J47" s="12" t="n">
        <v>0</v>
      </c>
      <c r="K47" s="5"/>
      <c r="L47" s="5" t="str">
        <f aca="false">IF(AND(H47=1,J47=I47,K47&lt;&gt;""),"ADJUDICABLE","HOLD")</f>
        <v>HOLD</v>
      </c>
    </row>
    <row r="48" customFormat="false" ht="23.85" hidden="false" customHeight="false" outlineLevel="0" collapsed="false">
      <c r="A48" s="5" t="s">
        <v>691</v>
      </c>
      <c r="B48" s="5" t="s">
        <v>21</v>
      </c>
      <c r="C48" s="5" t="s">
        <v>20</v>
      </c>
      <c r="D48" s="5" t="s">
        <v>651</v>
      </c>
      <c r="E48" s="5" t="s">
        <v>294</v>
      </c>
      <c r="F48" s="5" t="s">
        <v>478</v>
      </c>
      <c r="G48" s="5" t="s">
        <v>684</v>
      </c>
      <c r="H48" s="5" t="n">
        <v>1</v>
      </c>
      <c r="I48" s="5" t="n">
        <v>5</v>
      </c>
      <c r="J48" s="12" t="n">
        <v>0</v>
      </c>
      <c r="K48" s="5"/>
      <c r="L48" s="5" t="str">
        <f aca="false">IF(AND(H48=1,J48=I48,K48&lt;&gt;""),"ADJUDICABLE","HOLD")</f>
        <v>HOLD</v>
      </c>
    </row>
    <row r="49" customFormat="false" ht="23.85" hidden="false" customHeight="false" outlineLevel="0" collapsed="false">
      <c r="A49" s="5" t="s">
        <v>692</v>
      </c>
      <c r="B49" s="5" t="s">
        <v>21</v>
      </c>
      <c r="C49" s="5" t="s">
        <v>20</v>
      </c>
      <c r="D49" s="5" t="s">
        <v>651</v>
      </c>
      <c r="E49" s="5" t="s">
        <v>299</v>
      </c>
      <c r="F49" s="5" t="s">
        <v>474</v>
      </c>
      <c r="G49" s="5" t="s">
        <v>684</v>
      </c>
      <c r="H49" s="5" t="n">
        <v>1</v>
      </c>
      <c r="I49" s="5" t="n">
        <v>5</v>
      </c>
      <c r="J49" s="12" t="n">
        <v>0</v>
      </c>
      <c r="K49" s="5"/>
      <c r="L49" s="5" t="str">
        <f aca="false">IF(AND(H49=1,J49=I49,K49&lt;&gt;""),"ADJUDICABLE","HOLD")</f>
        <v>HOLD</v>
      </c>
    </row>
    <row r="50" customFormat="false" ht="23.85" hidden="false" customHeight="false" outlineLevel="0" collapsed="false">
      <c r="A50" s="5" t="s">
        <v>693</v>
      </c>
      <c r="B50" s="5" t="s">
        <v>21</v>
      </c>
      <c r="C50" s="5" t="s">
        <v>20</v>
      </c>
      <c r="D50" s="5" t="s">
        <v>651</v>
      </c>
      <c r="E50" s="5" t="s">
        <v>299</v>
      </c>
      <c r="F50" s="5" t="s">
        <v>478</v>
      </c>
      <c r="G50" s="5" t="s">
        <v>684</v>
      </c>
      <c r="H50" s="5" t="n">
        <v>1</v>
      </c>
      <c r="I50" s="5" t="n">
        <v>5</v>
      </c>
      <c r="J50" s="12" t="n">
        <v>0</v>
      </c>
      <c r="K50" s="5"/>
      <c r="L50" s="5" t="str">
        <f aca="false">IF(AND(H50=1,J50=I50,K50&lt;&gt;""),"ADJUDICABLE","HOLD")</f>
        <v>HOLD</v>
      </c>
    </row>
    <row r="51" customFormat="false" ht="23.85" hidden="false" customHeight="false" outlineLevel="0" collapsed="false">
      <c r="A51" s="5" t="s">
        <v>694</v>
      </c>
      <c r="B51" s="5" t="s">
        <v>21</v>
      </c>
      <c r="C51" s="5" t="s">
        <v>20</v>
      </c>
      <c r="D51" s="5" t="s">
        <v>651</v>
      </c>
      <c r="E51" s="5" t="s">
        <v>302</v>
      </c>
      <c r="F51" s="5" t="s">
        <v>474</v>
      </c>
      <c r="G51" s="5" t="s">
        <v>684</v>
      </c>
      <c r="H51" s="5" t="n">
        <v>1</v>
      </c>
      <c r="I51" s="5" t="n">
        <v>5</v>
      </c>
      <c r="J51" s="12" t="n">
        <v>0</v>
      </c>
      <c r="K51" s="5"/>
      <c r="L51" s="5" t="str">
        <f aca="false">IF(AND(H51=1,J51=I51,K51&lt;&gt;""),"ADJUDICABLE","HOLD")</f>
        <v>HOLD</v>
      </c>
    </row>
    <row r="52" customFormat="false" ht="23.85" hidden="false" customHeight="false" outlineLevel="0" collapsed="false">
      <c r="A52" s="5" t="s">
        <v>695</v>
      </c>
      <c r="B52" s="5" t="s">
        <v>21</v>
      </c>
      <c r="C52" s="5" t="s">
        <v>20</v>
      </c>
      <c r="D52" s="5" t="s">
        <v>651</v>
      </c>
      <c r="E52" s="5" t="s">
        <v>302</v>
      </c>
      <c r="F52" s="5" t="s">
        <v>478</v>
      </c>
      <c r="G52" s="5" t="s">
        <v>684</v>
      </c>
      <c r="H52" s="5" t="n">
        <v>1</v>
      </c>
      <c r="I52" s="5" t="n">
        <v>5</v>
      </c>
      <c r="J52" s="12" t="n">
        <v>0</v>
      </c>
      <c r="K52" s="5"/>
      <c r="L52" s="5" t="str">
        <f aca="false">IF(AND(H52=1,J52=I52,K52&lt;&gt;""),"ADJUDICABLE","HOLD")</f>
        <v>HOLD</v>
      </c>
    </row>
    <row r="53" customFormat="false" ht="23.85" hidden="false" customHeight="false" outlineLevel="0" collapsed="false">
      <c r="A53" s="5" t="s">
        <v>696</v>
      </c>
      <c r="B53" s="5" t="s">
        <v>25</v>
      </c>
      <c r="C53" s="5" t="s">
        <v>24</v>
      </c>
      <c r="D53" s="5" t="s">
        <v>643</v>
      </c>
      <c r="E53" s="5" t="s">
        <v>294</v>
      </c>
      <c r="F53" s="5" t="s">
        <v>474</v>
      </c>
      <c r="G53" s="5" t="s">
        <v>697</v>
      </c>
      <c r="H53" s="5" t="n">
        <v>1</v>
      </c>
      <c r="I53" s="5" t="n">
        <v>5</v>
      </c>
      <c r="J53" s="12" t="n">
        <v>0</v>
      </c>
      <c r="K53" s="5"/>
      <c r="L53" s="5" t="str">
        <f aca="false">IF(AND(H53=1,J53=I53,K53&lt;&gt;""),"ADJUDICABLE","HOLD")</f>
        <v>HOLD</v>
      </c>
    </row>
    <row r="54" customFormat="false" ht="23.85" hidden="false" customHeight="false" outlineLevel="0" collapsed="false">
      <c r="A54" s="5" t="s">
        <v>698</v>
      </c>
      <c r="B54" s="5" t="s">
        <v>25</v>
      </c>
      <c r="C54" s="5" t="s">
        <v>24</v>
      </c>
      <c r="D54" s="5" t="s">
        <v>643</v>
      </c>
      <c r="E54" s="5" t="s">
        <v>294</v>
      </c>
      <c r="F54" s="5" t="s">
        <v>478</v>
      </c>
      <c r="G54" s="5" t="s">
        <v>697</v>
      </c>
      <c r="H54" s="5" t="n">
        <v>1</v>
      </c>
      <c r="I54" s="5" t="n">
        <v>5</v>
      </c>
      <c r="J54" s="12" t="n">
        <v>0</v>
      </c>
      <c r="K54" s="5"/>
      <c r="L54" s="5" t="str">
        <f aca="false">IF(AND(H54=1,J54=I54,K54&lt;&gt;""),"ADJUDICABLE","HOLD")</f>
        <v>HOLD</v>
      </c>
    </row>
    <row r="55" customFormat="false" ht="23.85" hidden="false" customHeight="false" outlineLevel="0" collapsed="false">
      <c r="A55" s="5" t="s">
        <v>699</v>
      </c>
      <c r="B55" s="5" t="s">
        <v>25</v>
      </c>
      <c r="C55" s="5" t="s">
        <v>24</v>
      </c>
      <c r="D55" s="5" t="s">
        <v>643</v>
      </c>
      <c r="E55" s="5" t="s">
        <v>299</v>
      </c>
      <c r="F55" s="5" t="s">
        <v>474</v>
      </c>
      <c r="G55" s="5" t="s">
        <v>697</v>
      </c>
      <c r="H55" s="5" t="n">
        <v>1</v>
      </c>
      <c r="I55" s="5" t="n">
        <v>5</v>
      </c>
      <c r="J55" s="12" t="n">
        <v>0</v>
      </c>
      <c r="K55" s="5"/>
      <c r="L55" s="5" t="str">
        <f aca="false">IF(AND(H55=1,J55=I55,K55&lt;&gt;""),"ADJUDICABLE","HOLD")</f>
        <v>HOLD</v>
      </c>
    </row>
    <row r="56" customFormat="false" ht="23.85" hidden="false" customHeight="false" outlineLevel="0" collapsed="false">
      <c r="A56" s="5" t="s">
        <v>700</v>
      </c>
      <c r="B56" s="5" t="s">
        <v>25</v>
      </c>
      <c r="C56" s="5" t="s">
        <v>24</v>
      </c>
      <c r="D56" s="5" t="s">
        <v>643</v>
      </c>
      <c r="E56" s="5" t="s">
        <v>299</v>
      </c>
      <c r="F56" s="5" t="s">
        <v>478</v>
      </c>
      <c r="G56" s="5" t="s">
        <v>697</v>
      </c>
      <c r="H56" s="5" t="n">
        <v>1</v>
      </c>
      <c r="I56" s="5" t="n">
        <v>5</v>
      </c>
      <c r="J56" s="12" t="n">
        <v>0</v>
      </c>
      <c r="K56" s="5"/>
      <c r="L56" s="5" t="str">
        <f aca="false">IF(AND(H56=1,J56=I56,K56&lt;&gt;""),"ADJUDICABLE","HOLD")</f>
        <v>HOLD</v>
      </c>
    </row>
    <row r="57" customFormat="false" ht="23.85" hidden="false" customHeight="false" outlineLevel="0" collapsed="false">
      <c r="A57" s="5" t="s">
        <v>701</v>
      </c>
      <c r="B57" s="5" t="s">
        <v>25</v>
      </c>
      <c r="C57" s="5" t="s">
        <v>24</v>
      </c>
      <c r="D57" s="5" t="s">
        <v>643</v>
      </c>
      <c r="E57" s="5" t="s">
        <v>302</v>
      </c>
      <c r="F57" s="5" t="s">
        <v>474</v>
      </c>
      <c r="G57" s="5" t="s">
        <v>697</v>
      </c>
      <c r="H57" s="5" t="n">
        <v>1</v>
      </c>
      <c r="I57" s="5" t="n">
        <v>5</v>
      </c>
      <c r="J57" s="12" t="n">
        <v>0</v>
      </c>
      <c r="K57" s="5"/>
      <c r="L57" s="5" t="str">
        <f aca="false">IF(AND(H57=1,J57=I57,K57&lt;&gt;""),"ADJUDICABLE","HOLD")</f>
        <v>HOLD</v>
      </c>
    </row>
    <row r="58" customFormat="false" ht="23.85" hidden="false" customHeight="false" outlineLevel="0" collapsed="false">
      <c r="A58" s="5" t="s">
        <v>702</v>
      </c>
      <c r="B58" s="5" t="s">
        <v>25</v>
      </c>
      <c r="C58" s="5" t="s">
        <v>24</v>
      </c>
      <c r="D58" s="5" t="s">
        <v>643</v>
      </c>
      <c r="E58" s="5" t="s">
        <v>302</v>
      </c>
      <c r="F58" s="5" t="s">
        <v>478</v>
      </c>
      <c r="G58" s="5" t="s">
        <v>697</v>
      </c>
      <c r="H58" s="5" t="n">
        <v>1</v>
      </c>
      <c r="I58" s="5" t="n">
        <v>5</v>
      </c>
      <c r="J58" s="12" t="n">
        <v>0</v>
      </c>
      <c r="K58" s="5"/>
      <c r="L58" s="5" t="str">
        <f aca="false">IF(AND(H58=1,J58=I58,K58&lt;&gt;""),"ADJUDICABLE","HOLD")</f>
        <v>HOLD</v>
      </c>
    </row>
    <row r="59" customFormat="false" ht="23.85" hidden="false" customHeight="false" outlineLevel="0" collapsed="false">
      <c r="A59" s="5" t="s">
        <v>703</v>
      </c>
      <c r="B59" s="5" t="s">
        <v>25</v>
      </c>
      <c r="C59" s="5" t="s">
        <v>24</v>
      </c>
      <c r="D59" s="5" t="s">
        <v>651</v>
      </c>
      <c r="E59" s="5" t="s">
        <v>294</v>
      </c>
      <c r="F59" s="5" t="s">
        <v>474</v>
      </c>
      <c r="G59" s="5" t="s">
        <v>697</v>
      </c>
      <c r="H59" s="5" t="n">
        <v>1</v>
      </c>
      <c r="I59" s="5" t="n">
        <v>5</v>
      </c>
      <c r="J59" s="12" t="n">
        <v>0</v>
      </c>
      <c r="K59" s="5"/>
      <c r="L59" s="5" t="str">
        <f aca="false">IF(AND(H59=1,J59=I59,K59&lt;&gt;""),"ADJUDICABLE","HOLD")</f>
        <v>HOLD</v>
      </c>
    </row>
    <row r="60" customFormat="false" ht="23.85" hidden="false" customHeight="false" outlineLevel="0" collapsed="false">
      <c r="A60" s="5" t="s">
        <v>704</v>
      </c>
      <c r="B60" s="5" t="s">
        <v>25</v>
      </c>
      <c r="C60" s="5" t="s">
        <v>24</v>
      </c>
      <c r="D60" s="5" t="s">
        <v>651</v>
      </c>
      <c r="E60" s="5" t="s">
        <v>294</v>
      </c>
      <c r="F60" s="5" t="s">
        <v>478</v>
      </c>
      <c r="G60" s="5" t="s">
        <v>697</v>
      </c>
      <c r="H60" s="5" t="n">
        <v>1</v>
      </c>
      <c r="I60" s="5" t="n">
        <v>5</v>
      </c>
      <c r="J60" s="12" t="n">
        <v>0</v>
      </c>
      <c r="K60" s="5"/>
      <c r="L60" s="5" t="str">
        <f aca="false">IF(AND(H60=1,J60=I60,K60&lt;&gt;""),"ADJUDICABLE","HOLD")</f>
        <v>HOLD</v>
      </c>
    </row>
    <row r="61" customFormat="false" ht="23.85" hidden="false" customHeight="false" outlineLevel="0" collapsed="false">
      <c r="A61" s="5" t="s">
        <v>705</v>
      </c>
      <c r="B61" s="5" t="s">
        <v>25</v>
      </c>
      <c r="C61" s="5" t="s">
        <v>24</v>
      </c>
      <c r="D61" s="5" t="s">
        <v>651</v>
      </c>
      <c r="E61" s="5" t="s">
        <v>299</v>
      </c>
      <c r="F61" s="5" t="s">
        <v>474</v>
      </c>
      <c r="G61" s="5" t="s">
        <v>697</v>
      </c>
      <c r="H61" s="5" t="n">
        <v>1</v>
      </c>
      <c r="I61" s="5" t="n">
        <v>5</v>
      </c>
      <c r="J61" s="12" t="n">
        <v>0</v>
      </c>
      <c r="K61" s="5"/>
      <c r="L61" s="5" t="str">
        <f aca="false">IF(AND(H61=1,J61=I61,K61&lt;&gt;""),"ADJUDICABLE","HOLD")</f>
        <v>HOLD</v>
      </c>
    </row>
    <row r="62" customFormat="false" ht="23.85" hidden="false" customHeight="false" outlineLevel="0" collapsed="false">
      <c r="A62" s="5" t="s">
        <v>706</v>
      </c>
      <c r="B62" s="5" t="s">
        <v>25</v>
      </c>
      <c r="C62" s="5" t="s">
        <v>24</v>
      </c>
      <c r="D62" s="5" t="s">
        <v>651</v>
      </c>
      <c r="E62" s="5" t="s">
        <v>299</v>
      </c>
      <c r="F62" s="5" t="s">
        <v>478</v>
      </c>
      <c r="G62" s="5" t="s">
        <v>697</v>
      </c>
      <c r="H62" s="5" t="n">
        <v>1</v>
      </c>
      <c r="I62" s="5" t="n">
        <v>5</v>
      </c>
      <c r="J62" s="12" t="n">
        <v>0</v>
      </c>
      <c r="K62" s="5"/>
      <c r="L62" s="5" t="str">
        <f aca="false">IF(AND(H62=1,J62=I62,K62&lt;&gt;""),"ADJUDICABLE","HOLD")</f>
        <v>HOLD</v>
      </c>
    </row>
    <row r="63" customFormat="false" ht="23.85" hidden="false" customHeight="false" outlineLevel="0" collapsed="false">
      <c r="A63" s="5" t="s">
        <v>707</v>
      </c>
      <c r="B63" s="5" t="s">
        <v>25</v>
      </c>
      <c r="C63" s="5" t="s">
        <v>24</v>
      </c>
      <c r="D63" s="5" t="s">
        <v>651</v>
      </c>
      <c r="E63" s="5" t="s">
        <v>302</v>
      </c>
      <c r="F63" s="5" t="s">
        <v>474</v>
      </c>
      <c r="G63" s="5" t="s">
        <v>697</v>
      </c>
      <c r="H63" s="5" t="n">
        <v>1</v>
      </c>
      <c r="I63" s="5" t="n">
        <v>5</v>
      </c>
      <c r="J63" s="12" t="n">
        <v>0</v>
      </c>
      <c r="K63" s="5"/>
      <c r="L63" s="5" t="str">
        <f aca="false">IF(AND(H63=1,J63=I63,K63&lt;&gt;""),"ADJUDICABLE","HOLD")</f>
        <v>HOLD</v>
      </c>
    </row>
    <row r="64" customFormat="false" ht="23.85" hidden="false" customHeight="false" outlineLevel="0" collapsed="false">
      <c r="A64" s="5" t="s">
        <v>708</v>
      </c>
      <c r="B64" s="5" t="s">
        <v>25</v>
      </c>
      <c r="C64" s="5" t="s">
        <v>24</v>
      </c>
      <c r="D64" s="5" t="s">
        <v>651</v>
      </c>
      <c r="E64" s="5" t="s">
        <v>302</v>
      </c>
      <c r="F64" s="5" t="s">
        <v>478</v>
      </c>
      <c r="G64" s="5" t="s">
        <v>697</v>
      </c>
      <c r="H64" s="5" t="n">
        <v>1</v>
      </c>
      <c r="I64" s="5" t="n">
        <v>5</v>
      </c>
      <c r="J64" s="12" t="n">
        <v>0</v>
      </c>
      <c r="K64" s="5"/>
      <c r="L64" s="5" t="str">
        <f aca="false">IF(AND(H64=1,J64=I64,K64&lt;&gt;""),"ADJUDICABLE","HOLD")</f>
        <v>HOLD</v>
      </c>
    </row>
    <row r="65" customFormat="false" ht="23.85" hidden="false" customHeight="false" outlineLevel="0" collapsed="false">
      <c r="A65" s="5" t="s">
        <v>709</v>
      </c>
      <c r="B65" s="5" t="s">
        <v>32</v>
      </c>
      <c r="C65" s="5" t="s">
        <v>31</v>
      </c>
      <c r="D65" s="5" t="s">
        <v>643</v>
      </c>
      <c r="E65" s="5" t="s">
        <v>294</v>
      </c>
      <c r="F65" s="5" t="s">
        <v>474</v>
      </c>
      <c r="G65" s="5" t="s">
        <v>710</v>
      </c>
      <c r="H65" s="5" t="n">
        <v>1</v>
      </c>
      <c r="I65" s="5" t="n">
        <v>5</v>
      </c>
      <c r="J65" s="12" t="n">
        <v>0</v>
      </c>
      <c r="K65" s="5"/>
      <c r="L65" s="5" t="str">
        <f aca="false">IF(AND(H65=1,J65=I65,K65&lt;&gt;""),"ADJUDICABLE","HOLD")</f>
        <v>HOLD</v>
      </c>
    </row>
    <row r="66" customFormat="false" ht="23.85" hidden="false" customHeight="false" outlineLevel="0" collapsed="false">
      <c r="A66" s="5" t="s">
        <v>711</v>
      </c>
      <c r="B66" s="5" t="s">
        <v>32</v>
      </c>
      <c r="C66" s="5" t="s">
        <v>31</v>
      </c>
      <c r="D66" s="5" t="s">
        <v>643</v>
      </c>
      <c r="E66" s="5" t="s">
        <v>294</v>
      </c>
      <c r="F66" s="5" t="s">
        <v>478</v>
      </c>
      <c r="G66" s="5" t="s">
        <v>710</v>
      </c>
      <c r="H66" s="5" t="n">
        <v>1</v>
      </c>
      <c r="I66" s="5" t="n">
        <v>5</v>
      </c>
      <c r="J66" s="12" t="n">
        <v>0</v>
      </c>
      <c r="K66" s="5"/>
      <c r="L66" s="5" t="str">
        <f aca="false">IF(AND(H66=1,J66=I66,K66&lt;&gt;""),"ADJUDICABLE","HOLD")</f>
        <v>HOLD</v>
      </c>
    </row>
    <row r="67" customFormat="false" ht="23.85" hidden="false" customHeight="false" outlineLevel="0" collapsed="false">
      <c r="A67" s="5" t="s">
        <v>712</v>
      </c>
      <c r="B67" s="5" t="s">
        <v>32</v>
      </c>
      <c r="C67" s="5" t="s">
        <v>31</v>
      </c>
      <c r="D67" s="5" t="s">
        <v>643</v>
      </c>
      <c r="E67" s="5" t="s">
        <v>299</v>
      </c>
      <c r="F67" s="5" t="s">
        <v>474</v>
      </c>
      <c r="G67" s="5" t="s">
        <v>710</v>
      </c>
      <c r="H67" s="5" t="n">
        <v>1</v>
      </c>
      <c r="I67" s="5" t="n">
        <v>5</v>
      </c>
      <c r="J67" s="12" t="n">
        <v>0</v>
      </c>
      <c r="K67" s="5"/>
      <c r="L67" s="5" t="str">
        <f aca="false">IF(AND(H67=1,J67=I67,K67&lt;&gt;""),"ADJUDICABLE","HOLD")</f>
        <v>HOLD</v>
      </c>
    </row>
    <row r="68" customFormat="false" ht="23.85" hidden="false" customHeight="false" outlineLevel="0" collapsed="false">
      <c r="A68" s="5" t="s">
        <v>713</v>
      </c>
      <c r="B68" s="5" t="s">
        <v>32</v>
      </c>
      <c r="C68" s="5" t="s">
        <v>31</v>
      </c>
      <c r="D68" s="5" t="s">
        <v>643</v>
      </c>
      <c r="E68" s="5" t="s">
        <v>299</v>
      </c>
      <c r="F68" s="5" t="s">
        <v>478</v>
      </c>
      <c r="G68" s="5" t="s">
        <v>710</v>
      </c>
      <c r="H68" s="5" t="n">
        <v>1</v>
      </c>
      <c r="I68" s="5" t="n">
        <v>5</v>
      </c>
      <c r="J68" s="12" t="n">
        <v>0</v>
      </c>
      <c r="K68" s="5"/>
      <c r="L68" s="5" t="str">
        <f aca="false">IF(AND(H68=1,J68=I68,K68&lt;&gt;""),"ADJUDICABLE","HOLD")</f>
        <v>HOLD</v>
      </c>
    </row>
    <row r="69" customFormat="false" ht="23.85" hidden="false" customHeight="false" outlineLevel="0" collapsed="false">
      <c r="A69" s="5" t="s">
        <v>714</v>
      </c>
      <c r="B69" s="5" t="s">
        <v>32</v>
      </c>
      <c r="C69" s="5" t="s">
        <v>31</v>
      </c>
      <c r="D69" s="5" t="s">
        <v>643</v>
      </c>
      <c r="E69" s="5" t="s">
        <v>302</v>
      </c>
      <c r="F69" s="5" t="s">
        <v>474</v>
      </c>
      <c r="G69" s="5" t="s">
        <v>710</v>
      </c>
      <c r="H69" s="5" t="n">
        <v>1</v>
      </c>
      <c r="I69" s="5" t="n">
        <v>5</v>
      </c>
      <c r="J69" s="12" t="n">
        <v>0</v>
      </c>
      <c r="K69" s="5"/>
      <c r="L69" s="5" t="str">
        <f aca="false">IF(AND(H69=1,J69=I69,K69&lt;&gt;""),"ADJUDICABLE","HOLD")</f>
        <v>HOLD</v>
      </c>
    </row>
    <row r="70" customFormat="false" ht="23.85" hidden="false" customHeight="false" outlineLevel="0" collapsed="false">
      <c r="A70" s="5" t="s">
        <v>715</v>
      </c>
      <c r="B70" s="5" t="s">
        <v>32</v>
      </c>
      <c r="C70" s="5" t="s">
        <v>31</v>
      </c>
      <c r="D70" s="5" t="s">
        <v>643</v>
      </c>
      <c r="E70" s="5" t="s">
        <v>302</v>
      </c>
      <c r="F70" s="5" t="s">
        <v>478</v>
      </c>
      <c r="G70" s="5" t="s">
        <v>710</v>
      </c>
      <c r="H70" s="5" t="n">
        <v>1</v>
      </c>
      <c r="I70" s="5" t="n">
        <v>5</v>
      </c>
      <c r="J70" s="12" t="n">
        <v>0</v>
      </c>
      <c r="K70" s="5"/>
      <c r="L70" s="5" t="str">
        <f aca="false">IF(AND(H70=1,J70=I70,K70&lt;&gt;""),"ADJUDICABLE","HOLD")</f>
        <v>HOLD</v>
      </c>
    </row>
    <row r="71" customFormat="false" ht="23.85" hidden="false" customHeight="false" outlineLevel="0" collapsed="false">
      <c r="A71" s="5" t="s">
        <v>716</v>
      </c>
      <c r="B71" s="5" t="s">
        <v>32</v>
      </c>
      <c r="C71" s="5" t="s">
        <v>31</v>
      </c>
      <c r="D71" s="5" t="s">
        <v>651</v>
      </c>
      <c r="E71" s="5" t="s">
        <v>294</v>
      </c>
      <c r="F71" s="5" t="s">
        <v>474</v>
      </c>
      <c r="G71" s="5" t="s">
        <v>710</v>
      </c>
      <c r="H71" s="5" t="n">
        <v>1</v>
      </c>
      <c r="I71" s="5" t="n">
        <v>5</v>
      </c>
      <c r="J71" s="12" t="n">
        <v>0</v>
      </c>
      <c r="K71" s="5"/>
      <c r="L71" s="5" t="str">
        <f aca="false">IF(AND(H71=1,J71=I71,K71&lt;&gt;""),"ADJUDICABLE","HOLD")</f>
        <v>HOLD</v>
      </c>
    </row>
    <row r="72" customFormat="false" ht="23.85" hidden="false" customHeight="false" outlineLevel="0" collapsed="false">
      <c r="A72" s="5" t="s">
        <v>717</v>
      </c>
      <c r="B72" s="5" t="s">
        <v>32</v>
      </c>
      <c r="C72" s="5" t="s">
        <v>31</v>
      </c>
      <c r="D72" s="5" t="s">
        <v>651</v>
      </c>
      <c r="E72" s="5" t="s">
        <v>294</v>
      </c>
      <c r="F72" s="5" t="s">
        <v>478</v>
      </c>
      <c r="G72" s="5" t="s">
        <v>710</v>
      </c>
      <c r="H72" s="5" t="n">
        <v>1</v>
      </c>
      <c r="I72" s="5" t="n">
        <v>5</v>
      </c>
      <c r="J72" s="12" t="n">
        <v>0</v>
      </c>
      <c r="K72" s="5"/>
      <c r="L72" s="5" t="str">
        <f aca="false">IF(AND(H72=1,J72=I72,K72&lt;&gt;""),"ADJUDICABLE","HOLD")</f>
        <v>HOLD</v>
      </c>
    </row>
    <row r="73" customFormat="false" ht="23.85" hidden="false" customHeight="false" outlineLevel="0" collapsed="false">
      <c r="A73" s="5" t="s">
        <v>718</v>
      </c>
      <c r="B73" s="5" t="s">
        <v>32</v>
      </c>
      <c r="C73" s="5" t="s">
        <v>31</v>
      </c>
      <c r="D73" s="5" t="s">
        <v>651</v>
      </c>
      <c r="E73" s="5" t="s">
        <v>299</v>
      </c>
      <c r="F73" s="5" t="s">
        <v>474</v>
      </c>
      <c r="G73" s="5" t="s">
        <v>710</v>
      </c>
      <c r="H73" s="5" t="n">
        <v>1</v>
      </c>
      <c r="I73" s="5" t="n">
        <v>5</v>
      </c>
      <c r="J73" s="12" t="n">
        <v>0</v>
      </c>
      <c r="K73" s="5"/>
      <c r="L73" s="5" t="str">
        <f aca="false">IF(AND(H73=1,J73=I73,K73&lt;&gt;""),"ADJUDICABLE","HOLD")</f>
        <v>HOLD</v>
      </c>
    </row>
    <row r="74" customFormat="false" ht="23.85" hidden="false" customHeight="false" outlineLevel="0" collapsed="false">
      <c r="A74" s="5" t="s">
        <v>719</v>
      </c>
      <c r="B74" s="5" t="s">
        <v>32</v>
      </c>
      <c r="C74" s="5" t="s">
        <v>31</v>
      </c>
      <c r="D74" s="5" t="s">
        <v>651</v>
      </c>
      <c r="E74" s="5" t="s">
        <v>299</v>
      </c>
      <c r="F74" s="5" t="s">
        <v>478</v>
      </c>
      <c r="G74" s="5" t="s">
        <v>710</v>
      </c>
      <c r="H74" s="5" t="n">
        <v>1</v>
      </c>
      <c r="I74" s="5" t="n">
        <v>5</v>
      </c>
      <c r="J74" s="12" t="n">
        <v>0</v>
      </c>
      <c r="K74" s="5"/>
      <c r="L74" s="5" t="str">
        <f aca="false">IF(AND(H74=1,J74=I74,K74&lt;&gt;""),"ADJUDICABLE","HOLD")</f>
        <v>HOLD</v>
      </c>
    </row>
    <row r="75" customFormat="false" ht="23.85" hidden="false" customHeight="false" outlineLevel="0" collapsed="false">
      <c r="A75" s="5" t="s">
        <v>720</v>
      </c>
      <c r="B75" s="5" t="s">
        <v>32</v>
      </c>
      <c r="C75" s="5" t="s">
        <v>31</v>
      </c>
      <c r="D75" s="5" t="s">
        <v>651</v>
      </c>
      <c r="E75" s="5" t="s">
        <v>302</v>
      </c>
      <c r="F75" s="5" t="s">
        <v>474</v>
      </c>
      <c r="G75" s="5" t="s">
        <v>710</v>
      </c>
      <c r="H75" s="5" t="n">
        <v>1</v>
      </c>
      <c r="I75" s="5" t="n">
        <v>5</v>
      </c>
      <c r="J75" s="12" t="n">
        <v>0</v>
      </c>
      <c r="K75" s="5"/>
      <c r="L75" s="5" t="str">
        <f aca="false">IF(AND(H75=1,J75=I75,K75&lt;&gt;""),"ADJUDICABLE","HOLD")</f>
        <v>HOLD</v>
      </c>
    </row>
    <row r="76" customFormat="false" ht="23.85" hidden="false" customHeight="false" outlineLevel="0" collapsed="false">
      <c r="A76" s="5" t="s">
        <v>721</v>
      </c>
      <c r="B76" s="5" t="s">
        <v>32</v>
      </c>
      <c r="C76" s="5" t="s">
        <v>31</v>
      </c>
      <c r="D76" s="5" t="s">
        <v>651</v>
      </c>
      <c r="E76" s="5" t="s">
        <v>302</v>
      </c>
      <c r="F76" s="5" t="s">
        <v>478</v>
      </c>
      <c r="G76" s="5" t="s">
        <v>710</v>
      </c>
      <c r="H76" s="5" t="n">
        <v>1</v>
      </c>
      <c r="I76" s="5" t="n">
        <v>5</v>
      </c>
      <c r="J76" s="12" t="n">
        <v>0</v>
      </c>
      <c r="K76" s="5"/>
      <c r="L76" s="5" t="str">
        <f aca="false">IF(AND(H76=1,J76=I76,K76&lt;&gt;""),"ADJUDICABLE","HOLD")</f>
        <v>HOLD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11"/>
    <col collapsed="false" customWidth="true" hidden="false" outlineLevel="0" max="2" min="2" style="0" width="17.22"/>
    <col collapsed="false" customWidth="true" hidden="false" outlineLevel="0" max="3" min="3" style="0" width="7.22"/>
    <col collapsed="false" customWidth="true" hidden="false" outlineLevel="0" max="4" min="4" style="0" width="7.78"/>
    <col collapsed="false" customWidth="true" hidden="false" outlineLevel="0" max="5" min="5" style="0" width="14.44"/>
    <col collapsed="false" customWidth="true" hidden="false" outlineLevel="0" max="6" min="6" style="0" width="12.22"/>
    <col collapsed="false" customWidth="true" hidden="false" outlineLevel="0" max="7" min="7" style="0" width="15"/>
    <col collapsed="false" customWidth="true" hidden="false" outlineLevel="0" max="8" min="8" style="0" width="7.78"/>
    <col collapsed="false" customWidth="true" hidden="false" outlineLevel="0" max="9" min="9" style="0" width="8.89"/>
  </cols>
  <sheetData>
    <row r="1" customFormat="false" ht="26" hidden="false" customHeight="true" outlineLevel="0" collapsed="false">
      <c r="A1" s="1" t="s">
        <v>722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723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724</v>
      </c>
      <c r="B4" s="6" t="s">
        <v>634</v>
      </c>
      <c r="C4" s="6" t="s">
        <v>184</v>
      </c>
      <c r="D4" s="6" t="s">
        <v>185</v>
      </c>
      <c r="E4" s="6" t="s">
        <v>725</v>
      </c>
      <c r="F4" s="6" t="s">
        <v>726</v>
      </c>
      <c r="G4" s="6" t="s">
        <v>727</v>
      </c>
      <c r="H4" s="6" t="s">
        <v>471</v>
      </c>
      <c r="I4" s="6" t="s">
        <v>453</v>
      </c>
      <c r="J4" s="3"/>
      <c r="K4" s="3"/>
      <c r="L4" s="3"/>
    </row>
    <row r="5" customFormat="false" ht="23.85" hidden="false" customHeight="false" outlineLevel="0" collapsed="false">
      <c r="A5" s="5" t="s">
        <v>728</v>
      </c>
      <c r="B5" s="5" t="s">
        <v>642</v>
      </c>
      <c r="C5" s="5" t="s">
        <v>8</v>
      </c>
      <c r="D5" s="5" t="s">
        <v>7</v>
      </c>
      <c r="E5" s="5" t="s">
        <v>729</v>
      </c>
      <c r="F5" s="5" t="s">
        <v>296</v>
      </c>
      <c r="G5" s="5"/>
      <c r="H5" s="12" t="n">
        <v>0</v>
      </c>
      <c r="I5" s="5" t="str">
        <f aca="false">IF(H5=1,"ACCEPTED","OPEN")</f>
        <v>OPEN</v>
      </c>
      <c r="J5" s="3"/>
      <c r="K5" s="3"/>
      <c r="L5" s="3"/>
    </row>
    <row r="6" customFormat="false" ht="23.85" hidden="false" customHeight="false" outlineLevel="0" collapsed="false">
      <c r="A6" s="5" t="s">
        <v>730</v>
      </c>
      <c r="B6" s="5" t="s">
        <v>642</v>
      </c>
      <c r="C6" s="5" t="s">
        <v>8</v>
      </c>
      <c r="D6" s="5" t="s">
        <v>7</v>
      </c>
      <c r="E6" s="5" t="s">
        <v>731</v>
      </c>
      <c r="F6" s="5" t="s">
        <v>296</v>
      </c>
      <c r="G6" s="5"/>
      <c r="H6" s="12" t="n">
        <v>0</v>
      </c>
      <c r="I6" s="5" t="str">
        <f aca="false">IF(H6=1,"ACCEPTED","OPEN")</f>
        <v>OPEN</v>
      </c>
      <c r="J6" s="3"/>
      <c r="K6" s="3"/>
      <c r="L6" s="3"/>
    </row>
    <row r="7" customFormat="false" ht="23.85" hidden="false" customHeight="false" outlineLevel="0" collapsed="false">
      <c r="A7" s="5" t="s">
        <v>732</v>
      </c>
      <c r="B7" s="5" t="s">
        <v>642</v>
      </c>
      <c r="C7" s="5" t="s">
        <v>8</v>
      </c>
      <c r="D7" s="5" t="s">
        <v>7</v>
      </c>
      <c r="E7" s="5" t="s">
        <v>733</v>
      </c>
      <c r="F7" s="5" t="s">
        <v>296</v>
      </c>
      <c r="G7" s="5"/>
      <c r="H7" s="12" t="n">
        <v>0</v>
      </c>
      <c r="I7" s="5" t="str">
        <f aca="false">IF(H7=1,"ACCEPTED","OPEN")</f>
        <v>OPEN</v>
      </c>
      <c r="J7" s="3"/>
      <c r="K7" s="3"/>
      <c r="L7" s="3"/>
    </row>
    <row r="8" customFormat="false" ht="23.85" hidden="false" customHeight="false" outlineLevel="0" collapsed="false">
      <c r="A8" s="5" t="s">
        <v>734</v>
      </c>
      <c r="B8" s="5" t="s">
        <v>642</v>
      </c>
      <c r="C8" s="5" t="s">
        <v>8</v>
      </c>
      <c r="D8" s="5" t="s">
        <v>7</v>
      </c>
      <c r="E8" s="5" t="s">
        <v>735</v>
      </c>
      <c r="F8" s="5" t="s">
        <v>296</v>
      </c>
      <c r="G8" s="5"/>
      <c r="H8" s="12" t="n">
        <v>0</v>
      </c>
      <c r="I8" s="5" t="str">
        <f aca="false">IF(H8=1,"ACCEPTED","OPEN")</f>
        <v>OPEN</v>
      </c>
      <c r="J8" s="3"/>
      <c r="K8" s="3"/>
      <c r="L8" s="3"/>
    </row>
    <row r="9" customFormat="false" ht="23.85" hidden="false" customHeight="false" outlineLevel="0" collapsed="false">
      <c r="A9" s="5" t="s">
        <v>736</v>
      </c>
      <c r="B9" s="5" t="s">
        <v>642</v>
      </c>
      <c r="C9" s="5" t="s">
        <v>8</v>
      </c>
      <c r="D9" s="5" t="s">
        <v>7</v>
      </c>
      <c r="E9" s="5" t="s">
        <v>737</v>
      </c>
      <c r="F9" s="5" t="s">
        <v>296</v>
      </c>
      <c r="G9" s="5"/>
      <c r="H9" s="12" t="n">
        <v>0</v>
      </c>
      <c r="I9" s="5" t="str">
        <f aca="false">IF(H9=1,"ACCEPTED","OPEN")</f>
        <v>OPEN</v>
      </c>
      <c r="J9" s="3"/>
      <c r="K9" s="3"/>
      <c r="L9" s="3"/>
    </row>
    <row r="10" customFormat="false" ht="23.85" hidden="false" customHeight="false" outlineLevel="0" collapsed="false">
      <c r="A10" s="5" t="s">
        <v>738</v>
      </c>
      <c r="B10" s="5" t="s">
        <v>645</v>
      </c>
      <c r="C10" s="5" t="s">
        <v>8</v>
      </c>
      <c r="D10" s="5" t="s">
        <v>7</v>
      </c>
      <c r="E10" s="5" t="s">
        <v>729</v>
      </c>
      <c r="F10" s="5" t="s">
        <v>296</v>
      </c>
      <c r="G10" s="5"/>
      <c r="H10" s="12" t="n">
        <v>0</v>
      </c>
      <c r="I10" s="5" t="str">
        <f aca="false">IF(H10=1,"ACCEPTED","OPEN")</f>
        <v>OPEN</v>
      </c>
      <c r="J10" s="3"/>
      <c r="K10" s="3"/>
      <c r="L10" s="3"/>
    </row>
    <row r="11" customFormat="false" ht="23.85" hidden="false" customHeight="false" outlineLevel="0" collapsed="false">
      <c r="A11" s="5" t="s">
        <v>739</v>
      </c>
      <c r="B11" s="5" t="s">
        <v>645</v>
      </c>
      <c r="C11" s="5" t="s">
        <v>8</v>
      </c>
      <c r="D11" s="5" t="s">
        <v>7</v>
      </c>
      <c r="E11" s="5" t="s">
        <v>731</v>
      </c>
      <c r="F11" s="5" t="s">
        <v>296</v>
      </c>
      <c r="G11" s="5"/>
      <c r="H11" s="12" t="n">
        <v>0</v>
      </c>
      <c r="I11" s="5" t="str">
        <f aca="false">IF(H11=1,"ACCEPTED","OPEN")</f>
        <v>OPEN</v>
      </c>
      <c r="J11" s="3"/>
      <c r="K11" s="3"/>
      <c r="L11" s="3"/>
    </row>
    <row r="12" customFormat="false" ht="23.85" hidden="false" customHeight="false" outlineLevel="0" collapsed="false">
      <c r="A12" s="5" t="s">
        <v>740</v>
      </c>
      <c r="B12" s="5" t="s">
        <v>645</v>
      </c>
      <c r="C12" s="5" t="s">
        <v>8</v>
      </c>
      <c r="D12" s="5" t="s">
        <v>7</v>
      </c>
      <c r="E12" s="5" t="s">
        <v>733</v>
      </c>
      <c r="F12" s="5" t="s">
        <v>296</v>
      </c>
      <c r="G12" s="5"/>
      <c r="H12" s="12" t="n">
        <v>0</v>
      </c>
      <c r="I12" s="5" t="str">
        <f aca="false">IF(H12=1,"ACCEPTED","OPEN")</f>
        <v>OPEN</v>
      </c>
      <c r="J12" s="3"/>
      <c r="K12" s="3"/>
      <c r="L12" s="3"/>
    </row>
    <row r="13" customFormat="false" ht="23.85" hidden="false" customHeight="false" outlineLevel="0" collapsed="false">
      <c r="A13" s="5" t="s">
        <v>741</v>
      </c>
      <c r="B13" s="5" t="s">
        <v>645</v>
      </c>
      <c r="C13" s="5" t="s">
        <v>8</v>
      </c>
      <c r="D13" s="5" t="s">
        <v>7</v>
      </c>
      <c r="E13" s="5" t="s">
        <v>735</v>
      </c>
      <c r="F13" s="5" t="s">
        <v>296</v>
      </c>
      <c r="G13" s="5"/>
      <c r="H13" s="12" t="n">
        <v>0</v>
      </c>
      <c r="I13" s="5" t="str">
        <f aca="false">IF(H13=1,"ACCEPTED","OPEN")</f>
        <v>OPEN</v>
      </c>
      <c r="J13" s="3"/>
      <c r="K13" s="3"/>
      <c r="L13" s="3"/>
    </row>
    <row r="14" customFormat="false" ht="23.85" hidden="false" customHeight="false" outlineLevel="0" collapsed="false">
      <c r="A14" s="5" t="s">
        <v>742</v>
      </c>
      <c r="B14" s="5" t="s">
        <v>645</v>
      </c>
      <c r="C14" s="5" t="s">
        <v>8</v>
      </c>
      <c r="D14" s="5" t="s">
        <v>7</v>
      </c>
      <c r="E14" s="5" t="s">
        <v>737</v>
      </c>
      <c r="F14" s="5" t="s">
        <v>296</v>
      </c>
      <c r="G14" s="5"/>
      <c r="H14" s="12" t="n">
        <v>0</v>
      </c>
      <c r="I14" s="5" t="str">
        <f aca="false">IF(H14=1,"ACCEPTED","OPEN")</f>
        <v>OPEN</v>
      </c>
      <c r="J14" s="3"/>
      <c r="K14" s="3"/>
      <c r="L14" s="3"/>
    </row>
    <row r="15" customFormat="false" ht="23.85" hidden="false" customHeight="false" outlineLevel="0" collapsed="false">
      <c r="A15" s="5" t="s">
        <v>743</v>
      </c>
      <c r="B15" s="5" t="s">
        <v>646</v>
      </c>
      <c r="C15" s="5" t="s">
        <v>8</v>
      </c>
      <c r="D15" s="5" t="s">
        <v>7</v>
      </c>
      <c r="E15" s="5" t="s">
        <v>729</v>
      </c>
      <c r="F15" s="5" t="s">
        <v>296</v>
      </c>
      <c r="G15" s="5"/>
      <c r="H15" s="12" t="n">
        <v>0</v>
      </c>
      <c r="I15" s="5" t="str">
        <f aca="false">IF(H15=1,"ACCEPTED","OPEN")</f>
        <v>OPEN</v>
      </c>
      <c r="J15" s="3"/>
      <c r="K15" s="3"/>
      <c r="L15" s="3"/>
    </row>
    <row r="16" customFormat="false" ht="23.85" hidden="false" customHeight="false" outlineLevel="0" collapsed="false">
      <c r="A16" s="5" t="s">
        <v>744</v>
      </c>
      <c r="B16" s="5" t="s">
        <v>646</v>
      </c>
      <c r="C16" s="5" t="s">
        <v>8</v>
      </c>
      <c r="D16" s="5" t="s">
        <v>7</v>
      </c>
      <c r="E16" s="5" t="s">
        <v>731</v>
      </c>
      <c r="F16" s="5" t="s">
        <v>296</v>
      </c>
      <c r="G16" s="5"/>
      <c r="H16" s="12" t="n">
        <v>0</v>
      </c>
      <c r="I16" s="5" t="str">
        <f aca="false">IF(H16=1,"ACCEPTED","OPEN")</f>
        <v>OPEN</v>
      </c>
      <c r="J16" s="3"/>
      <c r="K16" s="3"/>
      <c r="L16" s="3"/>
    </row>
    <row r="17" customFormat="false" ht="23.85" hidden="false" customHeight="false" outlineLevel="0" collapsed="false">
      <c r="A17" s="5" t="s">
        <v>745</v>
      </c>
      <c r="B17" s="5" t="s">
        <v>646</v>
      </c>
      <c r="C17" s="5" t="s">
        <v>8</v>
      </c>
      <c r="D17" s="5" t="s">
        <v>7</v>
      </c>
      <c r="E17" s="5" t="s">
        <v>733</v>
      </c>
      <c r="F17" s="5" t="s">
        <v>296</v>
      </c>
      <c r="G17" s="5"/>
      <c r="H17" s="12" t="n">
        <v>0</v>
      </c>
      <c r="I17" s="5" t="str">
        <f aca="false">IF(H17=1,"ACCEPTED","OPEN")</f>
        <v>OPEN</v>
      </c>
      <c r="J17" s="3"/>
      <c r="K17" s="3"/>
      <c r="L17" s="3"/>
    </row>
    <row r="18" customFormat="false" ht="23.85" hidden="false" customHeight="false" outlineLevel="0" collapsed="false">
      <c r="A18" s="5" t="s">
        <v>746</v>
      </c>
      <c r="B18" s="5" t="s">
        <v>646</v>
      </c>
      <c r="C18" s="5" t="s">
        <v>8</v>
      </c>
      <c r="D18" s="5" t="s">
        <v>7</v>
      </c>
      <c r="E18" s="5" t="s">
        <v>735</v>
      </c>
      <c r="F18" s="5" t="s">
        <v>296</v>
      </c>
      <c r="G18" s="5"/>
      <c r="H18" s="12" t="n">
        <v>0</v>
      </c>
      <c r="I18" s="5" t="str">
        <f aca="false">IF(H18=1,"ACCEPTED","OPEN")</f>
        <v>OPEN</v>
      </c>
      <c r="J18" s="3"/>
      <c r="K18" s="3"/>
      <c r="L18" s="3"/>
    </row>
    <row r="19" customFormat="false" ht="23.85" hidden="false" customHeight="false" outlineLevel="0" collapsed="false">
      <c r="A19" s="5" t="s">
        <v>747</v>
      </c>
      <c r="B19" s="5" t="s">
        <v>646</v>
      </c>
      <c r="C19" s="5" t="s">
        <v>8</v>
      </c>
      <c r="D19" s="5" t="s">
        <v>7</v>
      </c>
      <c r="E19" s="5" t="s">
        <v>737</v>
      </c>
      <c r="F19" s="5" t="s">
        <v>296</v>
      </c>
      <c r="G19" s="5"/>
      <c r="H19" s="12" t="n">
        <v>0</v>
      </c>
      <c r="I19" s="5" t="str">
        <f aca="false">IF(H19=1,"ACCEPTED","OPEN")</f>
        <v>OPEN</v>
      </c>
      <c r="J19" s="3"/>
      <c r="K19" s="3"/>
      <c r="L19" s="3"/>
    </row>
    <row r="20" customFormat="false" ht="23.85" hidden="false" customHeight="false" outlineLevel="0" collapsed="false">
      <c r="A20" s="5" t="s">
        <v>748</v>
      </c>
      <c r="B20" s="5" t="s">
        <v>647</v>
      </c>
      <c r="C20" s="5" t="s">
        <v>8</v>
      </c>
      <c r="D20" s="5" t="s">
        <v>7</v>
      </c>
      <c r="E20" s="5" t="s">
        <v>729</v>
      </c>
      <c r="F20" s="5" t="s">
        <v>296</v>
      </c>
      <c r="G20" s="5"/>
      <c r="H20" s="12" t="n">
        <v>0</v>
      </c>
      <c r="I20" s="5" t="str">
        <f aca="false">IF(H20=1,"ACCEPTED","OPEN")</f>
        <v>OPEN</v>
      </c>
      <c r="J20" s="3"/>
      <c r="K20" s="3"/>
      <c r="L20" s="3"/>
    </row>
    <row r="21" customFormat="false" ht="23.85" hidden="false" customHeight="false" outlineLevel="0" collapsed="false">
      <c r="A21" s="5" t="s">
        <v>749</v>
      </c>
      <c r="B21" s="5" t="s">
        <v>647</v>
      </c>
      <c r="C21" s="5" t="s">
        <v>8</v>
      </c>
      <c r="D21" s="5" t="s">
        <v>7</v>
      </c>
      <c r="E21" s="5" t="s">
        <v>731</v>
      </c>
      <c r="F21" s="5" t="s">
        <v>296</v>
      </c>
      <c r="G21" s="5"/>
      <c r="H21" s="12" t="n">
        <v>0</v>
      </c>
      <c r="I21" s="5" t="str">
        <f aca="false">IF(H21=1,"ACCEPTED","OPEN")</f>
        <v>OPEN</v>
      </c>
      <c r="J21" s="3"/>
      <c r="K21" s="3"/>
      <c r="L21" s="3"/>
    </row>
    <row r="22" customFormat="false" ht="23.85" hidden="false" customHeight="false" outlineLevel="0" collapsed="false">
      <c r="A22" s="5" t="s">
        <v>750</v>
      </c>
      <c r="B22" s="5" t="s">
        <v>647</v>
      </c>
      <c r="C22" s="5" t="s">
        <v>8</v>
      </c>
      <c r="D22" s="5" t="s">
        <v>7</v>
      </c>
      <c r="E22" s="5" t="s">
        <v>733</v>
      </c>
      <c r="F22" s="5" t="s">
        <v>296</v>
      </c>
      <c r="G22" s="5"/>
      <c r="H22" s="12" t="n">
        <v>0</v>
      </c>
      <c r="I22" s="5" t="str">
        <f aca="false">IF(H22=1,"ACCEPTED","OPEN")</f>
        <v>OPEN</v>
      </c>
      <c r="J22" s="3"/>
      <c r="K22" s="3"/>
      <c r="L22" s="3"/>
    </row>
    <row r="23" customFormat="false" ht="23.85" hidden="false" customHeight="false" outlineLevel="0" collapsed="false">
      <c r="A23" s="5" t="s">
        <v>751</v>
      </c>
      <c r="B23" s="5" t="s">
        <v>647</v>
      </c>
      <c r="C23" s="5" t="s">
        <v>8</v>
      </c>
      <c r="D23" s="5" t="s">
        <v>7</v>
      </c>
      <c r="E23" s="5" t="s">
        <v>735</v>
      </c>
      <c r="F23" s="5" t="s">
        <v>296</v>
      </c>
      <c r="G23" s="5"/>
      <c r="H23" s="12" t="n">
        <v>0</v>
      </c>
      <c r="I23" s="5" t="str">
        <f aca="false">IF(H23=1,"ACCEPTED","OPEN")</f>
        <v>OPEN</v>
      </c>
      <c r="J23" s="3"/>
      <c r="K23" s="3"/>
      <c r="L23" s="3"/>
    </row>
    <row r="24" customFormat="false" ht="23.85" hidden="false" customHeight="false" outlineLevel="0" collapsed="false">
      <c r="A24" s="5" t="s">
        <v>752</v>
      </c>
      <c r="B24" s="5" t="s">
        <v>647</v>
      </c>
      <c r="C24" s="5" t="s">
        <v>8</v>
      </c>
      <c r="D24" s="5" t="s">
        <v>7</v>
      </c>
      <c r="E24" s="5" t="s">
        <v>737</v>
      </c>
      <c r="F24" s="5" t="s">
        <v>296</v>
      </c>
      <c r="G24" s="5"/>
      <c r="H24" s="12" t="n">
        <v>0</v>
      </c>
      <c r="I24" s="5" t="str">
        <f aca="false">IF(H24=1,"ACCEPTED","OPEN")</f>
        <v>OPEN</v>
      </c>
      <c r="J24" s="3"/>
      <c r="K24" s="3"/>
      <c r="L24" s="3"/>
    </row>
    <row r="25" customFormat="false" ht="23.85" hidden="false" customHeight="false" outlineLevel="0" collapsed="false">
      <c r="A25" s="5" t="s">
        <v>753</v>
      </c>
      <c r="B25" s="5" t="s">
        <v>648</v>
      </c>
      <c r="C25" s="5" t="s">
        <v>8</v>
      </c>
      <c r="D25" s="5" t="s">
        <v>7</v>
      </c>
      <c r="E25" s="5" t="s">
        <v>729</v>
      </c>
      <c r="F25" s="5" t="s">
        <v>296</v>
      </c>
      <c r="G25" s="5"/>
      <c r="H25" s="12" t="n">
        <v>0</v>
      </c>
      <c r="I25" s="5" t="str">
        <f aca="false">IF(H25=1,"ACCEPTED","OPEN")</f>
        <v>OPEN</v>
      </c>
      <c r="J25" s="3"/>
      <c r="K25" s="3"/>
      <c r="L25" s="3"/>
    </row>
    <row r="26" customFormat="false" ht="23.85" hidden="false" customHeight="false" outlineLevel="0" collapsed="false">
      <c r="A26" s="5" t="s">
        <v>754</v>
      </c>
      <c r="B26" s="5" t="s">
        <v>648</v>
      </c>
      <c r="C26" s="5" t="s">
        <v>8</v>
      </c>
      <c r="D26" s="5" t="s">
        <v>7</v>
      </c>
      <c r="E26" s="5" t="s">
        <v>731</v>
      </c>
      <c r="F26" s="5" t="s">
        <v>296</v>
      </c>
      <c r="G26" s="5"/>
      <c r="H26" s="12" t="n">
        <v>0</v>
      </c>
      <c r="I26" s="5" t="str">
        <f aca="false">IF(H26=1,"ACCEPTED","OPEN")</f>
        <v>OPEN</v>
      </c>
      <c r="J26" s="3"/>
      <c r="K26" s="3"/>
      <c r="L26" s="3"/>
    </row>
    <row r="27" customFormat="false" ht="23.85" hidden="false" customHeight="false" outlineLevel="0" collapsed="false">
      <c r="A27" s="5" t="s">
        <v>755</v>
      </c>
      <c r="B27" s="5" t="s">
        <v>648</v>
      </c>
      <c r="C27" s="5" t="s">
        <v>8</v>
      </c>
      <c r="D27" s="5" t="s">
        <v>7</v>
      </c>
      <c r="E27" s="5" t="s">
        <v>733</v>
      </c>
      <c r="F27" s="5" t="s">
        <v>296</v>
      </c>
      <c r="G27" s="5"/>
      <c r="H27" s="12" t="n">
        <v>0</v>
      </c>
      <c r="I27" s="5" t="str">
        <f aca="false">IF(H27=1,"ACCEPTED","OPEN")</f>
        <v>OPEN</v>
      </c>
      <c r="J27" s="3"/>
      <c r="K27" s="3"/>
      <c r="L27" s="3"/>
    </row>
    <row r="28" customFormat="false" ht="23.85" hidden="false" customHeight="false" outlineLevel="0" collapsed="false">
      <c r="A28" s="5" t="s">
        <v>756</v>
      </c>
      <c r="B28" s="5" t="s">
        <v>648</v>
      </c>
      <c r="C28" s="5" t="s">
        <v>8</v>
      </c>
      <c r="D28" s="5" t="s">
        <v>7</v>
      </c>
      <c r="E28" s="5" t="s">
        <v>735</v>
      </c>
      <c r="F28" s="5" t="s">
        <v>296</v>
      </c>
      <c r="G28" s="5"/>
      <c r="H28" s="12" t="n">
        <v>0</v>
      </c>
      <c r="I28" s="5" t="str">
        <f aca="false">IF(H28=1,"ACCEPTED","OPEN")</f>
        <v>OPEN</v>
      </c>
      <c r="J28" s="3"/>
      <c r="K28" s="3"/>
      <c r="L28" s="3"/>
    </row>
    <row r="29" customFormat="false" ht="23.85" hidden="false" customHeight="false" outlineLevel="0" collapsed="false">
      <c r="A29" s="5" t="s">
        <v>757</v>
      </c>
      <c r="B29" s="5" t="s">
        <v>648</v>
      </c>
      <c r="C29" s="5" t="s">
        <v>8</v>
      </c>
      <c r="D29" s="5" t="s">
        <v>7</v>
      </c>
      <c r="E29" s="5" t="s">
        <v>737</v>
      </c>
      <c r="F29" s="5" t="s">
        <v>296</v>
      </c>
      <c r="G29" s="5"/>
      <c r="H29" s="12" t="n">
        <v>0</v>
      </c>
      <c r="I29" s="5" t="str">
        <f aca="false">IF(H29=1,"ACCEPTED","OPEN")</f>
        <v>OPEN</v>
      </c>
      <c r="J29" s="3"/>
      <c r="K29" s="3"/>
      <c r="L29" s="3"/>
    </row>
    <row r="30" customFormat="false" ht="23.85" hidden="false" customHeight="false" outlineLevel="0" collapsed="false">
      <c r="A30" s="5" t="s">
        <v>758</v>
      </c>
      <c r="B30" s="5" t="s">
        <v>649</v>
      </c>
      <c r="C30" s="5" t="s">
        <v>8</v>
      </c>
      <c r="D30" s="5" t="s">
        <v>7</v>
      </c>
      <c r="E30" s="5" t="s">
        <v>729</v>
      </c>
      <c r="F30" s="5" t="s">
        <v>296</v>
      </c>
      <c r="G30" s="5"/>
      <c r="H30" s="12" t="n">
        <v>0</v>
      </c>
      <c r="I30" s="5" t="str">
        <f aca="false">IF(H30=1,"ACCEPTED","OPEN")</f>
        <v>OPEN</v>
      </c>
      <c r="J30" s="3"/>
      <c r="K30" s="3"/>
      <c r="L30" s="3"/>
    </row>
    <row r="31" customFormat="false" ht="23.85" hidden="false" customHeight="false" outlineLevel="0" collapsed="false">
      <c r="A31" s="5" t="s">
        <v>759</v>
      </c>
      <c r="B31" s="5" t="s">
        <v>649</v>
      </c>
      <c r="C31" s="5" t="s">
        <v>8</v>
      </c>
      <c r="D31" s="5" t="s">
        <v>7</v>
      </c>
      <c r="E31" s="5" t="s">
        <v>731</v>
      </c>
      <c r="F31" s="5" t="s">
        <v>296</v>
      </c>
      <c r="G31" s="5"/>
      <c r="H31" s="12" t="n">
        <v>0</v>
      </c>
      <c r="I31" s="5" t="str">
        <f aca="false">IF(H31=1,"ACCEPTED","OPEN")</f>
        <v>OPEN</v>
      </c>
      <c r="J31" s="3"/>
      <c r="K31" s="3"/>
      <c r="L31" s="3"/>
    </row>
    <row r="32" customFormat="false" ht="23.85" hidden="false" customHeight="false" outlineLevel="0" collapsed="false">
      <c r="A32" s="5" t="s">
        <v>760</v>
      </c>
      <c r="B32" s="5" t="s">
        <v>649</v>
      </c>
      <c r="C32" s="5" t="s">
        <v>8</v>
      </c>
      <c r="D32" s="5" t="s">
        <v>7</v>
      </c>
      <c r="E32" s="5" t="s">
        <v>733</v>
      </c>
      <c r="F32" s="5" t="s">
        <v>296</v>
      </c>
      <c r="G32" s="5"/>
      <c r="H32" s="12" t="n">
        <v>0</v>
      </c>
      <c r="I32" s="5" t="str">
        <f aca="false">IF(H32=1,"ACCEPTED","OPEN")</f>
        <v>OPEN</v>
      </c>
      <c r="J32" s="3"/>
      <c r="K32" s="3"/>
      <c r="L32" s="3"/>
    </row>
    <row r="33" customFormat="false" ht="23.85" hidden="false" customHeight="false" outlineLevel="0" collapsed="false">
      <c r="A33" s="5" t="s">
        <v>761</v>
      </c>
      <c r="B33" s="5" t="s">
        <v>649</v>
      </c>
      <c r="C33" s="5" t="s">
        <v>8</v>
      </c>
      <c r="D33" s="5" t="s">
        <v>7</v>
      </c>
      <c r="E33" s="5" t="s">
        <v>735</v>
      </c>
      <c r="F33" s="5" t="s">
        <v>296</v>
      </c>
      <c r="G33" s="5"/>
      <c r="H33" s="12" t="n">
        <v>0</v>
      </c>
      <c r="I33" s="5" t="str">
        <f aca="false">IF(H33=1,"ACCEPTED","OPEN")</f>
        <v>OPEN</v>
      </c>
      <c r="J33" s="3"/>
      <c r="K33" s="3"/>
      <c r="L33" s="3"/>
    </row>
    <row r="34" customFormat="false" ht="23.85" hidden="false" customHeight="false" outlineLevel="0" collapsed="false">
      <c r="A34" s="5" t="s">
        <v>762</v>
      </c>
      <c r="B34" s="5" t="s">
        <v>649</v>
      </c>
      <c r="C34" s="5" t="s">
        <v>8</v>
      </c>
      <c r="D34" s="5" t="s">
        <v>7</v>
      </c>
      <c r="E34" s="5" t="s">
        <v>737</v>
      </c>
      <c r="F34" s="5" t="s">
        <v>296</v>
      </c>
      <c r="G34" s="5"/>
      <c r="H34" s="12" t="n">
        <v>0</v>
      </c>
      <c r="I34" s="5" t="str">
        <f aca="false">IF(H34=1,"ACCEPTED","OPEN")</f>
        <v>OPEN</v>
      </c>
      <c r="J34" s="3"/>
      <c r="K34" s="3"/>
      <c r="L34" s="3"/>
    </row>
    <row r="35" customFormat="false" ht="23.85" hidden="false" customHeight="false" outlineLevel="0" collapsed="false">
      <c r="A35" s="5" t="s">
        <v>763</v>
      </c>
      <c r="B35" s="5" t="s">
        <v>650</v>
      </c>
      <c r="C35" s="5" t="s">
        <v>8</v>
      </c>
      <c r="D35" s="5" t="s">
        <v>7</v>
      </c>
      <c r="E35" s="5" t="s">
        <v>729</v>
      </c>
      <c r="F35" s="5" t="s">
        <v>296</v>
      </c>
      <c r="G35" s="5"/>
      <c r="H35" s="12" t="n">
        <v>0</v>
      </c>
      <c r="I35" s="5" t="str">
        <f aca="false">IF(H35=1,"ACCEPTED","OPEN")</f>
        <v>OPEN</v>
      </c>
      <c r="J35" s="3"/>
      <c r="K35" s="3"/>
      <c r="L35" s="3"/>
    </row>
    <row r="36" customFormat="false" ht="23.85" hidden="false" customHeight="false" outlineLevel="0" collapsed="false">
      <c r="A36" s="5" t="s">
        <v>764</v>
      </c>
      <c r="B36" s="5" t="s">
        <v>650</v>
      </c>
      <c r="C36" s="5" t="s">
        <v>8</v>
      </c>
      <c r="D36" s="5" t="s">
        <v>7</v>
      </c>
      <c r="E36" s="5" t="s">
        <v>731</v>
      </c>
      <c r="F36" s="5" t="s">
        <v>296</v>
      </c>
      <c r="G36" s="5"/>
      <c r="H36" s="12" t="n">
        <v>0</v>
      </c>
      <c r="I36" s="5" t="str">
        <f aca="false">IF(H36=1,"ACCEPTED","OPEN")</f>
        <v>OPEN</v>
      </c>
      <c r="J36" s="3"/>
      <c r="K36" s="3"/>
      <c r="L36" s="3"/>
    </row>
    <row r="37" customFormat="false" ht="23.85" hidden="false" customHeight="false" outlineLevel="0" collapsed="false">
      <c r="A37" s="5" t="s">
        <v>765</v>
      </c>
      <c r="B37" s="5" t="s">
        <v>650</v>
      </c>
      <c r="C37" s="5" t="s">
        <v>8</v>
      </c>
      <c r="D37" s="5" t="s">
        <v>7</v>
      </c>
      <c r="E37" s="5" t="s">
        <v>733</v>
      </c>
      <c r="F37" s="5" t="s">
        <v>296</v>
      </c>
      <c r="G37" s="5"/>
      <c r="H37" s="12" t="n">
        <v>0</v>
      </c>
      <c r="I37" s="5" t="str">
        <f aca="false">IF(H37=1,"ACCEPTED","OPEN")</f>
        <v>OPEN</v>
      </c>
      <c r="J37" s="3"/>
      <c r="K37" s="3"/>
      <c r="L37" s="3"/>
    </row>
    <row r="38" customFormat="false" ht="23.85" hidden="false" customHeight="false" outlineLevel="0" collapsed="false">
      <c r="A38" s="5" t="s">
        <v>766</v>
      </c>
      <c r="B38" s="5" t="s">
        <v>650</v>
      </c>
      <c r="C38" s="5" t="s">
        <v>8</v>
      </c>
      <c r="D38" s="5" t="s">
        <v>7</v>
      </c>
      <c r="E38" s="5" t="s">
        <v>735</v>
      </c>
      <c r="F38" s="5" t="s">
        <v>296</v>
      </c>
      <c r="G38" s="5"/>
      <c r="H38" s="12" t="n">
        <v>0</v>
      </c>
      <c r="I38" s="5" t="str">
        <f aca="false">IF(H38=1,"ACCEPTED","OPEN")</f>
        <v>OPEN</v>
      </c>
      <c r="J38" s="3"/>
      <c r="K38" s="3"/>
      <c r="L38" s="3"/>
    </row>
    <row r="39" customFormat="false" ht="23.85" hidden="false" customHeight="false" outlineLevel="0" collapsed="false">
      <c r="A39" s="5" t="s">
        <v>767</v>
      </c>
      <c r="B39" s="5" t="s">
        <v>650</v>
      </c>
      <c r="C39" s="5" t="s">
        <v>8</v>
      </c>
      <c r="D39" s="5" t="s">
        <v>7</v>
      </c>
      <c r="E39" s="5" t="s">
        <v>737</v>
      </c>
      <c r="F39" s="5" t="s">
        <v>296</v>
      </c>
      <c r="G39" s="5"/>
      <c r="H39" s="12" t="n">
        <v>0</v>
      </c>
      <c r="I39" s="5" t="str">
        <f aca="false">IF(H39=1,"ACCEPTED","OPEN")</f>
        <v>OPEN</v>
      </c>
      <c r="J39" s="3"/>
      <c r="K39" s="3"/>
      <c r="L39" s="3"/>
    </row>
    <row r="40" customFormat="false" ht="23.85" hidden="false" customHeight="false" outlineLevel="0" collapsed="false">
      <c r="A40" s="5" t="s">
        <v>768</v>
      </c>
      <c r="B40" s="5" t="s">
        <v>652</v>
      </c>
      <c r="C40" s="5" t="s">
        <v>8</v>
      </c>
      <c r="D40" s="5" t="s">
        <v>7</v>
      </c>
      <c r="E40" s="5" t="s">
        <v>729</v>
      </c>
      <c r="F40" s="5" t="s">
        <v>296</v>
      </c>
      <c r="G40" s="5"/>
      <c r="H40" s="12" t="n">
        <v>0</v>
      </c>
      <c r="I40" s="5" t="str">
        <f aca="false">IF(H40=1,"ACCEPTED","OPEN")</f>
        <v>OPEN</v>
      </c>
      <c r="J40" s="3"/>
      <c r="K40" s="3"/>
      <c r="L40" s="3"/>
    </row>
    <row r="41" customFormat="false" ht="23.85" hidden="false" customHeight="false" outlineLevel="0" collapsed="false">
      <c r="A41" s="5" t="s">
        <v>769</v>
      </c>
      <c r="B41" s="5" t="s">
        <v>652</v>
      </c>
      <c r="C41" s="5" t="s">
        <v>8</v>
      </c>
      <c r="D41" s="5" t="s">
        <v>7</v>
      </c>
      <c r="E41" s="5" t="s">
        <v>731</v>
      </c>
      <c r="F41" s="5" t="s">
        <v>296</v>
      </c>
      <c r="G41" s="5"/>
      <c r="H41" s="12" t="n">
        <v>0</v>
      </c>
      <c r="I41" s="5" t="str">
        <f aca="false">IF(H41=1,"ACCEPTED","OPEN")</f>
        <v>OPEN</v>
      </c>
      <c r="J41" s="3"/>
      <c r="K41" s="3"/>
      <c r="L41" s="3"/>
    </row>
    <row r="42" customFormat="false" ht="23.85" hidden="false" customHeight="false" outlineLevel="0" collapsed="false">
      <c r="A42" s="5" t="s">
        <v>770</v>
      </c>
      <c r="B42" s="5" t="s">
        <v>652</v>
      </c>
      <c r="C42" s="5" t="s">
        <v>8</v>
      </c>
      <c r="D42" s="5" t="s">
        <v>7</v>
      </c>
      <c r="E42" s="5" t="s">
        <v>733</v>
      </c>
      <c r="F42" s="5" t="s">
        <v>296</v>
      </c>
      <c r="G42" s="5"/>
      <c r="H42" s="12" t="n">
        <v>0</v>
      </c>
      <c r="I42" s="5" t="str">
        <f aca="false">IF(H42=1,"ACCEPTED","OPEN")</f>
        <v>OPEN</v>
      </c>
      <c r="J42" s="3"/>
      <c r="K42" s="3"/>
      <c r="L42" s="3"/>
    </row>
    <row r="43" customFormat="false" ht="23.85" hidden="false" customHeight="false" outlineLevel="0" collapsed="false">
      <c r="A43" s="5" t="s">
        <v>771</v>
      </c>
      <c r="B43" s="5" t="s">
        <v>652</v>
      </c>
      <c r="C43" s="5" t="s">
        <v>8</v>
      </c>
      <c r="D43" s="5" t="s">
        <v>7</v>
      </c>
      <c r="E43" s="5" t="s">
        <v>735</v>
      </c>
      <c r="F43" s="5" t="s">
        <v>296</v>
      </c>
      <c r="G43" s="5"/>
      <c r="H43" s="12" t="n">
        <v>0</v>
      </c>
      <c r="I43" s="5" t="str">
        <f aca="false">IF(H43=1,"ACCEPTED","OPEN")</f>
        <v>OPEN</v>
      </c>
      <c r="J43" s="3"/>
      <c r="K43" s="3"/>
      <c r="L43" s="3"/>
    </row>
    <row r="44" customFormat="false" ht="23.85" hidden="false" customHeight="false" outlineLevel="0" collapsed="false">
      <c r="A44" s="5" t="s">
        <v>772</v>
      </c>
      <c r="B44" s="5" t="s">
        <v>652</v>
      </c>
      <c r="C44" s="5" t="s">
        <v>8</v>
      </c>
      <c r="D44" s="5" t="s">
        <v>7</v>
      </c>
      <c r="E44" s="5" t="s">
        <v>737</v>
      </c>
      <c r="F44" s="5" t="s">
        <v>296</v>
      </c>
      <c r="G44" s="5"/>
      <c r="H44" s="12" t="n">
        <v>0</v>
      </c>
      <c r="I44" s="5" t="str">
        <f aca="false">IF(H44=1,"ACCEPTED","OPEN")</f>
        <v>OPEN</v>
      </c>
      <c r="J44" s="3"/>
      <c r="K44" s="3"/>
      <c r="L44" s="3"/>
    </row>
    <row r="45" customFormat="false" ht="23.85" hidden="false" customHeight="false" outlineLevel="0" collapsed="false">
      <c r="A45" s="5" t="s">
        <v>773</v>
      </c>
      <c r="B45" s="5" t="s">
        <v>653</v>
      </c>
      <c r="C45" s="5" t="s">
        <v>8</v>
      </c>
      <c r="D45" s="5" t="s">
        <v>7</v>
      </c>
      <c r="E45" s="5" t="s">
        <v>729</v>
      </c>
      <c r="F45" s="5" t="s">
        <v>296</v>
      </c>
      <c r="G45" s="5"/>
      <c r="H45" s="12" t="n">
        <v>0</v>
      </c>
      <c r="I45" s="5" t="str">
        <f aca="false">IF(H45=1,"ACCEPTED","OPEN")</f>
        <v>OPEN</v>
      </c>
      <c r="J45" s="3"/>
      <c r="K45" s="3"/>
      <c r="L45" s="3"/>
    </row>
    <row r="46" customFormat="false" ht="23.85" hidden="false" customHeight="false" outlineLevel="0" collapsed="false">
      <c r="A46" s="5" t="s">
        <v>774</v>
      </c>
      <c r="B46" s="5" t="s">
        <v>653</v>
      </c>
      <c r="C46" s="5" t="s">
        <v>8</v>
      </c>
      <c r="D46" s="5" t="s">
        <v>7</v>
      </c>
      <c r="E46" s="5" t="s">
        <v>731</v>
      </c>
      <c r="F46" s="5" t="s">
        <v>296</v>
      </c>
      <c r="G46" s="5"/>
      <c r="H46" s="12" t="n">
        <v>0</v>
      </c>
      <c r="I46" s="5" t="str">
        <f aca="false">IF(H46=1,"ACCEPTED","OPEN")</f>
        <v>OPEN</v>
      </c>
      <c r="J46" s="3"/>
      <c r="K46" s="3"/>
      <c r="L46" s="3"/>
    </row>
    <row r="47" customFormat="false" ht="23.85" hidden="false" customHeight="false" outlineLevel="0" collapsed="false">
      <c r="A47" s="5" t="s">
        <v>775</v>
      </c>
      <c r="B47" s="5" t="s">
        <v>653</v>
      </c>
      <c r="C47" s="5" t="s">
        <v>8</v>
      </c>
      <c r="D47" s="5" t="s">
        <v>7</v>
      </c>
      <c r="E47" s="5" t="s">
        <v>733</v>
      </c>
      <c r="F47" s="5" t="s">
        <v>296</v>
      </c>
      <c r="G47" s="5"/>
      <c r="H47" s="12" t="n">
        <v>0</v>
      </c>
      <c r="I47" s="5" t="str">
        <f aca="false">IF(H47=1,"ACCEPTED","OPEN")</f>
        <v>OPEN</v>
      </c>
      <c r="J47" s="3"/>
      <c r="K47" s="3"/>
      <c r="L47" s="3"/>
    </row>
    <row r="48" customFormat="false" ht="23.85" hidden="false" customHeight="false" outlineLevel="0" collapsed="false">
      <c r="A48" s="5" t="s">
        <v>776</v>
      </c>
      <c r="B48" s="5" t="s">
        <v>653</v>
      </c>
      <c r="C48" s="5" t="s">
        <v>8</v>
      </c>
      <c r="D48" s="5" t="s">
        <v>7</v>
      </c>
      <c r="E48" s="5" t="s">
        <v>735</v>
      </c>
      <c r="F48" s="5" t="s">
        <v>296</v>
      </c>
      <c r="G48" s="5"/>
      <c r="H48" s="12" t="n">
        <v>0</v>
      </c>
      <c r="I48" s="5" t="str">
        <f aca="false">IF(H48=1,"ACCEPTED","OPEN")</f>
        <v>OPEN</v>
      </c>
      <c r="J48" s="3"/>
      <c r="K48" s="3"/>
      <c r="L48" s="3"/>
    </row>
    <row r="49" customFormat="false" ht="23.85" hidden="false" customHeight="false" outlineLevel="0" collapsed="false">
      <c r="A49" s="5" t="s">
        <v>777</v>
      </c>
      <c r="B49" s="5" t="s">
        <v>653</v>
      </c>
      <c r="C49" s="5" t="s">
        <v>8</v>
      </c>
      <c r="D49" s="5" t="s">
        <v>7</v>
      </c>
      <c r="E49" s="5" t="s">
        <v>737</v>
      </c>
      <c r="F49" s="5" t="s">
        <v>296</v>
      </c>
      <c r="G49" s="5"/>
      <c r="H49" s="12" t="n">
        <v>0</v>
      </c>
      <c r="I49" s="5" t="str">
        <f aca="false">IF(H49=1,"ACCEPTED","OPEN")</f>
        <v>OPEN</v>
      </c>
      <c r="J49" s="3"/>
      <c r="K49" s="3"/>
      <c r="L49" s="3"/>
    </row>
    <row r="50" customFormat="false" ht="23.85" hidden="false" customHeight="false" outlineLevel="0" collapsed="false">
      <c r="A50" s="5" t="s">
        <v>778</v>
      </c>
      <c r="B50" s="5" t="s">
        <v>654</v>
      </c>
      <c r="C50" s="5" t="s">
        <v>8</v>
      </c>
      <c r="D50" s="5" t="s">
        <v>7</v>
      </c>
      <c r="E50" s="5" t="s">
        <v>729</v>
      </c>
      <c r="F50" s="5" t="s">
        <v>296</v>
      </c>
      <c r="G50" s="5"/>
      <c r="H50" s="12" t="n">
        <v>0</v>
      </c>
      <c r="I50" s="5" t="str">
        <f aca="false">IF(H50=1,"ACCEPTED","OPEN")</f>
        <v>OPEN</v>
      </c>
      <c r="J50" s="3"/>
      <c r="K50" s="3"/>
      <c r="L50" s="3"/>
    </row>
    <row r="51" customFormat="false" ht="23.85" hidden="false" customHeight="false" outlineLevel="0" collapsed="false">
      <c r="A51" s="5" t="s">
        <v>779</v>
      </c>
      <c r="B51" s="5" t="s">
        <v>654</v>
      </c>
      <c r="C51" s="5" t="s">
        <v>8</v>
      </c>
      <c r="D51" s="5" t="s">
        <v>7</v>
      </c>
      <c r="E51" s="5" t="s">
        <v>731</v>
      </c>
      <c r="F51" s="5" t="s">
        <v>296</v>
      </c>
      <c r="G51" s="5"/>
      <c r="H51" s="12" t="n">
        <v>0</v>
      </c>
      <c r="I51" s="5" t="str">
        <f aca="false">IF(H51=1,"ACCEPTED","OPEN")</f>
        <v>OPEN</v>
      </c>
      <c r="J51" s="3"/>
      <c r="K51" s="3"/>
      <c r="L51" s="3"/>
    </row>
    <row r="52" customFormat="false" ht="23.85" hidden="false" customHeight="false" outlineLevel="0" collapsed="false">
      <c r="A52" s="5" t="s">
        <v>780</v>
      </c>
      <c r="B52" s="5" t="s">
        <v>654</v>
      </c>
      <c r="C52" s="5" t="s">
        <v>8</v>
      </c>
      <c r="D52" s="5" t="s">
        <v>7</v>
      </c>
      <c r="E52" s="5" t="s">
        <v>733</v>
      </c>
      <c r="F52" s="5" t="s">
        <v>296</v>
      </c>
      <c r="G52" s="5"/>
      <c r="H52" s="12" t="n">
        <v>0</v>
      </c>
      <c r="I52" s="5" t="str">
        <f aca="false">IF(H52=1,"ACCEPTED","OPEN")</f>
        <v>OPEN</v>
      </c>
      <c r="J52" s="3"/>
      <c r="K52" s="3"/>
      <c r="L52" s="3"/>
    </row>
    <row r="53" customFormat="false" ht="23.85" hidden="false" customHeight="false" outlineLevel="0" collapsed="false">
      <c r="A53" s="5" t="s">
        <v>781</v>
      </c>
      <c r="B53" s="5" t="s">
        <v>654</v>
      </c>
      <c r="C53" s="5" t="s">
        <v>8</v>
      </c>
      <c r="D53" s="5" t="s">
        <v>7</v>
      </c>
      <c r="E53" s="5" t="s">
        <v>735</v>
      </c>
      <c r="F53" s="5" t="s">
        <v>296</v>
      </c>
      <c r="G53" s="5"/>
      <c r="H53" s="12" t="n">
        <v>0</v>
      </c>
      <c r="I53" s="5" t="str">
        <f aca="false">IF(H53=1,"ACCEPTED","OPEN")</f>
        <v>OPEN</v>
      </c>
      <c r="J53" s="3"/>
      <c r="K53" s="3"/>
      <c r="L53" s="3"/>
    </row>
    <row r="54" customFormat="false" ht="23.85" hidden="false" customHeight="false" outlineLevel="0" collapsed="false">
      <c r="A54" s="5" t="s">
        <v>782</v>
      </c>
      <c r="B54" s="5" t="s">
        <v>654</v>
      </c>
      <c r="C54" s="5" t="s">
        <v>8</v>
      </c>
      <c r="D54" s="5" t="s">
        <v>7</v>
      </c>
      <c r="E54" s="5" t="s">
        <v>737</v>
      </c>
      <c r="F54" s="5" t="s">
        <v>296</v>
      </c>
      <c r="G54" s="5"/>
      <c r="H54" s="12" t="n">
        <v>0</v>
      </c>
      <c r="I54" s="5" t="str">
        <f aca="false">IF(H54=1,"ACCEPTED","OPEN")</f>
        <v>OPEN</v>
      </c>
      <c r="J54" s="3"/>
      <c r="K54" s="3"/>
      <c r="L54" s="3"/>
    </row>
    <row r="55" customFormat="false" ht="23.85" hidden="false" customHeight="false" outlineLevel="0" collapsed="false">
      <c r="A55" s="5" t="s">
        <v>783</v>
      </c>
      <c r="B55" s="5" t="s">
        <v>655</v>
      </c>
      <c r="C55" s="5" t="s">
        <v>8</v>
      </c>
      <c r="D55" s="5" t="s">
        <v>7</v>
      </c>
      <c r="E55" s="5" t="s">
        <v>729</v>
      </c>
      <c r="F55" s="5" t="s">
        <v>296</v>
      </c>
      <c r="G55" s="5"/>
      <c r="H55" s="12" t="n">
        <v>0</v>
      </c>
      <c r="I55" s="5" t="str">
        <f aca="false">IF(H55=1,"ACCEPTED","OPEN")</f>
        <v>OPEN</v>
      </c>
      <c r="J55" s="3"/>
      <c r="K55" s="3"/>
      <c r="L55" s="3"/>
    </row>
    <row r="56" customFormat="false" ht="23.85" hidden="false" customHeight="false" outlineLevel="0" collapsed="false">
      <c r="A56" s="5" t="s">
        <v>784</v>
      </c>
      <c r="B56" s="5" t="s">
        <v>655</v>
      </c>
      <c r="C56" s="5" t="s">
        <v>8</v>
      </c>
      <c r="D56" s="5" t="s">
        <v>7</v>
      </c>
      <c r="E56" s="5" t="s">
        <v>731</v>
      </c>
      <c r="F56" s="5" t="s">
        <v>296</v>
      </c>
      <c r="G56" s="5"/>
      <c r="H56" s="12" t="n">
        <v>0</v>
      </c>
      <c r="I56" s="5" t="str">
        <f aca="false">IF(H56=1,"ACCEPTED","OPEN")</f>
        <v>OPEN</v>
      </c>
      <c r="J56" s="3"/>
      <c r="K56" s="3"/>
      <c r="L56" s="3"/>
    </row>
    <row r="57" customFormat="false" ht="23.85" hidden="false" customHeight="false" outlineLevel="0" collapsed="false">
      <c r="A57" s="5" t="s">
        <v>785</v>
      </c>
      <c r="B57" s="5" t="s">
        <v>655</v>
      </c>
      <c r="C57" s="5" t="s">
        <v>8</v>
      </c>
      <c r="D57" s="5" t="s">
        <v>7</v>
      </c>
      <c r="E57" s="5" t="s">
        <v>733</v>
      </c>
      <c r="F57" s="5" t="s">
        <v>296</v>
      </c>
      <c r="G57" s="5"/>
      <c r="H57" s="12" t="n">
        <v>0</v>
      </c>
      <c r="I57" s="5" t="str">
        <f aca="false">IF(H57=1,"ACCEPTED","OPEN")</f>
        <v>OPEN</v>
      </c>
      <c r="J57" s="3"/>
      <c r="K57" s="3"/>
      <c r="L57" s="3"/>
    </row>
    <row r="58" customFormat="false" ht="23.85" hidden="false" customHeight="false" outlineLevel="0" collapsed="false">
      <c r="A58" s="5" t="s">
        <v>786</v>
      </c>
      <c r="B58" s="5" t="s">
        <v>655</v>
      </c>
      <c r="C58" s="5" t="s">
        <v>8</v>
      </c>
      <c r="D58" s="5" t="s">
        <v>7</v>
      </c>
      <c r="E58" s="5" t="s">
        <v>735</v>
      </c>
      <c r="F58" s="5" t="s">
        <v>296</v>
      </c>
      <c r="G58" s="5"/>
      <c r="H58" s="12" t="n">
        <v>0</v>
      </c>
      <c r="I58" s="5" t="str">
        <f aca="false">IF(H58=1,"ACCEPTED","OPEN")</f>
        <v>OPEN</v>
      </c>
      <c r="J58" s="3"/>
      <c r="K58" s="3"/>
      <c r="L58" s="3"/>
    </row>
    <row r="59" customFormat="false" ht="23.85" hidden="false" customHeight="false" outlineLevel="0" collapsed="false">
      <c r="A59" s="5" t="s">
        <v>787</v>
      </c>
      <c r="B59" s="5" t="s">
        <v>655</v>
      </c>
      <c r="C59" s="5" t="s">
        <v>8</v>
      </c>
      <c r="D59" s="5" t="s">
        <v>7</v>
      </c>
      <c r="E59" s="5" t="s">
        <v>737</v>
      </c>
      <c r="F59" s="5" t="s">
        <v>296</v>
      </c>
      <c r="G59" s="5"/>
      <c r="H59" s="12" t="n">
        <v>0</v>
      </c>
      <c r="I59" s="5" t="str">
        <f aca="false">IF(H59=1,"ACCEPTED","OPEN")</f>
        <v>OPEN</v>
      </c>
      <c r="J59" s="3"/>
      <c r="K59" s="3"/>
      <c r="L59" s="3"/>
    </row>
    <row r="60" customFormat="false" ht="23.85" hidden="false" customHeight="false" outlineLevel="0" collapsed="false">
      <c r="A60" s="5" t="s">
        <v>788</v>
      </c>
      <c r="B60" s="5" t="s">
        <v>656</v>
      </c>
      <c r="C60" s="5" t="s">
        <v>8</v>
      </c>
      <c r="D60" s="5" t="s">
        <v>7</v>
      </c>
      <c r="E60" s="5" t="s">
        <v>729</v>
      </c>
      <c r="F60" s="5" t="s">
        <v>296</v>
      </c>
      <c r="G60" s="5"/>
      <c r="H60" s="12" t="n">
        <v>0</v>
      </c>
      <c r="I60" s="5" t="str">
        <f aca="false">IF(H60=1,"ACCEPTED","OPEN")</f>
        <v>OPEN</v>
      </c>
      <c r="J60" s="3"/>
      <c r="K60" s="3"/>
      <c r="L60" s="3"/>
    </row>
    <row r="61" customFormat="false" ht="23.85" hidden="false" customHeight="false" outlineLevel="0" collapsed="false">
      <c r="A61" s="5" t="s">
        <v>789</v>
      </c>
      <c r="B61" s="5" t="s">
        <v>656</v>
      </c>
      <c r="C61" s="5" t="s">
        <v>8</v>
      </c>
      <c r="D61" s="5" t="s">
        <v>7</v>
      </c>
      <c r="E61" s="5" t="s">
        <v>731</v>
      </c>
      <c r="F61" s="5" t="s">
        <v>296</v>
      </c>
      <c r="G61" s="5"/>
      <c r="H61" s="12" t="n">
        <v>0</v>
      </c>
      <c r="I61" s="5" t="str">
        <f aca="false">IF(H61=1,"ACCEPTED","OPEN")</f>
        <v>OPEN</v>
      </c>
      <c r="J61" s="3"/>
      <c r="K61" s="3"/>
      <c r="L61" s="3"/>
    </row>
    <row r="62" customFormat="false" ht="23.85" hidden="false" customHeight="false" outlineLevel="0" collapsed="false">
      <c r="A62" s="5" t="s">
        <v>790</v>
      </c>
      <c r="B62" s="5" t="s">
        <v>656</v>
      </c>
      <c r="C62" s="5" t="s">
        <v>8</v>
      </c>
      <c r="D62" s="5" t="s">
        <v>7</v>
      </c>
      <c r="E62" s="5" t="s">
        <v>733</v>
      </c>
      <c r="F62" s="5" t="s">
        <v>296</v>
      </c>
      <c r="G62" s="5"/>
      <c r="H62" s="12" t="n">
        <v>0</v>
      </c>
      <c r="I62" s="5" t="str">
        <f aca="false">IF(H62=1,"ACCEPTED","OPEN")</f>
        <v>OPEN</v>
      </c>
      <c r="J62" s="3"/>
      <c r="K62" s="3"/>
      <c r="L62" s="3"/>
    </row>
    <row r="63" customFormat="false" ht="23.85" hidden="false" customHeight="false" outlineLevel="0" collapsed="false">
      <c r="A63" s="5" t="s">
        <v>791</v>
      </c>
      <c r="B63" s="5" t="s">
        <v>656</v>
      </c>
      <c r="C63" s="5" t="s">
        <v>8</v>
      </c>
      <c r="D63" s="5" t="s">
        <v>7</v>
      </c>
      <c r="E63" s="5" t="s">
        <v>735</v>
      </c>
      <c r="F63" s="5" t="s">
        <v>296</v>
      </c>
      <c r="G63" s="5"/>
      <c r="H63" s="12" t="n">
        <v>0</v>
      </c>
      <c r="I63" s="5" t="str">
        <f aca="false">IF(H63=1,"ACCEPTED","OPEN")</f>
        <v>OPEN</v>
      </c>
      <c r="J63" s="3"/>
      <c r="K63" s="3"/>
      <c r="L63" s="3"/>
    </row>
    <row r="64" customFormat="false" ht="23.85" hidden="false" customHeight="false" outlineLevel="0" collapsed="false">
      <c r="A64" s="5" t="s">
        <v>792</v>
      </c>
      <c r="B64" s="5" t="s">
        <v>656</v>
      </c>
      <c r="C64" s="5" t="s">
        <v>8</v>
      </c>
      <c r="D64" s="5" t="s">
        <v>7</v>
      </c>
      <c r="E64" s="5" t="s">
        <v>737</v>
      </c>
      <c r="F64" s="5" t="s">
        <v>296</v>
      </c>
      <c r="G64" s="5"/>
      <c r="H64" s="12" t="n">
        <v>0</v>
      </c>
      <c r="I64" s="5" t="str">
        <f aca="false">IF(H64=1,"ACCEPTED","OPEN")</f>
        <v>OPEN</v>
      </c>
      <c r="J64" s="3"/>
      <c r="K64" s="3"/>
      <c r="L64" s="3"/>
    </row>
    <row r="65" customFormat="false" ht="23.85" hidden="false" customHeight="false" outlineLevel="0" collapsed="false">
      <c r="A65" s="5" t="s">
        <v>793</v>
      </c>
      <c r="B65" s="5" t="s">
        <v>657</v>
      </c>
      <c r="C65" s="5" t="s">
        <v>13</v>
      </c>
      <c r="D65" s="5" t="s">
        <v>12</v>
      </c>
      <c r="E65" s="5" t="s">
        <v>729</v>
      </c>
      <c r="F65" s="5" t="s">
        <v>296</v>
      </c>
      <c r="G65" s="5"/>
      <c r="H65" s="12" t="n">
        <v>0</v>
      </c>
      <c r="I65" s="5" t="str">
        <f aca="false">IF(H65=1,"ACCEPTED","OPEN")</f>
        <v>OPEN</v>
      </c>
      <c r="J65" s="3"/>
      <c r="K65" s="3"/>
      <c r="L65" s="3"/>
    </row>
    <row r="66" customFormat="false" ht="23.85" hidden="false" customHeight="false" outlineLevel="0" collapsed="false">
      <c r="A66" s="5" t="s">
        <v>794</v>
      </c>
      <c r="B66" s="5" t="s">
        <v>657</v>
      </c>
      <c r="C66" s="5" t="s">
        <v>13</v>
      </c>
      <c r="D66" s="5" t="s">
        <v>12</v>
      </c>
      <c r="E66" s="5" t="s">
        <v>731</v>
      </c>
      <c r="F66" s="5" t="s">
        <v>296</v>
      </c>
      <c r="G66" s="5"/>
      <c r="H66" s="12" t="n">
        <v>0</v>
      </c>
      <c r="I66" s="5" t="str">
        <f aca="false">IF(H66=1,"ACCEPTED","OPEN")</f>
        <v>OPEN</v>
      </c>
      <c r="J66" s="3"/>
      <c r="K66" s="3"/>
      <c r="L66" s="3"/>
    </row>
    <row r="67" customFormat="false" ht="23.85" hidden="false" customHeight="false" outlineLevel="0" collapsed="false">
      <c r="A67" s="5" t="s">
        <v>795</v>
      </c>
      <c r="B67" s="5" t="s">
        <v>657</v>
      </c>
      <c r="C67" s="5" t="s">
        <v>13</v>
      </c>
      <c r="D67" s="5" t="s">
        <v>12</v>
      </c>
      <c r="E67" s="5" t="s">
        <v>733</v>
      </c>
      <c r="F67" s="5" t="s">
        <v>296</v>
      </c>
      <c r="G67" s="5"/>
      <c r="H67" s="12" t="n">
        <v>0</v>
      </c>
      <c r="I67" s="5" t="str">
        <f aca="false">IF(H67=1,"ACCEPTED","OPEN")</f>
        <v>OPEN</v>
      </c>
      <c r="J67" s="3"/>
      <c r="K67" s="3"/>
      <c r="L67" s="3"/>
    </row>
    <row r="68" customFormat="false" ht="23.85" hidden="false" customHeight="false" outlineLevel="0" collapsed="false">
      <c r="A68" s="5" t="s">
        <v>796</v>
      </c>
      <c r="B68" s="5" t="s">
        <v>657</v>
      </c>
      <c r="C68" s="5" t="s">
        <v>13</v>
      </c>
      <c r="D68" s="5" t="s">
        <v>12</v>
      </c>
      <c r="E68" s="5" t="s">
        <v>735</v>
      </c>
      <c r="F68" s="5" t="s">
        <v>296</v>
      </c>
      <c r="G68" s="5"/>
      <c r="H68" s="12" t="n">
        <v>0</v>
      </c>
      <c r="I68" s="5" t="str">
        <f aca="false">IF(H68=1,"ACCEPTED","OPEN")</f>
        <v>OPEN</v>
      </c>
      <c r="J68" s="3"/>
      <c r="K68" s="3"/>
      <c r="L68" s="3"/>
    </row>
    <row r="69" customFormat="false" ht="23.85" hidden="false" customHeight="false" outlineLevel="0" collapsed="false">
      <c r="A69" s="5" t="s">
        <v>797</v>
      </c>
      <c r="B69" s="5" t="s">
        <v>657</v>
      </c>
      <c r="C69" s="5" t="s">
        <v>13</v>
      </c>
      <c r="D69" s="5" t="s">
        <v>12</v>
      </c>
      <c r="E69" s="5" t="s">
        <v>737</v>
      </c>
      <c r="F69" s="5" t="s">
        <v>296</v>
      </c>
      <c r="G69" s="5"/>
      <c r="H69" s="12" t="n">
        <v>0</v>
      </c>
      <c r="I69" s="5" t="str">
        <f aca="false">IF(H69=1,"ACCEPTED","OPEN")</f>
        <v>OPEN</v>
      </c>
      <c r="J69" s="3"/>
      <c r="K69" s="3"/>
      <c r="L69" s="3"/>
    </row>
    <row r="70" customFormat="false" ht="23.85" hidden="false" customHeight="false" outlineLevel="0" collapsed="false">
      <c r="A70" s="5" t="s">
        <v>798</v>
      </c>
      <c r="B70" s="5" t="s">
        <v>659</v>
      </c>
      <c r="C70" s="5" t="s">
        <v>13</v>
      </c>
      <c r="D70" s="5" t="s">
        <v>12</v>
      </c>
      <c r="E70" s="5" t="s">
        <v>729</v>
      </c>
      <c r="F70" s="5" t="s">
        <v>296</v>
      </c>
      <c r="G70" s="5"/>
      <c r="H70" s="12" t="n">
        <v>0</v>
      </c>
      <c r="I70" s="5" t="str">
        <f aca="false">IF(H70=1,"ACCEPTED","OPEN")</f>
        <v>OPEN</v>
      </c>
      <c r="J70" s="3"/>
      <c r="K70" s="3"/>
      <c r="L70" s="3"/>
    </row>
    <row r="71" customFormat="false" ht="23.85" hidden="false" customHeight="false" outlineLevel="0" collapsed="false">
      <c r="A71" s="5" t="s">
        <v>799</v>
      </c>
      <c r="B71" s="5" t="s">
        <v>659</v>
      </c>
      <c r="C71" s="5" t="s">
        <v>13</v>
      </c>
      <c r="D71" s="5" t="s">
        <v>12</v>
      </c>
      <c r="E71" s="5" t="s">
        <v>731</v>
      </c>
      <c r="F71" s="5" t="s">
        <v>296</v>
      </c>
      <c r="G71" s="5"/>
      <c r="H71" s="12" t="n">
        <v>0</v>
      </c>
      <c r="I71" s="5" t="str">
        <f aca="false">IF(H71=1,"ACCEPTED","OPEN")</f>
        <v>OPEN</v>
      </c>
      <c r="J71" s="3"/>
      <c r="K71" s="3"/>
      <c r="L71" s="3"/>
    </row>
    <row r="72" customFormat="false" ht="23.85" hidden="false" customHeight="false" outlineLevel="0" collapsed="false">
      <c r="A72" s="5" t="s">
        <v>800</v>
      </c>
      <c r="B72" s="5" t="s">
        <v>659</v>
      </c>
      <c r="C72" s="5" t="s">
        <v>13</v>
      </c>
      <c r="D72" s="5" t="s">
        <v>12</v>
      </c>
      <c r="E72" s="5" t="s">
        <v>733</v>
      </c>
      <c r="F72" s="5" t="s">
        <v>296</v>
      </c>
      <c r="G72" s="5"/>
      <c r="H72" s="12" t="n">
        <v>0</v>
      </c>
      <c r="I72" s="5" t="str">
        <f aca="false">IF(H72=1,"ACCEPTED","OPEN")</f>
        <v>OPEN</v>
      </c>
      <c r="J72" s="3"/>
      <c r="K72" s="3"/>
      <c r="L72" s="3"/>
    </row>
    <row r="73" customFormat="false" ht="23.85" hidden="false" customHeight="false" outlineLevel="0" collapsed="false">
      <c r="A73" s="5" t="s">
        <v>801</v>
      </c>
      <c r="B73" s="5" t="s">
        <v>659</v>
      </c>
      <c r="C73" s="5" t="s">
        <v>13</v>
      </c>
      <c r="D73" s="5" t="s">
        <v>12</v>
      </c>
      <c r="E73" s="5" t="s">
        <v>735</v>
      </c>
      <c r="F73" s="5" t="s">
        <v>296</v>
      </c>
      <c r="G73" s="5"/>
      <c r="H73" s="12" t="n">
        <v>0</v>
      </c>
      <c r="I73" s="5" t="str">
        <f aca="false">IF(H73=1,"ACCEPTED","OPEN")</f>
        <v>OPEN</v>
      </c>
      <c r="J73" s="3"/>
      <c r="K73" s="3"/>
      <c r="L73" s="3"/>
    </row>
    <row r="74" customFormat="false" ht="23.85" hidden="false" customHeight="false" outlineLevel="0" collapsed="false">
      <c r="A74" s="5" t="s">
        <v>802</v>
      </c>
      <c r="B74" s="5" t="s">
        <v>659</v>
      </c>
      <c r="C74" s="5" t="s">
        <v>13</v>
      </c>
      <c r="D74" s="5" t="s">
        <v>12</v>
      </c>
      <c r="E74" s="5" t="s">
        <v>737</v>
      </c>
      <c r="F74" s="5" t="s">
        <v>296</v>
      </c>
      <c r="G74" s="5"/>
      <c r="H74" s="12" t="n">
        <v>0</v>
      </c>
      <c r="I74" s="5" t="str">
        <f aca="false">IF(H74=1,"ACCEPTED","OPEN")</f>
        <v>OPEN</v>
      </c>
      <c r="J74" s="3"/>
      <c r="K74" s="3"/>
      <c r="L74" s="3"/>
    </row>
    <row r="75" customFormat="false" ht="23.85" hidden="false" customHeight="false" outlineLevel="0" collapsed="false">
      <c r="A75" s="5" t="s">
        <v>803</v>
      </c>
      <c r="B75" s="5" t="s">
        <v>660</v>
      </c>
      <c r="C75" s="5" t="s">
        <v>13</v>
      </c>
      <c r="D75" s="5" t="s">
        <v>12</v>
      </c>
      <c r="E75" s="5" t="s">
        <v>729</v>
      </c>
      <c r="F75" s="5" t="s">
        <v>296</v>
      </c>
      <c r="G75" s="5"/>
      <c r="H75" s="12" t="n">
        <v>0</v>
      </c>
      <c r="I75" s="5" t="str">
        <f aca="false">IF(H75=1,"ACCEPTED","OPEN")</f>
        <v>OPEN</v>
      </c>
      <c r="J75" s="3"/>
      <c r="K75" s="3"/>
      <c r="L75" s="3"/>
    </row>
    <row r="76" customFormat="false" ht="23.85" hidden="false" customHeight="false" outlineLevel="0" collapsed="false">
      <c r="A76" s="5" t="s">
        <v>804</v>
      </c>
      <c r="B76" s="5" t="s">
        <v>660</v>
      </c>
      <c r="C76" s="5" t="s">
        <v>13</v>
      </c>
      <c r="D76" s="5" t="s">
        <v>12</v>
      </c>
      <c r="E76" s="5" t="s">
        <v>731</v>
      </c>
      <c r="F76" s="5" t="s">
        <v>296</v>
      </c>
      <c r="G76" s="5"/>
      <c r="H76" s="12" t="n">
        <v>0</v>
      </c>
      <c r="I76" s="5" t="str">
        <f aca="false">IF(H76=1,"ACCEPTED","OPEN")</f>
        <v>OPEN</v>
      </c>
      <c r="J76" s="3"/>
      <c r="K76" s="3"/>
      <c r="L76" s="3"/>
    </row>
    <row r="77" customFormat="false" ht="23.85" hidden="false" customHeight="false" outlineLevel="0" collapsed="false">
      <c r="A77" s="5" t="s">
        <v>805</v>
      </c>
      <c r="B77" s="5" t="s">
        <v>660</v>
      </c>
      <c r="C77" s="5" t="s">
        <v>13</v>
      </c>
      <c r="D77" s="5" t="s">
        <v>12</v>
      </c>
      <c r="E77" s="5" t="s">
        <v>733</v>
      </c>
      <c r="F77" s="5" t="s">
        <v>296</v>
      </c>
      <c r="G77" s="5"/>
      <c r="H77" s="12" t="n">
        <v>0</v>
      </c>
      <c r="I77" s="5" t="str">
        <f aca="false">IF(H77=1,"ACCEPTED","OPEN")</f>
        <v>OPEN</v>
      </c>
      <c r="J77" s="3"/>
      <c r="K77" s="3"/>
      <c r="L77" s="3"/>
    </row>
    <row r="78" customFormat="false" ht="23.85" hidden="false" customHeight="false" outlineLevel="0" collapsed="false">
      <c r="A78" s="5" t="s">
        <v>806</v>
      </c>
      <c r="B78" s="5" t="s">
        <v>660</v>
      </c>
      <c r="C78" s="5" t="s">
        <v>13</v>
      </c>
      <c r="D78" s="5" t="s">
        <v>12</v>
      </c>
      <c r="E78" s="5" t="s">
        <v>735</v>
      </c>
      <c r="F78" s="5" t="s">
        <v>296</v>
      </c>
      <c r="G78" s="5"/>
      <c r="H78" s="12" t="n">
        <v>0</v>
      </c>
      <c r="I78" s="5" t="str">
        <f aca="false">IF(H78=1,"ACCEPTED","OPEN")</f>
        <v>OPEN</v>
      </c>
      <c r="J78" s="3"/>
      <c r="K78" s="3"/>
      <c r="L78" s="3"/>
    </row>
    <row r="79" customFormat="false" ht="23.85" hidden="false" customHeight="false" outlineLevel="0" collapsed="false">
      <c r="A79" s="5" t="s">
        <v>807</v>
      </c>
      <c r="B79" s="5" t="s">
        <v>660</v>
      </c>
      <c r="C79" s="5" t="s">
        <v>13</v>
      </c>
      <c r="D79" s="5" t="s">
        <v>12</v>
      </c>
      <c r="E79" s="5" t="s">
        <v>737</v>
      </c>
      <c r="F79" s="5" t="s">
        <v>296</v>
      </c>
      <c r="G79" s="5"/>
      <c r="H79" s="12" t="n">
        <v>0</v>
      </c>
      <c r="I79" s="5" t="str">
        <f aca="false">IF(H79=1,"ACCEPTED","OPEN")</f>
        <v>OPEN</v>
      </c>
      <c r="J79" s="3"/>
      <c r="K79" s="3"/>
      <c r="L79" s="3"/>
    </row>
    <row r="80" customFormat="false" ht="23.85" hidden="false" customHeight="false" outlineLevel="0" collapsed="false">
      <c r="A80" s="5" t="s">
        <v>808</v>
      </c>
      <c r="B80" s="5" t="s">
        <v>661</v>
      </c>
      <c r="C80" s="5" t="s">
        <v>13</v>
      </c>
      <c r="D80" s="5" t="s">
        <v>12</v>
      </c>
      <c r="E80" s="5" t="s">
        <v>729</v>
      </c>
      <c r="F80" s="5" t="s">
        <v>296</v>
      </c>
      <c r="G80" s="5"/>
      <c r="H80" s="12" t="n">
        <v>0</v>
      </c>
      <c r="I80" s="5" t="str">
        <f aca="false">IF(H80=1,"ACCEPTED","OPEN")</f>
        <v>OPEN</v>
      </c>
      <c r="J80" s="3"/>
      <c r="K80" s="3"/>
      <c r="L80" s="3"/>
    </row>
    <row r="81" customFormat="false" ht="23.85" hidden="false" customHeight="false" outlineLevel="0" collapsed="false">
      <c r="A81" s="5" t="s">
        <v>809</v>
      </c>
      <c r="B81" s="5" t="s">
        <v>661</v>
      </c>
      <c r="C81" s="5" t="s">
        <v>13</v>
      </c>
      <c r="D81" s="5" t="s">
        <v>12</v>
      </c>
      <c r="E81" s="5" t="s">
        <v>731</v>
      </c>
      <c r="F81" s="5" t="s">
        <v>296</v>
      </c>
      <c r="G81" s="5"/>
      <c r="H81" s="12" t="n">
        <v>0</v>
      </c>
      <c r="I81" s="5" t="str">
        <f aca="false">IF(H81=1,"ACCEPTED","OPEN")</f>
        <v>OPEN</v>
      </c>
      <c r="J81" s="3"/>
      <c r="K81" s="3"/>
      <c r="L81" s="3"/>
    </row>
    <row r="82" customFormat="false" ht="23.85" hidden="false" customHeight="false" outlineLevel="0" collapsed="false">
      <c r="A82" s="5" t="s">
        <v>810</v>
      </c>
      <c r="B82" s="5" t="s">
        <v>661</v>
      </c>
      <c r="C82" s="5" t="s">
        <v>13</v>
      </c>
      <c r="D82" s="5" t="s">
        <v>12</v>
      </c>
      <c r="E82" s="5" t="s">
        <v>733</v>
      </c>
      <c r="F82" s="5" t="s">
        <v>296</v>
      </c>
      <c r="G82" s="5"/>
      <c r="H82" s="12" t="n">
        <v>0</v>
      </c>
      <c r="I82" s="5" t="str">
        <f aca="false">IF(H82=1,"ACCEPTED","OPEN")</f>
        <v>OPEN</v>
      </c>
      <c r="J82" s="3"/>
      <c r="K82" s="3"/>
      <c r="L82" s="3"/>
    </row>
    <row r="83" customFormat="false" ht="23.85" hidden="false" customHeight="false" outlineLevel="0" collapsed="false">
      <c r="A83" s="5" t="s">
        <v>811</v>
      </c>
      <c r="B83" s="5" t="s">
        <v>661</v>
      </c>
      <c r="C83" s="5" t="s">
        <v>13</v>
      </c>
      <c r="D83" s="5" t="s">
        <v>12</v>
      </c>
      <c r="E83" s="5" t="s">
        <v>735</v>
      </c>
      <c r="F83" s="5" t="s">
        <v>296</v>
      </c>
      <c r="G83" s="5"/>
      <c r="H83" s="12" t="n">
        <v>0</v>
      </c>
      <c r="I83" s="5" t="str">
        <f aca="false">IF(H83=1,"ACCEPTED","OPEN")</f>
        <v>OPEN</v>
      </c>
      <c r="J83" s="3"/>
      <c r="K83" s="3"/>
      <c r="L83" s="3"/>
    </row>
    <row r="84" customFormat="false" ht="23.85" hidden="false" customHeight="false" outlineLevel="0" collapsed="false">
      <c r="A84" s="5" t="s">
        <v>812</v>
      </c>
      <c r="B84" s="5" t="s">
        <v>661</v>
      </c>
      <c r="C84" s="5" t="s">
        <v>13</v>
      </c>
      <c r="D84" s="5" t="s">
        <v>12</v>
      </c>
      <c r="E84" s="5" t="s">
        <v>737</v>
      </c>
      <c r="F84" s="5" t="s">
        <v>296</v>
      </c>
      <c r="G84" s="5"/>
      <c r="H84" s="12" t="n">
        <v>0</v>
      </c>
      <c r="I84" s="5" t="str">
        <f aca="false">IF(H84=1,"ACCEPTED","OPEN")</f>
        <v>OPEN</v>
      </c>
      <c r="J84" s="3"/>
      <c r="K84" s="3"/>
      <c r="L84" s="3"/>
    </row>
    <row r="85" customFormat="false" ht="23.85" hidden="false" customHeight="false" outlineLevel="0" collapsed="false">
      <c r="A85" s="5" t="s">
        <v>813</v>
      </c>
      <c r="B85" s="5" t="s">
        <v>662</v>
      </c>
      <c r="C85" s="5" t="s">
        <v>13</v>
      </c>
      <c r="D85" s="5" t="s">
        <v>12</v>
      </c>
      <c r="E85" s="5" t="s">
        <v>729</v>
      </c>
      <c r="F85" s="5" t="s">
        <v>296</v>
      </c>
      <c r="G85" s="5"/>
      <c r="H85" s="12" t="n">
        <v>0</v>
      </c>
      <c r="I85" s="5" t="str">
        <f aca="false">IF(H85=1,"ACCEPTED","OPEN")</f>
        <v>OPEN</v>
      </c>
      <c r="J85" s="3"/>
      <c r="K85" s="3"/>
      <c r="L85" s="3"/>
    </row>
    <row r="86" customFormat="false" ht="23.85" hidden="false" customHeight="false" outlineLevel="0" collapsed="false">
      <c r="A86" s="5" t="s">
        <v>814</v>
      </c>
      <c r="B86" s="5" t="s">
        <v>662</v>
      </c>
      <c r="C86" s="5" t="s">
        <v>13</v>
      </c>
      <c r="D86" s="5" t="s">
        <v>12</v>
      </c>
      <c r="E86" s="5" t="s">
        <v>731</v>
      </c>
      <c r="F86" s="5" t="s">
        <v>296</v>
      </c>
      <c r="G86" s="5"/>
      <c r="H86" s="12" t="n">
        <v>0</v>
      </c>
      <c r="I86" s="5" t="str">
        <f aca="false">IF(H86=1,"ACCEPTED","OPEN")</f>
        <v>OPEN</v>
      </c>
      <c r="J86" s="3"/>
      <c r="K86" s="3"/>
      <c r="L86" s="3"/>
    </row>
    <row r="87" customFormat="false" ht="23.85" hidden="false" customHeight="false" outlineLevel="0" collapsed="false">
      <c r="A87" s="5" t="s">
        <v>815</v>
      </c>
      <c r="B87" s="5" t="s">
        <v>662</v>
      </c>
      <c r="C87" s="5" t="s">
        <v>13</v>
      </c>
      <c r="D87" s="5" t="s">
        <v>12</v>
      </c>
      <c r="E87" s="5" t="s">
        <v>733</v>
      </c>
      <c r="F87" s="5" t="s">
        <v>296</v>
      </c>
      <c r="G87" s="5"/>
      <c r="H87" s="12" t="n">
        <v>0</v>
      </c>
      <c r="I87" s="5" t="str">
        <f aca="false">IF(H87=1,"ACCEPTED","OPEN")</f>
        <v>OPEN</v>
      </c>
      <c r="J87" s="3"/>
      <c r="K87" s="3"/>
      <c r="L87" s="3"/>
    </row>
    <row r="88" customFormat="false" ht="23.85" hidden="false" customHeight="false" outlineLevel="0" collapsed="false">
      <c r="A88" s="5" t="s">
        <v>816</v>
      </c>
      <c r="B88" s="5" t="s">
        <v>662</v>
      </c>
      <c r="C88" s="5" t="s">
        <v>13</v>
      </c>
      <c r="D88" s="5" t="s">
        <v>12</v>
      </c>
      <c r="E88" s="5" t="s">
        <v>735</v>
      </c>
      <c r="F88" s="5" t="s">
        <v>296</v>
      </c>
      <c r="G88" s="5"/>
      <c r="H88" s="12" t="n">
        <v>0</v>
      </c>
      <c r="I88" s="5" t="str">
        <f aca="false">IF(H88=1,"ACCEPTED","OPEN")</f>
        <v>OPEN</v>
      </c>
      <c r="J88" s="3"/>
      <c r="K88" s="3"/>
      <c r="L88" s="3"/>
    </row>
    <row r="89" customFormat="false" ht="23.85" hidden="false" customHeight="false" outlineLevel="0" collapsed="false">
      <c r="A89" s="5" t="s">
        <v>817</v>
      </c>
      <c r="B89" s="5" t="s">
        <v>662</v>
      </c>
      <c r="C89" s="5" t="s">
        <v>13</v>
      </c>
      <c r="D89" s="5" t="s">
        <v>12</v>
      </c>
      <c r="E89" s="5" t="s">
        <v>737</v>
      </c>
      <c r="F89" s="5" t="s">
        <v>296</v>
      </c>
      <c r="G89" s="5"/>
      <c r="H89" s="12" t="n">
        <v>0</v>
      </c>
      <c r="I89" s="5" t="str">
        <f aca="false">IF(H89=1,"ACCEPTED","OPEN")</f>
        <v>OPEN</v>
      </c>
      <c r="J89" s="3"/>
      <c r="K89" s="3"/>
      <c r="L89" s="3"/>
    </row>
    <row r="90" customFormat="false" ht="23.85" hidden="false" customHeight="false" outlineLevel="0" collapsed="false">
      <c r="A90" s="5" t="s">
        <v>818</v>
      </c>
      <c r="B90" s="5" t="s">
        <v>663</v>
      </c>
      <c r="C90" s="5" t="s">
        <v>13</v>
      </c>
      <c r="D90" s="5" t="s">
        <v>12</v>
      </c>
      <c r="E90" s="5" t="s">
        <v>729</v>
      </c>
      <c r="F90" s="5" t="s">
        <v>296</v>
      </c>
      <c r="G90" s="5"/>
      <c r="H90" s="12" t="n">
        <v>0</v>
      </c>
      <c r="I90" s="5" t="str">
        <f aca="false">IF(H90=1,"ACCEPTED","OPEN")</f>
        <v>OPEN</v>
      </c>
      <c r="J90" s="3"/>
      <c r="K90" s="3"/>
      <c r="L90" s="3"/>
    </row>
    <row r="91" customFormat="false" ht="23.85" hidden="false" customHeight="false" outlineLevel="0" collapsed="false">
      <c r="A91" s="5" t="s">
        <v>819</v>
      </c>
      <c r="B91" s="5" t="s">
        <v>663</v>
      </c>
      <c r="C91" s="5" t="s">
        <v>13</v>
      </c>
      <c r="D91" s="5" t="s">
        <v>12</v>
      </c>
      <c r="E91" s="5" t="s">
        <v>731</v>
      </c>
      <c r="F91" s="5" t="s">
        <v>296</v>
      </c>
      <c r="G91" s="5"/>
      <c r="H91" s="12" t="n">
        <v>0</v>
      </c>
      <c r="I91" s="5" t="str">
        <f aca="false">IF(H91=1,"ACCEPTED","OPEN")</f>
        <v>OPEN</v>
      </c>
      <c r="J91" s="3"/>
      <c r="K91" s="3"/>
      <c r="L91" s="3"/>
    </row>
    <row r="92" customFormat="false" ht="23.85" hidden="false" customHeight="false" outlineLevel="0" collapsed="false">
      <c r="A92" s="5" t="s">
        <v>820</v>
      </c>
      <c r="B92" s="5" t="s">
        <v>663</v>
      </c>
      <c r="C92" s="5" t="s">
        <v>13</v>
      </c>
      <c r="D92" s="5" t="s">
        <v>12</v>
      </c>
      <c r="E92" s="5" t="s">
        <v>733</v>
      </c>
      <c r="F92" s="5" t="s">
        <v>296</v>
      </c>
      <c r="G92" s="5"/>
      <c r="H92" s="12" t="n">
        <v>0</v>
      </c>
      <c r="I92" s="5" t="str">
        <f aca="false">IF(H92=1,"ACCEPTED","OPEN")</f>
        <v>OPEN</v>
      </c>
      <c r="J92" s="3"/>
      <c r="K92" s="3"/>
      <c r="L92" s="3"/>
    </row>
    <row r="93" customFormat="false" ht="23.85" hidden="false" customHeight="false" outlineLevel="0" collapsed="false">
      <c r="A93" s="5" t="s">
        <v>821</v>
      </c>
      <c r="B93" s="5" t="s">
        <v>663</v>
      </c>
      <c r="C93" s="5" t="s">
        <v>13</v>
      </c>
      <c r="D93" s="5" t="s">
        <v>12</v>
      </c>
      <c r="E93" s="5" t="s">
        <v>735</v>
      </c>
      <c r="F93" s="5" t="s">
        <v>296</v>
      </c>
      <c r="G93" s="5"/>
      <c r="H93" s="12" t="n">
        <v>0</v>
      </c>
      <c r="I93" s="5" t="str">
        <f aca="false">IF(H93=1,"ACCEPTED","OPEN")</f>
        <v>OPEN</v>
      </c>
      <c r="J93" s="3"/>
      <c r="K93" s="3"/>
      <c r="L93" s="3"/>
    </row>
    <row r="94" customFormat="false" ht="23.85" hidden="false" customHeight="false" outlineLevel="0" collapsed="false">
      <c r="A94" s="5" t="s">
        <v>822</v>
      </c>
      <c r="B94" s="5" t="s">
        <v>663</v>
      </c>
      <c r="C94" s="5" t="s">
        <v>13</v>
      </c>
      <c r="D94" s="5" t="s">
        <v>12</v>
      </c>
      <c r="E94" s="5" t="s">
        <v>737</v>
      </c>
      <c r="F94" s="5" t="s">
        <v>296</v>
      </c>
      <c r="G94" s="5"/>
      <c r="H94" s="12" t="n">
        <v>0</v>
      </c>
      <c r="I94" s="5" t="str">
        <f aca="false">IF(H94=1,"ACCEPTED","OPEN")</f>
        <v>OPEN</v>
      </c>
      <c r="J94" s="3"/>
      <c r="K94" s="3"/>
      <c r="L94" s="3"/>
    </row>
    <row r="95" customFormat="false" ht="23.85" hidden="false" customHeight="false" outlineLevel="0" collapsed="false">
      <c r="A95" s="5" t="s">
        <v>823</v>
      </c>
      <c r="B95" s="5" t="s">
        <v>664</v>
      </c>
      <c r="C95" s="5" t="s">
        <v>13</v>
      </c>
      <c r="D95" s="5" t="s">
        <v>12</v>
      </c>
      <c r="E95" s="5" t="s">
        <v>729</v>
      </c>
      <c r="F95" s="5" t="s">
        <v>296</v>
      </c>
      <c r="G95" s="5"/>
      <c r="H95" s="12" t="n">
        <v>0</v>
      </c>
      <c r="I95" s="5" t="str">
        <f aca="false">IF(H95=1,"ACCEPTED","OPEN")</f>
        <v>OPEN</v>
      </c>
      <c r="J95" s="3"/>
      <c r="K95" s="3"/>
      <c r="L95" s="3"/>
    </row>
    <row r="96" customFormat="false" ht="23.85" hidden="false" customHeight="false" outlineLevel="0" collapsed="false">
      <c r="A96" s="5" t="s">
        <v>824</v>
      </c>
      <c r="B96" s="5" t="s">
        <v>664</v>
      </c>
      <c r="C96" s="5" t="s">
        <v>13</v>
      </c>
      <c r="D96" s="5" t="s">
        <v>12</v>
      </c>
      <c r="E96" s="5" t="s">
        <v>731</v>
      </c>
      <c r="F96" s="5" t="s">
        <v>296</v>
      </c>
      <c r="G96" s="5"/>
      <c r="H96" s="12" t="n">
        <v>0</v>
      </c>
      <c r="I96" s="5" t="str">
        <f aca="false">IF(H96=1,"ACCEPTED","OPEN")</f>
        <v>OPEN</v>
      </c>
      <c r="J96" s="3"/>
      <c r="K96" s="3"/>
      <c r="L96" s="3"/>
    </row>
    <row r="97" customFormat="false" ht="23.85" hidden="false" customHeight="false" outlineLevel="0" collapsed="false">
      <c r="A97" s="5" t="s">
        <v>825</v>
      </c>
      <c r="B97" s="5" t="s">
        <v>664</v>
      </c>
      <c r="C97" s="5" t="s">
        <v>13</v>
      </c>
      <c r="D97" s="5" t="s">
        <v>12</v>
      </c>
      <c r="E97" s="5" t="s">
        <v>733</v>
      </c>
      <c r="F97" s="5" t="s">
        <v>296</v>
      </c>
      <c r="G97" s="5"/>
      <c r="H97" s="12" t="n">
        <v>0</v>
      </c>
      <c r="I97" s="5" t="str">
        <f aca="false">IF(H97=1,"ACCEPTED","OPEN")</f>
        <v>OPEN</v>
      </c>
      <c r="J97" s="3"/>
      <c r="K97" s="3"/>
      <c r="L97" s="3"/>
    </row>
    <row r="98" customFormat="false" ht="23.85" hidden="false" customHeight="false" outlineLevel="0" collapsed="false">
      <c r="A98" s="5" t="s">
        <v>826</v>
      </c>
      <c r="B98" s="5" t="s">
        <v>664</v>
      </c>
      <c r="C98" s="5" t="s">
        <v>13</v>
      </c>
      <c r="D98" s="5" t="s">
        <v>12</v>
      </c>
      <c r="E98" s="5" t="s">
        <v>735</v>
      </c>
      <c r="F98" s="5" t="s">
        <v>296</v>
      </c>
      <c r="G98" s="5"/>
      <c r="H98" s="12" t="n">
        <v>0</v>
      </c>
      <c r="I98" s="5" t="str">
        <f aca="false">IF(H98=1,"ACCEPTED","OPEN")</f>
        <v>OPEN</v>
      </c>
      <c r="J98" s="3"/>
      <c r="K98" s="3"/>
      <c r="L98" s="3"/>
    </row>
    <row r="99" customFormat="false" ht="23.85" hidden="false" customHeight="false" outlineLevel="0" collapsed="false">
      <c r="A99" s="5" t="s">
        <v>827</v>
      </c>
      <c r="B99" s="5" t="s">
        <v>664</v>
      </c>
      <c r="C99" s="5" t="s">
        <v>13</v>
      </c>
      <c r="D99" s="5" t="s">
        <v>12</v>
      </c>
      <c r="E99" s="5" t="s">
        <v>737</v>
      </c>
      <c r="F99" s="5" t="s">
        <v>296</v>
      </c>
      <c r="G99" s="5"/>
      <c r="H99" s="12" t="n">
        <v>0</v>
      </c>
      <c r="I99" s="5" t="str">
        <f aca="false">IF(H99=1,"ACCEPTED","OPEN")</f>
        <v>OPEN</v>
      </c>
      <c r="J99" s="3"/>
      <c r="K99" s="3"/>
      <c r="L99" s="3"/>
    </row>
    <row r="100" customFormat="false" ht="23.85" hidden="false" customHeight="false" outlineLevel="0" collapsed="false">
      <c r="A100" s="5" t="s">
        <v>828</v>
      </c>
      <c r="B100" s="5" t="s">
        <v>665</v>
      </c>
      <c r="C100" s="5" t="s">
        <v>13</v>
      </c>
      <c r="D100" s="5" t="s">
        <v>12</v>
      </c>
      <c r="E100" s="5" t="s">
        <v>729</v>
      </c>
      <c r="F100" s="5" t="s">
        <v>296</v>
      </c>
      <c r="G100" s="5"/>
      <c r="H100" s="12" t="n">
        <v>0</v>
      </c>
      <c r="I100" s="5" t="str">
        <f aca="false">IF(H100=1,"ACCEPTED","OPEN")</f>
        <v>OPEN</v>
      </c>
      <c r="J100" s="3"/>
      <c r="K100" s="3"/>
      <c r="L100" s="3"/>
    </row>
    <row r="101" customFormat="false" ht="23.85" hidden="false" customHeight="false" outlineLevel="0" collapsed="false">
      <c r="A101" s="5" t="s">
        <v>829</v>
      </c>
      <c r="B101" s="5" t="s">
        <v>665</v>
      </c>
      <c r="C101" s="5" t="s">
        <v>13</v>
      </c>
      <c r="D101" s="5" t="s">
        <v>12</v>
      </c>
      <c r="E101" s="5" t="s">
        <v>731</v>
      </c>
      <c r="F101" s="5" t="s">
        <v>296</v>
      </c>
      <c r="G101" s="5"/>
      <c r="H101" s="12" t="n">
        <v>0</v>
      </c>
      <c r="I101" s="5" t="str">
        <f aca="false">IF(H101=1,"ACCEPTED","OPEN")</f>
        <v>OPEN</v>
      </c>
      <c r="J101" s="3"/>
      <c r="K101" s="3"/>
      <c r="L101" s="3"/>
    </row>
    <row r="102" customFormat="false" ht="23.85" hidden="false" customHeight="false" outlineLevel="0" collapsed="false">
      <c r="A102" s="5" t="s">
        <v>830</v>
      </c>
      <c r="B102" s="5" t="s">
        <v>665</v>
      </c>
      <c r="C102" s="5" t="s">
        <v>13</v>
      </c>
      <c r="D102" s="5" t="s">
        <v>12</v>
      </c>
      <c r="E102" s="5" t="s">
        <v>733</v>
      </c>
      <c r="F102" s="5" t="s">
        <v>296</v>
      </c>
      <c r="G102" s="5"/>
      <c r="H102" s="12" t="n">
        <v>0</v>
      </c>
      <c r="I102" s="5" t="str">
        <f aca="false">IF(H102=1,"ACCEPTED","OPEN")</f>
        <v>OPEN</v>
      </c>
      <c r="J102" s="3"/>
      <c r="K102" s="3"/>
      <c r="L102" s="3"/>
    </row>
    <row r="103" customFormat="false" ht="23.85" hidden="false" customHeight="false" outlineLevel="0" collapsed="false">
      <c r="A103" s="5" t="s">
        <v>831</v>
      </c>
      <c r="B103" s="5" t="s">
        <v>665</v>
      </c>
      <c r="C103" s="5" t="s">
        <v>13</v>
      </c>
      <c r="D103" s="5" t="s">
        <v>12</v>
      </c>
      <c r="E103" s="5" t="s">
        <v>735</v>
      </c>
      <c r="F103" s="5" t="s">
        <v>296</v>
      </c>
      <c r="G103" s="5"/>
      <c r="H103" s="12" t="n">
        <v>0</v>
      </c>
      <c r="I103" s="5" t="str">
        <f aca="false">IF(H103=1,"ACCEPTED","OPEN")</f>
        <v>OPEN</v>
      </c>
      <c r="J103" s="3"/>
      <c r="K103" s="3"/>
      <c r="L103" s="3"/>
    </row>
    <row r="104" customFormat="false" ht="23.85" hidden="false" customHeight="false" outlineLevel="0" collapsed="false">
      <c r="A104" s="5" t="s">
        <v>832</v>
      </c>
      <c r="B104" s="5" t="s">
        <v>665</v>
      </c>
      <c r="C104" s="5" t="s">
        <v>13</v>
      </c>
      <c r="D104" s="5" t="s">
        <v>12</v>
      </c>
      <c r="E104" s="5" t="s">
        <v>737</v>
      </c>
      <c r="F104" s="5" t="s">
        <v>296</v>
      </c>
      <c r="G104" s="5"/>
      <c r="H104" s="12" t="n">
        <v>0</v>
      </c>
      <c r="I104" s="5" t="str">
        <f aca="false">IF(H104=1,"ACCEPTED","OPEN")</f>
        <v>OPEN</v>
      </c>
      <c r="J104" s="3"/>
      <c r="K104" s="3"/>
      <c r="L104" s="3"/>
    </row>
    <row r="105" customFormat="false" ht="23.85" hidden="false" customHeight="false" outlineLevel="0" collapsed="false">
      <c r="A105" s="5" t="s">
        <v>833</v>
      </c>
      <c r="B105" s="5" t="s">
        <v>666</v>
      </c>
      <c r="C105" s="5" t="s">
        <v>13</v>
      </c>
      <c r="D105" s="5" t="s">
        <v>12</v>
      </c>
      <c r="E105" s="5" t="s">
        <v>729</v>
      </c>
      <c r="F105" s="5" t="s">
        <v>296</v>
      </c>
      <c r="G105" s="5"/>
      <c r="H105" s="12" t="n">
        <v>0</v>
      </c>
      <c r="I105" s="5" t="str">
        <f aca="false">IF(H105=1,"ACCEPTED","OPEN")</f>
        <v>OPEN</v>
      </c>
      <c r="J105" s="3"/>
      <c r="K105" s="3"/>
      <c r="L105" s="3"/>
    </row>
    <row r="106" customFormat="false" ht="23.85" hidden="false" customHeight="false" outlineLevel="0" collapsed="false">
      <c r="A106" s="5" t="s">
        <v>834</v>
      </c>
      <c r="B106" s="5" t="s">
        <v>666</v>
      </c>
      <c r="C106" s="5" t="s">
        <v>13</v>
      </c>
      <c r="D106" s="5" t="s">
        <v>12</v>
      </c>
      <c r="E106" s="5" t="s">
        <v>731</v>
      </c>
      <c r="F106" s="5" t="s">
        <v>296</v>
      </c>
      <c r="G106" s="5"/>
      <c r="H106" s="12" t="n">
        <v>0</v>
      </c>
      <c r="I106" s="5" t="str">
        <f aca="false">IF(H106=1,"ACCEPTED","OPEN")</f>
        <v>OPEN</v>
      </c>
      <c r="J106" s="3"/>
      <c r="K106" s="3"/>
      <c r="L106" s="3"/>
    </row>
    <row r="107" customFormat="false" ht="23.85" hidden="false" customHeight="false" outlineLevel="0" collapsed="false">
      <c r="A107" s="5" t="s">
        <v>835</v>
      </c>
      <c r="B107" s="5" t="s">
        <v>666</v>
      </c>
      <c r="C107" s="5" t="s">
        <v>13</v>
      </c>
      <c r="D107" s="5" t="s">
        <v>12</v>
      </c>
      <c r="E107" s="5" t="s">
        <v>733</v>
      </c>
      <c r="F107" s="5" t="s">
        <v>296</v>
      </c>
      <c r="G107" s="5"/>
      <c r="H107" s="12" t="n">
        <v>0</v>
      </c>
      <c r="I107" s="5" t="str">
        <f aca="false">IF(H107=1,"ACCEPTED","OPEN")</f>
        <v>OPEN</v>
      </c>
      <c r="J107" s="3"/>
      <c r="K107" s="3"/>
      <c r="L107" s="3"/>
    </row>
    <row r="108" customFormat="false" ht="23.85" hidden="false" customHeight="false" outlineLevel="0" collapsed="false">
      <c r="A108" s="5" t="s">
        <v>836</v>
      </c>
      <c r="B108" s="5" t="s">
        <v>666</v>
      </c>
      <c r="C108" s="5" t="s">
        <v>13</v>
      </c>
      <c r="D108" s="5" t="s">
        <v>12</v>
      </c>
      <c r="E108" s="5" t="s">
        <v>735</v>
      </c>
      <c r="F108" s="5" t="s">
        <v>296</v>
      </c>
      <c r="G108" s="5"/>
      <c r="H108" s="12" t="n">
        <v>0</v>
      </c>
      <c r="I108" s="5" t="str">
        <f aca="false">IF(H108=1,"ACCEPTED","OPEN")</f>
        <v>OPEN</v>
      </c>
      <c r="J108" s="3"/>
      <c r="K108" s="3"/>
      <c r="L108" s="3"/>
    </row>
    <row r="109" customFormat="false" ht="23.85" hidden="false" customHeight="false" outlineLevel="0" collapsed="false">
      <c r="A109" s="5" t="s">
        <v>837</v>
      </c>
      <c r="B109" s="5" t="s">
        <v>666</v>
      </c>
      <c r="C109" s="5" t="s">
        <v>13</v>
      </c>
      <c r="D109" s="5" t="s">
        <v>12</v>
      </c>
      <c r="E109" s="5" t="s">
        <v>737</v>
      </c>
      <c r="F109" s="5" t="s">
        <v>296</v>
      </c>
      <c r="G109" s="5"/>
      <c r="H109" s="12" t="n">
        <v>0</v>
      </c>
      <c r="I109" s="5" t="str">
        <f aca="false">IF(H109=1,"ACCEPTED","OPEN")</f>
        <v>OPEN</v>
      </c>
      <c r="J109" s="3"/>
      <c r="K109" s="3"/>
      <c r="L109" s="3"/>
    </row>
    <row r="110" customFormat="false" ht="23.85" hidden="false" customHeight="false" outlineLevel="0" collapsed="false">
      <c r="A110" s="5" t="s">
        <v>838</v>
      </c>
      <c r="B110" s="5" t="s">
        <v>667</v>
      </c>
      <c r="C110" s="5" t="s">
        <v>13</v>
      </c>
      <c r="D110" s="5" t="s">
        <v>12</v>
      </c>
      <c r="E110" s="5" t="s">
        <v>729</v>
      </c>
      <c r="F110" s="5" t="s">
        <v>296</v>
      </c>
      <c r="G110" s="5"/>
      <c r="H110" s="12" t="n">
        <v>0</v>
      </c>
      <c r="I110" s="5" t="str">
        <f aca="false">IF(H110=1,"ACCEPTED","OPEN")</f>
        <v>OPEN</v>
      </c>
      <c r="J110" s="3"/>
      <c r="K110" s="3"/>
      <c r="L110" s="3"/>
    </row>
    <row r="111" customFormat="false" ht="23.85" hidden="false" customHeight="false" outlineLevel="0" collapsed="false">
      <c r="A111" s="5" t="s">
        <v>839</v>
      </c>
      <c r="B111" s="5" t="s">
        <v>667</v>
      </c>
      <c r="C111" s="5" t="s">
        <v>13</v>
      </c>
      <c r="D111" s="5" t="s">
        <v>12</v>
      </c>
      <c r="E111" s="5" t="s">
        <v>731</v>
      </c>
      <c r="F111" s="5" t="s">
        <v>296</v>
      </c>
      <c r="G111" s="5"/>
      <c r="H111" s="12" t="n">
        <v>0</v>
      </c>
      <c r="I111" s="5" t="str">
        <f aca="false">IF(H111=1,"ACCEPTED","OPEN")</f>
        <v>OPEN</v>
      </c>
      <c r="J111" s="3"/>
      <c r="K111" s="3"/>
      <c r="L111" s="3"/>
    </row>
    <row r="112" customFormat="false" ht="23.85" hidden="false" customHeight="false" outlineLevel="0" collapsed="false">
      <c r="A112" s="5" t="s">
        <v>840</v>
      </c>
      <c r="B112" s="5" t="s">
        <v>667</v>
      </c>
      <c r="C112" s="5" t="s">
        <v>13</v>
      </c>
      <c r="D112" s="5" t="s">
        <v>12</v>
      </c>
      <c r="E112" s="5" t="s">
        <v>733</v>
      </c>
      <c r="F112" s="5" t="s">
        <v>296</v>
      </c>
      <c r="G112" s="5"/>
      <c r="H112" s="12" t="n">
        <v>0</v>
      </c>
      <c r="I112" s="5" t="str">
        <f aca="false">IF(H112=1,"ACCEPTED","OPEN")</f>
        <v>OPEN</v>
      </c>
      <c r="J112" s="3"/>
      <c r="K112" s="3"/>
      <c r="L112" s="3"/>
    </row>
    <row r="113" customFormat="false" ht="23.85" hidden="false" customHeight="false" outlineLevel="0" collapsed="false">
      <c r="A113" s="5" t="s">
        <v>841</v>
      </c>
      <c r="B113" s="5" t="s">
        <v>667</v>
      </c>
      <c r="C113" s="5" t="s">
        <v>13</v>
      </c>
      <c r="D113" s="5" t="s">
        <v>12</v>
      </c>
      <c r="E113" s="5" t="s">
        <v>735</v>
      </c>
      <c r="F113" s="5" t="s">
        <v>296</v>
      </c>
      <c r="G113" s="5"/>
      <c r="H113" s="12" t="n">
        <v>0</v>
      </c>
      <c r="I113" s="5" t="str">
        <f aca="false">IF(H113=1,"ACCEPTED","OPEN")</f>
        <v>OPEN</v>
      </c>
      <c r="J113" s="3"/>
      <c r="K113" s="3"/>
      <c r="L113" s="3"/>
    </row>
    <row r="114" customFormat="false" ht="23.85" hidden="false" customHeight="false" outlineLevel="0" collapsed="false">
      <c r="A114" s="5" t="s">
        <v>842</v>
      </c>
      <c r="B114" s="5" t="s">
        <v>667</v>
      </c>
      <c r="C114" s="5" t="s">
        <v>13</v>
      </c>
      <c r="D114" s="5" t="s">
        <v>12</v>
      </c>
      <c r="E114" s="5" t="s">
        <v>737</v>
      </c>
      <c r="F114" s="5" t="s">
        <v>296</v>
      </c>
      <c r="G114" s="5"/>
      <c r="H114" s="12" t="n">
        <v>0</v>
      </c>
      <c r="I114" s="5" t="str">
        <f aca="false">IF(H114=1,"ACCEPTED","OPEN")</f>
        <v>OPEN</v>
      </c>
      <c r="J114" s="3"/>
      <c r="K114" s="3"/>
      <c r="L114" s="3"/>
    </row>
    <row r="115" customFormat="false" ht="23.85" hidden="false" customHeight="false" outlineLevel="0" collapsed="false">
      <c r="A115" s="5" t="s">
        <v>843</v>
      </c>
      <c r="B115" s="5" t="s">
        <v>668</v>
      </c>
      <c r="C115" s="5" t="s">
        <v>13</v>
      </c>
      <c r="D115" s="5" t="s">
        <v>12</v>
      </c>
      <c r="E115" s="5" t="s">
        <v>729</v>
      </c>
      <c r="F115" s="5" t="s">
        <v>296</v>
      </c>
      <c r="G115" s="5"/>
      <c r="H115" s="12" t="n">
        <v>0</v>
      </c>
      <c r="I115" s="5" t="str">
        <f aca="false">IF(H115=1,"ACCEPTED","OPEN")</f>
        <v>OPEN</v>
      </c>
      <c r="J115" s="3"/>
      <c r="K115" s="3"/>
      <c r="L115" s="3"/>
    </row>
    <row r="116" customFormat="false" ht="23.85" hidden="false" customHeight="false" outlineLevel="0" collapsed="false">
      <c r="A116" s="5" t="s">
        <v>844</v>
      </c>
      <c r="B116" s="5" t="s">
        <v>668</v>
      </c>
      <c r="C116" s="5" t="s">
        <v>13</v>
      </c>
      <c r="D116" s="5" t="s">
        <v>12</v>
      </c>
      <c r="E116" s="5" t="s">
        <v>731</v>
      </c>
      <c r="F116" s="5" t="s">
        <v>296</v>
      </c>
      <c r="G116" s="5"/>
      <c r="H116" s="12" t="n">
        <v>0</v>
      </c>
      <c r="I116" s="5" t="str">
        <f aca="false">IF(H116=1,"ACCEPTED","OPEN")</f>
        <v>OPEN</v>
      </c>
      <c r="J116" s="3"/>
      <c r="K116" s="3"/>
      <c r="L116" s="3"/>
    </row>
    <row r="117" customFormat="false" ht="23.85" hidden="false" customHeight="false" outlineLevel="0" collapsed="false">
      <c r="A117" s="5" t="s">
        <v>845</v>
      </c>
      <c r="B117" s="5" t="s">
        <v>668</v>
      </c>
      <c r="C117" s="5" t="s">
        <v>13</v>
      </c>
      <c r="D117" s="5" t="s">
        <v>12</v>
      </c>
      <c r="E117" s="5" t="s">
        <v>733</v>
      </c>
      <c r="F117" s="5" t="s">
        <v>296</v>
      </c>
      <c r="G117" s="5"/>
      <c r="H117" s="12" t="n">
        <v>0</v>
      </c>
      <c r="I117" s="5" t="str">
        <f aca="false">IF(H117=1,"ACCEPTED","OPEN")</f>
        <v>OPEN</v>
      </c>
      <c r="J117" s="3"/>
      <c r="K117" s="3"/>
      <c r="L117" s="3"/>
    </row>
    <row r="118" customFormat="false" ht="23.85" hidden="false" customHeight="false" outlineLevel="0" collapsed="false">
      <c r="A118" s="5" t="s">
        <v>846</v>
      </c>
      <c r="B118" s="5" t="s">
        <v>668</v>
      </c>
      <c r="C118" s="5" t="s">
        <v>13</v>
      </c>
      <c r="D118" s="5" t="s">
        <v>12</v>
      </c>
      <c r="E118" s="5" t="s">
        <v>735</v>
      </c>
      <c r="F118" s="5" t="s">
        <v>296</v>
      </c>
      <c r="G118" s="5"/>
      <c r="H118" s="12" t="n">
        <v>0</v>
      </c>
      <c r="I118" s="5" t="str">
        <f aca="false">IF(H118=1,"ACCEPTED","OPEN")</f>
        <v>OPEN</v>
      </c>
      <c r="J118" s="3"/>
      <c r="K118" s="3"/>
      <c r="L118" s="3"/>
    </row>
    <row r="119" customFormat="false" ht="23.85" hidden="false" customHeight="false" outlineLevel="0" collapsed="false">
      <c r="A119" s="5" t="s">
        <v>847</v>
      </c>
      <c r="B119" s="5" t="s">
        <v>668</v>
      </c>
      <c r="C119" s="5" t="s">
        <v>13</v>
      </c>
      <c r="D119" s="5" t="s">
        <v>12</v>
      </c>
      <c r="E119" s="5" t="s">
        <v>737</v>
      </c>
      <c r="F119" s="5" t="s">
        <v>296</v>
      </c>
      <c r="G119" s="5"/>
      <c r="H119" s="12" t="n">
        <v>0</v>
      </c>
      <c r="I119" s="5" t="str">
        <f aca="false">IF(H119=1,"ACCEPTED","OPEN")</f>
        <v>OPEN</v>
      </c>
      <c r="J119" s="3"/>
      <c r="K119" s="3"/>
      <c r="L119" s="3"/>
    </row>
    <row r="120" customFormat="false" ht="23.85" hidden="false" customHeight="false" outlineLevel="0" collapsed="false">
      <c r="A120" s="5" t="s">
        <v>848</v>
      </c>
      <c r="B120" s="5" t="s">
        <v>669</v>
      </c>
      <c r="C120" s="5" t="s">
        <v>13</v>
      </c>
      <c r="D120" s="5" t="s">
        <v>12</v>
      </c>
      <c r="E120" s="5" t="s">
        <v>729</v>
      </c>
      <c r="F120" s="5" t="s">
        <v>296</v>
      </c>
      <c r="G120" s="5"/>
      <c r="H120" s="12" t="n">
        <v>0</v>
      </c>
      <c r="I120" s="5" t="str">
        <f aca="false">IF(H120=1,"ACCEPTED","OPEN")</f>
        <v>OPEN</v>
      </c>
      <c r="J120" s="3"/>
      <c r="K120" s="3"/>
      <c r="L120" s="3"/>
    </row>
    <row r="121" customFormat="false" ht="23.85" hidden="false" customHeight="false" outlineLevel="0" collapsed="false">
      <c r="A121" s="5" t="s">
        <v>849</v>
      </c>
      <c r="B121" s="5" t="s">
        <v>669</v>
      </c>
      <c r="C121" s="5" t="s">
        <v>13</v>
      </c>
      <c r="D121" s="5" t="s">
        <v>12</v>
      </c>
      <c r="E121" s="5" t="s">
        <v>731</v>
      </c>
      <c r="F121" s="5" t="s">
        <v>296</v>
      </c>
      <c r="G121" s="5"/>
      <c r="H121" s="12" t="n">
        <v>0</v>
      </c>
      <c r="I121" s="5" t="str">
        <f aca="false">IF(H121=1,"ACCEPTED","OPEN")</f>
        <v>OPEN</v>
      </c>
      <c r="J121" s="3"/>
      <c r="K121" s="3"/>
      <c r="L121" s="3"/>
    </row>
    <row r="122" customFormat="false" ht="23.85" hidden="false" customHeight="false" outlineLevel="0" collapsed="false">
      <c r="A122" s="5" t="s">
        <v>850</v>
      </c>
      <c r="B122" s="5" t="s">
        <v>669</v>
      </c>
      <c r="C122" s="5" t="s">
        <v>13</v>
      </c>
      <c r="D122" s="5" t="s">
        <v>12</v>
      </c>
      <c r="E122" s="5" t="s">
        <v>733</v>
      </c>
      <c r="F122" s="5" t="s">
        <v>296</v>
      </c>
      <c r="G122" s="5"/>
      <c r="H122" s="12" t="n">
        <v>0</v>
      </c>
      <c r="I122" s="5" t="str">
        <f aca="false">IF(H122=1,"ACCEPTED","OPEN")</f>
        <v>OPEN</v>
      </c>
      <c r="J122" s="3"/>
      <c r="K122" s="3"/>
      <c r="L122" s="3"/>
    </row>
    <row r="123" customFormat="false" ht="23.85" hidden="false" customHeight="false" outlineLevel="0" collapsed="false">
      <c r="A123" s="5" t="s">
        <v>851</v>
      </c>
      <c r="B123" s="5" t="s">
        <v>669</v>
      </c>
      <c r="C123" s="5" t="s">
        <v>13</v>
      </c>
      <c r="D123" s="5" t="s">
        <v>12</v>
      </c>
      <c r="E123" s="5" t="s">
        <v>735</v>
      </c>
      <c r="F123" s="5" t="s">
        <v>296</v>
      </c>
      <c r="G123" s="5"/>
      <c r="H123" s="12" t="n">
        <v>0</v>
      </c>
      <c r="I123" s="5" t="str">
        <f aca="false">IF(H123=1,"ACCEPTED","OPEN")</f>
        <v>OPEN</v>
      </c>
      <c r="J123" s="3"/>
      <c r="K123" s="3"/>
      <c r="L123" s="3"/>
    </row>
    <row r="124" customFormat="false" ht="23.85" hidden="false" customHeight="false" outlineLevel="0" collapsed="false">
      <c r="A124" s="5" t="s">
        <v>852</v>
      </c>
      <c r="B124" s="5" t="s">
        <v>669</v>
      </c>
      <c r="C124" s="5" t="s">
        <v>13</v>
      </c>
      <c r="D124" s="5" t="s">
        <v>12</v>
      </c>
      <c r="E124" s="5" t="s">
        <v>737</v>
      </c>
      <c r="F124" s="5" t="s">
        <v>296</v>
      </c>
      <c r="G124" s="5"/>
      <c r="H124" s="12" t="n">
        <v>0</v>
      </c>
      <c r="I124" s="5" t="str">
        <f aca="false">IF(H124=1,"ACCEPTED","OPEN")</f>
        <v>OPEN</v>
      </c>
      <c r="J124" s="3"/>
      <c r="K124" s="3"/>
      <c r="L124" s="3"/>
    </row>
    <row r="125" customFormat="false" ht="23.85" hidden="false" customHeight="false" outlineLevel="0" collapsed="false">
      <c r="A125" s="5" t="s">
        <v>853</v>
      </c>
      <c r="B125" s="5" t="s">
        <v>670</v>
      </c>
      <c r="C125" s="5" t="s">
        <v>18</v>
      </c>
      <c r="D125" s="5" t="s">
        <v>17</v>
      </c>
      <c r="E125" s="5" t="s">
        <v>729</v>
      </c>
      <c r="F125" s="5" t="s">
        <v>296</v>
      </c>
      <c r="G125" s="5"/>
      <c r="H125" s="12" t="n">
        <v>0</v>
      </c>
      <c r="I125" s="5" t="str">
        <f aca="false">IF(H125=1,"ACCEPTED","OPEN")</f>
        <v>OPEN</v>
      </c>
      <c r="J125" s="3"/>
      <c r="K125" s="3"/>
      <c r="L125" s="3"/>
    </row>
    <row r="126" customFormat="false" ht="23.85" hidden="false" customHeight="false" outlineLevel="0" collapsed="false">
      <c r="A126" s="5" t="s">
        <v>854</v>
      </c>
      <c r="B126" s="5" t="s">
        <v>670</v>
      </c>
      <c r="C126" s="5" t="s">
        <v>18</v>
      </c>
      <c r="D126" s="5" t="s">
        <v>17</v>
      </c>
      <c r="E126" s="5" t="s">
        <v>731</v>
      </c>
      <c r="F126" s="5" t="s">
        <v>296</v>
      </c>
      <c r="G126" s="5"/>
      <c r="H126" s="12" t="n">
        <v>0</v>
      </c>
      <c r="I126" s="5" t="str">
        <f aca="false">IF(H126=1,"ACCEPTED","OPEN")</f>
        <v>OPEN</v>
      </c>
      <c r="J126" s="3"/>
      <c r="K126" s="3"/>
      <c r="L126" s="3"/>
    </row>
    <row r="127" customFormat="false" ht="23.85" hidden="false" customHeight="false" outlineLevel="0" collapsed="false">
      <c r="A127" s="5" t="s">
        <v>855</v>
      </c>
      <c r="B127" s="5" t="s">
        <v>670</v>
      </c>
      <c r="C127" s="5" t="s">
        <v>18</v>
      </c>
      <c r="D127" s="5" t="s">
        <v>17</v>
      </c>
      <c r="E127" s="5" t="s">
        <v>733</v>
      </c>
      <c r="F127" s="5" t="s">
        <v>296</v>
      </c>
      <c r="G127" s="5"/>
      <c r="H127" s="12" t="n">
        <v>0</v>
      </c>
      <c r="I127" s="5" t="str">
        <f aca="false">IF(H127=1,"ACCEPTED","OPEN")</f>
        <v>OPEN</v>
      </c>
      <c r="J127" s="3"/>
      <c r="K127" s="3"/>
      <c r="L127" s="3"/>
    </row>
    <row r="128" customFormat="false" ht="23.85" hidden="false" customHeight="false" outlineLevel="0" collapsed="false">
      <c r="A128" s="5" t="s">
        <v>856</v>
      </c>
      <c r="B128" s="5" t="s">
        <v>670</v>
      </c>
      <c r="C128" s="5" t="s">
        <v>18</v>
      </c>
      <c r="D128" s="5" t="s">
        <v>17</v>
      </c>
      <c r="E128" s="5" t="s">
        <v>735</v>
      </c>
      <c r="F128" s="5" t="s">
        <v>296</v>
      </c>
      <c r="G128" s="5"/>
      <c r="H128" s="12" t="n">
        <v>0</v>
      </c>
      <c r="I128" s="5" t="str">
        <f aca="false">IF(H128=1,"ACCEPTED","OPEN")</f>
        <v>OPEN</v>
      </c>
      <c r="J128" s="3"/>
      <c r="K128" s="3"/>
      <c r="L128" s="3"/>
    </row>
    <row r="129" customFormat="false" ht="23.85" hidden="false" customHeight="false" outlineLevel="0" collapsed="false">
      <c r="A129" s="5" t="s">
        <v>857</v>
      </c>
      <c r="B129" s="5" t="s">
        <v>670</v>
      </c>
      <c r="C129" s="5" t="s">
        <v>18</v>
      </c>
      <c r="D129" s="5" t="s">
        <v>17</v>
      </c>
      <c r="E129" s="5" t="s">
        <v>737</v>
      </c>
      <c r="F129" s="5" t="s">
        <v>296</v>
      </c>
      <c r="G129" s="5"/>
      <c r="H129" s="12" t="n">
        <v>0</v>
      </c>
      <c r="I129" s="5" t="str">
        <f aca="false">IF(H129=1,"ACCEPTED","OPEN")</f>
        <v>OPEN</v>
      </c>
      <c r="J129" s="3"/>
      <c r="K129" s="3"/>
      <c r="L129" s="3"/>
    </row>
    <row r="130" customFormat="false" ht="23.85" hidden="false" customHeight="false" outlineLevel="0" collapsed="false">
      <c r="A130" s="5" t="s">
        <v>858</v>
      </c>
      <c r="B130" s="5" t="s">
        <v>672</v>
      </c>
      <c r="C130" s="5" t="s">
        <v>18</v>
      </c>
      <c r="D130" s="5" t="s">
        <v>17</v>
      </c>
      <c r="E130" s="5" t="s">
        <v>729</v>
      </c>
      <c r="F130" s="5" t="s">
        <v>296</v>
      </c>
      <c r="G130" s="5"/>
      <c r="H130" s="12" t="n">
        <v>0</v>
      </c>
      <c r="I130" s="5" t="str">
        <f aca="false">IF(H130=1,"ACCEPTED","OPEN")</f>
        <v>OPEN</v>
      </c>
      <c r="J130" s="3"/>
      <c r="K130" s="3"/>
      <c r="L130" s="3"/>
    </row>
    <row r="131" customFormat="false" ht="23.85" hidden="false" customHeight="false" outlineLevel="0" collapsed="false">
      <c r="A131" s="5" t="s">
        <v>859</v>
      </c>
      <c r="B131" s="5" t="s">
        <v>672</v>
      </c>
      <c r="C131" s="5" t="s">
        <v>18</v>
      </c>
      <c r="D131" s="5" t="s">
        <v>17</v>
      </c>
      <c r="E131" s="5" t="s">
        <v>731</v>
      </c>
      <c r="F131" s="5" t="s">
        <v>296</v>
      </c>
      <c r="G131" s="5"/>
      <c r="H131" s="12" t="n">
        <v>0</v>
      </c>
      <c r="I131" s="5" t="str">
        <f aca="false">IF(H131=1,"ACCEPTED","OPEN")</f>
        <v>OPEN</v>
      </c>
      <c r="J131" s="3"/>
      <c r="K131" s="3"/>
      <c r="L131" s="3"/>
    </row>
    <row r="132" customFormat="false" ht="23.85" hidden="false" customHeight="false" outlineLevel="0" collapsed="false">
      <c r="A132" s="5" t="s">
        <v>860</v>
      </c>
      <c r="B132" s="5" t="s">
        <v>672</v>
      </c>
      <c r="C132" s="5" t="s">
        <v>18</v>
      </c>
      <c r="D132" s="5" t="s">
        <v>17</v>
      </c>
      <c r="E132" s="5" t="s">
        <v>733</v>
      </c>
      <c r="F132" s="5" t="s">
        <v>296</v>
      </c>
      <c r="G132" s="5"/>
      <c r="H132" s="12" t="n">
        <v>0</v>
      </c>
      <c r="I132" s="5" t="str">
        <f aca="false">IF(H132=1,"ACCEPTED","OPEN")</f>
        <v>OPEN</v>
      </c>
      <c r="J132" s="3"/>
      <c r="K132" s="3"/>
      <c r="L132" s="3"/>
    </row>
    <row r="133" customFormat="false" ht="23.85" hidden="false" customHeight="false" outlineLevel="0" collapsed="false">
      <c r="A133" s="5" t="s">
        <v>861</v>
      </c>
      <c r="B133" s="5" t="s">
        <v>672</v>
      </c>
      <c r="C133" s="5" t="s">
        <v>18</v>
      </c>
      <c r="D133" s="5" t="s">
        <v>17</v>
      </c>
      <c r="E133" s="5" t="s">
        <v>735</v>
      </c>
      <c r="F133" s="5" t="s">
        <v>296</v>
      </c>
      <c r="G133" s="5"/>
      <c r="H133" s="12" t="n">
        <v>0</v>
      </c>
      <c r="I133" s="5" t="str">
        <f aca="false">IF(H133=1,"ACCEPTED","OPEN")</f>
        <v>OPEN</v>
      </c>
      <c r="J133" s="3"/>
      <c r="K133" s="3"/>
      <c r="L133" s="3"/>
    </row>
    <row r="134" customFormat="false" ht="23.85" hidden="false" customHeight="false" outlineLevel="0" collapsed="false">
      <c r="A134" s="5" t="s">
        <v>862</v>
      </c>
      <c r="B134" s="5" t="s">
        <v>672</v>
      </c>
      <c r="C134" s="5" t="s">
        <v>18</v>
      </c>
      <c r="D134" s="5" t="s">
        <v>17</v>
      </c>
      <c r="E134" s="5" t="s">
        <v>737</v>
      </c>
      <c r="F134" s="5" t="s">
        <v>296</v>
      </c>
      <c r="G134" s="5"/>
      <c r="H134" s="12" t="n">
        <v>0</v>
      </c>
      <c r="I134" s="5" t="str">
        <f aca="false">IF(H134=1,"ACCEPTED","OPEN")</f>
        <v>OPEN</v>
      </c>
      <c r="J134" s="3"/>
      <c r="K134" s="3"/>
      <c r="L134" s="3"/>
    </row>
    <row r="135" customFormat="false" ht="23.85" hidden="false" customHeight="false" outlineLevel="0" collapsed="false">
      <c r="A135" s="5" t="s">
        <v>863</v>
      </c>
      <c r="B135" s="5" t="s">
        <v>673</v>
      </c>
      <c r="C135" s="5" t="s">
        <v>18</v>
      </c>
      <c r="D135" s="5" t="s">
        <v>17</v>
      </c>
      <c r="E135" s="5" t="s">
        <v>729</v>
      </c>
      <c r="F135" s="5" t="s">
        <v>296</v>
      </c>
      <c r="G135" s="5"/>
      <c r="H135" s="12" t="n">
        <v>0</v>
      </c>
      <c r="I135" s="5" t="str">
        <f aca="false">IF(H135=1,"ACCEPTED","OPEN")</f>
        <v>OPEN</v>
      </c>
      <c r="J135" s="3"/>
      <c r="K135" s="3"/>
      <c r="L135" s="3"/>
    </row>
    <row r="136" customFormat="false" ht="23.85" hidden="false" customHeight="false" outlineLevel="0" collapsed="false">
      <c r="A136" s="5" t="s">
        <v>864</v>
      </c>
      <c r="B136" s="5" t="s">
        <v>673</v>
      </c>
      <c r="C136" s="5" t="s">
        <v>18</v>
      </c>
      <c r="D136" s="5" t="s">
        <v>17</v>
      </c>
      <c r="E136" s="5" t="s">
        <v>731</v>
      </c>
      <c r="F136" s="5" t="s">
        <v>296</v>
      </c>
      <c r="G136" s="5"/>
      <c r="H136" s="12" t="n">
        <v>0</v>
      </c>
      <c r="I136" s="5" t="str">
        <f aca="false">IF(H136=1,"ACCEPTED","OPEN")</f>
        <v>OPEN</v>
      </c>
      <c r="J136" s="3"/>
      <c r="K136" s="3"/>
      <c r="L136" s="3"/>
    </row>
    <row r="137" customFormat="false" ht="23.85" hidden="false" customHeight="false" outlineLevel="0" collapsed="false">
      <c r="A137" s="5" t="s">
        <v>865</v>
      </c>
      <c r="B137" s="5" t="s">
        <v>673</v>
      </c>
      <c r="C137" s="5" t="s">
        <v>18</v>
      </c>
      <c r="D137" s="5" t="s">
        <v>17</v>
      </c>
      <c r="E137" s="5" t="s">
        <v>733</v>
      </c>
      <c r="F137" s="5" t="s">
        <v>296</v>
      </c>
      <c r="G137" s="5"/>
      <c r="H137" s="12" t="n">
        <v>0</v>
      </c>
      <c r="I137" s="5" t="str">
        <f aca="false">IF(H137=1,"ACCEPTED","OPEN")</f>
        <v>OPEN</v>
      </c>
      <c r="J137" s="3"/>
      <c r="K137" s="3"/>
      <c r="L137" s="3"/>
    </row>
    <row r="138" customFormat="false" ht="23.85" hidden="false" customHeight="false" outlineLevel="0" collapsed="false">
      <c r="A138" s="5" t="s">
        <v>866</v>
      </c>
      <c r="B138" s="5" t="s">
        <v>673</v>
      </c>
      <c r="C138" s="5" t="s">
        <v>18</v>
      </c>
      <c r="D138" s="5" t="s">
        <v>17</v>
      </c>
      <c r="E138" s="5" t="s">
        <v>735</v>
      </c>
      <c r="F138" s="5" t="s">
        <v>296</v>
      </c>
      <c r="G138" s="5"/>
      <c r="H138" s="12" t="n">
        <v>0</v>
      </c>
      <c r="I138" s="5" t="str">
        <f aca="false">IF(H138=1,"ACCEPTED","OPEN")</f>
        <v>OPEN</v>
      </c>
      <c r="J138" s="3"/>
      <c r="K138" s="3"/>
      <c r="L138" s="3"/>
    </row>
    <row r="139" customFormat="false" ht="23.85" hidden="false" customHeight="false" outlineLevel="0" collapsed="false">
      <c r="A139" s="5" t="s">
        <v>867</v>
      </c>
      <c r="B139" s="5" t="s">
        <v>673</v>
      </c>
      <c r="C139" s="5" t="s">
        <v>18</v>
      </c>
      <c r="D139" s="5" t="s">
        <v>17</v>
      </c>
      <c r="E139" s="5" t="s">
        <v>737</v>
      </c>
      <c r="F139" s="5" t="s">
        <v>296</v>
      </c>
      <c r="G139" s="5"/>
      <c r="H139" s="12" t="n">
        <v>0</v>
      </c>
      <c r="I139" s="5" t="str">
        <f aca="false">IF(H139=1,"ACCEPTED","OPEN")</f>
        <v>OPEN</v>
      </c>
      <c r="J139" s="3"/>
      <c r="K139" s="3"/>
      <c r="L139" s="3"/>
    </row>
    <row r="140" customFormat="false" ht="23.85" hidden="false" customHeight="false" outlineLevel="0" collapsed="false">
      <c r="A140" s="5" t="s">
        <v>868</v>
      </c>
      <c r="B140" s="5" t="s">
        <v>674</v>
      </c>
      <c r="C140" s="5" t="s">
        <v>18</v>
      </c>
      <c r="D140" s="5" t="s">
        <v>17</v>
      </c>
      <c r="E140" s="5" t="s">
        <v>729</v>
      </c>
      <c r="F140" s="5" t="s">
        <v>296</v>
      </c>
      <c r="G140" s="5"/>
      <c r="H140" s="12" t="n">
        <v>0</v>
      </c>
      <c r="I140" s="5" t="str">
        <f aca="false">IF(H140=1,"ACCEPTED","OPEN")</f>
        <v>OPEN</v>
      </c>
      <c r="J140" s="3"/>
      <c r="K140" s="3"/>
      <c r="L140" s="3"/>
    </row>
    <row r="141" customFormat="false" ht="23.85" hidden="false" customHeight="false" outlineLevel="0" collapsed="false">
      <c r="A141" s="5" t="s">
        <v>869</v>
      </c>
      <c r="B141" s="5" t="s">
        <v>674</v>
      </c>
      <c r="C141" s="5" t="s">
        <v>18</v>
      </c>
      <c r="D141" s="5" t="s">
        <v>17</v>
      </c>
      <c r="E141" s="5" t="s">
        <v>731</v>
      </c>
      <c r="F141" s="5" t="s">
        <v>296</v>
      </c>
      <c r="G141" s="5"/>
      <c r="H141" s="12" t="n">
        <v>0</v>
      </c>
      <c r="I141" s="5" t="str">
        <f aca="false">IF(H141=1,"ACCEPTED","OPEN")</f>
        <v>OPEN</v>
      </c>
      <c r="J141" s="3"/>
      <c r="K141" s="3"/>
      <c r="L141" s="3"/>
    </row>
    <row r="142" customFormat="false" ht="23.85" hidden="false" customHeight="false" outlineLevel="0" collapsed="false">
      <c r="A142" s="5" t="s">
        <v>870</v>
      </c>
      <c r="B142" s="5" t="s">
        <v>674</v>
      </c>
      <c r="C142" s="5" t="s">
        <v>18</v>
      </c>
      <c r="D142" s="5" t="s">
        <v>17</v>
      </c>
      <c r="E142" s="5" t="s">
        <v>733</v>
      </c>
      <c r="F142" s="5" t="s">
        <v>296</v>
      </c>
      <c r="G142" s="5"/>
      <c r="H142" s="12" t="n">
        <v>0</v>
      </c>
      <c r="I142" s="5" t="str">
        <f aca="false">IF(H142=1,"ACCEPTED","OPEN")</f>
        <v>OPEN</v>
      </c>
      <c r="J142" s="3"/>
      <c r="K142" s="3"/>
      <c r="L142" s="3"/>
    </row>
    <row r="143" customFormat="false" ht="23.85" hidden="false" customHeight="false" outlineLevel="0" collapsed="false">
      <c r="A143" s="5" t="s">
        <v>871</v>
      </c>
      <c r="B143" s="5" t="s">
        <v>674</v>
      </c>
      <c r="C143" s="5" t="s">
        <v>18</v>
      </c>
      <c r="D143" s="5" t="s">
        <v>17</v>
      </c>
      <c r="E143" s="5" t="s">
        <v>735</v>
      </c>
      <c r="F143" s="5" t="s">
        <v>296</v>
      </c>
      <c r="G143" s="5"/>
      <c r="H143" s="12" t="n">
        <v>0</v>
      </c>
      <c r="I143" s="5" t="str">
        <f aca="false">IF(H143=1,"ACCEPTED","OPEN")</f>
        <v>OPEN</v>
      </c>
      <c r="J143" s="3"/>
      <c r="K143" s="3"/>
      <c r="L143" s="3"/>
    </row>
    <row r="144" customFormat="false" ht="23.85" hidden="false" customHeight="false" outlineLevel="0" collapsed="false">
      <c r="A144" s="5" t="s">
        <v>872</v>
      </c>
      <c r="B144" s="5" t="s">
        <v>674</v>
      </c>
      <c r="C144" s="5" t="s">
        <v>18</v>
      </c>
      <c r="D144" s="5" t="s">
        <v>17</v>
      </c>
      <c r="E144" s="5" t="s">
        <v>737</v>
      </c>
      <c r="F144" s="5" t="s">
        <v>296</v>
      </c>
      <c r="G144" s="5"/>
      <c r="H144" s="12" t="n">
        <v>0</v>
      </c>
      <c r="I144" s="5" t="str">
        <f aca="false">IF(H144=1,"ACCEPTED","OPEN")</f>
        <v>OPEN</v>
      </c>
      <c r="J144" s="3"/>
      <c r="K144" s="3"/>
      <c r="L144" s="3"/>
    </row>
    <row r="145" customFormat="false" ht="23.85" hidden="false" customHeight="false" outlineLevel="0" collapsed="false">
      <c r="A145" s="5" t="s">
        <v>873</v>
      </c>
      <c r="B145" s="5" t="s">
        <v>675</v>
      </c>
      <c r="C145" s="5" t="s">
        <v>18</v>
      </c>
      <c r="D145" s="5" t="s">
        <v>17</v>
      </c>
      <c r="E145" s="5" t="s">
        <v>729</v>
      </c>
      <c r="F145" s="5" t="s">
        <v>296</v>
      </c>
      <c r="G145" s="5"/>
      <c r="H145" s="12" t="n">
        <v>0</v>
      </c>
      <c r="I145" s="5" t="str">
        <f aca="false">IF(H145=1,"ACCEPTED","OPEN")</f>
        <v>OPEN</v>
      </c>
      <c r="J145" s="3"/>
      <c r="K145" s="3"/>
      <c r="L145" s="3"/>
    </row>
    <row r="146" customFormat="false" ht="23.85" hidden="false" customHeight="false" outlineLevel="0" collapsed="false">
      <c r="A146" s="5" t="s">
        <v>874</v>
      </c>
      <c r="B146" s="5" t="s">
        <v>675</v>
      </c>
      <c r="C146" s="5" t="s">
        <v>18</v>
      </c>
      <c r="D146" s="5" t="s">
        <v>17</v>
      </c>
      <c r="E146" s="5" t="s">
        <v>731</v>
      </c>
      <c r="F146" s="5" t="s">
        <v>296</v>
      </c>
      <c r="G146" s="5"/>
      <c r="H146" s="12" t="n">
        <v>0</v>
      </c>
      <c r="I146" s="5" t="str">
        <f aca="false">IF(H146=1,"ACCEPTED","OPEN")</f>
        <v>OPEN</v>
      </c>
      <c r="J146" s="3"/>
      <c r="K146" s="3"/>
      <c r="L146" s="3"/>
    </row>
    <row r="147" customFormat="false" ht="23.85" hidden="false" customHeight="false" outlineLevel="0" collapsed="false">
      <c r="A147" s="5" t="s">
        <v>875</v>
      </c>
      <c r="B147" s="5" t="s">
        <v>675</v>
      </c>
      <c r="C147" s="5" t="s">
        <v>18</v>
      </c>
      <c r="D147" s="5" t="s">
        <v>17</v>
      </c>
      <c r="E147" s="5" t="s">
        <v>733</v>
      </c>
      <c r="F147" s="5" t="s">
        <v>296</v>
      </c>
      <c r="G147" s="5"/>
      <c r="H147" s="12" t="n">
        <v>0</v>
      </c>
      <c r="I147" s="5" t="str">
        <f aca="false">IF(H147=1,"ACCEPTED","OPEN")</f>
        <v>OPEN</v>
      </c>
      <c r="J147" s="3"/>
      <c r="K147" s="3"/>
      <c r="L147" s="3"/>
    </row>
    <row r="148" customFormat="false" ht="23.85" hidden="false" customHeight="false" outlineLevel="0" collapsed="false">
      <c r="A148" s="5" t="s">
        <v>876</v>
      </c>
      <c r="B148" s="5" t="s">
        <v>675</v>
      </c>
      <c r="C148" s="5" t="s">
        <v>18</v>
      </c>
      <c r="D148" s="5" t="s">
        <v>17</v>
      </c>
      <c r="E148" s="5" t="s">
        <v>735</v>
      </c>
      <c r="F148" s="5" t="s">
        <v>296</v>
      </c>
      <c r="G148" s="5"/>
      <c r="H148" s="12" t="n">
        <v>0</v>
      </c>
      <c r="I148" s="5" t="str">
        <f aca="false">IF(H148=1,"ACCEPTED","OPEN")</f>
        <v>OPEN</v>
      </c>
      <c r="J148" s="3"/>
      <c r="K148" s="3"/>
      <c r="L148" s="3"/>
    </row>
    <row r="149" customFormat="false" ht="23.85" hidden="false" customHeight="false" outlineLevel="0" collapsed="false">
      <c r="A149" s="5" t="s">
        <v>877</v>
      </c>
      <c r="B149" s="5" t="s">
        <v>675</v>
      </c>
      <c r="C149" s="5" t="s">
        <v>18</v>
      </c>
      <c r="D149" s="5" t="s">
        <v>17</v>
      </c>
      <c r="E149" s="5" t="s">
        <v>737</v>
      </c>
      <c r="F149" s="5" t="s">
        <v>296</v>
      </c>
      <c r="G149" s="5"/>
      <c r="H149" s="12" t="n">
        <v>0</v>
      </c>
      <c r="I149" s="5" t="str">
        <f aca="false">IF(H149=1,"ACCEPTED","OPEN")</f>
        <v>OPEN</v>
      </c>
      <c r="J149" s="3"/>
      <c r="K149" s="3"/>
      <c r="L149" s="3"/>
    </row>
    <row r="150" customFormat="false" ht="23.85" hidden="false" customHeight="false" outlineLevel="0" collapsed="false">
      <c r="A150" s="5" t="s">
        <v>878</v>
      </c>
      <c r="B150" s="5" t="s">
        <v>676</v>
      </c>
      <c r="C150" s="5" t="s">
        <v>18</v>
      </c>
      <c r="D150" s="5" t="s">
        <v>17</v>
      </c>
      <c r="E150" s="5" t="s">
        <v>729</v>
      </c>
      <c r="F150" s="5" t="s">
        <v>296</v>
      </c>
      <c r="G150" s="5"/>
      <c r="H150" s="12" t="n">
        <v>0</v>
      </c>
      <c r="I150" s="5" t="str">
        <f aca="false">IF(H150=1,"ACCEPTED","OPEN")</f>
        <v>OPEN</v>
      </c>
      <c r="J150" s="3"/>
      <c r="K150" s="3"/>
      <c r="L150" s="3"/>
    </row>
    <row r="151" customFormat="false" ht="23.85" hidden="false" customHeight="false" outlineLevel="0" collapsed="false">
      <c r="A151" s="5" t="s">
        <v>879</v>
      </c>
      <c r="B151" s="5" t="s">
        <v>676</v>
      </c>
      <c r="C151" s="5" t="s">
        <v>18</v>
      </c>
      <c r="D151" s="5" t="s">
        <v>17</v>
      </c>
      <c r="E151" s="5" t="s">
        <v>731</v>
      </c>
      <c r="F151" s="5" t="s">
        <v>296</v>
      </c>
      <c r="G151" s="5"/>
      <c r="H151" s="12" t="n">
        <v>0</v>
      </c>
      <c r="I151" s="5" t="str">
        <f aca="false">IF(H151=1,"ACCEPTED","OPEN")</f>
        <v>OPEN</v>
      </c>
      <c r="J151" s="3"/>
      <c r="K151" s="3"/>
      <c r="L151" s="3"/>
    </row>
    <row r="152" customFormat="false" ht="23.85" hidden="false" customHeight="false" outlineLevel="0" collapsed="false">
      <c r="A152" s="5" t="s">
        <v>880</v>
      </c>
      <c r="B152" s="5" t="s">
        <v>676</v>
      </c>
      <c r="C152" s="5" t="s">
        <v>18</v>
      </c>
      <c r="D152" s="5" t="s">
        <v>17</v>
      </c>
      <c r="E152" s="5" t="s">
        <v>733</v>
      </c>
      <c r="F152" s="5" t="s">
        <v>296</v>
      </c>
      <c r="G152" s="5"/>
      <c r="H152" s="12" t="n">
        <v>0</v>
      </c>
      <c r="I152" s="5" t="str">
        <f aca="false">IF(H152=1,"ACCEPTED","OPEN")</f>
        <v>OPEN</v>
      </c>
      <c r="J152" s="3"/>
      <c r="K152" s="3"/>
      <c r="L152" s="3"/>
    </row>
    <row r="153" customFormat="false" ht="23.85" hidden="false" customHeight="false" outlineLevel="0" collapsed="false">
      <c r="A153" s="5" t="s">
        <v>881</v>
      </c>
      <c r="B153" s="5" t="s">
        <v>676</v>
      </c>
      <c r="C153" s="5" t="s">
        <v>18</v>
      </c>
      <c r="D153" s="5" t="s">
        <v>17</v>
      </c>
      <c r="E153" s="5" t="s">
        <v>735</v>
      </c>
      <c r="F153" s="5" t="s">
        <v>296</v>
      </c>
      <c r="G153" s="5"/>
      <c r="H153" s="12" t="n">
        <v>0</v>
      </c>
      <c r="I153" s="5" t="str">
        <f aca="false">IF(H153=1,"ACCEPTED","OPEN")</f>
        <v>OPEN</v>
      </c>
      <c r="J153" s="3"/>
      <c r="K153" s="3"/>
      <c r="L153" s="3"/>
    </row>
    <row r="154" customFormat="false" ht="23.85" hidden="false" customHeight="false" outlineLevel="0" collapsed="false">
      <c r="A154" s="5" t="s">
        <v>882</v>
      </c>
      <c r="B154" s="5" t="s">
        <v>676</v>
      </c>
      <c r="C154" s="5" t="s">
        <v>18</v>
      </c>
      <c r="D154" s="5" t="s">
        <v>17</v>
      </c>
      <c r="E154" s="5" t="s">
        <v>737</v>
      </c>
      <c r="F154" s="5" t="s">
        <v>296</v>
      </c>
      <c r="G154" s="5"/>
      <c r="H154" s="12" t="n">
        <v>0</v>
      </c>
      <c r="I154" s="5" t="str">
        <f aca="false">IF(H154=1,"ACCEPTED","OPEN")</f>
        <v>OPEN</v>
      </c>
      <c r="J154" s="3"/>
      <c r="K154" s="3"/>
      <c r="L154" s="3"/>
    </row>
    <row r="155" customFormat="false" ht="23.85" hidden="false" customHeight="false" outlineLevel="0" collapsed="false">
      <c r="A155" s="5" t="s">
        <v>883</v>
      </c>
      <c r="B155" s="5" t="s">
        <v>677</v>
      </c>
      <c r="C155" s="5" t="s">
        <v>18</v>
      </c>
      <c r="D155" s="5" t="s">
        <v>17</v>
      </c>
      <c r="E155" s="5" t="s">
        <v>729</v>
      </c>
      <c r="F155" s="5" t="s">
        <v>296</v>
      </c>
      <c r="G155" s="5"/>
      <c r="H155" s="12" t="n">
        <v>0</v>
      </c>
      <c r="I155" s="5" t="str">
        <f aca="false">IF(H155=1,"ACCEPTED","OPEN")</f>
        <v>OPEN</v>
      </c>
      <c r="J155" s="3"/>
      <c r="K155" s="3"/>
      <c r="L155" s="3"/>
    </row>
    <row r="156" customFormat="false" ht="23.85" hidden="false" customHeight="false" outlineLevel="0" collapsed="false">
      <c r="A156" s="5" t="s">
        <v>884</v>
      </c>
      <c r="B156" s="5" t="s">
        <v>677</v>
      </c>
      <c r="C156" s="5" t="s">
        <v>18</v>
      </c>
      <c r="D156" s="5" t="s">
        <v>17</v>
      </c>
      <c r="E156" s="5" t="s">
        <v>731</v>
      </c>
      <c r="F156" s="5" t="s">
        <v>296</v>
      </c>
      <c r="G156" s="5"/>
      <c r="H156" s="12" t="n">
        <v>0</v>
      </c>
      <c r="I156" s="5" t="str">
        <f aca="false">IF(H156=1,"ACCEPTED","OPEN")</f>
        <v>OPEN</v>
      </c>
      <c r="J156" s="3"/>
      <c r="K156" s="3"/>
      <c r="L156" s="3"/>
    </row>
    <row r="157" customFormat="false" ht="23.85" hidden="false" customHeight="false" outlineLevel="0" collapsed="false">
      <c r="A157" s="5" t="s">
        <v>885</v>
      </c>
      <c r="B157" s="5" t="s">
        <v>677</v>
      </c>
      <c r="C157" s="5" t="s">
        <v>18</v>
      </c>
      <c r="D157" s="5" t="s">
        <v>17</v>
      </c>
      <c r="E157" s="5" t="s">
        <v>733</v>
      </c>
      <c r="F157" s="5" t="s">
        <v>296</v>
      </c>
      <c r="G157" s="5"/>
      <c r="H157" s="12" t="n">
        <v>0</v>
      </c>
      <c r="I157" s="5" t="str">
        <f aca="false">IF(H157=1,"ACCEPTED","OPEN")</f>
        <v>OPEN</v>
      </c>
      <c r="J157" s="3"/>
      <c r="K157" s="3"/>
      <c r="L157" s="3"/>
    </row>
    <row r="158" customFormat="false" ht="23.85" hidden="false" customHeight="false" outlineLevel="0" collapsed="false">
      <c r="A158" s="5" t="s">
        <v>886</v>
      </c>
      <c r="B158" s="5" t="s">
        <v>677</v>
      </c>
      <c r="C158" s="5" t="s">
        <v>18</v>
      </c>
      <c r="D158" s="5" t="s">
        <v>17</v>
      </c>
      <c r="E158" s="5" t="s">
        <v>735</v>
      </c>
      <c r="F158" s="5" t="s">
        <v>296</v>
      </c>
      <c r="G158" s="5"/>
      <c r="H158" s="12" t="n">
        <v>0</v>
      </c>
      <c r="I158" s="5" t="str">
        <f aca="false">IF(H158=1,"ACCEPTED","OPEN")</f>
        <v>OPEN</v>
      </c>
      <c r="J158" s="3"/>
      <c r="K158" s="3"/>
      <c r="L158" s="3"/>
    </row>
    <row r="159" customFormat="false" ht="23.85" hidden="false" customHeight="false" outlineLevel="0" collapsed="false">
      <c r="A159" s="5" t="s">
        <v>887</v>
      </c>
      <c r="B159" s="5" t="s">
        <v>677</v>
      </c>
      <c r="C159" s="5" t="s">
        <v>18</v>
      </c>
      <c r="D159" s="5" t="s">
        <v>17</v>
      </c>
      <c r="E159" s="5" t="s">
        <v>737</v>
      </c>
      <c r="F159" s="5" t="s">
        <v>296</v>
      </c>
      <c r="G159" s="5"/>
      <c r="H159" s="12" t="n">
        <v>0</v>
      </c>
      <c r="I159" s="5" t="str">
        <f aca="false">IF(H159=1,"ACCEPTED","OPEN")</f>
        <v>OPEN</v>
      </c>
      <c r="J159" s="3"/>
      <c r="K159" s="3"/>
      <c r="L159" s="3"/>
    </row>
    <row r="160" customFormat="false" ht="23.85" hidden="false" customHeight="false" outlineLevel="0" collapsed="false">
      <c r="A160" s="5" t="s">
        <v>888</v>
      </c>
      <c r="B160" s="5" t="s">
        <v>678</v>
      </c>
      <c r="C160" s="5" t="s">
        <v>18</v>
      </c>
      <c r="D160" s="5" t="s">
        <v>17</v>
      </c>
      <c r="E160" s="5" t="s">
        <v>729</v>
      </c>
      <c r="F160" s="5" t="s">
        <v>296</v>
      </c>
      <c r="G160" s="5"/>
      <c r="H160" s="12" t="n">
        <v>0</v>
      </c>
      <c r="I160" s="5" t="str">
        <f aca="false">IF(H160=1,"ACCEPTED","OPEN")</f>
        <v>OPEN</v>
      </c>
      <c r="J160" s="3"/>
      <c r="K160" s="3"/>
      <c r="L160" s="3"/>
    </row>
    <row r="161" customFormat="false" ht="23.85" hidden="false" customHeight="false" outlineLevel="0" collapsed="false">
      <c r="A161" s="5" t="s">
        <v>889</v>
      </c>
      <c r="B161" s="5" t="s">
        <v>678</v>
      </c>
      <c r="C161" s="5" t="s">
        <v>18</v>
      </c>
      <c r="D161" s="5" t="s">
        <v>17</v>
      </c>
      <c r="E161" s="5" t="s">
        <v>731</v>
      </c>
      <c r="F161" s="5" t="s">
        <v>296</v>
      </c>
      <c r="G161" s="5"/>
      <c r="H161" s="12" t="n">
        <v>0</v>
      </c>
      <c r="I161" s="5" t="str">
        <f aca="false">IF(H161=1,"ACCEPTED","OPEN")</f>
        <v>OPEN</v>
      </c>
      <c r="J161" s="3"/>
      <c r="K161" s="3"/>
      <c r="L161" s="3"/>
    </row>
    <row r="162" customFormat="false" ht="23.85" hidden="false" customHeight="false" outlineLevel="0" collapsed="false">
      <c r="A162" s="5" t="s">
        <v>890</v>
      </c>
      <c r="B162" s="5" t="s">
        <v>678</v>
      </c>
      <c r="C162" s="5" t="s">
        <v>18</v>
      </c>
      <c r="D162" s="5" t="s">
        <v>17</v>
      </c>
      <c r="E162" s="5" t="s">
        <v>733</v>
      </c>
      <c r="F162" s="5" t="s">
        <v>296</v>
      </c>
      <c r="G162" s="5"/>
      <c r="H162" s="12" t="n">
        <v>0</v>
      </c>
      <c r="I162" s="5" t="str">
        <f aca="false">IF(H162=1,"ACCEPTED","OPEN")</f>
        <v>OPEN</v>
      </c>
      <c r="J162" s="3"/>
      <c r="K162" s="3"/>
      <c r="L162" s="3"/>
    </row>
    <row r="163" customFormat="false" ht="23.85" hidden="false" customHeight="false" outlineLevel="0" collapsed="false">
      <c r="A163" s="5" t="s">
        <v>891</v>
      </c>
      <c r="B163" s="5" t="s">
        <v>678</v>
      </c>
      <c r="C163" s="5" t="s">
        <v>18</v>
      </c>
      <c r="D163" s="5" t="s">
        <v>17</v>
      </c>
      <c r="E163" s="5" t="s">
        <v>735</v>
      </c>
      <c r="F163" s="5" t="s">
        <v>296</v>
      </c>
      <c r="G163" s="5"/>
      <c r="H163" s="12" t="n">
        <v>0</v>
      </c>
      <c r="I163" s="5" t="str">
        <f aca="false">IF(H163=1,"ACCEPTED","OPEN")</f>
        <v>OPEN</v>
      </c>
      <c r="J163" s="3"/>
      <c r="K163" s="3"/>
      <c r="L163" s="3"/>
    </row>
    <row r="164" customFormat="false" ht="23.85" hidden="false" customHeight="false" outlineLevel="0" collapsed="false">
      <c r="A164" s="5" t="s">
        <v>892</v>
      </c>
      <c r="B164" s="5" t="s">
        <v>678</v>
      </c>
      <c r="C164" s="5" t="s">
        <v>18</v>
      </c>
      <c r="D164" s="5" t="s">
        <v>17</v>
      </c>
      <c r="E164" s="5" t="s">
        <v>737</v>
      </c>
      <c r="F164" s="5" t="s">
        <v>296</v>
      </c>
      <c r="G164" s="5"/>
      <c r="H164" s="12" t="n">
        <v>0</v>
      </c>
      <c r="I164" s="5" t="str">
        <f aca="false">IF(H164=1,"ACCEPTED","OPEN")</f>
        <v>OPEN</v>
      </c>
      <c r="J164" s="3"/>
      <c r="K164" s="3"/>
      <c r="L164" s="3"/>
    </row>
    <row r="165" customFormat="false" ht="23.85" hidden="false" customHeight="false" outlineLevel="0" collapsed="false">
      <c r="A165" s="5" t="s">
        <v>893</v>
      </c>
      <c r="B165" s="5" t="s">
        <v>679</v>
      </c>
      <c r="C165" s="5" t="s">
        <v>18</v>
      </c>
      <c r="D165" s="5" t="s">
        <v>17</v>
      </c>
      <c r="E165" s="5" t="s">
        <v>729</v>
      </c>
      <c r="F165" s="5" t="s">
        <v>296</v>
      </c>
      <c r="G165" s="5"/>
      <c r="H165" s="12" t="n">
        <v>0</v>
      </c>
      <c r="I165" s="5" t="str">
        <f aca="false">IF(H165=1,"ACCEPTED","OPEN")</f>
        <v>OPEN</v>
      </c>
      <c r="J165" s="3"/>
      <c r="K165" s="3"/>
      <c r="L165" s="3"/>
    </row>
    <row r="166" customFormat="false" ht="23.85" hidden="false" customHeight="false" outlineLevel="0" collapsed="false">
      <c r="A166" s="5" t="s">
        <v>894</v>
      </c>
      <c r="B166" s="5" t="s">
        <v>679</v>
      </c>
      <c r="C166" s="5" t="s">
        <v>18</v>
      </c>
      <c r="D166" s="5" t="s">
        <v>17</v>
      </c>
      <c r="E166" s="5" t="s">
        <v>731</v>
      </c>
      <c r="F166" s="5" t="s">
        <v>296</v>
      </c>
      <c r="G166" s="5"/>
      <c r="H166" s="12" t="n">
        <v>0</v>
      </c>
      <c r="I166" s="5" t="str">
        <f aca="false">IF(H166=1,"ACCEPTED","OPEN")</f>
        <v>OPEN</v>
      </c>
      <c r="J166" s="3"/>
      <c r="K166" s="3"/>
      <c r="L166" s="3"/>
    </row>
    <row r="167" customFormat="false" ht="23.85" hidden="false" customHeight="false" outlineLevel="0" collapsed="false">
      <c r="A167" s="5" t="s">
        <v>895</v>
      </c>
      <c r="B167" s="5" t="s">
        <v>679</v>
      </c>
      <c r="C167" s="5" t="s">
        <v>18</v>
      </c>
      <c r="D167" s="5" t="s">
        <v>17</v>
      </c>
      <c r="E167" s="5" t="s">
        <v>733</v>
      </c>
      <c r="F167" s="5" t="s">
        <v>296</v>
      </c>
      <c r="G167" s="5"/>
      <c r="H167" s="12" t="n">
        <v>0</v>
      </c>
      <c r="I167" s="5" t="str">
        <f aca="false">IF(H167=1,"ACCEPTED","OPEN")</f>
        <v>OPEN</v>
      </c>
      <c r="J167" s="3"/>
      <c r="K167" s="3"/>
      <c r="L167" s="3"/>
    </row>
    <row r="168" customFormat="false" ht="23.85" hidden="false" customHeight="false" outlineLevel="0" collapsed="false">
      <c r="A168" s="5" t="s">
        <v>896</v>
      </c>
      <c r="B168" s="5" t="s">
        <v>679</v>
      </c>
      <c r="C168" s="5" t="s">
        <v>18</v>
      </c>
      <c r="D168" s="5" t="s">
        <v>17</v>
      </c>
      <c r="E168" s="5" t="s">
        <v>735</v>
      </c>
      <c r="F168" s="5" t="s">
        <v>296</v>
      </c>
      <c r="G168" s="5"/>
      <c r="H168" s="12" t="n">
        <v>0</v>
      </c>
      <c r="I168" s="5" t="str">
        <f aca="false">IF(H168=1,"ACCEPTED","OPEN")</f>
        <v>OPEN</v>
      </c>
      <c r="J168" s="3"/>
      <c r="K168" s="3"/>
      <c r="L168" s="3"/>
    </row>
    <row r="169" customFormat="false" ht="23.85" hidden="false" customHeight="false" outlineLevel="0" collapsed="false">
      <c r="A169" s="5" t="s">
        <v>897</v>
      </c>
      <c r="B169" s="5" t="s">
        <v>679</v>
      </c>
      <c r="C169" s="5" t="s">
        <v>18</v>
      </c>
      <c r="D169" s="5" t="s">
        <v>17</v>
      </c>
      <c r="E169" s="5" t="s">
        <v>737</v>
      </c>
      <c r="F169" s="5" t="s">
        <v>296</v>
      </c>
      <c r="G169" s="5"/>
      <c r="H169" s="12" t="n">
        <v>0</v>
      </c>
      <c r="I169" s="5" t="str">
        <f aca="false">IF(H169=1,"ACCEPTED","OPEN")</f>
        <v>OPEN</v>
      </c>
      <c r="J169" s="3"/>
      <c r="K169" s="3"/>
      <c r="L169" s="3"/>
    </row>
    <row r="170" customFormat="false" ht="23.85" hidden="false" customHeight="false" outlineLevel="0" collapsed="false">
      <c r="A170" s="5" t="s">
        <v>898</v>
      </c>
      <c r="B170" s="5" t="s">
        <v>680</v>
      </c>
      <c r="C170" s="5" t="s">
        <v>18</v>
      </c>
      <c r="D170" s="5" t="s">
        <v>17</v>
      </c>
      <c r="E170" s="5" t="s">
        <v>729</v>
      </c>
      <c r="F170" s="5" t="s">
        <v>296</v>
      </c>
      <c r="G170" s="5"/>
      <c r="H170" s="12" t="n">
        <v>0</v>
      </c>
      <c r="I170" s="5" t="str">
        <f aca="false">IF(H170=1,"ACCEPTED","OPEN")</f>
        <v>OPEN</v>
      </c>
      <c r="J170" s="3"/>
      <c r="K170" s="3"/>
      <c r="L170" s="3"/>
    </row>
    <row r="171" customFormat="false" ht="23.85" hidden="false" customHeight="false" outlineLevel="0" collapsed="false">
      <c r="A171" s="5" t="s">
        <v>899</v>
      </c>
      <c r="B171" s="5" t="s">
        <v>680</v>
      </c>
      <c r="C171" s="5" t="s">
        <v>18</v>
      </c>
      <c r="D171" s="5" t="s">
        <v>17</v>
      </c>
      <c r="E171" s="5" t="s">
        <v>731</v>
      </c>
      <c r="F171" s="5" t="s">
        <v>296</v>
      </c>
      <c r="G171" s="5"/>
      <c r="H171" s="12" t="n">
        <v>0</v>
      </c>
      <c r="I171" s="5" t="str">
        <f aca="false">IF(H171=1,"ACCEPTED","OPEN")</f>
        <v>OPEN</v>
      </c>
      <c r="J171" s="3"/>
      <c r="K171" s="3"/>
      <c r="L171" s="3"/>
    </row>
    <row r="172" customFormat="false" ht="23.85" hidden="false" customHeight="false" outlineLevel="0" collapsed="false">
      <c r="A172" s="5" t="s">
        <v>900</v>
      </c>
      <c r="B172" s="5" t="s">
        <v>680</v>
      </c>
      <c r="C172" s="5" t="s">
        <v>18</v>
      </c>
      <c r="D172" s="5" t="s">
        <v>17</v>
      </c>
      <c r="E172" s="5" t="s">
        <v>733</v>
      </c>
      <c r="F172" s="5" t="s">
        <v>296</v>
      </c>
      <c r="G172" s="5"/>
      <c r="H172" s="12" t="n">
        <v>0</v>
      </c>
      <c r="I172" s="5" t="str">
        <f aca="false">IF(H172=1,"ACCEPTED","OPEN")</f>
        <v>OPEN</v>
      </c>
      <c r="J172" s="3"/>
      <c r="K172" s="3"/>
      <c r="L172" s="3"/>
    </row>
    <row r="173" customFormat="false" ht="23.85" hidden="false" customHeight="false" outlineLevel="0" collapsed="false">
      <c r="A173" s="5" t="s">
        <v>901</v>
      </c>
      <c r="B173" s="5" t="s">
        <v>680</v>
      </c>
      <c r="C173" s="5" t="s">
        <v>18</v>
      </c>
      <c r="D173" s="5" t="s">
        <v>17</v>
      </c>
      <c r="E173" s="5" t="s">
        <v>735</v>
      </c>
      <c r="F173" s="5" t="s">
        <v>296</v>
      </c>
      <c r="G173" s="5"/>
      <c r="H173" s="12" t="n">
        <v>0</v>
      </c>
      <c r="I173" s="5" t="str">
        <f aca="false">IF(H173=1,"ACCEPTED","OPEN")</f>
        <v>OPEN</v>
      </c>
      <c r="J173" s="3"/>
      <c r="K173" s="3"/>
      <c r="L173" s="3"/>
    </row>
    <row r="174" customFormat="false" ht="23.85" hidden="false" customHeight="false" outlineLevel="0" collapsed="false">
      <c r="A174" s="5" t="s">
        <v>902</v>
      </c>
      <c r="B174" s="5" t="s">
        <v>680</v>
      </c>
      <c r="C174" s="5" t="s">
        <v>18</v>
      </c>
      <c r="D174" s="5" t="s">
        <v>17</v>
      </c>
      <c r="E174" s="5" t="s">
        <v>737</v>
      </c>
      <c r="F174" s="5" t="s">
        <v>296</v>
      </c>
      <c r="G174" s="5"/>
      <c r="H174" s="12" t="n">
        <v>0</v>
      </c>
      <c r="I174" s="5" t="str">
        <f aca="false">IF(H174=1,"ACCEPTED","OPEN")</f>
        <v>OPEN</v>
      </c>
      <c r="J174" s="3"/>
      <c r="K174" s="3"/>
      <c r="L174" s="3"/>
    </row>
    <row r="175" customFormat="false" ht="23.85" hidden="false" customHeight="false" outlineLevel="0" collapsed="false">
      <c r="A175" s="5" t="s">
        <v>903</v>
      </c>
      <c r="B175" s="5" t="s">
        <v>681</v>
      </c>
      <c r="C175" s="5" t="s">
        <v>18</v>
      </c>
      <c r="D175" s="5" t="s">
        <v>17</v>
      </c>
      <c r="E175" s="5" t="s">
        <v>729</v>
      </c>
      <c r="F175" s="5" t="s">
        <v>296</v>
      </c>
      <c r="G175" s="5"/>
      <c r="H175" s="12" t="n">
        <v>0</v>
      </c>
      <c r="I175" s="5" t="str">
        <f aca="false">IF(H175=1,"ACCEPTED","OPEN")</f>
        <v>OPEN</v>
      </c>
      <c r="J175" s="3"/>
      <c r="K175" s="3"/>
      <c r="L175" s="3"/>
    </row>
    <row r="176" customFormat="false" ht="23.85" hidden="false" customHeight="false" outlineLevel="0" collapsed="false">
      <c r="A176" s="5" t="s">
        <v>904</v>
      </c>
      <c r="B176" s="5" t="s">
        <v>681</v>
      </c>
      <c r="C176" s="5" t="s">
        <v>18</v>
      </c>
      <c r="D176" s="5" t="s">
        <v>17</v>
      </c>
      <c r="E176" s="5" t="s">
        <v>731</v>
      </c>
      <c r="F176" s="5" t="s">
        <v>296</v>
      </c>
      <c r="G176" s="5"/>
      <c r="H176" s="12" t="n">
        <v>0</v>
      </c>
      <c r="I176" s="5" t="str">
        <f aca="false">IF(H176=1,"ACCEPTED","OPEN")</f>
        <v>OPEN</v>
      </c>
      <c r="J176" s="3"/>
      <c r="K176" s="3"/>
      <c r="L176" s="3"/>
    </row>
    <row r="177" customFormat="false" ht="23.85" hidden="false" customHeight="false" outlineLevel="0" collapsed="false">
      <c r="A177" s="5" t="s">
        <v>905</v>
      </c>
      <c r="B177" s="5" t="s">
        <v>681</v>
      </c>
      <c r="C177" s="5" t="s">
        <v>18</v>
      </c>
      <c r="D177" s="5" t="s">
        <v>17</v>
      </c>
      <c r="E177" s="5" t="s">
        <v>733</v>
      </c>
      <c r="F177" s="5" t="s">
        <v>296</v>
      </c>
      <c r="G177" s="5"/>
      <c r="H177" s="12" t="n">
        <v>0</v>
      </c>
      <c r="I177" s="5" t="str">
        <f aca="false">IF(H177=1,"ACCEPTED","OPEN")</f>
        <v>OPEN</v>
      </c>
      <c r="J177" s="3"/>
      <c r="K177" s="3"/>
      <c r="L177" s="3"/>
    </row>
    <row r="178" customFormat="false" ht="23.85" hidden="false" customHeight="false" outlineLevel="0" collapsed="false">
      <c r="A178" s="5" t="s">
        <v>906</v>
      </c>
      <c r="B178" s="5" t="s">
        <v>681</v>
      </c>
      <c r="C178" s="5" t="s">
        <v>18</v>
      </c>
      <c r="D178" s="5" t="s">
        <v>17</v>
      </c>
      <c r="E178" s="5" t="s">
        <v>735</v>
      </c>
      <c r="F178" s="5" t="s">
        <v>296</v>
      </c>
      <c r="G178" s="5"/>
      <c r="H178" s="12" t="n">
        <v>0</v>
      </c>
      <c r="I178" s="5" t="str">
        <f aca="false">IF(H178=1,"ACCEPTED","OPEN")</f>
        <v>OPEN</v>
      </c>
      <c r="J178" s="3"/>
      <c r="K178" s="3"/>
      <c r="L178" s="3"/>
    </row>
    <row r="179" customFormat="false" ht="23.85" hidden="false" customHeight="false" outlineLevel="0" collapsed="false">
      <c r="A179" s="5" t="s">
        <v>907</v>
      </c>
      <c r="B179" s="5" t="s">
        <v>681</v>
      </c>
      <c r="C179" s="5" t="s">
        <v>18</v>
      </c>
      <c r="D179" s="5" t="s">
        <v>17</v>
      </c>
      <c r="E179" s="5" t="s">
        <v>737</v>
      </c>
      <c r="F179" s="5" t="s">
        <v>296</v>
      </c>
      <c r="G179" s="5"/>
      <c r="H179" s="12" t="n">
        <v>0</v>
      </c>
      <c r="I179" s="5" t="str">
        <f aca="false">IF(H179=1,"ACCEPTED","OPEN")</f>
        <v>OPEN</v>
      </c>
      <c r="J179" s="3"/>
      <c r="K179" s="3"/>
      <c r="L179" s="3"/>
    </row>
    <row r="180" customFormat="false" ht="23.85" hidden="false" customHeight="false" outlineLevel="0" collapsed="false">
      <c r="A180" s="5" t="s">
        <v>908</v>
      </c>
      <c r="B180" s="5" t="s">
        <v>682</v>
      </c>
      <c r="C180" s="5" t="s">
        <v>18</v>
      </c>
      <c r="D180" s="5" t="s">
        <v>17</v>
      </c>
      <c r="E180" s="5" t="s">
        <v>729</v>
      </c>
      <c r="F180" s="5" t="s">
        <v>296</v>
      </c>
      <c r="G180" s="5"/>
      <c r="H180" s="12" t="n">
        <v>0</v>
      </c>
      <c r="I180" s="5" t="str">
        <f aca="false">IF(H180=1,"ACCEPTED","OPEN")</f>
        <v>OPEN</v>
      </c>
      <c r="J180" s="3"/>
      <c r="K180" s="3"/>
      <c r="L180" s="3"/>
    </row>
    <row r="181" customFormat="false" ht="23.85" hidden="false" customHeight="false" outlineLevel="0" collapsed="false">
      <c r="A181" s="5" t="s">
        <v>909</v>
      </c>
      <c r="B181" s="5" t="s">
        <v>682</v>
      </c>
      <c r="C181" s="5" t="s">
        <v>18</v>
      </c>
      <c r="D181" s="5" t="s">
        <v>17</v>
      </c>
      <c r="E181" s="5" t="s">
        <v>731</v>
      </c>
      <c r="F181" s="5" t="s">
        <v>296</v>
      </c>
      <c r="G181" s="5"/>
      <c r="H181" s="12" t="n">
        <v>0</v>
      </c>
      <c r="I181" s="5" t="str">
        <f aca="false">IF(H181=1,"ACCEPTED","OPEN")</f>
        <v>OPEN</v>
      </c>
      <c r="J181" s="3"/>
      <c r="K181" s="3"/>
      <c r="L181" s="3"/>
    </row>
    <row r="182" customFormat="false" ht="23.85" hidden="false" customHeight="false" outlineLevel="0" collapsed="false">
      <c r="A182" s="5" t="s">
        <v>910</v>
      </c>
      <c r="B182" s="5" t="s">
        <v>682</v>
      </c>
      <c r="C182" s="5" t="s">
        <v>18</v>
      </c>
      <c r="D182" s="5" t="s">
        <v>17</v>
      </c>
      <c r="E182" s="5" t="s">
        <v>733</v>
      </c>
      <c r="F182" s="5" t="s">
        <v>296</v>
      </c>
      <c r="G182" s="5"/>
      <c r="H182" s="12" t="n">
        <v>0</v>
      </c>
      <c r="I182" s="5" t="str">
        <f aca="false">IF(H182=1,"ACCEPTED","OPEN")</f>
        <v>OPEN</v>
      </c>
      <c r="J182" s="3"/>
      <c r="K182" s="3"/>
      <c r="L182" s="3"/>
    </row>
    <row r="183" customFormat="false" ht="23.85" hidden="false" customHeight="false" outlineLevel="0" collapsed="false">
      <c r="A183" s="5" t="s">
        <v>911</v>
      </c>
      <c r="B183" s="5" t="s">
        <v>682</v>
      </c>
      <c r="C183" s="5" t="s">
        <v>18</v>
      </c>
      <c r="D183" s="5" t="s">
        <v>17</v>
      </c>
      <c r="E183" s="5" t="s">
        <v>735</v>
      </c>
      <c r="F183" s="5" t="s">
        <v>296</v>
      </c>
      <c r="G183" s="5"/>
      <c r="H183" s="12" t="n">
        <v>0</v>
      </c>
      <c r="I183" s="5" t="str">
        <f aca="false">IF(H183=1,"ACCEPTED","OPEN")</f>
        <v>OPEN</v>
      </c>
      <c r="J183" s="3"/>
      <c r="K183" s="3"/>
      <c r="L183" s="3"/>
    </row>
    <row r="184" customFormat="false" ht="23.85" hidden="false" customHeight="false" outlineLevel="0" collapsed="false">
      <c r="A184" s="5" t="s">
        <v>912</v>
      </c>
      <c r="B184" s="5" t="s">
        <v>682</v>
      </c>
      <c r="C184" s="5" t="s">
        <v>18</v>
      </c>
      <c r="D184" s="5" t="s">
        <v>17</v>
      </c>
      <c r="E184" s="5" t="s">
        <v>737</v>
      </c>
      <c r="F184" s="5" t="s">
        <v>296</v>
      </c>
      <c r="G184" s="5"/>
      <c r="H184" s="12" t="n">
        <v>0</v>
      </c>
      <c r="I184" s="5" t="str">
        <f aca="false">IF(H184=1,"ACCEPTED","OPEN")</f>
        <v>OPEN</v>
      </c>
      <c r="J184" s="3"/>
      <c r="K184" s="3"/>
      <c r="L184" s="3"/>
    </row>
    <row r="185" customFormat="false" ht="23.85" hidden="false" customHeight="false" outlineLevel="0" collapsed="false">
      <c r="A185" s="5" t="s">
        <v>913</v>
      </c>
      <c r="B185" s="5" t="s">
        <v>683</v>
      </c>
      <c r="C185" s="5" t="s">
        <v>21</v>
      </c>
      <c r="D185" s="5" t="s">
        <v>20</v>
      </c>
      <c r="E185" s="5" t="s">
        <v>729</v>
      </c>
      <c r="F185" s="5" t="s">
        <v>296</v>
      </c>
      <c r="G185" s="5"/>
      <c r="H185" s="12" t="n">
        <v>0</v>
      </c>
      <c r="I185" s="5" t="str">
        <f aca="false">IF(H185=1,"ACCEPTED","OPEN")</f>
        <v>OPEN</v>
      </c>
      <c r="J185" s="3"/>
      <c r="K185" s="3"/>
      <c r="L185" s="3"/>
    </row>
    <row r="186" customFormat="false" ht="23.85" hidden="false" customHeight="false" outlineLevel="0" collapsed="false">
      <c r="A186" s="5" t="s">
        <v>914</v>
      </c>
      <c r="B186" s="5" t="s">
        <v>683</v>
      </c>
      <c r="C186" s="5" t="s">
        <v>21</v>
      </c>
      <c r="D186" s="5" t="s">
        <v>20</v>
      </c>
      <c r="E186" s="5" t="s">
        <v>731</v>
      </c>
      <c r="F186" s="5" t="s">
        <v>296</v>
      </c>
      <c r="G186" s="5"/>
      <c r="H186" s="12" t="n">
        <v>0</v>
      </c>
      <c r="I186" s="5" t="str">
        <f aca="false">IF(H186=1,"ACCEPTED","OPEN")</f>
        <v>OPEN</v>
      </c>
      <c r="J186" s="3"/>
      <c r="K186" s="3"/>
      <c r="L186" s="3"/>
    </row>
    <row r="187" customFormat="false" ht="23.85" hidden="false" customHeight="false" outlineLevel="0" collapsed="false">
      <c r="A187" s="5" t="s">
        <v>915</v>
      </c>
      <c r="B187" s="5" t="s">
        <v>683</v>
      </c>
      <c r="C187" s="5" t="s">
        <v>21</v>
      </c>
      <c r="D187" s="5" t="s">
        <v>20</v>
      </c>
      <c r="E187" s="5" t="s">
        <v>733</v>
      </c>
      <c r="F187" s="5" t="s">
        <v>296</v>
      </c>
      <c r="G187" s="5"/>
      <c r="H187" s="12" t="n">
        <v>0</v>
      </c>
      <c r="I187" s="5" t="str">
        <f aca="false">IF(H187=1,"ACCEPTED","OPEN")</f>
        <v>OPEN</v>
      </c>
      <c r="J187" s="3"/>
      <c r="K187" s="3"/>
      <c r="L187" s="3"/>
    </row>
    <row r="188" customFormat="false" ht="23.85" hidden="false" customHeight="false" outlineLevel="0" collapsed="false">
      <c r="A188" s="5" t="s">
        <v>916</v>
      </c>
      <c r="B188" s="5" t="s">
        <v>683</v>
      </c>
      <c r="C188" s="5" t="s">
        <v>21</v>
      </c>
      <c r="D188" s="5" t="s">
        <v>20</v>
      </c>
      <c r="E188" s="5" t="s">
        <v>735</v>
      </c>
      <c r="F188" s="5" t="s">
        <v>296</v>
      </c>
      <c r="G188" s="5"/>
      <c r="H188" s="12" t="n">
        <v>0</v>
      </c>
      <c r="I188" s="5" t="str">
        <f aca="false">IF(H188=1,"ACCEPTED","OPEN")</f>
        <v>OPEN</v>
      </c>
      <c r="J188" s="3"/>
      <c r="K188" s="3"/>
      <c r="L188" s="3"/>
    </row>
    <row r="189" customFormat="false" ht="23.85" hidden="false" customHeight="false" outlineLevel="0" collapsed="false">
      <c r="A189" s="5" t="s">
        <v>917</v>
      </c>
      <c r="B189" s="5" t="s">
        <v>683</v>
      </c>
      <c r="C189" s="5" t="s">
        <v>21</v>
      </c>
      <c r="D189" s="5" t="s">
        <v>20</v>
      </c>
      <c r="E189" s="5" t="s">
        <v>737</v>
      </c>
      <c r="F189" s="5" t="s">
        <v>296</v>
      </c>
      <c r="G189" s="5"/>
      <c r="H189" s="12" t="n">
        <v>0</v>
      </c>
      <c r="I189" s="5" t="str">
        <f aca="false">IF(H189=1,"ACCEPTED","OPEN")</f>
        <v>OPEN</v>
      </c>
      <c r="J189" s="3"/>
      <c r="K189" s="3"/>
      <c r="L189" s="3"/>
    </row>
    <row r="190" customFormat="false" ht="23.85" hidden="false" customHeight="false" outlineLevel="0" collapsed="false">
      <c r="A190" s="5" t="s">
        <v>918</v>
      </c>
      <c r="B190" s="5" t="s">
        <v>685</v>
      </c>
      <c r="C190" s="5" t="s">
        <v>21</v>
      </c>
      <c r="D190" s="5" t="s">
        <v>20</v>
      </c>
      <c r="E190" s="5" t="s">
        <v>729</v>
      </c>
      <c r="F190" s="5" t="s">
        <v>296</v>
      </c>
      <c r="G190" s="5"/>
      <c r="H190" s="12" t="n">
        <v>0</v>
      </c>
      <c r="I190" s="5" t="str">
        <f aca="false">IF(H190=1,"ACCEPTED","OPEN")</f>
        <v>OPEN</v>
      </c>
      <c r="J190" s="3"/>
      <c r="K190" s="3"/>
      <c r="L190" s="3"/>
    </row>
    <row r="191" customFormat="false" ht="23.85" hidden="false" customHeight="false" outlineLevel="0" collapsed="false">
      <c r="A191" s="5" t="s">
        <v>919</v>
      </c>
      <c r="B191" s="5" t="s">
        <v>685</v>
      </c>
      <c r="C191" s="5" t="s">
        <v>21</v>
      </c>
      <c r="D191" s="5" t="s">
        <v>20</v>
      </c>
      <c r="E191" s="5" t="s">
        <v>731</v>
      </c>
      <c r="F191" s="5" t="s">
        <v>296</v>
      </c>
      <c r="G191" s="5"/>
      <c r="H191" s="12" t="n">
        <v>0</v>
      </c>
      <c r="I191" s="5" t="str">
        <f aca="false">IF(H191=1,"ACCEPTED","OPEN")</f>
        <v>OPEN</v>
      </c>
      <c r="J191" s="3"/>
      <c r="K191" s="3"/>
      <c r="L191" s="3"/>
    </row>
    <row r="192" customFormat="false" ht="23.85" hidden="false" customHeight="false" outlineLevel="0" collapsed="false">
      <c r="A192" s="5" t="s">
        <v>920</v>
      </c>
      <c r="B192" s="5" t="s">
        <v>685</v>
      </c>
      <c r="C192" s="5" t="s">
        <v>21</v>
      </c>
      <c r="D192" s="5" t="s">
        <v>20</v>
      </c>
      <c r="E192" s="5" t="s">
        <v>733</v>
      </c>
      <c r="F192" s="5" t="s">
        <v>296</v>
      </c>
      <c r="G192" s="5"/>
      <c r="H192" s="12" t="n">
        <v>0</v>
      </c>
      <c r="I192" s="5" t="str">
        <f aca="false">IF(H192=1,"ACCEPTED","OPEN")</f>
        <v>OPEN</v>
      </c>
      <c r="J192" s="3"/>
      <c r="K192" s="3"/>
      <c r="L192" s="3"/>
    </row>
    <row r="193" customFormat="false" ht="23.85" hidden="false" customHeight="false" outlineLevel="0" collapsed="false">
      <c r="A193" s="5" t="s">
        <v>921</v>
      </c>
      <c r="B193" s="5" t="s">
        <v>685</v>
      </c>
      <c r="C193" s="5" t="s">
        <v>21</v>
      </c>
      <c r="D193" s="5" t="s">
        <v>20</v>
      </c>
      <c r="E193" s="5" t="s">
        <v>735</v>
      </c>
      <c r="F193" s="5" t="s">
        <v>296</v>
      </c>
      <c r="G193" s="5"/>
      <c r="H193" s="12" t="n">
        <v>0</v>
      </c>
      <c r="I193" s="5" t="str">
        <f aca="false">IF(H193=1,"ACCEPTED","OPEN")</f>
        <v>OPEN</v>
      </c>
      <c r="J193" s="3"/>
      <c r="K193" s="3"/>
      <c r="L193" s="3"/>
    </row>
    <row r="194" customFormat="false" ht="23.85" hidden="false" customHeight="false" outlineLevel="0" collapsed="false">
      <c r="A194" s="5" t="s">
        <v>922</v>
      </c>
      <c r="B194" s="5" t="s">
        <v>685</v>
      </c>
      <c r="C194" s="5" t="s">
        <v>21</v>
      </c>
      <c r="D194" s="5" t="s">
        <v>20</v>
      </c>
      <c r="E194" s="5" t="s">
        <v>737</v>
      </c>
      <c r="F194" s="5" t="s">
        <v>296</v>
      </c>
      <c r="G194" s="5"/>
      <c r="H194" s="12" t="n">
        <v>0</v>
      </c>
      <c r="I194" s="5" t="str">
        <f aca="false">IF(H194=1,"ACCEPTED","OPEN")</f>
        <v>OPEN</v>
      </c>
      <c r="J194" s="3"/>
      <c r="K194" s="3"/>
      <c r="L194" s="3"/>
    </row>
    <row r="195" customFormat="false" ht="23.85" hidden="false" customHeight="false" outlineLevel="0" collapsed="false">
      <c r="A195" s="5" t="s">
        <v>923</v>
      </c>
      <c r="B195" s="5" t="s">
        <v>686</v>
      </c>
      <c r="C195" s="5" t="s">
        <v>21</v>
      </c>
      <c r="D195" s="5" t="s">
        <v>20</v>
      </c>
      <c r="E195" s="5" t="s">
        <v>729</v>
      </c>
      <c r="F195" s="5" t="s">
        <v>296</v>
      </c>
      <c r="G195" s="5"/>
      <c r="H195" s="12" t="n">
        <v>0</v>
      </c>
      <c r="I195" s="5" t="str">
        <f aca="false">IF(H195=1,"ACCEPTED","OPEN")</f>
        <v>OPEN</v>
      </c>
      <c r="J195" s="3"/>
      <c r="K195" s="3"/>
      <c r="L195" s="3"/>
    </row>
    <row r="196" customFormat="false" ht="23.85" hidden="false" customHeight="false" outlineLevel="0" collapsed="false">
      <c r="A196" s="5" t="s">
        <v>924</v>
      </c>
      <c r="B196" s="5" t="s">
        <v>686</v>
      </c>
      <c r="C196" s="5" t="s">
        <v>21</v>
      </c>
      <c r="D196" s="5" t="s">
        <v>20</v>
      </c>
      <c r="E196" s="5" t="s">
        <v>731</v>
      </c>
      <c r="F196" s="5" t="s">
        <v>296</v>
      </c>
      <c r="G196" s="5"/>
      <c r="H196" s="12" t="n">
        <v>0</v>
      </c>
      <c r="I196" s="5" t="str">
        <f aca="false">IF(H196=1,"ACCEPTED","OPEN")</f>
        <v>OPEN</v>
      </c>
      <c r="J196" s="3"/>
      <c r="K196" s="3"/>
      <c r="L196" s="3"/>
    </row>
    <row r="197" customFormat="false" ht="23.85" hidden="false" customHeight="false" outlineLevel="0" collapsed="false">
      <c r="A197" s="5" t="s">
        <v>925</v>
      </c>
      <c r="B197" s="5" t="s">
        <v>686</v>
      </c>
      <c r="C197" s="5" t="s">
        <v>21</v>
      </c>
      <c r="D197" s="5" t="s">
        <v>20</v>
      </c>
      <c r="E197" s="5" t="s">
        <v>733</v>
      </c>
      <c r="F197" s="5" t="s">
        <v>296</v>
      </c>
      <c r="G197" s="5"/>
      <c r="H197" s="12" t="n">
        <v>0</v>
      </c>
      <c r="I197" s="5" t="str">
        <f aca="false">IF(H197=1,"ACCEPTED","OPEN")</f>
        <v>OPEN</v>
      </c>
      <c r="J197" s="3"/>
      <c r="K197" s="3"/>
      <c r="L197" s="3"/>
    </row>
    <row r="198" customFormat="false" ht="23.85" hidden="false" customHeight="false" outlineLevel="0" collapsed="false">
      <c r="A198" s="5" t="s">
        <v>926</v>
      </c>
      <c r="B198" s="5" t="s">
        <v>686</v>
      </c>
      <c r="C198" s="5" t="s">
        <v>21</v>
      </c>
      <c r="D198" s="5" t="s">
        <v>20</v>
      </c>
      <c r="E198" s="5" t="s">
        <v>735</v>
      </c>
      <c r="F198" s="5" t="s">
        <v>296</v>
      </c>
      <c r="G198" s="5"/>
      <c r="H198" s="12" t="n">
        <v>0</v>
      </c>
      <c r="I198" s="5" t="str">
        <f aca="false">IF(H198=1,"ACCEPTED","OPEN")</f>
        <v>OPEN</v>
      </c>
      <c r="J198" s="3"/>
      <c r="K198" s="3"/>
      <c r="L198" s="3"/>
    </row>
    <row r="199" customFormat="false" ht="23.85" hidden="false" customHeight="false" outlineLevel="0" collapsed="false">
      <c r="A199" s="5" t="s">
        <v>927</v>
      </c>
      <c r="B199" s="5" t="s">
        <v>686</v>
      </c>
      <c r="C199" s="5" t="s">
        <v>21</v>
      </c>
      <c r="D199" s="5" t="s">
        <v>20</v>
      </c>
      <c r="E199" s="5" t="s">
        <v>737</v>
      </c>
      <c r="F199" s="5" t="s">
        <v>296</v>
      </c>
      <c r="G199" s="5"/>
      <c r="H199" s="12" t="n">
        <v>0</v>
      </c>
      <c r="I199" s="5" t="str">
        <f aca="false">IF(H199=1,"ACCEPTED","OPEN")</f>
        <v>OPEN</v>
      </c>
      <c r="J199" s="3"/>
      <c r="K199" s="3"/>
      <c r="L199" s="3"/>
    </row>
    <row r="200" customFormat="false" ht="23.85" hidden="false" customHeight="false" outlineLevel="0" collapsed="false">
      <c r="A200" s="5" t="s">
        <v>928</v>
      </c>
      <c r="B200" s="5" t="s">
        <v>687</v>
      </c>
      <c r="C200" s="5" t="s">
        <v>21</v>
      </c>
      <c r="D200" s="5" t="s">
        <v>20</v>
      </c>
      <c r="E200" s="5" t="s">
        <v>729</v>
      </c>
      <c r="F200" s="5" t="s">
        <v>296</v>
      </c>
      <c r="G200" s="5"/>
      <c r="H200" s="12" t="n">
        <v>0</v>
      </c>
      <c r="I200" s="5" t="str">
        <f aca="false">IF(H200=1,"ACCEPTED","OPEN")</f>
        <v>OPEN</v>
      </c>
      <c r="J200" s="3"/>
      <c r="K200" s="3"/>
      <c r="L200" s="3"/>
    </row>
    <row r="201" customFormat="false" ht="23.85" hidden="false" customHeight="false" outlineLevel="0" collapsed="false">
      <c r="A201" s="5" t="s">
        <v>929</v>
      </c>
      <c r="B201" s="5" t="s">
        <v>687</v>
      </c>
      <c r="C201" s="5" t="s">
        <v>21</v>
      </c>
      <c r="D201" s="5" t="s">
        <v>20</v>
      </c>
      <c r="E201" s="5" t="s">
        <v>731</v>
      </c>
      <c r="F201" s="5" t="s">
        <v>296</v>
      </c>
      <c r="G201" s="5"/>
      <c r="H201" s="12" t="n">
        <v>0</v>
      </c>
      <c r="I201" s="5" t="str">
        <f aca="false">IF(H201=1,"ACCEPTED","OPEN")</f>
        <v>OPEN</v>
      </c>
      <c r="J201" s="3"/>
      <c r="K201" s="3"/>
      <c r="L201" s="3"/>
    </row>
    <row r="202" customFormat="false" ht="23.85" hidden="false" customHeight="false" outlineLevel="0" collapsed="false">
      <c r="A202" s="5" t="s">
        <v>930</v>
      </c>
      <c r="B202" s="5" t="s">
        <v>687</v>
      </c>
      <c r="C202" s="5" t="s">
        <v>21</v>
      </c>
      <c r="D202" s="5" t="s">
        <v>20</v>
      </c>
      <c r="E202" s="5" t="s">
        <v>733</v>
      </c>
      <c r="F202" s="5" t="s">
        <v>296</v>
      </c>
      <c r="G202" s="5"/>
      <c r="H202" s="12" t="n">
        <v>0</v>
      </c>
      <c r="I202" s="5" t="str">
        <f aca="false">IF(H202=1,"ACCEPTED","OPEN")</f>
        <v>OPEN</v>
      </c>
      <c r="J202" s="3"/>
      <c r="K202" s="3"/>
      <c r="L202" s="3"/>
    </row>
    <row r="203" customFormat="false" ht="23.85" hidden="false" customHeight="false" outlineLevel="0" collapsed="false">
      <c r="A203" s="5" t="s">
        <v>931</v>
      </c>
      <c r="B203" s="5" t="s">
        <v>687</v>
      </c>
      <c r="C203" s="5" t="s">
        <v>21</v>
      </c>
      <c r="D203" s="5" t="s">
        <v>20</v>
      </c>
      <c r="E203" s="5" t="s">
        <v>735</v>
      </c>
      <c r="F203" s="5" t="s">
        <v>296</v>
      </c>
      <c r="G203" s="5"/>
      <c r="H203" s="12" t="n">
        <v>0</v>
      </c>
      <c r="I203" s="5" t="str">
        <f aca="false">IF(H203=1,"ACCEPTED","OPEN")</f>
        <v>OPEN</v>
      </c>
      <c r="J203" s="3"/>
      <c r="K203" s="3"/>
      <c r="L203" s="3"/>
    </row>
    <row r="204" customFormat="false" ht="23.85" hidden="false" customHeight="false" outlineLevel="0" collapsed="false">
      <c r="A204" s="5" t="s">
        <v>932</v>
      </c>
      <c r="B204" s="5" t="s">
        <v>687</v>
      </c>
      <c r="C204" s="5" t="s">
        <v>21</v>
      </c>
      <c r="D204" s="5" t="s">
        <v>20</v>
      </c>
      <c r="E204" s="5" t="s">
        <v>737</v>
      </c>
      <c r="F204" s="5" t="s">
        <v>296</v>
      </c>
      <c r="G204" s="5"/>
      <c r="H204" s="12" t="n">
        <v>0</v>
      </c>
      <c r="I204" s="5" t="str">
        <f aca="false">IF(H204=1,"ACCEPTED","OPEN")</f>
        <v>OPEN</v>
      </c>
      <c r="J204" s="3"/>
      <c r="K204" s="3"/>
      <c r="L204" s="3"/>
    </row>
    <row r="205" customFormat="false" ht="23.85" hidden="false" customHeight="false" outlineLevel="0" collapsed="false">
      <c r="A205" s="5" t="s">
        <v>933</v>
      </c>
      <c r="B205" s="5" t="s">
        <v>688</v>
      </c>
      <c r="C205" s="5" t="s">
        <v>21</v>
      </c>
      <c r="D205" s="5" t="s">
        <v>20</v>
      </c>
      <c r="E205" s="5" t="s">
        <v>729</v>
      </c>
      <c r="F205" s="5" t="s">
        <v>296</v>
      </c>
      <c r="G205" s="5"/>
      <c r="H205" s="12" t="n">
        <v>0</v>
      </c>
      <c r="I205" s="5" t="str">
        <f aca="false">IF(H205=1,"ACCEPTED","OPEN")</f>
        <v>OPEN</v>
      </c>
      <c r="J205" s="3"/>
      <c r="K205" s="3"/>
      <c r="L205" s="3"/>
    </row>
    <row r="206" customFormat="false" ht="23.85" hidden="false" customHeight="false" outlineLevel="0" collapsed="false">
      <c r="A206" s="5" t="s">
        <v>934</v>
      </c>
      <c r="B206" s="5" t="s">
        <v>688</v>
      </c>
      <c r="C206" s="5" t="s">
        <v>21</v>
      </c>
      <c r="D206" s="5" t="s">
        <v>20</v>
      </c>
      <c r="E206" s="5" t="s">
        <v>731</v>
      </c>
      <c r="F206" s="5" t="s">
        <v>296</v>
      </c>
      <c r="G206" s="5"/>
      <c r="H206" s="12" t="n">
        <v>0</v>
      </c>
      <c r="I206" s="5" t="str">
        <f aca="false">IF(H206=1,"ACCEPTED","OPEN")</f>
        <v>OPEN</v>
      </c>
      <c r="J206" s="3"/>
      <c r="K206" s="3"/>
      <c r="L206" s="3"/>
    </row>
    <row r="207" customFormat="false" ht="23.85" hidden="false" customHeight="false" outlineLevel="0" collapsed="false">
      <c r="A207" s="5" t="s">
        <v>935</v>
      </c>
      <c r="B207" s="5" t="s">
        <v>688</v>
      </c>
      <c r="C207" s="5" t="s">
        <v>21</v>
      </c>
      <c r="D207" s="5" t="s">
        <v>20</v>
      </c>
      <c r="E207" s="5" t="s">
        <v>733</v>
      </c>
      <c r="F207" s="5" t="s">
        <v>296</v>
      </c>
      <c r="G207" s="5"/>
      <c r="H207" s="12" t="n">
        <v>0</v>
      </c>
      <c r="I207" s="5" t="str">
        <f aca="false">IF(H207=1,"ACCEPTED","OPEN")</f>
        <v>OPEN</v>
      </c>
      <c r="J207" s="3"/>
      <c r="K207" s="3"/>
      <c r="L207" s="3"/>
    </row>
    <row r="208" customFormat="false" ht="23.85" hidden="false" customHeight="false" outlineLevel="0" collapsed="false">
      <c r="A208" s="5" t="s">
        <v>936</v>
      </c>
      <c r="B208" s="5" t="s">
        <v>688</v>
      </c>
      <c r="C208" s="5" t="s">
        <v>21</v>
      </c>
      <c r="D208" s="5" t="s">
        <v>20</v>
      </c>
      <c r="E208" s="5" t="s">
        <v>735</v>
      </c>
      <c r="F208" s="5" t="s">
        <v>296</v>
      </c>
      <c r="G208" s="5"/>
      <c r="H208" s="12" t="n">
        <v>0</v>
      </c>
      <c r="I208" s="5" t="str">
        <f aca="false">IF(H208=1,"ACCEPTED","OPEN")</f>
        <v>OPEN</v>
      </c>
      <c r="J208" s="3"/>
      <c r="K208" s="3"/>
      <c r="L208" s="3"/>
    </row>
    <row r="209" customFormat="false" ht="23.85" hidden="false" customHeight="false" outlineLevel="0" collapsed="false">
      <c r="A209" s="5" t="s">
        <v>937</v>
      </c>
      <c r="B209" s="5" t="s">
        <v>688</v>
      </c>
      <c r="C209" s="5" t="s">
        <v>21</v>
      </c>
      <c r="D209" s="5" t="s">
        <v>20</v>
      </c>
      <c r="E209" s="5" t="s">
        <v>737</v>
      </c>
      <c r="F209" s="5" t="s">
        <v>296</v>
      </c>
      <c r="G209" s="5"/>
      <c r="H209" s="12" t="n">
        <v>0</v>
      </c>
      <c r="I209" s="5" t="str">
        <f aca="false">IF(H209=1,"ACCEPTED","OPEN")</f>
        <v>OPEN</v>
      </c>
      <c r="J209" s="3"/>
      <c r="K209" s="3"/>
      <c r="L209" s="3"/>
    </row>
    <row r="210" customFormat="false" ht="23.85" hidden="false" customHeight="false" outlineLevel="0" collapsed="false">
      <c r="A210" s="5" t="s">
        <v>938</v>
      </c>
      <c r="B210" s="5" t="s">
        <v>689</v>
      </c>
      <c r="C210" s="5" t="s">
        <v>21</v>
      </c>
      <c r="D210" s="5" t="s">
        <v>20</v>
      </c>
      <c r="E210" s="5" t="s">
        <v>729</v>
      </c>
      <c r="F210" s="5" t="s">
        <v>296</v>
      </c>
      <c r="G210" s="5"/>
      <c r="H210" s="12" t="n">
        <v>0</v>
      </c>
      <c r="I210" s="5" t="str">
        <f aca="false">IF(H210=1,"ACCEPTED","OPEN")</f>
        <v>OPEN</v>
      </c>
      <c r="J210" s="3"/>
      <c r="K210" s="3"/>
      <c r="L210" s="3"/>
    </row>
    <row r="211" customFormat="false" ht="23.85" hidden="false" customHeight="false" outlineLevel="0" collapsed="false">
      <c r="A211" s="5" t="s">
        <v>939</v>
      </c>
      <c r="B211" s="5" t="s">
        <v>689</v>
      </c>
      <c r="C211" s="5" t="s">
        <v>21</v>
      </c>
      <c r="D211" s="5" t="s">
        <v>20</v>
      </c>
      <c r="E211" s="5" t="s">
        <v>731</v>
      </c>
      <c r="F211" s="5" t="s">
        <v>296</v>
      </c>
      <c r="G211" s="5"/>
      <c r="H211" s="12" t="n">
        <v>0</v>
      </c>
      <c r="I211" s="5" t="str">
        <f aca="false">IF(H211=1,"ACCEPTED","OPEN")</f>
        <v>OPEN</v>
      </c>
      <c r="J211" s="3"/>
      <c r="K211" s="3"/>
      <c r="L211" s="3"/>
    </row>
    <row r="212" customFormat="false" ht="23.85" hidden="false" customHeight="false" outlineLevel="0" collapsed="false">
      <c r="A212" s="5" t="s">
        <v>940</v>
      </c>
      <c r="B212" s="5" t="s">
        <v>689</v>
      </c>
      <c r="C212" s="5" t="s">
        <v>21</v>
      </c>
      <c r="D212" s="5" t="s">
        <v>20</v>
      </c>
      <c r="E212" s="5" t="s">
        <v>733</v>
      </c>
      <c r="F212" s="5" t="s">
        <v>296</v>
      </c>
      <c r="G212" s="5"/>
      <c r="H212" s="12" t="n">
        <v>0</v>
      </c>
      <c r="I212" s="5" t="str">
        <f aca="false">IF(H212=1,"ACCEPTED","OPEN")</f>
        <v>OPEN</v>
      </c>
      <c r="J212" s="3"/>
      <c r="K212" s="3"/>
      <c r="L212" s="3"/>
    </row>
    <row r="213" customFormat="false" ht="23.85" hidden="false" customHeight="false" outlineLevel="0" collapsed="false">
      <c r="A213" s="5" t="s">
        <v>941</v>
      </c>
      <c r="B213" s="5" t="s">
        <v>689</v>
      </c>
      <c r="C213" s="5" t="s">
        <v>21</v>
      </c>
      <c r="D213" s="5" t="s">
        <v>20</v>
      </c>
      <c r="E213" s="5" t="s">
        <v>735</v>
      </c>
      <c r="F213" s="5" t="s">
        <v>296</v>
      </c>
      <c r="G213" s="5"/>
      <c r="H213" s="12" t="n">
        <v>0</v>
      </c>
      <c r="I213" s="5" t="str">
        <f aca="false">IF(H213=1,"ACCEPTED","OPEN")</f>
        <v>OPEN</v>
      </c>
      <c r="J213" s="3"/>
      <c r="K213" s="3"/>
      <c r="L213" s="3"/>
    </row>
    <row r="214" customFormat="false" ht="23.85" hidden="false" customHeight="false" outlineLevel="0" collapsed="false">
      <c r="A214" s="5" t="s">
        <v>942</v>
      </c>
      <c r="B214" s="5" t="s">
        <v>689</v>
      </c>
      <c r="C214" s="5" t="s">
        <v>21</v>
      </c>
      <c r="D214" s="5" t="s">
        <v>20</v>
      </c>
      <c r="E214" s="5" t="s">
        <v>737</v>
      </c>
      <c r="F214" s="5" t="s">
        <v>296</v>
      </c>
      <c r="G214" s="5"/>
      <c r="H214" s="12" t="n">
        <v>0</v>
      </c>
      <c r="I214" s="5" t="str">
        <f aca="false">IF(H214=1,"ACCEPTED","OPEN")</f>
        <v>OPEN</v>
      </c>
      <c r="J214" s="3"/>
      <c r="K214" s="3"/>
      <c r="L214" s="3"/>
    </row>
    <row r="215" customFormat="false" ht="23.85" hidden="false" customHeight="false" outlineLevel="0" collapsed="false">
      <c r="A215" s="5" t="s">
        <v>943</v>
      </c>
      <c r="B215" s="5" t="s">
        <v>690</v>
      </c>
      <c r="C215" s="5" t="s">
        <v>21</v>
      </c>
      <c r="D215" s="5" t="s">
        <v>20</v>
      </c>
      <c r="E215" s="5" t="s">
        <v>729</v>
      </c>
      <c r="F215" s="5" t="s">
        <v>296</v>
      </c>
      <c r="G215" s="5"/>
      <c r="H215" s="12" t="n">
        <v>0</v>
      </c>
      <c r="I215" s="5" t="str">
        <f aca="false">IF(H215=1,"ACCEPTED","OPEN")</f>
        <v>OPEN</v>
      </c>
      <c r="J215" s="3"/>
      <c r="K215" s="3"/>
      <c r="L215" s="3"/>
    </row>
    <row r="216" customFormat="false" ht="23.85" hidden="false" customHeight="false" outlineLevel="0" collapsed="false">
      <c r="A216" s="5" t="s">
        <v>944</v>
      </c>
      <c r="B216" s="5" t="s">
        <v>690</v>
      </c>
      <c r="C216" s="5" t="s">
        <v>21</v>
      </c>
      <c r="D216" s="5" t="s">
        <v>20</v>
      </c>
      <c r="E216" s="5" t="s">
        <v>731</v>
      </c>
      <c r="F216" s="5" t="s">
        <v>296</v>
      </c>
      <c r="G216" s="5"/>
      <c r="H216" s="12" t="n">
        <v>0</v>
      </c>
      <c r="I216" s="5" t="str">
        <f aca="false">IF(H216=1,"ACCEPTED","OPEN")</f>
        <v>OPEN</v>
      </c>
      <c r="J216" s="3"/>
      <c r="K216" s="3"/>
      <c r="L216" s="3"/>
    </row>
    <row r="217" customFormat="false" ht="23.85" hidden="false" customHeight="false" outlineLevel="0" collapsed="false">
      <c r="A217" s="5" t="s">
        <v>945</v>
      </c>
      <c r="B217" s="5" t="s">
        <v>690</v>
      </c>
      <c r="C217" s="5" t="s">
        <v>21</v>
      </c>
      <c r="D217" s="5" t="s">
        <v>20</v>
      </c>
      <c r="E217" s="5" t="s">
        <v>733</v>
      </c>
      <c r="F217" s="5" t="s">
        <v>296</v>
      </c>
      <c r="G217" s="5"/>
      <c r="H217" s="12" t="n">
        <v>0</v>
      </c>
      <c r="I217" s="5" t="str">
        <f aca="false">IF(H217=1,"ACCEPTED","OPEN")</f>
        <v>OPEN</v>
      </c>
      <c r="J217" s="3"/>
      <c r="K217" s="3"/>
      <c r="L217" s="3"/>
    </row>
    <row r="218" customFormat="false" ht="23.85" hidden="false" customHeight="false" outlineLevel="0" collapsed="false">
      <c r="A218" s="5" t="s">
        <v>946</v>
      </c>
      <c r="B218" s="5" t="s">
        <v>690</v>
      </c>
      <c r="C218" s="5" t="s">
        <v>21</v>
      </c>
      <c r="D218" s="5" t="s">
        <v>20</v>
      </c>
      <c r="E218" s="5" t="s">
        <v>735</v>
      </c>
      <c r="F218" s="5" t="s">
        <v>296</v>
      </c>
      <c r="G218" s="5"/>
      <c r="H218" s="12" t="n">
        <v>0</v>
      </c>
      <c r="I218" s="5" t="str">
        <f aca="false">IF(H218=1,"ACCEPTED","OPEN")</f>
        <v>OPEN</v>
      </c>
      <c r="J218" s="3"/>
      <c r="K218" s="3"/>
      <c r="L218" s="3"/>
    </row>
    <row r="219" customFormat="false" ht="23.85" hidden="false" customHeight="false" outlineLevel="0" collapsed="false">
      <c r="A219" s="5" t="s">
        <v>947</v>
      </c>
      <c r="B219" s="5" t="s">
        <v>690</v>
      </c>
      <c r="C219" s="5" t="s">
        <v>21</v>
      </c>
      <c r="D219" s="5" t="s">
        <v>20</v>
      </c>
      <c r="E219" s="5" t="s">
        <v>737</v>
      </c>
      <c r="F219" s="5" t="s">
        <v>296</v>
      </c>
      <c r="G219" s="5"/>
      <c r="H219" s="12" t="n">
        <v>0</v>
      </c>
      <c r="I219" s="5" t="str">
        <f aca="false">IF(H219=1,"ACCEPTED","OPEN")</f>
        <v>OPEN</v>
      </c>
      <c r="J219" s="3"/>
      <c r="K219" s="3"/>
      <c r="L219" s="3"/>
    </row>
    <row r="220" customFormat="false" ht="23.85" hidden="false" customHeight="false" outlineLevel="0" collapsed="false">
      <c r="A220" s="5" t="s">
        <v>948</v>
      </c>
      <c r="B220" s="5" t="s">
        <v>691</v>
      </c>
      <c r="C220" s="5" t="s">
        <v>21</v>
      </c>
      <c r="D220" s="5" t="s">
        <v>20</v>
      </c>
      <c r="E220" s="5" t="s">
        <v>729</v>
      </c>
      <c r="F220" s="5" t="s">
        <v>296</v>
      </c>
      <c r="G220" s="5"/>
      <c r="H220" s="12" t="n">
        <v>0</v>
      </c>
      <c r="I220" s="5" t="str">
        <f aca="false">IF(H220=1,"ACCEPTED","OPEN")</f>
        <v>OPEN</v>
      </c>
      <c r="J220" s="3"/>
      <c r="K220" s="3"/>
      <c r="L220" s="3"/>
    </row>
    <row r="221" customFormat="false" ht="23.85" hidden="false" customHeight="false" outlineLevel="0" collapsed="false">
      <c r="A221" s="5" t="s">
        <v>949</v>
      </c>
      <c r="B221" s="5" t="s">
        <v>691</v>
      </c>
      <c r="C221" s="5" t="s">
        <v>21</v>
      </c>
      <c r="D221" s="5" t="s">
        <v>20</v>
      </c>
      <c r="E221" s="5" t="s">
        <v>731</v>
      </c>
      <c r="F221" s="5" t="s">
        <v>296</v>
      </c>
      <c r="G221" s="5"/>
      <c r="H221" s="12" t="n">
        <v>0</v>
      </c>
      <c r="I221" s="5" t="str">
        <f aca="false">IF(H221=1,"ACCEPTED","OPEN")</f>
        <v>OPEN</v>
      </c>
      <c r="J221" s="3"/>
      <c r="K221" s="3"/>
      <c r="L221" s="3"/>
    </row>
    <row r="222" customFormat="false" ht="23.85" hidden="false" customHeight="false" outlineLevel="0" collapsed="false">
      <c r="A222" s="5" t="s">
        <v>950</v>
      </c>
      <c r="B222" s="5" t="s">
        <v>691</v>
      </c>
      <c r="C222" s="5" t="s">
        <v>21</v>
      </c>
      <c r="D222" s="5" t="s">
        <v>20</v>
      </c>
      <c r="E222" s="5" t="s">
        <v>733</v>
      </c>
      <c r="F222" s="5" t="s">
        <v>296</v>
      </c>
      <c r="G222" s="5"/>
      <c r="H222" s="12" t="n">
        <v>0</v>
      </c>
      <c r="I222" s="5" t="str">
        <f aca="false">IF(H222=1,"ACCEPTED","OPEN")</f>
        <v>OPEN</v>
      </c>
      <c r="J222" s="3"/>
      <c r="K222" s="3"/>
      <c r="L222" s="3"/>
    </row>
    <row r="223" customFormat="false" ht="23.85" hidden="false" customHeight="false" outlineLevel="0" collapsed="false">
      <c r="A223" s="5" t="s">
        <v>951</v>
      </c>
      <c r="B223" s="5" t="s">
        <v>691</v>
      </c>
      <c r="C223" s="5" t="s">
        <v>21</v>
      </c>
      <c r="D223" s="5" t="s">
        <v>20</v>
      </c>
      <c r="E223" s="5" t="s">
        <v>735</v>
      </c>
      <c r="F223" s="5" t="s">
        <v>296</v>
      </c>
      <c r="G223" s="5"/>
      <c r="H223" s="12" t="n">
        <v>0</v>
      </c>
      <c r="I223" s="5" t="str">
        <f aca="false">IF(H223=1,"ACCEPTED","OPEN")</f>
        <v>OPEN</v>
      </c>
      <c r="J223" s="3"/>
      <c r="K223" s="3"/>
      <c r="L223" s="3"/>
    </row>
    <row r="224" customFormat="false" ht="23.85" hidden="false" customHeight="false" outlineLevel="0" collapsed="false">
      <c r="A224" s="5" t="s">
        <v>952</v>
      </c>
      <c r="B224" s="5" t="s">
        <v>691</v>
      </c>
      <c r="C224" s="5" t="s">
        <v>21</v>
      </c>
      <c r="D224" s="5" t="s">
        <v>20</v>
      </c>
      <c r="E224" s="5" t="s">
        <v>737</v>
      </c>
      <c r="F224" s="5" t="s">
        <v>296</v>
      </c>
      <c r="G224" s="5"/>
      <c r="H224" s="12" t="n">
        <v>0</v>
      </c>
      <c r="I224" s="5" t="str">
        <f aca="false">IF(H224=1,"ACCEPTED","OPEN")</f>
        <v>OPEN</v>
      </c>
      <c r="J224" s="3"/>
      <c r="K224" s="3"/>
      <c r="L224" s="3"/>
    </row>
    <row r="225" customFormat="false" ht="23.85" hidden="false" customHeight="false" outlineLevel="0" collapsed="false">
      <c r="A225" s="5" t="s">
        <v>953</v>
      </c>
      <c r="B225" s="5" t="s">
        <v>692</v>
      </c>
      <c r="C225" s="5" t="s">
        <v>21</v>
      </c>
      <c r="D225" s="5" t="s">
        <v>20</v>
      </c>
      <c r="E225" s="5" t="s">
        <v>729</v>
      </c>
      <c r="F225" s="5" t="s">
        <v>296</v>
      </c>
      <c r="G225" s="5"/>
      <c r="H225" s="12" t="n">
        <v>0</v>
      </c>
      <c r="I225" s="5" t="str">
        <f aca="false">IF(H225=1,"ACCEPTED","OPEN")</f>
        <v>OPEN</v>
      </c>
      <c r="J225" s="3"/>
      <c r="K225" s="3"/>
      <c r="L225" s="3"/>
    </row>
    <row r="226" customFormat="false" ht="23.85" hidden="false" customHeight="false" outlineLevel="0" collapsed="false">
      <c r="A226" s="5" t="s">
        <v>954</v>
      </c>
      <c r="B226" s="5" t="s">
        <v>692</v>
      </c>
      <c r="C226" s="5" t="s">
        <v>21</v>
      </c>
      <c r="D226" s="5" t="s">
        <v>20</v>
      </c>
      <c r="E226" s="5" t="s">
        <v>731</v>
      </c>
      <c r="F226" s="5" t="s">
        <v>296</v>
      </c>
      <c r="G226" s="5"/>
      <c r="H226" s="12" t="n">
        <v>0</v>
      </c>
      <c r="I226" s="5" t="str">
        <f aca="false">IF(H226=1,"ACCEPTED","OPEN")</f>
        <v>OPEN</v>
      </c>
      <c r="J226" s="3"/>
      <c r="K226" s="3"/>
      <c r="L226" s="3"/>
    </row>
    <row r="227" customFormat="false" ht="23.85" hidden="false" customHeight="false" outlineLevel="0" collapsed="false">
      <c r="A227" s="5" t="s">
        <v>955</v>
      </c>
      <c r="B227" s="5" t="s">
        <v>692</v>
      </c>
      <c r="C227" s="5" t="s">
        <v>21</v>
      </c>
      <c r="D227" s="5" t="s">
        <v>20</v>
      </c>
      <c r="E227" s="5" t="s">
        <v>733</v>
      </c>
      <c r="F227" s="5" t="s">
        <v>296</v>
      </c>
      <c r="G227" s="5"/>
      <c r="H227" s="12" t="n">
        <v>0</v>
      </c>
      <c r="I227" s="5" t="str">
        <f aca="false">IF(H227=1,"ACCEPTED","OPEN")</f>
        <v>OPEN</v>
      </c>
      <c r="J227" s="3"/>
      <c r="K227" s="3"/>
      <c r="L227" s="3"/>
    </row>
    <row r="228" customFormat="false" ht="23.85" hidden="false" customHeight="false" outlineLevel="0" collapsed="false">
      <c r="A228" s="5" t="s">
        <v>956</v>
      </c>
      <c r="B228" s="5" t="s">
        <v>692</v>
      </c>
      <c r="C228" s="5" t="s">
        <v>21</v>
      </c>
      <c r="D228" s="5" t="s">
        <v>20</v>
      </c>
      <c r="E228" s="5" t="s">
        <v>735</v>
      </c>
      <c r="F228" s="5" t="s">
        <v>296</v>
      </c>
      <c r="G228" s="5"/>
      <c r="H228" s="12" t="n">
        <v>0</v>
      </c>
      <c r="I228" s="5" t="str">
        <f aca="false">IF(H228=1,"ACCEPTED","OPEN")</f>
        <v>OPEN</v>
      </c>
      <c r="J228" s="3"/>
      <c r="K228" s="3"/>
      <c r="L228" s="3"/>
    </row>
    <row r="229" customFormat="false" ht="23.85" hidden="false" customHeight="false" outlineLevel="0" collapsed="false">
      <c r="A229" s="5" t="s">
        <v>957</v>
      </c>
      <c r="B229" s="5" t="s">
        <v>692</v>
      </c>
      <c r="C229" s="5" t="s">
        <v>21</v>
      </c>
      <c r="D229" s="5" t="s">
        <v>20</v>
      </c>
      <c r="E229" s="5" t="s">
        <v>737</v>
      </c>
      <c r="F229" s="5" t="s">
        <v>296</v>
      </c>
      <c r="G229" s="5"/>
      <c r="H229" s="12" t="n">
        <v>0</v>
      </c>
      <c r="I229" s="5" t="str">
        <f aca="false">IF(H229=1,"ACCEPTED","OPEN")</f>
        <v>OPEN</v>
      </c>
      <c r="J229" s="3"/>
      <c r="K229" s="3"/>
      <c r="L229" s="3"/>
    </row>
    <row r="230" customFormat="false" ht="23.85" hidden="false" customHeight="false" outlineLevel="0" collapsed="false">
      <c r="A230" s="5" t="s">
        <v>958</v>
      </c>
      <c r="B230" s="5" t="s">
        <v>693</v>
      </c>
      <c r="C230" s="5" t="s">
        <v>21</v>
      </c>
      <c r="D230" s="5" t="s">
        <v>20</v>
      </c>
      <c r="E230" s="5" t="s">
        <v>729</v>
      </c>
      <c r="F230" s="5" t="s">
        <v>296</v>
      </c>
      <c r="G230" s="5"/>
      <c r="H230" s="12" t="n">
        <v>0</v>
      </c>
      <c r="I230" s="5" t="str">
        <f aca="false">IF(H230=1,"ACCEPTED","OPEN")</f>
        <v>OPEN</v>
      </c>
      <c r="J230" s="3"/>
      <c r="K230" s="3"/>
      <c r="L230" s="3"/>
    </row>
    <row r="231" customFormat="false" ht="23.85" hidden="false" customHeight="false" outlineLevel="0" collapsed="false">
      <c r="A231" s="5" t="s">
        <v>959</v>
      </c>
      <c r="B231" s="5" t="s">
        <v>693</v>
      </c>
      <c r="C231" s="5" t="s">
        <v>21</v>
      </c>
      <c r="D231" s="5" t="s">
        <v>20</v>
      </c>
      <c r="E231" s="5" t="s">
        <v>731</v>
      </c>
      <c r="F231" s="5" t="s">
        <v>296</v>
      </c>
      <c r="G231" s="5"/>
      <c r="H231" s="12" t="n">
        <v>0</v>
      </c>
      <c r="I231" s="5" t="str">
        <f aca="false">IF(H231=1,"ACCEPTED","OPEN")</f>
        <v>OPEN</v>
      </c>
      <c r="J231" s="3"/>
      <c r="K231" s="3"/>
      <c r="L231" s="3"/>
    </row>
    <row r="232" customFormat="false" ht="23.85" hidden="false" customHeight="false" outlineLevel="0" collapsed="false">
      <c r="A232" s="5" t="s">
        <v>960</v>
      </c>
      <c r="B232" s="5" t="s">
        <v>693</v>
      </c>
      <c r="C232" s="5" t="s">
        <v>21</v>
      </c>
      <c r="D232" s="5" t="s">
        <v>20</v>
      </c>
      <c r="E232" s="5" t="s">
        <v>733</v>
      </c>
      <c r="F232" s="5" t="s">
        <v>296</v>
      </c>
      <c r="G232" s="5"/>
      <c r="H232" s="12" t="n">
        <v>0</v>
      </c>
      <c r="I232" s="5" t="str">
        <f aca="false">IF(H232=1,"ACCEPTED","OPEN")</f>
        <v>OPEN</v>
      </c>
      <c r="J232" s="3"/>
      <c r="K232" s="3"/>
      <c r="L232" s="3"/>
    </row>
    <row r="233" customFormat="false" ht="23.85" hidden="false" customHeight="false" outlineLevel="0" collapsed="false">
      <c r="A233" s="5" t="s">
        <v>961</v>
      </c>
      <c r="B233" s="5" t="s">
        <v>693</v>
      </c>
      <c r="C233" s="5" t="s">
        <v>21</v>
      </c>
      <c r="D233" s="5" t="s">
        <v>20</v>
      </c>
      <c r="E233" s="5" t="s">
        <v>735</v>
      </c>
      <c r="F233" s="5" t="s">
        <v>296</v>
      </c>
      <c r="G233" s="5"/>
      <c r="H233" s="12" t="n">
        <v>0</v>
      </c>
      <c r="I233" s="5" t="str">
        <f aca="false">IF(H233=1,"ACCEPTED","OPEN")</f>
        <v>OPEN</v>
      </c>
      <c r="J233" s="3"/>
      <c r="K233" s="3"/>
      <c r="L233" s="3"/>
    </row>
    <row r="234" customFormat="false" ht="23.85" hidden="false" customHeight="false" outlineLevel="0" collapsed="false">
      <c r="A234" s="5" t="s">
        <v>962</v>
      </c>
      <c r="B234" s="5" t="s">
        <v>693</v>
      </c>
      <c r="C234" s="5" t="s">
        <v>21</v>
      </c>
      <c r="D234" s="5" t="s">
        <v>20</v>
      </c>
      <c r="E234" s="5" t="s">
        <v>737</v>
      </c>
      <c r="F234" s="5" t="s">
        <v>296</v>
      </c>
      <c r="G234" s="5"/>
      <c r="H234" s="12" t="n">
        <v>0</v>
      </c>
      <c r="I234" s="5" t="str">
        <f aca="false">IF(H234=1,"ACCEPTED","OPEN")</f>
        <v>OPEN</v>
      </c>
      <c r="J234" s="3"/>
      <c r="K234" s="3"/>
      <c r="L234" s="3"/>
    </row>
    <row r="235" customFormat="false" ht="23.85" hidden="false" customHeight="false" outlineLevel="0" collapsed="false">
      <c r="A235" s="5" t="s">
        <v>963</v>
      </c>
      <c r="B235" s="5" t="s">
        <v>694</v>
      </c>
      <c r="C235" s="5" t="s">
        <v>21</v>
      </c>
      <c r="D235" s="5" t="s">
        <v>20</v>
      </c>
      <c r="E235" s="5" t="s">
        <v>729</v>
      </c>
      <c r="F235" s="5" t="s">
        <v>296</v>
      </c>
      <c r="G235" s="5"/>
      <c r="H235" s="12" t="n">
        <v>0</v>
      </c>
      <c r="I235" s="5" t="str">
        <f aca="false">IF(H235=1,"ACCEPTED","OPEN")</f>
        <v>OPEN</v>
      </c>
      <c r="J235" s="3"/>
      <c r="K235" s="3"/>
      <c r="L235" s="3"/>
    </row>
    <row r="236" customFormat="false" ht="23.85" hidden="false" customHeight="false" outlineLevel="0" collapsed="false">
      <c r="A236" s="5" t="s">
        <v>964</v>
      </c>
      <c r="B236" s="5" t="s">
        <v>694</v>
      </c>
      <c r="C236" s="5" t="s">
        <v>21</v>
      </c>
      <c r="D236" s="5" t="s">
        <v>20</v>
      </c>
      <c r="E236" s="5" t="s">
        <v>731</v>
      </c>
      <c r="F236" s="5" t="s">
        <v>296</v>
      </c>
      <c r="G236" s="5"/>
      <c r="H236" s="12" t="n">
        <v>0</v>
      </c>
      <c r="I236" s="5" t="str">
        <f aca="false">IF(H236=1,"ACCEPTED","OPEN")</f>
        <v>OPEN</v>
      </c>
      <c r="J236" s="3"/>
      <c r="K236" s="3"/>
      <c r="L236" s="3"/>
    </row>
    <row r="237" customFormat="false" ht="23.85" hidden="false" customHeight="false" outlineLevel="0" collapsed="false">
      <c r="A237" s="5" t="s">
        <v>965</v>
      </c>
      <c r="B237" s="5" t="s">
        <v>694</v>
      </c>
      <c r="C237" s="5" t="s">
        <v>21</v>
      </c>
      <c r="D237" s="5" t="s">
        <v>20</v>
      </c>
      <c r="E237" s="5" t="s">
        <v>733</v>
      </c>
      <c r="F237" s="5" t="s">
        <v>296</v>
      </c>
      <c r="G237" s="5"/>
      <c r="H237" s="12" t="n">
        <v>0</v>
      </c>
      <c r="I237" s="5" t="str">
        <f aca="false">IF(H237=1,"ACCEPTED","OPEN")</f>
        <v>OPEN</v>
      </c>
      <c r="J237" s="3"/>
      <c r="K237" s="3"/>
      <c r="L237" s="3"/>
    </row>
    <row r="238" customFormat="false" ht="23.85" hidden="false" customHeight="false" outlineLevel="0" collapsed="false">
      <c r="A238" s="5" t="s">
        <v>966</v>
      </c>
      <c r="B238" s="5" t="s">
        <v>694</v>
      </c>
      <c r="C238" s="5" t="s">
        <v>21</v>
      </c>
      <c r="D238" s="5" t="s">
        <v>20</v>
      </c>
      <c r="E238" s="5" t="s">
        <v>735</v>
      </c>
      <c r="F238" s="5" t="s">
        <v>296</v>
      </c>
      <c r="G238" s="5"/>
      <c r="H238" s="12" t="n">
        <v>0</v>
      </c>
      <c r="I238" s="5" t="str">
        <f aca="false">IF(H238=1,"ACCEPTED","OPEN")</f>
        <v>OPEN</v>
      </c>
      <c r="J238" s="3"/>
      <c r="K238" s="3"/>
      <c r="L238" s="3"/>
    </row>
    <row r="239" customFormat="false" ht="23.85" hidden="false" customHeight="false" outlineLevel="0" collapsed="false">
      <c r="A239" s="5" t="s">
        <v>967</v>
      </c>
      <c r="B239" s="5" t="s">
        <v>694</v>
      </c>
      <c r="C239" s="5" t="s">
        <v>21</v>
      </c>
      <c r="D239" s="5" t="s">
        <v>20</v>
      </c>
      <c r="E239" s="5" t="s">
        <v>737</v>
      </c>
      <c r="F239" s="5" t="s">
        <v>296</v>
      </c>
      <c r="G239" s="5"/>
      <c r="H239" s="12" t="n">
        <v>0</v>
      </c>
      <c r="I239" s="5" t="str">
        <f aca="false">IF(H239=1,"ACCEPTED","OPEN")</f>
        <v>OPEN</v>
      </c>
      <c r="J239" s="3"/>
      <c r="K239" s="3"/>
      <c r="L239" s="3"/>
    </row>
    <row r="240" customFormat="false" ht="23.85" hidden="false" customHeight="false" outlineLevel="0" collapsed="false">
      <c r="A240" s="5" t="s">
        <v>968</v>
      </c>
      <c r="B240" s="5" t="s">
        <v>695</v>
      </c>
      <c r="C240" s="5" t="s">
        <v>21</v>
      </c>
      <c r="D240" s="5" t="s">
        <v>20</v>
      </c>
      <c r="E240" s="5" t="s">
        <v>729</v>
      </c>
      <c r="F240" s="5" t="s">
        <v>296</v>
      </c>
      <c r="G240" s="5"/>
      <c r="H240" s="12" t="n">
        <v>0</v>
      </c>
      <c r="I240" s="5" t="str">
        <f aca="false">IF(H240=1,"ACCEPTED","OPEN")</f>
        <v>OPEN</v>
      </c>
      <c r="J240" s="3"/>
      <c r="K240" s="3"/>
      <c r="L240" s="3"/>
    </row>
    <row r="241" customFormat="false" ht="23.85" hidden="false" customHeight="false" outlineLevel="0" collapsed="false">
      <c r="A241" s="5" t="s">
        <v>969</v>
      </c>
      <c r="B241" s="5" t="s">
        <v>695</v>
      </c>
      <c r="C241" s="5" t="s">
        <v>21</v>
      </c>
      <c r="D241" s="5" t="s">
        <v>20</v>
      </c>
      <c r="E241" s="5" t="s">
        <v>731</v>
      </c>
      <c r="F241" s="5" t="s">
        <v>296</v>
      </c>
      <c r="G241" s="5"/>
      <c r="H241" s="12" t="n">
        <v>0</v>
      </c>
      <c r="I241" s="5" t="str">
        <f aca="false">IF(H241=1,"ACCEPTED","OPEN")</f>
        <v>OPEN</v>
      </c>
      <c r="J241" s="3"/>
      <c r="K241" s="3"/>
      <c r="L241" s="3"/>
    </row>
    <row r="242" customFormat="false" ht="23.85" hidden="false" customHeight="false" outlineLevel="0" collapsed="false">
      <c r="A242" s="5" t="s">
        <v>970</v>
      </c>
      <c r="B242" s="5" t="s">
        <v>695</v>
      </c>
      <c r="C242" s="5" t="s">
        <v>21</v>
      </c>
      <c r="D242" s="5" t="s">
        <v>20</v>
      </c>
      <c r="E242" s="5" t="s">
        <v>733</v>
      </c>
      <c r="F242" s="5" t="s">
        <v>296</v>
      </c>
      <c r="G242" s="5"/>
      <c r="H242" s="12" t="n">
        <v>0</v>
      </c>
      <c r="I242" s="5" t="str">
        <f aca="false">IF(H242=1,"ACCEPTED","OPEN")</f>
        <v>OPEN</v>
      </c>
      <c r="J242" s="3"/>
      <c r="K242" s="3"/>
      <c r="L242" s="3"/>
    </row>
    <row r="243" customFormat="false" ht="23.85" hidden="false" customHeight="false" outlineLevel="0" collapsed="false">
      <c r="A243" s="5" t="s">
        <v>971</v>
      </c>
      <c r="B243" s="5" t="s">
        <v>695</v>
      </c>
      <c r="C243" s="5" t="s">
        <v>21</v>
      </c>
      <c r="D243" s="5" t="s">
        <v>20</v>
      </c>
      <c r="E243" s="5" t="s">
        <v>735</v>
      </c>
      <c r="F243" s="5" t="s">
        <v>296</v>
      </c>
      <c r="G243" s="5"/>
      <c r="H243" s="12" t="n">
        <v>0</v>
      </c>
      <c r="I243" s="5" t="str">
        <f aca="false">IF(H243=1,"ACCEPTED","OPEN")</f>
        <v>OPEN</v>
      </c>
      <c r="J243" s="3"/>
      <c r="K243" s="3"/>
      <c r="L243" s="3"/>
    </row>
    <row r="244" customFormat="false" ht="23.85" hidden="false" customHeight="false" outlineLevel="0" collapsed="false">
      <c r="A244" s="5" t="s">
        <v>972</v>
      </c>
      <c r="B244" s="5" t="s">
        <v>695</v>
      </c>
      <c r="C244" s="5" t="s">
        <v>21</v>
      </c>
      <c r="D244" s="5" t="s">
        <v>20</v>
      </c>
      <c r="E244" s="5" t="s">
        <v>737</v>
      </c>
      <c r="F244" s="5" t="s">
        <v>296</v>
      </c>
      <c r="G244" s="5"/>
      <c r="H244" s="12" t="n">
        <v>0</v>
      </c>
      <c r="I244" s="5" t="str">
        <f aca="false">IF(H244=1,"ACCEPTED","OPEN")</f>
        <v>OPEN</v>
      </c>
      <c r="J244" s="3"/>
      <c r="K244" s="3"/>
      <c r="L244" s="3"/>
    </row>
    <row r="245" customFormat="false" ht="23.85" hidden="false" customHeight="false" outlineLevel="0" collapsed="false">
      <c r="A245" s="5" t="s">
        <v>973</v>
      </c>
      <c r="B245" s="5" t="s">
        <v>696</v>
      </c>
      <c r="C245" s="5" t="s">
        <v>25</v>
      </c>
      <c r="D245" s="5" t="s">
        <v>24</v>
      </c>
      <c r="E245" s="5" t="s">
        <v>729</v>
      </c>
      <c r="F245" s="5" t="s">
        <v>296</v>
      </c>
      <c r="G245" s="5"/>
      <c r="H245" s="12" t="n">
        <v>0</v>
      </c>
      <c r="I245" s="5" t="str">
        <f aca="false">IF(H245=1,"ACCEPTED","OPEN")</f>
        <v>OPEN</v>
      </c>
      <c r="J245" s="3"/>
      <c r="K245" s="3"/>
      <c r="L245" s="3"/>
    </row>
    <row r="246" customFormat="false" ht="23.85" hidden="false" customHeight="false" outlineLevel="0" collapsed="false">
      <c r="A246" s="5" t="s">
        <v>974</v>
      </c>
      <c r="B246" s="5" t="s">
        <v>696</v>
      </c>
      <c r="C246" s="5" t="s">
        <v>25</v>
      </c>
      <c r="D246" s="5" t="s">
        <v>24</v>
      </c>
      <c r="E246" s="5" t="s">
        <v>731</v>
      </c>
      <c r="F246" s="5" t="s">
        <v>296</v>
      </c>
      <c r="G246" s="5"/>
      <c r="H246" s="12" t="n">
        <v>0</v>
      </c>
      <c r="I246" s="5" t="str">
        <f aca="false">IF(H246=1,"ACCEPTED","OPEN")</f>
        <v>OPEN</v>
      </c>
      <c r="J246" s="3"/>
      <c r="K246" s="3"/>
      <c r="L246" s="3"/>
    </row>
    <row r="247" customFormat="false" ht="23.85" hidden="false" customHeight="false" outlineLevel="0" collapsed="false">
      <c r="A247" s="5" t="s">
        <v>975</v>
      </c>
      <c r="B247" s="5" t="s">
        <v>696</v>
      </c>
      <c r="C247" s="5" t="s">
        <v>25</v>
      </c>
      <c r="D247" s="5" t="s">
        <v>24</v>
      </c>
      <c r="E247" s="5" t="s">
        <v>733</v>
      </c>
      <c r="F247" s="5" t="s">
        <v>296</v>
      </c>
      <c r="G247" s="5"/>
      <c r="H247" s="12" t="n">
        <v>0</v>
      </c>
      <c r="I247" s="5" t="str">
        <f aca="false">IF(H247=1,"ACCEPTED","OPEN")</f>
        <v>OPEN</v>
      </c>
      <c r="J247" s="3"/>
      <c r="K247" s="3"/>
      <c r="L247" s="3"/>
    </row>
    <row r="248" customFormat="false" ht="23.85" hidden="false" customHeight="false" outlineLevel="0" collapsed="false">
      <c r="A248" s="5" t="s">
        <v>976</v>
      </c>
      <c r="B248" s="5" t="s">
        <v>696</v>
      </c>
      <c r="C248" s="5" t="s">
        <v>25</v>
      </c>
      <c r="D248" s="5" t="s">
        <v>24</v>
      </c>
      <c r="E248" s="5" t="s">
        <v>735</v>
      </c>
      <c r="F248" s="5" t="s">
        <v>296</v>
      </c>
      <c r="G248" s="5"/>
      <c r="H248" s="12" t="n">
        <v>0</v>
      </c>
      <c r="I248" s="5" t="str">
        <f aca="false">IF(H248=1,"ACCEPTED","OPEN")</f>
        <v>OPEN</v>
      </c>
      <c r="J248" s="3"/>
      <c r="K248" s="3"/>
      <c r="L248" s="3"/>
    </row>
    <row r="249" customFormat="false" ht="23.85" hidden="false" customHeight="false" outlineLevel="0" collapsed="false">
      <c r="A249" s="5" t="s">
        <v>977</v>
      </c>
      <c r="B249" s="5" t="s">
        <v>696</v>
      </c>
      <c r="C249" s="5" t="s">
        <v>25</v>
      </c>
      <c r="D249" s="5" t="s">
        <v>24</v>
      </c>
      <c r="E249" s="5" t="s">
        <v>737</v>
      </c>
      <c r="F249" s="5" t="s">
        <v>296</v>
      </c>
      <c r="G249" s="5"/>
      <c r="H249" s="12" t="n">
        <v>0</v>
      </c>
      <c r="I249" s="5" t="str">
        <f aca="false">IF(H249=1,"ACCEPTED","OPEN")</f>
        <v>OPEN</v>
      </c>
      <c r="J249" s="3"/>
      <c r="K249" s="3"/>
      <c r="L249" s="3"/>
    </row>
    <row r="250" customFormat="false" ht="23.85" hidden="false" customHeight="false" outlineLevel="0" collapsed="false">
      <c r="A250" s="5" t="s">
        <v>978</v>
      </c>
      <c r="B250" s="5" t="s">
        <v>698</v>
      </c>
      <c r="C250" s="5" t="s">
        <v>25</v>
      </c>
      <c r="D250" s="5" t="s">
        <v>24</v>
      </c>
      <c r="E250" s="5" t="s">
        <v>729</v>
      </c>
      <c r="F250" s="5" t="s">
        <v>296</v>
      </c>
      <c r="G250" s="5"/>
      <c r="H250" s="12" t="n">
        <v>0</v>
      </c>
      <c r="I250" s="5" t="str">
        <f aca="false">IF(H250=1,"ACCEPTED","OPEN")</f>
        <v>OPEN</v>
      </c>
      <c r="J250" s="3"/>
      <c r="K250" s="3"/>
      <c r="L250" s="3"/>
    </row>
    <row r="251" customFormat="false" ht="23.85" hidden="false" customHeight="false" outlineLevel="0" collapsed="false">
      <c r="A251" s="5" t="s">
        <v>979</v>
      </c>
      <c r="B251" s="5" t="s">
        <v>698</v>
      </c>
      <c r="C251" s="5" t="s">
        <v>25</v>
      </c>
      <c r="D251" s="5" t="s">
        <v>24</v>
      </c>
      <c r="E251" s="5" t="s">
        <v>731</v>
      </c>
      <c r="F251" s="5" t="s">
        <v>296</v>
      </c>
      <c r="G251" s="5"/>
      <c r="H251" s="12" t="n">
        <v>0</v>
      </c>
      <c r="I251" s="5" t="str">
        <f aca="false">IF(H251=1,"ACCEPTED","OPEN")</f>
        <v>OPEN</v>
      </c>
      <c r="J251" s="3"/>
      <c r="K251" s="3"/>
      <c r="L251" s="3"/>
    </row>
    <row r="252" customFormat="false" ht="23.85" hidden="false" customHeight="false" outlineLevel="0" collapsed="false">
      <c r="A252" s="5" t="s">
        <v>980</v>
      </c>
      <c r="B252" s="5" t="s">
        <v>698</v>
      </c>
      <c r="C252" s="5" t="s">
        <v>25</v>
      </c>
      <c r="D252" s="5" t="s">
        <v>24</v>
      </c>
      <c r="E252" s="5" t="s">
        <v>733</v>
      </c>
      <c r="F252" s="5" t="s">
        <v>296</v>
      </c>
      <c r="G252" s="5"/>
      <c r="H252" s="12" t="n">
        <v>0</v>
      </c>
      <c r="I252" s="5" t="str">
        <f aca="false">IF(H252=1,"ACCEPTED","OPEN")</f>
        <v>OPEN</v>
      </c>
      <c r="J252" s="3"/>
      <c r="K252" s="3"/>
      <c r="L252" s="3"/>
    </row>
    <row r="253" customFormat="false" ht="23.85" hidden="false" customHeight="false" outlineLevel="0" collapsed="false">
      <c r="A253" s="5" t="s">
        <v>981</v>
      </c>
      <c r="B253" s="5" t="s">
        <v>698</v>
      </c>
      <c r="C253" s="5" t="s">
        <v>25</v>
      </c>
      <c r="D253" s="5" t="s">
        <v>24</v>
      </c>
      <c r="E253" s="5" t="s">
        <v>735</v>
      </c>
      <c r="F253" s="5" t="s">
        <v>296</v>
      </c>
      <c r="G253" s="5"/>
      <c r="H253" s="12" t="n">
        <v>0</v>
      </c>
      <c r="I253" s="5" t="str">
        <f aca="false">IF(H253=1,"ACCEPTED","OPEN")</f>
        <v>OPEN</v>
      </c>
      <c r="J253" s="3"/>
      <c r="K253" s="3"/>
      <c r="L253" s="3"/>
    </row>
    <row r="254" customFormat="false" ht="23.85" hidden="false" customHeight="false" outlineLevel="0" collapsed="false">
      <c r="A254" s="5" t="s">
        <v>982</v>
      </c>
      <c r="B254" s="5" t="s">
        <v>698</v>
      </c>
      <c r="C254" s="5" t="s">
        <v>25</v>
      </c>
      <c r="D254" s="5" t="s">
        <v>24</v>
      </c>
      <c r="E254" s="5" t="s">
        <v>737</v>
      </c>
      <c r="F254" s="5" t="s">
        <v>296</v>
      </c>
      <c r="G254" s="5"/>
      <c r="H254" s="12" t="n">
        <v>0</v>
      </c>
      <c r="I254" s="5" t="str">
        <f aca="false">IF(H254=1,"ACCEPTED","OPEN")</f>
        <v>OPEN</v>
      </c>
      <c r="J254" s="3"/>
      <c r="K254" s="3"/>
      <c r="L254" s="3"/>
    </row>
    <row r="255" customFormat="false" ht="23.85" hidden="false" customHeight="false" outlineLevel="0" collapsed="false">
      <c r="A255" s="5" t="s">
        <v>983</v>
      </c>
      <c r="B255" s="5" t="s">
        <v>699</v>
      </c>
      <c r="C255" s="5" t="s">
        <v>25</v>
      </c>
      <c r="D255" s="5" t="s">
        <v>24</v>
      </c>
      <c r="E255" s="5" t="s">
        <v>729</v>
      </c>
      <c r="F255" s="5" t="s">
        <v>296</v>
      </c>
      <c r="G255" s="5"/>
      <c r="H255" s="12" t="n">
        <v>0</v>
      </c>
      <c r="I255" s="5" t="str">
        <f aca="false">IF(H255=1,"ACCEPTED","OPEN")</f>
        <v>OPEN</v>
      </c>
      <c r="J255" s="3"/>
      <c r="K255" s="3"/>
      <c r="L255" s="3"/>
    </row>
    <row r="256" customFormat="false" ht="23.85" hidden="false" customHeight="false" outlineLevel="0" collapsed="false">
      <c r="A256" s="5" t="s">
        <v>984</v>
      </c>
      <c r="B256" s="5" t="s">
        <v>699</v>
      </c>
      <c r="C256" s="5" t="s">
        <v>25</v>
      </c>
      <c r="D256" s="5" t="s">
        <v>24</v>
      </c>
      <c r="E256" s="5" t="s">
        <v>731</v>
      </c>
      <c r="F256" s="5" t="s">
        <v>296</v>
      </c>
      <c r="G256" s="5"/>
      <c r="H256" s="12" t="n">
        <v>0</v>
      </c>
      <c r="I256" s="5" t="str">
        <f aca="false">IF(H256=1,"ACCEPTED","OPEN")</f>
        <v>OPEN</v>
      </c>
      <c r="J256" s="3"/>
      <c r="K256" s="3"/>
      <c r="L256" s="3"/>
    </row>
    <row r="257" customFormat="false" ht="23.85" hidden="false" customHeight="false" outlineLevel="0" collapsed="false">
      <c r="A257" s="5" t="s">
        <v>985</v>
      </c>
      <c r="B257" s="5" t="s">
        <v>699</v>
      </c>
      <c r="C257" s="5" t="s">
        <v>25</v>
      </c>
      <c r="D257" s="5" t="s">
        <v>24</v>
      </c>
      <c r="E257" s="5" t="s">
        <v>733</v>
      </c>
      <c r="F257" s="5" t="s">
        <v>296</v>
      </c>
      <c r="G257" s="5"/>
      <c r="H257" s="12" t="n">
        <v>0</v>
      </c>
      <c r="I257" s="5" t="str">
        <f aca="false">IF(H257=1,"ACCEPTED","OPEN")</f>
        <v>OPEN</v>
      </c>
      <c r="J257" s="3"/>
      <c r="K257" s="3"/>
      <c r="L257" s="3"/>
    </row>
    <row r="258" customFormat="false" ht="23.85" hidden="false" customHeight="false" outlineLevel="0" collapsed="false">
      <c r="A258" s="5" t="s">
        <v>986</v>
      </c>
      <c r="B258" s="5" t="s">
        <v>699</v>
      </c>
      <c r="C258" s="5" t="s">
        <v>25</v>
      </c>
      <c r="D258" s="5" t="s">
        <v>24</v>
      </c>
      <c r="E258" s="5" t="s">
        <v>735</v>
      </c>
      <c r="F258" s="5" t="s">
        <v>296</v>
      </c>
      <c r="G258" s="5"/>
      <c r="H258" s="12" t="n">
        <v>0</v>
      </c>
      <c r="I258" s="5" t="str">
        <f aca="false">IF(H258=1,"ACCEPTED","OPEN")</f>
        <v>OPEN</v>
      </c>
      <c r="J258" s="3"/>
      <c r="K258" s="3"/>
      <c r="L258" s="3"/>
    </row>
    <row r="259" customFormat="false" ht="23.85" hidden="false" customHeight="false" outlineLevel="0" collapsed="false">
      <c r="A259" s="5" t="s">
        <v>987</v>
      </c>
      <c r="B259" s="5" t="s">
        <v>699</v>
      </c>
      <c r="C259" s="5" t="s">
        <v>25</v>
      </c>
      <c r="D259" s="5" t="s">
        <v>24</v>
      </c>
      <c r="E259" s="5" t="s">
        <v>737</v>
      </c>
      <c r="F259" s="5" t="s">
        <v>296</v>
      </c>
      <c r="G259" s="5"/>
      <c r="H259" s="12" t="n">
        <v>0</v>
      </c>
      <c r="I259" s="5" t="str">
        <f aca="false">IF(H259=1,"ACCEPTED","OPEN")</f>
        <v>OPEN</v>
      </c>
      <c r="J259" s="3"/>
      <c r="K259" s="3"/>
      <c r="L259" s="3"/>
    </row>
    <row r="260" customFormat="false" ht="23.85" hidden="false" customHeight="false" outlineLevel="0" collapsed="false">
      <c r="A260" s="5" t="s">
        <v>988</v>
      </c>
      <c r="B260" s="5" t="s">
        <v>700</v>
      </c>
      <c r="C260" s="5" t="s">
        <v>25</v>
      </c>
      <c r="D260" s="5" t="s">
        <v>24</v>
      </c>
      <c r="E260" s="5" t="s">
        <v>729</v>
      </c>
      <c r="F260" s="5" t="s">
        <v>296</v>
      </c>
      <c r="G260" s="5"/>
      <c r="H260" s="12" t="n">
        <v>0</v>
      </c>
      <c r="I260" s="5" t="str">
        <f aca="false">IF(H260=1,"ACCEPTED","OPEN")</f>
        <v>OPEN</v>
      </c>
      <c r="J260" s="3"/>
      <c r="K260" s="3"/>
      <c r="L260" s="3"/>
    </row>
    <row r="261" customFormat="false" ht="23.85" hidden="false" customHeight="false" outlineLevel="0" collapsed="false">
      <c r="A261" s="5" t="s">
        <v>989</v>
      </c>
      <c r="B261" s="5" t="s">
        <v>700</v>
      </c>
      <c r="C261" s="5" t="s">
        <v>25</v>
      </c>
      <c r="D261" s="5" t="s">
        <v>24</v>
      </c>
      <c r="E261" s="5" t="s">
        <v>731</v>
      </c>
      <c r="F261" s="5" t="s">
        <v>296</v>
      </c>
      <c r="G261" s="5"/>
      <c r="H261" s="12" t="n">
        <v>0</v>
      </c>
      <c r="I261" s="5" t="str">
        <f aca="false">IF(H261=1,"ACCEPTED","OPEN")</f>
        <v>OPEN</v>
      </c>
      <c r="J261" s="3"/>
      <c r="K261" s="3"/>
      <c r="L261" s="3"/>
    </row>
    <row r="262" customFormat="false" ht="23.85" hidden="false" customHeight="false" outlineLevel="0" collapsed="false">
      <c r="A262" s="5" t="s">
        <v>990</v>
      </c>
      <c r="B262" s="5" t="s">
        <v>700</v>
      </c>
      <c r="C262" s="5" t="s">
        <v>25</v>
      </c>
      <c r="D262" s="5" t="s">
        <v>24</v>
      </c>
      <c r="E262" s="5" t="s">
        <v>733</v>
      </c>
      <c r="F262" s="5" t="s">
        <v>296</v>
      </c>
      <c r="G262" s="5"/>
      <c r="H262" s="12" t="n">
        <v>0</v>
      </c>
      <c r="I262" s="5" t="str">
        <f aca="false">IF(H262=1,"ACCEPTED","OPEN")</f>
        <v>OPEN</v>
      </c>
      <c r="J262" s="3"/>
      <c r="K262" s="3"/>
      <c r="L262" s="3"/>
    </row>
    <row r="263" customFormat="false" ht="23.85" hidden="false" customHeight="false" outlineLevel="0" collapsed="false">
      <c r="A263" s="5" t="s">
        <v>991</v>
      </c>
      <c r="B263" s="5" t="s">
        <v>700</v>
      </c>
      <c r="C263" s="5" t="s">
        <v>25</v>
      </c>
      <c r="D263" s="5" t="s">
        <v>24</v>
      </c>
      <c r="E263" s="5" t="s">
        <v>735</v>
      </c>
      <c r="F263" s="5" t="s">
        <v>296</v>
      </c>
      <c r="G263" s="5"/>
      <c r="H263" s="12" t="n">
        <v>0</v>
      </c>
      <c r="I263" s="5" t="str">
        <f aca="false">IF(H263=1,"ACCEPTED","OPEN")</f>
        <v>OPEN</v>
      </c>
      <c r="J263" s="3"/>
      <c r="K263" s="3"/>
      <c r="L263" s="3"/>
    </row>
    <row r="264" customFormat="false" ht="23.85" hidden="false" customHeight="false" outlineLevel="0" collapsed="false">
      <c r="A264" s="5" t="s">
        <v>992</v>
      </c>
      <c r="B264" s="5" t="s">
        <v>700</v>
      </c>
      <c r="C264" s="5" t="s">
        <v>25</v>
      </c>
      <c r="D264" s="5" t="s">
        <v>24</v>
      </c>
      <c r="E264" s="5" t="s">
        <v>737</v>
      </c>
      <c r="F264" s="5" t="s">
        <v>296</v>
      </c>
      <c r="G264" s="5"/>
      <c r="H264" s="12" t="n">
        <v>0</v>
      </c>
      <c r="I264" s="5" t="str">
        <f aca="false">IF(H264=1,"ACCEPTED","OPEN")</f>
        <v>OPEN</v>
      </c>
      <c r="J264" s="3"/>
      <c r="K264" s="3"/>
      <c r="L264" s="3"/>
    </row>
    <row r="265" customFormat="false" ht="23.85" hidden="false" customHeight="false" outlineLevel="0" collapsed="false">
      <c r="A265" s="5" t="s">
        <v>993</v>
      </c>
      <c r="B265" s="5" t="s">
        <v>701</v>
      </c>
      <c r="C265" s="5" t="s">
        <v>25</v>
      </c>
      <c r="D265" s="5" t="s">
        <v>24</v>
      </c>
      <c r="E265" s="5" t="s">
        <v>729</v>
      </c>
      <c r="F265" s="5" t="s">
        <v>296</v>
      </c>
      <c r="G265" s="5"/>
      <c r="H265" s="12" t="n">
        <v>0</v>
      </c>
      <c r="I265" s="5" t="str">
        <f aca="false">IF(H265=1,"ACCEPTED","OPEN")</f>
        <v>OPEN</v>
      </c>
      <c r="J265" s="3"/>
      <c r="K265" s="3"/>
      <c r="L265" s="3"/>
    </row>
    <row r="266" customFormat="false" ht="23.85" hidden="false" customHeight="false" outlineLevel="0" collapsed="false">
      <c r="A266" s="5" t="s">
        <v>994</v>
      </c>
      <c r="B266" s="5" t="s">
        <v>701</v>
      </c>
      <c r="C266" s="5" t="s">
        <v>25</v>
      </c>
      <c r="D266" s="5" t="s">
        <v>24</v>
      </c>
      <c r="E266" s="5" t="s">
        <v>731</v>
      </c>
      <c r="F266" s="5" t="s">
        <v>296</v>
      </c>
      <c r="G266" s="5"/>
      <c r="H266" s="12" t="n">
        <v>0</v>
      </c>
      <c r="I266" s="5" t="str">
        <f aca="false">IF(H266=1,"ACCEPTED","OPEN")</f>
        <v>OPEN</v>
      </c>
      <c r="J266" s="3"/>
      <c r="K266" s="3"/>
      <c r="L266" s="3"/>
    </row>
    <row r="267" customFormat="false" ht="23.85" hidden="false" customHeight="false" outlineLevel="0" collapsed="false">
      <c r="A267" s="5" t="s">
        <v>995</v>
      </c>
      <c r="B267" s="5" t="s">
        <v>701</v>
      </c>
      <c r="C267" s="5" t="s">
        <v>25</v>
      </c>
      <c r="D267" s="5" t="s">
        <v>24</v>
      </c>
      <c r="E267" s="5" t="s">
        <v>733</v>
      </c>
      <c r="F267" s="5" t="s">
        <v>296</v>
      </c>
      <c r="G267" s="5"/>
      <c r="H267" s="12" t="n">
        <v>0</v>
      </c>
      <c r="I267" s="5" t="str">
        <f aca="false">IF(H267=1,"ACCEPTED","OPEN")</f>
        <v>OPEN</v>
      </c>
      <c r="J267" s="3"/>
      <c r="K267" s="3"/>
      <c r="L267" s="3"/>
    </row>
    <row r="268" customFormat="false" ht="23.85" hidden="false" customHeight="false" outlineLevel="0" collapsed="false">
      <c r="A268" s="5" t="s">
        <v>996</v>
      </c>
      <c r="B268" s="5" t="s">
        <v>701</v>
      </c>
      <c r="C268" s="5" t="s">
        <v>25</v>
      </c>
      <c r="D268" s="5" t="s">
        <v>24</v>
      </c>
      <c r="E268" s="5" t="s">
        <v>735</v>
      </c>
      <c r="F268" s="5" t="s">
        <v>296</v>
      </c>
      <c r="G268" s="5"/>
      <c r="H268" s="12" t="n">
        <v>0</v>
      </c>
      <c r="I268" s="5" t="str">
        <f aca="false">IF(H268=1,"ACCEPTED","OPEN")</f>
        <v>OPEN</v>
      </c>
      <c r="J268" s="3"/>
      <c r="K268" s="3"/>
      <c r="L268" s="3"/>
    </row>
    <row r="269" customFormat="false" ht="23.85" hidden="false" customHeight="false" outlineLevel="0" collapsed="false">
      <c r="A269" s="5" t="s">
        <v>997</v>
      </c>
      <c r="B269" s="5" t="s">
        <v>701</v>
      </c>
      <c r="C269" s="5" t="s">
        <v>25</v>
      </c>
      <c r="D269" s="5" t="s">
        <v>24</v>
      </c>
      <c r="E269" s="5" t="s">
        <v>737</v>
      </c>
      <c r="F269" s="5" t="s">
        <v>296</v>
      </c>
      <c r="G269" s="5"/>
      <c r="H269" s="12" t="n">
        <v>0</v>
      </c>
      <c r="I269" s="5" t="str">
        <f aca="false">IF(H269=1,"ACCEPTED","OPEN")</f>
        <v>OPEN</v>
      </c>
      <c r="J269" s="3"/>
      <c r="K269" s="3"/>
      <c r="L269" s="3"/>
    </row>
    <row r="270" customFormat="false" ht="23.85" hidden="false" customHeight="false" outlineLevel="0" collapsed="false">
      <c r="A270" s="5" t="s">
        <v>998</v>
      </c>
      <c r="B270" s="5" t="s">
        <v>702</v>
      </c>
      <c r="C270" s="5" t="s">
        <v>25</v>
      </c>
      <c r="D270" s="5" t="s">
        <v>24</v>
      </c>
      <c r="E270" s="5" t="s">
        <v>729</v>
      </c>
      <c r="F270" s="5" t="s">
        <v>296</v>
      </c>
      <c r="G270" s="5"/>
      <c r="H270" s="12" t="n">
        <v>0</v>
      </c>
      <c r="I270" s="5" t="str">
        <f aca="false">IF(H270=1,"ACCEPTED","OPEN")</f>
        <v>OPEN</v>
      </c>
      <c r="J270" s="3"/>
      <c r="K270" s="3"/>
      <c r="L270" s="3"/>
    </row>
    <row r="271" customFormat="false" ht="23.85" hidden="false" customHeight="false" outlineLevel="0" collapsed="false">
      <c r="A271" s="5" t="s">
        <v>999</v>
      </c>
      <c r="B271" s="5" t="s">
        <v>702</v>
      </c>
      <c r="C271" s="5" t="s">
        <v>25</v>
      </c>
      <c r="D271" s="5" t="s">
        <v>24</v>
      </c>
      <c r="E271" s="5" t="s">
        <v>731</v>
      </c>
      <c r="F271" s="5" t="s">
        <v>296</v>
      </c>
      <c r="G271" s="5"/>
      <c r="H271" s="12" t="n">
        <v>0</v>
      </c>
      <c r="I271" s="5" t="str">
        <f aca="false">IF(H271=1,"ACCEPTED","OPEN")</f>
        <v>OPEN</v>
      </c>
      <c r="J271" s="3"/>
      <c r="K271" s="3"/>
      <c r="L271" s="3"/>
    </row>
    <row r="272" customFormat="false" ht="23.85" hidden="false" customHeight="false" outlineLevel="0" collapsed="false">
      <c r="A272" s="5" t="s">
        <v>1000</v>
      </c>
      <c r="B272" s="5" t="s">
        <v>702</v>
      </c>
      <c r="C272" s="5" t="s">
        <v>25</v>
      </c>
      <c r="D272" s="5" t="s">
        <v>24</v>
      </c>
      <c r="E272" s="5" t="s">
        <v>733</v>
      </c>
      <c r="F272" s="5" t="s">
        <v>296</v>
      </c>
      <c r="G272" s="5"/>
      <c r="H272" s="12" t="n">
        <v>0</v>
      </c>
      <c r="I272" s="5" t="str">
        <f aca="false">IF(H272=1,"ACCEPTED","OPEN")</f>
        <v>OPEN</v>
      </c>
      <c r="J272" s="3"/>
      <c r="K272" s="3"/>
      <c r="L272" s="3"/>
    </row>
    <row r="273" customFormat="false" ht="23.85" hidden="false" customHeight="false" outlineLevel="0" collapsed="false">
      <c r="A273" s="5" t="s">
        <v>1001</v>
      </c>
      <c r="B273" s="5" t="s">
        <v>702</v>
      </c>
      <c r="C273" s="5" t="s">
        <v>25</v>
      </c>
      <c r="D273" s="5" t="s">
        <v>24</v>
      </c>
      <c r="E273" s="5" t="s">
        <v>735</v>
      </c>
      <c r="F273" s="5" t="s">
        <v>296</v>
      </c>
      <c r="G273" s="5"/>
      <c r="H273" s="12" t="n">
        <v>0</v>
      </c>
      <c r="I273" s="5" t="str">
        <f aca="false">IF(H273=1,"ACCEPTED","OPEN")</f>
        <v>OPEN</v>
      </c>
      <c r="J273" s="3"/>
      <c r="K273" s="3"/>
      <c r="L273" s="3"/>
    </row>
    <row r="274" customFormat="false" ht="23.85" hidden="false" customHeight="false" outlineLevel="0" collapsed="false">
      <c r="A274" s="5" t="s">
        <v>1002</v>
      </c>
      <c r="B274" s="5" t="s">
        <v>702</v>
      </c>
      <c r="C274" s="5" t="s">
        <v>25</v>
      </c>
      <c r="D274" s="5" t="s">
        <v>24</v>
      </c>
      <c r="E274" s="5" t="s">
        <v>737</v>
      </c>
      <c r="F274" s="5" t="s">
        <v>296</v>
      </c>
      <c r="G274" s="5"/>
      <c r="H274" s="12" t="n">
        <v>0</v>
      </c>
      <c r="I274" s="5" t="str">
        <f aca="false">IF(H274=1,"ACCEPTED","OPEN")</f>
        <v>OPEN</v>
      </c>
      <c r="J274" s="3"/>
      <c r="K274" s="3"/>
      <c r="L274" s="3"/>
    </row>
    <row r="275" customFormat="false" ht="23.85" hidden="false" customHeight="false" outlineLevel="0" collapsed="false">
      <c r="A275" s="5" t="s">
        <v>1003</v>
      </c>
      <c r="B275" s="5" t="s">
        <v>703</v>
      </c>
      <c r="C275" s="5" t="s">
        <v>25</v>
      </c>
      <c r="D275" s="5" t="s">
        <v>24</v>
      </c>
      <c r="E275" s="5" t="s">
        <v>729</v>
      </c>
      <c r="F275" s="5" t="s">
        <v>296</v>
      </c>
      <c r="G275" s="5"/>
      <c r="H275" s="12" t="n">
        <v>0</v>
      </c>
      <c r="I275" s="5" t="str">
        <f aca="false">IF(H275=1,"ACCEPTED","OPEN")</f>
        <v>OPEN</v>
      </c>
      <c r="J275" s="3"/>
      <c r="K275" s="3"/>
      <c r="L275" s="3"/>
    </row>
    <row r="276" customFormat="false" ht="23.85" hidden="false" customHeight="false" outlineLevel="0" collapsed="false">
      <c r="A276" s="5" t="s">
        <v>1004</v>
      </c>
      <c r="B276" s="5" t="s">
        <v>703</v>
      </c>
      <c r="C276" s="5" t="s">
        <v>25</v>
      </c>
      <c r="D276" s="5" t="s">
        <v>24</v>
      </c>
      <c r="E276" s="5" t="s">
        <v>731</v>
      </c>
      <c r="F276" s="5" t="s">
        <v>296</v>
      </c>
      <c r="G276" s="5"/>
      <c r="H276" s="12" t="n">
        <v>0</v>
      </c>
      <c r="I276" s="5" t="str">
        <f aca="false">IF(H276=1,"ACCEPTED","OPEN")</f>
        <v>OPEN</v>
      </c>
      <c r="J276" s="3"/>
      <c r="K276" s="3"/>
      <c r="L276" s="3"/>
    </row>
    <row r="277" customFormat="false" ht="23.85" hidden="false" customHeight="false" outlineLevel="0" collapsed="false">
      <c r="A277" s="5" t="s">
        <v>1005</v>
      </c>
      <c r="B277" s="5" t="s">
        <v>703</v>
      </c>
      <c r="C277" s="5" t="s">
        <v>25</v>
      </c>
      <c r="D277" s="5" t="s">
        <v>24</v>
      </c>
      <c r="E277" s="5" t="s">
        <v>733</v>
      </c>
      <c r="F277" s="5" t="s">
        <v>296</v>
      </c>
      <c r="G277" s="5"/>
      <c r="H277" s="12" t="n">
        <v>0</v>
      </c>
      <c r="I277" s="5" t="str">
        <f aca="false">IF(H277=1,"ACCEPTED","OPEN")</f>
        <v>OPEN</v>
      </c>
      <c r="J277" s="3"/>
      <c r="K277" s="3"/>
      <c r="L277" s="3"/>
    </row>
    <row r="278" customFormat="false" ht="23.85" hidden="false" customHeight="false" outlineLevel="0" collapsed="false">
      <c r="A278" s="5" t="s">
        <v>1006</v>
      </c>
      <c r="B278" s="5" t="s">
        <v>703</v>
      </c>
      <c r="C278" s="5" t="s">
        <v>25</v>
      </c>
      <c r="D278" s="5" t="s">
        <v>24</v>
      </c>
      <c r="E278" s="5" t="s">
        <v>735</v>
      </c>
      <c r="F278" s="5" t="s">
        <v>296</v>
      </c>
      <c r="G278" s="5"/>
      <c r="H278" s="12" t="n">
        <v>0</v>
      </c>
      <c r="I278" s="5" t="str">
        <f aca="false">IF(H278=1,"ACCEPTED","OPEN")</f>
        <v>OPEN</v>
      </c>
      <c r="J278" s="3"/>
      <c r="K278" s="3"/>
      <c r="L278" s="3"/>
    </row>
    <row r="279" customFormat="false" ht="23.85" hidden="false" customHeight="false" outlineLevel="0" collapsed="false">
      <c r="A279" s="5" t="s">
        <v>1007</v>
      </c>
      <c r="B279" s="5" t="s">
        <v>703</v>
      </c>
      <c r="C279" s="5" t="s">
        <v>25</v>
      </c>
      <c r="D279" s="5" t="s">
        <v>24</v>
      </c>
      <c r="E279" s="5" t="s">
        <v>737</v>
      </c>
      <c r="F279" s="5" t="s">
        <v>296</v>
      </c>
      <c r="G279" s="5"/>
      <c r="H279" s="12" t="n">
        <v>0</v>
      </c>
      <c r="I279" s="5" t="str">
        <f aca="false">IF(H279=1,"ACCEPTED","OPEN")</f>
        <v>OPEN</v>
      </c>
      <c r="J279" s="3"/>
      <c r="K279" s="3"/>
      <c r="L279" s="3"/>
    </row>
    <row r="280" customFormat="false" ht="23.85" hidden="false" customHeight="false" outlineLevel="0" collapsed="false">
      <c r="A280" s="5" t="s">
        <v>1008</v>
      </c>
      <c r="B280" s="5" t="s">
        <v>704</v>
      </c>
      <c r="C280" s="5" t="s">
        <v>25</v>
      </c>
      <c r="D280" s="5" t="s">
        <v>24</v>
      </c>
      <c r="E280" s="5" t="s">
        <v>729</v>
      </c>
      <c r="F280" s="5" t="s">
        <v>296</v>
      </c>
      <c r="G280" s="5"/>
      <c r="H280" s="12" t="n">
        <v>0</v>
      </c>
      <c r="I280" s="5" t="str">
        <f aca="false">IF(H280=1,"ACCEPTED","OPEN")</f>
        <v>OPEN</v>
      </c>
      <c r="J280" s="3"/>
      <c r="K280" s="3"/>
      <c r="L280" s="3"/>
    </row>
    <row r="281" customFormat="false" ht="23.85" hidden="false" customHeight="false" outlineLevel="0" collapsed="false">
      <c r="A281" s="5" t="s">
        <v>1009</v>
      </c>
      <c r="B281" s="5" t="s">
        <v>704</v>
      </c>
      <c r="C281" s="5" t="s">
        <v>25</v>
      </c>
      <c r="D281" s="5" t="s">
        <v>24</v>
      </c>
      <c r="E281" s="5" t="s">
        <v>731</v>
      </c>
      <c r="F281" s="5" t="s">
        <v>296</v>
      </c>
      <c r="G281" s="5"/>
      <c r="H281" s="12" t="n">
        <v>0</v>
      </c>
      <c r="I281" s="5" t="str">
        <f aca="false">IF(H281=1,"ACCEPTED","OPEN")</f>
        <v>OPEN</v>
      </c>
      <c r="J281" s="3"/>
      <c r="K281" s="3"/>
      <c r="L281" s="3"/>
    </row>
    <row r="282" customFormat="false" ht="23.85" hidden="false" customHeight="false" outlineLevel="0" collapsed="false">
      <c r="A282" s="5" t="s">
        <v>1010</v>
      </c>
      <c r="B282" s="5" t="s">
        <v>704</v>
      </c>
      <c r="C282" s="5" t="s">
        <v>25</v>
      </c>
      <c r="D282" s="5" t="s">
        <v>24</v>
      </c>
      <c r="E282" s="5" t="s">
        <v>733</v>
      </c>
      <c r="F282" s="5" t="s">
        <v>296</v>
      </c>
      <c r="G282" s="5"/>
      <c r="H282" s="12" t="n">
        <v>0</v>
      </c>
      <c r="I282" s="5" t="str">
        <f aca="false">IF(H282=1,"ACCEPTED","OPEN")</f>
        <v>OPEN</v>
      </c>
      <c r="J282" s="3"/>
      <c r="K282" s="3"/>
      <c r="L282" s="3"/>
    </row>
    <row r="283" customFormat="false" ht="23.85" hidden="false" customHeight="false" outlineLevel="0" collapsed="false">
      <c r="A283" s="5" t="s">
        <v>1011</v>
      </c>
      <c r="B283" s="5" t="s">
        <v>704</v>
      </c>
      <c r="C283" s="5" t="s">
        <v>25</v>
      </c>
      <c r="D283" s="5" t="s">
        <v>24</v>
      </c>
      <c r="E283" s="5" t="s">
        <v>735</v>
      </c>
      <c r="F283" s="5" t="s">
        <v>296</v>
      </c>
      <c r="G283" s="5"/>
      <c r="H283" s="12" t="n">
        <v>0</v>
      </c>
      <c r="I283" s="5" t="str">
        <f aca="false">IF(H283=1,"ACCEPTED","OPEN")</f>
        <v>OPEN</v>
      </c>
      <c r="J283" s="3"/>
      <c r="K283" s="3"/>
      <c r="L283" s="3"/>
    </row>
    <row r="284" customFormat="false" ht="23.85" hidden="false" customHeight="false" outlineLevel="0" collapsed="false">
      <c r="A284" s="5" t="s">
        <v>1012</v>
      </c>
      <c r="B284" s="5" t="s">
        <v>704</v>
      </c>
      <c r="C284" s="5" t="s">
        <v>25</v>
      </c>
      <c r="D284" s="5" t="s">
        <v>24</v>
      </c>
      <c r="E284" s="5" t="s">
        <v>737</v>
      </c>
      <c r="F284" s="5" t="s">
        <v>296</v>
      </c>
      <c r="G284" s="5"/>
      <c r="H284" s="12" t="n">
        <v>0</v>
      </c>
      <c r="I284" s="5" t="str">
        <f aca="false">IF(H284=1,"ACCEPTED","OPEN")</f>
        <v>OPEN</v>
      </c>
      <c r="J284" s="3"/>
      <c r="K284" s="3"/>
      <c r="L284" s="3"/>
    </row>
    <row r="285" customFormat="false" ht="23.85" hidden="false" customHeight="false" outlineLevel="0" collapsed="false">
      <c r="A285" s="5" t="s">
        <v>1013</v>
      </c>
      <c r="B285" s="5" t="s">
        <v>705</v>
      </c>
      <c r="C285" s="5" t="s">
        <v>25</v>
      </c>
      <c r="D285" s="5" t="s">
        <v>24</v>
      </c>
      <c r="E285" s="5" t="s">
        <v>729</v>
      </c>
      <c r="F285" s="5" t="s">
        <v>296</v>
      </c>
      <c r="G285" s="5"/>
      <c r="H285" s="12" t="n">
        <v>0</v>
      </c>
      <c r="I285" s="5" t="str">
        <f aca="false">IF(H285=1,"ACCEPTED","OPEN")</f>
        <v>OPEN</v>
      </c>
      <c r="J285" s="3"/>
      <c r="K285" s="3"/>
      <c r="L285" s="3"/>
    </row>
    <row r="286" customFormat="false" ht="23.85" hidden="false" customHeight="false" outlineLevel="0" collapsed="false">
      <c r="A286" s="5" t="s">
        <v>1014</v>
      </c>
      <c r="B286" s="5" t="s">
        <v>705</v>
      </c>
      <c r="C286" s="5" t="s">
        <v>25</v>
      </c>
      <c r="D286" s="5" t="s">
        <v>24</v>
      </c>
      <c r="E286" s="5" t="s">
        <v>731</v>
      </c>
      <c r="F286" s="5" t="s">
        <v>296</v>
      </c>
      <c r="G286" s="5"/>
      <c r="H286" s="12" t="n">
        <v>0</v>
      </c>
      <c r="I286" s="5" t="str">
        <f aca="false">IF(H286=1,"ACCEPTED","OPEN")</f>
        <v>OPEN</v>
      </c>
      <c r="J286" s="3"/>
      <c r="K286" s="3"/>
      <c r="L286" s="3"/>
    </row>
    <row r="287" customFormat="false" ht="23.85" hidden="false" customHeight="false" outlineLevel="0" collapsed="false">
      <c r="A287" s="5" t="s">
        <v>1015</v>
      </c>
      <c r="B287" s="5" t="s">
        <v>705</v>
      </c>
      <c r="C287" s="5" t="s">
        <v>25</v>
      </c>
      <c r="D287" s="5" t="s">
        <v>24</v>
      </c>
      <c r="E287" s="5" t="s">
        <v>733</v>
      </c>
      <c r="F287" s="5" t="s">
        <v>296</v>
      </c>
      <c r="G287" s="5"/>
      <c r="H287" s="12" t="n">
        <v>0</v>
      </c>
      <c r="I287" s="5" t="str">
        <f aca="false">IF(H287=1,"ACCEPTED","OPEN")</f>
        <v>OPEN</v>
      </c>
      <c r="J287" s="3"/>
      <c r="K287" s="3"/>
      <c r="L287" s="3"/>
    </row>
    <row r="288" customFormat="false" ht="23.85" hidden="false" customHeight="false" outlineLevel="0" collapsed="false">
      <c r="A288" s="5" t="s">
        <v>1016</v>
      </c>
      <c r="B288" s="5" t="s">
        <v>705</v>
      </c>
      <c r="C288" s="5" t="s">
        <v>25</v>
      </c>
      <c r="D288" s="5" t="s">
        <v>24</v>
      </c>
      <c r="E288" s="5" t="s">
        <v>735</v>
      </c>
      <c r="F288" s="5" t="s">
        <v>296</v>
      </c>
      <c r="G288" s="5"/>
      <c r="H288" s="12" t="n">
        <v>0</v>
      </c>
      <c r="I288" s="5" t="str">
        <f aca="false">IF(H288=1,"ACCEPTED","OPEN")</f>
        <v>OPEN</v>
      </c>
      <c r="J288" s="3"/>
      <c r="K288" s="3"/>
      <c r="L288" s="3"/>
    </row>
    <row r="289" customFormat="false" ht="23.85" hidden="false" customHeight="false" outlineLevel="0" collapsed="false">
      <c r="A289" s="5" t="s">
        <v>1017</v>
      </c>
      <c r="B289" s="5" t="s">
        <v>705</v>
      </c>
      <c r="C289" s="5" t="s">
        <v>25</v>
      </c>
      <c r="D289" s="5" t="s">
        <v>24</v>
      </c>
      <c r="E289" s="5" t="s">
        <v>737</v>
      </c>
      <c r="F289" s="5" t="s">
        <v>296</v>
      </c>
      <c r="G289" s="5"/>
      <c r="H289" s="12" t="n">
        <v>0</v>
      </c>
      <c r="I289" s="5" t="str">
        <f aca="false">IF(H289=1,"ACCEPTED","OPEN")</f>
        <v>OPEN</v>
      </c>
      <c r="J289" s="3"/>
      <c r="K289" s="3"/>
      <c r="L289" s="3"/>
    </row>
    <row r="290" customFormat="false" ht="23.85" hidden="false" customHeight="false" outlineLevel="0" collapsed="false">
      <c r="A290" s="5" t="s">
        <v>1018</v>
      </c>
      <c r="B290" s="5" t="s">
        <v>706</v>
      </c>
      <c r="C290" s="5" t="s">
        <v>25</v>
      </c>
      <c r="D290" s="5" t="s">
        <v>24</v>
      </c>
      <c r="E290" s="5" t="s">
        <v>729</v>
      </c>
      <c r="F290" s="5" t="s">
        <v>296</v>
      </c>
      <c r="G290" s="5"/>
      <c r="H290" s="12" t="n">
        <v>0</v>
      </c>
      <c r="I290" s="5" t="str">
        <f aca="false">IF(H290=1,"ACCEPTED","OPEN")</f>
        <v>OPEN</v>
      </c>
      <c r="J290" s="3"/>
      <c r="K290" s="3"/>
      <c r="L290" s="3"/>
    </row>
    <row r="291" customFormat="false" ht="23.85" hidden="false" customHeight="false" outlineLevel="0" collapsed="false">
      <c r="A291" s="5" t="s">
        <v>1019</v>
      </c>
      <c r="B291" s="5" t="s">
        <v>706</v>
      </c>
      <c r="C291" s="5" t="s">
        <v>25</v>
      </c>
      <c r="D291" s="5" t="s">
        <v>24</v>
      </c>
      <c r="E291" s="5" t="s">
        <v>731</v>
      </c>
      <c r="F291" s="5" t="s">
        <v>296</v>
      </c>
      <c r="G291" s="5"/>
      <c r="H291" s="12" t="n">
        <v>0</v>
      </c>
      <c r="I291" s="5" t="str">
        <f aca="false">IF(H291=1,"ACCEPTED","OPEN")</f>
        <v>OPEN</v>
      </c>
      <c r="J291" s="3"/>
      <c r="K291" s="3"/>
      <c r="L291" s="3"/>
    </row>
    <row r="292" customFormat="false" ht="23.85" hidden="false" customHeight="false" outlineLevel="0" collapsed="false">
      <c r="A292" s="5" t="s">
        <v>1020</v>
      </c>
      <c r="B292" s="5" t="s">
        <v>706</v>
      </c>
      <c r="C292" s="5" t="s">
        <v>25</v>
      </c>
      <c r="D292" s="5" t="s">
        <v>24</v>
      </c>
      <c r="E292" s="5" t="s">
        <v>733</v>
      </c>
      <c r="F292" s="5" t="s">
        <v>296</v>
      </c>
      <c r="G292" s="5"/>
      <c r="H292" s="12" t="n">
        <v>0</v>
      </c>
      <c r="I292" s="5" t="str">
        <f aca="false">IF(H292=1,"ACCEPTED","OPEN")</f>
        <v>OPEN</v>
      </c>
      <c r="J292" s="3"/>
      <c r="K292" s="3"/>
      <c r="L292" s="3"/>
    </row>
    <row r="293" customFormat="false" ht="23.85" hidden="false" customHeight="false" outlineLevel="0" collapsed="false">
      <c r="A293" s="5" t="s">
        <v>1021</v>
      </c>
      <c r="B293" s="5" t="s">
        <v>706</v>
      </c>
      <c r="C293" s="5" t="s">
        <v>25</v>
      </c>
      <c r="D293" s="5" t="s">
        <v>24</v>
      </c>
      <c r="E293" s="5" t="s">
        <v>735</v>
      </c>
      <c r="F293" s="5" t="s">
        <v>296</v>
      </c>
      <c r="G293" s="5"/>
      <c r="H293" s="12" t="n">
        <v>0</v>
      </c>
      <c r="I293" s="5" t="str">
        <f aca="false">IF(H293=1,"ACCEPTED","OPEN")</f>
        <v>OPEN</v>
      </c>
      <c r="J293" s="3"/>
      <c r="K293" s="3"/>
      <c r="L293" s="3"/>
    </row>
    <row r="294" customFormat="false" ht="23.85" hidden="false" customHeight="false" outlineLevel="0" collapsed="false">
      <c r="A294" s="5" t="s">
        <v>1022</v>
      </c>
      <c r="B294" s="5" t="s">
        <v>706</v>
      </c>
      <c r="C294" s="5" t="s">
        <v>25</v>
      </c>
      <c r="D294" s="5" t="s">
        <v>24</v>
      </c>
      <c r="E294" s="5" t="s">
        <v>737</v>
      </c>
      <c r="F294" s="5" t="s">
        <v>296</v>
      </c>
      <c r="G294" s="5"/>
      <c r="H294" s="12" t="n">
        <v>0</v>
      </c>
      <c r="I294" s="5" t="str">
        <f aca="false">IF(H294=1,"ACCEPTED","OPEN")</f>
        <v>OPEN</v>
      </c>
      <c r="J294" s="3"/>
      <c r="K294" s="3"/>
      <c r="L294" s="3"/>
    </row>
    <row r="295" customFormat="false" ht="23.85" hidden="false" customHeight="false" outlineLevel="0" collapsed="false">
      <c r="A295" s="5" t="s">
        <v>1023</v>
      </c>
      <c r="B295" s="5" t="s">
        <v>707</v>
      </c>
      <c r="C295" s="5" t="s">
        <v>25</v>
      </c>
      <c r="D295" s="5" t="s">
        <v>24</v>
      </c>
      <c r="E295" s="5" t="s">
        <v>729</v>
      </c>
      <c r="F295" s="5" t="s">
        <v>296</v>
      </c>
      <c r="G295" s="5"/>
      <c r="H295" s="12" t="n">
        <v>0</v>
      </c>
      <c r="I295" s="5" t="str">
        <f aca="false">IF(H295=1,"ACCEPTED","OPEN")</f>
        <v>OPEN</v>
      </c>
      <c r="J295" s="3"/>
      <c r="K295" s="3"/>
      <c r="L295" s="3"/>
    </row>
    <row r="296" customFormat="false" ht="23.85" hidden="false" customHeight="false" outlineLevel="0" collapsed="false">
      <c r="A296" s="5" t="s">
        <v>1024</v>
      </c>
      <c r="B296" s="5" t="s">
        <v>707</v>
      </c>
      <c r="C296" s="5" t="s">
        <v>25</v>
      </c>
      <c r="D296" s="5" t="s">
        <v>24</v>
      </c>
      <c r="E296" s="5" t="s">
        <v>731</v>
      </c>
      <c r="F296" s="5" t="s">
        <v>296</v>
      </c>
      <c r="G296" s="5"/>
      <c r="H296" s="12" t="n">
        <v>0</v>
      </c>
      <c r="I296" s="5" t="str">
        <f aca="false">IF(H296=1,"ACCEPTED","OPEN")</f>
        <v>OPEN</v>
      </c>
      <c r="J296" s="3"/>
      <c r="K296" s="3"/>
      <c r="L296" s="3"/>
    </row>
    <row r="297" customFormat="false" ht="23.85" hidden="false" customHeight="false" outlineLevel="0" collapsed="false">
      <c r="A297" s="5" t="s">
        <v>1025</v>
      </c>
      <c r="B297" s="5" t="s">
        <v>707</v>
      </c>
      <c r="C297" s="5" t="s">
        <v>25</v>
      </c>
      <c r="D297" s="5" t="s">
        <v>24</v>
      </c>
      <c r="E297" s="5" t="s">
        <v>733</v>
      </c>
      <c r="F297" s="5" t="s">
        <v>296</v>
      </c>
      <c r="G297" s="5"/>
      <c r="H297" s="12" t="n">
        <v>0</v>
      </c>
      <c r="I297" s="5" t="str">
        <f aca="false">IF(H297=1,"ACCEPTED","OPEN")</f>
        <v>OPEN</v>
      </c>
      <c r="J297" s="3"/>
      <c r="K297" s="3"/>
      <c r="L297" s="3"/>
    </row>
    <row r="298" customFormat="false" ht="23.85" hidden="false" customHeight="false" outlineLevel="0" collapsed="false">
      <c r="A298" s="5" t="s">
        <v>1026</v>
      </c>
      <c r="B298" s="5" t="s">
        <v>707</v>
      </c>
      <c r="C298" s="5" t="s">
        <v>25</v>
      </c>
      <c r="D298" s="5" t="s">
        <v>24</v>
      </c>
      <c r="E298" s="5" t="s">
        <v>735</v>
      </c>
      <c r="F298" s="5" t="s">
        <v>296</v>
      </c>
      <c r="G298" s="5"/>
      <c r="H298" s="12" t="n">
        <v>0</v>
      </c>
      <c r="I298" s="5" t="str">
        <f aca="false">IF(H298=1,"ACCEPTED","OPEN")</f>
        <v>OPEN</v>
      </c>
      <c r="J298" s="3"/>
      <c r="K298" s="3"/>
      <c r="L298" s="3"/>
    </row>
    <row r="299" customFormat="false" ht="23.85" hidden="false" customHeight="false" outlineLevel="0" collapsed="false">
      <c r="A299" s="5" t="s">
        <v>1027</v>
      </c>
      <c r="B299" s="5" t="s">
        <v>707</v>
      </c>
      <c r="C299" s="5" t="s">
        <v>25</v>
      </c>
      <c r="D299" s="5" t="s">
        <v>24</v>
      </c>
      <c r="E299" s="5" t="s">
        <v>737</v>
      </c>
      <c r="F299" s="5" t="s">
        <v>296</v>
      </c>
      <c r="G299" s="5"/>
      <c r="H299" s="12" t="n">
        <v>0</v>
      </c>
      <c r="I299" s="5" t="str">
        <f aca="false">IF(H299=1,"ACCEPTED","OPEN")</f>
        <v>OPEN</v>
      </c>
      <c r="J299" s="3"/>
      <c r="K299" s="3"/>
      <c r="L299" s="3"/>
    </row>
    <row r="300" customFormat="false" ht="23.85" hidden="false" customHeight="false" outlineLevel="0" collapsed="false">
      <c r="A300" s="5" t="s">
        <v>1028</v>
      </c>
      <c r="B300" s="5" t="s">
        <v>708</v>
      </c>
      <c r="C300" s="5" t="s">
        <v>25</v>
      </c>
      <c r="D300" s="5" t="s">
        <v>24</v>
      </c>
      <c r="E300" s="5" t="s">
        <v>729</v>
      </c>
      <c r="F300" s="5" t="s">
        <v>296</v>
      </c>
      <c r="G300" s="5"/>
      <c r="H300" s="12" t="n">
        <v>0</v>
      </c>
      <c r="I300" s="5" t="str">
        <f aca="false">IF(H300=1,"ACCEPTED","OPEN")</f>
        <v>OPEN</v>
      </c>
      <c r="J300" s="3"/>
      <c r="K300" s="3"/>
      <c r="L300" s="3"/>
    </row>
    <row r="301" customFormat="false" ht="23.85" hidden="false" customHeight="false" outlineLevel="0" collapsed="false">
      <c r="A301" s="5" t="s">
        <v>1029</v>
      </c>
      <c r="B301" s="5" t="s">
        <v>708</v>
      </c>
      <c r="C301" s="5" t="s">
        <v>25</v>
      </c>
      <c r="D301" s="5" t="s">
        <v>24</v>
      </c>
      <c r="E301" s="5" t="s">
        <v>731</v>
      </c>
      <c r="F301" s="5" t="s">
        <v>296</v>
      </c>
      <c r="G301" s="5"/>
      <c r="H301" s="12" t="n">
        <v>0</v>
      </c>
      <c r="I301" s="5" t="str">
        <f aca="false">IF(H301=1,"ACCEPTED","OPEN")</f>
        <v>OPEN</v>
      </c>
      <c r="J301" s="3"/>
      <c r="K301" s="3"/>
      <c r="L301" s="3"/>
    </row>
    <row r="302" customFormat="false" ht="23.85" hidden="false" customHeight="false" outlineLevel="0" collapsed="false">
      <c r="A302" s="5" t="s">
        <v>1030</v>
      </c>
      <c r="B302" s="5" t="s">
        <v>708</v>
      </c>
      <c r="C302" s="5" t="s">
        <v>25</v>
      </c>
      <c r="D302" s="5" t="s">
        <v>24</v>
      </c>
      <c r="E302" s="5" t="s">
        <v>733</v>
      </c>
      <c r="F302" s="5" t="s">
        <v>296</v>
      </c>
      <c r="G302" s="5"/>
      <c r="H302" s="12" t="n">
        <v>0</v>
      </c>
      <c r="I302" s="5" t="str">
        <f aca="false">IF(H302=1,"ACCEPTED","OPEN")</f>
        <v>OPEN</v>
      </c>
      <c r="J302" s="3"/>
      <c r="K302" s="3"/>
      <c r="L302" s="3"/>
    </row>
    <row r="303" customFormat="false" ht="23.85" hidden="false" customHeight="false" outlineLevel="0" collapsed="false">
      <c r="A303" s="5" t="s">
        <v>1031</v>
      </c>
      <c r="B303" s="5" t="s">
        <v>708</v>
      </c>
      <c r="C303" s="5" t="s">
        <v>25</v>
      </c>
      <c r="D303" s="5" t="s">
        <v>24</v>
      </c>
      <c r="E303" s="5" t="s">
        <v>735</v>
      </c>
      <c r="F303" s="5" t="s">
        <v>296</v>
      </c>
      <c r="G303" s="5"/>
      <c r="H303" s="12" t="n">
        <v>0</v>
      </c>
      <c r="I303" s="5" t="str">
        <f aca="false">IF(H303=1,"ACCEPTED","OPEN")</f>
        <v>OPEN</v>
      </c>
      <c r="J303" s="3"/>
      <c r="K303" s="3"/>
      <c r="L303" s="3"/>
    </row>
    <row r="304" customFormat="false" ht="23.85" hidden="false" customHeight="false" outlineLevel="0" collapsed="false">
      <c r="A304" s="5" t="s">
        <v>1032</v>
      </c>
      <c r="B304" s="5" t="s">
        <v>708</v>
      </c>
      <c r="C304" s="5" t="s">
        <v>25</v>
      </c>
      <c r="D304" s="5" t="s">
        <v>24</v>
      </c>
      <c r="E304" s="5" t="s">
        <v>737</v>
      </c>
      <c r="F304" s="5" t="s">
        <v>296</v>
      </c>
      <c r="G304" s="5"/>
      <c r="H304" s="12" t="n">
        <v>0</v>
      </c>
      <c r="I304" s="5" t="str">
        <f aca="false">IF(H304=1,"ACCEPTED","OPEN")</f>
        <v>OPEN</v>
      </c>
      <c r="J304" s="3"/>
      <c r="K304" s="3"/>
      <c r="L304" s="3"/>
    </row>
    <row r="305" customFormat="false" ht="23.85" hidden="false" customHeight="false" outlineLevel="0" collapsed="false">
      <c r="A305" s="5" t="s">
        <v>1033</v>
      </c>
      <c r="B305" s="5" t="s">
        <v>709</v>
      </c>
      <c r="C305" s="5" t="s">
        <v>32</v>
      </c>
      <c r="D305" s="5" t="s">
        <v>31</v>
      </c>
      <c r="E305" s="5" t="s">
        <v>729</v>
      </c>
      <c r="F305" s="5" t="s">
        <v>296</v>
      </c>
      <c r="G305" s="5"/>
      <c r="H305" s="12" t="n">
        <v>0</v>
      </c>
      <c r="I305" s="5" t="str">
        <f aca="false">IF(H305=1,"ACCEPTED","OPEN")</f>
        <v>OPEN</v>
      </c>
      <c r="J305" s="3"/>
      <c r="K305" s="3"/>
      <c r="L305" s="3"/>
    </row>
    <row r="306" customFormat="false" ht="23.85" hidden="false" customHeight="false" outlineLevel="0" collapsed="false">
      <c r="A306" s="5" t="s">
        <v>1034</v>
      </c>
      <c r="B306" s="5" t="s">
        <v>709</v>
      </c>
      <c r="C306" s="5" t="s">
        <v>32</v>
      </c>
      <c r="D306" s="5" t="s">
        <v>31</v>
      </c>
      <c r="E306" s="5" t="s">
        <v>731</v>
      </c>
      <c r="F306" s="5" t="s">
        <v>296</v>
      </c>
      <c r="G306" s="5"/>
      <c r="H306" s="12" t="n">
        <v>0</v>
      </c>
      <c r="I306" s="5" t="str">
        <f aca="false">IF(H306=1,"ACCEPTED","OPEN")</f>
        <v>OPEN</v>
      </c>
      <c r="J306" s="3"/>
      <c r="K306" s="3"/>
      <c r="L306" s="3"/>
    </row>
    <row r="307" customFormat="false" ht="23.85" hidden="false" customHeight="false" outlineLevel="0" collapsed="false">
      <c r="A307" s="5" t="s">
        <v>1035</v>
      </c>
      <c r="B307" s="5" t="s">
        <v>709</v>
      </c>
      <c r="C307" s="5" t="s">
        <v>32</v>
      </c>
      <c r="D307" s="5" t="s">
        <v>31</v>
      </c>
      <c r="E307" s="5" t="s">
        <v>733</v>
      </c>
      <c r="F307" s="5" t="s">
        <v>296</v>
      </c>
      <c r="G307" s="5"/>
      <c r="H307" s="12" t="n">
        <v>0</v>
      </c>
      <c r="I307" s="5" t="str">
        <f aca="false">IF(H307=1,"ACCEPTED","OPEN")</f>
        <v>OPEN</v>
      </c>
      <c r="J307" s="3"/>
      <c r="K307" s="3"/>
      <c r="L307" s="3"/>
    </row>
    <row r="308" customFormat="false" ht="23.85" hidden="false" customHeight="false" outlineLevel="0" collapsed="false">
      <c r="A308" s="5" t="s">
        <v>1036</v>
      </c>
      <c r="B308" s="5" t="s">
        <v>709</v>
      </c>
      <c r="C308" s="5" t="s">
        <v>32</v>
      </c>
      <c r="D308" s="5" t="s">
        <v>31</v>
      </c>
      <c r="E308" s="5" t="s">
        <v>735</v>
      </c>
      <c r="F308" s="5" t="s">
        <v>296</v>
      </c>
      <c r="G308" s="5"/>
      <c r="H308" s="12" t="n">
        <v>0</v>
      </c>
      <c r="I308" s="5" t="str">
        <f aca="false">IF(H308=1,"ACCEPTED","OPEN")</f>
        <v>OPEN</v>
      </c>
      <c r="J308" s="3"/>
      <c r="K308" s="3"/>
      <c r="L308" s="3"/>
    </row>
    <row r="309" customFormat="false" ht="23.85" hidden="false" customHeight="false" outlineLevel="0" collapsed="false">
      <c r="A309" s="5" t="s">
        <v>1037</v>
      </c>
      <c r="B309" s="5" t="s">
        <v>709</v>
      </c>
      <c r="C309" s="5" t="s">
        <v>32</v>
      </c>
      <c r="D309" s="5" t="s">
        <v>31</v>
      </c>
      <c r="E309" s="5" t="s">
        <v>737</v>
      </c>
      <c r="F309" s="5" t="s">
        <v>296</v>
      </c>
      <c r="G309" s="5"/>
      <c r="H309" s="12" t="n">
        <v>0</v>
      </c>
      <c r="I309" s="5" t="str">
        <f aca="false">IF(H309=1,"ACCEPTED","OPEN")</f>
        <v>OPEN</v>
      </c>
      <c r="J309" s="3"/>
      <c r="K309" s="3"/>
      <c r="L309" s="3"/>
    </row>
    <row r="310" customFormat="false" ht="23.85" hidden="false" customHeight="false" outlineLevel="0" collapsed="false">
      <c r="A310" s="5" t="s">
        <v>1038</v>
      </c>
      <c r="B310" s="5" t="s">
        <v>711</v>
      </c>
      <c r="C310" s="5" t="s">
        <v>32</v>
      </c>
      <c r="D310" s="5" t="s">
        <v>31</v>
      </c>
      <c r="E310" s="5" t="s">
        <v>729</v>
      </c>
      <c r="F310" s="5" t="s">
        <v>296</v>
      </c>
      <c r="G310" s="5"/>
      <c r="H310" s="12" t="n">
        <v>0</v>
      </c>
      <c r="I310" s="5" t="str">
        <f aca="false">IF(H310=1,"ACCEPTED","OPEN")</f>
        <v>OPEN</v>
      </c>
      <c r="J310" s="3"/>
      <c r="K310" s="3"/>
      <c r="L310" s="3"/>
    </row>
    <row r="311" customFormat="false" ht="23.85" hidden="false" customHeight="false" outlineLevel="0" collapsed="false">
      <c r="A311" s="5" t="s">
        <v>1039</v>
      </c>
      <c r="B311" s="5" t="s">
        <v>711</v>
      </c>
      <c r="C311" s="5" t="s">
        <v>32</v>
      </c>
      <c r="D311" s="5" t="s">
        <v>31</v>
      </c>
      <c r="E311" s="5" t="s">
        <v>731</v>
      </c>
      <c r="F311" s="5" t="s">
        <v>296</v>
      </c>
      <c r="G311" s="5"/>
      <c r="H311" s="12" t="n">
        <v>0</v>
      </c>
      <c r="I311" s="5" t="str">
        <f aca="false">IF(H311=1,"ACCEPTED","OPEN")</f>
        <v>OPEN</v>
      </c>
      <c r="J311" s="3"/>
      <c r="K311" s="3"/>
      <c r="L311" s="3"/>
    </row>
    <row r="312" customFormat="false" ht="23.85" hidden="false" customHeight="false" outlineLevel="0" collapsed="false">
      <c r="A312" s="5" t="s">
        <v>1040</v>
      </c>
      <c r="B312" s="5" t="s">
        <v>711</v>
      </c>
      <c r="C312" s="5" t="s">
        <v>32</v>
      </c>
      <c r="D312" s="5" t="s">
        <v>31</v>
      </c>
      <c r="E312" s="5" t="s">
        <v>733</v>
      </c>
      <c r="F312" s="5" t="s">
        <v>296</v>
      </c>
      <c r="G312" s="5"/>
      <c r="H312" s="12" t="n">
        <v>0</v>
      </c>
      <c r="I312" s="5" t="str">
        <f aca="false">IF(H312=1,"ACCEPTED","OPEN")</f>
        <v>OPEN</v>
      </c>
      <c r="J312" s="3"/>
      <c r="K312" s="3"/>
      <c r="L312" s="3"/>
    </row>
    <row r="313" customFormat="false" ht="23.85" hidden="false" customHeight="false" outlineLevel="0" collapsed="false">
      <c r="A313" s="5" t="s">
        <v>1041</v>
      </c>
      <c r="B313" s="5" t="s">
        <v>711</v>
      </c>
      <c r="C313" s="5" t="s">
        <v>32</v>
      </c>
      <c r="D313" s="5" t="s">
        <v>31</v>
      </c>
      <c r="E313" s="5" t="s">
        <v>735</v>
      </c>
      <c r="F313" s="5" t="s">
        <v>296</v>
      </c>
      <c r="G313" s="5"/>
      <c r="H313" s="12" t="n">
        <v>0</v>
      </c>
      <c r="I313" s="5" t="str">
        <f aca="false">IF(H313=1,"ACCEPTED","OPEN")</f>
        <v>OPEN</v>
      </c>
      <c r="J313" s="3"/>
      <c r="K313" s="3"/>
      <c r="L313" s="3"/>
    </row>
    <row r="314" customFormat="false" ht="23.85" hidden="false" customHeight="false" outlineLevel="0" collapsed="false">
      <c r="A314" s="5" t="s">
        <v>1042</v>
      </c>
      <c r="B314" s="5" t="s">
        <v>711</v>
      </c>
      <c r="C314" s="5" t="s">
        <v>32</v>
      </c>
      <c r="D314" s="5" t="s">
        <v>31</v>
      </c>
      <c r="E314" s="5" t="s">
        <v>737</v>
      </c>
      <c r="F314" s="5" t="s">
        <v>296</v>
      </c>
      <c r="G314" s="5"/>
      <c r="H314" s="12" t="n">
        <v>0</v>
      </c>
      <c r="I314" s="5" t="str">
        <f aca="false">IF(H314=1,"ACCEPTED","OPEN")</f>
        <v>OPEN</v>
      </c>
      <c r="J314" s="3"/>
      <c r="K314" s="3"/>
      <c r="L314" s="3"/>
    </row>
    <row r="315" customFormat="false" ht="23.85" hidden="false" customHeight="false" outlineLevel="0" collapsed="false">
      <c r="A315" s="5" t="s">
        <v>1043</v>
      </c>
      <c r="B315" s="5" t="s">
        <v>712</v>
      </c>
      <c r="C315" s="5" t="s">
        <v>32</v>
      </c>
      <c r="D315" s="5" t="s">
        <v>31</v>
      </c>
      <c r="E315" s="5" t="s">
        <v>729</v>
      </c>
      <c r="F315" s="5" t="s">
        <v>296</v>
      </c>
      <c r="G315" s="5"/>
      <c r="H315" s="12" t="n">
        <v>0</v>
      </c>
      <c r="I315" s="5" t="str">
        <f aca="false">IF(H315=1,"ACCEPTED","OPEN")</f>
        <v>OPEN</v>
      </c>
      <c r="J315" s="3"/>
      <c r="K315" s="3"/>
      <c r="L315" s="3"/>
    </row>
    <row r="316" customFormat="false" ht="23.85" hidden="false" customHeight="false" outlineLevel="0" collapsed="false">
      <c r="A316" s="5" t="s">
        <v>1044</v>
      </c>
      <c r="B316" s="5" t="s">
        <v>712</v>
      </c>
      <c r="C316" s="5" t="s">
        <v>32</v>
      </c>
      <c r="D316" s="5" t="s">
        <v>31</v>
      </c>
      <c r="E316" s="5" t="s">
        <v>731</v>
      </c>
      <c r="F316" s="5" t="s">
        <v>296</v>
      </c>
      <c r="G316" s="5"/>
      <c r="H316" s="12" t="n">
        <v>0</v>
      </c>
      <c r="I316" s="5" t="str">
        <f aca="false">IF(H316=1,"ACCEPTED","OPEN")</f>
        <v>OPEN</v>
      </c>
      <c r="J316" s="3"/>
      <c r="K316" s="3"/>
      <c r="L316" s="3"/>
    </row>
    <row r="317" customFormat="false" ht="23.85" hidden="false" customHeight="false" outlineLevel="0" collapsed="false">
      <c r="A317" s="5" t="s">
        <v>1045</v>
      </c>
      <c r="B317" s="5" t="s">
        <v>712</v>
      </c>
      <c r="C317" s="5" t="s">
        <v>32</v>
      </c>
      <c r="D317" s="5" t="s">
        <v>31</v>
      </c>
      <c r="E317" s="5" t="s">
        <v>733</v>
      </c>
      <c r="F317" s="5" t="s">
        <v>296</v>
      </c>
      <c r="G317" s="5"/>
      <c r="H317" s="12" t="n">
        <v>0</v>
      </c>
      <c r="I317" s="5" t="str">
        <f aca="false">IF(H317=1,"ACCEPTED","OPEN")</f>
        <v>OPEN</v>
      </c>
      <c r="J317" s="3"/>
      <c r="K317" s="3"/>
      <c r="L317" s="3"/>
    </row>
    <row r="318" customFormat="false" ht="23.85" hidden="false" customHeight="false" outlineLevel="0" collapsed="false">
      <c r="A318" s="5" t="s">
        <v>1046</v>
      </c>
      <c r="B318" s="5" t="s">
        <v>712</v>
      </c>
      <c r="C318" s="5" t="s">
        <v>32</v>
      </c>
      <c r="D318" s="5" t="s">
        <v>31</v>
      </c>
      <c r="E318" s="5" t="s">
        <v>735</v>
      </c>
      <c r="F318" s="5" t="s">
        <v>296</v>
      </c>
      <c r="G318" s="5"/>
      <c r="H318" s="12" t="n">
        <v>0</v>
      </c>
      <c r="I318" s="5" t="str">
        <f aca="false">IF(H318=1,"ACCEPTED","OPEN")</f>
        <v>OPEN</v>
      </c>
      <c r="J318" s="3"/>
      <c r="K318" s="3"/>
      <c r="L318" s="3"/>
    </row>
    <row r="319" customFormat="false" ht="23.85" hidden="false" customHeight="false" outlineLevel="0" collapsed="false">
      <c r="A319" s="5" t="s">
        <v>1047</v>
      </c>
      <c r="B319" s="5" t="s">
        <v>712</v>
      </c>
      <c r="C319" s="5" t="s">
        <v>32</v>
      </c>
      <c r="D319" s="5" t="s">
        <v>31</v>
      </c>
      <c r="E319" s="5" t="s">
        <v>737</v>
      </c>
      <c r="F319" s="5" t="s">
        <v>296</v>
      </c>
      <c r="G319" s="5"/>
      <c r="H319" s="12" t="n">
        <v>0</v>
      </c>
      <c r="I319" s="5" t="str">
        <f aca="false">IF(H319=1,"ACCEPTED","OPEN")</f>
        <v>OPEN</v>
      </c>
      <c r="J319" s="3"/>
      <c r="K319" s="3"/>
      <c r="L319" s="3"/>
    </row>
    <row r="320" customFormat="false" ht="23.85" hidden="false" customHeight="false" outlineLevel="0" collapsed="false">
      <c r="A320" s="5" t="s">
        <v>1048</v>
      </c>
      <c r="B320" s="5" t="s">
        <v>713</v>
      </c>
      <c r="C320" s="5" t="s">
        <v>32</v>
      </c>
      <c r="D320" s="5" t="s">
        <v>31</v>
      </c>
      <c r="E320" s="5" t="s">
        <v>729</v>
      </c>
      <c r="F320" s="5" t="s">
        <v>296</v>
      </c>
      <c r="G320" s="5"/>
      <c r="H320" s="12" t="n">
        <v>0</v>
      </c>
      <c r="I320" s="5" t="str">
        <f aca="false">IF(H320=1,"ACCEPTED","OPEN")</f>
        <v>OPEN</v>
      </c>
      <c r="J320" s="3"/>
      <c r="K320" s="3"/>
      <c r="L320" s="3"/>
    </row>
    <row r="321" customFormat="false" ht="23.85" hidden="false" customHeight="false" outlineLevel="0" collapsed="false">
      <c r="A321" s="5" t="s">
        <v>1049</v>
      </c>
      <c r="B321" s="5" t="s">
        <v>713</v>
      </c>
      <c r="C321" s="5" t="s">
        <v>32</v>
      </c>
      <c r="D321" s="5" t="s">
        <v>31</v>
      </c>
      <c r="E321" s="5" t="s">
        <v>731</v>
      </c>
      <c r="F321" s="5" t="s">
        <v>296</v>
      </c>
      <c r="G321" s="5"/>
      <c r="H321" s="12" t="n">
        <v>0</v>
      </c>
      <c r="I321" s="5" t="str">
        <f aca="false">IF(H321=1,"ACCEPTED","OPEN")</f>
        <v>OPEN</v>
      </c>
      <c r="J321" s="3"/>
      <c r="K321" s="3"/>
      <c r="L321" s="3"/>
    </row>
    <row r="322" customFormat="false" ht="23.85" hidden="false" customHeight="false" outlineLevel="0" collapsed="false">
      <c r="A322" s="5" t="s">
        <v>1050</v>
      </c>
      <c r="B322" s="5" t="s">
        <v>713</v>
      </c>
      <c r="C322" s="5" t="s">
        <v>32</v>
      </c>
      <c r="D322" s="5" t="s">
        <v>31</v>
      </c>
      <c r="E322" s="5" t="s">
        <v>733</v>
      </c>
      <c r="F322" s="5" t="s">
        <v>296</v>
      </c>
      <c r="G322" s="5"/>
      <c r="H322" s="12" t="n">
        <v>0</v>
      </c>
      <c r="I322" s="5" t="str">
        <f aca="false">IF(H322=1,"ACCEPTED","OPEN")</f>
        <v>OPEN</v>
      </c>
      <c r="J322" s="3"/>
      <c r="K322" s="3"/>
      <c r="L322" s="3"/>
    </row>
    <row r="323" customFormat="false" ht="23.85" hidden="false" customHeight="false" outlineLevel="0" collapsed="false">
      <c r="A323" s="5" t="s">
        <v>1051</v>
      </c>
      <c r="B323" s="5" t="s">
        <v>713</v>
      </c>
      <c r="C323" s="5" t="s">
        <v>32</v>
      </c>
      <c r="D323" s="5" t="s">
        <v>31</v>
      </c>
      <c r="E323" s="5" t="s">
        <v>735</v>
      </c>
      <c r="F323" s="5" t="s">
        <v>296</v>
      </c>
      <c r="G323" s="5"/>
      <c r="H323" s="12" t="n">
        <v>0</v>
      </c>
      <c r="I323" s="5" t="str">
        <f aca="false">IF(H323=1,"ACCEPTED","OPEN")</f>
        <v>OPEN</v>
      </c>
      <c r="J323" s="3"/>
      <c r="K323" s="3"/>
      <c r="L323" s="3"/>
    </row>
    <row r="324" customFormat="false" ht="23.85" hidden="false" customHeight="false" outlineLevel="0" collapsed="false">
      <c r="A324" s="5" t="s">
        <v>1052</v>
      </c>
      <c r="B324" s="5" t="s">
        <v>713</v>
      </c>
      <c r="C324" s="5" t="s">
        <v>32</v>
      </c>
      <c r="D324" s="5" t="s">
        <v>31</v>
      </c>
      <c r="E324" s="5" t="s">
        <v>737</v>
      </c>
      <c r="F324" s="5" t="s">
        <v>296</v>
      </c>
      <c r="G324" s="5"/>
      <c r="H324" s="12" t="n">
        <v>0</v>
      </c>
      <c r="I324" s="5" t="str">
        <f aca="false">IF(H324=1,"ACCEPTED","OPEN")</f>
        <v>OPEN</v>
      </c>
      <c r="J324" s="3"/>
      <c r="K324" s="3"/>
      <c r="L324" s="3"/>
    </row>
    <row r="325" customFormat="false" ht="23.85" hidden="false" customHeight="false" outlineLevel="0" collapsed="false">
      <c r="A325" s="5" t="s">
        <v>1053</v>
      </c>
      <c r="B325" s="5" t="s">
        <v>714</v>
      </c>
      <c r="C325" s="5" t="s">
        <v>32</v>
      </c>
      <c r="D325" s="5" t="s">
        <v>31</v>
      </c>
      <c r="E325" s="5" t="s">
        <v>729</v>
      </c>
      <c r="F325" s="5" t="s">
        <v>296</v>
      </c>
      <c r="G325" s="5"/>
      <c r="H325" s="12" t="n">
        <v>0</v>
      </c>
      <c r="I325" s="5" t="str">
        <f aca="false">IF(H325=1,"ACCEPTED","OPEN")</f>
        <v>OPEN</v>
      </c>
      <c r="J325" s="3"/>
      <c r="K325" s="3"/>
      <c r="L325" s="3"/>
    </row>
    <row r="326" customFormat="false" ht="23.85" hidden="false" customHeight="false" outlineLevel="0" collapsed="false">
      <c r="A326" s="5" t="s">
        <v>1054</v>
      </c>
      <c r="B326" s="5" t="s">
        <v>714</v>
      </c>
      <c r="C326" s="5" t="s">
        <v>32</v>
      </c>
      <c r="D326" s="5" t="s">
        <v>31</v>
      </c>
      <c r="E326" s="5" t="s">
        <v>731</v>
      </c>
      <c r="F326" s="5" t="s">
        <v>296</v>
      </c>
      <c r="G326" s="5"/>
      <c r="H326" s="12" t="n">
        <v>0</v>
      </c>
      <c r="I326" s="5" t="str">
        <f aca="false">IF(H326=1,"ACCEPTED","OPEN")</f>
        <v>OPEN</v>
      </c>
      <c r="J326" s="3"/>
      <c r="K326" s="3"/>
      <c r="L326" s="3"/>
    </row>
    <row r="327" customFormat="false" ht="23.85" hidden="false" customHeight="false" outlineLevel="0" collapsed="false">
      <c r="A327" s="5" t="s">
        <v>1055</v>
      </c>
      <c r="B327" s="5" t="s">
        <v>714</v>
      </c>
      <c r="C327" s="5" t="s">
        <v>32</v>
      </c>
      <c r="D327" s="5" t="s">
        <v>31</v>
      </c>
      <c r="E327" s="5" t="s">
        <v>733</v>
      </c>
      <c r="F327" s="5" t="s">
        <v>296</v>
      </c>
      <c r="G327" s="5"/>
      <c r="H327" s="12" t="n">
        <v>0</v>
      </c>
      <c r="I327" s="5" t="str">
        <f aca="false">IF(H327=1,"ACCEPTED","OPEN")</f>
        <v>OPEN</v>
      </c>
      <c r="J327" s="3"/>
      <c r="K327" s="3"/>
      <c r="L327" s="3"/>
    </row>
    <row r="328" customFormat="false" ht="23.85" hidden="false" customHeight="false" outlineLevel="0" collapsed="false">
      <c r="A328" s="5" t="s">
        <v>1056</v>
      </c>
      <c r="B328" s="5" t="s">
        <v>714</v>
      </c>
      <c r="C328" s="5" t="s">
        <v>32</v>
      </c>
      <c r="D328" s="5" t="s">
        <v>31</v>
      </c>
      <c r="E328" s="5" t="s">
        <v>735</v>
      </c>
      <c r="F328" s="5" t="s">
        <v>296</v>
      </c>
      <c r="G328" s="5"/>
      <c r="H328" s="12" t="n">
        <v>0</v>
      </c>
      <c r="I328" s="5" t="str">
        <f aca="false">IF(H328=1,"ACCEPTED","OPEN")</f>
        <v>OPEN</v>
      </c>
      <c r="J328" s="3"/>
      <c r="K328" s="3"/>
      <c r="L328" s="3"/>
    </row>
    <row r="329" customFormat="false" ht="23.85" hidden="false" customHeight="false" outlineLevel="0" collapsed="false">
      <c r="A329" s="5" t="s">
        <v>1057</v>
      </c>
      <c r="B329" s="5" t="s">
        <v>714</v>
      </c>
      <c r="C329" s="5" t="s">
        <v>32</v>
      </c>
      <c r="D329" s="5" t="s">
        <v>31</v>
      </c>
      <c r="E329" s="5" t="s">
        <v>737</v>
      </c>
      <c r="F329" s="5" t="s">
        <v>296</v>
      </c>
      <c r="G329" s="5"/>
      <c r="H329" s="12" t="n">
        <v>0</v>
      </c>
      <c r="I329" s="5" t="str">
        <f aca="false">IF(H329=1,"ACCEPTED","OPEN")</f>
        <v>OPEN</v>
      </c>
      <c r="J329" s="3"/>
      <c r="K329" s="3"/>
      <c r="L329" s="3"/>
    </row>
    <row r="330" customFormat="false" ht="23.85" hidden="false" customHeight="false" outlineLevel="0" collapsed="false">
      <c r="A330" s="5" t="s">
        <v>1058</v>
      </c>
      <c r="B330" s="5" t="s">
        <v>715</v>
      </c>
      <c r="C330" s="5" t="s">
        <v>32</v>
      </c>
      <c r="D330" s="5" t="s">
        <v>31</v>
      </c>
      <c r="E330" s="5" t="s">
        <v>729</v>
      </c>
      <c r="F330" s="5" t="s">
        <v>296</v>
      </c>
      <c r="G330" s="5"/>
      <c r="H330" s="12" t="n">
        <v>0</v>
      </c>
      <c r="I330" s="5" t="str">
        <f aca="false">IF(H330=1,"ACCEPTED","OPEN")</f>
        <v>OPEN</v>
      </c>
      <c r="J330" s="3"/>
      <c r="K330" s="3"/>
      <c r="L330" s="3"/>
    </row>
    <row r="331" customFormat="false" ht="23.85" hidden="false" customHeight="false" outlineLevel="0" collapsed="false">
      <c r="A331" s="5" t="s">
        <v>1059</v>
      </c>
      <c r="B331" s="5" t="s">
        <v>715</v>
      </c>
      <c r="C331" s="5" t="s">
        <v>32</v>
      </c>
      <c r="D331" s="5" t="s">
        <v>31</v>
      </c>
      <c r="E331" s="5" t="s">
        <v>731</v>
      </c>
      <c r="F331" s="5" t="s">
        <v>296</v>
      </c>
      <c r="G331" s="5"/>
      <c r="H331" s="12" t="n">
        <v>0</v>
      </c>
      <c r="I331" s="5" t="str">
        <f aca="false">IF(H331=1,"ACCEPTED","OPEN")</f>
        <v>OPEN</v>
      </c>
      <c r="J331" s="3"/>
      <c r="K331" s="3"/>
      <c r="L331" s="3"/>
    </row>
    <row r="332" customFormat="false" ht="23.85" hidden="false" customHeight="false" outlineLevel="0" collapsed="false">
      <c r="A332" s="5" t="s">
        <v>1060</v>
      </c>
      <c r="B332" s="5" t="s">
        <v>715</v>
      </c>
      <c r="C332" s="5" t="s">
        <v>32</v>
      </c>
      <c r="D332" s="5" t="s">
        <v>31</v>
      </c>
      <c r="E332" s="5" t="s">
        <v>733</v>
      </c>
      <c r="F332" s="5" t="s">
        <v>296</v>
      </c>
      <c r="G332" s="5"/>
      <c r="H332" s="12" t="n">
        <v>0</v>
      </c>
      <c r="I332" s="5" t="str">
        <f aca="false">IF(H332=1,"ACCEPTED","OPEN")</f>
        <v>OPEN</v>
      </c>
      <c r="J332" s="3"/>
      <c r="K332" s="3"/>
      <c r="L332" s="3"/>
    </row>
    <row r="333" customFormat="false" ht="23.85" hidden="false" customHeight="false" outlineLevel="0" collapsed="false">
      <c r="A333" s="5" t="s">
        <v>1061</v>
      </c>
      <c r="B333" s="5" t="s">
        <v>715</v>
      </c>
      <c r="C333" s="5" t="s">
        <v>32</v>
      </c>
      <c r="D333" s="5" t="s">
        <v>31</v>
      </c>
      <c r="E333" s="5" t="s">
        <v>735</v>
      </c>
      <c r="F333" s="5" t="s">
        <v>296</v>
      </c>
      <c r="G333" s="5"/>
      <c r="H333" s="12" t="n">
        <v>0</v>
      </c>
      <c r="I333" s="5" t="str">
        <f aca="false">IF(H333=1,"ACCEPTED","OPEN")</f>
        <v>OPEN</v>
      </c>
      <c r="J333" s="3"/>
      <c r="K333" s="3"/>
      <c r="L333" s="3"/>
    </row>
    <row r="334" customFormat="false" ht="23.85" hidden="false" customHeight="false" outlineLevel="0" collapsed="false">
      <c r="A334" s="5" t="s">
        <v>1062</v>
      </c>
      <c r="B334" s="5" t="s">
        <v>715</v>
      </c>
      <c r="C334" s="5" t="s">
        <v>32</v>
      </c>
      <c r="D334" s="5" t="s">
        <v>31</v>
      </c>
      <c r="E334" s="5" t="s">
        <v>737</v>
      </c>
      <c r="F334" s="5" t="s">
        <v>296</v>
      </c>
      <c r="G334" s="5"/>
      <c r="H334" s="12" t="n">
        <v>0</v>
      </c>
      <c r="I334" s="5" t="str">
        <f aca="false">IF(H334=1,"ACCEPTED","OPEN")</f>
        <v>OPEN</v>
      </c>
      <c r="J334" s="3"/>
      <c r="K334" s="3"/>
      <c r="L334" s="3"/>
    </row>
    <row r="335" customFormat="false" ht="23.85" hidden="false" customHeight="false" outlineLevel="0" collapsed="false">
      <c r="A335" s="5" t="s">
        <v>1063</v>
      </c>
      <c r="B335" s="5" t="s">
        <v>716</v>
      </c>
      <c r="C335" s="5" t="s">
        <v>32</v>
      </c>
      <c r="D335" s="5" t="s">
        <v>31</v>
      </c>
      <c r="E335" s="5" t="s">
        <v>729</v>
      </c>
      <c r="F335" s="5" t="s">
        <v>296</v>
      </c>
      <c r="G335" s="5"/>
      <c r="H335" s="12" t="n">
        <v>0</v>
      </c>
      <c r="I335" s="5" t="str">
        <f aca="false">IF(H335=1,"ACCEPTED","OPEN")</f>
        <v>OPEN</v>
      </c>
      <c r="J335" s="3"/>
      <c r="K335" s="3"/>
      <c r="L335" s="3"/>
    </row>
    <row r="336" customFormat="false" ht="23.85" hidden="false" customHeight="false" outlineLevel="0" collapsed="false">
      <c r="A336" s="5" t="s">
        <v>1064</v>
      </c>
      <c r="B336" s="5" t="s">
        <v>716</v>
      </c>
      <c r="C336" s="5" t="s">
        <v>32</v>
      </c>
      <c r="D336" s="5" t="s">
        <v>31</v>
      </c>
      <c r="E336" s="5" t="s">
        <v>731</v>
      </c>
      <c r="F336" s="5" t="s">
        <v>296</v>
      </c>
      <c r="G336" s="5"/>
      <c r="H336" s="12" t="n">
        <v>0</v>
      </c>
      <c r="I336" s="5" t="str">
        <f aca="false">IF(H336=1,"ACCEPTED","OPEN")</f>
        <v>OPEN</v>
      </c>
      <c r="J336" s="3"/>
      <c r="K336" s="3"/>
      <c r="L336" s="3"/>
    </row>
    <row r="337" customFormat="false" ht="23.85" hidden="false" customHeight="false" outlineLevel="0" collapsed="false">
      <c r="A337" s="5" t="s">
        <v>1065</v>
      </c>
      <c r="B337" s="5" t="s">
        <v>716</v>
      </c>
      <c r="C337" s="5" t="s">
        <v>32</v>
      </c>
      <c r="D337" s="5" t="s">
        <v>31</v>
      </c>
      <c r="E337" s="5" t="s">
        <v>733</v>
      </c>
      <c r="F337" s="5" t="s">
        <v>296</v>
      </c>
      <c r="G337" s="5"/>
      <c r="H337" s="12" t="n">
        <v>0</v>
      </c>
      <c r="I337" s="5" t="str">
        <f aca="false">IF(H337=1,"ACCEPTED","OPEN")</f>
        <v>OPEN</v>
      </c>
      <c r="J337" s="3"/>
      <c r="K337" s="3"/>
      <c r="L337" s="3"/>
    </row>
    <row r="338" customFormat="false" ht="23.85" hidden="false" customHeight="false" outlineLevel="0" collapsed="false">
      <c r="A338" s="5" t="s">
        <v>1066</v>
      </c>
      <c r="B338" s="5" t="s">
        <v>716</v>
      </c>
      <c r="C338" s="5" t="s">
        <v>32</v>
      </c>
      <c r="D338" s="5" t="s">
        <v>31</v>
      </c>
      <c r="E338" s="5" t="s">
        <v>735</v>
      </c>
      <c r="F338" s="5" t="s">
        <v>296</v>
      </c>
      <c r="G338" s="5"/>
      <c r="H338" s="12" t="n">
        <v>0</v>
      </c>
      <c r="I338" s="5" t="str">
        <f aca="false">IF(H338=1,"ACCEPTED","OPEN")</f>
        <v>OPEN</v>
      </c>
      <c r="J338" s="3"/>
      <c r="K338" s="3"/>
      <c r="L338" s="3"/>
    </row>
    <row r="339" customFormat="false" ht="23.85" hidden="false" customHeight="false" outlineLevel="0" collapsed="false">
      <c r="A339" s="5" t="s">
        <v>1067</v>
      </c>
      <c r="B339" s="5" t="s">
        <v>716</v>
      </c>
      <c r="C339" s="5" t="s">
        <v>32</v>
      </c>
      <c r="D339" s="5" t="s">
        <v>31</v>
      </c>
      <c r="E339" s="5" t="s">
        <v>737</v>
      </c>
      <c r="F339" s="5" t="s">
        <v>296</v>
      </c>
      <c r="G339" s="5"/>
      <c r="H339" s="12" t="n">
        <v>0</v>
      </c>
      <c r="I339" s="5" t="str">
        <f aca="false">IF(H339=1,"ACCEPTED","OPEN")</f>
        <v>OPEN</v>
      </c>
      <c r="J339" s="3"/>
      <c r="K339" s="3"/>
      <c r="L339" s="3"/>
    </row>
    <row r="340" customFormat="false" ht="23.85" hidden="false" customHeight="false" outlineLevel="0" collapsed="false">
      <c r="A340" s="5" t="s">
        <v>1068</v>
      </c>
      <c r="B340" s="5" t="s">
        <v>717</v>
      </c>
      <c r="C340" s="5" t="s">
        <v>32</v>
      </c>
      <c r="D340" s="5" t="s">
        <v>31</v>
      </c>
      <c r="E340" s="5" t="s">
        <v>729</v>
      </c>
      <c r="F340" s="5" t="s">
        <v>296</v>
      </c>
      <c r="G340" s="5"/>
      <c r="H340" s="12" t="n">
        <v>0</v>
      </c>
      <c r="I340" s="5" t="str">
        <f aca="false">IF(H340=1,"ACCEPTED","OPEN")</f>
        <v>OPEN</v>
      </c>
      <c r="J340" s="3"/>
      <c r="K340" s="3"/>
      <c r="L340" s="3"/>
    </row>
    <row r="341" customFormat="false" ht="23.85" hidden="false" customHeight="false" outlineLevel="0" collapsed="false">
      <c r="A341" s="5" t="s">
        <v>1069</v>
      </c>
      <c r="B341" s="5" t="s">
        <v>717</v>
      </c>
      <c r="C341" s="5" t="s">
        <v>32</v>
      </c>
      <c r="D341" s="5" t="s">
        <v>31</v>
      </c>
      <c r="E341" s="5" t="s">
        <v>731</v>
      </c>
      <c r="F341" s="5" t="s">
        <v>296</v>
      </c>
      <c r="G341" s="5"/>
      <c r="H341" s="12" t="n">
        <v>0</v>
      </c>
      <c r="I341" s="5" t="str">
        <f aca="false">IF(H341=1,"ACCEPTED","OPEN")</f>
        <v>OPEN</v>
      </c>
      <c r="J341" s="3"/>
      <c r="K341" s="3"/>
      <c r="L341" s="3"/>
    </row>
    <row r="342" customFormat="false" ht="23.85" hidden="false" customHeight="false" outlineLevel="0" collapsed="false">
      <c r="A342" s="5" t="s">
        <v>1070</v>
      </c>
      <c r="B342" s="5" t="s">
        <v>717</v>
      </c>
      <c r="C342" s="5" t="s">
        <v>32</v>
      </c>
      <c r="D342" s="5" t="s">
        <v>31</v>
      </c>
      <c r="E342" s="5" t="s">
        <v>733</v>
      </c>
      <c r="F342" s="5" t="s">
        <v>296</v>
      </c>
      <c r="G342" s="5"/>
      <c r="H342" s="12" t="n">
        <v>0</v>
      </c>
      <c r="I342" s="5" t="str">
        <f aca="false">IF(H342=1,"ACCEPTED","OPEN")</f>
        <v>OPEN</v>
      </c>
      <c r="J342" s="3"/>
      <c r="K342" s="3"/>
      <c r="L342" s="3"/>
    </row>
    <row r="343" customFormat="false" ht="23.85" hidden="false" customHeight="false" outlineLevel="0" collapsed="false">
      <c r="A343" s="5" t="s">
        <v>1071</v>
      </c>
      <c r="B343" s="5" t="s">
        <v>717</v>
      </c>
      <c r="C343" s="5" t="s">
        <v>32</v>
      </c>
      <c r="D343" s="5" t="s">
        <v>31</v>
      </c>
      <c r="E343" s="5" t="s">
        <v>735</v>
      </c>
      <c r="F343" s="5" t="s">
        <v>296</v>
      </c>
      <c r="G343" s="5"/>
      <c r="H343" s="12" t="n">
        <v>0</v>
      </c>
      <c r="I343" s="5" t="str">
        <f aca="false">IF(H343=1,"ACCEPTED","OPEN")</f>
        <v>OPEN</v>
      </c>
      <c r="J343" s="3"/>
      <c r="K343" s="3"/>
      <c r="L343" s="3"/>
    </row>
    <row r="344" customFormat="false" ht="23.85" hidden="false" customHeight="false" outlineLevel="0" collapsed="false">
      <c r="A344" s="5" t="s">
        <v>1072</v>
      </c>
      <c r="B344" s="5" t="s">
        <v>717</v>
      </c>
      <c r="C344" s="5" t="s">
        <v>32</v>
      </c>
      <c r="D344" s="5" t="s">
        <v>31</v>
      </c>
      <c r="E344" s="5" t="s">
        <v>737</v>
      </c>
      <c r="F344" s="5" t="s">
        <v>296</v>
      </c>
      <c r="G344" s="5"/>
      <c r="H344" s="12" t="n">
        <v>0</v>
      </c>
      <c r="I344" s="5" t="str">
        <f aca="false">IF(H344=1,"ACCEPTED","OPEN")</f>
        <v>OPEN</v>
      </c>
      <c r="J344" s="3"/>
      <c r="K344" s="3"/>
      <c r="L344" s="3"/>
    </row>
    <row r="345" customFormat="false" ht="23.85" hidden="false" customHeight="false" outlineLevel="0" collapsed="false">
      <c r="A345" s="5" t="s">
        <v>1073</v>
      </c>
      <c r="B345" s="5" t="s">
        <v>718</v>
      </c>
      <c r="C345" s="5" t="s">
        <v>32</v>
      </c>
      <c r="D345" s="5" t="s">
        <v>31</v>
      </c>
      <c r="E345" s="5" t="s">
        <v>729</v>
      </c>
      <c r="F345" s="5" t="s">
        <v>296</v>
      </c>
      <c r="G345" s="5"/>
      <c r="H345" s="12" t="n">
        <v>0</v>
      </c>
      <c r="I345" s="5" t="str">
        <f aca="false">IF(H345=1,"ACCEPTED","OPEN")</f>
        <v>OPEN</v>
      </c>
      <c r="J345" s="3"/>
      <c r="K345" s="3"/>
      <c r="L345" s="3"/>
    </row>
    <row r="346" customFormat="false" ht="23.85" hidden="false" customHeight="false" outlineLevel="0" collapsed="false">
      <c r="A346" s="5" t="s">
        <v>1074</v>
      </c>
      <c r="B346" s="5" t="s">
        <v>718</v>
      </c>
      <c r="C346" s="5" t="s">
        <v>32</v>
      </c>
      <c r="D346" s="5" t="s">
        <v>31</v>
      </c>
      <c r="E346" s="5" t="s">
        <v>731</v>
      </c>
      <c r="F346" s="5" t="s">
        <v>296</v>
      </c>
      <c r="G346" s="5"/>
      <c r="H346" s="12" t="n">
        <v>0</v>
      </c>
      <c r="I346" s="5" t="str">
        <f aca="false">IF(H346=1,"ACCEPTED","OPEN")</f>
        <v>OPEN</v>
      </c>
      <c r="J346" s="3"/>
      <c r="K346" s="3"/>
      <c r="L346" s="3"/>
    </row>
    <row r="347" customFormat="false" ht="23.85" hidden="false" customHeight="false" outlineLevel="0" collapsed="false">
      <c r="A347" s="5" t="s">
        <v>1075</v>
      </c>
      <c r="B347" s="5" t="s">
        <v>718</v>
      </c>
      <c r="C347" s="5" t="s">
        <v>32</v>
      </c>
      <c r="D347" s="5" t="s">
        <v>31</v>
      </c>
      <c r="E347" s="5" t="s">
        <v>733</v>
      </c>
      <c r="F347" s="5" t="s">
        <v>296</v>
      </c>
      <c r="G347" s="5"/>
      <c r="H347" s="12" t="n">
        <v>0</v>
      </c>
      <c r="I347" s="5" t="str">
        <f aca="false">IF(H347=1,"ACCEPTED","OPEN")</f>
        <v>OPEN</v>
      </c>
      <c r="J347" s="3"/>
      <c r="K347" s="3"/>
      <c r="L347" s="3"/>
    </row>
    <row r="348" customFormat="false" ht="23.85" hidden="false" customHeight="false" outlineLevel="0" collapsed="false">
      <c r="A348" s="5" t="s">
        <v>1076</v>
      </c>
      <c r="B348" s="5" t="s">
        <v>718</v>
      </c>
      <c r="C348" s="5" t="s">
        <v>32</v>
      </c>
      <c r="D348" s="5" t="s">
        <v>31</v>
      </c>
      <c r="E348" s="5" t="s">
        <v>735</v>
      </c>
      <c r="F348" s="5" t="s">
        <v>296</v>
      </c>
      <c r="G348" s="5"/>
      <c r="H348" s="12" t="n">
        <v>0</v>
      </c>
      <c r="I348" s="5" t="str">
        <f aca="false">IF(H348=1,"ACCEPTED","OPEN")</f>
        <v>OPEN</v>
      </c>
      <c r="J348" s="3"/>
      <c r="K348" s="3"/>
      <c r="L348" s="3"/>
    </row>
    <row r="349" customFormat="false" ht="23.85" hidden="false" customHeight="false" outlineLevel="0" collapsed="false">
      <c r="A349" s="5" t="s">
        <v>1077</v>
      </c>
      <c r="B349" s="5" t="s">
        <v>718</v>
      </c>
      <c r="C349" s="5" t="s">
        <v>32</v>
      </c>
      <c r="D349" s="5" t="s">
        <v>31</v>
      </c>
      <c r="E349" s="5" t="s">
        <v>737</v>
      </c>
      <c r="F349" s="5" t="s">
        <v>296</v>
      </c>
      <c r="G349" s="5"/>
      <c r="H349" s="12" t="n">
        <v>0</v>
      </c>
      <c r="I349" s="5" t="str">
        <f aca="false">IF(H349=1,"ACCEPTED","OPEN")</f>
        <v>OPEN</v>
      </c>
      <c r="J349" s="3"/>
      <c r="K349" s="3"/>
      <c r="L349" s="3"/>
    </row>
    <row r="350" customFormat="false" ht="23.85" hidden="false" customHeight="false" outlineLevel="0" collapsed="false">
      <c r="A350" s="5" t="s">
        <v>1078</v>
      </c>
      <c r="B350" s="5" t="s">
        <v>719</v>
      </c>
      <c r="C350" s="5" t="s">
        <v>32</v>
      </c>
      <c r="D350" s="5" t="s">
        <v>31</v>
      </c>
      <c r="E350" s="5" t="s">
        <v>729</v>
      </c>
      <c r="F350" s="5" t="s">
        <v>296</v>
      </c>
      <c r="G350" s="5"/>
      <c r="H350" s="12" t="n">
        <v>0</v>
      </c>
      <c r="I350" s="5" t="str">
        <f aca="false">IF(H350=1,"ACCEPTED","OPEN")</f>
        <v>OPEN</v>
      </c>
      <c r="J350" s="3"/>
      <c r="K350" s="3"/>
      <c r="L350" s="3"/>
    </row>
    <row r="351" customFormat="false" ht="23.85" hidden="false" customHeight="false" outlineLevel="0" collapsed="false">
      <c r="A351" s="5" t="s">
        <v>1079</v>
      </c>
      <c r="B351" s="5" t="s">
        <v>719</v>
      </c>
      <c r="C351" s="5" t="s">
        <v>32</v>
      </c>
      <c r="D351" s="5" t="s">
        <v>31</v>
      </c>
      <c r="E351" s="5" t="s">
        <v>731</v>
      </c>
      <c r="F351" s="5" t="s">
        <v>296</v>
      </c>
      <c r="G351" s="5"/>
      <c r="H351" s="12" t="n">
        <v>0</v>
      </c>
      <c r="I351" s="5" t="str">
        <f aca="false">IF(H351=1,"ACCEPTED","OPEN")</f>
        <v>OPEN</v>
      </c>
      <c r="J351" s="3"/>
      <c r="K351" s="3"/>
      <c r="L351" s="3"/>
    </row>
    <row r="352" customFormat="false" ht="23.85" hidden="false" customHeight="false" outlineLevel="0" collapsed="false">
      <c r="A352" s="5" t="s">
        <v>1080</v>
      </c>
      <c r="B352" s="5" t="s">
        <v>719</v>
      </c>
      <c r="C352" s="5" t="s">
        <v>32</v>
      </c>
      <c r="D352" s="5" t="s">
        <v>31</v>
      </c>
      <c r="E352" s="5" t="s">
        <v>733</v>
      </c>
      <c r="F352" s="5" t="s">
        <v>296</v>
      </c>
      <c r="G352" s="5"/>
      <c r="H352" s="12" t="n">
        <v>0</v>
      </c>
      <c r="I352" s="5" t="str">
        <f aca="false">IF(H352=1,"ACCEPTED","OPEN")</f>
        <v>OPEN</v>
      </c>
      <c r="J352" s="3"/>
      <c r="K352" s="3"/>
      <c r="L352" s="3"/>
    </row>
    <row r="353" customFormat="false" ht="23.85" hidden="false" customHeight="false" outlineLevel="0" collapsed="false">
      <c r="A353" s="5" t="s">
        <v>1081</v>
      </c>
      <c r="B353" s="5" t="s">
        <v>719</v>
      </c>
      <c r="C353" s="5" t="s">
        <v>32</v>
      </c>
      <c r="D353" s="5" t="s">
        <v>31</v>
      </c>
      <c r="E353" s="5" t="s">
        <v>735</v>
      </c>
      <c r="F353" s="5" t="s">
        <v>296</v>
      </c>
      <c r="G353" s="5"/>
      <c r="H353" s="12" t="n">
        <v>0</v>
      </c>
      <c r="I353" s="5" t="str">
        <f aca="false">IF(H353=1,"ACCEPTED","OPEN")</f>
        <v>OPEN</v>
      </c>
      <c r="J353" s="3"/>
      <c r="K353" s="3"/>
      <c r="L353" s="3"/>
    </row>
    <row r="354" customFormat="false" ht="23.85" hidden="false" customHeight="false" outlineLevel="0" collapsed="false">
      <c r="A354" s="5" t="s">
        <v>1082</v>
      </c>
      <c r="B354" s="5" t="s">
        <v>719</v>
      </c>
      <c r="C354" s="5" t="s">
        <v>32</v>
      </c>
      <c r="D354" s="5" t="s">
        <v>31</v>
      </c>
      <c r="E354" s="5" t="s">
        <v>737</v>
      </c>
      <c r="F354" s="5" t="s">
        <v>296</v>
      </c>
      <c r="G354" s="5"/>
      <c r="H354" s="12" t="n">
        <v>0</v>
      </c>
      <c r="I354" s="5" t="str">
        <f aca="false">IF(H354=1,"ACCEPTED","OPEN")</f>
        <v>OPEN</v>
      </c>
      <c r="J354" s="3"/>
      <c r="K354" s="3"/>
      <c r="L354" s="3"/>
    </row>
    <row r="355" customFormat="false" ht="23.85" hidden="false" customHeight="false" outlineLevel="0" collapsed="false">
      <c r="A355" s="5" t="s">
        <v>1083</v>
      </c>
      <c r="B355" s="5" t="s">
        <v>720</v>
      </c>
      <c r="C355" s="5" t="s">
        <v>32</v>
      </c>
      <c r="D355" s="5" t="s">
        <v>31</v>
      </c>
      <c r="E355" s="5" t="s">
        <v>729</v>
      </c>
      <c r="F355" s="5" t="s">
        <v>296</v>
      </c>
      <c r="G355" s="5"/>
      <c r="H355" s="12" t="n">
        <v>0</v>
      </c>
      <c r="I355" s="5" t="str">
        <f aca="false">IF(H355=1,"ACCEPTED","OPEN")</f>
        <v>OPEN</v>
      </c>
      <c r="J355" s="3"/>
      <c r="K355" s="3"/>
      <c r="L355" s="3"/>
    </row>
    <row r="356" customFormat="false" ht="23.85" hidden="false" customHeight="false" outlineLevel="0" collapsed="false">
      <c r="A356" s="5" t="s">
        <v>1084</v>
      </c>
      <c r="B356" s="5" t="s">
        <v>720</v>
      </c>
      <c r="C356" s="5" t="s">
        <v>32</v>
      </c>
      <c r="D356" s="5" t="s">
        <v>31</v>
      </c>
      <c r="E356" s="5" t="s">
        <v>731</v>
      </c>
      <c r="F356" s="5" t="s">
        <v>296</v>
      </c>
      <c r="G356" s="5"/>
      <c r="H356" s="12" t="n">
        <v>0</v>
      </c>
      <c r="I356" s="5" t="str">
        <f aca="false">IF(H356=1,"ACCEPTED","OPEN")</f>
        <v>OPEN</v>
      </c>
      <c r="J356" s="3"/>
      <c r="K356" s="3"/>
      <c r="L356" s="3"/>
    </row>
    <row r="357" customFormat="false" ht="23.85" hidden="false" customHeight="false" outlineLevel="0" collapsed="false">
      <c r="A357" s="5" t="s">
        <v>1085</v>
      </c>
      <c r="B357" s="5" t="s">
        <v>720</v>
      </c>
      <c r="C357" s="5" t="s">
        <v>32</v>
      </c>
      <c r="D357" s="5" t="s">
        <v>31</v>
      </c>
      <c r="E357" s="5" t="s">
        <v>733</v>
      </c>
      <c r="F357" s="5" t="s">
        <v>296</v>
      </c>
      <c r="G357" s="5"/>
      <c r="H357" s="12" t="n">
        <v>0</v>
      </c>
      <c r="I357" s="5" t="str">
        <f aca="false">IF(H357=1,"ACCEPTED","OPEN")</f>
        <v>OPEN</v>
      </c>
      <c r="J357" s="3"/>
      <c r="K357" s="3"/>
      <c r="L357" s="3"/>
    </row>
    <row r="358" customFormat="false" ht="23.85" hidden="false" customHeight="false" outlineLevel="0" collapsed="false">
      <c r="A358" s="5" t="s">
        <v>1086</v>
      </c>
      <c r="B358" s="5" t="s">
        <v>720</v>
      </c>
      <c r="C358" s="5" t="s">
        <v>32</v>
      </c>
      <c r="D358" s="5" t="s">
        <v>31</v>
      </c>
      <c r="E358" s="5" t="s">
        <v>735</v>
      </c>
      <c r="F358" s="5" t="s">
        <v>296</v>
      </c>
      <c r="G358" s="5"/>
      <c r="H358" s="12" t="n">
        <v>0</v>
      </c>
      <c r="I358" s="5" t="str">
        <f aca="false">IF(H358=1,"ACCEPTED","OPEN")</f>
        <v>OPEN</v>
      </c>
      <c r="J358" s="3"/>
      <c r="K358" s="3"/>
      <c r="L358" s="3"/>
    </row>
    <row r="359" customFormat="false" ht="23.85" hidden="false" customHeight="false" outlineLevel="0" collapsed="false">
      <c r="A359" s="5" t="s">
        <v>1087</v>
      </c>
      <c r="B359" s="5" t="s">
        <v>720</v>
      </c>
      <c r="C359" s="5" t="s">
        <v>32</v>
      </c>
      <c r="D359" s="5" t="s">
        <v>31</v>
      </c>
      <c r="E359" s="5" t="s">
        <v>737</v>
      </c>
      <c r="F359" s="5" t="s">
        <v>296</v>
      </c>
      <c r="G359" s="5"/>
      <c r="H359" s="12" t="n">
        <v>0</v>
      </c>
      <c r="I359" s="5" t="str">
        <f aca="false">IF(H359=1,"ACCEPTED","OPEN")</f>
        <v>OPEN</v>
      </c>
      <c r="J359" s="3"/>
      <c r="K359" s="3"/>
      <c r="L359" s="3"/>
    </row>
    <row r="360" customFormat="false" ht="23.85" hidden="false" customHeight="false" outlineLevel="0" collapsed="false">
      <c r="A360" s="5" t="s">
        <v>1088</v>
      </c>
      <c r="B360" s="5" t="s">
        <v>721</v>
      </c>
      <c r="C360" s="5" t="s">
        <v>32</v>
      </c>
      <c r="D360" s="5" t="s">
        <v>31</v>
      </c>
      <c r="E360" s="5" t="s">
        <v>729</v>
      </c>
      <c r="F360" s="5" t="s">
        <v>296</v>
      </c>
      <c r="G360" s="5"/>
      <c r="H360" s="12" t="n">
        <v>0</v>
      </c>
      <c r="I360" s="5" t="str">
        <f aca="false">IF(H360=1,"ACCEPTED","OPEN")</f>
        <v>OPEN</v>
      </c>
      <c r="J360" s="3"/>
      <c r="K360" s="3"/>
      <c r="L360" s="3"/>
    </row>
    <row r="361" customFormat="false" ht="23.85" hidden="false" customHeight="false" outlineLevel="0" collapsed="false">
      <c r="A361" s="5" t="s">
        <v>1089</v>
      </c>
      <c r="B361" s="5" t="s">
        <v>721</v>
      </c>
      <c r="C361" s="5" t="s">
        <v>32</v>
      </c>
      <c r="D361" s="5" t="s">
        <v>31</v>
      </c>
      <c r="E361" s="5" t="s">
        <v>731</v>
      </c>
      <c r="F361" s="5" t="s">
        <v>296</v>
      </c>
      <c r="G361" s="5"/>
      <c r="H361" s="12" t="n">
        <v>0</v>
      </c>
      <c r="I361" s="5" t="str">
        <f aca="false">IF(H361=1,"ACCEPTED","OPEN")</f>
        <v>OPEN</v>
      </c>
      <c r="J361" s="3"/>
      <c r="K361" s="3"/>
      <c r="L361" s="3"/>
    </row>
    <row r="362" customFormat="false" ht="23.85" hidden="false" customHeight="false" outlineLevel="0" collapsed="false">
      <c r="A362" s="5" t="s">
        <v>1090</v>
      </c>
      <c r="B362" s="5" t="s">
        <v>721</v>
      </c>
      <c r="C362" s="5" t="s">
        <v>32</v>
      </c>
      <c r="D362" s="5" t="s">
        <v>31</v>
      </c>
      <c r="E362" s="5" t="s">
        <v>733</v>
      </c>
      <c r="F362" s="5" t="s">
        <v>296</v>
      </c>
      <c r="G362" s="5"/>
      <c r="H362" s="12" t="n">
        <v>0</v>
      </c>
      <c r="I362" s="5" t="str">
        <f aca="false">IF(H362=1,"ACCEPTED","OPEN")</f>
        <v>OPEN</v>
      </c>
      <c r="J362" s="3"/>
      <c r="K362" s="3"/>
      <c r="L362" s="3"/>
    </row>
    <row r="363" customFormat="false" ht="23.85" hidden="false" customHeight="false" outlineLevel="0" collapsed="false">
      <c r="A363" s="5" t="s">
        <v>1091</v>
      </c>
      <c r="B363" s="5" t="s">
        <v>721</v>
      </c>
      <c r="C363" s="5" t="s">
        <v>32</v>
      </c>
      <c r="D363" s="5" t="s">
        <v>31</v>
      </c>
      <c r="E363" s="5" t="s">
        <v>735</v>
      </c>
      <c r="F363" s="5" t="s">
        <v>296</v>
      </c>
      <c r="G363" s="5"/>
      <c r="H363" s="12" t="n">
        <v>0</v>
      </c>
      <c r="I363" s="5" t="str">
        <f aca="false">IF(H363=1,"ACCEPTED","OPEN")</f>
        <v>OPEN</v>
      </c>
      <c r="J363" s="3"/>
      <c r="K363" s="3"/>
      <c r="L363" s="3"/>
    </row>
    <row r="364" customFormat="false" ht="23.85" hidden="false" customHeight="false" outlineLevel="0" collapsed="false">
      <c r="A364" s="5" t="s">
        <v>1092</v>
      </c>
      <c r="B364" s="5" t="s">
        <v>721</v>
      </c>
      <c r="C364" s="5" t="s">
        <v>32</v>
      </c>
      <c r="D364" s="5" t="s">
        <v>31</v>
      </c>
      <c r="E364" s="5" t="s">
        <v>737</v>
      </c>
      <c r="F364" s="5" t="s">
        <v>296</v>
      </c>
      <c r="G364" s="5"/>
      <c r="H364" s="12" t="n">
        <v>0</v>
      </c>
      <c r="I364" s="5" t="str">
        <f aca="false">IF(H364=1,"ACCEPTED","OPEN")</f>
        <v>OPEN</v>
      </c>
      <c r="J364" s="3"/>
      <c r="K364" s="3"/>
      <c r="L364" s="3"/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.44"/>
    <col collapsed="false" customWidth="true" hidden="false" outlineLevel="0" max="2" min="2" style="0" width="13.89"/>
    <col collapsed="false" customWidth="true" hidden="false" outlineLevel="0" max="4" min="3" style="0" width="11.67"/>
    <col collapsed="false" customWidth="true" hidden="false" outlineLevel="0" max="7" min="5" style="0" width="10"/>
    <col collapsed="false" customWidth="true" hidden="false" outlineLevel="0" max="8" min="8" style="0" width="11.11"/>
    <col collapsed="false" customWidth="true" hidden="false" outlineLevel="0" max="9" min="9" style="0" width="12.22"/>
    <col collapsed="false" customWidth="true" hidden="false" outlineLevel="0" max="10" min="10" style="0" width="10"/>
  </cols>
  <sheetData>
    <row r="1" customFormat="false" ht="26" hidden="false" customHeight="true" outlineLevel="0" collapsed="false">
      <c r="A1" s="1" t="s">
        <v>1093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1094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185</v>
      </c>
      <c r="B4" s="6" t="s">
        <v>1095</v>
      </c>
      <c r="C4" s="6" t="s">
        <v>192</v>
      </c>
      <c r="D4" s="6" t="s">
        <v>193</v>
      </c>
      <c r="E4" s="6" t="s">
        <v>1096</v>
      </c>
      <c r="F4" s="6" t="s">
        <v>1097</v>
      </c>
      <c r="G4" s="6" t="s">
        <v>1098</v>
      </c>
      <c r="H4" s="6" t="s">
        <v>1099</v>
      </c>
      <c r="I4" s="6" t="s">
        <v>1100</v>
      </c>
      <c r="J4" s="6" t="s">
        <v>1101</v>
      </c>
      <c r="K4" s="3"/>
      <c r="L4" s="3"/>
    </row>
    <row r="5" customFormat="false" ht="15" hidden="false" customHeight="false" outlineLevel="0" collapsed="false">
      <c r="A5" s="5" t="s">
        <v>7</v>
      </c>
      <c r="B5" s="5" t="s">
        <v>8</v>
      </c>
      <c r="C5" s="7" t="n">
        <v>2.0018984723274</v>
      </c>
      <c r="D5" s="7" t="n">
        <f aca="false">C5/Controls!$B$14</f>
        <v>0.50047461808185</v>
      </c>
      <c r="E5" s="7" t="n">
        <f aca="false">D5*Controls!$B$28</f>
        <v>0.0750711927122775</v>
      </c>
      <c r="F5" s="7" t="n">
        <f aca="false">D5*Controls!$B$29</f>
        <v>0.175166116328647</v>
      </c>
      <c r="G5" s="7" t="n">
        <f aca="false">D5*Controls!$B$30</f>
        <v>0.175166116328647</v>
      </c>
      <c r="H5" s="7" t="n">
        <f aca="false">D5*Controls!$B$31</f>
        <v>0.0750711927122775</v>
      </c>
      <c r="I5" s="7" t="n">
        <f aca="false">SUM(E5:G5)</f>
        <v>0.425403425369573</v>
      </c>
      <c r="J5" s="7" t="n">
        <f aca="false">0</f>
        <v>0</v>
      </c>
      <c r="K5" s="3"/>
      <c r="L5" s="3"/>
    </row>
    <row r="6" customFormat="false" ht="15" hidden="false" customHeight="false" outlineLevel="0" collapsed="false">
      <c r="A6" s="5" t="s">
        <v>12</v>
      </c>
      <c r="B6" s="5" t="s">
        <v>13</v>
      </c>
      <c r="C6" s="7" t="n">
        <v>2.06597392709584</v>
      </c>
      <c r="D6" s="7" t="n">
        <f aca="false">C6/Controls!$B$14</f>
        <v>0.51649348177396</v>
      </c>
      <c r="E6" s="7" t="n">
        <f aca="false">D6*Controls!$B$28</f>
        <v>0.077474022266094</v>
      </c>
      <c r="F6" s="7" t="n">
        <f aca="false">D6*Controls!$B$29</f>
        <v>0.180772718620886</v>
      </c>
      <c r="G6" s="7" t="n">
        <f aca="false">D6*Controls!$B$30</f>
        <v>0.180772718620886</v>
      </c>
      <c r="H6" s="7" t="n">
        <f aca="false">D6*Controls!$B$31</f>
        <v>0.077474022266094</v>
      </c>
      <c r="I6" s="7" t="n">
        <f aca="false">SUM(E6:G6)</f>
        <v>0.439019459507866</v>
      </c>
      <c r="J6" s="7" t="n">
        <f aca="false">0</f>
        <v>0</v>
      </c>
      <c r="K6" s="3"/>
      <c r="L6" s="3"/>
    </row>
    <row r="7" customFormat="false" ht="15" hidden="false" customHeight="false" outlineLevel="0" collapsed="false">
      <c r="A7" s="5" t="s">
        <v>17</v>
      </c>
      <c r="B7" s="5" t="s">
        <v>18</v>
      </c>
      <c r="C7" s="7" t="n">
        <v>1.22888661626853</v>
      </c>
      <c r="D7" s="7" t="n">
        <f aca="false">C7/Controls!$B$14</f>
        <v>0.307221654067133</v>
      </c>
      <c r="E7" s="7" t="n">
        <f aca="false">D7*Controls!$B$28</f>
        <v>0.0460832481100699</v>
      </c>
      <c r="F7" s="7" t="n">
        <f aca="false">D7*Controls!$B$29</f>
        <v>0.107527578923496</v>
      </c>
      <c r="G7" s="7" t="n">
        <f aca="false">D7*Controls!$B$30</f>
        <v>0.107527578923496</v>
      </c>
      <c r="H7" s="7" t="n">
        <f aca="false">D7*Controls!$B$31</f>
        <v>0.0460832481100699</v>
      </c>
      <c r="I7" s="7" t="n">
        <f aca="false">SUM(E7:G7)</f>
        <v>0.261138405957063</v>
      </c>
      <c r="J7" s="7" t="n">
        <f aca="false">0</f>
        <v>0</v>
      </c>
      <c r="K7" s="3"/>
      <c r="L7" s="3"/>
    </row>
    <row r="8" customFormat="false" ht="15" hidden="false" customHeight="false" outlineLevel="0" collapsed="false">
      <c r="A8" s="5" t="s">
        <v>20</v>
      </c>
      <c r="B8" s="5" t="s">
        <v>21</v>
      </c>
      <c r="C8" s="7" t="n">
        <v>3.59765127728226</v>
      </c>
      <c r="D8" s="7" t="n">
        <f aca="false">C8/Controls!$B$14</f>
        <v>0.899412819320565</v>
      </c>
      <c r="E8" s="7" t="n">
        <f aca="false">D8*Controls!$B$28</f>
        <v>0.134911922898085</v>
      </c>
      <c r="F8" s="7" t="n">
        <f aca="false">D8*Controls!$B$29</f>
        <v>0.314794486762198</v>
      </c>
      <c r="G8" s="7" t="n">
        <f aca="false">D8*Controls!$B$30</f>
        <v>0.314794486762198</v>
      </c>
      <c r="H8" s="7" t="n">
        <f aca="false">D8*Controls!$B$31</f>
        <v>0.134911922898085</v>
      </c>
      <c r="I8" s="7" t="n">
        <f aca="false">SUM(E8:G8)</f>
        <v>0.76450089642248</v>
      </c>
      <c r="J8" s="7" t="n">
        <f aca="false">0</f>
        <v>0</v>
      </c>
      <c r="K8" s="3"/>
      <c r="L8" s="3"/>
    </row>
    <row r="9" customFormat="false" ht="15" hidden="false" customHeight="false" outlineLevel="0" collapsed="false">
      <c r="A9" s="5" t="s">
        <v>24</v>
      </c>
      <c r="B9" s="5" t="s">
        <v>25</v>
      </c>
      <c r="C9" s="7" t="n">
        <v>3.44284981176438</v>
      </c>
      <c r="D9" s="7" t="n">
        <f aca="false">C9/Controls!$B$14</f>
        <v>0.860712452941095</v>
      </c>
      <c r="E9" s="7" t="n">
        <f aca="false">D9*Controls!$B$28</f>
        <v>0.129106867941164</v>
      </c>
      <c r="F9" s="7" t="n">
        <f aca="false">D9*Controls!$B$29</f>
        <v>0.301249358529383</v>
      </c>
      <c r="G9" s="7" t="n">
        <f aca="false">D9*Controls!$B$30</f>
        <v>0.301249358529383</v>
      </c>
      <c r="H9" s="7" t="n">
        <f aca="false">D9*Controls!$B$31</f>
        <v>0.129106867941164</v>
      </c>
      <c r="I9" s="7" t="n">
        <f aca="false">SUM(E9:G9)</f>
        <v>0.731605584999931</v>
      </c>
      <c r="J9" s="7" t="n">
        <f aca="false">0</f>
        <v>0</v>
      </c>
      <c r="K9" s="3"/>
      <c r="L9" s="3"/>
    </row>
    <row r="10" customFormat="false" ht="15" hidden="false" customHeight="false" outlineLevel="0" collapsed="false">
      <c r="A10" s="5" t="s">
        <v>31</v>
      </c>
      <c r="B10" s="5" t="s">
        <v>32</v>
      </c>
      <c r="C10" s="7" t="n">
        <v>2.01039117254385</v>
      </c>
      <c r="D10" s="7" t="n">
        <f aca="false">C10/Controls!$B$14</f>
        <v>0.502597793135963</v>
      </c>
      <c r="E10" s="7" t="n">
        <f aca="false">D10*Controls!$B$28</f>
        <v>0.0753896689703944</v>
      </c>
      <c r="F10" s="7" t="n">
        <f aca="false">D10*Controls!$B$29</f>
        <v>0.175909227597587</v>
      </c>
      <c r="G10" s="7" t="n">
        <f aca="false">D10*Controls!$B$30</f>
        <v>0.175909227597587</v>
      </c>
      <c r="H10" s="7" t="n">
        <f aca="false">D10*Controls!$B$31</f>
        <v>0.0753896689703944</v>
      </c>
      <c r="I10" s="7" t="n">
        <f aca="false">SUM(E10:G10)</f>
        <v>0.427208124165568</v>
      </c>
      <c r="J10" s="7" t="n">
        <f aca="false">0</f>
        <v>0</v>
      </c>
      <c r="K10" s="3"/>
      <c r="L10" s="3"/>
    </row>
    <row r="11" customFormat="false" ht="15" hidden="false" customHeight="false" outlineLevel="0" collapsed="false">
      <c r="A11" s="13" t="s">
        <v>1102</v>
      </c>
      <c r="B11" s="13" t="s">
        <v>1103</v>
      </c>
      <c r="C11" s="14" t="n">
        <f aca="false">SUM(C5:C10)</f>
        <v>14.3476512772823</v>
      </c>
      <c r="D11" s="14" t="n">
        <f aca="false">SUM(D5:D10)</f>
        <v>3.58691281932056</v>
      </c>
      <c r="E11" s="14" t="n">
        <f aca="false">SUM(E5:E10)</f>
        <v>0.538036922898085</v>
      </c>
      <c r="F11" s="14" t="n">
        <f aca="false">SUM(F5:F10)</f>
        <v>1.2554194867622</v>
      </c>
      <c r="G11" s="14" t="n">
        <f aca="false">SUM(G5:G10)</f>
        <v>1.2554194867622</v>
      </c>
      <c r="H11" s="14" t="n">
        <f aca="false">SUM(H5:H10)</f>
        <v>0.538036922898085</v>
      </c>
      <c r="I11" s="14" t="n">
        <f aca="false">SUM(I5:I10)</f>
        <v>3.04887589642248</v>
      </c>
      <c r="J11" s="14" t="n">
        <f aca="false">SUM(J5:J10)</f>
        <v>0</v>
      </c>
      <c r="K11" s="3"/>
      <c r="L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22" hidden="false" customHeight="true" outlineLevel="0" collapsed="false">
      <c r="A14" s="4" t="s">
        <v>113</v>
      </c>
      <c r="B14" s="4"/>
      <c r="C14" s="4"/>
      <c r="D14" s="4"/>
      <c r="E14" s="4"/>
      <c r="F14" s="4"/>
      <c r="G14" s="4"/>
      <c r="H14" s="4"/>
      <c r="I14" s="4"/>
      <c r="J14" s="4"/>
      <c r="K14" s="3"/>
      <c r="L14" s="3"/>
    </row>
    <row r="15" customFormat="false" ht="30" hidden="false" customHeight="true" outlineLevel="0" collapsed="false">
      <c r="A15" s="6" t="s">
        <v>1104</v>
      </c>
      <c r="B15" s="6" t="s">
        <v>1105</v>
      </c>
      <c r="C15" s="6" t="s">
        <v>1106</v>
      </c>
      <c r="D15" s="6" t="s">
        <v>191</v>
      </c>
      <c r="E15" s="3"/>
      <c r="F15" s="3"/>
      <c r="G15" s="3"/>
      <c r="H15" s="3"/>
      <c r="I15" s="3"/>
      <c r="J15" s="3"/>
      <c r="K15" s="3"/>
      <c r="L15" s="3"/>
    </row>
    <row r="16" customFormat="false" ht="35.05" hidden="false" customHeight="false" outlineLevel="0" collapsed="false">
      <c r="A16" s="5" t="s">
        <v>1107</v>
      </c>
      <c r="B16" s="7" t="n">
        <v>1.5</v>
      </c>
      <c r="C16" s="15" t="n">
        <f aca="false">B16/SUM($B$16:$B$23)</f>
        <v>0.125</v>
      </c>
      <c r="D16" s="5" t="s">
        <v>297</v>
      </c>
      <c r="E16" s="3"/>
      <c r="F16" s="3"/>
      <c r="G16" s="3"/>
      <c r="H16" s="3"/>
      <c r="I16" s="3"/>
      <c r="J16" s="3"/>
      <c r="K16" s="3"/>
      <c r="L16" s="3"/>
    </row>
    <row r="17" customFormat="false" ht="35.05" hidden="false" customHeight="false" outlineLevel="0" collapsed="false">
      <c r="A17" s="5" t="s">
        <v>1108</v>
      </c>
      <c r="B17" s="7" t="n">
        <v>4.2</v>
      </c>
      <c r="C17" s="15" t="n">
        <f aca="false">B17/SUM($B$16:$B$23)</f>
        <v>0.35</v>
      </c>
      <c r="D17" s="5" t="s">
        <v>297</v>
      </c>
      <c r="E17" s="3"/>
      <c r="F17" s="3"/>
      <c r="G17" s="3"/>
      <c r="H17" s="3"/>
      <c r="I17" s="3"/>
      <c r="J17" s="3"/>
      <c r="K17" s="3"/>
      <c r="L17" s="3"/>
    </row>
    <row r="18" customFormat="false" ht="35.05" hidden="false" customHeight="false" outlineLevel="0" collapsed="false">
      <c r="A18" s="5" t="s">
        <v>1109</v>
      </c>
      <c r="B18" s="7" t="n">
        <v>1.8</v>
      </c>
      <c r="C18" s="15" t="n">
        <f aca="false">B18/SUM($B$16:$B$23)</f>
        <v>0.15</v>
      </c>
      <c r="D18" s="5" t="s">
        <v>297</v>
      </c>
      <c r="E18" s="3"/>
      <c r="F18" s="3"/>
      <c r="G18" s="3"/>
      <c r="H18" s="3"/>
      <c r="I18" s="3"/>
      <c r="J18" s="3"/>
      <c r="K18" s="3"/>
      <c r="L18" s="3"/>
    </row>
    <row r="19" customFormat="false" ht="35.05" hidden="false" customHeight="false" outlineLevel="0" collapsed="false">
      <c r="A19" s="5" t="s">
        <v>1110</v>
      </c>
      <c r="B19" s="7" t="n">
        <v>1.44</v>
      </c>
      <c r="C19" s="15" t="n">
        <f aca="false">B19/SUM($B$16:$B$23)</f>
        <v>0.12</v>
      </c>
      <c r="D19" s="5" t="s">
        <v>297</v>
      </c>
      <c r="E19" s="3"/>
      <c r="F19" s="3"/>
      <c r="G19" s="3"/>
      <c r="H19" s="3"/>
      <c r="I19" s="3"/>
      <c r="J19" s="3"/>
      <c r="K19" s="3"/>
      <c r="L19" s="3"/>
    </row>
    <row r="20" customFormat="false" ht="35.05" hidden="false" customHeight="false" outlineLevel="0" collapsed="false">
      <c r="A20" s="5" t="s">
        <v>1111</v>
      </c>
      <c r="B20" s="7" t="n">
        <v>1.2</v>
      </c>
      <c r="C20" s="15" t="n">
        <f aca="false">B20/SUM($B$16:$B$23)</f>
        <v>0.1</v>
      </c>
      <c r="D20" s="5" t="s">
        <v>297</v>
      </c>
      <c r="E20" s="3"/>
      <c r="F20" s="3"/>
      <c r="G20" s="3"/>
      <c r="H20" s="3"/>
      <c r="I20" s="3"/>
      <c r="J20" s="3"/>
      <c r="K20" s="3"/>
      <c r="L20" s="3"/>
    </row>
    <row r="21" customFormat="false" ht="35.05" hidden="false" customHeight="false" outlineLevel="0" collapsed="false">
      <c r="A21" s="5" t="s">
        <v>1112</v>
      </c>
      <c r="B21" s="7" t="n">
        <v>0.72</v>
      </c>
      <c r="C21" s="15" t="n">
        <f aca="false">B21/SUM($B$16:$B$23)</f>
        <v>0.06</v>
      </c>
      <c r="D21" s="5" t="s">
        <v>297</v>
      </c>
      <c r="E21" s="3"/>
      <c r="F21" s="3"/>
      <c r="G21" s="3"/>
      <c r="H21" s="3"/>
      <c r="I21" s="3"/>
      <c r="J21" s="3"/>
      <c r="K21" s="3"/>
      <c r="L21" s="3"/>
    </row>
    <row r="22" customFormat="false" ht="35.05" hidden="false" customHeight="false" outlineLevel="0" collapsed="false">
      <c r="A22" s="5" t="s">
        <v>1113</v>
      </c>
      <c r="B22" s="7" t="n">
        <v>0.54</v>
      </c>
      <c r="C22" s="15" t="n">
        <f aca="false">B22/SUM($B$16:$B$23)</f>
        <v>0.045</v>
      </c>
      <c r="D22" s="5" t="s">
        <v>297</v>
      </c>
      <c r="E22" s="3"/>
      <c r="F22" s="3"/>
      <c r="G22" s="3"/>
      <c r="H22" s="3"/>
      <c r="I22" s="3"/>
      <c r="J22" s="3"/>
      <c r="K22" s="3"/>
      <c r="L22" s="3"/>
    </row>
    <row r="23" customFormat="false" ht="35.05" hidden="false" customHeight="false" outlineLevel="0" collapsed="false">
      <c r="A23" s="5" t="s">
        <v>1114</v>
      </c>
      <c r="B23" s="7" t="n">
        <v>0.6</v>
      </c>
      <c r="C23" s="15" t="n">
        <f aca="false">B23/SUM($B$16:$B$23)</f>
        <v>0.05</v>
      </c>
      <c r="D23" s="5" t="s">
        <v>297</v>
      </c>
      <c r="E23" s="3"/>
      <c r="F23" s="3"/>
      <c r="G23" s="3"/>
      <c r="H23" s="3"/>
      <c r="I23" s="3"/>
      <c r="J23" s="3"/>
      <c r="K23" s="3"/>
      <c r="L23" s="3"/>
    </row>
    <row r="24" customFormat="false" ht="23.85" hidden="false" customHeight="false" outlineLevel="0" collapsed="false">
      <c r="A24" s="5" t="s">
        <v>1102</v>
      </c>
      <c r="B24" s="7" t="n">
        <f aca="false">SUM(B16:B23)</f>
        <v>12</v>
      </c>
      <c r="C24" s="15" t="n">
        <f aca="false">SUM(C16:C23)</f>
        <v>1</v>
      </c>
      <c r="D24" s="5" t="s">
        <v>1115</v>
      </c>
      <c r="E24" s="3"/>
      <c r="F24" s="3"/>
      <c r="G24" s="3"/>
      <c r="H24" s="3"/>
      <c r="I24" s="3"/>
      <c r="J24" s="3"/>
      <c r="K24" s="3"/>
      <c r="L24" s="3"/>
    </row>
  </sheetData>
  <mergeCells count="3">
    <mergeCell ref="A1:L1"/>
    <mergeCell ref="A2:L2"/>
    <mergeCell ref="A14:J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.22"/>
    <col collapsed="false" customWidth="true" hidden="false" outlineLevel="0" max="2" min="2" style="0" width="33.33"/>
    <col collapsed="false" customWidth="true" hidden="false" outlineLevel="0" max="3" min="3" style="0" width="9.44"/>
    <col collapsed="false" customWidth="true" hidden="false" outlineLevel="0" max="4" min="4" style="0" width="11.67"/>
    <col collapsed="false" customWidth="true" hidden="false" outlineLevel="0" max="5" min="5" style="0" width="10"/>
    <col collapsed="false" customWidth="true" hidden="false" outlineLevel="0" max="6" min="6" style="0" width="8.89"/>
    <col collapsed="false" customWidth="true" hidden="false" outlineLevel="0" max="7" min="7" style="0" width="11.67"/>
    <col collapsed="false" customWidth="true" hidden="false" outlineLevel="0" max="8" min="8" style="0" width="12.78"/>
    <col collapsed="false" customWidth="true" hidden="false" outlineLevel="0" max="9" min="9" style="0" width="36.67"/>
    <col collapsed="false" customWidth="true" hidden="false" outlineLevel="0" max="10" min="10" style="0" width="2.22"/>
    <col collapsed="false" customWidth="true" hidden="false" outlineLevel="0" max="11" min="11" style="0" width="8.89"/>
    <col collapsed="false" customWidth="true" hidden="false" outlineLevel="0" max="12" min="12" style="0" width="11.67"/>
  </cols>
  <sheetData>
    <row r="1" customFormat="false" ht="26" hidden="false" customHeight="true" outlineLevel="0" collapsed="false">
      <c r="A1" s="1" t="s">
        <v>1116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1117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1118</v>
      </c>
      <c r="B4" s="6" t="s">
        <v>1119</v>
      </c>
      <c r="C4" s="6" t="s">
        <v>1120</v>
      </c>
      <c r="D4" s="6" t="s">
        <v>1121</v>
      </c>
      <c r="E4" s="6" t="s">
        <v>1122</v>
      </c>
      <c r="F4" s="6" t="s">
        <v>1123</v>
      </c>
      <c r="G4" s="6" t="s">
        <v>1124</v>
      </c>
      <c r="H4" s="6" t="s">
        <v>1125</v>
      </c>
      <c r="I4" s="6" t="s">
        <v>1126</v>
      </c>
      <c r="J4" s="3"/>
      <c r="K4" s="3" t="s">
        <v>1118</v>
      </c>
      <c r="L4" s="3" t="s">
        <v>1127</v>
      </c>
    </row>
    <row r="5" customFormat="false" ht="15" hidden="false" customHeight="false" outlineLevel="0" collapsed="false">
      <c r="A5" s="5" t="s">
        <v>1128</v>
      </c>
      <c r="B5" s="5" t="s">
        <v>1129</v>
      </c>
      <c r="C5" s="15" t="n">
        <v>0.25</v>
      </c>
      <c r="D5" s="7" t="n">
        <f aca="false">C5*Controls!$B$12</f>
        <v>3</v>
      </c>
      <c r="E5" s="5" t="s">
        <v>1130</v>
      </c>
      <c r="F5" s="15" t="n">
        <v>0.15</v>
      </c>
      <c r="G5" s="7" t="n">
        <f aca="false">F5*Authority!$D$11</f>
        <v>0.538036922898085</v>
      </c>
      <c r="H5" s="7" t="n">
        <f aca="false">SUM($D$5:D5)+SUM($G$5:G5)</f>
        <v>3.53803692289808</v>
      </c>
      <c r="I5" s="5" t="s">
        <v>1131</v>
      </c>
      <c r="J5" s="3"/>
      <c r="K5" s="3" t="s">
        <v>1128</v>
      </c>
      <c r="L5" s="16" t="n">
        <f aca="false">H5</f>
        <v>3.53803692289808</v>
      </c>
    </row>
    <row r="6" customFormat="false" ht="23.85" hidden="false" customHeight="false" outlineLevel="0" collapsed="false">
      <c r="A6" s="5" t="s">
        <v>1132</v>
      </c>
      <c r="B6" s="5" t="s">
        <v>1133</v>
      </c>
      <c r="C6" s="15" t="n">
        <v>0.5</v>
      </c>
      <c r="D6" s="7" t="n">
        <f aca="false">C6*Controls!$B$12</f>
        <v>6</v>
      </c>
      <c r="E6" s="5" t="s">
        <v>1134</v>
      </c>
      <c r="F6" s="15" t="n">
        <v>0.35</v>
      </c>
      <c r="G6" s="7" t="n">
        <f aca="false">F6*Authority!$D$11</f>
        <v>1.2554194867622</v>
      </c>
      <c r="H6" s="7" t="n">
        <f aca="false">SUM($D$5:D6)+SUM($G$5:G6)</f>
        <v>10.7934564096603</v>
      </c>
      <c r="I6" s="5" t="s">
        <v>1135</v>
      </c>
      <c r="J6" s="3"/>
      <c r="K6" s="3" t="s">
        <v>1132</v>
      </c>
      <c r="L6" s="16" t="n">
        <f aca="false">H6</f>
        <v>10.7934564096603</v>
      </c>
    </row>
    <row r="7" customFormat="false" ht="23.85" hidden="false" customHeight="false" outlineLevel="0" collapsed="false">
      <c r="A7" s="5" t="s">
        <v>1136</v>
      </c>
      <c r="B7" s="5" t="s">
        <v>1137</v>
      </c>
      <c r="C7" s="15" t="n">
        <v>0</v>
      </c>
      <c r="D7" s="7" t="n">
        <f aca="false">C7*Controls!$B$12</f>
        <v>0</v>
      </c>
      <c r="E7" s="5" t="s">
        <v>1138</v>
      </c>
      <c r="F7" s="15" t="n">
        <v>0.35</v>
      </c>
      <c r="G7" s="7" t="n">
        <f aca="false">F7*Authority!$D$11</f>
        <v>1.2554194867622</v>
      </c>
      <c r="H7" s="7" t="n">
        <f aca="false">SUM($D$5:D7)+SUM($G$5:G7)</f>
        <v>12.0488758964225</v>
      </c>
      <c r="I7" s="5" t="s">
        <v>1139</v>
      </c>
      <c r="J7" s="3"/>
      <c r="K7" s="3" t="s">
        <v>1136</v>
      </c>
      <c r="L7" s="16" t="n">
        <f aca="false">H7</f>
        <v>12.0488758964225</v>
      </c>
    </row>
    <row r="8" customFormat="false" ht="23.85" hidden="false" customHeight="false" outlineLevel="0" collapsed="false">
      <c r="A8" s="5" t="s">
        <v>1140</v>
      </c>
      <c r="B8" s="5" t="s">
        <v>1141</v>
      </c>
      <c r="C8" s="15" t="n">
        <v>0.25</v>
      </c>
      <c r="D8" s="7" t="n">
        <f aca="false">C8*Controls!$B$12</f>
        <v>3</v>
      </c>
      <c r="E8" s="5" t="s">
        <v>1142</v>
      </c>
      <c r="F8" s="15" t="n">
        <v>0.15</v>
      </c>
      <c r="G8" s="7" t="n">
        <f aca="false">F8*Authority!$D$11</f>
        <v>0.538036922898085</v>
      </c>
      <c r="H8" s="7" t="n">
        <f aca="false">SUM($D$5:D8)+SUM($G$5:G8)</f>
        <v>15.5869128193206</v>
      </c>
      <c r="I8" s="5" t="s">
        <v>1143</v>
      </c>
      <c r="J8" s="3"/>
      <c r="K8" s="3" t="s">
        <v>1140</v>
      </c>
      <c r="L8" s="16" t="n">
        <f aca="false">H8</f>
        <v>15.5869128193206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.89"/>
    <col collapsed="false" customWidth="true" hidden="false" outlineLevel="0" max="2" min="2" style="0" width="12.22"/>
    <col collapsed="false" customWidth="true" hidden="false" outlineLevel="0" max="3" min="3" style="0" width="12.78"/>
    <col collapsed="false" customWidth="true" hidden="false" outlineLevel="0" max="4" min="4" style="0" width="30"/>
    <col collapsed="false" customWidth="true" hidden="false" outlineLevel="0" max="5" min="5" style="0" width="21.11"/>
    <col collapsed="false" customWidth="true" hidden="false" outlineLevel="0" max="6" min="6" style="0" width="20"/>
    <col collapsed="false" customWidth="true" hidden="false" outlineLevel="0" max="7" min="7" style="0" width="24.44"/>
    <col collapsed="false" customWidth="true" hidden="false" outlineLevel="0" max="8" min="8" style="0" width="27.22"/>
  </cols>
  <sheetData>
    <row r="1" customFormat="false" ht="26" hidden="false" customHeight="true" outlineLevel="0" collapsed="false">
      <c r="A1" s="1" t="s">
        <v>1144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1145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1146</v>
      </c>
      <c r="B4" s="6" t="s">
        <v>1147</v>
      </c>
      <c r="C4" s="6" t="s">
        <v>1148</v>
      </c>
      <c r="D4" s="6" t="s">
        <v>1149</v>
      </c>
      <c r="E4" s="6" t="s">
        <v>1150</v>
      </c>
      <c r="F4" s="6" t="s">
        <v>1151</v>
      </c>
      <c r="G4" s="6" t="s">
        <v>1152</v>
      </c>
      <c r="H4" s="6" t="s">
        <v>1153</v>
      </c>
      <c r="I4" s="3"/>
      <c r="J4" s="3"/>
      <c r="K4" s="3"/>
      <c r="L4" s="3"/>
    </row>
    <row r="5" customFormat="false" ht="23.85" hidden="false" customHeight="false" outlineLevel="0" collapsed="false">
      <c r="A5" s="5" t="s">
        <v>1154</v>
      </c>
      <c r="B5" s="5" t="s">
        <v>1155</v>
      </c>
      <c r="C5" s="5" t="s">
        <v>1156</v>
      </c>
      <c r="D5" s="5" t="s">
        <v>1157</v>
      </c>
      <c r="E5" s="5" t="s">
        <v>1158</v>
      </c>
      <c r="F5" s="5" t="s">
        <v>1159</v>
      </c>
      <c r="G5" s="5" t="s">
        <v>1160</v>
      </c>
      <c r="H5" s="5" t="s">
        <v>1161</v>
      </c>
      <c r="I5" s="3"/>
      <c r="J5" s="3"/>
      <c r="K5" s="3"/>
      <c r="L5" s="3"/>
    </row>
    <row r="6" customFormat="false" ht="23.85" hidden="false" customHeight="false" outlineLevel="0" collapsed="false">
      <c r="A6" s="5" t="s">
        <v>1162</v>
      </c>
      <c r="B6" s="5" t="s">
        <v>1163</v>
      </c>
      <c r="C6" s="5" t="s">
        <v>1164</v>
      </c>
      <c r="D6" s="5" t="s">
        <v>1165</v>
      </c>
      <c r="E6" s="5" t="s">
        <v>1166</v>
      </c>
      <c r="F6" s="5" t="s">
        <v>1167</v>
      </c>
      <c r="G6" s="5" t="s">
        <v>1168</v>
      </c>
      <c r="H6" s="5" t="s">
        <v>1169</v>
      </c>
      <c r="I6" s="3"/>
      <c r="J6" s="3"/>
      <c r="K6" s="3"/>
      <c r="L6" s="3"/>
    </row>
    <row r="7" customFormat="false" ht="35.05" hidden="false" customHeight="false" outlineLevel="0" collapsed="false">
      <c r="A7" s="5" t="s">
        <v>1170</v>
      </c>
      <c r="B7" s="5" t="s">
        <v>1171</v>
      </c>
      <c r="C7" s="5" t="s">
        <v>258</v>
      </c>
      <c r="D7" s="5" t="s">
        <v>1172</v>
      </c>
      <c r="E7" s="5" t="s">
        <v>1173</v>
      </c>
      <c r="F7" s="5" t="s">
        <v>1174</v>
      </c>
      <c r="G7" s="5" t="s">
        <v>1175</v>
      </c>
      <c r="H7" s="5" t="s">
        <v>1176</v>
      </c>
      <c r="I7" s="3"/>
      <c r="J7" s="3"/>
      <c r="K7" s="3"/>
      <c r="L7" s="3"/>
    </row>
    <row r="8" customFormat="false" ht="23.85" hidden="false" customHeight="false" outlineLevel="0" collapsed="false">
      <c r="A8" s="5" t="s">
        <v>1177</v>
      </c>
      <c r="B8" s="5" t="s">
        <v>1178</v>
      </c>
      <c r="C8" s="5" t="s">
        <v>262</v>
      </c>
      <c r="D8" s="5" t="s">
        <v>1179</v>
      </c>
      <c r="E8" s="5" t="s">
        <v>1173</v>
      </c>
      <c r="F8" s="5" t="s">
        <v>1174</v>
      </c>
      <c r="G8" s="5" t="s">
        <v>1175</v>
      </c>
      <c r="H8" s="5" t="s">
        <v>1180</v>
      </c>
      <c r="I8" s="3"/>
      <c r="J8" s="3"/>
      <c r="K8" s="3"/>
      <c r="L8" s="3"/>
    </row>
    <row r="9" customFormat="false" ht="23.85" hidden="false" customHeight="false" outlineLevel="0" collapsed="false">
      <c r="A9" s="5" t="s">
        <v>1181</v>
      </c>
      <c r="B9" s="5" t="s">
        <v>1182</v>
      </c>
      <c r="C9" s="5" t="s">
        <v>1156</v>
      </c>
      <c r="D9" s="5" t="s">
        <v>1183</v>
      </c>
      <c r="E9" s="5" t="s">
        <v>1184</v>
      </c>
      <c r="F9" s="5" t="s">
        <v>1185</v>
      </c>
      <c r="G9" s="5" t="s">
        <v>1186</v>
      </c>
      <c r="H9" s="5" t="s">
        <v>1187</v>
      </c>
      <c r="I9" s="3"/>
      <c r="J9" s="3"/>
      <c r="K9" s="3"/>
      <c r="L9" s="3"/>
    </row>
    <row r="10" customFormat="false" ht="23.85" hidden="false" customHeight="false" outlineLevel="0" collapsed="false">
      <c r="A10" s="5" t="s">
        <v>1188</v>
      </c>
      <c r="B10" s="5" t="s">
        <v>1182</v>
      </c>
      <c r="C10" s="5" t="s">
        <v>1156</v>
      </c>
      <c r="D10" s="5" t="s">
        <v>1189</v>
      </c>
      <c r="E10" s="5" t="s">
        <v>1190</v>
      </c>
      <c r="F10" s="5" t="s">
        <v>1185</v>
      </c>
      <c r="G10" s="5" t="s">
        <v>1191</v>
      </c>
      <c r="H10" s="5" t="s">
        <v>1192</v>
      </c>
      <c r="I10" s="3"/>
      <c r="J10" s="3"/>
      <c r="K10" s="3"/>
      <c r="L10" s="3"/>
    </row>
    <row r="11" customFormat="false" ht="23.85" hidden="false" customHeight="false" outlineLevel="0" collapsed="false">
      <c r="A11" s="5" t="s">
        <v>1193</v>
      </c>
      <c r="B11" s="5" t="s">
        <v>1178</v>
      </c>
      <c r="C11" s="5" t="s">
        <v>262</v>
      </c>
      <c r="D11" s="5" t="s">
        <v>1194</v>
      </c>
      <c r="E11" s="5" t="s">
        <v>1195</v>
      </c>
      <c r="F11" s="5" t="s">
        <v>1196</v>
      </c>
      <c r="G11" s="5" t="s">
        <v>1197</v>
      </c>
      <c r="H11" s="5" t="s">
        <v>1198</v>
      </c>
      <c r="I11" s="3"/>
      <c r="J11" s="3"/>
      <c r="K11" s="3"/>
      <c r="L11" s="3"/>
    </row>
    <row r="12" customFormat="false" ht="35.05" hidden="false" customHeight="false" outlineLevel="0" collapsed="false">
      <c r="A12" s="5" t="s">
        <v>1199</v>
      </c>
      <c r="B12" s="5" t="s">
        <v>1200</v>
      </c>
      <c r="C12" s="5" t="s">
        <v>262</v>
      </c>
      <c r="D12" s="5" t="s">
        <v>1201</v>
      </c>
      <c r="E12" s="5" t="s">
        <v>1202</v>
      </c>
      <c r="F12" s="5" t="s">
        <v>1203</v>
      </c>
      <c r="G12" s="5" t="s">
        <v>1204</v>
      </c>
      <c r="H12" s="5" t="s">
        <v>1205</v>
      </c>
      <c r="I12" s="3"/>
      <c r="J12" s="3"/>
      <c r="K12" s="3"/>
      <c r="L12" s="3"/>
    </row>
    <row r="13" customFormat="false" ht="23.85" hidden="false" customHeight="false" outlineLevel="0" collapsed="false">
      <c r="A13" s="5" t="s">
        <v>1206</v>
      </c>
      <c r="B13" s="5" t="s">
        <v>1207</v>
      </c>
      <c r="C13" s="5" t="s">
        <v>1208</v>
      </c>
      <c r="D13" s="5" t="s">
        <v>1209</v>
      </c>
      <c r="E13" s="5" t="s">
        <v>1210</v>
      </c>
      <c r="F13" s="5" t="s">
        <v>1211</v>
      </c>
      <c r="G13" s="5" t="s">
        <v>1212</v>
      </c>
      <c r="H13" s="5" t="s">
        <v>1213</v>
      </c>
      <c r="I13" s="3"/>
      <c r="J13" s="3"/>
      <c r="K13" s="3"/>
      <c r="L13" s="3"/>
    </row>
    <row r="14" customFormat="false" ht="23.85" hidden="false" customHeight="false" outlineLevel="0" collapsed="false">
      <c r="A14" s="5" t="s">
        <v>1214</v>
      </c>
      <c r="B14" s="5" t="s">
        <v>1215</v>
      </c>
      <c r="C14" s="5" t="s">
        <v>1156</v>
      </c>
      <c r="D14" s="5" t="s">
        <v>1216</v>
      </c>
      <c r="E14" s="5" t="s">
        <v>1217</v>
      </c>
      <c r="F14" s="5" t="s">
        <v>1218</v>
      </c>
      <c r="G14" s="5" t="s">
        <v>1219</v>
      </c>
      <c r="H14" s="5" t="s">
        <v>1220</v>
      </c>
      <c r="I14" s="3"/>
      <c r="J14" s="3"/>
      <c r="K14" s="3"/>
      <c r="L14" s="3"/>
    </row>
    <row r="15" customFormat="false" ht="35.05" hidden="false" customHeight="false" outlineLevel="0" collapsed="false">
      <c r="A15" s="5" t="s">
        <v>65</v>
      </c>
      <c r="B15" s="5" t="s">
        <v>184</v>
      </c>
      <c r="C15" s="5" t="s">
        <v>1221</v>
      </c>
      <c r="D15" s="5" t="s">
        <v>1222</v>
      </c>
      <c r="E15" s="5" t="s">
        <v>1223</v>
      </c>
      <c r="F15" s="5" t="s">
        <v>1224</v>
      </c>
      <c r="G15" s="5" t="s">
        <v>1225</v>
      </c>
      <c r="H15" s="5" t="s">
        <v>1226</v>
      </c>
      <c r="I15" s="3"/>
      <c r="J15" s="3"/>
      <c r="K15" s="3"/>
      <c r="L15" s="3"/>
    </row>
    <row r="16" customFormat="false" ht="23.85" hidden="false" customHeight="false" outlineLevel="0" collapsed="false">
      <c r="A16" s="5" t="s">
        <v>1227</v>
      </c>
      <c r="B16" s="5" t="s">
        <v>1228</v>
      </c>
      <c r="C16" s="5" t="s">
        <v>1229</v>
      </c>
      <c r="D16" s="5" t="s">
        <v>1230</v>
      </c>
      <c r="E16" s="5" t="s">
        <v>1231</v>
      </c>
      <c r="F16" s="5" t="s">
        <v>1232</v>
      </c>
      <c r="G16" s="5" t="s">
        <v>1233</v>
      </c>
      <c r="H16" s="5" t="s">
        <v>1234</v>
      </c>
      <c r="I16" s="3"/>
      <c r="J16" s="3"/>
      <c r="K16" s="3"/>
      <c r="L16" s="3"/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78"/>
    <col collapsed="false" customWidth="true" hidden="false" outlineLevel="0" max="5" min="2" style="0" width="11.67"/>
    <col collapsed="false" customWidth="true" hidden="false" outlineLevel="0" max="6" min="6" style="0" width="12.78"/>
    <col collapsed="false" customWidth="true" hidden="false" outlineLevel="0" max="7" min="7" style="0" width="40"/>
  </cols>
  <sheetData>
    <row r="1" customFormat="false" ht="26" hidden="false" customHeight="true" outlineLevel="0" collapsed="false">
      <c r="A1" s="1" t="s">
        <v>1235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1236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76</v>
      </c>
      <c r="B4" s="6" t="s">
        <v>1237</v>
      </c>
      <c r="C4" s="6" t="s">
        <v>1238</v>
      </c>
      <c r="D4" s="6" t="s">
        <v>1239</v>
      </c>
      <c r="E4" s="6" t="s">
        <v>1240</v>
      </c>
      <c r="F4" s="6" t="s">
        <v>95</v>
      </c>
      <c r="G4" s="6" t="s">
        <v>30</v>
      </c>
      <c r="H4" s="3"/>
      <c r="I4" s="3"/>
      <c r="J4" s="3"/>
      <c r="K4" s="3"/>
      <c r="L4" s="3"/>
    </row>
    <row r="5" customFormat="false" ht="23.85" hidden="false" customHeight="false" outlineLevel="0" collapsed="false">
      <c r="A5" s="5" t="s">
        <v>1241</v>
      </c>
      <c r="B5" s="7" t="n">
        <f aca="false">'Stage Schedule'!D5</f>
        <v>3</v>
      </c>
      <c r="C5" s="7" t="n">
        <f aca="false">'Stage Schedule'!G5</f>
        <v>0.538036922898085</v>
      </c>
      <c r="D5" s="7" t="n">
        <f aca="false">B5+C5</f>
        <v>3.53803692289808</v>
      </c>
      <c r="E5" s="7" t="n">
        <f aca="false">'Stage Schedule'!H8-D5</f>
        <v>12.0488758964225</v>
      </c>
      <c r="F5" s="7" t="n">
        <f aca="false">0</f>
        <v>0</v>
      </c>
      <c r="G5" s="5" t="s">
        <v>1242</v>
      </c>
      <c r="H5" s="3"/>
      <c r="I5" s="3"/>
      <c r="J5" s="3"/>
      <c r="K5" s="3"/>
      <c r="L5" s="3"/>
    </row>
    <row r="6" customFormat="false" ht="23.85" hidden="false" customHeight="false" outlineLevel="0" collapsed="false">
      <c r="A6" s="5" t="s">
        <v>1243</v>
      </c>
      <c r="B6" s="7" t="n">
        <f aca="false">0</f>
        <v>0</v>
      </c>
      <c r="C6" s="7" t="n">
        <f aca="false">SUM('Stage Schedule'!G5:G6)</f>
        <v>1.79345640966028</v>
      </c>
      <c r="D6" s="7" t="n">
        <f aca="false">B6+C6</f>
        <v>1.79345640966028</v>
      </c>
      <c r="E6" s="7" t="n">
        <f aca="false">Authority!D11-C6</f>
        <v>1.79345640966028</v>
      </c>
      <c r="F6" s="7" t="n">
        <f aca="false">0</f>
        <v>0</v>
      </c>
      <c r="G6" s="5" t="s">
        <v>1244</v>
      </c>
      <c r="H6" s="3"/>
      <c r="I6" s="3"/>
      <c r="J6" s="3"/>
      <c r="K6" s="3"/>
      <c r="L6" s="3"/>
    </row>
    <row r="7" customFormat="false" ht="23.85" hidden="false" customHeight="false" outlineLevel="0" collapsed="false">
      <c r="A7" s="5" t="s">
        <v>1245</v>
      </c>
      <c r="B7" s="7" t="n">
        <f aca="false">SUM('Stage Schedule'!D5:D7)</f>
        <v>9</v>
      </c>
      <c r="C7" s="7" t="n">
        <f aca="false">SUM(Authority!E11:G11)</f>
        <v>3.04887589642248</v>
      </c>
      <c r="D7" s="7" t="n">
        <f aca="false">B7+C7</f>
        <v>12.0488758964225</v>
      </c>
      <c r="E7" s="7" t="n">
        <f aca="false">'Stage Schedule'!H8-D7</f>
        <v>3.53803692289808</v>
      </c>
      <c r="F7" s="7" t="n">
        <f aca="false">0</f>
        <v>0</v>
      </c>
      <c r="G7" s="5" t="s">
        <v>1246</v>
      </c>
      <c r="H7" s="3"/>
      <c r="I7" s="3"/>
      <c r="J7" s="3"/>
      <c r="K7" s="3"/>
      <c r="L7" s="3"/>
    </row>
    <row r="8" customFormat="false" ht="23.85" hidden="false" customHeight="false" outlineLevel="0" collapsed="false">
      <c r="A8" s="5" t="s">
        <v>1247</v>
      </c>
      <c r="B8" s="7" t="n">
        <f aca="false">0</f>
        <v>0</v>
      </c>
      <c r="C8" s="7" t="n">
        <f aca="false">MAX(Authority!I5:I10)</f>
        <v>0.76450089642248</v>
      </c>
      <c r="D8" s="7" t="n">
        <f aca="false">B8+C8</f>
        <v>0.76450089642248</v>
      </c>
      <c r="E8" s="7" t="n">
        <f aca="false">MAX(Authority!D5:D10)-C8</f>
        <v>0.134911922898085</v>
      </c>
      <c r="F8" s="7" t="n">
        <f aca="false">0</f>
        <v>0</v>
      </c>
      <c r="G8" s="5" t="s">
        <v>1248</v>
      </c>
      <c r="H8" s="3"/>
      <c r="I8" s="3"/>
      <c r="J8" s="3"/>
      <c r="K8" s="3"/>
      <c r="L8" s="3"/>
    </row>
    <row r="9" customFormat="false" ht="23.85" hidden="false" customHeight="false" outlineLevel="0" collapsed="false">
      <c r="A9" s="5" t="s">
        <v>1249</v>
      </c>
      <c r="B9" s="7" t="n">
        <f aca="false">Controls!B12</f>
        <v>12</v>
      </c>
      <c r="C9" s="7" t="n">
        <f aca="false">Authority!D11</f>
        <v>3.58691281932056</v>
      </c>
      <c r="D9" s="7" t="n">
        <f aca="false">B9+C9</f>
        <v>15.5869128193206</v>
      </c>
      <c r="E9" s="7" t="n">
        <f aca="false">0</f>
        <v>0</v>
      </c>
      <c r="F9" s="7" t="n">
        <f aca="false">0</f>
        <v>0</v>
      </c>
      <c r="G9" s="5" t="s">
        <v>1250</v>
      </c>
      <c r="H9" s="3"/>
      <c r="I9" s="3"/>
      <c r="J9" s="3"/>
      <c r="K9" s="3"/>
      <c r="L9" s="3"/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.34"/>
    <col collapsed="false" customWidth="true" hidden="false" outlineLevel="0" max="2" min="2" style="0" width="7.78"/>
    <col collapsed="false" customWidth="true" hidden="false" outlineLevel="0" max="3" min="3" style="0" width="8.34"/>
    <col collapsed="false" customWidth="true" hidden="false" outlineLevel="0" max="4" min="4" style="0" width="33.33"/>
    <col collapsed="false" customWidth="true" hidden="false" outlineLevel="0" max="5" min="5" style="0" width="29.44"/>
    <col collapsed="false" customWidth="true" hidden="false" outlineLevel="0" max="6" min="6" style="0" width="30"/>
    <col collapsed="false" customWidth="true" hidden="false" outlineLevel="0" max="7" min="7" style="0" width="16.11"/>
  </cols>
  <sheetData>
    <row r="1" customFormat="false" ht="26" hidden="false" customHeight="true" outlineLevel="0" collapsed="false">
      <c r="A1" s="1" t="s">
        <v>1251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1252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1228</v>
      </c>
      <c r="B4" s="6" t="s">
        <v>185</v>
      </c>
      <c r="C4" s="6" t="s">
        <v>322</v>
      </c>
      <c r="D4" s="6" t="s">
        <v>1253</v>
      </c>
      <c r="E4" s="6" t="s">
        <v>1254</v>
      </c>
      <c r="F4" s="6" t="s">
        <v>1255</v>
      </c>
      <c r="G4" s="6" t="s">
        <v>191</v>
      </c>
      <c r="H4" s="3"/>
      <c r="I4" s="3"/>
      <c r="J4" s="3"/>
      <c r="K4" s="3"/>
      <c r="L4" s="3"/>
    </row>
    <row r="5" customFormat="false" ht="23.85" hidden="false" customHeight="false" outlineLevel="0" collapsed="false">
      <c r="A5" s="5" t="s">
        <v>1256</v>
      </c>
      <c r="B5" s="5" t="s">
        <v>7</v>
      </c>
      <c r="C5" s="5" t="s">
        <v>8</v>
      </c>
      <c r="D5" s="5" t="s">
        <v>1257</v>
      </c>
      <c r="E5" s="5" t="s">
        <v>1258</v>
      </c>
      <c r="F5" s="5" t="s">
        <v>1259</v>
      </c>
      <c r="G5" s="5" t="s">
        <v>297</v>
      </c>
      <c r="H5" s="3"/>
      <c r="I5" s="3"/>
      <c r="J5" s="3"/>
      <c r="K5" s="3"/>
      <c r="L5" s="3"/>
    </row>
    <row r="6" customFormat="false" ht="23.85" hidden="false" customHeight="false" outlineLevel="0" collapsed="false">
      <c r="A6" s="5" t="s">
        <v>1260</v>
      </c>
      <c r="B6" s="5" t="s">
        <v>7</v>
      </c>
      <c r="C6" s="5" t="s">
        <v>8</v>
      </c>
      <c r="D6" s="5" t="s">
        <v>1261</v>
      </c>
      <c r="E6" s="5" t="s">
        <v>1262</v>
      </c>
      <c r="F6" s="5" t="s">
        <v>1263</v>
      </c>
      <c r="G6" s="5" t="s">
        <v>297</v>
      </c>
      <c r="H6" s="3"/>
      <c r="I6" s="3"/>
      <c r="J6" s="3"/>
      <c r="K6" s="3"/>
      <c r="L6" s="3"/>
    </row>
    <row r="7" customFormat="false" ht="23.85" hidden="false" customHeight="false" outlineLevel="0" collapsed="false">
      <c r="A7" s="5" t="s">
        <v>1264</v>
      </c>
      <c r="B7" s="5" t="s">
        <v>7</v>
      </c>
      <c r="C7" s="5" t="s">
        <v>8</v>
      </c>
      <c r="D7" s="5" t="s">
        <v>1265</v>
      </c>
      <c r="E7" s="5" t="s">
        <v>1266</v>
      </c>
      <c r="F7" s="5" t="s">
        <v>1267</v>
      </c>
      <c r="G7" s="5" t="s">
        <v>297</v>
      </c>
      <c r="H7" s="3"/>
      <c r="I7" s="3"/>
      <c r="J7" s="3"/>
      <c r="K7" s="3"/>
      <c r="L7" s="3"/>
    </row>
    <row r="8" customFormat="false" ht="23.85" hidden="false" customHeight="false" outlineLevel="0" collapsed="false">
      <c r="A8" s="5" t="s">
        <v>1268</v>
      </c>
      <c r="B8" s="5" t="s">
        <v>12</v>
      </c>
      <c r="C8" s="5" t="s">
        <v>13</v>
      </c>
      <c r="D8" s="5" t="s">
        <v>1269</v>
      </c>
      <c r="E8" s="5" t="s">
        <v>1270</v>
      </c>
      <c r="F8" s="5" t="s">
        <v>1271</v>
      </c>
      <c r="G8" s="5" t="s">
        <v>297</v>
      </c>
      <c r="H8" s="3"/>
      <c r="I8" s="3"/>
      <c r="J8" s="3"/>
      <c r="K8" s="3"/>
      <c r="L8" s="3"/>
    </row>
    <row r="9" customFormat="false" ht="23.85" hidden="false" customHeight="false" outlineLevel="0" collapsed="false">
      <c r="A9" s="5" t="s">
        <v>1272</v>
      </c>
      <c r="B9" s="5" t="s">
        <v>12</v>
      </c>
      <c r="C9" s="5" t="s">
        <v>13</v>
      </c>
      <c r="D9" s="5" t="s">
        <v>1273</v>
      </c>
      <c r="E9" s="5" t="s">
        <v>1274</v>
      </c>
      <c r="F9" s="5" t="s">
        <v>1275</v>
      </c>
      <c r="G9" s="5" t="s">
        <v>297</v>
      </c>
      <c r="H9" s="3"/>
      <c r="I9" s="3"/>
      <c r="J9" s="3"/>
      <c r="K9" s="3"/>
      <c r="L9" s="3"/>
    </row>
    <row r="10" customFormat="false" ht="23.85" hidden="false" customHeight="false" outlineLevel="0" collapsed="false">
      <c r="A10" s="5" t="s">
        <v>1276</v>
      </c>
      <c r="B10" s="5" t="s">
        <v>12</v>
      </c>
      <c r="C10" s="5" t="s">
        <v>13</v>
      </c>
      <c r="D10" s="5" t="s">
        <v>1277</v>
      </c>
      <c r="E10" s="5" t="s">
        <v>1278</v>
      </c>
      <c r="F10" s="5" t="s">
        <v>1279</v>
      </c>
      <c r="G10" s="5" t="s">
        <v>297</v>
      </c>
      <c r="H10" s="3"/>
      <c r="I10" s="3"/>
      <c r="J10" s="3"/>
      <c r="K10" s="3"/>
      <c r="L10" s="3"/>
    </row>
    <row r="11" customFormat="false" ht="23.85" hidden="false" customHeight="false" outlineLevel="0" collapsed="false">
      <c r="A11" s="5" t="s">
        <v>1280</v>
      </c>
      <c r="B11" s="5" t="s">
        <v>17</v>
      </c>
      <c r="C11" s="5" t="s">
        <v>18</v>
      </c>
      <c r="D11" s="5" t="s">
        <v>1281</v>
      </c>
      <c r="E11" s="5" t="s">
        <v>1282</v>
      </c>
      <c r="F11" s="5" t="s">
        <v>1283</v>
      </c>
      <c r="G11" s="5" t="s">
        <v>297</v>
      </c>
      <c r="H11" s="3"/>
      <c r="I11" s="3"/>
      <c r="J11" s="3"/>
      <c r="K11" s="3"/>
      <c r="L11" s="3"/>
    </row>
    <row r="12" customFormat="false" ht="23.85" hidden="false" customHeight="false" outlineLevel="0" collapsed="false">
      <c r="A12" s="5" t="s">
        <v>1284</v>
      </c>
      <c r="B12" s="5" t="s">
        <v>17</v>
      </c>
      <c r="C12" s="5" t="s">
        <v>18</v>
      </c>
      <c r="D12" s="5" t="s">
        <v>1285</v>
      </c>
      <c r="E12" s="5" t="s">
        <v>1286</v>
      </c>
      <c r="F12" s="5" t="s">
        <v>1287</v>
      </c>
      <c r="G12" s="5" t="s">
        <v>297</v>
      </c>
      <c r="H12" s="3"/>
      <c r="I12" s="3"/>
      <c r="J12" s="3"/>
      <c r="K12" s="3"/>
      <c r="L12" s="3"/>
    </row>
    <row r="13" customFormat="false" ht="23.85" hidden="false" customHeight="false" outlineLevel="0" collapsed="false">
      <c r="A13" s="5" t="s">
        <v>1288</v>
      </c>
      <c r="B13" s="5" t="s">
        <v>17</v>
      </c>
      <c r="C13" s="5" t="s">
        <v>18</v>
      </c>
      <c r="D13" s="5" t="s">
        <v>1289</v>
      </c>
      <c r="E13" s="5" t="s">
        <v>1290</v>
      </c>
      <c r="F13" s="5" t="s">
        <v>1291</v>
      </c>
      <c r="G13" s="5" t="s">
        <v>297</v>
      </c>
      <c r="H13" s="3"/>
      <c r="I13" s="3"/>
      <c r="J13" s="3"/>
      <c r="K13" s="3"/>
      <c r="L13" s="3"/>
    </row>
    <row r="14" customFormat="false" ht="23.85" hidden="false" customHeight="false" outlineLevel="0" collapsed="false">
      <c r="A14" s="5" t="s">
        <v>1292</v>
      </c>
      <c r="B14" s="5" t="s">
        <v>20</v>
      </c>
      <c r="C14" s="5" t="s">
        <v>21</v>
      </c>
      <c r="D14" s="5" t="s">
        <v>1293</v>
      </c>
      <c r="E14" s="5" t="s">
        <v>1294</v>
      </c>
      <c r="F14" s="5" t="s">
        <v>1295</v>
      </c>
      <c r="G14" s="5" t="s">
        <v>297</v>
      </c>
      <c r="H14" s="3"/>
      <c r="I14" s="3"/>
      <c r="J14" s="3"/>
      <c r="K14" s="3"/>
      <c r="L14" s="3"/>
    </row>
    <row r="15" customFormat="false" ht="23.85" hidden="false" customHeight="false" outlineLevel="0" collapsed="false">
      <c r="A15" s="5" t="s">
        <v>1296</v>
      </c>
      <c r="B15" s="5" t="s">
        <v>20</v>
      </c>
      <c r="C15" s="5" t="s">
        <v>21</v>
      </c>
      <c r="D15" s="5" t="s">
        <v>1297</v>
      </c>
      <c r="E15" s="5" t="s">
        <v>1298</v>
      </c>
      <c r="F15" s="5" t="s">
        <v>1299</v>
      </c>
      <c r="G15" s="5" t="s">
        <v>297</v>
      </c>
      <c r="H15" s="3"/>
      <c r="I15" s="3"/>
      <c r="J15" s="3"/>
      <c r="K15" s="3"/>
      <c r="L15" s="3"/>
    </row>
    <row r="16" customFormat="false" ht="23.85" hidden="false" customHeight="false" outlineLevel="0" collapsed="false">
      <c r="A16" s="5" t="s">
        <v>1300</v>
      </c>
      <c r="B16" s="5" t="s">
        <v>20</v>
      </c>
      <c r="C16" s="5" t="s">
        <v>21</v>
      </c>
      <c r="D16" s="5" t="s">
        <v>1301</v>
      </c>
      <c r="E16" s="5" t="s">
        <v>1302</v>
      </c>
      <c r="F16" s="5" t="s">
        <v>1303</v>
      </c>
      <c r="G16" s="5" t="s">
        <v>297</v>
      </c>
      <c r="H16" s="3"/>
      <c r="I16" s="3"/>
      <c r="J16" s="3"/>
      <c r="K16" s="3"/>
      <c r="L16" s="3"/>
    </row>
    <row r="17" customFormat="false" ht="23.85" hidden="false" customHeight="false" outlineLevel="0" collapsed="false">
      <c r="A17" s="5" t="s">
        <v>1304</v>
      </c>
      <c r="B17" s="5" t="s">
        <v>24</v>
      </c>
      <c r="C17" s="5" t="s">
        <v>25</v>
      </c>
      <c r="D17" s="5" t="s">
        <v>1305</v>
      </c>
      <c r="E17" s="5" t="s">
        <v>1306</v>
      </c>
      <c r="F17" s="5" t="s">
        <v>1307</v>
      </c>
      <c r="G17" s="5" t="s">
        <v>297</v>
      </c>
      <c r="H17" s="3"/>
      <c r="I17" s="3"/>
      <c r="J17" s="3"/>
      <c r="K17" s="3"/>
      <c r="L17" s="3"/>
    </row>
    <row r="18" customFormat="false" ht="23.85" hidden="false" customHeight="false" outlineLevel="0" collapsed="false">
      <c r="A18" s="5" t="s">
        <v>1308</v>
      </c>
      <c r="B18" s="5" t="s">
        <v>24</v>
      </c>
      <c r="C18" s="5" t="s">
        <v>25</v>
      </c>
      <c r="D18" s="5" t="s">
        <v>1309</v>
      </c>
      <c r="E18" s="5" t="s">
        <v>1310</v>
      </c>
      <c r="F18" s="5" t="s">
        <v>1311</v>
      </c>
      <c r="G18" s="5" t="s">
        <v>297</v>
      </c>
      <c r="H18" s="3"/>
      <c r="I18" s="3"/>
      <c r="J18" s="3"/>
      <c r="K18" s="3"/>
      <c r="L18" s="3"/>
    </row>
    <row r="19" customFormat="false" ht="23.85" hidden="false" customHeight="false" outlineLevel="0" collapsed="false">
      <c r="A19" s="5" t="s">
        <v>1312</v>
      </c>
      <c r="B19" s="5" t="s">
        <v>24</v>
      </c>
      <c r="C19" s="5" t="s">
        <v>25</v>
      </c>
      <c r="D19" s="5" t="s">
        <v>1313</v>
      </c>
      <c r="E19" s="5" t="s">
        <v>1314</v>
      </c>
      <c r="F19" s="5" t="s">
        <v>1315</v>
      </c>
      <c r="G19" s="5" t="s">
        <v>297</v>
      </c>
      <c r="H19" s="3"/>
      <c r="I19" s="3"/>
      <c r="J19" s="3"/>
      <c r="K19" s="3"/>
      <c r="L19" s="3"/>
    </row>
    <row r="20" customFormat="false" ht="23.85" hidden="false" customHeight="false" outlineLevel="0" collapsed="false">
      <c r="A20" s="5" t="s">
        <v>1316</v>
      </c>
      <c r="B20" s="5" t="s">
        <v>31</v>
      </c>
      <c r="C20" s="5" t="s">
        <v>32</v>
      </c>
      <c r="D20" s="5" t="s">
        <v>1317</v>
      </c>
      <c r="E20" s="5" t="s">
        <v>1318</v>
      </c>
      <c r="F20" s="5" t="s">
        <v>1319</v>
      </c>
      <c r="G20" s="5" t="s">
        <v>297</v>
      </c>
      <c r="H20" s="3"/>
      <c r="I20" s="3"/>
      <c r="J20" s="3"/>
      <c r="K20" s="3"/>
      <c r="L20" s="3"/>
    </row>
    <row r="21" customFormat="false" ht="23.85" hidden="false" customHeight="false" outlineLevel="0" collapsed="false">
      <c r="A21" s="5" t="s">
        <v>1320</v>
      </c>
      <c r="B21" s="5" t="s">
        <v>31</v>
      </c>
      <c r="C21" s="5" t="s">
        <v>32</v>
      </c>
      <c r="D21" s="5" t="s">
        <v>1321</v>
      </c>
      <c r="E21" s="5" t="s">
        <v>1322</v>
      </c>
      <c r="F21" s="5" t="s">
        <v>1323</v>
      </c>
      <c r="G21" s="5" t="s">
        <v>297</v>
      </c>
      <c r="H21" s="3"/>
      <c r="I21" s="3"/>
      <c r="J21" s="3"/>
      <c r="K21" s="3"/>
      <c r="L21" s="3"/>
    </row>
    <row r="22" customFormat="false" ht="23.85" hidden="false" customHeight="false" outlineLevel="0" collapsed="false">
      <c r="A22" s="5" t="s">
        <v>1324</v>
      </c>
      <c r="B22" s="5" t="s">
        <v>31</v>
      </c>
      <c r="C22" s="5" t="s">
        <v>32</v>
      </c>
      <c r="D22" s="5" t="s">
        <v>1325</v>
      </c>
      <c r="E22" s="5" t="s">
        <v>1326</v>
      </c>
      <c r="F22" s="5" t="s">
        <v>1327</v>
      </c>
      <c r="G22" s="5" t="s">
        <v>297</v>
      </c>
      <c r="H22" s="3"/>
      <c r="I22" s="3"/>
      <c r="J22" s="3"/>
      <c r="K22" s="3"/>
      <c r="L22" s="3"/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11"/>
    <col collapsed="false" customWidth="true" hidden="false" outlineLevel="0" max="2" min="2" style="0" width="10"/>
    <col collapsed="false" customWidth="true" hidden="false" outlineLevel="0" max="3" min="3" style="0" width="16.67"/>
    <col collapsed="false" customWidth="true" hidden="false" outlineLevel="0" max="4" min="4" style="0" width="30"/>
    <col collapsed="false" customWidth="true" hidden="false" outlineLevel="0" max="5" min="5" style="0" width="31.11"/>
    <col collapsed="false" customWidth="true" hidden="false" outlineLevel="0" max="6" min="6" style="0" width="20.56"/>
  </cols>
  <sheetData>
    <row r="1" customFormat="false" ht="26" hidden="false" customHeight="true" outlineLevel="0" collapsed="false">
      <c r="A1" s="1" t="s">
        <v>1328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1329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1330</v>
      </c>
      <c r="B4" s="6" t="s">
        <v>1331</v>
      </c>
      <c r="C4" s="6" t="s">
        <v>1332</v>
      </c>
      <c r="D4" s="6" t="s">
        <v>1333</v>
      </c>
      <c r="E4" s="6" t="s">
        <v>1334</v>
      </c>
      <c r="F4" s="6" t="s">
        <v>1335</v>
      </c>
      <c r="G4" s="3"/>
      <c r="H4" s="3"/>
      <c r="I4" s="3"/>
      <c r="J4" s="3"/>
      <c r="K4" s="3"/>
      <c r="L4" s="3"/>
    </row>
    <row r="5" customFormat="false" ht="23.85" hidden="false" customHeight="false" outlineLevel="0" collapsed="false">
      <c r="A5" s="5" t="s">
        <v>1336</v>
      </c>
      <c r="B5" s="7" t="n">
        <v>6</v>
      </c>
      <c r="C5" s="5" t="s">
        <v>297</v>
      </c>
      <c r="D5" s="5" t="s">
        <v>1337</v>
      </c>
      <c r="E5" s="5" t="s">
        <v>1338</v>
      </c>
      <c r="F5" s="5" t="s">
        <v>1339</v>
      </c>
      <c r="G5" s="3"/>
      <c r="H5" s="3"/>
      <c r="I5" s="3"/>
      <c r="J5" s="3"/>
      <c r="K5" s="3"/>
      <c r="L5" s="3"/>
    </row>
    <row r="6" customFormat="false" ht="15" hidden="false" customHeight="false" outlineLevel="0" collapsed="false">
      <c r="A6" s="5" t="s">
        <v>37</v>
      </c>
      <c r="B6" s="7" t="n">
        <v>12</v>
      </c>
      <c r="C6" s="5" t="s">
        <v>1340</v>
      </c>
      <c r="D6" s="5" t="s">
        <v>1341</v>
      </c>
      <c r="E6" s="5" t="s">
        <v>1342</v>
      </c>
      <c r="F6" s="5" t="s">
        <v>1343</v>
      </c>
      <c r="G6" s="3"/>
      <c r="H6" s="3"/>
      <c r="I6" s="3"/>
      <c r="J6" s="3"/>
      <c r="K6" s="3"/>
      <c r="L6" s="3"/>
    </row>
    <row r="7" customFormat="false" ht="23.85" hidden="false" customHeight="false" outlineLevel="0" collapsed="false">
      <c r="A7" s="5" t="s">
        <v>39</v>
      </c>
      <c r="B7" s="7" t="n">
        <v>18</v>
      </c>
      <c r="C7" s="5" t="s">
        <v>297</v>
      </c>
      <c r="D7" s="5" t="s">
        <v>1344</v>
      </c>
      <c r="E7" s="5" t="s">
        <v>1345</v>
      </c>
      <c r="F7" s="5" t="s">
        <v>1346</v>
      </c>
      <c r="G7" s="3"/>
      <c r="H7" s="3"/>
      <c r="I7" s="3"/>
      <c r="J7" s="3"/>
      <c r="K7" s="3"/>
      <c r="L7" s="3"/>
    </row>
    <row r="8" customFormat="false" ht="23.85" hidden="false" customHeight="false" outlineLevel="0" collapsed="false">
      <c r="A8" s="5" t="s">
        <v>1347</v>
      </c>
      <c r="B8" s="7" t="n">
        <v>36</v>
      </c>
      <c r="C8" s="5" t="s">
        <v>297</v>
      </c>
      <c r="D8" s="5" t="s">
        <v>1348</v>
      </c>
      <c r="E8" s="5" t="s">
        <v>1349</v>
      </c>
      <c r="F8" s="5" t="s">
        <v>1350</v>
      </c>
      <c r="G8" s="3"/>
      <c r="H8" s="3"/>
      <c r="I8" s="3"/>
      <c r="J8" s="3"/>
      <c r="K8" s="3"/>
      <c r="L8" s="3"/>
    </row>
    <row r="9" customFormat="false" ht="23.85" hidden="false" customHeight="false" outlineLevel="0" collapsed="false">
      <c r="A9" s="5" t="s">
        <v>52</v>
      </c>
      <c r="B9" s="7" t="n">
        <v>24</v>
      </c>
      <c r="C9" s="5" t="s">
        <v>1340</v>
      </c>
      <c r="D9" s="5" t="s">
        <v>1351</v>
      </c>
      <c r="E9" s="5" t="s">
        <v>1352</v>
      </c>
      <c r="F9" s="5" t="s">
        <v>1353</v>
      </c>
      <c r="G9" s="3"/>
      <c r="H9" s="3"/>
      <c r="I9" s="3"/>
      <c r="J9" s="3"/>
      <c r="K9" s="3"/>
      <c r="L9" s="3"/>
    </row>
    <row r="10" customFormat="false" ht="23.85" hidden="false" customHeight="false" outlineLevel="0" collapsed="false">
      <c r="A10" s="5" t="s">
        <v>1354</v>
      </c>
      <c r="B10" s="7" t="n">
        <v>72</v>
      </c>
      <c r="C10" s="5" t="s">
        <v>1340</v>
      </c>
      <c r="D10" s="5" t="s">
        <v>1355</v>
      </c>
      <c r="E10" s="5" t="s">
        <v>1356</v>
      </c>
      <c r="F10" s="5" t="s">
        <v>1357</v>
      </c>
      <c r="G10" s="3"/>
      <c r="H10" s="3"/>
      <c r="I10" s="3"/>
      <c r="J10" s="3"/>
      <c r="K10" s="3"/>
      <c r="L10" s="3"/>
    </row>
    <row r="11" customFormat="false" ht="23.85" hidden="false" customHeight="false" outlineLevel="0" collapsed="false">
      <c r="A11" s="5" t="s">
        <v>1358</v>
      </c>
      <c r="B11" s="7" t="n">
        <v>144</v>
      </c>
      <c r="C11" s="5" t="s">
        <v>297</v>
      </c>
      <c r="D11" s="5" t="s">
        <v>1359</v>
      </c>
      <c r="E11" s="5" t="s">
        <v>1360</v>
      </c>
      <c r="F11" s="5" t="s">
        <v>1361</v>
      </c>
      <c r="G11" s="3"/>
      <c r="H11" s="3"/>
      <c r="I11" s="3"/>
      <c r="J11" s="3"/>
      <c r="K11" s="3"/>
      <c r="L11" s="3"/>
    </row>
    <row r="12" customFormat="false" ht="23.85" hidden="false" customHeight="false" outlineLevel="0" collapsed="false">
      <c r="A12" s="5" t="s">
        <v>62</v>
      </c>
      <c r="B12" s="7" t="n">
        <v>72</v>
      </c>
      <c r="C12" s="5" t="s">
        <v>1362</v>
      </c>
      <c r="D12" s="5" t="s">
        <v>1363</v>
      </c>
      <c r="E12" s="5" t="s">
        <v>1364</v>
      </c>
      <c r="F12" s="5" t="s">
        <v>1365</v>
      </c>
      <c r="G12" s="3"/>
      <c r="H12" s="3"/>
      <c r="I12" s="3"/>
      <c r="J12" s="3"/>
      <c r="K12" s="3"/>
      <c r="L12" s="3"/>
    </row>
    <row r="13" customFormat="false" ht="23.85" hidden="false" customHeight="false" outlineLevel="0" collapsed="false">
      <c r="A13" s="5" t="s">
        <v>67</v>
      </c>
      <c r="B13" s="7" t="n">
        <v>360</v>
      </c>
      <c r="C13" s="5" t="s">
        <v>296</v>
      </c>
      <c r="D13" s="5" t="s">
        <v>1366</v>
      </c>
      <c r="E13" s="5" t="s">
        <v>1367</v>
      </c>
      <c r="F13" s="5" t="s">
        <v>1357</v>
      </c>
      <c r="G13" s="3"/>
      <c r="H13" s="3"/>
      <c r="I13" s="3"/>
      <c r="J13" s="3"/>
      <c r="K13" s="3"/>
      <c r="L13" s="3"/>
    </row>
    <row r="14" customFormat="false" ht="15" hidden="false" customHeight="false" outlineLevel="0" collapsed="false">
      <c r="A14" s="5" t="s">
        <v>1368</v>
      </c>
      <c r="B14" s="7" t="n">
        <f aca="false">Authority!D11</f>
        <v>3.58691281932056</v>
      </c>
      <c r="C14" s="5" t="s">
        <v>1369</v>
      </c>
      <c r="D14" s="5" t="s">
        <v>1370</v>
      </c>
      <c r="E14" s="5" t="s">
        <v>1371</v>
      </c>
      <c r="F14" s="5" t="s">
        <v>1372</v>
      </c>
      <c r="G14" s="3"/>
      <c r="H14" s="3"/>
      <c r="I14" s="3"/>
      <c r="J14" s="3"/>
      <c r="K14" s="3"/>
      <c r="L14" s="3"/>
    </row>
    <row r="15" customFormat="false" ht="15" hidden="false" customHeight="false" outlineLevel="0" collapsed="false">
      <c r="A15" s="5" t="s">
        <v>1373</v>
      </c>
      <c r="B15" s="7" t="n">
        <v>12</v>
      </c>
      <c r="C15" s="5" t="s">
        <v>1369</v>
      </c>
      <c r="D15" s="5" t="s">
        <v>1374</v>
      </c>
      <c r="E15" s="5" t="s">
        <v>1375</v>
      </c>
      <c r="F15" s="5" t="s">
        <v>1372</v>
      </c>
      <c r="G15" s="3"/>
      <c r="H15" s="3"/>
      <c r="I15" s="3"/>
      <c r="J15" s="3"/>
      <c r="K15" s="3"/>
      <c r="L15" s="3"/>
    </row>
    <row r="16" customFormat="false" ht="23.85" hidden="false" customHeight="false" outlineLevel="0" collapsed="false">
      <c r="A16" s="5" t="s">
        <v>1376</v>
      </c>
      <c r="B16" s="7" t="n">
        <v>0</v>
      </c>
      <c r="C16" s="5" t="s">
        <v>1362</v>
      </c>
      <c r="D16" s="5" t="s">
        <v>1377</v>
      </c>
      <c r="E16" s="5" t="s">
        <v>1378</v>
      </c>
      <c r="F16" s="5" t="s">
        <v>1372</v>
      </c>
      <c r="G16" s="3"/>
      <c r="H16" s="3"/>
      <c r="I16" s="3"/>
      <c r="J16" s="3"/>
      <c r="K16" s="3"/>
      <c r="L16" s="3"/>
    </row>
    <row r="17" customFormat="false" ht="23.85" hidden="false" customHeight="false" outlineLevel="0" collapsed="false">
      <c r="A17" s="5" t="s">
        <v>1379</v>
      </c>
      <c r="B17" s="7" t="n">
        <v>0</v>
      </c>
      <c r="C17" s="5" t="s">
        <v>1362</v>
      </c>
      <c r="D17" s="5" t="s">
        <v>1380</v>
      </c>
      <c r="E17" s="5" t="s">
        <v>1381</v>
      </c>
      <c r="F17" s="5" t="s">
        <v>1382</v>
      </c>
      <c r="G17" s="3"/>
      <c r="H17" s="3"/>
      <c r="I17" s="3"/>
      <c r="J17" s="3"/>
      <c r="K17" s="3"/>
      <c r="L17" s="3"/>
    </row>
    <row r="18" customFormat="false" ht="23.85" hidden="false" customHeight="false" outlineLevel="0" collapsed="false">
      <c r="A18" s="5" t="s">
        <v>1383</v>
      </c>
      <c r="B18" s="7" t="n">
        <v>0</v>
      </c>
      <c r="C18" s="5" t="s">
        <v>1362</v>
      </c>
      <c r="D18" s="5" t="s">
        <v>1384</v>
      </c>
      <c r="E18" s="5" t="s">
        <v>1385</v>
      </c>
      <c r="F18" s="5" t="s">
        <v>1386</v>
      </c>
      <c r="G18" s="3"/>
      <c r="H18" s="3"/>
      <c r="I18" s="3"/>
      <c r="J18" s="3"/>
      <c r="K18" s="3"/>
      <c r="L18" s="3"/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.34"/>
    <col collapsed="false" customWidth="true" hidden="false" outlineLevel="0" max="2" min="2" style="0" width="28.89"/>
    <col collapsed="false" customWidth="true" hidden="false" outlineLevel="0" max="3" min="3" style="0" width="9.44"/>
    <col collapsed="false" customWidth="true" hidden="false" outlineLevel="0" max="4" min="4" style="0" width="10"/>
    <col collapsed="false" customWidth="true" hidden="false" outlineLevel="0" max="5" min="5" style="0" width="8.89"/>
    <col collapsed="false" customWidth="true" hidden="false" outlineLevel="0" max="6" min="6" style="0" width="32.22"/>
  </cols>
  <sheetData>
    <row r="1" customFormat="false" ht="26" hidden="false" customHeight="true" outlineLevel="0" collapsed="false">
      <c r="A1" s="1" t="s">
        <v>1387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1388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1389</v>
      </c>
      <c r="B4" s="6" t="s">
        <v>1390</v>
      </c>
      <c r="C4" s="6" t="s">
        <v>1391</v>
      </c>
      <c r="D4" s="6" t="s">
        <v>1392</v>
      </c>
      <c r="E4" s="6" t="s">
        <v>453</v>
      </c>
      <c r="F4" s="6" t="s">
        <v>1393</v>
      </c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5" t="s">
        <v>1394</v>
      </c>
      <c r="B5" s="5" t="s">
        <v>1395</v>
      </c>
      <c r="C5" s="5" t="s">
        <v>1396</v>
      </c>
      <c r="D5" s="5" t="str">
        <f aca="false">IF(5=Controls!B15,"PASS","FAIL")</f>
        <v>FAIL</v>
      </c>
      <c r="E5" s="5" t="str">
        <f aca="false">IF(D5=C5,"PASS","FAIL")</f>
        <v>PASS</v>
      </c>
      <c r="F5" s="5" t="s">
        <v>1397</v>
      </c>
      <c r="G5" s="3"/>
      <c r="H5" s="3"/>
      <c r="I5" s="3"/>
      <c r="J5" s="3"/>
      <c r="K5" s="3"/>
      <c r="L5" s="3"/>
    </row>
    <row r="6" customFormat="false" ht="15" hidden="false" customHeight="false" outlineLevel="0" collapsed="false">
      <c r="A6" s="5" t="s">
        <v>1398</v>
      </c>
      <c r="B6" s="5" t="s">
        <v>1399</v>
      </c>
      <c r="C6" s="5" t="s">
        <v>1396</v>
      </c>
      <c r="D6" s="5" t="str">
        <f aca="false">IF(1=Controls!B20,"PASS","FAIL")</f>
        <v>FAIL</v>
      </c>
      <c r="E6" s="5" t="str">
        <f aca="false">IF(D6=C6,"PASS","FAIL")</f>
        <v>PASS</v>
      </c>
      <c r="F6" s="5" t="s">
        <v>1400</v>
      </c>
      <c r="G6" s="3"/>
      <c r="H6" s="3"/>
      <c r="I6" s="3"/>
      <c r="J6" s="3"/>
      <c r="K6" s="3"/>
      <c r="L6" s="3"/>
    </row>
    <row r="7" customFormat="false" ht="15" hidden="false" customHeight="false" outlineLevel="0" collapsed="false">
      <c r="A7" s="5" t="s">
        <v>1401</v>
      </c>
      <c r="B7" s="5" t="s">
        <v>1402</v>
      </c>
      <c r="C7" s="5" t="s">
        <v>1396</v>
      </c>
      <c r="D7" s="5" t="str">
        <f aca="false">IF(1=Controls!B20,"PASS","FAIL")</f>
        <v>FAIL</v>
      </c>
      <c r="E7" s="5" t="str">
        <f aca="false">IF(D7=C7,"PASS","FAIL")</f>
        <v>PASS</v>
      </c>
      <c r="F7" s="5" t="s">
        <v>1403</v>
      </c>
      <c r="G7" s="3"/>
      <c r="H7" s="3"/>
      <c r="I7" s="3"/>
      <c r="J7" s="3"/>
      <c r="K7" s="3"/>
      <c r="L7" s="3"/>
    </row>
    <row r="8" customFormat="false" ht="15" hidden="false" customHeight="false" outlineLevel="0" collapsed="false">
      <c r="A8" s="5" t="s">
        <v>1404</v>
      </c>
      <c r="B8" s="5" t="s">
        <v>1405</v>
      </c>
      <c r="C8" s="5" t="s">
        <v>1396</v>
      </c>
      <c r="D8" s="5" t="str">
        <f aca="false">IF(2=Controls!B21,"PASS","FAIL")</f>
        <v>FAIL</v>
      </c>
      <c r="E8" s="5" t="str">
        <f aca="false">IF(D8=C8,"PASS","FAIL")</f>
        <v>PASS</v>
      </c>
      <c r="F8" s="5" t="s">
        <v>1406</v>
      </c>
      <c r="G8" s="3"/>
      <c r="H8" s="3"/>
      <c r="I8" s="3"/>
      <c r="J8" s="3"/>
      <c r="K8" s="3"/>
      <c r="L8" s="3"/>
    </row>
    <row r="9" customFormat="false" ht="15" hidden="false" customHeight="false" outlineLevel="0" collapsed="false">
      <c r="A9" s="5" t="s">
        <v>1407</v>
      </c>
      <c r="B9" s="5" t="s">
        <v>1408</v>
      </c>
      <c r="C9" s="5" t="s">
        <v>1396</v>
      </c>
      <c r="D9" s="5" t="str">
        <f aca="false">IF(1=Controls!B19,"PASS","FAIL")</f>
        <v>FAIL</v>
      </c>
      <c r="E9" s="5" t="str">
        <f aca="false">IF(D9=C9,"PASS","FAIL")</f>
        <v>PASS</v>
      </c>
      <c r="F9" s="5" t="s">
        <v>1409</v>
      </c>
      <c r="G9" s="3"/>
      <c r="H9" s="3"/>
      <c r="I9" s="3"/>
      <c r="J9" s="3"/>
      <c r="K9" s="3"/>
      <c r="L9" s="3"/>
    </row>
    <row r="10" customFormat="false" ht="15" hidden="false" customHeight="false" outlineLevel="0" collapsed="false">
      <c r="A10" s="5" t="s">
        <v>1410</v>
      </c>
      <c r="B10" s="5" t="s">
        <v>1411</v>
      </c>
      <c r="C10" s="5" t="s">
        <v>1396</v>
      </c>
      <c r="D10" s="5" t="str">
        <f aca="false">IF(24=Controls!B16,"PASS","FAIL")</f>
        <v>FAIL</v>
      </c>
      <c r="E10" s="5" t="str">
        <f aca="false">IF(D10=C10,"PASS","FAIL")</f>
        <v>PASS</v>
      </c>
      <c r="F10" s="5" t="s">
        <v>1412</v>
      </c>
      <c r="G10" s="3"/>
      <c r="H10" s="3"/>
      <c r="I10" s="3"/>
      <c r="J10" s="3"/>
      <c r="K10" s="3"/>
      <c r="L10" s="3"/>
    </row>
    <row r="11" customFormat="false" ht="15" hidden="false" customHeight="false" outlineLevel="0" collapsed="false">
      <c r="A11" s="5" t="s">
        <v>1413</v>
      </c>
      <c r="B11" s="5" t="s">
        <v>1414</v>
      </c>
      <c r="C11" s="5" t="s">
        <v>1396</v>
      </c>
      <c r="D11" s="5" t="str">
        <f aca="false">IF(13&lt;=Controls!B12,"PASS","FAIL")</f>
        <v>FAIL</v>
      </c>
      <c r="E11" s="5" t="str">
        <f aca="false">IF(D11=C11,"PASS","FAIL")</f>
        <v>PASS</v>
      </c>
      <c r="F11" s="5" t="s">
        <v>1415</v>
      </c>
      <c r="G11" s="3"/>
      <c r="H11" s="3"/>
      <c r="I11" s="3"/>
      <c r="J11" s="3"/>
      <c r="K11" s="3"/>
      <c r="L11" s="3"/>
    </row>
    <row r="12" customFormat="false" ht="23.85" hidden="false" customHeight="false" outlineLevel="0" collapsed="false">
      <c r="A12" s="5" t="s">
        <v>1416</v>
      </c>
      <c r="B12" s="5" t="s">
        <v>1417</v>
      </c>
      <c r="C12" s="5" t="s">
        <v>1396</v>
      </c>
      <c r="D12" s="5" t="str">
        <f aca="false">IF(4&lt;=Authority!D11,"PASS","FAIL")</f>
        <v>FAIL</v>
      </c>
      <c r="E12" s="5" t="str">
        <f aca="false">IF(D12=C12,"PASS","FAIL")</f>
        <v>PASS</v>
      </c>
      <c r="F12" s="5" t="s">
        <v>1418</v>
      </c>
      <c r="G12" s="3"/>
      <c r="H12" s="3"/>
      <c r="I12" s="3"/>
      <c r="J12" s="3"/>
      <c r="K12" s="3"/>
      <c r="L12" s="3"/>
    </row>
    <row r="13" customFormat="false" ht="23.85" hidden="false" customHeight="false" outlineLevel="0" collapsed="false">
      <c r="A13" s="5" t="s">
        <v>1419</v>
      </c>
      <c r="B13" s="5" t="s">
        <v>1420</v>
      </c>
      <c r="C13" s="5" t="s">
        <v>1396</v>
      </c>
      <c r="D13" s="5" t="str">
        <f aca="false">IF(Authority!H11=0,"PASS","FAIL")</f>
        <v>FAIL</v>
      </c>
      <c r="E13" s="5" t="str">
        <f aca="false">IF(D13=C13,"PASS","FAIL")</f>
        <v>PASS</v>
      </c>
      <c r="F13" s="5" t="s">
        <v>1421</v>
      </c>
      <c r="G13" s="3"/>
      <c r="H13" s="3"/>
      <c r="I13" s="3"/>
      <c r="J13" s="3"/>
      <c r="K13" s="3"/>
      <c r="L13" s="3"/>
    </row>
    <row r="14" customFormat="false" ht="23.85" hidden="false" customHeight="false" outlineLevel="0" collapsed="false">
      <c r="A14" s="5" t="s">
        <v>1422</v>
      </c>
      <c r="B14" s="5" t="s">
        <v>1423</v>
      </c>
      <c r="C14" s="5" t="s">
        <v>1396</v>
      </c>
      <c r="D14" s="5" t="str">
        <f aca="false">IF(1=0,"PASS","FAIL")</f>
        <v>FAIL</v>
      </c>
      <c r="E14" s="5" t="str">
        <f aca="false">IF(D14=C14,"PASS","FAIL")</f>
        <v>PASS</v>
      </c>
      <c r="F14" s="5" t="s">
        <v>1424</v>
      </c>
      <c r="G14" s="3"/>
      <c r="H14" s="3"/>
      <c r="I14" s="3"/>
      <c r="J14" s="3"/>
      <c r="K14" s="3"/>
      <c r="L14" s="3"/>
    </row>
    <row r="15" customFormat="false" ht="23.85" hidden="false" customHeight="false" outlineLevel="0" collapsed="false">
      <c r="A15" s="5" t="s">
        <v>1425</v>
      </c>
      <c r="B15" s="5" t="s">
        <v>1426</v>
      </c>
      <c r="C15" s="5" t="s">
        <v>1427</v>
      </c>
      <c r="D15" s="5" t="str">
        <f aca="false">IF(AND(Controls!B25=1,Controls!B26=1),"PASS","FAIL")</f>
        <v>PASS</v>
      </c>
      <c r="E15" s="5" t="str">
        <f aca="false">IF(D15=C15,"PASS","FAIL")</f>
        <v>PASS</v>
      </c>
      <c r="F15" s="5" t="s">
        <v>1428</v>
      </c>
      <c r="G15" s="3"/>
      <c r="H15" s="3"/>
      <c r="I15" s="3"/>
      <c r="J15" s="3"/>
      <c r="K15" s="3"/>
      <c r="L15" s="3"/>
    </row>
    <row r="16" customFormat="false" ht="23.85" hidden="false" customHeight="false" outlineLevel="0" collapsed="false">
      <c r="A16" s="5" t="s">
        <v>1429</v>
      </c>
      <c r="B16" s="5" t="s">
        <v>1430</v>
      </c>
      <c r="C16" s="5" t="s">
        <v>1427</v>
      </c>
      <c r="D16" s="5" t="str">
        <f aca="false">IF(Controls!B27=3,"PASS","FAIL")</f>
        <v>PASS</v>
      </c>
      <c r="E16" s="5" t="str">
        <f aca="false">IF(D16=C16,"PASS","FAIL")</f>
        <v>PASS</v>
      </c>
      <c r="F16" s="5" t="s">
        <v>1431</v>
      </c>
      <c r="G16" s="3"/>
      <c r="H16" s="3"/>
      <c r="I16" s="3"/>
      <c r="J16" s="3"/>
      <c r="K16" s="3"/>
      <c r="L16" s="3"/>
    </row>
    <row r="17" customFormat="false" ht="15" hidden="false" customHeight="false" outlineLevel="0" collapsed="false">
      <c r="A17" s="5" t="s">
        <v>1432</v>
      </c>
      <c r="B17" s="5" t="s">
        <v>1433</v>
      </c>
      <c r="C17" s="5" t="s">
        <v>1427</v>
      </c>
      <c r="D17" s="5" t="str">
        <f aca="false">IF(Controls!B37=0,"PASS","FAIL")</f>
        <v>PASS</v>
      </c>
      <c r="E17" s="5" t="str">
        <f aca="false">IF(D17=C17,"PASS","FAIL")</f>
        <v>PASS</v>
      </c>
      <c r="F17" s="5" t="s">
        <v>1434</v>
      </c>
      <c r="G17" s="3"/>
      <c r="H17" s="3"/>
      <c r="I17" s="3"/>
      <c r="J17" s="3"/>
      <c r="K17" s="3"/>
      <c r="L17" s="3"/>
    </row>
    <row r="18" customFormat="false" ht="23.85" hidden="false" customHeight="false" outlineLevel="0" collapsed="false">
      <c r="A18" s="5" t="s">
        <v>1435</v>
      </c>
      <c r="B18" s="5" t="s">
        <v>1436</v>
      </c>
      <c r="C18" s="5" t="s">
        <v>1427</v>
      </c>
      <c r="D18" s="5" t="str">
        <f aca="false">IF(Controls!B38=0,"PASS","FAIL")</f>
        <v>PASS</v>
      </c>
      <c r="E18" s="5" t="str">
        <f aca="false">IF(D18=C18,"PASS","FAIL")</f>
        <v>PASS</v>
      </c>
      <c r="F18" s="5" t="s">
        <v>1437</v>
      </c>
      <c r="G18" s="3"/>
      <c r="H18" s="3"/>
      <c r="I18" s="3"/>
      <c r="J18" s="3"/>
      <c r="K18" s="3"/>
      <c r="L18" s="3"/>
    </row>
    <row r="19" customFormat="false" ht="15" hidden="false" customHeight="false" outlineLevel="0" collapsed="false">
      <c r="A19" s="5" t="s">
        <v>1438</v>
      </c>
      <c r="B19" s="5" t="s">
        <v>1439</v>
      </c>
      <c r="C19" s="5" t="s">
        <v>1427</v>
      </c>
      <c r="D19" s="5" t="str">
        <f aca="false">IF(Controls!B40=0,"PASS","FAIL")</f>
        <v>PASS</v>
      </c>
      <c r="E19" s="5" t="str">
        <f aca="false">IF(D19=C19,"PASS","FAIL")</f>
        <v>PASS</v>
      </c>
      <c r="F19" s="5" t="s">
        <v>1440</v>
      </c>
      <c r="G19" s="3"/>
      <c r="H19" s="3"/>
      <c r="I19" s="3"/>
      <c r="J19" s="3"/>
      <c r="K19" s="3"/>
      <c r="L19" s="3"/>
    </row>
    <row r="20" customFormat="false" ht="15" hidden="false" customHeight="false" outlineLevel="0" collapsed="false">
      <c r="A20" s="5" t="s">
        <v>1441</v>
      </c>
      <c r="B20" s="5" t="s">
        <v>1442</v>
      </c>
      <c r="C20" s="5" t="s">
        <v>1427</v>
      </c>
      <c r="D20" s="5" t="str">
        <f aca="false">IF(Controls!B39=0,"PASS","FAIL")</f>
        <v>PASS</v>
      </c>
      <c r="E20" s="5" t="str">
        <f aca="false">IF(D20=C20,"PASS","FAIL")</f>
        <v>PASS</v>
      </c>
      <c r="F20" s="5" t="s">
        <v>1443</v>
      </c>
      <c r="G20" s="3"/>
      <c r="H20" s="3"/>
      <c r="I20" s="3"/>
      <c r="J20" s="3"/>
      <c r="K20" s="3"/>
      <c r="L20" s="3"/>
    </row>
  </sheetData>
  <mergeCells count="2">
    <mergeCell ref="A1:L1"/>
    <mergeCell ref="A2:L2"/>
  </mergeCells>
  <conditionalFormatting sqref="E5:E20">
    <cfRule type="containsText" priority="2" operator="containsText" aboveAverage="0" equalAverage="0" bottom="0" percent="0" rank="0" text="PASS" dxfId="5">
      <formula>NOT(ISERROR(SEARCH("PASS",E5)))</formula>
    </cfRule>
    <cfRule type="containsText" priority="3" operator="containsText" aboveAverage="0" equalAverage="0" bottom="0" percent="0" rank="0" text="FAIL" dxfId="6">
      <formula>NOT(ISERROR(SEARCH("FAIL",E5)))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.78"/>
    <col collapsed="false" customWidth="true" hidden="false" outlineLevel="0" max="2" min="2" style="0" width="11.11"/>
    <col collapsed="false" customWidth="true" hidden="false" outlineLevel="0" max="3" min="3" style="0" width="18.34"/>
    <col collapsed="false" customWidth="true" hidden="false" outlineLevel="0" max="5" min="4" style="0" width="11.67"/>
    <col collapsed="false" customWidth="true" hidden="false" outlineLevel="0" max="6" min="6" style="0" width="8.34"/>
    <col collapsed="false" customWidth="true" hidden="false" outlineLevel="0" max="7" min="7" style="0" width="26.11"/>
  </cols>
  <sheetData>
    <row r="1" customFormat="false" ht="26" hidden="false" customHeight="true" outlineLevel="0" collapsed="false">
      <c r="A1" s="1" t="s">
        <v>1444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1445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1446</v>
      </c>
      <c r="B4" s="6" t="s">
        <v>1447</v>
      </c>
      <c r="C4" s="6" t="s">
        <v>1390</v>
      </c>
      <c r="D4" s="6" t="s">
        <v>1448</v>
      </c>
      <c r="E4" s="6" t="s">
        <v>1449</v>
      </c>
      <c r="F4" s="6" t="s">
        <v>1450</v>
      </c>
      <c r="G4" s="6" t="s">
        <v>1451</v>
      </c>
      <c r="H4" s="3"/>
      <c r="I4" s="3"/>
      <c r="J4" s="3"/>
      <c r="K4" s="3"/>
      <c r="L4" s="3"/>
    </row>
    <row r="5" customFormat="false" ht="15" hidden="false" customHeight="false" outlineLevel="0" collapsed="false">
      <c r="A5" s="5" t="s">
        <v>1452</v>
      </c>
      <c r="B5" s="5" t="s">
        <v>1453</v>
      </c>
      <c r="C5" s="5" t="s">
        <v>1454</v>
      </c>
      <c r="D5" s="5" t="s">
        <v>1396</v>
      </c>
      <c r="E5" s="17" t="s">
        <v>1455</v>
      </c>
      <c r="F5" s="17" t="s">
        <v>457</v>
      </c>
      <c r="G5" s="5" t="s">
        <v>1456</v>
      </c>
      <c r="H5" s="3"/>
      <c r="I5" s="3"/>
      <c r="J5" s="3"/>
      <c r="K5" s="3"/>
      <c r="L5" s="3"/>
    </row>
    <row r="6" customFormat="false" ht="15" hidden="false" customHeight="false" outlineLevel="0" collapsed="false">
      <c r="A6" s="5" t="s">
        <v>1457</v>
      </c>
      <c r="B6" s="5" t="s">
        <v>1458</v>
      </c>
      <c r="C6" s="5" t="s">
        <v>1459</v>
      </c>
      <c r="D6" s="5" t="s">
        <v>1396</v>
      </c>
      <c r="E6" s="17" t="s">
        <v>1455</v>
      </c>
      <c r="F6" s="17" t="s">
        <v>457</v>
      </c>
      <c r="G6" s="5" t="s">
        <v>1460</v>
      </c>
      <c r="H6" s="3"/>
      <c r="I6" s="3"/>
      <c r="J6" s="3"/>
      <c r="K6" s="3"/>
      <c r="L6" s="3"/>
    </row>
    <row r="7" customFormat="false" ht="15" hidden="false" customHeight="false" outlineLevel="0" collapsed="false">
      <c r="A7" s="5" t="s">
        <v>1461</v>
      </c>
      <c r="B7" s="5" t="s">
        <v>1462</v>
      </c>
      <c r="C7" s="5" t="s">
        <v>1463</v>
      </c>
      <c r="D7" s="5" t="s">
        <v>1396</v>
      </c>
      <c r="E7" s="17" t="s">
        <v>1455</v>
      </c>
      <c r="F7" s="17" t="s">
        <v>457</v>
      </c>
      <c r="G7" s="5" t="s">
        <v>1464</v>
      </c>
      <c r="H7" s="3"/>
      <c r="I7" s="3"/>
      <c r="J7" s="3"/>
      <c r="K7" s="3"/>
      <c r="L7" s="3"/>
    </row>
    <row r="8" customFormat="false" ht="15" hidden="false" customHeight="false" outlineLevel="0" collapsed="false">
      <c r="A8" s="5" t="s">
        <v>1465</v>
      </c>
      <c r="B8" s="5" t="s">
        <v>1466</v>
      </c>
      <c r="C8" s="5" t="s">
        <v>1467</v>
      </c>
      <c r="D8" s="5" t="s">
        <v>1396</v>
      </c>
      <c r="E8" s="17" t="s">
        <v>1455</v>
      </c>
      <c r="F8" s="17" t="s">
        <v>457</v>
      </c>
      <c r="G8" s="5" t="s">
        <v>1468</v>
      </c>
      <c r="H8" s="3"/>
      <c r="I8" s="3"/>
      <c r="J8" s="3"/>
      <c r="K8" s="3"/>
      <c r="L8" s="3"/>
    </row>
    <row r="9" customFormat="false" ht="15" hidden="false" customHeight="false" outlineLevel="0" collapsed="false">
      <c r="A9" s="5" t="s">
        <v>1469</v>
      </c>
      <c r="B9" s="5" t="s">
        <v>1470</v>
      </c>
      <c r="C9" s="5" t="s">
        <v>1471</v>
      </c>
      <c r="D9" s="5" t="s">
        <v>1396</v>
      </c>
      <c r="E9" s="17" t="s">
        <v>1455</v>
      </c>
      <c r="F9" s="17" t="s">
        <v>457</v>
      </c>
      <c r="G9" s="5" t="s">
        <v>1472</v>
      </c>
      <c r="H9" s="3"/>
      <c r="I9" s="3"/>
      <c r="J9" s="3"/>
      <c r="K9" s="3"/>
      <c r="L9" s="3"/>
    </row>
    <row r="10" customFormat="false" ht="15" hidden="false" customHeight="false" outlineLevel="0" collapsed="false">
      <c r="A10" s="5" t="s">
        <v>1473</v>
      </c>
      <c r="B10" s="5" t="s">
        <v>1474</v>
      </c>
      <c r="C10" s="5" t="s">
        <v>1475</v>
      </c>
      <c r="D10" s="5" t="s">
        <v>1396</v>
      </c>
      <c r="E10" s="17" t="s">
        <v>1455</v>
      </c>
      <c r="F10" s="17" t="s">
        <v>457</v>
      </c>
      <c r="G10" s="5" t="s">
        <v>1476</v>
      </c>
      <c r="H10" s="3"/>
      <c r="I10" s="3"/>
      <c r="J10" s="3"/>
      <c r="K10" s="3"/>
      <c r="L10" s="3"/>
    </row>
    <row r="11" customFormat="false" ht="15" hidden="false" customHeight="false" outlineLevel="0" collapsed="false">
      <c r="A11" s="5" t="s">
        <v>1477</v>
      </c>
      <c r="B11" s="5" t="s">
        <v>1478</v>
      </c>
      <c r="C11" s="5" t="s">
        <v>1479</v>
      </c>
      <c r="D11" s="5" t="s">
        <v>1396</v>
      </c>
      <c r="E11" s="17" t="s">
        <v>1455</v>
      </c>
      <c r="F11" s="17" t="s">
        <v>457</v>
      </c>
      <c r="G11" s="5" t="s">
        <v>1480</v>
      </c>
      <c r="H11" s="3"/>
      <c r="I11" s="3"/>
      <c r="J11" s="3"/>
      <c r="K11" s="3"/>
      <c r="L11" s="3"/>
    </row>
    <row r="12" customFormat="false" ht="15" hidden="false" customHeight="false" outlineLevel="0" collapsed="false">
      <c r="A12" s="5" t="s">
        <v>1481</v>
      </c>
      <c r="B12" s="5" t="s">
        <v>1482</v>
      </c>
      <c r="C12" s="5" t="s">
        <v>1483</v>
      </c>
      <c r="D12" s="5" t="s">
        <v>1396</v>
      </c>
      <c r="E12" s="17" t="s">
        <v>1455</v>
      </c>
      <c r="F12" s="17" t="s">
        <v>457</v>
      </c>
      <c r="G12" s="5" t="s">
        <v>1484</v>
      </c>
      <c r="H12" s="3"/>
      <c r="I12" s="3"/>
      <c r="J12" s="3"/>
      <c r="K12" s="3"/>
      <c r="L12" s="3"/>
    </row>
    <row r="13" customFormat="false" ht="15" hidden="false" customHeight="false" outlineLevel="0" collapsed="false">
      <c r="A13" s="5" t="s">
        <v>1485</v>
      </c>
      <c r="B13" s="5" t="s">
        <v>1486</v>
      </c>
      <c r="C13" s="5" t="s">
        <v>1487</v>
      </c>
      <c r="D13" s="5" t="s">
        <v>1396</v>
      </c>
      <c r="E13" s="17" t="s">
        <v>1455</v>
      </c>
      <c r="F13" s="17" t="s">
        <v>457</v>
      </c>
      <c r="G13" s="5" t="s">
        <v>1488</v>
      </c>
      <c r="H13" s="3"/>
      <c r="I13" s="3"/>
      <c r="J13" s="3"/>
      <c r="K13" s="3"/>
      <c r="L13" s="3"/>
    </row>
    <row r="14" customFormat="false" ht="15" hidden="false" customHeight="false" outlineLevel="0" collapsed="false">
      <c r="A14" s="5" t="s">
        <v>1489</v>
      </c>
      <c r="B14" s="5" t="s">
        <v>1490</v>
      </c>
      <c r="C14" s="5" t="s">
        <v>1491</v>
      </c>
      <c r="D14" s="5" t="s">
        <v>1396</v>
      </c>
      <c r="E14" s="17" t="s">
        <v>1455</v>
      </c>
      <c r="F14" s="17" t="s">
        <v>457</v>
      </c>
      <c r="G14" s="5" t="s">
        <v>1492</v>
      </c>
      <c r="H14" s="3"/>
      <c r="I14" s="3"/>
      <c r="J14" s="3"/>
      <c r="K14" s="3"/>
      <c r="L14" s="3"/>
    </row>
    <row r="15" customFormat="false" ht="15" hidden="false" customHeight="false" outlineLevel="0" collapsed="false">
      <c r="A15" s="5" t="s">
        <v>1493</v>
      </c>
      <c r="B15" s="5" t="s">
        <v>1494</v>
      </c>
      <c r="C15" s="5" t="s">
        <v>1495</v>
      </c>
      <c r="D15" s="5" t="s">
        <v>1396</v>
      </c>
      <c r="E15" s="17" t="s">
        <v>1455</v>
      </c>
      <c r="F15" s="17" t="s">
        <v>457</v>
      </c>
      <c r="G15" s="5" t="s">
        <v>1496</v>
      </c>
      <c r="H15" s="3"/>
      <c r="I15" s="3"/>
      <c r="J15" s="3"/>
      <c r="K15" s="3"/>
      <c r="L15" s="3"/>
    </row>
    <row r="16" customFormat="false" ht="15" hidden="false" customHeight="false" outlineLevel="0" collapsed="false">
      <c r="A16" s="5" t="s">
        <v>1497</v>
      </c>
      <c r="B16" s="5" t="s">
        <v>1498</v>
      </c>
      <c r="C16" s="5" t="s">
        <v>1499</v>
      </c>
      <c r="D16" s="5" t="s">
        <v>1396</v>
      </c>
      <c r="E16" s="17" t="s">
        <v>1455</v>
      </c>
      <c r="F16" s="17" t="s">
        <v>457</v>
      </c>
      <c r="G16" s="5" t="s">
        <v>1500</v>
      </c>
      <c r="H16" s="3"/>
      <c r="I16" s="3"/>
      <c r="J16" s="3"/>
      <c r="K16" s="3"/>
      <c r="L16" s="3"/>
    </row>
    <row r="17" customFormat="false" ht="15" hidden="false" customHeight="false" outlineLevel="0" collapsed="false">
      <c r="A17" s="5" t="s">
        <v>1501</v>
      </c>
      <c r="B17" s="5" t="s">
        <v>1502</v>
      </c>
      <c r="C17" s="5" t="s">
        <v>1503</v>
      </c>
      <c r="D17" s="5" t="s">
        <v>1396</v>
      </c>
      <c r="E17" s="17" t="s">
        <v>1455</v>
      </c>
      <c r="F17" s="17" t="s">
        <v>457</v>
      </c>
      <c r="G17" s="5" t="s">
        <v>1504</v>
      </c>
      <c r="H17" s="3"/>
      <c r="I17" s="3"/>
      <c r="J17" s="3"/>
      <c r="K17" s="3"/>
      <c r="L17" s="3"/>
    </row>
    <row r="18" customFormat="false" ht="23.85" hidden="false" customHeight="false" outlineLevel="0" collapsed="false">
      <c r="A18" s="5" t="s">
        <v>1505</v>
      </c>
      <c r="B18" s="5" t="s">
        <v>1506</v>
      </c>
      <c r="C18" s="5" t="s">
        <v>1507</v>
      </c>
      <c r="D18" s="5" t="s">
        <v>1396</v>
      </c>
      <c r="E18" s="17" t="s">
        <v>1455</v>
      </c>
      <c r="F18" s="17" t="s">
        <v>457</v>
      </c>
      <c r="G18" s="5" t="s">
        <v>1508</v>
      </c>
      <c r="H18" s="3"/>
      <c r="I18" s="3"/>
      <c r="J18" s="3"/>
      <c r="K18" s="3"/>
      <c r="L18" s="3"/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.22"/>
    <col collapsed="false" customWidth="true" hidden="false" outlineLevel="0" max="2" min="2" style="0" width="35.56"/>
    <col collapsed="false" customWidth="true" hidden="false" outlineLevel="0" max="4" min="3" style="0" width="13.89"/>
    <col collapsed="false" customWidth="true" hidden="false" outlineLevel="0" max="5" min="5" style="0" width="8.89"/>
  </cols>
  <sheetData>
    <row r="1" customFormat="false" ht="26" hidden="false" customHeight="true" outlineLevel="0" collapsed="false">
      <c r="A1" s="1" t="s">
        <v>1509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1510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18" t="s">
        <v>88</v>
      </c>
      <c r="B4" s="18" t="str">
        <f aca="false">IF(COUNTIF(E7:E70,"PASS")=64,"PASS","FAIL")</f>
        <v>PASS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30" hidden="false" customHeight="true" outlineLevel="0" collapsed="false">
      <c r="A6" s="6" t="s">
        <v>1511</v>
      </c>
      <c r="B6" s="6" t="s">
        <v>1512</v>
      </c>
      <c r="C6" s="6" t="s">
        <v>1513</v>
      </c>
      <c r="D6" s="6" t="s">
        <v>1514</v>
      </c>
      <c r="E6" s="6" t="s">
        <v>453</v>
      </c>
      <c r="F6" s="3"/>
      <c r="G6" s="3"/>
      <c r="H6" s="3"/>
      <c r="I6" s="3"/>
      <c r="J6" s="3"/>
      <c r="K6" s="3"/>
      <c r="L6" s="3"/>
    </row>
    <row r="7" customFormat="false" ht="15" hidden="false" customHeight="false" outlineLevel="0" collapsed="false">
      <c r="A7" s="5" t="s">
        <v>1515</v>
      </c>
      <c r="B7" s="5" t="s">
        <v>1516</v>
      </c>
      <c r="C7" s="7" t="n">
        <v>200</v>
      </c>
      <c r="D7" s="7" t="n">
        <f aca="false">Controls!B5</f>
        <v>200</v>
      </c>
      <c r="E7" s="5" t="str">
        <f aca="false">IF(ISNUMBER(C7),IF(AND(ISNUMBER(D7),ABS(D7-C7)&lt;0.000001),"PASS","FAIL"),IF(D7=C7,"PASS","FAIL"))</f>
        <v>PASS</v>
      </c>
      <c r="F7" s="3"/>
      <c r="G7" s="3"/>
      <c r="H7" s="3"/>
      <c r="I7" s="3"/>
      <c r="J7" s="3"/>
      <c r="K7" s="3"/>
      <c r="L7" s="3"/>
    </row>
    <row r="8" customFormat="false" ht="15" hidden="false" customHeight="false" outlineLevel="0" collapsed="false">
      <c r="A8" s="5" t="s">
        <v>1517</v>
      </c>
      <c r="B8" s="5" t="s">
        <v>1518</v>
      </c>
      <c r="C8" s="7" t="n">
        <v>200</v>
      </c>
      <c r="D8" s="7" t="n">
        <f aca="false">SUM(Controls!B6:B10)</f>
        <v>200</v>
      </c>
      <c r="E8" s="5" t="str">
        <f aca="false">IF(ISNUMBER(C8),IF(AND(ISNUMBER(D8),ABS(D8-C8)&lt;0.000001),"PASS","FAIL"),IF(D8=C8,"PASS","FAIL"))</f>
        <v>PASS</v>
      </c>
      <c r="F8" s="3"/>
      <c r="G8" s="3"/>
      <c r="H8" s="3"/>
      <c r="I8" s="3"/>
      <c r="J8" s="3"/>
      <c r="K8" s="3"/>
      <c r="L8" s="3"/>
    </row>
    <row r="9" customFormat="false" ht="15" hidden="false" customHeight="false" outlineLevel="0" collapsed="false">
      <c r="A9" s="5" t="s">
        <v>1519</v>
      </c>
      <c r="B9" s="5" t="s">
        <v>1520</v>
      </c>
      <c r="C9" s="7" t="n">
        <v>80</v>
      </c>
      <c r="D9" s="7" t="n">
        <f aca="false">Controls!B11</f>
        <v>80</v>
      </c>
      <c r="E9" s="5" t="str">
        <f aca="false">IF(ISNUMBER(C9),IF(AND(ISNUMBER(D9),ABS(D9-C9)&lt;0.000001),"PASS","FAIL"),IF(D9=C9,"PASS","FAIL"))</f>
        <v>PASS</v>
      </c>
      <c r="F9" s="3"/>
      <c r="G9" s="3"/>
      <c r="H9" s="3"/>
      <c r="I9" s="3"/>
      <c r="J9" s="3"/>
      <c r="K9" s="3"/>
      <c r="L9" s="3"/>
    </row>
    <row r="10" customFormat="false" ht="15" hidden="false" customHeight="false" outlineLevel="0" collapsed="false">
      <c r="A10" s="5" t="s">
        <v>1521</v>
      </c>
      <c r="B10" s="5" t="s">
        <v>1522</v>
      </c>
      <c r="C10" s="7" t="n">
        <v>12</v>
      </c>
      <c r="D10" s="7" t="n">
        <f aca="false">Controls!B12</f>
        <v>12</v>
      </c>
      <c r="E10" s="5" t="str">
        <f aca="false">IF(ISNUMBER(C10),IF(AND(ISNUMBER(D10),ABS(D10-C10)&lt;0.000001),"PASS","FAIL"),IF(D10=C10,"PASS","FAIL"))</f>
        <v>PASS</v>
      </c>
      <c r="F10" s="3"/>
      <c r="G10" s="3"/>
      <c r="H10" s="3"/>
      <c r="I10" s="3"/>
      <c r="J10" s="3"/>
      <c r="K10" s="3"/>
      <c r="L10" s="3"/>
    </row>
    <row r="11" customFormat="false" ht="15" hidden="false" customHeight="false" outlineLevel="0" collapsed="false">
      <c r="A11" s="5" t="s">
        <v>1523</v>
      </c>
      <c r="B11" s="5" t="s">
        <v>1524</v>
      </c>
      <c r="C11" s="7" t="s">
        <v>1427</v>
      </c>
      <c r="D11" s="7" t="str">
        <f aca="false">IF(Controls!B12&lt;=Controls!B11,"PASS","FAIL")</f>
        <v>PASS</v>
      </c>
      <c r="E11" s="5" t="str">
        <f aca="false">IF(ISNUMBER(C11),IF(AND(ISNUMBER(D11),ABS(D11-C11)&lt;0.000001),"PASS","FAIL"),IF(D11=C11,"PASS","FAIL"))</f>
        <v>PASS</v>
      </c>
      <c r="F11" s="3"/>
      <c r="G11" s="3"/>
      <c r="H11" s="3"/>
      <c r="I11" s="3"/>
      <c r="J11" s="3"/>
      <c r="K11" s="3"/>
      <c r="L11" s="3"/>
    </row>
    <row r="12" customFormat="false" ht="15" hidden="false" customHeight="false" outlineLevel="0" collapsed="false">
      <c r="A12" s="5" t="s">
        <v>1525</v>
      </c>
      <c r="B12" s="5" t="s">
        <v>1526</v>
      </c>
      <c r="C12" s="7" t="n">
        <v>14.3476512772823</v>
      </c>
      <c r="D12" s="7" t="n">
        <f aca="false">Controls!B13</f>
        <v>14.3476512772823</v>
      </c>
      <c r="E12" s="5" t="str">
        <f aca="false">IF(ISNUMBER(C12),IF(AND(ISNUMBER(D12),ABS(D12-C12)&lt;0.000001),"PASS","FAIL"),IF(D12=C12,"PASS","FAIL"))</f>
        <v>PASS</v>
      </c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5" t="s">
        <v>1527</v>
      </c>
      <c r="B13" s="5" t="s">
        <v>117</v>
      </c>
      <c r="C13" s="7" t="n">
        <v>4</v>
      </c>
      <c r="D13" s="7" t="n">
        <f aca="false">Controls!B14</f>
        <v>4</v>
      </c>
      <c r="E13" s="5" t="str">
        <f aca="false">IF(ISNUMBER(C13),IF(AND(ISNUMBER(D13),ABS(D13-C13)&lt;0.000001),"PASS","FAIL"),IF(D13=C13,"PASS","FAIL"))</f>
        <v>PASS</v>
      </c>
      <c r="F13" s="3"/>
      <c r="G13" s="3"/>
      <c r="H13" s="3"/>
      <c r="I13" s="3"/>
      <c r="J13" s="3"/>
      <c r="K13" s="3"/>
      <c r="L13" s="3"/>
    </row>
    <row r="14" customFormat="false" ht="15" hidden="false" customHeight="false" outlineLevel="0" collapsed="false">
      <c r="A14" s="5" t="s">
        <v>1528</v>
      </c>
      <c r="B14" s="5" t="s">
        <v>106</v>
      </c>
      <c r="C14" s="7" t="n">
        <v>6</v>
      </c>
      <c r="D14" s="7" t="n">
        <f aca="false">Controls!B15</f>
        <v>6</v>
      </c>
      <c r="E14" s="5" t="str">
        <f aca="false">IF(ISNUMBER(C14),IF(AND(ISNUMBER(D14),ABS(D14-C14)&lt;0.000001),"PASS","FAIL"),IF(D14=C14,"PASS","FAIL"))</f>
        <v>PASS</v>
      </c>
      <c r="F14" s="3"/>
      <c r="G14" s="3"/>
      <c r="H14" s="3"/>
      <c r="I14" s="3"/>
      <c r="J14" s="3"/>
      <c r="K14" s="3"/>
      <c r="L14" s="3"/>
    </row>
    <row r="15" customFormat="false" ht="15" hidden="false" customHeight="false" outlineLevel="0" collapsed="false">
      <c r="A15" s="5" t="s">
        <v>1529</v>
      </c>
      <c r="B15" s="5" t="s">
        <v>1336</v>
      </c>
      <c r="C15" s="7" t="n">
        <v>6</v>
      </c>
      <c r="D15" s="7" t="n">
        <f aca="false">Controls!B16</f>
        <v>6</v>
      </c>
      <c r="E15" s="5" t="str">
        <f aca="false">IF(ISNUMBER(C15),IF(AND(ISNUMBER(D15),ABS(D15-C15)&lt;0.000001),"PASS","FAIL"),IF(D15=C15,"PASS","FAIL"))</f>
        <v>PASS</v>
      </c>
      <c r="F15" s="3"/>
      <c r="G15" s="3"/>
      <c r="H15" s="3"/>
      <c r="I15" s="3"/>
      <c r="J15" s="3"/>
      <c r="K15" s="3"/>
      <c r="L15" s="3"/>
    </row>
    <row r="16" customFormat="false" ht="15" hidden="false" customHeight="false" outlineLevel="0" collapsed="false">
      <c r="A16" s="5" t="s">
        <v>1530</v>
      </c>
      <c r="B16" s="5" t="s">
        <v>1531</v>
      </c>
      <c r="C16" s="7" t="s">
        <v>1427</v>
      </c>
      <c r="D16" s="7" t="str">
        <f aca="false">IF(COUNTIF('Sentinel Selection'!H5:H28,"SELECTED")=6,"PASS","FAIL")</f>
        <v>PASS</v>
      </c>
      <c r="E16" s="5" t="str">
        <f aca="false">IF(ISNUMBER(C16),IF(AND(ISNUMBER(D16),ABS(D16-C16)&lt;0.000001),"PASS","FAIL"),IF(D16=C16,"PASS","FAIL"))</f>
        <v>PASS</v>
      </c>
      <c r="F16" s="3"/>
      <c r="G16" s="3"/>
      <c r="H16" s="3"/>
      <c r="I16" s="3"/>
      <c r="J16" s="3"/>
      <c r="K16" s="3"/>
      <c r="L16" s="3"/>
    </row>
    <row r="17" customFormat="false" ht="15" hidden="false" customHeight="false" outlineLevel="0" collapsed="false">
      <c r="A17" s="5" t="s">
        <v>1532</v>
      </c>
      <c r="B17" s="5" t="s">
        <v>1533</v>
      </c>
      <c r="C17" s="7" t="s">
        <v>1534</v>
      </c>
      <c r="D17" s="7" t="str">
        <f aca="false">INDEX('Sentinel Selection'!$H$5:$H$28,MATCH("ET-A",'Sentinel Selection'!$A$5:$A$28,0))</f>
        <v>SELECTED</v>
      </c>
      <c r="E17" s="5" t="str">
        <f aca="false">IF(ISNUMBER(C17),IF(AND(ISNUMBER(D17),ABS(D17-C17)&lt;0.000001),"PASS","FAIL"),IF(D17=C17,"PASS","FAIL"))</f>
        <v>PASS</v>
      </c>
      <c r="F17" s="3"/>
      <c r="G17" s="3"/>
      <c r="H17" s="3"/>
      <c r="I17" s="3"/>
      <c r="J17" s="3"/>
      <c r="K17" s="3"/>
      <c r="L17" s="3"/>
    </row>
    <row r="18" customFormat="false" ht="15" hidden="false" customHeight="false" outlineLevel="0" collapsed="false">
      <c r="A18" s="5" t="s">
        <v>1535</v>
      </c>
      <c r="B18" s="5" t="s">
        <v>1536</v>
      </c>
      <c r="C18" s="7" t="s">
        <v>1534</v>
      </c>
      <c r="D18" s="7" t="str">
        <f aca="false">INDEX('Sentinel Selection'!$H$5:$H$28,MATCH("CT-C",'Sentinel Selection'!$A$5:$A$28,0))</f>
        <v>SELECTED</v>
      </c>
      <c r="E18" s="5" t="str">
        <f aca="false">IF(ISNUMBER(C18),IF(AND(ISNUMBER(D18),ABS(D18-C18)&lt;0.000001),"PASS","FAIL"),IF(D18=C18,"PASS","FAIL"))</f>
        <v>PASS</v>
      </c>
      <c r="F18" s="3"/>
      <c r="G18" s="3"/>
      <c r="H18" s="3"/>
      <c r="I18" s="3"/>
      <c r="J18" s="3"/>
      <c r="K18" s="3"/>
      <c r="L18" s="3"/>
    </row>
    <row r="19" customFormat="false" ht="15" hidden="false" customHeight="false" outlineLevel="0" collapsed="false">
      <c r="A19" s="5" t="s">
        <v>1537</v>
      </c>
      <c r="B19" s="5" t="s">
        <v>1538</v>
      </c>
      <c r="C19" s="7" t="s">
        <v>1534</v>
      </c>
      <c r="D19" s="7" t="str">
        <f aca="false">INDEX('Sentinel Selection'!$H$5:$H$28,MATCH("HC-A",'Sentinel Selection'!$A$5:$A$28,0))</f>
        <v>SELECTED</v>
      </c>
      <c r="E19" s="5" t="str">
        <f aca="false">IF(ISNUMBER(C19),IF(AND(ISNUMBER(D19),ABS(D19-C19)&lt;0.000001),"PASS","FAIL"),IF(D19=C19,"PASS","FAIL"))</f>
        <v>PASS</v>
      </c>
      <c r="F19" s="3"/>
      <c r="G19" s="3"/>
      <c r="H19" s="3"/>
      <c r="I19" s="3"/>
      <c r="J19" s="3"/>
      <c r="K19" s="3"/>
      <c r="L19" s="3"/>
    </row>
    <row r="20" customFormat="false" ht="15" hidden="false" customHeight="false" outlineLevel="0" collapsed="false">
      <c r="A20" s="5" t="s">
        <v>1539</v>
      </c>
      <c r="B20" s="5" t="s">
        <v>1540</v>
      </c>
      <c r="C20" s="7" t="s">
        <v>1534</v>
      </c>
      <c r="D20" s="7" t="str">
        <f aca="false">INDEX('Sentinel Selection'!$H$5:$H$28,MATCH("LF-B",'Sentinel Selection'!$A$5:$A$28,0))</f>
        <v>SELECTED</v>
      </c>
      <c r="E20" s="5" t="str">
        <f aca="false">IF(ISNUMBER(C20),IF(AND(ISNUMBER(D20),ABS(D20-C20)&lt;0.000001),"PASS","FAIL"),IF(D20=C20,"PASS","FAIL"))</f>
        <v>PASS</v>
      </c>
      <c r="F20" s="3"/>
      <c r="G20" s="3"/>
      <c r="H20" s="3"/>
      <c r="I20" s="3"/>
      <c r="J20" s="3"/>
      <c r="K20" s="3"/>
      <c r="L20" s="3"/>
    </row>
    <row r="21" customFormat="false" ht="15" hidden="false" customHeight="false" outlineLevel="0" collapsed="false">
      <c r="A21" s="5" t="s">
        <v>1541</v>
      </c>
      <c r="B21" s="5" t="s">
        <v>1542</v>
      </c>
      <c r="C21" s="7" t="s">
        <v>1534</v>
      </c>
      <c r="D21" s="7" t="str">
        <f aca="false">INDEX('Sentinel Selection'!$H$5:$H$28,MATCH("HU-A",'Sentinel Selection'!$A$5:$A$28,0))</f>
        <v>SELECTED</v>
      </c>
      <c r="E21" s="5" t="str">
        <f aca="false">IF(ISNUMBER(C21),IF(AND(ISNUMBER(D21),ABS(D21-C21)&lt;0.000001),"PASS","FAIL"),IF(D21=C21,"PASS","FAIL"))</f>
        <v>PASS</v>
      </c>
      <c r="F21" s="3"/>
      <c r="G21" s="3"/>
      <c r="H21" s="3"/>
      <c r="I21" s="3"/>
      <c r="J21" s="3"/>
      <c r="K21" s="3"/>
      <c r="L21" s="3"/>
    </row>
    <row r="22" customFormat="false" ht="15" hidden="false" customHeight="false" outlineLevel="0" collapsed="false">
      <c r="A22" s="5" t="s">
        <v>1543</v>
      </c>
      <c r="B22" s="5" t="s">
        <v>1544</v>
      </c>
      <c r="C22" s="7" t="s">
        <v>1534</v>
      </c>
      <c r="D22" s="7" t="str">
        <f aca="false">INDEX('Sentinel Selection'!$H$5:$H$28,MATCH("RT-B",'Sentinel Selection'!$A$5:$A$28,0))</f>
        <v>SELECTED</v>
      </c>
      <c r="E22" s="5" t="str">
        <f aca="false">IF(ISNUMBER(C22),IF(AND(ISNUMBER(D22),ABS(D22-C22)&lt;0.000001),"PASS","FAIL"),IF(D22=C22,"PASS","FAIL"))</f>
        <v>PASS</v>
      </c>
      <c r="F22" s="3"/>
      <c r="G22" s="3"/>
      <c r="H22" s="3"/>
      <c r="I22" s="3"/>
      <c r="J22" s="3"/>
      <c r="K22" s="3"/>
      <c r="L22" s="3"/>
    </row>
    <row r="23" customFormat="false" ht="15" hidden="false" customHeight="false" outlineLevel="0" collapsed="false">
      <c r="A23" s="5" t="s">
        <v>1545</v>
      </c>
      <c r="B23" s="5" t="s">
        <v>122</v>
      </c>
      <c r="C23" s="7" t="n">
        <v>4</v>
      </c>
      <c r="D23" s="7" t="n">
        <f aca="false">Controls!B17</f>
        <v>4</v>
      </c>
      <c r="E23" s="5" t="str">
        <f aca="false">IF(ISNUMBER(C23),IF(AND(ISNUMBER(D23),ABS(D23-C23)&lt;0.000001),"PASS","FAIL"),IF(D23=C23,"PASS","FAIL"))</f>
        <v>PASS</v>
      </c>
      <c r="F23" s="3"/>
      <c r="G23" s="3"/>
      <c r="H23" s="3"/>
      <c r="I23" s="3"/>
      <c r="J23" s="3"/>
      <c r="K23" s="3"/>
      <c r="L23" s="3"/>
    </row>
    <row r="24" customFormat="false" ht="15" hidden="false" customHeight="false" outlineLevel="0" collapsed="false">
      <c r="A24" s="5" t="s">
        <v>1546</v>
      </c>
      <c r="B24" s="5" t="s">
        <v>1547</v>
      </c>
      <c r="C24" s="7" t="n">
        <v>3</v>
      </c>
      <c r="D24" s="7" t="n">
        <f aca="false">Controls!B18</f>
        <v>3</v>
      </c>
      <c r="E24" s="5" t="str">
        <f aca="false">IF(ISNUMBER(C24),IF(AND(ISNUMBER(D24),ABS(D24-C24)&lt;0.000001),"PASS","FAIL"),IF(D24=C24,"PASS","FAIL"))</f>
        <v>PASS</v>
      </c>
      <c r="F24" s="3"/>
      <c r="G24" s="3"/>
      <c r="H24" s="3"/>
      <c r="I24" s="3"/>
      <c r="J24" s="3"/>
      <c r="K24" s="3"/>
      <c r="L24" s="3"/>
    </row>
    <row r="25" customFormat="false" ht="15" hidden="false" customHeight="false" outlineLevel="0" collapsed="false">
      <c r="A25" s="5" t="s">
        <v>1548</v>
      </c>
      <c r="B25" s="5" t="s">
        <v>1549</v>
      </c>
      <c r="C25" s="7" t="n">
        <v>2</v>
      </c>
      <c r="D25" s="7" t="n">
        <f aca="false">Controls!B19</f>
        <v>2</v>
      </c>
      <c r="E25" s="5" t="str">
        <f aca="false">IF(ISNUMBER(C25),IF(AND(ISNUMBER(D25),ABS(D25-C25)&lt;0.000001),"PASS","FAIL"),IF(D25=C25,"PASS","FAIL"))</f>
        <v>PASS</v>
      </c>
      <c r="F25" s="3"/>
      <c r="G25" s="3"/>
      <c r="H25" s="3"/>
      <c r="I25" s="3"/>
      <c r="J25" s="3"/>
      <c r="K25" s="3"/>
      <c r="L25" s="3"/>
    </row>
    <row r="26" customFormat="false" ht="15" hidden="false" customHeight="false" outlineLevel="0" collapsed="false">
      <c r="A26" s="5" t="s">
        <v>1550</v>
      </c>
      <c r="B26" s="5" t="s">
        <v>1551</v>
      </c>
      <c r="C26" s="7" t="n">
        <v>2</v>
      </c>
      <c r="D26" s="7" t="n">
        <f aca="false">Controls!B20</f>
        <v>2</v>
      </c>
      <c r="E26" s="5" t="str">
        <f aca="false">IF(ISNUMBER(C26),IF(AND(ISNUMBER(D26),ABS(D26-C26)&lt;0.000001),"PASS","FAIL"),IF(D26=C26,"PASS","FAIL"))</f>
        <v>PASS</v>
      </c>
      <c r="F26" s="3"/>
      <c r="G26" s="3"/>
      <c r="H26" s="3"/>
      <c r="I26" s="3"/>
      <c r="J26" s="3"/>
      <c r="K26" s="3"/>
      <c r="L26" s="3"/>
    </row>
    <row r="27" customFormat="false" ht="15" hidden="false" customHeight="false" outlineLevel="0" collapsed="false">
      <c r="A27" s="5" t="s">
        <v>1552</v>
      </c>
      <c r="B27" s="5" t="s">
        <v>1553</v>
      </c>
      <c r="C27" s="7" t="n">
        <v>3</v>
      </c>
      <c r="D27" s="7" t="n">
        <f aca="false">Controls!B21</f>
        <v>3</v>
      </c>
      <c r="E27" s="5" t="str">
        <f aca="false">IF(ISNUMBER(C27),IF(AND(ISNUMBER(D27),ABS(D27-C27)&lt;0.000001),"PASS","FAIL"),IF(D27=C27,"PASS","FAIL"))</f>
        <v>PASS</v>
      </c>
      <c r="F27" s="3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A28" s="5" t="s">
        <v>1554</v>
      </c>
      <c r="B28" s="5" t="s">
        <v>1555</v>
      </c>
      <c r="C28" s="7" t="n">
        <v>4</v>
      </c>
      <c r="D28" s="7" t="n">
        <f aca="false">Controls!B22</f>
        <v>4</v>
      </c>
      <c r="E28" s="5" t="str">
        <f aca="false">IF(ISNUMBER(C28),IF(AND(ISNUMBER(D28),ABS(D28-C28)&lt;0.000001),"PASS","FAIL"),IF(D28=C28,"PASS","FAIL"))</f>
        <v>PASS</v>
      </c>
      <c r="F28" s="3"/>
      <c r="G28" s="3"/>
      <c r="H28" s="3"/>
      <c r="I28" s="3"/>
      <c r="J28" s="3"/>
      <c r="K28" s="3"/>
      <c r="L28" s="3"/>
    </row>
    <row r="29" customFormat="false" ht="15" hidden="false" customHeight="false" outlineLevel="0" collapsed="false">
      <c r="A29" s="5" t="s">
        <v>1556</v>
      </c>
      <c r="B29" s="5" t="s">
        <v>1557</v>
      </c>
      <c r="C29" s="7" t="n">
        <v>5</v>
      </c>
      <c r="D29" s="7" t="n">
        <f aca="false">Controls!B23</f>
        <v>5</v>
      </c>
      <c r="E29" s="5" t="str">
        <f aca="false">IF(ISNUMBER(C29),IF(AND(ISNUMBER(D29),ABS(D29-C29)&lt;0.000001),"PASS","FAIL"),IF(D29=C29,"PASS","FAIL"))</f>
        <v>PASS</v>
      </c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5" t="s">
        <v>1558</v>
      </c>
      <c r="B30" s="5" t="s">
        <v>1559</v>
      </c>
      <c r="C30" s="7" t="n">
        <v>2</v>
      </c>
      <c r="D30" s="7" t="n">
        <f aca="false">Controls!B24</f>
        <v>2</v>
      </c>
      <c r="E30" s="5" t="str">
        <f aca="false">IF(ISNUMBER(C30),IF(AND(ISNUMBER(D30),ABS(D30-C30)&lt;0.000001),"PASS","FAIL"),IF(D30=C30,"PASS","FAIL"))</f>
        <v>PASS</v>
      </c>
      <c r="F30" s="3"/>
      <c r="G30" s="3"/>
      <c r="H30" s="3"/>
      <c r="I30" s="3"/>
      <c r="J30" s="3"/>
      <c r="K30" s="3"/>
      <c r="L30" s="3"/>
    </row>
    <row r="31" customFormat="false" ht="15" hidden="false" customHeight="false" outlineLevel="0" collapsed="false">
      <c r="A31" s="5" t="s">
        <v>1560</v>
      </c>
      <c r="B31" s="5" t="s">
        <v>1561</v>
      </c>
      <c r="C31" s="7" t="n">
        <v>24</v>
      </c>
      <c r="D31" s="7" t="n">
        <f aca="false">COUNTA('Receiver States'!A5:A28)</f>
        <v>24</v>
      </c>
      <c r="E31" s="5" t="str">
        <f aca="false">IF(ISNUMBER(C31),IF(AND(ISNUMBER(D31),ABS(D31-C31)&lt;0.000001),"PASS","FAIL"),IF(D31=C31,"PASS","FAIL"))</f>
        <v>PASS</v>
      </c>
      <c r="F31" s="3"/>
      <c r="G31" s="3"/>
      <c r="H31" s="3"/>
      <c r="I31" s="3"/>
      <c r="J31" s="3"/>
      <c r="K31" s="3"/>
      <c r="L31" s="3"/>
    </row>
    <row r="32" customFormat="false" ht="15" hidden="false" customHeight="false" outlineLevel="0" collapsed="false">
      <c r="A32" s="5" t="s">
        <v>1562</v>
      </c>
      <c r="B32" s="5" t="s">
        <v>1563</v>
      </c>
      <c r="C32" s="7" t="n">
        <v>72</v>
      </c>
      <c r="D32" s="7" t="n">
        <f aca="false">COUNTA('Method Cards'!A5:A76)</f>
        <v>72</v>
      </c>
      <c r="E32" s="5" t="str">
        <f aca="false">IF(ISNUMBER(C32),IF(AND(ISNUMBER(D32),ABS(D32-C32)&lt;0.000001),"PASS","FAIL"),IF(D32=C32,"PASS","FAIL"))</f>
        <v>PASS</v>
      </c>
      <c r="F32" s="3"/>
      <c r="G32" s="3"/>
      <c r="H32" s="3"/>
      <c r="I32" s="3"/>
      <c r="J32" s="3"/>
      <c r="K32" s="3"/>
      <c r="L32" s="3"/>
    </row>
    <row r="33" customFormat="false" ht="15" hidden="false" customHeight="false" outlineLevel="0" collapsed="false">
      <c r="A33" s="5" t="s">
        <v>1564</v>
      </c>
      <c r="B33" s="5" t="s">
        <v>1565</v>
      </c>
      <c r="C33" s="7" t="n">
        <v>144</v>
      </c>
      <c r="D33" s="7" t="n">
        <f aca="false">COUNTA('Method Realizations'!A5:A148)</f>
        <v>144</v>
      </c>
      <c r="E33" s="5" t="str">
        <f aca="false">IF(ISNUMBER(C33),IF(AND(ISNUMBER(D33),ABS(D33-C33)&lt;0.000001),"PASS","FAIL"),IF(D33=C33,"PASS","FAIL"))</f>
        <v>PASS</v>
      </c>
      <c r="F33" s="3"/>
      <c r="G33" s="3"/>
      <c r="H33" s="3"/>
      <c r="I33" s="3"/>
      <c r="J33" s="3"/>
      <c r="K33" s="3"/>
      <c r="L33" s="3"/>
    </row>
    <row r="34" customFormat="false" ht="15" hidden="false" customHeight="false" outlineLevel="0" collapsed="false">
      <c r="A34" s="5" t="s">
        <v>1566</v>
      </c>
      <c r="B34" s="5" t="s">
        <v>1567</v>
      </c>
      <c r="C34" s="7" t="n">
        <v>12</v>
      </c>
      <c r="D34" s="7" t="n">
        <f aca="false">COUNTA('Root Endpoints'!A5:A16)</f>
        <v>12</v>
      </c>
      <c r="E34" s="5" t="str">
        <f aca="false">IF(ISNUMBER(C34),IF(AND(ISNUMBER(D34),ABS(D34-C34)&lt;0.000001),"PASS","FAIL"),IF(D34=C34,"PASS","FAIL"))</f>
        <v>PASS</v>
      </c>
      <c r="F34" s="3"/>
      <c r="G34" s="3"/>
      <c r="H34" s="3"/>
      <c r="I34" s="3"/>
      <c r="J34" s="3"/>
      <c r="K34" s="3"/>
      <c r="L34" s="3"/>
    </row>
    <row r="35" customFormat="false" ht="15" hidden="false" customHeight="false" outlineLevel="0" collapsed="false">
      <c r="A35" s="5" t="s">
        <v>1568</v>
      </c>
      <c r="B35" s="5" t="s">
        <v>1569</v>
      </c>
      <c r="C35" s="7" t="n">
        <v>72</v>
      </c>
      <c r="D35" s="7" t="n">
        <f aca="false">COUNTA('Event Register'!A5:A76)</f>
        <v>72</v>
      </c>
      <c r="E35" s="5" t="str">
        <f aca="false">IF(ISNUMBER(C35),IF(AND(ISNUMBER(D35),ABS(D35-C35)&lt;0.000001),"PASS","FAIL"),IF(D35=C35,"PASS","FAIL"))</f>
        <v>PASS</v>
      </c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5" t="s">
        <v>1570</v>
      </c>
      <c r="B36" s="5" t="s">
        <v>1571</v>
      </c>
      <c r="C36" s="7" t="n">
        <v>360</v>
      </c>
      <c r="D36" s="7" t="n">
        <f aca="false">COUNTA('Evidence Packages'!A5:A364)</f>
        <v>360</v>
      </c>
      <c r="E36" s="5" t="str">
        <f aca="false">IF(ISNUMBER(C36),IF(AND(ISNUMBER(D36),ABS(D36-C36)&lt;0.000001),"PASS","FAIL"),IF(D36=C36,"PASS","FAIL"))</f>
        <v>PASS</v>
      </c>
      <c r="F36" s="3"/>
      <c r="G36" s="3"/>
      <c r="H36" s="3"/>
      <c r="I36" s="3"/>
      <c r="J36" s="3"/>
      <c r="K36" s="3"/>
      <c r="L36" s="3"/>
    </row>
    <row r="37" customFormat="false" ht="15" hidden="false" customHeight="false" outlineLevel="0" collapsed="false">
      <c r="A37" s="5" t="s">
        <v>1572</v>
      </c>
      <c r="B37" s="5" t="s">
        <v>1573</v>
      </c>
      <c r="C37" s="7" t="n">
        <v>18</v>
      </c>
      <c r="D37" s="7" t="n">
        <f aca="false">COUNTA('Station Nuclei'!A5:A22)</f>
        <v>18</v>
      </c>
      <c r="E37" s="5" t="str">
        <f aca="false">IF(ISNUMBER(C37),IF(AND(ISNUMBER(D37),ABS(D37-C37)&lt;0.000001),"PASS","FAIL"),IF(D37=C37,"PASS","FAIL"))</f>
        <v>PASS</v>
      </c>
      <c r="F37" s="3"/>
      <c r="G37" s="3"/>
      <c r="H37" s="3"/>
      <c r="I37" s="3"/>
      <c r="J37" s="3"/>
      <c r="K37" s="3"/>
      <c r="L37" s="3"/>
    </row>
    <row r="38" customFormat="false" ht="15" hidden="false" customHeight="false" outlineLevel="0" collapsed="false">
      <c r="A38" s="5" t="s">
        <v>1574</v>
      </c>
      <c r="B38" s="5" t="s">
        <v>1575</v>
      </c>
      <c r="C38" s="7" t="n">
        <v>36</v>
      </c>
      <c r="D38" s="7" t="n">
        <f aca="false">SUM('Station Nuclei'!H5:H22)</f>
        <v>36</v>
      </c>
      <c r="E38" s="5" t="str">
        <f aca="false">IF(ISNUMBER(C38),IF(AND(ISNUMBER(D38),ABS(D38-C38)&lt;0.000001),"PASS","FAIL"),IF(D38=C38,"PASS","FAIL"))</f>
        <v>PASS</v>
      </c>
      <c r="F38" s="3"/>
      <c r="G38" s="3"/>
      <c r="H38" s="3"/>
      <c r="I38" s="3"/>
      <c r="J38" s="3"/>
      <c r="K38" s="3"/>
      <c r="L38" s="3"/>
    </row>
    <row r="39" customFormat="false" ht="15" hidden="false" customHeight="false" outlineLevel="0" collapsed="false">
      <c r="A39" s="5" t="s">
        <v>1576</v>
      </c>
      <c r="B39" s="5" t="s">
        <v>1577</v>
      </c>
      <c r="C39" s="7" t="n">
        <v>90</v>
      </c>
      <c r="D39" s="7" t="n">
        <f aca="false">SUM('Station Nuclei'!I5:I22)</f>
        <v>90</v>
      </c>
      <c r="E39" s="5" t="str">
        <f aca="false">IF(ISNUMBER(C39),IF(AND(ISNUMBER(D39),ABS(D39-C39)&lt;0.000001),"PASS","FAIL"),IF(D39=C39,"PASS","FAIL"))</f>
        <v>PASS</v>
      </c>
      <c r="F39" s="3"/>
      <c r="G39" s="3"/>
      <c r="H39" s="3"/>
      <c r="I39" s="3"/>
      <c r="J39" s="3"/>
      <c r="K39" s="3"/>
      <c r="L39" s="3"/>
    </row>
    <row r="40" customFormat="false" ht="15" hidden="false" customHeight="false" outlineLevel="0" collapsed="false">
      <c r="A40" s="5" t="s">
        <v>1578</v>
      </c>
      <c r="B40" s="5" t="s">
        <v>47</v>
      </c>
      <c r="C40" s="7" t="n">
        <v>54</v>
      </c>
      <c r="D40" s="7" t="n">
        <f aca="false">SUM('Station Nuclei'!G5:G22)</f>
        <v>54</v>
      </c>
      <c r="E40" s="5" t="str">
        <f aca="false">IF(ISNUMBER(C40),IF(AND(ISNUMBER(D40),ABS(D40-C40)&lt;0.000001),"PASS","FAIL"),IF(D40=C40,"PASS","FAIL"))</f>
        <v>PASS</v>
      </c>
      <c r="F40" s="3"/>
      <c r="G40" s="3"/>
      <c r="H40" s="3"/>
      <c r="I40" s="3"/>
      <c r="J40" s="3"/>
      <c r="K40" s="3"/>
      <c r="L40" s="3"/>
    </row>
    <row r="41" customFormat="false" ht="15" hidden="false" customHeight="false" outlineLevel="0" collapsed="false">
      <c r="A41" s="5" t="s">
        <v>1579</v>
      </c>
      <c r="B41" s="5" t="s">
        <v>1580</v>
      </c>
      <c r="C41" s="7" t="n">
        <v>3.58691281932058</v>
      </c>
      <c r="D41" s="7" t="n">
        <f aca="false">Authority!D11</f>
        <v>3.58691281932056</v>
      </c>
      <c r="E41" s="5" t="str">
        <f aca="false">IF(ISNUMBER(C41),IF(AND(ISNUMBER(D41),ABS(D41-C41)&lt;0.000001),"PASS","FAIL"),IF(D41=C41,"PASS","FAIL"))</f>
        <v>PASS</v>
      </c>
      <c r="F41" s="3"/>
      <c r="G41" s="3"/>
      <c r="H41" s="3"/>
      <c r="I41" s="3"/>
      <c r="J41" s="3"/>
      <c r="K41" s="3"/>
      <c r="L41" s="3"/>
    </row>
    <row r="42" customFormat="false" ht="15" hidden="false" customHeight="false" outlineLevel="0" collapsed="false">
      <c r="A42" s="5" t="s">
        <v>1581</v>
      </c>
      <c r="B42" s="5" t="s">
        <v>136</v>
      </c>
      <c r="C42" s="7" t="n">
        <v>0.15</v>
      </c>
      <c r="D42" s="7" t="n">
        <f aca="false">Controls!B28</f>
        <v>0.15</v>
      </c>
      <c r="E42" s="5" t="str">
        <f aca="false">IF(ISNUMBER(C42),IF(AND(ISNUMBER(D42),ABS(D42-C42)&lt;0.000001),"PASS","FAIL"),IF(D42=C42,"PASS","FAIL"))</f>
        <v>PASS</v>
      </c>
      <c r="F42" s="3"/>
      <c r="G42" s="3"/>
      <c r="H42" s="3"/>
      <c r="I42" s="3"/>
      <c r="J42" s="3"/>
      <c r="K42" s="3"/>
      <c r="L42" s="3"/>
    </row>
    <row r="43" customFormat="false" ht="15" hidden="false" customHeight="false" outlineLevel="0" collapsed="false">
      <c r="A43" s="5" t="s">
        <v>1582</v>
      </c>
      <c r="B43" s="5" t="s">
        <v>139</v>
      </c>
      <c r="C43" s="7" t="n">
        <v>0.35</v>
      </c>
      <c r="D43" s="7" t="n">
        <f aca="false">Controls!B29</f>
        <v>0.35</v>
      </c>
      <c r="E43" s="5" t="str">
        <f aca="false">IF(ISNUMBER(C43),IF(AND(ISNUMBER(D43),ABS(D43-C43)&lt;0.000001),"PASS","FAIL"),IF(D43=C43,"PASS","FAIL"))</f>
        <v>PASS</v>
      </c>
      <c r="F43" s="3"/>
      <c r="G43" s="3"/>
      <c r="H43" s="3"/>
      <c r="I43" s="3"/>
      <c r="J43" s="3"/>
      <c r="K43" s="3"/>
      <c r="L43" s="3"/>
    </row>
    <row r="44" customFormat="false" ht="15" hidden="false" customHeight="false" outlineLevel="0" collapsed="false">
      <c r="A44" s="5" t="s">
        <v>1583</v>
      </c>
      <c r="B44" s="5" t="s">
        <v>140</v>
      </c>
      <c r="C44" s="7" t="n">
        <v>0.35</v>
      </c>
      <c r="D44" s="7" t="n">
        <f aca="false">Controls!B30</f>
        <v>0.35</v>
      </c>
      <c r="E44" s="5" t="str">
        <f aca="false">IF(ISNUMBER(C44),IF(AND(ISNUMBER(D44),ABS(D44-C44)&lt;0.000001),"PASS","FAIL"),IF(D44=C44,"PASS","FAIL"))</f>
        <v>PASS</v>
      </c>
      <c r="F44" s="3"/>
      <c r="G44" s="3"/>
      <c r="H44" s="3"/>
      <c r="I44" s="3"/>
      <c r="J44" s="3"/>
      <c r="K44" s="3"/>
      <c r="L44" s="3"/>
    </row>
    <row r="45" customFormat="false" ht="15" hidden="false" customHeight="false" outlineLevel="0" collapsed="false">
      <c r="A45" s="5" t="s">
        <v>1584</v>
      </c>
      <c r="B45" s="5" t="s">
        <v>141</v>
      </c>
      <c r="C45" s="7" t="n">
        <v>0.15</v>
      </c>
      <c r="D45" s="7" t="n">
        <f aca="false">Controls!B31</f>
        <v>0.15</v>
      </c>
      <c r="E45" s="5" t="str">
        <f aca="false">IF(ISNUMBER(C45),IF(AND(ISNUMBER(D45),ABS(D45-C45)&lt;0.000001),"PASS","FAIL"),IF(D45=C45,"PASS","FAIL"))</f>
        <v>PASS</v>
      </c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5" t="s">
        <v>1585</v>
      </c>
      <c r="B46" s="5" t="s">
        <v>1586</v>
      </c>
      <c r="C46" s="7" t="n">
        <v>1</v>
      </c>
      <c r="D46" s="7" t="n">
        <f aca="false">SUM(Controls!B28:B31)</f>
        <v>1</v>
      </c>
      <c r="E46" s="5" t="str">
        <f aca="false">IF(ISNUMBER(C46),IF(AND(ISNUMBER(D46),ABS(D46-C46)&lt;0.000001),"PASS","FAIL"),IF(D46=C46,"PASS","FAIL"))</f>
        <v>PASS</v>
      </c>
      <c r="F46" s="3"/>
      <c r="G46" s="3"/>
      <c r="H46" s="3"/>
      <c r="I46" s="3"/>
      <c r="J46" s="3"/>
      <c r="K46" s="3"/>
      <c r="L46" s="3"/>
    </row>
    <row r="47" customFormat="false" ht="15" hidden="false" customHeight="false" outlineLevel="0" collapsed="false">
      <c r="A47" s="5" t="s">
        <v>1587</v>
      </c>
      <c r="B47" s="5" t="s">
        <v>1588</v>
      </c>
      <c r="C47" s="7" t="n">
        <v>1</v>
      </c>
      <c r="D47" s="7" t="n">
        <f aca="false">SUM(Controls!B32:B35)</f>
        <v>1</v>
      </c>
      <c r="E47" s="5" t="str">
        <f aca="false">IF(ISNUMBER(C47),IF(AND(ISNUMBER(D47),ABS(D47-C47)&lt;0.000001),"PASS","FAIL"),IF(D47=C47,"PASS","FAIL"))</f>
        <v>PASS</v>
      </c>
      <c r="F47" s="3"/>
      <c r="G47" s="3"/>
      <c r="H47" s="3"/>
      <c r="I47" s="3"/>
      <c r="J47" s="3"/>
      <c r="K47" s="3"/>
      <c r="L47" s="3"/>
    </row>
    <row r="48" customFormat="false" ht="15" hidden="false" customHeight="false" outlineLevel="0" collapsed="false">
      <c r="A48" s="5" t="s">
        <v>1589</v>
      </c>
      <c r="B48" s="5" t="s">
        <v>1590</v>
      </c>
      <c r="C48" s="7" t="n">
        <v>12</v>
      </c>
      <c r="D48" s="7" t="n">
        <f aca="false">Authority!B24</f>
        <v>12</v>
      </c>
      <c r="E48" s="5" t="str">
        <f aca="false">IF(ISNUMBER(C48),IF(AND(ISNUMBER(D48),ABS(D48-C48)&lt;0.000001),"PASS","FAIL"),IF(D48=C48,"PASS","FAIL"))</f>
        <v>PASS</v>
      </c>
      <c r="F48" s="3"/>
      <c r="G48" s="3"/>
      <c r="H48" s="3"/>
      <c r="I48" s="3"/>
      <c r="J48" s="3"/>
      <c r="K48" s="3"/>
      <c r="L48" s="3"/>
    </row>
    <row r="49" customFormat="false" ht="15" hidden="false" customHeight="false" outlineLevel="0" collapsed="false">
      <c r="A49" s="5" t="s">
        <v>1591</v>
      </c>
      <c r="B49" s="5" t="s">
        <v>1592</v>
      </c>
      <c r="C49" s="7" t="n">
        <v>15.5869128193206</v>
      </c>
      <c r="D49" s="7" t="n">
        <f aca="false">'Stage Schedule'!H8</f>
        <v>15.5869128193206</v>
      </c>
      <c r="E49" s="5" t="str">
        <f aca="false">IF(ISNUMBER(C49),IF(AND(ISNUMBER(D49),ABS(D49-C49)&lt;0.000001),"PASS","FAIL"),IF(D49=C49,"PASS","FAIL"))</f>
        <v>PASS</v>
      </c>
      <c r="F49" s="3"/>
      <c r="G49" s="3"/>
      <c r="H49" s="3"/>
      <c r="I49" s="3"/>
      <c r="J49" s="3"/>
      <c r="K49" s="3"/>
      <c r="L49" s="3"/>
    </row>
    <row r="50" customFormat="false" ht="15" hidden="false" customHeight="false" outlineLevel="0" collapsed="false">
      <c r="A50" s="5" t="s">
        <v>1593</v>
      </c>
      <c r="B50" s="5" t="s">
        <v>1594</v>
      </c>
      <c r="C50" s="7" t="n">
        <v>12.0488758964225</v>
      </c>
      <c r="D50" s="7" t="n">
        <f aca="false">'Maximum Loss'!D7</f>
        <v>12.0488758964225</v>
      </c>
      <c r="E50" s="5" t="str">
        <f aca="false">IF(ISNUMBER(C50),IF(AND(ISNUMBER(D50),ABS(D50-C50)&lt;0.000001),"PASS","FAIL"),IF(D50=C50,"PASS","FAIL"))</f>
        <v>PASS</v>
      </c>
      <c r="F50" s="3"/>
      <c r="G50" s="3"/>
      <c r="H50" s="3"/>
      <c r="I50" s="3"/>
      <c r="J50" s="3"/>
      <c r="K50" s="3"/>
      <c r="L50" s="3"/>
    </row>
    <row r="51" customFormat="false" ht="15" hidden="false" customHeight="false" outlineLevel="0" collapsed="false">
      <c r="A51" s="5" t="s">
        <v>1595</v>
      </c>
      <c r="B51" s="5" t="s">
        <v>1596</v>
      </c>
      <c r="C51" s="7" t="n">
        <v>3.53803692289809</v>
      </c>
      <c r="D51" s="7" t="n">
        <f aca="false">'Maximum Loss'!E7</f>
        <v>3.53803692289808</v>
      </c>
      <c r="E51" s="5" t="str">
        <f aca="false">IF(ISNUMBER(C51),IF(AND(ISNUMBER(D51),ABS(D51-C51)&lt;0.000001),"PASS","FAIL"),IF(D51=C51,"PASS","FAIL"))</f>
        <v>PASS</v>
      </c>
      <c r="F51" s="3"/>
      <c r="G51" s="3"/>
      <c r="H51" s="3"/>
      <c r="I51" s="3"/>
      <c r="J51" s="3"/>
      <c r="K51" s="3"/>
      <c r="L51" s="3"/>
    </row>
    <row r="52" customFormat="false" ht="15" hidden="false" customHeight="false" outlineLevel="0" collapsed="false">
      <c r="A52" s="5" t="s">
        <v>1597</v>
      </c>
      <c r="B52" s="5" t="s">
        <v>1598</v>
      </c>
      <c r="C52" s="7" t="n">
        <v>0</v>
      </c>
      <c r="D52" s="7" t="n">
        <f aca="false">'Maximum Loss'!F7</f>
        <v>0</v>
      </c>
      <c r="E52" s="5" t="str">
        <f aca="false">IF(ISNUMBER(C52),IF(AND(ISNUMBER(D52),ABS(D52-C52)&lt;0.000001),"PASS","FAIL"),IF(D52=C52,"PASS","FAIL"))</f>
        <v>PASS</v>
      </c>
      <c r="F52" s="3"/>
      <c r="G52" s="3"/>
      <c r="H52" s="3"/>
      <c r="I52" s="3"/>
      <c r="J52" s="3"/>
      <c r="K52" s="3"/>
      <c r="L52" s="3"/>
    </row>
    <row r="53" customFormat="false" ht="15" hidden="false" customHeight="false" outlineLevel="0" collapsed="false">
      <c r="A53" s="5" t="s">
        <v>1599</v>
      </c>
      <c r="B53" s="5" t="s">
        <v>1600</v>
      </c>
      <c r="C53" s="7" t="n">
        <v>0</v>
      </c>
      <c r="D53" s="7" t="n">
        <f aca="false">Controls!B37</f>
        <v>0</v>
      </c>
      <c r="E53" s="5" t="str">
        <f aca="false">IF(ISNUMBER(C53),IF(AND(ISNUMBER(D53),ABS(D53-C53)&lt;0.000001),"PASS","FAIL"),IF(D53=C53,"PASS","FAIL"))</f>
        <v>PASS</v>
      </c>
      <c r="F53" s="3"/>
      <c r="G53" s="3"/>
      <c r="H53" s="3"/>
      <c r="I53" s="3"/>
      <c r="J53" s="3"/>
      <c r="K53" s="3"/>
      <c r="L53" s="3"/>
    </row>
    <row r="54" customFormat="false" ht="15" hidden="false" customHeight="false" outlineLevel="0" collapsed="false">
      <c r="A54" s="5" t="s">
        <v>1601</v>
      </c>
      <c r="B54" s="5" t="s">
        <v>1602</v>
      </c>
      <c r="C54" s="7" t="n">
        <v>0</v>
      </c>
      <c r="D54" s="7" t="n">
        <f aca="false">Controls!B38</f>
        <v>0</v>
      </c>
      <c r="E54" s="5" t="str">
        <f aca="false">IF(ISNUMBER(C54),IF(AND(ISNUMBER(D54),ABS(D54-C54)&lt;0.000001),"PASS","FAIL"),IF(D54=C54,"PASS","FAIL"))</f>
        <v>PASS</v>
      </c>
      <c r="F54" s="3"/>
      <c r="G54" s="3"/>
      <c r="H54" s="3"/>
      <c r="I54" s="3"/>
      <c r="J54" s="3"/>
      <c r="K54" s="3"/>
      <c r="L54" s="3"/>
    </row>
    <row r="55" customFormat="false" ht="15" hidden="false" customHeight="false" outlineLevel="0" collapsed="false">
      <c r="A55" s="5" t="s">
        <v>1603</v>
      </c>
      <c r="B55" s="5" t="s">
        <v>1604</v>
      </c>
      <c r="C55" s="7" t="n">
        <v>0</v>
      </c>
      <c r="D55" s="7" t="n">
        <f aca="false">Controls!B39</f>
        <v>0</v>
      </c>
      <c r="E55" s="5" t="str">
        <f aca="false">IF(ISNUMBER(C55),IF(AND(ISNUMBER(D55),ABS(D55-C55)&lt;0.000001),"PASS","FAIL"),IF(D55=C55,"PASS","FAIL"))</f>
        <v>PASS</v>
      </c>
      <c r="F55" s="3"/>
      <c r="G55" s="3"/>
      <c r="H55" s="3"/>
      <c r="I55" s="3"/>
      <c r="J55" s="3"/>
      <c r="K55" s="3"/>
      <c r="L55" s="3"/>
    </row>
    <row r="56" customFormat="false" ht="15" hidden="false" customHeight="false" outlineLevel="0" collapsed="false">
      <c r="A56" s="5" t="s">
        <v>1605</v>
      </c>
      <c r="B56" s="5" t="s">
        <v>1606</v>
      </c>
      <c r="C56" s="7" t="n">
        <v>0</v>
      </c>
      <c r="D56" s="7" t="n">
        <f aca="false">Controls!B40</f>
        <v>0</v>
      </c>
      <c r="E56" s="5" t="str">
        <f aca="false">IF(ISNUMBER(C56),IF(AND(ISNUMBER(D56),ABS(D56-C56)&lt;0.000001),"PASS","FAIL"),IF(D56=C56,"PASS","FAIL"))</f>
        <v>PASS</v>
      </c>
      <c r="F56" s="3"/>
      <c r="G56" s="3"/>
      <c r="H56" s="3"/>
      <c r="I56" s="3"/>
      <c r="J56" s="3"/>
      <c r="K56" s="3"/>
      <c r="L56" s="3"/>
    </row>
    <row r="57" customFormat="false" ht="15" hidden="false" customHeight="false" outlineLevel="0" collapsed="false">
      <c r="A57" s="5" t="s">
        <v>1607</v>
      </c>
      <c r="B57" s="5" t="s">
        <v>1608</v>
      </c>
      <c r="C57" s="7" t="n">
        <v>0</v>
      </c>
      <c r="D57" s="7" t="n">
        <f aca="false">Controls!B41</f>
        <v>0</v>
      </c>
      <c r="E57" s="5" t="str">
        <f aca="false">IF(ISNUMBER(C57),IF(AND(ISNUMBER(D57),ABS(D57-C57)&lt;0.000001),"PASS","FAIL"),IF(D57=C57,"PASS","FAIL"))</f>
        <v>PASS</v>
      </c>
      <c r="F57" s="3"/>
      <c r="G57" s="3"/>
      <c r="H57" s="3"/>
      <c r="I57" s="3"/>
      <c r="J57" s="3"/>
      <c r="K57" s="3"/>
      <c r="L57" s="3"/>
    </row>
    <row r="58" customFormat="false" ht="15" hidden="false" customHeight="false" outlineLevel="0" collapsed="false">
      <c r="A58" s="5" t="s">
        <v>1609</v>
      </c>
      <c r="B58" s="5" t="s">
        <v>1610</v>
      </c>
      <c r="C58" s="7" t="n">
        <v>0</v>
      </c>
      <c r="D58" s="7" t="n">
        <f aca="false">Controls!B42</f>
        <v>0</v>
      </c>
      <c r="E58" s="5" t="str">
        <f aca="false">IF(ISNUMBER(C58),IF(AND(ISNUMBER(D58),ABS(D58-C58)&lt;0.000001),"PASS","FAIL"),IF(D58=C58,"PASS","FAIL"))</f>
        <v>PASS</v>
      </c>
      <c r="F58" s="3"/>
      <c r="G58" s="3"/>
      <c r="H58" s="3"/>
      <c r="I58" s="3"/>
      <c r="J58" s="3"/>
      <c r="K58" s="3"/>
      <c r="L58" s="3"/>
    </row>
    <row r="59" customFormat="false" ht="15" hidden="false" customHeight="false" outlineLevel="0" collapsed="false">
      <c r="A59" s="5" t="s">
        <v>1611</v>
      </c>
      <c r="B59" s="5" t="s">
        <v>1612</v>
      </c>
      <c r="C59" s="7" t="n">
        <v>0</v>
      </c>
      <c r="D59" s="7" t="n">
        <f aca="false">Controls!B43</f>
        <v>0</v>
      </c>
      <c r="E59" s="5" t="str">
        <f aca="false">IF(ISNUMBER(C59),IF(AND(ISNUMBER(D59),ABS(D59-C59)&lt;0.000001),"PASS","FAIL"),IF(D59=C59,"PASS","FAIL"))</f>
        <v>PASS</v>
      </c>
      <c r="F59" s="3"/>
      <c r="G59" s="3"/>
      <c r="H59" s="3"/>
      <c r="I59" s="3"/>
      <c r="J59" s="3"/>
      <c r="K59" s="3"/>
      <c r="L59" s="3"/>
    </row>
    <row r="60" customFormat="false" ht="15" hidden="false" customHeight="false" outlineLevel="0" collapsed="false">
      <c r="A60" s="5" t="s">
        <v>1613</v>
      </c>
      <c r="B60" s="5" t="s">
        <v>1614</v>
      </c>
      <c r="C60" s="7" t="n">
        <v>12</v>
      </c>
      <c r="D60" s="7" t="n">
        <f aca="false">COUNTBLANK('Root Endpoints'!K5:K16)</f>
        <v>12</v>
      </c>
      <c r="E60" s="5" t="str">
        <f aca="false">IF(ISNUMBER(C60),IF(AND(ISNUMBER(D60),ABS(D60-C60)&lt;0.000001),"PASS","FAIL"),IF(D60=C60,"PASS","FAIL"))</f>
        <v>PASS</v>
      </c>
      <c r="F60" s="3"/>
      <c r="G60" s="3"/>
      <c r="H60" s="3"/>
      <c r="I60" s="3"/>
      <c r="J60" s="3"/>
      <c r="K60" s="3"/>
      <c r="L60" s="3"/>
    </row>
    <row r="61" customFormat="false" ht="15" hidden="false" customHeight="false" outlineLevel="0" collapsed="false">
      <c r="A61" s="5" t="s">
        <v>1615</v>
      </c>
      <c r="B61" s="5" t="s">
        <v>1616</v>
      </c>
      <c r="C61" s="7" t="n">
        <v>72</v>
      </c>
      <c r="D61" s="7" t="n">
        <f aca="false">COUNTBLANK('Event Register'!K5:K76)</f>
        <v>72</v>
      </c>
      <c r="E61" s="5" t="str">
        <f aca="false">IF(ISNUMBER(C61),IF(AND(ISNUMBER(D61),ABS(D61-C61)&lt;0.000001),"PASS","FAIL"),IF(D61=C61,"PASS","FAIL"))</f>
        <v>PASS</v>
      </c>
      <c r="F61" s="3"/>
      <c r="G61" s="3"/>
      <c r="H61" s="3"/>
      <c r="I61" s="3"/>
      <c r="J61" s="3"/>
      <c r="K61" s="3"/>
      <c r="L61" s="3"/>
    </row>
    <row r="62" customFormat="false" ht="15" hidden="false" customHeight="false" outlineLevel="0" collapsed="false">
      <c r="A62" s="5" t="s">
        <v>1617</v>
      </c>
      <c r="B62" s="5" t="s">
        <v>1618</v>
      </c>
      <c r="C62" s="7" t="n">
        <v>360</v>
      </c>
      <c r="D62" s="7" t="n">
        <f aca="false">COUNTIF('Evidence Packages'!I5:I364,"OPEN")</f>
        <v>360</v>
      </c>
      <c r="E62" s="5" t="str">
        <f aca="false">IF(ISNUMBER(C62),IF(AND(ISNUMBER(D62),ABS(D62-C62)&lt;0.000001),"PASS","FAIL"),IF(D62=C62,"PASS","FAIL"))</f>
        <v>PASS</v>
      </c>
      <c r="F62" s="3"/>
      <c r="G62" s="3"/>
      <c r="H62" s="3"/>
      <c r="I62" s="3"/>
      <c r="J62" s="3"/>
      <c r="K62" s="3"/>
      <c r="L62" s="3"/>
    </row>
    <row r="63" customFormat="false" ht="15" hidden="false" customHeight="false" outlineLevel="0" collapsed="false">
      <c r="A63" s="5" t="s">
        <v>1619</v>
      </c>
      <c r="B63" s="5" t="s">
        <v>1620</v>
      </c>
      <c r="C63" s="7" t="n">
        <v>0</v>
      </c>
      <c r="D63" s="7" t="n">
        <f aca="false">SUM('Method Realizations'!J5:J148)</f>
        <v>0</v>
      </c>
      <c r="E63" s="5" t="str">
        <f aca="false">IF(ISNUMBER(C63),IF(AND(ISNUMBER(D63),ABS(D63-C63)&lt;0.000001),"PASS","FAIL"),IF(D63=C63,"PASS","FAIL"))</f>
        <v>PASS</v>
      </c>
      <c r="F63" s="3"/>
      <c r="G63" s="3"/>
      <c r="H63" s="3"/>
      <c r="I63" s="3"/>
      <c r="J63" s="3"/>
      <c r="K63" s="3"/>
      <c r="L63" s="3"/>
    </row>
    <row r="64" customFormat="false" ht="15" hidden="false" customHeight="false" outlineLevel="0" collapsed="false">
      <c r="A64" s="5" t="s">
        <v>1621</v>
      </c>
      <c r="B64" s="5" t="s">
        <v>1622</v>
      </c>
      <c r="C64" s="7" t="n">
        <v>1</v>
      </c>
      <c r="D64" s="7" t="n">
        <f aca="false">COUNTIF(Alternatives!L5:L9,"PASS")</f>
        <v>1</v>
      </c>
      <c r="E64" s="5" t="str">
        <f aca="false">IF(ISNUMBER(C64),IF(AND(ISNUMBER(D64),ABS(D64-C64)&lt;0.000001),"PASS","FAIL"),IF(D64=C64,"PASS","FAIL"))</f>
        <v>PASS</v>
      </c>
      <c r="F64" s="3"/>
      <c r="G64" s="3"/>
      <c r="H64" s="3"/>
      <c r="I64" s="3"/>
      <c r="J64" s="3"/>
      <c r="K64" s="3"/>
      <c r="L64" s="3"/>
    </row>
    <row r="65" customFormat="false" ht="15" hidden="false" customHeight="false" outlineLevel="0" collapsed="false">
      <c r="A65" s="5" t="s">
        <v>1623</v>
      </c>
      <c r="B65" s="5" t="s">
        <v>1624</v>
      </c>
      <c r="C65" s="7" t="s">
        <v>1427</v>
      </c>
      <c r="D65" s="7" t="str">
        <f aca="false">Alternatives!L8</f>
        <v>PASS</v>
      </c>
      <c r="E65" s="5" t="str">
        <f aca="false">IF(ISNUMBER(C65),IF(AND(ISNUMBER(D65),ABS(D65-C65)&lt;0.000001),"PASS","FAIL"),IF(D65=C65,"PASS","FAIL"))</f>
        <v>PASS</v>
      </c>
      <c r="F65" s="3"/>
      <c r="G65" s="3"/>
      <c r="H65" s="3"/>
      <c r="I65" s="3"/>
      <c r="J65" s="3"/>
      <c r="K65" s="3"/>
      <c r="L65" s="3"/>
    </row>
    <row r="66" customFormat="false" ht="15" hidden="false" customHeight="false" outlineLevel="0" collapsed="false">
      <c r="A66" s="5" t="s">
        <v>1625</v>
      </c>
      <c r="B66" s="5" t="s">
        <v>1626</v>
      </c>
      <c r="C66" s="7" t="n">
        <v>16</v>
      </c>
      <c r="D66" s="7" t="n">
        <f aca="false">COUNTIF('Stress Tests'!E5:E20,"PASS")</f>
        <v>16</v>
      </c>
      <c r="E66" s="5" t="str">
        <f aca="false">IF(ISNUMBER(C66),IF(AND(ISNUMBER(D66),ABS(D66-C66)&lt;0.000001),"PASS","FAIL"),IF(D66=C66,"PASS","FAIL"))</f>
        <v>PASS</v>
      </c>
      <c r="F66" s="3"/>
      <c r="G66" s="3"/>
      <c r="H66" s="3"/>
      <c r="I66" s="3"/>
      <c r="J66" s="3"/>
      <c r="K66" s="3"/>
      <c r="L66" s="3"/>
    </row>
    <row r="67" customFormat="false" ht="23.85" hidden="false" customHeight="false" outlineLevel="0" collapsed="false">
      <c r="A67" s="5" t="s">
        <v>1627</v>
      </c>
      <c r="B67" s="5" t="s">
        <v>1628</v>
      </c>
      <c r="C67" s="7" t="n">
        <v>0</v>
      </c>
      <c r="D67" s="7" t="n">
        <f aca="false">SUM('Method Realizations'!L5:L148)</f>
        <v>0</v>
      </c>
      <c r="E67" s="5" t="str">
        <f aca="false">IF(ISNUMBER(C67),IF(AND(ISNUMBER(D67),ABS(D67-C67)&lt;0.000001),"PASS","FAIL"),IF(D67=C67,"PASS","FAIL"))</f>
        <v>PASS</v>
      </c>
      <c r="F67" s="3"/>
      <c r="G67" s="3"/>
      <c r="H67" s="3"/>
      <c r="I67" s="3"/>
      <c r="J67" s="3"/>
      <c r="K67" s="3"/>
      <c r="L67" s="3"/>
    </row>
    <row r="68" customFormat="false" ht="15" hidden="false" customHeight="false" outlineLevel="0" collapsed="false">
      <c r="A68" s="5" t="s">
        <v>1629</v>
      </c>
      <c r="B68" s="5" t="s">
        <v>1630</v>
      </c>
      <c r="C68" s="7" t="n">
        <v>0</v>
      </c>
      <c r="D68" s="7" t="n">
        <f aca="false">Authority!J11</f>
        <v>0</v>
      </c>
      <c r="E68" s="5" t="str">
        <f aca="false">IF(ISNUMBER(C68),IF(AND(ISNUMBER(D68),ABS(D68-C68)&lt;0.000001),"PASS","FAIL"),IF(D68=C68,"PASS","FAIL"))</f>
        <v>PASS</v>
      </c>
      <c r="F68" s="3"/>
      <c r="G68" s="3"/>
      <c r="H68" s="3"/>
      <c r="I68" s="3"/>
      <c r="J68" s="3"/>
      <c r="K68" s="3"/>
      <c r="L68" s="3"/>
    </row>
    <row r="69" customFormat="false" ht="15" hidden="false" customHeight="false" outlineLevel="0" collapsed="false">
      <c r="A69" s="5" t="s">
        <v>1631</v>
      </c>
      <c r="B69" s="5" t="s">
        <v>1632</v>
      </c>
      <c r="C69" s="7" t="n">
        <v>18</v>
      </c>
      <c r="D69" s="7" t="n">
        <f aca="false">COUNTIF('Station Nuclei'!J5:J22,"SOURCE EMPTY")</f>
        <v>18</v>
      </c>
      <c r="E69" s="5" t="str">
        <f aca="false">IF(ISNUMBER(C69),IF(AND(ISNUMBER(D69),ABS(D69-C69)&lt;0.000001),"PASS","FAIL"),IF(D69=C69,"PASS","FAIL"))</f>
        <v>PASS</v>
      </c>
      <c r="F69" s="3"/>
      <c r="G69" s="3"/>
      <c r="H69" s="3"/>
      <c r="I69" s="3"/>
      <c r="J69" s="3"/>
      <c r="K69" s="3"/>
      <c r="L69" s="3"/>
    </row>
    <row r="70" customFormat="false" ht="15" hidden="false" customHeight="false" outlineLevel="0" collapsed="false">
      <c r="A70" s="5" t="s">
        <v>1633</v>
      </c>
      <c r="B70" s="5" t="s">
        <v>1634</v>
      </c>
      <c r="C70" s="7" t="n">
        <v>18</v>
      </c>
      <c r="D70" s="7" t="n">
        <f aca="false">COUNTIF('Station Nuclei'!K5:K22,"SOURCE EMPTY")</f>
        <v>18</v>
      </c>
      <c r="E70" s="5" t="str">
        <f aca="false">IF(ISNUMBER(C70),IF(AND(ISNUMBER(D70),ABS(D70-C70)&lt;0.000001),"PASS","FAIL"),IF(D70=C70,"PASS","FAIL"))</f>
        <v>PASS</v>
      </c>
      <c r="F70" s="3"/>
      <c r="G70" s="3"/>
      <c r="H70" s="3"/>
      <c r="I70" s="3"/>
      <c r="J70" s="3"/>
      <c r="K70" s="3"/>
      <c r="L70" s="3"/>
    </row>
  </sheetData>
  <mergeCells count="2">
    <mergeCell ref="A1:L1"/>
    <mergeCell ref="A2:L2"/>
  </mergeCells>
  <conditionalFormatting sqref="E7:E70">
    <cfRule type="containsText" priority="2" operator="containsText" aboveAverage="0" equalAverage="0" bottom="0" percent="0" rank="0" text="PASS" dxfId="7">
      <formula>NOT(ISERROR(SEARCH("PASS",E7)))</formula>
    </cfRule>
    <cfRule type="containsText" priority="3" operator="containsText" aboveAverage="0" equalAverage="0" bottom="0" percent="0" rank="0" text="FAIL" dxfId="8">
      <formula>NOT(ISERROR(SEARCH("FAIL",E7)))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.56"/>
    <col collapsed="false" customWidth="true" hidden="false" outlineLevel="0" max="3" min="3" style="0" width="32.22"/>
    <col collapsed="false" customWidth="true" hidden="false" outlineLevel="0" max="4" min="4" style="0" width="27.78"/>
    <col collapsed="false" customWidth="true" hidden="false" outlineLevel="0" max="5" min="5" style="0" width="26.67"/>
  </cols>
  <sheetData>
    <row r="1" customFormat="false" ht="26" hidden="false" customHeight="true" outlineLevel="0" collapsed="false">
      <c r="A1" s="1" t="s">
        <v>1635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" hidden="false" customHeight="true" outlineLevel="0" collapsed="false">
      <c r="A2" s="2" t="s">
        <v>1636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6" t="s">
        <v>1637</v>
      </c>
      <c r="B4" s="6" t="s">
        <v>1638</v>
      </c>
      <c r="C4" s="6" t="s">
        <v>1639</v>
      </c>
      <c r="D4" s="6" t="s">
        <v>1640</v>
      </c>
      <c r="E4" s="6" t="s">
        <v>1641</v>
      </c>
      <c r="F4" s="3"/>
      <c r="G4" s="3"/>
      <c r="H4" s="3"/>
      <c r="I4" s="3"/>
      <c r="J4" s="3"/>
      <c r="K4" s="3"/>
      <c r="L4" s="3"/>
    </row>
    <row r="5" customFormat="false" ht="23.85" hidden="false" customHeight="false" outlineLevel="0" collapsed="false">
      <c r="A5" s="5" t="s">
        <v>1642</v>
      </c>
      <c r="B5" s="5" t="s">
        <v>1643</v>
      </c>
      <c r="C5" s="5" t="s">
        <v>1644</v>
      </c>
      <c r="D5" s="5" t="s">
        <v>1645</v>
      </c>
      <c r="E5" s="5" t="s">
        <v>1646</v>
      </c>
      <c r="F5" s="3"/>
      <c r="G5" s="3"/>
      <c r="H5" s="3"/>
      <c r="I5" s="3"/>
      <c r="J5" s="3"/>
      <c r="K5" s="3"/>
      <c r="L5" s="3"/>
    </row>
    <row r="6" customFormat="false" ht="35.05" hidden="false" customHeight="false" outlineLevel="0" collapsed="false">
      <c r="A6" s="5" t="s">
        <v>123</v>
      </c>
      <c r="B6" s="5" t="s">
        <v>1647</v>
      </c>
      <c r="C6" s="5" t="s">
        <v>1648</v>
      </c>
      <c r="D6" s="5" t="s">
        <v>1649</v>
      </c>
      <c r="E6" s="5" t="s">
        <v>1650</v>
      </c>
      <c r="F6" s="3"/>
      <c r="G6" s="3"/>
      <c r="H6" s="3"/>
      <c r="I6" s="3"/>
      <c r="J6" s="3"/>
      <c r="K6" s="3"/>
      <c r="L6" s="3"/>
    </row>
    <row r="7" customFormat="false" ht="35.05" hidden="false" customHeight="false" outlineLevel="0" collapsed="false">
      <c r="A7" s="5" t="s">
        <v>120</v>
      </c>
      <c r="B7" s="5" t="s">
        <v>1651</v>
      </c>
      <c r="C7" s="5" t="s">
        <v>1652</v>
      </c>
      <c r="D7" s="5" t="s">
        <v>1653</v>
      </c>
      <c r="E7" s="5" t="s">
        <v>1654</v>
      </c>
      <c r="F7" s="3"/>
      <c r="G7" s="3"/>
      <c r="H7" s="3"/>
      <c r="I7" s="3"/>
      <c r="J7" s="3"/>
      <c r="K7" s="3"/>
      <c r="L7" s="3"/>
    </row>
    <row r="8" customFormat="false" ht="35.05" hidden="false" customHeight="false" outlineLevel="0" collapsed="false">
      <c r="A8" s="5" t="s">
        <v>138</v>
      </c>
      <c r="B8" s="5" t="s">
        <v>1655</v>
      </c>
      <c r="C8" s="5" t="s">
        <v>1656</v>
      </c>
      <c r="D8" s="5" t="s">
        <v>1657</v>
      </c>
      <c r="E8" s="5" t="s">
        <v>1658</v>
      </c>
      <c r="F8" s="3"/>
      <c r="G8" s="3"/>
      <c r="H8" s="3"/>
      <c r="I8" s="3"/>
      <c r="J8" s="3"/>
      <c r="K8" s="3"/>
      <c r="L8" s="3"/>
    </row>
    <row r="9" customFormat="false" ht="23.85" hidden="false" customHeight="false" outlineLevel="0" collapsed="false">
      <c r="A9" s="5" t="s">
        <v>1659</v>
      </c>
      <c r="B9" s="5" t="s">
        <v>1660</v>
      </c>
      <c r="C9" s="5" t="s">
        <v>1661</v>
      </c>
      <c r="D9" s="5" t="s">
        <v>1662</v>
      </c>
      <c r="E9" s="5" t="s">
        <v>1663</v>
      </c>
      <c r="F9" s="3"/>
      <c r="G9" s="3"/>
      <c r="H9" s="3"/>
      <c r="I9" s="3"/>
      <c r="J9" s="3"/>
      <c r="K9" s="3"/>
      <c r="L9" s="3"/>
    </row>
    <row r="10" customFormat="false" ht="35.05" hidden="false" customHeight="false" outlineLevel="0" collapsed="false">
      <c r="A10" s="5" t="s">
        <v>127</v>
      </c>
      <c r="B10" s="5" t="s">
        <v>1664</v>
      </c>
      <c r="C10" s="5" t="s">
        <v>1665</v>
      </c>
      <c r="D10" s="5" t="s">
        <v>1666</v>
      </c>
      <c r="E10" s="5" t="s">
        <v>1667</v>
      </c>
      <c r="F10" s="3"/>
      <c r="G10" s="3"/>
      <c r="H10" s="3"/>
      <c r="I10" s="3"/>
      <c r="J10" s="3"/>
      <c r="K10" s="3"/>
      <c r="L10" s="3"/>
    </row>
    <row r="11" customFormat="false" ht="35.05" hidden="false" customHeight="false" outlineLevel="0" collapsed="false">
      <c r="A11" s="5" t="s">
        <v>1668</v>
      </c>
      <c r="B11" s="5" t="s">
        <v>1669</v>
      </c>
      <c r="C11" s="5" t="s">
        <v>1670</v>
      </c>
      <c r="D11" s="5" t="s">
        <v>1671</v>
      </c>
      <c r="E11" s="5" t="s">
        <v>1672</v>
      </c>
      <c r="F11" s="3"/>
      <c r="G11" s="3"/>
      <c r="H11" s="3"/>
      <c r="I11" s="3"/>
      <c r="J11" s="3"/>
      <c r="K11" s="3"/>
      <c r="L11" s="3"/>
    </row>
    <row r="12" customFormat="false" ht="35.05" hidden="false" customHeight="false" outlineLevel="0" collapsed="false">
      <c r="A12" s="5" t="s">
        <v>1673</v>
      </c>
      <c r="B12" s="5" t="s">
        <v>1674</v>
      </c>
      <c r="C12" s="5" t="s">
        <v>1675</v>
      </c>
      <c r="D12" s="5" t="s">
        <v>1676</v>
      </c>
      <c r="E12" s="5" t="s">
        <v>1677</v>
      </c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22" hidden="false" customHeight="true" outlineLevel="0" collapsed="false">
      <c r="A15" s="4" t="s">
        <v>1678</v>
      </c>
      <c r="B15" s="4"/>
      <c r="C15" s="4"/>
      <c r="D15" s="4"/>
      <c r="E15" s="4"/>
      <c r="F15" s="3"/>
      <c r="G15" s="3"/>
      <c r="H15" s="3"/>
      <c r="I15" s="3"/>
      <c r="J15" s="3"/>
      <c r="K15" s="3"/>
      <c r="L15" s="3"/>
    </row>
    <row r="16" customFormat="false" ht="15" hidden="false" customHeight="false" outlineLevel="0" collapsed="false">
      <c r="A16" s="5" t="s">
        <v>1641</v>
      </c>
      <c r="B16" s="5" t="s">
        <v>1679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35.05" hidden="false" customHeight="false" outlineLevel="0" collapsed="false">
      <c r="A17" s="5" t="s">
        <v>1680</v>
      </c>
      <c r="B17" s="5" t="s">
        <v>1681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35.05" hidden="false" customHeight="false" outlineLevel="0" collapsed="false">
      <c r="A18" s="5" t="s">
        <v>1682</v>
      </c>
      <c r="B18" s="5" t="s">
        <v>1683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23.85" hidden="false" customHeight="false" outlineLevel="0" collapsed="false">
      <c r="A19" s="5" t="s">
        <v>1684</v>
      </c>
      <c r="B19" s="5" t="s">
        <v>1685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35.05" hidden="false" customHeight="false" outlineLevel="0" collapsed="false">
      <c r="A20" s="5" t="s">
        <v>1686</v>
      </c>
      <c r="B20" s="5" t="s">
        <v>1687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35.05" hidden="false" customHeight="false" outlineLevel="0" collapsed="false">
      <c r="A21" s="5" t="s">
        <v>1688</v>
      </c>
      <c r="B21" s="5" t="s">
        <v>1689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23.85" hidden="false" customHeight="false" outlineLevel="0" collapsed="false">
      <c r="A22" s="5" t="s">
        <v>1690</v>
      </c>
      <c r="B22" s="5" t="s">
        <v>1691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23.85" hidden="false" customHeight="false" outlineLevel="0" collapsed="false">
      <c r="A23" s="5" t="s">
        <v>1692</v>
      </c>
      <c r="B23" s="5" t="s">
        <v>1693</v>
      </c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3">
    <mergeCell ref="A1:L1"/>
    <mergeCell ref="A2:L2"/>
    <mergeCell ref="A15:E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