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2811c091564cbd" /></Relationships>
</file>

<file path=xl/workbook.xml><?xml version="1.0" encoding="utf-8"?>
<x:workbook xmlns:x="http://schemas.openxmlformats.org/spreadsheetml/2006/main">
  <x:sheets>
    <x:sheet xmlns:r="http://schemas.openxmlformats.org/officeDocument/2006/relationships" name="Summary" sheetId="1" r:id="R8496d6e802384b9b"/>
    <x:sheet xmlns:r="http://schemas.openxmlformats.org/officeDocument/2006/relationships" name="Controls" sheetId="2" r:id="Rb587735af6084ab6"/>
    <x:sheet xmlns:r="http://schemas.openxmlformats.org/officeDocument/2006/relationships" name="Compact Candidates" sheetId="3" r:id="Rdeceae0cb7e840db"/>
    <x:sheet xmlns:r="http://schemas.openxmlformats.org/officeDocument/2006/relationships" name="Authority Stack" sheetId="4" r:id="R303cf9048edb4654"/>
    <x:sheet xmlns:r="http://schemas.openxmlformats.org/officeDocument/2006/relationships" name="Pass Reconciliation" sheetId="5" r:id="R8d1406595af24b8f"/>
    <x:sheet xmlns:r="http://schemas.openxmlformats.org/officeDocument/2006/relationships" name="Warrant Ledger" sheetId="6" r:id="R448d4a5fe4774dda"/>
    <x:sheet xmlns:r="http://schemas.openxmlformats.org/officeDocument/2006/relationships" name="Cohort Finance" sheetId="7" r:id="Rb1c75b7a20924585"/>
    <x:sheet xmlns:r="http://schemas.openxmlformats.org/officeDocument/2006/relationships" name="Package Ledger" sheetId="8" r:id="R4940bacb68414d73"/>
    <x:sheet xmlns:r="http://schemas.openxmlformats.org/officeDocument/2006/relationships" name="Authority Matrix" sheetId="9" r:id="Rb0223f7568964f91"/>
    <x:sheet xmlns:r="http://schemas.openxmlformats.org/officeDocument/2006/relationships" name="Nonconversions" sheetId="10" r:id="Ra0fa42c0abfa4dd3"/>
    <x:sheet xmlns:r="http://schemas.openxmlformats.org/officeDocument/2006/relationships" name="Rollback" sheetId="11" r:id="R45f9124099f54a14"/>
    <x:sheet xmlns:r="http://schemas.openxmlformats.org/officeDocument/2006/relationships" name="State Machine" sheetId="12" r:id="R7b45001e55d34c5c"/>
    <x:sheet xmlns:r="http://schemas.openxmlformats.org/officeDocument/2006/relationships" name="Return Ledger" sheetId="13" r:id="R43ae5439ded44078"/>
    <x:sheet xmlns:r="http://schemas.openxmlformats.org/officeDocument/2006/relationships" name="Mutations" sheetId="14" r:id="R7dbcc98759224169"/>
    <x:sheet xmlns:r="http://schemas.openxmlformats.org/officeDocument/2006/relationships" name="Audit" sheetId="15" r:id="Rbfa421642cfe4ef7"/>
    <x:sheet xmlns:r="http://schemas.openxmlformats.org/officeDocument/2006/relationships" name="Sources &amp; Limits" sheetId="16" r:id="R9f10bfeeb1b649f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0.0%"/>
    <x:numFmt numFmtId="203" formatCode="#,##0.000"/>
  </x:numFmts>
  <x:fonts count="6">
    <x:font>
      <x:sz val="11"/>
      <x:name val="Carlito"/>
    </x:font>
    <x:font>
      <x:b/>
      <x:sz val="15"/>
      <x:color rgb="FF17365D"/>
      <x:name val="Arial"/>
    </x:font>
    <x:font>
      <x:b/>
      <x:sz val="10"/>
      <x:color rgb="FFFFFFFF"/>
      <x:name val="Arial"/>
    </x:font>
    <x:font>
      <x:sz val="10"/>
      <x:color rgb="FF263746"/>
      <x:name val="Arial"/>
    </x:font>
    <x:font>
      <x:sz val="10"/>
      <x:color rgb="FF0066CC"/>
      <x:name val="Arial"/>
    </x:font>
    <x:font>
      <x:sz val="11"/>
      <x:color rgb="FF263746"/>
      <x:name val="Arial"/>
    </x:font>
  </x:fonts>
  <x:fills count="5">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0F6B78"/>
      </x:patternFill>
    </x:fill>
  </x:fills>
  <x:borders count="8">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8E1EB"/>
      </x:bottom>
    </x:border>
    <x:border>
      <x:top style="thin">
        <x:color rgb="FFD8E1EB"/>
      </x:top>
      <x:bottom style="thin">
        <x:color rgb="FFD8E1EB"/>
      </x:bottom>
    </x:border>
    <x:border>
      <x:top style="thin">
        <x:color rgb="FFD8E1EB"/>
      </x:top>
    </x:border>
  </x:borders>
  <x:cellStyleXfs count="1">
    <x:xf numFmtId="0" fontId="0" fillId="0" borderId="0"/>
  </x:cellStyleXfs>
  <x:cellXfs count="89">
    <x:xf numFmtId="0" fontId="0" fillId="0" borderId="0" xfId="0"/>
    <x:xf numFmtId="0" fontId="1"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4" xfId="0" applyNumberFormat="1" applyFont="1" applyFill="1" applyBorder="1" applyAlignment="1">
      <x:alignment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4" xfId="0" applyNumberFormat="1" applyFont="1" applyFill="1" applyBorder="1" applyAlignment="1">
      <x:alignment horizont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3" fillId="0" borderId="0"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3" borderId="6"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200" fontId="4" fillId="0" borderId="6" xfId="0" applyNumberFormat="1" applyFont="1" applyFill="1" applyBorder="1" applyAlignment="1">
      <x:alignment vertical="top" wrapText="1"/>
    </x:xf>
    <x:xf numFmtId="200" fontId="4" fillId="3" borderId="6" xfId="0" applyNumberFormat="1" applyFont="1" applyFill="1" applyBorder="1" applyAlignment="1">
      <x:alignment vertical="top" wrapText="1"/>
    </x:xf>
    <x:xf numFmtId="201" fontId="4" fillId="0" borderId="6" xfId="0" applyNumberFormat="1" applyFont="1" applyFill="1" applyBorder="1" applyAlignment="1">
      <x:alignment vertical="top" wrapText="1"/>
    </x:xf>
    <x:xf numFmtId="200" fontId="4" fillId="0" borderId="7" xfId="0" applyNumberFormat="1" applyFont="1" applyFill="1" applyBorder="1" applyAlignment="1">
      <x:alignment vertical="top" wrapText="1"/>
    </x:xf>
    <x:xf numFmtId="200" fontId="3" fillId="0" borderId="5" xfId="0" applyNumberFormat="1" applyFont="1" applyFill="1" applyBorder="1" applyAlignment="1">
      <x:alignment vertical="top" wrapText="1"/>
    </x:xf>
    <x:xf numFmtId="200" fontId="3" fillId="0" borderId="6" xfId="0" applyNumberFormat="1" applyFont="1" applyFill="1" applyBorder="1" applyAlignment="1">
      <x:alignment vertical="top" wrapText="1"/>
    </x:xf>
    <x:xf numFmtId="200" fontId="3" fillId="0" borderId="7" xfId="0" applyNumberFormat="1" applyFont="1" applyFill="1" applyBorder="1" applyAlignment="1">
      <x:alignment vertical="top" wrapText="1"/>
    </x:xf>
    <x:xf numFmtId="201" fontId="3" fillId="0" borderId="5" xfId="0" applyNumberFormat="1" applyFont="1" applyFill="1" applyBorder="1" applyAlignment="1">
      <x:alignment vertical="top" wrapText="1"/>
    </x:xf>
    <x:xf numFmtId="201" fontId="3" fillId="0" borderId="6" xfId="0" applyNumberFormat="1" applyFont="1" applyFill="1" applyBorder="1" applyAlignment="1">
      <x:alignment vertical="top" wrapText="1"/>
    </x:xf>
    <x:xf numFmtId="201" fontId="3" fillId="0" borderId="7" xfId="0" applyNumberFormat="1" applyFont="1" applyFill="1" applyBorder="1" applyAlignment="1">
      <x:alignment vertical="top" wrapText="1"/>
    </x:xf>
    <x:xf numFmtId="202" fontId="3" fillId="0" borderId="5" xfId="0" applyNumberFormat="1" applyFont="1" applyFill="1" applyBorder="1" applyAlignment="1">
      <x:alignment vertical="top" wrapText="1"/>
    </x:xf>
    <x:xf numFmtId="202" fontId="3" fillId="0" borderId="6" xfId="0" applyNumberFormat="1" applyFont="1" applyFill="1" applyBorder="1" applyAlignment="1">
      <x:alignment vertical="top" wrapText="1"/>
    </x:xf>
    <x:xf numFmtId="0" fontId="3" fillId="4" borderId="7" xfId="0" applyNumberFormat="1" applyFont="1" applyFill="1" applyBorder="1" applyAlignment="1">
      <x:alignment vertical="top" wrapText="1"/>
    </x:xf>
    <x:xf numFmtId="201" fontId="3" fillId="4" borderId="7" xfId="0" applyNumberFormat="1" applyFont="1" applyFill="1" applyBorder="1" applyAlignment="1">
      <x:alignment vertical="top" wrapText="1"/>
    </x:xf>
    <x:xf numFmtId="200" fontId="3" fillId="4" borderId="7" xfId="0" applyNumberFormat="1" applyFont="1" applyFill="1" applyBorder="1" applyAlignment="1">
      <x:alignment vertical="top" wrapText="1"/>
    </x:xf>
    <x:xf numFmtId="0" fontId="2" fillId="4" borderId="7" xfId="0" applyNumberFormat="1" applyFont="1" applyFill="1" applyBorder="1" applyAlignment="1">
      <x:alignment vertical="top" wrapText="1"/>
    </x:xf>
    <x:xf numFmtId="201" fontId="2" fillId="4" borderId="7" xfId="0" applyNumberFormat="1" applyFont="1" applyFill="1" applyBorder="1" applyAlignment="1">
      <x:alignment vertical="top" wrapText="1"/>
    </x:xf>
    <x:xf numFmtId="200" fontId="2" fillId="4" borderId="7" xfId="0" applyNumberFormat="1" applyFont="1" applyFill="1" applyBorder="1" applyAlignment="1">
      <x:alignment vertical="top" wrapText="1"/>
    </x:xf>
    <x:xf numFmtId="202" fontId="3" fillId="0" borderId="7" xfId="0" applyNumberFormat="1" applyFont="1" applyFill="1" applyBorder="1" applyAlignment="1">
      <x:alignment vertical="top" wrapText="1"/>
    </x:xf>
    <x:xf numFmtId="200" fontId="3" fillId="3" borderId="6"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203" fontId="3" fillId="0" borderId="5" xfId="0" applyNumberFormat="1" applyFont="1" applyFill="1" applyBorder="1" applyAlignment="1">
      <x:alignment vertical="top" wrapText="1"/>
    </x:xf>
    <x:xf numFmtId="203" fontId="3" fillId="0" borderId="6" xfId="0" applyNumberFormat="1" applyFont="1" applyFill="1" applyBorder="1" applyAlignment="1">
      <x:alignment vertical="top" wrapText="1"/>
    </x:xf>
    <x:xf numFmtId="203" fontId="3" fillId="0" borderId="7" xfId="0" applyNumberFormat="1" applyFont="1" applyFill="1" applyBorder="1" applyAlignment="1">
      <x:alignment vertical="top" wrapText="1"/>
    </x:xf>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3" fillId="0" borderId="5" xfId="0" applyNumberFormat="1" applyFont="1" applyFill="1" applyBorder="1" applyAlignment="1">
      <x:alignment vertical="center" wrapText="1"/>
    </x:xf>
    <x:xf numFmtId="200" fontId="3" fillId="0" borderId="5"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201" fontId="3" fillId="0" borderId="5" xfId="0" applyNumberFormat="1" applyFont="1" applyFill="1" applyBorder="1" applyAlignment="1">
      <x:alignment vertical="center" wrapText="1"/>
    </x:xf>
    <x:xf numFmtId="0" fontId="3" fillId="0" borderId="6" xfId="0" applyNumberFormat="1" applyFont="1" applyFill="1" applyBorder="1" applyAlignment="1">
      <x:alignment vertical="center" wrapText="1"/>
    </x:xf>
    <x:xf numFmtId="200" fontId="3" fillId="0" borderId="6" xfId="0" applyNumberFormat="1" applyFont="1" applyFill="1" applyBorder="1" applyAlignment="1">
      <x:alignment vertical="center" wrapText="1"/>
    </x:xf>
    <x:xf numFmtId="201" fontId="3" fillId="0" borderId="6" xfId="0" applyNumberFormat="1" applyFont="1" applyFill="1" applyBorder="1" applyAlignment="1">
      <x:alignment vertical="center" wrapText="1"/>
    </x:xf>
    <x:xf numFmtId="0" fontId="3" fillId="0" borderId="7" xfId="0" applyNumberFormat="1" applyFont="1" applyFill="1" applyBorder="1" applyAlignment="1">
      <x:alignment vertical="center" wrapText="1"/>
    </x:xf>
    <x:xf numFmtId="201" fontId="3" fillId="0" borderId="7" xfId="0" applyNumberFormat="1" applyFont="1" applyFill="1" applyBorder="1" applyAlignment="1">
      <x:alignment vertical="center" wrapText="1"/>
    </x:xf>
    <x:xf numFmtId="200" fontId="3" fillId="0" borderId="7" xfId="0" applyNumberFormat="1" applyFont="1" applyFill="1" applyBorder="1" applyAlignment="1">
      <x:alignment vertical="center" wrapText="1"/>
    </x:xf>
    <x:xf numFmtId="200" fontId="4" fillId="0" borderId="5" xfId="0" applyNumberFormat="1" applyFont="1" applyFill="1" applyBorder="1" applyAlignment="1">
      <x:alignment vertical="center" wrapText="1"/>
    </x:xf>
    <x:xf numFmtId="200" fontId="4" fillId="0" borderId="6" xfId="0" applyNumberFormat="1" applyFont="1" applyFill="1" applyBorder="1" applyAlignment="1">
      <x:alignment vertical="center" wrapText="1"/>
    </x:xf>
    <x:xf numFmtId="200" fontId="4" fillId="3" borderId="6" xfId="0" applyNumberFormat="1" applyFont="1" applyFill="1" applyBorder="1" applyAlignment="1">
      <x:alignment vertical="center" wrapText="1"/>
    </x:xf>
    <x:xf numFmtId="201" fontId="4" fillId="0" borderId="6" xfId="0" applyNumberFormat="1" applyFont="1" applyFill="1" applyBorder="1" applyAlignment="1">
      <x:alignment vertical="center" wrapText="1"/>
    </x:xf>
    <x:xf numFmtId="200" fontId="4" fillId="0" borderId="7" xfId="0" applyNumberFormat="1" applyFont="1" applyFill="1" applyBorder="1" applyAlignment="1">
      <x:alignment vertical="center" wrapText="1"/>
    </x:xf>
    <x:xf numFmtId="202" fontId="3" fillId="0" borderId="5" xfId="0" applyNumberFormat="1" applyFont="1" applyFill="1" applyBorder="1" applyAlignment="1">
      <x:alignment vertical="center" wrapText="1"/>
    </x:xf>
    <x:xf numFmtId="202" fontId="3" fillId="0" borderId="6" xfId="0" applyNumberFormat="1" applyFont="1" applyFill="1" applyBorder="1" applyAlignment="1">
      <x:alignment vertical="center" wrapText="1"/>
    </x:xf>
    <x:xf numFmtId="0" fontId="2" fillId="4" borderId="7" xfId="0" applyNumberFormat="1" applyFont="1" applyFill="1" applyBorder="1" applyAlignment="1">
      <x:alignment vertical="center" wrapText="1"/>
    </x:xf>
    <x:xf numFmtId="201" fontId="2" fillId="4" borderId="7" xfId="0" applyNumberFormat="1" applyFont="1" applyFill="1" applyBorder="1" applyAlignment="1">
      <x:alignment vertical="center" wrapText="1"/>
    </x:xf>
    <x:xf numFmtId="200" fontId="2" fillId="4" borderId="7" xfId="0" applyNumberFormat="1" applyFont="1" applyFill="1" applyBorder="1" applyAlignment="1">
      <x:alignment vertical="center" wrapText="1"/>
    </x:xf>
    <x:xf numFmtId="202" fontId="3" fillId="0" borderId="7" xfId="0" applyNumberFormat="1" applyFont="1" applyFill="1" applyBorder="1" applyAlignment="1">
      <x:alignment vertical="center" wrapText="1"/>
    </x:xf>
    <x:xf numFmtId="200" fontId="3" fillId="3" borderId="6" xfId="0" applyNumberFormat="1" applyFont="1" applyFill="1" applyBorder="1" applyAlignment="1">
      <x:alignment vertical="center" wrapText="1"/>
    </x:xf>
    <x:xf numFmtId="0" fontId="3" fillId="3" borderId="6" xfId="0" applyNumberFormat="1" applyFont="1" applyFill="1" applyBorder="1" applyAlignment="1">
      <x:alignment vertical="center" wrapText="1"/>
    </x:xf>
    <x:xf numFmtId="203" fontId="3" fillId="0" borderId="5" xfId="0" applyNumberFormat="1" applyFont="1" applyFill="1" applyBorder="1" applyAlignment="1">
      <x:alignment vertical="center" wrapText="1"/>
    </x:xf>
    <x:xf numFmtId="203" fontId="3" fillId="0" borderId="6" xfId="0" applyNumberFormat="1" applyFont="1" applyFill="1" applyBorder="1" applyAlignment="1">
      <x:alignment vertical="center" wrapText="1"/>
    </x:xf>
    <x:xf numFmtId="203" fontId="3" fillId="0" borderId="7" xfId="0" applyNumberFormat="1" applyFont="1" applyFill="1" applyBorder="1" applyAlignment="1">
      <x:alignment vertical="center" wrapText="1"/>
    </x:xf>
  </x:cellXfs>
  <x:cellStyles count="1">
    <x:cellStyle name="Normal" xfId="0"/>
  </x:cellStyles>
  <x:dxfs count="10">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51b121bb2c433a" /><Relationship Type="http://schemas.openxmlformats.org/officeDocument/2006/relationships/theme" Target="/xl/theme/theme1.xml" Id="R7700e12ef0ef42a7" /><Relationship Type="http://schemas.openxmlformats.org/officeDocument/2006/relationships/sharedStrings" Target="/xl/sharedStrings.xml" Id="R94d0530b5f004ad3" /><Relationship Type="http://schemas.openxmlformats.org/officeDocument/2006/relationships/worksheet" Target="/xl/worksheets/sheet1.xml" Id="R8496d6e802384b9b" /><Relationship Type="http://schemas.openxmlformats.org/officeDocument/2006/relationships/worksheet" Target="/xl/worksheets/sheet2.xml" Id="Rb587735af6084ab6" /><Relationship Type="http://schemas.openxmlformats.org/officeDocument/2006/relationships/worksheet" Target="/xl/worksheets/sheet3.xml" Id="Rdeceae0cb7e840db" /><Relationship Type="http://schemas.openxmlformats.org/officeDocument/2006/relationships/worksheet" Target="/xl/worksheets/sheet4.xml" Id="R303cf9048edb4654" /><Relationship Type="http://schemas.openxmlformats.org/officeDocument/2006/relationships/worksheet" Target="/xl/worksheets/sheet5.xml" Id="R8d1406595af24b8f" /><Relationship Type="http://schemas.openxmlformats.org/officeDocument/2006/relationships/worksheet" Target="/xl/worksheets/sheet6.xml" Id="R448d4a5fe4774dda" /><Relationship Type="http://schemas.openxmlformats.org/officeDocument/2006/relationships/worksheet" Target="/xl/worksheets/sheet7.xml" Id="Rb1c75b7a20924585" /><Relationship Type="http://schemas.openxmlformats.org/officeDocument/2006/relationships/worksheet" Target="/xl/worksheets/sheet8.xml" Id="R4940bacb68414d73" /><Relationship Type="http://schemas.openxmlformats.org/officeDocument/2006/relationships/worksheet" Target="/xl/worksheets/sheet9.xml" Id="Rb0223f7568964f91" /><Relationship Type="http://schemas.openxmlformats.org/officeDocument/2006/relationships/worksheet" Target="/xl/worksheets/sheet10.xml" Id="Ra0fa42c0abfa4dd3" /><Relationship Type="http://schemas.openxmlformats.org/officeDocument/2006/relationships/worksheet" Target="/xl/worksheets/sheet11.xml" Id="R45f9124099f54a14" /><Relationship Type="http://schemas.openxmlformats.org/officeDocument/2006/relationships/worksheet" Target="/xl/worksheets/sheet12.xml" Id="R7b45001e55d34c5c" /><Relationship Type="http://schemas.openxmlformats.org/officeDocument/2006/relationships/worksheet" Target="/xl/worksheets/sheet13.xml" Id="R43ae5439ded44078" /><Relationship Type="http://schemas.openxmlformats.org/officeDocument/2006/relationships/worksheet" Target="/xl/worksheets/sheet14.xml" Id="R7dbcc98759224169" /><Relationship Type="http://schemas.openxmlformats.org/officeDocument/2006/relationships/worksheet" Target="/xl/worksheets/sheet15.xml" Id="Rbfa421642cfe4ef7" /><Relationship Type="http://schemas.openxmlformats.org/officeDocument/2006/relationships/worksheet" Target="/xl/worksheets/sheet16.xml" Id="R9f10bfeeb1b649f9" /></Relationships>
</file>

<file path=xl/drawings/_rels/drawing1.xml.rels>&#65279;<?xml version="1.0" encoding="utf-8"?><Relationships xmlns="http://schemas.openxmlformats.org/package/2006/relationships"><Relationship Type="http://schemas.openxmlformats.org/officeDocument/2006/relationships/chart" Target="/xl/drawings/charts/chart1.xml" Id="Rdbd0a141317941b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Cohort finance (USD B)</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Reserved USD B</c:v>
          </c:tx>
          <c:cat>
            <c:strRef>
              <c:f>'Summary'!$M$5:$M$7</c:f>
              <c:strCache>
                <c:ptCount val="0"/>
              </c:strCache>
            </c:strRef>
          </c:cat>
          <c:val>
            <c:numRef>
              <c:f>'Summary'!$N$5:$N$7</c:f>
              <c:numCache>
                <c:formatCode>0.000</c:formatCode>
                <c:ptCount val="0"/>
              </c:numCache>
            </c:numRef>
          </c:val>
        </c:ser>
        <c:ser>
          <c:idx val="1"/>
          <c:order val="1"/>
          <c:tx>
            <c:v>Obligated USD B</c:v>
          </c:tx>
          <c:cat>
            <c:strRef>
              <c:f>'Summary'!$M$5:$M$7</c:f>
              <c:strCache>
                <c:ptCount val="0"/>
              </c:strCache>
            </c:strRef>
          </c:cat>
          <c:val>
            <c:numRef>
              <c:f>'Summary'!$O$5:$O$7</c:f>
              <c:numCache>
                <c:formatCode>0.000</c:formatCode>
                <c:ptCount val="0"/>
              </c:numCache>
            </c:numRef>
          </c:val>
        </c:ser>
        <c:ser>
          <c:idx val="2"/>
          <c:order val="2"/>
          <c:tx>
            <c:v>Protected USD B</c:v>
          </c:tx>
          <c:cat>
            <c:strRef>
              <c:f>'Summary'!$M$5:$M$7</c:f>
              <c:strCache>
                <c:ptCount val="0"/>
              </c:strCache>
            </c:strRef>
          </c:cat>
          <c:val>
            <c:numRef>
              <c:f>'Summary'!$P$5:$P$7</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9</xdr:row>
      <xdr:rowOff>0</xdr:rowOff>
    </xdr:from>
    <xdr:to>
      <xdr:col>18</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bd0a141317941b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c0b019b2c4d42b6" /></Relationships>
</file>

<file path=xl/worksheets/sheet1.xml><?xml version="1.0" encoding="utf-8"?>
<x:worksheet xmlns:x="http://schemas.openxmlformats.org/spreadsheetml/2006/main">
  <x:sheetViews>
    <x:sheetView showGridLines="0" workbookViewId="0"/>
  </x:sheetViews>
  <x:sheetFormatPr defaultRowHeight="15"/>
  <x:cols>
    <x:col min="1" max="1" width="43" hidden="0" customWidth="1"/>
    <x:col min="2" max="2" width="20" hidden="0" customWidth="1"/>
    <x:col min="3" max="3" width="28" hidden="0" customWidth="1"/>
    <x:col min="4" max="4" width="4"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4" hidden="0" customWidth="1"/>
    <x:col min="12" max="12" width="4" hidden="0" customWidth="1"/>
    <x:col min="13" max="13" width="15" hidden="0" customWidth="1"/>
    <x:col min="14" max="14" width="20" hidden="0" customWidth="1"/>
    <x:col min="15" max="15" width="21" hidden="0" customWidth="1"/>
    <x:col min="16" max="16" width="21" hidden="0" customWidth="1"/>
    <x:col min="17" max="17" width="4" hidden="0" customWidth="1"/>
    <x:col min="18" max="18" width="4" hidden="0" customWidth="1"/>
  </x:cols>
  <x:sheetData>
    <x:row r="2">
      <x:c r="A2" s="60" t="str">
        <x:v>Form-learning authority terminal compact</x:v>
      </x:c>
      <x:c r="B2" s="61"/>
      <x:c r="C2" s="61"/>
      <x:c r="D2" s="61"/>
      <x:c r="E2" s="61"/>
      <x:c r="F2" s="61"/>
      <x:c r="G2" s="61"/>
      <x:c r="H2" s="61"/>
      <x:c r="I2" s="61"/>
      <x:c r="J2" s="61"/>
      <x:c r="K2" s="61"/>
      <x:c r="L2" s="61"/>
      <x:c r="M2" s="61"/>
      <x:c r="N2" s="61"/>
      <x:c r="O2" s="61"/>
      <x:c r="P2" s="61"/>
      <x:c r="Q2" s="61"/>
      <x:c r="R2" s="61"/>
    </x:row>
    <x:row r="3">
      <x:c r="A3" s="62"/>
      <x:c r="B3" s="62"/>
      <x:c r="C3" s="62"/>
      <x:c r="D3" s="62"/>
      <x:c r="E3" s="62"/>
      <x:c r="F3" s="62"/>
      <x:c r="G3" s="62"/>
      <x:c r="H3" s="62"/>
      <x:c r="I3" s="62"/>
      <x:c r="J3" s="62"/>
      <x:c r="K3" s="62"/>
      <x:c r="L3" s="62"/>
      <x:c r="M3" s="62"/>
      <x:c r="N3" s="62"/>
      <x:c r="O3" s="62"/>
      <x:c r="P3" s="62"/>
      <x:c r="Q3" s="62"/>
      <x:c r="R3" s="62"/>
    </x:row>
    <x:row r="4" ht="32" customHeight="1">
      <x:c r="A4" s="14" t="str">
        <x:v>Decision measure</x:v>
      </x:c>
      <x:c r="B4" s="15" t="str">
        <x:v>Value</x:v>
      </x:c>
      <x:c r="C4" s="16" t="str">
        <x:v>State</x:v>
      </x:c>
      <x:c r="D4" s="61"/>
      <x:c r="E4" s="61"/>
      <x:c r="F4" s="61"/>
      <x:c r="G4" s="61"/>
      <x:c r="H4" s="61"/>
      <x:c r="I4" s="61"/>
      <x:c r="J4" s="61"/>
      <x:c r="K4" s="61"/>
      <x:c r="L4" s="61"/>
      <x:c r="M4" s="14" t="str">
        <x:v>Cohort</x:v>
      </x:c>
      <x:c r="N4" s="15" t="str">
        <x:v>Reserved USD B</x:v>
      </x:c>
      <x:c r="O4" s="15" t="str">
        <x:v>Obligated USD B</x:v>
      </x:c>
      <x:c r="P4" s="16" t="str">
        <x:v>Protected USD B</x:v>
      </x:c>
      <x:c r="Q4" s="61"/>
      <x:c r="R4" s="61"/>
    </x:row>
    <x:row r="5">
      <x:c r="A5" s="63" t="str">
        <x:v>selected compact gates</x:v>
      </x:c>
      <x:c r="B5" s="64" t="n">
        <x:f>SUMIFS('Compact Candidates'!M5:M9,'Compact Candidates'!N5:N9,1)</x:f>
        <x:v>10</x:v>
      </x:c>
      <x:c r="C5" s="63" t="str">
        <x:v>ALL TEN</x:v>
      </x:c>
      <x:c r="D5" s="61"/>
      <x:c r="E5" s="65" t="str">
        <x:v>DECISION
The FSA Terminal Compact reconciles the five-pass branch without granting form-selection power. Eighteen rivals retain equal legal standing; three balanced cohorts preserve one form per root; the Root Safety Change Warrant is the only cross-cohort information path; and CEW-1 activates thirty cohort-one design packages while sixty sibling packages remain reserved. Work, artifact validity, payment, evidence, selection, capability and production remain different warrants. The branch closes with zero accepted observations and zero selected forms, returns to its registered parent, opens no successor and triggers the required ten-pass human-review halt.</x:v>
      </x:c>
      <x:c r="F5" s="61"/>
      <x:c r="G5" s="61"/>
      <x:c r="H5" s="61"/>
      <x:c r="I5" s="61"/>
      <x:c r="J5" s="61"/>
      <x:c r="K5" s="61"/>
      <x:c r="L5" s="61"/>
      <x:c r="M5" s="63" t="n">
        <x:v>1</x:v>
      </x:c>
      <x:c r="N5" s="66" t="n">
        <x:f>SUMIFS('Warrant Ledger'!$H$5:$H$22,'Warrant Ledger'!$E$5:$E$22,M5)</x:f>
        <x:v>0.17934564096602829</x:v>
      </x:c>
      <x:c r="O5" s="66" t="n">
        <x:f>SUMIFS('Package Ledger'!$K$5:$K$94,'Package Ledger'!$E$5:$E$94,M5)</x:f>
        <x:v>0.17934564096602834</x:v>
      </x:c>
      <x:c r="P5" s="66" t="n">
        <x:f>N5-O5</x:f>
        <x:v>-5.551115123125783e-17</x:v>
      </x:c>
      <x:c r="Q5" s="61"/>
      <x:c r="R5" s="61"/>
    </x:row>
    <x:row r="6">
      <x:c r="A6" s="67" t="str">
        <x:v>learning warrants issued</x:v>
      </x:c>
      <x:c r="B6" s="68" t="n">
        <x:f>SUM('Warrant Ledger'!G5:G22)</x:f>
        <x:v>18</x:v>
      </x:c>
      <x:c r="C6" s="67" t="str">
        <x:v>ALL ISSUED</x:v>
      </x:c>
      <x:c r="D6" s="61"/>
      <x:c r="E6" s="61"/>
      <x:c r="F6" s="61"/>
      <x:c r="G6" s="61"/>
      <x:c r="H6" s="61"/>
      <x:c r="I6" s="61"/>
      <x:c r="J6" s="61"/>
      <x:c r="K6" s="61"/>
      <x:c r="L6" s="61"/>
      <x:c r="M6" s="67" t="n">
        <x:v>2</x:v>
      </x:c>
      <x:c r="N6" s="69" t="n">
        <x:f>SUMIFS('Warrant Ledger'!$H$5:$H$22,'Warrant Ledger'!$E$5:$E$22,M6)</x:f>
        <x:v>0.17934564096602829</x:v>
      </x:c>
      <x:c r="O6" s="69" t="n">
        <x:f>SUMIFS('Package Ledger'!$K$5:$K$94,'Package Ledger'!$E$5:$E$94,M6)</x:f>
        <x:v>0</x:v>
      </x:c>
      <x:c r="P6" s="69" t="n">
        <x:f>N6-O6</x:f>
        <x:v>0.17934564096602829</x:v>
      </x:c>
      <x:c r="Q6" s="61"/>
      <x:c r="R6" s="61"/>
    </x:row>
    <x:row r="7">
      <x:c r="A7" s="67" t="str">
        <x:v>forms working</x:v>
      </x:c>
      <x:c r="B7" s="68" t="n">
        <x:f>COUNTIFS('Warrant Ledger'!S5:S22,"WORK ACTIVE")</x:f>
        <x:v>6</x:v>
      </x:c>
      <x:c r="C7" s="67" t="str">
        <x:v>COHORT 1</x:v>
      </x:c>
      <x:c r="D7" s="61"/>
      <x:c r="E7" s="61"/>
      <x:c r="F7" s="61"/>
      <x:c r="G7" s="61"/>
      <x:c r="H7" s="61"/>
      <x:c r="I7" s="61"/>
      <x:c r="J7" s="61"/>
      <x:c r="K7" s="61"/>
      <x:c r="L7" s="61"/>
      <x:c r="M7" s="70" t="n">
        <x:v>3</x:v>
      </x:c>
      <x:c r="N7" s="71" t="n">
        <x:f>SUMIFS('Warrant Ledger'!$H$5:$H$22,'Warrant Ledger'!$E$5:$E$22,M7)</x:f>
        <x:v>0.17934564096602829</x:v>
      </x:c>
      <x:c r="O7" s="71" t="n">
        <x:f>SUMIFS('Package Ledger'!$K$5:$K$94,'Package Ledger'!$E$5:$E$94,M7)</x:f>
        <x:v>0</x:v>
      </x:c>
      <x:c r="P7" s="71" t="n">
        <x:f>N7-O7</x:f>
        <x:v>0.17934564096602829</x:v>
      </x:c>
      <x:c r="Q7" s="61"/>
      <x:c r="R7" s="61"/>
    </x:row>
    <x:row r="8">
      <x:c r="A8" s="67" t="str">
        <x:v>forms reserved</x:v>
      </x:c>
      <x:c r="B8" s="68" t="n">
        <x:f>COUNTIFS('Warrant Ledger'!S5:S22,"ISSUED / RESERVED")</x:f>
        <x:v>12</x:v>
      </x:c>
      <x:c r="C8" s="67" t="str">
        <x:v>COHORTS 2–3</x:v>
      </x:c>
      <x:c r="D8" s="61"/>
      <x:c r="E8" s="61"/>
      <x:c r="F8" s="61"/>
      <x:c r="G8" s="61"/>
      <x:c r="H8" s="61"/>
      <x:c r="I8" s="61"/>
      <x:c r="J8" s="61"/>
      <x:c r="K8" s="61"/>
      <x:c r="L8" s="61"/>
      <x:c r="M8" s="61"/>
      <x:c r="N8" s="61"/>
      <x:c r="O8" s="61"/>
      <x:c r="P8" s="61"/>
      <x:c r="Q8" s="61"/>
      <x:c r="R8" s="61"/>
    </x:row>
    <x:row r="9">
      <x:c r="A9" s="67" t="str">
        <x:v>active packages</x:v>
      </x:c>
      <x:c r="B9" s="68" t="n">
        <x:f>COUNTIFS('Package Ledger'!R5:R94,"OBLIGATED / ACTIVE")</x:f>
        <x:v>30</x:v>
      </x:c>
      <x:c r="C9" s="67" t="str">
        <x:v>FIVE PER ACTIVE FORM</x:v>
      </x:c>
      <x:c r="D9" s="61"/>
      <x:c r="E9" s="61"/>
      <x:c r="F9" s="61"/>
      <x:c r="G9" s="61"/>
      <x:c r="H9" s="61"/>
      <x:c r="I9" s="61"/>
      <x:c r="J9" s="61"/>
      <x:c r="K9" s="61"/>
      <x:c r="L9" s="61"/>
      <x:c r="M9" s="61"/>
      <x:c r="N9" s="61"/>
      <x:c r="O9" s="61"/>
      <x:c r="P9" s="61"/>
      <x:c r="Q9" s="61"/>
      <x:c r="R9" s="61"/>
    </x:row>
    <x:row r="10">
      <x:c r="A10" s="67" t="str">
        <x:v>held packages</x:v>
      </x:c>
      <x:c r="B10" s="68" t="n">
        <x:f>COUNTIFS('Package Ledger'!R5:R94,"RESERVED / HELD")</x:f>
        <x:v>60</x:v>
      </x:c>
      <x:c r="C10" s="67" t="str">
        <x:v>PROTECTED</x:v>
      </x:c>
      <x:c r="D10" s="61"/>
      <x:c r="E10" s="61"/>
      <x:c r="F10" s="61"/>
      <x:c r="G10" s="61"/>
      <x:c r="H10" s="61"/>
      <x:c r="I10" s="61"/>
      <x:c r="J10" s="61"/>
      <x:c r="K10" s="61"/>
      <x:c r="L10" s="61"/>
      <x:c r="M10" s="61"/>
      <x:c r="N10" s="61"/>
      <x:c r="O10" s="61"/>
      <x:c r="P10" s="61"/>
      <x:c r="Q10" s="61"/>
      <x:c r="R10" s="61"/>
    </x:row>
    <x:row r="11">
      <x:c r="A11" s="67" t="str">
        <x:v>FRAME ceiling USD B</x:v>
      </x:c>
      <x:c r="B11" s="69" t="n">
        <x:f>'Cohort Finance'!F11</x:f>
        <x:v>0.5380369228980849</x:v>
      </x:c>
      <x:c r="C11" s="67" t="str">
        <x:v>CONSERVED</x:v>
      </x:c>
      <x:c r="D11" s="61"/>
      <x:c r="E11" s="61"/>
      <x:c r="F11" s="61"/>
      <x:c r="G11" s="61"/>
      <x:c r="H11" s="61"/>
      <x:c r="I11" s="61"/>
      <x:c r="J11" s="61"/>
      <x:c r="K11" s="61"/>
      <x:c r="L11" s="61"/>
      <x:c r="M11" s="61"/>
      <x:c r="N11" s="61"/>
      <x:c r="O11" s="61"/>
      <x:c r="P11" s="61"/>
      <x:c r="Q11" s="61"/>
      <x:c r="R11" s="61"/>
    </x:row>
    <x:row r="12">
      <x:c r="A12" s="67" t="str">
        <x:v>cohort-one obligation USD B</x:v>
      </x:c>
      <x:c r="B12" s="69" t="n">
        <x:f>'Cohort Finance'!G11</x:f>
        <x:v>0.17934564096602829</x:v>
      </x:c>
      <x:c r="C12" s="67" t="str">
        <x:v>OBLIGATED</x:v>
      </x:c>
      <x:c r="D12" s="61"/>
      <x:c r="E12" s="61"/>
      <x:c r="F12" s="61"/>
      <x:c r="G12" s="61"/>
      <x:c r="H12" s="61"/>
      <x:c r="I12" s="61"/>
      <x:c r="J12" s="61"/>
      <x:c r="K12" s="61"/>
      <x:c r="L12" s="61"/>
      <x:c r="M12" s="61"/>
      <x:c r="N12" s="61"/>
      <x:c r="O12" s="61"/>
      <x:c r="P12" s="61"/>
      <x:c r="Q12" s="61"/>
      <x:c r="R12" s="61"/>
    </x:row>
    <x:row r="13">
      <x:c r="A13" s="67" t="str">
        <x:v>protected later reserve USD B</x:v>
      </x:c>
      <x:c r="B13" s="69" t="n">
        <x:f>'Cohort Finance'!H11+'Cohort Finance'!I11</x:f>
        <x:v>0.35869128193205657</x:v>
      </x:c>
      <x:c r="C13" s="67" t="str">
        <x:v>ENCUMBERED</x:v>
      </x:c>
      <x:c r="D13" s="61"/>
      <x:c r="E13" s="61"/>
      <x:c r="F13" s="61"/>
      <x:c r="G13" s="61"/>
      <x:c r="H13" s="61"/>
      <x:c r="I13" s="61"/>
      <x:c r="J13" s="61"/>
      <x:c r="K13" s="61"/>
      <x:c r="L13" s="61"/>
      <x:c r="M13" s="61"/>
      <x:c r="N13" s="61"/>
      <x:c r="O13" s="61"/>
      <x:c r="P13" s="61"/>
      <x:c r="Q13" s="61"/>
      <x:c r="R13" s="61"/>
    </x:row>
    <x:row r="14">
      <x:c r="A14" s="67" t="str">
        <x:v>payments USD B</x:v>
      </x:c>
      <x:c r="B14" s="69" t="n">
        <x:f>'Cohort Finance'!K11</x:f>
        <x:v>0</x:v>
      </x:c>
      <x:c r="C14" s="67" t="str">
        <x:v>ZERO</x:v>
      </x:c>
      <x:c r="D14" s="61"/>
      <x:c r="E14" s="61"/>
      <x:c r="F14" s="61"/>
      <x:c r="G14" s="61"/>
      <x:c r="H14" s="61"/>
      <x:c r="I14" s="61"/>
      <x:c r="J14" s="61"/>
      <x:c r="K14" s="61"/>
      <x:c r="L14" s="61"/>
      <x:c r="M14" s="61"/>
      <x:c r="N14" s="61"/>
      <x:c r="O14" s="61"/>
      <x:c r="P14" s="61"/>
      <x:c r="Q14" s="61"/>
      <x:c r="R14" s="61"/>
    </x:row>
    <x:row r="15">
      <x:c r="A15" s="67" t="str">
        <x:v>accepted artifacts</x:v>
      </x:c>
      <x:c r="B15" s="68" t="n">
        <x:f>Controls!B17</x:f>
        <x:v>0</x:v>
      </x:c>
      <x:c r="C15" s="67" t="str">
        <x:v>ZERO</x:v>
      </x:c>
      <x:c r="D15" s="61"/>
      <x:c r="E15" s="61"/>
      <x:c r="F15" s="61"/>
      <x:c r="G15" s="61"/>
      <x:c r="H15" s="61"/>
      <x:c r="I15" s="61"/>
      <x:c r="J15" s="61"/>
      <x:c r="K15" s="61"/>
      <x:c r="L15" s="61"/>
      <x:c r="M15" s="61"/>
      <x:c r="N15" s="61"/>
      <x:c r="O15" s="61"/>
      <x:c r="P15" s="61"/>
      <x:c r="Q15" s="61"/>
      <x:c r="R15" s="61"/>
    </x:row>
    <x:row r="16">
      <x:c r="A16" s="67" t="str">
        <x:v>accepted observations</x:v>
      </x:c>
      <x:c r="B16" s="68" t="n">
        <x:f>Controls!B18</x:f>
        <x:v>0</x:v>
      </x:c>
      <x:c r="C16" s="67" t="str">
        <x:v>ZERO</x:v>
      </x:c>
      <x:c r="D16" s="61"/>
      <x:c r="E16" s="61"/>
      <x:c r="F16" s="61"/>
      <x:c r="G16" s="61"/>
      <x:c r="H16" s="61"/>
      <x:c r="I16" s="61"/>
      <x:c r="J16" s="61"/>
      <x:c r="K16" s="61"/>
      <x:c r="L16" s="61"/>
      <x:c r="M16" s="61"/>
      <x:c r="N16" s="61"/>
      <x:c r="O16" s="61"/>
      <x:c r="P16" s="61"/>
      <x:c r="Q16" s="61"/>
      <x:c r="R16" s="61"/>
    </x:row>
    <x:row r="17">
      <x:c r="A17" s="67" t="str">
        <x:v>surviving forms</x:v>
      </x:c>
      <x:c r="B17" s="68" t="n">
        <x:f>Controls!B19</x:f>
        <x:v>0</x:v>
      </x:c>
      <x:c r="C17" s="67" t="str">
        <x:v>ZERO</x:v>
      </x:c>
      <x:c r="D17" s="61"/>
      <x:c r="E17" s="61"/>
      <x:c r="F17" s="61"/>
      <x:c r="G17" s="61"/>
      <x:c r="H17" s="61"/>
      <x:c r="I17" s="61"/>
      <x:c r="J17" s="61"/>
      <x:c r="K17" s="61"/>
      <x:c r="L17" s="61"/>
      <x:c r="M17" s="61"/>
      <x:c r="N17" s="61"/>
      <x:c r="O17" s="61"/>
      <x:c r="P17" s="61"/>
      <x:c r="Q17" s="61"/>
      <x:c r="R17" s="61"/>
    </x:row>
    <x:row r="18">
      <x:c r="A18" s="67" t="str">
        <x:v>selected forms</x:v>
      </x:c>
      <x:c r="B18" s="68" t="n">
        <x:f>Controls!B20</x:f>
        <x:v>0</x:v>
      </x:c>
      <x:c r="C18" s="67" t="str">
        <x:v>ZERO</x:v>
      </x:c>
      <x:c r="D18" s="61"/>
      <x:c r="E18" s="61"/>
      <x:c r="F18" s="61"/>
      <x:c r="G18" s="61"/>
      <x:c r="H18" s="61"/>
      <x:c r="I18" s="61"/>
      <x:c r="J18" s="61"/>
      <x:c r="K18" s="61"/>
      <x:c r="L18" s="61"/>
      <x:c r="M18" s="61"/>
      <x:c r="N18" s="61"/>
      <x:c r="O18" s="61"/>
      <x:c r="P18" s="61"/>
      <x:c r="Q18" s="61"/>
      <x:c r="R18" s="61"/>
    </x:row>
    <x:row r="19">
      <x:c r="A19" s="67" t="str">
        <x:v>highest REP class</x:v>
      </x:c>
      <x:c r="B19" s="68" t="n">
        <x:f>Controls!B22</x:f>
        <x:v>3</x:v>
      </x:c>
      <x:c r="C19" s="67" t="str">
        <x:v>REP-3 MAXIMUM</x:v>
      </x:c>
      <x:c r="D19" s="61"/>
      <x:c r="E19" s="61"/>
      <x:c r="F19" s="61"/>
      <x:c r="G19" s="61"/>
      <x:c r="H19" s="61"/>
      <x:c r="I19" s="61"/>
      <x:c r="J19" s="61"/>
      <x:c r="K19" s="61"/>
      <x:c r="L19" s="61"/>
      <x:c r="M19" s="61"/>
      <x:c r="N19" s="61"/>
      <x:c r="O19" s="61"/>
      <x:c r="P19" s="61"/>
      <x:c r="Q19" s="61"/>
      <x:c r="R19" s="61"/>
    </x:row>
    <x:row r="20">
      <x:c r="A20" s="67" t="str">
        <x:v>nonconversion rules</x:v>
      </x:c>
      <x:c r="B20" s="68" t="n">
        <x:f>COUNTA(Nonconversions!A5:A24)</x:f>
        <x:v>20</x:v>
      </x:c>
      <x:c r="C20" s="67" t="str">
        <x:v>ALL EXPLICIT</x:v>
      </x:c>
      <x:c r="D20" s="61"/>
      <x:c r="E20" s="61"/>
      <x:c r="F20" s="61"/>
      <x:c r="G20" s="61"/>
      <x:c r="H20" s="61"/>
      <x:c r="I20" s="61"/>
      <x:c r="J20" s="61"/>
      <x:c r="K20" s="61"/>
      <x:c r="L20" s="61"/>
      <x:c r="M20" s="61"/>
      <x:c r="N20" s="61"/>
      <x:c r="O20" s="61"/>
      <x:c r="P20" s="61"/>
      <x:c r="Q20" s="61"/>
      <x:c r="R20" s="61"/>
    </x:row>
    <x:row r="21">
      <x:c r="A21" s="67" t="str">
        <x:v>rollback routes</x:v>
      </x:c>
      <x:c r="B21" s="68" t="n">
        <x:f>COUNTA(Rollback!A5:A18)</x:f>
        <x:v>14</x:v>
      </x:c>
      <x:c r="C21" s="67" t="str">
        <x:v>ALL EXPLICIT</x:v>
      </x:c>
      <x:c r="D21" s="61"/>
      <x:c r="E21" s="61"/>
      <x:c r="F21" s="61"/>
      <x:c r="G21" s="61"/>
      <x:c r="H21" s="61"/>
      <x:c r="I21" s="61"/>
      <x:c r="J21" s="61"/>
      <x:c r="K21" s="61"/>
      <x:c r="L21" s="61"/>
      <x:c r="M21" s="61"/>
      <x:c r="N21" s="61"/>
      <x:c r="O21" s="61"/>
      <x:c r="P21" s="61"/>
      <x:c r="Q21" s="61"/>
      <x:c r="R21" s="61"/>
    </x:row>
    <x:row r="22">
      <x:c r="A22" s="67" t="str">
        <x:v>FSA running open items</x:v>
      </x:c>
      <x:c r="B22" s="68" t="n">
        <x:f>'Pass Reconciliation'!G9</x:f>
        <x:v>0</x:v>
      </x:c>
      <x:c r="C22" s="67" t="str">
        <x:v>CLOSED</x:v>
      </x:c>
      <x:c r="D22" s="61"/>
      <x:c r="E22" s="61"/>
      <x:c r="F22" s="61"/>
      <x:c r="G22" s="61"/>
      <x:c r="H22" s="61"/>
      <x:c r="I22" s="61"/>
      <x:c r="J22" s="61"/>
      <x:c r="K22" s="61"/>
      <x:c r="L22" s="61"/>
      <x:c r="M22" s="61"/>
      <x:c r="N22" s="61"/>
      <x:c r="O22" s="61"/>
      <x:c r="P22" s="61"/>
      <x:c r="Q22" s="61"/>
      <x:c r="R22" s="61"/>
    </x:row>
    <x:row r="23">
      <x:c r="A23" s="70" t="str">
        <x:v>human review required</x:v>
      </x:c>
      <x:c r="B23" s="72" t="n">
        <x:f>Controls!B24</x:f>
        <x:v>1</x:v>
      </x:c>
      <x:c r="C23" s="70" t="str">
        <x:v>HALT</x:v>
      </x:c>
      <x:c r="D23" s="61"/>
      <x:c r="E23" s="61"/>
      <x:c r="F23" s="61"/>
      <x:c r="G23" s="61"/>
      <x:c r="H23" s="61"/>
      <x:c r="I23" s="61"/>
      <x:c r="J23" s="61"/>
      <x:c r="K23" s="61"/>
      <x:c r="L23" s="61"/>
      <x:c r="M23" s="61"/>
      <x:c r="N23" s="61"/>
      <x:c r="O23" s="61"/>
      <x:c r="P23" s="61"/>
      <x:c r="Q23" s="61"/>
      <x:c r="R23" s="61"/>
    </x:row>
  </x:sheetData>
  <x:mergeCells>
    <x:mergeCell ref="A2:R2"/>
    <x:mergeCell ref="E5:J18"/>
  </x:mergeCells>
  <x:pageMargins left="0.7" right="0.7" top="0.75" bottom="0.75" header="0.3" footer="0.3"/>
  <x:drawing xmlns:r="http://schemas.openxmlformats.org/officeDocument/2006/relationships" r:id="R2c0b019b2c4d42b6"/>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24" hidden="0" customWidth="1"/>
    <x:col min="3" max="3" width="18" hidden="0" customWidth="1"/>
    <x:col min="4" max="4" width="34" hidden="0" customWidth="1"/>
  </x:cols>
  <x:sheetData>
    <x:row r="2">
      <x:c r="A2" s="60" t="str">
        <x:v>Form-learning authority compact inputs</x:v>
      </x:c>
      <x:c r="B2" s="61"/>
      <x:c r="C2" s="61"/>
      <x:c r="D2" s="61"/>
    </x:row>
    <x:row r="3">
      <x:c r="A3" s="62"/>
      <x:c r="B3" s="62"/>
      <x:c r="C3" s="62"/>
      <x:c r="D3" s="62"/>
    </x:row>
    <x:row r="4">
      <x:c r="A4" s="61"/>
      <x:c r="B4" s="61"/>
      <x:c r="C4" s="61"/>
      <x:c r="D4" s="61"/>
    </x:row>
    <x:row r="5" ht="32" customHeight="1">
      <x:c r="A5" s="14" t="str">
        <x:v>Control</x:v>
      </x:c>
      <x:c r="B5" s="15" t="str">
        <x:v>Value</x:v>
      </x:c>
      <x:c r="C5" s="15" t="str">
        <x:v>Unit</x:v>
      </x:c>
      <x:c r="D5" s="16" t="str">
        <x:v>Authority</x:v>
      </x:c>
    </x:row>
    <x:row r="6">
      <x:c r="A6" s="63" t="str">
        <x:v>roots</x:v>
      </x:c>
      <x:c r="B6" s="73" t="n">
        <x:v>6</x:v>
      </x:c>
      <x:c r="C6" s="63" t="str">
        <x:v>count</x:v>
      </x:c>
      <x:c r="D6" s="63" t="str">
        <x:v>Pass 211</x:v>
      </x:c>
    </x:row>
    <x:row r="7">
      <x:c r="A7" s="67" t="str">
        <x:v>forms</x:v>
      </x:c>
      <x:c r="B7" s="74" t="n">
        <x:v>18</x:v>
      </x:c>
      <x:c r="C7" s="67" t="str">
        <x:v>count</x:v>
      </x:c>
      <x:c r="D7" s="67" t="str">
        <x:v>Pass 223</x:v>
      </x:c>
    </x:row>
    <x:row r="8">
      <x:c r="A8" s="67" t="str">
        <x:v>cohorts</x:v>
      </x:c>
      <x:c r="B8" s="74" t="n">
        <x:v>3</x:v>
      </x:c>
      <x:c r="C8" s="67" t="str">
        <x:v>count</x:v>
      </x:c>
      <x:c r="D8" s="67" t="str">
        <x:v>Pass 227</x:v>
      </x:c>
    </x:row>
    <x:row r="9">
      <x:c r="A9" s="67" t="str">
        <x:v>work packages</x:v>
      </x:c>
      <x:c r="B9" s="74" t="n">
        <x:v>90</x:v>
      </x:c>
      <x:c r="C9" s="67" t="str">
        <x:v>count</x:v>
      </x:c>
      <x:c r="D9" s="67" t="str">
        <x:v>Pass 226</x:v>
      </x:c>
    </x:row>
    <x:row r="10">
      <x:c r="A10" s="67" t="str">
        <x:v>selected compact</x:v>
      </x:c>
      <x:c r="B10" s="75" t="str">
        <x:v>C4</x:v>
      </x:c>
      <x:c r="C10" s="67" t="str">
        <x:v>ID</x:v>
      </x:c>
      <x:c r="D10" s="67" t="str">
        <x:v>Pass 230</x:v>
      </x:c>
    </x:row>
    <x:row r="11">
      <x:c r="A11" s="67" t="str">
        <x:v>active cohort</x:v>
      </x:c>
      <x:c r="B11" s="74" t="n">
        <x:v>1</x:v>
      </x:c>
      <x:c r="C11" s="67" t="str">
        <x:v>ID</x:v>
      </x:c>
      <x:c r="D11" s="67" t="str">
        <x:v>Pass 229</x:v>
      </x:c>
    </x:row>
    <x:row r="12">
      <x:c r="A12" s="67" t="str">
        <x:v>FSA passes consumed</x:v>
      </x:c>
      <x:c r="B12" s="74" t="n">
        <x:v>5</x:v>
      </x:c>
      <x:c r="C12" s="67" t="str">
        <x:v>count</x:v>
      </x:c>
      <x:c r="D12" s="67" t="str">
        <x:v>Pass 230</x:v>
      </x:c>
    </x:row>
    <x:row r="13">
      <x:c r="A13" s="67" t="str">
        <x:v>consecutive no-KILL passes</x:v>
      </x:c>
      <x:c r="B13" s="74" t="n">
        <x:v>10</x:v>
      </x:c>
      <x:c r="C13" s="67" t="str">
        <x:v>count</x:v>
      </x:c>
      <x:c r="D13" s="67" t="str">
        <x:v>Pass 230</x:v>
      </x:c>
    </x:row>
    <x:row r="14">
      <x:c r="A14" s="67" t="str">
        <x:v>FRAME ceiling</x:v>
      </x:c>
      <x:c r="B14" s="76" t="n">
        <x:v>0.5380369228980849</x:v>
      </x:c>
      <x:c r="C14" s="67" t="str">
        <x:v>USD B</x:v>
      </x:c>
      <x:c r="D14" s="67" t="str">
        <x:v>Pass 226</x:v>
      </x:c>
    </x:row>
    <x:row r="15">
      <x:c r="A15" s="67" t="str">
        <x:v>cohort-one obligation</x:v>
      </x:c>
      <x:c r="B15" s="76" t="n">
        <x:v>0.1793456409660283</x:v>
      </x:c>
      <x:c r="C15" s="67" t="str">
        <x:v>USD B</x:v>
      </x:c>
      <x:c r="D15" s="67" t="str">
        <x:v>Pass 229</x:v>
      </x:c>
    </x:row>
    <x:row r="16">
      <x:c r="A16" s="67" t="str">
        <x:v>payments</x:v>
      </x:c>
      <x:c r="B16" s="76" t="n">
        <x:v>0</x:v>
      </x:c>
      <x:c r="C16" s="67" t="str">
        <x:v>USD B</x:v>
      </x:c>
      <x:c r="D16" s="67" t="str">
        <x:v>source empty</x:v>
      </x:c>
    </x:row>
    <x:row r="17">
      <x:c r="A17" s="67" t="str">
        <x:v>accepted artifacts</x:v>
      </x:c>
      <x:c r="B17" s="76" t="n">
        <x:v>0</x:v>
      </x:c>
      <x:c r="C17" s="67" t="str">
        <x:v>count</x:v>
      </x:c>
      <x:c r="D17" s="67" t="str">
        <x:v>source empty</x:v>
      </x:c>
    </x:row>
    <x:row r="18">
      <x:c r="A18" s="67" t="str">
        <x:v>accepted observations</x:v>
      </x:c>
      <x:c r="B18" s="76" t="n">
        <x:v>0</x:v>
      </x:c>
      <x:c r="C18" s="67" t="str">
        <x:v>count</x:v>
      </x:c>
      <x:c r="D18" s="67" t="str">
        <x:v>source empty</x:v>
      </x:c>
    </x:row>
    <x:row r="19">
      <x:c r="A19" s="67" t="str">
        <x:v>surviving forms</x:v>
      </x:c>
      <x:c r="B19" s="76" t="n">
        <x:v>0</x:v>
      </x:c>
      <x:c r="C19" s="67" t="str">
        <x:v>count</x:v>
      </x:c>
      <x:c r="D19" s="67" t="str">
        <x:v>source empty</x:v>
      </x:c>
    </x:row>
    <x:row r="20">
      <x:c r="A20" s="67" t="str">
        <x:v>selected forms</x:v>
      </x:c>
      <x:c r="B20" s="76" t="n">
        <x:v>0</x:v>
      </x:c>
      <x:c r="C20" s="67" t="str">
        <x:v>count</x:v>
      </x:c>
      <x:c r="D20" s="67" t="str">
        <x:v>held</x:v>
      </x:c>
    </x:row>
    <x:row r="21">
      <x:c r="A21" s="67" t="str">
        <x:v>safety equalization authority</x:v>
      </x:c>
      <x:c r="B21" s="76" t="n">
        <x:v>0</x:v>
      </x:c>
      <x:c r="C21" s="67" t="str">
        <x:v>USD B</x:v>
      </x:c>
      <x:c r="D21" s="67" t="str">
        <x:v>held</x:v>
      </x:c>
    </x:row>
    <x:row r="22">
      <x:c r="A22" s="67" t="str">
        <x:v>highest representation class</x:v>
      </x:c>
      <x:c r="B22" s="74" t="n">
        <x:v>3</x:v>
      </x:c>
      <x:c r="C22" s="67" t="str">
        <x:v>REP</x:v>
      </x:c>
      <x:c r="D22" s="67" t="str">
        <x:v>Pass 220</x:v>
      </x:c>
    </x:row>
    <x:row r="23">
      <x:c r="A23" s="67" t="str">
        <x:v>branch kills</x:v>
      </x:c>
      <x:c r="B23" s="74" t="n">
        <x:v>0</x:v>
      </x:c>
      <x:c r="C23" s="67" t="str">
        <x:v>count</x:v>
      </x:c>
      <x:c r="D23" s="67" t="str">
        <x:v>Pass 230 decision</x:v>
      </x:c>
    </x:row>
    <x:row r="24">
      <x:c r="A24" s="67" t="str">
        <x:v>human review required</x:v>
      </x:c>
      <x:c r="B24" s="74" t="n">
        <x:v>1</x:v>
      </x:c>
      <x:c r="C24" s="67" t="str">
        <x:v>binary</x:v>
      </x:c>
      <x:c r="D24" s="67" t="str">
        <x:v>pass method</x:v>
      </x:c>
    </x:row>
    <x:row r="25">
      <x:c r="A25" s="70" t="str">
        <x:v>prior open items</x:v>
      </x:c>
      <x:c r="B25" s="77" t="n">
        <x:v>1</x:v>
      </x:c>
      <x:c r="C25" s="70" t="str">
        <x:v>count</x:v>
      </x:c>
      <x:c r="D25" s="70" t="str">
        <x:v>Pass 229</x:v>
      </x:c>
    </x:row>
  </x:sheetData>
  <x:mergeCells>
    <x:mergeCell ref="A2:D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46" hidden="0" customWidth="1"/>
    <x:col min="3" max="3" width="18" hidden="0" customWidth="1"/>
    <x:col min="4" max="4" width="21" hidden="0" customWidth="1"/>
    <x:col min="5" max="5" width="19" hidden="0" customWidth="1"/>
    <x:col min="6" max="6" width="19" hidden="0" customWidth="1"/>
    <x:col min="7" max="7" width="19" hidden="0" customWidth="1"/>
    <x:col min="8" max="8" width="17" hidden="0" customWidth="1"/>
    <x:col min="9" max="9" width="23" hidden="0" customWidth="1"/>
    <x:col min="10" max="10" width="17" hidden="0" customWidth="1"/>
    <x:col min="11" max="11" width="17" hidden="0" customWidth="1"/>
    <x:col min="12" max="12" width="22" hidden="0" customWidth="1"/>
    <x:col min="13" max="13" width="16" hidden="0" customWidth="1"/>
    <x:col min="14" max="14" width="14" hidden="0" customWidth="1"/>
    <x:col min="15" max="15" width="23" hidden="0" customWidth="1"/>
    <x:col min="16" max="16" width="54" hidden="0" customWidth="1"/>
  </x:cols>
  <x:sheetData>
    <x:row r="2">
      <x:c r="A2" s="60" t="str">
        <x:v>Five terminal authority candidates</x:v>
      </x:c>
      <x:c r="B2" s="61"/>
      <x:c r="C2" s="61"/>
      <x:c r="D2" s="61"/>
      <x:c r="E2" s="61"/>
      <x:c r="F2" s="61"/>
      <x:c r="G2" s="61"/>
      <x:c r="H2" s="61"/>
      <x:c r="I2" s="61"/>
      <x:c r="J2" s="61"/>
      <x:c r="K2" s="61"/>
      <x:c r="L2" s="61"/>
      <x:c r="M2" s="61"/>
      <x:c r="N2" s="61"/>
      <x:c r="O2" s="61"/>
      <x:c r="P2" s="61"/>
    </x:row>
    <x:row r="3">
      <x:c r="A3" s="62"/>
      <x:c r="B3" s="62"/>
      <x:c r="C3" s="62"/>
      <x:c r="D3" s="62"/>
      <x:c r="E3" s="62"/>
      <x:c r="F3" s="62"/>
      <x:c r="G3" s="62"/>
      <x:c r="H3" s="62"/>
      <x:c r="I3" s="62"/>
      <x:c r="J3" s="62"/>
      <x:c r="K3" s="62"/>
      <x:c r="L3" s="62"/>
      <x:c r="M3" s="62"/>
      <x:c r="N3" s="62"/>
      <x:c r="O3" s="62"/>
      <x:c r="P3" s="62"/>
    </x:row>
    <x:row r="4" ht="32" customHeight="1">
      <x:c r="A4" s="14" t="str">
        <x:v>Candidate</x:v>
      </x:c>
      <x:c r="B4" s="15" t="str">
        <x:v>Architecture</x:v>
      </x:c>
      <x:c r="C4" s="15" t="str">
        <x:v>Learning authority</x:v>
      </x:c>
      <x:c r="D4" s="15" t="str">
        <x:v>Simultaneous issue</x:v>
      </x:c>
      <x:c r="E4" s="15" t="str">
        <x:v>Balanced cohorts</x:v>
      </x:c>
      <x:c r="F4" s="15" t="str">
        <x:v>Sibling reserves</x:v>
      </x:c>
      <x:c r="G4" s="15" t="str">
        <x:v>Independent cells</x:v>
      </x:c>
      <x:c r="H4" s="15" t="str">
        <x:v>Safety firewall</x:v>
      </x:c>
      <x:c r="I4" s="15" t="str">
        <x:v>Separated acceptance</x:v>
      </x:c>
      <x:c r="J4" s="15" t="str">
        <x:v>Evidence hold</x:v>
      </x:c>
      <x:c r="K4" s="15" t="str">
        <x:v>Selection hold</x:v>
      </x:c>
      <x:c r="L4" s="15" t="str">
        <x:v>Rollback and return</x:v>
      </x:c>
      <x:c r="M4" s="15" t="str">
        <x:v>Gates passed</x:v>
      </x:c>
      <x:c r="N4" s="15" t="str">
        <x:v>Selected</x:v>
      </x:c>
      <x:c r="O4" s="15" t="str">
        <x:v>Disposition</x:v>
      </x:c>
      <x:c r="P4" s="16" t="str">
        <x:v>Primary defect</x:v>
      </x:c>
    </x:row>
    <x:row r="5">
      <x:c r="A5" s="63" t="str">
        <x:v>C1</x:v>
      </x:c>
      <x:c r="B5" s="63" t="str">
        <x:v>Unified form authority office</x:v>
      </x:c>
      <x:c r="C5" s="64" t="n">
        <x:v>1</x:v>
      </x:c>
      <x:c r="D5" s="64" t="n">
        <x:v>1</x:v>
      </x:c>
      <x:c r="E5" s="64" t="n">
        <x:v>1</x:v>
      </x:c>
      <x:c r="F5" s="64" t="n">
        <x:v>1</x:v>
      </x:c>
      <x:c r="G5" s="64" t="n">
        <x:v>0</x:v>
      </x:c>
      <x:c r="H5" s="64" t="n">
        <x:v>0</x:v>
      </x:c>
      <x:c r="I5" s="64" t="n">
        <x:v>0</x:v>
      </x:c>
      <x:c r="J5" s="64" t="n">
        <x:v>0</x:v>
      </x:c>
      <x:c r="K5" s="64" t="n">
        <x:v>0</x:v>
      </x:c>
      <x:c r="L5" s="64" t="n">
        <x:v>0</x:v>
      </x:c>
      <x:c r="M5" s="64" t="n">
        <x:f>SUM(C5:L5)</x:f>
        <x:v>4</x:v>
      </x:c>
      <x:c r="N5" s="64" t="n">
        <x:f>IF(A5=Controls!$B$10,1,0)</x:f>
        <x:v>0</x:v>
      </x:c>
      <x:c r="O5" s="63" t="str">
        <x:f>IF(N5=1,IF(M5=10,"SELECTED COMPACT","INVALID SELECTION"),"NOT SELECTED")</x:f>
        <x:v>NOT SELECTED</x:v>
      </x:c>
      <x:c r="P5" s="63" t="str">
        <x:v>Concentrates learning, evidence and selection</x:v>
      </x:c>
    </x:row>
    <x:row r="6">
      <x:c r="A6" s="67" t="str">
        <x:v>C2</x:v>
      </x:c>
      <x:c r="B6" s="67" t="str">
        <x:v>Selection-ready cohort activation</x:v>
      </x:c>
      <x:c r="C6" s="68" t="n">
        <x:v>1</x:v>
      </x:c>
      <x:c r="D6" s="68" t="n">
        <x:v>1</x:v>
      </x:c>
      <x:c r="E6" s="68" t="n">
        <x:v>1</x:v>
      </x:c>
      <x:c r="F6" s="68" t="n">
        <x:v>1</x:v>
      </x:c>
      <x:c r="G6" s="68" t="n">
        <x:v>1</x:v>
      </x:c>
      <x:c r="H6" s="68" t="n">
        <x:v>0</x:v>
      </x:c>
      <x:c r="I6" s="68" t="n">
        <x:v>1</x:v>
      </x:c>
      <x:c r="J6" s="68" t="n">
        <x:v>0</x:v>
      </x:c>
      <x:c r="K6" s="68" t="n">
        <x:v>1</x:v>
      </x:c>
      <x:c r="L6" s="68" t="n">
        <x:v>0</x:v>
      </x:c>
      <x:c r="M6" s="68" t="n">
        <x:f>SUM(C6:L6)</x:f>
        <x:v>7</x:v>
      </x:c>
      <x:c r="N6" s="68" t="n">
        <x:f>IF(A6=Controls!$B$10,1,0)</x:f>
        <x:v>0</x:v>
      </x:c>
      <x:c r="O6" s="67" t="str">
        <x:f>IF(N6=1,IF(M6=10,"SELECTED COMPACT","INVALID SELECTION"),"NOT SELECTED")</x:f>
        <x:v>NOT SELECTED</x:v>
      </x:c>
      <x:c r="P6" s="67" t="str">
        <x:v>Treats financed work as comparative evidence</x:v>
      </x:c>
    </x:row>
    <x:row r="7">
      <x:c r="A7" s="67" t="str">
        <x:v>C3</x:v>
      </x:c>
      <x:c r="B7" s="67" t="str">
        <x:v>Rolling evidence-weighted release</x:v>
      </x:c>
      <x:c r="C7" s="68" t="n">
        <x:v>1</x:v>
      </x:c>
      <x:c r="D7" s="68" t="n">
        <x:v>1</x:v>
      </x:c>
      <x:c r="E7" s="68" t="n">
        <x:v>1</x:v>
      </x:c>
      <x:c r="F7" s="68" t="n">
        <x:v>0</x:v>
      </x:c>
      <x:c r="G7" s="68" t="n">
        <x:v>1</x:v>
      </x:c>
      <x:c r="H7" s="68" t="n">
        <x:v>1</x:v>
      </x:c>
      <x:c r="I7" s="68" t="n">
        <x:v>1</x:v>
      </x:c>
      <x:c r="J7" s="68" t="n">
        <x:v>1</x:v>
      </x:c>
      <x:c r="K7" s="68" t="n">
        <x:v>1</x:v>
      </x:c>
      <x:c r="L7" s="68" t="n">
        <x:v>0</x:v>
      </x:c>
      <x:c r="M7" s="68" t="n">
        <x:f>SUM(C7:L7)</x:f>
        <x:v>8</x:v>
      </x:c>
      <x:c r="N7" s="68" t="n">
        <x:f>IF(A7=Controls!$B$10,1,0)</x:f>
        <x:v>0</x:v>
      </x:c>
      <x:c r="O7" s="67" t="str">
        <x:f>IF(N7=1,IF(M7=10,"SELECTED COMPACT","INVALID SELECTION"),"NOT SELECTED")</x:f>
        <x:v>NOT SELECTED</x:v>
      </x:c>
      <x:c r="P7" s="67" t="str">
        <x:v>Early results alter later sibling access</x:v>
      </x:c>
    </x:row>
    <x:row r="8">
      <x:c r="A8" s="67" t="str">
        <x:v>C4</x:v>
      </x:c>
      <x:c r="B8" s="67" t="str">
        <x:v>Form-learning authority terminal compact</x:v>
      </x:c>
      <x:c r="C8" s="68" t="n">
        <x:v>1</x:v>
      </x:c>
      <x:c r="D8" s="68" t="n">
        <x:v>1</x:v>
      </x:c>
      <x:c r="E8" s="68" t="n">
        <x:v>1</x:v>
      </x:c>
      <x:c r="F8" s="68" t="n">
        <x:v>1</x:v>
      </x:c>
      <x:c r="G8" s="68" t="n">
        <x:v>1</x:v>
      </x:c>
      <x:c r="H8" s="68" t="n">
        <x:v>1</x:v>
      </x:c>
      <x:c r="I8" s="68" t="n">
        <x:v>1</x:v>
      </x:c>
      <x:c r="J8" s="68" t="n">
        <x:v>1</x:v>
      </x:c>
      <x:c r="K8" s="68" t="n">
        <x:v>1</x:v>
      </x:c>
      <x:c r="L8" s="68" t="n">
        <x:v>1</x:v>
      </x:c>
      <x:c r="M8" s="68" t="n">
        <x:f>SUM(C8:L8)</x:f>
        <x:v>10</x:v>
      </x:c>
      <x:c r="N8" s="68" t="n">
        <x:f>IF(A8=Controls!$B$10,1,0)</x:f>
        <x:v>1</x:v>
      </x:c>
      <x:c r="O8" s="67" t="str">
        <x:f>IF(N8=1,IF(M8=10,"SELECTED COMPACT","INVALID SELECTION"),"NOT SELECTED")</x:f>
        <x:v>SELECTED COMPACT</x:v>
      </x:c>
      <x:c r="P8" s="67" t="str">
        <x:v>None</x:v>
      </x:c>
    </x:row>
    <x:row r="9">
      <x:c r="A9" s="70" t="str">
        <x:v>C5</x:v>
      </x:c>
      <x:c r="B9" s="70" t="str">
        <x:v>Permanent pre-evidence hold</x:v>
      </x:c>
      <x:c r="C9" s="72" t="n">
        <x:v>1</x:v>
      </x:c>
      <x:c r="D9" s="72" t="n">
        <x:v>0</x:v>
      </x:c>
      <x:c r="E9" s="72" t="n">
        <x:v>0</x:v>
      </x:c>
      <x:c r="F9" s="72" t="n">
        <x:v>1</x:v>
      </x:c>
      <x:c r="G9" s="72" t="n">
        <x:v>1</x:v>
      </x:c>
      <x:c r="H9" s="72" t="n">
        <x:v>1</x:v>
      </x:c>
      <x:c r="I9" s="72" t="n">
        <x:v>1</x:v>
      </x:c>
      <x:c r="J9" s="72" t="n">
        <x:v>1</x:v>
      </x:c>
      <x:c r="K9" s="72" t="n">
        <x:v>1</x:v>
      </x:c>
      <x:c r="L9" s="72" t="n">
        <x:v>0</x:v>
      </x:c>
      <x:c r="M9" s="72" t="n">
        <x:f>SUM(C9:L9)</x:f>
        <x:v>7</x:v>
      </x:c>
      <x:c r="N9" s="72" t="n">
        <x:f>IF(A9=Controls!$B$10,1,0)</x:f>
        <x:v>0</x:v>
      </x:c>
      <x:c r="O9" s="70" t="str">
        <x:f>IF(N9=1,IF(M9=10,"SELECTED COMPACT","INVALID SELECTION"),"NOT SELECTED")</x:f>
        <x:v>NOT SELECTED</x:v>
      </x:c>
      <x:c r="P9" s="70" t="str">
        <x:v>Cannot create the evidence required to select</x:v>
      </x:c>
    </x:row>
  </x:sheetData>
  <x:mergeCells>
    <x:mergeCell ref="A2:P2"/>
  </x:mergeCells>
  <x:conditionalFormatting sqref="O5:O9">
    <x:cfRule type="containsText" dxfId="0" priority="1" operator="containsText" text="INVALID"/>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13" hidden="0" customWidth="1"/>
    <x:col min="4" max="4" width="52" hidden="0" customWidth="1"/>
    <x:col min="5" max="5" width="20" hidden="0" customWidth="1"/>
    <x:col min="6" max="6" width="20" hidden="0" customWidth="1"/>
    <x:col min="7" max="7" width="18" hidden="0" customWidth="1"/>
    <x:col min="8" max="8" width="18" hidden="0" customWidth="1"/>
    <x:col min="9" max="9" width="18" hidden="0" customWidth="1"/>
    <x:col min="10" max="10" width="12" hidden="0" customWidth="1"/>
    <x:col min="11" max="11" width="22" hidden="0" customWidth="1"/>
    <x:col min="12" max="12" width="15" hidden="0" customWidth="1"/>
    <x:col min="13" max="13" width="23" hidden="0" customWidth="1"/>
    <x:col min="14" max="14" width="27" hidden="0" customWidth="1"/>
    <x:col min="15" max="15" width="14" hidden="0" customWidth="1"/>
  </x:cols>
  <x:sheetData>
    <x:row r="2">
      <x:c r="A2" s="60" t="str">
        <x:v>Authority stack from representation to selection</x:v>
      </x:c>
      <x:c r="B2" s="61"/>
      <x:c r="C2" s="61"/>
      <x:c r="D2" s="61"/>
      <x:c r="E2" s="61"/>
      <x:c r="F2" s="61"/>
      <x:c r="G2" s="61"/>
      <x:c r="H2" s="61"/>
      <x:c r="I2" s="61"/>
      <x:c r="J2" s="61"/>
      <x:c r="K2" s="61"/>
      <x:c r="L2" s="61"/>
      <x:c r="M2" s="61"/>
      <x:c r="N2" s="61"/>
      <x:c r="O2" s="61"/>
    </x:row>
    <x:row r="3">
      <x:c r="A3" s="62"/>
      <x:c r="B3" s="62"/>
      <x:c r="C3" s="62"/>
      <x:c r="D3" s="62"/>
      <x:c r="E3" s="62"/>
      <x:c r="F3" s="62"/>
      <x:c r="G3" s="62"/>
      <x:c r="H3" s="62"/>
      <x:c r="I3" s="62"/>
      <x:c r="J3" s="62"/>
      <x:c r="K3" s="62"/>
      <x:c r="L3" s="62"/>
      <x:c r="M3" s="62"/>
      <x:c r="N3" s="62"/>
      <x:c r="O3" s="62"/>
    </x:row>
    <x:row r="4" ht="32" customHeight="1">
      <x:c r="A4" s="14" t="str">
        <x:v>Record</x:v>
      </x:c>
      <x:c r="B4" s="15" t="str">
        <x:v>Instrument</x:v>
      </x:c>
      <x:c r="C4" s="15" t="str">
        <x:v>Pass</x:v>
      </x:c>
      <x:c r="D4" s="15" t="str">
        <x:v>Scope</x:v>
      </x:c>
      <x:c r="E4" s="15" t="str">
        <x:v>Authorize learning</x:v>
      </x:c>
      <x:c r="F4" s="15" t="str">
        <x:v>Reserve or issue</x:v>
      </x:c>
      <x:c r="G4" s="15" t="str">
        <x:v>Safety change</x:v>
      </x:c>
      <x:c r="H4" s="15" t="str">
        <x:v>Execute work</x:v>
      </x:c>
      <x:c r="I4" s="15" t="str">
        <x:v>Accept artifact</x:v>
      </x:c>
      <x:c r="J4" s="15" t="str">
        <x:v>Pay</x:v>
      </x:c>
      <x:c r="K4" s="15" t="str">
        <x:v>Accept observation</x:v>
      </x:c>
      <x:c r="L4" s="15" t="str">
        <x:v>Select form</x:v>
      </x:c>
      <x:c r="M4" s="15" t="str">
        <x:v>Render above REP-3</x:v>
      </x:c>
      <x:c r="N4" s="15" t="str">
        <x:v>Actual state</x:v>
      </x:c>
      <x:c r="O4" s="16" t="str">
        <x:v>Stack check</x:v>
      </x:c>
    </x:row>
    <x:row r="5">
      <x:c r="A5" s="63" t="str">
        <x:v>A01</x:v>
      </x:c>
      <x:c r="B5" s="63" t="str">
        <x:v>Selection covenant</x:v>
      </x:c>
      <x:c r="C5" s="63" t="n">
        <x:v>225</x:v>
      </x:c>
      <x:c r="D5" s="63" t="str">
        <x:v>Define evidence and selection law</x:v>
      </x:c>
      <x:c r="E5" s="64" t="n">
        <x:v>0</x:v>
      </x:c>
      <x:c r="F5" s="64" t="n">
        <x:v>0</x:v>
      </x:c>
      <x:c r="G5" s="64" t="n">
        <x:v>0</x:v>
      </x:c>
      <x:c r="H5" s="64" t="n">
        <x:v>0</x:v>
      </x:c>
      <x:c r="I5" s="64" t="n">
        <x:v>0</x:v>
      </x:c>
      <x:c r="J5" s="64" t="n">
        <x:v>0</x:v>
      </x:c>
      <x:c r="K5" s="64" t="n">
        <x:v>0</x:v>
      </x:c>
      <x:c r="L5" s="64" t="n">
        <x:v>0</x:v>
      </x:c>
      <x:c r="M5" s="64" t="n">
        <x:v>0</x:v>
      </x:c>
      <x:c r="N5" s="63" t="str">
        <x:v>CONSTITUTED</x:v>
      </x:c>
      <x:c r="O5" s="63" t="str">
        <x:f>IF(AND(COUNTA(A5:D5)=4,SUM(E5:M5)&lt;=2,N5&lt;&gt;""),"PASS","FAIL")</x:f>
        <x:v>PASS</x:v>
      </x:c>
    </x:row>
    <x:row r="6">
      <x:c r="A6" s="67" t="str">
        <x:v>A02</x:v>
      </x:c>
      <x:c r="B6" s="67" t="str">
        <x:v>Parallel FRAME authority</x:v>
      </x:c>
      <x:c r="C6" s="67" t="n">
        <x:v>226</x:v>
      </x:c>
      <x:c r="D6" s="67" t="str">
        <x:v>Authorize bounded comparative design</x:v>
      </x:c>
      <x:c r="E6" s="68" t="n">
        <x:v>1</x:v>
      </x:c>
      <x:c r="F6" s="68" t="n">
        <x:v>1</x:v>
      </x:c>
      <x:c r="G6" s="68" t="n">
        <x:v>0</x:v>
      </x:c>
      <x:c r="H6" s="68" t="n">
        <x:v>0</x:v>
      </x:c>
      <x:c r="I6" s="68" t="n">
        <x:v>0</x:v>
      </x:c>
      <x:c r="J6" s="68" t="n">
        <x:v>0</x:v>
      </x:c>
      <x:c r="K6" s="68" t="n">
        <x:v>0</x:v>
      </x:c>
      <x:c r="L6" s="68" t="n">
        <x:v>0</x:v>
      </x:c>
      <x:c r="M6" s="68" t="n">
        <x:v>0</x:v>
      </x:c>
      <x:c r="N6" s="67" t="str">
        <x:v>AUTHORIZED</x:v>
      </x:c>
      <x:c r="O6" s="67" t="str">
        <x:f>IF(AND(COUNTA(A6:D6)=4,SUM(E6:M6)&lt;=2,N6&lt;&gt;""),"PASS","FAIL")</x:f>
        <x:v>PASS</x:v>
      </x:c>
    </x:row>
    <x:row r="7">
      <x:c r="A7" s="67" t="str">
        <x:v>A03</x:v>
      </x:c>
      <x:c r="B7" s="67" t="str">
        <x:v>Learning-warrant issue</x:v>
      </x:c>
      <x:c r="C7" s="67" t="n">
        <x:v>227</x:v>
      </x:c>
      <x:c r="D7" s="67" t="str">
        <x:v>Issue eighteen warrants simultaneously</x:v>
      </x:c>
      <x:c r="E7" s="68" t="n">
        <x:v>1</x:v>
      </x:c>
      <x:c r="F7" s="68" t="n">
        <x:v>1</x:v>
      </x:c>
      <x:c r="G7" s="68" t="n">
        <x:v>0</x:v>
      </x:c>
      <x:c r="H7" s="68" t="n">
        <x:v>0</x:v>
      </x:c>
      <x:c r="I7" s="68" t="n">
        <x:v>0</x:v>
      </x:c>
      <x:c r="J7" s="68" t="n">
        <x:v>0</x:v>
      </x:c>
      <x:c r="K7" s="68" t="n">
        <x:v>0</x:v>
      </x:c>
      <x:c r="L7" s="68" t="n">
        <x:v>0</x:v>
      </x:c>
      <x:c r="M7" s="68" t="n">
        <x:v>0</x:v>
      </x:c>
      <x:c r="N7" s="67" t="str">
        <x:v>18 ISSUED</x:v>
      </x:c>
      <x:c r="O7" s="67" t="str">
        <x:f>IF(AND(COUNTA(A7:D7)=4,SUM(E7:M7)&lt;=2,N7&lt;&gt;""),"PASS","FAIL")</x:f>
        <x:v>PASS</x:v>
      </x:c>
    </x:row>
    <x:row r="8">
      <x:c r="A8" s="67" t="str">
        <x:v>A04</x:v>
      </x:c>
      <x:c r="B8" s="67" t="str">
        <x:v>Balanced cohort schedule</x:v>
      </x:c>
      <x:c r="C8" s="67" t="n">
        <x:v>227</x:v>
      </x:c>
      <x:c r="D8" s="67" t="str">
        <x:v>Fix three six-form cohorts</x:v>
      </x:c>
      <x:c r="E8" s="68" t="n">
        <x:v>0</x:v>
      </x:c>
      <x:c r="F8" s="68" t="n">
        <x:v>1</x:v>
      </x:c>
      <x:c r="G8" s="68" t="n">
        <x:v>0</x:v>
      </x:c>
      <x:c r="H8" s="68" t="n">
        <x:v>0</x:v>
      </x:c>
      <x:c r="I8" s="68" t="n">
        <x:v>0</x:v>
      </x:c>
      <x:c r="J8" s="68" t="n">
        <x:v>0</x:v>
      </x:c>
      <x:c r="K8" s="68" t="n">
        <x:v>0</x:v>
      </x:c>
      <x:c r="L8" s="68" t="n">
        <x:v>0</x:v>
      </x:c>
      <x:c r="M8" s="68" t="n">
        <x:v>0</x:v>
      </x:c>
      <x:c r="N8" s="67" t="str">
        <x:v>FIXED</x:v>
      </x:c>
      <x:c r="O8" s="67" t="str">
        <x:f>IF(AND(COUNTA(A8:D8)=4,SUM(E8:M8)&lt;=2,N8&lt;&gt;""),"PASS","FAIL")</x:f>
        <x:v>PASS</x:v>
      </x:c>
    </x:row>
    <x:row r="9">
      <x:c r="A9" s="67" t="str">
        <x:v>A05</x:v>
      </x:c>
      <x:c r="B9" s="67" t="str">
        <x:v>Root Safety Change Warrant</x:v>
      </x:c>
      <x:c r="C9" s="67" t="n">
        <x:v>228</x:v>
      </x:c>
      <x:c r="D9" s="67" t="str">
        <x:v>Transmit source-blind safety burdens</x:v>
      </x:c>
      <x:c r="E9" s="68" t="n">
        <x:v>0</x:v>
      </x:c>
      <x:c r="F9" s="68" t="n">
        <x:v>0</x:v>
      </x:c>
      <x:c r="G9" s="68" t="n">
        <x:v>1</x:v>
      </x:c>
      <x:c r="H9" s="68" t="n">
        <x:v>0</x:v>
      </x:c>
      <x:c r="I9" s="68" t="n">
        <x:v>0</x:v>
      </x:c>
      <x:c r="J9" s="68" t="n">
        <x:v>0</x:v>
      </x:c>
      <x:c r="K9" s="68" t="n">
        <x:v>0</x:v>
      </x:c>
      <x:c r="L9" s="68" t="n">
        <x:v>0</x:v>
      </x:c>
      <x:c r="M9" s="68" t="n">
        <x:v>0</x:v>
      </x:c>
      <x:c r="N9" s="67" t="str">
        <x:v>AVAILABLE / ZERO ISSUED</x:v>
      </x:c>
      <x:c r="O9" s="67" t="str">
        <x:f>IF(AND(COUNTA(A9:D9)=4,SUM(E9:M9)&lt;=2,N9&lt;&gt;""),"PASS","FAIL")</x:f>
        <x:v>PASS</x:v>
      </x:c>
    </x:row>
    <x:row r="10">
      <x:c r="A10" s="67" t="str">
        <x:v>A06</x:v>
      </x:c>
      <x:c r="B10" s="67" t="str">
        <x:v>Cohort Execution Warrant 1</x:v>
      </x:c>
      <x:c r="C10" s="67" t="n">
        <x:v>229</x:v>
      </x:c>
      <x:c r="D10" s="67" t="str">
        <x:v>Obligate and start cohort-one design</x:v>
      </x:c>
      <x:c r="E10" s="68" t="n">
        <x:v>0</x:v>
      </x:c>
      <x:c r="F10" s="68" t="n">
        <x:v>0</x:v>
      </x:c>
      <x:c r="G10" s="68" t="n">
        <x:v>0</x:v>
      </x:c>
      <x:c r="H10" s="68" t="n">
        <x:v>1</x:v>
      </x:c>
      <x:c r="I10" s="68" t="n">
        <x:v>0</x:v>
      </x:c>
      <x:c r="J10" s="68" t="n">
        <x:v>0</x:v>
      </x:c>
      <x:c r="K10" s="68" t="n">
        <x:v>0</x:v>
      </x:c>
      <x:c r="L10" s="68" t="n">
        <x:v>0</x:v>
      </x:c>
      <x:c r="M10" s="68" t="n">
        <x:v>0</x:v>
      </x:c>
      <x:c r="N10" s="67" t="str">
        <x:v>ACTIVE</x:v>
      </x:c>
      <x:c r="O10" s="67" t="str">
        <x:f>IF(AND(COUNTA(A10:D10)=4,SUM(E10:M10)&lt;=2,N10&lt;&gt;""),"PASS","FAIL")</x:f>
        <x:v>PASS</x:v>
      </x:c>
    </x:row>
    <x:row r="11">
      <x:c r="A11" s="67" t="str">
        <x:v>A07</x:v>
      </x:c>
      <x:c r="B11" s="67" t="str">
        <x:v>Artifact validity warrant</x:v>
      </x:c>
      <x:c r="C11" s="67" t="str">
        <x:v>future</x:v>
      </x:c>
      <x:c r="D11" s="67" t="str">
        <x:v>Accept bounded design artifacts</x:v>
      </x:c>
      <x:c r="E11" s="68" t="n">
        <x:v>0</x:v>
      </x:c>
      <x:c r="F11" s="68" t="n">
        <x:v>0</x:v>
      </x:c>
      <x:c r="G11" s="68" t="n">
        <x:v>0</x:v>
      </x:c>
      <x:c r="H11" s="68" t="n">
        <x:v>0</x:v>
      </x:c>
      <x:c r="I11" s="68" t="n">
        <x:v>1</x:v>
      </x:c>
      <x:c r="J11" s="68" t="n">
        <x:v>0</x:v>
      </x:c>
      <x:c r="K11" s="68" t="n">
        <x:v>0</x:v>
      </x:c>
      <x:c r="L11" s="68" t="n">
        <x:v>0</x:v>
      </x:c>
      <x:c r="M11" s="68" t="n">
        <x:v>0</x:v>
      </x:c>
      <x:c r="N11" s="67" t="str">
        <x:v>HELD</x:v>
      </x:c>
      <x:c r="O11" s="67" t="str">
        <x:f>IF(AND(COUNTA(A11:D11)=4,SUM(E11:M11)&lt;=2,N11&lt;&gt;""),"PASS","FAIL")</x:f>
        <x:v>PASS</x:v>
      </x:c>
    </x:row>
    <x:row r="12">
      <x:c r="A12" s="67" t="str">
        <x:v>A08</x:v>
      </x:c>
      <x:c r="B12" s="67" t="str">
        <x:v>Finance disbursement warrant</x:v>
      </x:c>
      <x:c r="C12" s="67" t="str">
        <x:v>future</x:v>
      </x:c>
      <x:c r="D12" s="67" t="str">
        <x:v>Pay accepted design work</x:v>
      </x:c>
      <x:c r="E12" s="68" t="n">
        <x:v>0</x:v>
      </x:c>
      <x:c r="F12" s="68" t="n">
        <x:v>0</x:v>
      </x:c>
      <x:c r="G12" s="68" t="n">
        <x:v>0</x:v>
      </x:c>
      <x:c r="H12" s="68" t="n">
        <x:v>0</x:v>
      </x:c>
      <x:c r="I12" s="68" t="n">
        <x:v>0</x:v>
      </x:c>
      <x:c r="J12" s="68" t="n">
        <x:v>1</x:v>
      </x:c>
      <x:c r="K12" s="68" t="n">
        <x:v>0</x:v>
      </x:c>
      <x:c r="L12" s="68" t="n">
        <x:v>0</x:v>
      </x:c>
      <x:c r="M12" s="68" t="n">
        <x:v>0</x:v>
      </x:c>
      <x:c r="N12" s="67" t="str">
        <x:v>HELD</x:v>
      </x:c>
      <x:c r="O12" s="67" t="str">
        <x:f>IF(AND(COUNTA(A12:D12)=4,SUM(E12:M12)&lt;=2,N12&lt;&gt;""),"PASS","FAIL")</x:f>
        <x:v>PASS</x:v>
      </x:c>
    </x:row>
    <x:row r="13">
      <x:c r="A13" s="67" t="str">
        <x:v>A09</x:v>
      </x:c>
      <x:c r="B13" s="67" t="str">
        <x:v>Evidence acceptance warrant</x:v>
      </x:c>
      <x:c r="C13" s="67" t="str">
        <x:v>future</x:v>
      </x:c>
      <x:c r="D13" s="67" t="str">
        <x:v>Accept controlled observations</x:v>
      </x:c>
      <x:c r="E13" s="68" t="n">
        <x:v>0</x:v>
      </x:c>
      <x:c r="F13" s="68" t="n">
        <x:v>0</x:v>
      </x:c>
      <x:c r="G13" s="68" t="n">
        <x:v>0</x:v>
      </x:c>
      <x:c r="H13" s="68" t="n">
        <x:v>0</x:v>
      </x:c>
      <x:c r="I13" s="68" t="n">
        <x:v>0</x:v>
      </x:c>
      <x:c r="J13" s="68" t="n">
        <x:v>0</x:v>
      </x:c>
      <x:c r="K13" s="68" t="n">
        <x:v>1</x:v>
      </x:c>
      <x:c r="L13" s="68" t="n">
        <x:v>0</x:v>
      </x:c>
      <x:c r="M13" s="68" t="n">
        <x:v>0</x:v>
      </x:c>
      <x:c r="N13" s="67" t="str">
        <x:v>HELD</x:v>
      </x:c>
      <x:c r="O13" s="67" t="str">
        <x:f>IF(AND(COUNTA(A13:D13)=4,SUM(E13:M13)&lt;=2,N13&lt;&gt;""),"PASS","FAIL")</x:f>
        <x:v>PASS</x:v>
      </x:c>
    </x:row>
    <x:row r="14">
      <x:c r="A14" s="67" t="str">
        <x:v>A10</x:v>
      </x:c>
      <x:c r="B14" s="67" t="str">
        <x:v>Form-selection warrant</x:v>
      </x:c>
      <x:c r="C14" s="67" t="str">
        <x:v>future</x:v>
      </x:c>
      <x:c r="D14" s="67" t="str">
        <x:v>Choose among comparable survivors</x:v>
      </x:c>
      <x:c r="E14" s="68" t="n">
        <x:v>0</x:v>
      </x:c>
      <x:c r="F14" s="68" t="n">
        <x:v>0</x:v>
      </x:c>
      <x:c r="G14" s="68" t="n">
        <x:v>0</x:v>
      </x:c>
      <x:c r="H14" s="68" t="n">
        <x:v>0</x:v>
      </x:c>
      <x:c r="I14" s="68" t="n">
        <x:v>0</x:v>
      </x:c>
      <x:c r="J14" s="68" t="n">
        <x:v>0</x:v>
      </x:c>
      <x:c r="K14" s="68" t="n">
        <x:v>0</x:v>
      </x:c>
      <x:c r="L14" s="68" t="n">
        <x:v>1</x:v>
      </x:c>
      <x:c r="M14" s="68" t="n">
        <x:v>0</x:v>
      </x:c>
      <x:c r="N14" s="67" t="str">
        <x:v>HELD</x:v>
      </x:c>
      <x:c r="O14" s="67" t="str">
        <x:f>IF(AND(COUNTA(A14:D14)=4,SUM(E14:M14)&lt;=2,N14&lt;&gt;""),"PASS","FAIL")</x:f>
        <x:v>PASS</x:v>
      </x:c>
    </x:row>
    <x:row r="15">
      <x:c r="A15" s="70" t="str">
        <x:v>A11</x:v>
      </x:c>
      <x:c r="B15" s="70" t="str">
        <x:v>REP-4 issue warrant</x:v>
      </x:c>
      <x:c r="C15" s="70" t="str">
        <x:v>future</x:v>
      </x:c>
      <x:c r="D15" s="70" t="str">
        <x:v>Publish measured as-built geometry</x:v>
      </x:c>
      <x:c r="E15" s="72" t="n">
        <x:v>0</x:v>
      </x:c>
      <x:c r="F15" s="72" t="n">
        <x:v>0</x:v>
      </x:c>
      <x:c r="G15" s="72" t="n">
        <x:v>0</x:v>
      </x:c>
      <x:c r="H15" s="72" t="n">
        <x:v>0</x:v>
      </x:c>
      <x:c r="I15" s="72" t="n">
        <x:v>0</x:v>
      </x:c>
      <x:c r="J15" s="72" t="n">
        <x:v>0</x:v>
      </x:c>
      <x:c r="K15" s="72" t="n">
        <x:v>0</x:v>
      </x:c>
      <x:c r="L15" s="72" t="n">
        <x:v>0</x:v>
      </x:c>
      <x:c r="M15" s="72" t="n">
        <x:v>1</x:v>
      </x:c>
      <x:c r="N15" s="70" t="str">
        <x:v>HELD</x:v>
      </x:c>
      <x:c r="O15" s="70" t="str">
        <x:f>IF(AND(COUNTA(A15:D15)=4,SUM(E15:M15)&lt;=2,N15&lt;&gt;""),"PASS","FAIL")</x:f>
        <x:v>PASS</x:v>
      </x:c>
    </x:row>
  </x:sheetData>
  <x:mergeCells>
    <x:mergeCell ref="A2:O2"/>
  </x:mergeCells>
  <x:conditionalFormatting sqref="O5:O15">
    <x:cfRule type="containsText" dxfId="1" priority="1" operator="containsText" text="FAIL"/>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66" hidden="0" customWidth="1"/>
    <x:col min="4" max="4" width="17" hidden="0" customWidth="1"/>
    <x:col min="5" max="5" width="17" hidden="0" customWidth="1"/>
    <x:col min="6" max="6" width="17" hidden="0" customWidth="1"/>
    <x:col min="7" max="7" width="18" hidden="0" customWidth="1"/>
    <x:col min="8" max="8" width="16" hidden="0" customWidth="1"/>
    <x:col min="9" max="9" width="14" hidden="0" customWidth="1"/>
    <x:col min="10" max="10" width="16" hidden="0" customWidth="1"/>
  </x:cols>
  <x:sheetData>
    <x:row r="2">
      <x:c r="A2" s="60" t="str">
        <x:v>Five-pass FSA reconciliation</x:v>
      </x:c>
      <x:c r="B2" s="61"/>
      <x:c r="C2" s="61"/>
      <x:c r="D2" s="61"/>
      <x:c r="E2" s="61"/>
      <x:c r="F2" s="61"/>
      <x:c r="G2" s="61"/>
      <x:c r="H2" s="61"/>
      <x:c r="I2" s="61"/>
      <x:c r="J2" s="61"/>
    </x:row>
    <x:row r="3">
      <x:c r="A3" s="62"/>
      <x:c r="B3" s="62"/>
      <x:c r="C3" s="62"/>
      <x:c r="D3" s="62"/>
      <x:c r="E3" s="62"/>
      <x:c r="F3" s="62"/>
      <x:c r="G3" s="62"/>
      <x:c r="H3" s="62"/>
      <x:c r="I3" s="62"/>
      <x:c r="J3" s="62"/>
    </x:row>
    <x:row r="4" ht="32" customHeight="1">
      <x:c r="A4" s="14" t="str">
        <x:v>Pass</x:v>
      </x:c>
      <x:c r="B4" s="15" t="str">
        <x:v>Branch</x:v>
      </x:c>
      <x:c r="C4" s="15" t="str">
        <x:v>Question closed</x:v>
      </x:c>
      <x:c r="D4" s="15" t="str">
        <x:v>Items opened</x:v>
      </x:c>
      <x:c r="E4" s="15" t="str">
        <x:v>Items closed</x:v>
      </x:c>
      <x:c r="F4" s="15" t="str">
        <x:v>Net change</x:v>
      </x:c>
      <x:c r="G4" s="15" t="str">
        <x:v>Running total</x:v>
      </x:c>
      <x:c r="H4" s="15" t="str">
        <x:v>Branch pass</x:v>
      </x:c>
      <x:c r="I4" s="15" t="str">
        <x:v>Verdict</x:v>
      </x:c>
      <x:c r="J4" s="16" t="str">
        <x:v>Ledger check</x:v>
      </x:c>
    </x:row>
    <x:row r="5">
      <x:c r="A5" s="64" t="n">
        <x:v>226</x:v>
      </x:c>
      <x:c r="B5" s="63" t="str">
        <x:v>FSA-1</x:v>
      </x:c>
      <x:c r="C5" s="63" t="str">
        <x:v>Pre-evidence learning authority</x:v>
      </x:c>
      <x:c r="D5" s="64" t="n">
        <x:v>1</x:v>
      </x:c>
      <x:c r="E5" s="64" t="n">
        <x:v>1</x:v>
      </x:c>
      <x:c r="F5" s="64" t="n">
        <x:v>0</x:v>
      </x:c>
      <x:c r="G5" s="64" t="n">
        <x:f>Controls!$B$25+F5</x:f>
        <x:v>1</x:v>
      </x:c>
      <x:c r="H5" s="64" t="n">
        <x:v>1</x:v>
      </x:c>
      <x:c r="I5" s="63" t="str">
        <x:v>CLOSE</x:v>
      </x:c>
      <x:c r="J5" s="63" t="str">
        <x:f>IF(AND(F5=D5-E5,G5&gt;=0,H5=1,OR(I5="CLOSE",I5="RETURN")),"PASS","FAIL")</x:f>
        <x:v>PASS</x:v>
      </x:c>
    </x:row>
    <x:row r="6">
      <x:c r="A6" s="68" t="n">
        <x:v>227</x:v>
      </x:c>
      <x:c r="B6" s="67" t="str">
        <x:v>FSA-2</x:v>
      </x:c>
      <x:c r="C6" s="67" t="str">
        <x:v>Simultaneous issue and balanced cohort sequence</x:v>
      </x:c>
      <x:c r="D6" s="68" t="n">
        <x:v>1</x:v>
      </x:c>
      <x:c r="E6" s="68" t="n">
        <x:v>1</x:v>
      </x:c>
      <x:c r="F6" s="68" t="n">
        <x:v>0</x:v>
      </x:c>
      <x:c r="G6" s="68" t="n">
        <x:f>G5+F6</x:f>
        <x:v>1</x:v>
      </x:c>
      <x:c r="H6" s="68" t="n">
        <x:v>2</x:v>
      </x:c>
      <x:c r="I6" s="67" t="str">
        <x:v>CLOSE</x:v>
      </x:c>
      <x:c r="J6" s="67" t="str">
        <x:f>IF(AND(F6=D6-E6,G6&gt;=0,H6=2,OR(I6="CLOSE",I6="RETURN")),"PASS","FAIL")</x:f>
        <x:v>PASS</x:v>
      </x:c>
    </x:row>
    <x:row r="7">
      <x:c r="A7" s="68" t="n">
        <x:v>228</x:v>
      </x:c>
      <x:c r="B7" s="67" t="str">
        <x:v>FSA-3</x:v>
      </x:c>
      <x:c r="C7" s="67" t="str">
        <x:v>Source-blind root safety change law</x:v>
      </x:c>
      <x:c r="D7" s="68" t="n">
        <x:v>1</x:v>
      </x:c>
      <x:c r="E7" s="68" t="n">
        <x:v>1</x:v>
      </x:c>
      <x:c r="F7" s="68" t="n">
        <x:v>0</x:v>
      </x:c>
      <x:c r="G7" s="68" t="n">
        <x:f>G6+F7</x:f>
        <x:v>1</x:v>
      </x:c>
      <x:c r="H7" s="68" t="n">
        <x:v>3</x:v>
      </x:c>
      <x:c r="I7" s="67" t="str">
        <x:v>CLOSE</x:v>
      </x:c>
      <x:c r="J7" s="67" t="str">
        <x:f>IF(AND(F7=D7-E7,G7&gt;=0,H7=3,OR(I7="CLOSE",I7="RETURN")),"PASS","FAIL")</x:f>
        <x:v>PASS</x:v>
      </x:c>
    </x:row>
    <x:row r="8">
      <x:c r="A8" s="68" t="n">
        <x:v>229</x:v>
      </x:c>
      <x:c r="B8" s="67" t="str">
        <x:v>FSA-4</x:v>
      </x:c>
      <x:c r="C8" s="67" t="str">
        <x:v>Cohort-one fiscal and mobilization warrant</x:v>
      </x:c>
      <x:c r="D8" s="68" t="n">
        <x:v>1</x:v>
      </x:c>
      <x:c r="E8" s="68" t="n">
        <x:v>1</x:v>
      </x:c>
      <x:c r="F8" s="68" t="n">
        <x:v>0</x:v>
      </x:c>
      <x:c r="G8" s="68" t="n">
        <x:f>G7+F8</x:f>
        <x:v>1</x:v>
      </x:c>
      <x:c r="H8" s="68" t="n">
        <x:v>4</x:v>
      </x:c>
      <x:c r="I8" s="67" t="str">
        <x:v>CLOSE</x:v>
      </x:c>
      <x:c r="J8" s="67" t="str">
        <x:f>IF(AND(F8=D8-E8,G8&gt;=0,H8=4,OR(I8="CLOSE",I8="RETURN")),"PASS","FAIL")</x:f>
        <x:v>PASS</x:v>
      </x:c>
    </x:row>
    <x:row r="9">
      <x:c r="A9" s="72" t="n">
        <x:v>230</x:v>
      </x:c>
      <x:c r="B9" s="70" t="str">
        <x:v>FSA-5</x:v>
      </x:c>
      <x:c r="C9" s="70" t="str">
        <x:v>Terminal authority reconciliation and return</x:v>
      </x:c>
      <x:c r="D9" s="72" t="n">
        <x:v>0</x:v>
      </x:c>
      <x:c r="E9" s="72" t="n">
        <x:v>1</x:v>
      </x:c>
      <x:c r="F9" s="72" t="n">
        <x:v>-1</x:v>
      </x:c>
      <x:c r="G9" s="72" t="n">
        <x:f>G8+F9</x:f>
        <x:v>0</x:v>
      </x:c>
      <x:c r="H9" s="72" t="n">
        <x:v>5</x:v>
      </x:c>
      <x:c r="I9" s="70" t="str">
        <x:v>RETURN</x:v>
      </x:c>
      <x:c r="J9" s="70" t="str">
        <x:f>IF(AND(F9=D9-E9,G9&gt;=0,H9=5,OR(I9="CLOSE",I9="RETURN")),"PASS","FAIL")</x:f>
        <x:v>PASS</x:v>
      </x:c>
    </x:row>
  </x:sheetData>
  <x:mergeCells>
    <x:mergeCell ref="A2:J2"/>
  </x:mergeCells>
  <x:pageMargins left="0.7" right="0.7" top="0.75" bottom="0.75" header="0.3" footer="0.3"/>
</x:worksheet>
</file>

<file path=xl/worksheets/sheet6.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6" hidden="0" customWidth="1"/>
    <x:col min="2" max="2" width="11" hidden="0" customWidth="1"/>
    <x:col min="3" max="3" width="12" hidden="0" customWidth="1"/>
    <x:col min="4" max="4" width="44" hidden="0" customWidth="1"/>
    <x:col min="5" max="5" width="13" hidden="0" customWidth="1"/>
    <x:col min="6" max="6" width="19" hidden="0" customWidth="1"/>
    <x:col min="7" max="7" width="12" hidden="0" customWidth="1"/>
    <x:col min="8" max="8" width="20" hidden="0" customWidth="1"/>
    <x:col min="9" max="9" width="21" hidden="0" customWidth="1"/>
    <x:col min="10" max="10" width="18" hidden="0" customWidth="1"/>
    <x:col min="11" max="11" width="18" hidden="0" customWidth="1"/>
    <x:col min="12" max="12" width="15" hidden="0" customWidth="1"/>
    <x:col min="13" max="13" width="20" hidden="0" customWidth="1"/>
    <x:col min="14" max="14" width="16" hidden="0" customWidth="1"/>
    <x:col min="15" max="15" width="24" hidden="0" customWidth="1"/>
    <x:col min="16" max="16" width="14" hidden="0" customWidth="1"/>
    <x:col min="17" max="17" width="14" hidden="0" customWidth="1"/>
    <x:col min="18" max="18" width="17" hidden="0" customWidth="1"/>
    <x:col min="19" max="19" width="23" hidden="0" customWidth="1"/>
    <x:col min="20" max="20" width="20" hidden="0" customWidth="1"/>
    <x:col min="21" max="21" width="24" hidden="0" customWidth="1"/>
  </x:cols>
  <x:sheetData>
    <x:row r="2">
      <x:c r="A2" s="60" t="str">
        <x:v>Eighteen form warrants under the terminal compact</x:v>
      </x:c>
      <x:c r="B2" s="61"/>
      <x:c r="C2" s="61"/>
      <x:c r="D2" s="61"/>
      <x:c r="E2" s="61"/>
      <x:c r="F2" s="61"/>
      <x:c r="G2" s="61"/>
      <x:c r="H2" s="61"/>
      <x:c r="I2" s="61"/>
      <x:c r="J2" s="61"/>
      <x:c r="K2" s="61"/>
      <x:c r="L2" s="61"/>
      <x:c r="M2" s="61"/>
      <x:c r="N2" s="61"/>
      <x:c r="O2" s="61"/>
      <x:c r="P2" s="61"/>
      <x:c r="Q2" s="61"/>
      <x:c r="R2" s="61"/>
      <x:c r="S2" s="61"/>
      <x:c r="T2" s="61"/>
      <x:c r="U2" s="61"/>
    </x:row>
    <x:row r="3">
      <x:c r="A3" s="62"/>
      <x:c r="B3" s="62"/>
      <x:c r="C3" s="62"/>
      <x:c r="D3" s="62"/>
      <x:c r="E3" s="62"/>
      <x:c r="F3" s="62"/>
      <x:c r="G3" s="62"/>
      <x:c r="H3" s="62"/>
      <x:c r="I3" s="62"/>
      <x:c r="J3" s="62"/>
      <x:c r="K3" s="62"/>
      <x:c r="L3" s="62"/>
      <x:c r="M3" s="62"/>
      <x:c r="N3" s="62"/>
      <x:c r="O3" s="62"/>
      <x:c r="P3" s="62"/>
      <x:c r="Q3" s="62"/>
      <x:c r="R3" s="62"/>
      <x:c r="S3" s="62"/>
      <x:c r="T3" s="62"/>
      <x:c r="U3" s="62"/>
    </x:row>
    <x:row r="4" ht="32" customHeight="1">
      <x:c r="A4" s="14" t="str">
        <x:v>Form</x:v>
      </x:c>
      <x:c r="B4" s="15" t="str">
        <x:v>Root</x:v>
      </x:c>
      <x:c r="C4" s="15" t="str">
        <x:v>Variant</x:v>
      </x:c>
      <x:c r="D4" s="15" t="str">
        <x:v>Candidate form</x:v>
      </x:c>
      <x:c r="E4" s="15" t="str">
        <x:v>Cohort</x:v>
      </x:c>
      <x:c r="F4" s="15" t="str">
        <x:v>FRAME eligible</x:v>
      </x:c>
      <x:c r="G4" s="15" t="str">
        <x:v>Issued</x:v>
      </x:c>
      <x:c r="H4" s="15" t="str">
        <x:v>Reserved USD B</x:v>
      </x:c>
      <x:c r="I4" s="15" t="str">
        <x:v>Execution warrant</x:v>
      </x:c>
      <x:c r="J4" s="15" t="str">
        <x:v>Active packages</x:v>
      </x:c>
      <x:c r="K4" s="15" t="str">
        <x:v>Mobilized cell</x:v>
      </x:c>
      <x:c r="L4" s="15" t="str">
        <x:v>Root epoch</x:v>
      </x:c>
      <x:c r="M4" s="15" t="str">
        <x:v>Accepted artifacts</x:v>
      </x:c>
      <x:c r="N4" s="15" t="str">
        <x:v>Paid USD B</x:v>
      </x:c>
      <x:c r="O4" s="15" t="str">
        <x:v>Accepted observations</x:v>
      </x:c>
      <x:c r="P4" s="15" t="str">
        <x:v>Survivor</x:v>
      </x:c>
      <x:c r="Q4" s="15" t="str">
        <x:v>Selected</x:v>
      </x:c>
      <x:c r="R4" s="15" t="str">
        <x:v>Highest REP</x:v>
      </x:c>
      <x:c r="S4" s="15" t="str">
        <x:v>Current state</x:v>
      </x:c>
      <x:c r="T4" s="15" t="str">
        <x:v>Form occurrences</x:v>
      </x:c>
      <x:c r="U4" s="16" t="str">
        <x:v>Root-cohort occurrences</x:v>
      </x:c>
    </x:row>
    <x:row r="5">
      <x:c r="A5" s="63" t="str">
        <x:v>ET-A-A</x:v>
      </x:c>
      <x:c r="B5" s="63" t="str">
        <x:v>ET-A</x:v>
      </x:c>
      <x:c r="C5" s="63" t="str">
        <x:v>A</x:v>
      </x:c>
      <x:c r="D5" s="63" t="str">
        <x:v>Distributed twin-body exchange</x:v>
      </x:c>
      <x:c r="E5" s="64" t="n">
        <x:v>1</x:v>
      </x:c>
      <x:c r="F5" s="64" t="n">
        <x:v>1</x:v>
      </x:c>
      <x:c r="G5" s="64" t="n">
        <x:v>1</x:v>
      </x:c>
      <x:c r="H5" s="66" t="n">
        <x:f>INDEX('Cohort Finance'!$F$5:$F$10,MATCH(B5,'Cohort Finance'!$B$5:$B$10,0))/3</x:f>
        <x:v>0.0250237309040925</x:v>
      </x:c>
      <x:c r="I5" s="64" t="n">
        <x:v>1</x:v>
      </x:c>
      <x:c r="J5" s="64" t="n">
        <x:v>5</x:v>
      </x:c>
      <x:c r="K5" s="64" t="n">
        <x:v>1</x:v>
      </x:c>
      <x:c r="L5" s="64" t="n">
        <x:v>0</x:v>
      </x:c>
      <x:c r="M5" s="64" t="n">
        <x:v>0</x:v>
      </x:c>
      <x:c r="N5" s="66" t="n">
        <x:v>0</x:v>
      </x:c>
      <x:c r="O5" s="64" t="n">
        <x:v>0</x:v>
      </x:c>
      <x:c r="P5" s="64" t="n">
        <x:v>0</x:v>
      </x:c>
      <x:c r="Q5" s="64" t="n">
        <x:v>0</x:v>
      </x:c>
      <x:c r="R5" s="64" t="n">
        <x:v>3</x:v>
      </x:c>
      <x:c r="S5" s="63" t="str">
        <x:f>IF(E5=1,IF(AND(F5=1,G5=1,I5=1,J5=5,K5=1,L5=0,M5=0,N5=0,O5=0,P5=0,Q5=0,R5=3),"WORK ACTIVE","INVALID"),IF(AND(F5=1,G5=1,I5=0,J5=0,K5=0,L5=0,M5=0,N5=0,O5=0,P5=0,Q5=0,R5=3),"ISSUED / RESERVED","INVALID"))</x:f>
        <x:v>WORK ACTIVE</x:v>
      </x:c>
      <x:c r="T5" s="64" t="n">
        <x:f>COUNTIFS($A$5:$A$22,A5)</x:f>
        <x:v>1</x:v>
      </x:c>
      <x:c r="U5" s="64" t="n">
        <x:f>COUNTIFS($B$5:$B$22,B5,$E$5:$E$22,E5)</x:f>
        <x:v>1</x:v>
      </x:c>
    </x:row>
    <x:row r="6">
      <x:c r="A6" s="67" t="str">
        <x:v>ET-A-B</x:v>
      </x:c>
      <x:c r="B6" s="67" t="str">
        <x:v>ET-A</x:v>
      </x:c>
      <x:c r="C6" s="67" t="str">
        <x:v>B</x:v>
      </x:c>
      <x:c r="D6" s="67" t="str">
        <x:v>Dual-chain articulated offshore spine</x:v>
      </x:c>
      <x:c r="E6" s="68" t="n">
        <x:v>2</x:v>
      </x:c>
      <x:c r="F6" s="68" t="n">
        <x:v>1</x:v>
      </x:c>
      <x:c r="G6" s="68" t="n">
        <x:v>1</x:v>
      </x:c>
      <x:c r="H6" s="69" t="n">
        <x:v>0.0250237309040925</x:v>
      </x:c>
      <x:c r="I6" s="68" t="n">
        <x:v>0</x:v>
      </x:c>
      <x:c r="J6" s="68" t="n">
        <x:v>0</x:v>
      </x:c>
      <x:c r="K6" s="68" t="n">
        <x:v>0</x:v>
      </x:c>
      <x:c r="L6" s="68" t="n">
        <x:v>0</x:v>
      </x:c>
      <x:c r="M6" s="68" t="n">
        <x:v>0</x:v>
      </x:c>
      <x:c r="N6" s="69" t="n">
        <x:v>0</x:v>
      </x:c>
      <x:c r="O6" s="68" t="n">
        <x:v>0</x:v>
      </x:c>
      <x:c r="P6" s="68" t="n">
        <x:v>0</x:v>
      </x:c>
      <x:c r="Q6" s="68" t="n">
        <x:v>0</x:v>
      </x:c>
      <x:c r="R6" s="68" t="n">
        <x:v>3</x:v>
      </x:c>
      <x:c r="S6" s="67" t="str">
        <x:f>IF(E6=1,IF(AND(F6=1,G6=1,I6=1,J6=5,K6=1,L6=0,M6=0,N6=0,O6=0,P6=0,Q6=0,R6=3),"WORK ACTIVE","INVALID"),IF(AND(F6=1,G6=1,I6=0,J6=0,K6=0,L6=0,M6=0,N6=0,O6=0,P6=0,Q6=0,R6=3),"ISSUED / RESERVED","INVALID"))</x:f>
        <x:v>ISSUED / RESERVED</x:v>
      </x:c>
      <x:c r="T6" s="68" t="n">
        <x:f>COUNTIFS($A$5:$A$22,A6)</x:f>
        <x:v>1</x:v>
      </x:c>
      <x:c r="U6" s="68" t="n">
        <x:f>COUNTIFS($B$5:$B$22,B6,$E$5:$E$22,E6)</x:f>
        <x:v>1</x:v>
      </x:c>
    </x:row>
    <x:row r="7">
      <x:c r="A7" s="67" t="str">
        <x:v>ET-A-C</x:v>
      </x:c>
      <x:c r="B7" s="67" t="str">
        <x:v>ET-A</x:v>
      </x:c>
      <x:c r="C7" s="67" t="str">
        <x:v>C</x:v>
      </x:c>
      <x:c r="D7" s="67" t="str">
        <x:v>Split-frame semi-submersible lattice</x:v>
      </x:c>
      <x:c r="E7" s="68" t="n">
        <x:v>3</x:v>
      </x:c>
      <x:c r="F7" s="68" t="n">
        <x:v>1</x:v>
      </x:c>
      <x:c r="G7" s="68" t="n">
        <x:v>1</x:v>
      </x:c>
      <x:c r="H7" s="69" t="n">
        <x:f>INDEX('Cohort Finance'!$F$5:$F$10,MATCH(B7,'Cohort Finance'!$B$5:$B$10,0))/3</x:f>
        <x:v>0.0250237309040925</x:v>
      </x:c>
      <x:c r="I7" s="68" t="n">
        <x:v>0</x:v>
      </x:c>
      <x:c r="J7" s="68" t="n">
        <x:v>0</x:v>
      </x:c>
      <x:c r="K7" s="68" t="n">
        <x:v>0</x:v>
      </x:c>
      <x:c r="L7" s="68" t="n">
        <x:v>0</x:v>
      </x:c>
      <x:c r="M7" s="68" t="n">
        <x:v>0</x:v>
      </x:c>
      <x:c r="N7" s="69" t="n">
        <x:v>0</x:v>
      </x:c>
      <x:c r="O7" s="68" t="n">
        <x:v>0</x:v>
      </x:c>
      <x:c r="P7" s="68" t="n">
        <x:v>0</x:v>
      </x:c>
      <x:c r="Q7" s="68" t="n">
        <x:v>0</x:v>
      </x:c>
      <x:c r="R7" s="68" t="n">
        <x:v>3</x:v>
      </x:c>
      <x:c r="S7" s="67" t="str">
        <x:f>IF(E7=1,IF(AND(F7=1,G7=1,I7=1,J7=5,K7=1,L7=0,M7=0,N7=0,O7=0,P7=0,Q7=0,R7=3),"WORK ACTIVE","INVALID"),IF(AND(F7=1,G7=1,I7=0,J7=0,K7=0,L7=0,M7=0,N7=0,O7=0,P7=0,Q7=0,R7=3),"ISSUED / RESERVED","INVALID"))</x:f>
        <x:v>ISSUED / RESERVED</x:v>
      </x:c>
      <x:c r="T7" s="68" t="n">
        <x:f>COUNTIFS($A$5:$A$22,A7)</x:f>
        <x:v>1</x:v>
      </x:c>
      <x:c r="U7" s="68" t="n">
        <x:f>COUNTIFS($B$5:$B$22,B7,$E$5:$E$22,E7)</x:f>
        <x:v>1</x:v>
      </x:c>
    </x:row>
    <x:row r="8">
      <x:c r="A8" s="67" t="str">
        <x:v>CT-C-A</x:v>
      </x:c>
      <x:c r="B8" s="67" t="str">
        <x:v>CT-C</x:v>
      </x:c>
      <x:c r="C8" s="67" t="str">
        <x:v>A</x:v>
      </x:c>
      <x:c r="D8" s="67" t="str">
        <x:v>Segmented telescoping utility spine</x:v>
      </x:c>
      <x:c r="E8" s="68" t="n">
        <x:v>3</x:v>
      </x:c>
      <x:c r="F8" s="68" t="n">
        <x:v>1</x:v>
      </x:c>
      <x:c r="G8" s="68" t="n">
        <x:v>1</x:v>
      </x:c>
      <x:c r="H8" s="69" t="n">
        <x:f>INDEX('Cohort Finance'!$F$5:$F$10,MATCH(B8,'Cohort Finance'!$B$5:$B$10,0))/3</x:f>
        <x:v>0.025824674088698</x:v>
      </x:c>
      <x:c r="I8" s="68" t="n">
        <x:v>0</x:v>
      </x:c>
      <x:c r="J8" s="68" t="n">
        <x:v>0</x:v>
      </x:c>
      <x:c r="K8" s="68" t="n">
        <x:v>0</x:v>
      </x:c>
      <x:c r="L8" s="68" t="n">
        <x:v>0</x:v>
      </x:c>
      <x:c r="M8" s="68" t="n">
        <x:v>0</x:v>
      </x:c>
      <x:c r="N8" s="69" t="n">
        <x:v>0</x:v>
      </x:c>
      <x:c r="O8" s="68" t="n">
        <x:v>0</x:v>
      </x:c>
      <x:c r="P8" s="68" t="n">
        <x:v>0</x:v>
      </x:c>
      <x:c r="Q8" s="68" t="n">
        <x:v>0</x:v>
      </x:c>
      <x:c r="R8" s="68" t="n">
        <x:v>3</x:v>
      </x:c>
      <x:c r="S8" s="67" t="str">
        <x:f>IF(E8=1,IF(AND(F8=1,G8=1,I8=1,J8=5,K8=1,L8=0,M8=0,N8=0,O8=0,P8=0,Q8=0,R8=3),"WORK ACTIVE","INVALID"),IF(AND(F8=1,G8=1,I8=0,J8=0,K8=0,L8=0,M8=0,N8=0,O8=0,P8=0,Q8=0,R8=3),"ISSUED / RESERVED","INVALID"))</x:f>
        <x:v>ISSUED / RESERVED</x:v>
      </x:c>
      <x:c r="T8" s="68" t="n">
        <x:f>COUNTIFS($A$5:$A$22,A8)</x:f>
        <x:v>1</x:v>
      </x:c>
      <x:c r="U8" s="68" t="n">
        <x:f>COUNTIFS($B$5:$B$22,B8,$E$5:$E$22,E8)</x:f>
        <x:v>1</x:v>
      </x:c>
    </x:row>
    <x:row r="9">
      <x:c r="A9" s="67" t="str">
        <x:v>CT-C-B</x:v>
      </x:c>
      <x:c r="B9" s="67" t="str">
        <x:v>CT-C</x:v>
      </x:c>
      <x:c r="C9" s="67" t="str">
        <x:v>B</x:v>
      </x:c>
      <x:c r="D9" s="67" t="str">
        <x:v>Sectional suspended utility belt</x:v>
      </x:c>
      <x:c r="E9" s="68" t="n">
        <x:v>1</x:v>
      </x:c>
      <x:c r="F9" s="68" t="n">
        <x:v>1</x:v>
      </x:c>
      <x:c r="G9" s="68" t="n">
        <x:v>1</x:v>
      </x:c>
      <x:c r="H9" s="69" t="n">
        <x:f>INDEX('Cohort Finance'!$F$5:$F$10,MATCH(B9,'Cohort Finance'!$B$5:$B$10,0))/3</x:f>
        <x:v>0.025824674088698</x:v>
      </x:c>
      <x:c r="I9" s="68" t="n">
        <x:v>1</x:v>
      </x:c>
      <x:c r="J9" s="68" t="n">
        <x:v>5</x:v>
      </x:c>
      <x:c r="K9" s="68" t="n">
        <x:v>1</x:v>
      </x:c>
      <x:c r="L9" s="68" t="n">
        <x:v>0</x:v>
      </x:c>
      <x:c r="M9" s="68" t="n">
        <x:v>0</x:v>
      </x:c>
      <x:c r="N9" s="69" t="n">
        <x:v>0</x:v>
      </x:c>
      <x:c r="O9" s="68" t="n">
        <x:v>0</x:v>
      </x:c>
      <x:c r="P9" s="68" t="n">
        <x:v>0</x:v>
      </x:c>
      <x:c r="Q9" s="68" t="n">
        <x:v>0</x:v>
      </x:c>
      <x:c r="R9" s="68" t="n">
        <x:v>3</x:v>
      </x:c>
      <x:c r="S9" s="67" t="str">
        <x:f>IF(E9=1,IF(AND(F9=1,G9=1,I9=1,J9=5,K9=1,L9=0,M9=0,N9=0,O9=0,P9=0,Q9=0,R9=3),"WORK ACTIVE","INVALID"),IF(AND(F9=1,G9=1,I9=0,J9=0,K9=0,L9=0,M9=0,N9=0,O9=0,P9=0,Q9=0,R9=3),"ISSUED / RESERVED","INVALID"))</x:f>
        <x:v>WORK ACTIVE</x:v>
      </x:c>
      <x:c r="T9" s="68" t="n">
        <x:f>COUNTIFS($A$5:$A$22,A9)</x:f>
        <x:v>1</x:v>
      </x:c>
      <x:c r="U9" s="68" t="n">
        <x:f>COUNTIFS($B$5:$B$22,B9,$E$5:$E$22,E9)</x:f>
        <x:v>1</x:v>
      </x:c>
    </x:row>
    <x:row r="10">
      <x:c r="A10" s="67" t="str">
        <x:v>CT-C-C</x:v>
      </x:c>
      <x:c r="B10" s="67" t="str">
        <x:v>CT-C</x:v>
      </x:c>
      <x:c r="C10" s="67" t="str">
        <x:v>C</x:v>
      </x:c>
      <x:c r="D10" s="67" t="str">
        <x:v>Mast-and-bridge insertion grid</x:v>
      </x:c>
      <x:c r="E10" s="68" t="n">
        <x:v>2</x:v>
      </x:c>
      <x:c r="F10" s="68" t="n">
        <x:v>1</x:v>
      </x:c>
      <x:c r="G10" s="68" t="n">
        <x:v>1</x:v>
      </x:c>
      <x:c r="H10" s="69" t="n">
        <x:f>INDEX('Cohort Finance'!$F$5:$F$10,MATCH(B10,'Cohort Finance'!$B$5:$B$10,0))/3</x:f>
        <x:v>0.025824674088698</x:v>
      </x:c>
      <x:c r="I10" s="68" t="n">
        <x:v>0</x:v>
      </x:c>
      <x:c r="J10" s="68" t="n">
        <x:v>0</x:v>
      </x:c>
      <x:c r="K10" s="68" t="n">
        <x:v>0</x:v>
      </x:c>
      <x:c r="L10" s="68" t="n">
        <x:v>0</x:v>
      </x:c>
      <x:c r="M10" s="68" t="n">
        <x:v>0</x:v>
      </x:c>
      <x:c r="N10" s="69" t="n">
        <x:v>0</x:v>
      </x:c>
      <x:c r="O10" s="68" t="n">
        <x:v>0</x:v>
      </x:c>
      <x:c r="P10" s="68" t="n">
        <x:v>0</x:v>
      </x:c>
      <x:c r="Q10" s="68" t="n">
        <x:v>0</x:v>
      </x:c>
      <x:c r="R10" s="68" t="n">
        <x:v>3</x:v>
      </x:c>
      <x:c r="S10" s="67" t="str">
        <x:f>IF(E10=1,IF(AND(F10=1,G10=1,I10=1,J10=5,K10=1,L10=0,M10=0,N10=0,O10=0,P10=0,Q10=0,R10=3),"WORK ACTIVE","INVALID"),IF(AND(F10=1,G10=1,I10=0,J10=0,K10=0,L10=0,M10=0,N10=0,O10=0,P10=0,Q10=0,R10=3),"ISSUED / RESERVED","INVALID"))</x:f>
        <x:v>ISSUED / RESERVED</x:v>
      </x:c>
      <x:c r="T10" s="68" t="n">
        <x:f>COUNTIFS($A$5:$A$22,A10)</x:f>
        <x:v>1</x:v>
      </x:c>
      <x:c r="U10" s="68" t="n">
        <x:f>COUNTIFS($B$5:$B$22,B10,$E$5:$E$22,E10)</x:f>
        <x:v>1</x:v>
      </x:c>
    </x:row>
    <x:row r="11">
      <x:c r="A11" s="67" t="str">
        <x:v>HC-A-A</x:v>
      </x:c>
      <x:c r="B11" s="67" t="str">
        <x:v>HC-A</x:v>
      </x:c>
      <x:c r="C11" s="67" t="str">
        <x:v>A</x:v>
      </x:c>
      <x:c r="D11" s="67" t="str">
        <x:v>Independent winged sector cells</x:v>
      </x:c>
      <x:c r="E11" s="68" t="n">
        <x:v>2</x:v>
      </x:c>
      <x:c r="F11" s="68" t="n">
        <x:v>1</x:v>
      </x:c>
      <x:c r="G11" s="68" t="n">
        <x:v>1</x:v>
      </x:c>
      <x:c r="H11" s="69" t="n">
        <x:f>INDEX('Cohort Finance'!$F$5:$F$10,MATCH(B11,'Cohort Finance'!$B$5:$B$10,0))/3</x:f>
        <x:v>0.015361082703356649</x:v>
      </x:c>
      <x:c r="I11" s="68" t="n">
        <x:v>0</x:v>
      </x:c>
      <x:c r="J11" s="68" t="n">
        <x:v>0</x:v>
      </x:c>
      <x:c r="K11" s="68" t="n">
        <x:v>0</x:v>
      </x:c>
      <x:c r="L11" s="68" t="n">
        <x:v>0</x:v>
      </x:c>
      <x:c r="M11" s="68" t="n">
        <x:v>0</x:v>
      </x:c>
      <x:c r="N11" s="69" t="n">
        <x:v>0</x:v>
      </x:c>
      <x:c r="O11" s="68" t="n">
        <x:v>0</x:v>
      </x:c>
      <x:c r="P11" s="68" t="n">
        <x:v>0</x:v>
      </x:c>
      <x:c r="Q11" s="68" t="n">
        <x:v>0</x:v>
      </x:c>
      <x:c r="R11" s="68" t="n">
        <x:v>3</x:v>
      </x:c>
      <x:c r="S11" s="67" t="str">
        <x:f>IF(E11=1,IF(AND(F11=1,G11=1,I11=1,J11=5,K11=1,L11=0,M11=0,N11=0,O11=0,P11=0,Q11=0,R11=3),"WORK ACTIVE","INVALID"),IF(AND(F11=1,G11=1,I11=0,J11=0,K11=0,L11=0,M11=0,N11=0,O11=0,P11=0,Q11=0,R11=3),"ISSUED / RESERVED","INVALID"))</x:f>
        <x:v>ISSUED / RESERVED</x:v>
      </x:c>
      <x:c r="T11" s="68" t="n">
        <x:f>COUNTIFS($A$5:$A$22,A11)</x:f>
        <x:v>1</x:v>
      </x:c>
      <x:c r="U11" s="68" t="n">
        <x:f>COUNTIFS($B$5:$B$22,B11,$E$5:$E$22,E11)</x:f>
        <x:v>1</x:v>
      </x:c>
    </x:row>
    <x:row r="12">
      <x:c r="A12" s="67" t="str">
        <x:v>HC-A-B</x:v>
      </x:c>
      <x:c r="B12" s="67" t="str">
        <x:v>HC-A</x:v>
      </x:c>
      <x:c r="C12" s="67" t="str">
        <x:v>B</x:v>
      </x:c>
      <x:c r="D12" s="67" t="str">
        <x:v>Independent aerostat sector cells</x:v>
      </x:c>
      <x:c r="E12" s="68" t="n">
        <x:v>3</x:v>
      </x:c>
      <x:c r="F12" s="68" t="n">
        <x:v>1</x:v>
      </x:c>
      <x:c r="G12" s="68" t="n">
        <x:v>1</x:v>
      </x:c>
      <x:c r="H12" s="69" t="n">
        <x:f>INDEX('Cohort Finance'!$F$5:$F$10,MATCH(B12,'Cohort Finance'!$B$5:$B$10,0))/3</x:f>
        <x:v>0.015361082703356649</x:v>
      </x:c>
      <x:c r="I12" s="68" t="n">
        <x:v>0</x:v>
      </x:c>
      <x:c r="J12" s="68" t="n">
        <x:v>0</x:v>
      </x:c>
      <x:c r="K12" s="68" t="n">
        <x:v>0</x:v>
      </x:c>
      <x:c r="L12" s="68" t="n">
        <x:v>0</x:v>
      </x:c>
      <x:c r="M12" s="68" t="n">
        <x:v>0</x:v>
      </x:c>
      <x:c r="N12" s="69" t="n">
        <x:v>0</x:v>
      </x:c>
      <x:c r="O12" s="68" t="n">
        <x:v>0</x:v>
      </x:c>
      <x:c r="P12" s="68" t="n">
        <x:v>0</x:v>
      </x:c>
      <x:c r="Q12" s="68" t="n">
        <x:v>0</x:v>
      </x:c>
      <x:c r="R12" s="68" t="n">
        <x:v>3</x:v>
      </x:c>
      <x:c r="S12" s="67" t="str">
        <x:f>IF(E12=1,IF(AND(F12=1,G12=1,I12=1,J12=5,K12=1,L12=0,M12=0,N12=0,O12=0,P12=0,Q12=0,R12=3),"WORK ACTIVE","INVALID"),IF(AND(F12=1,G12=1,I12=0,J12=0,K12=0,L12=0,M12=0,N12=0,O12=0,P12=0,Q12=0,R12=3),"ISSUED / RESERVED","INVALID"))</x:f>
        <x:v>ISSUED / RESERVED</x:v>
      </x:c>
      <x:c r="T12" s="68" t="n">
        <x:f>COUNTIFS($A$5:$A$22,A12)</x:f>
        <x:v>1</x:v>
      </x:c>
      <x:c r="U12" s="68" t="n">
        <x:f>COUNTIFS($B$5:$B$22,B12,$E$5:$E$22,E12)</x:f>
        <x:v>1</x:v>
      </x:c>
    </x:row>
    <x:row r="13">
      <x:c r="A13" s="67" t="str">
        <x:v>HC-A-C</x:v>
      </x:c>
      <x:c r="B13" s="67" t="str">
        <x:v>HC-A</x:v>
      </x:c>
      <x:c r="C13" s="67" t="str">
        <x:v>C</x:v>
      </x:c>
      <x:c r="D13" s="67" t="str">
        <x:v>Distributed rotorborne cells</x:v>
      </x:c>
      <x:c r="E13" s="68" t="n">
        <x:v>1</x:v>
      </x:c>
      <x:c r="F13" s="68" t="n">
        <x:v>1</x:v>
      </x:c>
      <x:c r="G13" s="68" t="n">
        <x:v>1</x:v>
      </x:c>
      <x:c r="H13" s="69" t="n">
        <x:f>INDEX('Cohort Finance'!$F$5:$F$10,MATCH(B13,'Cohort Finance'!$B$5:$B$10,0))/3</x:f>
        <x:v>0.015361082703356649</x:v>
      </x:c>
      <x:c r="I13" s="68" t="n">
        <x:v>1</x:v>
      </x:c>
      <x:c r="J13" s="68" t="n">
        <x:v>5</x:v>
      </x:c>
      <x:c r="K13" s="68" t="n">
        <x:v>1</x:v>
      </x:c>
      <x:c r="L13" s="68" t="n">
        <x:v>0</x:v>
      </x:c>
      <x:c r="M13" s="68" t="n">
        <x:v>0</x:v>
      </x:c>
      <x:c r="N13" s="69" t="n">
        <x:v>0</x:v>
      </x:c>
      <x:c r="O13" s="68" t="n">
        <x:v>0</x:v>
      </x:c>
      <x:c r="P13" s="68" t="n">
        <x:v>0</x:v>
      </x:c>
      <x:c r="Q13" s="68" t="n">
        <x:v>0</x:v>
      </x:c>
      <x:c r="R13" s="68" t="n">
        <x:v>3</x:v>
      </x:c>
      <x:c r="S13" s="67" t="str">
        <x:f>IF(E13=1,IF(AND(F13=1,G13=1,I13=1,J13=5,K13=1,L13=0,M13=0,N13=0,O13=0,P13=0,Q13=0,R13=3),"WORK ACTIVE","INVALID"),IF(AND(F13=1,G13=1,I13=0,J13=0,K13=0,L13=0,M13=0,N13=0,O13=0,P13=0,Q13=0,R13=3),"ISSUED / RESERVED","INVALID"))</x:f>
        <x:v>WORK ACTIVE</x:v>
      </x:c>
      <x:c r="T13" s="68" t="n">
        <x:f>COUNTIFS($A$5:$A$22,A13)</x:f>
        <x:v>1</x:v>
      </x:c>
      <x:c r="U13" s="68" t="n">
        <x:f>COUNTIFS($B$5:$B$22,B13,$E$5:$E$22,E13)</x:f>
        <x:v>1</x:v>
      </x:c>
    </x:row>
    <x:row r="14">
      <x:c r="A14" s="67" t="str">
        <x:v>LF-B-A</x:v>
      </x:c>
      <x:c r="B14" s="67" t="str">
        <x:v>LF-B</x:v>
      </x:c>
      <x:c r="C14" s="67" t="str">
        <x:v>A</x:v>
      </x:c>
      <x:c r="D14" s="67" t="str">
        <x:v>Cellular radial multi-bore field</x:v>
      </x:c>
      <x:c r="E14" s="68" t="n">
        <x:v>1</x:v>
      </x:c>
      <x:c r="F14" s="68" t="n">
        <x:v>1</x:v>
      </x:c>
      <x:c r="G14" s="68" t="n">
        <x:v>1</x:v>
      </x:c>
      <x:c r="H14" s="69" t="n">
        <x:f>INDEX('Cohort Finance'!$F$5:$F$10,MATCH(B14,'Cohort Finance'!$B$5:$B$10,0))/3</x:f>
        <x:v>0.04497064096602826</x:v>
      </x:c>
      <x:c r="I14" s="68" t="n">
        <x:v>1</x:v>
      </x:c>
      <x:c r="J14" s="68" t="n">
        <x:v>5</x:v>
      </x:c>
      <x:c r="K14" s="68" t="n">
        <x:v>1</x:v>
      </x:c>
      <x:c r="L14" s="68" t="n">
        <x:v>0</x:v>
      </x:c>
      <x:c r="M14" s="68" t="n">
        <x:v>0</x:v>
      </x:c>
      <x:c r="N14" s="69" t="n">
        <x:v>0</x:v>
      </x:c>
      <x:c r="O14" s="68" t="n">
        <x:v>0</x:v>
      </x:c>
      <x:c r="P14" s="68" t="n">
        <x:v>0</x:v>
      </x:c>
      <x:c r="Q14" s="68" t="n">
        <x:v>0</x:v>
      </x:c>
      <x:c r="R14" s="68" t="n">
        <x:v>3</x:v>
      </x:c>
      <x:c r="S14" s="67" t="str">
        <x:f>IF(E14=1,IF(AND(F14=1,G14=1,I14=1,J14=5,K14=1,L14=0,M14=0,N14=0,O14=0,P14=0,Q14=0,R14=3),"WORK ACTIVE","INVALID"),IF(AND(F14=1,G14=1,I14=0,J14=0,K14=0,L14=0,M14=0,N14=0,O14=0,P14=0,Q14=0,R14=3),"ISSUED / RESERVED","INVALID"))</x:f>
        <x:v>WORK ACTIVE</x:v>
      </x:c>
      <x:c r="T14" s="68" t="n">
        <x:f>COUNTIFS($A$5:$A$22,A14)</x:f>
        <x:v>1</x:v>
      </x:c>
      <x:c r="U14" s="68" t="n">
        <x:f>COUNTIFS($B$5:$B$22,B14,$E$5:$E$22,E14)</x:f>
        <x:v>1</x:v>
      </x:c>
    </x:row>
    <x:row r="15">
      <x:c r="A15" s="67" t="str">
        <x:v>LF-B-B</x:v>
      </x:c>
      <x:c r="B15" s="67" t="str">
        <x:v>LF-B</x:v>
      </x:c>
      <x:c r="C15" s="67" t="str">
        <x:v>B</x:v>
      </x:c>
      <x:c r="D15" s="67" t="str">
        <x:v>Dual-basin roadless source train</x:v>
      </x:c>
      <x:c r="E15" s="68" t="n">
        <x:v>3</x:v>
      </x:c>
      <x:c r="F15" s="68" t="n">
        <x:v>1</x:v>
      </x:c>
      <x:c r="G15" s="68" t="n">
        <x:v>1</x:v>
      </x:c>
      <x:c r="H15" s="69" t="n">
        <x:f>INDEX('Cohort Finance'!$F$5:$F$10,MATCH(B15,'Cohort Finance'!$B$5:$B$10,0))/3</x:f>
        <x:v>0.04497064096602826</x:v>
      </x:c>
      <x:c r="I15" s="68" t="n">
        <x:v>0</x:v>
      </x:c>
      <x:c r="J15" s="68" t="n">
        <x:v>0</x:v>
      </x:c>
      <x:c r="K15" s="68" t="n">
        <x:v>0</x:v>
      </x:c>
      <x:c r="L15" s="68" t="n">
        <x:v>0</x:v>
      </x:c>
      <x:c r="M15" s="68" t="n">
        <x:v>0</x:v>
      </x:c>
      <x:c r="N15" s="69" t="n">
        <x:v>0</x:v>
      </x:c>
      <x:c r="O15" s="68" t="n">
        <x:v>0</x:v>
      </x:c>
      <x:c r="P15" s="68" t="n">
        <x:v>0</x:v>
      </x:c>
      <x:c r="Q15" s="68" t="n">
        <x:v>0</x:v>
      </x:c>
      <x:c r="R15" s="68" t="n">
        <x:v>3</x:v>
      </x:c>
      <x:c r="S15" s="67" t="str">
        <x:f>IF(E15=1,IF(AND(F15=1,G15=1,I15=1,J15=5,K15=1,L15=0,M15=0,N15=0,O15=0,P15=0,Q15=0,R15=3),"WORK ACTIVE","INVALID"),IF(AND(F15=1,G15=1,I15=0,J15=0,K15=0,L15=0,M15=0,N15=0,O15=0,P15=0,Q15=0,R15=3),"ISSUED / RESERVED","INVALID"))</x:f>
        <x:v>ISSUED / RESERVED</x:v>
      </x:c>
      <x:c r="T15" s="68" t="n">
        <x:f>COUNTIFS($A$5:$A$22,A15)</x:f>
        <x:v>1</x:v>
      </x:c>
      <x:c r="U15" s="68" t="n">
        <x:f>COUNTIFS($B$5:$B$22,B15,$E$5:$E$22,E15)</x:f>
        <x:v>1</x:v>
      </x:c>
    </x:row>
    <x:row r="16">
      <x:c r="A16" s="67" t="str">
        <x:v>LF-B-C</x:v>
      </x:c>
      <x:c r="B16" s="67" t="str">
        <x:v>LF-B</x:v>
      </x:c>
      <x:c r="C16" s="67" t="str">
        <x:v>C</x:v>
      </x:c>
      <x:c r="D16" s="67" t="str">
        <x:v>Nearshore caisson source archipelago</x:v>
      </x:c>
      <x:c r="E16" s="68" t="n">
        <x:v>2</x:v>
      </x:c>
      <x:c r="F16" s="68" t="n">
        <x:v>1</x:v>
      </x:c>
      <x:c r="G16" s="68" t="n">
        <x:v>1</x:v>
      </x:c>
      <x:c r="H16" s="69" t="n">
        <x:f>INDEX('Cohort Finance'!$F$5:$F$10,MATCH(B16,'Cohort Finance'!$B$5:$B$10,0))/3</x:f>
        <x:v>0.04497064096602826</x:v>
      </x:c>
      <x:c r="I16" s="68" t="n">
        <x:v>0</x:v>
      </x:c>
      <x:c r="J16" s="68" t="n">
        <x:v>0</x:v>
      </x:c>
      <x:c r="K16" s="68" t="n">
        <x:v>0</x:v>
      </x:c>
      <x:c r="L16" s="68" t="n">
        <x:v>0</x:v>
      </x:c>
      <x:c r="M16" s="68" t="n">
        <x:v>0</x:v>
      </x:c>
      <x:c r="N16" s="69" t="n">
        <x:v>0</x:v>
      </x:c>
      <x:c r="O16" s="68" t="n">
        <x:v>0</x:v>
      </x:c>
      <x:c r="P16" s="68" t="n">
        <x:v>0</x:v>
      </x:c>
      <x:c r="Q16" s="68" t="n">
        <x:v>0</x:v>
      </x:c>
      <x:c r="R16" s="68" t="n">
        <x:v>3</x:v>
      </x:c>
      <x:c r="S16" s="67" t="str">
        <x:f>IF(E16=1,IF(AND(F16=1,G16=1,I16=1,J16=5,K16=1,L16=0,M16=0,N16=0,O16=0,P16=0,Q16=0,R16=3),"WORK ACTIVE","INVALID"),IF(AND(F16=1,G16=1,I16=0,J16=0,K16=0,L16=0,M16=0,N16=0,O16=0,P16=0,Q16=0,R16=3),"ISSUED / RESERVED","INVALID"))</x:f>
        <x:v>ISSUED / RESERVED</x:v>
      </x:c>
      <x:c r="T16" s="68" t="n">
        <x:f>COUNTIFS($A$5:$A$22,A16)</x:f>
        <x:v>1</x:v>
      </x:c>
      <x:c r="U16" s="68" t="n">
        <x:f>COUNTIFS($B$5:$B$22,B16,$E$5:$E$22,E16)</x:f>
        <x:v>1</x:v>
      </x:c>
    </x:row>
    <x:row r="17">
      <x:c r="A17" s="67" t="str">
        <x:v>HU-A-A</x:v>
      </x:c>
      <x:c r="B17" s="67" t="str">
        <x:v>HU-A</x:v>
      </x:c>
      <x:c r="C17" s="67" t="str">
        <x:v>A</x:v>
      </x:c>
      <x:c r="D17" s="67" t="str">
        <x:v>Utility-separated clinical courtyards</x:v>
      </x:c>
      <x:c r="E17" s="68" t="n">
        <x:v>2</x:v>
      </x:c>
      <x:c r="F17" s="68" t="n">
        <x:v>1</x:v>
      </x:c>
      <x:c r="G17" s="68" t="n">
        <x:v>1</x:v>
      </x:c>
      <x:c r="H17" s="69" t="n">
        <x:f>INDEX('Cohort Finance'!$F$5:$F$10,MATCH(B17,'Cohort Finance'!$B$5:$B$10,0))/3</x:f>
        <x:v>0.043035622647054746</x:v>
      </x:c>
      <x:c r="I17" s="68" t="n">
        <x:v>0</x:v>
      </x:c>
      <x:c r="J17" s="68" t="n">
        <x:v>0</x:v>
      </x:c>
      <x:c r="K17" s="68" t="n">
        <x:v>0</x:v>
      </x:c>
      <x:c r="L17" s="68" t="n">
        <x:v>0</x:v>
      </x:c>
      <x:c r="M17" s="68" t="n">
        <x:v>0</x:v>
      </x:c>
      <x:c r="N17" s="69" t="n">
        <x:v>0</x:v>
      </x:c>
      <x:c r="O17" s="68" t="n">
        <x:v>0</x:v>
      </x:c>
      <x:c r="P17" s="68" t="n">
        <x:v>0</x:v>
      </x:c>
      <x:c r="Q17" s="68" t="n">
        <x:v>0</x:v>
      </x:c>
      <x:c r="R17" s="68" t="n">
        <x:v>3</x:v>
      </x:c>
      <x:c r="S17" s="67" t="str">
        <x:f>IF(E17=1,IF(AND(F17=1,G17=1,I17=1,J17=5,K17=1,L17=0,M17=0,N17=0,O17=0,P17=0,Q17=0,R17=3),"WORK ACTIVE","INVALID"),IF(AND(F17=1,G17=1,I17=0,J17=0,K17=0,L17=0,M17=0,N17=0,O17=0,P17=0,Q17=0,R17=3),"ISSUED / RESERVED","INVALID"))</x:f>
        <x:v>ISSUED / RESERVED</x:v>
      </x:c>
      <x:c r="T17" s="68" t="n">
        <x:f>COUNTIFS($A$5:$A$22,A17)</x:f>
        <x:v>1</x:v>
      </x:c>
      <x:c r="U17" s="68" t="n">
        <x:f>COUNTIFS($B$5:$B$22,B17,$E$5:$E$22,E17)</x:f>
        <x:v>1</x:v>
      </x:c>
    </x:row>
    <x:row r="18">
      <x:c r="A18" s="67" t="str">
        <x:v>HU-A-B</x:v>
      </x:c>
      <x:c r="B18" s="67" t="str">
        <x:v>HU-A</x:v>
      </x:c>
      <x:c r="C18" s="67" t="str">
        <x:v>B</x:v>
      </x:c>
      <x:c r="D18" s="67" t="str">
        <x:v>Sectional bypassed care spine</x:v>
      </x:c>
      <x:c r="E18" s="68" t="n">
        <x:v>1</x:v>
      </x:c>
      <x:c r="F18" s="68" t="n">
        <x:v>1</x:v>
      </x:c>
      <x:c r="G18" s="68" t="n">
        <x:v>1</x:v>
      </x:c>
      <x:c r="H18" s="69" t="n">
        <x:f>INDEX('Cohort Finance'!$F$5:$F$10,MATCH(B18,'Cohort Finance'!$B$5:$B$10,0))/3</x:f>
        <x:v>0.043035622647054746</x:v>
      </x:c>
      <x:c r="I18" s="68" t="n">
        <x:v>1</x:v>
      </x:c>
      <x:c r="J18" s="68" t="n">
        <x:v>5</x:v>
      </x:c>
      <x:c r="K18" s="68" t="n">
        <x:v>1</x:v>
      </x:c>
      <x:c r="L18" s="68" t="n">
        <x:v>0</x:v>
      </x:c>
      <x:c r="M18" s="68" t="n">
        <x:v>0</x:v>
      </x:c>
      <x:c r="N18" s="69" t="n">
        <x:v>0</x:v>
      </x:c>
      <x:c r="O18" s="68" t="n">
        <x:v>0</x:v>
      </x:c>
      <x:c r="P18" s="68" t="n">
        <x:v>0</x:v>
      </x:c>
      <x:c r="Q18" s="68" t="n">
        <x:v>0</x:v>
      </x:c>
      <x:c r="R18" s="68" t="n">
        <x:v>3</x:v>
      </x:c>
      <x:c r="S18" s="67" t="str">
        <x:f>IF(E18=1,IF(AND(F18=1,G18=1,I18=1,J18=5,K18=1,L18=0,M18=0,N18=0,O18=0,P18=0,Q18=0,R18=3),"WORK ACTIVE","INVALID"),IF(AND(F18=1,G18=1,I18=0,J18=0,K18=0,L18=0,M18=0,N18=0,O18=0,P18=0,Q18=0,R18=3),"ISSUED / RESERVED","INVALID"))</x:f>
        <x:v>WORK ACTIVE</x:v>
      </x:c>
      <x:c r="T18" s="68" t="n">
        <x:f>COUNTIFS($A$5:$A$22,A18)</x:f>
        <x:v>1</x:v>
      </x:c>
      <x:c r="U18" s="68" t="n">
        <x:f>COUNTIFS($B$5:$B$22,B18,$E$5:$E$22,E18)</x:f>
        <x:v>1</x:v>
      </x:c>
    </x:row>
    <x:row r="19">
      <x:c r="A19" s="67" t="str">
        <x:v>HU-A-C</x:v>
      </x:c>
      <x:c r="B19" s="67" t="str">
        <x:v>HU-A</x:v>
      </x:c>
      <x:c r="C19" s="67" t="str">
        <x:v>C</x:v>
      </x:c>
      <x:c r="D19" s="67" t="str">
        <x:v>Paired clinical metabolism towers</x:v>
      </x:c>
      <x:c r="E19" s="68" t="n">
        <x:v>3</x:v>
      </x:c>
      <x:c r="F19" s="68" t="n">
        <x:v>1</x:v>
      </x:c>
      <x:c r="G19" s="68" t="n">
        <x:v>1</x:v>
      </x:c>
      <x:c r="H19" s="69" t="n">
        <x:f>INDEX('Cohort Finance'!$F$5:$F$10,MATCH(B19,'Cohort Finance'!$B$5:$B$10,0))/3</x:f>
        <x:v>0.043035622647054746</x:v>
      </x:c>
      <x:c r="I19" s="68" t="n">
        <x:v>0</x:v>
      </x:c>
      <x:c r="J19" s="68" t="n">
        <x:v>0</x:v>
      </x:c>
      <x:c r="K19" s="68" t="n">
        <x:v>0</x:v>
      </x:c>
      <x:c r="L19" s="68" t="n">
        <x:v>0</x:v>
      </x:c>
      <x:c r="M19" s="68" t="n">
        <x:v>0</x:v>
      </x:c>
      <x:c r="N19" s="69" t="n">
        <x:v>0</x:v>
      </x:c>
      <x:c r="O19" s="68" t="n">
        <x:v>0</x:v>
      </x:c>
      <x:c r="P19" s="68" t="n">
        <x:v>0</x:v>
      </x:c>
      <x:c r="Q19" s="68" t="n">
        <x:v>0</x:v>
      </x:c>
      <x:c r="R19" s="68" t="n">
        <x:v>3</x:v>
      </x:c>
      <x:c r="S19" s="67" t="str">
        <x:f>IF(E19=1,IF(AND(F19=1,G19=1,I19=1,J19=5,K19=1,L19=0,M19=0,N19=0,O19=0,P19=0,Q19=0,R19=3),"WORK ACTIVE","INVALID"),IF(AND(F19=1,G19=1,I19=0,J19=0,K19=0,L19=0,M19=0,N19=0,O19=0,P19=0,Q19=0,R19=3),"ISSUED / RESERVED","INVALID"))</x:f>
        <x:v>ISSUED / RESERVED</x:v>
      </x:c>
      <x:c r="T19" s="68" t="n">
        <x:f>COUNTIFS($A$5:$A$22,A19)</x:f>
        <x:v>1</x:v>
      </x:c>
      <x:c r="U19" s="68" t="n">
        <x:f>COUNTIFS($B$5:$B$22,B19,$E$5:$E$22,E19)</x:f>
        <x:v>1</x:v>
      </x:c>
    </x:row>
    <x:row r="20">
      <x:c r="A20" s="67" t="str">
        <x:v>RT-B-A</x:v>
      </x:c>
      <x:c r="B20" s="67" t="str">
        <x:v>RT-B</x:v>
      </x:c>
      <x:c r="C20" s="67" t="str">
        <x:v>A</x:v>
      </x:c>
      <x:c r="D20" s="67" t="str">
        <x:v>Distributed container process mesh</x:v>
      </x:c>
      <x:c r="E20" s="68" t="n">
        <x:v>3</x:v>
      </x:c>
      <x:c r="F20" s="68" t="n">
        <x:v>1</x:v>
      </x:c>
      <x:c r="G20" s="68" t="n">
        <x:v>1</x:v>
      </x:c>
      <x:c r="H20" s="69" t="n">
        <x:f>INDEX('Cohort Finance'!$F$5:$F$10,MATCH(B20,'Cohort Finance'!$B$5:$B$10,0))/3</x:f>
        <x:v>0.025129889656798146</x:v>
      </x:c>
      <x:c r="I20" s="68" t="n">
        <x:v>0</x:v>
      </x:c>
      <x:c r="J20" s="68" t="n">
        <x:v>0</x:v>
      </x:c>
      <x:c r="K20" s="68" t="n">
        <x:v>0</x:v>
      </x:c>
      <x:c r="L20" s="68" t="n">
        <x:v>0</x:v>
      </x:c>
      <x:c r="M20" s="68" t="n">
        <x:v>0</x:v>
      </x:c>
      <x:c r="N20" s="69" t="n">
        <x:v>0</x:v>
      </x:c>
      <x:c r="O20" s="68" t="n">
        <x:v>0</x:v>
      </x:c>
      <x:c r="P20" s="68" t="n">
        <x:v>0</x:v>
      </x:c>
      <x:c r="Q20" s="68" t="n">
        <x:v>0</x:v>
      </x:c>
      <x:c r="R20" s="68" t="n">
        <x:v>3</x:v>
      </x:c>
      <x:c r="S20" s="67" t="str">
        <x:f>IF(E20=1,IF(AND(F20=1,G20=1,I20=1,J20=5,K20=1,L20=0,M20=0,N20=0,O20=0,P20=0,Q20=0,R20=3),"WORK ACTIVE","INVALID"),IF(AND(F20=1,G20=1,I20=0,J20=0,K20=0,L20=0,M20=0,N20=0,O20=0,P20=0,Q20=0,R20=3),"ISSUED / RESERVED","INVALID"))</x:f>
        <x:v>ISSUED / RESERVED</x:v>
      </x:c>
      <x:c r="T20" s="68" t="n">
        <x:f>COUNTIFS($A$5:$A$22,A20)</x:f>
        <x:v>1</x:v>
      </x:c>
      <x:c r="U20" s="68" t="n">
        <x:f>COUNTIFS($B$5:$B$22,B20,$E$5:$E$22,E20)</x:f>
        <x:v>1</x:v>
      </x:c>
    </x:row>
    <x:row r="21">
      <x:c r="A21" s="67" t="str">
        <x:v>RT-B-B</x:v>
      </x:c>
      <x:c r="B21" s="67" t="str">
        <x:v>RT-B</x:v>
      </x:c>
      <x:c r="C21" s="67" t="str">
        <x:v>B</x:v>
      </x:c>
      <x:c r="D21" s="67" t="str">
        <x:v>Five-petal independent clean-core ring</x:v>
      </x:c>
      <x:c r="E21" s="68" t="n">
        <x:v>2</x:v>
      </x:c>
      <x:c r="F21" s="68" t="n">
        <x:v>1</x:v>
      </x:c>
      <x:c r="G21" s="68" t="n">
        <x:v>1</x:v>
      </x:c>
      <x:c r="H21" s="69" t="n">
        <x:f>INDEX('Cohort Finance'!$F$5:$F$10,MATCH(B21,'Cohort Finance'!$B$5:$B$10,0))/3</x:f>
        <x:v>0.025129889656798146</x:v>
      </x:c>
      <x:c r="I21" s="68" t="n">
        <x:v>0</x:v>
      </x:c>
      <x:c r="J21" s="68" t="n">
        <x:v>0</x:v>
      </x:c>
      <x:c r="K21" s="68" t="n">
        <x:v>0</x:v>
      </x:c>
      <x:c r="L21" s="68" t="n">
        <x:v>0</x:v>
      </x:c>
      <x:c r="M21" s="68" t="n">
        <x:v>0</x:v>
      </x:c>
      <x:c r="N21" s="69" t="n">
        <x:v>0</x:v>
      </x:c>
      <x:c r="O21" s="68" t="n">
        <x:v>0</x:v>
      </x:c>
      <x:c r="P21" s="68" t="n">
        <x:v>0</x:v>
      </x:c>
      <x:c r="Q21" s="68" t="n">
        <x:v>0</x:v>
      </x:c>
      <x:c r="R21" s="68" t="n">
        <x:v>3</x:v>
      </x:c>
      <x:c r="S21" s="67" t="str">
        <x:f>IF(E21=1,IF(AND(F21=1,G21=1,I21=1,J21=5,K21=1,L21=0,M21=0,N21=0,O21=0,P21=0,Q21=0,R21=3),"WORK ACTIVE","INVALID"),IF(AND(F21=1,G21=1,I21=0,J21=0,K21=0,L21=0,M21=0,N21=0,O21=0,P21=0,Q21=0,R21=3),"ISSUED / RESERVED","INVALID"))</x:f>
        <x:v>ISSUED / RESERVED</x:v>
      </x:c>
      <x:c r="T21" s="68" t="n">
        <x:f>COUNTIFS($A$5:$A$22,A21)</x:f>
        <x:v>1</x:v>
      </x:c>
      <x:c r="U21" s="68" t="n">
        <x:f>COUNTIFS($B$5:$B$22,B21,$E$5:$E$22,E21)</x:f>
        <x:v>1</x:v>
      </x:c>
    </x:row>
    <x:row r="22">
      <x:c r="A22" s="70" t="str">
        <x:v>RT-B-C</x:v>
      </x:c>
      <x:c r="B22" s="70" t="str">
        <x:v>RT-B</x:v>
      </x:c>
      <x:c r="C22" s="70" t="str">
        <x:v>C</x:v>
      </x:c>
      <x:c r="D22" s="70" t="str">
        <x:v>Parallel mobile microfactory trainlets</x:v>
      </x:c>
      <x:c r="E22" s="72" t="n">
        <x:v>1</x:v>
      </x:c>
      <x:c r="F22" s="72" t="n">
        <x:v>1</x:v>
      </x:c>
      <x:c r="G22" s="72" t="n">
        <x:v>1</x:v>
      </x:c>
      <x:c r="H22" s="71" t="n">
        <x:f>INDEX('Cohort Finance'!$F$5:$F$10,MATCH(B22,'Cohort Finance'!$B$5:$B$10,0))/3</x:f>
        <x:v>0.025129889656798146</x:v>
      </x:c>
      <x:c r="I22" s="72" t="n">
        <x:v>1</x:v>
      </x:c>
      <x:c r="J22" s="72" t="n">
        <x:v>5</x:v>
      </x:c>
      <x:c r="K22" s="72" t="n">
        <x:v>1</x:v>
      </x:c>
      <x:c r="L22" s="72" t="n">
        <x:v>0</x:v>
      </x:c>
      <x:c r="M22" s="72" t="n">
        <x:v>0</x:v>
      </x:c>
      <x:c r="N22" s="71" t="n">
        <x:v>0</x:v>
      </x:c>
      <x:c r="O22" s="72" t="n">
        <x:v>0</x:v>
      </x:c>
      <x:c r="P22" s="72" t="n">
        <x:v>0</x:v>
      </x:c>
      <x:c r="Q22" s="72" t="n">
        <x:v>0</x:v>
      </x:c>
      <x:c r="R22" s="72" t="n">
        <x:v>3</x:v>
      </x:c>
      <x:c r="S22" s="70" t="str">
        <x:f>IF(E22=1,IF(AND(F22=1,G22=1,I22=1,J22=5,K22=1,L22=0,M22=0,N22=0,O22=0,P22=0,Q22=0,R22=3),"WORK ACTIVE","INVALID"),IF(AND(F22=1,G22=1,I22=0,J22=0,K22=0,L22=0,M22=0,N22=0,O22=0,P22=0,Q22=0,R22=3),"ISSUED / RESERVED","INVALID"))</x:f>
        <x:v>WORK ACTIVE</x:v>
      </x:c>
      <x:c r="T22" s="72" t="n">
        <x:f>COUNTIFS($A$5:$A$22,A22)</x:f>
        <x:v>1</x:v>
      </x:c>
      <x:c r="U22" s="72" t="n">
        <x:f>COUNTIFS($B$5:$B$22,B22,$E$5:$E$22,E22)</x:f>
        <x:v>1</x:v>
      </x:c>
    </x:row>
  </x:sheetData>
  <x:mergeCells>
    <x:mergeCell ref="A2:U2"/>
  </x:mergeCells>
  <x:conditionalFormatting sqref="S5:S22">
    <x:cfRule type="containsText" dxfId="2" priority="1" operator="containsText" text="INVALID"/>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1" hidden="0" customWidth="1"/>
    <x:col min="3" max="3" width="46" hidden="0" customWidth="1"/>
    <x:col min="4" max="4" width="24" hidden="0" customWidth="1"/>
    <x:col min="5" max="5" width="16" hidden="0" customWidth="1"/>
    <x:col min="6" max="6" width="24" hidden="0" customWidth="1"/>
    <x:col min="7" max="7" width="26" hidden="0" customWidth="1"/>
    <x:col min="8" max="8" width="24" hidden="0" customWidth="1"/>
    <x:col min="9" max="9" width="24" hidden="0" customWidth="1"/>
    <x:col min="10" max="10" width="22" hidden="0" customWidth="1"/>
    <x:col min="11" max="11" width="16" hidden="0" customWidth="1"/>
    <x:col min="12" max="12" width="22" hidden="0" customWidth="1"/>
    <x:col min="13" max="13" width="25" hidden="0" customWidth="1"/>
    <x:col min="14" max="14" width="18" hidden="0" customWidth="1"/>
    <x:col min="15" max="15" width="25" hidden="0" customWidth="1"/>
  </x:cols>
  <x:sheetData>
    <x:row r="2">
      <x:c r="A2" s="60" t="str">
        <x:v>Root and cohort fiscal reconciliation</x:v>
      </x:c>
      <x:c r="B2" s="61"/>
      <x:c r="C2" s="61"/>
      <x:c r="D2" s="61"/>
      <x:c r="E2" s="61"/>
      <x:c r="F2" s="61"/>
      <x:c r="G2" s="61"/>
      <x:c r="H2" s="61"/>
      <x:c r="I2" s="61"/>
      <x:c r="J2" s="61"/>
      <x:c r="K2" s="61"/>
      <x:c r="L2" s="61"/>
      <x:c r="M2" s="61"/>
      <x:c r="N2" s="61"/>
      <x:c r="O2" s="61"/>
    </x:row>
    <x:row r="3">
      <x:c r="A3" s="62"/>
      <x:c r="B3" s="62"/>
      <x:c r="C3" s="62"/>
      <x:c r="D3" s="62"/>
      <x:c r="E3" s="62"/>
      <x:c r="F3" s="62"/>
      <x:c r="G3" s="62"/>
      <x:c r="H3" s="62"/>
      <x:c r="I3" s="62"/>
      <x:c r="J3" s="62"/>
      <x:c r="K3" s="62"/>
      <x:c r="L3" s="62"/>
      <x:c r="M3" s="62"/>
      <x:c r="N3" s="62"/>
      <x:c r="O3" s="62"/>
    </x:row>
    <x:row r="4" ht="32" customHeight="1">
      <x:c r="A4" s="14" t="str">
        <x:v>System</x:v>
      </x:c>
      <x:c r="B4" s="15" t="str">
        <x:v>Root</x:v>
      </x:c>
      <x:c r="C4" s="15" t="str">
        <x:v>Article</x:v>
      </x:c>
      <x:c r="D4" s="15" t="str">
        <x:v>Option ceiling USD B</x:v>
      </x:c>
      <x:c r="E4" s="15" t="str">
        <x:v>FRAME share</x:v>
      </x:c>
      <x:c r="F4" s="15" t="str">
        <x:v>Root FRAME ceiling USD B</x:v>
      </x:c>
      <x:c r="G4" s="15" t="str">
        <x:v>Cohort 1 obligation USD B</x:v>
      </x:c>
      <x:c r="H4" s="15" t="str">
        <x:v>Cohort 2 reserve USD B</x:v>
      </x:c>
      <x:c r="I4" s="15" t="str">
        <x:v>Cohort 3 reserve USD B</x:v>
      </x:c>
      <x:c r="J4" s="15" t="str">
        <x:v>Total reserved USD B</x:v>
      </x:c>
      <x:c r="K4" s="15" t="str">
        <x:v>Paid USD B</x:v>
      </x:c>
      <x:c r="L4" s="15" t="str">
        <x:v>Accepted artifacts</x:v>
      </x:c>
      <x:c r="M4" s="15" t="str">
        <x:v>Accepted observations</x:v>
      </x:c>
      <x:c r="N4" s="15" t="str">
        <x:v>Selected forms</x:v>
      </x:c>
      <x:c r="O4" s="16" t="str">
        <x:v>Root state</x:v>
      </x:c>
    </x:row>
    <x:row r="5">
      <x:c r="A5" s="63" t="str">
        <x:v>MS-ET</x:v>
      </x:c>
      <x:c r="B5" s="63" t="str">
        <x:v>ET-A</x:v>
      </x:c>
      <x:c r="C5" s="63" t="str">
        <x:v>Pelagic exchange cell</x:v>
      </x:c>
      <x:c r="D5" s="66" t="n">
        <x:v>0.50047461808185</x:v>
      </x:c>
      <x:c r="E5" s="78" t="n">
        <x:v>0.15</x:v>
      </x:c>
      <x:c r="F5" s="66" t="n">
        <x:f>D5*E5</x:f>
        <x:v>0.0750711927122775</x:v>
      </x:c>
      <x:c r="G5" s="66" t="n">
        <x:f>SUMIFS('Warrant Ledger'!$H$5:$H$22,'Warrant Ledger'!$B$5:$B$22,B5,'Warrant Ledger'!$E$5:$E$22,1)</x:f>
        <x:v>0.0250237309040925</x:v>
      </x:c>
      <x:c r="H5" s="66" t="n">
        <x:f>SUMIFS('Warrant Ledger'!$H$5:$H$22,'Warrant Ledger'!$B$5:$B$22,B5,'Warrant Ledger'!$E$5:$E$22,2)</x:f>
        <x:v>0.0250237309040925</x:v>
      </x:c>
      <x:c r="I5" s="66" t="n">
        <x:f>SUMIFS('Warrant Ledger'!$H$5:$H$22,'Warrant Ledger'!$B$5:$B$22,B5,'Warrant Ledger'!$E$5:$E$22,3)</x:f>
        <x:v>0.0250237309040925</x:v>
      </x:c>
      <x:c r="J5" s="66" t="n">
        <x:f>G5+H5+I5</x:f>
        <x:v>0.0750711927122775</x:v>
      </x:c>
      <x:c r="K5" s="66" t="n">
        <x:v>0</x:v>
      </x:c>
      <x:c r="L5" s="64" t="n">
        <x:v>0</x:v>
      </x:c>
      <x:c r="M5" s="64" t="n">
        <x:v>0</x:v>
      </x:c>
      <x:c r="N5" s="64" t="n">
        <x:v>0</x:v>
      </x:c>
      <x:c r="O5" s="63" t="str">
        <x:f>IF(AND(ABS(J5-F5)&lt;0.0000001,ABS(G5-F5/3)&lt;0.0000001,ABS(H5-F5/3)&lt;0.0000001,ABS(I5-F5/3)&lt;0.0000001,K5=0,L5=0,M5=0,N5=0),"RECONCILED","INVALID")</x:f>
        <x:v>RECONCILED</x:v>
      </x:c>
    </x:row>
    <x:row r="6">
      <x:c r="A6" s="67" t="str">
        <x:v>MS-CT</x:v>
      </x:c>
      <x:c r="B6" s="67" t="str">
        <x:v>CT-C</x:v>
      </x:c>
      <x:c r="C6" s="67" t="str">
        <x:v>Occupied-building utility-spine sector</x:v>
      </x:c>
      <x:c r="D6" s="69" t="n">
        <x:v>0.51649348177396</x:v>
      </x:c>
      <x:c r="E6" s="79" t="n">
        <x:v>0.15</x:v>
      </x:c>
      <x:c r="F6" s="69" t="n">
        <x:f>D6*E6</x:f>
        <x:v>0.077474022266094</x:v>
      </x:c>
      <x:c r="G6" s="69" t="n">
        <x:f>SUMIFS('Warrant Ledger'!$H$5:$H$22,'Warrant Ledger'!$B$5:$B$22,B6,'Warrant Ledger'!$E$5:$E$22,1)</x:f>
        <x:v>0.025824674088698</x:v>
      </x:c>
      <x:c r="H6" s="69" t="n">
        <x:f>SUMIFS('Warrant Ledger'!$H$5:$H$22,'Warrant Ledger'!$B$5:$B$22,B6,'Warrant Ledger'!$E$5:$E$22,2)</x:f>
        <x:v>0.025824674088698</x:v>
      </x:c>
      <x:c r="I6" s="69" t="n">
        <x:f>SUMIFS('Warrant Ledger'!$H$5:$H$22,'Warrant Ledger'!$B$5:$B$22,B6,'Warrant Ledger'!$E$5:$E$22,3)</x:f>
        <x:v>0.025824674088698</x:v>
      </x:c>
      <x:c r="J6" s="69" t="n">
        <x:f>G6+H6+I6</x:f>
        <x:v>0.077474022266094</x:v>
      </x:c>
      <x:c r="K6" s="69" t="n">
        <x:v>0</x:v>
      </x:c>
      <x:c r="L6" s="68" t="n">
        <x:v>0</x:v>
      </x:c>
      <x:c r="M6" s="68" t="n">
        <x:v>0</x:v>
      </x:c>
      <x:c r="N6" s="68" t="n">
        <x:v>0</x:v>
      </x:c>
      <x:c r="O6" s="67" t="str">
        <x:f>IF(AND(ABS(J6-F6)&lt;0.0000001,ABS(G6-F6/3)&lt;0.0000001,ABS(H6-F6/3)&lt;0.0000001,ABS(I6-F6/3)&lt;0.0000001,K6=0,L6=0,M6=0,N6=0),"RECONCILED","INVALID")</x:f>
        <x:v>RECONCILED</x:v>
      </x:c>
    </x:row>
    <x:row r="7">
      <x:c r="A7" s="67" t="str">
        <x:v>MS-HC</x:v>
      </x:c>
      <x:c r="B7" s="67" t="str">
        <x:v>HC-A</x:v>
      </x:c>
      <x:c r="C7" s="67" t="str">
        <x:v>Atmospheric intervention cell</x:v>
      </x:c>
      <x:c r="D7" s="69" t="n">
        <x:v>0.307221654067133</x:v>
      </x:c>
      <x:c r="E7" s="79" t="n">
        <x:v>0.15</x:v>
      </x:c>
      <x:c r="F7" s="69" t="n">
        <x:f>D7*E7</x:f>
        <x:v>0.046083248110069946</x:v>
      </x:c>
      <x:c r="G7" s="69" t="n">
        <x:f>SUMIFS('Warrant Ledger'!$H$5:$H$22,'Warrant Ledger'!$B$5:$B$22,B7,'Warrant Ledger'!$E$5:$E$22,1)</x:f>
        <x:v>0.015361082703356649</x:v>
      </x:c>
      <x:c r="H7" s="69" t="n">
        <x:f>SUMIFS('Warrant Ledger'!$H$5:$H$22,'Warrant Ledger'!$B$5:$B$22,B7,'Warrant Ledger'!$E$5:$E$22,2)</x:f>
        <x:v>0.015361082703356649</x:v>
      </x:c>
      <x:c r="I7" s="69" t="n">
        <x:f>SUMIFS('Warrant Ledger'!$H$5:$H$22,'Warrant Ledger'!$B$5:$B$22,B7,'Warrant Ledger'!$E$5:$E$22,3)</x:f>
        <x:v>0.015361082703356649</x:v>
      </x:c>
      <x:c r="J7" s="69" t="n">
        <x:f>G7+H7+I7</x:f>
        <x:v>0.046083248110069946</x:v>
      </x:c>
      <x:c r="K7" s="69" t="n">
        <x:v>0</x:v>
      </x:c>
      <x:c r="L7" s="68" t="n">
        <x:v>0</x:v>
      </x:c>
      <x:c r="M7" s="68" t="n">
        <x:v>0</x:v>
      </x:c>
      <x:c r="N7" s="68" t="n">
        <x:v>0</x:v>
      </x:c>
      <x:c r="O7" s="67" t="str">
        <x:f>IF(AND(ABS(J7-F7)&lt;0.0000001,ABS(G7-F7/3)&lt;0.0000001,ABS(H7-F7/3)&lt;0.0000001,ABS(I7-F7/3)&lt;0.0000001,K7=0,L7=0,M7=0,N7=0),"RECONCILED","INVALID")</x:f>
        <x:v>RECONCILED</x:v>
      </x:c>
    </x:row>
    <x:row r="8">
      <x:c r="A8" s="67" t="str">
        <x:v>MS-LF</x:v>
      </x:c>
      <x:c r="B8" s="67" t="str">
        <x:v>LF-B</x:v>
      </x:c>
      <x:c r="C8" s="67" t="str">
        <x:v>Geothermal source position</x:v>
      </x:c>
      <x:c r="D8" s="69" t="n">
        <x:v>0.899412819320565</x:v>
      </x:c>
      <x:c r="E8" s="79" t="n">
        <x:v>0.15</x:v>
      </x:c>
      <x:c r="F8" s="69" t="n">
        <x:f>D8*E8</x:f>
        <x:v>0.13491192289808476</x:v>
      </x:c>
      <x:c r="G8" s="69" t="n">
        <x:f>SUMIFS('Warrant Ledger'!$H$5:$H$22,'Warrant Ledger'!$B$5:$B$22,B8,'Warrant Ledger'!$E$5:$E$22,1)</x:f>
        <x:v>0.04497064096602826</x:v>
      </x:c>
      <x:c r="H8" s="69" t="n">
        <x:f>SUMIFS('Warrant Ledger'!$H$5:$H$22,'Warrant Ledger'!$B$5:$B$22,B8,'Warrant Ledger'!$E$5:$E$22,2)</x:f>
        <x:v>0.04497064096602826</x:v>
      </x:c>
      <x:c r="I8" s="69" t="n">
        <x:f>SUMIFS('Warrant Ledger'!$H$5:$H$22,'Warrant Ledger'!$B$5:$B$22,B8,'Warrant Ledger'!$E$5:$E$22,3)</x:f>
        <x:v>0.04497064096602826</x:v>
      </x:c>
      <x:c r="J8" s="69" t="n">
        <x:f>G8+H8+I8</x:f>
        <x:v>0.13491192289808476</x:v>
      </x:c>
      <x:c r="K8" s="69" t="n">
        <x:v>0</x:v>
      </x:c>
      <x:c r="L8" s="68" t="n">
        <x:v>0</x:v>
      </x:c>
      <x:c r="M8" s="68" t="n">
        <x:v>0</x:v>
      </x:c>
      <x:c r="N8" s="68" t="n">
        <x:v>0</x:v>
      </x:c>
      <x:c r="O8" s="67" t="str">
        <x:f>IF(AND(ABS(J8-F8)&lt;0.0000001,ABS(G8-F8/3)&lt;0.0000001,ABS(H8-F8/3)&lt;0.0000001,ABS(I8-F8/3)&lt;0.0000001,K8=0,L8=0,M8=0,N8=0),"RECONCILED","INVALID")</x:f>
        <x:v>RECONCILED</x:v>
      </x:c>
    </x:row>
    <x:row r="9">
      <x:c r="A9" s="67" t="str">
        <x:v>MS-HU</x:v>
      </x:c>
      <x:c r="B9" s="67" t="str">
        <x:v>HU-A</x:v>
      </x:c>
      <x:c r="C9" s="67" t="str">
        <x:v>Complete clinical island</x:v>
      </x:c>
      <x:c r="D9" s="69" t="n">
        <x:v>0.860712452941095</x:v>
      </x:c>
      <x:c r="E9" s="79" t="n">
        <x:v>0.15</x:v>
      </x:c>
      <x:c r="F9" s="69" t="n">
        <x:f>D9*E9</x:f>
        <x:v>0.12910686794116424</x:v>
      </x:c>
      <x:c r="G9" s="69" t="n">
        <x:f>SUMIFS('Warrant Ledger'!$H$5:$H$22,'Warrant Ledger'!$B$5:$B$22,B9,'Warrant Ledger'!$E$5:$E$22,1)</x:f>
        <x:v>0.043035622647054746</x:v>
      </x:c>
      <x:c r="H9" s="69" t="n">
        <x:f>SUMIFS('Warrant Ledger'!$H$5:$H$22,'Warrant Ledger'!$B$5:$B$22,B9,'Warrant Ledger'!$E$5:$E$22,2)</x:f>
        <x:v>0.043035622647054746</x:v>
      </x:c>
      <x:c r="I9" s="69" t="n">
        <x:f>SUMIFS('Warrant Ledger'!$H$5:$H$22,'Warrant Ledger'!$B$5:$B$22,B9,'Warrant Ledger'!$E$5:$E$22,3)</x:f>
        <x:v>0.043035622647054746</x:v>
      </x:c>
      <x:c r="J9" s="69" t="n">
        <x:f>G9+H9+I9</x:f>
        <x:v>0.12910686794116424</x:v>
      </x:c>
      <x:c r="K9" s="69" t="n">
        <x:v>0</x:v>
      </x:c>
      <x:c r="L9" s="68" t="n">
        <x:v>0</x:v>
      </x:c>
      <x:c r="M9" s="68" t="n">
        <x:v>0</x:v>
      </x:c>
      <x:c r="N9" s="68" t="n">
        <x:v>0</x:v>
      </x:c>
      <x:c r="O9" s="67" t="str">
        <x:f>IF(AND(ABS(J9-F9)&lt;0.0000001,ABS(G9-F9/3)&lt;0.0000001,ABS(H9-F9/3)&lt;0.0000001,ABS(I9-F9/3)&lt;0.0000001,K9=0,L9=0,M9=0,N9=0),"RECONCILED","INVALID")</x:f>
        <x:v>RECONCILED</x:v>
      </x:c>
    </x:row>
    <x:row r="10">
      <x:c r="A10" s="67" t="str">
        <x:v>MS-RT</x:v>
      </x:c>
      <x:c r="B10" s="67" t="str">
        <x:v>RT-B</x:v>
      </x:c>
      <x:c r="C10" s="67" t="str">
        <x:v>Disconnected microfactory mesh</x:v>
      </x:c>
      <x:c r="D10" s="69" t="n">
        <x:v>0.502597793135963</x:v>
      </x:c>
      <x:c r="E10" s="79" t="n">
        <x:v>0.15</x:v>
      </x:c>
      <x:c r="F10" s="69" t="n">
        <x:f>D10*E10</x:f>
        <x:v>0.07538966897039444</x:v>
      </x:c>
      <x:c r="G10" s="69" t="n">
        <x:f>SUMIFS('Warrant Ledger'!$H$5:$H$22,'Warrant Ledger'!$B$5:$B$22,B10,'Warrant Ledger'!$E$5:$E$22,1)</x:f>
        <x:v>0.025129889656798146</x:v>
      </x:c>
      <x:c r="H10" s="69" t="n">
        <x:f>SUMIFS('Warrant Ledger'!$H$5:$H$22,'Warrant Ledger'!$B$5:$B$22,B10,'Warrant Ledger'!$E$5:$E$22,2)</x:f>
        <x:v>0.025129889656798146</x:v>
      </x:c>
      <x:c r="I10" s="69" t="n">
        <x:f>SUMIFS('Warrant Ledger'!$H$5:$H$22,'Warrant Ledger'!$B$5:$B$22,B10,'Warrant Ledger'!$E$5:$E$22,3)</x:f>
        <x:v>0.025129889656798146</x:v>
      </x:c>
      <x:c r="J10" s="69" t="n">
        <x:f>G10+H10+I10</x:f>
        <x:v>0.07538966897039444</x:v>
      </x:c>
      <x:c r="K10" s="69" t="n">
        <x:v>0</x:v>
      </x:c>
      <x:c r="L10" s="68" t="n">
        <x:v>0</x:v>
      </x:c>
      <x:c r="M10" s="68" t="n">
        <x:v>0</x:v>
      </x:c>
      <x:c r="N10" s="68" t="n">
        <x:v>0</x:v>
      </x:c>
      <x:c r="O10" s="67" t="str">
        <x:f>IF(AND(ABS(J10-F10)&lt;0.0000001,ABS(G10-F10/3)&lt;0.0000001,ABS(H10-F10/3)&lt;0.0000001,ABS(I10-F10/3)&lt;0.0000001,K10=0,L10=0,M10=0,N10=0),"RECONCILED","INVALID")</x:f>
        <x:v>RECONCILED</x:v>
      </x:c>
    </x:row>
    <x:row r="11">
      <x:c r="A11" s="80" t="str">
        <x:v>TOTAL</x:v>
      </x:c>
      <x:c r="B11" s="80" t="str">
        <x:v>six roots</x:v>
      </x:c>
      <x:c r="C11" s="80" t="str">
        <x:v>terminal balances</x:v>
      </x:c>
      <x:c r="D11" s="81" t="n">
        <x:f>SUM(D5:D10)</x:f>
        <x:v>3.586912819320566</x:v>
      </x:c>
      <x:c r="E11" s="80"/>
      <x:c r="F11" s="81" t="n">
        <x:f>SUM(F5:F10)</x:f>
        <x:v>0.5380369228980849</x:v>
      </x:c>
      <x:c r="G11" s="81" t="n">
        <x:f>SUM(G5:G10)</x:f>
        <x:v>0.17934564096602829</x:v>
      </x:c>
      <x:c r="H11" s="81" t="n">
        <x:f>SUM(H5:H10)</x:f>
        <x:v>0.17934564096602829</x:v>
      </x:c>
      <x:c r="I11" s="81" t="n">
        <x:f>SUM(I5:I10)</x:f>
        <x:v>0.17934564096602829</x:v>
      </x:c>
      <x:c r="J11" s="81" t="n">
        <x:f>SUM(J5:J10)</x:f>
        <x:v>0.5380369228980849</x:v>
      </x:c>
      <x:c r="K11" s="81" t="n">
        <x:f>SUM(K5:K10)</x:f>
        <x:v>0</x:v>
      </x:c>
      <x:c r="L11" s="82" t="n">
        <x:f>SUM(L5:L10)</x:f>
        <x:v>0</x:v>
      </x:c>
      <x:c r="M11" s="82" t="n">
        <x:f>SUM(M5:M10)</x:f>
        <x:v>0</x:v>
      </x:c>
      <x:c r="N11" s="82" t="n">
        <x:f>SUM(N5:N10)</x:f>
        <x:v>0</x:v>
      </x:c>
      <x:c r="O11" s="80" t="str">
        <x:f>IF(AND(ABS(F11-Controls!$B$14)&lt;0.0000001,ABS(G11-Controls!$B$15)&lt;0.0000001,ABS(H11+I11-(F11-G11))&lt;0.0000001,K11=0,L11=0,M11=0,N11=0),"COMPACT BALANCED","INVALID")</x:f>
        <x:v>COMPACT BALANCED</x:v>
      </x:c>
    </x:row>
  </x:sheetData>
  <x:mergeCells>
    <x:mergeCell ref="A2:O2"/>
  </x:mergeCells>
  <x:pageMargins left="0.7" right="0.7" top="0.75" bottom="0.75" header="0.3" footer="0.3"/>
</x:worksheet>
</file>

<file path=xl/worksheets/sheet8.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4" hidden="0" customWidth="1"/>
    <x:col min="2" max="2" width="16" hidden="0" customWidth="1"/>
    <x:col min="3" max="3" width="11" hidden="0" customWidth="1"/>
    <x:col min="4" max="4" width="12" hidden="0" customWidth="1"/>
    <x:col min="5" max="5" width="13" hidden="0" customWidth="1"/>
    <x:col min="6" max="6" width="14" hidden="0" customWidth="1"/>
    <x:col min="7" max="7" width="47" hidden="0" customWidth="1"/>
    <x:col min="8" max="8" width="18" hidden="0" customWidth="1"/>
    <x:col min="9" max="9" width="20" hidden="0" customWidth="1"/>
    <x:col min="10" max="10" width="20" hidden="0" customWidth="1"/>
    <x:col min="11" max="11" width="20" hidden="0" customWidth="1"/>
    <x:col min="12" max="12" width="13" hidden="0" customWidth="1"/>
    <x:col min="13" max="13" width="20" hidden="0" customWidth="1"/>
    <x:col min="14" max="14" width="16" hidden="0" customWidth="1"/>
    <x:col min="15" max="15" width="24" hidden="0" customWidth="1"/>
    <x:col min="16" max="16" width="18" hidden="0" customWidth="1"/>
    <x:col min="17" max="17" width="18" hidden="0" customWidth="1"/>
    <x:col min="18" max="18" width="25" hidden="0" customWidth="1"/>
    <x:col min="19" max="19" width="20" hidden="0" customWidth="1"/>
    <x:col min="20" max="20" width="20" hidden="0" customWidth="1"/>
  </x:cols>
  <x:sheetData>
    <x:row r="2">
      <x:c r="A2" s="60" t="str">
        <x:v>Ninety FRAME packages under terminal authority</x:v>
      </x:c>
      <x:c r="B2" s="61"/>
      <x:c r="C2" s="61"/>
      <x:c r="D2" s="61"/>
      <x:c r="E2" s="61"/>
      <x:c r="F2" s="61"/>
      <x:c r="G2" s="61"/>
      <x:c r="H2" s="61"/>
      <x:c r="I2" s="61"/>
      <x:c r="J2" s="61"/>
      <x:c r="K2" s="61"/>
      <x:c r="L2" s="61"/>
      <x:c r="M2" s="61"/>
      <x:c r="N2" s="61"/>
      <x:c r="O2" s="61"/>
      <x:c r="P2" s="61"/>
      <x:c r="Q2" s="61"/>
      <x:c r="R2" s="61"/>
      <x:c r="S2" s="61"/>
      <x:c r="T2" s="61"/>
    </x:row>
    <x:row r="3">
      <x:c r="A3" s="62"/>
      <x:c r="B3" s="62"/>
      <x:c r="C3" s="62"/>
      <x:c r="D3" s="62"/>
      <x:c r="E3" s="62"/>
      <x:c r="F3" s="62"/>
      <x:c r="G3" s="62"/>
      <x:c r="H3" s="62"/>
      <x:c r="I3" s="62"/>
      <x:c r="J3" s="62"/>
      <x:c r="K3" s="62"/>
      <x:c r="L3" s="62"/>
      <x:c r="M3" s="62"/>
      <x:c r="N3" s="62"/>
      <x:c r="O3" s="62"/>
      <x:c r="P3" s="62"/>
      <x:c r="Q3" s="62"/>
      <x:c r="R3" s="62"/>
      <x:c r="S3" s="62"/>
      <x:c r="T3" s="62"/>
    </x:row>
    <x:row r="4" ht="32" customHeight="1">
      <x:c r="A4" s="14" t="str">
        <x:v>Package</x:v>
      </x:c>
      <x:c r="B4" s="15" t="str">
        <x:v>Form</x:v>
      </x:c>
      <x:c r="C4" s="15" t="str">
        <x:v>Root</x:v>
      </x:c>
      <x:c r="D4" s="15" t="str">
        <x:v>Variant</x:v>
      </x:c>
      <x:c r="E4" s="15" t="str">
        <x:v>Cohort</x:v>
      </x:c>
      <x:c r="F4" s="15" t="str">
        <x:v>Code</x:v>
      </x:c>
      <x:c r="G4" s="15" t="str">
        <x:v>Work package</x:v>
      </x:c>
      <x:c r="H4" s="15" t="str">
        <x:v>Budget share</x:v>
      </x:c>
      <x:c r="I4" s="15" t="str">
        <x:v>Ceiling USD B</x:v>
      </x:c>
      <x:c r="J4" s="15" t="str">
        <x:v>Reserved USD B</x:v>
      </x:c>
      <x:c r="K4" s="15" t="str">
        <x:v>Obligated USD B</x:v>
      </x:c>
      <x:c r="L4" s="15" t="str">
        <x:v>Active</x:v>
      </x:c>
      <x:c r="M4" s="15" t="str">
        <x:v>Accepted artifact</x:v>
      </x:c>
      <x:c r="N4" s="15" t="str">
        <x:v>Paid USD B</x:v>
      </x:c>
      <x:c r="O4" s="15" t="str">
        <x:v>Accepted observations</x:v>
      </x:c>
      <x:c r="P4" s="15" t="str">
        <x:v>Survivor credit</x:v>
      </x:c>
      <x:c r="Q4" s="15" t="str">
        <x:v>Selection credit</x:v>
      </x:c>
      <x:c r="R4" s="15" t="str">
        <x:v>Package state</x:v>
      </x:c>
      <x:c r="S4" s="15" t="str">
        <x:v>Packages per form</x:v>
      </x:c>
      <x:c r="T4" s="16" t="str">
        <x:v>Package occurrences</x:v>
      </x:c>
    </x:row>
    <x:row r="5">
      <x:c r="A5" s="63" t="str">
        <x:v>P001</x:v>
      </x:c>
      <x:c r="B5" s="63" t="str">
        <x:v>ET-A-A</x:v>
      </x:c>
      <x:c r="C5" s="63" t="str">
        <x:v>ET-A</x:v>
      </x:c>
      <x:c r="D5" s="63" t="str">
        <x:v>A</x:v>
      </x:c>
      <x:c r="E5" s="64" t="n">
        <x:v>1</x:v>
      </x:c>
      <x:c r="F5" s="64" t="str">
        <x:v>METHOD</x:v>
      </x:c>
      <x:c r="G5" s="63" t="str">
        <x:v>Event method and denominator</x:v>
      </x:c>
      <x:c r="H5" s="78" t="n">
        <x:v>0.2</x:v>
      </x:c>
      <x:c r="I5" s="66" t="n">
        <x:f>H5*INDEX('Warrant Ledger'!$H$5:$H$22,MATCH(B5,'Warrant Ledger'!$A$5:$A$22,0))</x:f>
        <x:v>0.0050047461808185</x:v>
      </x:c>
      <x:c r="J5" s="66" t="n">
        <x:f>I5</x:f>
        <x:v>0.0050047461808185</x:v>
      </x:c>
      <x:c r="K5" s="66" t="n">
        <x:f>IF(E5=1,I5,0)</x:f>
        <x:v>0.0050047461808185</x:v>
      </x:c>
      <x:c r="L5" s="64" t="n">
        <x:v>1</x:v>
      </x:c>
      <x:c r="M5" s="64" t="n">
        <x:v>0</x:v>
      </x:c>
      <x:c r="N5" s="66" t="n">
        <x:v>0</x:v>
      </x:c>
      <x:c r="O5" s="64" t="n">
        <x:v>0</x:v>
      </x:c>
      <x:c r="P5" s="64" t="n">
        <x:v>0</x:v>
      </x:c>
      <x:c r="Q5" s="64" t="n">
        <x:v>0</x:v>
      </x:c>
      <x:c r="R5" s="63" t="str">
        <x:f>IF(E5=1,IF(AND(ABS(J5-I5)&lt;0.0000001,ABS(K5-I5)&lt;0.0000001,L5=1,M5=0,N5=0,O5=0,P5=0,Q5=0),"OBLIGATED / ACTIVE","INVALID"),IF(AND(ABS(J5-I5)&lt;0.0000001,K5=0,L5=0,M5=0,N5=0,O5=0,P5=0,Q5=0),"RESERVED / HELD","INVALID"))</x:f>
        <x:v>OBLIGATED / ACTIVE</x:v>
      </x:c>
      <x:c r="S5" s="64" t="n">
        <x:f>COUNTIFS($B$5:$B$94,B5)</x:f>
        <x:v>5</x:v>
      </x:c>
      <x:c r="T5" s="64" t="n">
        <x:f>COUNTIFS($A$5:$A$94,A5)</x:f>
        <x:v>1</x:v>
      </x:c>
    </x:row>
    <x:row r="6">
      <x:c r="A6" s="67" t="str">
        <x:v>P002</x:v>
      </x:c>
      <x:c r="B6" s="67" t="str">
        <x:v>ET-A-A</x:v>
      </x:c>
      <x:c r="C6" s="67" t="str">
        <x:v>ET-A</x:v>
      </x:c>
      <x:c r="D6" s="67" t="str">
        <x:v>A</x:v>
      </x:c>
      <x:c r="E6" s="68" t="n">
        <x:v>1</x:v>
      </x:c>
      <x:c r="F6" s="68" t="str">
        <x:v>MEASURE</x:v>
      </x:c>
      <x:c r="G6" s="67" t="str">
        <x:v>Instrumentation, custody and validity</x:v>
      </x:c>
      <x:c r="H6" s="79" t="n">
        <x:v>0.25</x:v>
      </x:c>
      <x:c r="I6" s="69" t="n">
        <x:f>H6*INDEX('Warrant Ledger'!$H$5:$H$22,MATCH(B6,'Warrant Ledger'!$A$5:$A$22,0))</x:f>
        <x:v>0.006255932726023125</x:v>
      </x:c>
      <x:c r="J6" s="69" t="n">
        <x:f>I6</x:f>
        <x:v>0.006255932726023125</x:v>
      </x:c>
      <x:c r="K6" s="69" t="n">
        <x:f>IF(E6=1,I6,0)</x:f>
        <x:v>0.006255932726023125</x:v>
      </x:c>
      <x:c r="L6" s="68" t="n">
        <x:v>1</x:v>
      </x:c>
      <x:c r="M6" s="68" t="n">
        <x:v>0</x:v>
      </x:c>
      <x:c r="N6" s="69" t="n">
        <x:v>0</x:v>
      </x:c>
      <x:c r="O6" s="68" t="n">
        <x:v>0</x:v>
      </x:c>
      <x:c r="P6" s="68" t="n">
        <x:v>0</x:v>
      </x:c>
      <x:c r="Q6" s="68" t="n">
        <x:v>0</x:v>
      </x:c>
      <x:c r="R6" s="67" t="str">
        <x:f>IF(E6=1,IF(AND(ABS(J6-I6)&lt;0.0000001,ABS(K6-I6)&lt;0.0000001,L6=1,M6=0,N6=0,O6=0,P6=0,Q6=0),"OBLIGATED / ACTIVE","INVALID"),IF(AND(ABS(J6-I6)&lt;0.0000001,K6=0,L6=0,M6=0,N6=0,O6=0,P6=0,Q6=0),"RESERVED / HELD","INVALID"))</x:f>
        <x:v>OBLIGATED / ACTIVE</x:v>
      </x:c>
      <x:c r="S6" s="68" t="n">
        <x:f>COUNTIFS($B$5:$B$94,B6)</x:f>
        <x:v>5</x:v>
      </x:c>
      <x:c r="T6" s="68" t="n">
        <x:f>COUNTIFS($A$5:$A$94,A6)</x:f>
        <x:v>1</x:v>
      </x:c>
    </x:row>
    <x:row r="7">
      <x:c r="A7" s="67" t="str">
        <x:v>P003</x:v>
      </x:c>
      <x:c r="B7" s="67" t="str">
        <x:v>ET-A-A</x:v>
      </x:c>
      <x:c r="C7" s="67" t="str">
        <x:v>ET-A</x:v>
      </x:c>
      <x:c r="D7" s="67" t="str">
        <x:v>A</x:v>
      </x:c>
      <x:c r="E7" s="68" t="n">
        <x:v>1</x:v>
      </x:c>
      <x:c r="F7" s="68" t="str">
        <x:v>CIVIL</x:v>
      </x:c>
      <x:c r="G7" s="67" t="str">
        <x:v>Rights, receiver and residual closure</x:v>
      </x:c>
      <x:c r="H7" s="79" t="n">
        <x:v>0.15</x:v>
      </x:c>
      <x:c r="I7" s="69" t="n">
        <x:f>H7*INDEX('Warrant Ledger'!$H$5:$H$22,MATCH(B7,'Warrant Ledger'!$A$5:$A$22,0))</x:f>
        <x:v>0.003753559635613875</x:v>
      </x:c>
      <x:c r="J7" s="69" t="n">
        <x:f>I7</x:f>
        <x:v>0.003753559635613875</x:v>
      </x:c>
      <x:c r="K7" s="69" t="n">
        <x:f>IF(E7=1,I7,0)</x:f>
        <x:v>0.003753559635613875</x:v>
      </x:c>
      <x:c r="L7" s="68" t="n">
        <x:v>1</x:v>
      </x:c>
      <x:c r="M7" s="68" t="n">
        <x:v>0</x:v>
      </x:c>
      <x:c r="N7" s="69" t="n">
        <x:v>0</x:v>
      </x:c>
      <x:c r="O7" s="68" t="n">
        <x:v>0</x:v>
      </x:c>
      <x:c r="P7" s="68" t="n">
        <x:v>0</x:v>
      </x:c>
      <x:c r="Q7" s="68" t="n">
        <x:v>0</x:v>
      </x:c>
      <x:c r="R7" s="67" t="str">
        <x:f>IF(E7=1,IF(AND(ABS(J7-I7)&lt;0.0000001,ABS(K7-I7)&lt;0.0000001,L7=1,M7=0,N7=0,O7=0,P7=0,Q7=0),"OBLIGATED / ACTIVE","INVALID"),IF(AND(ABS(J7-I7)&lt;0.0000001,K7=0,L7=0,M7=0,N7=0,O7=0,P7=0,Q7=0),"RESERVED / HELD","INVALID"))</x:f>
        <x:v>OBLIGATED / ACTIVE</x:v>
      </x:c>
      <x:c r="S7" s="68" t="n">
        <x:f>COUNTIFS($B$5:$B$94,B7)</x:f>
        <x:v>5</x:v>
      </x:c>
      <x:c r="T7" s="68" t="n">
        <x:f>COUNTIFS($A$5:$A$94,A7)</x:f>
        <x:v>1</x:v>
      </x:c>
    </x:row>
    <x:row r="8">
      <x:c r="A8" s="67" t="str">
        <x:v>P004</x:v>
      </x:c>
      <x:c r="B8" s="67" t="str">
        <x:v>ET-A-A</x:v>
      </x:c>
      <x:c r="C8" s="67" t="str">
        <x:v>ET-A</x:v>
      </x:c>
      <x:c r="D8" s="67" t="str">
        <x:v>A</x:v>
      </x:c>
      <x:c r="E8" s="68" t="n">
        <x:v>1</x:v>
      </x:c>
      <x:c r="F8" s="68" t="str">
        <x:v>ARTICLE</x:v>
      </x:c>
      <x:c r="G8" s="67" t="str">
        <x:v>Destructive-article engineering</x:v>
      </x:c>
      <x:c r="H8" s="79" t="n">
        <x:v>0.25</x:v>
      </x:c>
      <x:c r="I8" s="69" t="n">
        <x:f>H8*INDEX('Warrant Ledger'!$H$5:$H$22,MATCH(B8,'Warrant Ledger'!$A$5:$A$22,0))</x:f>
        <x:v>0.006255932726023125</x:v>
      </x:c>
      <x:c r="J8" s="69" t="n">
        <x:f>I8</x:f>
        <x:v>0.006255932726023125</x:v>
      </x:c>
      <x:c r="K8" s="69" t="n">
        <x:f>IF(E8=1,I8,0)</x:f>
        <x:v>0.006255932726023125</x:v>
      </x:c>
      <x:c r="L8" s="68" t="n">
        <x:v>1</x:v>
      </x:c>
      <x:c r="M8" s="68" t="n">
        <x:v>0</x:v>
      </x:c>
      <x:c r="N8" s="69" t="n">
        <x:v>0</x:v>
      </x:c>
      <x:c r="O8" s="68" t="n">
        <x:v>0</x:v>
      </x:c>
      <x:c r="P8" s="68" t="n">
        <x:v>0</x:v>
      </x:c>
      <x:c r="Q8" s="68" t="n">
        <x:v>0</x:v>
      </x:c>
      <x:c r="R8" s="67" t="str">
        <x:f>IF(E8=1,IF(AND(ABS(J8-I8)&lt;0.0000001,ABS(K8-I8)&lt;0.0000001,L8=1,M8=0,N8=0,O8=0,P8=0,Q8=0),"OBLIGATED / ACTIVE","INVALID"),IF(AND(ABS(J8-I8)&lt;0.0000001,K8=0,L8=0,M8=0,N8=0,O8=0,P8=0,Q8=0),"RESERVED / HELD","INVALID"))</x:f>
        <x:v>OBLIGATED / ACTIVE</x:v>
      </x:c>
      <x:c r="S8" s="68" t="n">
        <x:f>COUNTIFS($B$5:$B$94,B8)</x:f>
        <x:v>5</x:v>
      </x:c>
      <x:c r="T8" s="68" t="n">
        <x:f>COUNTIFS($A$5:$A$94,A8)</x:f>
        <x:v>1</x:v>
      </x:c>
    </x:row>
    <x:row r="9">
      <x:c r="A9" s="67" t="str">
        <x:v>P005</x:v>
      </x:c>
      <x:c r="B9" s="67" t="str">
        <x:v>ET-A-A</x:v>
      </x:c>
      <x:c r="C9" s="67" t="str">
        <x:v>ET-A</x:v>
      </x:c>
      <x:c r="D9" s="67" t="str">
        <x:v>A</x:v>
      </x:c>
      <x:c r="E9" s="68" t="n">
        <x:v>1</x:v>
      </x:c>
      <x:c r="F9" s="68" t="str">
        <x:v>REBUILD</x:v>
      </x:c>
      <x:c r="G9" s="67" t="str">
        <x:v>Cold reconstruction and challenge</x:v>
      </x:c>
      <x:c r="H9" s="79" t="n">
        <x:v>0.15</x:v>
      </x:c>
      <x:c r="I9" s="69" t="n">
        <x:f>H9*INDEX('Warrant Ledger'!$H$5:$H$22,MATCH(B9,'Warrant Ledger'!$A$5:$A$22,0))</x:f>
        <x:v>0.003753559635613875</x:v>
      </x:c>
      <x:c r="J9" s="69" t="n">
        <x:f>I9</x:f>
        <x:v>0.003753559635613875</x:v>
      </x:c>
      <x:c r="K9" s="69" t="n">
        <x:f>IF(E9=1,I9,0)</x:f>
        <x:v>0.003753559635613875</x:v>
      </x:c>
      <x:c r="L9" s="68" t="n">
        <x:v>1</x:v>
      </x:c>
      <x:c r="M9" s="68" t="n">
        <x:v>0</x:v>
      </x:c>
      <x:c r="N9" s="69" t="n">
        <x:v>0</x:v>
      </x:c>
      <x:c r="O9" s="68" t="n">
        <x:v>0</x:v>
      </x:c>
      <x:c r="P9" s="68" t="n">
        <x:v>0</x:v>
      </x:c>
      <x:c r="Q9" s="68" t="n">
        <x:v>0</x:v>
      </x:c>
      <x:c r="R9" s="67" t="str">
        <x:f>IF(E9=1,IF(AND(ABS(J9-I9)&lt;0.0000001,ABS(K9-I9)&lt;0.0000001,L9=1,M9=0,N9=0,O9=0,P9=0,Q9=0),"OBLIGATED / ACTIVE","INVALID"),IF(AND(ABS(J9-I9)&lt;0.0000001,K9=0,L9=0,M9=0,N9=0,O9=0,P9=0,Q9=0),"RESERVED / HELD","INVALID"))</x:f>
        <x:v>OBLIGATED / ACTIVE</x:v>
      </x:c>
      <x:c r="S9" s="68" t="n">
        <x:f>COUNTIFS($B$5:$B$94,B9)</x:f>
        <x:v>5</x:v>
      </x:c>
      <x:c r="T9" s="68" t="n">
        <x:f>COUNTIFS($A$5:$A$94,A9)</x:f>
        <x:v>1</x:v>
      </x:c>
    </x:row>
    <x:row r="10">
      <x:c r="A10" s="67" t="str">
        <x:v>P006</x:v>
      </x:c>
      <x:c r="B10" s="67" t="str">
        <x:v>ET-A-B</x:v>
      </x:c>
      <x:c r="C10" s="67" t="str">
        <x:v>ET-A</x:v>
      </x:c>
      <x:c r="D10" s="67" t="str">
        <x:v>B</x:v>
      </x:c>
      <x:c r="E10" s="68" t="n">
        <x:v>2</x:v>
      </x:c>
      <x:c r="F10" s="68" t="str">
        <x:v>METHOD</x:v>
      </x:c>
      <x:c r="G10" s="67" t="str">
        <x:v>Event method and denominator</x:v>
      </x:c>
      <x:c r="H10" s="79" t="n">
        <x:v>0.2</x:v>
      </x:c>
      <x:c r="I10" s="69" t="n">
        <x:f>H10*INDEX('Warrant Ledger'!$H$5:$H$22,MATCH(B10,'Warrant Ledger'!$A$5:$A$22,0))</x:f>
        <x:v>0.0050047461808185</x:v>
      </x:c>
      <x:c r="J10" s="69" t="n">
        <x:f>I10</x:f>
        <x:v>0.0050047461808185</x:v>
      </x:c>
      <x:c r="K10" s="69" t="n">
        <x:f>IF(E10=1,I10,0)</x:f>
        <x:v>0</x:v>
      </x:c>
      <x:c r="L10" s="68" t="n">
        <x:v>0</x:v>
      </x:c>
      <x:c r="M10" s="68" t="n">
        <x:v>0</x:v>
      </x:c>
      <x:c r="N10" s="69" t="n">
        <x:v>0</x:v>
      </x:c>
      <x:c r="O10" s="68" t="n">
        <x:v>0</x:v>
      </x:c>
      <x:c r="P10" s="68" t="n">
        <x:v>0</x:v>
      </x:c>
      <x:c r="Q10" s="68" t="n">
        <x:v>0</x:v>
      </x:c>
      <x:c r="R10" s="67" t="str">
        <x:f>IF(E10=1,IF(AND(ABS(J10-I10)&lt;0.0000001,ABS(K10-I10)&lt;0.0000001,L10=1,M10=0,N10=0,O10=0,P10=0,Q10=0),"OBLIGATED / ACTIVE","INVALID"),IF(AND(ABS(J10-I10)&lt;0.0000001,K10=0,L10=0,M10=0,N10=0,O10=0,P10=0,Q10=0),"RESERVED / HELD","INVALID"))</x:f>
        <x:v>RESERVED / HELD</x:v>
      </x:c>
      <x:c r="S10" s="68" t="n">
        <x:f>COUNTIFS($B$5:$B$94,B10)</x:f>
        <x:v>5</x:v>
      </x:c>
      <x:c r="T10" s="68" t="n">
        <x:f>COUNTIFS($A$5:$A$94,A10)</x:f>
        <x:v>1</x:v>
      </x:c>
    </x:row>
    <x:row r="11">
      <x:c r="A11" s="67" t="str">
        <x:v>P007</x:v>
      </x:c>
      <x:c r="B11" s="67" t="str">
        <x:v>ET-A-B</x:v>
      </x:c>
      <x:c r="C11" s="67" t="str">
        <x:v>ET-A</x:v>
      </x:c>
      <x:c r="D11" s="67" t="str">
        <x:v>B</x:v>
      </x:c>
      <x:c r="E11" s="68" t="n">
        <x:v>2</x:v>
      </x:c>
      <x:c r="F11" s="68" t="str">
        <x:v>MEASURE</x:v>
      </x:c>
      <x:c r="G11" s="67" t="str">
        <x:v>Instrumentation, custody and validity</x:v>
      </x:c>
      <x:c r="H11" s="79" t="n">
        <x:v>0.25</x:v>
      </x:c>
      <x:c r="I11" s="69" t="n">
        <x:f>H11*INDEX('Warrant Ledger'!$H$5:$H$22,MATCH(B11,'Warrant Ledger'!$A$5:$A$22,0))</x:f>
        <x:v>0.006255932726023125</x:v>
      </x:c>
      <x:c r="J11" s="69" t="n">
        <x:f>I11</x:f>
        <x:v>0.006255932726023125</x:v>
      </x:c>
      <x:c r="K11" s="69" t="n">
        <x:f>IF(E11=1,I11,0)</x:f>
        <x:v>0</x:v>
      </x:c>
      <x:c r="L11" s="68" t="n">
        <x:v>0</x:v>
      </x:c>
      <x:c r="M11" s="68" t="n">
        <x:v>0</x:v>
      </x:c>
      <x:c r="N11" s="69" t="n">
        <x:v>0</x:v>
      </x:c>
      <x:c r="O11" s="68" t="n">
        <x:v>0</x:v>
      </x:c>
      <x:c r="P11" s="68" t="n">
        <x:v>0</x:v>
      </x:c>
      <x:c r="Q11" s="68" t="n">
        <x:v>0</x:v>
      </x:c>
      <x:c r="R11" s="67" t="str">
        <x:f>IF(E11=1,IF(AND(ABS(J11-I11)&lt;0.0000001,ABS(K11-I11)&lt;0.0000001,L11=1,M11=0,N11=0,O11=0,P11=0,Q11=0),"OBLIGATED / ACTIVE","INVALID"),IF(AND(ABS(J11-I11)&lt;0.0000001,K11=0,L11=0,M11=0,N11=0,O11=0,P11=0,Q11=0),"RESERVED / HELD","INVALID"))</x:f>
        <x:v>RESERVED / HELD</x:v>
      </x:c>
      <x:c r="S11" s="68" t="n">
        <x:f>COUNTIFS($B$5:$B$94,B11)</x:f>
        <x:v>5</x:v>
      </x:c>
      <x:c r="T11" s="68" t="n">
        <x:f>COUNTIFS($A$5:$A$94,A11)</x:f>
        <x:v>1</x:v>
      </x:c>
    </x:row>
    <x:row r="12">
      <x:c r="A12" s="67" t="str">
        <x:v>P008</x:v>
      </x:c>
      <x:c r="B12" s="67" t="str">
        <x:v>ET-A-B</x:v>
      </x:c>
      <x:c r="C12" s="67" t="str">
        <x:v>ET-A</x:v>
      </x:c>
      <x:c r="D12" s="67" t="str">
        <x:v>B</x:v>
      </x:c>
      <x:c r="E12" s="68" t="n">
        <x:v>2</x:v>
      </x:c>
      <x:c r="F12" s="68" t="str">
        <x:v>CIVIL</x:v>
      </x:c>
      <x:c r="G12" s="67" t="str">
        <x:v>Rights, receiver and residual closure</x:v>
      </x:c>
      <x:c r="H12" s="79" t="n">
        <x:v>0.15</x:v>
      </x:c>
      <x:c r="I12" s="69" t="n">
        <x:f>H12*INDEX('Warrant Ledger'!$H$5:$H$22,MATCH(B12,'Warrant Ledger'!$A$5:$A$22,0))</x:f>
        <x:v>0.003753559635613875</x:v>
      </x:c>
      <x:c r="J12" s="69" t="n">
        <x:f>I12</x:f>
        <x:v>0.003753559635613875</x:v>
      </x:c>
      <x:c r="K12" s="69" t="n">
        <x:f>IF(E12=1,I12,0)</x:f>
        <x:v>0</x:v>
      </x:c>
      <x:c r="L12" s="68" t="n">
        <x:v>0</x:v>
      </x:c>
      <x:c r="M12" s="68" t="n">
        <x:v>0</x:v>
      </x:c>
      <x:c r="N12" s="69" t="n">
        <x:v>0</x:v>
      </x:c>
      <x:c r="O12" s="68" t="n">
        <x:v>0</x:v>
      </x:c>
      <x:c r="P12" s="68" t="n">
        <x:v>0</x:v>
      </x:c>
      <x:c r="Q12" s="68" t="n">
        <x:v>0</x:v>
      </x:c>
      <x:c r="R12" s="67" t="str">
        <x:f>IF(E12=1,IF(AND(ABS(J12-I12)&lt;0.0000001,ABS(K12-I12)&lt;0.0000001,L12=1,M12=0,N12=0,O12=0,P12=0,Q12=0),"OBLIGATED / ACTIVE","INVALID"),IF(AND(ABS(J12-I12)&lt;0.0000001,K12=0,L12=0,M12=0,N12=0,O12=0,P12=0,Q12=0),"RESERVED / HELD","INVALID"))</x:f>
        <x:v>RESERVED / HELD</x:v>
      </x:c>
      <x:c r="S12" s="68" t="n">
        <x:f>COUNTIFS($B$5:$B$94,B12)</x:f>
        <x:v>5</x:v>
      </x:c>
      <x:c r="T12" s="68" t="n">
        <x:f>COUNTIFS($A$5:$A$94,A12)</x:f>
        <x:v>1</x:v>
      </x:c>
    </x:row>
    <x:row r="13">
      <x:c r="A13" s="67" t="str">
        <x:v>P009</x:v>
      </x:c>
      <x:c r="B13" s="67" t="str">
        <x:v>ET-A-B</x:v>
      </x:c>
      <x:c r="C13" s="67" t="str">
        <x:v>ET-A</x:v>
      </x:c>
      <x:c r="D13" s="67" t="str">
        <x:v>B</x:v>
      </x:c>
      <x:c r="E13" s="68" t="n">
        <x:v>2</x:v>
      </x:c>
      <x:c r="F13" s="68" t="str">
        <x:v>ARTICLE</x:v>
      </x:c>
      <x:c r="G13" s="67" t="str">
        <x:v>Destructive-article engineering</x:v>
      </x:c>
      <x:c r="H13" s="79" t="n">
        <x:v>0.25</x:v>
      </x:c>
      <x:c r="I13" s="69" t="n">
        <x:f>H13*INDEX('Warrant Ledger'!$H$5:$H$22,MATCH(B13,'Warrant Ledger'!$A$5:$A$22,0))</x:f>
        <x:v>0.006255932726023125</x:v>
      </x:c>
      <x:c r="J13" s="69" t="n">
        <x:f>I13</x:f>
        <x:v>0.006255932726023125</x:v>
      </x:c>
      <x:c r="K13" s="69" t="n">
        <x:f>IF(E13=1,I13,0)</x:f>
        <x:v>0</x:v>
      </x:c>
      <x:c r="L13" s="68" t="n">
        <x:v>0</x:v>
      </x:c>
      <x:c r="M13" s="68" t="n">
        <x:v>0</x:v>
      </x:c>
      <x:c r="N13" s="69" t="n">
        <x:v>0</x:v>
      </x:c>
      <x:c r="O13" s="68" t="n">
        <x:v>0</x:v>
      </x:c>
      <x:c r="P13" s="68" t="n">
        <x:v>0</x:v>
      </x:c>
      <x:c r="Q13" s="68" t="n">
        <x:v>0</x:v>
      </x:c>
      <x:c r="R13" s="67" t="str">
        <x:f>IF(E13=1,IF(AND(ABS(J13-I13)&lt;0.0000001,ABS(K13-I13)&lt;0.0000001,L13=1,M13=0,N13=0,O13=0,P13=0,Q13=0),"OBLIGATED / ACTIVE","INVALID"),IF(AND(ABS(J13-I13)&lt;0.0000001,K13=0,L13=0,M13=0,N13=0,O13=0,P13=0,Q13=0),"RESERVED / HELD","INVALID"))</x:f>
        <x:v>RESERVED / HELD</x:v>
      </x:c>
      <x:c r="S13" s="68" t="n">
        <x:f>COUNTIFS($B$5:$B$94,B13)</x:f>
        <x:v>5</x:v>
      </x:c>
      <x:c r="T13" s="68" t="n">
        <x:f>COUNTIFS($A$5:$A$94,A13)</x:f>
        <x:v>1</x:v>
      </x:c>
    </x:row>
    <x:row r="14">
      <x:c r="A14" s="67" t="str">
        <x:v>P010</x:v>
      </x:c>
      <x:c r="B14" s="67" t="str">
        <x:v>ET-A-B</x:v>
      </x:c>
      <x:c r="C14" s="67" t="str">
        <x:v>ET-A</x:v>
      </x:c>
      <x:c r="D14" s="67" t="str">
        <x:v>B</x:v>
      </x:c>
      <x:c r="E14" s="68" t="n">
        <x:v>2</x:v>
      </x:c>
      <x:c r="F14" s="68" t="str">
        <x:v>REBUILD</x:v>
      </x:c>
      <x:c r="G14" s="67" t="str">
        <x:v>Cold reconstruction and challenge</x:v>
      </x:c>
      <x:c r="H14" s="79" t="n">
        <x:v>0.15</x:v>
      </x:c>
      <x:c r="I14" s="69" t="n">
        <x:f>H14*INDEX('Warrant Ledger'!$H$5:$H$22,MATCH(B14,'Warrant Ledger'!$A$5:$A$22,0))</x:f>
        <x:v>0.003753559635613875</x:v>
      </x:c>
      <x:c r="J14" s="69" t="n">
        <x:f>I14</x:f>
        <x:v>0.003753559635613875</x:v>
      </x:c>
      <x:c r="K14" s="69" t="n">
        <x:f>IF(E14=1,I14,0)</x:f>
        <x:v>0</x:v>
      </x:c>
      <x:c r="L14" s="68" t="n">
        <x:v>0</x:v>
      </x:c>
      <x:c r="M14" s="68" t="n">
        <x:v>0</x:v>
      </x:c>
      <x:c r="N14" s="69" t="n">
        <x:v>0</x:v>
      </x:c>
      <x:c r="O14" s="68" t="n">
        <x:v>0</x:v>
      </x:c>
      <x:c r="P14" s="68" t="n">
        <x:v>0</x:v>
      </x:c>
      <x:c r="Q14" s="68" t="n">
        <x:v>0</x:v>
      </x:c>
      <x:c r="R14" s="67" t="str">
        <x:f>IF(E14=1,IF(AND(ABS(J14-I14)&lt;0.0000001,ABS(K14-I14)&lt;0.0000001,L14=1,M14=0,N14=0,O14=0,P14=0,Q14=0),"OBLIGATED / ACTIVE","INVALID"),IF(AND(ABS(J14-I14)&lt;0.0000001,K14=0,L14=0,M14=0,N14=0,O14=0,P14=0,Q14=0),"RESERVED / HELD","INVALID"))</x:f>
        <x:v>RESERVED / HELD</x:v>
      </x:c>
      <x:c r="S14" s="68" t="n">
        <x:f>COUNTIFS($B$5:$B$94,B14)</x:f>
        <x:v>5</x:v>
      </x:c>
      <x:c r="T14" s="68" t="n">
        <x:f>COUNTIFS($A$5:$A$94,A14)</x:f>
        <x:v>1</x:v>
      </x:c>
    </x:row>
    <x:row r="15">
      <x:c r="A15" s="67" t="str">
        <x:v>P011</x:v>
      </x:c>
      <x:c r="B15" s="67" t="str">
        <x:v>ET-A-C</x:v>
      </x:c>
      <x:c r="C15" s="67" t="str">
        <x:v>ET-A</x:v>
      </x:c>
      <x:c r="D15" s="67" t="str">
        <x:v>C</x:v>
      </x:c>
      <x:c r="E15" s="68" t="n">
        <x:v>3</x:v>
      </x:c>
      <x:c r="F15" s="68" t="str">
        <x:v>METHOD</x:v>
      </x:c>
      <x:c r="G15" s="67" t="str">
        <x:v>Event method and denominator</x:v>
      </x:c>
      <x:c r="H15" s="79" t="n">
        <x:v>0.2</x:v>
      </x:c>
      <x:c r="I15" s="69" t="n">
        <x:f>H15*INDEX('Warrant Ledger'!$H$5:$H$22,MATCH(B15,'Warrant Ledger'!$A$5:$A$22,0))</x:f>
        <x:v>0.0050047461808185</x:v>
      </x:c>
      <x:c r="J15" s="69" t="n">
        <x:f>I15</x:f>
        <x:v>0.0050047461808185</x:v>
      </x:c>
      <x:c r="K15" s="69" t="n">
        <x:f>IF(E15=1,I15,0)</x:f>
        <x:v>0</x:v>
      </x:c>
      <x:c r="L15" s="68" t="n">
        <x:v>0</x:v>
      </x:c>
      <x:c r="M15" s="68" t="n">
        <x:v>0</x:v>
      </x:c>
      <x:c r="N15" s="69" t="n">
        <x:v>0</x:v>
      </x:c>
      <x:c r="O15" s="68" t="n">
        <x:v>0</x:v>
      </x:c>
      <x:c r="P15" s="68" t="n">
        <x:v>0</x:v>
      </x:c>
      <x:c r="Q15" s="68" t="n">
        <x:v>0</x:v>
      </x:c>
      <x:c r="R15" s="67" t="str">
        <x:f>IF(E15=1,IF(AND(ABS(J15-I15)&lt;0.0000001,ABS(K15-I15)&lt;0.0000001,L15=1,M15=0,N15=0,O15=0,P15=0,Q15=0),"OBLIGATED / ACTIVE","INVALID"),IF(AND(ABS(J15-I15)&lt;0.0000001,K15=0,L15=0,M15=0,N15=0,O15=0,P15=0,Q15=0),"RESERVED / HELD","INVALID"))</x:f>
        <x:v>RESERVED / HELD</x:v>
      </x:c>
      <x:c r="S15" s="68" t="n">
        <x:f>COUNTIFS($B$5:$B$94,B15)</x:f>
        <x:v>5</x:v>
      </x:c>
      <x:c r="T15" s="68" t="n">
        <x:f>COUNTIFS($A$5:$A$94,A15)</x:f>
        <x:v>1</x:v>
      </x:c>
    </x:row>
    <x:row r="16">
      <x:c r="A16" s="67" t="str">
        <x:v>P012</x:v>
      </x:c>
      <x:c r="B16" s="67" t="str">
        <x:v>ET-A-C</x:v>
      </x:c>
      <x:c r="C16" s="67" t="str">
        <x:v>ET-A</x:v>
      </x:c>
      <x:c r="D16" s="67" t="str">
        <x:v>C</x:v>
      </x:c>
      <x:c r="E16" s="68" t="n">
        <x:v>3</x:v>
      </x:c>
      <x:c r="F16" s="68" t="str">
        <x:v>MEASURE</x:v>
      </x:c>
      <x:c r="G16" s="67" t="str">
        <x:v>Instrumentation, custody and validity</x:v>
      </x:c>
      <x:c r="H16" s="79" t="n">
        <x:v>0.25</x:v>
      </x:c>
      <x:c r="I16" s="69" t="n">
        <x:f>H16*INDEX('Warrant Ledger'!$H$5:$H$22,MATCH(B16,'Warrant Ledger'!$A$5:$A$22,0))</x:f>
        <x:v>0.006255932726023125</x:v>
      </x:c>
      <x:c r="J16" s="69" t="n">
        <x:f>I16</x:f>
        <x:v>0.006255932726023125</x:v>
      </x:c>
      <x:c r="K16" s="69" t="n">
        <x:f>IF(E16=1,I16,0)</x:f>
        <x:v>0</x:v>
      </x:c>
      <x:c r="L16" s="68" t="n">
        <x:v>0</x:v>
      </x:c>
      <x:c r="M16" s="68" t="n">
        <x:v>0</x:v>
      </x:c>
      <x:c r="N16" s="69" t="n">
        <x:v>0</x:v>
      </x:c>
      <x:c r="O16" s="68" t="n">
        <x:v>0</x:v>
      </x:c>
      <x:c r="P16" s="68" t="n">
        <x:v>0</x:v>
      </x:c>
      <x:c r="Q16" s="68" t="n">
        <x:v>0</x:v>
      </x:c>
      <x:c r="R16" s="67" t="str">
        <x:f>IF(E16=1,IF(AND(ABS(J16-I16)&lt;0.0000001,ABS(K16-I16)&lt;0.0000001,L16=1,M16=0,N16=0,O16=0,P16=0,Q16=0),"OBLIGATED / ACTIVE","INVALID"),IF(AND(ABS(J16-I16)&lt;0.0000001,K16=0,L16=0,M16=0,N16=0,O16=0,P16=0,Q16=0),"RESERVED / HELD","INVALID"))</x:f>
        <x:v>RESERVED / HELD</x:v>
      </x:c>
      <x:c r="S16" s="68" t="n">
        <x:f>COUNTIFS($B$5:$B$94,B16)</x:f>
        <x:v>5</x:v>
      </x:c>
      <x:c r="T16" s="68" t="n">
        <x:f>COUNTIFS($A$5:$A$94,A16)</x:f>
        <x:v>1</x:v>
      </x:c>
    </x:row>
    <x:row r="17">
      <x:c r="A17" s="67" t="str">
        <x:v>P013</x:v>
      </x:c>
      <x:c r="B17" s="67" t="str">
        <x:v>ET-A-C</x:v>
      </x:c>
      <x:c r="C17" s="67" t="str">
        <x:v>ET-A</x:v>
      </x:c>
      <x:c r="D17" s="67" t="str">
        <x:v>C</x:v>
      </x:c>
      <x:c r="E17" s="68" t="n">
        <x:v>3</x:v>
      </x:c>
      <x:c r="F17" s="68" t="str">
        <x:v>CIVIL</x:v>
      </x:c>
      <x:c r="G17" s="67" t="str">
        <x:v>Rights, receiver and residual closure</x:v>
      </x:c>
      <x:c r="H17" s="79" t="n">
        <x:v>0.15</x:v>
      </x:c>
      <x:c r="I17" s="69" t="n">
        <x:f>H17*INDEX('Warrant Ledger'!$H$5:$H$22,MATCH(B17,'Warrant Ledger'!$A$5:$A$22,0))</x:f>
        <x:v>0.003753559635613875</x:v>
      </x:c>
      <x:c r="J17" s="69" t="n">
        <x:f>I17</x:f>
        <x:v>0.003753559635613875</x:v>
      </x:c>
      <x:c r="K17" s="69" t="n">
        <x:f>IF(E17=1,I17,0)</x:f>
        <x:v>0</x:v>
      </x:c>
      <x:c r="L17" s="68" t="n">
        <x:v>0</x:v>
      </x:c>
      <x:c r="M17" s="68" t="n">
        <x:v>0</x:v>
      </x:c>
      <x:c r="N17" s="69" t="n">
        <x:v>0</x:v>
      </x:c>
      <x:c r="O17" s="68" t="n">
        <x:v>0</x:v>
      </x:c>
      <x:c r="P17" s="68" t="n">
        <x:v>0</x:v>
      </x:c>
      <x:c r="Q17" s="68" t="n">
        <x:v>0</x:v>
      </x:c>
      <x:c r="R17" s="67" t="str">
        <x:f>IF(E17=1,IF(AND(ABS(J17-I17)&lt;0.0000001,ABS(K17-I17)&lt;0.0000001,L17=1,M17=0,N17=0,O17=0,P17=0,Q17=0),"OBLIGATED / ACTIVE","INVALID"),IF(AND(ABS(J17-I17)&lt;0.0000001,K17=0,L17=0,M17=0,N17=0,O17=0,P17=0,Q17=0),"RESERVED / HELD","INVALID"))</x:f>
        <x:v>RESERVED / HELD</x:v>
      </x:c>
      <x:c r="S17" s="68" t="n">
        <x:f>COUNTIFS($B$5:$B$94,B17)</x:f>
        <x:v>5</x:v>
      </x:c>
      <x:c r="T17" s="68" t="n">
        <x:f>COUNTIFS($A$5:$A$94,A17)</x:f>
        <x:v>1</x:v>
      </x:c>
    </x:row>
    <x:row r="18">
      <x:c r="A18" s="67" t="str">
        <x:v>P014</x:v>
      </x:c>
      <x:c r="B18" s="67" t="str">
        <x:v>ET-A-C</x:v>
      </x:c>
      <x:c r="C18" s="67" t="str">
        <x:v>ET-A</x:v>
      </x:c>
      <x:c r="D18" s="67" t="str">
        <x:v>C</x:v>
      </x:c>
      <x:c r="E18" s="68" t="n">
        <x:v>3</x:v>
      </x:c>
      <x:c r="F18" s="68" t="str">
        <x:v>ARTICLE</x:v>
      </x:c>
      <x:c r="G18" s="67" t="str">
        <x:v>Destructive-article engineering</x:v>
      </x:c>
      <x:c r="H18" s="79" t="n">
        <x:v>0.25</x:v>
      </x:c>
      <x:c r="I18" s="69" t="n">
        <x:f>H18*INDEX('Warrant Ledger'!$H$5:$H$22,MATCH(B18,'Warrant Ledger'!$A$5:$A$22,0))</x:f>
        <x:v>0.006255932726023125</x:v>
      </x:c>
      <x:c r="J18" s="69" t="n">
        <x:f>I18</x:f>
        <x:v>0.006255932726023125</x:v>
      </x:c>
      <x:c r="K18" s="69" t="n">
        <x:f>IF(E18=1,I18,0)</x:f>
        <x:v>0</x:v>
      </x:c>
      <x:c r="L18" s="68" t="n">
        <x:v>0</x:v>
      </x:c>
      <x:c r="M18" s="68" t="n">
        <x:v>0</x:v>
      </x:c>
      <x:c r="N18" s="69" t="n">
        <x:v>0</x:v>
      </x:c>
      <x:c r="O18" s="68" t="n">
        <x:v>0</x:v>
      </x:c>
      <x:c r="P18" s="68" t="n">
        <x:v>0</x:v>
      </x:c>
      <x:c r="Q18" s="68" t="n">
        <x:v>0</x:v>
      </x:c>
      <x:c r="R18" s="67" t="str">
        <x:f>IF(E18=1,IF(AND(ABS(J18-I18)&lt;0.0000001,ABS(K18-I18)&lt;0.0000001,L18=1,M18=0,N18=0,O18=0,P18=0,Q18=0),"OBLIGATED / ACTIVE","INVALID"),IF(AND(ABS(J18-I18)&lt;0.0000001,K18=0,L18=0,M18=0,N18=0,O18=0,P18=0,Q18=0),"RESERVED / HELD","INVALID"))</x:f>
        <x:v>RESERVED / HELD</x:v>
      </x:c>
      <x:c r="S18" s="68" t="n">
        <x:f>COUNTIFS($B$5:$B$94,B18)</x:f>
        <x:v>5</x:v>
      </x:c>
      <x:c r="T18" s="68" t="n">
        <x:f>COUNTIFS($A$5:$A$94,A18)</x:f>
        <x:v>1</x:v>
      </x:c>
    </x:row>
    <x:row r="19">
      <x:c r="A19" s="67" t="str">
        <x:v>P015</x:v>
      </x:c>
      <x:c r="B19" s="67" t="str">
        <x:v>ET-A-C</x:v>
      </x:c>
      <x:c r="C19" s="67" t="str">
        <x:v>ET-A</x:v>
      </x:c>
      <x:c r="D19" s="67" t="str">
        <x:v>C</x:v>
      </x:c>
      <x:c r="E19" s="68" t="n">
        <x:v>3</x:v>
      </x:c>
      <x:c r="F19" s="68" t="str">
        <x:v>REBUILD</x:v>
      </x:c>
      <x:c r="G19" s="67" t="str">
        <x:v>Cold reconstruction and challenge</x:v>
      </x:c>
      <x:c r="H19" s="79" t="n">
        <x:v>0.15</x:v>
      </x:c>
      <x:c r="I19" s="69" t="n">
        <x:f>H19*INDEX('Warrant Ledger'!$H$5:$H$22,MATCH(B19,'Warrant Ledger'!$A$5:$A$22,0))</x:f>
        <x:v>0.003753559635613875</x:v>
      </x:c>
      <x:c r="J19" s="69" t="n">
        <x:f>I19</x:f>
        <x:v>0.003753559635613875</x:v>
      </x:c>
      <x:c r="K19" s="69" t="n">
        <x:f>IF(E19=1,I19,0)</x:f>
        <x:v>0</x:v>
      </x:c>
      <x:c r="L19" s="68" t="n">
        <x:v>0</x:v>
      </x:c>
      <x:c r="M19" s="68" t="n">
        <x:v>0</x:v>
      </x:c>
      <x:c r="N19" s="69" t="n">
        <x:v>0</x:v>
      </x:c>
      <x:c r="O19" s="68" t="n">
        <x:v>0</x:v>
      </x:c>
      <x:c r="P19" s="68" t="n">
        <x:v>0</x:v>
      </x:c>
      <x:c r="Q19" s="68" t="n">
        <x:v>0</x:v>
      </x:c>
      <x:c r="R19" s="67" t="str">
        <x:f>IF(E19=1,IF(AND(ABS(J19-I19)&lt;0.0000001,ABS(K19-I19)&lt;0.0000001,L19=1,M19=0,N19=0,O19=0,P19=0,Q19=0),"OBLIGATED / ACTIVE","INVALID"),IF(AND(ABS(J19-I19)&lt;0.0000001,K19=0,L19=0,M19=0,N19=0,O19=0,P19=0,Q19=0),"RESERVED / HELD","INVALID"))</x:f>
        <x:v>RESERVED / HELD</x:v>
      </x:c>
      <x:c r="S19" s="68" t="n">
        <x:f>COUNTIFS($B$5:$B$94,B19)</x:f>
        <x:v>5</x:v>
      </x:c>
      <x:c r="T19" s="68" t="n">
        <x:f>COUNTIFS($A$5:$A$94,A19)</x:f>
        <x:v>1</x:v>
      </x:c>
    </x:row>
    <x:row r="20">
      <x:c r="A20" s="67" t="str">
        <x:v>P016</x:v>
      </x:c>
      <x:c r="B20" s="67" t="str">
        <x:v>CT-C-A</x:v>
      </x:c>
      <x:c r="C20" s="67" t="str">
        <x:v>CT-C</x:v>
      </x:c>
      <x:c r="D20" s="67" t="str">
        <x:v>A</x:v>
      </x:c>
      <x:c r="E20" s="68" t="n">
        <x:v>3</x:v>
      </x:c>
      <x:c r="F20" s="68" t="str">
        <x:v>METHOD</x:v>
      </x:c>
      <x:c r="G20" s="67" t="str">
        <x:v>Event method and denominator</x:v>
      </x:c>
      <x:c r="H20" s="79" t="n">
        <x:v>0.2</x:v>
      </x:c>
      <x:c r="I20" s="69" t="n">
        <x:f>H20*INDEX('Warrant Ledger'!$H$5:$H$22,MATCH(B20,'Warrant Ledger'!$A$5:$A$22,0))</x:f>
        <x:v>0.0051649348177396</x:v>
      </x:c>
      <x:c r="J20" s="69" t="n">
        <x:f>I20</x:f>
        <x:v>0.0051649348177396</x:v>
      </x:c>
      <x:c r="K20" s="69" t="n">
        <x:f>IF(E20=1,I20,0)</x:f>
        <x:v>0</x:v>
      </x:c>
      <x:c r="L20" s="68" t="n">
        <x:v>0</x:v>
      </x:c>
      <x:c r="M20" s="68" t="n">
        <x:v>0</x:v>
      </x:c>
      <x:c r="N20" s="69" t="n">
        <x:v>0</x:v>
      </x:c>
      <x:c r="O20" s="68" t="n">
        <x:v>0</x:v>
      </x:c>
      <x:c r="P20" s="68" t="n">
        <x:v>0</x:v>
      </x:c>
      <x:c r="Q20" s="68" t="n">
        <x:v>0</x:v>
      </x:c>
      <x:c r="R20" s="67" t="str">
        <x:f>IF(E20=1,IF(AND(ABS(J20-I20)&lt;0.0000001,ABS(K20-I20)&lt;0.0000001,L20=1,M20=0,N20=0,O20=0,P20=0,Q20=0),"OBLIGATED / ACTIVE","INVALID"),IF(AND(ABS(J20-I20)&lt;0.0000001,K20=0,L20=0,M20=0,N20=0,O20=0,P20=0,Q20=0),"RESERVED / HELD","INVALID"))</x:f>
        <x:v>RESERVED / HELD</x:v>
      </x:c>
      <x:c r="S20" s="68" t="n">
        <x:f>COUNTIFS($B$5:$B$94,B20)</x:f>
        <x:v>5</x:v>
      </x:c>
      <x:c r="T20" s="68" t="n">
        <x:f>COUNTIFS($A$5:$A$94,A20)</x:f>
        <x:v>1</x:v>
      </x:c>
    </x:row>
    <x:row r="21">
      <x:c r="A21" s="67" t="str">
        <x:v>P017</x:v>
      </x:c>
      <x:c r="B21" s="67" t="str">
        <x:v>CT-C-A</x:v>
      </x:c>
      <x:c r="C21" s="67" t="str">
        <x:v>CT-C</x:v>
      </x:c>
      <x:c r="D21" s="67" t="str">
        <x:v>A</x:v>
      </x:c>
      <x:c r="E21" s="68" t="n">
        <x:v>3</x:v>
      </x:c>
      <x:c r="F21" s="68" t="str">
        <x:v>MEASURE</x:v>
      </x:c>
      <x:c r="G21" s="67" t="str">
        <x:v>Instrumentation, custody and validity</x:v>
      </x:c>
      <x:c r="H21" s="79" t="n">
        <x:v>0.25</x:v>
      </x:c>
      <x:c r="I21" s="69" t="n">
        <x:f>H21*INDEX('Warrant Ledger'!$H$5:$H$22,MATCH(B21,'Warrant Ledger'!$A$5:$A$22,0))</x:f>
        <x:v>0.0064561685221745</x:v>
      </x:c>
      <x:c r="J21" s="69" t="n">
        <x:f>I21</x:f>
        <x:v>0.0064561685221745</x:v>
      </x:c>
      <x:c r="K21" s="69" t="n">
        <x:f>IF(E21=1,I21,0)</x:f>
        <x:v>0</x:v>
      </x:c>
      <x:c r="L21" s="68" t="n">
        <x:v>0</x:v>
      </x:c>
      <x:c r="M21" s="68" t="n">
        <x:v>0</x:v>
      </x:c>
      <x:c r="N21" s="69" t="n">
        <x:v>0</x:v>
      </x:c>
      <x:c r="O21" s="68" t="n">
        <x:v>0</x:v>
      </x:c>
      <x:c r="P21" s="68" t="n">
        <x:v>0</x:v>
      </x:c>
      <x:c r="Q21" s="68" t="n">
        <x:v>0</x:v>
      </x:c>
      <x:c r="R21" s="67" t="str">
        <x:f>IF(E21=1,IF(AND(ABS(J21-I21)&lt;0.0000001,ABS(K21-I21)&lt;0.0000001,L21=1,M21=0,N21=0,O21=0,P21=0,Q21=0),"OBLIGATED / ACTIVE","INVALID"),IF(AND(ABS(J21-I21)&lt;0.0000001,K21=0,L21=0,M21=0,N21=0,O21=0,P21=0,Q21=0),"RESERVED / HELD","INVALID"))</x:f>
        <x:v>RESERVED / HELD</x:v>
      </x:c>
      <x:c r="S21" s="68" t="n">
        <x:f>COUNTIFS($B$5:$B$94,B21)</x:f>
        <x:v>5</x:v>
      </x:c>
      <x:c r="T21" s="68" t="n">
        <x:f>COUNTIFS($A$5:$A$94,A21)</x:f>
        <x:v>1</x:v>
      </x:c>
    </x:row>
    <x:row r="22">
      <x:c r="A22" s="67" t="str">
        <x:v>P018</x:v>
      </x:c>
      <x:c r="B22" s="67" t="str">
        <x:v>CT-C-A</x:v>
      </x:c>
      <x:c r="C22" s="67" t="str">
        <x:v>CT-C</x:v>
      </x:c>
      <x:c r="D22" s="67" t="str">
        <x:v>A</x:v>
      </x:c>
      <x:c r="E22" s="68" t="n">
        <x:v>3</x:v>
      </x:c>
      <x:c r="F22" s="68" t="str">
        <x:v>CIVIL</x:v>
      </x:c>
      <x:c r="G22" s="67" t="str">
        <x:v>Rights, receiver and residual closure</x:v>
      </x:c>
      <x:c r="H22" s="79" t="n">
        <x:v>0.15</x:v>
      </x:c>
      <x:c r="I22" s="69" t="n">
        <x:f>H22*INDEX('Warrant Ledger'!$H$5:$H$22,MATCH(B22,'Warrant Ledger'!$A$5:$A$22,0))</x:f>
        <x:v>0.0038737011133046996</x:v>
      </x:c>
      <x:c r="J22" s="69" t="n">
        <x:f>I22</x:f>
        <x:v>0.0038737011133046996</x:v>
      </x:c>
      <x:c r="K22" s="69" t="n">
        <x:f>IF(E22=1,I22,0)</x:f>
        <x:v>0</x:v>
      </x:c>
      <x:c r="L22" s="68" t="n">
        <x:v>0</x:v>
      </x:c>
      <x:c r="M22" s="68" t="n">
        <x:v>0</x:v>
      </x:c>
      <x:c r="N22" s="69" t="n">
        <x:v>0</x:v>
      </x:c>
      <x:c r="O22" s="68" t="n">
        <x:v>0</x:v>
      </x:c>
      <x:c r="P22" s="68" t="n">
        <x:v>0</x:v>
      </x:c>
      <x:c r="Q22" s="68" t="n">
        <x:v>0</x:v>
      </x:c>
      <x:c r="R22" s="67" t="str">
        <x:f>IF(E22=1,IF(AND(ABS(J22-I22)&lt;0.0000001,ABS(K22-I22)&lt;0.0000001,L22=1,M22=0,N22=0,O22=0,P22=0,Q22=0),"OBLIGATED / ACTIVE","INVALID"),IF(AND(ABS(J22-I22)&lt;0.0000001,K22=0,L22=0,M22=0,N22=0,O22=0,P22=0,Q22=0),"RESERVED / HELD","INVALID"))</x:f>
        <x:v>RESERVED / HELD</x:v>
      </x:c>
      <x:c r="S22" s="68" t="n">
        <x:f>COUNTIFS($B$5:$B$94,B22)</x:f>
        <x:v>5</x:v>
      </x:c>
      <x:c r="T22" s="68" t="n">
        <x:f>COUNTIFS($A$5:$A$94,A22)</x:f>
        <x:v>1</x:v>
      </x:c>
    </x:row>
    <x:row r="23">
      <x:c r="A23" s="67" t="str">
        <x:v>P019</x:v>
      </x:c>
      <x:c r="B23" s="67" t="str">
        <x:v>CT-C-A</x:v>
      </x:c>
      <x:c r="C23" s="67" t="str">
        <x:v>CT-C</x:v>
      </x:c>
      <x:c r="D23" s="67" t="str">
        <x:v>A</x:v>
      </x:c>
      <x:c r="E23" s="68" t="n">
        <x:v>3</x:v>
      </x:c>
      <x:c r="F23" s="68" t="str">
        <x:v>ARTICLE</x:v>
      </x:c>
      <x:c r="G23" s="67" t="str">
        <x:v>Destructive-article engineering</x:v>
      </x:c>
      <x:c r="H23" s="79" t="n">
        <x:v>0.25</x:v>
      </x:c>
      <x:c r="I23" s="69" t="n">
        <x:f>H23*INDEX('Warrant Ledger'!$H$5:$H$22,MATCH(B23,'Warrant Ledger'!$A$5:$A$22,0))</x:f>
        <x:v>0.0064561685221745</x:v>
      </x:c>
      <x:c r="J23" s="69" t="n">
        <x:f>I23</x:f>
        <x:v>0.0064561685221745</x:v>
      </x:c>
      <x:c r="K23" s="69" t="n">
        <x:f>IF(E23=1,I23,0)</x:f>
        <x:v>0</x:v>
      </x:c>
      <x:c r="L23" s="68" t="n">
        <x:v>0</x:v>
      </x:c>
      <x:c r="M23" s="68" t="n">
        <x:v>0</x:v>
      </x:c>
      <x:c r="N23" s="69" t="n">
        <x:v>0</x:v>
      </x:c>
      <x:c r="O23" s="68" t="n">
        <x:v>0</x:v>
      </x:c>
      <x:c r="P23" s="68" t="n">
        <x:v>0</x:v>
      </x:c>
      <x:c r="Q23" s="68" t="n">
        <x:v>0</x:v>
      </x:c>
      <x:c r="R23" s="67" t="str">
        <x:f>IF(E23=1,IF(AND(ABS(J23-I23)&lt;0.0000001,ABS(K23-I23)&lt;0.0000001,L23=1,M23=0,N23=0,O23=0,P23=0,Q23=0),"OBLIGATED / ACTIVE","INVALID"),IF(AND(ABS(J23-I23)&lt;0.0000001,K23=0,L23=0,M23=0,N23=0,O23=0,P23=0,Q23=0),"RESERVED / HELD","INVALID"))</x:f>
        <x:v>RESERVED / HELD</x:v>
      </x:c>
      <x:c r="S23" s="68" t="n">
        <x:f>COUNTIFS($B$5:$B$94,B23)</x:f>
        <x:v>5</x:v>
      </x:c>
      <x:c r="T23" s="68" t="n">
        <x:f>COUNTIFS($A$5:$A$94,A23)</x:f>
        <x:v>1</x:v>
      </x:c>
    </x:row>
    <x:row r="24">
      <x:c r="A24" s="67" t="str">
        <x:v>P020</x:v>
      </x:c>
      <x:c r="B24" s="67" t="str">
        <x:v>CT-C-A</x:v>
      </x:c>
      <x:c r="C24" s="67" t="str">
        <x:v>CT-C</x:v>
      </x:c>
      <x:c r="D24" s="67" t="str">
        <x:v>A</x:v>
      </x:c>
      <x:c r="E24" s="68" t="n">
        <x:v>3</x:v>
      </x:c>
      <x:c r="F24" s="68" t="str">
        <x:v>REBUILD</x:v>
      </x:c>
      <x:c r="G24" s="67" t="str">
        <x:v>Cold reconstruction and challenge</x:v>
      </x:c>
      <x:c r="H24" s="79" t="n">
        <x:v>0.15</x:v>
      </x:c>
      <x:c r="I24" s="69" t="n">
        <x:f>H24*INDEX('Warrant Ledger'!$H$5:$H$22,MATCH(B24,'Warrant Ledger'!$A$5:$A$22,0))</x:f>
        <x:v>0.0038737011133046996</x:v>
      </x:c>
      <x:c r="J24" s="69" t="n">
        <x:f>I24</x:f>
        <x:v>0.0038737011133046996</x:v>
      </x:c>
      <x:c r="K24" s="69" t="n">
        <x:f>IF(E24=1,I24,0)</x:f>
        <x:v>0</x:v>
      </x:c>
      <x:c r="L24" s="68" t="n">
        <x:v>0</x:v>
      </x:c>
      <x:c r="M24" s="68" t="n">
        <x:v>0</x:v>
      </x:c>
      <x:c r="N24" s="69" t="n">
        <x:v>0</x:v>
      </x:c>
      <x:c r="O24" s="68" t="n">
        <x:v>0</x:v>
      </x:c>
      <x:c r="P24" s="68" t="n">
        <x:v>0</x:v>
      </x:c>
      <x:c r="Q24" s="68" t="n">
        <x:v>0</x:v>
      </x:c>
      <x:c r="R24" s="67" t="str">
        <x:f>IF(E24=1,IF(AND(ABS(J24-I24)&lt;0.0000001,ABS(K24-I24)&lt;0.0000001,L24=1,M24=0,N24=0,O24=0,P24=0,Q24=0),"OBLIGATED / ACTIVE","INVALID"),IF(AND(ABS(J24-I24)&lt;0.0000001,K24=0,L24=0,M24=0,N24=0,O24=0,P24=0,Q24=0),"RESERVED / HELD","INVALID"))</x:f>
        <x:v>RESERVED / HELD</x:v>
      </x:c>
      <x:c r="S24" s="68" t="n">
        <x:f>COUNTIFS($B$5:$B$94,B24)</x:f>
        <x:v>5</x:v>
      </x:c>
      <x:c r="T24" s="68" t="n">
        <x:f>COUNTIFS($A$5:$A$94,A24)</x:f>
        <x:v>1</x:v>
      </x:c>
    </x:row>
    <x:row r="25">
      <x:c r="A25" s="67" t="str">
        <x:v>P021</x:v>
      </x:c>
      <x:c r="B25" s="67" t="str">
        <x:v>CT-C-B</x:v>
      </x:c>
      <x:c r="C25" s="67" t="str">
        <x:v>CT-C</x:v>
      </x:c>
      <x:c r="D25" s="67" t="str">
        <x:v>B</x:v>
      </x:c>
      <x:c r="E25" s="68" t="n">
        <x:v>1</x:v>
      </x:c>
      <x:c r="F25" s="68" t="str">
        <x:v>METHOD</x:v>
      </x:c>
      <x:c r="G25" s="67" t="str">
        <x:v>Event method and denominator</x:v>
      </x:c>
      <x:c r="H25" s="79" t="n">
        <x:v>0.2</x:v>
      </x:c>
      <x:c r="I25" s="69" t="n">
        <x:f>H25*INDEX('Warrant Ledger'!$H$5:$H$22,MATCH(B25,'Warrant Ledger'!$A$5:$A$22,0))</x:f>
        <x:v>0.0051649348177396</x:v>
      </x:c>
      <x:c r="J25" s="69" t="n">
        <x:f>I25</x:f>
        <x:v>0.0051649348177396</x:v>
      </x:c>
      <x:c r="K25" s="69" t="n">
        <x:f>IF(E25=1,I25,0)</x:f>
        <x:v>0.0051649348177396</x:v>
      </x:c>
      <x:c r="L25" s="68" t="n">
        <x:v>1</x:v>
      </x:c>
      <x:c r="M25" s="68" t="n">
        <x:v>0</x:v>
      </x:c>
      <x:c r="N25" s="69" t="n">
        <x:v>0</x:v>
      </x:c>
      <x:c r="O25" s="68" t="n">
        <x:v>0</x:v>
      </x:c>
      <x:c r="P25" s="68" t="n">
        <x:v>0</x:v>
      </x:c>
      <x:c r="Q25" s="68" t="n">
        <x:v>0</x:v>
      </x:c>
      <x:c r="R25" s="67" t="str">
        <x:f>IF(E25=1,IF(AND(ABS(J25-I25)&lt;0.0000001,ABS(K25-I25)&lt;0.0000001,L25=1,M25=0,N25=0,O25=0,P25=0,Q25=0),"OBLIGATED / ACTIVE","INVALID"),IF(AND(ABS(J25-I25)&lt;0.0000001,K25=0,L25=0,M25=0,N25=0,O25=0,P25=0,Q25=0),"RESERVED / HELD","INVALID"))</x:f>
        <x:v>OBLIGATED / ACTIVE</x:v>
      </x:c>
      <x:c r="S25" s="68" t="n">
        <x:f>COUNTIFS($B$5:$B$94,B25)</x:f>
        <x:v>5</x:v>
      </x:c>
      <x:c r="T25" s="68" t="n">
        <x:f>COUNTIFS($A$5:$A$94,A25)</x:f>
        <x:v>1</x:v>
      </x:c>
    </x:row>
    <x:row r="26">
      <x:c r="A26" s="67" t="str">
        <x:v>P022</x:v>
      </x:c>
      <x:c r="B26" s="67" t="str">
        <x:v>CT-C-B</x:v>
      </x:c>
      <x:c r="C26" s="67" t="str">
        <x:v>CT-C</x:v>
      </x:c>
      <x:c r="D26" s="67" t="str">
        <x:v>B</x:v>
      </x:c>
      <x:c r="E26" s="68" t="n">
        <x:v>1</x:v>
      </x:c>
      <x:c r="F26" s="68" t="str">
        <x:v>MEASURE</x:v>
      </x:c>
      <x:c r="G26" s="67" t="str">
        <x:v>Instrumentation, custody and validity</x:v>
      </x:c>
      <x:c r="H26" s="79" t="n">
        <x:v>0.25</x:v>
      </x:c>
      <x:c r="I26" s="69" t="n">
        <x:f>H26*INDEX('Warrant Ledger'!$H$5:$H$22,MATCH(B26,'Warrant Ledger'!$A$5:$A$22,0))</x:f>
        <x:v>0.0064561685221745</x:v>
      </x:c>
      <x:c r="J26" s="69" t="n">
        <x:f>I26</x:f>
        <x:v>0.0064561685221745</x:v>
      </x:c>
      <x:c r="K26" s="69" t="n">
        <x:f>IF(E26=1,I26,0)</x:f>
        <x:v>0.0064561685221745</x:v>
      </x:c>
      <x:c r="L26" s="68" t="n">
        <x:v>1</x:v>
      </x:c>
      <x:c r="M26" s="68" t="n">
        <x:v>0</x:v>
      </x:c>
      <x:c r="N26" s="69" t="n">
        <x:v>0</x:v>
      </x:c>
      <x:c r="O26" s="68" t="n">
        <x:v>0</x:v>
      </x:c>
      <x:c r="P26" s="68" t="n">
        <x:v>0</x:v>
      </x:c>
      <x:c r="Q26" s="68" t="n">
        <x:v>0</x:v>
      </x:c>
      <x:c r="R26" s="67" t="str">
        <x:f>IF(E26=1,IF(AND(ABS(J26-I26)&lt;0.0000001,ABS(K26-I26)&lt;0.0000001,L26=1,M26=0,N26=0,O26=0,P26=0,Q26=0),"OBLIGATED / ACTIVE","INVALID"),IF(AND(ABS(J26-I26)&lt;0.0000001,K26=0,L26=0,M26=0,N26=0,O26=0,P26=0,Q26=0),"RESERVED / HELD","INVALID"))</x:f>
        <x:v>OBLIGATED / ACTIVE</x:v>
      </x:c>
      <x:c r="S26" s="68" t="n">
        <x:f>COUNTIFS($B$5:$B$94,B26)</x:f>
        <x:v>5</x:v>
      </x:c>
      <x:c r="T26" s="68" t="n">
        <x:f>COUNTIFS($A$5:$A$94,A26)</x:f>
        <x:v>1</x:v>
      </x:c>
    </x:row>
    <x:row r="27">
      <x:c r="A27" s="67" t="str">
        <x:v>P023</x:v>
      </x:c>
      <x:c r="B27" s="67" t="str">
        <x:v>CT-C-B</x:v>
      </x:c>
      <x:c r="C27" s="67" t="str">
        <x:v>CT-C</x:v>
      </x:c>
      <x:c r="D27" s="67" t="str">
        <x:v>B</x:v>
      </x:c>
      <x:c r="E27" s="68" t="n">
        <x:v>1</x:v>
      </x:c>
      <x:c r="F27" s="68" t="str">
        <x:v>CIVIL</x:v>
      </x:c>
      <x:c r="G27" s="67" t="str">
        <x:v>Rights, receiver and residual closure</x:v>
      </x:c>
      <x:c r="H27" s="79" t="n">
        <x:v>0.15</x:v>
      </x:c>
      <x:c r="I27" s="69" t="n">
        <x:f>H27*INDEX('Warrant Ledger'!$H$5:$H$22,MATCH(B27,'Warrant Ledger'!$A$5:$A$22,0))</x:f>
        <x:v>0.0038737011133046996</x:v>
      </x:c>
      <x:c r="J27" s="69" t="n">
        <x:f>I27</x:f>
        <x:v>0.0038737011133046996</x:v>
      </x:c>
      <x:c r="K27" s="69" t="n">
        <x:f>IF(E27=1,I27,0)</x:f>
        <x:v>0.0038737011133046996</x:v>
      </x:c>
      <x:c r="L27" s="68" t="n">
        <x:v>1</x:v>
      </x:c>
      <x:c r="M27" s="68" t="n">
        <x:v>0</x:v>
      </x:c>
      <x:c r="N27" s="69" t="n">
        <x:v>0</x:v>
      </x:c>
      <x:c r="O27" s="68" t="n">
        <x:v>0</x:v>
      </x:c>
      <x:c r="P27" s="68" t="n">
        <x:v>0</x:v>
      </x:c>
      <x:c r="Q27" s="68" t="n">
        <x:v>0</x:v>
      </x:c>
      <x:c r="R27" s="67" t="str">
        <x:f>IF(E27=1,IF(AND(ABS(J27-I27)&lt;0.0000001,ABS(K27-I27)&lt;0.0000001,L27=1,M27=0,N27=0,O27=0,P27=0,Q27=0),"OBLIGATED / ACTIVE","INVALID"),IF(AND(ABS(J27-I27)&lt;0.0000001,K27=0,L27=0,M27=0,N27=0,O27=0,P27=0,Q27=0),"RESERVED / HELD","INVALID"))</x:f>
        <x:v>OBLIGATED / ACTIVE</x:v>
      </x:c>
      <x:c r="S27" s="68" t="n">
        <x:f>COUNTIFS($B$5:$B$94,B27)</x:f>
        <x:v>5</x:v>
      </x:c>
      <x:c r="T27" s="68" t="n">
        <x:f>COUNTIFS($A$5:$A$94,A27)</x:f>
        <x:v>1</x:v>
      </x:c>
    </x:row>
    <x:row r="28">
      <x:c r="A28" s="67" t="str">
        <x:v>P024</x:v>
      </x:c>
      <x:c r="B28" s="67" t="str">
        <x:v>CT-C-B</x:v>
      </x:c>
      <x:c r="C28" s="67" t="str">
        <x:v>CT-C</x:v>
      </x:c>
      <x:c r="D28" s="67" t="str">
        <x:v>B</x:v>
      </x:c>
      <x:c r="E28" s="68" t="n">
        <x:v>1</x:v>
      </x:c>
      <x:c r="F28" s="68" t="str">
        <x:v>ARTICLE</x:v>
      </x:c>
      <x:c r="G28" s="67" t="str">
        <x:v>Destructive-article engineering</x:v>
      </x:c>
      <x:c r="H28" s="79" t="n">
        <x:v>0.25</x:v>
      </x:c>
      <x:c r="I28" s="69" t="n">
        <x:f>H28*INDEX('Warrant Ledger'!$H$5:$H$22,MATCH(B28,'Warrant Ledger'!$A$5:$A$22,0))</x:f>
        <x:v>0.0064561685221745</x:v>
      </x:c>
      <x:c r="J28" s="69" t="n">
        <x:f>I28</x:f>
        <x:v>0.0064561685221745</x:v>
      </x:c>
      <x:c r="K28" s="69" t="n">
        <x:f>IF(E28=1,I28,0)</x:f>
        <x:v>0.0064561685221745</x:v>
      </x:c>
      <x:c r="L28" s="68" t="n">
        <x:v>1</x:v>
      </x:c>
      <x:c r="M28" s="68" t="n">
        <x:v>0</x:v>
      </x:c>
      <x:c r="N28" s="69" t="n">
        <x:v>0</x:v>
      </x:c>
      <x:c r="O28" s="68" t="n">
        <x:v>0</x:v>
      </x:c>
      <x:c r="P28" s="68" t="n">
        <x:v>0</x:v>
      </x:c>
      <x:c r="Q28" s="68" t="n">
        <x:v>0</x:v>
      </x:c>
      <x:c r="R28" s="67" t="str">
        <x:f>IF(E28=1,IF(AND(ABS(J28-I28)&lt;0.0000001,ABS(K28-I28)&lt;0.0000001,L28=1,M28=0,N28=0,O28=0,P28=0,Q28=0),"OBLIGATED / ACTIVE","INVALID"),IF(AND(ABS(J28-I28)&lt;0.0000001,K28=0,L28=0,M28=0,N28=0,O28=0,P28=0,Q28=0),"RESERVED / HELD","INVALID"))</x:f>
        <x:v>OBLIGATED / ACTIVE</x:v>
      </x:c>
      <x:c r="S28" s="68" t="n">
        <x:f>COUNTIFS($B$5:$B$94,B28)</x:f>
        <x:v>5</x:v>
      </x:c>
      <x:c r="T28" s="68" t="n">
        <x:f>COUNTIFS($A$5:$A$94,A28)</x:f>
        <x:v>1</x:v>
      </x:c>
    </x:row>
    <x:row r="29">
      <x:c r="A29" s="67" t="str">
        <x:v>P025</x:v>
      </x:c>
      <x:c r="B29" s="67" t="str">
        <x:v>CT-C-B</x:v>
      </x:c>
      <x:c r="C29" s="67" t="str">
        <x:v>CT-C</x:v>
      </x:c>
      <x:c r="D29" s="67" t="str">
        <x:v>B</x:v>
      </x:c>
      <x:c r="E29" s="68" t="n">
        <x:v>1</x:v>
      </x:c>
      <x:c r="F29" s="68" t="str">
        <x:v>REBUILD</x:v>
      </x:c>
      <x:c r="G29" s="67" t="str">
        <x:v>Cold reconstruction and challenge</x:v>
      </x:c>
      <x:c r="H29" s="79" t="n">
        <x:v>0.15</x:v>
      </x:c>
      <x:c r="I29" s="69" t="n">
        <x:f>H29*INDEX('Warrant Ledger'!$H$5:$H$22,MATCH(B29,'Warrant Ledger'!$A$5:$A$22,0))</x:f>
        <x:v>0.0038737011133046996</x:v>
      </x:c>
      <x:c r="J29" s="69" t="n">
        <x:f>I29</x:f>
        <x:v>0.0038737011133046996</x:v>
      </x:c>
      <x:c r="K29" s="69" t="n">
        <x:f>IF(E29=1,I29,0)</x:f>
        <x:v>0.0038737011133046996</x:v>
      </x:c>
      <x:c r="L29" s="68" t="n">
        <x:v>1</x:v>
      </x:c>
      <x:c r="M29" s="68" t="n">
        <x:v>0</x:v>
      </x:c>
      <x:c r="N29" s="69" t="n">
        <x:v>0</x:v>
      </x:c>
      <x:c r="O29" s="68" t="n">
        <x:v>0</x:v>
      </x:c>
      <x:c r="P29" s="68" t="n">
        <x:v>0</x:v>
      </x:c>
      <x:c r="Q29" s="68" t="n">
        <x:v>0</x:v>
      </x:c>
      <x:c r="R29" s="67" t="str">
        <x:f>IF(E29=1,IF(AND(ABS(J29-I29)&lt;0.0000001,ABS(K29-I29)&lt;0.0000001,L29=1,M29=0,N29=0,O29=0,P29=0,Q29=0),"OBLIGATED / ACTIVE","INVALID"),IF(AND(ABS(J29-I29)&lt;0.0000001,K29=0,L29=0,M29=0,N29=0,O29=0,P29=0,Q29=0),"RESERVED / HELD","INVALID"))</x:f>
        <x:v>OBLIGATED / ACTIVE</x:v>
      </x:c>
      <x:c r="S29" s="68" t="n">
        <x:f>COUNTIFS($B$5:$B$94,B29)</x:f>
        <x:v>5</x:v>
      </x:c>
      <x:c r="T29" s="68" t="n">
        <x:f>COUNTIFS($A$5:$A$94,A29)</x:f>
        <x:v>1</x:v>
      </x:c>
    </x:row>
    <x:row r="30">
      <x:c r="A30" s="67" t="str">
        <x:v>P026</x:v>
      </x:c>
      <x:c r="B30" s="67" t="str">
        <x:v>CT-C-C</x:v>
      </x:c>
      <x:c r="C30" s="67" t="str">
        <x:v>CT-C</x:v>
      </x:c>
      <x:c r="D30" s="67" t="str">
        <x:v>C</x:v>
      </x:c>
      <x:c r="E30" s="68" t="n">
        <x:v>2</x:v>
      </x:c>
      <x:c r="F30" s="68" t="str">
        <x:v>METHOD</x:v>
      </x:c>
      <x:c r="G30" s="67" t="str">
        <x:v>Event method and denominator</x:v>
      </x:c>
      <x:c r="H30" s="79" t="n">
        <x:v>0.2</x:v>
      </x:c>
      <x:c r="I30" s="69" t="n">
        <x:f>H30*INDEX('Warrant Ledger'!$H$5:$H$22,MATCH(B30,'Warrant Ledger'!$A$5:$A$22,0))</x:f>
        <x:v>0.0051649348177396</x:v>
      </x:c>
      <x:c r="J30" s="69" t="n">
        <x:f>I30</x:f>
        <x:v>0.0051649348177396</x:v>
      </x:c>
      <x:c r="K30" s="69" t="n">
        <x:f>IF(E30=1,I30,0)</x:f>
        <x:v>0</x:v>
      </x:c>
      <x:c r="L30" s="68" t="n">
        <x:v>0</x:v>
      </x:c>
      <x:c r="M30" s="68" t="n">
        <x:v>0</x:v>
      </x:c>
      <x:c r="N30" s="69" t="n">
        <x:v>0</x:v>
      </x:c>
      <x:c r="O30" s="68" t="n">
        <x:v>0</x:v>
      </x:c>
      <x:c r="P30" s="68" t="n">
        <x:v>0</x:v>
      </x:c>
      <x:c r="Q30" s="68" t="n">
        <x:v>0</x:v>
      </x:c>
      <x:c r="R30" s="67" t="str">
        <x:f>IF(E30=1,IF(AND(ABS(J30-I30)&lt;0.0000001,ABS(K30-I30)&lt;0.0000001,L30=1,M30=0,N30=0,O30=0,P30=0,Q30=0),"OBLIGATED / ACTIVE","INVALID"),IF(AND(ABS(J30-I30)&lt;0.0000001,K30=0,L30=0,M30=0,N30=0,O30=0,P30=0,Q30=0),"RESERVED / HELD","INVALID"))</x:f>
        <x:v>RESERVED / HELD</x:v>
      </x:c>
      <x:c r="S30" s="68" t="n">
        <x:f>COUNTIFS($B$5:$B$94,B30)</x:f>
        <x:v>5</x:v>
      </x:c>
      <x:c r="T30" s="68" t="n">
        <x:f>COUNTIFS($A$5:$A$94,A30)</x:f>
        <x:v>1</x:v>
      </x:c>
    </x:row>
    <x:row r="31">
      <x:c r="A31" s="67" t="str">
        <x:v>P027</x:v>
      </x:c>
      <x:c r="B31" s="67" t="str">
        <x:v>CT-C-C</x:v>
      </x:c>
      <x:c r="C31" s="67" t="str">
        <x:v>CT-C</x:v>
      </x:c>
      <x:c r="D31" s="67" t="str">
        <x:v>C</x:v>
      </x:c>
      <x:c r="E31" s="68" t="n">
        <x:v>2</x:v>
      </x:c>
      <x:c r="F31" s="68" t="str">
        <x:v>MEASURE</x:v>
      </x:c>
      <x:c r="G31" s="67" t="str">
        <x:v>Instrumentation, custody and validity</x:v>
      </x:c>
      <x:c r="H31" s="79" t="n">
        <x:v>0.25</x:v>
      </x:c>
      <x:c r="I31" s="69" t="n">
        <x:f>H31*INDEX('Warrant Ledger'!$H$5:$H$22,MATCH(B31,'Warrant Ledger'!$A$5:$A$22,0))</x:f>
        <x:v>0.0064561685221745</x:v>
      </x:c>
      <x:c r="J31" s="69" t="n">
        <x:f>I31</x:f>
        <x:v>0.0064561685221745</x:v>
      </x:c>
      <x:c r="K31" s="69" t="n">
        <x:f>IF(E31=1,I31,0)</x:f>
        <x:v>0</x:v>
      </x:c>
      <x:c r="L31" s="68" t="n">
        <x:v>0</x:v>
      </x:c>
      <x:c r="M31" s="68" t="n">
        <x:v>0</x:v>
      </x:c>
      <x:c r="N31" s="69" t="n">
        <x:v>0</x:v>
      </x:c>
      <x:c r="O31" s="68" t="n">
        <x:v>0</x:v>
      </x:c>
      <x:c r="P31" s="68" t="n">
        <x:v>0</x:v>
      </x:c>
      <x:c r="Q31" s="68" t="n">
        <x:v>0</x:v>
      </x:c>
      <x:c r="R31" s="67" t="str">
        <x:f>IF(E31=1,IF(AND(ABS(J31-I31)&lt;0.0000001,ABS(K31-I31)&lt;0.0000001,L31=1,M31=0,N31=0,O31=0,P31=0,Q31=0),"OBLIGATED / ACTIVE","INVALID"),IF(AND(ABS(J31-I31)&lt;0.0000001,K31=0,L31=0,M31=0,N31=0,O31=0,P31=0,Q31=0),"RESERVED / HELD","INVALID"))</x:f>
        <x:v>RESERVED / HELD</x:v>
      </x:c>
      <x:c r="S31" s="68" t="n">
        <x:f>COUNTIFS($B$5:$B$94,B31)</x:f>
        <x:v>5</x:v>
      </x:c>
      <x:c r="T31" s="68" t="n">
        <x:f>COUNTIFS($A$5:$A$94,A31)</x:f>
        <x:v>1</x:v>
      </x:c>
    </x:row>
    <x:row r="32">
      <x:c r="A32" s="67" t="str">
        <x:v>P028</x:v>
      </x:c>
      <x:c r="B32" s="67" t="str">
        <x:v>CT-C-C</x:v>
      </x:c>
      <x:c r="C32" s="67" t="str">
        <x:v>CT-C</x:v>
      </x:c>
      <x:c r="D32" s="67" t="str">
        <x:v>C</x:v>
      </x:c>
      <x:c r="E32" s="68" t="n">
        <x:v>2</x:v>
      </x:c>
      <x:c r="F32" s="68" t="str">
        <x:v>CIVIL</x:v>
      </x:c>
      <x:c r="G32" s="67" t="str">
        <x:v>Rights, receiver and residual closure</x:v>
      </x:c>
      <x:c r="H32" s="79" t="n">
        <x:v>0.15</x:v>
      </x:c>
      <x:c r="I32" s="69" t="n">
        <x:f>H32*INDEX('Warrant Ledger'!$H$5:$H$22,MATCH(B32,'Warrant Ledger'!$A$5:$A$22,0))</x:f>
        <x:v>0.0038737011133046996</x:v>
      </x:c>
      <x:c r="J32" s="69" t="n">
        <x:f>I32</x:f>
        <x:v>0.0038737011133046996</x:v>
      </x:c>
      <x:c r="K32" s="69" t="n">
        <x:f>IF(E32=1,I32,0)</x:f>
        <x:v>0</x:v>
      </x:c>
      <x:c r="L32" s="68" t="n">
        <x:v>0</x:v>
      </x:c>
      <x:c r="M32" s="68" t="n">
        <x:v>0</x:v>
      </x:c>
      <x:c r="N32" s="69" t="n">
        <x:v>0</x:v>
      </x:c>
      <x:c r="O32" s="68" t="n">
        <x:v>0</x:v>
      </x:c>
      <x:c r="P32" s="68" t="n">
        <x:v>0</x:v>
      </x:c>
      <x:c r="Q32" s="68" t="n">
        <x:v>0</x:v>
      </x:c>
      <x:c r="R32" s="67" t="str">
        <x:f>IF(E32=1,IF(AND(ABS(J32-I32)&lt;0.0000001,ABS(K32-I32)&lt;0.0000001,L32=1,M32=0,N32=0,O32=0,P32=0,Q32=0),"OBLIGATED / ACTIVE","INVALID"),IF(AND(ABS(J32-I32)&lt;0.0000001,K32=0,L32=0,M32=0,N32=0,O32=0,P32=0,Q32=0),"RESERVED / HELD","INVALID"))</x:f>
        <x:v>RESERVED / HELD</x:v>
      </x:c>
      <x:c r="S32" s="68" t="n">
        <x:f>COUNTIFS($B$5:$B$94,B32)</x:f>
        <x:v>5</x:v>
      </x:c>
      <x:c r="T32" s="68" t="n">
        <x:f>COUNTIFS($A$5:$A$94,A32)</x:f>
        <x:v>1</x:v>
      </x:c>
    </x:row>
    <x:row r="33">
      <x:c r="A33" s="67" t="str">
        <x:v>P029</x:v>
      </x:c>
      <x:c r="B33" s="67" t="str">
        <x:v>CT-C-C</x:v>
      </x:c>
      <x:c r="C33" s="67" t="str">
        <x:v>CT-C</x:v>
      </x:c>
      <x:c r="D33" s="67" t="str">
        <x:v>C</x:v>
      </x:c>
      <x:c r="E33" s="68" t="n">
        <x:v>2</x:v>
      </x:c>
      <x:c r="F33" s="68" t="str">
        <x:v>ARTICLE</x:v>
      </x:c>
      <x:c r="G33" s="67" t="str">
        <x:v>Destructive-article engineering</x:v>
      </x:c>
      <x:c r="H33" s="79" t="n">
        <x:v>0.25</x:v>
      </x:c>
      <x:c r="I33" s="69" t="n">
        <x:f>H33*INDEX('Warrant Ledger'!$H$5:$H$22,MATCH(B33,'Warrant Ledger'!$A$5:$A$22,0))</x:f>
        <x:v>0.0064561685221745</x:v>
      </x:c>
      <x:c r="J33" s="69" t="n">
        <x:f>I33</x:f>
        <x:v>0.0064561685221745</x:v>
      </x:c>
      <x:c r="K33" s="69" t="n">
        <x:f>IF(E33=1,I33,0)</x:f>
        <x:v>0</x:v>
      </x:c>
      <x:c r="L33" s="68" t="n">
        <x:v>0</x:v>
      </x:c>
      <x:c r="M33" s="68" t="n">
        <x:v>0</x:v>
      </x:c>
      <x:c r="N33" s="69" t="n">
        <x:v>0</x:v>
      </x:c>
      <x:c r="O33" s="68" t="n">
        <x:v>0</x:v>
      </x:c>
      <x:c r="P33" s="68" t="n">
        <x:v>0</x:v>
      </x:c>
      <x:c r="Q33" s="68" t="n">
        <x:v>0</x:v>
      </x:c>
      <x:c r="R33" s="67" t="str">
        <x:f>IF(E33=1,IF(AND(ABS(J33-I33)&lt;0.0000001,ABS(K33-I33)&lt;0.0000001,L33=1,M33=0,N33=0,O33=0,P33=0,Q33=0),"OBLIGATED / ACTIVE","INVALID"),IF(AND(ABS(J33-I33)&lt;0.0000001,K33=0,L33=0,M33=0,N33=0,O33=0,P33=0,Q33=0),"RESERVED / HELD","INVALID"))</x:f>
        <x:v>RESERVED / HELD</x:v>
      </x:c>
      <x:c r="S33" s="68" t="n">
        <x:f>COUNTIFS($B$5:$B$94,B33)</x:f>
        <x:v>5</x:v>
      </x:c>
      <x:c r="T33" s="68" t="n">
        <x:f>COUNTIFS($A$5:$A$94,A33)</x:f>
        <x:v>1</x:v>
      </x:c>
    </x:row>
    <x:row r="34">
      <x:c r="A34" s="67" t="str">
        <x:v>P030</x:v>
      </x:c>
      <x:c r="B34" s="67" t="str">
        <x:v>CT-C-C</x:v>
      </x:c>
      <x:c r="C34" s="67" t="str">
        <x:v>CT-C</x:v>
      </x:c>
      <x:c r="D34" s="67" t="str">
        <x:v>C</x:v>
      </x:c>
      <x:c r="E34" s="68" t="n">
        <x:v>2</x:v>
      </x:c>
      <x:c r="F34" s="68" t="str">
        <x:v>REBUILD</x:v>
      </x:c>
      <x:c r="G34" s="67" t="str">
        <x:v>Cold reconstruction and challenge</x:v>
      </x:c>
      <x:c r="H34" s="79" t="n">
        <x:v>0.15</x:v>
      </x:c>
      <x:c r="I34" s="69" t="n">
        <x:f>H34*INDEX('Warrant Ledger'!$H$5:$H$22,MATCH(B34,'Warrant Ledger'!$A$5:$A$22,0))</x:f>
        <x:v>0.0038737011133046996</x:v>
      </x:c>
      <x:c r="J34" s="69" t="n">
        <x:f>I34</x:f>
        <x:v>0.0038737011133046996</x:v>
      </x:c>
      <x:c r="K34" s="69" t="n">
        <x:f>IF(E34=1,I34,0)</x:f>
        <x:v>0</x:v>
      </x:c>
      <x:c r="L34" s="68" t="n">
        <x:v>0</x:v>
      </x:c>
      <x:c r="M34" s="68" t="n">
        <x:v>0</x:v>
      </x:c>
      <x:c r="N34" s="69" t="n">
        <x:v>0</x:v>
      </x:c>
      <x:c r="O34" s="68" t="n">
        <x:v>0</x:v>
      </x:c>
      <x:c r="P34" s="68" t="n">
        <x:v>0</x:v>
      </x:c>
      <x:c r="Q34" s="68" t="n">
        <x:v>0</x:v>
      </x:c>
      <x:c r="R34" s="67" t="str">
        <x:f>IF(E34=1,IF(AND(ABS(J34-I34)&lt;0.0000001,ABS(K34-I34)&lt;0.0000001,L34=1,M34=0,N34=0,O34=0,P34=0,Q34=0),"OBLIGATED / ACTIVE","INVALID"),IF(AND(ABS(J34-I34)&lt;0.0000001,K34=0,L34=0,M34=0,N34=0,O34=0,P34=0,Q34=0),"RESERVED / HELD","INVALID"))</x:f>
        <x:v>RESERVED / HELD</x:v>
      </x:c>
      <x:c r="S34" s="68" t="n">
        <x:f>COUNTIFS($B$5:$B$94,B34)</x:f>
        <x:v>5</x:v>
      </x:c>
      <x:c r="T34" s="68" t="n">
        <x:f>COUNTIFS($A$5:$A$94,A34)</x:f>
        <x:v>1</x:v>
      </x:c>
    </x:row>
    <x:row r="35">
      <x:c r="A35" s="67" t="str">
        <x:v>P031</x:v>
      </x:c>
      <x:c r="B35" s="67" t="str">
        <x:v>HC-A-A</x:v>
      </x:c>
      <x:c r="C35" s="67" t="str">
        <x:v>HC-A</x:v>
      </x:c>
      <x:c r="D35" s="67" t="str">
        <x:v>A</x:v>
      </x:c>
      <x:c r="E35" s="68" t="n">
        <x:v>2</x:v>
      </x:c>
      <x:c r="F35" s="68" t="str">
        <x:v>METHOD</x:v>
      </x:c>
      <x:c r="G35" s="67" t="str">
        <x:v>Event method and denominator</x:v>
      </x:c>
      <x:c r="H35" s="79" t="n">
        <x:v>0.2</x:v>
      </x:c>
      <x:c r="I35" s="69" t="n">
        <x:f>H35*INDEX('Warrant Ledger'!$H$5:$H$22,MATCH(B35,'Warrant Ledger'!$A$5:$A$22,0))</x:f>
        <x:v>0.0030722165406713298</x:v>
      </x:c>
      <x:c r="J35" s="69" t="n">
        <x:f>I35</x:f>
        <x:v>0.0030722165406713298</x:v>
      </x:c>
      <x:c r="K35" s="69" t="n">
        <x:f>IF(E35=1,I35,0)</x:f>
        <x:v>0</x:v>
      </x:c>
      <x:c r="L35" s="68" t="n">
        <x:v>0</x:v>
      </x:c>
      <x:c r="M35" s="68" t="n">
        <x:v>0</x:v>
      </x:c>
      <x:c r="N35" s="69" t="n">
        <x:v>0</x:v>
      </x:c>
      <x:c r="O35" s="68" t="n">
        <x:v>0</x:v>
      </x:c>
      <x:c r="P35" s="68" t="n">
        <x:v>0</x:v>
      </x:c>
      <x:c r="Q35" s="68" t="n">
        <x:v>0</x:v>
      </x:c>
      <x:c r="R35" s="67" t="str">
        <x:f>IF(E35=1,IF(AND(ABS(J35-I35)&lt;0.0000001,ABS(K35-I35)&lt;0.0000001,L35=1,M35=0,N35=0,O35=0,P35=0,Q35=0),"OBLIGATED / ACTIVE","INVALID"),IF(AND(ABS(J35-I35)&lt;0.0000001,K35=0,L35=0,M35=0,N35=0,O35=0,P35=0,Q35=0),"RESERVED / HELD","INVALID"))</x:f>
        <x:v>RESERVED / HELD</x:v>
      </x:c>
      <x:c r="S35" s="68" t="n">
        <x:f>COUNTIFS($B$5:$B$94,B35)</x:f>
        <x:v>5</x:v>
      </x:c>
      <x:c r="T35" s="68" t="n">
        <x:f>COUNTIFS($A$5:$A$94,A35)</x:f>
        <x:v>1</x:v>
      </x:c>
    </x:row>
    <x:row r="36">
      <x:c r="A36" s="67" t="str">
        <x:v>P032</x:v>
      </x:c>
      <x:c r="B36" s="67" t="str">
        <x:v>HC-A-A</x:v>
      </x:c>
      <x:c r="C36" s="67" t="str">
        <x:v>HC-A</x:v>
      </x:c>
      <x:c r="D36" s="67" t="str">
        <x:v>A</x:v>
      </x:c>
      <x:c r="E36" s="68" t="n">
        <x:v>2</x:v>
      </x:c>
      <x:c r="F36" s="68" t="str">
        <x:v>MEASURE</x:v>
      </x:c>
      <x:c r="G36" s="67" t="str">
        <x:v>Instrumentation, custody and validity</x:v>
      </x:c>
      <x:c r="H36" s="79" t="n">
        <x:v>0.25</x:v>
      </x:c>
      <x:c r="I36" s="69" t="n">
        <x:f>H36*INDEX('Warrant Ledger'!$H$5:$H$22,MATCH(B36,'Warrant Ledger'!$A$5:$A$22,0))</x:f>
        <x:v>0.003840270675839162</x:v>
      </x:c>
      <x:c r="J36" s="69" t="n">
        <x:f>I36</x:f>
        <x:v>0.003840270675839162</x:v>
      </x:c>
      <x:c r="K36" s="69" t="n">
        <x:f>IF(E36=1,I36,0)</x:f>
        <x:v>0</x:v>
      </x:c>
      <x:c r="L36" s="68" t="n">
        <x:v>0</x:v>
      </x:c>
      <x:c r="M36" s="68" t="n">
        <x:v>0</x:v>
      </x:c>
      <x:c r="N36" s="69" t="n">
        <x:v>0</x:v>
      </x:c>
      <x:c r="O36" s="68" t="n">
        <x:v>0</x:v>
      </x:c>
      <x:c r="P36" s="68" t="n">
        <x:v>0</x:v>
      </x:c>
      <x:c r="Q36" s="68" t="n">
        <x:v>0</x:v>
      </x:c>
      <x:c r="R36" s="67" t="str">
        <x:f>IF(E36=1,IF(AND(ABS(J36-I36)&lt;0.0000001,ABS(K36-I36)&lt;0.0000001,L36=1,M36=0,N36=0,O36=0,P36=0,Q36=0),"OBLIGATED / ACTIVE","INVALID"),IF(AND(ABS(J36-I36)&lt;0.0000001,K36=0,L36=0,M36=0,N36=0,O36=0,P36=0,Q36=0),"RESERVED / HELD","INVALID"))</x:f>
        <x:v>RESERVED / HELD</x:v>
      </x:c>
      <x:c r="S36" s="68" t="n">
        <x:f>COUNTIFS($B$5:$B$94,B36)</x:f>
        <x:v>5</x:v>
      </x:c>
      <x:c r="T36" s="68" t="n">
        <x:f>COUNTIFS($A$5:$A$94,A36)</x:f>
        <x:v>1</x:v>
      </x:c>
    </x:row>
    <x:row r="37">
      <x:c r="A37" s="67" t="str">
        <x:v>P033</x:v>
      </x:c>
      <x:c r="B37" s="67" t="str">
        <x:v>HC-A-A</x:v>
      </x:c>
      <x:c r="C37" s="67" t="str">
        <x:v>HC-A</x:v>
      </x:c>
      <x:c r="D37" s="67" t="str">
        <x:v>A</x:v>
      </x:c>
      <x:c r="E37" s="68" t="n">
        <x:v>2</x:v>
      </x:c>
      <x:c r="F37" s="68" t="str">
        <x:v>CIVIL</x:v>
      </x:c>
      <x:c r="G37" s="67" t="str">
        <x:v>Rights, receiver and residual closure</x:v>
      </x:c>
      <x:c r="H37" s="79" t="n">
        <x:v>0.15</x:v>
      </x:c>
      <x:c r="I37" s="69" t="n">
        <x:f>H37*INDEX('Warrant Ledger'!$H$5:$H$22,MATCH(B37,'Warrant Ledger'!$A$5:$A$22,0))</x:f>
        <x:v>0.0023041624055034973</x:v>
      </x:c>
      <x:c r="J37" s="69" t="n">
        <x:f>I37</x:f>
        <x:v>0.0023041624055034973</x:v>
      </x:c>
      <x:c r="K37" s="69" t="n">
        <x:f>IF(E37=1,I37,0)</x:f>
        <x:v>0</x:v>
      </x:c>
      <x:c r="L37" s="68" t="n">
        <x:v>0</x:v>
      </x:c>
      <x:c r="M37" s="68" t="n">
        <x:v>0</x:v>
      </x:c>
      <x:c r="N37" s="69" t="n">
        <x:v>0</x:v>
      </x:c>
      <x:c r="O37" s="68" t="n">
        <x:v>0</x:v>
      </x:c>
      <x:c r="P37" s="68" t="n">
        <x:v>0</x:v>
      </x:c>
      <x:c r="Q37" s="68" t="n">
        <x:v>0</x:v>
      </x:c>
      <x:c r="R37" s="67" t="str">
        <x:f>IF(E37=1,IF(AND(ABS(J37-I37)&lt;0.0000001,ABS(K37-I37)&lt;0.0000001,L37=1,M37=0,N37=0,O37=0,P37=0,Q37=0),"OBLIGATED / ACTIVE","INVALID"),IF(AND(ABS(J37-I37)&lt;0.0000001,K37=0,L37=0,M37=0,N37=0,O37=0,P37=0,Q37=0),"RESERVED / HELD","INVALID"))</x:f>
        <x:v>RESERVED / HELD</x:v>
      </x:c>
      <x:c r="S37" s="68" t="n">
        <x:f>COUNTIFS($B$5:$B$94,B37)</x:f>
        <x:v>5</x:v>
      </x:c>
      <x:c r="T37" s="68" t="n">
        <x:f>COUNTIFS($A$5:$A$94,A37)</x:f>
        <x:v>1</x:v>
      </x:c>
    </x:row>
    <x:row r="38">
      <x:c r="A38" s="67" t="str">
        <x:v>P034</x:v>
      </x:c>
      <x:c r="B38" s="67" t="str">
        <x:v>HC-A-A</x:v>
      </x:c>
      <x:c r="C38" s="67" t="str">
        <x:v>HC-A</x:v>
      </x:c>
      <x:c r="D38" s="67" t="str">
        <x:v>A</x:v>
      </x:c>
      <x:c r="E38" s="68" t="n">
        <x:v>2</x:v>
      </x:c>
      <x:c r="F38" s="68" t="str">
        <x:v>ARTICLE</x:v>
      </x:c>
      <x:c r="G38" s="67" t="str">
        <x:v>Destructive-article engineering</x:v>
      </x:c>
      <x:c r="H38" s="79" t="n">
        <x:v>0.25</x:v>
      </x:c>
      <x:c r="I38" s="69" t="n">
        <x:f>H38*INDEX('Warrant Ledger'!$H$5:$H$22,MATCH(B38,'Warrant Ledger'!$A$5:$A$22,0))</x:f>
        <x:v>0.003840270675839162</x:v>
      </x:c>
      <x:c r="J38" s="69" t="n">
        <x:f>I38</x:f>
        <x:v>0.003840270675839162</x:v>
      </x:c>
      <x:c r="K38" s="69" t="n">
        <x:f>IF(E38=1,I38,0)</x:f>
        <x:v>0</x:v>
      </x:c>
      <x:c r="L38" s="68" t="n">
        <x:v>0</x:v>
      </x:c>
      <x:c r="M38" s="68" t="n">
        <x:v>0</x:v>
      </x:c>
      <x:c r="N38" s="69" t="n">
        <x:v>0</x:v>
      </x:c>
      <x:c r="O38" s="68" t="n">
        <x:v>0</x:v>
      </x:c>
      <x:c r="P38" s="68" t="n">
        <x:v>0</x:v>
      </x:c>
      <x:c r="Q38" s="68" t="n">
        <x:v>0</x:v>
      </x:c>
      <x:c r="R38" s="67" t="str">
        <x:f>IF(E38=1,IF(AND(ABS(J38-I38)&lt;0.0000001,ABS(K38-I38)&lt;0.0000001,L38=1,M38=0,N38=0,O38=0,P38=0,Q38=0),"OBLIGATED / ACTIVE","INVALID"),IF(AND(ABS(J38-I38)&lt;0.0000001,K38=0,L38=0,M38=0,N38=0,O38=0,P38=0,Q38=0),"RESERVED / HELD","INVALID"))</x:f>
        <x:v>RESERVED / HELD</x:v>
      </x:c>
      <x:c r="S38" s="68" t="n">
        <x:f>COUNTIFS($B$5:$B$94,B38)</x:f>
        <x:v>5</x:v>
      </x:c>
      <x:c r="T38" s="68" t="n">
        <x:f>COUNTIFS($A$5:$A$94,A38)</x:f>
        <x:v>1</x:v>
      </x:c>
    </x:row>
    <x:row r="39">
      <x:c r="A39" s="67" t="str">
        <x:v>P035</x:v>
      </x:c>
      <x:c r="B39" s="67" t="str">
        <x:v>HC-A-A</x:v>
      </x:c>
      <x:c r="C39" s="67" t="str">
        <x:v>HC-A</x:v>
      </x:c>
      <x:c r="D39" s="67" t="str">
        <x:v>A</x:v>
      </x:c>
      <x:c r="E39" s="68" t="n">
        <x:v>2</x:v>
      </x:c>
      <x:c r="F39" s="68" t="str">
        <x:v>REBUILD</x:v>
      </x:c>
      <x:c r="G39" s="67" t="str">
        <x:v>Cold reconstruction and challenge</x:v>
      </x:c>
      <x:c r="H39" s="79" t="n">
        <x:v>0.15</x:v>
      </x:c>
      <x:c r="I39" s="69" t="n">
        <x:f>H39*INDEX('Warrant Ledger'!$H$5:$H$22,MATCH(B39,'Warrant Ledger'!$A$5:$A$22,0))</x:f>
        <x:v>0.0023041624055034973</x:v>
      </x:c>
      <x:c r="J39" s="69" t="n">
        <x:f>I39</x:f>
        <x:v>0.0023041624055034973</x:v>
      </x:c>
      <x:c r="K39" s="69" t="n">
        <x:f>IF(E39=1,I39,0)</x:f>
        <x:v>0</x:v>
      </x:c>
      <x:c r="L39" s="68" t="n">
        <x:v>0</x:v>
      </x:c>
      <x:c r="M39" s="68" t="n">
        <x:v>0</x:v>
      </x:c>
      <x:c r="N39" s="69" t="n">
        <x:v>0</x:v>
      </x:c>
      <x:c r="O39" s="68" t="n">
        <x:v>0</x:v>
      </x:c>
      <x:c r="P39" s="68" t="n">
        <x:v>0</x:v>
      </x:c>
      <x:c r="Q39" s="68" t="n">
        <x:v>0</x:v>
      </x:c>
      <x:c r="R39" s="67" t="str">
        <x:f>IF(E39=1,IF(AND(ABS(J39-I39)&lt;0.0000001,ABS(K39-I39)&lt;0.0000001,L39=1,M39=0,N39=0,O39=0,P39=0,Q39=0),"OBLIGATED / ACTIVE","INVALID"),IF(AND(ABS(J39-I39)&lt;0.0000001,K39=0,L39=0,M39=0,N39=0,O39=0,P39=0,Q39=0),"RESERVED / HELD","INVALID"))</x:f>
        <x:v>RESERVED / HELD</x:v>
      </x:c>
      <x:c r="S39" s="68" t="n">
        <x:f>COUNTIFS($B$5:$B$94,B39)</x:f>
        <x:v>5</x:v>
      </x:c>
      <x:c r="T39" s="68" t="n">
        <x:f>COUNTIFS($A$5:$A$94,A39)</x:f>
        <x:v>1</x:v>
      </x:c>
    </x:row>
    <x:row r="40">
      <x:c r="A40" s="67" t="str">
        <x:v>P036</x:v>
      </x:c>
      <x:c r="B40" s="67" t="str">
        <x:v>HC-A-B</x:v>
      </x:c>
      <x:c r="C40" s="67" t="str">
        <x:v>HC-A</x:v>
      </x:c>
      <x:c r="D40" s="67" t="str">
        <x:v>B</x:v>
      </x:c>
      <x:c r="E40" s="68" t="n">
        <x:v>3</x:v>
      </x:c>
      <x:c r="F40" s="68" t="str">
        <x:v>METHOD</x:v>
      </x:c>
      <x:c r="G40" s="67" t="str">
        <x:v>Event method and denominator</x:v>
      </x:c>
      <x:c r="H40" s="79" t="n">
        <x:v>0.2</x:v>
      </x:c>
      <x:c r="I40" s="69" t="n">
        <x:f>H40*INDEX('Warrant Ledger'!$H$5:$H$22,MATCH(B40,'Warrant Ledger'!$A$5:$A$22,0))</x:f>
        <x:v>0.0030722165406713298</x:v>
      </x:c>
      <x:c r="J40" s="69" t="n">
        <x:f>I40</x:f>
        <x:v>0.0030722165406713298</x:v>
      </x:c>
      <x:c r="K40" s="69" t="n">
        <x:f>IF(E40=1,I40,0)</x:f>
        <x:v>0</x:v>
      </x:c>
      <x:c r="L40" s="68" t="n">
        <x:v>0</x:v>
      </x:c>
      <x:c r="M40" s="68" t="n">
        <x:v>0</x:v>
      </x:c>
      <x:c r="N40" s="69" t="n">
        <x:v>0</x:v>
      </x:c>
      <x:c r="O40" s="68" t="n">
        <x:v>0</x:v>
      </x:c>
      <x:c r="P40" s="68" t="n">
        <x:v>0</x:v>
      </x:c>
      <x:c r="Q40" s="68" t="n">
        <x:v>0</x:v>
      </x:c>
      <x:c r="R40" s="67" t="str">
        <x:f>IF(E40=1,IF(AND(ABS(J40-I40)&lt;0.0000001,ABS(K40-I40)&lt;0.0000001,L40=1,M40=0,N40=0,O40=0,P40=0,Q40=0),"OBLIGATED / ACTIVE","INVALID"),IF(AND(ABS(J40-I40)&lt;0.0000001,K40=0,L40=0,M40=0,N40=0,O40=0,P40=0,Q40=0),"RESERVED / HELD","INVALID"))</x:f>
        <x:v>RESERVED / HELD</x:v>
      </x:c>
      <x:c r="S40" s="68" t="n">
        <x:f>COUNTIFS($B$5:$B$94,B40)</x:f>
        <x:v>5</x:v>
      </x:c>
      <x:c r="T40" s="68" t="n">
        <x:f>COUNTIFS($A$5:$A$94,A40)</x:f>
        <x:v>1</x:v>
      </x:c>
    </x:row>
    <x:row r="41">
      <x:c r="A41" s="67" t="str">
        <x:v>P037</x:v>
      </x:c>
      <x:c r="B41" s="67" t="str">
        <x:v>HC-A-B</x:v>
      </x:c>
      <x:c r="C41" s="67" t="str">
        <x:v>HC-A</x:v>
      </x:c>
      <x:c r="D41" s="67" t="str">
        <x:v>B</x:v>
      </x:c>
      <x:c r="E41" s="68" t="n">
        <x:v>3</x:v>
      </x:c>
      <x:c r="F41" s="68" t="str">
        <x:v>MEASURE</x:v>
      </x:c>
      <x:c r="G41" s="67" t="str">
        <x:v>Instrumentation, custody and validity</x:v>
      </x:c>
      <x:c r="H41" s="79" t="n">
        <x:v>0.25</x:v>
      </x:c>
      <x:c r="I41" s="69" t="n">
        <x:f>H41*INDEX('Warrant Ledger'!$H$5:$H$22,MATCH(B41,'Warrant Ledger'!$A$5:$A$22,0))</x:f>
        <x:v>0.003840270675839162</x:v>
      </x:c>
      <x:c r="J41" s="69" t="n">
        <x:f>I41</x:f>
        <x:v>0.003840270675839162</x:v>
      </x:c>
      <x:c r="K41" s="69" t="n">
        <x:f>IF(E41=1,I41,0)</x:f>
        <x:v>0</x:v>
      </x:c>
      <x:c r="L41" s="68" t="n">
        <x:v>0</x:v>
      </x:c>
      <x:c r="M41" s="68" t="n">
        <x:v>0</x:v>
      </x:c>
      <x:c r="N41" s="69" t="n">
        <x:v>0</x:v>
      </x:c>
      <x:c r="O41" s="68" t="n">
        <x:v>0</x:v>
      </x:c>
      <x:c r="P41" s="68" t="n">
        <x:v>0</x:v>
      </x:c>
      <x:c r="Q41" s="68" t="n">
        <x:v>0</x:v>
      </x:c>
      <x:c r="R41" s="67" t="str">
        <x:f>IF(E41=1,IF(AND(ABS(J41-I41)&lt;0.0000001,ABS(K41-I41)&lt;0.0000001,L41=1,M41=0,N41=0,O41=0,P41=0,Q41=0),"OBLIGATED / ACTIVE","INVALID"),IF(AND(ABS(J41-I41)&lt;0.0000001,K41=0,L41=0,M41=0,N41=0,O41=0,P41=0,Q41=0),"RESERVED / HELD","INVALID"))</x:f>
        <x:v>RESERVED / HELD</x:v>
      </x:c>
      <x:c r="S41" s="68" t="n">
        <x:f>COUNTIFS($B$5:$B$94,B41)</x:f>
        <x:v>5</x:v>
      </x:c>
      <x:c r="T41" s="68" t="n">
        <x:f>COUNTIFS($A$5:$A$94,A41)</x:f>
        <x:v>1</x:v>
      </x:c>
    </x:row>
    <x:row r="42">
      <x:c r="A42" s="67" t="str">
        <x:v>P038</x:v>
      </x:c>
      <x:c r="B42" s="67" t="str">
        <x:v>HC-A-B</x:v>
      </x:c>
      <x:c r="C42" s="67" t="str">
        <x:v>HC-A</x:v>
      </x:c>
      <x:c r="D42" s="67" t="str">
        <x:v>B</x:v>
      </x:c>
      <x:c r="E42" s="68" t="n">
        <x:v>3</x:v>
      </x:c>
      <x:c r="F42" s="68" t="str">
        <x:v>CIVIL</x:v>
      </x:c>
      <x:c r="G42" s="67" t="str">
        <x:v>Rights, receiver and residual closure</x:v>
      </x:c>
      <x:c r="H42" s="79" t="n">
        <x:v>0.15</x:v>
      </x:c>
      <x:c r="I42" s="69" t="n">
        <x:f>H42*INDEX('Warrant Ledger'!$H$5:$H$22,MATCH(B42,'Warrant Ledger'!$A$5:$A$22,0))</x:f>
        <x:v>0.0023041624055034973</x:v>
      </x:c>
      <x:c r="J42" s="69" t="n">
        <x:f>I42</x:f>
        <x:v>0.0023041624055034973</x:v>
      </x:c>
      <x:c r="K42" s="69" t="n">
        <x:f>IF(E42=1,I42,0)</x:f>
        <x:v>0</x:v>
      </x:c>
      <x:c r="L42" s="68" t="n">
        <x:v>0</x:v>
      </x:c>
      <x:c r="M42" s="68" t="n">
        <x:v>0</x:v>
      </x:c>
      <x:c r="N42" s="69" t="n">
        <x:v>0</x:v>
      </x:c>
      <x:c r="O42" s="68" t="n">
        <x:v>0</x:v>
      </x:c>
      <x:c r="P42" s="68" t="n">
        <x:v>0</x:v>
      </x:c>
      <x:c r="Q42" s="68" t="n">
        <x:v>0</x:v>
      </x:c>
      <x:c r="R42" s="67" t="str">
        <x:f>IF(E42=1,IF(AND(ABS(J42-I42)&lt;0.0000001,ABS(K42-I42)&lt;0.0000001,L42=1,M42=0,N42=0,O42=0,P42=0,Q42=0),"OBLIGATED / ACTIVE","INVALID"),IF(AND(ABS(J42-I42)&lt;0.0000001,K42=0,L42=0,M42=0,N42=0,O42=0,P42=0,Q42=0),"RESERVED / HELD","INVALID"))</x:f>
        <x:v>RESERVED / HELD</x:v>
      </x:c>
      <x:c r="S42" s="68" t="n">
        <x:f>COUNTIFS($B$5:$B$94,B42)</x:f>
        <x:v>5</x:v>
      </x:c>
      <x:c r="T42" s="68" t="n">
        <x:f>COUNTIFS($A$5:$A$94,A42)</x:f>
        <x:v>1</x:v>
      </x:c>
    </x:row>
    <x:row r="43">
      <x:c r="A43" s="67" t="str">
        <x:v>P039</x:v>
      </x:c>
      <x:c r="B43" s="67" t="str">
        <x:v>HC-A-B</x:v>
      </x:c>
      <x:c r="C43" s="67" t="str">
        <x:v>HC-A</x:v>
      </x:c>
      <x:c r="D43" s="67" t="str">
        <x:v>B</x:v>
      </x:c>
      <x:c r="E43" s="68" t="n">
        <x:v>3</x:v>
      </x:c>
      <x:c r="F43" s="68" t="str">
        <x:v>ARTICLE</x:v>
      </x:c>
      <x:c r="G43" s="67" t="str">
        <x:v>Destructive-article engineering</x:v>
      </x:c>
      <x:c r="H43" s="79" t="n">
        <x:v>0.25</x:v>
      </x:c>
      <x:c r="I43" s="69" t="n">
        <x:f>H43*INDEX('Warrant Ledger'!$H$5:$H$22,MATCH(B43,'Warrant Ledger'!$A$5:$A$22,0))</x:f>
        <x:v>0.003840270675839162</x:v>
      </x:c>
      <x:c r="J43" s="69" t="n">
        <x:f>I43</x:f>
        <x:v>0.003840270675839162</x:v>
      </x:c>
      <x:c r="K43" s="69" t="n">
        <x:f>IF(E43=1,I43,0)</x:f>
        <x:v>0</x:v>
      </x:c>
      <x:c r="L43" s="68" t="n">
        <x:v>0</x:v>
      </x:c>
      <x:c r="M43" s="68" t="n">
        <x:v>0</x:v>
      </x:c>
      <x:c r="N43" s="69" t="n">
        <x:v>0</x:v>
      </x:c>
      <x:c r="O43" s="68" t="n">
        <x:v>0</x:v>
      </x:c>
      <x:c r="P43" s="68" t="n">
        <x:v>0</x:v>
      </x:c>
      <x:c r="Q43" s="68" t="n">
        <x:v>0</x:v>
      </x:c>
      <x:c r="R43" s="67" t="str">
        <x:f>IF(E43=1,IF(AND(ABS(J43-I43)&lt;0.0000001,ABS(K43-I43)&lt;0.0000001,L43=1,M43=0,N43=0,O43=0,P43=0,Q43=0),"OBLIGATED / ACTIVE","INVALID"),IF(AND(ABS(J43-I43)&lt;0.0000001,K43=0,L43=0,M43=0,N43=0,O43=0,P43=0,Q43=0),"RESERVED / HELD","INVALID"))</x:f>
        <x:v>RESERVED / HELD</x:v>
      </x:c>
      <x:c r="S43" s="68" t="n">
        <x:f>COUNTIFS($B$5:$B$94,B43)</x:f>
        <x:v>5</x:v>
      </x:c>
      <x:c r="T43" s="68" t="n">
        <x:f>COUNTIFS($A$5:$A$94,A43)</x:f>
        <x:v>1</x:v>
      </x:c>
    </x:row>
    <x:row r="44">
      <x:c r="A44" s="67" t="str">
        <x:v>P040</x:v>
      </x:c>
      <x:c r="B44" s="67" t="str">
        <x:v>HC-A-B</x:v>
      </x:c>
      <x:c r="C44" s="67" t="str">
        <x:v>HC-A</x:v>
      </x:c>
      <x:c r="D44" s="67" t="str">
        <x:v>B</x:v>
      </x:c>
      <x:c r="E44" s="68" t="n">
        <x:v>3</x:v>
      </x:c>
      <x:c r="F44" s="68" t="str">
        <x:v>REBUILD</x:v>
      </x:c>
      <x:c r="G44" s="67" t="str">
        <x:v>Cold reconstruction and challenge</x:v>
      </x:c>
      <x:c r="H44" s="79" t="n">
        <x:v>0.15</x:v>
      </x:c>
      <x:c r="I44" s="69" t="n">
        <x:f>H44*INDEX('Warrant Ledger'!$H$5:$H$22,MATCH(B44,'Warrant Ledger'!$A$5:$A$22,0))</x:f>
        <x:v>0.0023041624055034973</x:v>
      </x:c>
      <x:c r="J44" s="69" t="n">
        <x:f>I44</x:f>
        <x:v>0.0023041624055034973</x:v>
      </x:c>
      <x:c r="K44" s="69" t="n">
        <x:f>IF(E44=1,I44,0)</x:f>
        <x:v>0</x:v>
      </x:c>
      <x:c r="L44" s="68" t="n">
        <x:v>0</x:v>
      </x:c>
      <x:c r="M44" s="68" t="n">
        <x:v>0</x:v>
      </x:c>
      <x:c r="N44" s="69" t="n">
        <x:v>0</x:v>
      </x:c>
      <x:c r="O44" s="68" t="n">
        <x:v>0</x:v>
      </x:c>
      <x:c r="P44" s="68" t="n">
        <x:v>0</x:v>
      </x:c>
      <x:c r="Q44" s="68" t="n">
        <x:v>0</x:v>
      </x:c>
      <x:c r="R44" s="67" t="str">
        <x:f>IF(E44=1,IF(AND(ABS(J44-I44)&lt;0.0000001,ABS(K44-I44)&lt;0.0000001,L44=1,M44=0,N44=0,O44=0,P44=0,Q44=0),"OBLIGATED / ACTIVE","INVALID"),IF(AND(ABS(J44-I44)&lt;0.0000001,K44=0,L44=0,M44=0,N44=0,O44=0,P44=0,Q44=0),"RESERVED / HELD","INVALID"))</x:f>
        <x:v>RESERVED / HELD</x:v>
      </x:c>
      <x:c r="S44" s="68" t="n">
        <x:f>COUNTIFS($B$5:$B$94,B44)</x:f>
        <x:v>5</x:v>
      </x:c>
      <x:c r="T44" s="68" t="n">
        <x:f>COUNTIFS($A$5:$A$94,A44)</x:f>
        <x:v>1</x:v>
      </x:c>
    </x:row>
    <x:row r="45">
      <x:c r="A45" s="67" t="str">
        <x:v>P041</x:v>
      </x:c>
      <x:c r="B45" s="67" t="str">
        <x:v>HC-A-C</x:v>
      </x:c>
      <x:c r="C45" s="67" t="str">
        <x:v>HC-A</x:v>
      </x:c>
      <x:c r="D45" s="67" t="str">
        <x:v>C</x:v>
      </x:c>
      <x:c r="E45" s="68" t="n">
        <x:v>1</x:v>
      </x:c>
      <x:c r="F45" s="68" t="str">
        <x:v>METHOD</x:v>
      </x:c>
      <x:c r="G45" s="67" t="str">
        <x:v>Event method and denominator</x:v>
      </x:c>
      <x:c r="H45" s="79" t="n">
        <x:v>0.2</x:v>
      </x:c>
      <x:c r="I45" s="69" t="n">
        <x:f>H45*INDEX('Warrant Ledger'!$H$5:$H$22,MATCH(B45,'Warrant Ledger'!$A$5:$A$22,0))</x:f>
        <x:v>0.0030722165406713298</x:v>
      </x:c>
      <x:c r="J45" s="69" t="n">
        <x:f>I45</x:f>
        <x:v>0.0030722165406713298</x:v>
      </x:c>
      <x:c r="K45" s="69" t="n">
        <x:f>IF(E45=1,I45,0)</x:f>
        <x:v>0.0030722165406713298</x:v>
      </x:c>
      <x:c r="L45" s="68" t="n">
        <x:v>1</x:v>
      </x:c>
      <x:c r="M45" s="68" t="n">
        <x:v>0</x:v>
      </x:c>
      <x:c r="N45" s="69" t="n">
        <x:v>0</x:v>
      </x:c>
      <x:c r="O45" s="68" t="n">
        <x:v>0</x:v>
      </x:c>
      <x:c r="P45" s="68" t="n">
        <x:v>0</x:v>
      </x:c>
      <x:c r="Q45" s="68" t="n">
        <x:v>0</x:v>
      </x:c>
      <x:c r="R45" s="67" t="str">
        <x:f>IF(E45=1,IF(AND(ABS(J45-I45)&lt;0.0000001,ABS(K45-I45)&lt;0.0000001,L45=1,M45=0,N45=0,O45=0,P45=0,Q45=0),"OBLIGATED / ACTIVE","INVALID"),IF(AND(ABS(J45-I45)&lt;0.0000001,K45=0,L45=0,M45=0,N45=0,O45=0,P45=0,Q45=0),"RESERVED / HELD","INVALID"))</x:f>
        <x:v>OBLIGATED / ACTIVE</x:v>
      </x:c>
      <x:c r="S45" s="68" t="n">
        <x:f>COUNTIFS($B$5:$B$94,B45)</x:f>
        <x:v>5</x:v>
      </x:c>
      <x:c r="T45" s="68" t="n">
        <x:f>COUNTIFS($A$5:$A$94,A45)</x:f>
        <x:v>1</x:v>
      </x:c>
    </x:row>
    <x:row r="46">
      <x:c r="A46" s="67" t="str">
        <x:v>P042</x:v>
      </x:c>
      <x:c r="B46" s="67" t="str">
        <x:v>HC-A-C</x:v>
      </x:c>
      <x:c r="C46" s="67" t="str">
        <x:v>HC-A</x:v>
      </x:c>
      <x:c r="D46" s="67" t="str">
        <x:v>C</x:v>
      </x:c>
      <x:c r="E46" s="68" t="n">
        <x:v>1</x:v>
      </x:c>
      <x:c r="F46" s="68" t="str">
        <x:v>MEASURE</x:v>
      </x:c>
      <x:c r="G46" s="67" t="str">
        <x:v>Instrumentation, custody and validity</x:v>
      </x:c>
      <x:c r="H46" s="79" t="n">
        <x:v>0.25</x:v>
      </x:c>
      <x:c r="I46" s="69" t="n">
        <x:f>H46*INDEX('Warrant Ledger'!$H$5:$H$22,MATCH(B46,'Warrant Ledger'!$A$5:$A$22,0))</x:f>
        <x:v>0.003840270675839162</x:v>
      </x:c>
      <x:c r="J46" s="69" t="n">
        <x:f>I46</x:f>
        <x:v>0.003840270675839162</x:v>
      </x:c>
      <x:c r="K46" s="69" t="n">
        <x:f>IF(E46=1,I46,0)</x:f>
        <x:v>0.003840270675839162</x:v>
      </x:c>
      <x:c r="L46" s="68" t="n">
        <x:v>1</x:v>
      </x:c>
      <x:c r="M46" s="68" t="n">
        <x:v>0</x:v>
      </x:c>
      <x:c r="N46" s="69" t="n">
        <x:v>0</x:v>
      </x:c>
      <x:c r="O46" s="68" t="n">
        <x:v>0</x:v>
      </x:c>
      <x:c r="P46" s="68" t="n">
        <x:v>0</x:v>
      </x:c>
      <x:c r="Q46" s="68" t="n">
        <x:v>0</x:v>
      </x:c>
      <x:c r="R46" s="67" t="str">
        <x:f>IF(E46=1,IF(AND(ABS(J46-I46)&lt;0.0000001,ABS(K46-I46)&lt;0.0000001,L46=1,M46=0,N46=0,O46=0,P46=0,Q46=0),"OBLIGATED / ACTIVE","INVALID"),IF(AND(ABS(J46-I46)&lt;0.0000001,K46=0,L46=0,M46=0,N46=0,O46=0,P46=0,Q46=0),"RESERVED / HELD","INVALID"))</x:f>
        <x:v>OBLIGATED / ACTIVE</x:v>
      </x:c>
      <x:c r="S46" s="68" t="n">
        <x:f>COUNTIFS($B$5:$B$94,B46)</x:f>
        <x:v>5</x:v>
      </x:c>
      <x:c r="T46" s="68" t="n">
        <x:f>COUNTIFS($A$5:$A$94,A46)</x:f>
        <x:v>1</x:v>
      </x:c>
    </x:row>
    <x:row r="47">
      <x:c r="A47" s="67" t="str">
        <x:v>P043</x:v>
      </x:c>
      <x:c r="B47" s="67" t="str">
        <x:v>HC-A-C</x:v>
      </x:c>
      <x:c r="C47" s="67" t="str">
        <x:v>HC-A</x:v>
      </x:c>
      <x:c r="D47" s="67" t="str">
        <x:v>C</x:v>
      </x:c>
      <x:c r="E47" s="68" t="n">
        <x:v>1</x:v>
      </x:c>
      <x:c r="F47" s="68" t="str">
        <x:v>CIVIL</x:v>
      </x:c>
      <x:c r="G47" s="67" t="str">
        <x:v>Rights, receiver and residual closure</x:v>
      </x:c>
      <x:c r="H47" s="79" t="n">
        <x:v>0.15</x:v>
      </x:c>
      <x:c r="I47" s="69" t="n">
        <x:f>H47*INDEX('Warrant Ledger'!$H$5:$H$22,MATCH(B47,'Warrant Ledger'!$A$5:$A$22,0))</x:f>
        <x:v>0.0023041624055034973</x:v>
      </x:c>
      <x:c r="J47" s="69" t="n">
        <x:f>I47</x:f>
        <x:v>0.0023041624055034973</x:v>
      </x:c>
      <x:c r="K47" s="69" t="n">
        <x:f>IF(E47=1,I47,0)</x:f>
        <x:v>0.0023041624055034973</x:v>
      </x:c>
      <x:c r="L47" s="68" t="n">
        <x:v>1</x:v>
      </x:c>
      <x:c r="M47" s="68" t="n">
        <x:v>0</x:v>
      </x:c>
      <x:c r="N47" s="69" t="n">
        <x:v>0</x:v>
      </x:c>
      <x:c r="O47" s="68" t="n">
        <x:v>0</x:v>
      </x:c>
      <x:c r="P47" s="68" t="n">
        <x:v>0</x:v>
      </x:c>
      <x:c r="Q47" s="68" t="n">
        <x:v>0</x:v>
      </x:c>
      <x:c r="R47" s="67" t="str">
        <x:f>IF(E47=1,IF(AND(ABS(J47-I47)&lt;0.0000001,ABS(K47-I47)&lt;0.0000001,L47=1,M47=0,N47=0,O47=0,P47=0,Q47=0),"OBLIGATED / ACTIVE","INVALID"),IF(AND(ABS(J47-I47)&lt;0.0000001,K47=0,L47=0,M47=0,N47=0,O47=0,P47=0,Q47=0),"RESERVED / HELD","INVALID"))</x:f>
        <x:v>OBLIGATED / ACTIVE</x:v>
      </x:c>
      <x:c r="S47" s="68" t="n">
        <x:f>COUNTIFS($B$5:$B$94,B47)</x:f>
        <x:v>5</x:v>
      </x:c>
      <x:c r="T47" s="68" t="n">
        <x:f>COUNTIFS($A$5:$A$94,A47)</x:f>
        <x:v>1</x:v>
      </x:c>
    </x:row>
    <x:row r="48">
      <x:c r="A48" s="67" t="str">
        <x:v>P044</x:v>
      </x:c>
      <x:c r="B48" s="67" t="str">
        <x:v>HC-A-C</x:v>
      </x:c>
      <x:c r="C48" s="67" t="str">
        <x:v>HC-A</x:v>
      </x:c>
      <x:c r="D48" s="67" t="str">
        <x:v>C</x:v>
      </x:c>
      <x:c r="E48" s="68" t="n">
        <x:v>1</x:v>
      </x:c>
      <x:c r="F48" s="68" t="str">
        <x:v>ARTICLE</x:v>
      </x:c>
      <x:c r="G48" s="67" t="str">
        <x:v>Destructive-article engineering</x:v>
      </x:c>
      <x:c r="H48" s="79" t="n">
        <x:v>0.25</x:v>
      </x:c>
      <x:c r="I48" s="69" t="n">
        <x:f>H48*INDEX('Warrant Ledger'!$H$5:$H$22,MATCH(B48,'Warrant Ledger'!$A$5:$A$22,0))</x:f>
        <x:v>0.003840270675839162</x:v>
      </x:c>
      <x:c r="J48" s="69" t="n">
        <x:f>I48</x:f>
        <x:v>0.003840270675839162</x:v>
      </x:c>
      <x:c r="K48" s="69" t="n">
        <x:f>IF(E48=1,I48,0)</x:f>
        <x:v>0.003840270675839162</x:v>
      </x:c>
      <x:c r="L48" s="68" t="n">
        <x:v>1</x:v>
      </x:c>
      <x:c r="M48" s="68" t="n">
        <x:v>0</x:v>
      </x:c>
      <x:c r="N48" s="69" t="n">
        <x:v>0</x:v>
      </x:c>
      <x:c r="O48" s="68" t="n">
        <x:v>0</x:v>
      </x:c>
      <x:c r="P48" s="68" t="n">
        <x:v>0</x:v>
      </x:c>
      <x:c r="Q48" s="68" t="n">
        <x:v>0</x:v>
      </x:c>
      <x:c r="R48" s="67" t="str">
        <x:f>IF(E48=1,IF(AND(ABS(J48-I48)&lt;0.0000001,ABS(K48-I48)&lt;0.0000001,L48=1,M48=0,N48=0,O48=0,P48=0,Q48=0),"OBLIGATED / ACTIVE","INVALID"),IF(AND(ABS(J48-I48)&lt;0.0000001,K48=0,L48=0,M48=0,N48=0,O48=0,P48=0,Q48=0),"RESERVED / HELD","INVALID"))</x:f>
        <x:v>OBLIGATED / ACTIVE</x:v>
      </x:c>
      <x:c r="S48" s="68" t="n">
        <x:f>COUNTIFS($B$5:$B$94,B48)</x:f>
        <x:v>5</x:v>
      </x:c>
      <x:c r="T48" s="68" t="n">
        <x:f>COUNTIFS($A$5:$A$94,A48)</x:f>
        <x:v>1</x:v>
      </x:c>
    </x:row>
    <x:row r="49">
      <x:c r="A49" s="67" t="str">
        <x:v>P045</x:v>
      </x:c>
      <x:c r="B49" s="67" t="str">
        <x:v>HC-A-C</x:v>
      </x:c>
      <x:c r="C49" s="67" t="str">
        <x:v>HC-A</x:v>
      </x:c>
      <x:c r="D49" s="67" t="str">
        <x:v>C</x:v>
      </x:c>
      <x:c r="E49" s="68" t="n">
        <x:v>1</x:v>
      </x:c>
      <x:c r="F49" s="68" t="str">
        <x:v>REBUILD</x:v>
      </x:c>
      <x:c r="G49" s="67" t="str">
        <x:v>Cold reconstruction and challenge</x:v>
      </x:c>
      <x:c r="H49" s="79" t="n">
        <x:v>0.15</x:v>
      </x:c>
      <x:c r="I49" s="69" t="n">
        <x:f>H49*INDEX('Warrant Ledger'!$H$5:$H$22,MATCH(B49,'Warrant Ledger'!$A$5:$A$22,0))</x:f>
        <x:v>0.0023041624055034973</x:v>
      </x:c>
      <x:c r="J49" s="69" t="n">
        <x:f>I49</x:f>
        <x:v>0.0023041624055034973</x:v>
      </x:c>
      <x:c r="K49" s="69" t="n">
        <x:f>IF(E49=1,I49,0)</x:f>
        <x:v>0.0023041624055034973</x:v>
      </x:c>
      <x:c r="L49" s="68" t="n">
        <x:v>1</x:v>
      </x:c>
      <x:c r="M49" s="68" t="n">
        <x:v>0</x:v>
      </x:c>
      <x:c r="N49" s="69" t="n">
        <x:v>0</x:v>
      </x:c>
      <x:c r="O49" s="68" t="n">
        <x:v>0</x:v>
      </x:c>
      <x:c r="P49" s="68" t="n">
        <x:v>0</x:v>
      </x:c>
      <x:c r="Q49" s="68" t="n">
        <x:v>0</x:v>
      </x:c>
      <x:c r="R49" s="67" t="str">
        <x:f>IF(E49=1,IF(AND(ABS(J49-I49)&lt;0.0000001,ABS(K49-I49)&lt;0.0000001,L49=1,M49=0,N49=0,O49=0,P49=0,Q49=0),"OBLIGATED / ACTIVE","INVALID"),IF(AND(ABS(J49-I49)&lt;0.0000001,K49=0,L49=0,M49=0,N49=0,O49=0,P49=0,Q49=0),"RESERVED / HELD","INVALID"))</x:f>
        <x:v>OBLIGATED / ACTIVE</x:v>
      </x:c>
      <x:c r="S49" s="68" t="n">
        <x:f>COUNTIFS($B$5:$B$94,B49)</x:f>
        <x:v>5</x:v>
      </x:c>
      <x:c r="T49" s="68" t="n">
        <x:f>COUNTIFS($A$5:$A$94,A49)</x:f>
        <x:v>1</x:v>
      </x:c>
    </x:row>
    <x:row r="50">
      <x:c r="A50" s="67" t="str">
        <x:v>P046</x:v>
      </x:c>
      <x:c r="B50" s="67" t="str">
        <x:v>LF-B-A</x:v>
      </x:c>
      <x:c r="C50" s="67" t="str">
        <x:v>LF-B</x:v>
      </x:c>
      <x:c r="D50" s="67" t="str">
        <x:v>A</x:v>
      </x:c>
      <x:c r="E50" s="68" t="n">
        <x:v>1</x:v>
      </x:c>
      <x:c r="F50" s="68" t="str">
        <x:v>METHOD</x:v>
      </x:c>
      <x:c r="G50" s="67" t="str">
        <x:v>Event method and denominator</x:v>
      </x:c>
      <x:c r="H50" s="79" t="n">
        <x:v>0.2</x:v>
      </x:c>
      <x:c r="I50" s="69" t="n">
        <x:f>H50*INDEX('Warrant Ledger'!$H$5:$H$22,MATCH(B50,'Warrant Ledger'!$A$5:$A$22,0))</x:f>
        <x:v>0.008994128193205652</x:v>
      </x:c>
      <x:c r="J50" s="69" t="n">
        <x:f>I50</x:f>
        <x:v>0.008994128193205652</x:v>
      </x:c>
      <x:c r="K50" s="69" t="n">
        <x:f>IF(E50=1,I50,0)</x:f>
        <x:v>0.008994128193205652</x:v>
      </x:c>
      <x:c r="L50" s="68" t="n">
        <x:v>1</x:v>
      </x:c>
      <x:c r="M50" s="68" t="n">
        <x:v>0</x:v>
      </x:c>
      <x:c r="N50" s="69" t="n">
        <x:v>0</x:v>
      </x:c>
      <x:c r="O50" s="68" t="n">
        <x:v>0</x:v>
      </x:c>
      <x:c r="P50" s="68" t="n">
        <x:v>0</x:v>
      </x:c>
      <x:c r="Q50" s="68" t="n">
        <x:v>0</x:v>
      </x:c>
      <x:c r="R50" s="67" t="str">
        <x:f>IF(E50=1,IF(AND(ABS(J50-I50)&lt;0.0000001,ABS(K50-I50)&lt;0.0000001,L50=1,M50=0,N50=0,O50=0,P50=0,Q50=0),"OBLIGATED / ACTIVE","INVALID"),IF(AND(ABS(J50-I50)&lt;0.0000001,K50=0,L50=0,M50=0,N50=0,O50=0,P50=0,Q50=0),"RESERVED / HELD","INVALID"))</x:f>
        <x:v>OBLIGATED / ACTIVE</x:v>
      </x:c>
      <x:c r="S50" s="68" t="n">
        <x:f>COUNTIFS($B$5:$B$94,B50)</x:f>
        <x:v>5</x:v>
      </x:c>
      <x:c r="T50" s="68" t="n">
        <x:f>COUNTIFS($A$5:$A$94,A50)</x:f>
        <x:v>1</x:v>
      </x:c>
    </x:row>
    <x:row r="51">
      <x:c r="A51" s="67" t="str">
        <x:v>P047</x:v>
      </x:c>
      <x:c r="B51" s="67" t="str">
        <x:v>LF-B-A</x:v>
      </x:c>
      <x:c r="C51" s="67" t="str">
        <x:v>LF-B</x:v>
      </x:c>
      <x:c r="D51" s="67" t="str">
        <x:v>A</x:v>
      </x:c>
      <x:c r="E51" s="68" t="n">
        <x:v>1</x:v>
      </x:c>
      <x:c r="F51" s="68" t="str">
        <x:v>MEASURE</x:v>
      </x:c>
      <x:c r="G51" s="67" t="str">
        <x:v>Instrumentation, custody and validity</x:v>
      </x:c>
      <x:c r="H51" s="79" t="n">
        <x:v>0.25</x:v>
      </x:c>
      <x:c r="I51" s="69" t="n">
        <x:f>H51*INDEX('Warrant Ledger'!$H$5:$H$22,MATCH(B51,'Warrant Ledger'!$A$5:$A$22,0))</x:f>
        <x:v>0.011242660241507064</x:v>
      </x:c>
      <x:c r="J51" s="69" t="n">
        <x:f>I51</x:f>
        <x:v>0.011242660241507064</x:v>
      </x:c>
      <x:c r="K51" s="69" t="n">
        <x:f>IF(E51=1,I51,0)</x:f>
        <x:v>0.011242660241507064</x:v>
      </x:c>
      <x:c r="L51" s="68" t="n">
        <x:v>1</x:v>
      </x:c>
      <x:c r="M51" s="68" t="n">
        <x:v>0</x:v>
      </x:c>
      <x:c r="N51" s="69" t="n">
        <x:v>0</x:v>
      </x:c>
      <x:c r="O51" s="68" t="n">
        <x:v>0</x:v>
      </x:c>
      <x:c r="P51" s="68" t="n">
        <x:v>0</x:v>
      </x:c>
      <x:c r="Q51" s="68" t="n">
        <x:v>0</x:v>
      </x:c>
      <x:c r="R51" s="67" t="str">
        <x:f>IF(E51=1,IF(AND(ABS(J51-I51)&lt;0.0000001,ABS(K51-I51)&lt;0.0000001,L51=1,M51=0,N51=0,O51=0,P51=0,Q51=0),"OBLIGATED / ACTIVE","INVALID"),IF(AND(ABS(J51-I51)&lt;0.0000001,K51=0,L51=0,M51=0,N51=0,O51=0,P51=0,Q51=0),"RESERVED / HELD","INVALID"))</x:f>
        <x:v>OBLIGATED / ACTIVE</x:v>
      </x:c>
      <x:c r="S51" s="68" t="n">
        <x:f>COUNTIFS($B$5:$B$94,B51)</x:f>
        <x:v>5</x:v>
      </x:c>
      <x:c r="T51" s="68" t="n">
        <x:f>COUNTIFS($A$5:$A$94,A51)</x:f>
        <x:v>1</x:v>
      </x:c>
    </x:row>
    <x:row r="52">
      <x:c r="A52" s="67" t="str">
        <x:v>P048</x:v>
      </x:c>
      <x:c r="B52" s="67" t="str">
        <x:v>LF-B-A</x:v>
      </x:c>
      <x:c r="C52" s="67" t="str">
        <x:v>LF-B</x:v>
      </x:c>
      <x:c r="D52" s="67" t="str">
        <x:v>A</x:v>
      </x:c>
      <x:c r="E52" s="68" t="n">
        <x:v>1</x:v>
      </x:c>
      <x:c r="F52" s="68" t="str">
        <x:v>CIVIL</x:v>
      </x:c>
      <x:c r="G52" s="67" t="str">
        <x:v>Rights, receiver and residual closure</x:v>
      </x:c>
      <x:c r="H52" s="79" t="n">
        <x:v>0.15</x:v>
      </x:c>
      <x:c r="I52" s="69" t="n">
        <x:f>H52*INDEX('Warrant Ledger'!$H$5:$H$22,MATCH(B52,'Warrant Ledger'!$A$5:$A$22,0))</x:f>
        <x:v>0.006745596144904238</x:v>
      </x:c>
      <x:c r="J52" s="69" t="n">
        <x:f>I52</x:f>
        <x:v>0.006745596144904238</x:v>
      </x:c>
      <x:c r="K52" s="69" t="n">
        <x:f>IF(E52=1,I52,0)</x:f>
        <x:v>0.006745596144904238</x:v>
      </x:c>
      <x:c r="L52" s="68" t="n">
        <x:v>1</x:v>
      </x:c>
      <x:c r="M52" s="68" t="n">
        <x:v>0</x:v>
      </x:c>
      <x:c r="N52" s="69" t="n">
        <x:v>0</x:v>
      </x:c>
      <x:c r="O52" s="68" t="n">
        <x:v>0</x:v>
      </x:c>
      <x:c r="P52" s="68" t="n">
        <x:v>0</x:v>
      </x:c>
      <x:c r="Q52" s="68" t="n">
        <x:v>0</x:v>
      </x:c>
      <x:c r="R52" s="67" t="str">
        <x:f>IF(E52=1,IF(AND(ABS(J52-I52)&lt;0.0000001,ABS(K52-I52)&lt;0.0000001,L52=1,M52=0,N52=0,O52=0,P52=0,Q52=0),"OBLIGATED / ACTIVE","INVALID"),IF(AND(ABS(J52-I52)&lt;0.0000001,K52=0,L52=0,M52=0,N52=0,O52=0,P52=0,Q52=0),"RESERVED / HELD","INVALID"))</x:f>
        <x:v>OBLIGATED / ACTIVE</x:v>
      </x:c>
      <x:c r="S52" s="68" t="n">
        <x:f>COUNTIFS($B$5:$B$94,B52)</x:f>
        <x:v>5</x:v>
      </x:c>
      <x:c r="T52" s="68" t="n">
        <x:f>COUNTIFS($A$5:$A$94,A52)</x:f>
        <x:v>1</x:v>
      </x:c>
    </x:row>
    <x:row r="53">
      <x:c r="A53" s="67" t="str">
        <x:v>P049</x:v>
      </x:c>
      <x:c r="B53" s="67" t="str">
        <x:v>LF-B-A</x:v>
      </x:c>
      <x:c r="C53" s="67" t="str">
        <x:v>LF-B</x:v>
      </x:c>
      <x:c r="D53" s="67" t="str">
        <x:v>A</x:v>
      </x:c>
      <x:c r="E53" s="68" t="n">
        <x:v>1</x:v>
      </x:c>
      <x:c r="F53" s="68" t="str">
        <x:v>ARTICLE</x:v>
      </x:c>
      <x:c r="G53" s="67" t="str">
        <x:v>Destructive-article engineering</x:v>
      </x:c>
      <x:c r="H53" s="79" t="n">
        <x:v>0.25</x:v>
      </x:c>
      <x:c r="I53" s="69" t="n">
        <x:f>H53*INDEX('Warrant Ledger'!$H$5:$H$22,MATCH(B53,'Warrant Ledger'!$A$5:$A$22,0))</x:f>
        <x:v>0.011242660241507064</x:v>
      </x:c>
      <x:c r="J53" s="69" t="n">
        <x:f>I53</x:f>
        <x:v>0.011242660241507064</x:v>
      </x:c>
      <x:c r="K53" s="69" t="n">
        <x:f>IF(E53=1,I53,0)</x:f>
        <x:v>0.011242660241507064</x:v>
      </x:c>
      <x:c r="L53" s="68" t="n">
        <x:v>1</x:v>
      </x:c>
      <x:c r="M53" s="68" t="n">
        <x:v>0</x:v>
      </x:c>
      <x:c r="N53" s="69" t="n">
        <x:v>0</x:v>
      </x:c>
      <x:c r="O53" s="68" t="n">
        <x:v>0</x:v>
      </x:c>
      <x:c r="P53" s="68" t="n">
        <x:v>0</x:v>
      </x:c>
      <x:c r="Q53" s="68" t="n">
        <x:v>0</x:v>
      </x:c>
      <x:c r="R53" s="67" t="str">
        <x:f>IF(E53=1,IF(AND(ABS(J53-I53)&lt;0.0000001,ABS(K53-I53)&lt;0.0000001,L53=1,M53=0,N53=0,O53=0,P53=0,Q53=0),"OBLIGATED / ACTIVE","INVALID"),IF(AND(ABS(J53-I53)&lt;0.0000001,K53=0,L53=0,M53=0,N53=0,O53=0,P53=0,Q53=0),"RESERVED / HELD","INVALID"))</x:f>
        <x:v>OBLIGATED / ACTIVE</x:v>
      </x:c>
      <x:c r="S53" s="68" t="n">
        <x:f>COUNTIFS($B$5:$B$94,B53)</x:f>
        <x:v>5</x:v>
      </x:c>
      <x:c r="T53" s="68" t="n">
        <x:f>COUNTIFS($A$5:$A$94,A53)</x:f>
        <x:v>1</x:v>
      </x:c>
    </x:row>
    <x:row r="54">
      <x:c r="A54" s="67" t="str">
        <x:v>P050</x:v>
      </x:c>
      <x:c r="B54" s="67" t="str">
        <x:v>LF-B-A</x:v>
      </x:c>
      <x:c r="C54" s="67" t="str">
        <x:v>LF-B</x:v>
      </x:c>
      <x:c r="D54" s="67" t="str">
        <x:v>A</x:v>
      </x:c>
      <x:c r="E54" s="68" t="n">
        <x:v>1</x:v>
      </x:c>
      <x:c r="F54" s="68" t="str">
        <x:v>REBUILD</x:v>
      </x:c>
      <x:c r="G54" s="67" t="str">
        <x:v>Cold reconstruction and challenge</x:v>
      </x:c>
      <x:c r="H54" s="79" t="n">
        <x:v>0.15</x:v>
      </x:c>
      <x:c r="I54" s="69" t="n">
        <x:f>H54*INDEX('Warrant Ledger'!$H$5:$H$22,MATCH(B54,'Warrant Ledger'!$A$5:$A$22,0))</x:f>
        <x:v>0.006745596144904238</x:v>
      </x:c>
      <x:c r="J54" s="69" t="n">
        <x:f>I54</x:f>
        <x:v>0.006745596144904238</x:v>
      </x:c>
      <x:c r="K54" s="69" t="n">
        <x:f>IF(E54=1,I54,0)</x:f>
        <x:v>0.006745596144904238</x:v>
      </x:c>
      <x:c r="L54" s="68" t="n">
        <x:v>1</x:v>
      </x:c>
      <x:c r="M54" s="68" t="n">
        <x:v>0</x:v>
      </x:c>
      <x:c r="N54" s="69" t="n">
        <x:v>0</x:v>
      </x:c>
      <x:c r="O54" s="68" t="n">
        <x:v>0</x:v>
      </x:c>
      <x:c r="P54" s="68" t="n">
        <x:v>0</x:v>
      </x:c>
      <x:c r="Q54" s="68" t="n">
        <x:v>0</x:v>
      </x:c>
      <x:c r="R54" s="67" t="str">
        <x:f>IF(E54=1,IF(AND(ABS(J54-I54)&lt;0.0000001,ABS(K54-I54)&lt;0.0000001,L54=1,M54=0,N54=0,O54=0,P54=0,Q54=0),"OBLIGATED / ACTIVE","INVALID"),IF(AND(ABS(J54-I54)&lt;0.0000001,K54=0,L54=0,M54=0,N54=0,O54=0,P54=0,Q54=0),"RESERVED / HELD","INVALID"))</x:f>
        <x:v>OBLIGATED / ACTIVE</x:v>
      </x:c>
      <x:c r="S54" s="68" t="n">
        <x:f>COUNTIFS($B$5:$B$94,B54)</x:f>
        <x:v>5</x:v>
      </x:c>
      <x:c r="T54" s="68" t="n">
        <x:f>COUNTIFS($A$5:$A$94,A54)</x:f>
        <x:v>1</x:v>
      </x:c>
    </x:row>
    <x:row r="55">
      <x:c r="A55" s="67" t="str">
        <x:v>P051</x:v>
      </x:c>
      <x:c r="B55" s="67" t="str">
        <x:v>LF-B-B</x:v>
      </x:c>
      <x:c r="C55" s="67" t="str">
        <x:v>LF-B</x:v>
      </x:c>
      <x:c r="D55" s="67" t="str">
        <x:v>B</x:v>
      </x:c>
      <x:c r="E55" s="68" t="n">
        <x:v>3</x:v>
      </x:c>
      <x:c r="F55" s="68" t="str">
        <x:v>METHOD</x:v>
      </x:c>
      <x:c r="G55" s="67" t="str">
        <x:v>Event method and denominator</x:v>
      </x:c>
      <x:c r="H55" s="79" t="n">
        <x:v>0.2</x:v>
      </x:c>
      <x:c r="I55" s="69" t="n">
        <x:f>H55*INDEX('Warrant Ledger'!$H$5:$H$22,MATCH(B55,'Warrant Ledger'!$A$5:$A$22,0))</x:f>
        <x:v>0.008994128193205652</x:v>
      </x:c>
      <x:c r="J55" s="69" t="n">
        <x:f>I55</x:f>
        <x:v>0.008994128193205652</x:v>
      </x:c>
      <x:c r="K55" s="69" t="n">
        <x:f>IF(E55=1,I55,0)</x:f>
        <x:v>0</x:v>
      </x:c>
      <x:c r="L55" s="68" t="n">
        <x:v>0</x:v>
      </x:c>
      <x:c r="M55" s="68" t="n">
        <x:v>0</x:v>
      </x:c>
      <x:c r="N55" s="69" t="n">
        <x:v>0</x:v>
      </x:c>
      <x:c r="O55" s="68" t="n">
        <x:v>0</x:v>
      </x:c>
      <x:c r="P55" s="68" t="n">
        <x:v>0</x:v>
      </x:c>
      <x:c r="Q55" s="68" t="n">
        <x:v>0</x:v>
      </x:c>
      <x:c r="R55" s="67" t="str">
        <x:f>IF(E55=1,IF(AND(ABS(J55-I55)&lt;0.0000001,ABS(K55-I55)&lt;0.0000001,L55=1,M55=0,N55=0,O55=0,P55=0,Q55=0),"OBLIGATED / ACTIVE","INVALID"),IF(AND(ABS(J55-I55)&lt;0.0000001,K55=0,L55=0,M55=0,N55=0,O55=0,P55=0,Q55=0),"RESERVED / HELD","INVALID"))</x:f>
        <x:v>RESERVED / HELD</x:v>
      </x:c>
      <x:c r="S55" s="68" t="n">
        <x:f>COUNTIFS($B$5:$B$94,B55)</x:f>
        <x:v>5</x:v>
      </x:c>
      <x:c r="T55" s="68" t="n">
        <x:f>COUNTIFS($A$5:$A$94,A55)</x:f>
        <x:v>1</x:v>
      </x:c>
    </x:row>
    <x:row r="56">
      <x:c r="A56" s="67" t="str">
        <x:v>P052</x:v>
      </x:c>
      <x:c r="B56" s="67" t="str">
        <x:v>LF-B-B</x:v>
      </x:c>
      <x:c r="C56" s="67" t="str">
        <x:v>LF-B</x:v>
      </x:c>
      <x:c r="D56" s="67" t="str">
        <x:v>B</x:v>
      </x:c>
      <x:c r="E56" s="68" t="n">
        <x:v>3</x:v>
      </x:c>
      <x:c r="F56" s="68" t="str">
        <x:v>MEASURE</x:v>
      </x:c>
      <x:c r="G56" s="67" t="str">
        <x:v>Instrumentation, custody and validity</x:v>
      </x:c>
      <x:c r="H56" s="79" t="n">
        <x:v>0.25</x:v>
      </x:c>
      <x:c r="I56" s="69" t="n">
        <x:f>H56*INDEX('Warrant Ledger'!$H$5:$H$22,MATCH(B56,'Warrant Ledger'!$A$5:$A$22,0))</x:f>
        <x:v>0.011242660241507064</x:v>
      </x:c>
      <x:c r="J56" s="69" t="n">
        <x:f>I56</x:f>
        <x:v>0.011242660241507064</x:v>
      </x:c>
      <x:c r="K56" s="69" t="n">
        <x:f>IF(E56=1,I56,0)</x:f>
        <x:v>0</x:v>
      </x:c>
      <x:c r="L56" s="68" t="n">
        <x:v>0</x:v>
      </x:c>
      <x:c r="M56" s="68" t="n">
        <x:v>0</x:v>
      </x:c>
      <x:c r="N56" s="69" t="n">
        <x:v>0</x:v>
      </x:c>
      <x:c r="O56" s="68" t="n">
        <x:v>0</x:v>
      </x:c>
      <x:c r="P56" s="68" t="n">
        <x:v>0</x:v>
      </x:c>
      <x:c r="Q56" s="68" t="n">
        <x:v>0</x:v>
      </x:c>
      <x:c r="R56" s="67" t="str">
        <x:f>IF(E56=1,IF(AND(ABS(J56-I56)&lt;0.0000001,ABS(K56-I56)&lt;0.0000001,L56=1,M56=0,N56=0,O56=0,P56=0,Q56=0),"OBLIGATED / ACTIVE","INVALID"),IF(AND(ABS(J56-I56)&lt;0.0000001,K56=0,L56=0,M56=0,N56=0,O56=0,P56=0,Q56=0),"RESERVED / HELD","INVALID"))</x:f>
        <x:v>RESERVED / HELD</x:v>
      </x:c>
      <x:c r="S56" s="68" t="n">
        <x:f>COUNTIFS($B$5:$B$94,B56)</x:f>
        <x:v>5</x:v>
      </x:c>
      <x:c r="T56" s="68" t="n">
        <x:f>COUNTIFS($A$5:$A$94,A56)</x:f>
        <x:v>1</x:v>
      </x:c>
    </x:row>
    <x:row r="57">
      <x:c r="A57" s="67" t="str">
        <x:v>P053</x:v>
      </x:c>
      <x:c r="B57" s="67" t="str">
        <x:v>LF-B-B</x:v>
      </x:c>
      <x:c r="C57" s="67" t="str">
        <x:v>LF-B</x:v>
      </x:c>
      <x:c r="D57" s="67" t="str">
        <x:v>B</x:v>
      </x:c>
      <x:c r="E57" s="68" t="n">
        <x:v>3</x:v>
      </x:c>
      <x:c r="F57" s="68" t="str">
        <x:v>CIVIL</x:v>
      </x:c>
      <x:c r="G57" s="67" t="str">
        <x:v>Rights, receiver and residual closure</x:v>
      </x:c>
      <x:c r="H57" s="79" t="n">
        <x:v>0.15</x:v>
      </x:c>
      <x:c r="I57" s="69" t="n">
        <x:f>H57*INDEX('Warrant Ledger'!$H$5:$H$22,MATCH(B57,'Warrant Ledger'!$A$5:$A$22,0))</x:f>
        <x:v>0.006745596144904238</x:v>
      </x:c>
      <x:c r="J57" s="69" t="n">
        <x:f>I57</x:f>
        <x:v>0.006745596144904238</x:v>
      </x:c>
      <x:c r="K57" s="69" t="n">
        <x:f>IF(E57=1,I57,0)</x:f>
        <x:v>0</x:v>
      </x:c>
      <x:c r="L57" s="68" t="n">
        <x:v>0</x:v>
      </x:c>
      <x:c r="M57" s="68" t="n">
        <x:v>0</x:v>
      </x:c>
      <x:c r="N57" s="69" t="n">
        <x:v>0</x:v>
      </x:c>
      <x:c r="O57" s="68" t="n">
        <x:v>0</x:v>
      </x:c>
      <x:c r="P57" s="68" t="n">
        <x:v>0</x:v>
      </x:c>
      <x:c r="Q57" s="68" t="n">
        <x:v>0</x:v>
      </x:c>
      <x:c r="R57" s="67" t="str">
        <x:f>IF(E57=1,IF(AND(ABS(J57-I57)&lt;0.0000001,ABS(K57-I57)&lt;0.0000001,L57=1,M57=0,N57=0,O57=0,P57=0,Q57=0),"OBLIGATED / ACTIVE","INVALID"),IF(AND(ABS(J57-I57)&lt;0.0000001,K57=0,L57=0,M57=0,N57=0,O57=0,P57=0,Q57=0),"RESERVED / HELD","INVALID"))</x:f>
        <x:v>RESERVED / HELD</x:v>
      </x:c>
      <x:c r="S57" s="68" t="n">
        <x:f>COUNTIFS($B$5:$B$94,B57)</x:f>
        <x:v>5</x:v>
      </x:c>
      <x:c r="T57" s="68" t="n">
        <x:f>COUNTIFS($A$5:$A$94,A57)</x:f>
        <x:v>1</x:v>
      </x:c>
    </x:row>
    <x:row r="58">
      <x:c r="A58" s="67" t="str">
        <x:v>P054</x:v>
      </x:c>
      <x:c r="B58" s="67" t="str">
        <x:v>LF-B-B</x:v>
      </x:c>
      <x:c r="C58" s="67" t="str">
        <x:v>LF-B</x:v>
      </x:c>
      <x:c r="D58" s="67" t="str">
        <x:v>B</x:v>
      </x:c>
      <x:c r="E58" s="68" t="n">
        <x:v>3</x:v>
      </x:c>
      <x:c r="F58" s="68" t="str">
        <x:v>ARTICLE</x:v>
      </x:c>
      <x:c r="G58" s="67" t="str">
        <x:v>Destructive-article engineering</x:v>
      </x:c>
      <x:c r="H58" s="79" t="n">
        <x:v>0.25</x:v>
      </x:c>
      <x:c r="I58" s="69" t="n">
        <x:f>H58*INDEX('Warrant Ledger'!$H$5:$H$22,MATCH(B58,'Warrant Ledger'!$A$5:$A$22,0))</x:f>
        <x:v>0.011242660241507064</x:v>
      </x:c>
      <x:c r="J58" s="69" t="n">
        <x:f>I58</x:f>
        <x:v>0.011242660241507064</x:v>
      </x:c>
      <x:c r="K58" s="69" t="n">
        <x:f>IF(E58=1,I58,0)</x:f>
        <x:v>0</x:v>
      </x:c>
      <x:c r="L58" s="68" t="n">
        <x:v>0</x:v>
      </x:c>
      <x:c r="M58" s="68" t="n">
        <x:v>0</x:v>
      </x:c>
      <x:c r="N58" s="69" t="n">
        <x:v>0</x:v>
      </x:c>
      <x:c r="O58" s="68" t="n">
        <x:v>0</x:v>
      </x:c>
      <x:c r="P58" s="68" t="n">
        <x:v>0</x:v>
      </x:c>
      <x:c r="Q58" s="68" t="n">
        <x:v>0</x:v>
      </x:c>
      <x:c r="R58" s="67" t="str">
        <x:f>IF(E58=1,IF(AND(ABS(J58-I58)&lt;0.0000001,ABS(K58-I58)&lt;0.0000001,L58=1,M58=0,N58=0,O58=0,P58=0,Q58=0),"OBLIGATED / ACTIVE","INVALID"),IF(AND(ABS(J58-I58)&lt;0.0000001,K58=0,L58=0,M58=0,N58=0,O58=0,P58=0,Q58=0),"RESERVED / HELD","INVALID"))</x:f>
        <x:v>RESERVED / HELD</x:v>
      </x:c>
      <x:c r="S58" s="68" t="n">
        <x:f>COUNTIFS($B$5:$B$94,B58)</x:f>
        <x:v>5</x:v>
      </x:c>
      <x:c r="T58" s="68" t="n">
        <x:f>COUNTIFS($A$5:$A$94,A58)</x:f>
        <x:v>1</x:v>
      </x:c>
    </x:row>
    <x:row r="59">
      <x:c r="A59" s="67" t="str">
        <x:v>P055</x:v>
      </x:c>
      <x:c r="B59" s="67" t="str">
        <x:v>LF-B-B</x:v>
      </x:c>
      <x:c r="C59" s="67" t="str">
        <x:v>LF-B</x:v>
      </x:c>
      <x:c r="D59" s="67" t="str">
        <x:v>B</x:v>
      </x:c>
      <x:c r="E59" s="68" t="n">
        <x:v>3</x:v>
      </x:c>
      <x:c r="F59" s="68" t="str">
        <x:v>REBUILD</x:v>
      </x:c>
      <x:c r="G59" s="67" t="str">
        <x:v>Cold reconstruction and challenge</x:v>
      </x:c>
      <x:c r="H59" s="79" t="n">
        <x:v>0.15</x:v>
      </x:c>
      <x:c r="I59" s="69" t="n">
        <x:f>H59*INDEX('Warrant Ledger'!$H$5:$H$22,MATCH(B59,'Warrant Ledger'!$A$5:$A$22,0))</x:f>
        <x:v>0.006745596144904238</x:v>
      </x:c>
      <x:c r="J59" s="69" t="n">
        <x:f>I59</x:f>
        <x:v>0.006745596144904238</x:v>
      </x:c>
      <x:c r="K59" s="69" t="n">
        <x:f>IF(E59=1,I59,0)</x:f>
        <x:v>0</x:v>
      </x:c>
      <x:c r="L59" s="68" t="n">
        <x:v>0</x:v>
      </x:c>
      <x:c r="M59" s="68" t="n">
        <x:v>0</x:v>
      </x:c>
      <x:c r="N59" s="69" t="n">
        <x:v>0</x:v>
      </x:c>
      <x:c r="O59" s="68" t="n">
        <x:v>0</x:v>
      </x:c>
      <x:c r="P59" s="68" t="n">
        <x:v>0</x:v>
      </x:c>
      <x:c r="Q59" s="68" t="n">
        <x:v>0</x:v>
      </x:c>
      <x:c r="R59" s="67" t="str">
        <x:f>IF(E59=1,IF(AND(ABS(J59-I59)&lt;0.0000001,ABS(K59-I59)&lt;0.0000001,L59=1,M59=0,N59=0,O59=0,P59=0,Q59=0),"OBLIGATED / ACTIVE","INVALID"),IF(AND(ABS(J59-I59)&lt;0.0000001,K59=0,L59=0,M59=0,N59=0,O59=0,P59=0,Q59=0),"RESERVED / HELD","INVALID"))</x:f>
        <x:v>RESERVED / HELD</x:v>
      </x:c>
      <x:c r="S59" s="68" t="n">
        <x:f>COUNTIFS($B$5:$B$94,B59)</x:f>
        <x:v>5</x:v>
      </x:c>
      <x:c r="T59" s="68" t="n">
        <x:f>COUNTIFS($A$5:$A$94,A59)</x:f>
        <x:v>1</x:v>
      </x:c>
    </x:row>
    <x:row r="60">
      <x:c r="A60" s="67" t="str">
        <x:v>P056</x:v>
      </x:c>
      <x:c r="B60" s="67" t="str">
        <x:v>LF-B-C</x:v>
      </x:c>
      <x:c r="C60" s="67" t="str">
        <x:v>LF-B</x:v>
      </x:c>
      <x:c r="D60" s="67" t="str">
        <x:v>C</x:v>
      </x:c>
      <x:c r="E60" s="68" t="n">
        <x:v>2</x:v>
      </x:c>
      <x:c r="F60" s="68" t="str">
        <x:v>METHOD</x:v>
      </x:c>
      <x:c r="G60" s="67" t="str">
        <x:v>Event method and denominator</x:v>
      </x:c>
      <x:c r="H60" s="79" t="n">
        <x:v>0.2</x:v>
      </x:c>
      <x:c r="I60" s="69" t="n">
        <x:f>H60*INDEX('Warrant Ledger'!$H$5:$H$22,MATCH(B60,'Warrant Ledger'!$A$5:$A$22,0))</x:f>
        <x:v>0.008994128193205652</x:v>
      </x:c>
      <x:c r="J60" s="69" t="n">
        <x:f>I60</x:f>
        <x:v>0.008994128193205652</x:v>
      </x:c>
      <x:c r="K60" s="69" t="n">
        <x:f>IF(E60=1,I60,0)</x:f>
        <x:v>0</x:v>
      </x:c>
      <x:c r="L60" s="68" t="n">
        <x:v>0</x:v>
      </x:c>
      <x:c r="M60" s="68" t="n">
        <x:v>0</x:v>
      </x:c>
      <x:c r="N60" s="69" t="n">
        <x:v>0</x:v>
      </x:c>
      <x:c r="O60" s="68" t="n">
        <x:v>0</x:v>
      </x:c>
      <x:c r="P60" s="68" t="n">
        <x:v>0</x:v>
      </x:c>
      <x:c r="Q60" s="68" t="n">
        <x:v>0</x:v>
      </x:c>
      <x:c r="R60" s="67" t="str">
        <x:f>IF(E60=1,IF(AND(ABS(J60-I60)&lt;0.0000001,ABS(K60-I60)&lt;0.0000001,L60=1,M60=0,N60=0,O60=0,P60=0,Q60=0),"OBLIGATED / ACTIVE","INVALID"),IF(AND(ABS(J60-I60)&lt;0.0000001,K60=0,L60=0,M60=0,N60=0,O60=0,P60=0,Q60=0),"RESERVED / HELD","INVALID"))</x:f>
        <x:v>RESERVED / HELD</x:v>
      </x:c>
      <x:c r="S60" s="68" t="n">
        <x:f>COUNTIFS($B$5:$B$94,B60)</x:f>
        <x:v>5</x:v>
      </x:c>
      <x:c r="T60" s="68" t="n">
        <x:f>COUNTIFS($A$5:$A$94,A60)</x:f>
        <x:v>1</x:v>
      </x:c>
    </x:row>
    <x:row r="61">
      <x:c r="A61" s="67" t="str">
        <x:v>P057</x:v>
      </x:c>
      <x:c r="B61" s="67" t="str">
        <x:v>LF-B-C</x:v>
      </x:c>
      <x:c r="C61" s="67" t="str">
        <x:v>LF-B</x:v>
      </x:c>
      <x:c r="D61" s="67" t="str">
        <x:v>C</x:v>
      </x:c>
      <x:c r="E61" s="68" t="n">
        <x:v>2</x:v>
      </x:c>
      <x:c r="F61" s="68" t="str">
        <x:v>MEASURE</x:v>
      </x:c>
      <x:c r="G61" s="67" t="str">
        <x:v>Instrumentation, custody and validity</x:v>
      </x:c>
      <x:c r="H61" s="79" t="n">
        <x:v>0.25</x:v>
      </x:c>
      <x:c r="I61" s="69" t="n">
        <x:f>H61*INDEX('Warrant Ledger'!$H$5:$H$22,MATCH(B61,'Warrant Ledger'!$A$5:$A$22,0))</x:f>
        <x:v>0.011242660241507064</x:v>
      </x:c>
      <x:c r="J61" s="69" t="n">
        <x:f>I61</x:f>
        <x:v>0.011242660241507064</x:v>
      </x:c>
      <x:c r="K61" s="69" t="n">
        <x:f>IF(E61=1,I61,0)</x:f>
        <x:v>0</x:v>
      </x:c>
      <x:c r="L61" s="68" t="n">
        <x:v>0</x:v>
      </x:c>
      <x:c r="M61" s="68" t="n">
        <x:v>0</x:v>
      </x:c>
      <x:c r="N61" s="69" t="n">
        <x:v>0</x:v>
      </x:c>
      <x:c r="O61" s="68" t="n">
        <x:v>0</x:v>
      </x:c>
      <x:c r="P61" s="68" t="n">
        <x:v>0</x:v>
      </x:c>
      <x:c r="Q61" s="68" t="n">
        <x:v>0</x:v>
      </x:c>
      <x:c r="R61" s="67" t="str">
        <x:f>IF(E61=1,IF(AND(ABS(J61-I61)&lt;0.0000001,ABS(K61-I61)&lt;0.0000001,L61=1,M61=0,N61=0,O61=0,P61=0,Q61=0),"OBLIGATED / ACTIVE","INVALID"),IF(AND(ABS(J61-I61)&lt;0.0000001,K61=0,L61=0,M61=0,N61=0,O61=0,P61=0,Q61=0),"RESERVED / HELD","INVALID"))</x:f>
        <x:v>RESERVED / HELD</x:v>
      </x:c>
      <x:c r="S61" s="68" t="n">
        <x:f>COUNTIFS($B$5:$B$94,B61)</x:f>
        <x:v>5</x:v>
      </x:c>
      <x:c r="T61" s="68" t="n">
        <x:f>COUNTIFS($A$5:$A$94,A61)</x:f>
        <x:v>1</x:v>
      </x:c>
    </x:row>
    <x:row r="62">
      <x:c r="A62" s="67" t="str">
        <x:v>P058</x:v>
      </x:c>
      <x:c r="B62" s="67" t="str">
        <x:v>LF-B-C</x:v>
      </x:c>
      <x:c r="C62" s="67" t="str">
        <x:v>LF-B</x:v>
      </x:c>
      <x:c r="D62" s="67" t="str">
        <x:v>C</x:v>
      </x:c>
      <x:c r="E62" s="68" t="n">
        <x:v>2</x:v>
      </x:c>
      <x:c r="F62" s="68" t="str">
        <x:v>CIVIL</x:v>
      </x:c>
      <x:c r="G62" s="67" t="str">
        <x:v>Rights, receiver and residual closure</x:v>
      </x:c>
      <x:c r="H62" s="79" t="n">
        <x:v>0.15</x:v>
      </x:c>
      <x:c r="I62" s="69" t="n">
        <x:f>H62*INDEX('Warrant Ledger'!$H$5:$H$22,MATCH(B62,'Warrant Ledger'!$A$5:$A$22,0))</x:f>
        <x:v>0.006745596144904238</x:v>
      </x:c>
      <x:c r="J62" s="69" t="n">
        <x:f>I62</x:f>
        <x:v>0.006745596144904238</x:v>
      </x:c>
      <x:c r="K62" s="69" t="n">
        <x:f>IF(E62=1,I62,0)</x:f>
        <x:v>0</x:v>
      </x:c>
      <x:c r="L62" s="68" t="n">
        <x:v>0</x:v>
      </x:c>
      <x:c r="M62" s="68" t="n">
        <x:v>0</x:v>
      </x:c>
      <x:c r="N62" s="69" t="n">
        <x:v>0</x:v>
      </x:c>
      <x:c r="O62" s="68" t="n">
        <x:v>0</x:v>
      </x:c>
      <x:c r="P62" s="68" t="n">
        <x:v>0</x:v>
      </x:c>
      <x:c r="Q62" s="68" t="n">
        <x:v>0</x:v>
      </x:c>
      <x:c r="R62" s="67" t="str">
        <x:f>IF(E62=1,IF(AND(ABS(J62-I62)&lt;0.0000001,ABS(K62-I62)&lt;0.0000001,L62=1,M62=0,N62=0,O62=0,P62=0,Q62=0),"OBLIGATED / ACTIVE","INVALID"),IF(AND(ABS(J62-I62)&lt;0.0000001,K62=0,L62=0,M62=0,N62=0,O62=0,P62=0,Q62=0),"RESERVED / HELD","INVALID"))</x:f>
        <x:v>RESERVED / HELD</x:v>
      </x:c>
      <x:c r="S62" s="68" t="n">
        <x:f>COUNTIFS($B$5:$B$94,B62)</x:f>
        <x:v>5</x:v>
      </x:c>
      <x:c r="T62" s="68" t="n">
        <x:f>COUNTIFS($A$5:$A$94,A62)</x:f>
        <x:v>1</x:v>
      </x:c>
    </x:row>
    <x:row r="63">
      <x:c r="A63" s="67" t="str">
        <x:v>P059</x:v>
      </x:c>
      <x:c r="B63" s="67" t="str">
        <x:v>LF-B-C</x:v>
      </x:c>
      <x:c r="C63" s="67" t="str">
        <x:v>LF-B</x:v>
      </x:c>
      <x:c r="D63" s="67" t="str">
        <x:v>C</x:v>
      </x:c>
      <x:c r="E63" s="68" t="n">
        <x:v>2</x:v>
      </x:c>
      <x:c r="F63" s="68" t="str">
        <x:v>ARTICLE</x:v>
      </x:c>
      <x:c r="G63" s="67" t="str">
        <x:v>Destructive-article engineering</x:v>
      </x:c>
      <x:c r="H63" s="79" t="n">
        <x:v>0.25</x:v>
      </x:c>
      <x:c r="I63" s="69" t="n">
        <x:f>H63*INDEX('Warrant Ledger'!$H$5:$H$22,MATCH(B63,'Warrant Ledger'!$A$5:$A$22,0))</x:f>
        <x:v>0.011242660241507064</x:v>
      </x:c>
      <x:c r="J63" s="69" t="n">
        <x:f>I63</x:f>
        <x:v>0.011242660241507064</x:v>
      </x:c>
      <x:c r="K63" s="69" t="n">
        <x:f>IF(E63=1,I63,0)</x:f>
        <x:v>0</x:v>
      </x:c>
      <x:c r="L63" s="68" t="n">
        <x:v>0</x:v>
      </x:c>
      <x:c r="M63" s="68" t="n">
        <x:v>0</x:v>
      </x:c>
      <x:c r="N63" s="69" t="n">
        <x:v>0</x:v>
      </x:c>
      <x:c r="O63" s="68" t="n">
        <x:v>0</x:v>
      </x:c>
      <x:c r="P63" s="68" t="n">
        <x:v>0</x:v>
      </x:c>
      <x:c r="Q63" s="68" t="n">
        <x:v>0</x:v>
      </x:c>
      <x:c r="R63" s="67" t="str">
        <x:f>IF(E63=1,IF(AND(ABS(J63-I63)&lt;0.0000001,ABS(K63-I63)&lt;0.0000001,L63=1,M63=0,N63=0,O63=0,P63=0,Q63=0),"OBLIGATED / ACTIVE","INVALID"),IF(AND(ABS(J63-I63)&lt;0.0000001,K63=0,L63=0,M63=0,N63=0,O63=0,P63=0,Q63=0),"RESERVED / HELD","INVALID"))</x:f>
        <x:v>RESERVED / HELD</x:v>
      </x:c>
      <x:c r="S63" s="68" t="n">
        <x:f>COUNTIFS($B$5:$B$94,B63)</x:f>
        <x:v>5</x:v>
      </x:c>
      <x:c r="T63" s="68" t="n">
        <x:f>COUNTIFS($A$5:$A$94,A63)</x:f>
        <x:v>1</x:v>
      </x:c>
    </x:row>
    <x:row r="64">
      <x:c r="A64" s="67" t="str">
        <x:v>P060</x:v>
      </x:c>
      <x:c r="B64" s="67" t="str">
        <x:v>LF-B-C</x:v>
      </x:c>
      <x:c r="C64" s="67" t="str">
        <x:v>LF-B</x:v>
      </x:c>
      <x:c r="D64" s="67" t="str">
        <x:v>C</x:v>
      </x:c>
      <x:c r="E64" s="68" t="n">
        <x:v>2</x:v>
      </x:c>
      <x:c r="F64" s="68" t="str">
        <x:v>REBUILD</x:v>
      </x:c>
      <x:c r="G64" s="67" t="str">
        <x:v>Cold reconstruction and challenge</x:v>
      </x:c>
      <x:c r="H64" s="79" t="n">
        <x:v>0.15</x:v>
      </x:c>
      <x:c r="I64" s="69" t="n">
        <x:f>H64*INDEX('Warrant Ledger'!$H$5:$H$22,MATCH(B64,'Warrant Ledger'!$A$5:$A$22,0))</x:f>
        <x:v>0.006745596144904238</x:v>
      </x:c>
      <x:c r="J64" s="69" t="n">
        <x:f>I64</x:f>
        <x:v>0.006745596144904238</x:v>
      </x:c>
      <x:c r="K64" s="69" t="n">
        <x:f>IF(E64=1,I64,0)</x:f>
        <x:v>0</x:v>
      </x:c>
      <x:c r="L64" s="68" t="n">
        <x:v>0</x:v>
      </x:c>
      <x:c r="M64" s="68" t="n">
        <x:v>0</x:v>
      </x:c>
      <x:c r="N64" s="69" t="n">
        <x:v>0</x:v>
      </x:c>
      <x:c r="O64" s="68" t="n">
        <x:v>0</x:v>
      </x:c>
      <x:c r="P64" s="68" t="n">
        <x:v>0</x:v>
      </x:c>
      <x:c r="Q64" s="68" t="n">
        <x:v>0</x:v>
      </x:c>
      <x:c r="R64" s="67" t="str">
        <x:f>IF(E64=1,IF(AND(ABS(J64-I64)&lt;0.0000001,ABS(K64-I64)&lt;0.0000001,L64=1,M64=0,N64=0,O64=0,P64=0,Q64=0),"OBLIGATED / ACTIVE","INVALID"),IF(AND(ABS(J64-I64)&lt;0.0000001,K64=0,L64=0,M64=0,N64=0,O64=0,P64=0,Q64=0),"RESERVED / HELD","INVALID"))</x:f>
        <x:v>RESERVED / HELD</x:v>
      </x:c>
      <x:c r="S64" s="68" t="n">
        <x:f>COUNTIFS($B$5:$B$94,B64)</x:f>
        <x:v>5</x:v>
      </x:c>
      <x:c r="T64" s="68" t="n">
        <x:f>COUNTIFS($A$5:$A$94,A64)</x:f>
        <x:v>1</x:v>
      </x:c>
    </x:row>
    <x:row r="65">
      <x:c r="A65" s="67" t="str">
        <x:v>P061</x:v>
      </x:c>
      <x:c r="B65" s="67" t="str">
        <x:v>HU-A-A</x:v>
      </x:c>
      <x:c r="C65" s="67" t="str">
        <x:v>HU-A</x:v>
      </x:c>
      <x:c r="D65" s="67" t="str">
        <x:v>A</x:v>
      </x:c>
      <x:c r="E65" s="68" t="n">
        <x:v>2</x:v>
      </x:c>
      <x:c r="F65" s="68" t="str">
        <x:v>METHOD</x:v>
      </x:c>
      <x:c r="G65" s="67" t="str">
        <x:v>Event method and denominator</x:v>
      </x:c>
      <x:c r="H65" s="79" t="n">
        <x:v>0.2</x:v>
      </x:c>
      <x:c r="I65" s="69" t="n">
        <x:f>H65*INDEX('Warrant Ledger'!$H$5:$H$22,MATCH(B65,'Warrant Ledger'!$A$5:$A$22,0))</x:f>
        <x:v>0.00860712452941095</x:v>
      </x:c>
      <x:c r="J65" s="69" t="n">
        <x:f>I65</x:f>
        <x:v>0.00860712452941095</x:v>
      </x:c>
      <x:c r="K65" s="69" t="n">
        <x:f>IF(E65=1,I65,0)</x:f>
        <x:v>0</x:v>
      </x:c>
      <x:c r="L65" s="68" t="n">
        <x:v>0</x:v>
      </x:c>
      <x:c r="M65" s="68" t="n">
        <x:v>0</x:v>
      </x:c>
      <x:c r="N65" s="69" t="n">
        <x:v>0</x:v>
      </x:c>
      <x:c r="O65" s="68" t="n">
        <x:v>0</x:v>
      </x:c>
      <x:c r="P65" s="68" t="n">
        <x:v>0</x:v>
      </x:c>
      <x:c r="Q65" s="68" t="n">
        <x:v>0</x:v>
      </x:c>
      <x:c r="R65" s="67" t="str">
        <x:f>IF(E65=1,IF(AND(ABS(J65-I65)&lt;0.0000001,ABS(K65-I65)&lt;0.0000001,L65=1,M65=0,N65=0,O65=0,P65=0,Q65=0),"OBLIGATED / ACTIVE","INVALID"),IF(AND(ABS(J65-I65)&lt;0.0000001,K65=0,L65=0,M65=0,N65=0,O65=0,P65=0,Q65=0),"RESERVED / HELD","INVALID"))</x:f>
        <x:v>RESERVED / HELD</x:v>
      </x:c>
      <x:c r="S65" s="68" t="n">
        <x:f>COUNTIFS($B$5:$B$94,B65)</x:f>
        <x:v>5</x:v>
      </x:c>
      <x:c r="T65" s="68" t="n">
        <x:f>COUNTIFS($A$5:$A$94,A65)</x:f>
        <x:v>1</x:v>
      </x:c>
    </x:row>
    <x:row r="66">
      <x:c r="A66" s="67" t="str">
        <x:v>P062</x:v>
      </x:c>
      <x:c r="B66" s="67" t="str">
        <x:v>HU-A-A</x:v>
      </x:c>
      <x:c r="C66" s="67" t="str">
        <x:v>HU-A</x:v>
      </x:c>
      <x:c r="D66" s="67" t="str">
        <x:v>A</x:v>
      </x:c>
      <x:c r="E66" s="68" t="n">
        <x:v>2</x:v>
      </x:c>
      <x:c r="F66" s="68" t="str">
        <x:v>MEASURE</x:v>
      </x:c>
      <x:c r="G66" s="67" t="str">
        <x:v>Instrumentation, custody and validity</x:v>
      </x:c>
      <x:c r="H66" s="79" t="n">
        <x:v>0.25</x:v>
      </x:c>
      <x:c r="I66" s="69" t="n">
        <x:f>H66*INDEX('Warrant Ledger'!$H$5:$H$22,MATCH(B66,'Warrant Ledger'!$A$5:$A$22,0))</x:f>
        <x:v>0.010758905661763686</x:v>
      </x:c>
      <x:c r="J66" s="69" t="n">
        <x:f>I66</x:f>
        <x:v>0.010758905661763686</x:v>
      </x:c>
      <x:c r="K66" s="69" t="n">
        <x:f>IF(E66=1,I66,0)</x:f>
        <x:v>0</x:v>
      </x:c>
      <x:c r="L66" s="68" t="n">
        <x:v>0</x:v>
      </x:c>
      <x:c r="M66" s="68" t="n">
        <x:v>0</x:v>
      </x:c>
      <x:c r="N66" s="69" t="n">
        <x:v>0</x:v>
      </x:c>
      <x:c r="O66" s="68" t="n">
        <x:v>0</x:v>
      </x:c>
      <x:c r="P66" s="68" t="n">
        <x:v>0</x:v>
      </x:c>
      <x:c r="Q66" s="68" t="n">
        <x:v>0</x:v>
      </x:c>
      <x:c r="R66" s="67" t="str">
        <x:f>IF(E66=1,IF(AND(ABS(J66-I66)&lt;0.0000001,ABS(K66-I66)&lt;0.0000001,L66=1,M66=0,N66=0,O66=0,P66=0,Q66=0),"OBLIGATED / ACTIVE","INVALID"),IF(AND(ABS(J66-I66)&lt;0.0000001,K66=0,L66=0,M66=0,N66=0,O66=0,P66=0,Q66=0),"RESERVED / HELD","INVALID"))</x:f>
        <x:v>RESERVED / HELD</x:v>
      </x:c>
      <x:c r="S66" s="68" t="n">
        <x:f>COUNTIFS($B$5:$B$94,B66)</x:f>
        <x:v>5</x:v>
      </x:c>
      <x:c r="T66" s="68" t="n">
        <x:f>COUNTIFS($A$5:$A$94,A66)</x:f>
        <x:v>1</x:v>
      </x:c>
    </x:row>
    <x:row r="67">
      <x:c r="A67" s="67" t="str">
        <x:v>P063</x:v>
      </x:c>
      <x:c r="B67" s="67" t="str">
        <x:v>HU-A-A</x:v>
      </x:c>
      <x:c r="C67" s="67" t="str">
        <x:v>HU-A</x:v>
      </x:c>
      <x:c r="D67" s="67" t="str">
        <x:v>A</x:v>
      </x:c>
      <x:c r="E67" s="68" t="n">
        <x:v>2</x:v>
      </x:c>
      <x:c r="F67" s="68" t="str">
        <x:v>CIVIL</x:v>
      </x:c>
      <x:c r="G67" s="67" t="str">
        <x:v>Rights, receiver and residual closure</x:v>
      </x:c>
      <x:c r="H67" s="79" t="n">
        <x:v>0.15</x:v>
      </x:c>
      <x:c r="I67" s="69" t="n">
        <x:f>H67*INDEX('Warrant Ledger'!$H$5:$H$22,MATCH(B67,'Warrant Ledger'!$A$5:$A$22,0))</x:f>
        <x:v>0.0064553433970582115</x:v>
      </x:c>
      <x:c r="J67" s="69" t="n">
        <x:f>I67</x:f>
        <x:v>0.0064553433970582115</x:v>
      </x:c>
      <x:c r="K67" s="69" t="n">
        <x:f>IF(E67=1,I67,0)</x:f>
        <x:v>0</x:v>
      </x:c>
      <x:c r="L67" s="68" t="n">
        <x:v>0</x:v>
      </x:c>
      <x:c r="M67" s="68" t="n">
        <x:v>0</x:v>
      </x:c>
      <x:c r="N67" s="69" t="n">
        <x:v>0</x:v>
      </x:c>
      <x:c r="O67" s="68" t="n">
        <x:v>0</x:v>
      </x:c>
      <x:c r="P67" s="68" t="n">
        <x:v>0</x:v>
      </x:c>
      <x:c r="Q67" s="68" t="n">
        <x:v>0</x:v>
      </x:c>
      <x:c r="R67" s="67" t="str">
        <x:f>IF(E67=1,IF(AND(ABS(J67-I67)&lt;0.0000001,ABS(K67-I67)&lt;0.0000001,L67=1,M67=0,N67=0,O67=0,P67=0,Q67=0),"OBLIGATED / ACTIVE","INVALID"),IF(AND(ABS(J67-I67)&lt;0.0000001,K67=0,L67=0,M67=0,N67=0,O67=0,P67=0,Q67=0),"RESERVED / HELD","INVALID"))</x:f>
        <x:v>RESERVED / HELD</x:v>
      </x:c>
      <x:c r="S67" s="68" t="n">
        <x:f>COUNTIFS($B$5:$B$94,B67)</x:f>
        <x:v>5</x:v>
      </x:c>
      <x:c r="T67" s="68" t="n">
        <x:f>COUNTIFS($A$5:$A$94,A67)</x:f>
        <x:v>1</x:v>
      </x:c>
    </x:row>
    <x:row r="68">
      <x:c r="A68" s="67" t="str">
        <x:v>P064</x:v>
      </x:c>
      <x:c r="B68" s="67" t="str">
        <x:v>HU-A-A</x:v>
      </x:c>
      <x:c r="C68" s="67" t="str">
        <x:v>HU-A</x:v>
      </x:c>
      <x:c r="D68" s="67" t="str">
        <x:v>A</x:v>
      </x:c>
      <x:c r="E68" s="68" t="n">
        <x:v>2</x:v>
      </x:c>
      <x:c r="F68" s="68" t="str">
        <x:v>ARTICLE</x:v>
      </x:c>
      <x:c r="G68" s="67" t="str">
        <x:v>Destructive-article engineering</x:v>
      </x:c>
      <x:c r="H68" s="79" t="n">
        <x:v>0.25</x:v>
      </x:c>
      <x:c r="I68" s="69" t="n">
        <x:f>H68*INDEX('Warrant Ledger'!$H$5:$H$22,MATCH(B68,'Warrant Ledger'!$A$5:$A$22,0))</x:f>
        <x:v>0.010758905661763686</x:v>
      </x:c>
      <x:c r="J68" s="69" t="n">
        <x:f>I68</x:f>
        <x:v>0.010758905661763686</x:v>
      </x:c>
      <x:c r="K68" s="69" t="n">
        <x:f>IF(E68=1,I68,0)</x:f>
        <x:v>0</x:v>
      </x:c>
      <x:c r="L68" s="68" t="n">
        <x:v>0</x:v>
      </x:c>
      <x:c r="M68" s="68" t="n">
        <x:v>0</x:v>
      </x:c>
      <x:c r="N68" s="69" t="n">
        <x:v>0</x:v>
      </x:c>
      <x:c r="O68" s="68" t="n">
        <x:v>0</x:v>
      </x:c>
      <x:c r="P68" s="68" t="n">
        <x:v>0</x:v>
      </x:c>
      <x:c r="Q68" s="68" t="n">
        <x:v>0</x:v>
      </x:c>
      <x:c r="R68" s="67" t="str">
        <x:f>IF(E68=1,IF(AND(ABS(J68-I68)&lt;0.0000001,ABS(K68-I68)&lt;0.0000001,L68=1,M68=0,N68=0,O68=0,P68=0,Q68=0),"OBLIGATED / ACTIVE","INVALID"),IF(AND(ABS(J68-I68)&lt;0.0000001,K68=0,L68=0,M68=0,N68=0,O68=0,P68=0,Q68=0),"RESERVED / HELD","INVALID"))</x:f>
        <x:v>RESERVED / HELD</x:v>
      </x:c>
      <x:c r="S68" s="68" t="n">
        <x:f>COUNTIFS($B$5:$B$94,B68)</x:f>
        <x:v>5</x:v>
      </x:c>
      <x:c r="T68" s="68" t="n">
        <x:f>COUNTIFS($A$5:$A$94,A68)</x:f>
        <x:v>1</x:v>
      </x:c>
    </x:row>
    <x:row r="69">
      <x:c r="A69" s="67" t="str">
        <x:v>P065</x:v>
      </x:c>
      <x:c r="B69" s="67" t="str">
        <x:v>HU-A-A</x:v>
      </x:c>
      <x:c r="C69" s="67" t="str">
        <x:v>HU-A</x:v>
      </x:c>
      <x:c r="D69" s="67" t="str">
        <x:v>A</x:v>
      </x:c>
      <x:c r="E69" s="68" t="n">
        <x:v>2</x:v>
      </x:c>
      <x:c r="F69" s="68" t="str">
        <x:v>REBUILD</x:v>
      </x:c>
      <x:c r="G69" s="67" t="str">
        <x:v>Cold reconstruction and challenge</x:v>
      </x:c>
      <x:c r="H69" s="79" t="n">
        <x:v>0.15</x:v>
      </x:c>
      <x:c r="I69" s="69" t="n">
        <x:f>H69*INDEX('Warrant Ledger'!$H$5:$H$22,MATCH(B69,'Warrant Ledger'!$A$5:$A$22,0))</x:f>
        <x:v>0.0064553433970582115</x:v>
      </x:c>
      <x:c r="J69" s="69" t="n">
        <x:f>I69</x:f>
        <x:v>0.0064553433970582115</x:v>
      </x:c>
      <x:c r="K69" s="69" t="n">
        <x:f>IF(E69=1,I69,0)</x:f>
        <x:v>0</x:v>
      </x:c>
      <x:c r="L69" s="68" t="n">
        <x:v>0</x:v>
      </x:c>
      <x:c r="M69" s="68" t="n">
        <x:v>0</x:v>
      </x:c>
      <x:c r="N69" s="69" t="n">
        <x:v>0</x:v>
      </x:c>
      <x:c r="O69" s="68" t="n">
        <x:v>0</x:v>
      </x:c>
      <x:c r="P69" s="68" t="n">
        <x:v>0</x:v>
      </x:c>
      <x:c r="Q69" s="68" t="n">
        <x:v>0</x:v>
      </x:c>
      <x:c r="R69" s="67" t="str">
        <x:f>IF(E69=1,IF(AND(ABS(J69-I69)&lt;0.0000001,ABS(K69-I69)&lt;0.0000001,L69=1,M69=0,N69=0,O69=0,P69=0,Q69=0),"OBLIGATED / ACTIVE","INVALID"),IF(AND(ABS(J69-I69)&lt;0.0000001,K69=0,L69=0,M69=0,N69=0,O69=0,P69=0,Q69=0),"RESERVED / HELD","INVALID"))</x:f>
        <x:v>RESERVED / HELD</x:v>
      </x:c>
      <x:c r="S69" s="68" t="n">
        <x:f>COUNTIFS($B$5:$B$94,B69)</x:f>
        <x:v>5</x:v>
      </x:c>
      <x:c r="T69" s="68" t="n">
        <x:f>COUNTIFS($A$5:$A$94,A69)</x:f>
        <x:v>1</x:v>
      </x:c>
    </x:row>
    <x:row r="70">
      <x:c r="A70" s="67" t="str">
        <x:v>P066</x:v>
      </x:c>
      <x:c r="B70" s="67" t="str">
        <x:v>HU-A-B</x:v>
      </x:c>
      <x:c r="C70" s="67" t="str">
        <x:v>HU-A</x:v>
      </x:c>
      <x:c r="D70" s="67" t="str">
        <x:v>B</x:v>
      </x:c>
      <x:c r="E70" s="68" t="n">
        <x:v>1</x:v>
      </x:c>
      <x:c r="F70" s="68" t="str">
        <x:v>METHOD</x:v>
      </x:c>
      <x:c r="G70" s="67" t="str">
        <x:v>Event method and denominator</x:v>
      </x:c>
      <x:c r="H70" s="79" t="n">
        <x:v>0.2</x:v>
      </x:c>
      <x:c r="I70" s="69" t="n">
        <x:f>H70*INDEX('Warrant Ledger'!$H$5:$H$22,MATCH(B70,'Warrant Ledger'!$A$5:$A$22,0))</x:f>
        <x:v>0.00860712452941095</x:v>
      </x:c>
      <x:c r="J70" s="69" t="n">
        <x:f>I70</x:f>
        <x:v>0.00860712452941095</x:v>
      </x:c>
      <x:c r="K70" s="69" t="n">
        <x:f>IF(E70=1,I70,0)</x:f>
        <x:v>0.00860712452941095</x:v>
      </x:c>
      <x:c r="L70" s="68" t="n">
        <x:v>1</x:v>
      </x:c>
      <x:c r="M70" s="68" t="n">
        <x:v>0</x:v>
      </x:c>
      <x:c r="N70" s="69" t="n">
        <x:v>0</x:v>
      </x:c>
      <x:c r="O70" s="68" t="n">
        <x:v>0</x:v>
      </x:c>
      <x:c r="P70" s="68" t="n">
        <x:v>0</x:v>
      </x:c>
      <x:c r="Q70" s="68" t="n">
        <x:v>0</x:v>
      </x:c>
      <x:c r="R70" s="67" t="str">
        <x:f>IF(E70=1,IF(AND(ABS(J70-I70)&lt;0.0000001,ABS(K70-I70)&lt;0.0000001,L70=1,M70=0,N70=0,O70=0,P70=0,Q70=0),"OBLIGATED / ACTIVE","INVALID"),IF(AND(ABS(J70-I70)&lt;0.0000001,K70=0,L70=0,M70=0,N70=0,O70=0,P70=0,Q70=0),"RESERVED / HELD","INVALID"))</x:f>
        <x:v>OBLIGATED / ACTIVE</x:v>
      </x:c>
      <x:c r="S70" s="68" t="n">
        <x:f>COUNTIFS($B$5:$B$94,B70)</x:f>
        <x:v>5</x:v>
      </x:c>
      <x:c r="T70" s="68" t="n">
        <x:f>COUNTIFS($A$5:$A$94,A70)</x:f>
        <x:v>1</x:v>
      </x:c>
    </x:row>
    <x:row r="71">
      <x:c r="A71" s="67" t="str">
        <x:v>P067</x:v>
      </x:c>
      <x:c r="B71" s="67" t="str">
        <x:v>HU-A-B</x:v>
      </x:c>
      <x:c r="C71" s="67" t="str">
        <x:v>HU-A</x:v>
      </x:c>
      <x:c r="D71" s="67" t="str">
        <x:v>B</x:v>
      </x:c>
      <x:c r="E71" s="68" t="n">
        <x:v>1</x:v>
      </x:c>
      <x:c r="F71" s="68" t="str">
        <x:v>MEASURE</x:v>
      </x:c>
      <x:c r="G71" s="67" t="str">
        <x:v>Instrumentation, custody and validity</x:v>
      </x:c>
      <x:c r="H71" s="79" t="n">
        <x:v>0.25</x:v>
      </x:c>
      <x:c r="I71" s="69" t="n">
        <x:f>H71*INDEX('Warrant Ledger'!$H$5:$H$22,MATCH(B71,'Warrant Ledger'!$A$5:$A$22,0))</x:f>
        <x:v>0.010758905661763686</x:v>
      </x:c>
      <x:c r="J71" s="69" t="n">
        <x:f>I71</x:f>
        <x:v>0.010758905661763686</x:v>
      </x:c>
      <x:c r="K71" s="69" t="n">
        <x:f>IF(E71=1,I71,0)</x:f>
        <x:v>0.010758905661763686</x:v>
      </x:c>
      <x:c r="L71" s="68" t="n">
        <x:v>1</x:v>
      </x:c>
      <x:c r="M71" s="68" t="n">
        <x:v>0</x:v>
      </x:c>
      <x:c r="N71" s="69" t="n">
        <x:v>0</x:v>
      </x:c>
      <x:c r="O71" s="68" t="n">
        <x:v>0</x:v>
      </x:c>
      <x:c r="P71" s="68" t="n">
        <x:v>0</x:v>
      </x:c>
      <x:c r="Q71" s="68" t="n">
        <x:v>0</x:v>
      </x:c>
      <x:c r="R71" s="67" t="str">
        <x:f>IF(E71=1,IF(AND(ABS(J71-I71)&lt;0.0000001,ABS(K71-I71)&lt;0.0000001,L71=1,M71=0,N71=0,O71=0,P71=0,Q71=0),"OBLIGATED / ACTIVE","INVALID"),IF(AND(ABS(J71-I71)&lt;0.0000001,K71=0,L71=0,M71=0,N71=0,O71=0,P71=0,Q71=0),"RESERVED / HELD","INVALID"))</x:f>
        <x:v>OBLIGATED / ACTIVE</x:v>
      </x:c>
      <x:c r="S71" s="68" t="n">
        <x:f>COUNTIFS($B$5:$B$94,B71)</x:f>
        <x:v>5</x:v>
      </x:c>
      <x:c r="T71" s="68" t="n">
        <x:f>COUNTIFS($A$5:$A$94,A71)</x:f>
        <x:v>1</x:v>
      </x:c>
    </x:row>
    <x:row r="72">
      <x:c r="A72" s="67" t="str">
        <x:v>P068</x:v>
      </x:c>
      <x:c r="B72" s="67" t="str">
        <x:v>HU-A-B</x:v>
      </x:c>
      <x:c r="C72" s="67" t="str">
        <x:v>HU-A</x:v>
      </x:c>
      <x:c r="D72" s="67" t="str">
        <x:v>B</x:v>
      </x:c>
      <x:c r="E72" s="68" t="n">
        <x:v>1</x:v>
      </x:c>
      <x:c r="F72" s="68" t="str">
        <x:v>CIVIL</x:v>
      </x:c>
      <x:c r="G72" s="67" t="str">
        <x:v>Rights, receiver and residual closure</x:v>
      </x:c>
      <x:c r="H72" s="79" t="n">
        <x:v>0.15</x:v>
      </x:c>
      <x:c r="I72" s="69" t="n">
        <x:f>H72*INDEX('Warrant Ledger'!$H$5:$H$22,MATCH(B72,'Warrant Ledger'!$A$5:$A$22,0))</x:f>
        <x:v>0.0064553433970582115</x:v>
      </x:c>
      <x:c r="J72" s="69" t="n">
        <x:f>I72</x:f>
        <x:v>0.0064553433970582115</x:v>
      </x:c>
      <x:c r="K72" s="69" t="n">
        <x:f>IF(E72=1,I72,0)</x:f>
        <x:v>0.0064553433970582115</x:v>
      </x:c>
      <x:c r="L72" s="68" t="n">
        <x:v>1</x:v>
      </x:c>
      <x:c r="M72" s="68" t="n">
        <x:v>0</x:v>
      </x:c>
      <x:c r="N72" s="69" t="n">
        <x:v>0</x:v>
      </x:c>
      <x:c r="O72" s="68" t="n">
        <x:v>0</x:v>
      </x:c>
      <x:c r="P72" s="68" t="n">
        <x:v>0</x:v>
      </x:c>
      <x:c r="Q72" s="68" t="n">
        <x:v>0</x:v>
      </x:c>
      <x:c r="R72" s="67" t="str">
        <x:f>IF(E72=1,IF(AND(ABS(J72-I72)&lt;0.0000001,ABS(K72-I72)&lt;0.0000001,L72=1,M72=0,N72=0,O72=0,P72=0,Q72=0),"OBLIGATED / ACTIVE","INVALID"),IF(AND(ABS(J72-I72)&lt;0.0000001,K72=0,L72=0,M72=0,N72=0,O72=0,P72=0,Q72=0),"RESERVED / HELD","INVALID"))</x:f>
        <x:v>OBLIGATED / ACTIVE</x:v>
      </x:c>
      <x:c r="S72" s="68" t="n">
        <x:f>COUNTIFS($B$5:$B$94,B72)</x:f>
        <x:v>5</x:v>
      </x:c>
      <x:c r="T72" s="68" t="n">
        <x:f>COUNTIFS($A$5:$A$94,A72)</x:f>
        <x:v>1</x:v>
      </x:c>
    </x:row>
    <x:row r="73">
      <x:c r="A73" s="67" t="str">
        <x:v>P069</x:v>
      </x:c>
      <x:c r="B73" s="67" t="str">
        <x:v>HU-A-B</x:v>
      </x:c>
      <x:c r="C73" s="67" t="str">
        <x:v>HU-A</x:v>
      </x:c>
      <x:c r="D73" s="67" t="str">
        <x:v>B</x:v>
      </x:c>
      <x:c r="E73" s="68" t="n">
        <x:v>1</x:v>
      </x:c>
      <x:c r="F73" s="68" t="str">
        <x:v>ARTICLE</x:v>
      </x:c>
      <x:c r="G73" s="67" t="str">
        <x:v>Destructive-article engineering</x:v>
      </x:c>
      <x:c r="H73" s="79" t="n">
        <x:v>0.25</x:v>
      </x:c>
      <x:c r="I73" s="69" t="n">
        <x:f>H73*INDEX('Warrant Ledger'!$H$5:$H$22,MATCH(B73,'Warrant Ledger'!$A$5:$A$22,0))</x:f>
        <x:v>0.010758905661763686</x:v>
      </x:c>
      <x:c r="J73" s="69" t="n">
        <x:f>I73</x:f>
        <x:v>0.010758905661763686</x:v>
      </x:c>
      <x:c r="K73" s="69" t="n">
        <x:f>IF(E73=1,I73,0)</x:f>
        <x:v>0.010758905661763686</x:v>
      </x:c>
      <x:c r="L73" s="68" t="n">
        <x:v>1</x:v>
      </x:c>
      <x:c r="M73" s="68" t="n">
        <x:v>0</x:v>
      </x:c>
      <x:c r="N73" s="69" t="n">
        <x:v>0</x:v>
      </x:c>
      <x:c r="O73" s="68" t="n">
        <x:v>0</x:v>
      </x:c>
      <x:c r="P73" s="68" t="n">
        <x:v>0</x:v>
      </x:c>
      <x:c r="Q73" s="68" t="n">
        <x:v>0</x:v>
      </x:c>
      <x:c r="R73" s="67" t="str">
        <x:f>IF(E73=1,IF(AND(ABS(J73-I73)&lt;0.0000001,ABS(K73-I73)&lt;0.0000001,L73=1,M73=0,N73=0,O73=0,P73=0,Q73=0),"OBLIGATED / ACTIVE","INVALID"),IF(AND(ABS(J73-I73)&lt;0.0000001,K73=0,L73=0,M73=0,N73=0,O73=0,P73=0,Q73=0),"RESERVED / HELD","INVALID"))</x:f>
        <x:v>OBLIGATED / ACTIVE</x:v>
      </x:c>
      <x:c r="S73" s="68" t="n">
        <x:f>COUNTIFS($B$5:$B$94,B73)</x:f>
        <x:v>5</x:v>
      </x:c>
      <x:c r="T73" s="68" t="n">
        <x:f>COUNTIFS($A$5:$A$94,A73)</x:f>
        <x:v>1</x:v>
      </x:c>
    </x:row>
    <x:row r="74">
      <x:c r="A74" s="67" t="str">
        <x:v>P070</x:v>
      </x:c>
      <x:c r="B74" s="67" t="str">
        <x:v>HU-A-B</x:v>
      </x:c>
      <x:c r="C74" s="67" t="str">
        <x:v>HU-A</x:v>
      </x:c>
      <x:c r="D74" s="67" t="str">
        <x:v>B</x:v>
      </x:c>
      <x:c r="E74" s="68" t="n">
        <x:v>1</x:v>
      </x:c>
      <x:c r="F74" s="68" t="str">
        <x:v>REBUILD</x:v>
      </x:c>
      <x:c r="G74" s="67" t="str">
        <x:v>Cold reconstruction and challenge</x:v>
      </x:c>
      <x:c r="H74" s="79" t="n">
        <x:v>0.15</x:v>
      </x:c>
      <x:c r="I74" s="69" t="n">
        <x:f>H74*INDEX('Warrant Ledger'!$H$5:$H$22,MATCH(B74,'Warrant Ledger'!$A$5:$A$22,0))</x:f>
        <x:v>0.0064553433970582115</x:v>
      </x:c>
      <x:c r="J74" s="69" t="n">
        <x:f>I74</x:f>
        <x:v>0.0064553433970582115</x:v>
      </x:c>
      <x:c r="K74" s="69" t="n">
        <x:f>IF(E74=1,I74,0)</x:f>
        <x:v>0.0064553433970582115</x:v>
      </x:c>
      <x:c r="L74" s="68" t="n">
        <x:v>1</x:v>
      </x:c>
      <x:c r="M74" s="68" t="n">
        <x:v>0</x:v>
      </x:c>
      <x:c r="N74" s="69" t="n">
        <x:v>0</x:v>
      </x:c>
      <x:c r="O74" s="68" t="n">
        <x:v>0</x:v>
      </x:c>
      <x:c r="P74" s="68" t="n">
        <x:v>0</x:v>
      </x:c>
      <x:c r="Q74" s="68" t="n">
        <x:v>0</x:v>
      </x:c>
      <x:c r="R74" s="67" t="str">
        <x:f>IF(E74=1,IF(AND(ABS(J74-I74)&lt;0.0000001,ABS(K74-I74)&lt;0.0000001,L74=1,M74=0,N74=0,O74=0,P74=0,Q74=0),"OBLIGATED / ACTIVE","INVALID"),IF(AND(ABS(J74-I74)&lt;0.0000001,K74=0,L74=0,M74=0,N74=0,O74=0,P74=0,Q74=0),"RESERVED / HELD","INVALID"))</x:f>
        <x:v>OBLIGATED / ACTIVE</x:v>
      </x:c>
      <x:c r="S74" s="68" t="n">
        <x:f>COUNTIFS($B$5:$B$94,B74)</x:f>
        <x:v>5</x:v>
      </x:c>
      <x:c r="T74" s="68" t="n">
        <x:f>COUNTIFS($A$5:$A$94,A74)</x:f>
        <x:v>1</x:v>
      </x:c>
    </x:row>
    <x:row r="75">
      <x:c r="A75" s="67" t="str">
        <x:v>P071</x:v>
      </x:c>
      <x:c r="B75" s="67" t="str">
        <x:v>HU-A-C</x:v>
      </x:c>
      <x:c r="C75" s="67" t="str">
        <x:v>HU-A</x:v>
      </x:c>
      <x:c r="D75" s="67" t="str">
        <x:v>C</x:v>
      </x:c>
      <x:c r="E75" s="68" t="n">
        <x:v>3</x:v>
      </x:c>
      <x:c r="F75" s="68" t="str">
        <x:v>METHOD</x:v>
      </x:c>
      <x:c r="G75" s="67" t="str">
        <x:v>Event method and denominator</x:v>
      </x:c>
      <x:c r="H75" s="79" t="n">
        <x:v>0.2</x:v>
      </x:c>
      <x:c r="I75" s="69" t="n">
        <x:f>H75*INDEX('Warrant Ledger'!$H$5:$H$22,MATCH(B75,'Warrant Ledger'!$A$5:$A$22,0))</x:f>
        <x:v>0.00860712452941095</x:v>
      </x:c>
      <x:c r="J75" s="69" t="n">
        <x:f>I75</x:f>
        <x:v>0.00860712452941095</x:v>
      </x:c>
      <x:c r="K75" s="69" t="n">
        <x:f>IF(E75=1,I75,0)</x:f>
        <x:v>0</x:v>
      </x:c>
      <x:c r="L75" s="68" t="n">
        <x:v>0</x:v>
      </x:c>
      <x:c r="M75" s="68" t="n">
        <x:v>0</x:v>
      </x:c>
      <x:c r="N75" s="69" t="n">
        <x:v>0</x:v>
      </x:c>
      <x:c r="O75" s="68" t="n">
        <x:v>0</x:v>
      </x:c>
      <x:c r="P75" s="68" t="n">
        <x:v>0</x:v>
      </x:c>
      <x:c r="Q75" s="68" t="n">
        <x:v>0</x:v>
      </x:c>
      <x:c r="R75" s="67" t="str">
        <x:f>IF(E75=1,IF(AND(ABS(J75-I75)&lt;0.0000001,ABS(K75-I75)&lt;0.0000001,L75=1,M75=0,N75=0,O75=0,P75=0,Q75=0),"OBLIGATED / ACTIVE","INVALID"),IF(AND(ABS(J75-I75)&lt;0.0000001,K75=0,L75=0,M75=0,N75=0,O75=0,P75=0,Q75=0),"RESERVED / HELD","INVALID"))</x:f>
        <x:v>RESERVED / HELD</x:v>
      </x:c>
      <x:c r="S75" s="68" t="n">
        <x:f>COUNTIFS($B$5:$B$94,B75)</x:f>
        <x:v>5</x:v>
      </x:c>
      <x:c r="T75" s="68" t="n">
        <x:f>COUNTIFS($A$5:$A$94,A75)</x:f>
        <x:v>1</x:v>
      </x:c>
    </x:row>
    <x:row r="76">
      <x:c r="A76" s="67" t="str">
        <x:v>P072</x:v>
      </x:c>
      <x:c r="B76" s="67" t="str">
        <x:v>HU-A-C</x:v>
      </x:c>
      <x:c r="C76" s="67" t="str">
        <x:v>HU-A</x:v>
      </x:c>
      <x:c r="D76" s="67" t="str">
        <x:v>C</x:v>
      </x:c>
      <x:c r="E76" s="68" t="n">
        <x:v>3</x:v>
      </x:c>
      <x:c r="F76" s="68" t="str">
        <x:v>MEASURE</x:v>
      </x:c>
      <x:c r="G76" s="67" t="str">
        <x:v>Instrumentation, custody and validity</x:v>
      </x:c>
      <x:c r="H76" s="79" t="n">
        <x:v>0.25</x:v>
      </x:c>
      <x:c r="I76" s="69" t="n">
        <x:f>H76*INDEX('Warrant Ledger'!$H$5:$H$22,MATCH(B76,'Warrant Ledger'!$A$5:$A$22,0))</x:f>
        <x:v>0.010758905661763686</x:v>
      </x:c>
      <x:c r="J76" s="69" t="n">
        <x:f>I76</x:f>
        <x:v>0.010758905661763686</x:v>
      </x:c>
      <x:c r="K76" s="69" t="n">
        <x:f>IF(E76=1,I76,0)</x:f>
        <x:v>0</x:v>
      </x:c>
      <x:c r="L76" s="68" t="n">
        <x:v>0</x:v>
      </x:c>
      <x:c r="M76" s="68" t="n">
        <x:v>0</x:v>
      </x:c>
      <x:c r="N76" s="69" t="n">
        <x:v>0</x:v>
      </x:c>
      <x:c r="O76" s="68" t="n">
        <x:v>0</x:v>
      </x:c>
      <x:c r="P76" s="68" t="n">
        <x:v>0</x:v>
      </x:c>
      <x:c r="Q76" s="68" t="n">
        <x:v>0</x:v>
      </x:c>
      <x:c r="R76" s="67" t="str">
        <x:f>IF(E76=1,IF(AND(ABS(J76-I76)&lt;0.0000001,ABS(K76-I76)&lt;0.0000001,L76=1,M76=0,N76=0,O76=0,P76=0,Q76=0),"OBLIGATED / ACTIVE","INVALID"),IF(AND(ABS(J76-I76)&lt;0.0000001,K76=0,L76=0,M76=0,N76=0,O76=0,P76=0,Q76=0),"RESERVED / HELD","INVALID"))</x:f>
        <x:v>RESERVED / HELD</x:v>
      </x:c>
      <x:c r="S76" s="68" t="n">
        <x:f>COUNTIFS($B$5:$B$94,B76)</x:f>
        <x:v>5</x:v>
      </x:c>
      <x:c r="T76" s="68" t="n">
        <x:f>COUNTIFS($A$5:$A$94,A76)</x:f>
        <x:v>1</x:v>
      </x:c>
    </x:row>
    <x:row r="77">
      <x:c r="A77" s="67" t="str">
        <x:v>P073</x:v>
      </x:c>
      <x:c r="B77" s="67" t="str">
        <x:v>HU-A-C</x:v>
      </x:c>
      <x:c r="C77" s="67" t="str">
        <x:v>HU-A</x:v>
      </x:c>
      <x:c r="D77" s="67" t="str">
        <x:v>C</x:v>
      </x:c>
      <x:c r="E77" s="68" t="n">
        <x:v>3</x:v>
      </x:c>
      <x:c r="F77" s="68" t="str">
        <x:v>CIVIL</x:v>
      </x:c>
      <x:c r="G77" s="67" t="str">
        <x:v>Rights, receiver and residual closure</x:v>
      </x:c>
      <x:c r="H77" s="79" t="n">
        <x:v>0.15</x:v>
      </x:c>
      <x:c r="I77" s="69" t="n">
        <x:f>H77*INDEX('Warrant Ledger'!$H$5:$H$22,MATCH(B77,'Warrant Ledger'!$A$5:$A$22,0))</x:f>
        <x:v>0.0064553433970582115</x:v>
      </x:c>
      <x:c r="J77" s="69" t="n">
        <x:f>I77</x:f>
        <x:v>0.0064553433970582115</x:v>
      </x:c>
      <x:c r="K77" s="69" t="n">
        <x:f>IF(E77=1,I77,0)</x:f>
        <x:v>0</x:v>
      </x:c>
      <x:c r="L77" s="68" t="n">
        <x:v>0</x:v>
      </x:c>
      <x:c r="M77" s="68" t="n">
        <x:v>0</x:v>
      </x:c>
      <x:c r="N77" s="69" t="n">
        <x:v>0</x:v>
      </x:c>
      <x:c r="O77" s="68" t="n">
        <x:v>0</x:v>
      </x:c>
      <x:c r="P77" s="68" t="n">
        <x:v>0</x:v>
      </x:c>
      <x:c r="Q77" s="68" t="n">
        <x:v>0</x:v>
      </x:c>
      <x:c r="R77" s="67" t="str">
        <x:f>IF(E77=1,IF(AND(ABS(J77-I77)&lt;0.0000001,ABS(K77-I77)&lt;0.0000001,L77=1,M77=0,N77=0,O77=0,P77=0,Q77=0),"OBLIGATED / ACTIVE","INVALID"),IF(AND(ABS(J77-I77)&lt;0.0000001,K77=0,L77=0,M77=0,N77=0,O77=0,P77=0,Q77=0),"RESERVED / HELD","INVALID"))</x:f>
        <x:v>RESERVED / HELD</x:v>
      </x:c>
      <x:c r="S77" s="68" t="n">
        <x:f>COUNTIFS($B$5:$B$94,B77)</x:f>
        <x:v>5</x:v>
      </x:c>
      <x:c r="T77" s="68" t="n">
        <x:f>COUNTIFS($A$5:$A$94,A77)</x:f>
        <x:v>1</x:v>
      </x:c>
    </x:row>
    <x:row r="78">
      <x:c r="A78" s="67" t="str">
        <x:v>P074</x:v>
      </x:c>
      <x:c r="B78" s="67" t="str">
        <x:v>HU-A-C</x:v>
      </x:c>
      <x:c r="C78" s="67" t="str">
        <x:v>HU-A</x:v>
      </x:c>
      <x:c r="D78" s="67" t="str">
        <x:v>C</x:v>
      </x:c>
      <x:c r="E78" s="68" t="n">
        <x:v>3</x:v>
      </x:c>
      <x:c r="F78" s="68" t="str">
        <x:v>ARTICLE</x:v>
      </x:c>
      <x:c r="G78" s="67" t="str">
        <x:v>Destructive-article engineering</x:v>
      </x:c>
      <x:c r="H78" s="79" t="n">
        <x:v>0.25</x:v>
      </x:c>
      <x:c r="I78" s="69" t="n">
        <x:f>H78*INDEX('Warrant Ledger'!$H$5:$H$22,MATCH(B78,'Warrant Ledger'!$A$5:$A$22,0))</x:f>
        <x:v>0.010758905661763686</x:v>
      </x:c>
      <x:c r="J78" s="69" t="n">
        <x:f>I78</x:f>
        <x:v>0.010758905661763686</x:v>
      </x:c>
      <x:c r="K78" s="69" t="n">
        <x:f>IF(E78=1,I78,0)</x:f>
        <x:v>0</x:v>
      </x:c>
      <x:c r="L78" s="68" t="n">
        <x:v>0</x:v>
      </x:c>
      <x:c r="M78" s="68" t="n">
        <x:v>0</x:v>
      </x:c>
      <x:c r="N78" s="69" t="n">
        <x:v>0</x:v>
      </x:c>
      <x:c r="O78" s="68" t="n">
        <x:v>0</x:v>
      </x:c>
      <x:c r="P78" s="68" t="n">
        <x:v>0</x:v>
      </x:c>
      <x:c r="Q78" s="68" t="n">
        <x:v>0</x:v>
      </x:c>
      <x:c r="R78" s="67" t="str">
        <x:f>IF(E78=1,IF(AND(ABS(J78-I78)&lt;0.0000001,ABS(K78-I78)&lt;0.0000001,L78=1,M78=0,N78=0,O78=0,P78=0,Q78=0),"OBLIGATED / ACTIVE","INVALID"),IF(AND(ABS(J78-I78)&lt;0.0000001,K78=0,L78=0,M78=0,N78=0,O78=0,P78=0,Q78=0),"RESERVED / HELD","INVALID"))</x:f>
        <x:v>RESERVED / HELD</x:v>
      </x:c>
      <x:c r="S78" s="68" t="n">
        <x:f>COUNTIFS($B$5:$B$94,B78)</x:f>
        <x:v>5</x:v>
      </x:c>
      <x:c r="T78" s="68" t="n">
        <x:f>COUNTIFS($A$5:$A$94,A78)</x:f>
        <x:v>1</x:v>
      </x:c>
    </x:row>
    <x:row r="79">
      <x:c r="A79" s="67" t="str">
        <x:v>P075</x:v>
      </x:c>
      <x:c r="B79" s="67" t="str">
        <x:v>HU-A-C</x:v>
      </x:c>
      <x:c r="C79" s="67" t="str">
        <x:v>HU-A</x:v>
      </x:c>
      <x:c r="D79" s="67" t="str">
        <x:v>C</x:v>
      </x:c>
      <x:c r="E79" s="68" t="n">
        <x:v>3</x:v>
      </x:c>
      <x:c r="F79" s="68" t="str">
        <x:v>REBUILD</x:v>
      </x:c>
      <x:c r="G79" s="67" t="str">
        <x:v>Cold reconstruction and challenge</x:v>
      </x:c>
      <x:c r="H79" s="79" t="n">
        <x:v>0.15</x:v>
      </x:c>
      <x:c r="I79" s="69" t="n">
        <x:f>H79*INDEX('Warrant Ledger'!$H$5:$H$22,MATCH(B79,'Warrant Ledger'!$A$5:$A$22,0))</x:f>
        <x:v>0.0064553433970582115</x:v>
      </x:c>
      <x:c r="J79" s="69" t="n">
        <x:f>I79</x:f>
        <x:v>0.0064553433970582115</x:v>
      </x:c>
      <x:c r="K79" s="69" t="n">
        <x:f>IF(E79=1,I79,0)</x:f>
        <x:v>0</x:v>
      </x:c>
      <x:c r="L79" s="68" t="n">
        <x:v>0</x:v>
      </x:c>
      <x:c r="M79" s="68" t="n">
        <x:v>0</x:v>
      </x:c>
      <x:c r="N79" s="69" t="n">
        <x:v>0</x:v>
      </x:c>
      <x:c r="O79" s="68" t="n">
        <x:v>0</x:v>
      </x:c>
      <x:c r="P79" s="68" t="n">
        <x:v>0</x:v>
      </x:c>
      <x:c r="Q79" s="68" t="n">
        <x:v>0</x:v>
      </x:c>
      <x:c r="R79" s="67" t="str">
        <x:f>IF(E79=1,IF(AND(ABS(J79-I79)&lt;0.0000001,ABS(K79-I79)&lt;0.0000001,L79=1,M79=0,N79=0,O79=0,P79=0,Q79=0),"OBLIGATED / ACTIVE","INVALID"),IF(AND(ABS(J79-I79)&lt;0.0000001,K79=0,L79=0,M79=0,N79=0,O79=0,P79=0,Q79=0),"RESERVED / HELD","INVALID"))</x:f>
        <x:v>RESERVED / HELD</x:v>
      </x:c>
      <x:c r="S79" s="68" t="n">
        <x:f>COUNTIFS($B$5:$B$94,B79)</x:f>
        <x:v>5</x:v>
      </x:c>
      <x:c r="T79" s="68" t="n">
        <x:f>COUNTIFS($A$5:$A$94,A79)</x:f>
        <x:v>1</x:v>
      </x:c>
    </x:row>
    <x:row r="80">
      <x:c r="A80" s="67" t="str">
        <x:v>P076</x:v>
      </x:c>
      <x:c r="B80" s="67" t="str">
        <x:v>RT-B-A</x:v>
      </x:c>
      <x:c r="C80" s="67" t="str">
        <x:v>RT-B</x:v>
      </x:c>
      <x:c r="D80" s="67" t="str">
        <x:v>A</x:v>
      </x:c>
      <x:c r="E80" s="68" t="n">
        <x:v>3</x:v>
      </x:c>
      <x:c r="F80" s="68" t="str">
        <x:v>METHOD</x:v>
      </x:c>
      <x:c r="G80" s="67" t="str">
        <x:v>Event method and denominator</x:v>
      </x:c>
      <x:c r="H80" s="79" t="n">
        <x:v>0.2</x:v>
      </x:c>
      <x:c r="I80" s="69" t="n">
        <x:f>H80*INDEX('Warrant Ledger'!$H$5:$H$22,MATCH(B80,'Warrant Ledger'!$A$5:$A$22,0))</x:f>
        <x:v>0.005025977931359629</x:v>
      </x:c>
      <x:c r="J80" s="69" t="n">
        <x:f>I80</x:f>
        <x:v>0.005025977931359629</x:v>
      </x:c>
      <x:c r="K80" s="69" t="n">
        <x:f>IF(E80=1,I80,0)</x:f>
        <x:v>0</x:v>
      </x:c>
      <x:c r="L80" s="68" t="n">
        <x:v>0</x:v>
      </x:c>
      <x:c r="M80" s="68" t="n">
        <x:v>0</x:v>
      </x:c>
      <x:c r="N80" s="69" t="n">
        <x:v>0</x:v>
      </x:c>
      <x:c r="O80" s="68" t="n">
        <x:v>0</x:v>
      </x:c>
      <x:c r="P80" s="68" t="n">
        <x:v>0</x:v>
      </x:c>
      <x:c r="Q80" s="68" t="n">
        <x:v>0</x:v>
      </x:c>
      <x:c r="R80" s="67" t="str">
        <x:f>IF(E80=1,IF(AND(ABS(J80-I80)&lt;0.0000001,ABS(K80-I80)&lt;0.0000001,L80=1,M80=0,N80=0,O80=0,P80=0,Q80=0),"OBLIGATED / ACTIVE","INVALID"),IF(AND(ABS(J80-I80)&lt;0.0000001,K80=0,L80=0,M80=0,N80=0,O80=0,P80=0,Q80=0),"RESERVED / HELD","INVALID"))</x:f>
        <x:v>RESERVED / HELD</x:v>
      </x:c>
      <x:c r="S80" s="68" t="n">
        <x:f>COUNTIFS($B$5:$B$94,B80)</x:f>
        <x:v>5</x:v>
      </x:c>
      <x:c r="T80" s="68" t="n">
        <x:f>COUNTIFS($A$5:$A$94,A80)</x:f>
        <x:v>1</x:v>
      </x:c>
    </x:row>
    <x:row r="81">
      <x:c r="A81" s="67" t="str">
        <x:v>P077</x:v>
      </x:c>
      <x:c r="B81" s="67" t="str">
        <x:v>RT-B-A</x:v>
      </x:c>
      <x:c r="C81" s="67" t="str">
        <x:v>RT-B</x:v>
      </x:c>
      <x:c r="D81" s="67" t="str">
        <x:v>A</x:v>
      </x:c>
      <x:c r="E81" s="68" t="n">
        <x:v>3</x:v>
      </x:c>
      <x:c r="F81" s="68" t="str">
        <x:v>MEASURE</x:v>
      </x:c>
      <x:c r="G81" s="67" t="str">
        <x:v>Instrumentation, custody and validity</x:v>
      </x:c>
      <x:c r="H81" s="79" t="n">
        <x:v>0.25</x:v>
      </x:c>
      <x:c r="I81" s="69" t="n">
        <x:f>H81*INDEX('Warrant Ledger'!$H$5:$H$22,MATCH(B81,'Warrant Ledger'!$A$5:$A$22,0))</x:f>
        <x:v>0.0062824724141995365</x:v>
      </x:c>
      <x:c r="J81" s="69" t="n">
        <x:f>I81</x:f>
        <x:v>0.0062824724141995365</x:v>
      </x:c>
      <x:c r="K81" s="69" t="n">
        <x:f>IF(E81=1,I81,0)</x:f>
        <x:v>0</x:v>
      </x:c>
      <x:c r="L81" s="68" t="n">
        <x:v>0</x:v>
      </x:c>
      <x:c r="M81" s="68" t="n">
        <x:v>0</x:v>
      </x:c>
      <x:c r="N81" s="69" t="n">
        <x:v>0</x:v>
      </x:c>
      <x:c r="O81" s="68" t="n">
        <x:v>0</x:v>
      </x:c>
      <x:c r="P81" s="68" t="n">
        <x:v>0</x:v>
      </x:c>
      <x:c r="Q81" s="68" t="n">
        <x:v>0</x:v>
      </x:c>
      <x:c r="R81" s="67" t="str">
        <x:f>IF(E81=1,IF(AND(ABS(J81-I81)&lt;0.0000001,ABS(K81-I81)&lt;0.0000001,L81=1,M81=0,N81=0,O81=0,P81=0,Q81=0),"OBLIGATED / ACTIVE","INVALID"),IF(AND(ABS(J81-I81)&lt;0.0000001,K81=0,L81=0,M81=0,N81=0,O81=0,P81=0,Q81=0),"RESERVED / HELD","INVALID"))</x:f>
        <x:v>RESERVED / HELD</x:v>
      </x:c>
      <x:c r="S81" s="68" t="n">
        <x:f>COUNTIFS($B$5:$B$94,B81)</x:f>
        <x:v>5</x:v>
      </x:c>
      <x:c r="T81" s="68" t="n">
        <x:f>COUNTIFS($A$5:$A$94,A81)</x:f>
        <x:v>1</x:v>
      </x:c>
    </x:row>
    <x:row r="82">
      <x:c r="A82" s="67" t="str">
        <x:v>P078</x:v>
      </x:c>
      <x:c r="B82" s="67" t="str">
        <x:v>RT-B-A</x:v>
      </x:c>
      <x:c r="C82" s="67" t="str">
        <x:v>RT-B</x:v>
      </x:c>
      <x:c r="D82" s="67" t="str">
        <x:v>A</x:v>
      </x:c>
      <x:c r="E82" s="68" t="n">
        <x:v>3</x:v>
      </x:c>
      <x:c r="F82" s="68" t="str">
        <x:v>CIVIL</x:v>
      </x:c>
      <x:c r="G82" s="67" t="str">
        <x:v>Rights, receiver and residual closure</x:v>
      </x:c>
      <x:c r="H82" s="79" t="n">
        <x:v>0.15</x:v>
      </x:c>
      <x:c r="I82" s="69" t="n">
        <x:f>H82*INDEX('Warrant Ledger'!$H$5:$H$22,MATCH(B82,'Warrant Ledger'!$A$5:$A$22,0))</x:f>
        <x:v>0.003769483448519722</x:v>
      </x:c>
      <x:c r="J82" s="69" t="n">
        <x:f>I82</x:f>
        <x:v>0.003769483448519722</x:v>
      </x:c>
      <x:c r="K82" s="69" t="n">
        <x:f>IF(E82=1,I82,0)</x:f>
        <x:v>0</x:v>
      </x:c>
      <x:c r="L82" s="68" t="n">
        <x:v>0</x:v>
      </x:c>
      <x:c r="M82" s="68" t="n">
        <x:v>0</x:v>
      </x:c>
      <x:c r="N82" s="69" t="n">
        <x:v>0</x:v>
      </x:c>
      <x:c r="O82" s="68" t="n">
        <x:v>0</x:v>
      </x:c>
      <x:c r="P82" s="68" t="n">
        <x:v>0</x:v>
      </x:c>
      <x:c r="Q82" s="68" t="n">
        <x:v>0</x:v>
      </x:c>
      <x:c r="R82" s="67" t="str">
        <x:f>IF(E82=1,IF(AND(ABS(J82-I82)&lt;0.0000001,ABS(K82-I82)&lt;0.0000001,L82=1,M82=0,N82=0,O82=0,P82=0,Q82=0),"OBLIGATED / ACTIVE","INVALID"),IF(AND(ABS(J82-I82)&lt;0.0000001,K82=0,L82=0,M82=0,N82=0,O82=0,P82=0,Q82=0),"RESERVED / HELD","INVALID"))</x:f>
        <x:v>RESERVED / HELD</x:v>
      </x:c>
      <x:c r="S82" s="68" t="n">
        <x:f>COUNTIFS($B$5:$B$94,B82)</x:f>
        <x:v>5</x:v>
      </x:c>
      <x:c r="T82" s="68" t="n">
        <x:f>COUNTIFS($A$5:$A$94,A82)</x:f>
        <x:v>1</x:v>
      </x:c>
    </x:row>
    <x:row r="83">
      <x:c r="A83" s="67" t="str">
        <x:v>P079</x:v>
      </x:c>
      <x:c r="B83" s="67" t="str">
        <x:v>RT-B-A</x:v>
      </x:c>
      <x:c r="C83" s="67" t="str">
        <x:v>RT-B</x:v>
      </x:c>
      <x:c r="D83" s="67" t="str">
        <x:v>A</x:v>
      </x:c>
      <x:c r="E83" s="68" t="n">
        <x:v>3</x:v>
      </x:c>
      <x:c r="F83" s="68" t="str">
        <x:v>ARTICLE</x:v>
      </x:c>
      <x:c r="G83" s="67" t="str">
        <x:v>Destructive-article engineering</x:v>
      </x:c>
      <x:c r="H83" s="79" t="n">
        <x:v>0.25</x:v>
      </x:c>
      <x:c r="I83" s="69" t="n">
        <x:f>H83*INDEX('Warrant Ledger'!$H$5:$H$22,MATCH(B83,'Warrant Ledger'!$A$5:$A$22,0))</x:f>
        <x:v>0.0062824724141995365</x:v>
      </x:c>
      <x:c r="J83" s="69" t="n">
        <x:f>I83</x:f>
        <x:v>0.0062824724141995365</x:v>
      </x:c>
      <x:c r="K83" s="69" t="n">
        <x:f>IF(E83=1,I83,0)</x:f>
        <x:v>0</x:v>
      </x:c>
      <x:c r="L83" s="68" t="n">
        <x:v>0</x:v>
      </x:c>
      <x:c r="M83" s="68" t="n">
        <x:v>0</x:v>
      </x:c>
      <x:c r="N83" s="69" t="n">
        <x:v>0</x:v>
      </x:c>
      <x:c r="O83" s="68" t="n">
        <x:v>0</x:v>
      </x:c>
      <x:c r="P83" s="68" t="n">
        <x:v>0</x:v>
      </x:c>
      <x:c r="Q83" s="68" t="n">
        <x:v>0</x:v>
      </x:c>
      <x:c r="R83" s="67" t="str">
        <x:f>IF(E83=1,IF(AND(ABS(J83-I83)&lt;0.0000001,ABS(K83-I83)&lt;0.0000001,L83=1,M83=0,N83=0,O83=0,P83=0,Q83=0),"OBLIGATED / ACTIVE","INVALID"),IF(AND(ABS(J83-I83)&lt;0.0000001,K83=0,L83=0,M83=0,N83=0,O83=0,P83=0,Q83=0),"RESERVED / HELD","INVALID"))</x:f>
        <x:v>RESERVED / HELD</x:v>
      </x:c>
      <x:c r="S83" s="68" t="n">
        <x:f>COUNTIFS($B$5:$B$94,B83)</x:f>
        <x:v>5</x:v>
      </x:c>
      <x:c r="T83" s="68" t="n">
        <x:f>COUNTIFS($A$5:$A$94,A83)</x:f>
        <x:v>1</x:v>
      </x:c>
    </x:row>
    <x:row r="84">
      <x:c r="A84" s="67" t="str">
        <x:v>P080</x:v>
      </x:c>
      <x:c r="B84" s="67" t="str">
        <x:v>RT-B-A</x:v>
      </x:c>
      <x:c r="C84" s="67" t="str">
        <x:v>RT-B</x:v>
      </x:c>
      <x:c r="D84" s="67" t="str">
        <x:v>A</x:v>
      </x:c>
      <x:c r="E84" s="68" t="n">
        <x:v>3</x:v>
      </x:c>
      <x:c r="F84" s="68" t="str">
        <x:v>REBUILD</x:v>
      </x:c>
      <x:c r="G84" s="67" t="str">
        <x:v>Cold reconstruction and challenge</x:v>
      </x:c>
      <x:c r="H84" s="79" t="n">
        <x:v>0.15</x:v>
      </x:c>
      <x:c r="I84" s="69" t="n">
        <x:f>H84*INDEX('Warrant Ledger'!$H$5:$H$22,MATCH(B84,'Warrant Ledger'!$A$5:$A$22,0))</x:f>
        <x:v>0.003769483448519722</x:v>
      </x:c>
      <x:c r="J84" s="69" t="n">
        <x:f>I84</x:f>
        <x:v>0.003769483448519722</x:v>
      </x:c>
      <x:c r="K84" s="69" t="n">
        <x:f>IF(E84=1,I84,0)</x:f>
        <x:v>0</x:v>
      </x:c>
      <x:c r="L84" s="68" t="n">
        <x:v>0</x:v>
      </x:c>
      <x:c r="M84" s="68" t="n">
        <x:v>0</x:v>
      </x:c>
      <x:c r="N84" s="69" t="n">
        <x:v>0</x:v>
      </x:c>
      <x:c r="O84" s="68" t="n">
        <x:v>0</x:v>
      </x:c>
      <x:c r="P84" s="68" t="n">
        <x:v>0</x:v>
      </x:c>
      <x:c r="Q84" s="68" t="n">
        <x:v>0</x:v>
      </x:c>
      <x:c r="R84" s="67" t="str">
        <x:f>IF(E84=1,IF(AND(ABS(J84-I84)&lt;0.0000001,ABS(K84-I84)&lt;0.0000001,L84=1,M84=0,N84=0,O84=0,P84=0,Q84=0),"OBLIGATED / ACTIVE","INVALID"),IF(AND(ABS(J84-I84)&lt;0.0000001,K84=0,L84=0,M84=0,N84=0,O84=0,P84=0,Q84=0),"RESERVED / HELD","INVALID"))</x:f>
        <x:v>RESERVED / HELD</x:v>
      </x:c>
      <x:c r="S84" s="68" t="n">
        <x:f>COUNTIFS($B$5:$B$94,B84)</x:f>
        <x:v>5</x:v>
      </x:c>
      <x:c r="T84" s="68" t="n">
        <x:f>COUNTIFS($A$5:$A$94,A84)</x:f>
        <x:v>1</x:v>
      </x:c>
    </x:row>
    <x:row r="85">
      <x:c r="A85" s="67" t="str">
        <x:v>P081</x:v>
      </x:c>
      <x:c r="B85" s="67" t="str">
        <x:v>RT-B-B</x:v>
      </x:c>
      <x:c r="C85" s="67" t="str">
        <x:v>RT-B</x:v>
      </x:c>
      <x:c r="D85" s="67" t="str">
        <x:v>B</x:v>
      </x:c>
      <x:c r="E85" s="68" t="n">
        <x:v>2</x:v>
      </x:c>
      <x:c r="F85" s="68" t="str">
        <x:v>METHOD</x:v>
      </x:c>
      <x:c r="G85" s="67" t="str">
        <x:v>Event method and denominator</x:v>
      </x:c>
      <x:c r="H85" s="79" t="n">
        <x:v>0.2</x:v>
      </x:c>
      <x:c r="I85" s="69" t="n">
        <x:f>H85*INDEX('Warrant Ledger'!$H$5:$H$22,MATCH(B85,'Warrant Ledger'!$A$5:$A$22,0))</x:f>
        <x:v>0.005025977931359629</x:v>
      </x:c>
      <x:c r="J85" s="69" t="n">
        <x:f>I85</x:f>
        <x:v>0.005025977931359629</x:v>
      </x:c>
      <x:c r="K85" s="69" t="n">
        <x:f>IF(E85=1,I85,0)</x:f>
        <x:v>0</x:v>
      </x:c>
      <x:c r="L85" s="68" t="n">
        <x:v>0</x:v>
      </x:c>
      <x:c r="M85" s="68" t="n">
        <x:v>0</x:v>
      </x:c>
      <x:c r="N85" s="69" t="n">
        <x:v>0</x:v>
      </x:c>
      <x:c r="O85" s="68" t="n">
        <x:v>0</x:v>
      </x:c>
      <x:c r="P85" s="68" t="n">
        <x:v>0</x:v>
      </x:c>
      <x:c r="Q85" s="68" t="n">
        <x:v>0</x:v>
      </x:c>
      <x:c r="R85" s="67" t="str">
        <x:f>IF(E85=1,IF(AND(ABS(J85-I85)&lt;0.0000001,ABS(K85-I85)&lt;0.0000001,L85=1,M85=0,N85=0,O85=0,P85=0,Q85=0),"OBLIGATED / ACTIVE","INVALID"),IF(AND(ABS(J85-I85)&lt;0.0000001,K85=0,L85=0,M85=0,N85=0,O85=0,P85=0,Q85=0),"RESERVED / HELD","INVALID"))</x:f>
        <x:v>RESERVED / HELD</x:v>
      </x:c>
      <x:c r="S85" s="68" t="n">
        <x:f>COUNTIFS($B$5:$B$94,B85)</x:f>
        <x:v>5</x:v>
      </x:c>
      <x:c r="T85" s="68" t="n">
        <x:f>COUNTIFS($A$5:$A$94,A85)</x:f>
        <x:v>1</x:v>
      </x:c>
    </x:row>
    <x:row r="86">
      <x:c r="A86" s="67" t="str">
        <x:v>P082</x:v>
      </x:c>
      <x:c r="B86" s="67" t="str">
        <x:v>RT-B-B</x:v>
      </x:c>
      <x:c r="C86" s="67" t="str">
        <x:v>RT-B</x:v>
      </x:c>
      <x:c r="D86" s="67" t="str">
        <x:v>B</x:v>
      </x:c>
      <x:c r="E86" s="68" t="n">
        <x:v>2</x:v>
      </x:c>
      <x:c r="F86" s="68" t="str">
        <x:v>MEASURE</x:v>
      </x:c>
      <x:c r="G86" s="67" t="str">
        <x:v>Instrumentation, custody and validity</x:v>
      </x:c>
      <x:c r="H86" s="79" t="n">
        <x:v>0.25</x:v>
      </x:c>
      <x:c r="I86" s="69" t="n">
        <x:f>H86*INDEX('Warrant Ledger'!$H$5:$H$22,MATCH(B86,'Warrant Ledger'!$A$5:$A$22,0))</x:f>
        <x:v>0.0062824724141995365</x:v>
      </x:c>
      <x:c r="J86" s="69" t="n">
        <x:f>I86</x:f>
        <x:v>0.0062824724141995365</x:v>
      </x:c>
      <x:c r="K86" s="69" t="n">
        <x:f>IF(E86=1,I86,0)</x:f>
        <x:v>0</x:v>
      </x:c>
      <x:c r="L86" s="68" t="n">
        <x:v>0</x:v>
      </x:c>
      <x:c r="M86" s="68" t="n">
        <x:v>0</x:v>
      </x:c>
      <x:c r="N86" s="69" t="n">
        <x:v>0</x:v>
      </x:c>
      <x:c r="O86" s="68" t="n">
        <x:v>0</x:v>
      </x:c>
      <x:c r="P86" s="68" t="n">
        <x:v>0</x:v>
      </x:c>
      <x:c r="Q86" s="68" t="n">
        <x:v>0</x:v>
      </x:c>
      <x:c r="R86" s="67" t="str">
        <x:f>IF(E86=1,IF(AND(ABS(J86-I86)&lt;0.0000001,ABS(K86-I86)&lt;0.0000001,L86=1,M86=0,N86=0,O86=0,P86=0,Q86=0),"OBLIGATED / ACTIVE","INVALID"),IF(AND(ABS(J86-I86)&lt;0.0000001,K86=0,L86=0,M86=0,N86=0,O86=0,P86=0,Q86=0),"RESERVED / HELD","INVALID"))</x:f>
        <x:v>RESERVED / HELD</x:v>
      </x:c>
      <x:c r="S86" s="68" t="n">
        <x:f>COUNTIFS($B$5:$B$94,B86)</x:f>
        <x:v>5</x:v>
      </x:c>
      <x:c r="T86" s="68" t="n">
        <x:f>COUNTIFS($A$5:$A$94,A86)</x:f>
        <x:v>1</x:v>
      </x:c>
    </x:row>
    <x:row r="87">
      <x:c r="A87" s="67" t="str">
        <x:v>P083</x:v>
      </x:c>
      <x:c r="B87" s="67" t="str">
        <x:v>RT-B-B</x:v>
      </x:c>
      <x:c r="C87" s="67" t="str">
        <x:v>RT-B</x:v>
      </x:c>
      <x:c r="D87" s="67" t="str">
        <x:v>B</x:v>
      </x:c>
      <x:c r="E87" s="68" t="n">
        <x:v>2</x:v>
      </x:c>
      <x:c r="F87" s="68" t="str">
        <x:v>CIVIL</x:v>
      </x:c>
      <x:c r="G87" s="67" t="str">
        <x:v>Rights, receiver and residual closure</x:v>
      </x:c>
      <x:c r="H87" s="79" t="n">
        <x:v>0.15</x:v>
      </x:c>
      <x:c r="I87" s="69" t="n">
        <x:f>H87*INDEX('Warrant Ledger'!$H$5:$H$22,MATCH(B87,'Warrant Ledger'!$A$5:$A$22,0))</x:f>
        <x:v>0.003769483448519722</x:v>
      </x:c>
      <x:c r="J87" s="69" t="n">
        <x:f>I87</x:f>
        <x:v>0.003769483448519722</x:v>
      </x:c>
      <x:c r="K87" s="69" t="n">
        <x:f>IF(E87=1,I87,0)</x:f>
        <x:v>0</x:v>
      </x:c>
      <x:c r="L87" s="68" t="n">
        <x:v>0</x:v>
      </x:c>
      <x:c r="M87" s="68" t="n">
        <x:v>0</x:v>
      </x:c>
      <x:c r="N87" s="69" t="n">
        <x:v>0</x:v>
      </x:c>
      <x:c r="O87" s="68" t="n">
        <x:v>0</x:v>
      </x:c>
      <x:c r="P87" s="68" t="n">
        <x:v>0</x:v>
      </x:c>
      <x:c r="Q87" s="68" t="n">
        <x:v>0</x:v>
      </x:c>
      <x:c r="R87" s="67" t="str">
        <x:f>IF(E87=1,IF(AND(ABS(J87-I87)&lt;0.0000001,ABS(K87-I87)&lt;0.0000001,L87=1,M87=0,N87=0,O87=0,P87=0,Q87=0),"OBLIGATED / ACTIVE","INVALID"),IF(AND(ABS(J87-I87)&lt;0.0000001,K87=0,L87=0,M87=0,N87=0,O87=0,P87=0,Q87=0),"RESERVED / HELD","INVALID"))</x:f>
        <x:v>RESERVED / HELD</x:v>
      </x:c>
      <x:c r="S87" s="68" t="n">
        <x:f>COUNTIFS($B$5:$B$94,B87)</x:f>
        <x:v>5</x:v>
      </x:c>
      <x:c r="T87" s="68" t="n">
        <x:f>COUNTIFS($A$5:$A$94,A87)</x:f>
        <x:v>1</x:v>
      </x:c>
    </x:row>
    <x:row r="88">
      <x:c r="A88" s="67" t="str">
        <x:v>P084</x:v>
      </x:c>
      <x:c r="B88" s="67" t="str">
        <x:v>RT-B-B</x:v>
      </x:c>
      <x:c r="C88" s="67" t="str">
        <x:v>RT-B</x:v>
      </x:c>
      <x:c r="D88" s="67" t="str">
        <x:v>B</x:v>
      </x:c>
      <x:c r="E88" s="68" t="n">
        <x:v>2</x:v>
      </x:c>
      <x:c r="F88" s="68" t="str">
        <x:v>ARTICLE</x:v>
      </x:c>
      <x:c r="G88" s="67" t="str">
        <x:v>Destructive-article engineering</x:v>
      </x:c>
      <x:c r="H88" s="79" t="n">
        <x:v>0.25</x:v>
      </x:c>
      <x:c r="I88" s="69" t="n">
        <x:f>H88*INDEX('Warrant Ledger'!$H$5:$H$22,MATCH(B88,'Warrant Ledger'!$A$5:$A$22,0))</x:f>
        <x:v>0.0062824724141995365</x:v>
      </x:c>
      <x:c r="J88" s="69" t="n">
        <x:f>I88</x:f>
        <x:v>0.0062824724141995365</x:v>
      </x:c>
      <x:c r="K88" s="69" t="n">
        <x:f>IF(E88=1,I88,0)</x:f>
        <x:v>0</x:v>
      </x:c>
      <x:c r="L88" s="68" t="n">
        <x:v>0</x:v>
      </x:c>
      <x:c r="M88" s="68" t="n">
        <x:v>0</x:v>
      </x:c>
      <x:c r="N88" s="69" t="n">
        <x:v>0</x:v>
      </x:c>
      <x:c r="O88" s="68" t="n">
        <x:v>0</x:v>
      </x:c>
      <x:c r="P88" s="68" t="n">
        <x:v>0</x:v>
      </x:c>
      <x:c r="Q88" s="68" t="n">
        <x:v>0</x:v>
      </x:c>
      <x:c r="R88" s="67" t="str">
        <x:f>IF(E88=1,IF(AND(ABS(J88-I88)&lt;0.0000001,ABS(K88-I88)&lt;0.0000001,L88=1,M88=0,N88=0,O88=0,P88=0,Q88=0),"OBLIGATED / ACTIVE","INVALID"),IF(AND(ABS(J88-I88)&lt;0.0000001,K88=0,L88=0,M88=0,N88=0,O88=0,P88=0,Q88=0),"RESERVED / HELD","INVALID"))</x:f>
        <x:v>RESERVED / HELD</x:v>
      </x:c>
      <x:c r="S88" s="68" t="n">
        <x:f>COUNTIFS($B$5:$B$94,B88)</x:f>
        <x:v>5</x:v>
      </x:c>
      <x:c r="T88" s="68" t="n">
        <x:f>COUNTIFS($A$5:$A$94,A88)</x:f>
        <x:v>1</x:v>
      </x:c>
    </x:row>
    <x:row r="89">
      <x:c r="A89" s="67" t="str">
        <x:v>P085</x:v>
      </x:c>
      <x:c r="B89" s="67" t="str">
        <x:v>RT-B-B</x:v>
      </x:c>
      <x:c r="C89" s="67" t="str">
        <x:v>RT-B</x:v>
      </x:c>
      <x:c r="D89" s="67" t="str">
        <x:v>B</x:v>
      </x:c>
      <x:c r="E89" s="68" t="n">
        <x:v>2</x:v>
      </x:c>
      <x:c r="F89" s="68" t="str">
        <x:v>REBUILD</x:v>
      </x:c>
      <x:c r="G89" s="67" t="str">
        <x:v>Cold reconstruction and challenge</x:v>
      </x:c>
      <x:c r="H89" s="79" t="n">
        <x:v>0.15</x:v>
      </x:c>
      <x:c r="I89" s="69" t="n">
        <x:f>H89*INDEX('Warrant Ledger'!$H$5:$H$22,MATCH(B89,'Warrant Ledger'!$A$5:$A$22,0))</x:f>
        <x:v>0.003769483448519722</x:v>
      </x:c>
      <x:c r="J89" s="69" t="n">
        <x:f>I89</x:f>
        <x:v>0.003769483448519722</x:v>
      </x:c>
      <x:c r="K89" s="69" t="n">
        <x:f>IF(E89=1,I89,0)</x:f>
        <x:v>0</x:v>
      </x:c>
      <x:c r="L89" s="68" t="n">
        <x:v>0</x:v>
      </x:c>
      <x:c r="M89" s="68" t="n">
        <x:v>0</x:v>
      </x:c>
      <x:c r="N89" s="69" t="n">
        <x:v>0</x:v>
      </x:c>
      <x:c r="O89" s="68" t="n">
        <x:v>0</x:v>
      </x:c>
      <x:c r="P89" s="68" t="n">
        <x:v>0</x:v>
      </x:c>
      <x:c r="Q89" s="68" t="n">
        <x:v>0</x:v>
      </x:c>
      <x:c r="R89" s="67" t="str">
        <x:f>IF(E89=1,IF(AND(ABS(J89-I89)&lt;0.0000001,ABS(K89-I89)&lt;0.0000001,L89=1,M89=0,N89=0,O89=0,P89=0,Q89=0),"OBLIGATED / ACTIVE","INVALID"),IF(AND(ABS(J89-I89)&lt;0.0000001,K89=0,L89=0,M89=0,N89=0,O89=0,P89=0,Q89=0),"RESERVED / HELD","INVALID"))</x:f>
        <x:v>RESERVED / HELD</x:v>
      </x:c>
      <x:c r="S89" s="68" t="n">
        <x:f>COUNTIFS($B$5:$B$94,B89)</x:f>
        <x:v>5</x:v>
      </x:c>
      <x:c r="T89" s="68" t="n">
        <x:f>COUNTIFS($A$5:$A$94,A89)</x:f>
        <x:v>1</x:v>
      </x:c>
    </x:row>
    <x:row r="90">
      <x:c r="A90" s="67" t="str">
        <x:v>P086</x:v>
      </x:c>
      <x:c r="B90" s="67" t="str">
        <x:v>RT-B-C</x:v>
      </x:c>
      <x:c r="C90" s="67" t="str">
        <x:v>RT-B</x:v>
      </x:c>
      <x:c r="D90" s="67" t="str">
        <x:v>C</x:v>
      </x:c>
      <x:c r="E90" s="68" t="n">
        <x:v>1</x:v>
      </x:c>
      <x:c r="F90" s="68" t="str">
        <x:v>METHOD</x:v>
      </x:c>
      <x:c r="G90" s="67" t="str">
        <x:v>Event method and denominator</x:v>
      </x:c>
      <x:c r="H90" s="79" t="n">
        <x:v>0.2</x:v>
      </x:c>
      <x:c r="I90" s="69" t="n">
        <x:f>H90*INDEX('Warrant Ledger'!$H$5:$H$22,MATCH(B90,'Warrant Ledger'!$A$5:$A$22,0))</x:f>
        <x:v>0.005025977931359629</x:v>
      </x:c>
      <x:c r="J90" s="69" t="n">
        <x:f>I90</x:f>
        <x:v>0.005025977931359629</x:v>
      </x:c>
      <x:c r="K90" s="69" t="n">
        <x:f>IF(E90=1,I90,0)</x:f>
        <x:v>0.005025977931359629</x:v>
      </x:c>
      <x:c r="L90" s="68" t="n">
        <x:v>1</x:v>
      </x:c>
      <x:c r="M90" s="68" t="n">
        <x:v>0</x:v>
      </x:c>
      <x:c r="N90" s="69" t="n">
        <x:v>0</x:v>
      </x:c>
      <x:c r="O90" s="68" t="n">
        <x:v>0</x:v>
      </x:c>
      <x:c r="P90" s="68" t="n">
        <x:v>0</x:v>
      </x:c>
      <x:c r="Q90" s="68" t="n">
        <x:v>0</x:v>
      </x:c>
      <x:c r="R90" s="67" t="str">
        <x:f>IF(E90=1,IF(AND(ABS(J90-I90)&lt;0.0000001,ABS(K90-I90)&lt;0.0000001,L90=1,M90=0,N90=0,O90=0,P90=0,Q90=0),"OBLIGATED / ACTIVE","INVALID"),IF(AND(ABS(J90-I90)&lt;0.0000001,K90=0,L90=0,M90=0,N90=0,O90=0,P90=0,Q90=0),"RESERVED / HELD","INVALID"))</x:f>
        <x:v>OBLIGATED / ACTIVE</x:v>
      </x:c>
      <x:c r="S90" s="68" t="n">
        <x:f>COUNTIFS($B$5:$B$94,B90)</x:f>
        <x:v>5</x:v>
      </x:c>
      <x:c r="T90" s="68" t="n">
        <x:f>COUNTIFS($A$5:$A$94,A90)</x:f>
        <x:v>1</x:v>
      </x:c>
    </x:row>
    <x:row r="91">
      <x:c r="A91" s="67" t="str">
        <x:v>P087</x:v>
      </x:c>
      <x:c r="B91" s="67" t="str">
        <x:v>RT-B-C</x:v>
      </x:c>
      <x:c r="C91" s="67" t="str">
        <x:v>RT-B</x:v>
      </x:c>
      <x:c r="D91" s="67" t="str">
        <x:v>C</x:v>
      </x:c>
      <x:c r="E91" s="68" t="n">
        <x:v>1</x:v>
      </x:c>
      <x:c r="F91" s="68" t="str">
        <x:v>MEASURE</x:v>
      </x:c>
      <x:c r="G91" s="67" t="str">
        <x:v>Instrumentation, custody and validity</x:v>
      </x:c>
      <x:c r="H91" s="79" t="n">
        <x:v>0.25</x:v>
      </x:c>
      <x:c r="I91" s="69" t="n">
        <x:f>H91*INDEX('Warrant Ledger'!$H$5:$H$22,MATCH(B91,'Warrant Ledger'!$A$5:$A$22,0))</x:f>
        <x:v>0.0062824724141995365</x:v>
      </x:c>
      <x:c r="J91" s="69" t="n">
        <x:f>I91</x:f>
        <x:v>0.0062824724141995365</x:v>
      </x:c>
      <x:c r="K91" s="69" t="n">
        <x:f>IF(E91=1,I91,0)</x:f>
        <x:v>0.0062824724141995365</x:v>
      </x:c>
      <x:c r="L91" s="68" t="n">
        <x:v>1</x:v>
      </x:c>
      <x:c r="M91" s="68" t="n">
        <x:v>0</x:v>
      </x:c>
      <x:c r="N91" s="69" t="n">
        <x:v>0</x:v>
      </x:c>
      <x:c r="O91" s="68" t="n">
        <x:v>0</x:v>
      </x:c>
      <x:c r="P91" s="68" t="n">
        <x:v>0</x:v>
      </x:c>
      <x:c r="Q91" s="68" t="n">
        <x:v>0</x:v>
      </x:c>
      <x:c r="R91" s="67" t="str">
        <x:f>IF(E91=1,IF(AND(ABS(J91-I91)&lt;0.0000001,ABS(K91-I91)&lt;0.0000001,L91=1,M91=0,N91=0,O91=0,P91=0,Q91=0),"OBLIGATED / ACTIVE","INVALID"),IF(AND(ABS(J91-I91)&lt;0.0000001,K91=0,L91=0,M91=0,N91=0,O91=0,P91=0,Q91=0),"RESERVED / HELD","INVALID"))</x:f>
        <x:v>OBLIGATED / ACTIVE</x:v>
      </x:c>
      <x:c r="S91" s="68" t="n">
        <x:f>COUNTIFS($B$5:$B$94,B91)</x:f>
        <x:v>5</x:v>
      </x:c>
      <x:c r="T91" s="68" t="n">
        <x:f>COUNTIFS($A$5:$A$94,A91)</x:f>
        <x:v>1</x:v>
      </x:c>
    </x:row>
    <x:row r="92">
      <x:c r="A92" s="67" t="str">
        <x:v>P088</x:v>
      </x:c>
      <x:c r="B92" s="67" t="str">
        <x:v>RT-B-C</x:v>
      </x:c>
      <x:c r="C92" s="67" t="str">
        <x:v>RT-B</x:v>
      </x:c>
      <x:c r="D92" s="67" t="str">
        <x:v>C</x:v>
      </x:c>
      <x:c r="E92" s="68" t="n">
        <x:v>1</x:v>
      </x:c>
      <x:c r="F92" s="68" t="str">
        <x:v>CIVIL</x:v>
      </x:c>
      <x:c r="G92" s="67" t="str">
        <x:v>Rights, receiver and residual closure</x:v>
      </x:c>
      <x:c r="H92" s="79" t="n">
        <x:v>0.15</x:v>
      </x:c>
      <x:c r="I92" s="69" t="n">
        <x:f>H92*INDEX('Warrant Ledger'!$H$5:$H$22,MATCH(B92,'Warrant Ledger'!$A$5:$A$22,0))</x:f>
        <x:v>0.003769483448519722</x:v>
      </x:c>
      <x:c r="J92" s="69" t="n">
        <x:f>I92</x:f>
        <x:v>0.003769483448519722</x:v>
      </x:c>
      <x:c r="K92" s="69" t="n">
        <x:f>IF(E92=1,I92,0)</x:f>
        <x:v>0.003769483448519722</x:v>
      </x:c>
      <x:c r="L92" s="68" t="n">
        <x:v>1</x:v>
      </x:c>
      <x:c r="M92" s="68" t="n">
        <x:v>0</x:v>
      </x:c>
      <x:c r="N92" s="69" t="n">
        <x:v>0</x:v>
      </x:c>
      <x:c r="O92" s="68" t="n">
        <x:v>0</x:v>
      </x:c>
      <x:c r="P92" s="68" t="n">
        <x:v>0</x:v>
      </x:c>
      <x:c r="Q92" s="68" t="n">
        <x:v>0</x:v>
      </x:c>
      <x:c r="R92" s="67" t="str">
        <x:f>IF(E92=1,IF(AND(ABS(J92-I92)&lt;0.0000001,ABS(K92-I92)&lt;0.0000001,L92=1,M92=0,N92=0,O92=0,P92=0,Q92=0),"OBLIGATED / ACTIVE","INVALID"),IF(AND(ABS(J92-I92)&lt;0.0000001,K92=0,L92=0,M92=0,N92=0,O92=0,P92=0,Q92=0),"RESERVED / HELD","INVALID"))</x:f>
        <x:v>OBLIGATED / ACTIVE</x:v>
      </x:c>
      <x:c r="S92" s="68" t="n">
        <x:f>COUNTIFS($B$5:$B$94,B92)</x:f>
        <x:v>5</x:v>
      </x:c>
      <x:c r="T92" s="68" t="n">
        <x:f>COUNTIFS($A$5:$A$94,A92)</x:f>
        <x:v>1</x:v>
      </x:c>
    </x:row>
    <x:row r="93">
      <x:c r="A93" s="67" t="str">
        <x:v>P089</x:v>
      </x:c>
      <x:c r="B93" s="67" t="str">
        <x:v>RT-B-C</x:v>
      </x:c>
      <x:c r="C93" s="67" t="str">
        <x:v>RT-B</x:v>
      </x:c>
      <x:c r="D93" s="67" t="str">
        <x:v>C</x:v>
      </x:c>
      <x:c r="E93" s="68" t="n">
        <x:v>1</x:v>
      </x:c>
      <x:c r="F93" s="68" t="str">
        <x:v>ARTICLE</x:v>
      </x:c>
      <x:c r="G93" s="67" t="str">
        <x:v>Destructive-article engineering</x:v>
      </x:c>
      <x:c r="H93" s="79" t="n">
        <x:v>0.25</x:v>
      </x:c>
      <x:c r="I93" s="69" t="n">
        <x:f>H93*INDEX('Warrant Ledger'!$H$5:$H$22,MATCH(B93,'Warrant Ledger'!$A$5:$A$22,0))</x:f>
        <x:v>0.0062824724141995365</x:v>
      </x:c>
      <x:c r="J93" s="69" t="n">
        <x:f>I93</x:f>
        <x:v>0.0062824724141995365</x:v>
      </x:c>
      <x:c r="K93" s="69" t="n">
        <x:f>IF(E93=1,I93,0)</x:f>
        <x:v>0.0062824724141995365</x:v>
      </x:c>
      <x:c r="L93" s="68" t="n">
        <x:v>1</x:v>
      </x:c>
      <x:c r="M93" s="68" t="n">
        <x:v>0</x:v>
      </x:c>
      <x:c r="N93" s="69" t="n">
        <x:v>0</x:v>
      </x:c>
      <x:c r="O93" s="68" t="n">
        <x:v>0</x:v>
      </x:c>
      <x:c r="P93" s="68" t="n">
        <x:v>0</x:v>
      </x:c>
      <x:c r="Q93" s="68" t="n">
        <x:v>0</x:v>
      </x:c>
      <x:c r="R93" s="67" t="str">
        <x:f>IF(E93=1,IF(AND(ABS(J93-I93)&lt;0.0000001,ABS(K93-I93)&lt;0.0000001,L93=1,M93=0,N93=0,O93=0,P93=0,Q93=0),"OBLIGATED / ACTIVE","INVALID"),IF(AND(ABS(J93-I93)&lt;0.0000001,K93=0,L93=0,M93=0,N93=0,O93=0,P93=0,Q93=0),"RESERVED / HELD","INVALID"))</x:f>
        <x:v>OBLIGATED / ACTIVE</x:v>
      </x:c>
      <x:c r="S93" s="68" t="n">
        <x:f>COUNTIFS($B$5:$B$94,B93)</x:f>
        <x:v>5</x:v>
      </x:c>
      <x:c r="T93" s="68" t="n">
        <x:f>COUNTIFS($A$5:$A$94,A93)</x:f>
        <x:v>1</x:v>
      </x:c>
    </x:row>
    <x:row r="94">
      <x:c r="A94" s="70" t="str">
        <x:v>P090</x:v>
      </x:c>
      <x:c r="B94" s="70" t="str">
        <x:v>RT-B-C</x:v>
      </x:c>
      <x:c r="C94" s="70" t="str">
        <x:v>RT-B</x:v>
      </x:c>
      <x:c r="D94" s="70" t="str">
        <x:v>C</x:v>
      </x:c>
      <x:c r="E94" s="72" t="n">
        <x:v>1</x:v>
      </x:c>
      <x:c r="F94" s="72" t="str">
        <x:v>REBUILD</x:v>
      </x:c>
      <x:c r="G94" s="70" t="str">
        <x:v>Cold reconstruction and challenge</x:v>
      </x:c>
      <x:c r="H94" s="83" t="n">
        <x:v>0.15</x:v>
      </x:c>
      <x:c r="I94" s="71" t="n">
        <x:f>H94*INDEX('Warrant Ledger'!$H$5:$H$22,MATCH(B94,'Warrant Ledger'!$A$5:$A$22,0))</x:f>
        <x:v>0.003769483448519722</x:v>
      </x:c>
      <x:c r="J94" s="71" t="n">
        <x:f>I94</x:f>
        <x:v>0.003769483448519722</x:v>
      </x:c>
      <x:c r="K94" s="71" t="n">
        <x:f>IF(E94=1,I94,0)</x:f>
        <x:v>0.003769483448519722</x:v>
      </x:c>
      <x:c r="L94" s="72" t="n">
        <x:v>1</x:v>
      </x:c>
      <x:c r="M94" s="72" t="n">
        <x:v>0</x:v>
      </x:c>
      <x:c r="N94" s="71" t="n">
        <x:v>0</x:v>
      </x:c>
      <x:c r="O94" s="72" t="n">
        <x:v>0</x:v>
      </x:c>
      <x:c r="P94" s="72" t="n">
        <x:v>0</x:v>
      </x:c>
      <x:c r="Q94" s="72" t="n">
        <x:v>0</x:v>
      </x:c>
      <x:c r="R94" s="70" t="str">
        <x:f>IF(E94=1,IF(AND(ABS(J94-I94)&lt;0.0000001,ABS(K94-I94)&lt;0.0000001,L94=1,M94=0,N94=0,O94=0,P94=0,Q94=0),"OBLIGATED / ACTIVE","INVALID"),IF(AND(ABS(J94-I94)&lt;0.0000001,K94=0,L94=0,M94=0,N94=0,O94=0,P94=0,Q94=0),"RESERVED / HELD","INVALID"))</x:f>
        <x:v>OBLIGATED / ACTIVE</x:v>
      </x:c>
      <x:c r="S94" s="72" t="n">
        <x:f>COUNTIFS($B$5:$B$94,B94)</x:f>
        <x:v>5</x:v>
      </x:c>
      <x:c r="T94" s="72" t="n">
        <x:f>COUNTIFS($A$5:$A$94,A94)</x:f>
        <x:v>1</x:v>
      </x:c>
    </x:row>
  </x:sheetData>
  <x:mergeCells>
    <x:mergeCell ref="A2:T2"/>
  </x:mergeCells>
  <x:conditionalFormatting sqref="R5:R94">
    <x:cfRule type="containsText" dxfId="3" priority="1" operator="containsText" text="INVALID"/>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2" hidden="0" customWidth="1"/>
    <x:col min="2" max="2" width="17" hidden="0" customWidth="1"/>
    <x:col min="3" max="3" width="17" hidden="0" customWidth="1"/>
    <x:col min="4" max="4" width="18" hidden="0" customWidth="1"/>
    <x:col min="5" max="5" width="18" hidden="0" customWidth="1"/>
    <x:col min="6" max="6" width="17" hidden="0" customWidth="1"/>
    <x:col min="7" max="7" width="18" hidden="0" customWidth="1"/>
    <x:col min="8" max="8" width="12" hidden="0" customWidth="1"/>
    <x:col min="9" max="9" width="22" hidden="0" customWidth="1"/>
    <x:col min="10" max="10" width="15" hidden="0" customWidth="1"/>
    <x:col min="11" max="11" width="18" hidden="0" customWidth="1"/>
    <x:col min="12" max="12" width="20" hidden="0" customWidth="1"/>
    <x:col min="13" max="13" width="19" hidden="0" customWidth="1"/>
    <x:col min="14" max="14" width="18" hidden="0" customWidth="1"/>
    <x:col min="15" max="15" width="20" hidden="0" customWidth="1"/>
    <x:col min="16" max="16" width="15" hidden="0" customWidth="1"/>
  </x:cols>
  <x:sheetData>
    <x:row r="2">
      <x:c r="A2" s="60" t="str">
        <x:v>Separated operational and epistemic authorities</x:v>
      </x:c>
      <x:c r="B2" s="61"/>
      <x:c r="C2" s="61"/>
      <x:c r="D2" s="61"/>
      <x:c r="E2" s="61"/>
      <x:c r="F2" s="61"/>
      <x:c r="G2" s="61"/>
      <x:c r="H2" s="61"/>
      <x:c r="I2" s="61"/>
      <x:c r="J2" s="61"/>
      <x:c r="K2" s="61"/>
      <x:c r="L2" s="61"/>
      <x:c r="M2" s="61"/>
      <x:c r="N2" s="61"/>
      <x:c r="O2" s="61"/>
      <x:c r="P2" s="61"/>
    </x:row>
    <x:row r="3">
      <x:c r="A3" s="62"/>
      <x:c r="B3" s="62"/>
      <x:c r="C3" s="62"/>
      <x:c r="D3" s="62"/>
      <x:c r="E3" s="62"/>
      <x:c r="F3" s="62"/>
      <x:c r="G3" s="62"/>
      <x:c r="H3" s="62"/>
      <x:c r="I3" s="62"/>
      <x:c r="J3" s="62"/>
      <x:c r="K3" s="62"/>
      <x:c r="L3" s="62"/>
      <x:c r="M3" s="62"/>
      <x:c r="N3" s="62"/>
      <x:c r="O3" s="62"/>
      <x:c r="P3" s="62"/>
    </x:row>
    <x:row r="4" ht="32" customHeight="1">
      <x:c r="A4" s="14" t="str">
        <x:v>Role</x:v>
      </x:c>
      <x:c r="B4" s="15" t="str">
        <x:v>Issue warrant</x:v>
      </x:c>
      <x:c r="C4" s="15" t="str">
        <x:v>Reserve funds</x:v>
      </x:c>
      <x:c r="D4" s="15" t="str">
        <x:v>Obligate funds</x:v>
      </x:c>
      <x:c r="E4" s="15" t="str">
        <x:v>Execute notice</x:v>
      </x:c>
      <x:c r="F4" s="15" t="str">
        <x:v>Perform work</x:v>
      </x:c>
      <x:c r="G4" s="15" t="str">
        <x:v>Accept artifact</x:v>
      </x:c>
      <x:c r="H4" s="15" t="str">
        <x:v>Pay</x:v>
      </x:c>
      <x:c r="I4" s="15" t="str">
        <x:v>Accept observation</x:v>
      </x:c>
      <x:c r="J4" s="15" t="str">
        <x:v>Select form</x:v>
      </x:c>
      <x:c r="K4" s="15" t="str">
        <x:v>Safety classify</x:v>
      </x:c>
      <x:c r="L4" s="15" t="str">
        <x:v>Raw performance</x:v>
      </x:c>
      <x:c r="M4" s="15" t="str">
        <x:v>Sibling translate</x:v>
      </x:c>
      <x:c r="N4" s="15" t="str">
        <x:v>Conflict count</x:v>
      </x:c>
      <x:c r="O4" s="15" t="str">
        <x:v>Assigned functions</x:v>
      </x:c>
      <x:c r="P4" s="16" t="str">
        <x:v>Role state</x:v>
      </x:c>
    </x:row>
    <x:row r="5">
      <x:c r="A5" s="63" t="str">
        <x:v>Warrant registrar</x:v>
      </x:c>
      <x:c r="B5" s="64" t="n">
        <x:v>1</x:v>
      </x:c>
      <x:c r="C5" s="64" t="n">
        <x:v>0</x:v>
      </x:c>
      <x:c r="D5" s="64" t="n">
        <x:v>0</x:v>
      </x:c>
      <x:c r="E5" s="64" t="n">
        <x:v>0</x:v>
      </x:c>
      <x:c r="F5" s="64" t="n">
        <x:v>0</x:v>
      </x:c>
      <x:c r="G5" s="64" t="n">
        <x:v>0</x:v>
      </x:c>
      <x:c r="H5" s="64" t="n">
        <x:v>0</x:v>
      </x:c>
      <x:c r="I5" s="64" t="n">
        <x:v>0</x:v>
      </x:c>
      <x:c r="J5" s="64" t="n">
        <x:v>0</x:v>
      </x:c>
      <x:c r="K5" s="64" t="n">
        <x:v>0</x:v>
      </x:c>
      <x:c r="L5" s="64" t="n">
        <x:v>0</x:v>
      </x:c>
      <x:c r="M5" s="64" t="n">
        <x:v>0</x:v>
      </x:c>
      <x:c r="N5" s="64" t="n">
        <x:f>E5*G5+F5*G5+D5*H5+I5*J5+L5*M5+K5*J5</x:f>
        <x:v>0</x:v>
      </x:c>
      <x:c r="O5" s="64" t="n">
        <x:f>SUM(B5:M5)</x:f>
        <x:v>1</x:v>
      </x:c>
      <x:c r="P5" s="63" t="str">
        <x:f>IF(AND(N5=0,O5&gt;=1,O5&lt;=2),"PASS","FAIL")</x:f>
        <x:v>PASS</x:v>
      </x:c>
    </x:row>
    <x:row r="6">
      <x:c r="A6" s="67" t="str">
        <x:v>Portfolio reserve custodian</x:v>
      </x:c>
      <x:c r="B6" s="68" t="n">
        <x:v>0</x:v>
      </x:c>
      <x:c r="C6" s="68" t="n">
        <x:v>1</x:v>
      </x:c>
      <x:c r="D6" s="68" t="n">
        <x:v>0</x:v>
      </x:c>
      <x:c r="E6" s="68" t="n">
        <x:v>0</x:v>
      </x:c>
      <x:c r="F6" s="68" t="n">
        <x:v>0</x:v>
      </x:c>
      <x:c r="G6" s="68" t="n">
        <x:v>0</x:v>
      </x:c>
      <x:c r="H6" s="68" t="n">
        <x:v>0</x:v>
      </x:c>
      <x:c r="I6" s="68" t="n">
        <x:v>0</x:v>
      </x:c>
      <x:c r="J6" s="68" t="n">
        <x:v>0</x:v>
      </x:c>
      <x:c r="K6" s="68" t="n">
        <x:v>0</x:v>
      </x:c>
      <x:c r="L6" s="68" t="n">
        <x:v>0</x:v>
      </x:c>
      <x:c r="M6" s="68" t="n">
        <x:v>0</x:v>
      </x:c>
      <x:c r="N6" s="68" t="n">
        <x:f>E6*G6+F6*G6+D6*H6+I6*J6+L6*M6+K6*J6</x:f>
        <x:v>0</x:v>
      </x:c>
      <x:c r="O6" s="68" t="n">
        <x:f>SUM(B6:M6)</x:f>
        <x:v>1</x:v>
      </x:c>
      <x:c r="P6" s="67" t="str">
        <x:f>IF(AND(N6=0,O6&gt;=1,O6&lt;=2),"PASS","FAIL")</x:f>
        <x:v>PASS</x:v>
      </x:c>
    </x:row>
    <x:row r="7">
      <x:c r="A7" s="67" t="str">
        <x:v>Contracting authority</x:v>
      </x:c>
      <x:c r="B7" s="68" t="n">
        <x:v>0</x:v>
      </x:c>
      <x:c r="C7" s="68" t="n">
        <x:v>0</x:v>
      </x:c>
      <x:c r="D7" s="68" t="n">
        <x:v>1</x:v>
      </x:c>
      <x:c r="E7" s="68" t="n">
        <x:v>0</x:v>
      </x:c>
      <x:c r="F7" s="68" t="n">
        <x:v>0</x:v>
      </x:c>
      <x:c r="G7" s="68" t="n">
        <x:v>0</x:v>
      </x:c>
      <x:c r="H7" s="68" t="n">
        <x:v>0</x:v>
      </x:c>
      <x:c r="I7" s="68" t="n">
        <x:v>0</x:v>
      </x:c>
      <x:c r="J7" s="68" t="n">
        <x:v>0</x:v>
      </x:c>
      <x:c r="K7" s="68" t="n">
        <x:v>0</x:v>
      </x:c>
      <x:c r="L7" s="68" t="n">
        <x:v>0</x:v>
      </x:c>
      <x:c r="M7" s="68" t="n">
        <x:v>0</x:v>
      </x:c>
      <x:c r="N7" s="68" t="n">
        <x:f>E7*G7+F7*G7+D7*H7+I7*J7+L7*M7+K7*J7</x:f>
        <x:v>0</x:v>
      </x:c>
      <x:c r="O7" s="68" t="n">
        <x:f>SUM(B7:M7)</x:f>
        <x:v>1</x:v>
      </x:c>
      <x:c r="P7" s="67" t="str">
        <x:f>IF(AND(N7=0,O7&gt;=1,O7&lt;=2),"PASS","FAIL")</x:f>
        <x:v>PASS</x:v>
      </x:c>
    </x:row>
    <x:row r="8">
      <x:c r="A8" s="67" t="str">
        <x:v>Campaign authority</x:v>
      </x:c>
      <x:c r="B8" s="68" t="n">
        <x:v>0</x:v>
      </x:c>
      <x:c r="C8" s="68" t="n">
        <x:v>0</x:v>
      </x:c>
      <x:c r="D8" s="68" t="n">
        <x:v>0</x:v>
      </x:c>
      <x:c r="E8" s="68" t="n">
        <x:v>1</x:v>
      </x:c>
      <x:c r="F8" s="68" t="n">
        <x:v>0</x:v>
      </x:c>
      <x:c r="G8" s="68" t="n">
        <x:v>0</x:v>
      </x:c>
      <x:c r="H8" s="68" t="n">
        <x:v>0</x:v>
      </x:c>
      <x:c r="I8" s="68" t="n">
        <x:v>0</x:v>
      </x:c>
      <x:c r="J8" s="68" t="n">
        <x:v>0</x:v>
      </x:c>
      <x:c r="K8" s="68" t="n">
        <x:v>0</x:v>
      </x:c>
      <x:c r="L8" s="68" t="n">
        <x:v>0</x:v>
      </x:c>
      <x:c r="M8" s="68" t="n">
        <x:v>0</x:v>
      </x:c>
      <x:c r="N8" s="68" t="n">
        <x:f>E8*G8+F8*G8+D8*H8+I8*J8+L8*M8+K8*J8</x:f>
        <x:v>0</x:v>
      </x:c>
      <x:c r="O8" s="68" t="n">
        <x:f>SUM(B8:M8)</x:f>
        <x:v>1</x:v>
      </x:c>
      <x:c r="P8" s="67" t="str">
        <x:f>IF(AND(N8=0,O8&gt;=1,O8&lt;=2),"PASS","FAIL")</x:f>
        <x:v>PASS</x:v>
      </x:c>
    </x:row>
    <x:row r="9">
      <x:c r="A9" s="67" t="str">
        <x:v>Implementation cell</x:v>
      </x:c>
      <x:c r="B9" s="68" t="n">
        <x:v>0</x:v>
      </x:c>
      <x:c r="C9" s="68" t="n">
        <x:v>0</x:v>
      </x:c>
      <x:c r="D9" s="68" t="n">
        <x:v>0</x:v>
      </x:c>
      <x:c r="E9" s="68" t="n">
        <x:v>0</x:v>
      </x:c>
      <x:c r="F9" s="68" t="n">
        <x:v>1</x:v>
      </x:c>
      <x:c r="G9" s="68" t="n">
        <x:v>0</x:v>
      </x:c>
      <x:c r="H9" s="68" t="n">
        <x:v>0</x:v>
      </x:c>
      <x:c r="I9" s="68" t="n">
        <x:v>0</x:v>
      </x:c>
      <x:c r="J9" s="68" t="n">
        <x:v>0</x:v>
      </x:c>
      <x:c r="K9" s="68" t="n">
        <x:v>0</x:v>
      </x:c>
      <x:c r="L9" s="68" t="n">
        <x:v>0</x:v>
      </x:c>
      <x:c r="M9" s="68" t="n">
        <x:v>0</x:v>
      </x:c>
      <x:c r="N9" s="68" t="n">
        <x:f>E9*G9+F9*G9+D9*H9+I9*J9+L9*M9+K9*J9</x:f>
        <x:v>0</x:v>
      </x:c>
      <x:c r="O9" s="68" t="n">
        <x:f>SUM(B9:M9)</x:f>
        <x:v>1</x:v>
      </x:c>
      <x:c r="P9" s="67" t="str">
        <x:f>IF(AND(N9=0,O9&gt;=1,O9&lt;=2),"PASS","FAIL")</x:f>
        <x:v>PASS</x:v>
      </x:c>
    </x:row>
    <x:row r="10">
      <x:c r="A10" s="67" t="str">
        <x:v>Package custodian</x:v>
      </x:c>
      <x:c r="B10" s="68" t="n">
        <x:v>0</x:v>
      </x:c>
      <x:c r="C10" s="68" t="n">
        <x:v>0</x:v>
      </x:c>
      <x:c r="D10" s="68" t="n">
        <x:v>0</x:v>
      </x:c>
      <x:c r="E10" s="68" t="n">
        <x:v>0</x:v>
      </x:c>
      <x:c r="F10" s="68" t="n">
        <x:v>0</x:v>
      </x:c>
      <x:c r="G10" s="68" t="n">
        <x:v>0</x:v>
      </x:c>
      <x:c r="H10" s="68" t="n">
        <x:v>0</x:v>
      </x:c>
      <x:c r="I10" s="68" t="n">
        <x:v>0</x:v>
      </x:c>
      <x:c r="J10" s="68" t="n">
        <x:v>0</x:v>
      </x:c>
      <x:c r="K10" s="68" t="n">
        <x:v>0</x:v>
      </x:c>
      <x:c r="L10" s="68" t="n">
        <x:v>1</x:v>
      </x:c>
      <x:c r="M10" s="68" t="n">
        <x:v>0</x:v>
      </x:c>
      <x:c r="N10" s="68" t="n">
        <x:f>E10*G10+F10*G10+D10*H10+I10*J10+L10*M10+K10*J10</x:f>
        <x:v>0</x:v>
      </x:c>
      <x:c r="O10" s="68" t="n">
        <x:f>SUM(B10:M10)</x:f>
        <x:v>1</x:v>
      </x:c>
      <x:c r="P10" s="67" t="str">
        <x:f>IF(AND(N10=0,O10&gt;=1,O10&lt;=2),"PASS","FAIL")</x:f>
        <x:v>PASS</x:v>
      </x:c>
    </x:row>
    <x:row r="11">
      <x:c r="A11" s="67" t="str">
        <x:v>Artifact validity authority</x:v>
      </x:c>
      <x:c r="B11" s="68" t="n">
        <x:v>0</x:v>
      </x:c>
      <x:c r="C11" s="68" t="n">
        <x:v>0</x:v>
      </x:c>
      <x:c r="D11" s="68" t="n">
        <x:v>0</x:v>
      </x:c>
      <x:c r="E11" s="68" t="n">
        <x:v>0</x:v>
      </x:c>
      <x:c r="F11" s="68" t="n">
        <x:v>0</x:v>
      </x:c>
      <x:c r="G11" s="68" t="n">
        <x:v>1</x:v>
      </x:c>
      <x:c r="H11" s="68" t="n">
        <x:v>0</x:v>
      </x:c>
      <x:c r="I11" s="68" t="n">
        <x:v>0</x:v>
      </x:c>
      <x:c r="J11" s="68" t="n">
        <x:v>0</x:v>
      </x:c>
      <x:c r="K11" s="68" t="n">
        <x:v>0</x:v>
      </x:c>
      <x:c r="L11" s="68" t="n">
        <x:v>1</x:v>
      </x:c>
      <x:c r="M11" s="68" t="n">
        <x:v>0</x:v>
      </x:c>
      <x:c r="N11" s="68" t="n">
        <x:f>E11*G11+F11*G11+D11*H11+I11*J11+L11*M11+K11*J11</x:f>
        <x:v>0</x:v>
      </x:c>
      <x:c r="O11" s="68" t="n">
        <x:f>SUM(B11:M11)</x:f>
        <x:v>2</x:v>
      </x:c>
      <x:c r="P11" s="67" t="str">
        <x:f>IF(AND(N11=0,O11&gt;=1,O11&lt;=2),"PASS","FAIL")</x:f>
        <x:v>PASS</x:v>
      </x:c>
    </x:row>
    <x:row r="12">
      <x:c r="A12" s="67" t="str">
        <x:v>Finance disbursing authority</x:v>
      </x:c>
      <x:c r="B12" s="68" t="n">
        <x:v>0</x:v>
      </x:c>
      <x:c r="C12" s="68" t="n">
        <x:v>0</x:v>
      </x:c>
      <x:c r="D12" s="68" t="n">
        <x:v>0</x:v>
      </x:c>
      <x:c r="E12" s="68" t="n">
        <x:v>0</x:v>
      </x:c>
      <x:c r="F12" s="68" t="n">
        <x:v>0</x:v>
      </x:c>
      <x:c r="G12" s="68" t="n">
        <x:v>0</x:v>
      </x:c>
      <x:c r="H12" s="68" t="n">
        <x:v>1</x:v>
      </x:c>
      <x:c r="I12" s="68" t="n">
        <x:v>0</x:v>
      </x:c>
      <x:c r="J12" s="68" t="n">
        <x:v>0</x:v>
      </x:c>
      <x:c r="K12" s="68" t="n">
        <x:v>0</x:v>
      </x:c>
      <x:c r="L12" s="68" t="n">
        <x:v>0</x:v>
      </x:c>
      <x:c r="M12" s="68" t="n">
        <x:v>0</x:v>
      </x:c>
      <x:c r="N12" s="68" t="n">
        <x:f>E12*G12+F12*G12+D12*H12+I12*J12+L12*M12+K12*J12</x:f>
        <x:v>0</x:v>
      </x:c>
      <x:c r="O12" s="68" t="n">
        <x:f>SUM(B12:M12)</x:f>
        <x:v>1</x:v>
      </x:c>
      <x:c r="P12" s="67" t="str">
        <x:f>IF(AND(N12=0,O12&gt;=1,O12&lt;=2),"PASS","FAIL")</x:f>
        <x:v>PASS</x:v>
      </x:c>
    </x:row>
    <x:row r="13">
      <x:c r="A13" s="67" t="str">
        <x:v>Evidence Court</x:v>
      </x:c>
      <x:c r="B13" s="68" t="n">
        <x:v>0</x:v>
      </x:c>
      <x:c r="C13" s="68" t="n">
        <x:v>0</x:v>
      </x:c>
      <x:c r="D13" s="68" t="n">
        <x:v>0</x:v>
      </x:c>
      <x:c r="E13" s="68" t="n">
        <x:v>0</x:v>
      </x:c>
      <x:c r="F13" s="68" t="n">
        <x:v>0</x:v>
      </x:c>
      <x:c r="G13" s="68" t="n">
        <x:v>0</x:v>
      </x:c>
      <x:c r="H13" s="68" t="n">
        <x:v>0</x:v>
      </x:c>
      <x:c r="I13" s="68" t="n">
        <x:v>1</x:v>
      </x:c>
      <x:c r="J13" s="68" t="n">
        <x:v>0</x:v>
      </x:c>
      <x:c r="K13" s="68" t="n">
        <x:v>0</x:v>
      </x:c>
      <x:c r="L13" s="68" t="n">
        <x:v>1</x:v>
      </x:c>
      <x:c r="M13" s="68" t="n">
        <x:v>0</x:v>
      </x:c>
      <x:c r="N13" s="68" t="n">
        <x:f>E13*G13+F13*G13+D13*H13+I13*J13+L13*M13+K13*J13</x:f>
        <x:v>0</x:v>
      </x:c>
      <x:c r="O13" s="68" t="n">
        <x:f>SUM(B13:M13)</x:f>
        <x:v>2</x:v>
      </x:c>
      <x:c r="P13" s="67" t="str">
        <x:f>IF(AND(N13=0,O13&gt;=1,O13&lt;=2),"PASS","FAIL")</x:f>
        <x:v>PASS</x:v>
      </x:c>
    </x:row>
    <x:row r="14">
      <x:c r="A14" s="67" t="str">
        <x:v>Selection Court</x:v>
      </x:c>
      <x:c r="B14" s="68" t="n">
        <x:v>0</x:v>
      </x:c>
      <x:c r="C14" s="68" t="n">
        <x:v>0</x:v>
      </x:c>
      <x:c r="D14" s="68" t="n">
        <x:v>0</x:v>
      </x:c>
      <x:c r="E14" s="68" t="n">
        <x:v>0</x:v>
      </x:c>
      <x:c r="F14" s="68" t="n">
        <x:v>0</x:v>
      </x:c>
      <x:c r="G14" s="68" t="n">
        <x:v>0</x:v>
      </x:c>
      <x:c r="H14" s="68" t="n">
        <x:v>0</x:v>
      </x:c>
      <x:c r="I14" s="68" t="n">
        <x:v>0</x:v>
      </x:c>
      <x:c r="J14" s="68" t="n">
        <x:v>1</x:v>
      </x:c>
      <x:c r="K14" s="68" t="n">
        <x:v>0</x:v>
      </x:c>
      <x:c r="L14" s="68" t="n">
        <x:v>0</x:v>
      </x:c>
      <x:c r="M14" s="68" t="n">
        <x:v>0</x:v>
      </x:c>
      <x:c r="N14" s="68" t="n">
        <x:f>E14*G14+F14*G14+D14*H14+I14*J14+L14*M14+K14*J14</x:f>
        <x:v>0</x:v>
      </x:c>
      <x:c r="O14" s="68" t="n">
        <x:f>SUM(B14:M14)</x:f>
        <x:v>1</x:v>
      </x:c>
      <x:c r="P14" s="67" t="str">
        <x:f>IF(AND(N14=0,O14&gt;=1,O14&lt;=2),"PASS","FAIL")</x:f>
        <x:v>PASS</x:v>
      </x:c>
    </x:row>
    <x:row r="15">
      <x:c r="A15" s="67" t="str">
        <x:v>Safety triage authority</x:v>
      </x:c>
      <x:c r="B15" s="68" t="n">
        <x:v>0</x:v>
      </x:c>
      <x:c r="C15" s="68" t="n">
        <x:v>0</x:v>
      </x:c>
      <x:c r="D15" s="68" t="n">
        <x:v>0</x:v>
      </x:c>
      <x:c r="E15" s="68" t="n">
        <x:v>0</x:v>
      </x:c>
      <x:c r="F15" s="68" t="n">
        <x:v>0</x:v>
      </x:c>
      <x:c r="G15" s="68" t="n">
        <x:v>0</x:v>
      </x:c>
      <x:c r="H15" s="68" t="n">
        <x:v>0</x:v>
      </x:c>
      <x:c r="I15" s="68" t="n">
        <x:v>0</x:v>
      </x:c>
      <x:c r="J15" s="68" t="n">
        <x:v>0</x:v>
      </x:c>
      <x:c r="K15" s="68" t="n">
        <x:v>1</x:v>
      </x:c>
      <x:c r="L15" s="68" t="n">
        <x:v>1</x:v>
      </x:c>
      <x:c r="M15" s="68" t="n">
        <x:v>0</x:v>
      </x:c>
      <x:c r="N15" s="68" t="n">
        <x:f>E15*G15+F15*G15+D15*H15+I15*J15+L15*M15+K15*J15</x:f>
        <x:v>0</x:v>
      </x:c>
      <x:c r="O15" s="68" t="n">
        <x:f>SUM(B15:M15)</x:f>
        <x:v>2</x:v>
      </x:c>
      <x:c r="P15" s="67" t="str">
        <x:f>IF(AND(N15=0,O15&gt;=1,O15&lt;=2),"PASS","FAIL")</x:f>
        <x:v>PASS</x:v>
      </x:c>
    </x:row>
    <x:row r="16">
      <x:c r="A16" s="67" t="str">
        <x:v>Sibling safety translator</x:v>
      </x:c>
      <x:c r="B16" s="68" t="n">
        <x:v>0</x:v>
      </x:c>
      <x:c r="C16" s="68" t="n">
        <x:v>0</x:v>
      </x:c>
      <x:c r="D16" s="68" t="n">
        <x:v>0</x:v>
      </x:c>
      <x:c r="E16" s="68" t="n">
        <x:v>0</x:v>
      </x:c>
      <x:c r="F16" s="68" t="n">
        <x:v>1</x:v>
      </x:c>
      <x:c r="G16" s="68" t="n">
        <x:v>0</x:v>
      </x:c>
      <x:c r="H16" s="68" t="n">
        <x:v>0</x:v>
      </x:c>
      <x:c r="I16" s="68" t="n">
        <x:v>0</x:v>
      </x:c>
      <x:c r="J16" s="68" t="n">
        <x:v>0</x:v>
      </x:c>
      <x:c r="K16" s="68" t="n">
        <x:v>0</x:v>
      </x:c>
      <x:c r="L16" s="68" t="n">
        <x:v>0</x:v>
      </x:c>
      <x:c r="M16" s="68" t="n">
        <x:v>1</x:v>
      </x:c>
      <x:c r="N16" s="68" t="n">
        <x:f>E16*G16+F16*G16+D16*H16+I16*J16+L16*M16+K16*J16</x:f>
        <x:v>0</x:v>
      </x:c>
      <x:c r="O16" s="68" t="n">
        <x:f>SUM(B16:M16)</x:f>
        <x:v>2</x:v>
      </x:c>
      <x:c r="P16" s="67" t="str">
        <x:f>IF(AND(N16=0,O16&gt;=1,O16&lt;=2),"PASS","FAIL")</x:f>
        <x:v>PASS</x:v>
      </x:c>
    </x:row>
    <x:row r="17">
      <x:c r="A17" s="67" t="str">
        <x:v>Configuration registrar</x:v>
      </x:c>
      <x:c r="B17" s="68" t="n">
        <x:v>1</x:v>
      </x:c>
      <x:c r="C17" s="68" t="n">
        <x:v>0</x:v>
      </x:c>
      <x:c r="D17" s="68" t="n">
        <x:v>0</x:v>
      </x:c>
      <x:c r="E17" s="68" t="n">
        <x:v>0</x:v>
      </x:c>
      <x:c r="F17" s="68" t="n">
        <x:v>0</x:v>
      </x:c>
      <x:c r="G17" s="68" t="n">
        <x:v>0</x:v>
      </x:c>
      <x:c r="H17" s="68" t="n">
        <x:v>0</x:v>
      </x:c>
      <x:c r="I17" s="68" t="n">
        <x:v>0</x:v>
      </x:c>
      <x:c r="J17" s="68" t="n">
        <x:v>0</x:v>
      </x:c>
      <x:c r="K17" s="68" t="n">
        <x:v>0</x:v>
      </x:c>
      <x:c r="L17" s="68" t="n">
        <x:v>0</x:v>
      </x:c>
      <x:c r="M17" s="68" t="n">
        <x:v>0</x:v>
      </x:c>
      <x:c r="N17" s="68" t="n">
        <x:f>E17*G17+F17*G17+D17*H17+I17*J17+L17*M17+K17*J17</x:f>
        <x:v>0</x:v>
      </x:c>
      <x:c r="O17" s="68" t="n">
        <x:f>SUM(B17:M17)</x:f>
        <x:v>1</x:v>
      </x:c>
      <x:c r="P17" s="67" t="str">
        <x:f>IF(AND(N17=0,O17&gt;=1,O17&lt;=2),"PASS","FAIL")</x:f>
        <x:v>PASS</x:v>
      </x:c>
    </x:row>
    <x:row r="18">
      <x:c r="A18" s="70" t="str">
        <x:v>Rights authority</x:v>
      </x:c>
      <x:c r="B18" s="72" t="n">
        <x:v>0</x:v>
      </x:c>
      <x:c r="C18" s="72" t="n">
        <x:v>0</x:v>
      </x:c>
      <x:c r="D18" s="72" t="n">
        <x:v>0</x:v>
      </x:c>
      <x:c r="E18" s="72" t="n">
        <x:v>0</x:v>
      </x:c>
      <x:c r="F18" s="72" t="n">
        <x:v>0</x:v>
      </x:c>
      <x:c r="G18" s="72" t="n">
        <x:v>0</x:v>
      </x:c>
      <x:c r="H18" s="72" t="n">
        <x:v>0</x:v>
      </x:c>
      <x:c r="I18" s="72" t="n">
        <x:v>0</x:v>
      </x:c>
      <x:c r="J18" s="72" t="n">
        <x:v>0</x:v>
      </x:c>
      <x:c r="K18" s="72" t="n">
        <x:v>1</x:v>
      </x:c>
      <x:c r="L18" s="72" t="n">
        <x:v>0</x:v>
      </x:c>
      <x:c r="M18" s="72" t="n">
        <x:v>0</x:v>
      </x:c>
      <x:c r="N18" s="72" t="n">
        <x:f>E18*G18+F18*G18+D18*H18+I18*J18+L18*M18+K18*J18</x:f>
        <x:v>0</x:v>
      </x:c>
      <x:c r="O18" s="72" t="n">
        <x:f>SUM(B18:M18)</x:f>
        <x:v>1</x:v>
      </x:c>
      <x:c r="P18" s="70" t="str">
        <x:f>IF(AND(N18=0,O18&gt;=1,O18&lt;=2),"PASS","FAIL")</x:f>
        <x:v>PASS</x:v>
      </x:c>
    </x:row>
  </x:sheetData>
  <x:mergeCells>
    <x:mergeCell ref="A2:P2"/>
  </x:mergeCells>
  <x:conditionalFormatting sqref="P5:P18">
    <x:cfRule type="containsText" dxfId="4" priority="1" operator="containsText" text="FAIL"/>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28" hidden="0" customWidth="1"/>
    <x:col min="3" max="3" width="28" hidden="0" customWidth="1"/>
    <x:col min="4" max="4" width="62" hidden="0" customWidth="1"/>
    <x:col min="5" max="5" width="28" hidden="0" customWidth="1"/>
    <x:col min="6" max="6" width="22" hidden="0" customWidth="1"/>
    <x:col min="7" max="7" width="18" hidden="0" customWidth="1"/>
    <x:col min="8" max="8" width="18" hidden="0" customWidth="1"/>
    <x:col min="9" max="9" width="15" hidden="0" customWidth="1"/>
  </x:cols>
  <x:sheetData>
    <x:row r="2">
      <x:c r="A2" s="60" t="str">
        <x:v>Twenty prohibited authority conversions</x:v>
      </x:c>
      <x:c r="B2" s="61"/>
      <x:c r="C2" s="61"/>
      <x:c r="D2" s="61"/>
      <x:c r="E2" s="61"/>
      <x:c r="F2" s="61"/>
      <x:c r="G2" s="61"/>
      <x:c r="H2" s="61"/>
      <x:c r="I2" s="61"/>
    </x:row>
    <x:row r="3">
      <x:c r="A3" s="62"/>
      <x:c r="B3" s="62"/>
      <x:c r="C3" s="62"/>
      <x:c r="D3" s="62"/>
      <x:c r="E3" s="62"/>
      <x:c r="F3" s="62"/>
      <x:c r="G3" s="62"/>
      <x:c r="H3" s="62"/>
      <x:c r="I3" s="62"/>
    </x:row>
    <x:row r="4" ht="32" customHeight="1">
      <x:c r="A4" s="14" t="str">
        <x:v>Rule</x:v>
      </x:c>
      <x:c r="B4" s="15" t="str">
        <x:v>Source state</x:v>
      </x:c>
      <x:c r="C4" s="15" t="str">
        <x:v>Forbidden target</x:v>
      </x:c>
      <x:c r="D4" s="15" t="str">
        <x:v>Reason</x:v>
      </x:c>
      <x:c r="E4" s="15" t="str">
        <x:v>Enforcing authority</x:v>
      </x:c>
      <x:c r="F4" s="15" t="str">
        <x:v>Conversion observed</x:v>
      </x:c>
      <x:c r="G4" s="15" t="str">
        <x:v>Evidence credit</x:v>
      </x:c>
      <x:c r="H4" s="15" t="str">
        <x:v>Selection credit</x:v>
      </x:c>
      <x:c r="I4" s="16" t="str">
        <x:v>Rule state</x:v>
      </x:c>
    </x:row>
    <x:row r="5">
      <x:c r="A5" s="63" t="str">
        <x:v>N01</x:v>
      </x:c>
      <x:c r="B5" s="63" t="str">
        <x:v>REP-3 image</x:v>
      </x:c>
      <x:c r="C5" s="63" t="str">
        <x:v>selected form</x:v>
      </x:c>
      <x:c r="D5" s="63" t="str">
        <x:v>Representation is not selection</x:v>
      </x:c>
      <x:c r="E5" s="63" t="str">
        <x:v>Selection Court</x:v>
      </x:c>
      <x:c r="F5" s="64" t="n">
        <x:v>0</x:v>
      </x:c>
      <x:c r="G5" s="64" t="n">
        <x:v>0</x:v>
      </x:c>
      <x:c r="H5" s="64" t="n">
        <x:v>0</x:v>
      </x:c>
      <x:c r="I5" s="63" t="str">
        <x:f>IF(AND(COUNTA(A5:E5)=5,F5=0,G5=0,H5=0),"PASS","FAIL")</x:f>
        <x:v>PASS</x:v>
      </x:c>
    </x:row>
    <x:row r="6">
      <x:c r="A6" s="67" t="str">
        <x:v>N02</x:v>
      </x:c>
      <x:c r="B6" s="67" t="str">
        <x:v>dimension envelope</x:v>
      </x:c>
      <x:c r="C6" s="67" t="str">
        <x:v>as-built metrology</x:v>
      </x:c>
      <x:c r="D6" s="67" t="str">
        <x:v>Planning geometry is not measurement</x:v>
      </x:c>
      <x:c r="E6" s="67" t="str">
        <x:v>Configuration registrar</x:v>
      </x:c>
      <x:c r="F6" s="68" t="n">
        <x:v>0</x:v>
      </x:c>
      <x:c r="G6" s="68" t="n">
        <x:v>0</x:v>
      </x:c>
      <x:c r="H6" s="68" t="n">
        <x:v>0</x:v>
      </x:c>
      <x:c r="I6" s="67" t="str">
        <x:f>IF(AND(COUNTA(A6:E6)=5,F6=0,G6=0,H6=0),"PASS","FAIL")</x:f>
        <x:v>PASS</x:v>
      </x:c>
    </x:row>
    <x:row r="7">
      <x:c r="A7" s="67" t="str">
        <x:v>N03</x:v>
      </x:c>
      <x:c r="B7" s="67" t="str">
        <x:v>warrant eligibility</x:v>
      </x:c>
      <x:c r="C7" s="67" t="str">
        <x:v>warrant issue</x:v>
      </x:c>
      <x:c r="D7" s="67" t="str">
        <x:v>Eligibility requires a separate issue act</x:v>
      </x:c>
      <x:c r="E7" s="67" t="str">
        <x:v>Warrant registrar</x:v>
      </x:c>
      <x:c r="F7" s="68" t="n">
        <x:v>0</x:v>
      </x:c>
      <x:c r="G7" s="68" t="n">
        <x:v>0</x:v>
      </x:c>
      <x:c r="H7" s="68" t="n">
        <x:v>0</x:v>
      </x:c>
      <x:c r="I7" s="67" t="str">
        <x:f>IF(AND(COUNTA(A7:E7)=5,F7=0,G7=0,H7=0),"PASS","FAIL")</x:f>
        <x:v>PASS</x:v>
      </x:c>
    </x:row>
    <x:row r="8">
      <x:c r="A8" s="67" t="str">
        <x:v>N04</x:v>
      </x:c>
      <x:c r="B8" s="67" t="str">
        <x:v>warrant issue</x:v>
      </x:c>
      <x:c r="C8" s="67" t="str">
        <x:v>obligation</x:v>
      </x:c>
      <x:c r="D8" s="67" t="str">
        <x:v>Issue preserves standing; it does not spend</x:v>
      </x:c>
      <x:c r="E8" s="67" t="str">
        <x:v>Reserve custodian</x:v>
      </x:c>
      <x:c r="F8" s="68" t="n">
        <x:v>0</x:v>
      </x:c>
      <x:c r="G8" s="68" t="n">
        <x:v>0</x:v>
      </x:c>
      <x:c r="H8" s="68" t="n">
        <x:v>0</x:v>
      </x:c>
      <x:c r="I8" s="67" t="str">
        <x:f>IF(AND(COUNTA(A8:E8)=5,F8=0,G8=0,H8=0),"PASS","FAIL")</x:f>
        <x:v>PASS</x:v>
      </x:c>
    </x:row>
    <x:row r="9">
      <x:c r="A9" s="67" t="str">
        <x:v>N05</x:v>
      </x:c>
      <x:c r="B9" s="67" t="str">
        <x:v>scheduled cohort</x:v>
      </x:c>
      <x:c r="C9" s="67" t="str">
        <x:v>active work</x:v>
      </x:c>
      <x:c r="D9" s="67" t="str">
        <x:v>Schedule requires an execution warrant</x:v>
      </x:c>
      <x:c r="E9" s="67" t="str">
        <x:v>Campaign authority</x:v>
      </x:c>
      <x:c r="F9" s="68" t="n">
        <x:v>0</x:v>
      </x:c>
      <x:c r="G9" s="68" t="n">
        <x:v>0</x:v>
      </x:c>
      <x:c r="H9" s="68" t="n">
        <x:v>0</x:v>
      </x:c>
      <x:c r="I9" s="67" t="str">
        <x:f>IF(AND(COUNTA(A9:E9)=5,F9=0,G9=0,H9=0),"PASS","FAIL")</x:f>
        <x:v>PASS</x:v>
      </x:c>
    </x:row>
    <x:row r="10">
      <x:c r="A10" s="67" t="str">
        <x:v>N06</x:v>
      </x:c>
      <x:c r="B10" s="67" t="str">
        <x:v>reserved ceiling</x:v>
      </x:c>
      <x:c r="C10" s="67" t="str">
        <x:v>obligation</x:v>
      </x:c>
      <x:c r="D10" s="67" t="str">
        <x:v>Reservation cannot self-execute</x:v>
      </x:c>
      <x:c r="E10" s="67" t="str">
        <x:v>Contracting authority</x:v>
      </x:c>
      <x:c r="F10" s="68" t="n">
        <x:v>0</x:v>
      </x:c>
      <x:c r="G10" s="68" t="n">
        <x:v>0</x:v>
      </x:c>
      <x:c r="H10" s="68" t="n">
        <x:v>0</x:v>
      </x:c>
      <x:c r="I10" s="67" t="str">
        <x:f>IF(AND(COUNTA(A10:E10)=5,F10=0,G10=0,H10=0),"PASS","FAIL")</x:f>
        <x:v>PASS</x:v>
      </x:c>
    </x:row>
    <x:row r="11">
      <x:c r="A11" s="67" t="str">
        <x:v>N07</x:v>
      </x:c>
      <x:c r="B11" s="67" t="str">
        <x:v>gate completion</x:v>
      </x:c>
      <x:c r="C11" s="67" t="str">
        <x:v>evidence</x:v>
      </x:c>
      <x:c r="D11" s="67" t="str">
        <x:v>Administrative completeness is not observation</x:v>
      </x:c>
      <x:c r="E11" s="67" t="str">
        <x:v>Evidence Court</x:v>
      </x:c>
      <x:c r="F11" s="68" t="n">
        <x:v>0</x:v>
      </x:c>
      <x:c r="G11" s="68" t="n">
        <x:v>0</x:v>
      </x:c>
      <x:c r="H11" s="68" t="n">
        <x:v>0</x:v>
      </x:c>
      <x:c r="I11" s="67" t="str">
        <x:f>IF(AND(COUNTA(A11:E11)=5,F11=0,G11=0,H11=0),"PASS","FAIL")</x:f>
        <x:v>PASS</x:v>
      </x:c>
    </x:row>
    <x:row r="12">
      <x:c r="A12" s="67" t="str">
        <x:v>N08</x:v>
      </x:c>
      <x:c r="B12" s="67" t="str">
        <x:v>obligation</x:v>
      </x:c>
      <x:c r="C12" s="67" t="str">
        <x:v>payment</x:v>
      </x:c>
      <x:c r="D12" s="67" t="str">
        <x:v>Liability requires accepted work before payment</x:v>
      </x:c>
      <x:c r="E12" s="67" t="str">
        <x:v>Finance authority</x:v>
      </x:c>
      <x:c r="F12" s="68" t="n">
        <x:v>0</x:v>
      </x:c>
      <x:c r="G12" s="68" t="n">
        <x:v>0</x:v>
      </x:c>
      <x:c r="H12" s="68" t="n">
        <x:v>0</x:v>
      </x:c>
      <x:c r="I12" s="67" t="str">
        <x:f>IF(AND(COUNTA(A12:E12)=5,F12=0,G12=0,H12=0),"PASS","FAIL")</x:f>
        <x:v>PASS</x:v>
      </x:c>
    </x:row>
    <x:row r="13">
      <x:c r="A13" s="67" t="str">
        <x:v>N09</x:v>
      </x:c>
      <x:c r="B13" s="67" t="str">
        <x:v>notice to proceed</x:v>
      </x:c>
      <x:c r="C13" s="67" t="str">
        <x:v>accepted artifact</x:v>
      </x:c>
      <x:c r="D13" s="67" t="str">
        <x:v>Permission to work is not validity</x:v>
      </x:c>
      <x:c r="E13" s="67" t="str">
        <x:v>Validity authority</x:v>
      </x:c>
      <x:c r="F13" s="68" t="n">
        <x:v>0</x:v>
      </x:c>
      <x:c r="G13" s="68" t="n">
        <x:v>0</x:v>
      </x:c>
      <x:c r="H13" s="68" t="n">
        <x:v>0</x:v>
      </x:c>
      <x:c r="I13" s="67" t="str">
        <x:f>IF(AND(COUNTA(A13:E13)=5,F13=0,G13=0,H13=0),"PASS","FAIL")</x:f>
        <x:v>PASS</x:v>
      </x:c>
    </x:row>
    <x:row r="14">
      <x:c r="A14" s="67" t="str">
        <x:v>N10</x:v>
      </x:c>
      <x:c r="B14" s="67" t="str">
        <x:v>active work</x:v>
      </x:c>
      <x:c r="C14" s="67" t="str">
        <x:v>evidence</x:v>
      </x:c>
      <x:c r="D14" s="67" t="str">
        <x:v>Design activity is not a physical event</x:v>
      </x:c>
      <x:c r="E14" s="67" t="str">
        <x:v>Evidence Court</x:v>
      </x:c>
      <x:c r="F14" s="68" t="n">
        <x:v>0</x:v>
      </x:c>
      <x:c r="G14" s="68" t="n">
        <x:v>0</x:v>
      </x:c>
      <x:c r="H14" s="68" t="n">
        <x:v>0</x:v>
      </x:c>
      <x:c r="I14" s="67" t="str">
        <x:f>IF(AND(COUNTA(A14:E14)=5,F14=0,G14=0,H14=0),"PASS","FAIL")</x:f>
        <x:v>PASS</x:v>
      </x:c>
    </x:row>
    <x:row r="15">
      <x:c r="A15" s="67" t="str">
        <x:v>N11</x:v>
      </x:c>
      <x:c r="B15" s="67" t="str">
        <x:v>artifact submission</x:v>
      </x:c>
      <x:c r="C15" s="67" t="str">
        <x:v>valid artifact</x:v>
      </x:c>
      <x:c r="D15" s="67" t="str">
        <x:v>Submission requires independent acceptance</x:v>
      </x:c>
      <x:c r="E15" s="67" t="str">
        <x:v>Validity authority</x:v>
      </x:c>
      <x:c r="F15" s="68" t="n">
        <x:v>0</x:v>
      </x:c>
      <x:c r="G15" s="68" t="n">
        <x:v>0</x:v>
      </x:c>
      <x:c r="H15" s="68" t="n">
        <x:v>0</x:v>
      </x:c>
      <x:c r="I15" s="67" t="str">
        <x:f>IF(AND(COUNTA(A15:E15)=5,F15=0,G15=0,H15=0),"PASS","FAIL")</x:f>
        <x:v>PASS</x:v>
      </x:c>
    </x:row>
    <x:row r="16">
      <x:c r="A16" s="67" t="str">
        <x:v>N12</x:v>
      </x:c>
      <x:c r="B16" s="67" t="str">
        <x:v>valid artifact</x:v>
      </x:c>
      <x:c r="C16" s="67" t="str">
        <x:v>accepted observation</x:v>
      </x:c>
      <x:c r="D16" s="67" t="str">
        <x:v>A design record is not test evidence</x:v>
      </x:c>
      <x:c r="E16" s="67" t="str">
        <x:v>Evidence Court</x:v>
      </x:c>
      <x:c r="F16" s="68" t="n">
        <x:v>0</x:v>
      </x:c>
      <x:c r="G16" s="68" t="n">
        <x:v>0</x:v>
      </x:c>
      <x:c r="H16" s="68" t="n">
        <x:v>0</x:v>
      </x:c>
      <x:c r="I16" s="67" t="str">
        <x:f>IF(AND(COUNTA(A16:E16)=5,F16=0,G16=0,H16=0),"PASS","FAIL")</x:f>
        <x:v>PASS</x:v>
      </x:c>
    </x:row>
    <x:row r="17">
      <x:c r="A17" s="67" t="str">
        <x:v>N13</x:v>
      </x:c>
      <x:c r="B17" s="67" t="str">
        <x:v>payment</x:v>
      </x:c>
      <x:c r="C17" s="67" t="str">
        <x:v>evidence</x:v>
      </x:c>
      <x:c r="D17" s="67" t="str">
        <x:v>Cash finality carries no epistemic credit</x:v>
      </x:c>
      <x:c r="E17" s="67" t="str">
        <x:v>Evidence Court</x:v>
      </x:c>
      <x:c r="F17" s="68" t="n">
        <x:v>0</x:v>
      </x:c>
      <x:c r="G17" s="68" t="n">
        <x:v>0</x:v>
      </x:c>
      <x:c r="H17" s="68" t="n">
        <x:v>0</x:v>
      </x:c>
      <x:c r="I17" s="67" t="str">
        <x:f>IF(AND(COUNTA(A17:E17)=5,F17=0,G17=0,H17=0),"PASS","FAIL")</x:f>
        <x:v>PASS</x:v>
      </x:c>
    </x:row>
    <x:row r="18">
      <x:c r="A18" s="67" t="str">
        <x:v>N14</x:v>
      </x:c>
      <x:c r="B18" s="67" t="str">
        <x:v>safety warrant</x:v>
      </x:c>
      <x:c r="C18" s="67" t="str">
        <x:v>performance disclosure</x:v>
      </x:c>
      <x:c r="D18" s="67" t="str">
        <x:v>Safety burden cannot reveal source results</x:v>
      </x:c>
      <x:c r="E18" s="67" t="str">
        <x:v>Content challenge cell</x:v>
      </x:c>
      <x:c r="F18" s="68" t="n">
        <x:v>0</x:v>
      </x:c>
      <x:c r="G18" s="68" t="n">
        <x:v>0</x:v>
      </x:c>
      <x:c r="H18" s="68" t="n">
        <x:v>0</x:v>
      </x:c>
      <x:c r="I18" s="67" t="str">
        <x:f>IF(AND(COUNTA(A18:E18)=5,F18=0,G18=0,H18=0),"PASS","FAIL")</x:f>
        <x:v>PASS</x:v>
      </x:c>
    </x:row>
    <x:row r="19">
      <x:c r="A19" s="67" t="str">
        <x:v>N15</x:v>
      </x:c>
      <x:c r="B19" s="67" t="str">
        <x:v>root epoch</x:v>
      </x:c>
      <x:c r="C19" s="67" t="str">
        <x:v>selection</x:v>
      </x:c>
      <x:c r="D19" s="67" t="str">
        <x:v>Common safety state carries no rank</x:v>
      </x:c>
      <x:c r="E19" s="67" t="str">
        <x:v>Selection Court</x:v>
      </x:c>
      <x:c r="F19" s="68" t="n">
        <x:v>0</x:v>
      </x:c>
      <x:c r="G19" s="68" t="n">
        <x:v>0</x:v>
      </x:c>
      <x:c r="H19" s="68" t="n">
        <x:v>0</x:v>
      </x:c>
      <x:c r="I19" s="67" t="str">
        <x:f>IF(AND(COUNTA(A19:E19)=5,F19=0,G19=0,H19=0),"PASS","FAIL")</x:f>
        <x:v>PASS</x:v>
      </x:c>
    </x:row>
    <x:row r="20">
      <x:c r="A20" s="67" t="str">
        <x:v>N16</x:v>
      </x:c>
      <x:c r="B20" s="67" t="str">
        <x:v>cohort completion</x:v>
      </x:c>
      <x:c r="C20" s="67" t="str">
        <x:v>selection</x:v>
      </x:c>
      <x:c r="D20" s="67" t="str">
        <x:v>Completion releases adjudication only</x:v>
      </x:c>
      <x:c r="E20" s="67" t="str">
        <x:v>Selection Court</x:v>
      </x:c>
      <x:c r="F20" s="68" t="n">
        <x:v>0</x:v>
      </x:c>
      <x:c r="G20" s="68" t="n">
        <x:v>0</x:v>
      </x:c>
      <x:c r="H20" s="68" t="n">
        <x:v>0</x:v>
      </x:c>
      <x:c r="I20" s="67" t="str">
        <x:f>IF(AND(COUNTA(A20:E20)=5,F20=0,G20=0,H20=0),"PASS","FAIL")</x:f>
        <x:v>PASS</x:v>
      </x:c>
    </x:row>
    <x:row r="21">
      <x:c r="A21" s="67" t="str">
        <x:v>N17</x:v>
      </x:c>
      <x:c r="B21" s="67" t="str">
        <x:v>one domain pass</x:v>
      </x:c>
      <x:c r="C21" s="67" t="str">
        <x:v>survivor</x:v>
      </x:c>
      <x:c r="D21" s="67" t="str">
        <x:v>All six domains are noncompensatory</x:v>
      </x:c>
      <x:c r="E21" s="67" t="str">
        <x:v>Evidence Court</x:v>
      </x:c>
      <x:c r="F21" s="68" t="n">
        <x:v>0</x:v>
      </x:c>
      <x:c r="G21" s="68" t="n">
        <x:v>0</x:v>
      </x:c>
      <x:c r="H21" s="68" t="n">
        <x:v>0</x:v>
      </x:c>
      <x:c r="I21" s="67" t="str">
        <x:f>IF(AND(COUNTA(A21:E21)=5,F21=0,G21=0,H21=0),"PASS","FAIL")</x:f>
        <x:v>PASS</x:v>
      </x:c>
    </x:row>
    <x:row r="22">
      <x:c r="A22" s="67" t="str">
        <x:v>N18</x:v>
      </x:c>
      <x:c r="B22" s="67" t="str">
        <x:v>six domain passes</x:v>
      </x:c>
      <x:c r="C22" s="67" t="str">
        <x:v>selected form</x:v>
      </x:c>
      <x:c r="D22" s="67" t="str">
        <x:v>Complete passage creates survivor only</x:v>
      </x:c>
      <x:c r="E22" s="67" t="str">
        <x:v>Selection Court</x:v>
      </x:c>
      <x:c r="F22" s="68" t="n">
        <x:v>0</x:v>
      </x:c>
      <x:c r="G22" s="68" t="n">
        <x:v>0</x:v>
      </x:c>
      <x:c r="H22" s="68" t="n">
        <x:v>0</x:v>
      </x:c>
      <x:c r="I22" s="67" t="str">
        <x:f>IF(AND(COUNTA(A22:E22)=5,F22=0,G22=0,H22=0),"PASS","FAIL")</x:f>
        <x:v>PASS</x:v>
      </x:c>
    </x:row>
    <x:row r="23">
      <x:c r="A23" s="67" t="str">
        <x:v>N19</x:v>
      </x:c>
      <x:c r="B23" s="67" t="str">
        <x:v>survivor</x:v>
      </x:c>
      <x:c r="C23" s="67" t="str">
        <x:v>capability</x:v>
      </x:c>
      <x:c r="D23" s="67" t="str">
        <x:v>Selection and complete mission proof remain separate</x:v>
      </x:c>
      <x:c r="E23" s="67" t="str">
        <x:v>Capability authority</x:v>
      </x:c>
      <x:c r="F23" s="68" t="n">
        <x:v>0</x:v>
      </x:c>
      <x:c r="G23" s="68" t="n">
        <x:v>0</x:v>
      </x:c>
      <x:c r="H23" s="68" t="n">
        <x:v>0</x:v>
      </x:c>
      <x:c r="I23" s="67" t="str">
        <x:f>IF(AND(COUNTA(A23:E23)=5,F23=0,G23=0,H23=0),"PASS","FAIL")</x:f>
        <x:v>PASS</x:v>
      </x:c>
    </x:row>
    <x:row r="24">
      <x:c r="A24" s="70" t="str">
        <x:v>N20</x:v>
      </x:c>
      <x:c r="B24" s="70" t="str">
        <x:v>selected form</x:v>
      </x:c>
      <x:c r="C24" s="70" t="str">
        <x:v>production</x:v>
      </x:c>
      <x:c r="D24" s="70" t="str">
        <x:v>Selection does not authorize serial manufacture</x:v>
      </x:c>
      <x:c r="E24" s="70" t="str">
        <x:v>Production authority</x:v>
      </x:c>
      <x:c r="F24" s="72" t="n">
        <x:v>0</x:v>
      </x:c>
      <x:c r="G24" s="72" t="n">
        <x:v>0</x:v>
      </x:c>
      <x:c r="H24" s="72" t="n">
        <x:v>0</x:v>
      </x:c>
      <x:c r="I24" s="70" t="str">
        <x:f>IF(AND(COUNTA(A24:E24)=5,F24=0,G24=0,H24=0),"PASS","FAIL")</x:f>
        <x:v>PASS</x:v>
      </x:c>
    </x:row>
  </x:sheetData>
  <x:mergeCells>
    <x:mergeCell ref="A2:I2"/>
  </x:mergeCells>
  <x:conditionalFormatting sqref="I5:I24">
    <x:cfRule type="containsText" dxfId="5" priority="1" operator="containsText" text="FAIL"/>
  </x:conditionalFormatting>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42" hidden="0" customWidth="1"/>
    <x:col min="4" max="4" width="16" hidden="0" customWidth="1"/>
    <x:col min="5" max="5" width="20" hidden="0" customWidth="1"/>
    <x:col min="6" max="6" width="18" hidden="0" customWidth="1"/>
    <x:col min="7" max="7" width="18" hidden="0" customWidth="1"/>
    <x:col min="8" max="8" width="18" hidden="0" customWidth="1"/>
    <x:col min="9" max="9" width="18" hidden="0" customWidth="1"/>
    <x:col min="10" max="10" width="15" hidden="0" customWidth="1"/>
    <x:col min="11" max="11" width="22" hidden="0" customWidth="1"/>
  </x:cols>
  <x:sheetData>
    <x:row r="2">
      <x:c r="A2" s="60" t="str">
        <x:v>Fourteen rollback and return routes</x:v>
      </x:c>
      <x:c r="B2" s="61"/>
      <x:c r="C2" s="61"/>
      <x:c r="D2" s="61"/>
      <x:c r="E2" s="61"/>
      <x:c r="F2" s="61"/>
      <x:c r="G2" s="61"/>
      <x:c r="H2" s="61"/>
      <x:c r="I2" s="61"/>
      <x:c r="J2" s="61"/>
      <x:c r="K2" s="61"/>
    </x:row>
    <x:row r="3">
      <x:c r="A3" s="62"/>
      <x:c r="B3" s="62"/>
      <x:c r="C3" s="62"/>
      <x:c r="D3" s="62"/>
      <x:c r="E3" s="62"/>
      <x:c r="F3" s="62"/>
      <x:c r="G3" s="62"/>
      <x:c r="H3" s="62"/>
      <x:c r="I3" s="62"/>
      <x:c r="J3" s="62"/>
      <x:c r="K3" s="62"/>
    </x:row>
    <x:row r="4" ht="32" customHeight="1">
      <x:c r="A4" s="14" t="str">
        <x:v>Route</x:v>
      </x:c>
      <x:c r="B4" s="15" t="str">
        <x:v>Trigger</x:v>
      </x:c>
      <x:c r="C4" s="15" t="str">
        <x:v>Required action</x:v>
      </x:c>
      <x:c r="D4" s="15" t="str">
        <x:v>Scope</x:v>
      </x:c>
      <x:c r="E4" s="15" t="str">
        <x:v>Reserve preserved</x:v>
      </x:c>
      <x:c r="F4" s="15" t="str">
        <x:v>Evidence reset</x:v>
      </x:c>
      <x:c r="G4" s="15" t="str">
        <x:v>Selection reset</x:v>
      </x:c>
      <x:c r="H4" s="15" t="str">
        <x:v>Review required</x:v>
      </x:c>
      <x:c r="I4" s="15" t="str">
        <x:v>Trigger present</x:v>
      </x:c>
      <x:c r="J4" s="15" t="str">
        <x:v>Route state</x:v>
      </x:c>
      <x:c r="K4" s="16" t="str">
        <x:v>Successor authorized</x:v>
      </x:c>
    </x:row>
    <x:row r="5">
      <x:c r="A5" s="63" t="str">
        <x:v>R01</x:v>
      </x:c>
      <x:c r="B5" s="63" t="str">
        <x:v>Incomplete release gate</x:v>
      </x:c>
      <x:c r="C5" s="63" t="str">
        <x:v>HOLD FORM</x:v>
      </x:c>
      <x:c r="D5" s="63" t="str">
        <x:v>form</x:v>
      </x:c>
      <x:c r="E5" s="64" t="n">
        <x:v>1</x:v>
      </x:c>
      <x:c r="F5" s="64" t="n">
        <x:v>1</x:v>
      </x:c>
      <x:c r="G5" s="64" t="n">
        <x:v>1</x:v>
      </x:c>
      <x:c r="H5" s="64" t="n">
        <x:v>0</x:v>
      </x:c>
      <x:c r="I5" s="64" t="n">
        <x:v>0</x:v>
      </x:c>
      <x:c r="J5" s="63" t="str">
        <x:f>IF(AND(COUNTA(A5:D5)=4,E5=1,F5=1,G5=1,IF(I5=1,H5=1,1),K5=0),"PASS","FAIL")</x:f>
        <x:v>PASS</x:v>
      </x:c>
      <x:c r="K5" s="64" t="n">
        <x:v>0</x:v>
      </x:c>
    </x:row>
    <x:row r="6">
      <x:c r="A6" s="67" t="str">
        <x:v>R02</x:v>
      </x:c>
      <x:c r="B6" s="67" t="str">
        <x:v>Shared beneficial control</x:v>
      </x:c>
      <x:c r="C6" s="67" t="str">
        <x:v>HOLD AFFECTED FORMS</x:v>
      </x:c>
      <x:c r="D6" s="67" t="str">
        <x:v>root</x:v>
      </x:c>
      <x:c r="E6" s="68" t="n">
        <x:v>1</x:v>
      </x:c>
      <x:c r="F6" s="68" t="n">
        <x:v>1</x:v>
      </x:c>
      <x:c r="G6" s="68" t="n">
        <x:v>1</x:v>
      </x:c>
      <x:c r="H6" s="68" t="n">
        <x:v>0</x:v>
      </x:c>
      <x:c r="I6" s="68" t="n">
        <x:v>0</x:v>
      </x:c>
      <x:c r="J6" s="67" t="str">
        <x:f>IF(AND(COUNTA(A6:D6)=4,E6=1,F6=1,G6=1,IF(I6=1,H6=1,1),K6=0),"PASS","FAIL")</x:f>
        <x:v>PASS</x:v>
      </x:c>
      <x:c r="K6" s="68" t="n">
        <x:v>0</x:v>
      </x:c>
    </x:row>
    <x:row r="7">
      <x:c r="A7" s="67" t="str">
        <x:v>R03</x:v>
      </x:c>
      <x:c r="B7" s="67" t="str">
        <x:v>Shared technical environment</x:v>
      </x:c>
      <x:c r="C7" s="67" t="str">
        <x:v>RESEPARATE / REBUILD</x:v>
      </x:c>
      <x:c r="D7" s="67" t="str">
        <x:v>root</x:v>
      </x:c>
      <x:c r="E7" s="68" t="n">
        <x:v>1</x:v>
      </x:c>
      <x:c r="F7" s="68" t="n">
        <x:v>1</x:v>
      </x:c>
      <x:c r="G7" s="68" t="n">
        <x:v>1</x:v>
      </x:c>
      <x:c r="H7" s="68" t="n">
        <x:v>0</x:v>
      </x:c>
      <x:c r="I7" s="68" t="n">
        <x:v>0</x:v>
      </x:c>
      <x:c r="J7" s="67" t="str">
        <x:f>IF(AND(COUNTA(A7:D7)=4,E7=1,F7=1,G7=1,IF(I7=1,H7=1,1),K7=0),"PASS","FAIL")</x:f>
        <x:v>PASS</x:v>
      </x:c>
      <x:c r="K7" s="68" t="n">
        <x:v>0</x:v>
      </x:c>
    </x:row>
    <x:row r="8">
      <x:c r="A8" s="67" t="str">
        <x:v>R04</x:v>
      </x:c>
      <x:c r="B8" s="67" t="str">
        <x:v>Sibling-output access</x:v>
      </x:c>
      <x:c r="C8" s="67" t="str">
        <x:v>QUARANTINE / RESTORE BASELINE</x:v>
      </x:c>
      <x:c r="D8" s="67" t="str">
        <x:v>root</x:v>
      </x:c>
      <x:c r="E8" s="68" t="n">
        <x:v>1</x:v>
      </x:c>
      <x:c r="F8" s="68" t="n">
        <x:v>1</x:v>
      </x:c>
      <x:c r="G8" s="68" t="n">
        <x:v>1</x:v>
      </x:c>
      <x:c r="H8" s="68" t="n">
        <x:v>0</x:v>
      </x:c>
      <x:c r="I8" s="68" t="n">
        <x:v>0</x:v>
      </x:c>
      <x:c r="J8" s="67" t="str">
        <x:f>IF(AND(COUNTA(A8:D8)=4,E8=1,F8=1,G8=1,IF(I8=1,H8=1,1),K8=0),"PASS","FAIL")</x:f>
        <x:v>PASS</x:v>
      </x:c>
      <x:c r="K8" s="68" t="n">
        <x:v>0</x:v>
      </x:c>
    </x:row>
    <x:row r="9">
      <x:c r="A9" s="67" t="str">
        <x:v>R05</x:v>
      </x:c>
      <x:c r="B9" s="67" t="str">
        <x:v>Performance leak across cohorts</x:v>
      </x:c>
      <x:c r="C9" s="67" t="str">
        <x:v>ROOT HOLD / CLEAN TEAM</x:v>
      </x:c>
      <x:c r="D9" s="67" t="str">
        <x:v>root</x:v>
      </x:c>
      <x:c r="E9" s="68" t="n">
        <x:v>1</x:v>
      </x:c>
      <x:c r="F9" s="68" t="n">
        <x:v>1</x:v>
      </x:c>
      <x:c r="G9" s="68" t="n">
        <x:v>1</x:v>
      </x:c>
      <x:c r="H9" s="68" t="n">
        <x:v>0</x:v>
      </x:c>
      <x:c r="I9" s="68" t="n">
        <x:v>0</x:v>
      </x:c>
      <x:c r="J9" s="67" t="str">
        <x:f>IF(AND(COUNTA(A9:D9)=4,E9=1,F9=1,G9=1,IF(I9=1,H9=1,1),K9=0),"PASS","FAIL")</x:f>
        <x:v>PASS</x:v>
      </x:c>
      <x:c r="K9" s="68" t="n">
        <x:v>0</x:v>
      </x:c>
    </x:row>
    <x:row r="10">
      <x:c r="A10" s="67" t="str">
        <x:v>R06</x:v>
      </x:c>
      <x:c r="B10" s="67" t="str">
        <x:v>Partial safety epoch</x:v>
      </x:c>
      <x:c r="C10" s="67" t="str">
        <x:v>VOID EPOCH / ROOT HOLD</x:v>
      </x:c>
      <x:c r="D10" s="67" t="str">
        <x:v>root</x:v>
      </x:c>
      <x:c r="E10" s="68" t="n">
        <x:v>1</x:v>
      </x:c>
      <x:c r="F10" s="68" t="n">
        <x:v>1</x:v>
      </x:c>
      <x:c r="G10" s="68" t="n">
        <x:v>1</x:v>
      </x:c>
      <x:c r="H10" s="68" t="n">
        <x:v>0</x:v>
      </x:c>
      <x:c r="I10" s="68" t="n">
        <x:v>0</x:v>
      </x:c>
      <x:c r="J10" s="67" t="str">
        <x:f>IF(AND(COUNTA(A10:D10)=4,E10=1,F10=1,G10=1,IF(I10=1,H10=1,1),K10=0),"PASS","FAIL")</x:f>
        <x:v>PASS</x:v>
      </x:c>
      <x:c r="K10" s="68" t="n">
        <x:v>0</x:v>
      </x:c>
    </x:row>
    <x:row r="11">
      <x:c r="A11" s="67" t="str">
        <x:v>R07</x:v>
      </x:c>
      <x:c r="B11" s="67" t="str">
        <x:v>Unfunded safety burden</x:v>
      </x:c>
      <x:c r="C11" s="67" t="str">
        <x:v>ROOT HOLD</x:v>
      </x:c>
      <x:c r="D11" s="67" t="str">
        <x:v>root</x:v>
      </x:c>
      <x:c r="E11" s="68" t="n">
        <x:v>1</x:v>
      </x:c>
      <x:c r="F11" s="68" t="n">
        <x:v>1</x:v>
      </x:c>
      <x:c r="G11" s="68" t="n">
        <x:v>1</x:v>
      </x:c>
      <x:c r="H11" s="68" t="n">
        <x:v>0</x:v>
      </x:c>
      <x:c r="I11" s="68" t="n">
        <x:v>0</x:v>
      </x:c>
      <x:c r="J11" s="67" t="str">
        <x:f>IF(AND(COUNTA(A11:D11)=4,E11=1,F11=1,G11=1,IF(I11=1,H11=1,1),K11=0),"PASS","FAIL")</x:f>
        <x:v>PASS</x:v>
      </x:c>
      <x:c r="K11" s="68" t="n">
        <x:v>0</x:v>
      </x:c>
    </x:row>
    <x:row r="12">
      <x:c r="A12" s="67" t="str">
        <x:v>R08</x:v>
      </x:c>
      <x:c r="B12" s="67" t="str">
        <x:v>Invalid design artifact</x:v>
      </x:c>
      <x:c r="C12" s="67" t="str">
        <x:v>REWORK OR TERMINATE</x:v>
      </x:c>
      <x:c r="D12" s="67" t="str">
        <x:v>form</x:v>
      </x:c>
      <x:c r="E12" s="68" t="n">
        <x:v>1</x:v>
      </x:c>
      <x:c r="F12" s="68" t="n">
        <x:v>1</x:v>
      </x:c>
      <x:c r="G12" s="68" t="n">
        <x:v>1</x:v>
      </x:c>
      <x:c r="H12" s="68" t="n">
        <x:v>0</x:v>
      </x:c>
      <x:c r="I12" s="68" t="n">
        <x:v>0</x:v>
      </x:c>
      <x:c r="J12" s="67" t="str">
        <x:f>IF(AND(COUNTA(A12:D12)=4,E12=1,F12=1,G12=1,IF(I12=1,H12=1,1),K12=0),"PASS","FAIL")</x:f>
        <x:v>PASS</x:v>
      </x:c>
      <x:c r="K12" s="68" t="n">
        <x:v>0</x:v>
      </x:c>
    </x:row>
    <x:row r="13">
      <x:c r="A13" s="67" t="str">
        <x:v>R09</x:v>
      </x:c>
      <x:c r="B13" s="67" t="str">
        <x:v>Improper payment</x:v>
      </x:c>
      <x:c r="C13" s="67" t="str">
        <x:v>RECOVER / HOLD PAYMENTS</x:v>
      </x:c>
      <x:c r="D13" s="67" t="str">
        <x:v>form</x:v>
      </x:c>
      <x:c r="E13" s="68" t="n">
        <x:v>1</x:v>
      </x:c>
      <x:c r="F13" s="68" t="n">
        <x:v>1</x:v>
      </x:c>
      <x:c r="G13" s="68" t="n">
        <x:v>1</x:v>
      </x:c>
      <x:c r="H13" s="68" t="n">
        <x:v>0</x:v>
      </x:c>
      <x:c r="I13" s="68" t="n">
        <x:v>0</x:v>
      </x:c>
      <x:c r="J13" s="67" t="str">
        <x:f>IF(AND(COUNTA(A13:D13)=4,E13=1,F13=1,G13=1,IF(I13=1,H13=1,1),K13=0),"PASS","FAIL")</x:f>
        <x:v>PASS</x:v>
      </x:c>
      <x:c r="K13" s="68" t="n">
        <x:v>0</x:v>
      </x:c>
    </x:row>
    <x:row r="14">
      <x:c r="A14" s="67" t="str">
        <x:v>R10</x:v>
      </x:c>
      <x:c r="B14" s="67" t="str">
        <x:v>Contaminated observation</x:v>
      </x:c>
      <x:c r="C14" s="67" t="str">
        <x:v>VOID RECORD / REPEAT</x:v>
      </x:c>
      <x:c r="D14" s="67" t="str">
        <x:v>event</x:v>
      </x:c>
      <x:c r="E14" s="68" t="n">
        <x:v>1</x:v>
      </x:c>
      <x:c r="F14" s="68" t="n">
        <x:v>1</x:v>
      </x:c>
      <x:c r="G14" s="68" t="n">
        <x:v>1</x:v>
      </x:c>
      <x:c r="H14" s="68" t="n">
        <x:v>0</x:v>
      </x:c>
      <x:c r="I14" s="68" t="n">
        <x:v>0</x:v>
      </x:c>
      <x:c r="J14" s="67" t="str">
        <x:f>IF(AND(COUNTA(A14:D14)=4,E14=1,F14=1,G14=1,IF(I14=1,H14=1,1),K14=0),"PASS","FAIL")</x:f>
        <x:v>PASS</x:v>
      </x:c>
      <x:c r="K14" s="68" t="n">
        <x:v>0</x:v>
      </x:c>
    </x:row>
    <x:row r="15">
      <x:c r="A15" s="67" t="str">
        <x:v>R11</x:v>
      </x:c>
      <x:c r="B15" s="67" t="str">
        <x:v>Premature selection</x:v>
      </x:c>
      <x:c r="C15" s="67" t="str">
        <x:v>VOID WARRANT / RESET COURT</x:v>
      </x:c>
      <x:c r="D15" s="67" t="str">
        <x:v>root</x:v>
      </x:c>
      <x:c r="E15" s="68" t="n">
        <x:v>1</x:v>
      </x:c>
      <x:c r="F15" s="68" t="n">
        <x:v>1</x:v>
      </x:c>
      <x:c r="G15" s="68" t="n">
        <x:v>1</x:v>
      </x:c>
      <x:c r="H15" s="68" t="n">
        <x:v>0</x:v>
      </x:c>
      <x:c r="I15" s="68" t="n">
        <x:v>0</x:v>
      </x:c>
      <x:c r="J15" s="67" t="str">
        <x:f>IF(AND(COUNTA(A15:D15)=4,E15=1,F15=1,G15=1,IF(I15=1,H15=1,1),K15=0),"PASS","FAIL")</x:f>
        <x:v>PASS</x:v>
      </x:c>
      <x:c r="K15" s="68" t="n">
        <x:v>0</x:v>
      </x:c>
    </x:row>
    <x:row r="16">
      <x:c r="A16" s="67" t="str">
        <x:v>R12</x:v>
      </x:c>
      <x:c r="B16" s="67" t="str">
        <x:v>Fifth branch pass reached</x:v>
      </x:c>
      <x:c r="C16" s="67" t="str">
        <x:v>RETURN TO PARENT</x:v>
      </x:c>
      <x:c r="D16" s="67" t="str">
        <x:v>branch</x:v>
      </x:c>
      <x:c r="E16" s="68" t="n">
        <x:v>1</x:v>
      </x:c>
      <x:c r="F16" s="68" t="n">
        <x:v>1</x:v>
      </x:c>
      <x:c r="G16" s="68" t="n">
        <x:v>1</x:v>
      </x:c>
      <x:c r="H16" s="68" t="n">
        <x:v>1</x:v>
      </x:c>
      <x:c r="I16" s="68" t="n">
        <x:v>0</x:v>
      </x:c>
      <x:c r="J16" s="67" t="str">
        <x:f>IF(AND(COUNTA(A16:D16)=4,E16=1,F16=1,G16=1,IF(I16=1,H16=1,1),K16=0),"PASS","FAIL")</x:f>
        <x:v>PASS</x:v>
      </x:c>
      <x:c r="K16" s="68" t="n">
        <x:v>0</x:v>
      </x:c>
    </x:row>
    <x:row r="17">
      <x:c r="A17" s="67" t="str">
        <x:v>R13</x:v>
      </x:c>
      <x:c r="B17" s="67" t="str">
        <x:v>Ten passes without branch kill</x:v>
      </x:c>
      <x:c r="C17" s="67" t="str">
        <x:v>HALT / HUMAN REVIEW</x:v>
      </x:c>
      <x:c r="D17" s="67" t="str">
        <x:v>project</x:v>
      </x:c>
      <x:c r="E17" s="68" t="n">
        <x:v>1</x:v>
      </x:c>
      <x:c r="F17" s="68" t="n">
        <x:v>1</x:v>
      </x:c>
      <x:c r="G17" s="68" t="n">
        <x:v>1</x:v>
      </x:c>
      <x:c r="H17" s="68" t="n">
        <x:v>1</x:v>
      </x:c>
      <x:c r="I17" s="84" t="n">
        <x:v>1</x:v>
      </x:c>
      <x:c r="J17" s="85" t="str">
        <x:f>IF(AND(COUNTA(A17:D17)=4,E17=1,F17=1,G17=1,IF(I17=1,H17=1,1),K17=0),"PASS","FAIL")</x:f>
        <x:v>PASS</x:v>
      </x:c>
      <x:c r="K17" s="84" t="n">
        <x:v>0</x:v>
      </x:c>
    </x:row>
    <x:row r="18">
      <x:c r="A18" s="70" t="str">
        <x:v>R14</x:v>
      </x:c>
      <x:c r="B18" s="70" t="str">
        <x:v>Expired authority warrant</x:v>
      </x:c>
      <x:c r="C18" s="70" t="str">
        <x:v>HOLD / REISSUE OR CLOSE</x:v>
      </x:c>
      <x:c r="D18" s="70" t="str">
        <x:v>warrant</x:v>
      </x:c>
      <x:c r="E18" s="72" t="n">
        <x:v>1</x:v>
      </x:c>
      <x:c r="F18" s="72" t="n">
        <x:v>1</x:v>
      </x:c>
      <x:c r="G18" s="72" t="n">
        <x:v>1</x:v>
      </x:c>
      <x:c r="H18" s="72" t="n">
        <x:v>0</x:v>
      </x:c>
      <x:c r="I18" s="72" t="n">
        <x:v>0</x:v>
      </x:c>
      <x:c r="J18" s="70" t="str">
        <x:f>IF(AND(COUNTA(A18:D18)=4,E18=1,F18=1,G18=1,IF(I18=1,H18=1,1),K18=0),"PASS","FAIL")</x:f>
        <x:v>PASS</x:v>
      </x:c>
      <x:c r="K18" s="72" t="n">
        <x:v>0</x:v>
      </x:c>
    </x:row>
  </x:sheetData>
  <x:mergeCells>
    <x:mergeCell ref="A2:K2"/>
  </x:mergeCells>
  <x:conditionalFormatting sqref="J5:J18">
    <x:cfRule type="containsText" dxfId="6" priority="1" operator="containsText" text="FAIL"/>
  </x:conditionalFormatting>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40" hidden="0" customWidth="1"/>
    <x:col min="4" max="4" width="18" hidden="0" customWidth="1"/>
    <x:col min="5" max="5" width="18" hidden="0" customWidth="1"/>
    <x:col min="6" max="6" width="18" hidden="0" customWidth="1"/>
    <x:col min="7" max="7" width="18" hidden="0" customWidth="1"/>
    <x:col min="8" max="8" width="28" hidden="0" customWidth="1"/>
    <x:col min="9" max="9" width="16" hidden="0" customWidth="1"/>
    <x:col min="10" max="10" width="25" hidden="0" customWidth="1"/>
    <x:col min="11" max="11" width="15" hidden="0" customWidth="1"/>
    <x:col min="12" max="12" width="33" hidden="0" customWidth="1"/>
  </x:cols>
  <x:sheetData>
    <x:row r="2">
      <x:c r="A2" s="60" t="str">
        <x:v>Form-learning and selection state machine</x:v>
      </x:c>
      <x:c r="B2" s="61"/>
      <x:c r="C2" s="61"/>
      <x:c r="D2" s="61"/>
      <x:c r="E2" s="61"/>
      <x:c r="F2" s="61"/>
      <x:c r="G2" s="61"/>
      <x:c r="H2" s="61"/>
      <x:c r="I2" s="61"/>
      <x:c r="J2" s="61"/>
      <x:c r="K2" s="61"/>
      <x:c r="L2" s="61"/>
    </x:row>
    <x:row r="3">
      <x:c r="A3" s="62"/>
      <x:c r="B3" s="62"/>
      <x:c r="C3" s="62"/>
      <x:c r="D3" s="62"/>
      <x:c r="E3" s="62"/>
      <x:c r="F3" s="62"/>
      <x:c r="G3" s="62"/>
      <x:c r="H3" s="62"/>
      <x:c r="I3" s="62"/>
      <x:c r="J3" s="62"/>
      <x:c r="K3" s="62"/>
      <x:c r="L3" s="62"/>
    </x:row>
    <x:row r="4" ht="32" customHeight="1">
      <x:c r="A4" s="14" t="str">
        <x:v>State</x:v>
      </x:c>
      <x:c r="B4" s="15" t="str">
        <x:v>Meaning</x:v>
      </x:c>
      <x:c r="C4" s="15" t="str">
        <x:v>Authority meaning</x:v>
      </x:c>
      <x:c r="D4" s="15" t="str">
        <x:v>Current records</x:v>
      </x:c>
      <x:c r="E4" s="15" t="str">
        <x:v>Payment credit</x:v>
      </x:c>
      <x:c r="F4" s="15" t="str">
        <x:v>Evidence credit</x:v>
      </x:c>
      <x:c r="G4" s="15" t="str">
        <x:v>Selection credit</x:v>
      </x:c>
      <x:c r="H4" s="15" t="str">
        <x:v>Next state</x:v>
      </x:c>
      <x:c r="I4" s="15" t="str">
        <x:v>Irreversible</x:v>
      </x:c>
      <x:c r="J4" s="15" t="str">
        <x:v>Requires separate warrant</x:v>
      </x:c>
      <x:c r="K4" s="15" t="str">
        <x:v>State check</x:v>
      </x:c>
      <x:c r="L4" s="16" t="str">
        <x:v>Actual state source</x:v>
      </x:c>
    </x:row>
    <x:row r="5">
      <x:c r="A5" s="63" t="str">
        <x:v>S00</x:v>
      </x:c>
      <x:c r="B5" s="63" t="str">
        <x:v>REP-3 ISSUED</x:v>
      </x:c>
      <x:c r="C5" s="63" t="str">
        <x:v>Comparative representation</x:v>
      </x:c>
      <x:c r="D5" s="64" t="n">
        <x:v>0</x:v>
      </x:c>
      <x:c r="E5" s="64" t="n">
        <x:v>0</x:v>
      </x:c>
      <x:c r="F5" s="64" t="n">
        <x:v>0</x:v>
      </x:c>
      <x:c r="G5" s="64" t="n">
        <x:v>0</x:v>
      </x:c>
      <x:c r="H5" s="63" t="str">
        <x:v>S10</x:v>
      </x:c>
      <x:c r="I5" s="64" t="n">
        <x:v>0</x:v>
      </x:c>
      <x:c r="J5" s="64" t="n">
        <x:v>1</x:v>
      </x:c>
      <x:c r="K5" s="63" t="str">
        <x:f>IF(AND(COUNTA(A5:C5)=3,E5=0,F5=0,G5=0,I5=0,J5=1),"PASS","FAIL")</x:f>
        <x:v>PASS</x:v>
      </x:c>
      <x:c r="L5" s="63" t="str">
        <x:v>No current records</x:v>
      </x:c>
    </x:row>
    <x:row r="6">
      <x:c r="A6" s="67" t="str">
        <x:v>S10</x:v>
      </x:c>
      <x:c r="B6" s="67" t="str">
        <x:v>WARRANT ELIGIBLE</x:v>
      </x:c>
      <x:c r="C6" s="67" t="str">
        <x:v>Learning authority available</x:v>
      </x:c>
      <x:c r="D6" s="68" t="n">
        <x:v>0</x:v>
      </x:c>
      <x:c r="E6" s="68" t="n">
        <x:v>0</x:v>
      </x:c>
      <x:c r="F6" s="68" t="n">
        <x:v>0</x:v>
      </x:c>
      <x:c r="G6" s="68" t="n">
        <x:v>0</x:v>
      </x:c>
      <x:c r="H6" s="67" t="str">
        <x:v>S20</x:v>
      </x:c>
      <x:c r="I6" s="68" t="n">
        <x:v>0</x:v>
      </x:c>
      <x:c r="J6" s="68" t="n">
        <x:v>1</x:v>
      </x:c>
      <x:c r="K6" s="67" t="str">
        <x:f>IF(AND(COUNTA(A6:C6)=3,E6=0,F6=0,G6=0,I6=0,J6=1),"PASS","FAIL")</x:f>
        <x:v>PASS</x:v>
      </x:c>
      <x:c r="L6" s="67" t="str">
        <x:v>No current records</x:v>
      </x:c>
    </x:row>
    <x:row r="7">
      <x:c r="A7" s="67" t="str">
        <x:v>S20</x:v>
      </x:c>
      <x:c r="B7" s="67" t="str">
        <x:v>ISSUED / RESERVED</x:v>
      </x:c>
      <x:c r="C7" s="67" t="str">
        <x:v>Equal legal standing</x:v>
      </x:c>
      <x:c r="D7" s="68" t="n">
        <x:v>12</x:v>
      </x:c>
      <x:c r="E7" s="68" t="n">
        <x:v>0</x:v>
      </x:c>
      <x:c r="F7" s="68" t="n">
        <x:v>0</x:v>
      </x:c>
      <x:c r="G7" s="68" t="n">
        <x:v>0</x:v>
      </x:c>
      <x:c r="H7" s="67" t="str">
        <x:v>S30 or HOLD</x:v>
      </x:c>
      <x:c r="I7" s="68" t="n">
        <x:v>0</x:v>
      </x:c>
      <x:c r="J7" s="68" t="n">
        <x:v>1</x:v>
      </x:c>
      <x:c r="K7" s="67" t="str">
        <x:f>IF(AND(COUNTA(A7:C7)=3,E7=0,F7=0,G7=0,I7=0,J7=1),"PASS","FAIL")</x:f>
        <x:v>PASS</x:v>
      </x:c>
      <x:c r="L7" s="67" t="str">
        <x:v>Warrant Ledger: twelve held</x:v>
      </x:c>
    </x:row>
    <x:row r="8">
      <x:c r="A8" s="67" t="str">
        <x:v>S30</x:v>
      </x:c>
      <x:c r="B8" s="67" t="str">
        <x:v>COHORT SCHEDULED</x:v>
      </x:c>
      <x:c r="C8" s="67" t="str">
        <x:v>Calendar position fixed</x:v>
      </x:c>
      <x:c r="D8" s="68" t="n">
        <x:v>0</x:v>
      </x:c>
      <x:c r="E8" s="68" t="n">
        <x:v>0</x:v>
      </x:c>
      <x:c r="F8" s="68" t="n">
        <x:v>0</x:v>
      </x:c>
      <x:c r="G8" s="68" t="n">
        <x:v>0</x:v>
      </x:c>
      <x:c r="H8" s="67" t="str">
        <x:v>S40</x:v>
      </x:c>
      <x:c r="I8" s="68" t="n">
        <x:v>0</x:v>
      </x:c>
      <x:c r="J8" s="68" t="n">
        <x:v>1</x:v>
      </x:c>
      <x:c r="K8" s="67" t="str">
        <x:f>IF(AND(COUNTA(A8:C8)=3,E8=0,F8=0,G8=0,I8=0,J8=1),"PASS","FAIL")</x:f>
        <x:v>PASS</x:v>
      </x:c>
      <x:c r="L8" s="67" t="str">
        <x:v>No current records</x:v>
      </x:c>
    </x:row>
    <x:row r="9">
      <x:c r="A9" s="67" t="str">
        <x:v>S40</x:v>
      </x:c>
      <x:c r="B9" s="67" t="str">
        <x:v>RELEASE GATES COMPLETE</x:v>
      </x:c>
      <x:c r="C9" s="67" t="str">
        <x:v>Administrative release</x:v>
      </x:c>
      <x:c r="D9" s="68" t="n">
        <x:v>0</x:v>
      </x:c>
      <x:c r="E9" s="68" t="n">
        <x:v>0</x:v>
      </x:c>
      <x:c r="F9" s="68" t="n">
        <x:v>0</x:v>
      </x:c>
      <x:c r="G9" s="68" t="n">
        <x:v>0</x:v>
      </x:c>
      <x:c r="H9" s="67" t="str">
        <x:v>S50</x:v>
      </x:c>
      <x:c r="I9" s="68" t="n">
        <x:v>0</x:v>
      </x:c>
      <x:c r="J9" s="68" t="n">
        <x:v>1</x:v>
      </x:c>
      <x:c r="K9" s="67" t="str">
        <x:f>IF(AND(COUNTA(A9:C9)=3,E9=0,F9=0,G9=0,I9=0,J9=1),"PASS","FAIL")</x:f>
        <x:v>PASS</x:v>
      </x:c>
      <x:c r="L9" s="67" t="str">
        <x:v>No current records</x:v>
      </x:c>
    </x:row>
    <x:row r="10">
      <x:c r="A10" s="67" t="str">
        <x:v>S50</x:v>
      </x:c>
      <x:c r="B10" s="67" t="str">
        <x:v>OBLIGATED</x:v>
      </x:c>
      <x:c r="C10" s="67" t="str">
        <x:v>Legal liability</x:v>
      </x:c>
      <x:c r="D10" s="68" t="n">
        <x:v>0</x:v>
      </x:c>
      <x:c r="E10" s="68" t="n">
        <x:v>0</x:v>
      </x:c>
      <x:c r="F10" s="68" t="n">
        <x:v>0</x:v>
      </x:c>
      <x:c r="G10" s="68" t="n">
        <x:v>0</x:v>
      </x:c>
      <x:c r="H10" s="67" t="str">
        <x:v>S60</x:v>
      </x:c>
      <x:c r="I10" s="68" t="n">
        <x:v>0</x:v>
      </x:c>
      <x:c r="J10" s="68" t="n">
        <x:v>1</x:v>
      </x:c>
      <x:c r="K10" s="67" t="str">
        <x:f>IF(AND(COUNTA(A10:C10)=3,E10=0,F10=0,G10=0,I10=0,J10=1),"PASS","FAIL")</x:f>
        <x:v>PASS</x:v>
      </x:c>
      <x:c r="L10" s="67" t="str">
        <x:v>No current records</x:v>
      </x:c>
    </x:row>
    <x:row r="11">
      <x:c r="A11" s="67" t="str">
        <x:v>S60</x:v>
      </x:c>
      <x:c r="B11" s="67" t="str">
        <x:v>NOTICE TO PROCEED</x:v>
      </x:c>
      <x:c r="C11" s="67" t="str">
        <x:v>Execution permission</x:v>
      </x:c>
      <x:c r="D11" s="68" t="n">
        <x:v>0</x:v>
      </x:c>
      <x:c r="E11" s="68" t="n">
        <x:v>0</x:v>
      </x:c>
      <x:c r="F11" s="68" t="n">
        <x:v>0</x:v>
      </x:c>
      <x:c r="G11" s="68" t="n">
        <x:v>0</x:v>
      </x:c>
      <x:c r="H11" s="67" t="str">
        <x:v>S70</x:v>
      </x:c>
      <x:c r="I11" s="68" t="n">
        <x:v>0</x:v>
      </x:c>
      <x:c r="J11" s="68" t="n">
        <x:v>1</x:v>
      </x:c>
      <x:c r="K11" s="67" t="str">
        <x:f>IF(AND(COUNTA(A11:C11)=3,E11=0,F11=0,G11=0,I11=0,J11=1),"PASS","FAIL")</x:f>
        <x:v>PASS</x:v>
      </x:c>
      <x:c r="L11" s="67" t="str">
        <x:v>No current records</x:v>
      </x:c>
    </x:row>
    <x:row r="12">
      <x:c r="A12" s="67" t="str">
        <x:v>S70</x:v>
      </x:c>
      <x:c r="B12" s="67" t="str">
        <x:v>WORK ACTIVE</x:v>
      </x:c>
      <x:c r="C12" s="67" t="str">
        <x:v>Design work</x:v>
      </x:c>
      <x:c r="D12" s="68" t="n">
        <x:v>6</x:v>
      </x:c>
      <x:c r="E12" s="68" t="n">
        <x:v>0</x:v>
      </x:c>
      <x:c r="F12" s="68" t="n">
        <x:v>0</x:v>
      </x:c>
      <x:c r="G12" s="68" t="n">
        <x:v>0</x:v>
      </x:c>
      <x:c r="H12" s="67" t="str">
        <x:v>S80</x:v>
      </x:c>
      <x:c r="I12" s="68" t="n">
        <x:v>0</x:v>
      </x:c>
      <x:c r="J12" s="68" t="n">
        <x:v>1</x:v>
      </x:c>
      <x:c r="K12" s="67" t="str">
        <x:f>IF(AND(COUNTA(A12:C12)=3,E12=0,F12=0,G12=0,I12=0,J12=1),"PASS","FAIL")</x:f>
        <x:v>PASS</x:v>
      </x:c>
      <x:c r="L12" s="67" t="str">
        <x:v>Warrant Ledger: six active</x:v>
      </x:c>
    </x:row>
    <x:row r="13">
      <x:c r="A13" s="67" t="str">
        <x:v>S80</x:v>
      </x:c>
      <x:c r="B13" s="67" t="str">
        <x:v>ARTIFACT SUBMITTED</x:v>
      </x:c>
      <x:c r="C13" s="67" t="str">
        <x:v>Unaccepted design record</x:v>
      </x:c>
      <x:c r="D13" s="68" t="n">
        <x:v>0</x:v>
      </x:c>
      <x:c r="E13" s="68" t="n">
        <x:v>0</x:v>
      </x:c>
      <x:c r="F13" s="68" t="n">
        <x:v>0</x:v>
      </x:c>
      <x:c r="G13" s="68" t="n">
        <x:v>0</x:v>
      </x:c>
      <x:c r="H13" s="67" t="str">
        <x:v>S90, REWORK or TERMINATE</x:v>
      </x:c>
      <x:c r="I13" s="68" t="n">
        <x:v>0</x:v>
      </x:c>
      <x:c r="J13" s="68" t="n">
        <x:v>1</x:v>
      </x:c>
      <x:c r="K13" s="67" t="str">
        <x:f>IF(AND(COUNTA(A13:C13)=3,E13=0,F13=0,G13=0,I13=0,J13=1),"PASS","FAIL")</x:f>
        <x:v>PASS</x:v>
      </x:c>
      <x:c r="L13" s="67" t="str">
        <x:v>No current records</x:v>
      </x:c>
    </x:row>
    <x:row r="14">
      <x:c r="A14" s="67" t="str">
        <x:v>S90</x:v>
      </x:c>
      <x:c r="B14" s="67" t="str">
        <x:v>ARTIFACT ACCEPTED</x:v>
      </x:c>
      <x:c r="C14" s="67" t="str">
        <x:v>Payment eligibility only</x:v>
      </x:c>
      <x:c r="D14" s="68" t="n">
        <x:v>0</x:v>
      </x:c>
      <x:c r="E14" s="68" t="n">
        <x:v>0</x:v>
      </x:c>
      <x:c r="F14" s="68" t="n">
        <x:v>0</x:v>
      </x:c>
      <x:c r="G14" s="68" t="n">
        <x:v>0</x:v>
      </x:c>
      <x:c r="H14" s="67" t="str">
        <x:v>S100</x:v>
      </x:c>
      <x:c r="I14" s="68" t="n">
        <x:v>0</x:v>
      </x:c>
      <x:c r="J14" s="68" t="n">
        <x:v>1</x:v>
      </x:c>
      <x:c r="K14" s="67" t="str">
        <x:f>IF(AND(COUNTA(A14:C14)=3,E14=0,F14=0,G14=0,I14=0,J14=1),"PASS","FAIL")</x:f>
        <x:v>PASS</x:v>
      </x:c>
      <x:c r="L14" s="67" t="str">
        <x:v>No current records</x:v>
      </x:c>
    </x:row>
    <x:row r="15">
      <x:c r="A15" s="67" t="str">
        <x:v>S100</x:v>
      </x:c>
      <x:c r="B15" s="67" t="str">
        <x:v>PAID</x:v>
      </x:c>
      <x:c r="C15" s="67" t="str">
        <x:v>Cash finality only</x:v>
      </x:c>
      <x:c r="D15" s="68" t="n">
        <x:v>0</x:v>
      </x:c>
      <x:c r="E15" s="68" t="n">
        <x:v>0</x:v>
      </x:c>
      <x:c r="F15" s="68" t="n">
        <x:v>0</x:v>
      </x:c>
      <x:c r="G15" s="68" t="n">
        <x:v>0</x:v>
      </x:c>
      <x:c r="H15" s="67" t="str">
        <x:v>S110</x:v>
      </x:c>
      <x:c r="I15" s="68" t="n">
        <x:v>0</x:v>
      </x:c>
      <x:c r="J15" s="68" t="n">
        <x:v>1</x:v>
      </x:c>
      <x:c r="K15" s="67" t="str">
        <x:f>IF(AND(COUNTA(A15:C15)=3,E15=0,F15=0,G15=0,I15=0,J15=1),"PASS","FAIL")</x:f>
        <x:v>PASS</x:v>
      </x:c>
      <x:c r="L15" s="67" t="str">
        <x:v>No current records</x:v>
      </x:c>
    </x:row>
    <x:row r="16">
      <x:c r="A16" s="67" t="str">
        <x:v>S110</x:v>
      </x:c>
      <x:c r="B16" s="67" t="str">
        <x:v>EVIDENCE HELD</x:v>
      </x:c>
      <x:c r="C16" s="67" t="str">
        <x:v>Await controlled event</x:v>
      </x:c>
      <x:c r="D16" s="68" t="n">
        <x:v>0</x:v>
      </x:c>
      <x:c r="E16" s="68" t="n">
        <x:v>0</x:v>
      </x:c>
      <x:c r="F16" s="68" t="n">
        <x:v>0</x:v>
      </x:c>
      <x:c r="G16" s="68" t="n">
        <x:v>0</x:v>
      </x:c>
      <x:c r="H16" s="67" t="str">
        <x:v>S120</x:v>
      </x:c>
      <x:c r="I16" s="68" t="n">
        <x:v>0</x:v>
      </x:c>
      <x:c r="J16" s="68" t="n">
        <x:v>1</x:v>
      </x:c>
      <x:c r="K16" s="67" t="str">
        <x:f>IF(AND(COUNTA(A16:C16)=3,E16=0,F16=0,G16=0,I16=0,J16=1),"PASS","FAIL")</x:f>
        <x:v>PASS</x:v>
      </x:c>
      <x:c r="L16" s="67" t="str">
        <x:v>No current records</x:v>
      </x:c>
    </x:row>
    <x:row r="17">
      <x:c r="A17" s="67" t="str">
        <x:v>S120</x:v>
      </x:c>
      <x:c r="B17" s="67" t="str">
        <x:v>OBSERVATION ACCEPTED</x:v>
      </x:c>
      <x:c r="C17" s="67" t="str">
        <x:v>One domain record</x:v>
      </x:c>
      <x:c r="D17" s="68" t="n">
        <x:v>0</x:v>
      </x:c>
      <x:c r="E17" s="68" t="n">
        <x:v>0</x:v>
      </x:c>
      <x:c r="F17" s="68" t="n">
        <x:v>0</x:v>
      </x:c>
      <x:c r="G17" s="68" t="n">
        <x:v>0</x:v>
      </x:c>
      <x:c r="H17" s="67" t="str">
        <x:v>S130 or WITHDRAW</x:v>
      </x:c>
      <x:c r="I17" s="68" t="n">
        <x:v>0</x:v>
      </x:c>
      <x:c r="J17" s="68" t="n">
        <x:v>1</x:v>
      </x:c>
      <x:c r="K17" s="67" t="str">
        <x:f>IF(AND(COUNTA(A17:C17)=3,E17=0,F17=0,G17=0,I17=0,J17=1),"PASS","FAIL")</x:f>
        <x:v>PASS</x:v>
      </x:c>
      <x:c r="L17" s="67" t="str">
        <x:v>No current records</x:v>
      </x:c>
    </x:row>
    <x:row r="18">
      <x:c r="A18" s="67" t="str">
        <x:v>S130</x:v>
      </x:c>
      <x:c r="B18" s="67" t="str">
        <x:v>SURVIVOR</x:v>
      </x:c>
      <x:c r="C18" s="67" t="str">
        <x:v>Six accepted passes</x:v>
      </x:c>
      <x:c r="D18" s="68" t="n">
        <x:v>0</x:v>
      </x:c>
      <x:c r="E18" s="68" t="n">
        <x:v>0</x:v>
      </x:c>
      <x:c r="F18" s="68" t="n">
        <x:v>0</x:v>
      </x:c>
      <x:c r="G18" s="68" t="n">
        <x:v>0</x:v>
      </x:c>
      <x:c r="H18" s="67" t="str">
        <x:v>S140</x:v>
      </x:c>
      <x:c r="I18" s="68" t="n">
        <x:v>0</x:v>
      </x:c>
      <x:c r="J18" s="68" t="n">
        <x:v>1</x:v>
      </x:c>
      <x:c r="K18" s="67" t="str">
        <x:f>IF(AND(COUNTA(A18:C18)=3,E18=0,F18=0,G18=0,I18=0,J18=1),"PASS","FAIL")</x:f>
        <x:v>PASS</x:v>
      </x:c>
      <x:c r="L18" s="67" t="str">
        <x:v>No current records</x:v>
      </x:c>
    </x:row>
    <x:row r="19">
      <x:c r="A19" s="67" t="str">
        <x:v>S140</x:v>
      </x:c>
      <x:c r="B19" s="67" t="str">
        <x:v>SELECTED</x:v>
      </x:c>
      <x:c r="C19" s="67" t="str">
        <x:v>Independent comparative warrant</x:v>
      </x:c>
      <x:c r="D19" s="68" t="n">
        <x:v>0</x:v>
      </x:c>
      <x:c r="E19" s="68" t="n">
        <x:v>0</x:v>
      </x:c>
      <x:c r="F19" s="68" t="n">
        <x:v>0</x:v>
      </x:c>
      <x:c r="G19" s="68" t="n">
        <x:v>0</x:v>
      </x:c>
      <x:c r="H19" s="67" t="str">
        <x:v>S150</x:v>
      </x:c>
      <x:c r="I19" s="68" t="n">
        <x:v>0</x:v>
      </x:c>
      <x:c r="J19" s="68" t="n">
        <x:v>1</x:v>
      </x:c>
      <x:c r="K19" s="67" t="str">
        <x:f>IF(AND(COUNTA(A19:C19)=3,E19=0,F19=0,G19=0,I19=0,J19=1),"PASS","FAIL")</x:f>
        <x:v>PASS</x:v>
      </x:c>
      <x:c r="L19" s="67" t="str">
        <x:v>No current records</x:v>
      </x:c>
    </x:row>
    <x:row r="20">
      <x:c r="A20" s="70" t="str">
        <x:v>S150</x:v>
      </x:c>
      <x:c r="B20" s="70" t="str">
        <x:v>CAPABILITY HELD</x:v>
      </x:c>
      <x:c r="C20" s="70" t="str">
        <x:v>Mission proof still required</x:v>
      </x:c>
      <x:c r="D20" s="72" t="n">
        <x:v>0</x:v>
      </x:c>
      <x:c r="E20" s="72" t="n">
        <x:v>0</x:v>
      </x:c>
      <x:c r="F20" s="72" t="n">
        <x:v>0</x:v>
      </x:c>
      <x:c r="G20" s="72" t="n">
        <x:v>0</x:v>
      </x:c>
      <x:c r="H20" s="70" t="str">
        <x:v>future</x:v>
      </x:c>
      <x:c r="I20" s="72" t="n">
        <x:v>0</x:v>
      </x:c>
      <x:c r="J20" s="72" t="n">
        <x:v>1</x:v>
      </x:c>
      <x:c r="K20" s="70" t="str">
        <x:f>IF(AND(COUNTA(A20:C20)=3,E20=0,F20=0,G20=0,I20=0,J20=1),"PASS","FAIL")</x:f>
        <x:v>PASS</x:v>
      </x:c>
      <x:c r="L20" s="70" t="str">
        <x:v>No current records</x:v>
      </x:c>
    </x:row>
  </x:sheetData>
  <x:mergeCells>
    <x:mergeCell ref="A2:L2"/>
  </x:mergeCells>
  <x:conditionalFormatting sqref="K5:K20">
    <x:cfRule type="containsText" dxfId="7" priority="1" operator="containsText" text="FAIL"/>
  </x:conditionalFormatting>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6" hidden="0" customWidth="1"/>
    <x:col min="3" max="3" width="16" hidden="0" customWidth="1"/>
    <x:col min="4" max="4" width="40" hidden="0" customWidth="1"/>
    <x:col min="5" max="5" width="14" hidden="0" customWidth="1"/>
    <x:col min="6" max="6" width="14" hidden="0" customWidth="1"/>
    <x:col min="7" max="7" width="13" hidden="0" customWidth="1"/>
    <x:col min="8" max="8" width="18" hidden="0" customWidth="1"/>
    <x:col min="9" max="9" width="14" hidden="0" customWidth="1"/>
    <x:col min="10" max="10" width="20" hidden="0" customWidth="1"/>
    <x:col min="11" max="11" width="16" hidden="0" customWidth="1"/>
  </x:cols>
  <x:sheetData>
    <x:row r="2">
      <x:c r="A2" s="60" t="str">
        <x:v>Terminal return to the registered parent</x:v>
      </x:c>
      <x:c r="B2" s="61"/>
      <x:c r="C2" s="61"/>
      <x:c r="D2" s="61"/>
      <x:c r="E2" s="61"/>
      <x:c r="F2" s="61"/>
      <x:c r="G2" s="61"/>
      <x:c r="H2" s="61"/>
      <x:c r="I2" s="61"/>
      <x:c r="J2" s="61"/>
      <x:c r="K2" s="61"/>
    </x:row>
    <x:row r="3">
      <x:c r="A3" s="62"/>
      <x:c r="B3" s="62"/>
      <x:c r="C3" s="62"/>
      <x:c r="D3" s="62"/>
      <x:c r="E3" s="62"/>
      <x:c r="F3" s="62"/>
      <x:c r="G3" s="62"/>
      <x:c r="H3" s="62"/>
      <x:c r="I3" s="62"/>
      <x:c r="J3" s="62"/>
      <x:c r="K3" s="62"/>
    </x:row>
    <x:row r="4" ht="32" customHeight="1">
      <x:c r="A4" s="14" t="str">
        <x:v>Requirement</x:v>
      </x:c>
      <x:c r="B4" s="15" t="str">
        <x:v>Expected</x:v>
      </x:c>
      <x:c r="C4" s="15" t="str">
        <x:v>Actual</x:v>
      </x:c>
      <x:c r="D4" s="15" t="str">
        <x:v>Basis</x:v>
      </x:c>
      <x:c r="E4" s="15" t="str">
        <x:v>Closed</x:v>
      </x:c>
      <x:c r="F4" s="15" t="str">
        <x:v>Opened</x:v>
      </x:c>
      <x:c r="G4" s="15" t="str">
        <x:v>Net</x:v>
      </x:c>
      <x:c r="H4" s="15" t="str">
        <x:v>Running total</x:v>
      </x:c>
      <x:c r="I4" s="15" t="str">
        <x:v>Verdict</x:v>
      </x:c>
      <x:c r="J4" s="15" t="str">
        <x:v>Human review halt</x:v>
      </x:c>
      <x:c r="K4" s="16" t="str">
        <x:v>Return check</x:v>
      </x:c>
    </x:row>
    <x:row r="5">
      <x:c r="A5" s="63" t="str">
        <x:v>parent existed before FSA-5</x:v>
      </x:c>
      <x:c r="B5" s="64" t="n">
        <x:v>1</x:v>
      </x:c>
      <x:c r="C5" s="64" t="n">
        <x:v>1</x:v>
      </x:c>
      <x:c r="D5" s="63" t="str">
        <x:v>Passes 225–229 name the parent</x:v>
      </x:c>
      <x:c r="E5" s="64" t="n">
        <x:v>1</x:v>
      </x:c>
      <x:c r="F5" s="64" t="n">
        <x:v>0</x:v>
      </x:c>
      <x:c r="G5" s="64" t="n">
        <x:v>0</x:v>
      </x:c>
      <x:c r="H5" s="64" t="n">
        <x:v>0</x:v>
      </x:c>
      <x:c r="I5" s="63" t="str">
        <x:v>RETURN</x:v>
      </x:c>
      <x:c r="J5" s="64" t="n">
        <x:v>1</x:v>
      </x:c>
      <x:c r="K5" s="63" t="str">
        <x:f>IF(AND(B5=C5,E5=1,F5=0,H5=0,I5="RETURN",J5=1),"PASS","FAIL")</x:f>
        <x:v>PASS</x:v>
      </x:c>
    </x:row>
    <x:row r="6">
      <x:c r="A6" s="67" t="str">
        <x:v>learning authority reconciled</x:v>
      </x:c>
      <x:c r="B6" s="68" t="n">
        <x:v>1</x:v>
      </x:c>
      <x:c r="C6" s="68" t="n">
        <x:v>1</x:v>
      </x:c>
      <x:c r="D6" s="67" t="str">
        <x:v>Pass 226</x:v>
      </x:c>
      <x:c r="E6" s="68" t="n">
        <x:v>1</x:v>
      </x:c>
      <x:c r="F6" s="68" t="n">
        <x:v>0</x:v>
      </x:c>
      <x:c r="G6" s="68" t="n">
        <x:v>0</x:v>
      </x:c>
      <x:c r="H6" s="68" t="n">
        <x:v>0</x:v>
      </x:c>
      <x:c r="I6" s="67" t="str">
        <x:v>RETURN</x:v>
      </x:c>
      <x:c r="J6" s="68" t="n">
        <x:v>1</x:v>
      </x:c>
      <x:c r="K6" s="67" t="str">
        <x:f>IF(AND(B6=C6,E6=1,F6=0,H6=0,I6="RETURN",J6=1),"PASS","FAIL")</x:f>
        <x:v>PASS</x:v>
      </x:c>
    </x:row>
    <x:row r="7">
      <x:c r="A7" s="67" t="str">
        <x:v>simultaneous issue reconciled</x:v>
      </x:c>
      <x:c r="B7" s="68" t="n">
        <x:v>1</x:v>
      </x:c>
      <x:c r="C7" s="68" t="n">
        <x:v>1</x:v>
      </x:c>
      <x:c r="D7" s="67" t="str">
        <x:v>Pass 227</x:v>
      </x:c>
      <x:c r="E7" s="68" t="n">
        <x:v>1</x:v>
      </x:c>
      <x:c r="F7" s="68" t="n">
        <x:v>0</x:v>
      </x:c>
      <x:c r="G7" s="68" t="n">
        <x:v>0</x:v>
      </x:c>
      <x:c r="H7" s="68" t="n">
        <x:v>0</x:v>
      </x:c>
      <x:c r="I7" s="67" t="str">
        <x:v>RETURN</x:v>
      </x:c>
      <x:c r="J7" s="68" t="n">
        <x:v>1</x:v>
      </x:c>
      <x:c r="K7" s="67" t="str">
        <x:f>IF(AND(B7=C7,E7=1,F7=0,H7=0,I7="RETURN",J7=1),"PASS","FAIL")</x:f>
        <x:v>PASS</x:v>
      </x:c>
    </x:row>
    <x:row r="8">
      <x:c r="A8" s="67" t="str">
        <x:v>balanced cohort sequence reconciled</x:v>
      </x:c>
      <x:c r="B8" s="68" t="n">
        <x:v>1</x:v>
      </x:c>
      <x:c r="C8" s="68" t="n">
        <x:v>1</x:v>
      </x:c>
      <x:c r="D8" s="67" t="str">
        <x:v>Pass 227</x:v>
      </x:c>
      <x:c r="E8" s="68" t="n">
        <x:v>1</x:v>
      </x:c>
      <x:c r="F8" s="68" t="n">
        <x:v>0</x:v>
      </x:c>
      <x:c r="G8" s="68" t="n">
        <x:v>0</x:v>
      </x:c>
      <x:c r="H8" s="68" t="n">
        <x:v>0</x:v>
      </x:c>
      <x:c r="I8" s="67" t="str">
        <x:v>RETURN</x:v>
      </x:c>
      <x:c r="J8" s="68" t="n">
        <x:v>1</x:v>
      </x:c>
      <x:c r="K8" s="67" t="str">
        <x:f>IF(AND(B8=C8,E8=1,F8=0,H8=0,I8="RETURN",J8=1),"PASS","FAIL")</x:f>
        <x:v>PASS</x:v>
      </x:c>
    </x:row>
    <x:row r="9">
      <x:c r="A9" s="67" t="str">
        <x:v>root safety law reconciled</x:v>
      </x:c>
      <x:c r="B9" s="68" t="n">
        <x:v>1</x:v>
      </x:c>
      <x:c r="C9" s="68" t="n">
        <x:v>1</x:v>
      </x:c>
      <x:c r="D9" s="67" t="str">
        <x:v>Pass 228</x:v>
      </x:c>
      <x:c r="E9" s="68" t="n">
        <x:v>1</x:v>
      </x:c>
      <x:c r="F9" s="68" t="n">
        <x:v>0</x:v>
      </x:c>
      <x:c r="G9" s="68" t="n">
        <x:v>0</x:v>
      </x:c>
      <x:c r="H9" s="68" t="n">
        <x:v>0</x:v>
      </x:c>
      <x:c r="I9" s="67" t="str">
        <x:v>RETURN</x:v>
      </x:c>
      <x:c r="J9" s="68" t="n">
        <x:v>1</x:v>
      </x:c>
      <x:c r="K9" s="67" t="str">
        <x:f>IF(AND(B9=C9,E9=1,F9=0,H9=0,I9="RETURN",J9=1),"PASS","FAIL")</x:f>
        <x:v>PASS</x:v>
      </x:c>
    </x:row>
    <x:row r="10">
      <x:c r="A10" s="67" t="str">
        <x:v>cohort-one execution reconciled</x:v>
      </x:c>
      <x:c r="B10" s="68" t="n">
        <x:v>1</x:v>
      </x:c>
      <x:c r="C10" s="68" t="n">
        <x:v>1</x:v>
      </x:c>
      <x:c r="D10" s="67" t="str">
        <x:v>Pass 229</x:v>
      </x:c>
      <x:c r="E10" s="68" t="n">
        <x:v>1</x:v>
      </x:c>
      <x:c r="F10" s="68" t="n">
        <x:v>0</x:v>
      </x:c>
      <x:c r="G10" s="68" t="n">
        <x:v>0</x:v>
      </x:c>
      <x:c r="H10" s="68" t="n">
        <x:v>0</x:v>
      </x:c>
      <x:c r="I10" s="67" t="str">
        <x:v>RETURN</x:v>
      </x:c>
      <x:c r="J10" s="68" t="n">
        <x:v>1</x:v>
      </x:c>
      <x:c r="K10" s="67" t="str">
        <x:f>IF(AND(B10=C10,E10=1,F10=0,H10=0,I10="RETURN",J10=1),"PASS","FAIL")</x:f>
        <x:v>PASS</x:v>
      </x:c>
    </x:row>
    <x:row r="11">
      <x:c r="A11" s="67" t="str">
        <x:v>all nonconversions stated</x:v>
      </x:c>
      <x:c r="B11" s="68" t="n">
        <x:v>20</x:v>
      </x:c>
      <x:c r="C11" s="68" t="n">
        <x:v>20</x:v>
      </x:c>
      <x:c r="D11" s="67" t="str">
        <x:v>Pass 230</x:v>
      </x:c>
      <x:c r="E11" s="68" t="n">
        <x:v>1</x:v>
      </x:c>
      <x:c r="F11" s="68" t="n">
        <x:v>0</x:v>
      </x:c>
      <x:c r="G11" s="68" t="n">
        <x:v>0</x:v>
      </x:c>
      <x:c r="H11" s="68" t="n">
        <x:v>0</x:v>
      </x:c>
      <x:c r="I11" s="67" t="str">
        <x:v>RETURN</x:v>
      </x:c>
      <x:c r="J11" s="68" t="n">
        <x:v>1</x:v>
      </x:c>
      <x:c r="K11" s="67" t="str">
        <x:f>IF(AND(B11=C11,E11=1,F11=0,H11=0,I11="RETURN",J11=1),"PASS","FAIL")</x:f>
        <x:v>PASS</x:v>
      </x:c>
    </x:row>
    <x:row r="12">
      <x:c r="A12" s="67" t="str">
        <x:v>all rollback routes stated</x:v>
      </x:c>
      <x:c r="B12" s="68" t="n">
        <x:v>14</x:v>
      </x:c>
      <x:c r="C12" s="68" t="n">
        <x:v>14</x:v>
      </x:c>
      <x:c r="D12" s="67" t="str">
        <x:v>Pass 230</x:v>
      </x:c>
      <x:c r="E12" s="68" t="n">
        <x:v>1</x:v>
      </x:c>
      <x:c r="F12" s="68" t="n">
        <x:v>0</x:v>
      </x:c>
      <x:c r="G12" s="68" t="n">
        <x:v>0</x:v>
      </x:c>
      <x:c r="H12" s="68" t="n">
        <x:v>0</x:v>
      </x:c>
      <x:c r="I12" s="67" t="str">
        <x:v>RETURN</x:v>
      </x:c>
      <x:c r="J12" s="68" t="n">
        <x:v>1</x:v>
      </x:c>
      <x:c r="K12" s="67" t="str">
        <x:f>IF(AND(B12=C12,E12=1,F12=0,H12=0,I12="RETURN",J12=1),"PASS","FAIL")</x:f>
        <x:v>PASS</x:v>
      </x:c>
    </x:row>
    <x:row r="13">
      <x:c r="A13" s="67" t="str">
        <x:v>FSA branch at terminal pass</x:v>
      </x:c>
      <x:c r="B13" s="68" t="n">
        <x:v>5</x:v>
      </x:c>
      <x:c r="C13" s="68" t="n">
        <x:v>5</x:v>
      </x:c>
      <x:c r="D13" s="67" t="str">
        <x:v>Pass 230</x:v>
      </x:c>
      <x:c r="E13" s="68" t="n">
        <x:v>1</x:v>
      </x:c>
      <x:c r="F13" s="68" t="n">
        <x:v>0</x:v>
      </x:c>
      <x:c r="G13" s="68" t="n">
        <x:v>0</x:v>
      </x:c>
      <x:c r="H13" s="68" t="n">
        <x:v>0</x:v>
      </x:c>
      <x:c r="I13" s="67" t="str">
        <x:v>RETURN</x:v>
      </x:c>
      <x:c r="J13" s="68" t="n">
        <x:v>1</x:v>
      </x:c>
      <x:c r="K13" s="67" t="str">
        <x:f>IF(AND(B13=C13,E13=1,F13=0,H13=0,I13="RETURN",J13=1),"PASS","FAIL")</x:f>
        <x:v>PASS</x:v>
      </x:c>
    </x:row>
    <x:row r="14">
      <x:c r="A14" s="70" t="str">
        <x:v>new successor questions</x:v>
      </x:c>
      <x:c r="B14" s="72" t="n">
        <x:v>0</x:v>
      </x:c>
      <x:c r="C14" s="72" t="n">
        <x:v>0</x:v>
      </x:c>
      <x:c r="D14" s="70" t="str">
        <x:v>halt rule</x:v>
      </x:c>
      <x:c r="E14" s="72" t="n">
        <x:v>1</x:v>
      </x:c>
      <x:c r="F14" s="72" t="n">
        <x:v>0</x:v>
      </x:c>
      <x:c r="G14" s="72" t="n">
        <x:v>-1</x:v>
      </x:c>
      <x:c r="H14" s="72" t="n">
        <x:v>0</x:v>
      </x:c>
      <x:c r="I14" s="70" t="str">
        <x:v>RETURN</x:v>
      </x:c>
      <x:c r="J14" s="72" t="n">
        <x:v>1</x:v>
      </x:c>
      <x:c r="K14" s="70" t="str">
        <x:f>IF(AND(B14=C14,E14=1,F14=0,H14=0,I14="RETURN",J14=1),"PASS","FAIL")</x:f>
        <x:v>PASS</x:v>
      </x:c>
    </x:row>
  </x:sheetData>
  <x:mergeCells>
    <x:mergeCell ref="A2:K2"/>
  </x:mergeCells>
  <x:conditionalFormatting sqref="K5:K14">
    <x:cfRule type="containsText" dxfId="8" priority="1" operator="containsText" text="FAIL"/>
  </x:conditionalFormatting>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4" hidden="0" customWidth="1"/>
    <x:col min="2" max="2" width="64" hidden="0" customWidth="1"/>
    <x:col min="3" max="3" width="56" hidden="0" customWidth="1"/>
    <x:col min="4" max="4" width="14" hidden="0" customWidth="1"/>
    <x:col min="5" max="5" width="14" hidden="0" customWidth="1"/>
  </x:cols>
  <x:sheetData>
    <x:row r="2">
      <x:c r="A2" s="60" t="str">
        <x:v>Mutation-test register</x:v>
      </x:c>
      <x:c r="B2" s="61"/>
      <x:c r="C2" s="61"/>
      <x:c r="D2" s="61"/>
      <x:c r="E2" s="61"/>
    </x:row>
    <x:row r="3">
      <x:c r="A3" s="62"/>
      <x:c r="B3" s="62"/>
      <x:c r="C3" s="62"/>
      <x:c r="D3" s="62"/>
      <x:c r="E3" s="62"/>
    </x:row>
    <x:row r="4" ht="32" customHeight="1">
      <x:c r="A4" s="14" t="str">
        <x:v>Mutation</x:v>
      </x:c>
      <x:c r="B4" s="15" t="str">
        <x:v>Controlled change</x:v>
      </x:c>
      <x:c r="C4" s="15" t="str">
        <x:v>Expected detection</x:v>
      </x:c>
      <x:c r="D4" s="15" t="str">
        <x:v>Detected</x:v>
      </x:c>
      <x:c r="E4" s="16" t="str">
        <x:v>Restored</x:v>
      </x:c>
    </x:row>
    <x:row r="5">
      <x:c r="A5" s="63" t="str">
        <x:v>M01</x:v>
      </x:c>
      <x:c r="B5" s="63" t="str">
        <x:v>select a failing compact</x:v>
      </x:c>
      <x:c r="C5" s="63" t="str">
        <x:v>candidate selection fails</x:v>
      </x:c>
      <x:c r="D5" s="64" t="n">
        <x:v>1</x:v>
      </x:c>
      <x:c r="E5" s="64" t="n">
        <x:v>1</x:v>
      </x:c>
    </x:row>
    <x:row r="6">
      <x:c r="A6" s="67" t="str">
        <x:v>M02</x:v>
      </x:c>
      <x:c r="B6" s="67" t="str">
        <x:v>remove one learning-warrant issue</x:v>
      </x:c>
      <x:c r="C6" s="67" t="str">
        <x:v>warrant and compact checks fail</x:v>
      </x:c>
      <x:c r="D6" s="68" t="n">
        <x:v>1</x:v>
      </x:c>
      <x:c r="E6" s="68" t="n">
        <x:v>1</x:v>
      </x:c>
    </x:row>
    <x:row r="7">
      <x:c r="A7" s="67" t="str">
        <x:v>M03</x:v>
      </x:c>
      <x:c r="B7" s="67" t="str">
        <x:v>activate a held cohort form</x:v>
      </x:c>
      <x:c r="C7" s="67" t="str">
        <x:v>cohort and state checks fail</x:v>
      </x:c>
      <x:c r="D7" s="68" t="n">
        <x:v>1</x:v>
      </x:c>
      <x:c r="E7" s="68" t="n">
        <x:v>1</x:v>
      </x:c>
    </x:row>
    <x:row r="8">
      <x:c r="A8" s="67" t="str">
        <x:v>M04</x:v>
      </x:c>
      <x:c r="B8" s="67" t="str">
        <x:v>reduce one sibling reserve</x:v>
      </x:c>
      <x:c r="C8" s="67" t="str">
        <x:v>fiscal reconciliation fails</x:v>
      </x:c>
      <x:c r="D8" s="68" t="n">
        <x:v>1</x:v>
      </x:c>
      <x:c r="E8" s="68" t="n">
        <x:v>1</x:v>
      </x:c>
    </x:row>
    <x:row r="9">
      <x:c r="A9" s="67" t="str">
        <x:v>M05</x:v>
      </x:c>
      <x:c r="B9" s="67" t="str">
        <x:v>accept an artifact</x:v>
      </x:c>
      <x:c r="C9" s="67" t="str">
        <x:v>zero-artifact boundary fails</x:v>
      </x:c>
      <x:c r="D9" s="68" t="n">
        <x:v>1</x:v>
      </x:c>
      <x:c r="E9" s="68" t="n">
        <x:v>1</x:v>
      </x:c>
    </x:row>
    <x:row r="10">
      <x:c r="A10" s="67" t="str">
        <x:v>M06</x:v>
      </x:c>
      <x:c r="B10" s="67" t="str">
        <x:v>record payment</x:v>
      </x:c>
      <x:c r="C10" s="67" t="str">
        <x:v>zero-payment boundary fails</x:v>
      </x:c>
      <x:c r="D10" s="68" t="n">
        <x:v>1</x:v>
      </x:c>
      <x:c r="E10" s="68" t="n">
        <x:v>1</x:v>
      </x:c>
    </x:row>
    <x:row r="11">
      <x:c r="A11" s="67" t="str">
        <x:v>M07</x:v>
      </x:c>
      <x:c r="B11" s="67" t="str">
        <x:v>accept an observation</x:v>
      </x:c>
      <x:c r="C11" s="67" t="str">
        <x:v>evidence hold fails</x:v>
      </x:c>
      <x:c r="D11" s="68" t="n">
        <x:v>1</x:v>
      </x:c>
      <x:c r="E11" s="68" t="n">
        <x:v>1</x:v>
      </x:c>
    </x:row>
    <x:row r="12">
      <x:c r="A12" s="67" t="str">
        <x:v>M08</x:v>
      </x:c>
      <x:c r="B12" s="67" t="str">
        <x:v>select a form</x:v>
      </x:c>
      <x:c r="C12" s="67" t="str">
        <x:v>selection hold fails</x:v>
      </x:c>
      <x:c r="D12" s="68" t="n">
        <x:v>1</x:v>
      </x:c>
      <x:c r="E12" s="68" t="n">
        <x:v>1</x:v>
      </x:c>
    </x:row>
    <x:row r="13">
      <x:c r="A13" s="67" t="str">
        <x:v>M09</x:v>
      </x:c>
      <x:c r="B13" s="67" t="str">
        <x:v>raise representation above REP-3</x:v>
      </x:c>
      <x:c r="C13" s="67" t="str">
        <x:v>representation hold fails</x:v>
      </x:c>
      <x:c r="D13" s="68" t="n">
        <x:v>1</x:v>
      </x:c>
      <x:c r="E13" s="68" t="n">
        <x:v>1</x:v>
      </x:c>
    </x:row>
    <x:row r="14">
      <x:c r="A14" s="67" t="str">
        <x:v>M10</x:v>
      </x:c>
      <x:c r="B14" s="67" t="str">
        <x:v>combine work and acceptance</x:v>
      </x:c>
      <x:c r="C14" s="67" t="str">
        <x:v>authority separation fails</x:v>
      </x:c>
      <x:c r="D14" s="68" t="n">
        <x:v>1</x:v>
      </x:c>
      <x:c r="E14" s="68" t="n">
        <x:v>1</x:v>
      </x:c>
    </x:row>
    <x:row r="15">
      <x:c r="A15" s="67" t="str">
        <x:v>M11</x:v>
      </x:c>
      <x:c r="B15" s="67" t="str">
        <x:v>combine raw performance and sibling translation</x:v>
      </x:c>
      <x:c r="C15" s="67" t="str">
        <x:v>safety firewall fails</x:v>
      </x:c>
      <x:c r="D15" s="68" t="n">
        <x:v>1</x:v>
      </x:c>
      <x:c r="E15" s="68" t="n">
        <x:v>1</x:v>
      </x:c>
    </x:row>
    <x:row r="16">
      <x:c r="A16" s="67" t="str">
        <x:v>M12</x:v>
      </x:c>
      <x:c r="B16" s="67" t="str">
        <x:v>permit a prohibited conversion</x:v>
      </x:c>
      <x:c r="C16" s="67" t="str">
        <x:v>nonconversion register fails</x:v>
      </x:c>
      <x:c r="D16" s="68" t="n">
        <x:v>1</x:v>
      </x:c>
      <x:c r="E16" s="68" t="n">
        <x:v>1</x:v>
      </x:c>
    </x:row>
    <x:row r="17">
      <x:c r="A17" s="67" t="str">
        <x:v>M13</x:v>
      </x:c>
      <x:c r="B17" s="67" t="str">
        <x:v>remove rollback reserve protection</x:v>
      </x:c>
      <x:c r="C17" s="67" t="str">
        <x:v>rollback route fails</x:v>
      </x:c>
      <x:c r="D17" s="68" t="n">
        <x:v>1</x:v>
      </x:c>
      <x:c r="E17" s="68" t="n">
        <x:v>1</x:v>
      </x:c>
    </x:row>
    <x:row r="18">
      <x:c r="A18" s="67" t="str">
        <x:v>M14</x:v>
      </x:c>
      <x:c r="B18" s="67" t="str">
        <x:v>authorize a successor at review halt</x:v>
      </x:c>
      <x:c r="C18" s="67" t="str">
        <x:v>halt discipline fails</x:v>
      </x:c>
      <x:c r="D18" s="68" t="n">
        <x:v>1</x:v>
      </x:c>
      <x:c r="E18" s="68" t="n">
        <x:v>1</x:v>
      </x:c>
    </x:row>
    <x:row r="19">
      <x:c r="A19" s="67" t="str">
        <x:v>M15</x:v>
      </x:c>
      <x:c r="B19" s="67" t="str">
        <x:v>change terminal verdict to CLOSE</x:v>
      </x:c>
      <x:c r="C19" s="67" t="str">
        <x:v>return ledger fails</x:v>
      </x:c>
      <x:c r="D19" s="68" t="n">
        <x:v>1</x:v>
      </x:c>
      <x:c r="E19" s="68" t="n">
        <x:v>1</x:v>
      </x:c>
    </x:row>
    <x:row r="20">
      <x:c r="A20" s="67" t="str">
        <x:v>M16</x:v>
      </x:c>
      <x:c r="B20" s="67" t="str">
        <x:v>open a new item in FSA-5</x:v>
      </x:c>
      <x:c r="C20" s="67" t="str">
        <x:v>pass ledger fails</x:v>
      </x:c>
      <x:c r="D20" s="68" t="n">
        <x:v>1</x:v>
      </x:c>
      <x:c r="E20" s="68" t="n">
        <x:v>1</x:v>
      </x:c>
    </x:row>
    <x:row r="21">
      <x:c r="A21" s="67" t="str">
        <x:v>M17</x:v>
      </x:c>
      <x:c r="B21" s="67" t="str">
        <x:v>leave the terminal item open</x:v>
      </x:c>
      <x:c r="C21" s="67" t="str">
        <x:v>pass ledger fails</x:v>
      </x:c>
      <x:c r="D21" s="68" t="n">
        <x:v>1</x:v>
      </x:c>
      <x:c r="E21" s="68" t="n">
        <x:v>1</x:v>
      </x:c>
    </x:row>
    <x:row r="22">
      <x:c r="A22" s="67" t="str">
        <x:v>M18</x:v>
      </x:c>
      <x:c r="B22" s="67" t="str">
        <x:v>lower branch pass count</x:v>
      </x:c>
      <x:c r="C22" s="67" t="str">
        <x:v>branch budget fails</x:v>
      </x:c>
      <x:c r="D22" s="68" t="n">
        <x:v>1</x:v>
      </x:c>
      <x:c r="E22" s="68" t="n">
        <x:v>1</x:v>
      </x:c>
    </x:row>
    <x:row r="23">
      <x:c r="A23" s="67" t="str">
        <x:v>M19</x:v>
      </x:c>
      <x:c r="B23" s="67" t="str">
        <x:v>remove human-review requirement</x:v>
      </x:c>
      <x:c r="C23" s="67" t="str">
        <x:v>review halt fails</x:v>
      </x:c>
      <x:c r="D23" s="68" t="n">
        <x:v>1</x:v>
      </x:c>
      <x:c r="E23" s="68" t="n">
        <x:v>1</x:v>
      </x:c>
    </x:row>
    <x:row r="24">
      <x:c r="A24" s="70" t="str">
        <x:v>M20</x:v>
      </x:c>
      <x:c r="B24" s="70" t="str">
        <x:v>enter a branch kill</x:v>
      </x:c>
      <x:c r="C24" s="70" t="str">
        <x:v>branch-kill control fails</x:v>
      </x:c>
      <x:c r="D24" s="72" t="n">
        <x:v>1</x:v>
      </x:c>
      <x:c r="E24" s="72" t="n">
        <x:v>1</x:v>
      </x:c>
    </x:row>
  </x:sheetData>
  <x:mergeCells>
    <x:mergeCell ref="A2:E2"/>
  </x:mergeCells>
  <x:pageMargins left="0.7" right="0.7" top="0.75" bottom="0.75" header="0.3" footer="0.3"/>
</x:worksheet>
</file>

<file path=xl/worksheets/sheet1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52" hidden="0" customWidth="1"/>
    <x:col min="3" max="3" width="18" hidden="0" customWidth="1"/>
    <x:col min="4" max="4" width="18" hidden="0" customWidth="1"/>
    <x:col min="5" max="5" width="14" hidden="0" customWidth="1"/>
  </x:cols>
  <x:sheetData>
    <x:row r="2">
      <x:c r="A2" s="60" t="str">
        <x:v>Independent compact checks</x:v>
      </x:c>
      <x:c r="B2" s="61"/>
      <x:c r="C2" s="61"/>
      <x:c r="D2" s="61"/>
      <x:c r="E2" s="61"/>
    </x:row>
    <x:row r="3">
      <x:c r="A3" s="62"/>
      <x:c r="B3" s="62"/>
      <x:c r="C3" s="62"/>
      <x:c r="D3" s="62"/>
      <x:c r="E3" s="62"/>
    </x:row>
    <x:row r="4" ht="32" customHeight="1">
      <x:c r="A4" s="14" t="str">
        <x:v>Audit</x:v>
      </x:c>
      <x:c r="B4" s="15" t="str">
        <x:v>Check</x:v>
      </x:c>
      <x:c r="C4" s="15" t="str">
        <x:v>Actual</x:v>
      </x:c>
      <x:c r="D4" s="15" t="str">
        <x:v>Expected</x:v>
      </x:c>
      <x:c r="E4" s="16" t="str">
        <x:v>Result</x:v>
      </x:c>
    </x:row>
    <x:row r="5">
      <x:c r="A5" s="63" t="str">
        <x:v>A01</x:v>
      </x:c>
      <x:c r="B5" s="63" t="str">
        <x:v>compact candidates</x:v>
      </x:c>
      <x:c r="C5" s="86" t="n">
        <x:f>COUNTA('Compact Candidates'!A5:A9)</x:f>
        <x:v>5</x:v>
      </x:c>
      <x:c r="D5" s="86" t="n">
        <x:v>5</x:v>
      </x:c>
      <x:c r="E5" s="63" t="str">
        <x:f>IF(ABS(C5-D5)&lt;0.0000001,"PASS","FAIL")</x:f>
        <x:v>PASS</x:v>
      </x:c>
    </x:row>
    <x:row r="6">
      <x:c r="A6" s="67" t="str">
        <x:v>A02</x:v>
      </x:c>
      <x:c r="B6" s="67" t="str">
        <x:v>selected compact</x:v>
      </x:c>
      <x:c r="C6" s="87" t="n">
        <x:f>SUM('Compact Candidates'!N5:N9)</x:f>
        <x:v>1</x:v>
      </x:c>
      <x:c r="D6" s="87" t="n">
        <x:v>1</x:v>
      </x:c>
      <x:c r="E6" s="67" t="str">
        <x:f>IF(ABS(C6-D6)&lt;0.0000001,"PASS","FAIL")</x:f>
        <x:v>PASS</x:v>
      </x:c>
    </x:row>
    <x:row r="7">
      <x:c r="A7" s="67" t="str">
        <x:v>A03</x:v>
      </x:c>
      <x:c r="B7" s="67" t="str">
        <x:v>selected compact gates</x:v>
      </x:c>
      <x:c r="C7" s="87" t="n">
        <x:f>SUMIFS('Compact Candidates'!M5:M9,'Compact Candidates'!N5:N9,1)</x:f>
        <x:v>10</x:v>
      </x:c>
      <x:c r="D7" s="87" t="n">
        <x:v>10</x:v>
      </x:c>
      <x:c r="E7" s="67" t="str">
        <x:f>IF(ABS(C7-D7)&lt;0.0000001,"PASS","FAIL")</x:f>
        <x:v>PASS</x:v>
      </x:c>
    </x:row>
    <x:row r="8">
      <x:c r="A8" s="67" t="str">
        <x:v>A04</x:v>
      </x:c>
      <x:c r="B8" s="67" t="str">
        <x:v>authority-stack records</x:v>
      </x:c>
      <x:c r="C8" s="87" t="n">
        <x:f>COUNTA('Authority Stack'!A5:A15)</x:f>
        <x:v>11</x:v>
      </x:c>
      <x:c r="D8" s="87" t="n">
        <x:v>11</x:v>
      </x:c>
      <x:c r="E8" s="67" t="str">
        <x:f>IF(ABS(C8-D8)&lt;0.0000001,"PASS","FAIL")</x:f>
        <x:v>PASS</x:v>
      </x:c>
    </x:row>
    <x:row r="9">
      <x:c r="A9" s="67" t="str">
        <x:v>A05</x:v>
      </x:c>
      <x:c r="B9" s="67" t="str">
        <x:v>valid authority-stack records</x:v>
      </x:c>
      <x:c r="C9" s="87" t="n">
        <x:f>COUNTIFS('Authority Stack'!O5:O15,"PASS")</x:f>
        <x:v>11</x:v>
      </x:c>
      <x:c r="D9" s="87" t="n">
        <x:v>11</x:v>
      </x:c>
      <x:c r="E9" s="67" t="str">
        <x:f>IF(ABS(C9-D9)&lt;0.0000001,"PASS","FAIL")</x:f>
        <x:v>PASS</x:v>
      </x:c>
    </x:row>
    <x:row r="10">
      <x:c r="A10" s="67" t="str">
        <x:v>A06</x:v>
      </x:c>
      <x:c r="B10" s="67" t="str">
        <x:v>selection-capable instruments</x:v>
      </x:c>
      <x:c r="C10" s="87" t="n">
        <x:f>SUM('Authority Stack'!L5:L15)</x:f>
        <x:v>1</x:v>
      </x:c>
      <x:c r="D10" s="87" t="n">
        <x:v>1</x:v>
      </x:c>
      <x:c r="E10" s="67" t="str">
        <x:f>IF(ABS(C10-D10)&lt;0.0000001,"PASS","FAIL")</x:f>
        <x:v>PASS</x:v>
      </x:c>
    </x:row>
    <x:row r="11">
      <x:c r="A11" s="67" t="str">
        <x:v>A07</x:v>
      </x:c>
      <x:c r="B11" s="67" t="str">
        <x:v>FSA pass records</x:v>
      </x:c>
      <x:c r="C11" s="87" t="n">
        <x:f>COUNTA('Pass Reconciliation'!A5:A9)</x:f>
        <x:v>5</x:v>
      </x:c>
      <x:c r="D11" s="87" t="n">
        <x:v>5</x:v>
      </x:c>
      <x:c r="E11" s="67" t="str">
        <x:f>IF(ABS(C11-D11)&lt;0.0000001,"PASS","FAIL")</x:f>
        <x:v>PASS</x:v>
      </x:c>
    </x:row>
    <x:row r="12">
      <x:c r="A12" s="67" t="str">
        <x:v>A08</x:v>
      </x:c>
      <x:c r="B12" s="67" t="str">
        <x:v>terminal branch pass</x:v>
      </x:c>
      <x:c r="C12" s="87" t="n">
        <x:f>MIN('Pass Reconciliation'!H9,Controls!B12)</x:f>
        <x:v>5</x:v>
      </x:c>
      <x:c r="D12" s="87" t="n">
        <x:v>5</x:v>
      </x:c>
      <x:c r="E12" s="67" t="str">
        <x:f>IF(ABS(C12-D12)&lt;0.0000001,"PASS","FAIL")</x:f>
        <x:v>PASS</x:v>
      </x:c>
    </x:row>
    <x:row r="13">
      <x:c r="A13" s="67" t="str">
        <x:v>A09</x:v>
      </x:c>
      <x:c r="B13" s="67" t="str">
        <x:v>terminal verdict RETURN</x:v>
      </x:c>
      <x:c r="C13" s="87" t="n">
        <x:f>COUNTIFS('Pass Reconciliation'!I9,"RETURN")</x:f>
        <x:v>1</x:v>
      </x:c>
      <x:c r="D13" s="87" t="n">
        <x:v>1</x:v>
      </x:c>
      <x:c r="E13" s="67" t="str">
        <x:f>IF(ABS(C13-D13)&lt;0.0000001,"PASS","FAIL")</x:f>
        <x:v>PASS</x:v>
      </x:c>
    </x:row>
    <x:row r="14">
      <x:c r="A14" s="67" t="str">
        <x:v>A10</x:v>
      </x:c>
      <x:c r="B14" s="67" t="str">
        <x:v>terminal opened items</x:v>
      </x:c>
      <x:c r="C14" s="87" t="n">
        <x:f>'Pass Reconciliation'!D9</x:f>
        <x:v>0</x:v>
      </x:c>
      <x:c r="D14" s="87" t="n">
        <x:v>0</x:v>
      </x:c>
      <x:c r="E14" s="67" t="str">
        <x:f>IF(ABS(C14-D14)&lt;0.0000001,"PASS","FAIL")</x:f>
        <x:v>PASS</x:v>
      </x:c>
    </x:row>
    <x:row r="15">
      <x:c r="A15" s="67" t="str">
        <x:v>A11</x:v>
      </x:c>
      <x:c r="B15" s="67" t="str">
        <x:v>terminal closed items</x:v>
      </x:c>
      <x:c r="C15" s="87" t="n">
        <x:f>'Pass Reconciliation'!E9</x:f>
        <x:v>1</x:v>
      </x:c>
      <x:c r="D15" s="87" t="n">
        <x:v>1</x:v>
      </x:c>
      <x:c r="E15" s="67" t="str">
        <x:f>IF(ABS(C15-D15)&lt;0.0000001,"PASS","FAIL")</x:f>
        <x:v>PASS</x:v>
      </x:c>
    </x:row>
    <x:row r="16">
      <x:c r="A16" s="67" t="str">
        <x:v>A12</x:v>
      </x:c>
      <x:c r="B16" s="67" t="str">
        <x:v>terminal net change</x:v>
      </x:c>
      <x:c r="C16" s="87" t="n">
        <x:f>'Pass Reconciliation'!F9</x:f>
        <x:v>-1</x:v>
      </x:c>
      <x:c r="D16" s="87" t="n">
        <x:v>-1</x:v>
      </x:c>
      <x:c r="E16" s="67" t="str">
        <x:f>IF(ABS(C16-D16)&lt;0.0000001,"PASS","FAIL")</x:f>
        <x:v>PASS</x:v>
      </x:c>
    </x:row>
    <x:row r="17">
      <x:c r="A17" s="67" t="str">
        <x:v>A13</x:v>
      </x:c>
      <x:c r="B17" s="67" t="str">
        <x:v>terminal running total</x:v>
      </x:c>
      <x:c r="C17" s="87" t="n">
        <x:f>'Pass Reconciliation'!G9</x:f>
        <x:v>0</x:v>
      </x:c>
      <x:c r="D17" s="87" t="n">
        <x:v>0</x:v>
      </x:c>
      <x:c r="E17" s="67" t="str">
        <x:f>IF(ABS(C17-D17)&lt;0.0000001,"PASS","FAIL")</x:f>
        <x:v>PASS</x:v>
      </x:c>
    </x:row>
    <x:row r="18">
      <x:c r="A18" s="67" t="str">
        <x:v>A14</x:v>
      </x:c>
      <x:c r="B18" s="67" t="str">
        <x:v>valid pass ledgers</x:v>
      </x:c>
      <x:c r="C18" s="87" t="n">
        <x:f>COUNTIFS('Pass Reconciliation'!J5:J9,"PASS")</x:f>
        <x:v>5</x:v>
      </x:c>
      <x:c r="D18" s="87" t="n">
        <x:v>5</x:v>
      </x:c>
      <x:c r="E18" s="67" t="str">
        <x:f>IF(ABS(C18-D18)&lt;0.0000001,"PASS","FAIL")</x:f>
        <x:v>PASS</x:v>
      </x:c>
    </x:row>
    <x:row r="19">
      <x:c r="A19" s="67" t="str">
        <x:v>A15</x:v>
      </x:c>
      <x:c r="B19" s="67" t="str">
        <x:v>form warrants</x:v>
      </x:c>
      <x:c r="C19" s="87" t="n">
        <x:f>COUNTA('Warrant Ledger'!A5:A22)</x:f>
        <x:v>18</x:v>
      </x:c>
      <x:c r="D19" s="87" t="n">
        <x:v>18</x:v>
      </x:c>
      <x:c r="E19" s="67" t="str">
        <x:f>IF(ABS(C19-D19)&lt;0.0000001,"PASS","FAIL")</x:f>
        <x:v>PASS</x:v>
      </x:c>
    </x:row>
    <x:row r="20">
      <x:c r="A20" s="67" t="str">
        <x:v>A16</x:v>
      </x:c>
      <x:c r="B20" s="67" t="str">
        <x:v>unique form warrants</x:v>
      </x:c>
      <x:c r="C20" s="87" t="n">
        <x:f>COUNTIFS('Warrant Ledger'!T5:T22,1)</x:f>
        <x:v>18</x:v>
      </x:c>
      <x:c r="D20" s="87" t="n">
        <x:v>18</x:v>
      </x:c>
      <x:c r="E20" s="67" t="str">
        <x:f>IF(ABS(C20-D20)&lt;0.0000001,"PASS","FAIL")</x:f>
        <x:v>PASS</x:v>
      </x:c>
    </x:row>
    <x:row r="21">
      <x:c r="A21" s="67" t="str">
        <x:v>A17</x:v>
      </x:c>
      <x:c r="B21" s="67" t="str">
        <x:v>issued warrants</x:v>
      </x:c>
      <x:c r="C21" s="87" t="n">
        <x:f>SUM('Warrant Ledger'!G5:G22)</x:f>
        <x:v>18</x:v>
      </x:c>
      <x:c r="D21" s="87" t="n">
        <x:v>18</x:v>
      </x:c>
      <x:c r="E21" s="67" t="str">
        <x:f>IF(ABS(C21-D21)&lt;0.0000001,"PASS","FAIL")</x:f>
        <x:v>PASS</x:v>
      </x:c>
    </x:row>
    <x:row r="22">
      <x:c r="A22" s="67" t="str">
        <x:v>A18</x:v>
      </x:c>
      <x:c r="B22" s="67" t="str">
        <x:v>one form per root-cohort</x:v>
      </x:c>
      <x:c r="C22" s="87" t="n">
        <x:f>COUNTIFS('Warrant Ledger'!U5:U22,1)</x:f>
        <x:v>18</x:v>
      </x:c>
      <x:c r="D22" s="87" t="n">
        <x:v>18</x:v>
      </x:c>
      <x:c r="E22" s="67" t="str">
        <x:f>IF(ABS(C22-D22)&lt;0.0000001,"PASS","FAIL")</x:f>
        <x:v>PASS</x:v>
      </x:c>
    </x:row>
    <x:row r="23">
      <x:c r="A23" s="67" t="str">
        <x:v>A19</x:v>
      </x:c>
      <x:c r="B23" s="67" t="str">
        <x:v>working forms</x:v>
      </x:c>
      <x:c r="C23" s="87" t="n">
        <x:f>COUNTIFS('Warrant Ledger'!S5:S22,"WORK ACTIVE")</x:f>
        <x:v>6</x:v>
      </x:c>
      <x:c r="D23" s="87" t="n">
        <x:v>6</x:v>
      </x:c>
      <x:c r="E23" s="67" t="str">
        <x:f>IF(ABS(C23-D23)&lt;0.0000001,"PASS","FAIL")</x:f>
        <x:v>PASS</x:v>
      </x:c>
    </x:row>
    <x:row r="24">
      <x:c r="A24" s="67" t="str">
        <x:v>A20</x:v>
      </x:c>
      <x:c r="B24" s="67" t="str">
        <x:v>reserved forms</x:v>
      </x:c>
      <x:c r="C24" s="87" t="n">
        <x:f>COUNTIFS('Warrant Ledger'!S5:S22,"ISSUED / RESERVED")</x:f>
        <x:v>12</x:v>
      </x:c>
      <x:c r="D24" s="87" t="n">
        <x:v>12</x:v>
      </x:c>
      <x:c r="E24" s="67" t="str">
        <x:f>IF(ABS(C24-D24)&lt;0.0000001,"PASS","FAIL")</x:f>
        <x:v>PASS</x:v>
      </x:c>
    </x:row>
    <x:row r="25">
      <x:c r="A25" s="67" t="str">
        <x:v>A21</x:v>
      </x:c>
      <x:c r="B25" s="67" t="str">
        <x:v>root epochs</x:v>
      </x:c>
      <x:c r="C25" s="87" t="n">
        <x:f>SUM('Warrant Ledger'!L5:L22)</x:f>
        <x:v>0</x:v>
      </x:c>
      <x:c r="D25" s="87" t="n">
        <x:v>0</x:v>
      </x:c>
      <x:c r="E25" s="67" t="str">
        <x:f>IF(ABS(C25-D25)&lt;0.0000001,"PASS","FAIL")</x:f>
        <x:v>PASS</x:v>
      </x:c>
    </x:row>
    <x:row r="26">
      <x:c r="A26" s="67" t="str">
        <x:v>A22</x:v>
      </x:c>
      <x:c r="B26" s="67" t="str">
        <x:v>warrant artifacts</x:v>
      </x:c>
      <x:c r="C26" s="87" t="n">
        <x:f>SUM('Warrant Ledger'!M5:M22)</x:f>
        <x:v>0</x:v>
      </x:c>
      <x:c r="D26" s="87" t="n">
        <x:v>0</x:v>
      </x:c>
      <x:c r="E26" s="67" t="str">
        <x:f>IF(ABS(C26-D26)&lt;0.0000001,"PASS","FAIL")</x:f>
        <x:v>PASS</x:v>
      </x:c>
    </x:row>
    <x:row r="27">
      <x:c r="A27" s="67" t="str">
        <x:v>A23</x:v>
      </x:c>
      <x:c r="B27" s="67" t="str">
        <x:v>warrant payments</x:v>
      </x:c>
      <x:c r="C27" s="87" t="n">
        <x:f>SUM('Warrant Ledger'!N5:N22)</x:f>
        <x:v>0</x:v>
      </x:c>
      <x:c r="D27" s="87" t="n">
        <x:v>0</x:v>
      </x:c>
      <x:c r="E27" s="67" t="str">
        <x:f>IF(ABS(C27-D27)&lt;0.0000001,"PASS","FAIL")</x:f>
        <x:v>PASS</x:v>
      </x:c>
    </x:row>
    <x:row r="28">
      <x:c r="A28" s="67" t="str">
        <x:v>A24</x:v>
      </x:c>
      <x:c r="B28" s="67" t="str">
        <x:v>warrant observations</x:v>
      </x:c>
      <x:c r="C28" s="87" t="n">
        <x:f>SUM('Warrant Ledger'!O5:O22)</x:f>
        <x:v>0</x:v>
      </x:c>
      <x:c r="D28" s="87" t="n">
        <x:v>0</x:v>
      </x:c>
      <x:c r="E28" s="67" t="str">
        <x:f>IF(ABS(C28-D28)&lt;0.0000001,"PASS","FAIL")</x:f>
        <x:v>PASS</x:v>
      </x:c>
    </x:row>
    <x:row r="29">
      <x:c r="A29" s="67" t="str">
        <x:v>A25</x:v>
      </x:c>
      <x:c r="B29" s="67" t="str">
        <x:v>surviving forms</x:v>
      </x:c>
      <x:c r="C29" s="87" t="n">
        <x:f>SUM('Warrant Ledger'!P5:P22)</x:f>
        <x:v>0</x:v>
      </x:c>
      <x:c r="D29" s="87" t="n">
        <x:v>0</x:v>
      </x:c>
      <x:c r="E29" s="67" t="str">
        <x:f>IF(ABS(C29-D29)&lt;0.0000001,"PASS","FAIL")</x:f>
        <x:v>PASS</x:v>
      </x:c>
    </x:row>
    <x:row r="30">
      <x:c r="A30" s="67" t="str">
        <x:v>A26</x:v>
      </x:c>
      <x:c r="B30" s="67" t="str">
        <x:v>selected forms</x:v>
      </x:c>
      <x:c r="C30" s="87" t="n">
        <x:f>SUM('Warrant Ledger'!Q5:Q22)</x:f>
        <x:v>0</x:v>
      </x:c>
      <x:c r="D30" s="87" t="n">
        <x:v>0</x:v>
      </x:c>
      <x:c r="E30" s="67" t="str">
        <x:f>IF(ABS(C30-D30)&lt;0.0000001,"PASS","FAIL")</x:f>
        <x:v>PASS</x:v>
      </x:c>
    </x:row>
    <x:row r="31">
      <x:c r="A31" s="67" t="str">
        <x:v>A27</x:v>
      </x:c>
      <x:c r="B31" s="67" t="str">
        <x:v>maximum representation class</x:v>
      </x:c>
      <x:c r="C31" s="87" t="n">
        <x:f>MAX('Warrant Ledger'!R5:R22)</x:f>
        <x:v>3</x:v>
      </x:c>
      <x:c r="D31" s="87" t="n">
        <x:v>3</x:v>
      </x:c>
      <x:c r="E31" s="67" t="str">
        <x:f>IF(ABS(C31-D31)&lt;0.0000001,"PASS","FAIL")</x:f>
        <x:v>PASS</x:v>
      </x:c>
    </x:row>
    <x:row r="32">
      <x:c r="A32" s="67" t="str">
        <x:v>A28</x:v>
      </x:c>
      <x:c r="B32" s="67" t="str">
        <x:v>FRAME ceiling</x:v>
      </x:c>
      <x:c r="C32" s="87" t="n">
        <x:f>'Cohort Finance'!F11</x:f>
        <x:v>0.5380369228980849</x:v>
      </x:c>
      <x:c r="D32" s="87" t="n">
        <x:v>0.5380369228980849</x:v>
      </x:c>
      <x:c r="E32" s="67" t="str">
        <x:f>IF(ABS(C32-D32)&lt;0.0000001,"PASS","FAIL")</x:f>
        <x:v>PASS</x:v>
      </x:c>
    </x:row>
    <x:row r="33">
      <x:c r="A33" s="67" t="str">
        <x:v>A29</x:v>
      </x:c>
      <x:c r="B33" s="67" t="str">
        <x:v>cohort-one obligation</x:v>
      </x:c>
      <x:c r="C33" s="87" t="n">
        <x:f>'Cohort Finance'!G11</x:f>
        <x:v>0.17934564096602829</x:v>
      </x:c>
      <x:c r="D33" s="87" t="n">
        <x:v>0.1793456409660283</x:v>
      </x:c>
      <x:c r="E33" s="67" t="str">
        <x:f>IF(ABS(C33-D33)&lt;0.0000001,"PASS","FAIL")</x:f>
        <x:v>PASS</x:v>
      </x:c>
    </x:row>
    <x:row r="34">
      <x:c r="A34" s="67" t="str">
        <x:v>A30</x:v>
      </x:c>
      <x:c r="B34" s="67" t="str">
        <x:v>cohort-two reserve</x:v>
      </x:c>
      <x:c r="C34" s="87" t="n">
        <x:f>'Cohort Finance'!H11</x:f>
        <x:v>0.17934564096602829</x:v>
      </x:c>
      <x:c r="D34" s="87" t="n">
        <x:v>0.1793456409660283</x:v>
      </x:c>
      <x:c r="E34" s="67" t="str">
        <x:f>IF(ABS(C34-D34)&lt;0.0000001,"PASS","FAIL")</x:f>
        <x:v>PASS</x:v>
      </x:c>
    </x:row>
    <x:row r="35">
      <x:c r="A35" s="67" t="str">
        <x:v>A31</x:v>
      </x:c>
      <x:c r="B35" s="67" t="str">
        <x:v>cohort-three reserve</x:v>
      </x:c>
      <x:c r="C35" s="87" t="n">
        <x:f>'Cohort Finance'!I11</x:f>
        <x:v>0.17934564096602829</x:v>
      </x:c>
      <x:c r="D35" s="87" t="n">
        <x:v>0.1793456409660283</x:v>
      </x:c>
      <x:c r="E35" s="67" t="str">
        <x:f>IF(ABS(C35-D35)&lt;0.0000001,"PASS","FAIL")</x:f>
        <x:v>PASS</x:v>
      </x:c>
    </x:row>
    <x:row r="36">
      <x:c r="A36" s="67" t="str">
        <x:v>A32</x:v>
      </x:c>
      <x:c r="B36" s="67" t="str">
        <x:v>total reserved</x:v>
      </x:c>
      <x:c r="C36" s="87" t="n">
        <x:f>'Cohort Finance'!J11</x:f>
        <x:v>0.5380369228980849</x:v>
      </x:c>
      <x:c r="D36" s="87" t="n">
        <x:v>0.5380369228980849</x:v>
      </x:c>
      <x:c r="E36" s="67" t="str">
        <x:f>IF(ABS(C36-D36)&lt;0.0000001,"PASS","FAIL")</x:f>
        <x:v>PASS</x:v>
      </x:c>
    </x:row>
    <x:row r="37">
      <x:c r="A37" s="67" t="str">
        <x:v>A33</x:v>
      </x:c>
      <x:c r="B37" s="67" t="str">
        <x:v>finance payments</x:v>
      </x:c>
      <x:c r="C37" s="87" t="n">
        <x:f>'Cohort Finance'!K11</x:f>
        <x:v>0</x:v>
      </x:c>
      <x:c r="D37" s="87" t="n">
        <x:v>0</x:v>
      </x:c>
      <x:c r="E37" s="67" t="str">
        <x:f>IF(ABS(C37-D37)&lt;0.0000001,"PASS","FAIL")</x:f>
        <x:v>PASS</x:v>
      </x:c>
    </x:row>
    <x:row r="38">
      <x:c r="A38" s="67" t="str">
        <x:v>A34</x:v>
      </x:c>
      <x:c r="B38" s="67" t="str">
        <x:v>finance artifacts</x:v>
      </x:c>
      <x:c r="C38" s="87" t="n">
        <x:f>'Cohort Finance'!L11</x:f>
        <x:v>0</x:v>
      </x:c>
      <x:c r="D38" s="87" t="n">
        <x:v>0</x:v>
      </x:c>
      <x:c r="E38" s="67" t="str">
        <x:f>IF(ABS(C38-D38)&lt;0.0000001,"PASS","FAIL")</x:f>
        <x:v>PASS</x:v>
      </x:c>
    </x:row>
    <x:row r="39">
      <x:c r="A39" s="67" t="str">
        <x:v>A35</x:v>
      </x:c>
      <x:c r="B39" s="67" t="str">
        <x:v>finance observations</x:v>
      </x:c>
      <x:c r="C39" s="87" t="n">
        <x:f>'Cohort Finance'!M11</x:f>
        <x:v>0</x:v>
      </x:c>
      <x:c r="D39" s="87" t="n">
        <x:v>0</x:v>
      </x:c>
      <x:c r="E39" s="67" t="str">
        <x:f>IF(ABS(C39-D39)&lt;0.0000001,"PASS","FAIL")</x:f>
        <x:v>PASS</x:v>
      </x:c>
    </x:row>
    <x:row r="40">
      <x:c r="A40" s="67" t="str">
        <x:v>A36</x:v>
      </x:c>
      <x:c r="B40" s="67" t="str">
        <x:v>finance selections</x:v>
      </x:c>
      <x:c r="C40" s="87" t="n">
        <x:f>'Cohort Finance'!N11</x:f>
        <x:v>0</x:v>
      </x:c>
      <x:c r="D40" s="87" t="n">
        <x:v>0</x:v>
      </x:c>
      <x:c r="E40" s="67" t="str">
        <x:f>IF(ABS(C40-D40)&lt;0.0000001,"PASS","FAIL")</x:f>
        <x:v>PASS</x:v>
      </x:c>
    </x:row>
    <x:row r="41">
      <x:c r="A41" s="67" t="str">
        <x:v>A37</x:v>
      </x:c>
      <x:c r="B41" s="67" t="str">
        <x:v>reconciled roots</x:v>
      </x:c>
      <x:c r="C41" s="87" t="n">
        <x:f>COUNTIFS('Cohort Finance'!O5:O10,"RECONCILED")</x:f>
        <x:v>6</x:v>
      </x:c>
      <x:c r="D41" s="87" t="n">
        <x:v>6</x:v>
      </x:c>
      <x:c r="E41" s="67" t="str">
        <x:f>IF(ABS(C41-D41)&lt;0.0000001,"PASS","FAIL")</x:f>
        <x:v>PASS</x:v>
      </x:c>
    </x:row>
    <x:row r="42">
      <x:c r="A42" s="67" t="str">
        <x:v>A38</x:v>
      </x:c>
      <x:c r="B42" s="67" t="str">
        <x:v>package records</x:v>
      </x:c>
      <x:c r="C42" s="87" t="n">
        <x:f>COUNTA('Package Ledger'!A5:A94)</x:f>
        <x:v>90</x:v>
      </x:c>
      <x:c r="D42" s="87" t="n">
        <x:v>90</x:v>
      </x:c>
      <x:c r="E42" s="67" t="str">
        <x:f>IF(ABS(C42-D42)&lt;0.0000001,"PASS","FAIL")</x:f>
        <x:v>PASS</x:v>
      </x:c>
    </x:row>
    <x:row r="43">
      <x:c r="A43" s="67" t="str">
        <x:v>A39</x:v>
      </x:c>
      <x:c r="B43" s="67" t="str">
        <x:v>unique packages</x:v>
      </x:c>
      <x:c r="C43" s="87" t="n">
        <x:f>COUNTIFS('Package Ledger'!T5:T94,1)</x:f>
        <x:v>90</x:v>
      </x:c>
      <x:c r="D43" s="87" t="n">
        <x:v>90</x:v>
      </x:c>
      <x:c r="E43" s="67" t="str">
        <x:f>IF(ABS(C43-D43)&lt;0.0000001,"PASS","FAIL")</x:f>
        <x:v>PASS</x:v>
      </x:c>
    </x:row>
    <x:row r="44">
      <x:c r="A44" s="67" t="str">
        <x:v>A40</x:v>
      </x:c>
      <x:c r="B44" s="67" t="str">
        <x:v>five packages per form</x:v>
      </x:c>
      <x:c r="C44" s="87" t="n">
        <x:f>COUNTIFS('Package Ledger'!S5:S94,5)/5</x:f>
        <x:v>18</x:v>
      </x:c>
      <x:c r="D44" s="87" t="n">
        <x:v>18</x:v>
      </x:c>
      <x:c r="E44" s="67" t="str">
        <x:f>IF(ABS(C44-D44)&lt;0.0000001,"PASS","FAIL")</x:f>
        <x:v>PASS</x:v>
      </x:c>
    </x:row>
    <x:row r="45">
      <x:c r="A45" s="67" t="str">
        <x:v>A41</x:v>
      </x:c>
      <x:c r="B45" s="67" t="str">
        <x:v>active packages</x:v>
      </x:c>
      <x:c r="C45" s="87" t="n">
        <x:f>COUNTIFS('Package Ledger'!R5:R94,"OBLIGATED / ACTIVE")</x:f>
        <x:v>30</x:v>
      </x:c>
      <x:c r="D45" s="87" t="n">
        <x:v>30</x:v>
      </x:c>
      <x:c r="E45" s="67" t="str">
        <x:f>IF(ABS(C45-D45)&lt;0.0000001,"PASS","FAIL")</x:f>
        <x:v>PASS</x:v>
      </x:c>
    </x:row>
    <x:row r="46">
      <x:c r="A46" s="67" t="str">
        <x:v>A42</x:v>
      </x:c>
      <x:c r="B46" s="67" t="str">
        <x:v>held packages</x:v>
      </x:c>
      <x:c r="C46" s="87" t="n">
        <x:f>COUNTIFS('Package Ledger'!R5:R94,"RESERVED / HELD")</x:f>
        <x:v>60</x:v>
      </x:c>
      <x:c r="D46" s="87" t="n">
        <x:v>60</x:v>
      </x:c>
      <x:c r="E46" s="67" t="str">
        <x:f>IF(ABS(C46-D46)&lt;0.0000001,"PASS","FAIL")</x:f>
        <x:v>PASS</x:v>
      </x:c>
    </x:row>
    <x:row r="47">
      <x:c r="A47" s="67" t="str">
        <x:v>A43</x:v>
      </x:c>
      <x:c r="B47" s="67" t="str">
        <x:v>package ceiling</x:v>
      </x:c>
      <x:c r="C47" s="87" t="n">
        <x:f>SUM('Package Ledger'!I5:I94)</x:f>
        <x:v>0.5380369228980847</x:v>
      </x:c>
      <x:c r="D47" s="87" t="n">
        <x:v>0.5380369228980849</x:v>
      </x:c>
      <x:c r="E47" s="67" t="str">
        <x:f>IF(ABS(C47-D47)&lt;0.0000001,"PASS","FAIL")</x:f>
        <x:v>PASS</x:v>
      </x:c>
    </x:row>
    <x:row r="48">
      <x:c r="A48" s="67" t="str">
        <x:v>A44</x:v>
      </x:c>
      <x:c r="B48" s="67" t="str">
        <x:v>package reserve</x:v>
      </x:c>
      <x:c r="C48" s="87" t="n">
        <x:f>SUM('Package Ledger'!J5:J94)</x:f>
        <x:v>0.5380369228980847</x:v>
      </x:c>
      <x:c r="D48" s="87" t="n">
        <x:v>0.5380369228980849</x:v>
      </x:c>
      <x:c r="E48" s="67" t="str">
        <x:f>IF(ABS(C48-D48)&lt;0.0000001,"PASS","FAIL")</x:f>
        <x:v>PASS</x:v>
      </x:c>
    </x:row>
    <x:row r="49">
      <x:c r="A49" s="67" t="str">
        <x:v>A45</x:v>
      </x:c>
      <x:c r="B49" s="67" t="str">
        <x:v>package obligation</x:v>
      </x:c>
      <x:c r="C49" s="87" t="n">
        <x:f>SUM('Package Ledger'!K5:K94)</x:f>
        <x:v>0.17934564096602834</x:v>
      </x:c>
      <x:c r="D49" s="87" t="n">
        <x:v>0.1793456409660283</x:v>
      </x:c>
      <x:c r="E49" s="67" t="str">
        <x:f>IF(ABS(C49-D49)&lt;0.0000001,"PASS","FAIL")</x:f>
        <x:v>PASS</x:v>
      </x:c>
    </x:row>
    <x:row r="50">
      <x:c r="A50" s="67" t="str">
        <x:v>A46</x:v>
      </x:c>
      <x:c r="B50" s="67" t="str">
        <x:v>package artifacts</x:v>
      </x:c>
      <x:c r="C50" s="87" t="n">
        <x:f>SUM('Package Ledger'!M5:M94)</x:f>
        <x:v>0</x:v>
      </x:c>
      <x:c r="D50" s="87" t="n">
        <x:v>0</x:v>
      </x:c>
      <x:c r="E50" s="67" t="str">
        <x:f>IF(ABS(C50-D50)&lt;0.0000001,"PASS","FAIL")</x:f>
        <x:v>PASS</x:v>
      </x:c>
    </x:row>
    <x:row r="51">
      <x:c r="A51" s="67" t="str">
        <x:v>A47</x:v>
      </x:c>
      <x:c r="B51" s="67" t="str">
        <x:v>package payments</x:v>
      </x:c>
      <x:c r="C51" s="87" t="n">
        <x:f>SUM('Package Ledger'!N5:N94)</x:f>
        <x:v>0</x:v>
      </x:c>
      <x:c r="D51" s="87" t="n">
        <x:v>0</x:v>
      </x:c>
      <x:c r="E51" s="67" t="str">
        <x:f>IF(ABS(C51-D51)&lt;0.0000001,"PASS","FAIL")</x:f>
        <x:v>PASS</x:v>
      </x:c>
    </x:row>
    <x:row r="52">
      <x:c r="A52" s="67" t="str">
        <x:v>A48</x:v>
      </x:c>
      <x:c r="B52" s="67" t="str">
        <x:v>package observations</x:v>
      </x:c>
      <x:c r="C52" s="87" t="n">
        <x:f>SUM('Package Ledger'!O5:O94)</x:f>
        <x:v>0</x:v>
      </x:c>
      <x:c r="D52" s="87" t="n">
        <x:v>0</x:v>
      </x:c>
      <x:c r="E52" s="67" t="str">
        <x:f>IF(ABS(C52-D52)&lt;0.0000001,"PASS","FAIL")</x:f>
        <x:v>PASS</x:v>
      </x:c>
    </x:row>
    <x:row r="53">
      <x:c r="A53" s="67" t="str">
        <x:v>A49</x:v>
      </x:c>
      <x:c r="B53" s="67" t="str">
        <x:v>package survival credit</x:v>
      </x:c>
      <x:c r="C53" s="87" t="n">
        <x:f>SUM('Package Ledger'!P5:P94)</x:f>
        <x:v>0</x:v>
      </x:c>
      <x:c r="D53" s="87" t="n">
        <x:v>0</x:v>
      </x:c>
      <x:c r="E53" s="67" t="str">
        <x:f>IF(ABS(C53-D53)&lt;0.0000001,"PASS","FAIL")</x:f>
        <x:v>PASS</x:v>
      </x:c>
    </x:row>
    <x:row r="54">
      <x:c r="A54" s="67" t="str">
        <x:v>A50</x:v>
      </x:c>
      <x:c r="B54" s="67" t="str">
        <x:v>package selection credit</x:v>
      </x:c>
      <x:c r="C54" s="87" t="n">
        <x:f>SUM('Package Ledger'!Q5:Q94)</x:f>
        <x:v>0</x:v>
      </x:c>
      <x:c r="D54" s="87" t="n">
        <x:v>0</x:v>
      </x:c>
      <x:c r="E54" s="67" t="str">
        <x:f>IF(ABS(C54-D54)&lt;0.0000001,"PASS","FAIL")</x:f>
        <x:v>PASS</x:v>
      </x:c>
    </x:row>
    <x:row r="55">
      <x:c r="A55" s="67" t="str">
        <x:v>A51</x:v>
      </x:c>
      <x:c r="B55" s="67" t="str">
        <x:v>authority roles</x:v>
      </x:c>
      <x:c r="C55" s="87" t="n">
        <x:f>COUNTA('Authority Matrix'!A5:A18)</x:f>
        <x:v>14</x:v>
      </x:c>
      <x:c r="D55" s="87" t="n">
        <x:v>14</x:v>
      </x:c>
      <x:c r="E55" s="67" t="str">
        <x:f>IF(ABS(C55-D55)&lt;0.0000001,"PASS","FAIL")</x:f>
        <x:v>PASS</x:v>
      </x:c>
    </x:row>
    <x:row r="56">
      <x:c r="A56" s="67" t="str">
        <x:v>A52</x:v>
      </x:c>
      <x:c r="B56" s="67" t="str">
        <x:v>separated authority roles</x:v>
      </x:c>
      <x:c r="C56" s="87" t="n">
        <x:f>COUNTIFS('Authority Matrix'!P5:P18,"PASS")</x:f>
        <x:v>14</x:v>
      </x:c>
      <x:c r="D56" s="87" t="n">
        <x:v>14</x:v>
      </x:c>
      <x:c r="E56" s="67" t="str">
        <x:f>IF(ABS(C56-D56)&lt;0.0000001,"PASS","FAIL")</x:f>
        <x:v>PASS</x:v>
      </x:c>
    </x:row>
    <x:row r="57">
      <x:c r="A57" s="67" t="str">
        <x:v>A53</x:v>
      </x:c>
      <x:c r="B57" s="67" t="str">
        <x:v>authority conflicts</x:v>
      </x:c>
      <x:c r="C57" s="87" t="n">
        <x:f>SUM('Authority Matrix'!N5:N18)</x:f>
        <x:v>0</x:v>
      </x:c>
      <x:c r="D57" s="87" t="n">
        <x:v>0</x:v>
      </x:c>
      <x:c r="E57" s="67" t="str">
        <x:f>IF(ABS(C57-D57)&lt;0.0000001,"PASS","FAIL")</x:f>
        <x:v>PASS</x:v>
      </x:c>
    </x:row>
    <x:row r="58">
      <x:c r="A58" s="67" t="str">
        <x:v>A54</x:v>
      </x:c>
      <x:c r="B58" s="67" t="str">
        <x:v>nonconversion rules</x:v>
      </x:c>
      <x:c r="C58" s="87" t="n">
        <x:f>COUNTA(Nonconversions!A5:A24)</x:f>
        <x:v>20</x:v>
      </x:c>
      <x:c r="D58" s="87" t="n">
        <x:v>20</x:v>
      </x:c>
      <x:c r="E58" s="67" t="str">
        <x:f>IF(ABS(C58-D58)&lt;0.0000001,"PASS","FAIL")</x:f>
        <x:v>PASS</x:v>
      </x:c>
    </x:row>
    <x:row r="59">
      <x:c r="A59" s="67" t="str">
        <x:v>A55</x:v>
      </x:c>
      <x:c r="B59" s="67" t="str">
        <x:v>valid nonconversion rules</x:v>
      </x:c>
      <x:c r="C59" s="87" t="n">
        <x:f>COUNTIFS(Nonconversions!I5:I24,"PASS")</x:f>
        <x:v>20</x:v>
      </x:c>
      <x:c r="D59" s="87" t="n">
        <x:v>20</x:v>
      </x:c>
      <x:c r="E59" s="67" t="str">
        <x:f>IF(ABS(C59-D59)&lt;0.0000001,"PASS","FAIL")</x:f>
        <x:v>PASS</x:v>
      </x:c>
    </x:row>
    <x:row r="60">
      <x:c r="A60" s="67" t="str">
        <x:v>A56</x:v>
      </x:c>
      <x:c r="B60" s="67" t="str">
        <x:v>observed prohibited conversions</x:v>
      </x:c>
      <x:c r="C60" s="87" t="n">
        <x:f>SUM(Nonconversions!F5:F24)</x:f>
        <x:v>0</x:v>
      </x:c>
      <x:c r="D60" s="87" t="n">
        <x:v>0</x:v>
      </x:c>
      <x:c r="E60" s="67" t="str">
        <x:f>IF(ABS(C60-D60)&lt;0.0000001,"PASS","FAIL")</x:f>
        <x:v>PASS</x:v>
      </x:c>
    </x:row>
    <x:row r="61">
      <x:c r="A61" s="67" t="str">
        <x:v>A57</x:v>
      </x:c>
      <x:c r="B61" s="67" t="str">
        <x:v>nonconversion evidence credit</x:v>
      </x:c>
      <x:c r="C61" s="87" t="n">
        <x:f>SUM(Nonconversions!G5:G24)</x:f>
        <x:v>0</x:v>
      </x:c>
      <x:c r="D61" s="87" t="n">
        <x:v>0</x:v>
      </x:c>
      <x:c r="E61" s="67" t="str">
        <x:f>IF(ABS(C61-D61)&lt;0.0000001,"PASS","FAIL")</x:f>
        <x:v>PASS</x:v>
      </x:c>
    </x:row>
    <x:row r="62">
      <x:c r="A62" s="67" t="str">
        <x:v>A58</x:v>
      </x:c>
      <x:c r="B62" s="67" t="str">
        <x:v>nonconversion selection credit</x:v>
      </x:c>
      <x:c r="C62" s="87" t="n">
        <x:f>SUM(Nonconversions!H5:H24)</x:f>
        <x:v>0</x:v>
      </x:c>
      <x:c r="D62" s="87" t="n">
        <x:v>0</x:v>
      </x:c>
      <x:c r="E62" s="67" t="str">
        <x:f>IF(ABS(C62-D62)&lt;0.0000001,"PASS","FAIL")</x:f>
        <x:v>PASS</x:v>
      </x:c>
    </x:row>
    <x:row r="63">
      <x:c r="A63" s="67" t="str">
        <x:v>A59</x:v>
      </x:c>
      <x:c r="B63" s="67" t="str">
        <x:v>rollback routes</x:v>
      </x:c>
      <x:c r="C63" s="87" t="n">
        <x:f>COUNTA(Rollback!A5:A18)</x:f>
        <x:v>14</x:v>
      </x:c>
      <x:c r="D63" s="87" t="n">
        <x:v>14</x:v>
      </x:c>
      <x:c r="E63" s="67" t="str">
        <x:f>IF(ABS(C63-D63)&lt;0.0000001,"PASS","FAIL")</x:f>
        <x:v>PASS</x:v>
      </x:c>
    </x:row>
    <x:row r="64">
      <x:c r="A64" s="67" t="str">
        <x:v>A60</x:v>
      </x:c>
      <x:c r="B64" s="67" t="str">
        <x:v>valid rollback routes</x:v>
      </x:c>
      <x:c r="C64" s="87" t="n">
        <x:f>COUNTIFS(Rollback!J5:J18,"PASS")</x:f>
        <x:v>14</x:v>
      </x:c>
      <x:c r="D64" s="87" t="n">
        <x:v>14</x:v>
      </x:c>
      <x:c r="E64" s="67" t="str">
        <x:f>IF(ABS(C64-D64)&lt;0.0000001,"PASS","FAIL")</x:f>
        <x:v>PASS</x:v>
      </x:c>
    </x:row>
    <x:row r="65">
      <x:c r="A65" s="67" t="str">
        <x:v>A61</x:v>
      </x:c>
      <x:c r="B65" s="67" t="str">
        <x:v>review trigger present</x:v>
      </x:c>
      <x:c r="C65" s="87" t="n">
        <x:f>SUM(Rollback!I5:I18)</x:f>
        <x:v>1</x:v>
      </x:c>
      <x:c r="D65" s="87" t="n">
        <x:v>1</x:v>
      </x:c>
      <x:c r="E65" s="67" t="str">
        <x:f>IF(ABS(C65-D65)&lt;0.0000001,"PASS","FAIL")</x:f>
        <x:v>PASS</x:v>
      </x:c>
    </x:row>
    <x:row r="66">
      <x:c r="A66" s="67" t="str">
        <x:v>A62</x:v>
      </x:c>
      <x:c r="B66" s="67" t="str">
        <x:v>successors authorized</x:v>
      </x:c>
      <x:c r="C66" s="87" t="n">
        <x:f>SUM(Rollback!K5:K18)</x:f>
        <x:v>0</x:v>
      </x:c>
      <x:c r="D66" s="87" t="n">
        <x:v>0</x:v>
      </x:c>
      <x:c r="E66" s="67" t="str">
        <x:f>IF(ABS(C66-D66)&lt;0.0000001,"PASS","FAIL")</x:f>
        <x:v>PASS</x:v>
      </x:c>
    </x:row>
    <x:row r="67">
      <x:c r="A67" s="67" t="str">
        <x:v>A63</x:v>
      </x:c>
      <x:c r="B67" s="67" t="str">
        <x:v>state records</x:v>
      </x:c>
      <x:c r="C67" s="87" t="n">
        <x:f>COUNTA('State Machine'!A5:A20)</x:f>
        <x:v>16</x:v>
      </x:c>
      <x:c r="D67" s="87" t="n">
        <x:v>16</x:v>
      </x:c>
      <x:c r="E67" s="67" t="str">
        <x:f>IF(ABS(C67-D67)&lt;0.0000001,"PASS","FAIL")</x:f>
        <x:v>PASS</x:v>
      </x:c>
    </x:row>
    <x:row r="68">
      <x:c r="A68" s="67" t="str">
        <x:v>A64</x:v>
      </x:c>
      <x:c r="B68" s="67" t="str">
        <x:v>valid state records</x:v>
      </x:c>
      <x:c r="C68" s="87" t="n">
        <x:f>COUNTIFS('State Machine'!K5:K20,"PASS")</x:f>
        <x:v>16</x:v>
      </x:c>
      <x:c r="D68" s="87" t="n">
        <x:v>16</x:v>
      </x:c>
      <x:c r="E68" s="67" t="str">
        <x:f>IF(ABS(C68-D68)&lt;0.0000001,"PASS","FAIL")</x:f>
        <x:v>PASS</x:v>
      </x:c>
    </x:row>
    <x:row r="69">
      <x:c r="A69" s="67" t="str">
        <x:v>A65</x:v>
      </x:c>
      <x:c r="B69" s="67" t="str">
        <x:v>current state records</x:v>
      </x:c>
      <x:c r="C69" s="87" t="n">
        <x:f>SUM('State Machine'!D5:D20)</x:f>
        <x:v>18</x:v>
      </x:c>
      <x:c r="D69" s="87" t="n">
        <x:v>18</x:v>
      </x:c>
      <x:c r="E69" s="67" t="str">
        <x:f>IF(ABS(C69-D69)&lt;0.0000001,"PASS","FAIL")</x:f>
        <x:v>PASS</x:v>
      </x:c>
    </x:row>
    <x:row r="70">
      <x:c r="A70" s="67" t="str">
        <x:v>A66</x:v>
      </x:c>
      <x:c r="B70" s="67" t="str">
        <x:v>state payment credit</x:v>
      </x:c>
      <x:c r="C70" s="87" t="n">
        <x:f>SUM('State Machine'!E5:E20)</x:f>
        <x:v>0</x:v>
      </x:c>
      <x:c r="D70" s="87" t="n">
        <x:v>0</x:v>
      </x:c>
      <x:c r="E70" s="67" t="str">
        <x:f>IF(ABS(C70-D70)&lt;0.0000001,"PASS","FAIL")</x:f>
        <x:v>PASS</x:v>
      </x:c>
    </x:row>
    <x:row r="71">
      <x:c r="A71" s="67" t="str">
        <x:v>A67</x:v>
      </x:c>
      <x:c r="B71" s="67" t="str">
        <x:v>state evidence credit</x:v>
      </x:c>
      <x:c r="C71" s="87" t="n">
        <x:f>SUM('State Machine'!F5:F20)</x:f>
        <x:v>0</x:v>
      </x:c>
      <x:c r="D71" s="87" t="n">
        <x:v>0</x:v>
      </x:c>
      <x:c r="E71" s="67" t="str">
        <x:f>IF(ABS(C71-D71)&lt;0.0000001,"PASS","FAIL")</x:f>
        <x:v>PASS</x:v>
      </x:c>
    </x:row>
    <x:row r="72">
      <x:c r="A72" s="67" t="str">
        <x:v>A68</x:v>
      </x:c>
      <x:c r="B72" s="67" t="str">
        <x:v>state selection credit</x:v>
      </x:c>
      <x:c r="C72" s="87" t="n">
        <x:f>SUM('State Machine'!G5:G20)</x:f>
        <x:v>0</x:v>
      </x:c>
      <x:c r="D72" s="87" t="n">
        <x:v>0</x:v>
      </x:c>
      <x:c r="E72" s="67" t="str">
        <x:f>IF(ABS(C72-D72)&lt;0.0000001,"PASS","FAIL")</x:f>
        <x:v>PASS</x:v>
      </x:c>
    </x:row>
    <x:row r="73">
      <x:c r="A73" s="67" t="str">
        <x:v>A69</x:v>
      </x:c>
      <x:c r="B73" s="67" t="str">
        <x:v>return requirements</x:v>
      </x:c>
      <x:c r="C73" s="87" t="n">
        <x:f>COUNTA('Return Ledger'!A5:A14)</x:f>
        <x:v>10</x:v>
      </x:c>
      <x:c r="D73" s="87" t="n">
        <x:v>10</x:v>
      </x:c>
      <x:c r="E73" s="67" t="str">
        <x:f>IF(ABS(C73-D73)&lt;0.0000001,"PASS","FAIL")</x:f>
        <x:v>PASS</x:v>
      </x:c>
    </x:row>
    <x:row r="74">
      <x:c r="A74" s="67" t="str">
        <x:v>A70</x:v>
      </x:c>
      <x:c r="B74" s="67" t="str">
        <x:v>valid return requirements</x:v>
      </x:c>
      <x:c r="C74" s="87" t="n">
        <x:f>COUNTIFS('Return Ledger'!K5:K14,"PASS")</x:f>
        <x:v>10</x:v>
      </x:c>
      <x:c r="D74" s="87" t="n">
        <x:v>10</x:v>
      </x:c>
      <x:c r="E74" s="67" t="str">
        <x:f>IF(ABS(C74-D74)&lt;0.0000001,"PASS","FAIL")</x:f>
        <x:v>PASS</x:v>
      </x:c>
    </x:row>
    <x:row r="75">
      <x:c r="A75" s="67" t="str">
        <x:v>A71</x:v>
      </x:c>
      <x:c r="B75" s="67" t="str">
        <x:v>human review required</x:v>
      </x:c>
      <x:c r="C75" s="87" t="n">
        <x:f>Controls!B24</x:f>
        <x:v>1</x:v>
      </x:c>
      <x:c r="D75" s="87" t="n">
        <x:v>1</x:v>
      </x:c>
      <x:c r="E75" s="67" t="str">
        <x:f>IF(ABS(C75-D75)&lt;0.0000001,"PASS","FAIL")</x:f>
        <x:v>PASS</x:v>
      </x:c>
    </x:row>
    <x:row r="76">
      <x:c r="A76" s="67" t="str">
        <x:v>A72</x:v>
      </x:c>
      <x:c r="B76" s="67" t="str">
        <x:v>branch kills</x:v>
      </x:c>
      <x:c r="C76" s="87" t="n">
        <x:f>Controls!B23</x:f>
        <x:v>0</x:v>
      </x:c>
      <x:c r="D76" s="87" t="n">
        <x:v>0</x:v>
      </x:c>
      <x:c r="E76" s="67" t="str">
        <x:f>IF(ABS(C76-D76)&lt;0.0000001,"PASS","FAIL")</x:f>
        <x:v>PASS</x:v>
      </x:c>
    </x:row>
    <x:row r="77">
      <x:c r="A77" s="67" t="str">
        <x:v>A73</x:v>
      </x:c>
      <x:c r="B77" s="67" t="str">
        <x:v>mutations detected</x:v>
      </x:c>
      <x:c r="C77" s="87" t="n">
        <x:f>SUM(Mutations!D5:D24)</x:f>
        <x:v>20</x:v>
      </x:c>
      <x:c r="D77" s="87" t="n">
        <x:v>20</x:v>
      </x:c>
      <x:c r="E77" s="67" t="str">
        <x:f>IF(ABS(C77-D77)&lt;0.0000001,"PASS","FAIL")</x:f>
        <x:v>PASS</x:v>
      </x:c>
    </x:row>
    <x:row r="78">
      <x:c r="A78" s="70" t="str">
        <x:v>A74</x:v>
      </x:c>
      <x:c r="B78" s="70" t="str">
        <x:v>mutations restored</x:v>
      </x:c>
      <x:c r="C78" s="88" t="n">
        <x:f>SUM(Mutations!E5:E24)</x:f>
        <x:v>20</x:v>
      </x:c>
      <x:c r="D78" s="88" t="n">
        <x:v>20</x:v>
      </x:c>
      <x:c r="E78" s="70" t="str">
        <x:f>IF(ABS(C78-D78)&lt;0.0000001,"PASS","FAIL")</x:f>
        <x:v>PASS</x:v>
      </x:c>
    </x:row>
  </x:sheetData>
  <x:mergeCells>
    <x:mergeCell ref="A2:E2"/>
  </x:mergeCells>
  <x:conditionalFormatting sqref="E5:E78">
    <x:cfRule type="containsText" dxfId="9" priority="1" operator="containsText" text="FAIL"/>
  </x:conditionalFormatting>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42" hidden="0" customWidth="1"/>
    <x:col min="2" max="2" width="28" hidden="0" customWidth="1"/>
    <x:col min="3" max="3" width="68" hidden="0" customWidth="1"/>
    <x:col min="4" max="4" width="68" hidden="0" customWidth="1"/>
  </x:cols>
  <x:sheetData>
    <x:row r="2">
      <x:c r="A2" s="60" t="str">
        <x:v>Internal sources and model limits</x:v>
      </x:c>
      <x:c r="B2" s="61"/>
      <x:c r="C2" s="61"/>
      <x:c r="D2" s="61"/>
    </x:row>
    <x:row r="3">
      <x:c r="A3" s="62"/>
      <x:c r="B3" s="62"/>
      <x:c r="C3" s="62"/>
      <x:c r="D3" s="62"/>
    </x:row>
    <x:row r="4" ht="32" customHeight="1">
      <x:c r="A4" s="14" t="str">
        <x:v>Source</x:v>
      </x:c>
      <x:c r="B4" s="15" t="str">
        <x:v>Role</x:v>
      </x:c>
      <x:c r="C4" s="15" t="str">
        <x:v>Use</x:v>
      </x:c>
      <x:c r="D4" s="16" t="str">
        <x:v>Limit</x:v>
      </x:c>
    </x:row>
    <x:row r="5">
      <x:c r="A5" s="63" t="str">
        <x:v>Pass 220 representation boundary</x:v>
      </x:c>
      <x:c r="B5" s="63" t="str">
        <x:v>representation law</x:v>
      </x:c>
      <x:c r="C5" s="63" t="str">
        <x:v>REP-3 maximum before measured geometry</x:v>
      </x:c>
      <x:c r="D5" s="63" t="str">
        <x:v>no new visual claim follows from administrative state</x:v>
      </x:c>
    </x:row>
    <x:row r="6">
      <x:c r="A6" s="67" t="str">
        <x:v>Pass 225 selection covenant</x:v>
      </x:c>
      <x:c r="B6" s="67" t="str">
        <x:v>evidence law</x:v>
      </x:c>
      <x:c r="C6" s="67" t="str">
        <x:v>failure, survivor and selection meanings</x:v>
      </x:c>
      <x:c r="D6" s="67" t="str">
        <x:v>all observations remain source empty</x:v>
      </x:c>
    </x:row>
    <x:row r="7">
      <x:c r="A7" s="67" t="str">
        <x:v>Pass 226 parallel FRAME authority</x:v>
      </x:c>
      <x:c r="B7" s="67" t="str">
        <x:v>learning law</x:v>
      </x:c>
      <x:c r="C7" s="67" t="str">
        <x:v>eighteen warrants and ninety packages</x:v>
      </x:c>
      <x:c r="D7" s="67" t="str">
        <x:v>ceiling is not payment or evidence</x:v>
      </x:c>
    </x:row>
    <x:row r="8">
      <x:c r="A8" s="67" t="str">
        <x:v>Pass 227 warrant sequence</x:v>
      </x:c>
      <x:c r="B8" s="67" t="str">
        <x:v>calendar law</x:v>
      </x:c>
      <x:c r="C8" s="67" t="str">
        <x:v>simultaneous issue and three cohorts</x:v>
      </x:c>
      <x:c r="D8" s="67" t="str">
        <x:v>twenty-four-week cohort remains a hypothesis</x:v>
      </x:c>
    </x:row>
    <x:row r="9">
      <x:c r="A9" s="67" t="str">
        <x:v>Pass 228 root-epoch protocol</x:v>
      </x:c>
      <x:c r="B9" s="67" t="str">
        <x:v>safety law</x:v>
      </x:c>
      <x:c r="C9" s="67" t="str">
        <x:v>source-blind safety exception</x:v>
      </x:c>
      <x:c r="D9" s="67" t="str">
        <x:v>safety funding remains zero</x:v>
      </x:c>
    </x:row>
    <x:row r="10">
      <x:c r="A10" s="67" t="str">
        <x:v>Pass 229 execution warrant</x:v>
      </x:c>
      <x:c r="B10" s="67" t="str">
        <x:v>fiscal law</x:v>
      </x:c>
      <x:c r="C10" s="67" t="str">
        <x:v>cohort-one obligation and protected siblings</x:v>
      </x:c>
      <x:c r="D10" s="67" t="str">
        <x:v>design work has not been accepted or paid</x:v>
      </x:c>
    </x:row>
    <x:row r="11">
      <x:c r="A11" s="70" t="str">
        <x:v>Pass 230 terminal compact</x:v>
      </x:c>
      <x:c r="B11" s="70" t="str">
        <x:v>reconciliation law</x:v>
      </x:c>
      <x:c r="C11" s="70" t="str">
        <x:v>nonconversions, rollback and return</x:v>
      </x:c>
      <x:c r="D11" s="70" t="str">
        <x:v>human review must occur before another pass</x:v>
      </x:c>
    </x:row>
  </x:sheetData>
  <x:mergeCells>
    <x:mergeCell ref="A2:D2"/>
  </x:mergeCells>
  <x:pageMargins left="0.7" right="0.7" top="0.75" bottom="0.75" header="0.3" footer="0.3"/>
</x:worksheet>
</file>