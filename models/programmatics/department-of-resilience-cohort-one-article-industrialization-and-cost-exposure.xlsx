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ea7a935ed340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96e2293f6d64f0f"/>
    <x:sheet xmlns:r="http://schemas.openxmlformats.org/officeDocument/2006/relationships" name="Article Families" sheetId="2" r:id="R1c4621e491654ccc"/>
    <x:sheet xmlns:r="http://schemas.openxmlformats.org/officeDocument/2006/relationships" name="Serial Register" sheetId="3" r:id="R4437dccfc0164f76"/>
    <x:sheet xmlns:r="http://schemas.openxmlformats.org/officeDocument/2006/relationships" name="Industrial Estate" sheetId="4" r:id="R0baebc4a61794c36"/>
    <x:sheet xmlns:r="http://schemas.openxmlformats.org/officeDocument/2006/relationships" name="Measurement Packets" sheetId="5" r:id="R72a35757da364283"/>
    <x:sheet xmlns:r="http://schemas.openxmlformats.org/officeDocument/2006/relationships" name="Event Sequence" sheetId="6" r:id="Rcf97c83cc90746cc"/>
    <x:sheet xmlns:r="http://schemas.openxmlformats.org/officeDocument/2006/relationships" name="Form Economics" sheetId="7" r:id="Rc408ee1a7a90496e"/>
    <x:sheet xmlns:r="http://schemas.openxmlformats.org/officeDocument/2006/relationships" name="Form Schedule" sheetId="8" r:id="R577cc7d1d6cd45af"/>
    <x:sheet xmlns:r="http://schemas.openxmlformats.org/officeDocument/2006/relationships" name="Authority Firewall" sheetId="9" r:id="R9d336e0e96c14fbd"/>
    <x:sheet xmlns:r="http://schemas.openxmlformats.org/officeDocument/2006/relationships" name="Inputs" sheetId="10" r:id="Rfece90a2afee48a6"/>
    <x:sheet xmlns:r="http://schemas.openxmlformats.org/officeDocument/2006/relationships" name="Mutations" sheetId="11" r:id="Rfb0b071abb9d43d4"/>
    <x:sheet xmlns:r="http://schemas.openxmlformats.org/officeDocument/2006/relationships" name="Audit" sheetId="12" r:id="Reb0aaf1e109f49fe"/>
    <x:sheet xmlns:r="http://schemas.openxmlformats.org/officeDocument/2006/relationships" name="ReadMe" sheetId="13" r:id="R2ed5d85068ca41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%"/>
    <x:numFmt numFmtId="201" formatCode="$#,##0"/>
    <x:numFmt numFmtId="202" formatCode="0.0"/>
    <x:numFmt numFmtId="203" formatCode="#,##0"/>
    <x:numFmt numFmtId="204" formatCode="0.00"/>
  </x:numFmts>
  <x:fonts count="7">
    <x:font>
      <x:sz val="11"/>
      <x:name val="Carlito"/>
    </x:font>
    <x:font>
      <x:b/>
      <x:sz val="15"/>
      <x:color rgb="FF17365D"/>
      <x:name val="Arial"/>
    </x:font>
    <x:font>
      <x:b/>
      <x:sz val="11"/>
      <x:color rgb="FF17365D"/>
      <x:name val="Arial"/>
    </x:font>
    <x:font>
      <x:sz val="10"/>
      <x:color rgb="FF222222"/>
      <x:name val="Arial"/>
    </x:font>
    <x:font>
      <x:b/>
      <x:sz val="10"/>
      <x:color rgb="FF222222"/>
      <x:name val="Arial"/>
    </x:font>
    <x:font>
      <x:b/>
      <x:sz val="10"/>
      <x:color rgb="FF17365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8">
    <x:border/>
    <x:border>
      <x:bottom style="thin">
        <x:color rgb="FF2F75B5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57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0" fontId="2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3" fillId="0" borderId="1" xfId="0" applyNumberFormat="1" applyFont="1" applyFill="1" applyBorder="1"/>
    <x:xf numFmtId="20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top" wrapText="1"/>
    </x:xf>
    <x:xf numFmtId="201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201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3" fillId="0" borderId="0" xfId="0" applyNumberFormat="1" applyFont="1" applyFill="1" applyBorder="1"/>
    <x:xf numFmtId="202" fontId="3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/>
    <x:xf numFmtId="203" fontId="3" fillId="0" borderId="0" xfId="0" applyNumberFormat="1" applyFont="1" applyFill="1" applyBorder="1"/>
    <x:xf numFmtId="203" fontId="3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0" fillId="0" borderId="3" xfId="0" applyNumberFormat="1" applyFont="1" applyFill="1" applyBorder="1"/>
    <x:xf numFmtId="0" fontId="5" fillId="0" borderId="4" xfId="0" applyNumberFormat="1" applyFont="1" applyFill="1" applyBorder="1"/>
    <x:xf numFmtId="0" fontId="0" fillId="0" borderId="5" xfId="0" applyNumberFormat="1" applyFont="1" applyFill="1" applyBorder="1"/>
    <x:xf numFmtId="0" fontId="5" fillId="0" borderId="6" xfId="0" applyNumberFormat="1" applyFont="1" applyFill="1" applyBorder="1"/>
    <x:xf numFmtId="0" fontId="0" fillId="0" borderId="7" xfId="0" applyNumberFormat="1" applyFont="1" applyFill="1" applyBorder="1"/>
    <x:xf numFmtId="204" fontId="0" fillId="0" borderId="5" xfId="0" applyNumberFormat="1" applyFont="1" applyFill="1" applyBorder="1"/>
    <x:xf numFmtId="0" fontId="0" fillId="2" borderId="0" xfId="0" applyNumberFormat="1" applyFont="1" applyFill="1" applyBorder="1"/>
    <x:xf numFmtId="0" fontId="6" fillId="2" borderId="0" xfId="0" applyNumberFormat="1" applyFont="1" applyFill="1" applyBorder="1"/>
    <x:xf numFmtId="0" fontId="5" fillId="0" borderId="0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/>
    <x:xf numFmtId="0" fontId="3" fillId="0" borderId="3" xfId="0" applyNumberFormat="1" applyFont="1" applyFill="1" applyBorder="1"/>
    <x:xf numFmtId="0" fontId="4" fillId="0" borderId="4" xfId="0" applyNumberFormat="1" applyFont="1" applyFill="1" applyBorder="1"/>
    <x:xf numFmtId="0" fontId="3" fillId="0" borderId="5" xfId="0" applyNumberFormat="1" applyFont="1" applyFill="1" applyBorder="1"/>
    <x:xf numFmtId="204" fontId="3" fillId="0" borderId="5" xfId="0" applyNumberFormat="1" applyFont="1" applyFill="1" applyBorder="1"/>
    <x:xf numFmtId="0" fontId="4" fillId="0" borderId="6" xfId="0" applyNumberFormat="1" applyFont="1" applyFill="1" applyBorder="1"/>
    <x:xf numFmtId="0" fontId="3" fillId="0" borderId="7" xfId="0" applyNumberFormat="1" applyFont="1" applyFill="1" applyBorder="1"/>
    <x:xf numFmtId="0" fontId="4" fillId="2" borderId="0" xfId="0" applyNumberFormat="1" applyFont="1" applyFill="1" applyBorder="1"/>
    <x:xf numFmtId="0" fontId="4" fillId="0" borderId="0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center"/>
    </x:xf>
    <x:xf numFmtId="0" fontId="3" fillId="0" borderId="3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204" fontId="3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9"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17365D"/>
      </x:font>
      <x:fill>
        <x:patternFill patternType="solid">
          <x:bgColor rgb="FFD9EAF7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17365D"/>
      </x:font>
      <x:fill>
        <x:patternFill patternType="solid">
          <x:bgColor rgb="FFD9EAF7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17365D"/>
      </x:font>
      <x:fill>
        <x:patternFill patternType="solid">
          <x:bgColor rgb="FF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ba6e179c204a91" /><Relationship Type="http://schemas.openxmlformats.org/officeDocument/2006/relationships/theme" Target="/xl/theme/theme1.xml" Id="R33c38baacbb54b41" /><Relationship Type="http://schemas.openxmlformats.org/officeDocument/2006/relationships/sharedStrings" Target="/xl/sharedStrings.xml" Id="Rdf1500ee0b1b4c2e" /><Relationship Type="http://schemas.openxmlformats.org/officeDocument/2006/relationships/worksheet" Target="/xl/worksheets/sheet1.xml" Id="R196e2293f6d64f0f" /><Relationship Type="http://schemas.openxmlformats.org/officeDocument/2006/relationships/worksheet" Target="/xl/worksheets/sheet2.xml" Id="R1c4621e491654ccc" /><Relationship Type="http://schemas.openxmlformats.org/officeDocument/2006/relationships/worksheet" Target="/xl/worksheets/sheet3.xml" Id="R4437dccfc0164f76" /><Relationship Type="http://schemas.openxmlformats.org/officeDocument/2006/relationships/worksheet" Target="/xl/worksheets/sheet4.xml" Id="R0baebc4a61794c36" /><Relationship Type="http://schemas.openxmlformats.org/officeDocument/2006/relationships/worksheet" Target="/xl/worksheets/sheet5.xml" Id="R72a35757da364283" /><Relationship Type="http://schemas.openxmlformats.org/officeDocument/2006/relationships/worksheet" Target="/xl/worksheets/sheet6.xml" Id="Rcf97c83cc90746cc" /><Relationship Type="http://schemas.openxmlformats.org/officeDocument/2006/relationships/worksheet" Target="/xl/worksheets/sheet7.xml" Id="Rc408ee1a7a90496e" /><Relationship Type="http://schemas.openxmlformats.org/officeDocument/2006/relationships/worksheet" Target="/xl/worksheets/sheet8.xml" Id="R577cc7d1d6cd45af" /><Relationship Type="http://schemas.openxmlformats.org/officeDocument/2006/relationships/worksheet" Target="/xl/worksheets/sheet9.xml" Id="R9d336e0e96c14fbd" /><Relationship Type="http://schemas.openxmlformats.org/officeDocument/2006/relationships/worksheet" Target="/xl/worksheets/sheet10.xml" Id="Rfece90a2afee48a6" /><Relationship Type="http://schemas.openxmlformats.org/officeDocument/2006/relationships/worksheet" Target="/xl/worksheets/sheet11.xml" Id="Rfb0b071abb9d43d4" /><Relationship Type="http://schemas.openxmlformats.org/officeDocument/2006/relationships/worksheet" Target="/xl/worksheets/sheet12.xml" Id="Reb0aaf1e109f49fe" /><Relationship Type="http://schemas.openxmlformats.org/officeDocument/2006/relationships/worksheet" Target="/xl/worksheets/sheet13.xml" Id="R2ed5d85068ca415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1af116725584d3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Base experimental exposure by form and account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Article spend</c:v>
          </c:tx>
          <c:cat>
            <c:strRef>
              <c:f>'Summary'!$A$23:$A$28</c:f>
              <c:strCache>
                <c:ptCount val="0"/>
              </c:strCache>
            </c:strRef>
          </c:cat>
          <c:val>
            <c:numRef>
              <c:f>'Summary'!$B$23:$B$28</c:f>
              <c:numCache>
                <c:formatCode>$#,##0</c:formatCode>
                <c:ptCount val="0"/>
              </c:numCache>
            </c:numRef>
          </c:val>
        </c:ser>
        <c:ser>
          <c:idx val="1"/>
          <c:order val="1"/>
          <c:tx>
            <c:v>Tooling</c:v>
          </c:tx>
          <c:cat>
            <c:strRef>
              <c:f>'Summary'!$A$23:$A$28</c:f>
              <c:strCache>
                <c:ptCount val="0"/>
              </c:strCache>
            </c:strRef>
          </c:cat>
          <c:val>
            <c:numRef>
              <c:f>'Summary'!$C$23:$C$28</c:f>
              <c:numCache>
                <c:formatCode>$#,##0</c:formatCode>
                <c:ptCount val="0"/>
              </c:numCache>
            </c:numRef>
          </c:val>
        </c:ser>
        <c:ser>
          <c:idx val="2"/>
          <c:order val="2"/>
          <c:tx>
            <c:v>Public fixtures</c:v>
          </c:tx>
          <c:cat>
            <c:strRef>
              <c:f>'Summary'!$A$23:$A$28</c:f>
              <c:strCache>
                <c:ptCount val="0"/>
              </c:strCache>
            </c:strRef>
          </c:cat>
          <c:val>
            <c:numRef>
              <c:f>'Summary'!$D$23:$D$28</c:f>
              <c:numCache>
                <c:formatCode>$#,##0</c:formatCode>
                <c:ptCount val="0"/>
              </c:numCache>
            </c:numRef>
          </c:val>
        </c:ser>
        <c:ser>
          <c:idx val="3"/>
          <c:order val="3"/>
          <c:tx>
            <c:v>Operations</c:v>
          </c:tx>
          <c:cat>
            <c:strRef>
              <c:f>'Summary'!$A$23:$A$28</c:f>
              <c:strCache>
                <c:ptCount val="0"/>
              </c:strCache>
            </c:strRef>
          </c:cat>
          <c:val>
            <c:numRef>
              <c:f>'Summary'!$E$23:$E$28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4</xdr:row>
      <xdr:rowOff>0</xdr:rowOff>
    </xdr:from>
    <xdr:to>
      <xdr:col>16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1af116725584d3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3" name="ArticleFamiliesTable" displayName="ArticleFamiliesTable" ref="A6:Q30" headerRowCount="1" totalsRowCount="0" totalsRowShown="0">
  <x:tableColumns count="17">
    <x:tableColumn id="1" name="Order"/>
    <x:tableColumn id="2" name="Form"/>
    <x:tableColumn id="3" name="Technology"/>
    <x:tableColumn id="4" name="Required advance"/>
    <x:tableColumn id="5" name="Fatal event"/>
    <x:tableColumn id="6" name="Builder lines"/>
    <x:tableColumn id="7" name="Serials per line"/>
    <x:tableColumn id="8" name="Article count"/>
    <x:tableColumn id="9" name="Unit article cost (USD M)"/>
    <x:tableColumn id="10" name="Article spend (USD M)"/>
    <x:tableColumn id="11" name="Tooling cells (USD M)"/>
    <x:tableColumn id="12" name="Public fixtures (USD M)"/>
    <x:tableColumn id="13" name="Operations and evidence (USD M)"/>
    <x:tableColumn id="14" name="Base exposure (USD M)"/>
    <x:tableColumn id="15" name="Low exposure (USD M)"/>
    <x:tableColumn id="16" name="High exposure (USD M)"/>
    <x:tableColumn id="17" name="Sta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4" name="SerialRegisterTable" displayName="SerialRegisterTable" ref="A6:L150" headerRowCount="1" totalsRowCount="0" totalsRowShown="0">
  <x:tableColumns count="12">
    <x:tableColumn id="1" name="Serial"/>
    <x:tableColumn id="2" name="Order"/>
    <x:tableColumn id="3" name="Form"/>
    <x:tableColumn id="4" name="Builder line"/>
    <x:tableColumn id="5" name="Role code"/>
    <x:tableColumn id="6" name="Serial role"/>
    <x:tableColumn id="7" name="Custody boundary"/>
    <x:tableColumn id="8" name="Required terminal use"/>
    <x:tableColumn id="9" name="Acceptance-bearing"/>
    <x:tableColumn id="10" name="Built"/>
    <x:tableColumn id="11" name="Accepted"/>
    <x:tableColumn id="12" name="Sta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5" name="IndustrialEstateTable" displayName="IndustrialEstateTable" ref="A6:I150" headerRowCount="1" totalsRowCount="0" totalsRowShown="0">
  <x:tableColumns count="9">
    <x:tableColumn id="1" name="Estate record"/>
    <x:tableColumn id="2" name="Order"/>
    <x:tableColumn id="3" name="Form"/>
    <x:tableColumn id="4" name="Line"/>
    <x:tableColumn id="5" name="Estate class"/>
    <x:tableColumn id="6" name="Control and title"/>
    <x:tableColumn id="7" name="Permitted role"/>
    <x:tableColumn id="8" name="Prohibited role"/>
    <x:tableColumn id="9" name="Sta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6" name="MeasurementPacketsTable" displayName="MeasurementPacketsTable" ref="A6:K42" headerRowCount="1" totalsRowCount="0" totalsRowShown="0">
  <x:tableColumns count="11">
    <x:tableColumn id="1" name="Packet"/>
    <x:tableColumn id="2" name="Form"/>
    <x:tableColumn id="3" name="Symbol"/>
    <x:tableColumn id="4" name="Quantity"/>
    <x:tableColumn id="5" name="Required experiment"/>
    <x:tableColumn id="6" name="Serial role"/>
    <x:tableColumn id="7" name="Primary article family"/>
    <x:tableColumn id="8" name="Instrumentation"/>
    <x:tableColumn id="9" name="Closure product"/>
    <x:tableColumn id="10" name="Measured"/>
    <x:tableColumn id="11" name="Sta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7" name="EventSequenceTable" displayName="EventSequenceTable" ref="A6:K150" headerRowCount="1" totalsRowCount="0" totalsRowShown="0">
  <x:tableColumns count="11">
    <x:tableColumn id="1" name="Event"/>
    <x:tableColumn id="2" name="Serial"/>
    <x:tableColumn id="3" name="Order"/>
    <x:tableColumn id="4" name="Form"/>
    <x:tableColumn id="5" name="Role"/>
    <x:tableColumn id="6" name="Event constitution"/>
    <x:tableColumn id="7" name="Program month"/>
    <x:tableColumn id="8" name="Acceptance-bearing"/>
    <x:tableColumn id="9" name="Authority"/>
    <x:tableColumn id="10" name="Accepted"/>
    <x:tableColumn id="11" name="Sta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9" name="FormEconomicsTable" displayName="FormEconomicsTable" ref="A6:P12" headerRowCount="1" totalsRowCount="0" totalsRowShown="0">
  <x:tableColumns count="16">
    <x:tableColumn id="1" name="Form"/>
    <x:tableColumn id="2" name="Families"/>
    <x:tableColumn id="3" name="Builder lines"/>
    <x:tableColumn id="4" name="Articles"/>
    <x:tableColumn id="5" name="Tooling cells"/>
    <x:tableColumn id="6" name="Public fixtures"/>
    <x:tableColumn id="7" name="Article spend (USD M)"/>
    <x:tableColumn id="8" name="Tooling spend (USD M)"/>
    <x:tableColumn id="9" name="Fixture spend (USD M)"/>
    <x:tableColumn id="10" name="Operations and evidence (USD M)"/>
    <x:tableColumn id="11" name="Base exposure (USD M)"/>
    <x:tableColumn id="12" name="Low exposure (USD M)"/>
    <x:tableColumn id="13" name="High exposure (USD M)"/>
    <x:tableColumn id="14" name="Average direct position-equivalents"/>
    <x:tableColumn id="15" name="Peak direct position-equivalents"/>
    <x:tableColumn id="16" name="Stat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8" name="FormScheduleTable" displayName="FormScheduleTable" ref="A6:H12" headerRowCount="1" totalsRowCount="0" totalsRowShown="0">
  <x:tableColumns count="8">
    <x:tableColumn id="1" name="Form"/>
    <x:tableColumn id="2" name="Configuration"/>
    <x:tableColumn id="3" name="Tooling and fixture ready month"/>
    <x:tableColumn id="4" name="Integration article month"/>
    <x:tableColumn id="5" name="Fatal event month"/>
    <x:tableColumn id="6" name="Cold reconstruction month"/>
    <x:tableColumn id="7" name="Program years"/>
    <x:tableColumn id="8" name="Stat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10" name="AuthorityFirewallTable" displayName="AuthorityFirewallTable" ref="A6:E24" headerRowCount="1" totalsRowCount="0" totalsRowShown="0">
  <x:tableColumns count="5">
    <x:tableColumn id="1" name="Rule"/>
    <x:tableColumn id="2" name="Predecessor state"/>
    <x:tableColumn id="3" name="Prohibited successor"/>
    <x:tableColumn id="4" name="Reason"/>
    <x:tableColumn id="5" name="Stat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1" name="GlobalInputsTable" displayName="GlobalInputsTable" ref="A6:D28" headerRowCount="1" totalsRowCount="0" totalsRowShown="0">
  <x:tableColumns count="4">
    <x:tableColumn id="1" name="Control"/>
    <x:tableColumn id="2" name="Value"/>
    <x:tableColumn id="3" name="Unit"/>
    <x:tableColumn id="4" name="Basi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2" name="FamilyCostInputsTable" displayName="FamilyCostInputsTable" ref="A33:G57" headerRowCount="1" totalsRowCount="0" totalsRowShown="0">
  <x:tableColumns count="7">
    <x:tableColumn id="1" name="Order"/>
    <x:tableColumn id="2" name="Form"/>
    <x:tableColumn id="3" name="Technology"/>
    <x:tableColumn id="4" name="Unit article"/>
    <x:tableColumn id="5" name="Two tooling cells"/>
    <x:tableColumn id="6" name="Two public fixtures"/>
    <x:tableColumn id="7" name="Operations and evidenc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MutationsTable" displayName="MutationsTable" ref="A6:G28" headerRowCount="1" totalsRowCount="0" totalsRowShown="0">
  <x:tableColumns count="7">
    <x:tableColumn id="1" name="Mutation"/>
    <x:tableColumn id="2" name="Sheet"/>
    <x:tableColumn id="3" name="Cell"/>
    <x:tableColumn id="4" name="Disposable change"/>
    <x:tableColumn id="5" name="Expected result"/>
    <x:tableColumn id="6" name="Observed result"/>
    <x:tableColumn id="7" name="Disposition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AuditTable" displayName="AuditTable" ref="A6:E46" headerRowCount="1" totalsRowCount="0" totalsRowShown="0">
  <x:tableColumns count="5">
    <x:tableColumn id="1" name="Audit"/>
    <x:tableColumn id="2" name="Test"/>
    <x:tableColumn id="3" name="Calculated"/>
    <x:tableColumn id="4" name="Expected"/>
    <x:tableColumn id="5" name="St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10d4bac52b5488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26dcd399e304bf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9cc76b621d340c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450b469b72d4eb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18bc87ec7d047d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6fa04a8470849e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ae9dc3f9bf84b8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38b4e96e78d449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480ac6421d449d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9f59543d7c5648ef" /><Relationship Type="http://schemas.openxmlformats.org/officeDocument/2006/relationships/table" Target="/xl/tables/table10.xml" Id="R1f8660d102cc47d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7f5dd67b716f458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58b3d98aeb6443aa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42" hidden="0" customWidth="1"/>
    <x:col min="2" max="2" width="72" hidden="0" customWidth="1"/>
    <x:col min="3" max="3" width="16" hidden="0" customWidth="1"/>
    <x:col min="4" max="4" width="16" hidden="0" customWidth="1"/>
    <x:col min="5" max="5" width="18" hidden="0" customWidth="1"/>
    <x:col min="6" max="6" width="3" hidden="0" customWidth="1"/>
    <x:col min="7" max="7" width="3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</x:cols>
  <x:sheetData>
    <x:row r="1">
      <x:c r="A1" s="14"/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</x:row>
    <x:row r="2">
      <x:c r="A2" s="56" t="str">
        <x:v>Cohort-one article and industrialization decision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</x:row>
    <x:row r="3">
      <x:c r="A3" s="16"/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  <x:c r="N3" s="16"/>
      <x:c r="O3" s="16"/>
      <x:c r="P3" s="16"/>
      <x:c r="Q3" s="2"/>
    </x:row>
    <x:row r="4">
      <x:c r="A4" s="14"/>
      <x:c r="B4" s="14"/>
      <x:c r="C4" s="14"/>
      <x:c r="D4" s="14"/>
      <x:c r="E4" s="14"/>
      <x:c r="F4" s="14"/>
      <x:c r="G4" s="14"/>
      <x:c r="H4" s="14"/>
      <x:c r="I4" s="14"/>
      <x:c r="J4" s="14"/>
      <x:c r="K4" s="14"/>
      <x:c r="L4" s="14"/>
      <x:c r="M4" s="14"/>
      <x:c r="N4" s="14"/>
      <x:c r="O4" s="14"/>
      <x:c r="P4" s="14"/>
    </x:row>
    <x:row r="5">
      <x:c r="A5" s="47" t="str">
        <x:v>Decision</x:v>
      </x:c>
      <x:c r="B5" s="48" t="str">
        <x:v>AIP-1</x:v>
      </x:c>
      <x:c r="C5" s="14"/>
      <x:c r="D5" s="14"/>
      <x:c r="E5" s="14"/>
      <x:c r="F5" s="14"/>
      <x:c r="G5" s="14"/>
      <x:c r="H5" s="14"/>
      <x:c r="I5" s="14"/>
      <x:c r="J5" s="14"/>
      <x:c r="K5" s="14"/>
      <x:c r="L5" s="14"/>
      <x:c r="M5" s="14"/>
      <x:c r="N5" s="14"/>
      <x:c r="O5" s="14"/>
      <x:c r="P5" s="14"/>
    </x:row>
    <x:row r="6">
      <x:c r="A6" s="49" t="str">
        <x:v>Technology families</x:v>
      </x:c>
      <x:c r="B6" s="50" t="n">
        <x:f>COUNTA('Article Families'!$A$7:$A$30)</x:f>
        <x:v>24</x:v>
      </x:c>
      <x:c r="C6" s="14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4"/>
    </x:row>
    <x:row r="7">
      <x:c r="A7" s="49" t="str">
        <x:v>Independent builder lines</x:v>
      </x:c>
      <x:c r="B7" s="50" t="n">
        <x:f>SUM('Article Families'!$F$7:$F$30)</x:f>
        <x:v>48</x:v>
      </x:c>
      <x:c r="C7" s="14"/>
      <x:c r="D7" s="14"/>
      <x:c r="E7" s="14"/>
      <x:c r="F7" s="14"/>
      <x:c r="G7" s="14"/>
      <x:c r="H7" s="14"/>
      <x:c r="I7" s="14"/>
      <x:c r="J7" s="14"/>
      <x:c r="K7" s="14"/>
      <x:c r="L7" s="14"/>
      <x:c r="M7" s="14"/>
      <x:c r="N7" s="14"/>
      <x:c r="O7" s="14"/>
      <x:c r="P7" s="14"/>
    </x:row>
    <x:row r="8">
      <x:c r="A8" s="49" t="str">
        <x:v>Full-scale articles</x:v>
      </x:c>
      <x:c r="B8" s="50" t="n">
        <x:f>SUM('Article Families'!$H$7:$H$30)</x:f>
        <x:v>144</x:v>
      </x:c>
      <x:c r="C8" s="14"/>
      <x:c r="D8" s="14"/>
      <x:c r="E8" s="14"/>
      <x:c r="F8" s="14"/>
      <x:c r="G8" s="14"/>
      <x:c r="H8" s="14"/>
      <x:c r="I8" s="14"/>
      <x:c r="J8" s="14"/>
      <x:c r="K8" s="14"/>
      <x:c r="L8" s="14"/>
      <x:c r="M8" s="14"/>
      <x:c r="N8" s="14"/>
      <x:c r="O8" s="14"/>
      <x:c r="P8" s="14"/>
    </x:row>
    <x:row r="9">
      <x:c r="A9" s="49" t="str">
        <x:v>Root-bound tooling cells</x:v>
      </x:c>
      <x:c r="B9" s="50" t="n">
        <x:f>SUM('Form Economics'!$E$7:$E$12)</x:f>
        <x:v>48</x:v>
      </x:c>
      <x:c r="C9" s="14"/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4"/>
      <x:c r="P9" s="14"/>
    </x:row>
    <x:row r="10">
      <x:c r="A10" s="49" t="str">
        <x:v>Public proving fixtures</x:v>
      </x:c>
      <x:c r="B10" s="50" t="n">
        <x:f>SUM('Form Economics'!$F$7:$F$12)</x:f>
        <x:v>48</x:v>
      </x:c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</x:row>
    <x:row r="11">
      <x:c r="A11" s="49" t="str">
        <x:v>Program events</x:v>
      </x:c>
      <x:c r="B11" s="50" t="n">
        <x:f>COUNTA('Event Sequence'!$A$7:$A$150)</x:f>
        <x:v>144</x:v>
      </x:c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</x:row>
    <x:row r="12">
      <x:c r="A12" s="49" t="str">
        <x:v>Acceptance-bearing events</x:v>
      </x:c>
      <x:c r="B12" s="50" t="n">
        <x:f>SUM('Event Sequence'!$H$7:$H$150)</x:f>
        <x:v>96</x:v>
      </x:c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</x:row>
    <x:row r="13">
      <x:c r="A13" s="49" t="str">
        <x:v>Measurement packets</x:v>
      </x:c>
      <x:c r="B13" s="50" t="n">
        <x:f>COUNTA('Measurement Packets'!$A$7:$A$42)</x:f>
        <x:v>36</x:v>
      </x:c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</x:row>
    <x:row r="14">
      <x:c r="A14" s="49" t="str">
        <x:v>Base exposure (USD B)</x:v>
      </x:c>
      <x:c r="B14" s="51" t="n">
        <x:f>SUM('Form Economics'!$K$7:$K$12)/1000</x:f>
        <x:v>25.04</x:v>
      </x:c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</x:row>
    <x:row r="15">
      <x:c r="A15" s="49" t="str">
        <x:v>Planning range (USD B)</x:v>
      </x:c>
      <x:c r="B15" s="51" t="str">
        <x:f>TEXT(SUM('Form Economics'!$L$7:$L$12)/1000,"0.0")&amp;"–"&amp;TEXT(SUM('Form Economics'!$M$7:$M$12)/1000,"0.0")</x:f>
        <x:v>20.0–35.1</x:v>
      </x:c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</x:row>
    <x:row r="16">
      <x:c r="A16" s="49" t="str">
        <x:v>Longest form program</x:v>
      </x:c>
      <x:c r="B16" s="51" t="str">
        <x:f>MAX('Form Schedule'!$G$7:$G$12)&amp;" years"</x:f>
        <x:v>8 years</x:v>
      </x:c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</x:row>
    <x:row r="17">
      <x:c r="A17" s="49" t="str">
        <x:v>Candidate/tooling reservation mismatch (USD B)</x:v>
      </x:c>
      <x:c r="B17" s="51" t="n">
        <x:f>(SUM('Form Economics'!$G$7:$G$12)+SUM('Form Economics'!$H$7:$H$12)-Inputs!$B$20)/1000</x:f>
        <x:v>0.39</x:v>
      </x:c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</x:row>
    <x:row r="18">
      <x:c r="A18" s="49" t="str">
        <x:v>Accepted observations</x:v>
      </x:c>
      <x:c r="B18" s="50" t="n">
        <x:v>0</x:v>
      </x:c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</x:row>
    <x:row r="19">
      <x:c r="A19" s="52" t="str">
        <x:v>Rendering authority</x:v>
      </x:c>
      <x:c r="B19" s="53" t="n">
        <x:v>0</x:v>
      </x:c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</x:row>
    <x:row r="22">
      <x:c r="A22" s="54" t="str">
        <x:v>Form</x:v>
      </x:c>
      <x:c r="B22" s="54" t="str">
        <x:v>Article spend</x:v>
      </x:c>
      <x:c r="C22" s="54" t="str">
        <x:v>Tooling</x:v>
      </x:c>
      <x:c r="D22" s="54" t="str">
        <x:v>Public fixtures</x:v>
      </x:c>
      <x:c r="E22" s="54" t="str">
        <x:v>Operations</x:v>
      </x:c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</x:row>
    <x:row r="23">
      <x:c r="A23" s="14" t="str">
        <x:v>ET-A-A</x:v>
      </x:c>
      <x:c r="B23" s="19" t="n">
        <x:f>'Form Economics'!G7</x:f>
        <x:v>3600</x:v>
      </x:c>
      <x:c r="C23" s="19" t="n">
        <x:f>'Form Economics'!H7</x:f>
        <x:v>940</x:v>
      </x:c>
      <x:c r="D23" s="19" t="n">
        <x:f>'Form Economics'!I7</x:f>
        <x:v>1320</x:v>
      </x:c>
      <x:c r="E23" s="19" t="n">
        <x:f>'Form Economics'!J7</x:f>
        <x:v>520</x:v>
      </x:c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</x:row>
    <x:row r="24">
      <x:c r="A24" s="14" t="str">
        <x:v>CT-C-B</x:v>
      </x:c>
      <x:c r="B24" s="19" t="n">
        <x:f>'Form Economics'!G8</x:f>
        <x:v>1620</x:v>
      </x:c>
      <x:c r="C24" s="19" t="n">
        <x:f>'Form Economics'!H8</x:f>
        <x:v>470</x:v>
      </x:c>
      <x:c r="D24" s="19" t="n">
        <x:f>'Form Economics'!I8</x:f>
        <x:v>590</x:v>
      </x:c>
      <x:c r="E24" s="19" t="n">
        <x:f>'Form Economics'!J8</x:f>
        <x:v>260</x:v>
      </x:c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</x:row>
    <x:row r="25">
      <x:c r="A25" s="14" t="str">
        <x:v>HC-A-C</x:v>
      </x:c>
      <x:c r="B25" s="19" t="n">
        <x:f>'Form Economics'!G9</x:f>
        <x:v>2010</x:v>
      </x:c>
      <x:c r="C25" s="19" t="n">
        <x:f>'Form Economics'!H9</x:f>
        <x:v>500</x:v>
      </x:c>
      <x:c r="D25" s="19" t="n">
        <x:f>'Form Economics'!I9</x:f>
        <x:v>660</x:v>
      </x:c>
      <x:c r="E25" s="19" t="n">
        <x:f>'Form Economics'!J9</x:f>
        <x:v>290</x:v>
      </x:c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</x:row>
    <x:row r="26">
      <x:c r="A26" s="14" t="str">
        <x:v>LF-B-A</x:v>
      </x:c>
      <x:c r="B26" s="19" t="n">
        <x:f>'Form Economics'!G10</x:f>
        <x:v>3300</x:v>
      </x:c>
      <x:c r="C26" s="19" t="n">
        <x:f>'Form Economics'!H10</x:f>
        <x:v>840</x:v>
      </x:c>
      <x:c r="D26" s="19" t="n">
        <x:f>'Form Economics'!I10</x:f>
        <x:v>1600</x:v>
      </x:c>
      <x:c r="E26" s="19" t="n">
        <x:f>'Form Economics'!J10</x:f>
        <x:v>550</x:v>
      </x:c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</x:row>
    <x:row r="27">
      <x:c r="A27" s="14" t="str">
        <x:v>HU-A-B</x:v>
      </x:c>
      <x:c r="B27" s="19" t="n">
        <x:f>'Form Economics'!G11</x:f>
        <x:v>1980</x:v>
      </x:c>
      <x:c r="C27" s="19" t="n">
        <x:f>'Form Economics'!H11</x:f>
        <x:v>500</x:v>
      </x:c>
      <x:c r="D27" s="19" t="n">
        <x:f>'Form Economics'!I11</x:f>
        <x:v>660</x:v>
      </x:c>
      <x:c r="E27" s="19" t="n">
        <x:f>'Form Economics'!J11</x:f>
        <x:v>300</x:v>
      </x:c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</x:row>
    <x:row r="28">
      <x:c r="A28" s="14" t="str">
        <x:v>RT-B-C</x:v>
      </x:c>
      <x:c r="B28" s="19" t="n">
        <x:f>'Form Economics'!G12</x:f>
        <x:v>1440</x:v>
      </x:c>
      <x:c r="C28" s="19" t="n">
        <x:f>'Form Economics'!H12</x:f>
        <x:v>390</x:v>
      </x:c>
      <x:c r="D28" s="19" t="n">
        <x:f>'Form Economics'!I12</x:f>
        <x:v>470</x:v>
      </x:c>
      <x:c r="E28" s="19" t="n">
        <x:f>'Form Economics'!J12</x:f>
        <x:v>230</x:v>
      </x:c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</x:row>
    <x:row r="31">
      <x:c r="A31" s="55" t="str">
        <x:v>Finding</x:v>
      </x:c>
      <x:c r="B31" s="18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</x:row>
    <x:row r="32">
      <x:c r="A32" s="55" t="str">
        <x:v>Architecture</x:v>
      </x:c>
      <x:c r="B32" s="18" t="str">
        <x:v>Two independent lines and three nonfungible serial roles per family are the minimum program that separates development, destruction and clean reconstruction.</x:v>
      </x:c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</x:row>
    <x:row r="33">
      <x:c r="A33" s="55" t="str">
        <x:v>Fiscal</x:v>
      </x:c>
      <x:c r="B33" s="18" t="str">
        <x:v>The USD25.0B base exposure fits inside the inherited USD43.0B proof-wave ceiling, but candidate articles plus tooling exceed their USD17.2B jurisdictional reservation by USD0.390B.</x:v>
      </x:c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</x:row>
    <x:row r="34">
      <x:c r="A34" s="55" t="str">
        <x:v>Authority</x:v>
      </x:c>
      <x:c r="B34" s="18" t="str">
        <x:v>Cost, construction and event programming create no observation, evidence, production or rendering authority.</x:v>
      </x:c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</x:row>
  </x:sheetData>
  <x:pageMargins left="0.7" right="0.7" top="0.75" bottom="0.75" header="0.3" footer="0.3"/>
  <x:drawing xmlns:r="http://schemas.openxmlformats.org/officeDocument/2006/relationships" r:id="R110d4bac52b54882"/>
</x:worksheet>
</file>

<file path=xl/worksheets/sheet2.xml><?xml version="1.0" encoding="utf-8"?>
<x:worksheet xmlns:x="http://schemas.openxmlformats.org/spreadsheetml/2006/main">
  <x:sheetPr>
    <x:tabColor rgb="FF2F75B5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0" hidden="0" customWidth="1"/>
    <x:col min="2" max="2" width="12" hidden="0" customWidth="1"/>
    <x:col min="3" max="3" width="34" hidden="0" customWidth="1"/>
    <x:col min="4" max="4" width="58" hidden="0" customWidth="1"/>
    <x:col min="5" max="5" width="58" hidden="0" customWidth="1"/>
    <x:col min="6" max="6" width="12" hidden="0" customWidth="1"/>
    <x:col min="7" max="7" width="12" hidden="0" customWidth="1"/>
    <x:col min="8" max="8" width="1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22" hidden="0" customWidth="1"/>
    <x:col min="14" max="14" width="18" hidden="0" customWidth="1"/>
    <x:col min="15" max="15" width="18" hidden="0" customWidth="1"/>
    <x:col min="16" max="16" width="18" hidden="0" customWidth="1"/>
    <x:col min="17" max="17" width="24" hidden="0" customWidth="1"/>
  </x:cols>
  <x:sheetData>
    <x:row r="1">
      <x:c r="A1" s="14"/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</x:row>
    <x:row r="2">
      <x:c r="A2" s="56" t="str">
        <x:v>Twenty-four source-specific article families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</x:row>
    <x:row r="3">
      <x:c r="A3" s="16"/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  <x:c r="N3" s="16"/>
      <x:c r="O3" s="16"/>
      <x:c r="P3" s="16"/>
      <x:c r="Q3" s="16"/>
    </x:row>
    <x:row r="4">
      <x:c r="A4" s="14"/>
      <x:c r="B4" s="14"/>
      <x:c r="C4" s="14"/>
      <x:c r="D4" s="14"/>
      <x:c r="E4" s="14"/>
      <x:c r="F4" s="14"/>
      <x:c r="G4" s="14"/>
      <x:c r="H4" s="14"/>
      <x:c r="I4" s="14"/>
      <x:c r="J4" s="14"/>
      <x:c r="K4" s="14"/>
      <x:c r="L4" s="14"/>
      <x:c r="M4" s="14"/>
      <x:c r="N4" s="14"/>
      <x:c r="O4" s="14"/>
      <x:c r="P4" s="14"/>
      <x:c r="Q4" s="14"/>
    </x:row>
    <x:row r="5">
      <x:c r="A5" s="14"/>
      <x:c r="B5" s="14"/>
      <x:c r="C5" s="14"/>
      <x:c r="D5" s="14"/>
      <x:c r="E5" s="14"/>
      <x:c r="F5" s="14"/>
      <x:c r="G5" s="14"/>
      <x:c r="H5" s="14"/>
      <x:c r="I5" s="14"/>
      <x:c r="J5" s="14"/>
      <x:c r="K5" s="14"/>
      <x:c r="L5" s="14"/>
      <x:c r="M5" s="14"/>
      <x:c r="N5" s="14"/>
      <x:c r="O5" s="14"/>
      <x:c r="P5" s="14"/>
      <x:c r="Q5" s="14"/>
    </x:row>
    <x:row r="6" ht="36" customHeight="1">
      <x:c r="A6" s="18" t="str">
        <x:v>Order</x:v>
      </x:c>
      <x:c r="B6" s="18" t="str">
        <x:v>Form</x:v>
      </x:c>
      <x:c r="C6" s="18" t="str">
        <x:v>Technology</x:v>
      </x:c>
      <x:c r="D6" s="18" t="str">
        <x:v>Required advance</x:v>
      </x:c>
      <x:c r="E6" s="18" t="str">
        <x:v>Fatal event</x:v>
      </x:c>
      <x:c r="F6" s="18" t="str">
        <x:v>Builder lines</x:v>
      </x:c>
      <x:c r="G6" s="18" t="str">
        <x:v>Serials per line</x:v>
      </x:c>
      <x:c r="H6" s="18" t="str">
        <x:v>Article count</x:v>
      </x:c>
      <x:c r="I6" s="18" t="str">
        <x:v>Unit article cost (USD M)</x:v>
      </x:c>
      <x:c r="J6" s="18" t="str">
        <x:v>Article spend (USD M)</x:v>
      </x:c>
      <x:c r="K6" s="18" t="str">
        <x:v>Tooling cells (USD M)</x:v>
      </x:c>
      <x:c r="L6" s="18" t="str">
        <x:v>Public fixtures (USD M)</x:v>
      </x:c>
      <x:c r="M6" s="18" t="str">
        <x:v>Operations and evidence (USD M)</x:v>
      </x:c>
      <x:c r="N6" s="18" t="str">
        <x:v>Base exposure (USD M)</x:v>
      </x:c>
      <x:c r="O6" s="18" t="str">
        <x:v>Low exposure (USD M)</x:v>
      </x:c>
      <x:c r="P6" s="18" t="str">
        <x:v>High exposure (USD M)</x:v>
      </x:c>
      <x:c r="Q6" s="18" t="str">
        <x:v>State</x:v>
      </x:c>
    </x:row>
    <x:row r="7">
      <x:c r="A7" s="14" t="str">
        <x:v>ET-A-A-TECH-1</x:v>
      </x:c>
      <x:c r="B7" s="14" t="str">
        <x:v>ET-A-A</x:v>
      </x:c>
      <x:c r="C7" s="18" t="str">
        <x:v>Independent six-axis transfer saddle</x:v>
      </x:c>
      <x:c r="D7" s="18" t="str">
        <x:v>coupled motion and load cancellation at full transfer</x:v>
      </x:c>
      <x:c r="E7" s="18" t="str">
        <x:v>remove one hull, saddle and shore path at peak relative motion</x:v>
      </x:c>
      <x:c r="F7" s="14" t="n">
        <x:f>Inputs!$B$7</x:f>
        <x:v>2</x:v>
      </x:c>
      <x:c r="G7" s="14" t="n">
        <x:f>Inputs!$B$8</x:f>
        <x:v>3</x:v>
      </x:c>
      <x:c r="H7" s="14" t="n">
        <x:f>F7*G7</x:f>
        <x:v>6</x:v>
      </x:c>
      <x:c r="I7" s="19" t="n">
        <x:f>Inputs!D34</x:f>
        <x:v>220</x:v>
      </x:c>
      <x:c r="J7" s="19" t="n">
        <x:f>H7*I7</x:f>
        <x:v>1320</x:v>
      </x:c>
      <x:c r="K7" s="19" t="n">
        <x:f>Inputs!E34</x:f>
        <x:v>320</x:v>
      </x:c>
      <x:c r="L7" s="19" t="n">
        <x:f>Inputs!F34</x:f>
        <x:v>500</x:v>
      </x:c>
      <x:c r="M7" s="19" t="n">
        <x:f>Inputs!G34</x:f>
        <x:v>180</x:v>
      </x:c>
      <x:c r="N7" s="19" t="n">
        <x:f>SUM(J7:M7)</x:f>
        <x:v>2320</x:v>
      </x:c>
      <x:c r="O7" s="19" t="n">
        <x:f>N7*Inputs!$B$12</x:f>
        <x:v>1856</x:v>
      </x:c>
      <x:c r="P7" s="19" t="n">
        <x:f>N7*Inputs!$B$13</x:f>
        <x:v>3248</x:v>
      </x:c>
      <x:c r="Q7" s="14" t="str">
        <x:v>PROGRAMMED / UNBUILT</x:v>
      </x:c>
    </x:row>
    <x:row r="8">
      <x:c r="A8" s="14" t="str">
        <x:v>ET-A-A-TECH-2</x:v>
      </x:c>
      <x:c r="B8" s="14" t="str">
        <x:v>ET-A-A</x:v>
      </x:c>
      <x:c r="C8" s="18" t="str">
        <x:v>Self-forming shore path</x:v>
      </x:c>
      <x:c r="D8" s="18" t="str">
        <x:v>robotic amphibious support with verified bearing and separate custody</x:v>
      </x:c>
      <x:c r="E8" s="18" t="str">
        <x:v>remove one hull, saddle and shore path at peak relative motion</x:v>
      </x:c>
      <x:c r="F8" s="14" t="n">
        <x:f>Inputs!$B$7</x:f>
        <x:v>2</x:v>
      </x:c>
      <x:c r="G8" s="14" t="n">
        <x:f>Inputs!$B$8</x:f>
        <x:v>3</x:v>
      </x:c>
      <x:c r="H8" s="14" t="n">
        <x:f>F8*G8</x:f>
        <x:v>6</x:v>
      </x:c>
      <x:c r="I8" s="19" t="n">
        <x:f>Inputs!D35</x:f>
        <x:v>180</x:v>
      </x:c>
      <x:c r="J8" s="19" t="n">
        <x:f>H8*I8</x:f>
        <x:v>1080</x:v>
      </x:c>
      <x:c r="K8" s="19" t="n">
        <x:f>Inputs!E35</x:f>
        <x:v>300</x:v>
      </x:c>
      <x:c r="L8" s="19" t="n">
        <x:f>Inputs!F35</x:f>
        <x:v>450</x:v>
      </x:c>
      <x:c r="M8" s="19" t="n">
        <x:f>Inputs!G35</x:f>
        <x:v>160</x:v>
      </x:c>
      <x:c r="N8" s="19" t="n">
        <x:f>SUM(J8:M8)</x:f>
        <x:v>1990</x:v>
      </x:c>
      <x:c r="O8" s="19" t="n">
        <x:f>N8*Inputs!$B$12</x:f>
        <x:v>1592</x:v>
      </x:c>
      <x:c r="P8" s="19" t="n">
        <x:f>N8*Inputs!$B$13</x:f>
        <x:v>2786</x:v>
      </x:c>
      <x:c r="Q8" s="14" t="str">
        <x:v>PROGRAMMED / UNBUILT</x:v>
      </x:c>
    </x:row>
    <x:row r="9">
      <x:c r="A9" s="14" t="str">
        <x:v>ET-A-A-TECH-3</x:v>
      </x:c>
      <x:c r="B9" s="14" t="str">
        <x:v>ET-A-A</x:v>
      </x:c>
      <x:c r="C9" s="18" t="str">
        <x:v>Distributed custody metrology</x:v>
      </x:c>
      <x:c r="D9" s="18" t="str">
        <x:v>salt-tolerant reconciliation without a central meter</x:v>
      </x:c>
      <x:c r="E9" s="18" t="str">
        <x:v>remove one hull, saddle and shore path at peak relative motion</x:v>
      </x:c>
      <x:c r="F9" s="14" t="n">
        <x:f>Inputs!$B$7</x:f>
        <x:v>2</x:v>
      </x:c>
      <x:c r="G9" s="14" t="n">
        <x:f>Inputs!$B$8</x:f>
        <x:v>3</x:v>
      </x:c>
      <x:c r="H9" s="14" t="n">
        <x:f>F9*G9</x:f>
        <x:v>6</x:v>
      </x:c>
      <x:c r="I9" s="19" t="n">
        <x:f>Inputs!D36</x:f>
        <x:v>70</x:v>
      </x:c>
      <x:c r="J9" s="19" t="n">
        <x:f>H9*I9</x:f>
        <x:v>420</x:v>
      </x:c>
      <x:c r="K9" s="19" t="n">
        <x:f>Inputs!E36</x:f>
        <x:v>100</x:v>
      </x:c>
      <x:c r="L9" s="19" t="n">
        <x:f>Inputs!F36</x:f>
        <x:v>120</x:v>
      </x:c>
      <x:c r="M9" s="19" t="n">
        <x:f>Inputs!G36</x:f>
        <x:v>70</x:v>
      </x:c>
      <x:c r="N9" s="19" t="n">
        <x:f>SUM(J9:M9)</x:f>
        <x:v>710</x:v>
      </x:c>
      <x:c r="O9" s="19" t="n">
        <x:f>N9*Inputs!$B$12</x:f>
        <x:v>568</x:v>
      </x:c>
      <x:c r="P9" s="19" t="n">
        <x:f>N9*Inputs!$B$13</x:f>
        <x:v>993.9999999999999</x:v>
      </x:c>
      <x:c r="Q9" s="14" t="str">
        <x:v>PROGRAMMED / UNBUILT</x:v>
      </x:c>
    </x:row>
    <x:row r="10">
      <x:c r="A10" s="14" t="str">
        <x:v>ET-A-A-TECH-4</x:v>
      </x:c>
      <x:c r="B10" s="14" t="str">
        <x:v>ET-A-A</x:v>
      </x:c>
      <x:c r="C10" s="18" t="str">
        <x:v>Hull-local thermal metabolism</x:v>
      </x:c>
      <x:c r="D10" s="18" t="str">
        <x:v>drying, refuge and refrigeration rejection inside each train</x:v>
      </x:c>
      <x:c r="E10" s="18" t="str">
        <x:v>remove one hull, saddle and shore path at peak relative motion</x:v>
      </x:c>
      <x:c r="F10" s="14" t="n">
        <x:f>Inputs!$B$7</x:f>
        <x:v>2</x:v>
      </x:c>
      <x:c r="G10" s="14" t="n">
        <x:f>Inputs!$B$8</x:f>
        <x:v>3</x:v>
      </x:c>
      <x:c r="H10" s="14" t="n">
        <x:f>F10*G10</x:f>
        <x:v>6</x:v>
      </x:c>
      <x:c r="I10" s="19" t="n">
        <x:f>Inputs!D37</x:f>
        <x:v>130</x:v>
      </x:c>
      <x:c r="J10" s="19" t="n">
        <x:f>H10*I10</x:f>
        <x:v>780</x:v>
      </x:c>
      <x:c r="K10" s="19" t="n">
        <x:f>Inputs!E37</x:f>
        <x:v>220</x:v>
      </x:c>
      <x:c r="L10" s="19" t="n">
        <x:f>Inputs!F37</x:f>
        <x:v>250</x:v>
      </x:c>
      <x:c r="M10" s="19" t="n">
        <x:f>Inputs!G37</x:f>
        <x:v>110</x:v>
      </x:c>
      <x:c r="N10" s="19" t="n">
        <x:f>SUM(J10:M10)</x:f>
        <x:v>1360</x:v>
      </x:c>
      <x:c r="O10" s="19" t="n">
        <x:f>N10*Inputs!$B$12</x:f>
        <x:v>1088</x:v>
      </x:c>
      <x:c r="P10" s="19" t="n">
        <x:f>N10*Inputs!$B$13</x:f>
        <x:v>1903.9999999999998</x:v>
      </x:c>
      <x:c r="Q10" s="14" t="str">
        <x:v>PROGRAMMED / UNBUILT</x:v>
      </x:c>
    </x:row>
    <x:row r="11">
      <x:c r="A11" s="14" t="str">
        <x:v>CT-C-B-TECH-1</x:v>
      </x:c>
      <x:c r="B11" s="14" t="str">
        <x:v>CT-C-B</x:v>
      </x:c>
      <x:c r="C11" s="18" t="str">
        <x:v>Proof-loaded reversible attachment</x:v>
      </x:c>
      <x:c r="D11" s="18" t="str">
        <x:v>robotic anchor installation with continuous structural proof</x:v>
      </x:c>
      <x:c r="E11" s="18" t="str">
        <x:v>release one anchor zone and fault its mixed-utility trunk</x:v>
      </x:c>
      <x:c r="F11" s="14" t="n">
        <x:f>Inputs!$B$7</x:f>
        <x:v>2</x:v>
      </x:c>
      <x:c r="G11" s="14" t="n">
        <x:f>Inputs!$B$8</x:f>
        <x:v>3</x:v>
      </x:c>
      <x:c r="H11" s="14" t="n">
        <x:f>F11*G11</x:f>
        <x:v>6</x:v>
      </x:c>
      <x:c r="I11" s="19" t="n">
        <x:f>Inputs!D38</x:f>
        <x:v>90</x:v>
      </x:c>
      <x:c r="J11" s="19" t="n">
        <x:f>H11*I11</x:f>
        <x:v>540</x:v>
      </x:c>
      <x:c r="K11" s="19" t="n">
        <x:f>Inputs!E38</x:f>
        <x:v>150</x:v>
      </x:c>
      <x:c r="L11" s="19" t="n">
        <x:f>Inputs!F38</x:f>
        <x:v>180</x:v>
      </x:c>
      <x:c r="M11" s="19" t="n">
        <x:f>Inputs!G38</x:f>
        <x:v>80</x:v>
      </x:c>
      <x:c r="N11" s="19" t="n">
        <x:f>SUM(J11:M11)</x:f>
        <x:v>950</x:v>
      </x:c>
      <x:c r="O11" s="19" t="n">
        <x:f>N11*Inputs!$B$12</x:f>
        <x:v>760</x:v>
      </x:c>
      <x:c r="P11" s="19" t="n">
        <x:f>N11*Inputs!$B$13</x:f>
        <x:v>1330</x:v>
      </x:c>
      <x:c r="Q11" s="14" t="str">
        <x:v>PROGRAMMED / UNBUILT</x:v>
      </x:c>
    </x:row>
    <x:row r="12">
      <x:c r="A12" s="14" t="str">
        <x:v>CT-C-B-TECH-2</x:v>
      </x:c>
      <x:c r="B12" s="14" t="str">
        <x:v>CT-C-B</x:v>
      </x:c>
      <x:c r="C12" s="18" t="str">
        <x:v>Passive progressive-peel arrest</x:v>
      </x:c>
      <x:c r="D12" s="18" t="str">
        <x:v>segment gap that arrests a released façade zone</x:v>
      </x:c>
      <x:c r="E12" s="18" t="str">
        <x:v>release one anchor zone and fault its mixed-utility trunk</x:v>
      </x:c>
      <x:c r="F12" s="14" t="n">
        <x:f>Inputs!$B$7</x:f>
        <x:v>2</x:v>
      </x:c>
      <x:c r="G12" s="14" t="n">
        <x:f>Inputs!$B$8</x:f>
        <x:v>3</x:v>
      </x:c>
      <x:c r="H12" s="14" t="n">
        <x:f>F12*G12</x:f>
        <x:v>6</x:v>
      </x:c>
      <x:c r="I12" s="19" t="n">
        <x:f>Inputs!D39</x:f>
        <x:v>70</x:v>
      </x:c>
      <x:c r="J12" s="19" t="n">
        <x:f>H12*I12</x:f>
        <x:v>420</x:v>
      </x:c>
      <x:c r="K12" s="19" t="n">
        <x:f>Inputs!E39</x:f>
        <x:v>120</x:v>
      </x:c>
      <x:c r="L12" s="19" t="n">
        <x:f>Inputs!F39</x:f>
        <x:v>150</x:v>
      </x:c>
      <x:c r="M12" s="19" t="n">
        <x:f>Inputs!G39</x:f>
        <x:v>70</x:v>
      </x:c>
      <x:c r="N12" s="19" t="n">
        <x:f>SUM(J12:M12)</x:f>
        <x:v>760</x:v>
      </x:c>
      <x:c r="O12" s="19" t="n">
        <x:f>N12*Inputs!$B$12</x:f>
        <x:v>608</x:v>
      </x:c>
      <x:c r="P12" s="19" t="n">
        <x:f>N12*Inputs!$B$13</x:f>
        <x:v>1064</x:v>
      </x:c>
      <x:c r="Q12" s="14" t="str">
        <x:v>PROGRAMMED / UNBUILT</x:v>
      </x:c>
    </x:row>
    <x:row r="13">
      <x:c r="A13" s="14" t="str">
        <x:v>CT-C-B-TECH-3</x:v>
      </x:c>
      <x:c r="B13" s="14" t="str">
        <x:v>CT-C-B</x:v>
      </x:c>
      <x:c r="C13" s="18" t="str">
        <x:v>Mixed-utility guillotine</x:v>
      </x:c>
      <x:c r="D13" s="18" t="str">
        <x:v>electrical, hydraulic, smoke and dirty-return isolation</x:v>
      </x:c>
      <x:c r="E13" s="18" t="str">
        <x:v>release one anchor zone and fault its mixed-utility trunk</x:v>
      </x:c>
      <x:c r="F13" s="14" t="n">
        <x:f>Inputs!$B$7</x:f>
        <x:v>2</x:v>
      </x:c>
      <x:c r="G13" s="14" t="n">
        <x:f>Inputs!$B$8</x:f>
        <x:v>3</x:v>
      </x:c>
      <x:c r="H13" s="14" t="n">
        <x:f>F13*G13</x:f>
        <x:v>6</x:v>
      </x:c>
      <x:c r="I13" s="19" t="n">
        <x:f>Inputs!D40</x:f>
        <x:v>50</x:v>
      </x:c>
      <x:c r="J13" s="19" t="n">
        <x:f>H13*I13</x:f>
        <x:v>300</x:v>
      </x:c>
      <x:c r="K13" s="19" t="n">
        <x:f>Inputs!E40</x:f>
        <x:v>90</x:v>
      </x:c>
      <x:c r="L13" s="19" t="n">
        <x:f>Inputs!F40</x:f>
        <x:v>120</x:v>
      </x:c>
      <x:c r="M13" s="19" t="n">
        <x:f>Inputs!G40</x:f>
        <x:v>50</x:v>
      </x:c>
      <x:c r="N13" s="19" t="n">
        <x:f>SUM(J13:M13)</x:f>
        <x:v>560</x:v>
      </x:c>
      <x:c r="O13" s="19" t="n">
        <x:f>N13*Inputs!$B$12</x:f>
        <x:v>448</x:v>
      </x:c>
      <x:c r="P13" s="19" t="n">
        <x:f>N13*Inputs!$B$13</x:f>
        <x:v>784</x:v>
      </x:c>
      <x:c r="Q13" s="14" t="str">
        <x:v>PROGRAMMED / UNBUILT</x:v>
      </x:c>
    </x:row>
    <x:row r="14">
      <x:c r="A14" s="14" t="str">
        <x:v>CT-C-B-TECH-4</x:v>
      </x:c>
      <x:c r="B14" s="14" t="str">
        <x:v>CT-C-B</x:v>
      </x:c>
      <x:c r="C14" s="18" t="str">
        <x:v>Occupied-zone installation robotics</x:v>
      </x:c>
      <x:c r="D14" s="18" t="str">
        <x:v>low-noise contamination-aware work around continuing occupancy</x:v>
      </x:c>
      <x:c r="E14" s="18" t="str">
        <x:v>release one anchor zone and fault its mixed-utility trunk</x:v>
      </x:c>
      <x:c r="F14" s="14" t="n">
        <x:f>Inputs!$B$7</x:f>
        <x:v>2</x:v>
      </x:c>
      <x:c r="G14" s="14" t="n">
        <x:f>Inputs!$B$8</x:f>
        <x:v>3</x:v>
      </x:c>
      <x:c r="H14" s="14" t="n">
        <x:f>F14*G14</x:f>
        <x:v>6</x:v>
      </x:c>
      <x:c r="I14" s="19" t="n">
        <x:f>Inputs!D41</x:f>
        <x:v>60</x:v>
      </x:c>
      <x:c r="J14" s="19" t="n">
        <x:f>H14*I14</x:f>
        <x:v>360</x:v>
      </x:c>
      <x:c r="K14" s="19" t="n">
        <x:f>Inputs!E41</x:f>
        <x:v>110</x:v>
      </x:c>
      <x:c r="L14" s="19" t="n">
        <x:f>Inputs!F41</x:f>
        <x:v>140</x:v>
      </x:c>
      <x:c r="M14" s="19" t="n">
        <x:f>Inputs!G41</x:f>
        <x:v>60</x:v>
      </x:c>
      <x:c r="N14" s="19" t="n">
        <x:f>SUM(J14:M14)</x:f>
        <x:v>670</x:v>
      </x:c>
      <x:c r="O14" s="19" t="n">
        <x:f>N14*Inputs!$B$12</x:f>
        <x:v>536</x:v>
      </x:c>
      <x:c r="P14" s="19" t="n">
        <x:f>N14*Inputs!$B$13</x:f>
        <x:v>937.9999999999999</x:v>
      </x:c>
      <x:c r="Q14" s="14" t="str">
        <x:v>PROGRAMMED / UNBUILT</x:v>
      </x:c>
    </x:row>
    <x:row r="15">
      <x:c r="A15" s="14" t="str">
        <x:v>HC-A-C-TECH-1</x:v>
      </x:c>
      <x:c r="B15" s="14" t="str">
        <x:v>HC-A-C</x:v>
      </x:c>
      <x:c r="C15" s="18" t="str">
        <x:v>Mesh-independent heavy rotor cell</x:v>
      </x:c>
      <x:c r="D15" s="18" t="str">
        <x:v>local flight, causal delivery and safeing under denied navigation</x:v>
      </x:c>
      <x:c r="E15" s="18" t="str">
        <x:v>deny the mesh and safe one rotor cell inside the plume</x:v>
      </x:c>
      <x:c r="F15" s="14" t="n">
        <x:f>Inputs!$B$7</x:f>
        <x:v>2</x:v>
      </x:c>
      <x:c r="G15" s="14" t="n">
        <x:f>Inputs!$B$8</x:f>
        <x:v>3</x:v>
      </x:c>
      <x:c r="H15" s="14" t="n">
        <x:f>F15*G15</x:f>
        <x:v>6</x:v>
      </x:c>
      <x:c r="I15" s="19" t="n">
        <x:f>Inputs!D42</x:f>
        <x:v>150</x:v>
      </x:c>
      <x:c r="J15" s="19" t="n">
        <x:f>H15*I15</x:f>
        <x:v>900</x:v>
      </x:c>
      <x:c r="K15" s="19" t="n">
        <x:f>Inputs!E42</x:f>
        <x:v>220</x:v>
      </x:c>
      <x:c r="L15" s="19" t="n">
        <x:f>Inputs!F42</x:f>
        <x:v>300</x:v>
      </x:c>
      <x:c r="M15" s="19" t="n">
        <x:f>Inputs!G42</x:f>
        <x:v>120</x:v>
      </x:c>
      <x:c r="N15" s="19" t="n">
        <x:f>SUM(J15:M15)</x:f>
        <x:v>1540</x:v>
      </x:c>
      <x:c r="O15" s="19" t="n">
        <x:f>N15*Inputs!$B$12</x:f>
        <x:v>1232</x:v>
      </x:c>
      <x:c r="P15" s="19" t="n">
        <x:f>N15*Inputs!$B$13</x:f>
        <x:v>2156</x:v>
      </x:c>
      <x:c r="Q15" s="14" t="str">
        <x:v>PROGRAMMED / UNBUILT</x:v>
      </x:c>
    </x:row>
    <x:row r="16">
      <x:c r="A16" s="14" t="str">
        <x:v>HC-A-C-TECH-2</x:v>
      </x:c>
      <x:c r="B16" s="14" t="str">
        <x:v>HC-A-C</x:v>
      </x:c>
      <x:c r="C16" s="18" t="str">
        <x:v>Hot-zone exchange lane</x:v>
      </x:c>
      <x:c r="D16" s="18" t="str">
        <x:v>robotic battery or working-fluid exchange inside plume conditions</x:v>
      </x:c>
      <x:c r="E16" s="18" t="str">
        <x:v>deny the mesh and safe one rotor cell inside the plume</x:v>
      </x:c>
      <x:c r="F16" s="14" t="n">
        <x:f>Inputs!$B$7</x:f>
        <x:v>2</x:v>
      </x:c>
      <x:c r="G16" s="14" t="n">
        <x:f>Inputs!$B$8</x:f>
        <x:v>3</x:v>
      </x:c>
      <x:c r="H16" s="14" t="n">
        <x:f>F16*G16</x:f>
        <x:v>6</x:v>
      </x:c>
      <x:c r="I16" s="19" t="n">
        <x:f>Inputs!D43</x:f>
        <x:v>80</x:v>
      </x:c>
      <x:c r="J16" s="19" t="n">
        <x:f>H16*I16</x:f>
        <x:v>480</x:v>
      </x:c>
      <x:c r="K16" s="19" t="n">
        <x:f>Inputs!E43</x:f>
        <x:v>120</x:v>
      </x:c>
      <x:c r="L16" s="19" t="n">
        <x:f>Inputs!F43</x:f>
        <x:v>160</x:v>
      </x:c>
      <x:c r="M16" s="19" t="n">
        <x:f>Inputs!G43</x:f>
        <x:v>70</x:v>
      </x:c>
      <x:c r="N16" s="19" t="n">
        <x:f>SUM(J16:M16)</x:f>
        <x:v>830</x:v>
      </x:c>
      <x:c r="O16" s="19" t="n">
        <x:f>N16*Inputs!$B$12</x:f>
        <x:v>664</x:v>
      </x:c>
      <x:c r="P16" s="19" t="n">
        <x:f>N16*Inputs!$B$13</x:f>
        <x:v>1162</x:v>
      </x:c>
      <x:c r="Q16" s="14" t="str">
        <x:v>PROGRAMMED / UNBUILT</x:v>
      </x:c>
    </x:row>
    <x:row r="17">
      <x:c r="A17" s="14" t="str">
        <x:v>HC-A-C-TECH-3</x:v>
      </x:c>
      <x:c r="B17" s="14" t="str">
        <x:v>HC-A-C</x:v>
      </x:c>
      <x:c r="C17" s="18" t="str">
        <x:v>Self-calibrating plume tomography</x:v>
      </x:c>
      <x:c r="D17" s="18" t="str">
        <x:v>visible hold under correlated sensor drift</x:v>
      </x:c>
      <x:c r="E17" s="18" t="str">
        <x:v>deny the mesh and safe one rotor cell inside the plume</x:v>
      </x:c>
      <x:c r="F17" s="14" t="n">
        <x:f>Inputs!$B$7</x:f>
        <x:v>2</x:v>
      </x:c>
      <x:c r="G17" s="14" t="n">
        <x:f>Inputs!$B$8</x:f>
        <x:v>3</x:v>
      </x:c>
      <x:c r="H17" s="14" t="n">
        <x:f>F17*G17</x:f>
        <x:v>6</x:v>
      </x:c>
      <x:c r="I17" s="19" t="n">
        <x:f>Inputs!D44</x:f>
        <x:v>35</x:v>
      </x:c>
      <x:c r="J17" s="19" t="n">
        <x:f>H17*I17</x:f>
        <x:v>210</x:v>
      </x:c>
      <x:c r="K17" s="19" t="n">
        <x:f>Inputs!E44</x:f>
        <x:v>60</x:v>
      </x:c>
      <x:c r="L17" s="19" t="n">
        <x:f>Inputs!F44</x:f>
        <x:v>80</x:v>
      </x:c>
      <x:c r="M17" s="19" t="n">
        <x:f>Inputs!G44</x:f>
        <x:v>40</x:v>
      </x:c>
      <x:c r="N17" s="19" t="n">
        <x:f>SUM(J17:M17)</x:f>
        <x:v>390</x:v>
      </x:c>
      <x:c r="O17" s="19" t="n">
        <x:f>N17*Inputs!$B$12</x:f>
        <x:v>312</x:v>
      </x:c>
      <x:c r="P17" s="19" t="n">
        <x:f>N17*Inputs!$B$13</x:f>
        <x:v>546</x:v>
      </x:c>
      <x:c r="Q17" s="14" t="str">
        <x:v>PROGRAMMED / UNBUILT</x:v>
      </x:c>
    </x:row>
    <x:row r="18">
      <x:c r="A18" s="14" t="str">
        <x:v>HC-A-C-TECH-4</x:v>
      </x:c>
      <x:c r="B18" s="14" t="str">
        <x:v>HC-A-C</x:v>
      </x:c>
      <x:c r="C18" s="18" t="str">
        <x:v>Cell-local aero-thermal system</x:v>
      </x:c>
      <x:c r="D18" s="18" t="str">
        <x:v>72-hour rotor and payload control without shared cooling</x:v>
      </x:c>
      <x:c r="E18" s="18" t="str">
        <x:v>deny the mesh and safe one rotor cell inside the plume</x:v>
      </x:c>
      <x:c r="F18" s="14" t="n">
        <x:f>Inputs!$B$7</x:f>
        <x:v>2</x:v>
      </x:c>
      <x:c r="G18" s="14" t="n">
        <x:f>Inputs!$B$8</x:f>
        <x:v>3</x:v>
      </x:c>
      <x:c r="H18" s="14" t="n">
        <x:f>F18*G18</x:f>
        <x:v>6</x:v>
      </x:c>
      <x:c r="I18" s="19" t="n">
        <x:f>Inputs!D45</x:f>
        <x:v>70</x:v>
      </x:c>
      <x:c r="J18" s="19" t="n">
        <x:f>H18*I18</x:f>
        <x:v>420</x:v>
      </x:c>
      <x:c r="K18" s="19" t="n">
        <x:f>Inputs!E45</x:f>
        <x:v>100</x:v>
      </x:c>
      <x:c r="L18" s="19" t="n">
        <x:f>Inputs!F45</x:f>
        <x:v>120</x:v>
      </x:c>
      <x:c r="M18" s="19" t="n">
        <x:f>Inputs!G45</x:f>
        <x:v>60</x:v>
      </x:c>
      <x:c r="N18" s="19" t="n">
        <x:f>SUM(J18:M18)</x:f>
        <x:v>700</x:v>
      </x:c>
      <x:c r="O18" s="19" t="n">
        <x:f>N18*Inputs!$B$12</x:f>
        <x:v>560</x:v>
      </x:c>
      <x:c r="P18" s="19" t="n">
        <x:f>N18*Inputs!$B$13</x:f>
        <x:v>979.9999999999999</x:v>
      </x:c>
      <x:c r="Q18" s="14" t="str">
        <x:v>PROGRAMMED / UNBUILT</x:v>
      </x:c>
    </x:row>
    <x:row r="19">
      <x:c r="A19" s="14" t="str">
        <x:v>LF-B-A-TECH-1</x:v>
      </x:c>
      <x:c r="B19" s="14" t="str">
        <x:v>LF-B-A</x:v>
      </x:c>
      <x:c r="C19" s="18" t="str">
        <x:v>Rapid multi-bore inference</x:v>
      </x:c>
      <x:c r="D19" s="18" t="str">
        <x:v>local reservoir bounds without a central subsurface model</x:v>
      </x:c>
      <x:c r="E19" s="18" t="str">
        <x:v>rupture one island and deny its bore pair at full thermal state</x:v>
      </x:c>
      <x:c r="F19" s="14" t="n">
        <x:f>Inputs!$B$7</x:f>
        <x:v>2</x:v>
      </x:c>
      <x:c r="G19" s="14" t="n">
        <x:f>Inputs!$B$8</x:f>
        <x:v>3</x:v>
      </x:c>
      <x:c r="H19" s="14" t="n">
        <x:f>F19*G19</x:f>
        <x:v>6</x:v>
      </x:c>
      <x:c r="I19" s="19" t="n">
        <x:f>Inputs!D46</x:f>
        <x:v>120</x:v>
      </x:c>
      <x:c r="J19" s="19" t="n">
        <x:f>H19*I19</x:f>
        <x:v>720</x:v>
      </x:c>
      <x:c r="K19" s="19" t="n">
        <x:f>Inputs!E46</x:f>
        <x:v>180</x:v>
      </x:c>
      <x:c r="L19" s="19" t="n">
        <x:f>Inputs!F46</x:f>
        <x:v>350</x:v>
      </x:c>
      <x:c r="M19" s="19" t="n">
        <x:f>Inputs!G46</x:f>
        <x:v>120</x:v>
      </x:c>
      <x:c r="N19" s="19" t="n">
        <x:f>SUM(J19:M19)</x:f>
        <x:v>1370</x:v>
      </x:c>
      <x:c r="O19" s="19" t="n">
        <x:f>N19*Inputs!$B$12</x:f>
        <x:v>1096</x:v>
      </x:c>
      <x:c r="P19" s="19" t="n">
        <x:f>N19*Inputs!$B$13</x:f>
        <x:v>1917.9999999999998</x:v>
      </x:c>
      <x:c r="Q19" s="14" t="str">
        <x:v>PROGRAMMED / UNBUILT</x:v>
      </x:c>
    </x:row>
    <x:row r="20">
      <x:c r="A20" s="14" t="str">
        <x:v>LF-B-A-TECH-2</x:v>
      </x:c>
      <x:c r="B20" s="14" t="str">
        <x:v>LF-B-A</x:v>
      </x:c>
      <x:c r="C20" s="18" t="str">
        <x:v>Headerless high-temperature switching</x:v>
      </x:c>
      <x:c r="D20" s="18" t="str">
        <x:v>island-local production and reinjection isolation</x:v>
      </x:c>
      <x:c r="E20" s="18" t="str">
        <x:v>rupture one island and deny its bore pair at full thermal state</x:v>
      </x:c>
      <x:c r="F20" s="14" t="n">
        <x:f>Inputs!$B$7</x:f>
        <x:v>2</x:v>
      </x:c>
      <x:c r="G20" s="14" t="n">
        <x:f>Inputs!$B$8</x:f>
        <x:v>3</x:v>
      </x:c>
      <x:c r="H20" s="14" t="n">
        <x:f>F20*G20</x:f>
        <x:v>6</x:v>
      </x:c>
      <x:c r="I20" s="19" t="n">
        <x:f>Inputs!D47</x:f>
        <x:v>210</x:v>
      </x:c>
      <x:c r="J20" s="19" t="n">
        <x:f>H20*I20</x:f>
        <x:v>1260</x:v>
      </x:c>
      <x:c r="K20" s="19" t="n">
        <x:f>Inputs!E47</x:f>
        <x:v>300</x:v>
      </x:c>
      <x:c r="L20" s="19" t="n">
        <x:f>Inputs!F47</x:f>
        <x:v>600</x:v>
      </x:c>
      <x:c r="M20" s="19" t="n">
        <x:f>Inputs!G47</x:f>
        <x:v>200</x:v>
      </x:c>
      <x:c r="N20" s="19" t="n">
        <x:f>SUM(J20:M20)</x:f>
        <x:v>2360</x:v>
      </x:c>
      <x:c r="O20" s="19" t="n">
        <x:f>N20*Inputs!$B$12</x:f>
        <x:v>1888</x:v>
      </x:c>
      <x:c r="P20" s="19" t="n">
        <x:f>N20*Inputs!$B$13</x:f>
        <x:v>3304</x:v>
      </x:c>
      <x:c r="Q20" s="14" t="str">
        <x:v>PROGRAMMED / UNBUILT</x:v>
      </x:c>
    </x:row>
    <x:row r="21">
      <x:c r="A21" s="14" t="str">
        <x:v>LF-B-A-TECH-3</x:v>
      </x:c>
      <x:c r="B21" s="14" t="str">
        <x:v>LF-B-A</x:v>
      </x:c>
      <x:c r="C21" s="18" t="str">
        <x:v>Closed brine-mineral metabolism</x:v>
      </x:c>
      <x:c r="D21" s="18" t="str">
        <x:v>continuous mass, chemistry and heat reconciliation</x:v>
      </x:c>
      <x:c r="E21" s="18" t="str">
        <x:v>rupture one island and deny its bore pair at full thermal state</x:v>
      </x:c>
      <x:c r="F21" s="14" t="n">
        <x:f>Inputs!$B$7</x:f>
        <x:v>2</x:v>
      </x:c>
      <x:c r="G21" s="14" t="n">
        <x:f>Inputs!$B$8</x:f>
        <x:v>3</x:v>
      </x:c>
      <x:c r="H21" s="14" t="n">
        <x:f>F21*G21</x:f>
        <x:v>6</x:v>
      </x:c>
      <x:c r="I21" s="19" t="n">
        <x:f>Inputs!D48</x:f>
        <x:v>130</x:v>
      </x:c>
      <x:c r="J21" s="19" t="n">
        <x:f>H21*I21</x:f>
        <x:v>780</x:v>
      </x:c>
      <x:c r="K21" s="19" t="n">
        <x:f>Inputs!E48</x:f>
        <x:v>220</x:v>
      </x:c>
      <x:c r="L21" s="19" t="n">
        <x:f>Inputs!F48</x:f>
        <x:v>400</x:v>
      </x:c>
      <x:c r="M21" s="19" t="n">
        <x:f>Inputs!G48</x:f>
        <x:v>140</x:v>
      </x:c>
      <x:c r="N21" s="19" t="n">
        <x:f>SUM(J21:M21)</x:f>
        <x:v>1540</x:v>
      </x:c>
      <x:c r="O21" s="19" t="n">
        <x:f>N21*Inputs!$B$12</x:f>
        <x:v>1232</x:v>
      </x:c>
      <x:c r="P21" s="19" t="n">
        <x:f>N21*Inputs!$B$13</x:f>
        <x:v>2156</x:v>
      </x:c>
      <x:c r="Q21" s="14" t="str">
        <x:v>PROGRAMMED / UNBUILT</x:v>
      </x:c>
    </x:row>
    <x:row r="22">
      <x:c r="A22" s="14" t="str">
        <x:v>LF-B-A-TECH-4</x:v>
      </x:c>
      <x:c r="B22" s="14" t="str">
        <x:v>LF-B-A</x:v>
      </x:c>
      <x:c r="C22" s="18" t="str">
        <x:v>Autonomous trenchless lifeline corridor</x:v>
      </x:c>
      <x:c r="D22" s="18" t="str">
        <x:v>two reconstructable water-power paths across broken terrain</x:v>
      </x:c>
      <x:c r="E22" s="18" t="str">
        <x:v>rupture one island and deny its bore pair at full thermal state</x:v>
      </x:c>
      <x:c r="F22" s="14" t="n">
        <x:f>Inputs!$B$7</x:f>
        <x:v>2</x:v>
      </x:c>
      <x:c r="G22" s="14" t="n">
        <x:f>Inputs!$B$8</x:f>
        <x:v>3</x:v>
      </x:c>
      <x:c r="H22" s="14" t="n">
        <x:f>F22*G22</x:f>
        <x:v>6</x:v>
      </x:c>
      <x:c r="I22" s="19" t="n">
        <x:f>Inputs!D49</x:f>
        <x:v>90</x:v>
      </x:c>
      <x:c r="J22" s="19" t="n">
        <x:f>H22*I22</x:f>
        <x:v>540</x:v>
      </x:c>
      <x:c r="K22" s="19" t="n">
        <x:f>Inputs!E49</x:f>
        <x:v>140</x:v>
      </x:c>
      <x:c r="L22" s="19" t="n">
        <x:f>Inputs!F49</x:f>
        <x:v>250</x:v>
      </x:c>
      <x:c r="M22" s="19" t="n">
        <x:f>Inputs!G49</x:f>
        <x:v>90</x:v>
      </x:c>
      <x:c r="N22" s="19" t="n">
        <x:f>SUM(J22:M22)</x:f>
        <x:v>1020</x:v>
      </x:c>
      <x:c r="O22" s="19" t="n">
        <x:f>N22*Inputs!$B$12</x:f>
        <x:v>816</x:v>
      </x:c>
      <x:c r="P22" s="19" t="n">
        <x:f>N22*Inputs!$B$13</x:f>
        <x:v>1428</x:v>
      </x:c>
      <x:c r="Q22" s="14" t="str">
        <x:v>PROGRAMMED / UNBUILT</x:v>
      </x:c>
    </x:row>
    <x:row r="23">
      <x:c r="A23" s="14" t="str">
        <x:v>HU-A-B-TECH-1</x:v>
      </x:c>
      <x:c r="B23" s="14" t="str">
        <x:v>HU-A-B</x:v>
      </x:c>
      <x:c r="C23" s="18" t="str">
        <x:v>Counter-rotating clinical loops</x:v>
      </x:c>
      <x:c r="D23" s="18" t="str">
        <x:v>clean-dirty circulation through a section and crossbar cut</x:v>
      </x:c>
      <x:c r="E23" s="18" t="str">
        <x:v>block one loop section and its nearest crossbar at full census</x:v>
      </x:c>
      <x:c r="F23" s="14" t="n">
        <x:f>Inputs!$B$7</x:f>
        <x:v>2</x:v>
      </x:c>
      <x:c r="G23" s="14" t="n">
        <x:f>Inputs!$B$8</x:f>
        <x:v>3</x:v>
      </x:c>
      <x:c r="H23" s="14" t="n">
        <x:f>F23*G23</x:f>
        <x:v>6</x:v>
      </x:c>
      <x:c r="I23" s="19" t="n">
        <x:f>Inputs!D50</x:f>
        <x:v>120</x:v>
      </x:c>
      <x:c r="J23" s="19" t="n">
        <x:f>H23*I23</x:f>
        <x:v>720</x:v>
      </x:c>
      <x:c r="K23" s="19" t="n">
        <x:f>Inputs!E50</x:f>
        <x:v>180</x:v>
      </x:c>
      <x:c r="L23" s="19" t="n">
        <x:f>Inputs!F50</x:f>
        <x:v>240</x:v>
      </x:c>
      <x:c r="M23" s="19" t="n">
        <x:f>Inputs!G50</x:f>
        <x:v>100</x:v>
      </x:c>
      <x:c r="N23" s="19" t="n">
        <x:f>SUM(J23:M23)</x:f>
        <x:v>1240</x:v>
      </x:c>
      <x:c r="O23" s="19" t="n">
        <x:f>N23*Inputs!$B$12</x:f>
        <x:v>992</x:v>
      </x:c>
      <x:c r="P23" s="19" t="n">
        <x:f>N23*Inputs!$B$13</x:f>
        <x:v>1736</x:v>
      </x:c>
      <x:c r="Q23" s="14" t="str">
        <x:v>PROGRAMMED / UNBUILT</x:v>
      </x:c>
    </x:row>
    <x:row r="24">
      <x:c r="A24" s="14" t="str">
        <x:v>HU-A-B-TECH-2</x:v>
      </x:c>
      <x:c r="B24" s="14" t="str">
        <x:v>HU-A-B</x:v>
      </x:c>
      <x:c r="C24" s="18" t="str">
        <x:v>Acuity-reconfigurable care district</x:v>
      </x:c>
      <x:c r="D24" s="18" t="str">
        <x:v>convert a bay without deleting any of ten care lines</x:v>
      </x:c>
      <x:c r="E24" s="18" t="str">
        <x:v>block one loop section and its nearest crossbar at full census</x:v>
      </x:c>
      <x:c r="F24" s="14" t="n">
        <x:f>Inputs!$B$7</x:f>
        <x:v>2</x:v>
      </x:c>
      <x:c r="G24" s="14" t="n">
        <x:f>Inputs!$B$8</x:f>
        <x:v>3</x:v>
      </x:c>
      <x:c r="H24" s="14" t="n">
        <x:f>F24*G24</x:f>
        <x:v>6</x:v>
      </x:c>
      <x:c r="I24" s="19" t="n">
        <x:f>Inputs!D51</x:f>
        <x:v>100</x:v>
      </x:c>
      <x:c r="J24" s="19" t="n">
        <x:f>H24*I24</x:f>
        <x:v>600</x:v>
      </x:c>
      <x:c r="K24" s="19" t="n">
        <x:f>Inputs!E51</x:f>
        <x:v>150</x:v>
      </x:c>
      <x:c r="L24" s="19" t="n">
        <x:f>Inputs!F51</x:f>
        <x:v>200</x:v>
      </x:c>
      <x:c r="M24" s="19" t="n">
        <x:f>Inputs!G51</x:f>
        <x:v>90</x:v>
      </x:c>
      <x:c r="N24" s="19" t="n">
        <x:f>SUM(J24:M24)</x:f>
        <x:v>1040</x:v>
      </x:c>
      <x:c r="O24" s="19" t="n">
        <x:f>N24*Inputs!$B$12</x:f>
        <x:v>832</x:v>
      </x:c>
      <x:c r="P24" s="19" t="n">
        <x:f>N24*Inputs!$B$13</x:f>
        <x:v>1456</x:v>
      </x:c>
      <x:c r="Q24" s="14" t="str">
        <x:v>PROGRAMMED / UNBUILT</x:v>
      </x:c>
    </x:row>
    <x:row r="25">
      <x:c r="A25" s="14" t="str">
        <x:v>HU-A-B-TECH-3</x:v>
      </x:c>
      <x:c r="B25" s="14" t="str">
        <x:v>HU-A-B</x:v>
      </x:c>
      <x:c r="C25" s="18" t="str">
        <x:v>Distributed sterile ancestry</x:v>
      </x:c>
      <x:c r="D25" s="18" t="str">
        <x:v>qualify replacement supply without a central sterile core</x:v>
      </x:c>
      <x:c r="E25" s="18" t="str">
        <x:v>block one loop section and its nearest crossbar at full census</x:v>
      </x:c>
      <x:c r="F25" s="14" t="n">
        <x:f>Inputs!$B$7</x:f>
        <x:v>2</x:v>
      </x:c>
      <x:c r="G25" s="14" t="n">
        <x:f>Inputs!$B$8</x:f>
        <x:v>3</x:v>
      </x:c>
      <x:c r="H25" s="14" t="n">
        <x:f>F25*G25</x:f>
        <x:v>6</x:v>
      </x:c>
      <x:c r="I25" s="19" t="n">
        <x:f>Inputs!D52</x:f>
        <x:v>80</x:v>
      </x:c>
      <x:c r="J25" s="19" t="n">
        <x:f>H25*I25</x:f>
        <x:v>480</x:v>
      </x:c>
      <x:c r="K25" s="19" t="n">
        <x:f>Inputs!E52</x:f>
        <x:v>120</x:v>
      </x:c>
      <x:c r="L25" s="19" t="n">
        <x:f>Inputs!F52</x:f>
        <x:v>160</x:v>
      </x:c>
      <x:c r="M25" s="19" t="n">
        <x:f>Inputs!G52</x:f>
        <x:v>70</x:v>
      </x:c>
      <x:c r="N25" s="19" t="n">
        <x:f>SUM(J25:M25)</x:f>
        <x:v>830</x:v>
      </x:c>
      <x:c r="O25" s="19" t="n">
        <x:f>N25*Inputs!$B$12</x:f>
        <x:v>664</x:v>
      </x:c>
      <x:c r="P25" s="19" t="n">
        <x:f>N25*Inputs!$B$13</x:f>
        <x:v>1162</x:v>
      </x:c>
      <x:c r="Q25" s="14" t="str">
        <x:v>PROGRAMMED / UNBUILT</x:v>
      </x:c>
    </x:row>
    <x:row r="26">
      <x:c r="A26" s="14" t="str">
        <x:v>HU-A-B-TECH-4</x:v>
      </x:c>
      <x:c r="B26" s="14" t="str">
        <x:v>HU-A-B</x:v>
      </x:c>
      <x:c r="C26" s="18" t="str">
        <x:v>Offline relationship continuity</x:v>
      </x:c>
      <x:c r="D26" s="18" t="str">
        <x:v>identity, consent and support records without network dependence</x:v>
      </x:c>
      <x:c r="E26" s="18" t="str">
        <x:v>block one loop section and its nearest crossbar at full census</x:v>
      </x:c>
      <x:c r="F26" s="14" t="n">
        <x:f>Inputs!$B$7</x:f>
        <x:v>2</x:v>
      </x:c>
      <x:c r="G26" s="14" t="n">
        <x:f>Inputs!$B$8</x:f>
        <x:v>3</x:v>
      </x:c>
      <x:c r="H26" s="14" t="n">
        <x:f>F26*G26</x:f>
        <x:v>6</x:v>
      </x:c>
      <x:c r="I26" s="19" t="n">
        <x:f>Inputs!D53</x:f>
        <x:v>30</x:v>
      </x:c>
      <x:c r="J26" s="19" t="n">
        <x:f>H26*I26</x:f>
        <x:v>180</x:v>
      </x:c>
      <x:c r="K26" s="19" t="n">
        <x:f>Inputs!E53</x:f>
        <x:v>50</x:v>
      </x:c>
      <x:c r="L26" s="19" t="n">
        <x:f>Inputs!F53</x:f>
        <x:v>60</x:v>
      </x:c>
      <x:c r="M26" s="19" t="n">
        <x:f>Inputs!G53</x:f>
        <x:v>40</x:v>
      </x:c>
      <x:c r="N26" s="19" t="n">
        <x:f>SUM(J26:M26)</x:f>
        <x:v>330</x:v>
      </x:c>
      <x:c r="O26" s="19" t="n">
        <x:f>N26*Inputs!$B$12</x:f>
        <x:v>264</x:v>
      </x:c>
      <x:c r="P26" s="19" t="n">
        <x:f>N26*Inputs!$B$13</x:f>
        <x:v>461.99999999999994</x:v>
      </x:c>
      <x:c r="Q26" s="14" t="str">
        <x:v>PROGRAMMED / UNBUILT</x:v>
      </x:c>
    </x:row>
    <x:row r="27">
      <x:c r="A27" s="14" t="str">
        <x:v>RT-B-C-TECH-1</x:v>
      </x:c>
      <x:c r="B27" s="14" t="str">
        <x:v>RT-B-C</x:v>
      </x:c>
      <x:c r="C27" s="18" t="str">
        <x:v>Ancestry-complete mobile trainlet</x:v>
      </x:c>
      <x:c r="D27" s="18" t="str">
        <x:v>dirty return through signed release inside one road-mobile chain</x:v>
      </x:c>
      <x:c r="E27" s="18" t="str">
        <x:v>isolate one trainlet and remove its largest energy cell</x:v>
      </x:c>
      <x:c r="F27" s="14" t="n">
        <x:f>Inputs!$B$7</x:f>
        <x:v>2</x:v>
      </x:c>
      <x:c r="G27" s="14" t="n">
        <x:f>Inputs!$B$8</x:f>
        <x:v>3</x:v>
      </x:c>
      <x:c r="H27" s="14" t="n">
        <x:f>F27*G27</x:f>
        <x:v>6</x:v>
      </x:c>
      <x:c r="I27" s="19" t="n">
        <x:f>Inputs!D54</x:f>
        <x:v>80</x:v>
      </x:c>
      <x:c r="J27" s="19" t="n">
        <x:f>H27*I27</x:f>
        <x:v>480</x:v>
      </x:c>
      <x:c r="K27" s="19" t="n">
        <x:f>Inputs!E54</x:f>
        <x:v>120</x:v>
      </x:c>
      <x:c r="L27" s="19" t="n">
        <x:f>Inputs!F54</x:f>
        <x:v>140</x:v>
      </x:c>
      <x:c r="M27" s="19" t="n">
        <x:f>Inputs!G54</x:f>
        <x:v>70</x:v>
      </x:c>
      <x:c r="N27" s="19" t="n">
        <x:f>SUM(J27:M27)</x:f>
        <x:v>810</x:v>
      </x:c>
      <x:c r="O27" s="19" t="n">
        <x:f>N27*Inputs!$B$12</x:f>
        <x:v>648</x:v>
      </x:c>
      <x:c r="P27" s="19" t="n">
        <x:f>N27*Inputs!$B$13</x:f>
        <x:v>1134</x:v>
      </x:c>
      <x:c r="Q27" s="14" t="str">
        <x:v>PROGRAMMED / UNBUILT</x:v>
      </x:c>
    </x:row>
    <x:row r="28">
      <x:c r="A28" s="14" t="str">
        <x:v>RT-B-C-TECH-2</x:v>
      </x:c>
      <x:c r="B28" s="14" t="str">
        <x:v>RT-B-C</x:v>
      </x:c>
      <x:c r="C28" s="18" t="str">
        <x:v>Pulsed process microgrid</x:v>
      </x:c>
      <x:c r="D28" s="18" t="str">
        <x:v>trainlet-local power and heat rejection after largest-cell loss</x:v>
      </x:c>
      <x:c r="E28" s="18" t="str">
        <x:v>isolate one trainlet and remove its largest energy cell</x:v>
      </x:c>
      <x:c r="F28" s="14" t="n">
        <x:f>Inputs!$B$7</x:f>
        <x:v>2</x:v>
      </x:c>
      <x:c r="G28" s="14" t="n">
        <x:f>Inputs!$B$8</x:f>
        <x:v>3</x:v>
      </x:c>
      <x:c r="H28" s="14" t="n">
        <x:f>F28*G28</x:f>
        <x:v>6</x:v>
      </x:c>
      <x:c r="I28" s="19" t="n">
        <x:f>Inputs!D55</x:f>
        <x:v>55</x:v>
      </x:c>
      <x:c r="J28" s="19" t="n">
        <x:f>H28*I28</x:f>
        <x:v>330</x:v>
      </x:c>
      <x:c r="K28" s="19" t="n">
        <x:f>Inputs!E55</x:f>
        <x:v>90</x:v>
      </x:c>
      <x:c r="L28" s="19" t="n">
        <x:f>Inputs!F55</x:f>
        <x:v>110</x:v>
      </x:c>
      <x:c r="M28" s="19" t="n">
        <x:f>Inputs!G55</x:f>
        <x:v>50</x:v>
      </x:c>
      <x:c r="N28" s="19" t="n">
        <x:f>SUM(J28:M28)</x:f>
        <x:v>580</x:v>
      </x:c>
      <x:c r="O28" s="19" t="n">
        <x:f>N28*Inputs!$B$12</x:f>
        <x:v>464</x:v>
      </x:c>
      <x:c r="P28" s="19" t="n">
        <x:f>N28*Inputs!$B$13</x:f>
        <x:v>812</x:v>
      </x:c>
      <x:c r="Q28" s="14" t="str">
        <x:v>PROGRAMMED / UNBUILT</x:v>
      </x:c>
    </x:row>
    <x:row r="29">
      <x:c r="A29" s="14" t="str">
        <x:v>RT-B-C-TECH-3</x:v>
      </x:c>
      <x:c r="B29" s="14" t="str">
        <x:v>RT-B-C</x:v>
      </x:c>
      <x:c r="C29" s="18" t="str">
        <x:v>Self-describing machines and fixtures</x:v>
      </x:c>
      <x:c r="D29" s="18" t="str">
        <x:v>cold rebuild without private keys or tacit setup</x:v>
      </x:c>
      <x:c r="E29" s="18" t="str">
        <x:v>isolate one trainlet and remove its largest energy cell</x:v>
      </x:c>
      <x:c r="F29" s="14" t="n">
        <x:f>Inputs!$B$7</x:f>
        <x:v>2</x:v>
      </x:c>
      <x:c r="G29" s="14" t="n">
        <x:f>Inputs!$B$8</x:f>
        <x:v>3</x:v>
      </x:c>
      <x:c r="H29" s="14" t="n">
        <x:f>F29*G29</x:f>
        <x:v>6</x:v>
      </x:c>
      <x:c r="I29" s="19" t="n">
        <x:f>Inputs!D56</x:f>
        <x:v>60</x:v>
      </x:c>
      <x:c r="J29" s="19" t="n">
        <x:f>H29*I29</x:f>
        <x:v>360</x:v>
      </x:c>
      <x:c r="K29" s="19" t="n">
        <x:f>Inputs!E56</x:f>
        <x:v>100</x:v>
      </x:c>
      <x:c r="L29" s="19" t="n">
        <x:f>Inputs!F56</x:f>
        <x:v>120</x:v>
      </x:c>
      <x:c r="M29" s="19" t="n">
        <x:f>Inputs!G56</x:f>
        <x:v>60</x:v>
      </x:c>
      <x:c r="N29" s="19" t="n">
        <x:f>SUM(J29:M29)</x:f>
        <x:v>640</x:v>
      </x:c>
      <x:c r="O29" s="19" t="n">
        <x:f>N29*Inputs!$B$12</x:f>
        <x:v>512</x:v>
      </x:c>
      <x:c r="P29" s="19" t="n">
        <x:f>N29*Inputs!$B$13</x:f>
        <x:v>896</x:v>
      </x:c>
      <x:c r="Q29" s="14" t="str">
        <x:v>PROGRAMMED / UNBUILT</x:v>
      </x:c>
    </x:row>
    <x:row r="30">
      <x:c r="A30" s="14" t="str">
        <x:v>RT-B-C-TECH-4</x:v>
      </x:c>
      <x:c r="B30" s="14" t="str">
        <x:v>RT-B-C</x:v>
      </x:c>
      <x:c r="C30" s="18" t="str">
        <x:v>Portable primary metrology</x:v>
      </x:c>
      <x:c r="D30" s="18" t="str">
        <x:v>field standards that qualify release without a central laboratory</x:v>
      </x:c>
      <x:c r="E30" s="18" t="str">
        <x:v>isolate one trainlet and remove its largest energy cell</x:v>
      </x:c>
      <x:c r="F30" s="14" t="n">
        <x:f>Inputs!$B$7</x:f>
        <x:v>2</x:v>
      </x:c>
      <x:c r="G30" s="14" t="n">
        <x:f>Inputs!$B$8</x:f>
        <x:v>3</x:v>
      </x:c>
      <x:c r="H30" s="14" t="n">
        <x:f>F30*G30</x:f>
        <x:v>6</x:v>
      </x:c>
      <x:c r="I30" s="19" t="n">
        <x:f>Inputs!D57</x:f>
        <x:v>45</x:v>
      </x:c>
      <x:c r="J30" s="19" t="n">
        <x:f>H30*I30</x:f>
        <x:v>270</x:v>
      </x:c>
      <x:c r="K30" s="19" t="n">
        <x:f>Inputs!E57</x:f>
        <x:v>80</x:v>
      </x:c>
      <x:c r="L30" s="19" t="n">
        <x:f>Inputs!F57</x:f>
        <x:v>100</x:v>
      </x:c>
      <x:c r="M30" s="19" t="n">
        <x:f>Inputs!G57</x:f>
        <x:v>50</x:v>
      </x:c>
      <x:c r="N30" s="19" t="n">
        <x:f>SUM(J30:M30)</x:f>
        <x:v>500</x:v>
      </x:c>
      <x:c r="O30" s="19" t="n">
        <x:f>N30*Inputs!$B$12</x:f>
        <x:v>400</x:v>
      </x:c>
      <x:c r="P30" s="19" t="n">
        <x:f>N30*Inputs!$B$13</x:f>
        <x:v>700</x:v>
      </x:c>
      <x:c r="Q30" s="14" t="str">
        <x:v>PROGRAMMED / UNBUILT</x:v>
      </x:c>
    </x:row>
  </x:sheetData>
  <x:conditionalFormatting sqref="Q7:Q30">
    <x:cfRule type="containsText" dxfId="0" priority="1" operator="containsText" text="REQUIRED"/>
    <x:cfRule type="containsText" dxfId="1" priority="2" operator="containsText" text="FAIL"/>
    <x:cfRule type="containsText" dxfId="2" priority="3" operator="containsText" text="UNBUILT"/>
  </x:conditionalFormatting>
  <x:pageMargins left="0.7" right="0.7" top="0.75" bottom="0.75" header="0.3" footer="0.3"/>
  <x:tableParts count="1">
    <x:tablePart xmlns:r="http://schemas.openxmlformats.org/officeDocument/2006/relationships" r:id="R926dcd399e304bf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8" hidden="0" customWidth="1"/>
    <x:col min="2" max="2" width="20" hidden="0" customWidth="1"/>
    <x:col min="3" max="3" width="12" hidden="0" customWidth="1"/>
    <x:col min="4" max="4" width="14" hidden="0" customWidth="1"/>
    <x:col min="5" max="5" width="12" hidden="0" customWidth="1"/>
    <x:col min="6" max="6" width="28" hidden="0" customWidth="1"/>
    <x:col min="7" max="7" width="52" hidden="0" customWidth="1"/>
    <x:col min="8" max="8" width="58" hidden="0" customWidth="1"/>
    <x:col min="9" max="9" width="16" hidden="0" customWidth="1"/>
    <x:col min="10" max="10" width="10" hidden="0" customWidth="1"/>
    <x:col min="11" max="11" width="12" hidden="0" customWidth="1"/>
    <x:col min="12" max="12" width="24" hidden="0" customWidth="1"/>
  </x:cols>
  <x:sheetData>
    <x:row r="1">
      <x:c r="A1" s="14"/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</x:row>
    <x:row r="2">
      <x:c r="A2" s="56" t="str">
        <x:v>One hundred forty-four full-scale article serials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</x:row>
    <x:row r="3">
      <x:c r="A3" s="16"/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2"/>
      <x:c r="N3" s="2"/>
      <x:c r="O3" s="2"/>
      <x:c r="P3" s="2"/>
      <x:c r="Q3" s="2"/>
    </x:row>
    <x:row r="4">
      <x:c r="A4" s="14"/>
      <x:c r="B4" s="14"/>
      <x:c r="C4" s="14"/>
      <x:c r="D4" s="14"/>
      <x:c r="E4" s="14"/>
      <x:c r="F4" s="14"/>
      <x:c r="G4" s="14"/>
      <x:c r="H4" s="14"/>
      <x:c r="I4" s="14"/>
      <x:c r="J4" s="14"/>
      <x:c r="K4" s="14"/>
      <x:c r="L4" s="14"/>
    </x:row>
    <x:row r="5">
      <x:c r="A5" s="14"/>
      <x:c r="B5" s="14"/>
      <x:c r="C5" s="14"/>
      <x:c r="D5" s="14"/>
      <x:c r="E5" s="14"/>
      <x:c r="F5" s="14"/>
      <x:c r="G5" s="14"/>
      <x:c r="H5" s="14"/>
      <x:c r="I5" s="14"/>
      <x:c r="J5" s="14"/>
      <x:c r="K5" s="14"/>
      <x:c r="L5" s="14"/>
    </x:row>
    <x:row r="6">
      <x:c r="A6" s="14" t="str">
        <x:v>Serial</x:v>
      </x:c>
      <x:c r="B6" s="14" t="str">
        <x:v>Order</x:v>
      </x:c>
      <x:c r="C6" s="14" t="str">
        <x:v>Form</x:v>
      </x:c>
      <x:c r="D6" s="14" t="str">
        <x:v>Builder line</x:v>
      </x:c>
      <x:c r="E6" s="14" t="str">
        <x:v>Role code</x:v>
      </x:c>
      <x:c r="F6" s="14" t="str">
        <x:v>Serial role</x:v>
      </x:c>
      <x:c r="G6" s="14" t="str">
        <x:v>Custody boundary</x:v>
      </x:c>
      <x:c r="H6" s="14" t="str">
        <x:v>Required terminal use</x:v>
      </x:c>
      <x:c r="I6" s="14" t="str">
        <x:v>Acceptance-bearing</x:v>
      </x:c>
      <x:c r="J6" s="14" t="str">
        <x:v>Built</x:v>
      </x:c>
      <x:c r="K6" s="14" t="str">
        <x:v>Accepted</x:v>
      </x:c>
      <x:c r="L6" s="14" t="str">
        <x:v>State</x:v>
      </x:c>
    </x:row>
    <x:row r="7">
      <x:c r="A7" s="14" t="str">
        <x:v>ET-A-A-TECH-1-A-INT</x:v>
      </x:c>
      <x:c r="B7" s="14" t="str">
        <x:v>ET-A-A-TECH-1</x:v>
      </x:c>
      <x:c r="C7" s="14" t="str">
        <x:v>ET-A-A</x:v>
      </x:c>
      <x:c r="D7" s="14" t="str">
        <x:v>Builder A</x:v>
      </x:c>
      <x:c r="E7" s="14" t="str">
        <x:v>INT</x:v>
      </x:c>
      <x:c r="F7" s="18" t="str">
        <x:v>Integration article</x:v>
      </x:c>
      <x:c r="G7" s="18" t="str">
        <x:v>builder line until configuration freeze; public metrology witnesses</x:v>
      </x:c>
      <x:c r="H7" s="18" t="str">
        <x:v>full-range capacity, receiver and thermal sweeps; article may be modified</x:v>
      </x:c>
      <x:c r="I7" s="14" t="n">
        <x:v>0</x:v>
      </x:c>
      <x:c r="J7" s="14" t="n">
        <x:v>0</x:v>
      </x:c>
      <x:c r="K7" s="14" t="n">
        <x:v>0</x:v>
      </x:c>
      <x:c r="L7" s="14" t="str">
        <x:v>PLANNED / UNBUILT</x:v>
      </x:c>
    </x:row>
    <x:row r="8">
      <x:c r="A8" s="14" t="str">
        <x:v>ET-A-A-TECH-1-A-BRK</x:v>
      </x:c>
      <x:c r="B8" s="14" t="str">
        <x:v>ET-A-A-TECH-1</x:v>
      </x:c>
      <x:c r="C8" s="14" t="str">
        <x:v>ET-A-A</x:v>
      </x:c>
      <x:c r="D8" s="14" t="str">
        <x:v>Builder A</x:v>
      </x:c>
      <x:c r="E8" s="14" t="str">
        <x:v>BRK</x:v>
      </x:c>
      <x:c r="F8" s="18" t="str">
        <x:v>Sacrificial fatal-cut article</x:v>
      </x:c>
      <x:c r="G8" s="18" t="str">
        <x:v>public event custodian after immutable configuration seal</x:v>
      </x:c>
      <x:c r="H8" s="18" t="str">
        <x:v>largest-cell and fatal-keystone destruction with complete teardown</x:v>
      </x:c>
      <x:c r="I8" s="14" t="n">
        <x:v>1</x:v>
      </x:c>
      <x:c r="J8" s="14" t="n">
        <x:v>0</x:v>
      </x:c>
      <x:c r="K8" s="14" t="n">
        <x:v>0</x:v>
      </x:c>
      <x:c r="L8" s="14" t="str">
        <x:v>PLANNED / UNBUILT</x:v>
      </x:c>
    </x:row>
    <x:row r="9">
      <x:c r="A9" s="14" t="str">
        <x:v>ET-A-A-TECH-1-A-RCN</x:v>
      </x:c>
      <x:c r="B9" s="14" t="str">
        <x:v>ET-A-A-TECH-1</x:v>
      </x:c>
      <x:c r="C9" s="14" t="str">
        <x:v>ET-A-A</x:v>
      </x:c>
      <x:c r="D9" s="14" t="str">
        <x:v>Builder A</x:v>
      </x:c>
      <x:c r="E9" s="14" t="str">
        <x:v>RCN</x:v>
      </x:c>
      <x:c r="F9" s="18" t="str">
        <x:v>Virgin reconstruction article</x:v>
      </x:c>
      <x:c r="G9" s="18" t="str">
        <x:v>clean reconstruction cell; origin builder denied after source release</x:v>
      </x:c>
      <x:c r="H9" s="18" t="str">
        <x:v>cold build, black start and account requalification inside 168 h</x:v>
      </x:c>
      <x:c r="I9" s="14" t="n">
        <x:v>1</x:v>
      </x:c>
      <x:c r="J9" s="14" t="n">
        <x:v>0</x:v>
      </x:c>
      <x:c r="K9" s="14" t="n">
        <x:v>0</x:v>
      </x:c>
      <x:c r="L9" s="14" t="str">
        <x:v>PLANNED / UNBUILT</x:v>
      </x:c>
    </x:row>
    <x:row r="10">
      <x:c r="A10" s="14" t="str">
        <x:v>ET-A-A-TECH-1-B-INT</x:v>
      </x:c>
      <x:c r="B10" s="14" t="str">
        <x:v>ET-A-A-TECH-1</x:v>
      </x:c>
      <x:c r="C10" s="14" t="str">
        <x:v>ET-A-A</x:v>
      </x:c>
      <x:c r="D10" s="14" t="str">
        <x:v>Builder B</x:v>
      </x:c>
      <x:c r="E10" s="14" t="str">
        <x:v>INT</x:v>
      </x:c>
      <x:c r="F10" s="18" t="str">
        <x:v>Integration article</x:v>
      </x:c>
      <x:c r="G10" s="18" t="str">
        <x:v>builder line until configuration freeze; public metrology witnesses</x:v>
      </x:c>
      <x:c r="H10" s="18" t="str">
        <x:v>full-range capacity, receiver and thermal sweeps; article may be modified</x:v>
      </x:c>
      <x:c r="I10" s="14" t="n">
        <x:v>0</x:v>
      </x:c>
      <x:c r="J10" s="14" t="n">
        <x:v>0</x:v>
      </x:c>
      <x:c r="K10" s="14" t="n">
        <x:v>0</x:v>
      </x:c>
      <x:c r="L10" s="14" t="str">
        <x:v>PLANNED / UNBUILT</x:v>
      </x:c>
    </x:row>
    <x:row r="11">
      <x:c r="A11" s="14" t="str">
        <x:v>ET-A-A-TECH-1-B-BRK</x:v>
      </x:c>
      <x:c r="B11" s="14" t="str">
        <x:v>ET-A-A-TECH-1</x:v>
      </x:c>
      <x:c r="C11" s="14" t="str">
        <x:v>ET-A-A</x:v>
      </x:c>
      <x:c r="D11" s="14" t="str">
        <x:v>Builder B</x:v>
      </x:c>
      <x:c r="E11" s="14" t="str">
        <x:v>BRK</x:v>
      </x:c>
      <x:c r="F11" s="18" t="str">
        <x:v>Sacrificial fatal-cut article</x:v>
      </x:c>
      <x:c r="G11" s="18" t="str">
        <x:v>public event custodian after immutable configuration seal</x:v>
      </x:c>
      <x:c r="H11" s="18" t="str">
        <x:v>largest-cell and fatal-keystone destruction with complete teardown</x:v>
      </x:c>
      <x:c r="I11" s="14" t="n">
        <x:v>1</x:v>
      </x:c>
      <x:c r="J11" s="14" t="n">
        <x:v>0</x:v>
      </x:c>
      <x:c r="K11" s="14" t="n">
        <x:v>0</x:v>
      </x:c>
      <x:c r="L11" s="14" t="str">
        <x:v>PLANNED / UNBUILT</x:v>
      </x:c>
    </x:row>
    <x:row r="12">
      <x:c r="A12" s="14" t="str">
        <x:v>ET-A-A-TECH-1-B-RCN</x:v>
      </x:c>
      <x:c r="B12" s="14" t="str">
        <x:v>ET-A-A-TECH-1</x:v>
      </x:c>
      <x:c r="C12" s="14" t="str">
        <x:v>ET-A-A</x:v>
      </x:c>
      <x:c r="D12" s="14" t="str">
        <x:v>Builder B</x:v>
      </x:c>
      <x:c r="E12" s="14" t="str">
        <x:v>RCN</x:v>
      </x:c>
      <x:c r="F12" s="18" t="str">
        <x:v>Virgin reconstruction article</x:v>
      </x:c>
      <x:c r="G12" s="18" t="str">
        <x:v>clean reconstruction cell; origin builder denied after source release</x:v>
      </x:c>
      <x:c r="H12" s="18" t="str">
        <x:v>cold build, black start and account requalification inside 168 h</x:v>
      </x:c>
      <x:c r="I12" s="14" t="n">
        <x:v>1</x:v>
      </x:c>
      <x:c r="J12" s="14" t="n">
        <x:v>0</x:v>
      </x:c>
      <x:c r="K12" s="14" t="n">
        <x:v>0</x:v>
      </x:c>
      <x:c r="L12" s="14" t="str">
        <x:v>PLANNED / UNBUILT</x:v>
      </x:c>
    </x:row>
    <x:row r="13">
      <x:c r="A13" s="14" t="str">
        <x:v>ET-A-A-TECH-2-A-INT</x:v>
      </x:c>
      <x:c r="B13" s="14" t="str">
        <x:v>ET-A-A-TECH-2</x:v>
      </x:c>
      <x:c r="C13" s="14" t="str">
        <x:v>ET-A-A</x:v>
      </x:c>
      <x:c r="D13" s="14" t="str">
        <x:v>Builder A</x:v>
      </x:c>
      <x:c r="E13" s="14" t="str">
        <x:v>INT</x:v>
      </x:c>
      <x:c r="F13" s="18" t="str">
        <x:v>Integration article</x:v>
      </x:c>
      <x:c r="G13" s="18" t="str">
        <x:v>builder line until configuration freeze; public metrology witnesses</x:v>
      </x:c>
      <x:c r="H13" s="18" t="str">
        <x:v>full-range capacity, receiver and thermal sweeps; article may be modified</x:v>
      </x:c>
      <x:c r="I13" s="14" t="n">
        <x:v>0</x:v>
      </x:c>
      <x:c r="J13" s="14" t="n">
        <x:v>0</x:v>
      </x:c>
      <x:c r="K13" s="14" t="n">
        <x:v>0</x:v>
      </x:c>
      <x:c r="L13" s="14" t="str">
        <x:v>PLANNED / UNBUILT</x:v>
      </x:c>
    </x:row>
    <x:row r="14">
      <x:c r="A14" s="14" t="str">
        <x:v>ET-A-A-TECH-2-A-BRK</x:v>
      </x:c>
      <x:c r="B14" s="14" t="str">
        <x:v>ET-A-A-TECH-2</x:v>
      </x:c>
      <x:c r="C14" s="14" t="str">
        <x:v>ET-A-A</x:v>
      </x:c>
      <x:c r="D14" s="14" t="str">
        <x:v>Builder A</x:v>
      </x:c>
      <x:c r="E14" s="14" t="str">
        <x:v>BRK</x:v>
      </x:c>
      <x:c r="F14" s="18" t="str">
        <x:v>Sacrificial fatal-cut article</x:v>
      </x:c>
      <x:c r="G14" s="18" t="str">
        <x:v>public event custodian after immutable configuration seal</x:v>
      </x:c>
      <x:c r="H14" s="18" t="str">
        <x:v>largest-cell and fatal-keystone destruction with complete teardown</x:v>
      </x:c>
      <x:c r="I14" s="14" t="n">
        <x:v>1</x:v>
      </x:c>
      <x:c r="J14" s="14" t="n">
        <x:v>0</x:v>
      </x:c>
      <x:c r="K14" s="14" t="n">
        <x:v>0</x:v>
      </x:c>
      <x:c r="L14" s="14" t="str">
        <x:v>PLANNED / UNBUILT</x:v>
      </x:c>
    </x:row>
    <x:row r="15">
      <x:c r="A15" s="14" t="str">
        <x:v>ET-A-A-TECH-2-A-RCN</x:v>
      </x:c>
      <x:c r="B15" s="14" t="str">
        <x:v>ET-A-A-TECH-2</x:v>
      </x:c>
      <x:c r="C15" s="14" t="str">
        <x:v>ET-A-A</x:v>
      </x:c>
      <x:c r="D15" s="14" t="str">
        <x:v>Builder A</x:v>
      </x:c>
      <x:c r="E15" s="14" t="str">
        <x:v>RCN</x:v>
      </x:c>
      <x:c r="F15" s="18" t="str">
        <x:v>Virgin reconstruction article</x:v>
      </x:c>
      <x:c r="G15" s="18" t="str">
        <x:v>clean reconstruction cell; origin builder denied after source release</x:v>
      </x:c>
      <x:c r="H15" s="18" t="str">
        <x:v>cold build, black start and account requalification inside 168 h</x:v>
      </x:c>
      <x:c r="I15" s="14" t="n">
        <x:v>1</x:v>
      </x:c>
      <x:c r="J15" s="14" t="n">
        <x:v>0</x:v>
      </x:c>
      <x:c r="K15" s="14" t="n">
        <x:v>0</x:v>
      </x:c>
      <x:c r="L15" s="14" t="str">
        <x:v>PLANNED / UNBUILT</x:v>
      </x:c>
    </x:row>
    <x:row r="16">
      <x:c r="A16" s="14" t="str">
        <x:v>ET-A-A-TECH-2-B-INT</x:v>
      </x:c>
      <x:c r="B16" s="14" t="str">
        <x:v>ET-A-A-TECH-2</x:v>
      </x:c>
      <x:c r="C16" s="14" t="str">
        <x:v>ET-A-A</x:v>
      </x:c>
      <x:c r="D16" s="14" t="str">
        <x:v>Builder B</x:v>
      </x:c>
      <x:c r="E16" s="14" t="str">
        <x:v>INT</x:v>
      </x:c>
      <x:c r="F16" s="18" t="str">
        <x:v>Integration article</x:v>
      </x:c>
      <x:c r="G16" s="18" t="str">
        <x:v>builder line until configuration freeze; public metrology witnesses</x:v>
      </x:c>
      <x:c r="H16" s="18" t="str">
        <x:v>full-range capacity, receiver and thermal sweeps; article may be modified</x:v>
      </x:c>
      <x:c r="I16" s="14" t="n">
        <x:v>0</x:v>
      </x:c>
      <x:c r="J16" s="14" t="n">
        <x:v>0</x:v>
      </x:c>
      <x:c r="K16" s="14" t="n">
        <x:v>0</x:v>
      </x:c>
      <x:c r="L16" s="14" t="str">
        <x:v>PLANNED / UNBUILT</x:v>
      </x:c>
    </x:row>
    <x:row r="17">
      <x:c r="A17" s="14" t="str">
        <x:v>ET-A-A-TECH-2-B-BRK</x:v>
      </x:c>
      <x:c r="B17" s="14" t="str">
        <x:v>ET-A-A-TECH-2</x:v>
      </x:c>
      <x:c r="C17" s="14" t="str">
        <x:v>ET-A-A</x:v>
      </x:c>
      <x:c r="D17" s="14" t="str">
        <x:v>Builder B</x:v>
      </x:c>
      <x:c r="E17" s="14" t="str">
        <x:v>BRK</x:v>
      </x:c>
      <x:c r="F17" s="18" t="str">
        <x:v>Sacrificial fatal-cut article</x:v>
      </x:c>
      <x:c r="G17" s="18" t="str">
        <x:v>public event custodian after immutable configuration seal</x:v>
      </x:c>
      <x:c r="H17" s="18" t="str">
        <x:v>largest-cell and fatal-keystone destruction with complete teardown</x:v>
      </x:c>
      <x:c r="I17" s="14" t="n">
        <x:v>1</x:v>
      </x:c>
      <x:c r="J17" s="14" t="n">
        <x:v>0</x:v>
      </x:c>
      <x:c r="K17" s="14" t="n">
        <x:v>0</x:v>
      </x:c>
      <x:c r="L17" s="14" t="str">
        <x:v>PLANNED / UNBUILT</x:v>
      </x:c>
    </x:row>
    <x:row r="18">
      <x:c r="A18" s="14" t="str">
        <x:v>ET-A-A-TECH-2-B-RCN</x:v>
      </x:c>
      <x:c r="B18" s="14" t="str">
        <x:v>ET-A-A-TECH-2</x:v>
      </x:c>
      <x:c r="C18" s="14" t="str">
        <x:v>ET-A-A</x:v>
      </x:c>
      <x:c r="D18" s="14" t="str">
        <x:v>Builder B</x:v>
      </x:c>
      <x:c r="E18" s="14" t="str">
        <x:v>RCN</x:v>
      </x:c>
      <x:c r="F18" s="18" t="str">
        <x:v>Virgin reconstruction article</x:v>
      </x:c>
      <x:c r="G18" s="18" t="str">
        <x:v>clean reconstruction cell; origin builder denied after source release</x:v>
      </x:c>
      <x:c r="H18" s="18" t="str">
        <x:v>cold build, black start and account requalification inside 168 h</x:v>
      </x:c>
      <x:c r="I18" s="14" t="n">
        <x:v>1</x:v>
      </x:c>
      <x:c r="J18" s="14" t="n">
        <x:v>0</x:v>
      </x:c>
      <x:c r="K18" s="14" t="n">
        <x:v>0</x:v>
      </x:c>
      <x:c r="L18" s="14" t="str">
        <x:v>PLANNED / UNBUILT</x:v>
      </x:c>
    </x:row>
    <x:row r="19">
      <x:c r="A19" s="14" t="str">
        <x:v>ET-A-A-TECH-3-A-INT</x:v>
      </x:c>
      <x:c r="B19" s="14" t="str">
        <x:v>ET-A-A-TECH-3</x:v>
      </x:c>
      <x:c r="C19" s="14" t="str">
        <x:v>ET-A-A</x:v>
      </x:c>
      <x:c r="D19" s="14" t="str">
        <x:v>Builder A</x:v>
      </x:c>
      <x:c r="E19" s="14" t="str">
        <x:v>INT</x:v>
      </x:c>
      <x:c r="F19" s="18" t="str">
        <x:v>Integration article</x:v>
      </x:c>
      <x:c r="G19" s="18" t="str">
        <x:v>builder line until configuration freeze; public metrology witnesses</x:v>
      </x:c>
      <x:c r="H19" s="18" t="str">
        <x:v>full-range capacity, receiver and thermal sweeps; article may be modified</x:v>
      </x:c>
      <x:c r="I19" s="14" t="n">
        <x:v>0</x:v>
      </x:c>
      <x:c r="J19" s="14" t="n">
        <x:v>0</x:v>
      </x:c>
      <x:c r="K19" s="14" t="n">
        <x:v>0</x:v>
      </x:c>
      <x:c r="L19" s="14" t="str">
        <x:v>PLANNED / UNBUILT</x:v>
      </x:c>
    </x:row>
    <x:row r="20">
      <x:c r="A20" s="14" t="str">
        <x:v>ET-A-A-TECH-3-A-BRK</x:v>
      </x:c>
      <x:c r="B20" s="14" t="str">
        <x:v>ET-A-A-TECH-3</x:v>
      </x:c>
      <x:c r="C20" s="14" t="str">
        <x:v>ET-A-A</x:v>
      </x:c>
      <x:c r="D20" s="14" t="str">
        <x:v>Builder A</x:v>
      </x:c>
      <x:c r="E20" s="14" t="str">
        <x:v>BRK</x:v>
      </x:c>
      <x:c r="F20" s="18" t="str">
        <x:v>Sacrificial fatal-cut article</x:v>
      </x:c>
      <x:c r="G20" s="18" t="str">
        <x:v>public event custodian after immutable configuration seal</x:v>
      </x:c>
      <x:c r="H20" s="18" t="str">
        <x:v>largest-cell and fatal-keystone destruction with complete teardown</x:v>
      </x:c>
      <x:c r="I20" s="14" t="n">
        <x:v>1</x:v>
      </x:c>
      <x:c r="J20" s="14" t="n">
        <x:v>0</x:v>
      </x:c>
      <x:c r="K20" s="14" t="n">
        <x:v>0</x:v>
      </x:c>
      <x:c r="L20" s="14" t="str">
        <x:v>PLANNED / UNBUILT</x:v>
      </x:c>
    </x:row>
    <x:row r="21">
      <x:c r="A21" s="14" t="str">
        <x:v>ET-A-A-TECH-3-A-RCN</x:v>
      </x:c>
      <x:c r="B21" s="14" t="str">
        <x:v>ET-A-A-TECH-3</x:v>
      </x:c>
      <x:c r="C21" s="14" t="str">
        <x:v>ET-A-A</x:v>
      </x:c>
      <x:c r="D21" s="14" t="str">
        <x:v>Builder A</x:v>
      </x:c>
      <x:c r="E21" s="14" t="str">
        <x:v>RCN</x:v>
      </x:c>
      <x:c r="F21" s="18" t="str">
        <x:v>Virgin reconstruction article</x:v>
      </x:c>
      <x:c r="G21" s="18" t="str">
        <x:v>clean reconstruction cell; origin builder denied after source release</x:v>
      </x:c>
      <x:c r="H21" s="18" t="str">
        <x:v>cold build, black start and account requalification inside 168 h</x:v>
      </x:c>
      <x:c r="I21" s="14" t="n">
        <x:v>1</x:v>
      </x:c>
      <x:c r="J21" s="14" t="n">
        <x:v>0</x:v>
      </x:c>
      <x:c r="K21" s="14" t="n">
        <x:v>0</x:v>
      </x:c>
      <x:c r="L21" s="14" t="str">
        <x:v>PLANNED / UNBUILT</x:v>
      </x:c>
    </x:row>
    <x:row r="22">
      <x:c r="A22" s="14" t="str">
        <x:v>ET-A-A-TECH-3-B-INT</x:v>
      </x:c>
      <x:c r="B22" s="14" t="str">
        <x:v>ET-A-A-TECH-3</x:v>
      </x:c>
      <x:c r="C22" s="14" t="str">
        <x:v>ET-A-A</x:v>
      </x:c>
      <x:c r="D22" s="14" t="str">
        <x:v>Builder B</x:v>
      </x:c>
      <x:c r="E22" s="14" t="str">
        <x:v>INT</x:v>
      </x:c>
      <x:c r="F22" s="18" t="str">
        <x:v>Integration article</x:v>
      </x:c>
      <x:c r="G22" s="18" t="str">
        <x:v>builder line until configuration freeze; public metrology witnesses</x:v>
      </x:c>
      <x:c r="H22" s="18" t="str">
        <x:v>full-range capacity, receiver and thermal sweeps; article may be modified</x:v>
      </x:c>
      <x:c r="I22" s="14" t="n">
        <x:v>0</x:v>
      </x:c>
      <x:c r="J22" s="14" t="n">
        <x:v>0</x:v>
      </x:c>
      <x:c r="K22" s="14" t="n">
        <x:v>0</x:v>
      </x:c>
      <x:c r="L22" s="14" t="str">
        <x:v>PLANNED / UNBUILT</x:v>
      </x:c>
    </x:row>
    <x:row r="23">
      <x:c r="A23" s="14" t="str">
        <x:v>ET-A-A-TECH-3-B-BRK</x:v>
      </x:c>
      <x:c r="B23" s="14" t="str">
        <x:v>ET-A-A-TECH-3</x:v>
      </x:c>
      <x:c r="C23" s="14" t="str">
        <x:v>ET-A-A</x:v>
      </x:c>
      <x:c r="D23" s="14" t="str">
        <x:v>Builder B</x:v>
      </x:c>
      <x:c r="E23" s="14" t="str">
        <x:v>BRK</x:v>
      </x:c>
      <x:c r="F23" s="18" t="str">
        <x:v>Sacrificial fatal-cut article</x:v>
      </x:c>
      <x:c r="G23" s="18" t="str">
        <x:v>public event custodian after immutable configuration seal</x:v>
      </x:c>
      <x:c r="H23" s="18" t="str">
        <x:v>largest-cell and fatal-keystone destruction with complete teardown</x:v>
      </x:c>
      <x:c r="I23" s="14" t="n">
        <x:v>1</x:v>
      </x:c>
      <x:c r="J23" s="14" t="n">
        <x:v>0</x:v>
      </x:c>
      <x:c r="K23" s="14" t="n">
        <x:v>0</x:v>
      </x:c>
      <x:c r="L23" s="14" t="str">
        <x:v>PLANNED / UNBUILT</x:v>
      </x:c>
    </x:row>
    <x:row r="24">
      <x:c r="A24" s="14" t="str">
        <x:v>ET-A-A-TECH-3-B-RCN</x:v>
      </x:c>
      <x:c r="B24" s="14" t="str">
        <x:v>ET-A-A-TECH-3</x:v>
      </x:c>
      <x:c r="C24" s="14" t="str">
        <x:v>ET-A-A</x:v>
      </x:c>
      <x:c r="D24" s="14" t="str">
        <x:v>Builder B</x:v>
      </x:c>
      <x:c r="E24" s="14" t="str">
        <x:v>RCN</x:v>
      </x:c>
      <x:c r="F24" s="18" t="str">
        <x:v>Virgin reconstruction article</x:v>
      </x:c>
      <x:c r="G24" s="18" t="str">
        <x:v>clean reconstruction cell; origin builder denied after source release</x:v>
      </x:c>
      <x:c r="H24" s="18" t="str">
        <x:v>cold build, black start and account requalification inside 168 h</x:v>
      </x:c>
      <x:c r="I24" s="14" t="n">
        <x:v>1</x:v>
      </x:c>
      <x:c r="J24" s="14" t="n">
        <x:v>0</x:v>
      </x:c>
      <x:c r="K24" s="14" t="n">
        <x:v>0</x:v>
      </x:c>
      <x:c r="L24" s="14" t="str">
        <x:v>PLANNED / UNBUILT</x:v>
      </x:c>
    </x:row>
    <x:row r="25">
      <x:c r="A25" s="14" t="str">
        <x:v>ET-A-A-TECH-4-A-INT</x:v>
      </x:c>
      <x:c r="B25" s="14" t="str">
        <x:v>ET-A-A-TECH-4</x:v>
      </x:c>
      <x:c r="C25" s="14" t="str">
        <x:v>ET-A-A</x:v>
      </x:c>
      <x:c r="D25" s="14" t="str">
        <x:v>Builder A</x:v>
      </x:c>
      <x:c r="E25" s="14" t="str">
        <x:v>INT</x:v>
      </x:c>
      <x:c r="F25" s="18" t="str">
        <x:v>Integration article</x:v>
      </x:c>
      <x:c r="G25" s="18" t="str">
        <x:v>builder line until configuration freeze; public metrology witnesses</x:v>
      </x:c>
      <x:c r="H25" s="18" t="str">
        <x:v>full-range capacity, receiver and thermal sweeps; article may be modified</x:v>
      </x:c>
      <x:c r="I25" s="14" t="n">
        <x:v>0</x:v>
      </x:c>
      <x:c r="J25" s="14" t="n">
        <x:v>0</x:v>
      </x:c>
      <x:c r="K25" s="14" t="n">
        <x:v>0</x:v>
      </x:c>
      <x:c r="L25" s="14" t="str">
        <x:v>PLANNED / UNBUILT</x:v>
      </x:c>
    </x:row>
    <x:row r="26">
      <x:c r="A26" s="14" t="str">
        <x:v>ET-A-A-TECH-4-A-BRK</x:v>
      </x:c>
      <x:c r="B26" s="14" t="str">
        <x:v>ET-A-A-TECH-4</x:v>
      </x:c>
      <x:c r="C26" s="14" t="str">
        <x:v>ET-A-A</x:v>
      </x:c>
      <x:c r="D26" s="14" t="str">
        <x:v>Builder A</x:v>
      </x:c>
      <x:c r="E26" s="14" t="str">
        <x:v>BRK</x:v>
      </x:c>
      <x:c r="F26" s="18" t="str">
        <x:v>Sacrificial fatal-cut article</x:v>
      </x:c>
      <x:c r="G26" s="18" t="str">
        <x:v>public event custodian after immutable configuration seal</x:v>
      </x:c>
      <x:c r="H26" s="18" t="str">
        <x:v>largest-cell and fatal-keystone destruction with complete teardown</x:v>
      </x:c>
      <x:c r="I26" s="14" t="n">
        <x:v>1</x:v>
      </x:c>
      <x:c r="J26" s="14" t="n">
        <x:v>0</x:v>
      </x:c>
      <x:c r="K26" s="14" t="n">
        <x:v>0</x:v>
      </x:c>
      <x:c r="L26" s="14" t="str">
        <x:v>PLANNED / UNBUILT</x:v>
      </x:c>
    </x:row>
    <x:row r="27">
      <x:c r="A27" s="14" t="str">
        <x:v>ET-A-A-TECH-4-A-RCN</x:v>
      </x:c>
      <x:c r="B27" s="14" t="str">
        <x:v>ET-A-A-TECH-4</x:v>
      </x:c>
      <x:c r="C27" s="14" t="str">
        <x:v>ET-A-A</x:v>
      </x:c>
      <x:c r="D27" s="14" t="str">
        <x:v>Builder A</x:v>
      </x:c>
      <x:c r="E27" s="14" t="str">
        <x:v>RCN</x:v>
      </x:c>
      <x:c r="F27" s="18" t="str">
        <x:v>Virgin reconstruction article</x:v>
      </x:c>
      <x:c r="G27" s="18" t="str">
        <x:v>clean reconstruction cell; origin builder denied after source release</x:v>
      </x:c>
      <x:c r="H27" s="18" t="str">
        <x:v>cold build, black start and account requalification inside 168 h</x:v>
      </x:c>
      <x:c r="I27" s="14" t="n">
        <x:v>1</x:v>
      </x:c>
      <x:c r="J27" s="14" t="n">
        <x:v>0</x:v>
      </x:c>
      <x:c r="K27" s="14" t="n">
        <x:v>0</x:v>
      </x:c>
      <x:c r="L27" s="14" t="str">
        <x:v>PLANNED / UNBUILT</x:v>
      </x:c>
    </x:row>
    <x:row r="28">
      <x:c r="A28" s="14" t="str">
        <x:v>ET-A-A-TECH-4-B-INT</x:v>
      </x:c>
      <x:c r="B28" s="14" t="str">
        <x:v>ET-A-A-TECH-4</x:v>
      </x:c>
      <x:c r="C28" s="14" t="str">
        <x:v>ET-A-A</x:v>
      </x:c>
      <x:c r="D28" s="14" t="str">
        <x:v>Builder B</x:v>
      </x:c>
      <x:c r="E28" s="14" t="str">
        <x:v>INT</x:v>
      </x:c>
      <x:c r="F28" s="18" t="str">
        <x:v>Integration article</x:v>
      </x:c>
      <x:c r="G28" s="18" t="str">
        <x:v>builder line until configuration freeze; public metrology witnesses</x:v>
      </x:c>
      <x:c r="H28" s="18" t="str">
        <x:v>full-range capacity, receiver and thermal sweeps; article may be modified</x:v>
      </x:c>
      <x:c r="I28" s="14" t="n">
        <x:v>0</x:v>
      </x:c>
      <x:c r="J28" s="14" t="n">
        <x:v>0</x:v>
      </x:c>
      <x:c r="K28" s="14" t="n">
        <x:v>0</x:v>
      </x:c>
      <x:c r="L28" s="14" t="str">
        <x:v>PLANNED / UNBUILT</x:v>
      </x:c>
    </x:row>
    <x:row r="29">
      <x:c r="A29" s="14" t="str">
        <x:v>ET-A-A-TECH-4-B-BRK</x:v>
      </x:c>
      <x:c r="B29" s="14" t="str">
        <x:v>ET-A-A-TECH-4</x:v>
      </x:c>
      <x:c r="C29" s="14" t="str">
        <x:v>ET-A-A</x:v>
      </x:c>
      <x:c r="D29" s="14" t="str">
        <x:v>Builder B</x:v>
      </x:c>
      <x:c r="E29" s="14" t="str">
        <x:v>BRK</x:v>
      </x:c>
      <x:c r="F29" s="18" t="str">
        <x:v>Sacrificial fatal-cut article</x:v>
      </x:c>
      <x:c r="G29" s="18" t="str">
        <x:v>public event custodian after immutable configuration seal</x:v>
      </x:c>
      <x:c r="H29" s="18" t="str">
        <x:v>largest-cell and fatal-keystone destruction with complete teardown</x:v>
      </x:c>
      <x:c r="I29" s="14" t="n">
        <x:v>1</x:v>
      </x:c>
      <x:c r="J29" s="14" t="n">
        <x:v>0</x:v>
      </x:c>
      <x:c r="K29" s="14" t="n">
        <x:v>0</x:v>
      </x:c>
      <x:c r="L29" s="14" t="str">
        <x:v>PLANNED / UNBUILT</x:v>
      </x:c>
    </x:row>
    <x:row r="30">
      <x:c r="A30" s="14" t="str">
        <x:v>ET-A-A-TECH-4-B-RCN</x:v>
      </x:c>
      <x:c r="B30" s="14" t="str">
        <x:v>ET-A-A-TECH-4</x:v>
      </x:c>
      <x:c r="C30" s="14" t="str">
        <x:v>ET-A-A</x:v>
      </x:c>
      <x:c r="D30" s="14" t="str">
        <x:v>Builder B</x:v>
      </x:c>
      <x:c r="E30" s="14" t="str">
        <x:v>RCN</x:v>
      </x:c>
      <x:c r="F30" s="18" t="str">
        <x:v>Virgin reconstruction article</x:v>
      </x:c>
      <x:c r="G30" s="18" t="str">
        <x:v>clean reconstruction cell; origin builder denied after source release</x:v>
      </x:c>
      <x:c r="H30" s="18" t="str">
        <x:v>cold build, black start and account requalification inside 168 h</x:v>
      </x:c>
      <x:c r="I30" s="14" t="n">
        <x:v>1</x:v>
      </x:c>
      <x:c r="J30" s="14" t="n">
        <x:v>0</x:v>
      </x:c>
      <x:c r="K30" s="14" t="n">
        <x:v>0</x:v>
      </x:c>
      <x:c r="L30" s="14" t="str">
        <x:v>PLANNED / UNBUILT</x:v>
      </x:c>
    </x:row>
    <x:row r="31">
      <x:c r="A31" s="14" t="str">
        <x:v>CT-C-B-TECH-1-A-INT</x:v>
      </x:c>
      <x:c r="B31" s="14" t="str">
        <x:v>CT-C-B-TECH-1</x:v>
      </x:c>
      <x:c r="C31" s="14" t="str">
        <x:v>CT-C-B</x:v>
      </x:c>
      <x:c r="D31" s="14" t="str">
        <x:v>Builder A</x:v>
      </x:c>
      <x:c r="E31" s="14" t="str">
        <x:v>INT</x:v>
      </x:c>
      <x:c r="F31" s="18" t="str">
        <x:v>Integration article</x:v>
      </x:c>
      <x:c r="G31" s="18" t="str">
        <x:v>builder line until configuration freeze; public metrology witnesses</x:v>
      </x:c>
      <x:c r="H31" s="18" t="str">
        <x:v>full-range capacity, receiver and thermal sweeps; article may be modified</x:v>
      </x:c>
      <x:c r="I31" s="14" t="n">
        <x:v>0</x:v>
      </x:c>
      <x:c r="J31" s="14" t="n">
        <x:v>0</x:v>
      </x:c>
      <x:c r="K31" s="14" t="n">
        <x:v>0</x:v>
      </x:c>
      <x:c r="L31" s="14" t="str">
        <x:v>PLANNED / UNBUILT</x:v>
      </x:c>
    </x:row>
    <x:row r="32">
      <x:c r="A32" s="14" t="str">
        <x:v>CT-C-B-TECH-1-A-BRK</x:v>
      </x:c>
      <x:c r="B32" s="14" t="str">
        <x:v>CT-C-B-TECH-1</x:v>
      </x:c>
      <x:c r="C32" s="14" t="str">
        <x:v>CT-C-B</x:v>
      </x:c>
      <x:c r="D32" s="14" t="str">
        <x:v>Builder A</x:v>
      </x:c>
      <x:c r="E32" s="14" t="str">
        <x:v>BRK</x:v>
      </x:c>
      <x:c r="F32" s="18" t="str">
        <x:v>Sacrificial fatal-cut article</x:v>
      </x:c>
      <x:c r="G32" s="18" t="str">
        <x:v>public event custodian after immutable configuration seal</x:v>
      </x:c>
      <x:c r="H32" s="18" t="str">
        <x:v>largest-cell and fatal-keystone destruction with complete teardown</x:v>
      </x:c>
      <x:c r="I32" s="14" t="n">
        <x:v>1</x:v>
      </x:c>
      <x:c r="J32" s="14" t="n">
        <x:v>0</x:v>
      </x:c>
      <x:c r="K32" s="14" t="n">
        <x:v>0</x:v>
      </x:c>
      <x:c r="L32" s="14" t="str">
        <x:v>PLANNED / UNBUILT</x:v>
      </x:c>
    </x:row>
    <x:row r="33">
      <x:c r="A33" s="14" t="str">
        <x:v>CT-C-B-TECH-1-A-RCN</x:v>
      </x:c>
      <x:c r="B33" s="14" t="str">
        <x:v>CT-C-B-TECH-1</x:v>
      </x:c>
      <x:c r="C33" s="14" t="str">
        <x:v>CT-C-B</x:v>
      </x:c>
      <x:c r="D33" s="14" t="str">
        <x:v>Builder A</x:v>
      </x:c>
      <x:c r="E33" s="14" t="str">
        <x:v>RCN</x:v>
      </x:c>
      <x:c r="F33" s="18" t="str">
        <x:v>Virgin reconstruction article</x:v>
      </x:c>
      <x:c r="G33" s="18" t="str">
        <x:v>clean reconstruction cell; origin builder denied after source release</x:v>
      </x:c>
      <x:c r="H33" s="18" t="str">
        <x:v>cold build, black start and account requalification inside 168 h</x:v>
      </x:c>
      <x:c r="I33" s="14" t="n">
        <x:v>1</x:v>
      </x:c>
      <x:c r="J33" s="14" t="n">
        <x:v>0</x:v>
      </x:c>
      <x:c r="K33" s="14" t="n">
        <x:v>0</x:v>
      </x:c>
      <x:c r="L33" s="14" t="str">
        <x:v>PLANNED / UNBUILT</x:v>
      </x:c>
    </x:row>
    <x:row r="34">
      <x:c r="A34" s="14" t="str">
        <x:v>CT-C-B-TECH-1-B-INT</x:v>
      </x:c>
      <x:c r="B34" s="14" t="str">
        <x:v>CT-C-B-TECH-1</x:v>
      </x:c>
      <x:c r="C34" s="14" t="str">
        <x:v>CT-C-B</x:v>
      </x:c>
      <x:c r="D34" s="14" t="str">
        <x:v>Builder B</x:v>
      </x:c>
      <x:c r="E34" s="14" t="str">
        <x:v>INT</x:v>
      </x:c>
      <x:c r="F34" s="18" t="str">
        <x:v>Integration article</x:v>
      </x:c>
      <x:c r="G34" s="18" t="str">
        <x:v>builder line until configuration freeze; public metrology witnesses</x:v>
      </x:c>
      <x:c r="H34" s="18" t="str">
        <x:v>full-range capacity, receiver and thermal sweeps; article may be modified</x:v>
      </x:c>
      <x:c r="I34" s="14" t="n">
        <x:v>0</x:v>
      </x:c>
      <x:c r="J34" s="14" t="n">
        <x:v>0</x:v>
      </x:c>
      <x:c r="K34" s="14" t="n">
        <x:v>0</x:v>
      </x:c>
      <x:c r="L34" s="14" t="str">
        <x:v>PLANNED / UNBUILT</x:v>
      </x:c>
    </x:row>
    <x:row r="35">
      <x:c r="A35" s="14" t="str">
        <x:v>CT-C-B-TECH-1-B-BRK</x:v>
      </x:c>
      <x:c r="B35" s="14" t="str">
        <x:v>CT-C-B-TECH-1</x:v>
      </x:c>
      <x:c r="C35" s="14" t="str">
        <x:v>CT-C-B</x:v>
      </x:c>
      <x:c r="D35" s="14" t="str">
        <x:v>Builder B</x:v>
      </x:c>
      <x:c r="E35" s="14" t="str">
        <x:v>BRK</x:v>
      </x:c>
      <x:c r="F35" s="18" t="str">
        <x:v>Sacrificial fatal-cut article</x:v>
      </x:c>
      <x:c r="G35" s="18" t="str">
        <x:v>public event custodian after immutable configuration seal</x:v>
      </x:c>
      <x:c r="H35" s="18" t="str">
        <x:v>largest-cell and fatal-keystone destruction with complete teardown</x:v>
      </x:c>
      <x:c r="I35" s="14" t="n">
        <x:v>1</x:v>
      </x:c>
      <x:c r="J35" s="14" t="n">
        <x:v>0</x:v>
      </x:c>
      <x:c r="K35" s="14" t="n">
        <x:v>0</x:v>
      </x:c>
      <x:c r="L35" s="14" t="str">
        <x:v>PLANNED / UNBUILT</x:v>
      </x:c>
    </x:row>
    <x:row r="36">
      <x:c r="A36" s="14" t="str">
        <x:v>CT-C-B-TECH-1-B-RCN</x:v>
      </x:c>
      <x:c r="B36" s="14" t="str">
        <x:v>CT-C-B-TECH-1</x:v>
      </x:c>
      <x:c r="C36" s="14" t="str">
        <x:v>CT-C-B</x:v>
      </x:c>
      <x:c r="D36" s="14" t="str">
        <x:v>Builder B</x:v>
      </x:c>
      <x:c r="E36" s="14" t="str">
        <x:v>RCN</x:v>
      </x:c>
      <x:c r="F36" s="18" t="str">
        <x:v>Virgin reconstruction article</x:v>
      </x:c>
      <x:c r="G36" s="18" t="str">
        <x:v>clean reconstruction cell; origin builder denied after source release</x:v>
      </x:c>
      <x:c r="H36" s="18" t="str">
        <x:v>cold build, black start and account requalification inside 168 h</x:v>
      </x:c>
      <x:c r="I36" s="14" t="n">
        <x:v>1</x:v>
      </x:c>
      <x:c r="J36" s="14" t="n">
        <x:v>0</x:v>
      </x:c>
      <x:c r="K36" s="14" t="n">
        <x:v>0</x:v>
      </x:c>
      <x:c r="L36" s="14" t="str">
        <x:v>PLANNED / UNBUILT</x:v>
      </x:c>
    </x:row>
    <x:row r="37">
      <x:c r="A37" s="14" t="str">
        <x:v>CT-C-B-TECH-2-A-INT</x:v>
      </x:c>
      <x:c r="B37" s="14" t="str">
        <x:v>CT-C-B-TECH-2</x:v>
      </x:c>
      <x:c r="C37" s="14" t="str">
        <x:v>CT-C-B</x:v>
      </x:c>
      <x:c r="D37" s="14" t="str">
        <x:v>Builder A</x:v>
      </x:c>
      <x:c r="E37" s="14" t="str">
        <x:v>INT</x:v>
      </x:c>
      <x:c r="F37" s="18" t="str">
        <x:v>Integration article</x:v>
      </x:c>
      <x:c r="G37" s="18" t="str">
        <x:v>builder line until configuration freeze; public metrology witnesses</x:v>
      </x:c>
      <x:c r="H37" s="18" t="str">
        <x:v>full-range capacity, receiver and thermal sweeps; article may be modified</x:v>
      </x:c>
      <x:c r="I37" s="14" t="n">
        <x:v>0</x:v>
      </x:c>
      <x:c r="J37" s="14" t="n">
        <x:v>0</x:v>
      </x:c>
      <x:c r="K37" s="14" t="n">
        <x:v>0</x:v>
      </x:c>
      <x:c r="L37" s="14" t="str">
        <x:v>PLANNED / UNBUILT</x:v>
      </x:c>
    </x:row>
    <x:row r="38">
      <x:c r="A38" s="14" t="str">
        <x:v>CT-C-B-TECH-2-A-BRK</x:v>
      </x:c>
      <x:c r="B38" s="14" t="str">
        <x:v>CT-C-B-TECH-2</x:v>
      </x:c>
      <x:c r="C38" s="14" t="str">
        <x:v>CT-C-B</x:v>
      </x:c>
      <x:c r="D38" s="14" t="str">
        <x:v>Builder A</x:v>
      </x:c>
      <x:c r="E38" s="14" t="str">
        <x:v>BRK</x:v>
      </x:c>
      <x:c r="F38" s="18" t="str">
        <x:v>Sacrificial fatal-cut article</x:v>
      </x:c>
      <x:c r="G38" s="18" t="str">
        <x:v>public event custodian after immutable configuration seal</x:v>
      </x:c>
      <x:c r="H38" s="18" t="str">
        <x:v>largest-cell and fatal-keystone destruction with complete teardown</x:v>
      </x:c>
      <x:c r="I38" s="14" t="n">
        <x:v>1</x:v>
      </x:c>
      <x:c r="J38" s="14" t="n">
        <x:v>0</x:v>
      </x:c>
      <x:c r="K38" s="14" t="n">
        <x:v>0</x:v>
      </x:c>
      <x:c r="L38" s="14" t="str">
        <x:v>PLANNED / UNBUILT</x:v>
      </x:c>
    </x:row>
    <x:row r="39">
      <x:c r="A39" s="14" t="str">
        <x:v>CT-C-B-TECH-2-A-RCN</x:v>
      </x:c>
      <x:c r="B39" s="14" t="str">
        <x:v>CT-C-B-TECH-2</x:v>
      </x:c>
      <x:c r="C39" s="14" t="str">
        <x:v>CT-C-B</x:v>
      </x:c>
      <x:c r="D39" s="14" t="str">
        <x:v>Builder A</x:v>
      </x:c>
      <x:c r="E39" s="14" t="str">
        <x:v>RCN</x:v>
      </x:c>
      <x:c r="F39" s="18" t="str">
        <x:v>Virgin reconstruction article</x:v>
      </x:c>
      <x:c r="G39" s="18" t="str">
        <x:v>clean reconstruction cell; origin builder denied after source release</x:v>
      </x:c>
      <x:c r="H39" s="18" t="str">
        <x:v>cold build, black start and account requalification inside 168 h</x:v>
      </x:c>
      <x:c r="I39" s="14" t="n">
        <x:v>1</x:v>
      </x:c>
      <x:c r="J39" s="14" t="n">
        <x:v>0</x:v>
      </x:c>
      <x:c r="K39" s="14" t="n">
        <x:v>0</x:v>
      </x:c>
      <x:c r="L39" s="14" t="str">
        <x:v>PLANNED / UNBUILT</x:v>
      </x:c>
    </x:row>
    <x:row r="40">
      <x:c r="A40" s="14" t="str">
        <x:v>CT-C-B-TECH-2-B-INT</x:v>
      </x:c>
      <x:c r="B40" s="14" t="str">
        <x:v>CT-C-B-TECH-2</x:v>
      </x:c>
      <x:c r="C40" s="14" t="str">
        <x:v>CT-C-B</x:v>
      </x:c>
      <x:c r="D40" s="14" t="str">
        <x:v>Builder B</x:v>
      </x:c>
      <x:c r="E40" s="14" t="str">
        <x:v>INT</x:v>
      </x:c>
      <x:c r="F40" s="18" t="str">
        <x:v>Integration article</x:v>
      </x:c>
      <x:c r="G40" s="18" t="str">
        <x:v>builder line until configuration freeze; public metrology witnesses</x:v>
      </x:c>
      <x:c r="H40" s="18" t="str">
        <x:v>full-range capacity, receiver and thermal sweeps; article may be modified</x:v>
      </x:c>
      <x:c r="I40" s="14" t="n">
        <x:v>0</x:v>
      </x:c>
      <x:c r="J40" s="14" t="n">
        <x:v>0</x:v>
      </x:c>
      <x:c r="K40" s="14" t="n">
        <x:v>0</x:v>
      </x:c>
      <x:c r="L40" s="14" t="str">
        <x:v>PLANNED / UNBUILT</x:v>
      </x:c>
    </x:row>
    <x:row r="41">
      <x:c r="A41" s="14" t="str">
        <x:v>CT-C-B-TECH-2-B-BRK</x:v>
      </x:c>
      <x:c r="B41" s="14" t="str">
        <x:v>CT-C-B-TECH-2</x:v>
      </x:c>
      <x:c r="C41" s="14" t="str">
        <x:v>CT-C-B</x:v>
      </x:c>
      <x:c r="D41" s="14" t="str">
        <x:v>Builder B</x:v>
      </x:c>
      <x:c r="E41" s="14" t="str">
        <x:v>BRK</x:v>
      </x:c>
      <x:c r="F41" s="18" t="str">
        <x:v>Sacrificial fatal-cut article</x:v>
      </x:c>
      <x:c r="G41" s="18" t="str">
        <x:v>public event custodian after immutable configuration seal</x:v>
      </x:c>
      <x:c r="H41" s="18" t="str">
        <x:v>largest-cell and fatal-keystone destruction with complete teardown</x:v>
      </x:c>
      <x:c r="I41" s="14" t="n">
        <x:v>1</x:v>
      </x:c>
      <x:c r="J41" s="14" t="n">
        <x:v>0</x:v>
      </x:c>
      <x:c r="K41" s="14" t="n">
        <x:v>0</x:v>
      </x:c>
      <x:c r="L41" s="14" t="str">
        <x:v>PLANNED / UNBUILT</x:v>
      </x:c>
    </x:row>
    <x:row r="42">
      <x:c r="A42" s="14" t="str">
        <x:v>CT-C-B-TECH-2-B-RCN</x:v>
      </x:c>
      <x:c r="B42" s="14" t="str">
        <x:v>CT-C-B-TECH-2</x:v>
      </x:c>
      <x:c r="C42" s="14" t="str">
        <x:v>CT-C-B</x:v>
      </x:c>
      <x:c r="D42" s="14" t="str">
        <x:v>Builder B</x:v>
      </x:c>
      <x:c r="E42" s="14" t="str">
        <x:v>RCN</x:v>
      </x:c>
      <x:c r="F42" s="18" t="str">
        <x:v>Virgin reconstruction article</x:v>
      </x:c>
      <x:c r="G42" s="18" t="str">
        <x:v>clean reconstruction cell; origin builder denied after source release</x:v>
      </x:c>
      <x:c r="H42" s="18" t="str">
        <x:v>cold build, black start and account requalification inside 168 h</x:v>
      </x:c>
      <x:c r="I42" s="14" t="n">
        <x:v>1</x:v>
      </x:c>
      <x:c r="J42" s="14" t="n">
        <x:v>0</x:v>
      </x:c>
      <x:c r="K42" s="14" t="n">
        <x:v>0</x:v>
      </x:c>
      <x:c r="L42" s="14" t="str">
        <x:v>PLANNED / UNBUILT</x:v>
      </x:c>
    </x:row>
    <x:row r="43">
      <x:c r="A43" s="14" t="str">
        <x:v>CT-C-B-TECH-3-A-INT</x:v>
      </x:c>
      <x:c r="B43" s="14" t="str">
        <x:v>CT-C-B-TECH-3</x:v>
      </x:c>
      <x:c r="C43" s="14" t="str">
        <x:v>CT-C-B</x:v>
      </x:c>
      <x:c r="D43" s="14" t="str">
        <x:v>Builder A</x:v>
      </x:c>
      <x:c r="E43" s="14" t="str">
        <x:v>INT</x:v>
      </x:c>
      <x:c r="F43" s="18" t="str">
        <x:v>Integration article</x:v>
      </x:c>
      <x:c r="G43" s="18" t="str">
        <x:v>builder line until configuration freeze; public metrology witnesses</x:v>
      </x:c>
      <x:c r="H43" s="18" t="str">
        <x:v>full-range capacity, receiver and thermal sweeps; article may be modified</x:v>
      </x:c>
      <x:c r="I43" s="14" t="n">
        <x:v>0</x:v>
      </x:c>
      <x:c r="J43" s="14" t="n">
        <x:v>0</x:v>
      </x:c>
      <x:c r="K43" s="14" t="n">
        <x:v>0</x:v>
      </x:c>
      <x:c r="L43" s="14" t="str">
        <x:v>PLANNED / UNBUILT</x:v>
      </x:c>
    </x:row>
    <x:row r="44">
      <x:c r="A44" s="14" t="str">
        <x:v>CT-C-B-TECH-3-A-BRK</x:v>
      </x:c>
      <x:c r="B44" s="14" t="str">
        <x:v>CT-C-B-TECH-3</x:v>
      </x:c>
      <x:c r="C44" s="14" t="str">
        <x:v>CT-C-B</x:v>
      </x:c>
      <x:c r="D44" s="14" t="str">
        <x:v>Builder A</x:v>
      </x:c>
      <x:c r="E44" s="14" t="str">
        <x:v>BRK</x:v>
      </x:c>
      <x:c r="F44" s="18" t="str">
        <x:v>Sacrificial fatal-cut article</x:v>
      </x:c>
      <x:c r="G44" s="18" t="str">
        <x:v>public event custodian after immutable configuration seal</x:v>
      </x:c>
      <x:c r="H44" s="18" t="str">
        <x:v>largest-cell and fatal-keystone destruction with complete teardown</x:v>
      </x:c>
      <x:c r="I44" s="14" t="n">
        <x:v>1</x:v>
      </x:c>
      <x:c r="J44" s="14" t="n">
        <x:v>0</x:v>
      </x:c>
      <x:c r="K44" s="14" t="n">
        <x:v>0</x:v>
      </x:c>
      <x:c r="L44" s="14" t="str">
        <x:v>PLANNED / UNBUILT</x:v>
      </x:c>
    </x:row>
    <x:row r="45">
      <x:c r="A45" s="14" t="str">
        <x:v>CT-C-B-TECH-3-A-RCN</x:v>
      </x:c>
      <x:c r="B45" s="14" t="str">
        <x:v>CT-C-B-TECH-3</x:v>
      </x:c>
      <x:c r="C45" s="14" t="str">
        <x:v>CT-C-B</x:v>
      </x:c>
      <x:c r="D45" s="14" t="str">
        <x:v>Builder A</x:v>
      </x:c>
      <x:c r="E45" s="14" t="str">
        <x:v>RCN</x:v>
      </x:c>
      <x:c r="F45" s="18" t="str">
        <x:v>Virgin reconstruction article</x:v>
      </x:c>
      <x:c r="G45" s="18" t="str">
        <x:v>clean reconstruction cell; origin builder denied after source release</x:v>
      </x:c>
      <x:c r="H45" s="18" t="str">
        <x:v>cold build, black start and account requalification inside 168 h</x:v>
      </x:c>
      <x:c r="I45" s="14" t="n">
        <x:v>1</x:v>
      </x:c>
      <x:c r="J45" s="14" t="n">
        <x:v>0</x:v>
      </x:c>
      <x:c r="K45" s="14" t="n">
        <x:v>0</x:v>
      </x:c>
      <x:c r="L45" s="14" t="str">
        <x:v>PLANNED / UNBUILT</x:v>
      </x:c>
    </x:row>
    <x:row r="46">
      <x:c r="A46" s="14" t="str">
        <x:v>CT-C-B-TECH-3-B-INT</x:v>
      </x:c>
      <x:c r="B46" s="14" t="str">
        <x:v>CT-C-B-TECH-3</x:v>
      </x:c>
      <x:c r="C46" s="14" t="str">
        <x:v>CT-C-B</x:v>
      </x:c>
      <x:c r="D46" s="14" t="str">
        <x:v>Builder B</x:v>
      </x:c>
      <x:c r="E46" s="14" t="str">
        <x:v>INT</x:v>
      </x:c>
      <x:c r="F46" s="18" t="str">
        <x:v>Integration article</x:v>
      </x:c>
      <x:c r="G46" s="18" t="str">
        <x:v>builder line until configuration freeze; public metrology witnesses</x:v>
      </x:c>
      <x:c r="H46" s="18" t="str">
        <x:v>full-range capacity, receiver and thermal sweeps; article may be modified</x:v>
      </x:c>
      <x:c r="I46" s="14" t="n">
        <x:v>0</x:v>
      </x:c>
      <x:c r="J46" s="14" t="n">
        <x:v>0</x:v>
      </x:c>
      <x:c r="K46" s="14" t="n">
        <x:v>0</x:v>
      </x:c>
      <x:c r="L46" s="14" t="str">
        <x:v>PLANNED / UNBUILT</x:v>
      </x:c>
    </x:row>
    <x:row r="47">
      <x:c r="A47" s="14" t="str">
        <x:v>CT-C-B-TECH-3-B-BRK</x:v>
      </x:c>
      <x:c r="B47" s="14" t="str">
        <x:v>CT-C-B-TECH-3</x:v>
      </x:c>
      <x:c r="C47" s="14" t="str">
        <x:v>CT-C-B</x:v>
      </x:c>
      <x:c r="D47" s="14" t="str">
        <x:v>Builder B</x:v>
      </x:c>
      <x:c r="E47" s="14" t="str">
        <x:v>BRK</x:v>
      </x:c>
      <x:c r="F47" s="18" t="str">
        <x:v>Sacrificial fatal-cut article</x:v>
      </x:c>
      <x:c r="G47" s="18" t="str">
        <x:v>public event custodian after immutable configuration seal</x:v>
      </x:c>
      <x:c r="H47" s="18" t="str">
        <x:v>largest-cell and fatal-keystone destruction with complete teardown</x:v>
      </x:c>
      <x:c r="I47" s="14" t="n">
        <x:v>1</x:v>
      </x:c>
      <x:c r="J47" s="14" t="n">
        <x:v>0</x:v>
      </x:c>
      <x:c r="K47" s="14" t="n">
        <x:v>0</x:v>
      </x:c>
      <x:c r="L47" s="14" t="str">
        <x:v>PLANNED / UNBUILT</x:v>
      </x:c>
    </x:row>
    <x:row r="48">
      <x:c r="A48" s="14" t="str">
        <x:v>CT-C-B-TECH-3-B-RCN</x:v>
      </x:c>
      <x:c r="B48" s="14" t="str">
        <x:v>CT-C-B-TECH-3</x:v>
      </x:c>
      <x:c r="C48" s="14" t="str">
        <x:v>CT-C-B</x:v>
      </x:c>
      <x:c r="D48" s="14" t="str">
        <x:v>Builder B</x:v>
      </x:c>
      <x:c r="E48" s="14" t="str">
        <x:v>RCN</x:v>
      </x:c>
      <x:c r="F48" s="18" t="str">
        <x:v>Virgin reconstruction article</x:v>
      </x:c>
      <x:c r="G48" s="18" t="str">
        <x:v>clean reconstruction cell; origin builder denied after source release</x:v>
      </x:c>
      <x:c r="H48" s="18" t="str">
        <x:v>cold build, black start and account requalification inside 168 h</x:v>
      </x:c>
      <x:c r="I48" s="14" t="n">
        <x:v>1</x:v>
      </x:c>
      <x:c r="J48" s="14" t="n">
        <x:v>0</x:v>
      </x:c>
      <x:c r="K48" s="14" t="n">
        <x:v>0</x:v>
      </x:c>
      <x:c r="L48" s="14" t="str">
        <x:v>PLANNED / UNBUILT</x:v>
      </x:c>
    </x:row>
    <x:row r="49">
      <x:c r="A49" s="14" t="str">
        <x:v>CT-C-B-TECH-4-A-INT</x:v>
      </x:c>
      <x:c r="B49" s="14" t="str">
        <x:v>CT-C-B-TECH-4</x:v>
      </x:c>
      <x:c r="C49" s="14" t="str">
        <x:v>CT-C-B</x:v>
      </x:c>
      <x:c r="D49" s="14" t="str">
        <x:v>Builder A</x:v>
      </x:c>
      <x:c r="E49" s="14" t="str">
        <x:v>INT</x:v>
      </x:c>
      <x:c r="F49" s="18" t="str">
        <x:v>Integration article</x:v>
      </x:c>
      <x:c r="G49" s="18" t="str">
        <x:v>builder line until configuration freeze; public metrology witnesses</x:v>
      </x:c>
      <x:c r="H49" s="18" t="str">
        <x:v>full-range capacity, receiver and thermal sweeps; article may be modified</x:v>
      </x:c>
      <x:c r="I49" s="14" t="n">
        <x:v>0</x:v>
      </x:c>
      <x:c r="J49" s="14" t="n">
        <x:v>0</x:v>
      </x:c>
      <x:c r="K49" s="14" t="n">
        <x:v>0</x:v>
      </x:c>
      <x:c r="L49" s="14" t="str">
        <x:v>PLANNED / UNBUILT</x:v>
      </x:c>
    </x:row>
    <x:row r="50">
      <x:c r="A50" s="14" t="str">
        <x:v>CT-C-B-TECH-4-A-BRK</x:v>
      </x:c>
      <x:c r="B50" s="14" t="str">
        <x:v>CT-C-B-TECH-4</x:v>
      </x:c>
      <x:c r="C50" s="14" t="str">
        <x:v>CT-C-B</x:v>
      </x:c>
      <x:c r="D50" s="14" t="str">
        <x:v>Builder A</x:v>
      </x:c>
      <x:c r="E50" s="14" t="str">
        <x:v>BRK</x:v>
      </x:c>
      <x:c r="F50" s="18" t="str">
        <x:v>Sacrificial fatal-cut article</x:v>
      </x:c>
      <x:c r="G50" s="18" t="str">
        <x:v>public event custodian after immutable configuration seal</x:v>
      </x:c>
      <x:c r="H50" s="18" t="str">
        <x:v>largest-cell and fatal-keystone destruction with complete teardown</x:v>
      </x:c>
      <x:c r="I50" s="14" t="n">
        <x:v>1</x:v>
      </x:c>
      <x:c r="J50" s="14" t="n">
        <x:v>0</x:v>
      </x:c>
      <x:c r="K50" s="14" t="n">
        <x:v>0</x:v>
      </x:c>
      <x:c r="L50" s="14" t="str">
        <x:v>PLANNED / UNBUILT</x:v>
      </x:c>
    </x:row>
    <x:row r="51">
      <x:c r="A51" s="14" t="str">
        <x:v>CT-C-B-TECH-4-A-RCN</x:v>
      </x:c>
      <x:c r="B51" s="14" t="str">
        <x:v>CT-C-B-TECH-4</x:v>
      </x:c>
      <x:c r="C51" s="14" t="str">
        <x:v>CT-C-B</x:v>
      </x:c>
      <x:c r="D51" s="14" t="str">
        <x:v>Builder A</x:v>
      </x:c>
      <x:c r="E51" s="14" t="str">
        <x:v>RCN</x:v>
      </x:c>
      <x:c r="F51" s="18" t="str">
        <x:v>Virgin reconstruction article</x:v>
      </x:c>
      <x:c r="G51" s="18" t="str">
        <x:v>clean reconstruction cell; origin builder denied after source release</x:v>
      </x:c>
      <x:c r="H51" s="18" t="str">
        <x:v>cold build, black start and account requalification inside 168 h</x:v>
      </x:c>
      <x:c r="I51" s="14" t="n">
        <x:v>1</x:v>
      </x:c>
      <x:c r="J51" s="14" t="n">
        <x:v>0</x:v>
      </x:c>
      <x:c r="K51" s="14" t="n">
        <x:v>0</x:v>
      </x:c>
      <x:c r="L51" s="14" t="str">
        <x:v>PLANNED / UNBUILT</x:v>
      </x:c>
    </x:row>
    <x:row r="52">
      <x:c r="A52" s="14" t="str">
        <x:v>CT-C-B-TECH-4-B-INT</x:v>
      </x:c>
      <x:c r="B52" s="14" t="str">
        <x:v>CT-C-B-TECH-4</x:v>
      </x:c>
      <x:c r="C52" s="14" t="str">
        <x:v>CT-C-B</x:v>
      </x:c>
      <x:c r="D52" s="14" t="str">
        <x:v>Builder B</x:v>
      </x:c>
      <x:c r="E52" s="14" t="str">
        <x:v>INT</x:v>
      </x:c>
      <x:c r="F52" s="18" t="str">
        <x:v>Integration article</x:v>
      </x:c>
      <x:c r="G52" s="18" t="str">
        <x:v>builder line until configuration freeze; public metrology witnesses</x:v>
      </x:c>
      <x:c r="H52" s="18" t="str">
        <x:v>full-range capacity, receiver and thermal sweeps; article may be modified</x:v>
      </x:c>
      <x:c r="I52" s="14" t="n">
        <x:v>0</x:v>
      </x:c>
      <x:c r="J52" s="14" t="n">
        <x:v>0</x:v>
      </x:c>
      <x:c r="K52" s="14" t="n">
        <x:v>0</x:v>
      </x:c>
      <x:c r="L52" s="14" t="str">
        <x:v>PLANNED / UNBUILT</x:v>
      </x:c>
    </x:row>
    <x:row r="53">
      <x:c r="A53" s="14" t="str">
        <x:v>CT-C-B-TECH-4-B-BRK</x:v>
      </x:c>
      <x:c r="B53" s="14" t="str">
        <x:v>CT-C-B-TECH-4</x:v>
      </x:c>
      <x:c r="C53" s="14" t="str">
        <x:v>CT-C-B</x:v>
      </x:c>
      <x:c r="D53" s="14" t="str">
        <x:v>Builder B</x:v>
      </x:c>
      <x:c r="E53" s="14" t="str">
        <x:v>BRK</x:v>
      </x:c>
      <x:c r="F53" s="18" t="str">
        <x:v>Sacrificial fatal-cut article</x:v>
      </x:c>
      <x:c r="G53" s="18" t="str">
        <x:v>public event custodian after immutable configuration seal</x:v>
      </x:c>
      <x:c r="H53" s="18" t="str">
        <x:v>largest-cell and fatal-keystone destruction with complete teardown</x:v>
      </x:c>
      <x:c r="I53" s="14" t="n">
        <x:v>1</x:v>
      </x:c>
      <x:c r="J53" s="14" t="n">
        <x:v>0</x:v>
      </x:c>
      <x:c r="K53" s="14" t="n">
        <x:v>0</x:v>
      </x:c>
      <x:c r="L53" s="14" t="str">
        <x:v>PLANNED / UNBUILT</x:v>
      </x:c>
    </x:row>
    <x:row r="54">
      <x:c r="A54" s="14" t="str">
        <x:v>CT-C-B-TECH-4-B-RCN</x:v>
      </x:c>
      <x:c r="B54" s="14" t="str">
        <x:v>CT-C-B-TECH-4</x:v>
      </x:c>
      <x:c r="C54" s="14" t="str">
        <x:v>CT-C-B</x:v>
      </x:c>
      <x:c r="D54" s="14" t="str">
        <x:v>Builder B</x:v>
      </x:c>
      <x:c r="E54" s="14" t="str">
        <x:v>RCN</x:v>
      </x:c>
      <x:c r="F54" s="18" t="str">
        <x:v>Virgin reconstruction article</x:v>
      </x:c>
      <x:c r="G54" s="18" t="str">
        <x:v>clean reconstruction cell; origin builder denied after source release</x:v>
      </x:c>
      <x:c r="H54" s="18" t="str">
        <x:v>cold build, black start and account requalification inside 168 h</x:v>
      </x:c>
      <x:c r="I54" s="14" t="n">
        <x:v>1</x:v>
      </x:c>
      <x:c r="J54" s="14" t="n">
        <x:v>0</x:v>
      </x:c>
      <x:c r="K54" s="14" t="n">
        <x:v>0</x:v>
      </x:c>
      <x:c r="L54" s="14" t="str">
        <x:v>PLANNED / UNBUILT</x:v>
      </x:c>
    </x:row>
    <x:row r="55">
      <x:c r="A55" s="14" t="str">
        <x:v>HC-A-C-TECH-1-A-INT</x:v>
      </x:c>
      <x:c r="B55" s="14" t="str">
        <x:v>HC-A-C-TECH-1</x:v>
      </x:c>
      <x:c r="C55" s="14" t="str">
        <x:v>HC-A-C</x:v>
      </x:c>
      <x:c r="D55" s="14" t="str">
        <x:v>Builder A</x:v>
      </x:c>
      <x:c r="E55" s="14" t="str">
        <x:v>INT</x:v>
      </x:c>
      <x:c r="F55" s="18" t="str">
        <x:v>Integration article</x:v>
      </x:c>
      <x:c r="G55" s="18" t="str">
        <x:v>builder line until configuration freeze; public metrology witnesses</x:v>
      </x:c>
      <x:c r="H55" s="18" t="str">
        <x:v>full-range capacity, receiver and thermal sweeps; article may be modified</x:v>
      </x:c>
      <x:c r="I55" s="14" t="n">
        <x:v>0</x:v>
      </x:c>
      <x:c r="J55" s="14" t="n">
        <x:v>0</x:v>
      </x:c>
      <x:c r="K55" s="14" t="n">
        <x:v>0</x:v>
      </x:c>
      <x:c r="L55" s="14" t="str">
        <x:v>PLANNED / UNBUILT</x:v>
      </x:c>
    </x:row>
    <x:row r="56">
      <x:c r="A56" s="14" t="str">
        <x:v>HC-A-C-TECH-1-A-BRK</x:v>
      </x:c>
      <x:c r="B56" s="14" t="str">
        <x:v>HC-A-C-TECH-1</x:v>
      </x:c>
      <x:c r="C56" s="14" t="str">
        <x:v>HC-A-C</x:v>
      </x:c>
      <x:c r="D56" s="14" t="str">
        <x:v>Builder A</x:v>
      </x:c>
      <x:c r="E56" s="14" t="str">
        <x:v>BRK</x:v>
      </x:c>
      <x:c r="F56" s="18" t="str">
        <x:v>Sacrificial fatal-cut article</x:v>
      </x:c>
      <x:c r="G56" s="18" t="str">
        <x:v>public event custodian after immutable configuration seal</x:v>
      </x:c>
      <x:c r="H56" s="18" t="str">
        <x:v>largest-cell and fatal-keystone destruction with complete teardown</x:v>
      </x:c>
      <x:c r="I56" s="14" t="n">
        <x:v>1</x:v>
      </x:c>
      <x:c r="J56" s="14" t="n">
        <x:v>0</x:v>
      </x:c>
      <x:c r="K56" s="14" t="n">
        <x:v>0</x:v>
      </x:c>
      <x:c r="L56" s="14" t="str">
        <x:v>PLANNED / UNBUILT</x:v>
      </x:c>
    </x:row>
    <x:row r="57">
      <x:c r="A57" s="14" t="str">
        <x:v>HC-A-C-TECH-1-A-RCN</x:v>
      </x:c>
      <x:c r="B57" s="14" t="str">
        <x:v>HC-A-C-TECH-1</x:v>
      </x:c>
      <x:c r="C57" s="14" t="str">
        <x:v>HC-A-C</x:v>
      </x:c>
      <x:c r="D57" s="14" t="str">
        <x:v>Builder A</x:v>
      </x:c>
      <x:c r="E57" s="14" t="str">
        <x:v>RCN</x:v>
      </x:c>
      <x:c r="F57" s="18" t="str">
        <x:v>Virgin reconstruction article</x:v>
      </x:c>
      <x:c r="G57" s="18" t="str">
        <x:v>clean reconstruction cell; origin builder denied after source release</x:v>
      </x:c>
      <x:c r="H57" s="18" t="str">
        <x:v>cold build, black start and account requalification inside 168 h</x:v>
      </x:c>
      <x:c r="I57" s="14" t="n">
        <x:v>1</x:v>
      </x:c>
      <x:c r="J57" s="14" t="n">
        <x:v>0</x:v>
      </x:c>
      <x:c r="K57" s="14" t="n">
        <x:v>0</x:v>
      </x:c>
      <x:c r="L57" s="14" t="str">
        <x:v>PLANNED / UNBUILT</x:v>
      </x:c>
    </x:row>
    <x:row r="58">
      <x:c r="A58" s="14" t="str">
        <x:v>HC-A-C-TECH-1-B-INT</x:v>
      </x:c>
      <x:c r="B58" s="14" t="str">
        <x:v>HC-A-C-TECH-1</x:v>
      </x:c>
      <x:c r="C58" s="14" t="str">
        <x:v>HC-A-C</x:v>
      </x:c>
      <x:c r="D58" s="14" t="str">
        <x:v>Builder B</x:v>
      </x:c>
      <x:c r="E58" s="14" t="str">
        <x:v>INT</x:v>
      </x:c>
      <x:c r="F58" s="18" t="str">
        <x:v>Integration article</x:v>
      </x:c>
      <x:c r="G58" s="18" t="str">
        <x:v>builder line until configuration freeze; public metrology witnesses</x:v>
      </x:c>
      <x:c r="H58" s="18" t="str">
        <x:v>full-range capacity, receiver and thermal sweeps; article may be modified</x:v>
      </x:c>
      <x:c r="I58" s="14" t="n">
        <x:v>0</x:v>
      </x:c>
      <x:c r="J58" s="14" t="n">
        <x:v>0</x:v>
      </x:c>
      <x:c r="K58" s="14" t="n">
        <x:v>0</x:v>
      </x:c>
      <x:c r="L58" s="14" t="str">
        <x:v>PLANNED / UNBUILT</x:v>
      </x:c>
    </x:row>
    <x:row r="59">
      <x:c r="A59" s="14" t="str">
        <x:v>HC-A-C-TECH-1-B-BRK</x:v>
      </x:c>
      <x:c r="B59" s="14" t="str">
        <x:v>HC-A-C-TECH-1</x:v>
      </x:c>
      <x:c r="C59" s="14" t="str">
        <x:v>HC-A-C</x:v>
      </x:c>
      <x:c r="D59" s="14" t="str">
        <x:v>Builder B</x:v>
      </x:c>
      <x:c r="E59" s="14" t="str">
        <x:v>BRK</x:v>
      </x:c>
      <x:c r="F59" s="18" t="str">
        <x:v>Sacrificial fatal-cut article</x:v>
      </x:c>
      <x:c r="G59" s="18" t="str">
        <x:v>public event custodian after immutable configuration seal</x:v>
      </x:c>
      <x:c r="H59" s="18" t="str">
        <x:v>largest-cell and fatal-keystone destruction with complete teardown</x:v>
      </x:c>
      <x:c r="I59" s="14" t="n">
        <x:v>1</x:v>
      </x:c>
      <x:c r="J59" s="14" t="n">
        <x:v>0</x:v>
      </x:c>
      <x:c r="K59" s="14" t="n">
        <x:v>0</x:v>
      </x:c>
      <x:c r="L59" s="14" t="str">
        <x:v>PLANNED / UNBUILT</x:v>
      </x:c>
    </x:row>
    <x:row r="60">
      <x:c r="A60" s="14" t="str">
        <x:v>HC-A-C-TECH-1-B-RCN</x:v>
      </x:c>
      <x:c r="B60" s="14" t="str">
        <x:v>HC-A-C-TECH-1</x:v>
      </x:c>
      <x:c r="C60" s="14" t="str">
        <x:v>HC-A-C</x:v>
      </x:c>
      <x:c r="D60" s="14" t="str">
        <x:v>Builder B</x:v>
      </x:c>
      <x:c r="E60" s="14" t="str">
        <x:v>RCN</x:v>
      </x:c>
      <x:c r="F60" s="18" t="str">
        <x:v>Virgin reconstruction article</x:v>
      </x:c>
      <x:c r="G60" s="18" t="str">
        <x:v>clean reconstruction cell; origin builder denied after source release</x:v>
      </x:c>
      <x:c r="H60" s="18" t="str">
        <x:v>cold build, black start and account requalification inside 168 h</x:v>
      </x:c>
      <x:c r="I60" s="14" t="n">
        <x:v>1</x:v>
      </x:c>
      <x:c r="J60" s="14" t="n">
        <x:v>0</x:v>
      </x:c>
      <x:c r="K60" s="14" t="n">
        <x:v>0</x:v>
      </x:c>
      <x:c r="L60" s="14" t="str">
        <x:v>PLANNED / UNBUILT</x:v>
      </x:c>
    </x:row>
    <x:row r="61">
      <x:c r="A61" s="14" t="str">
        <x:v>HC-A-C-TECH-2-A-INT</x:v>
      </x:c>
      <x:c r="B61" s="14" t="str">
        <x:v>HC-A-C-TECH-2</x:v>
      </x:c>
      <x:c r="C61" s="14" t="str">
        <x:v>HC-A-C</x:v>
      </x:c>
      <x:c r="D61" s="14" t="str">
        <x:v>Builder A</x:v>
      </x:c>
      <x:c r="E61" s="14" t="str">
        <x:v>INT</x:v>
      </x:c>
      <x:c r="F61" s="18" t="str">
        <x:v>Integration article</x:v>
      </x:c>
      <x:c r="G61" s="18" t="str">
        <x:v>builder line until configuration freeze; public metrology witnesses</x:v>
      </x:c>
      <x:c r="H61" s="18" t="str">
        <x:v>full-range capacity, receiver and thermal sweeps; article may be modified</x:v>
      </x:c>
      <x:c r="I61" s="14" t="n">
        <x:v>0</x:v>
      </x:c>
      <x:c r="J61" s="14" t="n">
        <x:v>0</x:v>
      </x:c>
      <x:c r="K61" s="14" t="n">
        <x:v>0</x:v>
      </x:c>
      <x:c r="L61" s="14" t="str">
        <x:v>PLANNED / UNBUILT</x:v>
      </x:c>
    </x:row>
    <x:row r="62">
      <x:c r="A62" s="14" t="str">
        <x:v>HC-A-C-TECH-2-A-BRK</x:v>
      </x:c>
      <x:c r="B62" s="14" t="str">
        <x:v>HC-A-C-TECH-2</x:v>
      </x:c>
      <x:c r="C62" s="14" t="str">
        <x:v>HC-A-C</x:v>
      </x:c>
      <x:c r="D62" s="14" t="str">
        <x:v>Builder A</x:v>
      </x:c>
      <x:c r="E62" s="14" t="str">
        <x:v>BRK</x:v>
      </x:c>
      <x:c r="F62" s="18" t="str">
        <x:v>Sacrificial fatal-cut article</x:v>
      </x:c>
      <x:c r="G62" s="18" t="str">
        <x:v>public event custodian after immutable configuration seal</x:v>
      </x:c>
      <x:c r="H62" s="18" t="str">
        <x:v>largest-cell and fatal-keystone destruction with complete teardown</x:v>
      </x:c>
      <x:c r="I62" s="14" t="n">
        <x:v>1</x:v>
      </x:c>
      <x:c r="J62" s="14" t="n">
        <x:v>0</x:v>
      </x:c>
      <x:c r="K62" s="14" t="n">
        <x:v>0</x:v>
      </x:c>
      <x:c r="L62" s="14" t="str">
        <x:v>PLANNED / UNBUILT</x:v>
      </x:c>
    </x:row>
    <x:row r="63">
      <x:c r="A63" s="14" t="str">
        <x:v>HC-A-C-TECH-2-A-RCN</x:v>
      </x:c>
      <x:c r="B63" s="14" t="str">
        <x:v>HC-A-C-TECH-2</x:v>
      </x:c>
      <x:c r="C63" s="14" t="str">
        <x:v>HC-A-C</x:v>
      </x:c>
      <x:c r="D63" s="14" t="str">
        <x:v>Builder A</x:v>
      </x:c>
      <x:c r="E63" s="14" t="str">
        <x:v>RCN</x:v>
      </x:c>
      <x:c r="F63" s="18" t="str">
        <x:v>Virgin reconstruction article</x:v>
      </x:c>
      <x:c r="G63" s="18" t="str">
        <x:v>clean reconstruction cell; origin builder denied after source release</x:v>
      </x:c>
      <x:c r="H63" s="18" t="str">
        <x:v>cold build, black start and account requalification inside 168 h</x:v>
      </x:c>
      <x:c r="I63" s="14" t="n">
        <x:v>1</x:v>
      </x:c>
      <x:c r="J63" s="14" t="n">
        <x:v>0</x:v>
      </x:c>
      <x:c r="K63" s="14" t="n">
        <x:v>0</x:v>
      </x:c>
      <x:c r="L63" s="14" t="str">
        <x:v>PLANNED / UNBUILT</x:v>
      </x:c>
    </x:row>
    <x:row r="64">
      <x:c r="A64" s="14" t="str">
        <x:v>HC-A-C-TECH-2-B-INT</x:v>
      </x:c>
      <x:c r="B64" s="14" t="str">
        <x:v>HC-A-C-TECH-2</x:v>
      </x:c>
      <x:c r="C64" s="14" t="str">
        <x:v>HC-A-C</x:v>
      </x:c>
      <x:c r="D64" s="14" t="str">
        <x:v>Builder B</x:v>
      </x:c>
      <x:c r="E64" s="14" t="str">
        <x:v>INT</x:v>
      </x:c>
      <x:c r="F64" s="18" t="str">
        <x:v>Integration article</x:v>
      </x:c>
      <x:c r="G64" s="18" t="str">
        <x:v>builder line until configuration freeze; public metrology witnesses</x:v>
      </x:c>
      <x:c r="H64" s="18" t="str">
        <x:v>full-range capacity, receiver and thermal sweeps; article may be modified</x:v>
      </x:c>
      <x:c r="I64" s="14" t="n">
        <x:v>0</x:v>
      </x:c>
      <x:c r="J64" s="14" t="n">
        <x:v>0</x:v>
      </x:c>
      <x:c r="K64" s="14" t="n">
        <x:v>0</x:v>
      </x:c>
      <x:c r="L64" s="14" t="str">
        <x:v>PLANNED / UNBUILT</x:v>
      </x:c>
    </x:row>
    <x:row r="65">
      <x:c r="A65" s="14" t="str">
        <x:v>HC-A-C-TECH-2-B-BRK</x:v>
      </x:c>
      <x:c r="B65" s="14" t="str">
        <x:v>HC-A-C-TECH-2</x:v>
      </x:c>
      <x:c r="C65" s="14" t="str">
        <x:v>HC-A-C</x:v>
      </x:c>
      <x:c r="D65" s="14" t="str">
        <x:v>Builder B</x:v>
      </x:c>
      <x:c r="E65" s="14" t="str">
        <x:v>BRK</x:v>
      </x:c>
      <x:c r="F65" s="18" t="str">
        <x:v>Sacrificial fatal-cut article</x:v>
      </x:c>
      <x:c r="G65" s="18" t="str">
        <x:v>public event custodian after immutable configuration seal</x:v>
      </x:c>
      <x:c r="H65" s="18" t="str">
        <x:v>largest-cell and fatal-keystone destruction with complete teardown</x:v>
      </x:c>
      <x:c r="I65" s="14" t="n">
        <x:v>1</x:v>
      </x:c>
      <x:c r="J65" s="14" t="n">
        <x:v>0</x:v>
      </x:c>
      <x:c r="K65" s="14" t="n">
        <x:v>0</x:v>
      </x:c>
      <x:c r="L65" s="14" t="str">
        <x:v>PLANNED / UNBUILT</x:v>
      </x:c>
    </x:row>
    <x:row r="66">
      <x:c r="A66" s="14" t="str">
        <x:v>HC-A-C-TECH-2-B-RCN</x:v>
      </x:c>
      <x:c r="B66" s="14" t="str">
        <x:v>HC-A-C-TECH-2</x:v>
      </x:c>
      <x:c r="C66" s="14" t="str">
        <x:v>HC-A-C</x:v>
      </x:c>
      <x:c r="D66" s="14" t="str">
        <x:v>Builder B</x:v>
      </x:c>
      <x:c r="E66" s="14" t="str">
        <x:v>RCN</x:v>
      </x:c>
      <x:c r="F66" s="18" t="str">
        <x:v>Virgin reconstruction article</x:v>
      </x:c>
      <x:c r="G66" s="18" t="str">
        <x:v>clean reconstruction cell; origin builder denied after source release</x:v>
      </x:c>
      <x:c r="H66" s="18" t="str">
        <x:v>cold build, black start and account requalification inside 168 h</x:v>
      </x:c>
      <x:c r="I66" s="14" t="n">
        <x:v>1</x:v>
      </x:c>
      <x:c r="J66" s="14" t="n">
        <x:v>0</x:v>
      </x:c>
      <x:c r="K66" s="14" t="n">
        <x:v>0</x:v>
      </x:c>
      <x:c r="L66" s="14" t="str">
        <x:v>PLANNED / UNBUILT</x:v>
      </x:c>
    </x:row>
    <x:row r="67">
      <x:c r="A67" s="14" t="str">
        <x:v>HC-A-C-TECH-3-A-INT</x:v>
      </x:c>
      <x:c r="B67" s="14" t="str">
        <x:v>HC-A-C-TECH-3</x:v>
      </x:c>
      <x:c r="C67" s="14" t="str">
        <x:v>HC-A-C</x:v>
      </x:c>
      <x:c r="D67" s="14" t="str">
        <x:v>Builder A</x:v>
      </x:c>
      <x:c r="E67" s="14" t="str">
        <x:v>INT</x:v>
      </x:c>
      <x:c r="F67" s="18" t="str">
        <x:v>Integration article</x:v>
      </x:c>
      <x:c r="G67" s="18" t="str">
        <x:v>builder line until configuration freeze; public metrology witnesses</x:v>
      </x:c>
      <x:c r="H67" s="18" t="str">
        <x:v>full-range capacity, receiver and thermal sweeps; article may be modified</x:v>
      </x:c>
      <x:c r="I67" s="14" t="n">
        <x:v>0</x:v>
      </x:c>
      <x:c r="J67" s="14" t="n">
        <x:v>0</x:v>
      </x:c>
      <x:c r="K67" s="14" t="n">
        <x:v>0</x:v>
      </x:c>
      <x:c r="L67" s="14" t="str">
        <x:v>PLANNED / UNBUILT</x:v>
      </x:c>
    </x:row>
    <x:row r="68">
      <x:c r="A68" s="14" t="str">
        <x:v>HC-A-C-TECH-3-A-BRK</x:v>
      </x:c>
      <x:c r="B68" s="14" t="str">
        <x:v>HC-A-C-TECH-3</x:v>
      </x:c>
      <x:c r="C68" s="14" t="str">
        <x:v>HC-A-C</x:v>
      </x:c>
      <x:c r="D68" s="14" t="str">
        <x:v>Builder A</x:v>
      </x:c>
      <x:c r="E68" s="14" t="str">
        <x:v>BRK</x:v>
      </x:c>
      <x:c r="F68" s="18" t="str">
        <x:v>Sacrificial fatal-cut article</x:v>
      </x:c>
      <x:c r="G68" s="18" t="str">
        <x:v>public event custodian after immutable configuration seal</x:v>
      </x:c>
      <x:c r="H68" s="18" t="str">
        <x:v>largest-cell and fatal-keystone destruction with complete teardown</x:v>
      </x:c>
      <x:c r="I68" s="14" t="n">
        <x:v>1</x:v>
      </x:c>
      <x:c r="J68" s="14" t="n">
        <x:v>0</x:v>
      </x:c>
      <x:c r="K68" s="14" t="n">
        <x:v>0</x:v>
      </x:c>
      <x:c r="L68" s="14" t="str">
        <x:v>PLANNED / UNBUILT</x:v>
      </x:c>
    </x:row>
    <x:row r="69">
      <x:c r="A69" s="14" t="str">
        <x:v>HC-A-C-TECH-3-A-RCN</x:v>
      </x:c>
      <x:c r="B69" s="14" t="str">
        <x:v>HC-A-C-TECH-3</x:v>
      </x:c>
      <x:c r="C69" s="14" t="str">
        <x:v>HC-A-C</x:v>
      </x:c>
      <x:c r="D69" s="14" t="str">
        <x:v>Builder A</x:v>
      </x:c>
      <x:c r="E69" s="14" t="str">
        <x:v>RCN</x:v>
      </x:c>
      <x:c r="F69" s="18" t="str">
        <x:v>Virgin reconstruction article</x:v>
      </x:c>
      <x:c r="G69" s="18" t="str">
        <x:v>clean reconstruction cell; origin builder denied after source release</x:v>
      </x:c>
      <x:c r="H69" s="18" t="str">
        <x:v>cold build, black start and account requalification inside 168 h</x:v>
      </x:c>
      <x:c r="I69" s="14" t="n">
        <x:v>1</x:v>
      </x:c>
      <x:c r="J69" s="14" t="n">
        <x:v>0</x:v>
      </x:c>
      <x:c r="K69" s="14" t="n">
        <x:v>0</x:v>
      </x:c>
      <x:c r="L69" s="14" t="str">
        <x:v>PLANNED / UNBUILT</x:v>
      </x:c>
    </x:row>
    <x:row r="70">
      <x:c r="A70" s="14" t="str">
        <x:v>HC-A-C-TECH-3-B-INT</x:v>
      </x:c>
      <x:c r="B70" s="14" t="str">
        <x:v>HC-A-C-TECH-3</x:v>
      </x:c>
      <x:c r="C70" s="14" t="str">
        <x:v>HC-A-C</x:v>
      </x:c>
      <x:c r="D70" s="14" t="str">
        <x:v>Builder B</x:v>
      </x:c>
      <x:c r="E70" s="14" t="str">
        <x:v>INT</x:v>
      </x:c>
      <x:c r="F70" s="18" t="str">
        <x:v>Integration article</x:v>
      </x:c>
      <x:c r="G70" s="18" t="str">
        <x:v>builder line until configuration freeze; public metrology witnesses</x:v>
      </x:c>
      <x:c r="H70" s="18" t="str">
        <x:v>full-range capacity, receiver and thermal sweeps; article may be modified</x:v>
      </x:c>
      <x:c r="I70" s="14" t="n">
        <x:v>0</x:v>
      </x:c>
      <x:c r="J70" s="14" t="n">
        <x:v>0</x:v>
      </x:c>
      <x:c r="K70" s="14" t="n">
        <x:v>0</x:v>
      </x:c>
      <x:c r="L70" s="14" t="str">
        <x:v>PLANNED / UNBUILT</x:v>
      </x:c>
    </x:row>
    <x:row r="71">
      <x:c r="A71" s="14" t="str">
        <x:v>HC-A-C-TECH-3-B-BRK</x:v>
      </x:c>
      <x:c r="B71" s="14" t="str">
        <x:v>HC-A-C-TECH-3</x:v>
      </x:c>
      <x:c r="C71" s="14" t="str">
        <x:v>HC-A-C</x:v>
      </x:c>
      <x:c r="D71" s="14" t="str">
        <x:v>Builder B</x:v>
      </x:c>
      <x:c r="E71" s="14" t="str">
        <x:v>BRK</x:v>
      </x:c>
      <x:c r="F71" s="18" t="str">
        <x:v>Sacrificial fatal-cut article</x:v>
      </x:c>
      <x:c r="G71" s="18" t="str">
        <x:v>public event custodian after immutable configuration seal</x:v>
      </x:c>
      <x:c r="H71" s="18" t="str">
        <x:v>largest-cell and fatal-keystone destruction with complete teardown</x:v>
      </x:c>
      <x:c r="I71" s="14" t="n">
        <x:v>1</x:v>
      </x:c>
      <x:c r="J71" s="14" t="n">
        <x:v>0</x:v>
      </x:c>
      <x:c r="K71" s="14" t="n">
        <x:v>0</x:v>
      </x:c>
      <x:c r="L71" s="14" t="str">
        <x:v>PLANNED / UNBUILT</x:v>
      </x:c>
    </x:row>
    <x:row r="72">
      <x:c r="A72" s="14" t="str">
        <x:v>HC-A-C-TECH-3-B-RCN</x:v>
      </x:c>
      <x:c r="B72" s="14" t="str">
        <x:v>HC-A-C-TECH-3</x:v>
      </x:c>
      <x:c r="C72" s="14" t="str">
        <x:v>HC-A-C</x:v>
      </x:c>
      <x:c r="D72" s="14" t="str">
        <x:v>Builder B</x:v>
      </x:c>
      <x:c r="E72" s="14" t="str">
        <x:v>RCN</x:v>
      </x:c>
      <x:c r="F72" s="18" t="str">
        <x:v>Virgin reconstruction article</x:v>
      </x:c>
      <x:c r="G72" s="18" t="str">
        <x:v>clean reconstruction cell; origin builder denied after source release</x:v>
      </x:c>
      <x:c r="H72" s="18" t="str">
        <x:v>cold build, black start and account requalification inside 168 h</x:v>
      </x:c>
      <x:c r="I72" s="14" t="n">
        <x:v>1</x:v>
      </x:c>
      <x:c r="J72" s="14" t="n">
        <x:v>0</x:v>
      </x:c>
      <x:c r="K72" s="14" t="n">
        <x:v>0</x:v>
      </x:c>
      <x:c r="L72" s="14" t="str">
        <x:v>PLANNED / UNBUILT</x:v>
      </x:c>
    </x:row>
    <x:row r="73">
      <x:c r="A73" s="14" t="str">
        <x:v>HC-A-C-TECH-4-A-INT</x:v>
      </x:c>
      <x:c r="B73" s="14" t="str">
        <x:v>HC-A-C-TECH-4</x:v>
      </x:c>
      <x:c r="C73" s="14" t="str">
        <x:v>HC-A-C</x:v>
      </x:c>
      <x:c r="D73" s="14" t="str">
        <x:v>Builder A</x:v>
      </x:c>
      <x:c r="E73" s="14" t="str">
        <x:v>INT</x:v>
      </x:c>
      <x:c r="F73" s="18" t="str">
        <x:v>Integration article</x:v>
      </x:c>
      <x:c r="G73" s="18" t="str">
        <x:v>builder line until configuration freeze; public metrology witnesses</x:v>
      </x:c>
      <x:c r="H73" s="18" t="str">
        <x:v>full-range capacity, receiver and thermal sweeps; article may be modified</x:v>
      </x:c>
      <x:c r="I73" s="14" t="n">
        <x:v>0</x:v>
      </x:c>
      <x:c r="J73" s="14" t="n">
        <x:v>0</x:v>
      </x:c>
      <x:c r="K73" s="14" t="n">
        <x:v>0</x:v>
      </x:c>
      <x:c r="L73" s="14" t="str">
        <x:v>PLANNED / UNBUILT</x:v>
      </x:c>
    </x:row>
    <x:row r="74">
      <x:c r="A74" s="14" t="str">
        <x:v>HC-A-C-TECH-4-A-BRK</x:v>
      </x:c>
      <x:c r="B74" s="14" t="str">
        <x:v>HC-A-C-TECH-4</x:v>
      </x:c>
      <x:c r="C74" s="14" t="str">
        <x:v>HC-A-C</x:v>
      </x:c>
      <x:c r="D74" s="14" t="str">
        <x:v>Builder A</x:v>
      </x:c>
      <x:c r="E74" s="14" t="str">
        <x:v>BRK</x:v>
      </x:c>
      <x:c r="F74" s="18" t="str">
        <x:v>Sacrificial fatal-cut article</x:v>
      </x:c>
      <x:c r="G74" s="18" t="str">
        <x:v>public event custodian after immutable configuration seal</x:v>
      </x:c>
      <x:c r="H74" s="18" t="str">
        <x:v>largest-cell and fatal-keystone destruction with complete teardown</x:v>
      </x:c>
      <x:c r="I74" s="14" t="n">
        <x:v>1</x:v>
      </x:c>
      <x:c r="J74" s="14" t="n">
        <x:v>0</x:v>
      </x:c>
      <x:c r="K74" s="14" t="n">
        <x:v>0</x:v>
      </x:c>
      <x:c r="L74" s="14" t="str">
        <x:v>PLANNED / UNBUILT</x:v>
      </x:c>
    </x:row>
    <x:row r="75">
      <x:c r="A75" s="14" t="str">
        <x:v>HC-A-C-TECH-4-A-RCN</x:v>
      </x:c>
      <x:c r="B75" s="14" t="str">
        <x:v>HC-A-C-TECH-4</x:v>
      </x:c>
      <x:c r="C75" s="14" t="str">
        <x:v>HC-A-C</x:v>
      </x:c>
      <x:c r="D75" s="14" t="str">
        <x:v>Builder A</x:v>
      </x:c>
      <x:c r="E75" s="14" t="str">
        <x:v>RCN</x:v>
      </x:c>
      <x:c r="F75" s="18" t="str">
        <x:v>Virgin reconstruction article</x:v>
      </x:c>
      <x:c r="G75" s="18" t="str">
        <x:v>clean reconstruction cell; origin builder denied after source release</x:v>
      </x:c>
      <x:c r="H75" s="18" t="str">
        <x:v>cold build, black start and account requalification inside 168 h</x:v>
      </x:c>
      <x:c r="I75" s="14" t="n">
        <x:v>1</x:v>
      </x:c>
      <x:c r="J75" s="14" t="n">
        <x:v>0</x:v>
      </x:c>
      <x:c r="K75" s="14" t="n">
        <x:v>0</x:v>
      </x:c>
      <x:c r="L75" s="14" t="str">
        <x:v>PLANNED / UNBUILT</x:v>
      </x:c>
    </x:row>
    <x:row r="76">
      <x:c r="A76" s="14" t="str">
        <x:v>HC-A-C-TECH-4-B-INT</x:v>
      </x:c>
      <x:c r="B76" s="14" t="str">
        <x:v>HC-A-C-TECH-4</x:v>
      </x:c>
      <x:c r="C76" s="14" t="str">
        <x:v>HC-A-C</x:v>
      </x:c>
      <x:c r="D76" s="14" t="str">
        <x:v>Builder B</x:v>
      </x:c>
      <x:c r="E76" s="14" t="str">
        <x:v>INT</x:v>
      </x:c>
      <x:c r="F76" s="18" t="str">
        <x:v>Integration article</x:v>
      </x:c>
      <x:c r="G76" s="18" t="str">
        <x:v>builder line until configuration freeze; public metrology witnesses</x:v>
      </x:c>
      <x:c r="H76" s="18" t="str">
        <x:v>full-range capacity, receiver and thermal sweeps; article may be modified</x:v>
      </x:c>
      <x:c r="I76" s="14" t="n">
        <x:v>0</x:v>
      </x:c>
      <x:c r="J76" s="14" t="n">
        <x:v>0</x:v>
      </x:c>
      <x:c r="K76" s="14" t="n">
        <x:v>0</x:v>
      </x:c>
      <x:c r="L76" s="14" t="str">
        <x:v>PLANNED / UNBUILT</x:v>
      </x:c>
    </x:row>
    <x:row r="77">
      <x:c r="A77" s="14" t="str">
        <x:v>HC-A-C-TECH-4-B-BRK</x:v>
      </x:c>
      <x:c r="B77" s="14" t="str">
        <x:v>HC-A-C-TECH-4</x:v>
      </x:c>
      <x:c r="C77" s="14" t="str">
        <x:v>HC-A-C</x:v>
      </x:c>
      <x:c r="D77" s="14" t="str">
        <x:v>Builder B</x:v>
      </x:c>
      <x:c r="E77" s="14" t="str">
        <x:v>BRK</x:v>
      </x:c>
      <x:c r="F77" s="18" t="str">
        <x:v>Sacrificial fatal-cut article</x:v>
      </x:c>
      <x:c r="G77" s="18" t="str">
        <x:v>public event custodian after immutable configuration seal</x:v>
      </x:c>
      <x:c r="H77" s="18" t="str">
        <x:v>largest-cell and fatal-keystone destruction with complete teardown</x:v>
      </x:c>
      <x:c r="I77" s="14" t="n">
        <x:v>1</x:v>
      </x:c>
      <x:c r="J77" s="14" t="n">
        <x:v>0</x:v>
      </x:c>
      <x:c r="K77" s="14" t="n">
        <x:v>0</x:v>
      </x:c>
      <x:c r="L77" s="14" t="str">
        <x:v>PLANNED / UNBUILT</x:v>
      </x:c>
    </x:row>
    <x:row r="78">
      <x:c r="A78" s="14" t="str">
        <x:v>HC-A-C-TECH-4-B-RCN</x:v>
      </x:c>
      <x:c r="B78" s="14" t="str">
        <x:v>HC-A-C-TECH-4</x:v>
      </x:c>
      <x:c r="C78" s="14" t="str">
        <x:v>HC-A-C</x:v>
      </x:c>
      <x:c r="D78" s="14" t="str">
        <x:v>Builder B</x:v>
      </x:c>
      <x:c r="E78" s="14" t="str">
        <x:v>RCN</x:v>
      </x:c>
      <x:c r="F78" s="18" t="str">
        <x:v>Virgin reconstruction article</x:v>
      </x:c>
      <x:c r="G78" s="18" t="str">
        <x:v>clean reconstruction cell; origin builder denied after source release</x:v>
      </x:c>
      <x:c r="H78" s="18" t="str">
        <x:v>cold build, black start and account requalification inside 168 h</x:v>
      </x:c>
      <x:c r="I78" s="14" t="n">
        <x:v>1</x:v>
      </x:c>
      <x:c r="J78" s="14" t="n">
        <x:v>0</x:v>
      </x:c>
      <x:c r="K78" s="14" t="n">
        <x:v>0</x:v>
      </x:c>
      <x:c r="L78" s="14" t="str">
        <x:v>PLANNED / UNBUILT</x:v>
      </x:c>
    </x:row>
    <x:row r="79">
      <x:c r="A79" s="14" t="str">
        <x:v>LF-B-A-TECH-1-A-INT</x:v>
      </x:c>
      <x:c r="B79" s="14" t="str">
        <x:v>LF-B-A-TECH-1</x:v>
      </x:c>
      <x:c r="C79" s="14" t="str">
        <x:v>LF-B-A</x:v>
      </x:c>
      <x:c r="D79" s="14" t="str">
        <x:v>Builder A</x:v>
      </x:c>
      <x:c r="E79" s="14" t="str">
        <x:v>INT</x:v>
      </x:c>
      <x:c r="F79" s="18" t="str">
        <x:v>Integration article</x:v>
      </x:c>
      <x:c r="G79" s="18" t="str">
        <x:v>builder line until configuration freeze; public metrology witnesses</x:v>
      </x:c>
      <x:c r="H79" s="18" t="str">
        <x:v>full-range capacity, receiver and thermal sweeps; article may be modified</x:v>
      </x:c>
      <x:c r="I79" s="14" t="n">
        <x:v>0</x:v>
      </x:c>
      <x:c r="J79" s="14" t="n">
        <x:v>0</x:v>
      </x:c>
      <x:c r="K79" s="14" t="n">
        <x:v>0</x:v>
      </x:c>
      <x:c r="L79" s="14" t="str">
        <x:v>PLANNED / UNBUILT</x:v>
      </x:c>
    </x:row>
    <x:row r="80">
      <x:c r="A80" s="14" t="str">
        <x:v>LF-B-A-TECH-1-A-BRK</x:v>
      </x:c>
      <x:c r="B80" s="14" t="str">
        <x:v>LF-B-A-TECH-1</x:v>
      </x:c>
      <x:c r="C80" s="14" t="str">
        <x:v>LF-B-A</x:v>
      </x:c>
      <x:c r="D80" s="14" t="str">
        <x:v>Builder A</x:v>
      </x:c>
      <x:c r="E80" s="14" t="str">
        <x:v>BRK</x:v>
      </x:c>
      <x:c r="F80" s="18" t="str">
        <x:v>Sacrificial fatal-cut article</x:v>
      </x:c>
      <x:c r="G80" s="18" t="str">
        <x:v>public event custodian after immutable configuration seal</x:v>
      </x:c>
      <x:c r="H80" s="18" t="str">
        <x:v>largest-cell and fatal-keystone destruction with complete teardown</x:v>
      </x:c>
      <x:c r="I80" s="14" t="n">
        <x:v>1</x:v>
      </x:c>
      <x:c r="J80" s="14" t="n">
        <x:v>0</x:v>
      </x:c>
      <x:c r="K80" s="14" t="n">
        <x:v>0</x:v>
      </x:c>
      <x:c r="L80" s="14" t="str">
        <x:v>PLANNED / UNBUILT</x:v>
      </x:c>
    </x:row>
    <x:row r="81">
      <x:c r="A81" s="14" t="str">
        <x:v>LF-B-A-TECH-1-A-RCN</x:v>
      </x:c>
      <x:c r="B81" s="14" t="str">
        <x:v>LF-B-A-TECH-1</x:v>
      </x:c>
      <x:c r="C81" s="14" t="str">
        <x:v>LF-B-A</x:v>
      </x:c>
      <x:c r="D81" s="14" t="str">
        <x:v>Builder A</x:v>
      </x:c>
      <x:c r="E81" s="14" t="str">
        <x:v>RCN</x:v>
      </x:c>
      <x:c r="F81" s="18" t="str">
        <x:v>Virgin reconstruction article</x:v>
      </x:c>
      <x:c r="G81" s="18" t="str">
        <x:v>clean reconstruction cell; origin builder denied after source release</x:v>
      </x:c>
      <x:c r="H81" s="18" t="str">
        <x:v>cold build, black start and account requalification inside 168 h</x:v>
      </x:c>
      <x:c r="I81" s="14" t="n">
        <x:v>1</x:v>
      </x:c>
      <x:c r="J81" s="14" t="n">
        <x:v>0</x:v>
      </x:c>
      <x:c r="K81" s="14" t="n">
        <x:v>0</x:v>
      </x:c>
      <x:c r="L81" s="14" t="str">
        <x:v>PLANNED / UNBUILT</x:v>
      </x:c>
    </x:row>
    <x:row r="82">
      <x:c r="A82" s="14" t="str">
        <x:v>LF-B-A-TECH-1-B-INT</x:v>
      </x:c>
      <x:c r="B82" s="14" t="str">
        <x:v>LF-B-A-TECH-1</x:v>
      </x:c>
      <x:c r="C82" s="14" t="str">
        <x:v>LF-B-A</x:v>
      </x:c>
      <x:c r="D82" s="14" t="str">
        <x:v>Builder B</x:v>
      </x:c>
      <x:c r="E82" s="14" t="str">
        <x:v>INT</x:v>
      </x:c>
      <x:c r="F82" s="18" t="str">
        <x:v>Integration article</x:v>
      </x:c>
      <x:c r="G82" s="18" t="str">
        <x:v>builder line until configuration freeze; public metrology witnesses</x:v>
      </x:c>
      <x:c r="H82" s="18" t="str">
        <x:v>full-range capacity, receiver and thermal sweeps; article may be modified</x:v>
      </x:c>
      <x:c r="I82" s="14" t="n">
        <x:v>0</x:v>
      </x:c>
      <x:c r="J82" s="14" t="n">
        <x:v>0</x:v>
      </x:c>
      <x:c r="K82" s="14" t="n">
        <x:v>0</x:v>
      </x:c>
      <x:c r="L82" s="14" t="str">
        <x:v>PLANNED / UNBUILT</x:v>
      </x:c>
    </x:row>
    <x:row r="83">
      <x:c r="A83" s="14" t="str">
        <x:v>LF-B-A-TECH-1-B-BRK</x:v>
      </x:c>
      <x:c r="B83" s="14" t="str">
        <x:v>LF-B-A-TECH-1</x:v>
      </x:c>
      <x:c r="C83" s="14" t="str">
        <x:v>LF-B-A</x:v>
      </x:c>
      <x:c r="D83" s="14" t="str">
        <x:v>Builder B</x:v>
      </x:c>
      <x:c r="E83" s="14" t="str">
        <x:v>BRK</x:v>
      </x:c>
      <x:c r="F83" s="18" t="str">
        <x:v>Sacrificial fatal-cut article</x:v>
      </x:c>
      <x:c r="G83" s="18" t="str">
        <x:v>public event custodian after immutable configuration seal</x:v>
      </x:c>
      <x:c r="H83" s="18" t="str">
        <x:v>largest-cell and fatal-keystone destruction with complete teardown</x:v>
      </x:c>
      <x:c r="I83" s="14" t="n">
        <x:v>1</x:v>
      </x:c>
      <x:c r="J83" s="14" t="n">
        <x:v>0</x:v>
      </x:c>
      <x:c r="K83" s="14" t="n">
        <x:v>0</x:v>
      </x:c>
      <x:c r="L83" s="14" t="str">
        <x:v>PLANNED / UNBUILT</x:v>
      </x:c>
    </x:row>
    <x:row r="84">
      <x:c r="A84" s="14" t="str">
        <x:v>LF-B-A-TECH-1-B-RCN</x:v>
      </x:c>
      <x:c r="B84" s="14" t="str">
        <x:v>LF-B-A-TECH-1</x:v>
      </x:c>
      <x:c r="C84" s="14" t="str">
        <x:v>LF-B-A</x:v>
      </x:c>
      <x:c r="D84" s="14" t="str">
        <x:v>Builder B</x:v>
      </x:c>
      <x:c r="E84" s="14" t="str">
        <x:v>RCN</x:v>
      </x:c>
      <x:c r="F84" s="18" t="str">
        <x:v>Virgin reconstruction article</x:v>
      </x:c>
      <x:c r="G84" s="18" t="str">
        <x:v>clean reconstruction cell; origin builder denied after source release</x:v>
      </x:c>
      <x:c r="H84" s="18" t="str">
        <x:v>cold build, black start and account requalification inside 168 h</x:v>
      </x:c>
      <x:c r="I84" s="14" t="n">
        <x:v>1</x:v>
      </x:c>
      <x:c r="J84" s="14" t="n">
        <x:v>0</x:v>
      </x:c>
      <x:c r="K84" s="14" t="n">
        <x:v>0</x:v>
      </x:c>
      <x:c r="L84" s="14" t="str">
        <x:v>PLANNED / UNBUILT</x:v>
      </x:c>
    </x:row>
    <x:row r="85">
      <x:c r="A85" s="14" t="str">
        <x:v>LF-B-A-TECH-2-A-INT</x:v>
      </x:c>
      <x:c r="B85" s="14" t="str">
        <x:v>LF-B-A-TECH-2</x:v>
      </x:c>
      <x:c r="C85" s="14" t="str">
        <x:v>LF-B-A</x:v>
      </x:c>
      <x:c r="D85" s="14" t="str">
        <x:v>Builder A</x:v>
      </x:c>
      <x:c r="E85" s="14" t="str">
        <x:v>INT</x:v>
      </x:c>
      <x:c r="F85" s="18" t="str">
        <x:v>Integration article</x:v>
      </x:c>
      <x:c r="G85" s="18" t="str">
        <x:v>builder line until configuration freeze; public metrology witnesses</x:v>
      </x:c>
      <x:c r="H85" s="18" t="str">
        <x:v>full-range capacity, receiver and thermal sweeps; article may be modified</x:v>
      </x:c>
      <x:c r="I85" s="14" t="n">
        <x:v>0</x:v>
      </x:c>
      <x:c r="J85" s="14" t="n">
        <x:v>0</x:v>
      </x:c>
      <x:c r="K85" s="14" t="n">
        <x:v>0</x:v>
      </x:c>
      <x:c r="L85" s="14" t="str">
        <x:v>PLANNED / UNBUILT</x:v>
      </x:c>
    </x:row>
    <x:row r="86">
      <x:c r="A86" s="14" t="str">
        <x:v>LF-B-A-TECH-2-A-BRK</x:v>
      </x:c>
      <x:c r="B86" s="14" t="str">
        <x:v>LF-B-A-TECH-2</x:v>
      </x:c>
      <x:c r="C86" s="14" t="str">
        <x:v>LF-B-A</x:v>
      </x:c>
      <x:c r="D86" s="14" t="str">
        <x:v>Builder A</x:v>
      </x:c>
      <x:c r="E86" s="14" t="str">
        <x:v>BRK</x:v>
      </x:c>
      <x:c r="F86" s="18" t="str">
        <x:v>Sacrificial fatal-cut article</x:v>
      </x:c>
      <x:c r="G86" s="18" t="str">
        <x:v>public event custodian after immutable configuration seal</x:v>
      </x:c>
      <x:c r="H86" s="18" t="str">
        <x:v>largest-cell and fatal-keystone destruction with complete teardown</x:v>
      </x:c>
      <x:c r="I86" s="14" t="n">
        <x:v>1</x:v>
      </x:c>
      <x:c r="J86" s="14" t="n">
        <x:v>0</x:v>
      </x:c>
      <x:c r="K86" s="14" t="n">
        <x:v>0</x:v>
      </x:c>
      <x:c r="L86" s="14" t="str">
        <x:v>PLANNED / UNBUILT</x:v>
      </x:c>
    </x:row>
    <x:row r="87">
      <x:c r="A87" s="14" t="str">
        <x:v>LF-B-A-TECH-2-A-RCN</x:v>
      </x:c>
      <x:c r="B87" s="14" t="str">
        <x:v>LF-B-A-TECH-2</x:v>
      </x:c>
      <x:c r="C87" s="14" t="str">
        <x:v>LF-B-A</x:v>
      </x:c>
      <x:c r="D87" s="14" t="str">
        <x:v>Builder A</x:v>
      </x:c>
      <x:c r="E87" s="14" t="str">
        <x:v>RCN</x:v>
      </x:c>
      <x:c r="F87" s="18" t="str">
        <x:v>Virgin reconstruction article</x:v>
      </x:c>
      <x:c r="G87" s="18" t="str">
        <x:v>clean reconstruction cell; origin builder denied after source release</x:v>
      </x:c>
      <x:c r="H87" s="18" t="str">
        <x:v>cold build, black start and account requalification inside 168 h</x:v>
      </x:c>
      <x:c r="I87" s="14" t="n">
        <x:v>1</x:v>
      </x:c>
      <x:c r="J87" s="14" t="n">
        <x:v>0</x:v>
      </x:c>
      <x:c r="K87" s="14" t="n">
        <x:v>0</x:v>
      </x:c>
      <x:c r="L87" s="14" t="str">
        <x:v>PLANNED / UNBUILT</x:v>
      </x:c>
    </x:row>
    <x:row r="88">
      <x:c r="A88" s="14" t="str">
        <x:v>LF-B-A-TECH-2-B-INT</x:v>
      </x:c>
      <x:c r="B88" s="14" t="str">
        <x:v>LF-B-A-TECH-2</x:v>
      </x:c>
      <x:c r="C88" s="14" t="str">
        <x:v>LF-B-A</x:v>
      </x:c>
      <x:c r="D88" s="14" t="str">
        <x:v>Builder B</x:v>
      </x:c>
      <x:c r="E88" s="14" t="str">
        <x:v>INT</x:v>
      </x:c>
      <x:c r="F88" s="18" t="str">
        <x:v>Integration article</x:v>
      </x:c>
      <x:c r="G88" s="18" t="str">
        <x:v>builder line until configuration freeze; public metrology witnesses</x:v>
      </x:c>
      <x:c r="H88" s="18" t="str">
        <x:v>full-range capacity, receiver and thermal sweeps; article may be modified</x:v>
      </x:c>
      <x:c r="I88" s="14" t="n">
        <x:v>0</x:v>
      </x:c>
      <x:c r="J88" s="14" t="n">
        <x:v>0</x:v>
      </x:c>
      <x:c r="K88" s="14" t="n">
        <x:v>0</x:v>
      </x:c>
      <x:c r="L88" s="14" t="str">
        <x:v>PLANNED / UNBUILT</x:v>
      </x:c>
    </x:row>
    <x:row r="89">
      <x:c r="A89" s="14" t="str">
        <x:v>LF-B-A-TECH-2-B-BRK</x:v>
      </x:c>
      <x:c r="B89" s="14" t="str">
        <x:v>LF-B-A-TECH-2</x:v>
      </x:c>
      <x:c r="C89" s="14" t="str">
        <x:v>LF-B-A</x:v>
      </x:c>
      <x:c r="D89" s="14" t="str">
        <x:v>Builder B</x:v>
      </x:c>
      <x:c r="E89" s="14" t="str">
        <x:v>BRK</x:v>
      </x:c>
      <x:c r="F89" s="18" t="str">
        <x:v>Sacrificial fatal-cut article</x:v>
      </x:c>
      <x:c r="G89" s="18" t="str">
        <x:v>public event custodian after immutable configuration seal</x:v>
      </x:c>
      <x:c r="H89" s="18" t="str">
        <x:v>largest-cell and fatal-keystone destruction with complete teardown</x:v>
      </x:c>
      <x:c r="I89" s="14" t="n">
        <x:v>1</x:v>
      </x:c>
      <x:c r="J89" s="14" t="n">
        <x:v>0</x:v>
      </x:c>
      <x:c r="K89" s="14" t="n">
        <x:v>0</x:v>
      </x:c>
      <x:c r="L89" s="14" t="str">
        <x:v>PLANNED / UNBUILT</x:v>
      </x:c>
    </x:row>
    <x:row r="90">
      <x:c r="A90" s="14" t="str">
        <x:v>LF-B-A-TECH-2-B-RCN</x:v>
      </x:c>
      <x:c r="B90" s="14" t="str">
        <x:v>LF-B-A-TECH-2</x:v>
      </x:c>
      <x:c r="C90" s="14" t="str">
        <x:v>LF-B-A</x:v>
      </x:c>
      <x:c r="D90" s="14" t="str">
        <x:v>Builder B</x:v>
      </x:c>
      <x:c r="E90" s="14" t="str">
        <x:v>RCN</x:v>
      </x:c>
      <x:c r="F90" s="18" t="str">
        <x:v>Virgin reconstruction article</x:v>
      </x:c>
      <x:c r="G90" s="18" t="str">
        <x:v>clean reconstruction cell; origin builder denied after source release</x:v>
      </x:c>
      <x:c r="H90" s="18" t="str">
        <x:v>cold build, black start and account requalification inside 168 h</x:v>
      </x:c>
      <x:c r="I90" s="14" t="n">
        <x:v>1</x:v>
      </x:c>
      <x:c r="J90" s="14" t="n">
        <x:v>0</x:v>
      </x:c>
      <x:c r="K90" s="14" t="n">
        <x:v>0</x:v>
      </x:c>
      <x:c r="L90" s="14" t="str">
        <x:v>PLANNED / UNBUILT</x:v>
      </x:c>
    </x:row>
    <x:row r="91">
      <x:c r="A91" s="14" t="str">
        <x:v>LF-B-A-TECH-3-A-INT</x:v>
      </x:c>
      <x:c r="B91" s="14" t="str">
        <x:v>LF-B-A-TECH-3</x:v>
      </x:c>
      <x:c r="C91" s="14" t="str">
        <x:v>LF-B-A</x:v>
      </x:c>
      <x:c r="D91" s="14" t="str">
        <x:v>Builder A</x:v>
      </x:c>
      <x:c r="E91" s="14" t="str">
        <x:v>INT</x:v>
      </x:c>
      <x:c r="F91" s="18" t="str">
        <x:v>Integration article</x:v>
      </x:c>
      <x:c r="G91" s="18" t="str">
        <x:v>builder line until configuration freeze; public metrology witnesses</x:v>
      </x:c>
      <x:c r="H91" s="18" t="str">
        <x:v>full-range capacity, receiver and thermal sweeps; article may be modified</x:v>
      </x:c>
      <x:c r="I91" s="14" t="n">
        <x:v>0</x:v>
      </x:c>
      <x:c r="J91" s="14" t="n">
        <x:v>0</x:v>
      </x:c>
      <x:c r="K91" s="14" t="n">
        <x:v>0</x:v>
      </x:c>
      <x:c r="L91" s="14" t="str">
        <x:v>PLANNED / UNBUILT</x:v>
      </x:c>
    </x:row>
    <x:row r="92">
      <x:c r="A92" s="14" t="str">
        <x:v>LF-B-A-TECH-3-A-BRK</x:v>
      </x:c>
      <x:c r="B92" s="14" t="str">
        <x:v>LF-B-A-TECH-3</x:v>
      </x:c>
      <x:c r="C92" s="14" t="str">
        <x:v>LF-B-A</x:v>
      </x:c>
      <x:c r="D92" s="14" t="str">
        <x:v>Builder A</x:v>
      </x:c>
      <x:c r="E92" s="14" t="str">
        <x:v>BRK</x:v>
      </x:c>
      <x:c r="F92" s="18" t="str">
        <x:v>Sacrificial fatal-cut article</x:v>
      </x:c>
      <x:c r="G92" s="18" t="str">
        <x:v>public event custodian after immutable configuration seal</x:v>
      </x:c>
      <x:c r="H92" s="18" t="str">
        <x:v>largest-cell and fatal-keystone destruction with complete teardown</x:v>
      </x:c>
      <x:c r="I92" s="14" t="n">
        <x:v>1</x:v>
      </x:c>
      <x:c r="J92" s="14" t="n">
        <x:v>0</x:v>
      </x:c>
      <x:c r="K92" s="14" t="n">
        <x:v>0</x:v>
      </x:c>
      <x:c r="L92" s="14" t="str">
        <x:v>PLANNED / UNBUILT</x:v>
      </x:c>
    </x:row>
    <x:row r="93">
      <x:c r="A93" s="14" t="str">
        <x:v>LF-B-A-TECH-3-A-RCN</x:v>
      </x:c>
      <x:c r="B93" s="14" t="str">
        <x:v>LF-B-A-TECH-3</x:v>
      </x:c>
      <x:c r="C93" s="14" t="str">
        <x:v>LF-B-A</x:v>
      </x:c>
      <x:c r="D93" s="14" t="str">
        <x:v>Builder A</x:v>
      </x:c>
      <x:c r="E93" s="14" t="str">
        <x:v>RCN</x:v>
      </x:c>
      <x:c r="F93" s="18" t="str">
        <x:v>Virgin reconstruction article</x:v>
      </x:c>
      <x:c r="G93" s="18" t="str">
        <x:v>clean reconstruction cell; origin builder denied after source release</x:v>
      </x:c>
      <x:c r="H93" s="18" t="str">
        <x:v>cold build, black start and account requalification inside 168 h</x:v>
      </x:c>
      <x:c r="I93" s="14" t="n">
        <x:v>1</x:v>
      </x:c>
      <x:c r="J93" s="14" t="n">
        <x:v>0</x:v>
      </x:c>
      <x:c r="K93" s="14" t="n">
        <x:v>0</x:v>
      </x:c>
      <x:c r="L93" s="14" t="str">
        <x:v>PLANNED / UNBUILT</x:v>
      </x:c>
    </x:row>
    <x:row r="94">
      <x:c r="A94" s="14" t="str">
        <x:v>LF-B-A-TECH-3-B-INT</x:v>
      </x:c>
      <x:c r="B94" s="14" t="str">
        <x:v>LF-B-A-TECH-3</x:v>
      </x:c>
      <x:c r="C94" s="14" t="str">
        <x:v>LF-B-A</x:v>
      </x:c>
      <x:c r="D94" s="14" t="str">
        <x:v>Builder B</x:v>
      </x:c>
      <x:c r="E94" s="14" t="str">
        <x:v>INT</x:v>
      </x:c>
      <x:c r="F94" s="18" t="str">
        <x:v>Integration article</x:v>
      </x:c>
      <x:c r="G94" s="18" t="str">
        <x:v>builder line until configuration freeze; public metrology witnesses</x:v>
      </x:c>
      <x:c r="H94" s="18" t="str">
        <x:v>full-range capacity, receiver and thermal sweeps; article may be modified</x:v>
      </x:c>
      <x:c r="I94" s="14" t="n">
        <x:v>0</x:v>
      </x:c>
      <x:c r="J94" s="14" t="n">
        <x:v>0</x:v>
      </x:c>
      <x:c r="K94" s="14" t="n">
        <x:v>0</x:v>
      </x:c>
      <x:c r="L94" s="14" t="str">
        <x:v>PLANNED / UNBUILT</x:v>
      </x:c>
    </x:row>
    <x:row r="95">
      <x:c r="A95" s="14" t="str">
        <x:v>LF-B-A-TECH-3-B-BRK</x:v>
      </x:c>
      <x:c r="B95" s="14" t="str">
        <x:v>LF-B-A-TECH-3</x:v>
      </x:c>
      <x:c r="C95" s="14" t="str">
        <x:v>LF-B-A</x:v>
      </x:c>
      <x:c r="D95" s="14" t="str">
        <x:v>Builder B</x:v>
      </x:c>
      <x:c r="E95" s="14" t="str">
        <x:v>BRK</x:v>
      </x:c>
      <x:c r="F95" s="18" t="str">
        <x:v>Sacrificial fatal-cut article</x:v>
      </x:c>
      <x:c r="G95" s="18" t="str">
        <x:v>public event custodian after immutable configuration seal</x:v>
      </x:c>
      <x:c r="H95" s="18" t="str">
        <x:v>largest-cell and fatal-keystone destruction with complete teardown</x:v>
      </x:c>
      <x:c r="I95" s="14" t="n">
        <x:v>1</x:v>
      </x:c>
      <x:c r="J95" s="14" t="n">
        <x:v>0</x:v>
      </x:c>
      <x:c r="K95" s="14" t="n">
        <x:v>0</x:v>
      </x:c>
      <x:c r="L95" s="14" t="str">
        <x:v>PLANNED / UNBUILT</x:v>
      </x:c>
    </x:row>
    <x:row r="96">
      <x:c r="A96" s="14" t="str">
        <x:v>LF-B-A-TECH-3-B-RCN</x:v>
      </x:c>
      <x:c r="B96" s="14" t="str">
        <x:v>LF-B-A-TECH-3</x:v>
      </x:c>
      <x:c r="C96" s="14" t="str">
        <x:v>LF-B-A</x:v>
      </x:c>
      <x:c r="D96" s="14" t="str">
        <x:v>Builder B</x:v>
      </x:c>
      <x:c r="E96" s="14" t="str">
        <x:v>RCN</x:v>
      </x:c>
      <x:c r="F96" s="18" t="str">
        <x:v>Virgin reconstruction article</x:v>
      </x:c>
      <x:c r="G96" s="18" t="str">
        <x:v>clean reconstruction cell; origin builder denied after source release</x:v>
      </x:c>
      <x:c r="H96" s="18" t="str">
        <x:v>cold build, black start and account requalification inside 168 h</x:v>
      </x:c>
      <x:c r="I96" s="14" t="n">
        <x:v>1</x:v>
      </x:c>
      <x:c r="J96" s="14" t="n">
        <x:v>0</x:v>
      </x:c>
      <x:c r="K96" s="14" t="n">
        <x:v>0</x:v>
      </x:c>
      <x:c r="L96" s="14" t="str">
        <x:v>PLANNED / UNBUILT</x:v>
      </x:c>
    </x:row>
    <x:row r="97">
      <x:c r="A97" s="14" t="str">
        <x:v>LF-B-A-TECH-4-A-INT</x:v>
      </x:c>
      <x:c r="B97" s="14" t="str">
        <x:v>LF-B-A-TECH-4</x:v>
      </x:c>
      <x:c r="C97" s="14" t="str">
        <x:v>LF-B-A</x:v>
      </x:c>
      <x:c r="D97" s="14" t="str">
        <x:v>Builder A</x:v>
      </x:c>
      <x:c r="E97" s="14" t="str">
        <x:v>INT</x:v>
      </x:c>
      <x:c r="F97" s="18" t="str">
        <x:v>Integration article</x:v>
      </x:c>
      <x:c r="G97" s="18" t="str">
        <x:v>builder line until configuration freeze; public metrology witnesses</x:v>
      </x:c>
      <x:c r="H97" s="18" t="str">
        <x:v>full-range capacity, receiver and thermal sweeps; article may be modified</x:v>
      </x:c>
      <x:c r="I97" s="14" t="n">
        <x:v>0</x:v>
      </x:c>
      <x:c r="J97" s="14" t="n">
        <x:v>0</x:v>
      </x:c>
      <x:c r="K97" s="14" t="n">
        <x:v>0</x:v>
      </x:c>
      <x:c r="L97" s="14" t="str">
        <x:v>PLANNED / UNBUILT</x:v>
      </x:c>
    </x:row>
    <x:row r="98">
      <x:c r="A98" s="14" t="str">
        <x:v>LF-B-A-TECH-4-A-BRK</x:v>
      </x:c>
      <x:c r="B98" s="14" t="str">
        <x:v>LF-B-A-TECH-4</x:v>
      </x:c>
      <x:c r="C98" s="14" t="str">
        <x:v>LF-B-A</x:v>
      </x:c>
      <x:c r="D98" s="14" t="str">
        <x:v>Builder A</x:v>
      </x:c>
      <x:c r="E98" s="14" t="str">
        <x:v>BRK</x:v>
      </x:c>
      <x:c r="F98" s="18" t="str">
        <x:v>Sacrificial fatal-cut article</x:v>
      </x:c>
      <x:c r="G98" s="18" t="str">
        <x:v>public event custodian after immutable configuration seal</x:v>
      </x:c>
      <x:c r="H98" s="18" t="str">
        <x:v>largest-cell and fatal-keystone destruction with complete teardown</x:v>
      </x:c>
      <x:c r="I98" s="14" t="n">
        <x:v>1</x:v>
      </x:c>
      <x:c r="J98" s="14" t="n">
        <x:v>0</x:v>
      </x:c>
      <x:c r="K98" s="14" t="n">
        <x:v>0</x:v>
      </x:c>
      <x:c r="L98" s="14" t="str">
        <x:v>PLANNED / UNBUILT</x:v>
      </x:c>
    </x:row>
    <x:row r="99">
      <x:c r="A99" s="14" t="str">
        <x:v>LF-B-A-TECH-4-A-RCN</x:v>
      </x:c>
      <x:c r="B99" s="14" t="str">
        <x:v>LF-B-A-TECH-4</x:v>
      </x:c>
      <x:c r="C99" s="14" t="str">
        <x:v>LF-B-A</x:v>
      </x:c>
      <x:c r="D99" s="14" t="str">
        <x:v>Builder A</x:v>
      </x:c>
      <x:c r="E99" s="14" t="str">
        <x:v>RCN</x:v>
      </x:c>
      <x:c r="F99" s="18" t="str">
        <x:v>Virgin reconstruction article</x:v>
      </x:c>
      <x:c r="G99" s="18" t="str">
        <x:v>clean reconstruction cell; origin builder denied after source release</x:v>
      </x:c>
      <x:c r="H99" s="18" t="str">
        <x:v>cold build, black start and account requalification inside 168 h</x:v>
      </x:c>
      <x:c r="I99" s="14" t="n">
        <x:v>1</x:v>
      </x:c>
      <x:c r="J99" s="14" t="n">
        <x:v>0</x:v>
      </x:c>
      <x:c r="K99" s="14" t="n">
        <x:v>0</x:v>
      </x:c>
      <x:c r="L99" s="14" t="str">
        <x:v>PLANNED / UNBUILT</x:v>
      </x:c>
    </x:row>
    <x:row r="100">
      <x:c r="A100" s="14" t="str">
        <x:v>LF-B-A-TECH-4-B-INT</x:v>
      </x:c>
      <x:c r="B100" s="14" t="str">
        <x:v>LF-B-A-TECH-4</x:v>
      </x:c>
      <x:c r="C100" s="14" t="str">
        <x:v>LF-B-A</x:v>
      </x:c>
      <x:c r="D100" s="14" t="str">
        <x:v>Builder B</x:v>
      </x:c>
      <x:c r="E100" s="14" t="str">
        <x:v>INT</x:v>
      </x:c>
      <x:c r="F100" s="18" t="str">
        <x:v>Integration article</x:v>
      </x:c>
      <x:c r="G100" s="18" t="str">
        <x:v>builder line until configuration freeze; public metrology witnesses</x:v>
      </x:c>
      <x:c r="H100" s="18" t="str">
        <x:v>full-range capacity, receiver and thermal sweeps; article may be modified</x:v>
      </x:c>
      <x:c r="I100" s="14" t="n">
        <x:v>0</x:v>
      </x:c>
      <x:c r="J100" s="14" t="n">
        <x:v>0</x:v>
      </x:c>
      <x:c r="K100" s="14" t="n">
        <x:v>0</x:v>
      </x:c>
      <x:c r="L100" s="14" t="str">
        <x:v>PLANNED / UNBUILT</x:v>
      </x:c>
    </x:row>
    <x:row r="101">
      <x:c r="A101" s="14" t="str">
        <x:v>LF-B-A-TECH-4-B-BRK</x:v>
      </x:c>
      <x:c r="B101" s="14" t="str">
        <x:v>LF-B-A-TECH-4</x:v>
      </x:c>
      <x:c r="C101" s="14" t="str">
        <x:v>LF-B-A</x:v>
      </x:c>
      <x:c r="D101" s="14" t="str">
        <x:v>Builder B</x:v>
      </x:c>
      <x:c r="E101" s="14" t="str">
        <x:v>BRK</x:v>
      </x:c>
      <x:c r="F101" s="18" t="str">
        <x:v>Sacrificial fatal-cut article</x:v>
      </x:c>
      <x:c r="G101" s="18" t="str">
        <x:v>public event custodian after immutable configuration seal</x:v>
      </x:c>
      <x:c r="H101" s="18" t="str">
        <x:v>largest-cell and fatal-keystone destruction with complete teardown</x:v>
      </x:c>
      <x:c r="I101" s="14" t="n">
        <x:v>1</x:v>
      </x:c>
      <x:c r="J101" s="14" t="n">
        <x:v>0</x:v>
      </x:c>
      <x:c r="K101" s="14" t="n">
        <x:v>0</x:v>
      </x:c>
      <x:c r="L101" s="14" t="str">
        <x:v>PLANNED / UNBUILT</x:v>
      </x:c>
    </x:row>
    <x:row r="102">
      <x:c r="A102" s="14" t="str">
        <x:v>LF-B-A-TECH-4-B-RCN</x:v>
      </x:c>
      <x:c r="B102" s="14" t="str">
        <x:v>LF-B-A-TECH-4</x:v>
      </x:c>
      <x:c r="C102" s="14" t="str">
        <x:v>LF-B-A</x:v>
      </x:c>
      <x:c r="D102" s="14" t="str">
        <x:v>Builder B</x:v>
      </x:c>
      <x:c r="E102" s="14" t="str">
        <x:v>RCN</x:v>
      </x:c>
      <x:c r="F102" s="18" t="str">
        <x:v>Virgin reconstruction article</x:v>
      </x:c>
      <x:c r="G102" s="18" t="str">
        <x:v>clean reconstruction cell; origin builder denied after source release</x:v>
      </x:c>
      <x:c r="H102" s="18" t="str">
        <x:v>cold build, black start and account requalification inside 168 h</x:v>
      </x:c>
      <x:c r="I102" s="14" t="n">
        <x:v>1</x:v>
      </x:c>
      <x:c r="J102" s="14" t="n">
        <x:v>0</x:v>
      </x:c>
      <x:c r="K102" s="14" t="n">
        <x:v>0</x:v>
      </x:c>
      <x:c r="L102" s="14" t="str">
        <x:v>PLANNED / UNBUILT</x:v>
      </x:c>
    </x:row>
    <x:row r="103">
      <x:c r="A103" s="14" t="str">
        <x:v>HU-A-B-TECH-1-A-INT</x:v>
      </x:c>
      <x:c r="B103" s="14" t="str">
        <x:v>HU-A-B-TECH-1</x:v>
      </x:c>
      <x:c r="C103" s="14" t="str">
        <x:v>HU-A-B</x:v>
      </x:c>
      <x:c r="D103" s="14" t="str">
        <x:v>Builder A</x:v>
      </x:c>
      <x:c r="E103" s="14" t="str">
        <x:v>INT</x:v>
      </x:c>
      <x:c r="F103" s="18" t="str">
        <x:v>Integration article</x:v>
      </x:c>
      <x:c r="G103" s="18" t="str">
        <x:v>builder line until configuration freeze; public metrology witnesses</x:v>
      </x:c>
      <x:c r="H103" s="18" t="str">
        <x:v>full-range capacity, receiver and thermal sweeps; article may be modified</x:v>
      </x:c>
      <x:c r="I103" s="14" t="n">
        <x:v>0</x:v>
      </x:c>
      <x:c r="J103" s="14" t="n">
        <x:v>0</x:v>
      </x:c>
      <x:c r="K103" s="14" t="n">
        <x:v>0</x:v>
      </x:c>
      <x:c r="L103" s="14" t="str">
        <x:v>PLANNED / UNBUILT</x:v>
      </x:c>
    </x:row>
    <x:row r="104">
      <x:c r="A104" s="14" t="str">
        <x:v>HU-A-B-TECH-1-A-BRK</x:v>
      </x:c>
      <x:c r="B104" s="14" t="str">
        <x:v>HU-A-B-TECH-1</x:v>
      </x:c>
      <x:c r="C104" s="14" t="str">
        <x:v>HU-A-B</x:v>
      </x:c>
      <x:c r="D104" s="14" t="str">
        <x:v>Builder A</x:v>
      </x:c>
      <x:c r="E104" s="14" t="str">
        <x:v>BRK</x:v>
      </x:c>
      <x:c r="F104" s="18" t="str">
        <x:v>Sacrificial fatal-cut article</x:v>
      </x:c>
      <x:c r="G104" s="18" t="str">
        <x:v>public event custodian after immutable configuration seal</x:v>
      </x:c>
      <x:c r="H104" s="18" t="str">
        <x:v>largest-cell and fatal-keystone destruction with complete teardown</x:v>
      </x:c>
      <x:c r="I104" s="14" t="n">
        <x:v>1</x:v>
      </x:c>
      <x:c r="J104" s="14" t="n">
        <x:v>0</x:v>
      </x:c>
      <x:c r="K104" s="14" t="n">
        <x:v>0</x:v>
      </x:c>
      <x:c r="L104" s="14" t="str">
        <x:v>PLANNED / UNBUILT</x:v>
      </x:c>
    </x:row>
    <x:row r="105">
      <x:c r="A105" s="14" t="str">
        <x:v>HU-A-B-TECH-1-A-RCN</x:v>
      </x:c>
      <x:c r="B105" s="14" t="str">
        <x:v>HU-A-B-TECH-1</x:v>
      </x:c>
      <x:c r="C105" s="14" t="str">
        <x:v>HU-A-B</x:v>
      </x:c>
      <x:c r="D105" s="14" t="str">
        <x:v>Builder A</x:v>
      </x:c>
      <x:c r="E105" s="14" t="str">
        <x:v>RCN</x:v>
      </x:c>
      <x:c r="F105" s="18" t="str">
        <x:v>Virgin reconstruction article</x:v>
      </x:c>
      <x:c r="G105" s="18" t="str">
        <x:v>clean reconstruction cell; origin builder denied after source release</x:v>
      </x:c>
      <x:c r="H105" s="18" t="str">
        <x:v>cold build, black start and account requalification inside 168 h</x:v>
      </x:c>
      <x:c r="I105" s="14" t="n">
        <x:v>1</x:v>
      </x:c>
      <x:c r="J105" s="14" t="n">
        <x:v>0</x:v>
      </x:c>
      <x:c r="K105" s="14" t="n">
        <x:v>0</x:v>
      </x:c>
      <x:c r="L105" s="14" t="str">
        <x:v>PLANNED / UNBUILT</x:v>
      </x:c>
    </x:row>
    <x:row r="106">
      <x:c r="A106" s="14" t="str">
        <x:v>HU-A-B-TECH-1-B-INT</x:v>
      </x:c>
      <x:c r="B106" s="14" t="str">
        <x:v>HU-A-B-TECH-1</x:v>
      </x:c>
      <x:c r="C106" s="14" t="str">
        <x:v>HU-A-B</x:v>
      </x:c>
      <x:c r="D106" s="14" t="str">
        <x:v>Builder B</x:v>
      </x:c>
      <x:c r="E106" s="14" t="str">
        <x:v>INT</x:v>
      </x:c>
      <x:c r="F106" s="18" t="str">
        <x:v>Integration article</x:v>
      </x:c>
      <x:c r="G106" s="18" t="str">
        <x:v>builder line until configuration freeze; public metrology witnesses</x:v>
      </x:c>
      <x:c r="H106" s="18" t="str">
        <x:v>full-range capacity, receiver and thermal sweeps; article may be modified</x:v>
      </x:c>
      <x:c r="I106" s="14" t="n">
        <x:v>0</x:v>
      </x:c>
      <x:c r="J106" s="14" t="n">
        <x:v>0</x:v>
      </x:c>
      <x:c r="K106" s="14" t="n">
        <x:v>0</x:v>
      </x:c>
      <x:c r="L106" s="14" t="str">
        <x:v>PLANNED / UNBUILT</x:v>
      </x:c>
    </x:row>
    <x:row r="107">
      <x:c r="A107" s="14" t="str">
        <x:v>HU-A-B-TECH-1-B-BRK</x:v>
      </x:c>
      <x:c r="B107" s="14" t="str">
        <x:v>HU-A-B-TECH-1</x:v>
      </x:c>
      <x:c r="C107" s="14" t="str">
        <x:v>HU-A-B</x:v>
      </x:c>
      <x:c r="D107" s="14" t="str">
        <x:v>Builder B</x:v>
      </x:c>
      <x:c r="E107" s="14" t="str">
        <x:v>BRK</x:v>
      </x:c>
      <x:c r="F107" s="18" t="str">
        <x:v>Sacrificial fatal-cut article</x:v>
      </x:c>
      <x:c r="G107" s="18" t="str">
        <x:v>public event custodian after immutable configuration seal</x:v>
      </x:c>
      <x:c r="H107" s="18" t="str">
        <x:v>largest-cell and fatal-keystone destruction with complete teardown</x:v>
      </x:c>
      <x:c r="I107" s="14" t="n">
        <x:v>1</x:v>
      </x:c>
      <x:c r="J107" s="14" t="n">
        <x:v>0</x:v>
      </x:c>
      <x:c r="K107" s="14" t="n">
        <x:v>0</x:v>
      </x:c>
      <x:c r="L107" s="14" t="str">
        <x:v>PLANNED / UNBUILT</x:v>
      </x:c>
    </x:row>
    <x:row r="108">
      <x:c r="A108" s="14" t="str">
        <x:v>HU-A-B-TECH-1-B-RCN</x:v>
      </x:c>
      <x:c r="B108" s="14" t="str">
        <x:v>HU-A-B-TECH-1</x:v>
      </x:c>
      <x:c r="C108" s="14" t="str">
        <x:v>HU-A-B</x:v>
      </x:c>
      <x:c r="D108" s="14" t="str">
        <x:v>Builder B</x:v>
      </x:c>
      <x:c r="E108" s="14" t="str">
        <x:v>RCN</x:v>
      </x:c>
      <x:c r="F108" s="18" t="str">
        <x:v>Virgin reconstruction article</x:v>
      </x:c>
      <x:c r="G108" s="18" t="str">
        <x:v>clean reconstruction cell; origin builder denied after source release</x:v>
      </x:c>
      <x:c r="H108" s="18" t="str">
        <x:v>cold build, black start and account requalification inside 168 h</x:v>
      </x:c>
      <x:c r="I108" s="14" t="n">
        <x:v>1</x:v>
      </x:c>
      <x:c r="J108" s="14" t="n">
        <x:v>0</x:v>
      </x:c>
      <x:c r="K108" s="14" t="n">
        <x:v>0</x:v>
      </x:c>
      <x:c r="L108" s="14" t="str">
        <x:v>PLANNED / UNBUILT</x:v>
      </x:c>
    </x:row>
    <x:row r="109">
      <x:c r="A109" s="14" t="str">
        <x:v>HU-A-B-TECH-2-A-INT</x:v>
      </x:c>
      <x:c r="B109" s="14" t="str">
        <x:v>HU-A-B-TECH-2</x:v>
      </x:c>
      <x:c r="C109" s="14" t="str">
        <x:v>HU-A-B</x:v>
      </x:c>
      <x:c r="D109" s="14" t="str">
        <x:v>Builder A</x:v>
      </x:c>
      <x:c r="E109" s="14" t="str">
        <x:v>INT</x:v>
      </x:c>
      <x:c r="F109" s="18" t="str">
        <x:v>Integration article</x:v>
      </x:c>
      <x:c r="G109" s="18" t="str">
        <x:v>builder line until configuration freeze; public metrology witnesses</x:v>
      </x:c>
      <x:c r="H109" s="18" t="str">
        <x:v>full-range capacity, receiver and thermal sweeps; article may be modified</x:v>
      </x:c>
      <x:c r="I109" s="14" t="n">
        <x:v>0</x:v>
      </x:c>
      <x:c r="J109" s="14" t="n">
        <x:v>0</x:v>
      </x:c>
      <x:c r="K109" s="14" t="n">
        <x:v>0</x:v>
      </x:c>
      <x:c r="L109" s="14" t="str">
        <x:v>PLANNED / UNBUILT</x:v>
      </x:c>
    </x:row>
    <x:row r="110">
      <x:c r="A110" s="14" t="str">
        <x:v>HU-A-B-TECH-2-A-BRK</x:v>
      </x:c>
      <x:c r="B110" s="14" t="str">
        <x:v>HU-A-B-TECH-2</x:v>
      </x:c>
      <x:c r="C110" s="14" t="str">
        <x:v>HU-A-B</x:v>
      </x:c>
      <x:c r="D110" s="14" t="str">
        <x:v>Builder A</x:v>
      </x:c>
      <x:c r="E110" s="14" t="str">
        <x:v>BRK</x:v>
      </x:c>
      <x:c r="F110" s="18" t="str">
        <x:v>Sacrificial fatal-cut article</x:v>
      </x:c>
      <x:c r="G110" s="18" t="str">
        <x:v>public event custodian after immutable configuration seal</x:v>
      </x:c>
      <x:c r="H110" s="18" t="str">
        <x:v>largest-cell and fatal-keystone destruction with complete teardown</x:v>
      </x:c>
      <x:c r="I110" s="14" t="n">
        <x:v>1</x:v>
      </x:c>
      <x:c r="J110" s="14" t="n">
        <x:v>0</x:v>
      </x:c>
      <x:c r="K110" s="14" t="n">
        <x:v>0</x:v>
      </x:c>
      <x:c r="L110" s="14" t="str">
        <x:v>PLANNED / UNBUILT</x:v>
      </x:c>
    </x:row>
    <x:row r="111">
      <x:c r="A111" s="14" t="str">
        <x:v>HU-A-B-TECH-2-A-RCN</x:v>
      </x:c>
      <x:c r="B111" s="14" t="str">
        <x:v>HU-A-B-TECH-2</x:v>
      </x:c>
      <x:c r="C111" s="14" t="str">
        <x:v>HU-A-B</x:v>
      </x:c>
      <x:c r="D111" s="14" t="str">
        <x:v>Builder A</x:v>
      </x:c>
      <x:c r="E111" s="14" t="str">
        <x:v>RCN</x:v>
      </x:c>
      <x:c r="F111" s="18" t="str">
        <x:v>Virgin reconstruction article</x:v>
      </x:c>
      <x:c r="G111" s="18" t="str">
        <x:v>clean reconstruction cell; origin builder denied after source release</x:v>
      </x:c>
      <x:c r="H111" s="18" t="str">
        <x:v>cold build, black start and account requalification inside 168 h</x:v>
      </x:c>
      <x:c r="I111" s="14" t="n">
        <x:v>1</x:v>
      </x:c>
      <x:c r="J111" s="14" t="n">
        <x:v>0</x:v>
      </x:c>
      <x:c r="K111" s="14" t="n">
        <x:v>0</x:v>
      </x:c>
      <x:c r="L111" s="14" t="str">
        <x:v>PLANNED / UNBUILT</x:v>
      </x:c>
    </x:row>
    <x:row r="112">
      <x:c r="A112" s="14" t="str">
        <x:v>HU-A-B-TECH-2-B-INT</x:v>
      </x:c>
      <x:c r="B112" s="14" t="str">
        <x:v>HU-A-B-TECH-2</x:v>
      </x:c>
      <x:c r="C112" s="14" t="str">
        <x:v>HU-A-B</x:v>
      </x:c>
      <x:c r="D112" s="14" t="str">
        <x:v>Builder B</x:v>
      </x:c>
      <x:c r="E112" s="14" t="str">
        <x:v>INT</x:v>
      </x:c>
      <x:c r="F112" s="18" t="str">
        <x:v>Integration article</x:v>
      </x:c>
      <x:c r="G112" s="18" t="str">
        <x:v>builder line until configuration freeze; public metrology witnesses</x:v>
      </x:c>
      <x:c r="H112" s="18" t="str">
        <x:v>full-range capacity, receiver and thermal sweeps; article may be modified</x:v>
      </x:c>
      <x:c r="I112" s="14" t="n">
        <x:v>0</x:v>
      </x:c>
      <x:c r="J112" s="14" t="n">
        <x:v>0</x:v>
      </x:c>
      <x:c r="K112" s="14" t="n">
        <x:v>0</x:v>
      </x:c>
      <x:c r="L112" s="14" t="str">
        <x:v>PLANNED / UNBUILT</x:v>
      </x:c>
    </x:row>
    <x:row r="113">
      <x:c r="A113" s="14" t="str">
        <x:v>HU-A-B-TECH-2-B-BRK</x:v>
      </x:c>
      <x:c r="B113" s="14" t="str">
        <x:v>HU-A-B-TECH-2</x:v>
      </x:c>
      <x:c r="C113" s="14" t="str">
        <x:v>HU-A-B</x:v>
      </x:c>
      <x:c r="D113" s="14" t="str">
        <x:v>Builder B</x:v>
      </x:c>
      <x:c r="E113" s="14" t="str">
        <x:v>BRK</x:v>
      </x:c>
      <x:c r="F113" s="18" t="str">
        <x:v>Sacrificial fatal-cut article</x:v>
      </x:c>
      <x:c r="G113" s="18" t="str">
        <x:v>public event custodian after immutable configuration seal</x:v>
      </x:c>
      <x:c r="H113" s="18" t="str">
        <x:v>largest-cell and fatal-keystone destruction with complete teardown</x:v>
      </x:c>
      <x:c r="I113" s="14" t="n">
        <x:v>1</x:v>
      </x:c>
      <x:c r="J113" s="14" t="n">
        <x:v>0</x:v>
      </x:c>
      <x:c r="K113" s="14" t="n">
        <x:v>0</x:v>
      </x:c>
      <x:c r="L113" s="14" t="str">
        <x:v>PLANNED / UNBUILT</x:v>
      </x:c>
    </x:row>
    <x:row r="114">
      <x:c r="A114" s="14" t="str">
        <x:v>HU-A-B-TECH-2-B-RCN</x:v>
      </x:c>
      <x:c r="B114" s="14" t="str">
        <x:v>HU-A-B-TECH-2</x:v>
      </x:c>
      <x:c r="C114" s="14" t="str">
        <x:v>HU-A-B</x:v>
      </x:c>
      <x:c r="D114" s="14" t="str">
        <x:v>Builder B</x:v>
      </x:c>
      <x:c r="E114" s="14" t="str">
        <x:v>RCN</x:v>
      </x:c>
      <x:c r="F114" s="18" t="str">
        <x:v>Virgin reconstruction article</x:v>
      </x:c>
      <x:c r="G114" s="18" t="str">
        <x:v>clean reconstruction cell; origin builder denied after source release</x:v>
      </x:c>
      <x:c r="H114" s="18" t="str">
        <x:v>cold build, black start and account requalification inside 168 h</x:v>
      </x:c>
      <x:c r="I114" s="14" t="n">
        <x:v>1</x:v>
      </x:c>
      <x:c r="J114" s="14" t="n">
        <x:v>0</x:v>
      </x:c>
      <x:c r="K114" s="14" t="n">
        <x:v>0</x:v>
      </x:c>
      <x:c r="L114" s="14" t="str">
        <x:v>PLANNED / UNBUILT</x:v>
      </x:c>
    </x:row>
    <x:row r="115">
      <x:c r="A115" s="14" t="str">
        <x:v>HU-A-B-TECH-3-A-INT</x:v>
      </x:c>
      <x:c r="B115" s="14" t="str">
        <x:v>HU-A-B-TECH-3</x:v>
      </x:c>
      <x:c r="C115" s="14" t="str">
        <x:v>HU-A-B</x:v>
      </x:c>
      <x:c r="D115" s="14" t="str">
        <x:v>Builder A</x:v>
      </x:c>
      <x:c r="E115" s="14" t="str">
        <x:v>INT</x:v>
      </x:c>
      <x:c r="F115" s="18" t="str">
        <x:v>Integration article</x:v>
      </x:c>
      <x:c r="G115" s="18" t="str">
        <x:v>builder line until configuration freeze; public metrology witnesses</x:v>
      </x:c>
      <x:c r="H115" s="18" t="str">
        <x:v>full-range capacity, receiver and thermal sweeps; article may be modified</x:v>
      </x:c>
      <x:c r="I115" s="14" t="n">
        <x:v>0</x:v>
      </x:c>
      <x:c r="J115" s="14" t="n">
        <x:v>0</x:v>
      </x:c>
      <x:c r="K115" s="14" t="n">
        <x:v>0</x:v>
      </x:c>
      <x:c r="L115" s="14" t="str">
        <x:v>PLANNED / UNBUILT</x:v>
      </x:c>
    </x:row>
    <x:row r="116">
      <x:c r="A116" s="14" t="str">
        <x:v>HU-A-B-TECH-3-A-BRK</x:v>
      </x:c>
      <x:c r="B116" s="14" t="str">
        <x:v>HU-A-B-TECH-3</x:v>
      </x:c>
      <x:c r="C116" s="14" t="str">
        <x:v>HU-A-B</x:v>
      </x:c>
      <x:c r="D116" s="14" t="str">
        <x:v>Builder A</x:v>
      </x:c>
      <x:c r="E116" s="14" t="str">
        <x:v>BRK</x:v>
      </x:c>
      <x:c r="F116" s="18" t="str">
        <x:v>Sacrificial fatal-cut article</x:v>
      </x:c>
      <x:c r="G116" s="18" t="str">
        <x:v>public event custodian after immutable configuration seal</x:v>
      </x:c>
      <x:c r="H116" s="18" t="str">
        <x:v>largest-cell and fatal-keystone destruction with complete teardown</x:v>
      </x:c>
      <x:c r="I116" s="14" t="n">
        <x:v>1</x:v>
      </x:c>
      <x:c r="J116" s="14" t="n">
        <x:v>0</x:v>
      </x:c>
      <x:c r="K116" s="14" t="n">
        <x:v>0</x:v>
      </x:c>
      <x:c r="L116" s="14" t="str">
        <x:v>PLANNED / UNBUILT</x:v>
      </x:c>
    </x:row>
    <x:row r="117">
      <x:c r="A117" s="14" t="str">
        <x:v>HU-A-B-TECH-3-A-RCN</x:v>
      </x:c>
      <x:c r="B117" s="14" t="str">
        <x:v>HU-A-B-TECH-3</x:v>
      </x:c>
      <x:c r="C117" s="14" t="str">
        <x:v>HU-A-B</x:v>
      </x:c>
      <x:c r="D117" s="14" t="str">
        <x:v>Builder A</x:v>
      </x:c>
      <x:c r="E117" s="14" t="str">
        <x:v>RCN</x:v>
      </x:c>
      <x:c r="F117" s="18" t="str">
        <x:v>Virgin reconstruction article</x:v>
      </x:c>
      <x:c r="G117" s="18" t="str">
        <x:v>clean reconstruction cell; origin builder denied after source release</x:v>
      </x:c>
      <x:c r="H117" s="18" t="str">
        <x:v>cold build, black start and account requalification inside 168 h</x:v>
      </x:c>
      <x:c r="I117" s="14" t="n">
        <x:v>1</x:v>
      </x:c>
      <x:c r="J117" s="14" t="n">
        <x:v>0</x:v>
      </x:c>
      <x:c r="K117" s="14" t="n">
        <x:v>0</x:v>
      </x:c>
      <x:c r="L117" s="14" t="str">
        <x:v>PLANNED / UNBUILT</x:v>
      </x:c>
    </x:row>
    <x:row r="118">
      <x:c r="A118" s="14" t="str">
        <x:v>HU-A-B-TECH-3-B-INT</x:v>
      </x:c>
      <x:c r="B118" s="14" t="str">
        <x:v>HU-A-B-TECH-3</x:v>
      </x:c>
      <x:c r="C118" s="14" t="str">
        <x:v>HU-A-B</x:v>
      </x:c>
      <x:c r="D118" s="14" t="str">
        <x:v>Builder B</x:v>
      </x:c>
      <x:c r="E118" s="14" t="str">
        <x:v>INT</x:v>
      </x:c>
      <x:c r="F118" s="18" t="str">
        <x:v>Integration article</x:v>
      </x:c>
      <x:c r="G118" s="18" t="str">
        <x:v>builder line until configuration freeze; public metrology witnesses</x:v>
      </x:c>
      <x:c r="H118" s="18" t="str">
        <x:v>full-range capacity, receiver and thermal sweeps; article may be modified</x:v>
      </x:c>
      <x:c r="I118" s="14" t="n">
        <x:v>0</x:v>
      </x:c>
      <x:c r="J118" s="14" t="n">
        <x:v>0</x:v>
      </x:c>
      <x:c r="K118" s="14" t="n">
        <x:v>0</x:v>
      </x:c>
      <x:c r="L118" s="14" t="str">
        <x:v>PLANNED / UNBUILT</x:v>
      </x:c>
    </x:row>
    <x:row r="119">
      <x:c r="A119" s="14" t="str">
        <x:v>HU-A-B-TECH-3-B-BRK</x:v>
      </x:c>
      <x:c r="B119" s="14" t="str">
        <x:v>HU-A-B-TECH-3</x:v>
      </x:c>
      <x:c r="C119" s="14" t="str">
        <x:v>HU-A-B</x:v>
      </x:c>
      <x:c r="D119" s="14" t="str">
        <x:v>Builder B</x:v>
      </x:c>
      <x:c r="E119" s="14" t="str">
        <x:v>BRK</x:v>
      </x:c>
      <x:c r="F119" s="18" t="str">
        <x:v>Sacrificial fatal-cut article</x:v>
      </x:c>
      <x:c r="G119" s="18" t="str">
        <x:v>public event custodian after immutable configuration seal</x:v>
      </x:c>
      <x:c r="H119" s="18" t="str">
        <x:v>largest-cell and fatal-keystone destruction with complete teardown</x:v>
      </x:c>
      <x:c r="I119" s="14" t="n">
        <x:v>1</x:v>
      </x:c>
      <x:c r="J119" s="14" t="n">
        <x:v>0</x:v>
      </x:c>
      <x:c r="K119" s="14" t="n">
        <x:v>0</x:v>
      </x:c>
      <x:c r="L119" s="14" t="str">
        <x:v>PLANNED / UNBUILT</x:v>
      </x:c>
    </x:row>
    <x:row r="120">
      <x:c r="A120" s="14" t="str">
        <x:v>HU-A-B-TECH-3-B-RCN</x:v>
      </x:c>
      <x:c r="B120" s="14" t="str">
        <x:v>HU-A-B-TECH-3</x:v>
      </x:c>
      <x:c r="C120" s="14" t="str">
        <x:v>HU-A-B</x:v>
      </x:c>
      <x:c r="D120" s="14" t="str">
        <x:v>Builder B</x:v>
      </x:c>
      <x:c r="E120" s="14" t="str">
        <x:v>RCN</x:v>
      </x:c>
      <x:c r="F120" s="18" t="str">
        <x:v>Virgin reconstruction article</x:v>
      </x:c>
      <x:c r="G120" s="18" t="str">
        <x:v>clean reconstruction cell; origin builder denied after source release</x:v>
      </x:c>
      <x:c r="H120" s="18" t="str">
        <x:v>cold build, black start and account requalification inside 168 h</x:v>
      </x:c>
      <x:c r="I120" s="14" t="n">
        <x:v>1</x:v>
      </x:c>
      <x:c r="J120" s="14" t="n">
        <x:v>0</x:v>
      </x:c>
      <x:c r="K120" s="14" t="n">
        <x:v>0</x:v>
      </x:c>
      <x:c r="L120" s="14" t="str">
        <x:v>PLANNED / UNBUILT</x:v>
      </x:c>
    </x:row>
    <x:row r="121">
      <x:c r="A121" s="14" t="str">
        <x:v>HU-A-B-TECH-4-A-INT</x:v>
      </x:c>
      <x:c r="B121" s="14" t="str">
        <x:v>HU-A-B-TECH-4</x:v>
      </x:c>
      <x:c r="C121" s="14" t="str">
        <x:v>HU-A-B</x:v>
      </x:c>
      <x:c r="D121" s="14" t="str">
        <x:v>Builder A</x:v>
      </x:c>
      <x:c r="E121" s="14" t="str">
        <x:v>INT</x:v>
      </x:c>
      <x:c r="F121" s="18" t="str">
        <x:v>Integration article</x:v>
      </x:c>
      <x:c r="G121" s="18" t="str">
        <x:v>builder line until configuration freeze; public metrology witnesses</x:v>
      </x:c>
      <x:c r="H121" s="18" t="str">
        <x:v>full-range capacity, receiver and thermal sweeps; article may be modified</x:v>
      </x:c>
      <x:c r="I121" s="14" t="n">
        <x:v>0</x:v>
      </x:c>
      <x:c r="J121" s="14" t="n">
        <x:v>0</x:v>
      </x:c>
      <x:c r="K121" s="14" t="n">
        <x:v>0</x:v>
      </x:c>
      <x:c r="L121" s="14" t="str">
        <x:v>PLANNED / UNBUILT</x:v>
      </x:c>
    </x:row>
    <x:row r="122">
      <x:c r="A122" s="14" t="str">
        <x:v>HU-A-B-TECH-4-A-BRK</x:v>
      </x:c>
      <x:c r="B122" s="14" t="str">
        <x:v>HU-A-B-TECH-4</x:v>
      </x:c>
      <x:c r="C122" s="14" t="str">
        <x:v>HU-A-B</x:v>
      </x:c>
      <x:c r="D122" s="14" t="str">
        <x:v>Builder A</x:v>
      </x:c>
      <x:c r="E122" s="14" t="str">
        <x:v>BRK</x:v>
      </x:c>
      <x:c r="F122" s="18" t="str">
        <x:v>Sacrificial fatal-cut article</x:v>
      </x:c>
      <x:c r="G122" s="18" t="str">
        <x:v>public event custodian after immutable configuration seal</x:v>
      </x:c>
      <x:c r="H122" s="18" t="str">
        <x:v>largest-cell and fatal-keystone destruction with complete teardown</x:v>
      </x:c>
      <x:c r="I122" s="14" t="n">
        <x:v>1</x:v>
      </x:c>
      <x:c r="J122" s="14" t="n">
        <x:v>0</x:v>
      </x:c>
      <x:c r="K122" s="14" t="n">
        <x:v>0</x:v>
      </x:c>
      <x:c r="L122" s="14" t="str">
        <x:v>PLANNED / UNBUILT</x:v>
      </x:c>
    </x:row>
    <x:row r="123">
      <x:c r="A123" s="14" t="str">
        <x:v>HU-A-B-TECH-4-A-RCN</x:v>
      </x:c>
      <x:c r="B123" s="14" t="str">
        <x:v>HU-A-B-TECH-4</x:v>
      </x:c>
      <x:c r="C123" s="14" t="str">
        <x:v>HU-A-B</x:v>
      </x:c>
      <x:c r="D123" s="14" t="str">
        <x:v>Builder A</x:v>
      </x:c>
      <x:c r="E123" s="14" t="str">
        <x:v>RCN</x:v>
      </x:c>
      <x:c r="F123" s="18" t="str">
        <x:v>Virgin reconstruction article</x:v>
      </x:c>
      <x:c r="G123" s="18" t="str">
        <x:v>clean reconstruction cell; origin builder denied after source release</x:v>
      </x:c>
      <x:c r="H123" s="18" t="str">
        <x:v>cold build, black start and account requalification inside 168 h</x:v>
      </x:c>
      <x:c r="I123" s="14" t="n">
        <x:v>1</x:v>
      </x:c>
      <x:c r="J123" s="14" t="n">
        <x:v>0</x:v>
      </x:c>
      <x:c r="K123" s="14" t="n">
        <x:v>0</x:v>
      </x:c>
      <x:c r="L123" s="14" t="str">
        <x:v>PLANNED / UNBUILT</x:v>
      </x:c>
    </x:row>
    <x:row r="124">
      <x:c r="A124" s="14" t="str">
        <x:v>HU-A-B-TECH-4-B-INT</x:v>
      </x:c>
      <x:c r="B124" s="14" t="str">
        <x:v>HU-A-B-TECH-4</x:v>
      </x:c>
      <x:c r="C124" s="14" t="str">
        <x:v>HU-A-B</x:v>
      </x:c>
      <x:c r="D124" s="14" t="str">
        <x:v>Builder B</x:v>
      </x:c>
      <x:c r="E124" s="14" t="str">
        <x:v>INT</x:v>
      </x:c>
      <x:c r="F124" s="18" t="str">
        <x:v>Integration article</x:v>
      </x:c>
      <x:c r="G124" s="18" t="str">
        <x:v>builder line until configuration freeze; public metrology witnesses</x:v>
      </x:c>
      <x:c r="H124" s="18" t="str">
        <x:v>full-range capacity, receiver and thermal sweeps; article may be modified</x:v>
      </x:c>
      <x:c r="I124" s="14" t="n">
        <x:v>0</x:v>
      </x:c>
      <x:c r="J124" s="14" t="n">
        <x:v>0</x:v>
      </x:c>
      <x:c r="K124" s="14" t="n">
        <x:v>0</x:v>
      </x:c>
      <x:c r="L124" s="14" t="str">
        <x:v>PLANNED / UNBUILT</x:v>
      </x:c>
    </x:row>
    <x:row r="125">
      <x:c r="A125" s="14" t="str">
        <x:v>HU-A-B-TECH-4-B-BRK</x:v>
      </x:c>
      <x:c r="B125" s="14" t="str">
        <x:v>HU-A-B-TECH-4</x:v>
      </x:c>
      <x:c r="C125" s="14" t="str">
        <x:v>HU-A-B</x:v>
      </x:c>
      <x:c r="D125" s="14" t="str">
        <x:v>Builder B</x:v>
      </x:c>
      <x:c r="E125" s="14" t="str">
        <x:v>BRK</x:v>
      </x:c>
      <x:c r="F125" s="18" t="str">
        <x:v>Sacrificial fatal-cut article</x:v>
      </x:c>
      <x:c r="G125" s="18" t="str">
        <x:v>public event custodian after immutable configuration seal</x:v>
      </x:c>
      <x:c r="H125" s="18" t="str">
        <x:v>largest-cell and fatal-keystone destruction with complete teardown</x:v>
      </x:c>
      <x:c r="I125" s="14" t="n">
        <x:v>1</x:v>
      </x:c>
      <x:c r="J125" s="14" t="n">
        <x:v>0</x:v>
      </x:c>
      <x:c r="K125" s="14" t="n">
        <x:v>0</x:v>
      </x:c>
      <x:c r="L125" s="14" t="str">
        <x:v>PLANNED / UNBUILT</x:v>
      </x:c>
    </x:row>
    <x:row r="126">
      <x:c r="A126" s="14" t="str">
        <x:v>HU-A-B-TECH-4-B-RCN</x:v>
      </x:c>
      <x:c r="B126" s="14" t="str">
        <x:v>HU-A-B-TECH-4</x:v>
      </x:c>
      <x:c r="C126" s="14" t="str">
        <x:v>HU-A-B</x:v>
      </x:c>
      <x:c r="D126" s="14" t="str">
        <x:v>Builder B</x:v>
      </x:c>
      <x:c r="E126" s="14" t="str">
        <x:v>RCN</x:v>
      </x:c>
      <x:c r="F126" s="18" t="str">
        <x:v>Virgin reconstruction article</x:v>
      </x:c>
      <x:c r="G126" s="18" t="str">
        <x:v>clean reconstruction cell; origin builder denied after source release</x:v>
      </x:c>
      <x:c r="H126" s="18" t="str">
        <x:v>cold build, black start and account requalification inside 168 h</x:v>
      </x:c>
      <x:c r="I126" s="14" t="n">
        <x:v>1</x:v>
      </x:c>
      <x:c r="J126" s="14" t="n">
        <x:v>0</x:v>
      </x:c>
      <x:c r="K126" s="14" t="n">
        <x:v>0</x:v>
      </x:c>
      <x:c r="L126" s="14" t="str">
        <x:v>PLANNED / UNBUILT</x:v>
      </x:c>
    </x:row>
    <x:row r="127">
      <x:c r="A127" s="14" t="str">
        <x:v>RT-B-C-TECH-1-A-INT</x:v>
      </x:c>
      <x:c r="B127" s="14" t="str">
        <x:v>RT-B-C-TECH-1</x:v>
      </x:c>
      <x:c r="C127" s="14" t="str">
        <x:v>RT-B-C</x:v>
      </x:c>
      <x:c r="D127" s="14" t="str">
        <x:v>Builder A</x:v>
      </x:c>
      <x:c r="E127" s="14" t="str">
        <x:v>INT</x:v>
      </x:c>
      <x:c r="F127" s="18" t="str">
        <x:v>Integration article</x:v>
      </x:c>
      <x:c r="G127" s="18" t="str">
        <x:v>builder line until configuration freeze; public metrology witnesses</x:v>
      </x:c>
      <x:c r="H127" s="18" t="str">
        <x:v>full-range capacity, receiver and thermal sweeps; article may be modified</x:v>
      </x:c>
      <x:c r="I127" s="14" t="n">
        <x:v>0</x:v>
      </x:c>
      <x:c r="J127" s="14" t="n">
        <x:v>0</x:v>
      </x:c>
      <x:c r="K127" s="14" t="n">
        <x:v>0</x:v>
      </x:c>
      <x:c r="L127" s="14" t="str">
        <x:v>PLANNED / UNBUILT</x:v>
      </x:c>
    </x:row>
    <x:row r="128">
      <x:c r="A128" s="14" t="str">
        <x:v>RT-B-C-TECH-1-A-BRK</x:v>
      </x:c>
      <x:c r="B128" s="14" t="str">
        <x:v>RT-B-C-TECH-1</x:v>
      </x:c>
      <x:c r="C128" s="14" t="str">
        <x:v>RT-B-C</x:v>
      </x:c>
      <x:c r="D128" s="14" t="str">
        <x:v>Builder A</x:v>
      </x:c>
      <x:c r="E128" s="14" t="str">
        <x:v>BRK</x:v>
      </x:c>
      <x:c r="F128" s="18" t="str">
        <x:v>Sacrificial fatal-cut article</x:v>
      </x:c>
      <x:c r="G128" s="18" t="str">
        <x:v>public event custodian after immutable configuration seal</x:v>
      </x:c>
      <x:c r="H128" s="18" t="str">
        <x:v>largest-cell and fatal-keystone destruction with complete teardown</x:v>
      </x:c>
      <x:c r="I128" s="14" t="n">
        <x:v>1</x:v>
      </x:c>
      <x:c r="J128" s="14" t="n">
        <x:v>0</x:v>
      </x:c>
      <x:c r="K128" s="14" t="n">
        <x:v>0</x:v>
      </x:c>
      <x:c r="L128" s="14" t="str">
        <x:v>PLANNED / UNBUILT</x:v>
      </x:c>
    </x:row>
    <x:row r="129">
      <x:c r="A129" s="14" t="str">
        <x:v>RT-B-C-TECH-1-A-RCN</x:v>
      </x:c>
      <x:c r="B129" s="14" t="str">
        <x:v>RT-B-C-TECH-1</x:v>
      </x:c>
      <x:c r="C129" s="14" t="str">
        <x:v>RT-B-C</x:v>
      </x:c>
      <x:c r="D129" s="14" t="str">
        <x:v>Builder A</x:v>
      </x:c>
      <x:c r="E129" s="14" t="str">
        <x:v>RCN</x:v>
      </x:c>
      <x:c r="F129" s="18" t="str">
        <x:v>Virgin reconstruction article</x:v>
      </x:c>
      <x:c r="G129" s="18" t="str">
        <x:v>clean reconstruction cell; origin builder denied after source release</x:v>
      </x:c>
      <x:c r="H129" s="18" t="str">
        <x:v>cold build, black start and account requalification inside 168 h</x:v>
      </x:c>
      <x:c r="I129" s="14" t="n">
        <x:v>1</x:v>
      </x:c>
      <x:c r="J129" s="14" t="n">
        <x:v>0</x:v>
      </x:c>
      <x:c r="K129" s="14" t="n">
        <x:v>0</x:v>
      </x:c>
      <x:c r="L129" s="14" t="str">
        <x:v>PLANNED / UNBUILT</x:v>
      </x:c>
    </x:row>
    <x:row r="130">
      <x:c r="A130" s="14" t="str">
        <x:v>RT-B-C-TECH-1-B-INT</x:v>
      </x:c>
      <x:c r="B130" s="14" t="str">
        <x:v>RT-B-C-TECH-1</x:v>
      </x:c>
      <x:c r="C130" s="14" t="str">
        <x:v>RT-B-C</x:v>
      </x:c>
      <x:c r="D130" s="14" t="str">
        <x:v>Builder B</x:v>
      </x:c>
      <x:c r="E130" s="14" t="str">
        <x:v>INT</x:v>
      </x:c>
      <x:c r="F130" s="18" t="str">
        <x:v>Integration article</x:v>
      </x:c>
      <x:c r="G130" s="18" t="str">
        <x:v>builder line until configuration freeze; public metrology witnesses</x:v>
      </x:c>
      <x:c r="H130" s="18" t="str">
        <x:v>full-range capacity, receiver and thermal sweeps; article may be modified</x:v>
      </x:c>
      <x:c r="I130" s="14" t="n">
        <x:v>0</x:v>
      </x:c>
      <x:c r="J130" s="14" t="n">
        <x:v>0</x:v>
      </x:c>
      <x:c r="K130" s="14" t="n">
        <x:v>0</x:v>
      </x:c>
      <x:c r="L130" s="14" t="str">
        <x:v>PLANNED / UNBUILT</x:v>
      </x:c>
    </x:row>
    <x:row r="131">
      <x:c r="A131" s="14" t="str">
        <x:v>RT-B-C-TECH-1-B-BRK</x:v>
      </x:c>
      <x:c r="B131" s="14" t="str">
        <x:v>RT-B-C-TECH-1</x:v>
      </x:c>
      <x:c r="C131" s="14" t="str">
        <x:v>RT-B-C</x:v>
      </x:c>
      <x:c r="D131" s="14" t="str">
        <x:v>Builder B</x:v>
      </x:c>
      <x:c r="E131" s="14" t="str">
        <x:v>BRK</x:v>
      </x:c>
      <x:c r="F131" s="18" t="str">
        <x:v>Sacrificial fatal-cut article</x:v>
      </x:c>
      <x:c r="G131" s="18" t="str">
        <x:v>public event custodian after immutable configuration seal</x:v>
      </x:c>
      <x:c r="H131" s="18" t="str">
        <x:v>largest-cell and fatal-keystone destruction with complete teardown</x:v>
      </x:c>
      <x:c r="I131" s="14" t="n">
        <x:v>1</x:v>
      </x:c>
      <x:c r="J131" s="14" t="n">
        <x:v>0</x:v>
      </x:c>
      <x:c r="K131" s="14" t="n">
        <x:v>0</x:v>
      </x:c>
      <x:c r="L131" s="14" t="str">
        <x:v>PLANNED / UNBUILT</x:v>
      </x:c>
    </x:row>
    <x:row r="132">
      <x:c r="A132" s="14" t="str">
        <x:v>RT-B-C-TECH-1-B-RCN</x:v>
      </x:c>
      <x:c r="B132" s="14" t="str">
        <x:v>RT-B-C-TECH-1</x:v>
      </x:c>
      <x:c r="C132" s="14" t="str">
        <x:v>RT-B-C</x:v>
      </x:c>
      <x:c r="D132" s="14" t="str">
        <x:v>Builder B</x:v>
      </x:c>
      <x:c r="E132" s="14" t="str">
        <x:v>RCN</x:v>
      </x:c>
      <x:c r="F132" s="18" t="str">
        <x:v>Virgin reconstruction article</x:v>
      </x:c>
      <x:c r="G132" s="18" t="str">
        <x:v>clean reconstruction cell; origin builder denied after source release</x:v>
      </x:c>
      <x:c r="H132" s="18" t="str">
        <x:v>cold build, black start and account requalification inside 168 h</x:v>
      </x:c>
      <x:c r="I132" s="14" t="n">
        <x:v>1</x:v>
      </x:c>
      <x:c r="J132" s="14" t="n">
        <x:v>0</x:v>
      </x:c>
      <x:c r="K132" s="14" t="n">
        <x:v>0</x:v>
      </x:c>
      <x:c r="L132" s="14" t="str">
        <x:v>PLANNED / UNBUILT</x:v>
      </x:c>
    </x:row>
    <x:row r="133">
      <x:c r="A133" s="14" t="str">
        <x:v>RT-B-C-TECH-2-A-INT</x:v>
      </x:c>
      <x:c r="B133" s="14" t="str">
        <x:v>RT-B-C-TECH-2</x:v>
      </x:c>
      <x:c r="C133" s="14" t="str">
        <x:v>RT-B-C</x:v>
      </x:c>
      <x:c r="D133" s="14" t="str">
        <x:v>Builder A</x:v>
      </x:c>
      <x:c r="E133" s="14" t="str">
        <x:v>INT</x:v>
      </x:c>
      <x:c r="F133" s="18" t="str">
        <x:v>Integration article</x:v>
      </x:c>
      <x:c r="G133" s="18" t="str">
        <x:v>builder line until configuration freeze; public metrology witnesses</x:v>
      </x:c>
      <x:c r="H133" s="18" t="str">
        <x:v>full-range capacity, receiver and thermal sweeps; article may be modified</x:v>
      </x:c>
      <x:c r="I133" s="14" t="n">
        <x:v>0</x:v>
      </x:c>
      <x:c r="J133" s="14" t="n">
        <x:v>0</x:v>
      </x:c>
      <x:c r="K133" s="14" t="n">
        <x:v>0</x:v>
      </x:c>
      <x:c r="L133" s="14" t="str">
        <x:v>PLANNED / UNBUILT</x:v>
      </x:c>
    </x:row>
    <x:row r="134">
      <x:c r="A134" s="14" t="str">
        <x:v>RT-B-C-TECH-2-A-BRK</x:v>
      </x:c>
      <x:c r="B134" s="14" t="str">
        <x:v>RT-B-C-TECH-2</x:v>
      </x:c>
      <x:c r="C134" s="14" t="str">
        <x:v>RT-B-C</x:v>
      </x:c>
      <x:c r="D134" s="14" t="str">
        <x:v>Builder A</x:v>
      </x:c>
      <x:c r="E134" s="14" t="str">
        <x:v>BRK</x:v>
      </x:c>
      <x:c r="F134" s="18" t="str">
        <x:v>Sacrificial fatal-cut article</x:v>
      </x:c>
      <x:c r="G134" s="18" t="str">
        <x:v>public event custodian after immutable configuration seal</x:v>
      </x:c>
      <x:c r="H134" s="18" t="str">
        <x:v>largest-cell and fatal-keystone destruction with complete teardown</x:v>
      </x:c>
      <x:c r="I134" s="14" t="n">
        <x:v>1</x:v>
      </x:c>
      <x:c r="J134" s="14" t="n">
        <x:v>0</x:v>
      </x:c>
      <x:c r="K134" s="14" t="n">
        <x:v>0</x:v>
      </x:c>
      <x:c r="L134" s="14" t="str">
        <x:v>PLANNED / UNBUILT</x:v>
      </x:c>
    </x:row>
    <x:row r="135">
      <x:c r="A135" s="14" t="str">
        <x:v>RT-B-C-TECH-2-A-RCN</x:v>
      </x:c>
      <x:c r="B135" s="14" t="str">
        <x:v>RT-B-C-TECH-2</x:v>
      </x:c>
      <x:c r="C135" s="14" t="str">
        <x:v>RT-B-C</x:v>
      </x:c>
      <x:c r="D135" s="14" t="str">
        <x:v>Builder A</x:v>
      </x:c>
      <x:c r="E135" s="14" t="str">
        <x:v>RCN</x:v>
      </x:c>
      <x:c r="F135" s="18" t="str">
        <x:v>Virgin reconstruction article</x:v>
      </x:c>
      <x:c r="G135" s="18" t="str">
        <x:v>clean reconstruction cell; origin builder denied after source release</x:v>
      </x:c>
      <x:c r="H135" s="18" t="str">
        <x:v>cold build, black start and account requalification inside 168 h</x:v>
      </x:c>
      <x:c r="I135" s="14" t="n">
        <x:v>1</x:v>
      </x:c>
      <x:c r="J135" s="14" t="n">
        <x:v>0</x:v>
      </x:c>
      <x:c r="K135" s="14" t="n">
        <x:v>0</x:v>
      </x:c>
      <x:c r="L135" s="14" t="str">
        <x:v>PLANNED / UNBUILT</x:v>
      </x:c>
    </x:row>
    <x:row r="136">
      <x:c r="A136" s="14" t="str">
        <x:v>RT-B-C-TECH-2-B-INT</x:v>
      </x:c>
      <x:c r="B136" s="14" t="str">
        <x:v>RT-B-C-TECH-2</x:v>
      </x:c>
      <x:c r="C136" s="14" t="str">
        <x:v>RT-B-C</x:v>
      </x:c>
      <x:c r="D136" s="14" t="str">
        <x:v>Builder B</x:v>
      </x:c>
      <x:c r="E136" s="14" t="str">
        <x:v>INT</x:v>
      </x:c>
      <x:c r="F136" s="18" t="str">
        <x:v>Integration article</x:v>
      </x:c>
      <x:c r="G136" s="18" t="str">
        <x:v>builder line until configuration freeze; public metrology witnesses</x:v>
      </x:c>
      <x:c r="H136" s="18" t="str">
        <x:v>full-range capacity, receiver and thermal sweeps; article may be modified</x:v>
      </x:c>
      <x:c r="I136" s="14" t="n">
        <x:v>0</x:v>
      </x:c>
      <x:c r="J136" s="14" t="n">
        <x:v>0</x:v>
      </x:c>
      <x:c r="K136" s="14" t="n">
        <x:v>0</x:v>
      </x:c>
      <x:c r="L136" s="14" t="str">
        <x:v>PLANNED / UNBUILT</x:v>
      </x:c>
    </x:row>
    <x:row r="137">
      <x:c r="A137" s="14" t="str">
        <x:v>RT-B-C-TECH-2-B-BRK</x:v>
      </x:c>
      <x:c r="B137" s="14" t="str">
        <x:v>RT-B-C-TECH-2</x:v>
      </x:c>
      <x:c r="C137" s="14" t="str">
        <x:v>RT-B-C</x:v>
      </x:c>
      <x:c r="D137" s="14" t="str">
        <x:v>Builder B</x:v>
      </x:c>
      <x:c r="E137" s="14" t="str">
        <x:v>BRK</x:v>
      </x:c>
      <x:c r="F137" s="18" t="str">
        <x:v>Sacrificial fatal-cut article</x:v>
      </x:c>
      <x:c r="G137" s="18" t="str">
        <x:v>public event custodian after immutable configuration seal</x:v>
      </x:c>
      <x:c r="H137" s="18" t="str">
        <x:v>largest-cell and fatal-keystone destruction with complete teardown</x:v>
      </x:c>
      <x:c r="I137" s="14" t="n">
        <x:v>1</x:v>
      </x:c>
      <x:c r="J137" s="14" t="n">
        <x:v>0</x:v>
      </x:c>
      <x:c r="K137" s="14" t="n">
        <x:v>0</x:v>
      </x:c>
      <x:c r="L137" s="14" t="str">
        <x:v>PLANNED / UNBUILT</x:v>
      </x:c>
    </x:row>
    <x:row r="138">
      <x:c r="A138" s="14" t="str">
        <x:v>RT-B-C-TECH-2-B-RCN</x:v>
      </x:c>
      <x:c r="B138" s="14" t="str">
        <x:v>RT-B-C-TECH-2</x:v>
      </x:c>
      <x:c r="C138" s="14" t="str">
        <x:v>RT-B-C</x:v>
      </x:c>
      <x:c r="D138" s="14" t="str">
        <x:v>Builder B</x:v>
      </x:c>
      <x:c r="E138" s="14" t="str">
        <x:v>RCN</x:v>
      </x:c>
      <x:c r="F138" s="18" t="str">
        <x:v>Virgin reconstruction article</x:v>
      </x:c>
      <x:c r="G138" s="18" t="str">
        <x:v>clean reconstruction cell; origin builder denied after source release</x:v>
      </x:c>
      <x:c r="H138" s="18" t="str">
        <x:v>cold build, black start and account requalification inside 168 h</x:v>
      </x:c>
      <x:c r="I138" s="14" t="n">
        <x:v>1</x:v>
      </x:c>
      <x:c r="J138" s="14" t="n">
        <x:v>0</x:v>
      </x:c>
      <x:c r="K138" s="14" t="n">
        <x:v>0</x:v>
      </x:c>
      <x:c r="L138" s="14" t="str">
        <x:v>PLANNED / UNBUILT</x:v>
      </x:c>
    </x:row>
    <x:row r="139">
      <x:c r="A139" s="14" t="str">
        <x:v>RT-B-C-TECH-3-A-INT</x:v>
      </x:c>
      <x:c r="B139" s="14" t="str">
        <x:v>RT-B-C-TECH-3</x:v>
      </x:c>
      <x:c r="C139" s="14" t="str">
        <x:v>RT-B-C</x:v>
      </x:c>
      <x:c r="D139" s="14" t="str">
        <x:v>Builder A</x:v>
      </x:c>
      <x:c r="E139" s="14" t="str">
        <x:v>INT</x:v>
      </x:c>
      <x:c r="F139" s="18" t="str">
        <x:v>Integration article</x:v>
      </x:c>
      <x:c r="G139" s="18" t="str">
        <x:v>builder line until configuration freeze; public metrology witnesses</x:v>
      </x:c>
      <x:c r="H139" s="18" t="str">
        <x:v>full-range capacity, receiver and thermal sweeps; article may be modified</x:v>
      </x:c>
      <x:c r="I139" s="14" t="n">
        <x:v>0</x:v>
      </x:c>
      <x:c r="J139" s="14" t="n">
        <x:v>0</x:v>
      </x:c>
      <x:c r="K139" s="14" t="n">
        <x:v>0</x:v>
      </x:c>
      <x:c r="L139" s="14" t="str">
        <x:v>PLANNED / UNBUILT</x:v>
      </x:c>
    </x:row>
    <x:row r="140">
      <x:c r="A140" s="14" t="str">
        <x:v>RT-B-C-TECH-3-A-BRK</x:v>
      </x:c>
      <x:c r="B140" s="14" t="str">
        <x:v>RT-B-C-TECH-3</x:v>
      </x:c>
      <x:c r="C140" s="14" t="str">
        <x:v>RT-B-C</x:v>
      </x:c>
      <x:c r="D140" s="14" t="str">
        <x:v>Builder A</x:v>
      </x:c>
      <x:c r="E140" s="14" t="str">
        <x:v>BRK</x:v>
      </x:c>
      <x:c r="F140" s="18" t="str">
        <x:v>Sacrificial fatal-cut article</x:v>
      </x:c>
      <x:c r="G140" s="18" t="str">
        <x:v>public event custodian after immutable configuration seal</x:v>
      </x:c>
      <x:c r="H140" s="18" t="str">
        <x:v>largest-cell and fatal-keystone destruction with complete teardown</x:v>
      </x:c>
      <x:c r="I140" s="14" t="n">
        <x:v>1</x:v>
      </x:c>
      <x:c r="J140" s="14" t="n">
        <x:v>0</x:v>
      </x:c>
      <x:c r="K140" s="14" t="n">
        <x:v>0</x:v>
      </x:c>
      <x:c r="L140" s="14" t="str">
        <x:v>PLANNED / UNBUILT</x:v>
      </x:c>
    </x:row>
    <x:row r="141">
      <x:c r="A141" s="14" t="str">
        <x:v>RT-B-C-TECH-3-A-RCN</x:v>
      </x:c>
      <x:c r="B141" s="14" t="str">
        <x:v>RT-B-C-TECH-3</x:v>
      </x:c>
      <x:c r="C141" s="14" t="str">
        <x:v>RT-B-C</x:v>
      </x:c>
      <x:c r="D141" s="14" t="str">
        <x:v>Builder A</x:v>
      </x:c>
      <x:c r="E141" s="14" t="str">
        <x:v>RCN</x:v>
      </x:c>
      <x:c r="F141" s="18" t="str">
        <x:v>Virgin reconstruction article</x:v>
      </x:c>
      <x:c r="G141" s="18" t="str">
        <x:v>clean reconstruction cell; origin builder denied after source release</x:v>
      </x:c>
      <x:c r="H141" s="18" t="str">
        <x:v>cold build, black start and account requalification inside 168 h</x:v>
      </x:c>
      <x:c r="I141" s="14" t="n">
        <x:v>1</x:v>
      </x:c>
      <x:c r="J141" s="14" t="n">
        <x:v>0</x:v>
      </x:c>
      <x:c r="K141" s="14" t="n">
        <x:v>0</x:v>
      </x:c>
      <x:c r="L141" s="14" t="str">
        <x:v>PLANNED / UNBUILT</x:v>
      </x:c>
    </x:row>
    <x:row r="142">
      <x:c r="A142" s="14" t="str">
        <x:v>RT-B-C-TECH-3-B-INT</x:v>
      </x:c>
      <x:c r="B142" s="14" t="str">
        <x:v>RT-B-C-TECH-3</x:v>
      </x:c>
      <x:c r="C142" s="14" t="str">
        <x:v>RT-B-C</x:v>
      </x:c>
      <x:c r="D142" s="14" t="str">
        <x:v>Builder B</x:v>
      </x:c>
      <x:c r="E142" s="14" t="str">
        <x:v>INT</x:v>
      </x:c>
      <x:c r="F142" s="18" t="str">
        <x:v>Integration article</x:v>
      </x:c>
      <x:c r="G142" s="18" t="str">
        <x:v>builder line until configuration freeze; public metrology witnesses</x:v>
      </x:c>
      <x:c r="H142" s="18" t="str">
        <x:v>full-range capacity, receiver and thermal sweeps; article may be modified</x:v>
      </x:c>
      <x:c r="I142" s="14" t="n">
        <x:v>0</x:v>
      </x:c>
      <x:c r="J142" s="14" t="n">
        <x:v>0</x:v>
      </x:c>
      <x:c r="K142" s="14" t="n">
        <x:v>0</x:v>
      </x:c>
      <x:c r="L142" s="14" t="str">
        <x:v>PLANNED / UNBUILT</x:v>
      </x:c>
    </x:row>
    <x:row r="143">
      <x:c r="A143" s="14" t="str">
        <x:v>RT-B-C-TECH-3-B-BRK</x:v>
      </x:c>
      <x:c r="B143" s="14" t="str">
        <x:v>RT-B-C-TECH-3</x:v>
      </x:c>
      <x:c r="C143" s="14" t="str">
        <x:v>RT-B-C</x:v>
      </x:c>
      <x:c r="D143" s="14" t="str">
        <x:v>Builder B</x:v>
      </x:c>
      <x:c r="E143" s="14" t="str">
        <x:v>BRK</x:v>
      </x:c>
      <x:c r="F143" s="18" t="str">
        <x:v>Sacrificial fatal-cut article</x:v>
      </x:c>
      <x:c r="G143" s="18" t="str">
        <x:v>public event custodian after immutable configuration seal</x:v>
      </x:c>
      <x:c r="H143" s="18" t="str">
        <x:v>largest-cell and fatal-keystone destruction with complete teardown</x:v>
      </x:c>
      <x:c r="I143" s="14" t="n">
        <x:v>1</x:v>
      </x:c>
      <x:c r="J143" s="14" t="n">
        <x:v>0</x:v>
      </x:c>
      <x:c r="K143" s="14" t="n">
        <x:v>0</x:v>
      </x:c>
      <x:c r="L143" s="14" t="str">
        <x:v>PLANNED / UNBUILT</x:v>
      </x:c>
    </x:row>
    <x:row r="144">
      <x:c r="A144" s="14" t="str">
        <x:v>RT-B-C-TECH-3-B-RCN</x:v>
      </x:c>
      <x:c r="B144" s="14" t="str">
        <x:v>RT-B-C-TECH-3</x:v>
      </x:c>
      <x:c r="C144" s="14" t="str">
        <x:v>RT-B-C</x:v>
      </x:c>
      <x:c r="D144" s="14" t="str">
        <x:v>Builder B</x:v>
      </x:c>
      <x:c r="E144" s="14" t="str">
        <x:v>RCN</x:v>
      </x:c>
      <x:c r="F144" s="18" t="str">
        <x:v>Virgin reconstruction article</x:v>
      </x:c>
      <x:c r="G144" s="18" t="str">
        <x:v>clean reconstruction cell; origin builder denied after source release</x:v>
      </x:c>
      <x:c r="H144" s="18" t="str">
        <x:v>cold build, black start and account requalification inside 168 h</x:v>
      </x:c>
      <x:c r="I144" s="14" t="n">
        <x:v>1</x:v>
      </x:c>
      <x:c r="J144" s="14" t="n">
        <x:v>0</x:v>
      </x:c>
      <x:c r="K144" s="14" t="n">
        <x:v>0</x:v>
      </x:c>
      <x:c r="L144" s="14" t="str">
        <x:v>PLANNED / UNBUILT</x:v>
      </x:c>
    </x:row>
    <x:row r="145">
      <x:c r="A145" s="14" t="str">
        <x:v>RT-B-C-TECH-4-A-INT</x:v>
      </x:c>
      <x:c r="B145" s="14" t="str">
        <x:v>RT-B-C-TECH-4</x:v>
      </x:c>
      <x:c r="C145" s="14" t="str">
        <x:v>RT-B-C</x:v>
      </x:c>
      <x:c r="D145" s="14" t="str">
        <x:v>Builder A</x:v>
      </x:c>
      <x:c r="E145" s="14" t="str">
        <x:v>INT</x:v>
      </x:c>
      <x:c r="F145" s="18" t="str">
        <x:v>Integration article</x:v>
      </x:c>
      <x:c r="G145" s="18" t="str">
        <x:v>builder line until configuration freeze; public metrology witnesses</x:v>
      </x:c>
      <x:c r="H145" s="18" t="str">
        <x:v>full-range capacity, receiver and thermal sweeps; article may be modified</x:v>
      </x:c>
      <x:c r="I145" s="14" t="n">
        <x:v>0</x:v>
      </x:c>
      <x:c r="J145" s="14" t="n">
        <x:v>0</x:v>
      </x:c>
      <x:c r="K145" s="14" t="n">
        <x:v>0</x:v>
      </x:c>
      <x:c r="L145" s="14" t="str">
        <x:v>PLANNED / UNBUILT</x:v>
      </x:c>
    </x:row>
    <x:row r="146">
      <x:c r="A146" s="14" t="str">
        <x:v>RT-B-C-TECH-4-A-BRK</x:v>
      </x:c>
      <x:c r="B146" s="14" t="str">
        <x:v>RT-B-C-TECH-4</x:v>
      </x:c>
      <x:c r="C146" s="14" t="str">
        <x:v>RT-B-C</x:v>
      </x:c>
      <x:c r="D146" s="14" t="str">
        <x:v>Builder A</x:v>
      </x:c>
      <x:c r="E146" s="14" t="str">
        <x:v>BRK</x:v>
      </x:c>
      <x:c r="F146" s="18" t="str">
        <x:v>Sacrificial fatal-cut article</x:v>
      </x:c>
      <x:c r="G146" s="18" t="str">
        <x:v>public event custodian after immutable configuration seal</x:v>
      </x:c>
      <x:c r="H146" s="18" t="str">
        <x:v>largest-cell and fatal-keystone destruction with complete teardown</x:v>
      </x:c>
      <x:c r="I146" s="14" t="n">
        <x:v>1</x:v>
      </x:c>
      <x:c r="J146" s="14" t="n">
        <x:v>0</x:v>
      </x:c>
      <x:c r="K146" s="14" t="n">
        <x:v>0</x:v>
      </x:c>
      <x:c r="L146" s="14" t="str">
        <x:v>PLANNED / UNBUILT</x:v>
      </x:c>
    </x:row>
    <x:row r="147">
      <x:c r="A147" s="14" t="str">
        <x:v>RT-B-C-TECH-4-A-RCN</x:v>
      </x:c>
      <x:c r="B147" s="14" t="str">
        <x:v>RT-B-C-TECH-4</x:v>
      </x:c>
      <x:c r="C147" s="14" t="str">
        <x:v>RT-B-C</x:v>
      </x:c>
      <x:c r="D147" s="14" t="str">
        <x:v>Builder A</x:v>
      </x:c>
      <x:c r="E147" s="14" t="str">
        <x:v>RCN</x:v>
      </x:c>
      <x:c r="F147" s="18" t="str">
        <x:v>Virgin reconstruction article</x:v>
      </x:c>
      <x:c r="G147" s="18" t="str">
        <x:v>clean reconstruction cell; origin builder denied after source release</x:v>
      </x:c>
      <x:c r="H147" s="18" t="str">
        <x:v>cold build, black start and account requalification inside 168 h</x:v>
      </x:c>
      <x:c r="I147" s="14" t="n">
        <x:v>1</x:v>
      </x:c>
      <x:c r="J147" s="14" t="n">
        <x:v>0</x:v>
      </x:c>
      <x:c r="K147" s="14" t="n">
        <x:v>0</x:v>
      </x:c>
      <x:c r="L147" s="14" t="str">
        <x:v>PLANNED / UNBUILT</x:v>
      </x:c>
    </x:row>
    <x:row r="148">
      <x:c r="A148" s="14" t="str">
        <x:v>RT-B-C-TECH-4-B-INT</x:v>
      </x:c>
      <x:c r="B148" s="14" t="str">
        <x:v>RT-B-C-TECH-4</x:v>
      </x:c>
      <x:c r="C148" s="14" t="str">
        <x:v>RT-B-C</x:v>
      </x:c>
      <x:c r="D148" s="14" t="str">
        <x:v>Builder B</x:v>
      </x:c>
      <x:c r="E148" s="14" t="str">
        <x:v>INT</x:v>
      </x:c>
      <x:c r="F148" s="18" t="str">
        <x:v>Integration article</x:v>
      </x:c>
      <x:c r="G148" s="18" t="str">
        <x:v>builder line until configuration freeze; public metrology witnesses</x:v>
      </x:c>
      <x:c r="H148" s="18" t="str">
        <x:v>full-range capacity, receiver and thermal sweeps; article may be modified</x:v>
      </x:c>
      <x:c r="I148" s="14" t="n">
        <x:v>0</x:v>
      </x:c>
      <x:c r="J148" s="14" t="n">
        <x:v>0</x:v>
      </x:c>
      <x:c r="K148" s="14" t="n">
        <x:v>0</x:v>
      </x:c>
      <x:c r="L148" s="14" t="str">
        <x:v>PLANNED / UNBUILT</x:v>
      </x:c>
    </x:row>
    <x:row r="149">
      <x:c r="A149" s="14" t="str">
        <x:v>RT-B-C-TECH-4-B-BRK</x:v>
      </x:c>
      <x:c r="B149" s="14" t="str">
        <x:v>RT-B-C-TECH-4</x:v>
      </x:c>
      <x:c r="C149" s="14" t="str">
        <x:v>RT-B-C</x:v>
      </x:c>
      <x:c r="D149" s="14" t="str">
        <x:v>Builder B</x:v>
      </x:c>
      <x:c r="E149" s="14" t="str">
        <x:v>BRK</x:v>
      </x:c>
      <x:c r="F149" s="18" t="str">
        <x:v>Sacrificial fatal-cut article</x:v>
      </x:c>
      <x:c r="G149" s="18" t="str">
        <x:v>public event custodian after immutable configuration seal</x:v>
      </x:c>
      <x:c r="H149" s="18" t="str">
        <x:v>largest-cell and fatal-keystone destruction with complete teardown</x:v>
      </x:c>
      <x:c r="I149" s="14" t="n">
        <x:v>1</x:v>
      </x:c>
      <x:c r="J149" s="14" t="n">
        <x:v>0</x:v>
      </x:c>
      <x:c r="K149" s="14" t="n">
        <x:v>0</x:v>
      </x:c>
      <x:c r="L149" s="14" t="str">
        <x:v>PLANNED / UNBUILT</x:v>
      </x:c>
    </x:row>
    <x:row r="150">
      <x:c r="A150" s="14" t="str">
        <x:v>RT-B-C-TECH-4-B-RCN</x:v>
      </x:c>
      <x:c r="B150" s="14" t="str">
        <x:v>RT-B-C-TECH-4</x:v>
      </x:c>
      <x:c r="C150" s="14" t="str">
        <x:v>RT-B-C</x:v>
      </x:c>
      <x:c r="D150" s="14" t="str">
        <x:v>Builder B</x:v>
      </x:c>
      <x:c r="E150" s="14" t="str">
        <x:v>RCN</x:v>
      </x:c>
      <x:c r="F150" s="18" t="str">
        <x:v>Virgin reconstruction article</x:v>
      </x:c>
      <x:c r="G150" s="18" t="str">
        <x:v>clean reconstruction cell; origin builder denied after source release</x:v>
      </x:c>
      <x:c r="H150" s="18" t="str">
        <x:v>cold build, black start and account requalification inside 168 h</x:v>
      </x:c>
      <x:c r="I150" s="14" t="n">
        <x:v>1</x:v>
      </x:c>
      <x:c r="J150" s="14" t="n">
        <x:v>0</x:v>
      </x:c>
      <x:c r="K150" s="14" t="n">
        <x:v>0</x:v>
      </x:c>
      <x:c r="L150" s="14" t="str">
        <x:v>PLANNED / UNBUILT</x:v>
      </x:c>
    </x:row>
  </x:sheetData>
  <x:conditionalFormatting sqref="L7:L150">
    <x:cfRule type="containsText" dxfId="3" priority="1" operator="containsText" text="REQUIRED"/>
    <x:cfRule type="containsText" dxfId="4" priority="2" operator="containsText" text="FAIL"/>
    <x:cfRule type="containsText" dxfId="5" priority="3" operator="containsText" text="UNBUILT"/>
  </x:conditionalFormatting>
  <x:pageMargins left="0.7" right="0.7" top="0.75" bottom="0.75" header="0.3" footer="0.3"/>
  <x:tableParts count="1">
    <x:tablePart xmlns:r="http://schemas.openxmlformats.org/officeDocument/2006/relationships" r:id="R99cc76b621d340c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8" hidden="0" customWidth="1"/>
    <x:col min="2" max="2" width="20" hidden="0" customWidth="1"/>
    <x:col min="3" max="3" width="12" hidden="0" customWidth="1"/>
    <x:col min="4" max="4" width="14" hidden="0" customWidth="1"/>
    <x:col min="5" max="5" width="24" hidden="0" customWidth="1"/>
    <x:col min="6" max="6" width="40" hidden="0" customWidth="1"/>
    <x:col min="7" max="7" width="50" hidden="0" customWidth="1"/>
    <x:col min="8" max="8" width="58" hidden="0" customWidth="1"/>
    <x:col min="9" max="9" width="30" hidden="0" customWidth="1"/>
  </x:cols>
  <x:sheetData>
    <x:row r="1">
      <x:c r="A1" s="14"/>
      <x:c r="B1" s="14"/>
      <x:c r="C1" s="14"/>
      <x:c r="D1" s="14"/>
      <x:c r="E1" s="14"/>
      <x:c r="F1" s="14"/>
      <x:c r="G1" s="14"/>
      <x:c r="H1" s="14"/>
      <x:c r="I1" s="14"/>
    </x:row>
    <x:row r="2">
      <x:c r="A2" s="56" t="str">
        <x:v>Separated builder, tooling and proving estate</x:v>
      </x:c>
      <x:c r="B2" s="14"/>
      <x:c r="C2" s="14"/>
      <x:c r="D2" s="14"/>
      <x:c r="E2" s="14"/>
      <x:c r="F2" s="14"/>
      <x:c r="G2" s="14"/>
      <x:c r="H2" s="14"/>
      <x:c r="I2" s="14"/>
    </x:row>
    <x:row r="3">
      <x:c r="A3" s="16"/>
      <x:c r="B3" s="16"/>
      <x:c r="C3" s="16"/>
      <x:c r="D3" s="16"/>
      <x:c r="E3" s="16"/>
      <x:c r="F3" s="16"/>
      <x:c r="G3" s="16"/>
      <x:c r="H3" s="16"/>
      <x:c r="I3" s="16"/>
      <x:c r="J3" s="2"/>
      <x:c r="K3" s="2"/>
      <x:c r="L3" s="2"/>
      <x:c r="M3" s="2"/>
      <x:c r="N3" s="2"/>
      <x:c r="O3" s="2"/>
      <x:c r="P3" s="2"/>
      <x:c r="Q3" s="2"/>
    </x:row>
    <x:row r="4">
      <x:c r="A4" s="14"/>
      <x:c r="B4" s="14"/>
      <x:c r="C4" s="14"/>
      <x:c r="D4" s="14"/>
      <x:c r="E4" s="14"/>
      <x:c r="F4" s="14"/>
      <x:c r="G4" s="14"/>
      <x:c r="H4" s="14"/>
      <x:c r="I4" s="14"/>
    </x:row>
    <x:row r="5">
      <x:c r="A5" s="14"/>
      <x:c r="B5" s="14"/>
      <x:c r="C5" s="14"/>
      <x:c r="D5" s="14"/>
      <x:c r="E5" s="14"/>
      <x:c r="F5" s="14"/>
      <x:c r="G5" s="14"/>
      <x:c r="H5" s="14"/>
      <x:c r="I5" s="14"/>
    </x:row>
    <x:row r="6">
      <x:c r="A6" s="14" t="str">
        <x:v>Estate record</x:v>
      </x:c>
      <x:c r="B6" s="14" t="str">
        <x:v>Order</x:v>
      </x:c>
      <x:c r="C6" s="14" t="str">
        <x:v>Form</x:v>
      </x:c>
      <x:c r="D6" s="14" t="str">
        <x:v>Line</x:v>
      </x:c>
      <x:c r="E6" s="14" t="str">
        <x:v>Estate class</x:v>
      </x:c>
      <x:c r="F6" s="14" t="str">
        <x:v>Control and title</x:v>
      </x:c>
      <x:c r="G6" s="14" t="str">
        <x:v>Permitted role</x:v>
      </x:c>
      <x:c r="H6" s="14" t="str">
        <x:v>Prohibited role</x:v>
      </x:c>
      <x:c r="I6" s="14" t="str">
        <x:v>State</x:v>
      </x:c>
    </x:row>
    <x:row r="7">
      <x:c r="A7" s="14" t="str">
        <x:v>ET-A-A-TECH-1-A-BLD</x:v>
      </x:c>
      <x:c r="B7" s="14" t="str">
        <x:v>ET-A-A-TECH-1</x:v>
      </x:c>
      <x:c r="C7" s="14" t="str">
        <x:v>ET-A-A</x:v>
      </x:c>
      <x:c r="D7" s="14" t="str">
        <x:v>Builder A</x:v>
      </x:c>
      <x:c r="E7" s="18" t="str">
        <x:v>Builder line</x:v>
      </x:c>
      <x:c r="F7" s="18" t="str">
        <x:v>private one-root option entity</x:v>
      </x:c>
      <x:c r="G7" s="18" t="str">
        <x:v>design and fabricate the three assigned serials</x:v>
      </x:c>
      <x:c r="H7" s="18" t="str">
        <x:v>no public fixture, evidence, disposition or sibling-line control</x:v>
      </x:c>
      <x:c r="I7" s="18" t="str">
        <x:v>SOURCE EMPTY / UNCOMMISSIONED</x:v>
      </x:c>
    </x:row>
    <x:row r="8">
      <x:c r="A8" s="14" t="str">
        <x:v>ET-A-A-TECH-1-A-TOL</x:v>
      </x:c>
      <x:c r="B8" s="14" t="str">
        <x:v>ET-A-A-TECH-1</x:v>
      </x:c>
      <x:c r="C8" s="14" t="str">
        <x:v>ET-A-A</x:v>
      </x:c>
      <x:c r="D8" s="14" t="str">
        <x:v>Builder A</x:v>
      </x:c>
      <x:c r="E8" s="18" t="str">
        <x:v>Root-bound tooling cell</x:v>
      </x:c>
      <x:c r="F8" s="18" t="str">
        <x:v>public title; operator separate from sibling line</x:v>
      </x:c>
      <x:c r="G8" s="18" t="str">
        <x:v>produce, repair and disclose line-native tools and fixtures</x:v>
      </x:c>
      <x:c r="H8" s="18" t="str">
        <x:v>no use by the sibling line before evidence reveal; no collateral pledge</x:v>
      </x:c>
      <x:c r="I8" s="18" t="str">
        <x:v>SOURCE EMPTY / UNCOMMISSIONED</x:v>
      </x:c>
    </x:row>
    <x:row r="9">
      <x:c r="A9" s="14" t="str">
        <x:v>ET-A-A-TECH-1-A-FIX</x:v>
      </x:c>
      <x:c r="B9" s="14" t="str">
        <x:v>ET-A-A-TECH-1</x:v>
      </x:c>
      <x:c r="C9" s="14" t="str">
        <x:v>ET-A-A</x:v>
      </x:c>
      <x:c r="D9" s="14" t="str">
        <x:v>Fixture A</x:v>
      </x:c>
      <x:c r="E9" s="18" t="str">
        <x:v>Public proving fixture</x:v>
      </x:c>
      <x:c r="F9" s="18" t="str">
        <x:v>Resilience Proving Service</x:v>
      </x:c>
      <x:c r="G9" s="18" t="str">
        <x:v>impose challenge or matched control and preserve physical truth</x:v>
      </x:c>
      <x:c r="H9" s="18" t="str">
        <x:v>no candidate design, tuning, safeing or commercial acceptance</x:v>
      </x:c>
      <x:c r="I9" s="18" t="str">
        <x:v>SOURCE EMPTY / UNCOMMISSIONED</x:v>
      </x:c>
    </x:row>
    <x:row r="10">
      <x:c r="A10" s="14" t="str">
        <x:v>ET-A-A-TECH-1-B-BLD</x:v>
      </x:c>
      <x:c r="B10" s="14" t="str">
        <x:v>ET-A-A-TECH-1</x:v>
      </x:c>
      <x:c r="C10" s="14" t="str">
        <x:v>ET-A-A</x:v>
      </x:c>
      <x:c r="D10" s="14" t="str">
        <x:v>Builder B</x:v>
      </x:c>
      <x:c r="E10" s="18" t="str">
        <x:v>Builder line</x:v>
      </x:c>
      <x:c r="F10" s="18" t="str">
        <x:v>private one-root option entity</x:v>
      </x:c>
      <x:c r="G10" s="18" t="str">
        <x:v>design and fabricate the three assigned serials</x:v>
      </x:c>
      <x:c r="H10" s="18" t="str">
        <x:v>no public fixture, evidence, disposition or sibling-line control</x:v>
      </x:c>
      <x:c r="I10" s="18" t="str">
        <x:v>SOURCE EMPTY / UNCOMMISSIONED</x:v>
      </x:c>
    </x:row>
    <x:row r="11">
      <x:c r="A11" s="14" t="str">
        <x:v>ET-A-A-TECH-1-B-TOL</x:v>
      </x:c>
      <x:c r="B11" s="14" t="str">
        <x:v>ET-A-A-TECH-1</x:v>
      </x:c>
      <x:c r="C11" s="14" t="str">
        <x:v>ET-A-A</x:v>
      </x:c>
      <x:c r="D11" s="14" t="str">
        <x:v>Builder B</x:v>
      </x:c>
      <x:c r="E11" s="18" t="str">
        <x:v>Root-bound tooling cell</x:v>
      </x:c>
      <x:c r="F11" s="18" t="str">
        <x:v>public title; operator separate from sibling line</x:v>
      </x:c>
      <x:c r="G11" s="18" t="str">
        <x:v>produce, repair and disclose line-native tools and fixtures</x:v>
      </x:c>
      <x:c r="H11" s="18" t="str">
        <x:v>no use by the sibling line before evidence reveal; no collateral pledge</x:v>
      </x:c>
      <x:c r="I11" s="18" t="str">
        <x:v>SOURCE EMPTY / UNCOMMISSIONED</x:v>
      </x:c>
    </x:row>
    <x:row r="12">
      <x:c r="A12" s="14" t="str">
        <x:v>ET-A-A-TECH-1-B-FIX</x:v>
      </x:c>
      <x:c r="B12" s="14" t="str">
        <x:v>ET-A-A-TECH-1</x:v>
      </x:c>
      <x:c r="C12" s="14" t="str">
        <x:v>ET-A-A</x:v>
      </x:c>
      <x:c r="D12" s="14" t="str">
        <x:v>Fixture B</x:v>
      </x:c>
      <x:c r="E12" s="18" t="str">
        <x:v>Public proving fixture</x:v>
      </x:c>
      <x:c r="F12" s="18" t="str">
        <x:v>Resilience Proving Service</x:v>
      </x:c>
      <x:c r="G12" s="18" t="str">
        <x:v>impose challenge or matched control and preserve physical truth</x:v>
      </x:c>
      <x:c r="H12" s="18" t="str">
        <x:v>no candidate design, tuning, safeing or commercial acceptance</x:v>
      </x:c>
      <x:c r="I12" s="18" t="str">
        <x:v>SOURCE EMPTY / UNCOMMISSIONED</x:v>
      </x:c>
    </x:row>
    <x:row r="13">
      <x:c r="A13" s="14" t="str">
        <x:v>ET-A-A-TECH-2-A-BLD</x:v>
      </x:c>
      <x:c r="B13" s="14" t="str">
        <x:v>ET-A-A-TECH-2</x:v>
      </x:c>
      <x:c r="C13" s="14" t="str">
        <x:v>ET-A-A</x:v>
      </x:c>
      <x:c r="D13" s="14" t="str">
        <x:v>Builder A</x:v>
      </x:c>
      <x:c r="E13" s="18" t="str">
        <x:v>Builder line</x:v>
      </x:c>
      <x:c r="F13" s="18" t="str">
        <x:v>private one-root option entity</x:v>
      </x:c>
      <x:c r="G13" s="18" t="str">
        <x:v>design and fabricate the three assigned serials</x:v>
      </x:c>
      <x:c r="H13" s="18" t="str">
        <x:v>no public fixture, evidence, disposition or sibling-line control</x:v>
      </x:c>
      <x:c r="I13" s="18" t="str">
        <x:v>SOURCE EMPTY / UNCOMMISSIONED</x:v>
      </x:c>
    </x:row>
    <x:row r="14">
      <x:c r="A14" s="14" t="str">
        <x:v>ET-A-A-TECH-2-A-TOL</x:v>
      </x:c>
      <x:c r="B14" s="14" t="str">
        <x:v>ET-A-A-TECH-2</x:v>
      </x:c>
      <x:c r="C14" s="14" t="str">
        <x:v>ET-A-A</x:v>
      </x:c>
      <x:c r="D14" s="14" t="str">
        <x:v>Builder A</x:v>
      </x:c>
      <x:c r="E14" s="18" t="str">
        <x:v>Root-bound tooling cell</x:v>
      </x:c>
      <x:c r="F14" s="18" t="str">
        <x:v>public title; operator separate from sibling line</x:v>
      </x:c>
      <x:c r="G14" s="18" t="str">
        <x:v>produce, repair and disclose line-native tools and fixtures</x:v>
      </x:c>
      <x:c r="H14" s="18" t="str">
        <x:v>no use by the sibling line before evidence reveal; no collateral pledge</x:v>
      </x:c>
      <x:c r="I14" s="18" t="str">
        <x:v>SOURCE EMPTY / UNCOMMISSIONED</x:v>
      </x:c>
    </x:row>
    <x:row r="15">
      <x:c r="A15" s="14" t="str">
        <x:v>ET-A-A-TECH-2-A-FIX</x:v>
      </x:c>
      <x:c r="B15" s="14" t="str">
        <x:v>ET-A-A-TECH-2</x:v>
      </x:c>
      <x:c r="C15" s="14" t="str">
        <x:v>ET-A-A</x:v>
      </x:c>
      <x:c r="D15" s="14" t="str">
        <x:v>Fixture A</x:v>
      </x:c>
      <x:c r="E15" s="18" t="str">
        <x:v>Public proving fixture</x:v>
      </x:c>
      <x:c r="F15" s="18" t="str">
        <x:v>Resilience Proving Service</x:v>
      </x:c>
      <x:c r="G15" s="18" t="str">
        <x:v>impose challenge or matched control and preserve physical truth</x:v>
      </x:c>
      <x:c r="H15" s="18" t="str">
        <x:v>no candidate design, tuning, safeing or commercial acceptance</x:v>
      </x:c>
      <x:c r="I15" s="18" t="str">
        <x:v>SOURCE EMPTY / UNCOMMISSIONED</x:v>
      </x:c>
    </x:row>
    <x:row r="16">
      <x:c r="A16" s="14" t="str">
        <x:v>ET-A-A-TECH-2-B-BLD</x:v>
      </x:c>
      <x:c r="B16" s="14" t="str">
        <x:v>ET-A-A-TECH-2</x:v>
      </x:c>
      <x:c r="C16" s="14" t="str">
        <x:v>ET-A-A</x:v>
      </x:c>
      <x:c r="D16" s="14" t="str">
        <x:v>Builder B</x:v>
      </x:c>
      <x:c r="E16" s="18" t="str">
        <x:v>Builder line</x:v>
      </x:c>
      <x:c r="F16" s="18" t="str">
        <x:v>private one-root option entity</x:v>
      </x:c>
      <x:c r="G16" s="18" t="str">
        <x:v>design and fabricate the three assigned serials</x:v>
      </x:c>
      <x:c r="H16" s="18" t="str">
        <x:v>no public fixture, evidence, disposition or sibling-line control</x:v>
      </x:c>
      <x:c r="I16" s="18" t="str">
        <x:v>SOURCE EMPTY / UNCOMMISSIONED</x:v>
      </x:c>
    </x:row>
    <x:row r="17">
      <x:c r="A17" s="14" t="str">
        <x:v>ET-A-A-TECH-2-B-TOL</x:v>
      </x:c>
      <x:c r="B17" s="14" t="str">
        <x:v>ET-A-A-TECH-2</x:v>
      </x:c>
      <x:c r="C17" s="14" t="str">
        <x:v>ET-A-A</x:v>
      </x:c>
      <x:c r="D17" s="14" t="str">
        <x:v>Builder B</x:v>
      </x:c>
      <x:c r="E17" s="18" t="str">
        <x:v>Root-bound tooling cell</x:v>
      </x:c>
      <x:c r="F17" s="18" t="str">
        <x:v>public title; operator separate from sibling line</x:v>
      </x:c>
      <x:c r="G17" s="18" t="str">
        <x:v>produce, repair and disclose line-native tools and fixtures</x:v>
      </x:c>
      <x:c r="H17" s="18" t="str">
        <x:v>no use by the sibling line before evidence reveal; no collateral pledge</x:v>
      </x:c>
      <x:c r="I17" s="18" t="str">
        <x:v>SOURCE EMPTY / UNCOMMISSIONED</x:v>
      </x:c>
    </x:row>
    <x:row r="18">
      <x:c r="A18" s="14" t="str">
        <x:v>ET-A-A-TECH-2-B-FIX</x:v>
      </x:c>
      <x:c r="B18" s="14" t="str">
        <x:v>ET-A-A-TECH-2</x:v>
      </x:c>
      <x:c r="C18" s="14" t="str">
        <x:v>ET-A-A</x:v>
      </x:c>
      <x:c r="D18" s="14" t="str">
        <x:v>Fixture B</x:v>
      </x:c>
      <x:c r="E18" s="18" t="str">
        <x:v>Public proving fixture</x:v>
      </x:c>
      <x:c r="F18" s="18" t="str">
        <x:v>Resilience Proving Service</x:v>
      </x:c>
      <x:c r="G18" s="18" t="str">
        <x:v>impose challenge or matched control and preserve physical truth</x:v>
      </x:c>
      <x:c r="H18" s="18" t="str">
        <x:v>no candidate design, tuning, safeing or commercial acceptance</x:v>
      </x:c>
      <x:c r="I18" s="18" t="str">
        <x:v>SOURCE EMPTY / UNCOMMISSIONED</x:v>
      </x:c>
    </x:row>
    <x:row r="19">
      <x:c r="A19" s="14" t="str">
        <x:v>ET-A-A-TECH-3-A-BLD</x:v>
      </x:c>
      <x:c r="B19" s="14" t="str">
        <x:v>ET-A-A-TECH-3</x:v>
      </x:c>
      <x:c r="C19" s="14" t="str">
        <x:v>ET-A-A</x:v>
      </x:c>
      <x:c r="D19" s="14" t="str">
        <x:v>Builder A</x:v>
      </x:c>
      <x:c r="E19" s="18" t="str">
        <x:v>Builder line</x:v>
      </x:c>
      <x:c r="F19" s="18" t="str">
        <x:v>private one-root option entity</x:v>
      </x:c>
      <x:c r="G19" s="18" t="str">
        <x:v>design and fabricate the three assigned serials</x:v>
      </x:c>
      <x:c r="H19" s="18" t="str">
        <x:v>no public fixture, evidence, disposition or sibling-line control</x:v>
      </x:c>
      <x:c r="I19" s="18" t="str">
        <x:v>SOURCE EMPTY / UNCOMMISSIONED</x:v>
      </x:c>
    </x:row>
    <x:row r="20">
      <x:c r="A20" s="14" t="str">
        <x:v>ET-A-A-TECH-3-A-TOL</x:v>
      </x:c>
      <x:c r="B20" s="14" t="str">
        <x:v>ET-A-A-TECH-3</x:v>
      </x:c>
      <x:c r="C20" s="14" t="str">
        <x:v>ET-A-A</x:v>
      </x:c>
      <x:c r="D20" s="14" t="str">
        <x:v>Builder A</x:v>
      </x:c>
      <x:c r="E20" s="18" t="str">
        <x:v>Root-bound tooling cell</x:v>
      </x:c>
      <x:c r="F20" s="18" t="str">
        <x:v>public title; operator separate from sibling line</x:v>
      </x:c>
      <x:c r="G20" s="18" t="str">
        <x:v>produce, repair and disclose line-native tools and fixtures</x:v>
      </x:c>
      <x:c r="H20" s="18" t="str">
        <x:v>no use by the sibling line before evidence reveal; no collateral pledge</x:v>
      </x:c>
      <x:c r="I20" s="18" t="str">
        <x:v>SOURCE EMPTY / UNCOMMISSIONED</x:v>
      </x:c>
    </x:row>
    <x:row r="21">
      <x:c r="A21" s="14" t="str">
        <x:v>ET-A-A-TECH-3-A-FIX</x:v>
      </x:c>
      <x:c r="B21" s="14" t="str">
        <x:v>ET-A-A-TECH-3</x:v>
      </x:c>
      <x:c r="C21" s="14" t="str">
        <x:v>ET-A-A</x:v>
      </x:c>
      <x:c r="D21" s="14" t="str">
        <x:v>Fixture A</x:v>
      </x:c>
      <x:c r="E21" s="18" t="str">
        <x:v>Public proving fixture</x:v>
      </x:c>
      <x:c r="F21" s="18" t="str">
        <x:v>Resilience Proving Service</x:v>
      </x:c>
      <x:c r="G21" s="18" t="str">
        <x:v>impose challenge or matched control and preserve physical truth</x:v>
      </x:c>
      <x:c r="H21" s="18" t="str">
        <x:v>no candidate design, tuning, safeing or commercial acceptance</x:v>
      </x:c>
      <x:c r="I21" s="18" t="str">
        <x:v>SOURCE EMPTY / UNCOMMISSIONED</x:v>
      </x:c>
    </x:row>
    <x:row r="22">
      <x:c r="A22" s="14" t="str">
        <x:v>ET-A-A-TECH-3-B-BLD</x:v>
      </x:c>
      <x:c r="B22" s="14" t="str">
        <x:v>ET-A-A-TECH-3</x:v>
      </x:c>
      <x:c r="C22" s="14" t="str">
        <x:v>ET-A-A</x:v>
      </x:c>
      <x:c r="D22" s="14" t="str">
        <x:v>Builder B</x:v>
      </x:c>
      <x:c r="E22" s="18" t="str">
        <x:v>Builder line</x:v>
      </x:c>
      <x:c r="F22" s="18" t="str">
        <x:v>private one-root option entity</x:v>
      </x:c>
      <x:c r="G22" s="18" t="str">
        <x:v>design and fabricate the three assigned serials</x:v>
      </x:c>
      <x:c r="H22" s="18" t="str">
        <x:v>no public fixture, evidence, disposition or sibling-line control</x:v>
      </x:c>
      <x:c r="I22" s="18" t="str">
        <x:v>SOURCE EMPTY / UNCOMMISSIONED</x:v>
      </x:c>
    </x:row>
    <x:row r="23">
      <x:c r="A23" s="14" t="str">
        <x:v>ET-A-A-TECH-3-B-TOL</x:v>
      </x:c>
      <x:c r="B23" s="14" t="str">
        <x:v>ET-A-A-TECH-3</x:v>
      </x:c>
      <x:c r="C23" s="14" t="str">
        <x:v>ET-A-A</x:v>
      </x:c>
      <x:c r="D23" s="14" t="str">
        <x:v>Builder B</x:v>
      </x:c>
      <x:c r="E23" s="18" t="str">
        <x:v>Root-bound tooling cell</x:v>
      </x:c>
      <x:c r="F23" s="18" t="str">
        <x:v>public title; operator separate from sibling line</x:v>
      </x:c>
      <x:c r="G23" s="18" t="str">
        <x:v>produce, repair and disclose line-native tools and fixtures</x:v>
      </x:c>
      <x:c r="H23" s="18" t="str">
        <x:v>no use by the sibling line before evidence reveal; no collateral pledge</x:v>
      </x:c>
      <x:c r="I23" s="18" t="str">
        <x:v>SOURCE EMPTY / UNCOMMISSIONED</x:v>
      </x:c>
    </x:row>
    <x:row r="24">
      <x:c r="A24" s="14" t="str">
        <x:v>ET-A-A-TECH-3-B-FIX</x:v>
      </x:c>
      <x:c r="B24" s="14" t="str">
        <x:v>ET-A-A-TECH-3</x:v>
      </x:c>
      <x:c r="C24" s="14" t="str">
        <x:v>ET-A-A</x:v>
      </x:c>
      <x:c r="D24" s="14" t="str">
        <x:v>Fixture B</x:v>
      </x:c>
      <x:c r="E24" s="18" t="str">
        <x:v>Public proving fixture</x:v>
      </x:c>
      <x:c r="F24" s="18" t="str">
        <x:v>Resilience Proving Service</x:v>
      </x:c>
      <x:c r="G24" s="18" t="str">
        <x:v>impose challenge or matched control and preserve physical truth</x:v>
      </x:c>
      <x:c r="H24" s="18" t="str">
        <x:v>no candidate design, tuning, safeing or commercial acceptance</x:v>
      </x:c>
      <x:c r="I24" s="18" t="str">
        <x:v>SOURCE EMPTY / UNCOMMISSIONED</x:v>
      </x:c>
    </x:row>
    <x:row r="25">
      <x:c r="A25" s="14" t="str">
        <x:v>ET-A-A-TECH-4-A-BLD</x:v>
      </x:c>
      <x:c r="B25" s="14" t="str">
        <x:v>ET-A-A-TECH-4</x:v>
      </x:c>
      <x:c r="C25" s="14" t="str">
        <x:v>ET-A-A</x:v>
      </x:c>
      <x:c r="D25" s="14" t="str">
        <x:v>Builder A</x:v>
      </x:c>
      <x:c r="E25" s="18" t="str">
        <x:v>Builder line</x:v>
      </x:c>
      <x:c r="F25" s="18" t="str">
        <x:v>private one-root option entity</x:v>
      </x:c>
      <x:c r="G25" s="18" t="str">
        <x:v>design and fabricate the three assigned serials</x:v>
      </x:c>
      <x:c r="H25" s="18" t="str">
        <x:v>no public fixture, evidence, disposition or sibling-line control</x:v>
      </x:c>
      <x:c r="I25" s="18" t="str">
        <x:v>SOURCE EMPTY / UNCOMMISSIONED</x:v>
      </x:c>
    </x:row>
    <x:row r="26">
      <x:c r="A26" s="14" t="str">
        <x:v>ET-A-A-TECH-4-A-TOL</x:v>
      </x:c>
      <x:c r="B26" s="14" t="str">
        <x:v>ET-A-A-TECH-4</x:v>
      </x:c>
      <x:c r="C26" s="14" t="str">
        <x:v>ET-A-A</x:v>
      </x:c>
      <x:c r="D26" s="14" t="str">
        <x:v>Builder A</x:v>
      </x:c>
      <x:c r="E26" s="18" t="str">
        <x:v>Root-bound tooling cell</x:v>
      </x:c>
      <x:c r="F26" s="18" t="str">
        <x:v>public title; operator separate from sibling line</x:v>
      </x:c>
      <x:c r="G26" s="18" t="str">
        <x:v>produce, repair and disclose line-native tools and fixtures</x:v>
      </x:c>
      <x:c r="H26" s="18" t="str">
        <x:v>no use by the sibling line before evidence reveal; no collateral pledge</x:v>
      </x:c>
      <x:c r="I26" s="18" t="str">
        <x:v>SOURCE EMPTY / UNCOMMISSIONED</x:v>
      </x:c>
    </x:row>
    <x:row r="27">
      <x:c r="A27" s="14" t="str">
        <x:v>ET-A-A-TECH-4-A-FIX</x:v>
      </x:c>
      <x:c r="B27" s="14" t="str">
        <x:v>ET-A-A-TECH-4</x:v>
      </x:c>
      <x:c r="C27" s="14" t="str">
        <x:v>ET-A-A</x:v>
      </x:c>
      <x:c r="D27" s="14" t="str">
        <x:v>Fixture A</x:v>
      </x:c>
      <x:c r="E27" s="18" t="str">
        <x:v>Public proving fixture</x:v>
      </x:c>
      <x:c r="F27" s="18" t="str">
        <x:v>Resilience Proving Service</x:v>
      </x:c>
      <x:c r="G27" s="18" t="str">
        <x:v>impose challenge or matched control and preserve physical truth</x:v>
      </x:c>
      <x:c r="H27" s="18" t="str">
        <x:v>no candidate design, tuning, safeing or commercial acceptance</x:v>
      </x:c>
      <x:c r="I27" s="18" t="str">
        <x:v>SOURCE EMPTY / UNCOMMISSIONED</x:v>
      </x:c>
    </x:row>
    <x:row r="28">
      <x:c r="A28" s="14" t="str">
        <x:v>ET-A-A-TECH-4-B-BLD</x:v>
      </x:c>
      <x:c r="B28" s="14" t="str">
        <x:v>ET-A-A-TECH-4</x:v>
      </x:c>
      <x:c r="C28" s="14" t="str">
        <x:v>ET-A-A</x:v>
      </x:c>
      <x:c r="D28" s="14" t="str">
        <x:v>Builder B</x:v>
      </x:c>
      <x:c r="E28" s="18" t="str">
        <x:v>Builder line</x:v>
      </x:c>
      <x:c r="F28" s="18" t="str">
        <x:v>private one-root option entity</x:v>
      </x:c>
      <x:c r="G28" s="18" t="str">
        <x:v>design and fabricate the three assigned serials</x:v>
      </x:c>
      <x:c r="H28" s="18" t="str">
        <x:v>no public fixture, evidence, disposition or sibling-line control</x:v>
      </x:c>
      <x:c r="I28" s="18" t="str">
        <x:v>SOURCE EMPTY / UNCOMMISSIONED</x:v>
      </x:c>
    </x:row>
    <x:row r="29">
      <x:c r="A29" s="14" t="str">
        <x:v>ET-A-A-TECH-4-B-TOL</x:v>
      </x:c>
      <x:c r="B29" s="14" t="str">
        <x:v>ET-A-A-TECH-4</x:v>
      </x:c>
      <x:c r="C29" s="14" t="str">
        <x:v>ET-A-A</x:v>
      </x:c>
      <x:c r="D29" s="14" t="str">
        <x:v>Builder B</x:v>
      </x:c>
      <x:c r="E29" s="18" t="str">
        <x:v>Root-bound tooling cell</x:v>
      </x:c>
      <x:c r="F29" s="18" t="str">
        <x:v>public title; operator separate from sibling line</x:v>
      </x:c>
      <x:c r="G29" s="18" t="str">
        <x:v>produce, repair and disclose line-native tools and fixtures</x:v>
      </x:c>
      <x:c r="H29" s="18" t="str">
        <x:v>no use by the sibling line before evidence reveal; no collateral pledge</x:v>
      </x:c>
      <x:c r="I29" s="18" t="str">
        <x:v>SOURCE EMPTY / UNCOMMISSIONED</x:v>
      </x:c>
    </x:row>
    <x:row r="30">
      <x:c r="A30" s="14" t="str">
        <x:v>ET-A-A-TECH-4-B-FIX</x:v>
      </x:c>
      <x:c r="B30" s="14" t="str">
        <x:v>ET-A-A-TECH-4</x:v>
      </x:c>
      <x:c r="C30" s="14" t="str">
        <x:v>ET-A-A</x:v>
      </x:c>
      <x:c r="D30" s="14" t="str">
        <x:v>Fixture B</x:v>
      </x:c>
      <x:c r="E30" s="18" t="str">
        <x:v>Public proving fixture</x:v>
      </x:c>
      <x:c r="F30" s="18" t="str">
        <x:v>Resilience Proving Service</x:v>
      </x:c>
      <x:c r="G30" s="18" t="str">
        <x:v>impose challenge or matched control and preserve physical truth</x:v>
      </x:c>
      <x:c r="H30" s="18" t="str">
        <x:v>no candidate design, tuning, safeing or commercial acceptance</x:v>
      </x:c>
      <x:c r="I30" s="18" t="str">
        <x:v>SOURCE EMPTY / UNCOMMISSIONED</x:v>
      </x:c>
    </x:row>
    <x:row r="31">
      <x:c r="A31" s="14" t="str">
        <x:v>CT-C-B-TECH-1-A-BLD</x:v>
      </x:c>
      <x:c r="B31" s="14" t="str">
        <x:v>CT-C-B-TECH-1</x:v>
      </x:c>
      <x:c r="C31" s="14" t="str">
        <x:v>CT-C-B</x:v>
      </x:c>
      <x:c r="D31" s="14" t="str">
        <x:v>Builder A</x:v>
      </x:c>
      <x:c r="E31" s="18" t="str">
        <x:v>Builder line</x:v>
      </x:c>
      <x:c r="F31" s="18" t="str">
        <x:v>private one-root option entity</x:v>
      </x:c>
      <x:c r="G31" s="18" t="str">
        <x:v>design and fabricate the three assigned serials</x:v>
      </x:c>
      <x:c r="H31" s="18" t="str">
        <x:v>no public fixture, evidence, disposition or sibling-line control</x:v>
      </x:c>
      <x:c r="I31" s="18" t="str">
        <x:v>SOURCE EMPTY / UNCOMMISSIONED</x:v>
      </x:c>
    </x:row>
    <x:row r="32">
      <x:c r="A32" s="14" t="str">
        <x:v>CT-C-B-TECH-1-A-TOL</x:v>
      </x:c>
      <x:c r="B32" s="14" t="str">
        <x:v>CT-C-B-TECH-1</x:v>
      </x:c>
      <x:c r="C32" s="14" t="str">
        <x:v>CT-C-B</x:v>
      </x:c>
      <x:c r="D32" s="14" t="str">
        <x:v>Builder A</x:v>
      </x:c>
      <x:c r="E32" s="18" t="str">
        <x:v>Root-bound tooling cell</x:v>
      </x:c>
      <x:c r="F32" s="18" t="str">
        <x:v>public title; operator separate from sibling line</x:v>
      </x:c>
      <x:c r="G32" s="18" t="str">
        <x:v>produce, repair and disclose line-native tools and fixtures</x:v>
      </x:c>
      <x:c r="H32" s="18" t="str">
        <x:v>no use by the sibling line before evidence reveal; no collateral pledge</x:v>
      </x:c>
      <x:c r="I32" s="18" t="str">
        <x:v>SOURCE EMPTY / UNCOMMISSIONED</x:v>
      </x:c>
    </x:row>
    <x:row r="33">
      <x:c r="A33" s="14" t="str">
        <x:v>CT-C-B-TECH-1-A-FIX</x:v>
      </x:c>
      <x:c r="B33" s="14" t="str">
        <x:v>CT-C-B-TECH-1</x:v>
      </x:c>
      <x:c r="C33" s="14" t="str">
        <x:v>CT-C-B</x:v>
      </x:c>
      <x:c r="D33" s="14" t="str">
        <x:v>Fixture A</x:v>
      </x:c>
      <x:c r="E33" s="18" t="str">
        <x:v>Public proving fixture</x:v>
      </x:c>
      <x:c r="F33" s="18" t="str">
        <x:v>Resilience Proving Service</x:v>
      </x:c>
      <x:c r="G33" s="18" t="str">
        <x:v>impose challenge or matched control and preserve physical truth</x:v>
      </x:c>
      <x:c r="H33" s="18" t="str">
        <x:v>no candidate design, tuning, safeing or commercial acceptance</x:v>
      </x:c>
      <x:c r="I33" s="18" t="str">
        <x:v>SOURCE EMPTY / UNCOMMISSIONED</x:v>
      </x:c>
    </x:row>
    <x:row r="34">
      <x:c r="A34" s="14" t="str">
        <x:v>CT-C-B-TECH-1-B-BLD</x:v>
      </x:c>
      <x:c r="B34" s="14" t="str">
        <x:v>CT-C-B-TECH-1</x:v>
      </x:c>
      <x:c r="C34" s="14" t="str">
        <x:v>CT-C-B</x:v>
      </x:c>
      <x:c r="D34" s="14" t="str">
        <x:v>Builder B</x:v>
      </x:c>
      <x:c r="E34" s="18" t="str">
        <x:v>Builder line</x:v>
      </x:c>
      <x:c r="F34" s="18" t="str">
        <x:v>private one-root option entity</x:v>
      </x:c>
      <x:c r="G34" s="18" t="str">
        <x:v>design and fabricate the three assigned serials</x:v>
      </x:c>
      <x:c r="H34" s="18" t="str">
        <x:v>no public fixture, evidence, disposition or sibling-line control</x:v>
      </x:c>
      <x:c r="I34" s="18" t="str">
        <x:v>SOURCE EMPTY / UNCOMMISSIONED</x:v>
      </x:c>
    </x:row>
    <x:row r="35">
      <x:c r="A35" s="14" t="str">
        <x:v>CT-C-B-TECH-1-B-TOL</x:v>
      </x:c>
      <x:c r="B35" s="14" t="str">
        <x:v>CT-C-B-TECH-1</x:v>
      </x:c>
      <x:c r="C35" s="14" t="str">
        <x:v>CT-C-B</x:v>
      </x:c>
      <x:c r="D35" s="14" t="str">
        <x:v>Builder B</x:v>
      </x:c>
      <x:c r="E35" s="18" t="str">
        <x:v>Root-bound tooling cell</x:v>
      </x:c>
      <x:c r="F35" s="18" t="str">
        <x:v>public title; operator separate from sibling line</x:v>
      </x:c>
      <x:c r="G35" s="18" t="str">
        <x:v>produce, repair and disclose line-native tools and fixtures</x:v>
      </x:c>
      <x:c r="H35" s="18" t="str">
        <x:v>no use by the sibling line before evidence reveal; no collateral pledge</x:v>
      </x:c>
      <x:c r="I35" s="18" t="str">
        <x:v>SOURCE EMPTY / UNCOMMISSIONED</x:v>
      </x:c>
    </x:row>
    <x:row r="36">
      <x:c r="A36" s="14" t="str">
        <x:v>CT-C-B-TECH-1-B-FIX</x:v>
      </x:c>
      <x:c r="B36" s="14" t="str">
        <x:v>CT-C-B-TECH-1</x:v>
      </x:c>
      <x:c r="C36" s="14" t="str">
        <x:v>CT-C-B</x:v>
      </x:c>
      <x:c r="D36" s="14" t="str">
        <x:v>Fixture B</x:v>
      </x:c>
      <x:c r="E36" s="18" t="str">
        <x:v>Public proving fixture</x:v>
      </x:c>
      <x:c r="F36" s="18" t="str">
        <x:v>Resilience Proving Service</x:v>
      </x:c>
      <x:c r="G36" s="18" t="str">
        <x:v>impose challenge or matched control and preserve physical truth</x:v>
      </x:c>
      <x:c r="H36" s="18" t="str">
        <x:v>no candidate design, tuning, safeing or commercial acceptance</x:v>
      </x:c>
      <x:c r="I36" s="18" t="str">
        <x:v>SOURCE EMPTY / UNCOMMISSIONED</x:v>
      </x:c>
    </x:row>
    <x:row r="37">
      <x:c r="A37" s="14" t="str">
        <x:v>CT-C-B-TECH-2-A-BLD</x:v>
      </x:c>
      <x:c r="B37" s="14" t="str">
        <x:v>CT-C-B-TECH-2</x:v>
      </x:c>
      <x:c r="C37" s="14" t="str">
        <x:v>CT-C-B</x:v>
      </x:c>
      <x:c r="D37" s="14" t="str">
        <x:v>Builder A</x:v>
      </x:c>
      <x:c r="E37" s="18" t="str">
        <x:v>Builder line</x:v>
      </x:c>
      <x:c r="F37" s="18" t="str">
        <x:v>private one-root option entity</x:v>
      </x:c>
      <x:c r="G37" s="18" t="str">
        <x:v>design and fabricate the three assigned serials</x:v>
      </x:c>
      <x:c r="H37" s="18" t="str">
        <x:v>no public fixture, evidence, disposition or sibling-line control</x:v>
      </x:c>
      <x:c r="I37" s="18" t="str">
        <x:v>SOURCE EMPTY / UNCOMMISSIONED</x:v>
      </x:c>
    </x:row>
    <x:row r="38">
      <x:c r="A38" s="14" t="str">
        <x:v>CT-C-B-TECH-2-A-TOL</x:v>
      </x:c>
      <x:c r="B38" s="14" t="str">
        <x:v>CT-C-B-TECH-2</x:v>
      </x:c>
      <x:c r="C38" s="14" t="str">
        <x:v>CT-C-B</x:v>
      </x:c>
      <x:c r="D38" s="14" t="str">
        <x:v>Builder A</x:v>
      </x:c>
      <x:c r="E38" s="18" t="str">
        <x:v>Root-bound tooling cell</x:v>
      </x:c>
      <x:c r="F38" s="18" t="str">
        <x:v>public title; operator separate from sibling line</x:v>
      </x:c>
      <x:c r="G38" s="18" t="str">
        <x:v>produce, repair and disclose line-native tools and fixtures</x:v>
      </x:c>
      <x:c r="H38" s="18" t="str">
        <x:v>no use by the sibling line before evidence reveal; no collateral pledge</x:v>
      </x:c>
      <x:c r="I38" s="18" t="str">
        <x:v>SOURCE EMPTY / UNCOMMISSIONED</x:v>
      </x:c>
    </x:row>
    <x:row r="39">
      <x:c r="A39" s="14" t="str">
        <x:v>CT-C-B-TECH-2-A-FIX</x:v>
      </x:c>
      <x:c r="B39" s="14" t="str">
        <x:v>CT-C-B-TECH-2</x:v>
      </x:c>
      <x:c r="C39" s="14" t="str">
        <x:v>CT-C-B</x:v>
      </x:c>
      <x:c r="D39" s="14" t="str">
        <x:v>Fixture A</x:v>
      </x:c>
      <x:c r="E39" s="18" t="str">
        <x:v>Public proving fixture</x:v>
      </x:c>
      <x:c r="F39" s="18" t="str">
        <x:v>Resilience Proving Service</x:v>
      </x:c>
      <x:c r="G39" s="18" t="str">
        <x:v>impose challenge or matched control and preserve physical truth</x:v>
      </x:c>
      <x:c r="H39" s="18" t="str">
        <x:v>no candidate design, tuning, safeing or commercial acceptance</x:v>
      </x:c>
      <x:c r="I39" s="18" t="str">
        <x:v>SOURCE EMPTY / UNCOMMISSIONED</x:v>
      </x:c>
    </x:row>
    <x:row r="40">
      <x:c r="A40" s="14" t="str">
        <x:v>CT-C-B-TECH-2-B-BLD</x:v>
      </x:c>
      <x:c r="B40" s="14" t="str">
        <x:v>CT-C-B-TECH-2</x:v>
      </x:c>
      <x:c r="C40" s="14" t="str">
        <x:v>CT-C-B</x:v>
      </x:c>
      <x:c r="D40" s="14" t="str">
        <x:v>Builder B</x:v>
      </x:c>
      <x:c r="E40" s="18" t="str">
        <x:v>Builder line</x:v>
      </x:c>
      <x:c r="F40" s="18" t="str">
        <x:v>private one-root option entity</x:v>
      </x:c>
      <x:c r="G40" s="18" t="str">
        <x:v>design and fabricate the three assigned serials</x:v>
      </x:c>
      <x:c r="H40" s="18" t="str">
        <x:v>no public fixture, evidence, disposition or sibling-line control</x:v>
      </x:c>
      <x:c r="I40" s="18" t="str">
        <x:v>SOURCE EMPTY / UNCOMMISSIONED</x:v>
      </x:c>
    </x:row>
    <x:row r="41">
      <x:c r="A41" s="14" t="str">
        <x:v>CT-C-B-TECH-2-B-TOL</x:v>
      </x:c>
      <x:c r="B41" s="14" t="str">
        <x:v>CT-C-B-TECH-2</x:v>
      </x:c>
      <x:c r="C41" s="14" t="str">
        <x:v>CT-C-B</x:v>
      </x:c>
      <x:c r="D41" s="14" t="str">
        <x:v>Builder B</x:v>
      </x:c>
      <x:c r="E41" s="18" t="str">
        <x:v>Root-bound tooling cell</x:v>
      </x:c>
      <x:c r="F41" s="18" t="str">
        <x:v>public title; operator separate from sibling line</x:v>
      </x:c>
      <x:c r="G41" s="18" t="str">
        <x:v>produce, repair and disclose line-native tools and fixtures</x:v>
      </x:c>
      <x:c r="H41" s="18" t="str">
        <x:v>no use by the sibling line before evidence reveal; no collateral pledge</x:v>
      </x:c>
      <x:c r="I41" s="18" t="str">
        <x:v>SOURCE EMPTY / UNCOMMISSIONED</x:v>
      </x:c>
    </x:row>
    <x:row r="42">
      <x:c r="A42" s="14" t="str">
        <x:v>CT-C-B-TECH-2-B-FIX</x:v>
      </x:c>
      <x:c r="B42" s="14" t="str">
        <x:v>CT-C-B-TECH-2</x:v>
      </x:c>
      <x:c r="C42" s="14" t="str">
        <x:v>CT-C-B</x:v>
      </x:c>
      <x:c r="D42" s="14" t="str">
        <x:v>Fixture B</x:v>
      </x:c>
      <x:c r="E42" s="18" t="str">
        <x:v>Public proving fixture</x:v>
      </x:c>
      <x:c r="F42" s="18" t="str">
        <x:v>Resilience Proving Service</x:v>
      </x:c>
      <x:c r="G42" s="18" t="str">
        <x:v>impose challenge or matched control and preserve physical truth</x:v>
      </x:c>
      <x:c r="H42" s="18" t="str">
        <x:v>no candidate design, tuning, safeing or commercial acceptance</x:v>
      </x:c>
      <x:c r="I42" s="18" t="str">
        <x:v>SOURCE EMPTY / UNCOMMISSIONED</x:v>
      </x:c>
    </x:row>
    <x:row r="43">
      <x:c r="A43" s="14" t="str">
        <x:v>CT-C-B-TECH-3-A-BLD</x:v>
      </x:c>
      <x:c r="B43" s="14" t="str">
        <x:v>CT-C-B-TECH-3</x:v>
      </x:c>
      <x:c r="C43" s="14" t="str">
        <x:v>CT-C-B</x:v>
      </x:c>
      <x:c r="D43" s="14" t="str">
        <x:v>Builder A</x:v>
      </x:c>
      <x:c r="E43" s="18" t="str">
        <x:v>Builder line</x:v>
      </x:c>
      <x:c r="F43" s="18" t="str">
        <x:v>private one-root option entity</x:v>
      </x:c>
      <x:c r="G43" s="18" t="str">
        <x:v>design and fabricate the three assigned serials</x:v>
      </x:c>
      <x:c r="H43" s="18" t="str">
        <x:v>no public fixture, evidence, disposition or sibling-line control</x:v>
      </x:c>
      <x:c r="I43" s="18" t="str">
        <x:v>SOURCE EMPTY / UNCOMMISSIONED</x:v>
      </x:c>
    </x:row>
    <x:row r="44">
      <x:c r="A44" s="14" t="str">
        <x:v>CT-C-B-TECH-3-A-TOL</x:v>
      </x:c>
      <x:c r="B44" s="14" t="str">
        <x:v>CT-C-B-TECH-3</x:v>
      </x:c>
      <x:c r="C44" s="14" t="str">
        <x:v>CT-C-B</x:v>
      </x:c>
      <x:c r="D44" s="14" t="str">
        <x:v>Builder A</x:v>
      </x:c>
      <x:c r="E44" s="18" t="str">
        <x:v>Root-bound tooling cell</x:v>
      </x:c>
      <x:c r="F44" s="18" t="str">
        <x:v>public title; operator separate from sibling line</x:v>
      </x:c>
      <x:c r="G44" s="18" t="str">
        <x:v>produce, repair and disclose line-native tools and fixtures</x:v>
      </x:c>
      <x:c r="H44" s="18" t="str">
        <x:v>no use by the sibling line before evidence reveal; no collateral pledge</x:v>
      </x:c>
      <x:c r="I44" s="18" t="str">
        <x:v>SOURCE EMPTY / UNCOMMISSIONED</x:v>
      </x:c>
    </x:row>
    <x:row r="45">
      <x:c r="A45" s="14" t="str">
        <x:v>CT-C-B-TECH-3-A-FIX</x:v>
      </x:c>
      <x:c r="B45" s="14" t="str">
        <x:v>CT-C-B-TECH-3</x:v>
      </x:c>
      <x:c r="C45" s="14" t="str">
        <x:v>CT-C-B</x:v>
      </x:c>
      <x:c r="D45" s="14" t="str">
        <x:v>Fixture A</x:v>
      </x:c>
      <x:c r="E45" s="18" t="str">
        <x:v>Public proving fixture</x:v>
      </x:c>
      <x:c r="F45" s="18" t="str">
        <x:v>Resilience Proving Service</x:v>
      </x:c>
      <x:c r="G45" s="18" t="str">
        <x:v>impose challenge or matched control and preserve physical truth</x:v>
      </x:c>
      <x:c r="H45" s="18" t="str">
        <x:v>no candidate design, tuning, safeing or commercial acceptance</x:v>
      </x:c>
      <x:c r="I45" s="18" t="str">
        <x:v>SOURCE EMPTY / UNCOMMISSIONED</x:v>
      </x:c>
    </x:row>
    <x:row r="46">
      <x:c r="A46" s="14" t="str">
        <x:v>CT-C-B-TECH-3-B-BLD</x:v>
      </x:c>
      <x:c r="B46" s="14" t="str">
        <x:v>CT-C-B-TECH-3</x:v>
      </x:c>
      <x:c r="C46" s="14" t="str">
        <x:v>CT-C-B</x:v>
      </x:c>
      <x:c r="D46" s="14" t="str">
        <x:v>Builder B</x:v>
      </x:c>
      <x:c r="E46" s="18" t="str">
        <x:v>Builder line</x:v>
      </x:c>
      <x:c r="F46" s="18" t="str">
        <x:v>private one-root option entity</x:v>
      </x:c>
      <x:c r="G46" s="18" t="str">
        <x:v>design and fabricate the three assigned serials</x:v>
      </x:c>
      <x:c r="H46" s="18" t="str">
        <x:v>no public fixture, evidence, disposition or sibling-line control</x:v>
      </x:c>
      <x:c r="I46" s="18" t="str">
        <x:v>SOURCE EMPTY / UNCOMMISSIONED</x:v>
      </x:c>
    </x:row>
    <x:row r="47">
      <x:c r="A47" s="14" t="str">
        <x:v>CT-C-B-TECH-3-B-TOL</x:v>
      </x:c>
      <x:c r="B47" s="14" t="str">
        <x:v>CT-C-B-TECH-3</x:v>
      </x:c>
      <x:c r="C47" s="14" t="str">
        <x:v>CT-C-B</x:v>
      </x:c>
      <x:c r="D47" s="14" t="str">
        <x:v>Builder B</x:v>
      </x:c>
      <x:c r="E47" s="18" t="str">
        <x:v>Root-bound tooling cell</x:v>
      </x:c>
      <x:c r="F47" s="18" t="str">
        <x:v>public title; operator separate from sibling line</x:v>
      </x:c>
      <x:c r="G47" s="18" t="str">
        <x:v>produce, repair and disclose line-native tools and fixtures</x:v>
      </x:c>
      <x:c r="H47" s="18" t="str">
        <x:v>no use by the sibling line before evidence reveal; no collateral pledge</x:v>
      </x:c>
      <x:c r="I47" s="18" t="str">
        <x:v>SOURCE EMPTY / UNCOMMISSIONED</x:v>
      </x:c>
    </x:row>
    <x:row r="48">
      <x:c r="A48" s="14" t="str">
        <x:v>CT-C-B-TECH-3-B-FIX</x:v>
      </x:c>
      <x:c r="B48" s="14" t="str">
        <x:v>CT-C-B-TECH-3</x:v>
      </x:c>
      <x:c r="C48" s="14" t="str">
        <x:v>CT-C-B</x:v>
      </x:c>
      <x:c r="D48" s="14" t="str">
        <x:v>Fixture B</x:v>
      </x:c>
      <x:c r="E48" s="18" t="str">
        <x:v>Public proving fixture</x:v>
      </x:c>
      <x:c r="F48" s="18" t="str">
        <x:v>Resilience Proving Service</x:v>
      </x:c>
      <x:c r="G48" s="18" t="str">
        <x:v>impose challenge or matched control and preserve physical truth</x:v>
      </x:c>
      <x:c r="H48" s="18" t="str">
        <x:v>no candidate design, tuning, safeing or commercial acceptance</x:v>
      </x:c>
      <x:c r="I48" s="18" t="str">
        <x:v>SOURCE EMPTY / UNCOMMISSIONED</x:v>
      </x:c>
    </x:row>
    <x:row r="49">
      <x:c r="A49" s="14" t="str">
        <x:v>CT-C-B-TECH-4-A-BLD</x:v>
      </x:c>
      <x:c r="B49" s="14" t="str">
        <x:v>CT-C-B-TECH-4</x:v>
      </x:c>
      <x:c r="C49" s="14" t="str">
        <x:v>CT-C-B</x:v>
      </x:c>
      <x:c r="D49" s="14" t="str">
        <x:v>Builder A</x:v>
      </x:c>
      <x:c r="E49" s="18" t="str">
        <x:v>Builder line</x:v>
      </x:c>
      <x:c r="F49" s="18" t="str">
        <x:v>private one-root option entity</x:v>
      </x:c>
      <x:c r="G49" s="18" t="str">
        <x:v>design and fabricate the three assigned serials</x:v>
      </x:c>
      <x:c r="H49" s="18" t="str">
        <x:v>no public fixture, evidence, disposition or sibling-line control</x:v>
      </x:c>
      <x:c r="I49" s="18" t="str">
        <x:v>SOURCE EMPTY / UNCOMMISSIONED</x:v>
      </x:c>
    </x:row>
    <x:row r="50">
      <x:c r="A50" s="14" t="str">
        <x:v>CT-C-B-TECH-4-A-TOL</x:v>
      </x:c>
      <x:c r="B50" s="14" t="str">
        <x:v>CT-C-B-TECH-4</x:v>
      </x:c>
      <x:c r="C50" s="14" t="str">
        <x:v>CT-C-B</x:v>
      </x:c>
      <x:c r="D50" s="14" t="str">
        <x:v>Builder A</x:v>
      </x:c>
      <x:c r="E50" s="18" t="str">
        <x:v>Root-bound tooling cell</x:v>
      </x:c>
      <x:c r="F50" s="18" t="str">
        <x:v>public title; operator separate from sibling line</x:v>
      </x:c>
      <x:c r="G50" s="18" t="str">
        <x:v>produce, repair and disclose line-native tools and fixtures</x:v>
      </x:c>
      <x:c r="H50" s="18" t="str">
        <x:v>no use by the sibling line before evidence reveal; no collateral pledge</x:v>
      </x:c>
      <x:c r="I50" s="18" t="str">
        <x:v>SOURCE EMPTY / UNCOMMISSIONED</x:v>
      </x:c>
    </x:row>
    <x:row r="51">
      <x:c r="A51" s="14" t="str">
        <x:v>CT-C-B-TECH-4-A-FIX</x:v>
      </x:c>
      <x:c r="B51" s="14" t="str">
        <x:v>CT-C-B-TECH-4</x:v>
      </x:c>
      <x:c r="C51" s="14" t="str">
        <x:v>CT-C-B</x:v>
      </x:c>
      <x:c r="D51" s="14" t="str">
        <x:v>Fixture A</x:v>
      </x:c>
      <x:c r="E51" s="18" t="str">
        <x:v>Public proving fixture</x:v>
      </x:c>
      <x:c r="F51" s="18" t="str">
        <x:v>Resilience Proving Service</x:v>
      </x:c>
      <x:c r="G51" s="18" t="str">
        <x:v>impose challenge or matched control and preserve physical truth</x:v>
      </x:c>
      <x:c r="H51" s="18" t="str">
        <x:v>no candidate design, tuning, safeing or commercial acceptance</x:v>
      </x:c>
      <x:c r="I51" s="18" t="str">
        <x:v>SOURCE EMPTY / UNCOMMISSIONED</x:v>
      </x:c>
    </x:row>
    <x:row r="52">
      <x:c r="A52" s="14" t="str">
        <x:v>CT-C-B-TECH-4-B-BLD</x:v>
      </x:c>
      <x:c r="B52" s="14" t="str">
        <x:v>CT-C-B-TECH-4</x:v>
      </x:c>
      <x:c r="C52" s="14" t="str">
        <x:v>CT-C-B</x:v>
      </x:c>
      <x:c r="D52" s="14" t="str">
        <x:v>Builder B</x:v>
      </x:c>
      <x:c r="E52" s="18" t="str">
        <x:v>Builder line</x:v>
      </x:c>
      <x:c r="F52" s="18" t="str">
        <x:v>private one-root option entity</x:v>
      </x:c>
      <x:c r="G52" s="18" t="str">
        <x:v>design and fabricate the three assigned serials</x:v>
      </x:c>
      <x:c r="H52" s="18" t="str">
        <x:v>no public fixture, evidence, disposition or sibling-line control</x:v>
      </x:c>
      <x:c r="I52" s="18" t="str">
        <x:v>SOURCE EMPTY / UNCOMMISSIONED</x:v>
      </x:c>
    </x:row>
    <x:row r="53">
      <x:c r="A53" s="14" t="str">
        <x:v>CT-C-B-TECH-4-B-TOL</x:v>
      </x:c>
      <x:c r="B53" s="14" t="str">
        <x:v>CT-C-B-TECH-4</x:v>
      </x:c>
      <x:c r="C53" s="14" t="str">
        <x:v>CT-C-B</x:v>
      </x:c>
      <x:c r="D53" s="14" t="str">
        <x:v>Builder B</x:v>
      </x:c>
      <x:c r="E53" s="18" t="str">
        <x:v>Root-bound tooling cell</x:v>
      </x:c>
      <x:c r="F53" s="18" t="str">
        <x:v>public title; operator separate from sibling line</x:v>
      </x:c>
      <x:c r="G53" s="18" t="str">
        <x:v>produce, repair and disclose line-native tools and fixtures</x:v>
      </x:c>
      <x:c r="H53" s="18" t="str">
        <x:v>no use by the sibling line before evidence reveal; no collateral pledge</x:v>
      </x:c>
      <x:c r="I53" s="18" t="str">
        <x:v>SOURCE EMPTY / UNCOMMISSIONED</x:v>
      </x:c>
    </x:row>
    <x:row r="54">
      <x:c r="A54" s="14" t="str">
        <x:v>CT-C-B-TECH-4-B-FIX</x:v>
      </x:c>
      <x:c r="B54" s="14" t="str">
        <x:v>CT-C-B-TECH-4</x:v>
      </x:c>
      <x:c r="C54" s="14" t="str">
        <x:v>CT-C-B</x:v>
      </x:c>
      <x:c r="D54" s="14" t="str">
        <x:v>Fixture B</x:v>
      </x:c>
      <x:c r="E54" s="18" t="str">
        <x:v>Public proving fixture</x:v>
      </x:c>
      <x:c r="F54" s="18" t="str">
        <x:v>Resilience Proving Service</x:v>
      </x:c>
      <x:c r="G54" s="18" t="str">
        <x:v>impose challenge or matched control and preserve physical truth</x:v>
      </x:c>
      <x:c r="H54" s="18" t="str">
        <x:v>no candidate design, tuning, safeing or commercial acceptance</x:v>
      </x:c>
      <x:c r="I54" s="18" t="str">
        <x:v>SOURCE EMPTY / UNCOMMISSIONED</x:v>
      </x:c>
    </x:row>
    <x:row r="55">
      <x:c r="A55" s="14" t="str">
        <x:v>HC-A-C-TECH-1-A-BLD</x:v>
      </x:c>
      <x:c r="B55" s="14" t="str">
        <x:v>HC-A-C-TECH-1</x:v>
      </x:c>
      <x:c r="C55" s="14" t="str">
        <x:v>HC-A-C</x:v>
      </x:c>
      <x:c r="D55" s="14" t="str">
        <x:v>Builder A</x:v>
      </x:c>
      <x:c r="E55" s="18" t="str">
        <x:v>Builder line</x:v>
      </x:c>
      <x:c r="F55" s="18" t="str">
        <x:v>private one-root option entity</x:v>
      </x:c>
      <x:c r="G55" s="18" t="str">
        <x:v>design and fabricate the three assigned serials</x:v>
      </x:c>
      <x:c r="H55" s="18" t="str">
        <x:v>no public fixture, evidence, disposition or sibling-line control</x:v>
      </x:c>
      <x:c r="I55" s="18" t="str">
        <x:v>SOURCE EMPTY / UNCOMMISSIONED</x:v>
      </x:c>
    </x:row>
    <x:row r="56">
      <x:c r="A56" s="14" t="str">
        <x:v>HC-A-C-TECH-1-A-TOL</x:v>
      </x:c>
      <x:c r="B56" s="14" t="str">
        <x:v>HC-A-C-TECH-1</x:v>
      </x:c>
      <x:c r="C56" s="14" t="str">
        <x:v>HC-A-C</x:v>
      </x:c>
      <x:c r="D56" s="14" t="str">
        <x:v>Builder A</x:v>
      </x:c>
      <x:c r="E56" s="18" t="str">
        <x:v>Root-bound tooling cell</x:v>
      </x:c>
      <x:c r="F56" s="18" t="str">
        <x:v>public title; operator separate from sibling line</x:v>
      </x:c>
      <x:c r="G56" s="18" t="str">
        <x:v>produce, repair and disclose line-native tools and fixtures</x:v>
      </x:c>
      <x:c r="H56" s="18" t="str">
        <x:v>no use by the sibling line before evidence reveal; no collateral pledge</x:v>
      </x:c>
      <x:c r="I56" s="18" t="str">
        <x:v>SOURCE EMPTY / UNCOMMISSIONED</x:v>
      </x:c>
    </x:row>
    <x:row r="57">
      <x:c r="A57" s="14" t="str">
        <x:v>HC-A-C-TECH-1-A-FIX</x:v>
      </x:c>
      <x:c r="B57" s="14" t="str">
        <x:v>HC-A-C-TECH-1</x:v>
      </x:c>
      <x:c r="C57" s="14" t="str">
        <x:v>HC-A-C</x:v>
      </x:c>
      <x:c r="D57" s="14" t="str">
        <x:v>Fixture A</x:v>
      </x:c>
      <x:c r="E57" s="18" t="str">
        <x:v>Public proving fixture</x:v>
      </x:c>
      <x:c r="F57" s="18" t="str">
        <x:v>Resilience Proving Service</x:v>
      </x:c>
      <x:c r="G57" s="18" t="str">
        <x:v>impose challenge or matched control and preserve physical truth</x:v>
      </x:c>
      <x:c r="H57" s="18" t="str">
        <x:v>no candidate design, tuning, safeing or commercial acceptance</x:v>
      </x:c>
      <x:c r="I57" s="18" t="str">
        <x:v>SOURCE EMPTY / UNCOMMISSIONED</x:v>
      </x:c>
    </x:row>
    <x:row r="58">
      <x:c r="A58" s="14" t="str">
        <x:v>HC-A-C-TECH-1-B-BLD</x:v>
      </x:c>
      <x:c r="B58" s="14" t="str">
        <x:v>HC-A-C-TECH-1</x:v>
      </x:c>
      <x:c r="C58" s="14" t="str">
        <x:v>HC-A-C</x:v>
      </x:c>
      <x:c r="D58" s="14" t="str">
        <x:v>Builder B</x:v>
      </x:c>
      <x:c r="E58" s="18" t="str">
        <x:v>Builder line</x:v>
      </x:c>
      <x:c r="F58" s="18" t="str">
        <x:v>private one-root option entity</x:v>
      </x:c>
      <x:c r="G58" s="18" t="str">
        <x:v>design and fabricate the three assigned serials</x:v>
      </x:c>
      <x:c r="H58" s="18" t="str">
        <x:v>no public fixture, evidence, disposition or sibling-line control</x:v>
      </x:c>
      <x:c r="I58" s="18" t="str">
        <x:v>SOURCE EMPTY / UNCOMMISSIONED</x:v>
      </x:c>
    </x:row>
    <x:row r="59">
      <x:c r="A59" s="14" t="str">
        <x:v>HC-A-C-TECH-1-B-TOL</x:v>
      </x:c>
      <x:c r="B59" s="14" t="str">
        <x:v>HC-A-C-TECH-1</x:v>
      </x:c>
      <x:c r="C59" s="14" t="str">
        <x:v>HC-A-C</x:v>
      </x:c>
      <x:c r="D59" s="14" t="str">
        <x:v>Builder B</x:v>
      </x:c>
      <x:c r="E59" s="18" t="str">
        <x:v>Root-bound tooling cell</x:v>
      </x:c>
      <x:c r="F59" s="18" t="str">
        <x:v>public title; operator separate from sibling line</x:v>
      </x:c>
      <x:c r="G59" s="18" t="str">
        <x:v>produce, repair and disclose line-native tools and fixtures</x:v>
      </x:c>
      <x:c r="H59" s="18" t="str">
        <x:v>no use by the sibling line before evidence reveal; no collateral pledge</x:v>
      </x:c>
      <x:c r="I59" s="18" t="str">
        <x:v>SOURCE EMPTY / UNCOMMISSIONED</x:v>
      </x:c>
    </x:row>
    <x:row r="60">
      <x:c r="A60" s="14" t="str">
        <x:v>HC-A-C-TECH-1-B-FIX</x:v>
      </x:c>
      <x:c r="B60" s="14" t="str">
        <x:v>HC-A-C-TECH-1</x:v>
      </x:c>
      <x:c r="C60" s="14" t="str">
        <x:v>HC-A-C</x:v>
      </x:c>
      <x:c r="D60" s="14" t="str">
        <x:v>Fixture B</x:v>
      </x:c>
      <x:c r="E60" s="18" t="str">
        <x:v>Public proving fixture</x:v>
      </x:c>
      <x:c r="F60" s="18" t="str">
        <x:v>Resilience Proving Service</x:v>
      </x:c>
      <x:c r="G60" s="18" t="str">
        <x:v>impose challenge or matched control and preserve physical truth</x:v>
      </x:c>
      <x:c r="H60" s="18" t="str">
        <x:v>no candidate design, tuning, safeing or commercial acceptance</x:v>
      </x:c>
      <x:c r="I60" s="18" t="str">
        <x:v>SOURCE EMPTY / UNCOMMISSIONED</x:v>
      </x:c>
    </x:row>
    <x:row r="61">
      <x:c r="A61" s="14" t="str">
        <x:v>HC-A-C-TECH-2-A-BLD</x:v>
      </x:c>
      <x:c r="B61" s="14" t="str">
        <x:v>HC-A-C-TECH-2</x:v>
      </x:c>
      <x:c r="C61" s="14" t="str">
        <x:v>HC-A-C</x:v>
      </x:c>
      <x:c r="D61" s="14" t="str">
        <x:v>Builder A</x:v>
      </x:c>
      <x:c r="E61" s="18" t="str">
        <x:v>Builder line</x:v>
      </x:c>
      <x:c r="F61" s="18" t="str">
        <x:v>private one-root option entity</x:v>
      </x:c>
      <x:c r="G61" s="18" t="str">
        <x:v>design and fabricate the three assigned serials</x:v>
      </x:c>
      <x:c r="H61" s="18" t="str">
        <x:v>no public fixture, evidence, disposition or sibling-line control</x:v>
      </x:c>
      <x:c r="I61" s="18" t="str">
        <x:v>SOURCE EMPTY / UNCOMMISSIONED</x:v>
      </x:c>
    </x:row>
    <x:row r="62">
      <x:c r="A62" s="14" t="str">
        <x:v>HC-A-C-TECH-2-A-TOL</x:v>
      </x:c>
      <x:c r="B62" s="14" t="str">
        <x:v>HC-A-C-TECH-2</x:v>
      </x:c>
      <x:c r="C62" s="14" t="str">
        <x:v>HC-A-C</x:v>
      </x:c>
      <x:c r="D62" s="14" t="str">
        <x:v>Builder A</x:v>
      </x:c>
      <x:c r="E62" s="18" t="str">
        <x:v>Root-bound tooling cell</x:v>
      </x:c>
      <x:c r="F62" s="18" t="str">
        <x:v>public title; operator separate from sibling line</x:v>
      </x:c>
      <x:c r="G62" s="18" t="str">
        <x:v>produce, repair and disclose line-native tools and fixtures</x:v>
      </x:c>
      <x:c r="H62" s="18" t="str">
        <x:v>no use by the sibling line before evidence reveal; no collateral pledge</x:v>
      </x:c>
      <x:c r="I62" s="18" t="str">
        <x:v>SOURCE EMPTY / UNCOMMISSIONED</x:v>
      </x:c>
    </x:row>
    <x:row r="63">
      <x:c r="A63" s="14" t="str">
        <x:v>HC-A-C-TECH-2-A-FIX</x:v>
      </x:c>
      <x:c r="B63" s="14" t="str">
        <x:v>HC-A-C-TECH-2</x:v>
      </x:c>
      <x:c r="C63" s="14" t="str">
        <x:v>HC-A-C</x:v>
      </x:c>
      <x:c r="D63" s="14" t="str">
        <x:v>Fixture A</x:v>
      </x:c>
      <x:c r="E63" s="18" t="str">
        <x:v>Public proving fixture</x:v>
      </x:c>
      <x:c r="F63" s="18" t="str">
        <x:v>Resilience Proving Service</x:v>
      </x:c>
      <x:c r="G63" s="18" t="str">
        <x:v>impose challenge or matched control and preserve physical truth</x:v>
      </x:c>
      <x:c r="H63" s="18" t="str">
        <x:v>no candidate design, tuning, safeing or commercial acceptance</x:v>
      </x:c>
      <x:c r="I63" s="18" t="str">
        <x:v>SOURCE EMPTY / UNCOMMISSIONED</x:v>
      </x:c>
    </x:row>
    <x:row r="64">
      <x:c r="A64" s="14" t="str">
        <x:v>HC-A-C-TECH-2-B-BLD</x:v>
      </x:c>
      <x:c r="B64" s="14" t="str">
        <x:v>HC-A-C-TECH-2</x:v>
      </x:c>
      <x:c r="C64" s="14" t="str">
        <x:v>HC-A-C</x:v>
      </x:c>
      <x:c r="D64" s="14" t="str">
        <x:v>Builder B</x:v>
      </x:c>
      <x:c r="E64" s="18" t="str">
        <x:v>Builder line</x:v>
      </x:c>
      <x:c r="F64" s="18" t="str">
        <x:v>private one-root option entity</x:v>
      </x:c>
      <x:c r="G64" s="18" t="str">
        <x:v>design and fabricate the three assigned serials</x:v>
      </x:c>
      <x:c r="H64" s="18" t="str">
        <x:v>no public fixture, evidence, disposition or sibling-line control</x:v>
      </x:c>
      <x:c r="I64" s="18" t="str">
        <x:v>SOURCE EMPTY / UNCOMMISSIONED</x:v>
      </x:c>
    </x:row>
    <x:row r="65">
      <x:c r="A65" s="14" t="str">
        <x:v>HC-A-C-TECH-2-B-TOL</x:v>
      </x:c>
      <x:c r="B65" s="14" t="str">
        <x:v>HC-A-C-TECH-2</x:v>
      </x:c>
      <x:c r="C65" s="14" t="str">
        <x:v>HC-A-C</x:v>
      </x:c>
      <x:c r="D65" s="14" t="str">
        <x:v>Builder B</x:v>
      </x:c>
      <x:c r="E65" s="18" t="str">
        <x:v>Root-bound tooling cell</x:v>
      </x:c>
      <x:c r="F65" s="18" t="str">
        <x:v>public title; operator separate from sibling line</x:v>
      </x:c>
      <x:c r="G65" s="18" t="str">
        <x:v>produce, repair and disclose line-native tools and fixtures</x:v>
      </x:c>
      <x:c r="H65" s="18" t="str">
        <x:v>no use by the sibling line before evidence reveal; no collateral pledge</x:v>
      </x:c>
      <x:c r="I65" s="18" t="str">
        <x:v>SOURCE EMPTY / UNCOMMISSIONED</x:v>
      </x:c>
    </x:row>
    <x:row r="66">
      <x:c r="A66" s="14" t="str">
        <x:v>HC-A-C-TECH-2-B-FIX</x:v>
      </x:c>
      <x:c r="B66" s="14" t="str">
        <x:v>HC-A-C-TECH-2</x:v>
      </x:c>
      <x:c r="C66" s="14" t="str">
        <x:v>HC-A-C</x:v>
      </x:c>
      <x:c r="D66" s="14" t="str">
        <x:v>Fixture B</x:v>
      </x:c>
      <x:c r="E66" s="18" t="str">
        <x:v>Public proving fixture</x:v>
      </x:c>
      <x:c r="F66" s="18" t="str">
        <x:v>Resilience Proving Service</x:v>
      </x:c>
      <x:c r="G66" s="18" t="str">
        <x:v>impose challenge or matched control and preserve physical truth</x:v>
      </x:c>
      <x:c r="H66" s="18" t="str">
        <x:v>no candidate design, tuning, safeing or commercial acceptance</x:v>
      </x:c>
      <x:c r="I66" s="18" t="str">
        <x:v>SOURCE EMPTY / UNCOMMISSIONED</x:v>
      </x:c>
    </x:row>
    <x:row r="67">
      <x:c r="A67" s="14" t="str">
        <x:v>HC-A-C-TECH-3-A-BLD</x:v>
      </x:c>
      <x:c r="B67" s="14" t="str">
        <x:v>HC-A-C-TECH-3</x:v>
      </x:c>
      <x:c r="C67" s="14" t="str">
        <x:v>HC-A-C</x:v>
      </x:c>
      <x:c r="D67" s="14" t="str">
        <x:v>Builder A</x:v>
      </x:c>
      <x:c r="E67" s="18" t="str">
        <x:v>Builder line</x:v>
      </x:c>
      <x:c r="F67" s="18" t="str">
        <x:v>private one-root option entity</x:v>
      </x:c>
      <x:c r="G67" s="18" t="str">
        <x:v>design and fabricate the three assigned serials</x:v>
      </x:c>
      <x:c r="H67" s="18" t="str">
        <x:v>no public fixture, evidence, disposition or sibling-line control</x:v>
      </x:c>
      <x:c r="I67" s="18" t="str">
        <x:v>SOURCE EMPTY / UNCOMMISSIONED</x:v>
      </x:c>
    </x:row>
    <x:row r="68">
      <x:c r="A68" s="14" t="str">
        <x:v>HC-A-C-TECH-3-A-TOL</x:v>
      </x:c>
      <x:c r="B68" s="14" t="str">
        <x:v>HC-A-C-TECH-3</x:v>
      </x:c>
      <x:c r="C68" s="14" t="str">
        <x:v>HC-A-C</x:v>
      </x:c>
      <x:c r="D68" s="14" t="str">
        <x:v>Builder A</x:v>
      </x:c>
      <x:c r="E68" s="18" t="str">
        <x:v>Root-bound tooling cell</x:v>
      </x:c>
      <x:c r="F68" s="18" t="str">
        <x:v>public title; operator separate from sibling line</x:v>
      </x:c>
      <x:c r="G68" s="18" t="str">
        <x:v>produce, repair and disclose line-native tools and fixtures</x:v>
      </x:c>
      <x:c r="H68" s="18" t="str">
        <x:v>no use by the sibling line before evidence reveal; no collateral pledge</x:v>
      </x:c>
      <x:c r="I68" s="18" t="str">
        <x:v>SOURCE EMPTY / UNCOMMISSIONED</x:v>
      </x:c>
    </x:row>
    <x:row r="69">
      <x:c r="A69" s="14" t="str">
        <x:v>HC-A-C-TECH-3-A-FIX</x:v>
      </x:c>
      <x:c r="B69" s="14" t="str">
        <x:v>HC-A-C-TECH-3</x:v>
      </x:c>
      <x:c r="C69" s="14" t="str">
        <x:v>HC-A-C</x:v>
      </x:c>
      <x:c r="D69" s="14" t="str">
        <x:v>Fixture A</x:v>
      </x:c>
      <x:c r="E69" s="18" t="str">
        <x:v>Public proving fixture</x:v>
      </x:c>
      <x:c r="F69" s="18" t="str">
        <x:v>Resilience Proving Service</x:v>
      </x:c>
      <x:c r="G69" s="18" t="str">
        <x:v>impose challenge or matched control and preserve physical truth</x:v>
      </x:c>
      <x:c r="H69" s="18" t="str">
        <x:v>no candidate design, tuning, safeing or commercial acceptance</x:v>
      </x:c>
      <x:c r="I69" s="18" t="str">
        <x:v>SOURCE EMPTY / UNCOMMISSIONED</x:v>
      </x:c>
    </x:row>
    <x:row r="70">
      <x:c r="A70" s="14" t="str">
        <x:v>HC-A-C-TECH-3-B-BLD</x:v>
      </x:c>
      <x:c r="B70" s="14" t="str">
        <x:v>HC-A-C-TECH-3</x:v>
      </x:c>
      <x:c r="C70" s="14" t="str">
        <x:v>HC-A-C</x:v>
      </x:c>
      <x:c r="D70" s="14" t="str">
        <x:v>Builder B</x:v>
      </x:c>
      <x:c r="E70" s="18" t="str">
        <x:v>Builder line</x:v>
      </x:c>
      <x:c r="F70" s="18" t="str">
        <x:v>private one-root option entity</x:v>
      </x:c>
      <x:c r="G70" s="18" t="str">
        <x:v>design and fabricate the three assigned serials</x:v>
      </x:c>
      <x:c r="H70" s="18" t="str">
        <x:v>no public fixture, evidence, disposition or sibling-line control</x:v>
      </x:c>
      <x:c r="I70" s="18" t="str">
        <x:v>SOURCE EMPTY / UNCOMMISSIONED</x:v>
      </x:c>
    </x:row>
    <x:row r="71">
      <x:c r="A71" s="14" t="str">
        <x:v>HC-A-C-TECH-3-B-TOL</x:v>
      </x:c>
      <x:c r="B71" s="14" t="str">
        <x:v>HC-A-C-TECH-3</x:v>
      </x:c>
      <x:c r="C71" s="14" t="str">
        <x:v>HC-A-C</x:v>
      </x:c>
      <x:c r="D71" s="14" t="str">
        <x:v>Builder B</x:v>
      </x:c>
      <x:c r="E71" s="18" t="str">
        <x:v>Root-bound tooling cell</x:v>
      </x:c>
      <x:c r="F71" s="18" t="str">
        <x:v>public title; operator separate from sibling line</x:v>
      </x:c>
      <x:c r="G71" s="18" t="str">
        <x:v>produce, repair and disclose line-native tools and fixtures</x:v>
      </x:c>
      <x:c r="H71" s="18" t="str">
        <x:v>no use by the sibling line before evidence reveal; no collateral pledge</x:v>
      </x:c>
      <x:c r="I71" s="18" t="str">
        <x:v>SOURCE EMPTY / UNCOMMISSIONED</x:v>
      </x:c>
    </x:row>
    <x:row r="72">
      <x:c r="A72" s="14" t="str">
        <x:v>HC-A-C-TECH-3-B-FIX</x:v>
      </x:c>
      <x:c r="B72" s="14" t="str">
        <x:v>HC-A-C-TECH-3</x:v>
      </x:c>
      <x:c r="C72" s="14" t="str">
        <x:v>HC-A-C</x:v>
      </x:c>
      <x:c r="D72" s="14" t="str">
        <x:v>Fixture B</x:v>
      </x:c>
      <x:c r="E72" s="18" t="str">
        <x:v>Public proving fixture</x:v>
      </x:c>
      <x:c r="F72" s="18" t="str">
        <x:v>Resilience Proving Service</x:v>
      </x:c>
      <x:c r="G72" s="18" t="str">
        <x:v>impose challenge or matched control and preserve physical truth</x:v>
      </x:c>
      <x:c r="H72" s="18" t="str">
        <x:v>no candidate design, tuning, safeing or commercial acceptance</x:v>
      </x:c>
      <x:c r="I72" s="18" t="str">
        <x:v>SOURCE EMPTY / UNCOMMISSIONED</x:v>
      </x:c>
    </x:row>
    <x:row r="73">
      <x:c r="A73" s="14" t="str">
        <x:v>HC-A-C-TECH-4-A-BLD</x:v>
      </x:c>
      <x:c r="B73" s="14" t="str">
        <x:v>HC-A-C-TECH-4</x:v>
      </x:c>
      <x:c r="C73" s="14" t="str">
        <x:v>HC-A-C</x:v>
      </x:c>
      <x:c r="D73" s="14" t="str">
        <x:v>Builder A</x:v>
      </x:c>
      <x:c r="E73" s="18" t="str">
        <x:v>Builder line</x:v>
      </x:c>
      <x:c r="F73" s="18" t="str">
        <x:v>private one-root option entity</x:v>
      </x:c>
      <x:c r="G73" s="18" t="str">
        <x:v>design and fabricate the three assigned serials</x:v>
      </x:c>
      <x:c r="H73" s="18" t="str">
        <x:v>no public fixture, evidence, disposition or sibling-line control</x:v>
      </x:c>
      <x:c r="I73" s="18" t="str">
        <x:v>SOURCE EMPTY / UNCOMMISSIONED</x:v>
      </x:c>
    </x:row>
    <x:row r="74">
      <x:c r="A74" s="14" t="str">
        <x:v>HC-A-C-TECH-4-A-TOL</x:v>
      </x:c>
      <x:c r="B74" s="14" t="str">
        <x:v>HC-A-C-TECH-4</x:v>
      </x:c>
      <x:c r="C74" s="14" t="str">
        <x:v>HC-A-C</x:v>
      </x:c>
      <x:c r="D74" s="14" t="str">
        <x:v>Builder A</x:v>
      </x:c>
      <x:c r="E74" s="18" t="str">
        <x:v>Root-bound tooling cell</x:v>
      </x:c>
      <x:c r="F74" s="18" t="str">
        <x:v>public title; operator separate from sibling line</x:v>
      </x:c>
      <x:c r="G74" s="18" t="str">
        <x:v>produce, repair and disclose line-native tools and fixtures</x:v>
      </x:c>
      <x:c r="H74" s="18" t="str">
        <x:v>no use by the sibling line before evidence reveal; no collateral pledge</x:v>
      </x:c>
      <x:c r="I74" s="18" t="str">
        <x:v>SOURCE EMPTY / UNCOMMISSIONED</x:v>
      </x:c>
    </x:row>
    <x:row r="75">
      <x:c r="A75" s="14" t="str">
        <x:v>HC-A-C-TECH-4-A-FIX</x:v>
      </x:c>
      <x:c r="B75" s="14" t="str">
        <x:v>HC-A-C-TECH-4</x:v>
      </x:c>
      <x:c r="C75" s="14" t="str">
        <x:v>HC-A-C</x:v>
      </x:c>
      <x:c r="D75" s="14" t="str">
        <x:v>Fixture A</x:v>
      </x:c>
      <x:c r="E75" s="18" t="str">
        <x:v>Public proving fixture</x:v>
      </x:c>
      <x:c r="F75" s="18" t="str">
        <x:v>Resilience Proving Service</x:v>
      </x:c>
      <x:c r="G75" s="18" t="str">
        <x:v>impose challenge or matched control and preserve physical truth</x:v>
      </x:c>
      <x:c r="H75" s="18" t="str">
        <x:v>no candidate design, tuning, safeing or commercial acceptance</x:v>
      </x:c>
      <x:c r="I75" s="18" t="str">
        <x:v>SOURCE EMPTY / UNCOMMISSIONED</x:v>
      </x:c>
    </x:row>
    <x:row r="76">
      <x:c r="A76" s="14" t="str">
        <x:v>HC-A-C-TECH-4-B-BLD</x:v>
      </x:c>
      <x:c r="B76" s="14" t="str">
        <x:v>HC-A-C-TECH-4</x:v>
      </x:c>
      <x:c r="C76" s="14" t="str">
        <x:v>HC-A-C</x:v>
      </x:c>
      <x:c r="D76" s="14" t="str">
        <x:v>Builder B</x:v>
      </x:c>
      <x:c r="E76" s="18" t="str">
        <x:v>Builder line</x:v>
      </x:c>
      <x:c r="F76" s="18" t="str">
        <x:v>private one-root option entity</x:v>
      </x:c>
      <x:c r="G76" s="18" t="str">
        <x:v>design and fabricate the three assigned serials</x:v>
      </x:c>
      <x:c r="H76" s="18" t="str">
        <x:v>no public fixture, evidence, disposition or sibling-line control</x:v>
      </x:c>
      <x:c r="I76" s="18" t="str">
        <x:v>SOURCE EMPTY / UNCOMMISSIONED</x:v>
      </x:c>
    </x:row>
    <x:row r="77">
      <x:c r="A77" s="14" t="str">
        <x:v>HC-A-C-TECH-4-B-TOL</x:v>
      </x:c>
      <x:c r="B77" s="14" t="str">
        <x:v>HC-A-C-TECH-4</x:v>
      </x:c>
      <x:c r="C77" s="14" t="str">
        <x:v>HC-A-C</x:v>
      </x:c>
      <x:c r="D77" s="14" t="str">
        <x:v>Builder B</x:v>
      </x:c>
      <x:c r="E77" s="18" t="str">
        <x:v>Root-bound tooling cell</x:v>
      </x:c>
      <x:c r="F77" s="18" t="str">
        <x:v>public title; operator separate from sibling line</x:v>
      </x:c>
      <x:c r="G77" s="18" t="str">
        <x:v>produce, repair and disclose line-native tools and fixtures</x:v>
      </x:c>
      <x:c r="H77" s="18" t="str">
        <x:v>no use by the sibling line before evidence reveal; no collateral pledge</x:v>
      </x:c>
      <x:c r="I77" s="18" t="str">
        <x:v>SOURCE EMPTY / UNCOMMISSIONED</x:v>
      </x:c>
    </x:row>
    <x:row r="78">
      <x:c r="A78" s="14" t="str">
        <x:v>HC-A-C-TECH-4-B-FIX</x:v>
      </x:c>
      <x:c r="B78" s="14" t="str">
        <x:v>HC-A-C-TECH-4</x:v>
      </x:c>
      <x:c r="C78" s="14" t="str">
        <x:v>HC-A-C</x:v>
      </x:c>
      <x:c r="D78" s="14" t="str">
        <x:v>Fixture B</x:v>
      </x:c>
      <x:c r="E78" s="18" t="str">
        <x:v>Public proving fixture</x:v>
      </x:c>
      <x:c r="F78" s="18" t="str">
        <x:v>Resilience Proving Service</x:v>
      </x:c>
      <x:c r="G78" s="18" t="str">
        <x:v>impose challenge or matched control and preserve physical truth</x:v>
      </x:c>
      <x:c r="H78" s="18" t="str">
        <x:v>no candidate design, tuning, safeing or commercial acceptance</x:v>
      </x:c>
      <x:c r="I78" s="18" t="str">
        <x:v>SOURCE EMPTY / UNCOMMISSIONED</x:v>
      </x:c>
    </x:row>
    <x:row r="79">
      <x:c r="A79" s="14" t="str">
        <x:v>LF-B-A-TECH-1-A-BLD</x:v>
      </x:c>
      <x:c r="B79" s="14" t="str">
        <x:v>LF-B-A-TECH-1</x:v>
      </x:c>
      <x:c r="C79" s="14" t="str">
        <x:v>LF-B-A</x:v>
      </x:c>
      <x:c r="D79" s="14" t="str">
        <x:v>Builder A</x:v>
      </x:c>
      <x:c r="E79" s="18" t="str">
        <x:v>Builder line</x:v>
      </x:c>
      <x:c r="F79" s="18" t="str">
        <x:v>private one-root option entity</x:v>
      </x:c>
      <x:c r="G79" s="18" t="str">
        <x:v>design and fabricate the three assigned serials</x:v>
      </x:c>
      <x:c r="H79" s="18" t="str">
        <x:v>no public fixture, evidence, disposition or sibling-line control</x:v>
      </x:c>
      <x:c r="I79" s="18" t="str">
        <x:v>SOURCE EMPTY / UNCOMMISSIONED</x:v>
      </x:c>
    </x:row>
    <x:row r="80">
      <x:c r="A80" s="14" t="str">
        <x:v>LF-B-A-TECH-1-A-TOL</x:v>
      </x:c>
      <x:c r="B80" s="14" t="str">
        <x:v>LF-B-A-TECH-1</x:v>
      </x:c>
      <x:c r="C80" s="14" t="str">
        <x:v>LF-B-A</x:v>
      </x:c>
      <x:c r="D80" s="14" t="str">
        <x:v>Builder A</x:v>
      </x:c>
      <x:c r="E80" s="18" t="str">
        <x:v>Root-bound tooling cell</x:v>
      </x:c>
      <x:c r="F80" s="18" t="str">
        <x:v>public title; operator separate from sibling line</x:v>
      </x:c>
      <x:c r="G80" s="18" t="str">
        <x:v>produce, repair and disclose line-native tools and fixtures</x:v>
      </x:c>
      <x:c r="H80" s="18" t="str">
        <x:v>no use by the sibling line before evidence reveal; no collateral pledge</x:v>
      </x:c>
      <x:c r="I80" s="18" t="str">
        <x:v>SOURCE EMPTY / UNCOMMISSIONED</x:v>
      </x:c>
    </x:row>
    <x:row r="81">
      <x:c r="A81" s="14" t="str">
        <x:v>LF-B-A-TECH-1-A-FIX</x:v>
      </x:c>
      <x:c r="B81" s="14" t="str">
        <x:v>LF-B-A-TECH-1</x:v>
      </x:c>
      <x:c r="C81" s="14" t="str">
        <x:v>LF-B-A</x:v>
      </x:c>
      <x:c r="D81" s="14" t="str">
        <x:v>Fixture A</x:v>
      </x:c>
      <x:c r="E81" s="18" t="str">
        <x:v>Public proving fixture</x:v>
      </x:c>
      <x:c r="F81" s="18" t="str">
        <x:v>Resilience Proving Service</x:v>
      </x:c>
      <x:c r="G81" s="18" t="str">
        <x:v>impose challenge or matched control and preserve physical truth</x:v>
      </x:c>
      <x:c r="H81" s="18" t="str">
        <x:v>no candidate design, tuning, safeing or commercial acceptance</x:v>
      </x:c>
      <x:c r="I81" s="18" t="str">
        <x:v>SOURCE EMPTY / UNCOMMISSIONED</x:v>
      </x:c>
    </x:row>
    <x:row r="82">
      <x:c r="A82" s="14" t="str">
        <x:v>LF-B-A-TECH-1-B-BLD</x:v>
      </x:c>
      <x:c r="B82" s="14" t="str">
        <x:v>LF-B-A-TECH-1</x:v>
      </x:c>
      <x:c r="C82" s="14" t="str">
        <x:v>LF-B-A</x:v>
      </x:c>
      <x:c r="D82" s="14" t="str">
        <x:v>Builder B</x:v>
      </x:c>
      <x:c r="E82" s="18" t="str">
        <x:v>Builder line</x:v>
      </x:c>
      <x:c r="F82" s="18" t="str">
        <x:v>private one-root option entity</x:v>
      </x:c>
      <x:c r="G82" s="18" t="str">
        <x:v>design and fabricate the three assigned serials</x:v>
      </x:c>
      <x:c r="H82" s="18" t="str">
        <x:v>no public fixture, evidence, disposition or sibling-line control</x:v>
      </x:c>
      <x:c r="I82" s="18" t="str">
        <x:v>SOURCE EMPTY / UNCOMMISSIONED</x:v>
      </x:c>
    </x:row>
    <x:row r="83">
      <x:c r="A83" s="14" t="str">
        <x:v>LF-B-A-TECH-1-B-TOL</x:v>
      </x:c>
      <x:c r="B83" s="14" t="str">
        <x:v>LF-B-A-TECH-1</x:v>
      </x:c>
      <x:c r="C83" s="14" t="str">
        <x:v>LF-B-A</x:v>
      </x:c>
      <x:c r="D83" s="14" t="str">
        <x:v>Builder B</x:v>
      </x:c>
      <x:c r="E83" s="18" t="str">
        <x:v>Root-bound tooling cell</x:v>
      </x:c>
      <x:c r="F83" s="18" t="str">
        <x:v>public title; operator separate from sibling line</x:v>
      </x:c>
      <x:c r="G83" s="18" t="str">
        <x:v>produce, repair and disclose line-native tools and fixtures</x:v>
      </x:c>
      <x:c r="H83" s="18" t="str">
        <x:v>no use by the sibling line before evidence reveal; no collateral pledge</x:v>
      </x:c>
      <x:c r="I83" s="18" t="str">
        <x:v>SOURCE EMPTY / UNCOMMISSIONED</x:v>
      </x:c>
    </x:row>
    <x:row r="84">
      <x:c r="A84" s="14" t="str">
        <x:v>LF-B-A-TECH-1-B-FIX</x:v>
      </x:c>
      <x:c r="B84" s="14" t="str">
        <x:v>LF-B-A-TECH-1</x:v>
      </x:c>
      <x:c r="C84" s="14" t="str">
        <x:v>LF-B-A</x:v>
      </x:c>
      <x:c r="D84" s="14" t="str">
        <x:v>Fixture B</x:v>
      </x:c>
      <x:c r="E84" s="18" t="str">
        <x:v>Public proving fixture</x:v>
      </x:c>
      <x:c r="F84" s="18" t="str">
        <x:v>Resilience Proving Service</x:v>
      </x:c>
      <x:c r="G84" s="18" t="str">
        <x:v>impose challenge or matched control and preserve physical truth</x:v>
      </x:c>
      <x:c r="H84" s="18" t="str">
        <x:v>no candidate design, tuning, safeing or commercial acceptance</x:v>
      </x:c>
      <x:c r="I84" s="18" t="str">
        <x:v>SOURCE EMPTY / UNCOMMISSIONED</x:v>
      </x:c>
    </x:row>
    <x:row r="85">
      <x:c r="A85" s="14" t="str">
        <x:v>LF-B-A-TECH-2-A-BLD</x:v>
      </x:c>
      <x:c r="B85" s="14" t="str">
        <x:v>LF-B-A-TECH-2</x:v>
      </x:c>
      <x:c r="C85" s="14" t="str">
        <x:v>LF-B-A</x:v>
      </x:c>
      <x:c r="D85" s="14" t="str">
        <x:v>Builder A</x:v>
      </x:c>
      <x:c r="E85" s="18" t="str">
        <x:v>Builder line</x:v>
      </x:c>
      <x:c r="F85" s="18" t="str">
        <x:v>private one-root option entity</x:v>
      </x:c>
      <x:c r="G85" s="18" t="str">
        <x:v>design and fabricate the three assigned serials</x:v>
      </x:c>
      <x:c r="H85" s="18" t="str">
        <x:v>no public fixture, evidence, disposition or sibling-line control</x:v>
      </x:c>
      <x:c r="I85" s="18" t="str">
        <x:v>SOURCE EMPTY / UNCOMMISSIONED</x:v>
      </x:c>
    </x:row>
    <x:row r="86">
      <x:c r="A86" s="14" t="str">
        <x:v>LF-B-A-TECH-2-A-TOL</x:v>
      </x:c>
      <x:c r="B86" s="14" t="str">
        <x:v>LF-B-A-TECH-2</x:v>
      </x:c>
      <x:c r="C86" s="14" t="str">
        <x:v>LF-B-A</x:v>
      </x:c>
      <x:c r="D86" s="14" t="str">
        <x:v>Builder A</x:v>
      </x:c>
      <x:c r="E86" s="18" t="str">
        <x:v>Root-bound tooling cell</x:v>
      </x:c>
      <x:c r="F86" s="18" t="str">
        <x:v>public title; operator separate from sibling line</x:v>
      </x:c>
      <x:c r="G86" s="18" t="str">
        <x:v>produce, repair and disclose line-native tools and fixtures</x:v>
      </x:c>
      <x:c r="H86" s="18" t="str">
        <x:v>no use by the sibling line before evidence reveal; no collateral pledge</x:v>
      </x:c>
      <x:c r="I86" s="18" t="str">
        <x:v>SOURCE EMPTY / UNCOMMISSIONED</x:v>
      </x:c>
    </x:row>
    <x:row r="87">
      <x:c r="A87" s="14" t="str">
        <x:v>LF-B-A-TECH-2-A-FIX</x:v>
      </x:c>
      <x:c r="B87" s="14" t="str">
        <x:v>LF-B-A-TECH-2</x:v>
      </x:c>
      <x:c r="C87" s="14" t="str">
        <x:v>LF-B-A</x:v>
      </x:c>
      <x:c r="D87" s="14" t="str">
        <x:v>Fixture A</x:v>
      </x:c>
      <x:c r="E87" s="18" t="str">
        <x:v>Public proving fixture</x:v>
      </x:c>
      <x:c r="F87" s="18" t="str">
        <x:v>Resilience Proving Service</x:v>
      </x:c>
      <x:c r="G87" s="18" t="str">
        <x:v>impose challenge or matched control and preserve physical truth</x:v>
      </x:c>
      <x:c r="H87" s="18" t="str">
        <x:v>no candidate design, tuning, safeing or commercial acceptance</x:v>
      </x:c>
      <x:c r="I87" s="18" t="str">
        <x:v>SOURCE EMPTY / UNCOMMISSIONED</x:v>
      </x:c>
    </x:row>
    <x:row r="88">
      <x:c r="A88" s="14" t="str">
        <x:v>LF-B-A-TECH-2-B-BLD</x:v>
      </x:c>
      <x:c r="B88" s="14" t="str">
        <x:v>LF-B-A-TECH-2</x:v>
      </x:c>
      <x:c r="C88" s="14" t="str">
        <x:v>LF-B-A</x:v>
      </x:c>
      <x:c r="D88" s="14" t="str">
        <x:v>Builder B</x:v>
      </x:c>
      <x:c r="E88" s="18" t="str">
        <x:v>Builder line</x:v>
      </x:c>
      <x:c r="F88" s="18" t="str">
        <x:v>private one-root option entity</x:v>
      </x:c>
      <x:c r="G88" s="18" t="str">
        <x:v>design and fabricate the three assigned serials</x:v>
      </x:c>
      <x:c r="H88" s="18" t="str">
        <x:v>no public fixture, evidence, disposition or sibling-line control</x:v>
      </x:c>
      <x:c r="I88" s="18" t="str">
        <x:v>SOURCE EMPTY / UNCOMMISSIONED</x:v>
      </x:c>
    </x:row>
    <x:row r="89">
      <x:c r="A89" s="14" t="str">
        <x:v>LF-B-A-TECH-2-B-TOL</x:v>
      </x:c>
      <x:c r="B89" s="14" t="str">
        <x:v>LF-B-A-TECH-2</x:v>
      </x:c>
      <x:c r="C89" s="14" t="str">
        <x:v>LF-B-A</x:v>
      </x:c>
      <x:c r="D89" s="14" t="str">
        <x:v>Builder B</x:v>
      </x:c>
      <x:c r="E89" s="18" t="str">
        <x:v>Root-bound tooling cell</x:v>
      </x:c>
      <x:c r="F89" s="18" t="str">
        <x:v>public title; operator separate from sibling line</x:v>
      </x:c>
      <x:c r="G89" s="18" t="str">
        <x:v>produce, repair and disclose line-native tools and fixtures</x:v>
      </x:c>
      <x:c r="H89" s="18" t="str">
        <x:v>no use by the sibling line before evidence reveal; no collateral pledge</x:v>
      </x:c>
      <x:c r="I89" s="18" t="str">
        <x:v>SOURCE EMPTY / UNCOMMISSIONED</x:v>
      </x:c>
    </x:row>
    <x:row r="90">
      <x:c r="A90" s="14" t="str">
        <x:v>LF-B-A-TECH-2-B-FIX</x:v>
      </x:c>
      <x:c r="B90" s="14" t="str">
        <x:v>LF-B-A-TECH-2</x:v>
      </x:c>
      <x:c r="C90" s="14" t="str">
        <x:v>LF-B-A</x:v>
      </x:c>
      <x:c r="D90" s="14" t="str">
        <x:v>Fixture B</x:v>
      </x:c>
      <x:c r="E90" s="18" t="str">
        <x:v>Public proving fixture</x:v>
      </x:c>
      <x:c r="F90" s="18" t="str">
        <x:v>Resilience Proving Service</x:v>
      </x:c>
      <x:c r="G90" s="18" t="str">
        <x:v>impose challenge or matched control and preserve physical truth</x:v>
      </x:c>
      <x:c r="H90" s="18" t="str">
        <x:v>no candidate design, tuning, safeing or commercial acceptance</x:v>
      </x:c>
      <x:c r="I90" s="18" t="str">
        <x:v>SOURCE EMPTY / UNCOMMISSIONED</x:v>
      </x:c>
    </x:row>
    <x:row r="91">
      <x:c r="A91" s="14" t="str">
        <x:v>LF-B-A-TECH-3-A-BLD</x:v>
      </x:c>
      <x:c r="B91" s="14" t="str">
        <x:v>LF-B-A-TECH-3</x:v>
      </x:c>
      <x:c r="C91" s="14" t="str">
        <x:v>LF-B-A</x:v>
      </x:c>
      <x:c r="D91" s="14" t="str">
        <x:v>Builder A</x:v>
      </x:c>
      <x:c r="E91" s="18" t="str">
        <x:v>Builder line</x:v>
      </x:c>
      <x:c r="F91" s="18" t="str">
        <x:v>private one-root option entity</x:v>
      </x:c>
      <x:c r="G91" s="18" t="str">
        <x:v>design and fabricate the three assigned serials</x:v>
      </x:c>
      <x:c r="H91" s="18" t="str">
        <x:v>no public fixture, evidence, disposition or sibling-line control</x:v>
      </x:c>
      <x:c r="I91" s="18" t="str">
        <x:v>SOURCE EMPTY / UNCOMMISSIONED</x:v>
      </x:c>
    </x:row>
    <x:row r="92">
      <x:c r="A92" s="14" t="str">
        <x:v>LF-B-A-TECH-3-A-TOL</x:v>
      </x:c>
      <x:c r="B92" s="14" t="str">
        <x:v>LF-B-A-TECH-3</x:v>
      </x:c>
      <x:c r="C92" s="14" t="str">
        <x:v>LF-B-A</x:v>
      </x:c>
      <x:c r="D92" s="14" t="str">
        <x:v>Builder A</x:v>
      </x:c>
      <x:c r="E92" s="18" t="str">
        <x:v>Root-bound tooling cell</x:v>
      </x:c>
      <x:c r="F92" s="18" t="str">
        <x:v>public title; operator separate from sibling line</x:v>
      </x:c>
      <x:c r="G92" s="18" t="str">
        <x:v>produce, repair and disclose line-native tools and fixtures</x:v>
      </x:c>
      <x:c r="H92" s="18" t="str">
        <x:v>no use by the sibling line before evidence reveal; no collateral pledge</x:v>
      </x:c>
      <x:c r="I92" s="18" t="str">
        <x:v>SOURCE EMPTY / UNCOMMISSIONED</x:v>
      </x:c>
    </x:row>
    <x:row r="93">
      <x:c r="A93" s="14" t="str">
        <x:v>LF-B-A-TECH-3-A-FIX</x:v>
      </x:c>
      <x:c r="B93" s="14" t="str">
        <x:v>LF-B-A-TECH-3</x:v>
      </x:c>
      <x:c r="C93" s="14" t="str">
        <x:v>LF-B-A</x:v>
      </x:c>
      <x:c r="D93" s="14" t="str">
        <x:v>Fixture A</x:v>
      </x:c>
      <x:c r="E93" s="18" t="str">
        <x:v>Public proving fixture</x:v>
      </x:c>
      <x:c r="F93" s="18" t="str">
        <x:v>Resilience Proving Service</x:v>
      </x:c>
      <x:c r="G93" s="18" t="str">
        <x:v>impose challenge or matched control and preserve physical truth</x:v>
      </x:c>
      <x:c r="H93" s="18" t="str">
        <x:v>no candidate design, tuning, safeing or commercial acceptance</x:v>
      </x:c>
      <x:c r="I93" s="18" t="str">
        <x:v>SOURCE EMPTY / UNCOMMISSIONED</x:v>
      </x:c>
    </x:row>
    <x:row r="94">
      <x:c r="A94" s="14" t="str">
        <x:v>LF-B-A-TECH-3-B-BLD</x:v>
      </x:c>
      <x:c r="B94" s="14" t="str">
        <x:v>LF-B-A-TECH-3</x:v>
      </x:c>
      <x:c r="C94" s="14" t="str">
        <x:v>LF-B-A</x:v>
      </x:c>
      <x:c r="D94" s="14" t="str">
        <x:v>Builder B</x:v>
      </x:c>
      <x:c r="E94" s="18" t="str">
        <x:v>Builder line</x:v>
      </x:c>
      <x:c r="F94" s="18" t="str">
        <x:v>private one-root option entity</x:v>
      </x:c>
      <x:c r="G94" s="18" t="str">
        <x:v>design and fabricate the three assigned serials</x:v>
      </x:c>
      <x:c r="H94" s="18" t="str">
        <x:v>no public fixture, evidence, disposition or sibling-line control</x:v>
      </x:c>
      <x:c r="I94" s="18" t="str">
        <x:v>SOURCE EMPTY / UNCOMMISSIONED</x:v>
      </x:c>
    </x:row>
    <x:row r="95">
      <x:c r="A95" s="14" t="str">
        <x:v>LF-B-A-TECH-3-B-TOL</x:v>
      </x:c>
      <x:c r="B95" s="14" t="str">
        <x:v>LF-B-A-TECH-3</x:v>
      </x:c>
      <x:c r="C95" s="14" t="str">
        <x:v>LF-B-A</x:v>
      </x:c>
      <x:c r="D95" s="14" t="str">
        <x:v>Builder B</x:v>
      </x:c>
      <x:c r="E95" s="18" t="str">
        <x:v>Root-bound tooling cell</x:v>
      </x:c>
      <x:c r="F95" s="18" t="str">
        <x:v>public title; operator separate from sibling line</x:v>
      </x:c>
      <x:c r="G95" s="18" t="str">
        <x:v>produce, repair and disclose line-native tools and fixtures</x:v>
      </x:c>
      <x:c r="H95" s="18" t="str">
        <x:v>no use by the sibling line before evidence reveal; no collateral pledge</x:v>
      </x:c>
      <x:c r="I95" s="18" t="str">
        <x:v>SOURCE EMPTY / UNCOMMISSIONED</x:v>
      </x:c>
    </x:row>
    <x:row r="96">
      <x:c r="A96" s="14" t="str">
        <x:v>LF-B-A-TECH-3-B-FIX</x:v>
      </x:c>
      <x:c r="B96" s="14" t="str">
        <x:v>LF-B-A-TECH-3</x:v>
      </x:c>
      <x:c r="C96" s="14" t="str">
        <x:v>LF-B-A</x:v>
      </x:c>
      <x:c r="D96" s="14" t="str">
        <x:v>Fixture B</x:v>
      </x:c>
      <x:c r="E96" s="18" t="str">
        <x:v>Public proving fixture</x:v>
      </x:c>
      <x:c r="F96" s="18" t="str">
        <x:v>Resilience Proving Service</x:v>
      </x:c>
      <x:c r="G96" s="18" t="str">
        <x:v>impose challenge or matched control and preserve physical truth</x:v>
      </x:c>
      <x:c r="H96" s="18" t="str">
        <x:v>no candidate design, tuning, safeing or commercial acceptance</x:v>
      </x:c>
      <x:c r="I96" s="18" t="str">
        <x:v>SOURCE EMPTY / UNCOMMISSIONED</x:v>
      </x:c>
    </x:row>
    <x:row r="97">
      <x:c r="A97" s="14" t="str">
        <x:v>LF-B-A-TECH-4-A-BLD</x:v>
      </x:c>
      <x:c r="B97" s="14" t="str">
        <x:v>LF-B-A-TECH-4</x:v>
      </x:c>
      <x:c r="C97" s="14" t="str">
        <x:v>LF-B-A</x:v>
      </x:c>
      <x:c r="D97" s="14" t="str">
        <x:v>Builder A</x:v>
      </x:c>
      <x:c r="E97" s="18" t="str">
        <x:v>Builder line</x:v>
      </x:c>
      <x:c r="F97" s="18" t="str">
        <x:v>private one-root option entity</x:v>
      </x:c>
      <x:c r="G97" s="18" t="str">
        <x:v>design and fabricate the three assigned serials</x:v>
      </x:c>
      <x:c r="H97" s="18" t="str">
        <x:v>no public fixture, evidence, disposition or sibling-line control</x:v>
      </x:c>
      <x:c r="I97" s="18" t="str">
        <x:v>SOURCE EMPTY / UNCOMMISSIONED</x:v>
      </x:c>
    </x:row>
    <x:row r="98">
      <x:c r="A98" s="14" t="str">
        <x:v>LF-B-A-TECH-4-A-TOL</x:v>
      </x:c>
      <x:c r="B98" s="14" t="str">
        <x:v>LF-B-A-TECH-4</x:v>
      </x:c>
      <x:c r="C98" s="14" t="str">
        <x:v>LF-B-A</x:v>
      </x:c>
      <x:c r="D98" s="14" t="str">
        <x:v>Builder A</x:v>
      </x:c>
      <x:c r="E98" s="18" t="str">
        <x:v>Root-bound tooling cell</x:v>
      </x:c>
      <x:c r="F98" s="18" t="str">
        <x:v>public title; operator separate from sibling line</x:v>
      </x:c>
      <x:c r="G98" s="18" t="str">
        <x:v>produce, repair and disclose line-native tools and fixtures</x:v>
      </x:c>
      <x:c r="H98" s="18" t="str">
        <x:v>no use by the sibling line before evidence reveal; no collateral pledge</x:v>
      </x:c>
      <x:c r="I98" s="18" t="str">
        <x:v>SOURCE EMPTY / UNCOMMISSIONED</x:v>
      </x:c>
    </x:row>
    <x:row r="99">
      <x:c r="A99" s="14" t="str">
        <x:v>LF-B-A-TECH-4-A-FIX</x:v>
      </x:c>
      <x:c r="B99" s="14" t="str">
        <x:v>LF-B-A-TECH-4</x:v>
      </x:c>
      <x:c r="C99" s="14" t="str">
        <x:v>LF-B-A</x:v>
      </x:c>
      <x:c r="D99" s="14" t="str">
        <x:v>Fixture A</x:v>
      </x:c>
      <x:c r="E99" s="18" t="str">
        <x:v>Public proving fixture</x:v>
      </x:c>
      <x:c r="F99" s="18" t="str">
        <x:v>Resilience Proving Service</x:v>
      </x:c>
      <x:c r="G99" s="18" t="str">
        <x:v>impose challenge or matched control and preserve physical truth</x:v>
      </x:c>
      <x:c r="H99" s="18" t="str">
        <x:v>no candidate design, tuning, safeing or commercial acceptance</x:v>
      </x:c>
      <x:c r="I99" s="18" t="str">
        <x:v>SOURCE EMPTY / UNCOMMISSIONED</x:v>
      </x:c>
    </x:row>
    <x:row r="100">
      <x:c r="A100" s="14" t="str">
        <x:v>LF-B-A-TECH-4-B-BLD</x:v>
      </x:c>
      <x:c r="B100" s="14" t="str">
        <x:v>LF-B-A-TECH-4</x:v>
      </x:c>
      <x:c r="C100" s="14" t="str">
        <x:v>LF-B-A</x:v>
      </x:c>
      <x:c r="D100" s="14" t="str">
        <x:v>Builder B</x:v>
      </x:c>
      <x:c r="E100" s="18" t="str">
        <x:v>Builder line</x:v>
      </x:c>
      <x:c r="F100" s="18" t="str">
        <x:v>private one-root option entity</x:v>
      </x:c>
      <x:c r="G100" s="18" t="str">
        <x:v>design and fabricate the three assigned serials</x:v>
      </x:c>
      <x:c r="H100" s="18" t="str">
        <x:v>no public fixture, evidence, disposition or sibling-line control</x:v>
      </x:c>
      <x:c r="I100" s="18" t="str">
        <x:v>SOURCE EMPTY / UNCOMMISSIONED</x:v>
      </x:c>
    </x:row>
    <x:row r="101">
      <x:c r="A101" s="14" t="str">
        <x:v>LF-B-A-TECH-4-B-TOL</x:v>
      </x:c>
      <x:c r="B101" s="14" t="str">
        <x:v>LF-B-A-TECH-4</x:v>
      </x:c>
      <x:c r="C101" s="14" t="str">
        <x:v>LF-B-A</x:v>
      </x:c>
      <x:c r="D101" s="14" t="str">
        <x:v>Builder B</x:v>
      </x:c>
      <x:c r="E101" s="18" t="str">
        <x:v>Root-bound tooling cell</x:v>
      </x:c>
      <x:c r="F101" s="18" t="str">
        <x:v>public title; operator separate from sibling line</x:v>
      </x:c>
      <x:c r="G101" s="18" t="str">
        <x:v>produce, repair and disclose line-native tools and fixtures</x:v>
      </x:c>
      <x:c r="H101" s="18" t="str">
        <x:v>no use by the sibling line before evidence reveal; no collateral pledge</x:v>
      </x:c>
      <x:c r="I101" s="18" t="str">
        <x:v>SOURCE EMPTY / UNCOMMISSIONED</x:v>
      </x:c>
    </x:row>
    <x:row r="102">
      <x:c r="A102" s="14" t="str">
        <x:v>LF-B-A-TECH-4-B-FIX</x:v>
      </x:c>
      <x:c r="B102" s="14" t="str">
        <x:v>LF-B-A-TECH-4</x:v>
      </x:c>
      <x:c r="C102" s="14" t="str">
        <x:v>LF-B-A</x:v>
      </x:c>
      <x:c r="D102" s="14" t="str">
        <x:v>Fixture B</x:v>
      </x:c>
      <x:c r="E102" s="18" t="str">
        <x:v>Public proving fixture</x:v>
      </x:c>
      <x:c r="F102" s="18" t="str">
        <x:v>Resilience Proving Service</x:v>
      </x:c>
      <x:c r="G102" s="18" t="str">
        <x:v>impose challenge or matched control and preserve physical truth</x:v>
      </x:c>
      <x:c r="H102" s="18" t="str">
        <x:v>no candidate design, tuning, safeing or commercial acceptance</x:v>
      </x:c>
      <x:c r="I102" s="18" t="str">
        <x:v>SOURCE EMPTY / UNCOMMISSIONED</x:v>
      </x:c>
    </x:row>
    <x:row r="103">
      <x:c r="A103" s="14" t="str">
        <x:v>HU-A-B-TECH-1-A-BLD</x:v>
      </x:c>
      <x:c r="B103" s="14" t="str">
        <x:v>HU-A-B-TECH-1</x:v>
      </x:c>
      <x:c r="C103" s="14" t="str">
        <x:v>HU-A-B</x:v>
      </x:c>
      <x:c r="D103" s="14" t="str">
        <x:v>Builder A</x:v>
      </x:c>
      <x:c r="E103" s="18" t="str">
        <x:v>Builder line</x:v>
      </x:c>
      <x:c r="F103" s="18" t="str">
        <x:v>private one-root option entity</x:v>
      </x:c>
      <x:c r="G103" s="18" t="str">
        <x:v>design and fabricate the three assigned serials</x:v>
      </x:c>
      <x:c r="H103" s="18" t="str">
        <x:v>no public fixture, evidence, disposition or sibling-line control</x:v>
      </x:c>
      <x:c r="I103" s="18" t="str">
        <x:v>SOURCE EMPTY / UNCOMMISSIONED</x:v>
      </x:c>
    </x:row>
    <x:row r="104">
      <x:c r="A104" s="14" t="str">
        <x:v>HU-A-B-TECH-1-A-TOL</x:v>
      </x:c>
      <x:c r="B104" s="14" t="str">
        <x:v>HU-A-B-TECH-1</x:v>
      </x:c>
      <x:c r="C104" s="14" t="str">
        <x:v>HU-A-B</x:v>
      </x:c>
      <x:c r="D104" s="14" t="str">
        <x:v>Builder A</x:v>
      </x:c>
      <x:c r="E104" s="18" t="str">
        <x:v>Root-bound tooling cell</x:v>
      </x:c>
      <x:c r="F104" s="18" t="str">
        <x:v>public title; operator separate from sibling line</x:v>
      </x:c>
      <x:c r="G104" s="18" t="str">
        <x:v>produce, repair and disclose line-native tools and fixtures</x:v>
      </x:c>
      <x:c r="H104" s="18" t="str">
        <x:v>no use by the sibling line before evidence reveal; no collateral pledge</x:v>
      </x:c>
      <x:c r="I104" s="18" t="str">
        <x:v>SOURCE EMPTY / UNCOMMISSIONED</x:v>
      </x:c>
    </x:row>
    <x:row r="105">
      <x:c r="A105" s="14" t="str">
        <x:v>HU-A-B-TECH-1-A-FIX</x:v>
      </x:c>
      <x:c r="B105" s="14" t="str">
        <x:v>HU-A-B-TECH-1</x:v>
      </x:c>
      <x:c r="C105" s="14" t="str">
        <x:v>HU-A-B</x:v>
      </x:c>
      <x:c r="D105" s="14" t="str">
        <x:v>Fixture A</x:v>
      </x:c>
      <x:c r="E105" s="18" t="str">
        <x:v>Public proving fixture</x:v>
      </x:c>
      <x:c r="F105" s="18" t="str">
        <x:v>Resilience Proving Service</x:v>
      </x:c>
      <x:c r="G105" s="18" t="str">
        <x:v>impose challenge or matched control and preserve physical truth</x:v>
      </x:c>
      <x:c r="H105" s="18" t="str">
        <x:v>no candidate design, tuning, safeing or commercial acceptance</x:v>
      </x:c>
      <x:c r="I105" s="18" t="str">
        <x:v>SOURCE EMPTY / UNCOMMISSIONED</x:v>
      </x:c>
    </x:row>
    <x:row r="106">
      <x:c r="A106" s="14" t="str">
        <x:v>HU-A-B-TECH-1-B-BLD</x:v>
      </x:c>
      <x:c r="B106" s="14" t="str">
        <x:v>HU-A-B-TECH-1</x:v>
      </x:c>
      <x:c r="C106" s="14" t="str">
        <x:v>HU-A-B</x:v>
      </x:c>
      <x:c r="D106" s="14" t="str">
        <x:v>Builder B</x:v>
      </x:c>
      <x:c r="E106" s="18" t="str">
        <x:v>Builder line</x:v>
      </x:c>
      <x:c r="F106" s="18" t="str">
        <x:v>private one-root option entity</x:v>
      </x:c>
      <x:c r="G106" s="18" t="str">
        <x:v>design and fabricate the three assigned serials</x:v>
      </x:c>
      <x:c r="H106" s="18" t="str">
        <x:v>no public fixture, evidence, disposition or sibling-line control</x:v>
      </x:c>
      <x:c r="I106" s="18" t="str">
        <x:v>SOURCE EMPTY / UNCOMMISSIONED</x:v>
      </x:c>
    </x:row>
    <x:row r="107">
      <x:c r="A107" s="14" t="str">
        <x:v>HU-A-B-TECH-1-B-TOL</x:v>
      </x:c>
      <x:c r="B107" s="14" t="str">
        <x:v>HU-A-B-TECH-1</x:v>
      </x:c>
      <x:c r="C107" s="14" t="str">
        <x:v>HU-A-B</x:v>
      </x:c>
      <x:c r="D107" s="14" t="str">
        <x:v>Builder B</x:v>
      </x:c>
      <x:c r="E107" s="18" t="str">
        <x:v>Root-bound tooling cell</x:v>
      </x:c>
      <x:c r="F107" s="18" t="str">
        <x:v>public title; operator separate from sibling line</x:v>
      </x:c>
      <x:c r="G107" s="18" t="str">
        <x:v>produce, repair and disclose line-native tools and fixtures</x:v>
      </x:c>
      <x:c r="H107" s="18" t="str">
        <x:v>no use by the sibling line before evidence reveal; no collateral pledge</x:v>
      </x:c>
      <x:c r="I107" s="18" t="str">
        <x:v>SOURCE EMPTY / UNCOMMISSIONED</x:v>
      </x:c>
    </x:row>
    <x:row r="108">
      <x:c r="A108" s="14" t="str">
        <x:v>HU-A-B-TECH-1-B-FIX</x:v>
      </x:c>
      <x:c r="B108" s="14" t="str">
        <x:v>HU-A-B-TECH-1</x:v>
      </x:c>
      <x:c r="C108" s="14" t="str">
        <x:v>HU-A-B</x:v>
      </x:c>
      <x:c r="D108" s="14" t="str">
        <x:v>Fixture B</x:v>
      </x:c>
      <x:c r="E108" s="18" t="str">
        <x:v>Public proving fixture</x:v>
      </x:c>
      <x:c r="F108" s="18" t="str">
        <x:v>Resilience Proving Service</x:v>
      </x:c>
      <x:c r="G108" s="18" t="str">
        <x:v>impose challenge or matched control and preserve physical truth</x:v>
      </x:c>
      <x:c r="H108" s="18" t="str">
        <x:v>no candidate design, tuning, safeing or commercial acceptance</x:v>
      </x:c>
      <x:c r="I108" s="18" t="str">
        <x:v>SOURCE EMPTY / UNCOMMISSIONED</x:v>
      </x:c>
    </x:row>
    <x:row r="109">
      <x:c r="A109" s="14" t="str">
        <x:v>HU-A-B-TECH-2-A-BLD</x:v>
      </x:c>
      <x:c r="B109" s="14" t="str">
        <x:v>HU-A-B-TECH-2</x:v>
      </x:c>
      <x:c r="C109" s="14" t="str">
        <x:v>HU-A-B</x:v>
      </x:c>
      <x:c r="D109" s="14" t="str">
        <x:v>Builder A</x:v>
      </x:c>
      <x:c r="E109" s="18" t="str">
        <x:v>Builder line</x:v>
      </x:c>
      <x:c r="F109" s="18" t="str">
        <x:v>private one-root option entity</x:v>
      </x:c>
      <x:c r="G109" s="18" t="str">
        <x:v>design and fabricate the three assigned serials</x:v>
      </x:c>
      <x:c r="H109" s="18" t="str">
        <x:v>no public fixture, evidence, disposition or sibling-line control</x:v>
      </x:c>
      <x:c r="I109" s="18" t="str">
        <x:v>SOURCE EMPTY / UNCOMMISSIONED</x:v>
      </x:c>
    </x:row>
    <x:row r="110">
      <x:c r="A110" s="14" t="str">
        <x:v>HU-A-B-TECH-2-A-TOL</x:v>
      </x:c>
      <x:c r="B110" s="14" t="str">
        <x:v>HU-A-B-TECH-2</x:v>
      </x:c>
      <x:c r="C110" s="14" t="str">
        <x:v>HU-A-B</x:v>
      </x:c>
      <x:c r="D110" s="14" t="str">
        <x:v>Builder A</x:v>
      </x:c>
      <x:c r="E110" s="18" t="str">
        <x:v>Root-bound tooling cell</x:v>
      </x:c>
      <x:c r="F110" s="18" t="str">
        <x:v>public title; operator separate from sibling line</x:v>
      </x:c>
      <x:c r="G110" s="18" t="str">
        <x:v>produce, repair and disclose line-native tools and fixtures</x:v>
      </x:c>
      <x:c r="H110" s="18" t="str">
        <x:v>no use by the sibling line before evidence reveal; no collateral pledge</x:v>
      </x:c>
      <x:c r="I110" s="18" t="str">
        <x:v>SOURCE EMPTY / UNCOMMISSIONED</x:v>
      </x:c>
    </x:row>
    <x:row r="111">
      <x:c r="A111" s="14" t="str">
        <x:v>HU-A-B-TECH-2-A-FIX</x:v>
      </x:c>
      <x:c r="B111" s="14" t="str">
        <x:v>HU-A-B-TECH-2</x:v>
      </x:c>
      <x:c r="C111" s="14" t="str">
        <x:v>HU-A-B</x:v>
      </x:c>
      <x:c r="D111" s="14" t="str">
        <x:v>Fixture A</x:v>
      </x:c>
      <x:c r="E111" s="18" t="str">
        <x:v>Public proving fixture</x:v>
      </x:c>
      <x:c r="F111" s="18" t="str">
        <x:v>Resilience Proving Service</x:v>
      </x:c>
      <x:c r="G111" s="18" t="str">
        <x:v>impose challenge or matched control and preserve physical truth</x:v>
      </x:c>
      <x:c r="H111" s="18" t="str">
        <x:v>no candidate design, tuning, safeing or commercial acceptance</x:v>
      </x:c>
      <x:c r="I111" s="18" t="str">
        <x:v>SOURCE EMPTY / UNCOMMISSIONED</x:v>
      </x:c>
    </x:row>
    <x:row r="112">
      <x:c r="A112" s="14" t="str">
        <x:v>HU-A-B-TECH-2-B-BLD</x:v>
      </x:c>
      <x:c r="B112" s="14" t="str">
        <x:v>HU-A-B-TECH-2</x:v>
      </x:c>
      <x:c r="C112" s="14" t="str">
        <x:v>HU-A-B</x:v>
      </x:c>
      <x:c r="D112" s="14" t="str">
        <x:v>Builder B</x:v>
      </x:c>
      <x:c r="E112" s="18" t="str">
        <x:v>Builder line</x:v>
      </x:c>
      <x:c r="F112" s="18" t="str">
        <x:v>private one-root option entity</x:v>
      </x:c>
      <x:c r="G112" s="18" t="str">
        <x:v>design and fabricate the three assigned serials</x:v>
      </x:c>
      <x:c r="H112" s="18" t="str">
        <x:v>no public fixture, evidence, disposition or sibling-line control</x:v>
      </x:c>
      <x:c r="I112" s="18" t="str">
        <x:v>SOURCE EMPTY / UNCOMMISSIONED</x:v>
      </x:c>
    </x:row>
    <x:row r="113">
      <x:c r="A113" s="14" t="str">
        <x:v>HU-A-B-TECH-2-B-TOL</x:v>
      </x:c>
      <x:c r="B113" s="14" t="str">
        <x:v>HU-A-B-TECH-2</x:v>
      </x:c>
      <x:c r="C113" s="14" t="str">
        <x:v>HU-A-B</x:v>
      </x:c>
      <x:c r="D113" s="14" t="str">
        <x:v>Builder B</x:v>
      </x:c>
      <x:c r="E113" s="18" t="str">
        <x:v>Root-bound tooling cell</x:v>
      </x:c>
      <x:c r="F113" s="18" t="str">
        <x:v>public title; operator separate from sibling line</x:v>
      </x:c>
      <x:c r="G113" s="18" t="str">
        <x:v>produce, repair and disclose line-native tools and fixtures</x:v>
      </x:c>
      <x:c r="H113" s="18" t="str">
        <x:v>no use by the sibling line before evidence reveal; no collateral pledge</x:v>
      </x:c>
      <x:c r="I113" s="18" t="str">
        <x:v>SOURCE EMPTY / UNCOMMISSIONED</x:v>
      </x:c>
    </x:row>
    <x:row r="114">
      <x:c r="A114" s="14" t="str">
        <x:v>HU-A-B-TECH-2-B-FIX</x:v>
      </x:c>
      <x:c r="B114" s="14" t="str">
        <x:v>HU-A-B-TECH-2</x:v>
      </x:c>
      <x:c r="C114" s="14" t="str">
        <x:v>HU-A-B</x:v>
      </x:c>
      <x:c r="D114" s="14" t="str">
        <x:v>Fixture B</x:v>
      </x:c>
      <x:c r="E114" s="18" t="str">
        <x:v>Public proving fixture</x:v>
      </x:c>
      <x:c r="F114" s="18" t="str">
        <x:v>Resilience Proving Service</x:v>
      </x:c>
      <x:c r="G114" s="18" t="str">
        <x:v>impose challenge or matched control and preserve physical truth</x:v>
      </x:c>
      <x:c r="H114" s="18" t="str">
        <x:v>no candidate design, tuning, safeing or commercial acceptance</x:v>
      </x:c>
      <x:c r="I114" s="18" t="str">
        <x:v>SOURCE EMPTY / UNCOMMISSIONED</x:v>
      </x:c>
    </x:row>
    <x:row r="115">
      <x:c r="A115" s="14" t="str">
        <x:v>HU-A-B-TECH-3-A-BLD</x:v>
      </x:c>
      <x:c r="B115" s="14" t="str">
        <x:v>HU-A-B-TECH-3</x:v>
      </x:c>
      <x:c r="C115" s="14" t="str">
        <x:v>HU-A-B</x:v>
      </x:c>
      <x:c r="D115" s="14" t="str">
        <x:v>Builder A</x:v>
      </x:c>
      <x:c r="E115" s="18" t="str">
        <x:v>Builder line</x:v>
      </x:c>
      <x:c r="F115" s="18" t="str">
        <x:v>private one-root option entity</x:v>
      </x:c>
      <x:c r="G115" s="18" t="str">
        <x:v>design and fabricate the three assigned serials</x:v>
      </x:c>
      <x:c r="H115" s="18" t="str">
        <x:v>no public fixture, evidence, disposition or sibling-line control</x:v>
      </x:c>
      <x:c r="I115" s="18" t="str">
        <x:v>SOURCE EMPTY / UNCOMMISSIONED</x:v>
      </x:c>
    </x:row>
    <x:row r="116">
      <x:c r="A116" s="14" t="str">
        <x:v>HU-A-B-TECH-3-A-TOL</x:v>
      </x:c>
      <x:c r="B116" s="14" t="str">
        <x:v>HU-A-B-TECH-3</x:v>
      </x:c>
      <x:c r="C116" s="14" t="str">
        <x:v>HU-A-B</x:v>
      </x:c>
      <x:c r="D116" s="14" t="str">
        <x:v>Builder A</x:v>
      </x:c>
      <x:c r="E116" s="18" t="str">
        <x:v>Root-bound tooling cell</x:v>
      </x:c>
      <x:c r="F116" s="18" t="str">
        <x:v>public title; operator separate from sibling line</x:v>
      </x:c>
      <x:c r="G116" s="18" t="str">
        <x:v>produce, repair and disclose line-native tools and fixtures</x:v>
      </x:c>
      <x:c r="H116" s="18" t="str">
        <x:v>no use by the sibling line before evidence reveal; no collateral pledge</x:v>
      </x:c>
      <x:c r="I116" s="18" t="str">
        <x:v>SOURCE EMPTY / UNCOMMISSIONED</x:v>
      </x:c>
    </x:row>
    <x:row r="117">
      <x:c r="A117" s="14" t="str">
        <x:v>HU-A-B-TECH-3-A-FIX</x:v>
      </x:c>
      <x:c r="B117" s="14" t="str">
        <x:v>HU-A-B-TECH-3</x:v>
      </x:c>
      <x:c r="C117" s="14" t="str">
        <x:v>HU-A-B</x:v>
      </x:c>
      <x:c r="D117" s="14" t="str">
        <x:v>Fixture A</x:v>
      </x:c>
      <x:c r="E117" s="18" t="str">
        <x:v>Public proving fixture</x:v>
      </x:c>
      <x:c r="F117" s="18" t="str">
        <x:v>Resilience Proving Service</x:v>
      </x:c>
      <x:c r="G117" s="18" t="str">
        <x:v>impose challenge or matched control and preserve physical truth</x:v>
      </x:c>
      <x:c r="H117" s="18" t="str">
        <x:v>no candidate design, tuning, safeing or commercial acceptance</x:v>
      </x:c>
      <x:c r="I117" s="18" t="str">
        <x:v>SOURCE EMPTY / UNCOMMISSIONED</x:v>
      </x:c>
    </x:row>
    <x:row r="118">
      <x:c r="A118" s="14" t="str">
        <x:v>HU-A-B-TECH-3-B-BLD</x:v>
      </x:c>
      <x:c r="B118" s="14" t="str">
        <x:v>HU-A-B-TECH-3</x:v>
      </x:c>
      <x:c r="C118" s="14" t="str">
        <x:v>HU-A-B</x:v>
      </x:c>
      <x:c r="D118" s="14" t="str">
        <x:v>Builder B</x:v>
      </x:c>
      <x:c r="E118" s="18" t="str">
        <x:v>Builder line</x:v>
      </x:c>
      <x:c r="F118" s="18" t="str">
        <x:v>private one-root option entity</x:v>
      </x:c>
      <x:c r="G118" s="18" t="str">
        <x:v>design and fabricate the three assigned serials</x:v>
      </x:c>
      <x:c r="H118" s="18" t="str">
        <x:v>no public fixture, evidence, disposition or sibling-line control</x:v>
      </x:c>
      <x:c r="I118" s="18" t="str">
        <x:v>SOURCE EMPTY / UNCOMMISSIONED</x:v>
      </x:c>
    </x:row>
    <x:row r="119">
      <x:c r="A119" s="14" t="str">
        <x:v>HU-A-B-TECH-3-B-TOL</x:v>
      </x:c>
      <x:c r="B119" s="14" t="str">
        <x:v>HU-A-B-TECH-3</x:v>
      </x:c>
      <x:c r="C119" s="14" t="str">
        <x:v>HU-A-B</x:v>
      </x:c>
      <x:c r="D119" s="14" t="str">
        <x:v>Builder B</x:v>
      </x:c>
      <x:c r="E119" s="18" t="str">
        <x:v>Root-bound tooling cell</x:v>
      </x:c>
      <x:c r="F119" s="18" t="str">
        <x:v>public title; operator separate from sibling line</x:v>
      </x:c>
      <x:c r="G119" s="18" t="str">
        <x:v>produce, repair and disclose line-native tools and fixtures</x:v>
      </x:c>
      <x:c r="H119" s="18" t="str">
        <x:v>no use by the sibling line before evidence reveal; no collateral pledge</x:v>
      </x:c>
      <x:c r="I119" s="18" t="str">
        <x:v>SOURCE EMPTY / UNCOMMISSIONED</x:v>
      </x:c>
    </x:row>
    <x:row r="120">
      <x:c r="A120" s="14" t="str">
        <x:v>HU-A-B-TECH-3-B-FIX</x:v>
      </x:c>
      <x:c r="B120" s="14" t="str">
        <x:v>HU-A-B-TECH-3</x:v>
      </x:c>
      <x:c r="C120" s="14" t="str">
        <x:v>HU-A-B</x:v>
      </x:c>
      <x:c r="D120" s="14" t="str">
        <x:v>Fixture B</x:v>
      </x:c>
      <x:c r="E120" s="18" t="str">
        <x:v>Public proving fixture</x:v>
      </x:c>
      <x:c r="F120" s="18" t="str">
        <x:v>Resilience Proving Service</x:v>
      </x:c>
      <x:c r="G120" s="18" t="str">
        <x:v>impose challenge or matched control and preserve physical truth</x:v>
      </x:c>
      <x:c r="H120" s="18" t="str">
        <x:v>no candidate design, tuning, safeing or commercial acceptance</x:v>
      </x:c>
      <x:c r="I120" s="18" t="str">
        <x:v>SOURCE EMPTY / UNCOMMISSIONED</x:v>
      </x:c>
    </x:row>
    <x:row r="121">
      <x:c r="A121" s="14" t="str">
        <x:v>HU-A-B-TECH-4-A-BLD</x:v>
      </x:c>
      <x:c r="B121" s="14" t="str">
        <x:v>HU-A-B-TECH-4</x:v>
      </x:c>
      <x:c r="C121" s="14" t="str">
        <x:v>HU-A-B</x:v>
      </x:c>
      <x:c r="D121" s="14" t="str">
        <x:v>Builder A</x:v>
      </x:c>
      <x:c r="E121" s="18" t="str">
        <x:v>Builder line</x:v>
      </x:c>
      <x:c r="F121" s="18" t="str">
        <x:v>private one-root option entity</x:v>
      </x:c>
      <x:c r="G121" s="18" t="str">
        <x:v>design and fabricate the three assigned serials</x:v>
      </x:c>
      <x:c r="H121" s="18" t="str">
        <x:v>no public fixture, evidence, disposition or sibling-line control</x:v>
      </x:c>
      <x:c r="I121" s="18" t="str">
        <x:v>SOURCE EMPTY / UNCOMMISSIONED</x:v>
      </x:c>
    </x:row>
    <x:row r="122">
      <x:c r="A122" s="14" t="str">
        <x:v>HU-A-B-TECH-4-A-TOL</x:v>
      </x:c>
      <x:c r="B122" s="14" t="str">
        <x:v>HU-A-B-TECH-4</x:v>
      </x:c>
      <x:c r="C122" s="14" t="str">
        <x:v>HU-A-B</x:v>
      </x:c>
      <x:c r="D122" s="14" t="str">
        <x:v>Builder A</x:v>
      </x:c>
      <x:c r="E122" s="18" t="str">
        <x:v>Root-bound tooling cell</x:v>
      </x:c>
      <x:c r="F122" s="18" t="str">
        <x:v>public title; operator separate from sibling line</x:v>
      </x:c>
      <x:c r="G122" s="18" t="str">
        <x:v>produce, repair and disclose line-native tools and fixtures</x:v>
      </x:c>
      <x:c r="H122" s="18" t="str">
        <x:v>no use by the sibling line before evidence reveal; no collateral pledge</x:v>
      </x:c>
      <x:c r="I122" s="18" t="str">
        <x:v>SOURCE EMPTY / UNCOMMISSIONED</x:v>
      </x:c>
    </x:row>
    <x:row r="123">
      <x:c r="A123" s="14" t="str">
        <x:v>HU-A-B-TECH-4-A-FIX</x:v>
      </x:c>
      <x:c r="B123" s="14" t="str">
        <x:v>HU-A-B-TECH-4</x:v>
      </x:c>
      <x:c r="C123" s="14" t="str">
        <x:v>HU-A-B</x:v>
      </x:c>
      <x:c r="D123" s="14" t="str">
        <x:v>Fixture A</x:v>
      </x:c>
      <x:c r="E123" s="18" t="str">
        <x:v>Public proving fixture</x:v>
      </x:c>
      <x:c r="F123" s="18" t="str">
        <x:v>Resilience Proving Service</x:v>
      </x:c>
      <x:c r="G123" s="18" t="str">
        <x:v>impose challenge or matched control and preserve physical truth</x:v>
      </x:c>
      <x:c r="H123" s="18" t="str">
        <x:v>no candidate design, tuning, safeing or commercial acceptance</x:v>
      </x:c>
      <x:c r="I123" s="18" t="str">
        <x:v>SOURCE EMPTY / UNCOMMISSIONED</x:v>
      </x:c>
    </x:row>
    <x:row r="124">
      <x:c r="A124" s="14" t="str">
        <x:v>HU-A-B-TECH-4-B-BLD</x:v>
      </x:c>
      <x:c r="B124" s="14" t="str">
        <x:v>HU-A-B-TECH-4</x:v>
      </x:c>
      <x:c r="C124" s="14" t="str">
        <x:v>HU-A-B</x:v>
      </x:c>
      <x:c r="D124" s="14" t="str">
        <x:v>Builder B</x:v>
      </x:c>
      <x:c r="E124" s="18" t="str">
        <x:v>Builder line</x:v>
      </x:c>
      <x:c r="F124" s="18" t="str">
        <x:v>private one-root option entity</x:v>
      </x:c>
      <x:c r="G124" s="18" t="str">
        <x:v>design and fabricate the three assigned serials</x:v>
      </x:c>
      <x:c r="H124" s="18" t="str">
        <x:v>no public fixture, evidence, disposition or sibling-line control</x:v>
      </x:c>
      <x:c r="I124" s="18" t="str">
        <x:v>SOURCE EMPTY / UNCOMMISSIONED</x:v>
      </x:c>
    </x:row>
    <x:row r="125">
      <x:c r="A125" s="14" t="str">
        <x:v>HU-A-B-TECH-4-B-TOL</x:v>
      </x:c>
      <x:c r="B125" s="14" t="str">
        <x:v>HU-A-B-TECH-4</x:v>
      </x:c>
      <x:c r="C125" s="14" t="str">
        <x:v>HU-A-B</x:v>
      </x:c>
      <x:c r="D125" s="14" t="str">
        <x:v>Builder B</x:v>
      </x:c>
      <x:c r="E125" s="18" t="str">
        <x:v>Root-bound tooling cell</x:v>
      </x:c>
      <x:c r="F125" s="18" t="str">
        <x:v>public title; operator separate from sibling line</x:v>
      </x:c>
      <x:c r="G125" s="18" t="str">
        <x:v>produce, repair and disclose line-native tools and fixtures</x:v>
      </x:c>
      <x:c r="H125" s="18" t="str">
        <x:v>no use by the sibling line before evidence reveal; no collateral pledge</x:v>
      </x:c>
      <x:c r="I125" s="18" t="str">
        <x:v>SOURCE EMPTY / UNCOMMISSIONED</x:v>
      </x:c>
    </x:row>
    <x:row r="126">
      <x:c r="A126" s="14" t="str">
        <x:v>HU-A-B-TECH-4-B-FIX</x:v>
      </x:c>
      <x:c r="B126" s="14" t="str">
        <x:v>HU-A-B-TECH-4</x:v>
      </x:c>
      <x:c r="C126" s="14" t="str">
        <x:v>HU-A-B</x:v>
      </x:c>
      <x:c r="D126" s="14" t="str">
        <x:v>Fixture B</x:v>
      </x:c>
      <x:c r="E126" s="18" t="str">
        <x:v>Public proving fixture</x:v>
      </x:c>
      <x:c r="F126" s="18" t="str">
        <x:v>Resilience Proving Service</x:v>
      </x:c>
      <x:c r="G126" s="18" t="str">
        <x:v>impose challenge or matched control and preserve physical truth</x:v>
      </x:c>
      <x:c r="H126" s="18" t="str">
        <x:v>no candidate design, tuning, safeing or commercial acceptance</x:v>
      </x:c>
      <x:c r="I126" s="18" t="str">
        <x:v>SOURCE EMPTY / UNCOMMISSIONED</x:v>
      </x:c>
    </x:row>
    <x:row r="127">
      <x:c r="A127" s="14" t="str">
        <x:v>RT-B-C-TECH-1-A-BLD</x:v>
      </x:c>
      <x:c r="B127" s="14" t="str">
        <x:v>RT-B-C-TECH-1</x:v>
      </x:c>
      <x:c r="C127" s="14" t="str">
        <x:v>RT-B-C</x:v>
      </x:c>
      <x:c r="D127" s="14" t="str">
        <x:v>Builder A</x:v>
      </x:c>
      <x:c r="E127" s="18" t="str">
        <x:v>Builder line</x:v>
      </x:c>
      <x:c r="F127" s="18" t="str">
        <x:v>private one-root option entity</x:v>
      </x:c>
      <x:c r="G127" s="18" t="str">
        <x:v>design and fabricate the three assigned serials</x:v>
      </x:c>
      <x:c r="H127" s="18" t="str">
        <x:v>no public fixture, evidence, disposition or sibling-line control</x:v>
      </x:c>
      <x:c r="I127" s="18" t="str">
        <x:v>SOURCE EMPTY / UNCOMMISSIONED</x:v>
      </x:c>
    </x:row>
    <x:row r="128">
      <x:c r="A128" s="14" t="str">
        <x:v>RT-B-C-TECH-1-A-TOL</x:v>
      </x:c>
      <x:c r="B128" s="14" t="str">
        <x:v>RT-B-C-TECH-1</x:v>
      </x:c>
      <x:c r="C128" s="14" t="str">
        <x:v>RT-B-C</x:v>
      </x:c>
      <x:c r="D128" s="14" t="str">
        <x:v>Builder A</x:v>
      </x:c>
      <x:c r="E128" s="18" t="str">
        <x:v>Root-bound tooling cell</x:v>
      </x:c>
      <x:c r="F128" s="18" t="str">
        <x:v>public title; operator separate from sibling line</x:v>
      </x:c>
      <x:c r="G128" s="18" t="str">
        <x:v>produce, repair and disclose line-native tools and fixtures</x:v>
      </x:c>
      <x:c r="H128" s="18" t="str">
        <x:v>no use by the sibling line before evidence reveal; no collateral pledge</x:v>
      </x:c>
      <x:c r="I128" s="18" t="str">
        <x:v>SOURCE EMPTY / UNCOMMISSIONED</x:v>
      </x:c>
    </x:row>
    <x:row r="129">
      <x:c r="A129" s="14" t="str">
        <x:v>RT-B-C-TECH-1-A-FIX</x:v>
      </x:c>
      <x:c r="B129" s="14" t="str">
        <x:v>RT-B-C-TECH-1</x:v>
      </x:c>
      <x:c r="C129" s="14" t="str">
        <x:v>RT-B-C</x:v>
      </x:c>
      <x:c r="D129" s="14" t="str">
        <x:v>Fixture A</x:v>
      </x:c>
      <x:c r="E129" s="18" t="str">
        <x:v>Public proving fixture</x:v>
      </x:c>
      <x:c r="F129" s="18" t="str">
        <x:v>Resilience Proving Service</x:v>
      </x:c>
      <x:c r="G129" s="18" t="str">
        <x:v>impose challenge or matched control and preserve physical truth</x:v>
      </x:c>
      <x:c r="H129" s="18" t="str">
        <x:v>no candidate design, tuning, safeing or commercial acceptance</x:v>
      </x:c>
      <x:c r="I129" s="18" t="str">
        <x:v>SOURCE EMPTY / UNCOMMISSIONED</x:v>
      </x:c>
    </x:row>
    <x:row r="130">
      <x:c r="A130" s="14" t="str">
        <x:v>RT-B-C-TECH-1-B-BLD</x:v>
      </x:c>
      <x:c r="B130" s="14" t="str">
        <x:v>RT-B-C-TECH-1</x:v>
      </x:c>
      <x:c r="C130" s="14" t="str">
        <x:v>RT-B-C</x:v>
      </x:c>
      <x:c r="D130" s="14" t="str">
        <x:v>Builder B</x:v>
      </x:c>
      <x:c r="E130" s="18" t="str">
        <x:v>Builder line</x:v>
      </x:c>
      <x:c r="F130" s="18" t="str">
        <x:v>private one-root option entity</x:v>
      </x:c>
      <x:c r="G130" s="18" t="str">
        <x:v>design and fabricate the three assigned serials</x:v>
      </x:c>
      <x:c r="H130" s="18" t="str">
        <x:v>no public fixture, evidence, disposition or sibling-line control</x:v>
      </x:c>
      <x:c r="I130" s="18" t="str">
        <x:v>SOURCE EMPTY / UNCOMMISSIONED</x:v>
      </x:c>
    </x:row>
    <x:row r="131">
      <x:c r="A131" s="14" t="str">
        <x:v>RT-B-C-TECH-1-B-TOL</x:v>
      </x:c>
      <x:c r="B131" s="14" t="str">
        <x:v>RT-B-C-TECH-1</x:v>
      </x:c>
      <x:c r="C131" s="14" t="str">
        <x:v>RT-B-C</x:v>
      </x:c>
      <x:c r="D131" s="14" t="str">
        <x:v>Builder B</x:v>
      </x:c>
      <x:c r="E131" s="18" t="str">
        <x:v>Root-bound tooling cell</x:v>
      </x:c>
      <x:c r="F131" s="18" t="str">
        <x:v>public title; operator separate from sibling line</x:v>
      </x:c>
      <x:c r="G131" s="18" t="str">
        <x:v>produce, repair and disclose line-native tools and fixtures</x:v>
      </x:c>
      <x:c r="H131" s="18" t="str">
        <x:v>no use by the sibling line before evidence reveal; no collateral pledge</x:v>
      </x:c>
      <x:c r="I131" s="18" t="str">
        <x:v>SOURCE EMPTY / UNCOMMISSIONED</x:v>
      </x:c>
    </x:row>
    <x:row r="132">
      <x:c r="A132" s="14" t="str">
        <x:v>RT-B-C-TECH-1-B-FIX</x:v>
      </x:c>
      <x:c r="B132" s="14" t="str">
        <x:v>RT-B-C-TECH-1</x:v>
      </x:c>
      <x:c r="C132" s="14" t="str">
        <x:v>RT-B-C</x:v>
      </x:c>
      <x:c r="D132" s="14" t="str">
        <x:v>Fixture B</x:v>
      </x:c>
      <x:c r="E132" s="18" t="str">
        <x:v>Public proving fixture</x:v>
      </x:c>
      <x:c r="F132" s="18" t="str">
        <x:v>Resilience Proving Service</x:v>
      </x:c>
      <x:c r="G132" s="18" t="str">
        <x:v>impose challenge or matched control and preserve physical truth</x:v>
      </x:c>
      <x:c r="H132" s="18" t="str">
        <x:v>no candidate design, tuning, safeing or commercial acceptance</x:v>
      </x:c>
      <x:c r="I132" s="18" t="str">
        <x:v>SOURCE EMPTY / UNCOMMISSIONED</x:v>
      </x:c>
    </x:row>
    <x:row r="133">
      <x:c r="A133" s="14" t="str">
        <x:v>RT-B-C-TECH-2-A-BLD</x:v>
      </x:c>
      <x:c r="B133" s="14" t="str">
        <x:v>RT-B-C-TECH-2</x:v>
      </x:c>
      <x:c r="C133" s="14" t="str">
        <x:v>RT-B-C</x:v>
      </x:c>
      <x:c r="D133" s="14" t="str">
        <x:v>Builder A</x:v>
      </x:c>
      <x:c r="E133" s="18" t="str">
        <x:v>Builder line</x:v>
      </x:c>
      <x:c r="F133" s="18" t="str">
        <x:v>private one-root option entity</x:v>
      </x:c>
      <x:c r="G133" s="18" t="str">
        <x:v>design and fabricate the three assigned serials</x:v>
      </x:c>
      <x:c r="H133" s="18" t="str">
        <x:v>no public fixture, evidence, disposition or sibling-line control</x:v>
      </x:c>
      <x:c r="I133" s="18" t="str">
        <x:v>SOURCE EMPTY / UNCOMMISSIONED</x:v>
      </x:c>
    </x:row>
    <x:row r="134">
      <x:c r="A134" s="14" t="str">
        <x:v>RT-B-C-TECH-2-A-TOL</x:v>
      </x:c>
      <x:c r="B134" s="14" t="str">
        <x:v>RT-B-C-TECH-2</x:v>
      </x:c>
      <x:c r="C134" s="14" t="str">
        <x:v>RT-B-C</x:v>
      </x:c>
      <x:c r="D134" s="14" t="str">
        <x:v>Builder A</x:v>
      </x:c>
      <x:c r="E134" s="18" t="str">
        <x:v>Root-bound tooling cell</x:v>
      </x:c>
      <x:c r="F134" s="18" t="str">
        <x:v>public title; operator separate from sibling line</x:v>
      </x:c>
      <x:c r="G134" s="18" t="str">
        <x:v>produce, repair and disclose line-native tools and fixtures</x:v>
      </x:c>
      <x:c r="H134" s="18" t="str">
        <x:v>no use by the sibling line before evidence reveal; no collateral pledge</x:v>
      </x:c>
      <x:c r="I134" s="18" t="str">
        <x:v>SOURCE EMPTY / UNCOMMISSIONED</x:v>
      </x:c>
    </x:row>
    <x:row r="135">
      <x:c r="A135" s="14" t="str">
        <x:v>RT-B-C-TECH-2-A-FIX</x:v>
      </x:c>
      <x:c r="B135" s="14" t="str">
        <x:v>RT-B-C-TECH-2</x:v>
      </x:c>
      <x:c r="C135" s="14" t="str">
        <x:v>RT-B-C</x:v>
      </x:c>
      <x:c r="D135" s="14" t="str">
        <x:v>Fixture A</x:v>
      </x:c>
      <x:c r="E135" s="18" t="str">
        <x:v>Public proving fixture</x:v>
      </x:c>
      <x:c r="F135" s="18" t="str">
        <x:v>Resilience Proving Service</x:v>
      </x:c>
      <x:c r="G135" s="18" t="str">
        <x:v>impose challenge or matched control and preserve physical truth</x:v>
      </x:c>
      <x:c r="H135" s="18" t="str">
        <x:v>no candidate design, tuning, safeing or commercial acceptance</x:v>
      </x:c>
      <x:c r="I135" s="18" t="str">
        <x:v>SOURCE EMPTY / UNCOMMISSIONED</x:v>
      </x:c>
    </x:row>
    <x:row r="136">
      <x:c r="A136" s="14" t="str">
        <x:v>RT-B-C-TECH-2-B-BLD</x:v>
      </x:c>
      <x:c r="B136" s="14" t="str">
        <x:v>RT-B-C-TECH-2</x:v>
      </x:c>
      <x:c r="C136" s="14" t="str">
        <x:v>RT-B-C</x:v>
      </x:c>
      <x:c r="D136" s="14" t="str">
        <x:v>Builder B</x:v>
      </x:c>
      <x:c r="E136" s="18" t="str">
        <x:v>Builder line</x:v>
      </x:c>
      <x:c r="F136" s="18" t="str">
        <x:v>private one-root option entity</x:v>
      </x:c>
      <x:c r="G136" s="18" t="str">
        <x:v>design and fabricate the three assigned serials</x:v>
      </x:c>
      <x:c r="H136" s="18" t="str">
        <x:v>no public fixture, evidence, disposition or sibling-line control</x:v>
      </x:c>
      <x:c r="I136" s="18" t="str">
        <x:v>SOURCE EMPTY / UNCOMMISSIONED</x:v>
      </x:c>
    </x:row>
    <x:row r="137">
      <x:c r="A137" s="14" t="str">
        <x:v>RT-B-C-TECH-2-B-TOL</x:v>
      </x:c>
      <x:c r="B137" s="14" t="str">
        <x:v>RT-B-C-TECH-2</x:v>
      </x:c>
      <x:c r="C137" s="14" t="str">
        <x:v>RT-B-C</x:v>
      </x:c>
      <x:c r="D137" s="14" t="str">
        <x:v>Builder B</x:v>
      </x:c>
      <x:c r="E137" s="18" t="str">
        <x:v>Root-bound tooling cell</x:v>
      </x:c>
      <x:c r="F137" s="18" t="str">
        <x:v>public title; operator separate from sibling line</x:v>
      </x:c>
      <x:c r="G137" s="18" t="str">
        <x:v>produce, repair and disclose line-native tools and fixtures</x:v>
      </x:c>
      <x:c r="H137" s="18" t="str">
        <x:v>no use by the sibling line before evidence reveal; no collateral pledge</x:v>
      </x:c>
      <x:c r="I137" s="18" t="str">
        <x:v>SOURCE EMPTY / UNCOMMISSIONED</x:v>
      </x:c>
    </x:row>
    <x:row r="138">
      <x:c r="A138" s="14" t="str">
        <x:v>RT-B-C-TECH-2-B-FIX</x:v>
      </x:c>
      <x:c r="B138" s="14" t="str">
        <x:v>RT-B-C-TECH-2</x:v>
      </x:c>
      <x:c r="C138" s="14" t="str">
        <x:v>RT-B-C</x:v>
      </x:c>
      <x:c r="D138" s="14" t="str">
        <x:v>Fixture B</x:v>
      </x:c>
      <x:c r="E138" s="18" t="str">
        <x:v>Public proving fixture</x:v>
      </x:c>
      <x:c r="F138" s="18" t="str">
        <x:v>Resilience Proving Service</x:v>
      </x:c>
      <x:c r="G138" s="18" t="str">
        <x:v>impose challenge or matched control and preserve physical truth</x:v>
      </x:c>
      <x:c r="H138" s="18" t="str">
        <x:v>no candidate design, tuning, safeing or commercial acceptance</x:v>
      </x:c>
      <x:c r="I138" s="18" t="str">
        <x:v>SOURCE EMPTY / UNCOMMISSIONED</x:v>
      </x:c>
    </x:row>
    <x:row r="139">
      <x:c r="A139" s="14" t="str">
        <x:v>RT-B-C-TECH-3-A-BLD</x:v>
      </x:c>
      <x:c r="B139" s="14" t="str">
        <x:v>RT-B-C-TECH-3</x:v>
      </x:c>
      <x:c r="C139" s="14" t="str">
        <x:v>RT-B-C</x:v>
      </x:c>
      <x:c r="D139" s="14" t="str">
        <x:v>Builder A</x:v>
      </x:c>
      <x:c r="E139" s="18" t="str">
        <x:v>Builder line</x:v>
      </x:c>
      <x:c r="F139" s="18" t="str">
        <x:v>private one-root option entity</x:v>
      </x:c>
      <x:c r="G139" s="18" t="str">
        <x:v>design and fabricate the three assigned serials</x:v>
      </x:c>
      <x:c r="H139" s="18" t="str">
        <x:v>no public fixture, evidence, disposition or sibling-line control</x:v>
      </x:c>
      <x:c r="I139" s="18" t="str">
        <x:v>SOURCE EMPTY / UNCOMMISSIONED</x:v>
      </x:c>
    </x:row>
    <x:row r="140">
      <x:c r="A140" s="14" t="str">
        <x:v>RT-B-C-TECH-3-A-TOL</x:v>
      </x:c>
      <x:c r="B140" s="14" t="str">
        <x:v>RT-B-C-TECH-3</x:v>
      </x:c>
      <x:c r="C140" s="14" t="str">
        <x:v>RT-B-C</x:v>
      </x:c>
      <x:c r="D140" s="14" t="str">
        <x:v>Builder A</x:v>
      </x:c>
      <x:c r="E140" s="18" t="str">
        <x:v>Root-bound tooling cell</x:v>
      </x:c>
      <x:c r="F140" s="18" t="str">
        <x:v>public title; operator separate from sibling line</x:v>
      </x:c>
      <x:c r="G140" s="18" t="str">
        <x:v>produce, repair and disclose line-native tools and fixtures</x:v>
      </x:c>
      <x:c r="H140" s="18" t="str">
        <x:v>no use by the sibling line before evidence reveal; no collateral pledge</x:v>
      </x:c>
      <x:c r="I140" s="18" t="str">
        <x:v>SOURCE EMPTY / UNCOMMISSIONED</x:v>
      </x:c>
    </x:row>
    <x:row r="141">
      <x:c r="A141" s="14" t="str">
        <x:v>RT-B-C-TECH-3-A-FIX</x:v>
      </x:c>
      <x:c r="B141" s="14" t="str">
        <x:v>RT-B-C-TECH-3</x:v>
      </x:c>
      <x:c r="C141" s="14" t="str">
        <x:v>RT-B-C</x:v>
      </x:c>
      <x:c r="D141" s="14" t="str">
        <x:v>Fixture A</x:v>
      </x:c>
      <x:c r="E141" s="18" t="str">
        <x:v>Public proving fixture</x:v>
      </x:c>
      <x:c r="F141" s="18" t="str">
        <x:v>Resilience Proving Service</x:v>
      </x:c>
      <x:c r="G141" s="18" t="str">
        <x:v>impose challenge or matched control and preserve physical truth</x:v>
      </x:c>
      <x:c r="H141" s="18" t="str">
        <x:v>no candidate design, tuning, safeing or commercial acceptance</x:v>
      </x:c>
      <x:c r="I141" s="18" t="str">
        <x:v>SOURCE EMPTY / UNCOMMISSIONED</x:v>
      </x:c>
    </x:row>
    <x:row r="142">
      <x:c r="A142" s="14" t="str">
        <x:v>RT-B-C-TECH-3-B-BLD</x:v>
      </x:c>
      <x:c r="B142" s="14" t="str">
        <x:v>RT-B-C-TECH-3</x:v>
      </x:c>
      <x:c r="C142" s="14" t="str">
        <x:v>RT-B-C</x:v>
      </x:c>
      <x:c r="D142" s="14" t="str">
        <x:v>Builder B</x:v>
      </x:c>
      <x:c r="E142" s="18" t="str">
        <x:v>Builder line</x:v>
      </x:c>
      <x:c r="F142" s="18" t="str">
        <x:v>private one-root option entity</x:v>
      </x:c>
      <x:c r="G142" s="18" t="str">
        <x:v>design and fabricate the three assigned serials</x:v>
      </x:c>
      <x:c r="H142" s="18" t="str">
        <x:v>no public fixture, evidence, disposition or sibling-line control</x:v>
      </x:c>
      <x:c r="I142" s="18" t="str">
        <x:v>SOURCE EMPTY / UNCOMMISSIONED</x:v>
      </x:c>
    </x:row>
    <x:row r="143">
      <x:c r="A143" s="14" t="str">
        <x:v>RT-B-C-TECH-3-B-TOL</x:v>
      </x:c>
      <x:c r="B143" s="14" t="str">
        <x:v>RT-B-C-TECH-3</x:v>
      </x:c>
      <x:c r="C143" s="14" t="str">
        <x:v>RT-B-C</x:v>
      </x:c>
      <x:c r="D143" s="14" t="str">
        <x:v>Builder B</x:v>
      </x:c>
      <x:c r="E143" s="18" t="str">
        <x:v>Root-bound tooling cell</x:v>
      </x:c>
      <x:c r="F143" s="18" t="str">
        <x:v>public title; operator separate from sibling line</x:v>
      </x:c>
      <x:c r="G143" s="18" t="str">
        <x:v>produce, repair and disclose line-native tools and fixtures</x:v>
      </x:c>
      <x:c r="H143" s="18" t="str">
        <x:v>no use by the sibling line before evidence reveal; no collateral pledge</x:v>
      </x:c>
      <x:c r="I143" s="18" t="str">
        <x:v>SOURCE EMPTY / UNCOMMISSIONED</x:v>
      </x:c>
    </x:row>
    <x:row r="144">
      <x:c r="A144" s="14" t="str">
        <x:v>RT-B-C-TECH-3-B-FIX</x:v>
      </x:c>
      <x:c r="B144" s="14" t="str">
        <x:v>RT-B-C-TECH-3</x:v>
      </x:c>
      <x:c r="C144" s="14" t="str">
        <x:v>RT-B-C</x:v>
      </x:c>
      <x:c r="D144" s="14" t="str">
        <x:v>Fixture B</x:v>
      </x:c>
      <x:c r="E144" s="18" t="str">
        <x:v>Public proving fixture</x:v>
      </x:c>
      <x:c r="F144" s="18" t="str">
        <x:v>Resilience Proving Service</x:v>
      </x:c>
      <x:c r="G144" s="18" t="str">
        <x:v>impose challenge or matched control and preserve physical truth</x:v>
      </x:c>
      <x:c r="H144" s="18" t="str">
        <x:v>no candidate design, tuning, safeing or commercial acceptance</x:v>
      </x:c>
      <x:c r="I144" s="18" t="str">
        <x:v>SOURCE EMPTY / UNCOMMISSIONED</x:v>
      </x:c>
    </x:row>
    <x:row r="145">
      <x:c r="A145" s="14" t="str">
        <x:v>RT-B-C-TECH-4-A-BLD</x:v>
      </x:c>
      <x:c r="B145" s="14" t="str">
        <x:v>RT-B-C-TECH-4</x:v>
      </x:c>
      <x:c r="C145" s="14" t="str">
        <x:v>RT-B-C</x:v>
      </x:c>
      <x:c r="D145" s="14" t="str">
        <x:v>Builder A</x:v>
      </x:c>
      <x:c r="E145" s="18" t="str">
        <x:v>Builder line</x:v>
      </x:c>
      <x:c r="F145" s="18" t="str">
        <x:v>private one-root option entity</x:v>
      </x:c>
      <x:c r="G145" s="18" t="str">
        <x:v>design and fabricate the three assigned serials</x:v>
      </x:c>
      <x:c r="H145" s="18" t="str">
        <x:v>no public fixture, evidence, disposition or sibling-line control</x:v>
      </x:c>
      <x:c r="I145" s="18" t="str">
        <x:v>SOURCE EMPTY / UNCOMMISSIONED</x:v>
      </x:c>
    </x:row>
    <x:row r="146">
      <x:c r="A146" s="14" t="str">
        <x:v>RT-B-C-TECH-4-A-TOL</x:v>
      </x:c>
      <x:c r="B146" s="14" t="str">
        <x:v>RT-B-C-TECH-4</x:v>
      </x:c>
      <x:c r="C146" s="14" t="str">
        <x:v>RT-B-C</x:v>
      </x:c>
      <x:c r="D146" s="14" t="str">
        <x:v>Builder A</x:v>
      </x:c>
      <x:c r="E146" s="18" t="str">
        <x:v>Root-bound tooling cell</x:v>
      </x:c>
      <x:c r="F146" s="18" t="str">
        <x:v>public title; operator separate from sibling line</x:v>
      </x:c>
      <x:c r="G146" s="18" t="str">
        <x:v>produce, repair and disclose line-native tools and fixtures</x:v>
      </x:c>
      <x:c r="H146" s="18" t="str">
        <x:v>no use by the sibling line before evidence reveal; no collateral pledge</x:v>
      </x:c>
      <x:c r="I146" s="18" t="str">
        <x:v>SOURCE EMPTY / UNCOMMISSIONED</x:v>
      </x:c>
    </x:row>
    <x:row r="147">
      <x:c r="A147" s="14" t="str">
        <x:v>RT-B-C-TECH-4-A-FIX</x:v>
      </x:c>
      <x:c r="B147" s="14" t="str">
        <x:v>RT-B-C-TECH-4</x:v>
      </x:c>
      <x:c r="C147" s="14" t="str">
        <x:v>RT-B-C</x:v>
      </x:c>
      <x:c r="D147" s="14" t="str">
        <x:v>Fixture A</x:v>
      </x:c>
      <x:c r="E147" s="18" t="str">
        <x:v>Public proving fixture</x:v>
      </x:c>
      <x:c r="F147" s="18" t="str">
        <x:v>Resilience Proving Service</x:v>
      </x:c>
      <x:c r="G147" s="18" t="str">
        <x:v>impose challenge or matched control and preserve physical truth</x:v>
      </x:c>
      <x:c r="H147" s="18" t="str">
        <x:v>no candidate design, tuning, safeing or commercial acceptance</x:v>
      </x:c>
      <x:c r="I147" s="18" t="str">
        <x:v>SOURCE EMPTY / UNCOMMISSIONED</x:v>
      </x:c>
    </x:row>
    <x:row r="148">
      <x:c r="A148" s="14" t="str">
        <x:v>RT-B-C-TECH-4-B-BLD</x:v>
      </x:c>
      <x:c r="B148" s="14" t="str">
        <x:v>RT-B-C-TECH-4</x:v>
      </x:c>
      <x:c r="C148" s="14" t="str">
        <x:v>RT-B-C</x:v>
      </x:c>
      <x:c r="D148" s="14" t="str">
        <x:v>Builder B</x:v>
      </x:c>
      <x:c r="E148" s="18" t="str">
        <x:v>Builder line</x:v>
      </x:c>
      <x:c r="F148" s="18" t="str">
        <x:v>private one-root option entity</x:v>
      </x:c>
      <x:c r="G148" s="18" t="str">
        <x:v>design and fabricate the three assigned serials</x:v>
      </x:c>
      <x:c r="H148" s="18" t="str">
        <x:v>no public fixture, evidence, disposition or sibling-line control</x:v>
      </x:c>
      <x:c r="I148" s="18" t="str">
        <x:v>SOURCE EMPTY / UNCOMMISSIONED</x:v>
      </x:c>
    </x:row>
    <x:row r="149">
      <x:c r="A149" s="14" t="str">
        <x:v>RT-B-C-TECH-4-B-TOL</x:v>
      </x:c>
      <x:c r="B149" s="14" t="str">
        <x:v>RT-B-C-TECH-4</x:v>
      </x:c>
      <x:c r="C149" s="14" t="str">
        <x:v>RT-B-C</x:v>
      </x:c>
      <x:c r="D149" s="14" t="str">
        <x:v>Builder B</x:v>
      </x:c>
      <x:c r="E149" s="18" t="str">
        <x:v>Root-bound tooling cell</x:v>
      </x:c>
      <x:c r="F149" s="18" t="str">
        <x:v>public title; operator separate from sibling line</x:v>
      </x:c>
      <x:c r="G149" s="18" t="str">
        <x:v>produce, repair and disclose line-native tools and fixtures</x:v>
      </x:c>
      <x:c r="H149" s="18" t="str">
        <x:v>no use by the sibling line before evidence reveal; no collateral pledge</x:v>
      </x:c>
      <x:c r="I149" s="18" t="str">
        <x:v>SOURCE EMPTY / UNCOMMISSIONED</x:v>
      </x:c>
    </x:row>
    <x:row r="150">
      <x:c r="A150" s="14" t="str">
        <x:v>RT-B-C-TECH-4-B-FIX</x:v>
      </x:c>
      <x:c r="B150" s="14" t="str">
        <x:v>RT-B-C-TECH-4</x:v>
      </x:c>
      <x:c r="C150" s="14" t="str">
        <x:v>RT-B-C</x:v>
      </x:c>
      <x:c r="D150" s="14" t="str">
        <x:v>Fixture B</x:v>
      </x:c>
      <x:c r="E150" s="18" t="str">
        <x:v>Public proving fixture</x:v>
      </x:c>
      <x:c r="F150" s="18" t="str">
        <x:v>Resilience Proving Service</x:v>
      </x:c>
      <x:c r="G150" s="18" t="str">
        <x:v>impose challenge or matched control and preserve physical truth</x:v>
      </x:c>
      <x:c r="H150" s="18" t="str">
        <x:v>no candidate design, tuning, safeing or commercial acceptance</x:v>
      </x:c>
      <x:c r="I150" s="18" t="str">
        <x:v>SOURCE EMPTY / UNCOMMISSIONED</x:v>
      </x:c>
    </x:row>
  </x:sheetData>
  <x:pageMargins left="0.7" right="0.7" top="0.75" bottom="0.75" header="0.3" footer="0.3"/>
  <x:tableParts count="1">
    <x:tablePart xmlns:r="http://schemas.openxmlformats.org/officeDocument/2006/relationships" r:id="R2450b469b72d4eb0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0" hidden="0" customWidth="1"/>
    <x:col min="2" max="2" width="12" hidden="0" customWidth="1"/>
    <x:col min="3" max="3" width="10" hidden="0" customWidth="1"/>
    <x:col min="4" max="4" width="34" hidden="0" customWidth="1"/>
    <x:col min="5" max="5" width="42" hidden="0" customWidth="1"/>
    <x:col min="6" max="6" width="14" hidden="0" customWidth="1"/>
    <x:col min="7" max="7" width="22" hidden="0" customWidth="1"/>
    <x:col min="8" max="8" width="70" hidden="0" customWidth="1"/>
    <x:col min="9" max="9" width="58" hidden="0" customWidth="1"/>
    <x:col min="10" max="10" width="12" hidden="0" customWidth="1"/>
    <x:col min="11" max="11" width="28" hidden="0" customWidth="1"/>
  </x:cols>
  <x:sheetData>
    <x:row r="1">
      <x:c r="A1" s="14"/>
      <x:c r="B1" s="14"/>
      <x:c r="C1" s="14"/>
      <x:c r="D1" s="14"/>
      <x:c r="E1" s="14"/>
      <x:c r="F1" s="14"/>
      <x:c r="G1" s="14"/>
      <x:c r="H1" s="14"/>
      <x:c r="I1" s="14"/>
      <x:c r="J1" s="14"/>
      <x:c r="K1" s="14"/>
    </x:row>
    <x:row r="2">
      <x:c r="A2" s="56" t="str">
        <x:v>Thirty-six coefficient measurement packets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</x:row>
    <x:row r="3">
      <x:c r="A3" s="16"/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2"/>
      <x:c r="M3" s="2"/>
      <x:c r="N3" s="2"/>
      <x:c r="O3" s="2"/>
      <x:c r="P3" s="2"/>
      <x:c r="Q3" s="2"/>
    </x:row>
    <x:row r="4">
      <x:c r="A4" s="14"/>
      <x:c r="B4" s="14"/>
      <x:c r="C4" s="14"/>
      <x:c r="D4" s="14"/>
      <x:c r="E4" s="14"/>
      <x:c r="F4" s="14"/>
      <x:c r="G4" s="14"/>
      <x:c r="H4" s="14"/>
      <x:c r="I4" s="14"/>
      <x:c r="J4" s="14"/>
      <x:c r="K4" s="14"/>
    </x:row>
    <x:row r="5">
      <x:c r="A5" s="14"/>
      <x:c r="B5" s="14"/>
      <x:c r="C5" s="14"/>
      <x:c r="D5" s="14"/>
      <x:c r="E5" s="14"/>
      <x:c r="F5" s="14"/>
      <x:c r="G5" s="14"/>
      <x:c r="H5" s="14"/>
      <x:c r="I5" s="14"/>
      <x:c r="J5" s="14"/>
      <x:c r="K5" s="14"/>
    </x:row>
    <x:row r="6">
      <x:c r="A6" s="14" t="str">
        <x:v>Packet</x:v>
      </x:c>
      <x:c r="B6" s="14" t="str">
        <x:v>Form</x:v>
      </x:c>
      <x:c r="C6" s="14" t="str">
        <x:v>Symbol</x:v>
      </x:c>
      <x:c r="D6" s="14" t="str">
        <x:v>Quantity</x:v>
      </x:c>
      <x:c r="E6" s="14" t="str">
        <x:v>Required experiment</x:v>
      </x:c>
      <x:c r="F6" s="14" t="str">
        <x:v>Serial role</x:v>
      </x:c>
      <x:c r="G6" s="14" t="str">
        <x:v>Primary article family</x:v>
      </x:c>
      <x:c r="H6" s="14" t="str">
        <x:v>Instrumentation</x:v>
      </x:c>
      <x:c r="I6" s="14" t="str">
        <x:v>Closure product</x:v>
      </x:c>
      <x:c r="J6" s="14" t="str">
        <x:v>Measured</x:v>
      </x:c>
      <x:c r="K6" s="14" t="str">
        <x:v>State</x:v>
      </x:c>
    </x:row>
    <x:row r="7">
      <x:c r="A7" s="14" t="str">
        <x:v>ET-A-A-CAP</x:v>
      </x:c>
      <x:c r="B7" s="14" t="str">
        <x:v>ET-A-A</x:v>
      </x:c>
      <x:c r="C7" s="14" t="str">
        <x:v>βC</x:v>
      </x:c>
      <x:c r="D7" s="18" t="str">
        <x:v>capacity calibration factor</x:v>
      </x:c>
      <x:c r="E7" s="18" t="str">
        <x:v>full-range metered capacity sweep</x:v>
      </x:c>
      <x:c r="F7" s="18" t="str">
        <x:v>INT</x:v>
      </x:c>
      <x:c r="G7" s="18" t="str">
        <x:v>ET-A-A-TECH-1</x:v>
      </x:c>
      <x:c r="H7" s="18" t="str">
        <x:v>six-axis load, relative motion, flow, wet-dry enthalpy, custody and refuge calorimetry</x:v>
      </x:c>
      <x:c r="I7" s="18" t="str">
        <x:v>lower and upper interval with traceable uncertainty; no favorable midpoint</x:v>
      </x:c>
      <x:c r="J7" s="14" t="n">
        <x:v>0</x:v>
      </x:c>
      <x:c r="K7" s="14" t="str">
        <x:v>OPEN / MEASUREMENT READY</x:v>
      </x:c>
    </x:row>
    <x:row r="8">
      <x:c r="A8" s="14" t="str">
        <x:v>ET-A-A-REQ</x:v>
      </x:c>
      <x:c r="B8" s="14" t="str">
        <x:v>ET-A-A</x:v>
      </x:c>
      <x:c r="C8" s="14" t="str">
        <x:v>βR</x:v>
      </x:c>
      <x:c r="D8" s="18" t="str">
        <x:v>service requirement scale factor</x:v>
      </x:c>
      <x:c r="E8" s="18" t="str">
        <x:v>receiver-denominator replay</x:v>
      </x:c>
      <x:c r="F8" s="18" t="str">
        <x:v>INT</x:v>
      </x:c>
      <x:c r="G8" s="18" t="str">
        <x:v>ET-A-A-TECH-2</x:v>
      </x:c>
      <x:c r="H8" s="18" t="str">
        <x:v>six-axis load, relative motion, flow, wet-dry enthalpy, custody and refuge calorimetry</x:v>
      </x:c>
      <x:c r="I8" s="18" t="str">
        <x:v>lower and upper interval with traceable uncertainty; no favorable midpoint</x:v>
      </x:c>
      <x:c r="J8" s="14" t="n">
        <x:v>0</x:v>
      </x:c>
      <x:c r="K8" s="14" t="str">
        <x:v>OPEN / MEASUREMENT READY</x:v>
      </x:c>
    </x:row>
    <x:row r="9">
      <x:c r="A9" s="14" t="str">
        <x:v>ET-A-A-LOSS</x:v>
      </x:c>
      <x:c r="B9" s="14" t="str">
        <x:v>ET-A-A</x:v>
      </x:c>
      <x:c r="C9" s="14" t="str">
        <x:v>λ</x:v>
      </x:c>
      <x:c r="D9" s="18" t="str">
        <x:v>largest-cell propagation fraction</x:v>
      </x:c>
      <x:c r="E9" s="18" t="str">
        <x:v>largest-cell intervention</x:v>
      </x:c>
      <x:c r="F9" s="18" t="str">
        <x:v>BRK</x:v>
      </x:c>
      <x:c r="G9" s="18" t="str">
        <x:v>ET-A-A-TECH-3</x:v>
      </x:c>
      <x:c r="H9" s="18" t="str">
        <x:v>six-axis load, relative motion, flow, wet-dry enthalpy, custody and refuge calorimetry</x:v>
      </x:c>
      <x:c r="I9" s="18" t="str">
        <x:v>lower and upper interval with traceable uncertainty; no favorable midpoint</x:v>
      </x:c>
      <x:c r="J9" s="14" t="n">
        <x:v>0</x:v>
      </x:c>
      <x:c r="K9" s="14" t="str">
        <x:v>OPEN / MEASUREMENT READY</x:v>
      </x:c>
    </x:row>
    <x:row r="10">
      <x:c r="A10" s="14" t="str">
        <x:v>ET-A-A-KEY</x:v>
      </x:c>
      <x:c r="B10" s="14" t="str">
        <x:v>ET-A-A</x:v>
      </x:c>
      <x:c r="C10" s="14" t="str">
        <x:v>κ</x:v>
      </x:c>
      <x:c r="D10" s="18" t="str">
        <x:v>fatal-keystone retained fraction</x:v>
      </x:c>
      <x:c r="E10" s="18" t="str">
        <x:v>frozen fatal-keystone intervention</x:v>
      </x:c>
      <x:c r="F10" s="18" t="str">
        <x:v>BRK</x:v>
      </x:c>
      <x:c r="G10" s="18" t="str">
        <x:v>ET-A-A-TECH-4</x:v>
      </x:c>
      <x:c r="H10" s="18" t="str">
        <x:v>six-axis load, relative motion, flow, wet-dry enthalpy, custody and refuge calorimetry</x:v>
      </x:c>
      <x:c r="I10" s="18" t="str">
        <x:v>lower and upper interval with traceable uncertainty; no favorable midpoint</x:v>
      </x:c>
      <x:c r="J10" s="14" t="n">
        <x:v>0</x:v>
      </x:c>
      <x:c r="K10" s="14" t="str">
        <x:v>OPEN / MEASUREMENT READY</x:v>
      </x:c>
    </x:row>
    <x:row r="11">
      <x:c r="A11" s="14" t="str">
        <x:v>ET-A-A-COLD</x:v>
      </x:c>
      <x:c r="B11" s="14" t="str">
        <x:v>ET-A-A</x:v>
      </x:c>
      <x:c r="C11" s="14" t="str">
        <x:v>χ</x:v>
      </x:c>
      <x:c r="D11" s="18" t="str">
        <x:v>cold-start retained fraction</x:v>
      </x:c>
      <x:c r="E11" s="18" t="str">
        <x:v>clean-team rebuild and black start</x:v>
      </x:c>
      <x:c r="F11" s="18" t="str">
        <x:v>RCN</x:v>
      </x:c>
      <x:c r="G11" s="18" t="str">
        <x:v>ET-A-A-TECH-4</x:v>
      </x:c>
      <x:c r="H11" s="18" t="str">
        <x:v>six-axis load, relative motion, flow, wet-dry enthalpy, custody and refuge calorimetry</x:v>
      </x:c>
      <x:c r="I11" s="18" t="str">
        <x:v>lower and upper interval with traceable uncertainty; no favorable midpoint</x:v>
      </x:c>
      <x:c r="J11" s="14" t="n">
        <x:v>0</x:v>
      </x:c>
      <x:c r="K11" s="14" t="str">
        <x:v>OPEN / MEASUREMENT READY</x:v>
      </x:c>
    </x:row>
    <x:row r="12">
      <x:c r="A12" s="14" t="str">
        <x:v>ET-A-A-THERM</x:v>
      </x:c>
      <x:c r="B12" s="14" t="str">
        <x:v>ET-A-A</x:v>
      </x:c>
      <x:c r="C12" s="14" t="str">
        <x:v>θ</x:v>
      </x:c>
      <x:c r="D12" s="18" t="str">
        <x:v>peak thermal duty coefficient</x:v>
      </x:c>
      <x:c r="E12" s="18" t="str">
        <x:v>worst-ambient calorimetry and surviving heat rejection</x:v>
      </x:c>
      <x:c r="F12" s="18" t="str">
        <x:v>INT + BRK</x:v>
      </x:c>
      <x:c r="G12" s="18" t="str">
        <x:v>ET-A-A-TECH-4</x:v>
      </x:c>
      <x:c r="H12" s="18" t="str">
        <x:v>six-axis load, relative motion, flow, wet-dry enthalpy, custody and refuge calorimetry</x:v>
      </x:c>
      <x:c r="I12" s="18" t="str">
        <x:v>lower and upper interval with traceable uncertainty; no favorable midpoint</x:v>
      </x:c>
      <x:c r="J12" s="14" t="n">
        <x:v>0</x:v>
      </x:c>
      <x:c r="K12" s="14" t="str">
        <x:v>OPEN / MEASUREMENT READY</x:v>
      </x:c>
    </x:row>
    <x:row r="13">
      <x:c r="A13" s="14" t="str">
        <x:v>CT-C-B-CAP</x:v>
      </x:c>
      <x:c r="B13" s="14" t="str">
        <x:v>CT-C-B</x:v>
      </x:c>
      <x:c r="C13" s="14" t="str">
        <x:v>βC</x:v>
      </x:c>
      <x:c r="D13" s="18" t="str">
        <x:v>capacity calibration factor</x:v>
      </x:c>
      <x:c r="E13" s="18" t="str">
        <x:v>full-range metered capacity sweep</x:v>
      </x:c>
      <x:c r="F13" s="18" t="str">
        <x:v>INT</x:v>
      </x:c>
      <x:c r="G13" s="18" t="str">
        <x:v>CT-C-B-TECH-1</x:v>
      </x:c>
      <x:c r="H13" s="18" t="str">
        <x:v>anchor load, belt displacement, current, flow, smoke, temperature, occupancy and egress tomography</x:v>
      </x:c>
      <x:c r="I13" s="18" t="str">
        <x:v>lower and upper interval with traceable uncertainty; no favorable midpoint</x:v>
      </x:c>
      <x:c r="J13" s="14" t="n">
        <x:v>0</x:v>
      </x:c>
      <x:c r="K13" s="14" t="str">
        <x:v>OPEN / MEASUREMENT READY</x:v>
      </x:c>
    </x:row>
    <x:row r="14">
      <x:c r="A14" s="14" t="str">
        <x:v>CT-C-B-REQ</x:v>
      </x:c>
      <x:c r="B14" s="14" t="str">
        <x:v>CT-C-B</x:v>
      </x:c>
      <x:c r="C14" s="14" t="str">
        <x:v>βR</x:v>
      </x:c>
      <x:c r="D14" s="18" t="str">
        <x:v>service requirement scale factor</x:v>
      </x:c>
      <x:c r="E14" s="18" t="str">
        <x:v>receiver-denominator replay</x:v>
      </x:c>
      <x:c r="F14" s="18" t="str">
        <x:v>INT</x:v>
      </x:c>
      <x:c r="G14" s="18" t="str">
        <x:v>CT-C-B-TECH-2</x:v>
      </x:c>
      <x:c r="H14" s="18" t="str">
        <x:v>anchor load, belt displacement, current, flow, smoke, temperature, occupancy and egress tomography</x:v>
      </x:c>
      <x:c r="I14" s="18" t="str">
        <x:v>lower and upper interval with traceable uncertainty; no favorable midpoint</x:v>
      </x:c>
      <x:c r="J14" s="14" t="n">
        <x:v>0</x:v>
      </x:c>
      <x:c r="K14" s="14" t="str">
        <x:v>OPEN / MEASUREMENT READY</x:v>
      </x:c>
    </x:row>
    <x:row r="15">
      <x:c r="A15" s="14" t="str">
        <x:v>CT-C-B-LOSS</x:v>
      </x:c>
      <x:c r="B15" s="14" t="str">
        <x:v>CT-C-B</x:v>
      </x:c>
      <x:c r="C15" s="14" t="str">
        <x:v>λ</x:v>
      </x:c>
      <x:c r="D15" s="18" t="str">
        <x:v>largest-cell propagation fraction</x:v>
      </x:c>
      <x:c r="E15" s="18" t="str">
        <x:v>largest-cell intervention</x:v>
      </x:c>
      <x:c r="F15" s="18" t="str">
        <x:v>BRK</x:v>
      </x:c>
      <x:c r="G15" s="18" t="str">
        <x:v>CT-C-B-TECH-3</x:v>
      </x:c>
      <x:c r="H15" s="18" t="str">
        <x:v>anchor load, belt displacement, current, flow, smoke, temperature, occupancy and egress tomography</x:v>
      </x:c>
      <x:c r="I15" s="18" t="str">
        <x:v>lower and upper interval with traceable uncertainty; no favorable midpoint</x:v>
      </x:c>
      <x:c r="J15" s="14" t="n">
        <x:v>0</x:v>
      </x:c>
      <x:c r="K15" s="14" t="str">
        <x:v>OPEN / MEASUREMENT READY</x:v>
      </x:c>
    </x:row>
    <x:row r="16">
      <x:c r="A16" s="14" t="str">
        <x:v>CT-C-B-KEY</x:v>
      </x:c>
      <x:c r="B16" s="14" t="str">
        <x:v>CT-C-B</x:v>
      </x:c>
      <x:c r="C16" s="14" t="str">
        <x:v>κ</x:v>
      </x:c>
      <x:c r="D16" s="18" t="str">
        <x:v>fatal-keystone retained fraction</x:v>
      </x:c>
      <x:c r="E16" s="18" t="str">
        <x:v>frozen fatal-keystone intervention</x:v>
      </x:c>
      <x:c r="F16" s="18" t="str">
        <x:v>BRK</x:v>
      </x:c>
      <x:c r="G16" s="18" t="str">
        <x:v>CT-C-B-TECH-4</x:v>
      </x:c>
      <x:c r="H16" s="18" t="str">
        <x:v>anchor load, belt displacement, current, flow, smoke, temperature, occupancy and egress tomography</x:v>
      </x:c>
      <x:c r="I16" s="18" t="str">
        <x:v>lower and upper interval with traceable uncertainty; no favorable midpoint</x:v>
      </x:c>
      <x:c r="J16" s="14" t="n">
        <x:v>0</x:v>
      </x:c>
      <x:c r="K16" s="14" t="str">
        <x:v>OPEN / MEASUREMENT READY</x:v>
      </x:c>
    </x:row>
    <x:row r="17">
      <x:c r="A17" s="14" t="str">
        <x:v>CT-C-B-COLD</x:v>
      </x:c>
      <x:c r="B17" s="14" t="str">
        <x:v>CT-C-B</x:v>
      </x:c>
      <x:c r="C17" s="14" t="str">
        <x:v>χ</x:v>
      </x:c>
      <x:c r="D17" s="18" t="str">
        <x:v>cold-start retained fraction</x:v>
      </x:c>
      <x:c r="E17" s="18" t="str">
        <x:v>clean-team rebuild and black start</x:v>
      </x:c>
      <x:c r="F17" s="18" t="str">
        <x:v>RCN</x:v>
      </x:c>
      <x:c r="G17" s="18" t="str">
        <x:v>CT-C-B-TECH-4</x:v>
      </x:c>
      <x:c r="H17" s="18" t="str">
        <x:v>anchor load, belt displacement, current, flow, smoke, temperature, occupancy and egress tomography</x:v>
      </x:c>
      <x:c r="I17" s="18" t="str">
        <x:v>lower and upper interval with traceable uncertainty; no favorable midpoint</x:v>
      </x:c>
      <x:c r="J17" s="14" t="n">
        <x:v>0</x:v>
      </x:c>
      <x:c r="K17" s="14" t="str">
        <x:v>OPEN / MEASUREMENT READY</x:v>
      </x:c>
    </x:row>
    <x:row r="18">
      <x:c r="A18" s="14" t="str">
        <x:v>CT-C-B-THERM</x:v>
      </x:c>
      <x:c r="B18" s="14" t="str">
        <x:v>CT-C-B</x:v>
      </x:c>
      <x:c r="C18" s="14" t="str">
        <x:v>θ</x:v>
      </x:c>
      <x:c r="D18" s="18" t="str">
        <x:v>peak thermal duty coefficient</x:v>
      </x:c>
      <x:c r="E18" s="18" t="str">
        <x:v>worst-ambient calorimetry and surviving heat rejection</x:v>
      </x:c>
      <x:c r="F18" s="18" t="str">
        <x:v>INT + BRK</x:v>
      </x:c>
      <x:c r="G18" s="18" t="str">
        <x:v>CT-C-B-TECH-4</x:v>
      </x:c>
      <x:c r="H18" s="18" t="str">
        <x:v>anchor load, belt displacement, current, flow, smoke, temperature, occupancy and egress tomography</x:v>
      </x:c>
      <x:c r="I18" s="18" t="str">
        <x:v>lower and upper interval with traceable uncertainty; no favorable midpoint</x:v>
      </x:c>
      <x:c r="J18" s="14" t="n">
        <x:v>0</x:v>
      </x:c>
      <x:c r="K18" s="14" t="str">
        <x:v>OPEN / MEASUREMENT READY</x:v>
      </x:c>
    </x:row>
    <x:row r="19">
      <x:c r="A19" s="14" t="str">
        <x:v>HC-A-C-CAP</x:v>
      </x:c>
      <x:c r="B19" s="14" t="str">
        <x:v>HC-A-C</x:v>
      </x:c>
      <x:c r="C19" s="14" t="str">
        <x:v>βC</x:v>
      </x:c>
      <x:c r="D19" s="18" t="str">
        <x:v>capacity calibration factor</x:v>
      </x:c>
      <x:c r="E19" s="18" t="str">
        <x:v>full-range metered capacity sweep</x:v>
      </x:c>
      <x:c r="F19" s="18" t="str">
        <x:v>INT</x:v>
      </x:c>
      <x:c r="G19" s="18" t="str">
        <x:v>HC-A-C-TECH-1</x:v>
      </x:c>
      <x:c r="H19" s="18" t="str">
        <x:v>flight state, rotor torque, cell calorimetry, plume tomography, deposition and runoff custody</x:v>
      </x:c>
      <x:c r="I19" s="18" t="str">
        <x:v>lower and upper interval with traceable uncertainty; no favorable midpoint</x:v>
      </x:c>
      <x:c r="J19" s="14" t="n">
        <x:v>0</x:v>
      </x:c>
      <x:c r="K19" s="14" t="str">
        <x:v>OPEN / MEASUREMENT READY</x:v>
      </x:c>
    </x:row>
    <x:row r="20">
      <x:c r="A20" s="14" t="str">
        <x:v>HC-A-C-REQ</x:v>
      </x:c>
      <x:c r="B20" s="14" t="str">
        <x:v>HC-A-C</x:v>
      </x:c>
      <x:c r="C20" s="14" t="str">
        <x:v>βR</x:v>
      </x:c>
      <x:c r="D20" s="18" t="str">
        <x:v>service requirement scale factor</x:v>
      </x:c>
      <x:c r="E20" s="18" t="str">
        <x:v>receiver-denominator replay</x:v>
      </x:c>
      <x:c r="F20" s="18" t="str">
        <x:v>INT</x:v>
      </x:c>
      <x:c r="G20" s="18" t="str">
        <x:v>HC-A-C-TECH-2</x:v>
      </x:c>
      <x:c r="H20" s="18" t="str">
        <x:v>flight state, rotor torque, cell calorimetry, plume tomography, deposition and runoff custody</x:v>
      </x:c>
      <x:c r="I20" s="18" t="str">
        <x:v>lower and upper interval with traceable uncertainty; no favorable midpoint</x:v>
      </x:c>
      <x:c r="J20" s="14" t="n">
        <x:v>0</x:v>
      </x:c>
      <x:c r="K20" s="14" t="str">
        <x:v>OPEN / MEASUREMENT READY</x:v>
      </x:c>
    </x:row>
    <x:row r="21">
      <x:c r="A21" s="14" t="str">
        <x:v>HC-A-C-LOSS</x:v>
      </x:c>
      <x:c r="B21" s="14" t="str">
        <x:v>HC-A-C</x:v>
      </x:c>
      <x:c r="C21" s="14" t="str">
        <x:v>λ</x:v>
      </x:c>
      <x:c r="D21" s="18" t="str">
        <x:v>largest-cell propagation fraction</x:v>
      </x:c>
      <x:c r="E21" s="18" t="str">
        <x:v>largest-cell intervention</x:v>
      </x:c>
      <x:c r="F21" s="18" t="str">
        <x:v>BRK</x:v>
      </x:c>
      <x:c r="G21" s="18" t="str">
        <x:v>HC-A-C-TECH-3</x:v>
      </x:c>
      <x:c r="H21" s="18" t="str">
        <x:v>flight state, rotor torque, cell calorimetry, plume tomography, deposition and runoff custody</x:v>
      </x:c>
      <x:c r="I21" s="18" t="str">
        <x:v>lower and upper interval with traceable uncertainty; no favorable midpoint</x:v>
      </x:c>
      <x:c r="J21" s="14" t="n">
        <x:v>0</x:v>
      </x:c>
      <x:c r="K21" s="14" t="str">
        <x:v>OPEN / MEASUREMENT READY</x:v>
      </x:c>
    </x:row>
    <x:row r="22">
      <x:c r="A22" s="14" t="str">
        <x:v>HC-A-C-KEY</x:v>
      </x:c>
      <x:c r="B22" s="14" t="str">
        <x:v>HC-A-C</x:v>
      </x:c>
      <x:c r="C22" s="14" t="str">
        <x:v>κ</x:v>
      </x:c>
      <x:c r="D22" s="18" t="str">
        <x:v>fatal-keystone retained fraction</x:v>
      </x:c>
      <x:c r="E22" s="18" t="str">
        <x:v>frozen fatal-keystone intervention</x:v>
      </x:c>
      <x:c r="F22" s="18" t="str">
        <x:v>BRK</x:v>
      </x:c>
      <x:c r="G22" s="18" t="str">
        <x:v>HC-A-C-TECH-4</x:v>
      </x:c>
      <x:c r="H22" s="18" t="str">
        <x:v>flight state, rotor torque, cell calorimetry, plume tomography, deposition and runoff custody</x:v>
      </x:c>
      <x:c r="I22" s="18" t="str">
        <x:v>lower and upper interval with traceable uncertainty; no favorable midpoint</x:v>
      </x:c>
      <x:c r="J22" s="14" t="n">
        <x:v>0</x:v>
      </x:c>
      <x:c r="K22" s="14" t="str">
        <x:v>OPEN / MEASUREMENT READY</x:v>
      </x:c>
    </x:row>
    <x:row r="23">
      <x:c r="A23" s="14" t="str">
        <x:v>HC-A-C-COLD</x:v>
      </x:c>
      <x:c r="B23" s="14" t="str">
        <x:v>HC-A-C</x:v>
      </x:c>
      <x:c r="C23" s="14" t="str">
        <x:v>χ</x:v>
      </x:c>
      <x:c r="D23" s="18" t="str">
        <x:v>cold-start retained fraction</x:v>
      </x:c>
      <x:c r="E23" s="18" t="str">
        <x:v>clean-team rebuild and black start</x:v>
      </x:c>
      <x:c r="F23" s="18" t="str">
        <x:v>RCN</x:v>
      </x:c>
      <x:c r="G23" s="18" t="str">
        <x:v>HC-A-C-TECH-4</x:v>
      </x:c>
      <x:c r="H23" s="18" t="str">
        <x:v>flight state, rotor torque, cell calorimetry, plume tomography, deposition and runoff custody</x:v>
      </x:c>
      <x:c r="I23" s="18" t="str">
        <x:v>lower and upper interval with traceable uncertainty; no favorable midpoint</x:v>
      </x:c>
      <x:c r="J23" s="14" t="n">
        <x:v>0</x:v>
      </x:c>
      <x:c r="K23" s="14" t="str">
        <x:v>OPEN / MEASUREMENT READY</x:v>
      </x:c>
    </x:row>
    <x:row r="24">
      <x:c r="A24" s="14" t="str">
        <x:v>HC-A-C-THERM</x:v>
      </x:c>
      <x:c r="B24" s="14" t="str">
        <x:v>HC-A-C</x:v>
      </x:c>
      <x:c r="C24" s="14" t="str">
        <x:v>θ</x:v>
      </x:c>
      <x:c r="D24" s="18" t="str">
        <x:v>peak thermal duty coefficient</x:v>
      </x:c>
      <x:c r="E24" s="18" t="str">
        <x:v>worst-ambient calorimetry and surviving heat rejection</x:v>
      </x:c>
      <x:c r="F24" s="18" t="str">
        <x:v>INT + BRK</x:v>
      </x:c>
      <x:c r="G24" s="18" t="str">
        <x:v>HC-A-C-TECH-4</x:v>
      </x:c>
      <x:c r="H24" s="18" t="str">
        <x:v>flight state, rotor torque, cell calorimetry, plume tomography, deposition and runoff custody</x:v>
      </x:c>
      <x:c r="I24" s="18" t="str">
        <x:v>lower and upper interval with traceable uncertainty; no favorable midpoint</x:v>
      </x:c>
      <x:c r="J24" s="14" t="n">
        <x:v>0</x:v>
      </x:c>
      <x:c r="K24" s="14" t="str">
        <x:v>OPEN / MEASUREMENT READY</x:v>
      </x:c>
    </x:row>
    <x:row r="25">
      <x:c r="A25" s="14" t="str">
        <x:v>LF-B-A-CAP</x:v>
      </x:c>
      <x:c r="B25" s="14" t="str">
        <x:v>LF-B-A</x:v>
      </x:c>
      <x:c r="C25" s="14" t="str">
        <x:v>βC</x:v>
      </x:c>
      <x:c r="D25" s="18" t="str">
        <x:v>capacity calibration factor</x:v>
      </x:c>
      <x:c r="E25" s="18" t="str">
        <x:v>full-range metered capacity sweep</x:v>
      </x:c>
      <x:c r="F25" s="18" t="str">
        <x:v>INT</x:v>
      </x:c>
      <x:c r="G25" s="18" t="str">
        <x:v>LF-B-A-TECH-1</x:v>
      </x:c>
      <x:c r="H25" s="18" t="str">
        <x:v>bore pressure, flow, enthalpy, seismic state, chemistry, injection and product-water custody</x:v>
      </x:c>
      <x:c r="I25" s="18" t="str">
        <x:v>lower and upper interval with traceable uncertainty; no favorable midpoint</x:v>
      </x:c>
      <x:c r="J25" s="14" t="n">
        <x:v>0</x:v>
      </x:c>
      <x:c r="K25" s="14" t="str">
        <x:v>OPEN / MEASUREMENT READY</x:v>
      </x:c>
    </x:row>
    <x:row r="26">
      <x:c r="A26" s="14" t="str">
        <x:v>LF-B-A-REQ</x:v>
      </x:c>
      <x:c r="B26" s="14" t="str">
        <x:v>LF-B-A</x:v>
      </x:c>
      <x:c r="C26" s="14" t="str">
        <x:v>βR</x:v>
      </x:c>
      <x:c r="D26" s="18" t="str">
        <x:v>service requirement scale factor</x:v>
      </x:c>
      <x:c r="E26" s="18" t="str">
        <x:v>receiver-denominator replay</x:v>
      </x:c>
      <x:c r="F26" s="18" t="str">
        <x:v>INT</x:v>
      </x:c>
      <x:c r="G26" s="18" t="str">
        <x:v>LF-B-A-TECH-2</x:v>
      </x:c>
      <x:c r="H26" s="18" t="str">
        <x:v>bore pressure, flow, enthalpy, seismic state, chemistry, injection and product-water custody</x:v>
      </x:c>
      <x:c r="I26" s="18" t="str">
        <x:v>lower and upper interval with traceable uncertainty; no favorable midpoint</x:v>
      </x:c>
      <x:c r="J26" s="14" t="n">
        <x:v>0</x:v>
      </x:c>
      <x:c r="K26" s="14" t="str">
        <x:v>OPEN / MEASUREMENT READY</x:v>
      </x:c>
    </x:row>
    <x:row r="27">
      <x:c r="A27" s="14" t="str">
        <x:v>LF-B-A-LOSS</x:v>
      </x:c>
      <x:c r="B27" s="14" t="str">
        <x:v>LF-B-A</x:v>
      </x:c>
      <x:c r="C27" s="14" t="str">
        <x:v>λ</x:v>
      </x:c>
      <x:c r="D27" s="18" t="str">
        <x:v>largest-cell propagation fraction</x:v>
      </x:c>
      <x:c r="E27" s="18" t="str">
        <x:v>largest-cell intervention</x:v>
      </x:c>
      <x:c r="F27" s="18" t="str">
        <x:v>BRK</x:v>
      </x:c>
      <x:c r="G27" s="18" t="str">
        <x:v>LF-B-A-TECH-3</x:v>
      </x:c>
      <x:c r="H27" s="18" t="str">
        <x:v>bore pressure, flow, enthalpy, seismic state, chemistry, injection and product-water custody</x:v>
      </x:c>
      <x:c r="I27" s="18" t="str">
        <x:v>lower and upper interval with traceable uncertainty; no favorable midpoint</x:v>
      </x:c>
      <x:c r="J27" s="14" t="n">
        <x:v>0</x:v>
      </x:c>
      <x:c r="K27" s="14" t="str">
        <x:v>OPEN / MEASUREMENT READY</x:v>
      </x:c>
    </x:row>
    <x:row r="28">
      <x:c r="A28" s="14" t="str">
        <x:v>LF-B-A-KEY</x:v>
      </x:c>
      <x:c r="B28" s="14" t="str">
        <x:v>LF-B-A</x:v>
      </x:c>
      <x:c r="C28" s="14" t="str">
        <x:v>κ</x:v>
      </x:c>
      <x:c r="D28" s="18" t="str">
        <x:v>fatal-keystone retained fraction</x:v>
      </x:c>
      <x:c r="E28" s="18" t="str">
        <x:v>frozen fatal-keystone intervention</x:v>
      </x:c>
      <x:c r="F28" s="18" t="str">
        <x:v>BRK</x:v>
      </x:c>
      <x:c r="G28" s="18" t="str">
        <x:v>LF-B-A-TECH-4</x:v>
      </x:c>
      <x:c r="H28" s="18" t="str">
        <x:v>bore pressure, flow, enthalpy, seismic state, chemistry, injection and product-water custody</x:v>
      </x:c>
      <x:c r="I28" s="18" t="str">
        <x:v>lower and upper interval with traceable uncertainty; no favorable midpoint</x:v>
      </x:c>
      <x:c r="J28" s="14" t="n">
        <x:v>0</x:v>
      </x:c>
      <x:c r="K28" s="14" t="str">
        <x:v>OPEN / MEASUREMENT READY</x:v>
      </x:c>
    </x:row>
    <x:row r="29">
      <x:c r="A29" s="14" t="str">
        <x:v>LF-B-A-COLD</x:v>
      </x:c>
      <x:c r="B29" s="14" t="str">
        <x:v>LF-B-A</x:v>
      </x:c>
      <x:c r="C29" s="14" t="str">
        <x:v>χ</x:v>
      </x:c>
      <x:c r="D29" s="18" t="str">
        <x:v>cold-start retained fraction</x:v>
      </x:c>
      <x:c r="E29" s="18" t="str">
        <x:v>clean-team rebuild and black start</x:v>
      </x:c>
      <x:c r="F29" s="18" t="str">
        <x:v>RCN</x:v>
      </x:c>
      <x:c r="G29" s="18" t="str">
        <x:v>LF-B-A-TECH-4</x:v>
      </x:c>
      <x:c r="H29" s="18" t="str">
        <x:v>bore pressure, flow, enthalpy, seismic state, chemistry, injection and product-water custody</x:v>
      </x:c>
      <x:c r="I29" s="18" t="str">
        <x:v>lower and upper interval with traceable uncertainty; no favorable midpoint</x:v>
      </x:c>
      <x:c r="J29" s="14" t="n">
        <x:v>0</x:v>
      </x:c>
      <x:c r="K29" s="14" t="str">
        <x:v>OPEN / MEASUREMENT READY</x:v>
      </x:c>
    </x:row>
    <x:row r="30">
      <x:c r="A30" s="14" t="str">
        <x:v>LF-B-A-THERM</x:v>
      </x:c>
      <x:c r="B30" s="14" t="str">
        <x:v>LF-B-A</x:v>
      </x:c>
      <x:c r="C30" s="14" t="str">
        <x:v>θ</x:v>
      </x:c>
      <x:c r="D30" s="18" t="str">
        <x:v>peak thermal duty coefficient</x:v>
      </x:c>
      <x:c r="E30" s="18" t="str">
        <x:v>worst-ambient calorimetry and surviving heat rejection</x:v>
      </x:c>
      <x:c r="F30" s="18" t="str">
        <x:v>INT + BRK</x:v>
      </x:c>
      <x:c r="G30" s="18" t="str">
        <x:v>LF-B-A-TECH-4</x:v>
      </x:c>
      <x:c r="H30" s="18" t="str">
        <x:v>bore pressure, flow, enthalpy, seismic state, chemistry, injection and product-water custody</x:v>
      </x:c>
      <x:c r="I30" s="18" t="str">
        <x:v>lower and upper interval with traceable uncertainty; no favorable midpoint</x:v>
      </x:c>
      <x:c r="J30" s="14" t="n">
        <x:v>0</x:v>
      </x:c>
      <x:c r="K30" s="14" t="str">
        <x:v>OPEN / MEASUREMENT READY</x:v>
      </x:c>
    </x:row>
    <x:row r="31">
      <x:c r="A31" s="14" t="str">
        <x:v>HU-A-B-CAP</x:v>
      </x:c>
      <x:c r="B31" s="14" t="str">
        <x:v>HU-A-B</x:v>
      </x:c>
      <x:c r="C31" s="14" t="str">
        <x:v>βC</x:v>
      </x:c>
      <x:c r="D31" s="18" t="str">
        <x:v>capacity calibration factor</x:v>
      </x:c>
      <x:c r="E31" s="18" t="str">
        <x:v>full-range metered capacity sweep</x:v>
      </x:c>
      <x:c r="F31" s="18" t="str">
        <x:v>INT</x:v>
      </x:c>
      <x:c r="G31" s="18" t="str">
        <x:v>HU-A-B-TECH-1</x:v>
      </x:c>
      <x:c r="H31" s="18" t="str">
        <x:v>care-line continuity, temperature, humidity, sterile tracers, access, consent and relationship custody</x:v>
      </x:c>
      <x:c r="I31" s="18" t="str">
        <x:v>lower and upper interval with traceable uncertainty; no favorable midpoint</x:v>
      </x:c>
      <x:c r="J31" s="14" t="n">
        <x:v>0</x:v>
      </x:c>
      <x:c r="K31" s="14" t="str">
        <x:v>OPEN / MEASUREMENT READY</x:v>
      </x:c>
    </x:row>
    <x:row r="32">
      <x:c r="A32" s="14" t="str">
        <x:v>HU-A-B-REQ</x:v>
      </x:c>
      <x:c r="B32" s="14" t="str">
        <x:v>HU-A-B</x:v>
      </x:c>
      <x:c r="C32" s="14" t="str">
        <x:v>βR</x:v>
      </x:c>
      <x:c r="D32" s="18" t="str">
        <x:v>service requirement scale factor</x:v>
      </x:c>
      <x:c r="E32" s="18" t="str">
        <x:v>receiver-denominator replay</x:v>
      </x:c>
      <x:c r="F32" s="18" t="str">
        <x:v>INT</x:v>
      </x:c>
      <x:c r="G32" s="18" t="str">
        <x:v>HU-A-B-TECH-2</x:v>
      </x:c>
      <x:c r="H32" s="18" t="str">
        <x:v>care-line continuity, temperature, humidity, sterile tracers, access, consent and relationship custody</x:v>
      </x:c>
      <x:c r="I32" s="18" t="str">
        <x:v>lower and upper interval with traceable uncertainty; no favorable midpoint</x:v>
      </x:c>
      <x:c r="J32" s="14" t="n">
        <x:v>0</x:v>
      </x:c>
      <x:c r="K32" s="14" t="str">
        <x:v>OPEN / MEASUREMENT READY</x:v>
      </x:c>
    </x:row>
    <x:row r="33">
      <x:c r="A33" s="14" t="str">
        <x:v>HU-A-B-LOSS</x:v>
      </x:c>
      <x:c r="B33" s="14" t="str">
        <x:v>HU-A-B</x:v>
      </x:c>
      <x:c r="C33" s="14" t="str">
        <x:v>λ</x:v>
      </x:c>
      <x:c r="D33" s="18" t="str">
        <x:v>largest-cell propagation fraction</x:v>
      </x:c>
      <x:c r="E33" s="18" t="str">
        <x:v>largest-cell intervention</x:v>
      </x:c>
      <x:c r="F33" s="18" t="str">
        <x:v>BRK</x:v>
      </x:c>
      <x:c r="G33" s="18" t="str">
        <x:v>HU-A-B-TECH-3</x:v>
      </x:c>
      <x:c r="H33" s="18" t="str">
        <x:v>care-line continuity, temperature, humidity, sterile tracers, access, consent and relationship custody</x:v>
      </x:c>
      <x:c r="I33" s="18" t="str">
        <x:v>lower and upper interval with traceable uncertainty; no favorable midpoint</x:v>
      </x:c>
      <x:c r="J33" s="14" t="n">
        <x:v>0</x:v>
      </x:c>
      <x:c r="K33" s="14" t="str">
        <x:v>OPEN / MEASUREMENT READY</x:v>
      </x:c>
    </x:row>
    <x:row r="34">
      <x:c r="A34" s="14" t="str">
        <x:v>HU-A-B-KEY</x:v>
      </x:c>
      <x:c r="B34" s="14" t="str">
        <x:v>HU-A-B</x:v>
      </x:c>
      <x:c r="C34" s="14" t="str">
        <x:v>κ</x:v>
      </x:c>
      <x:c r="D34" s="18" t="str">
        <x:v>fatal-keystone retained fraction</x:v>
      </x:c>
      <x:c r="E34" s="18" t="str">
        <x:v>frozen fatal-keystone intervention</x:v>
      </x:c>
      <x:c r="F34" s="18" t="str">
        <x:v>BRK</x:v>
      </x:c>
      <x:c r="G34" s="18" t="str">
        <x:v>HU-A-B-TECH-4</x:v>
      </x:c>
      <x:c r="H34" s="18" t="str">
        <x:v>care-line continuity, temperature, humidity, sterile tracers, access, consent and relationship custody</x:v>
      </x:c>
      <x:c r="I34" s="18" t="str">
        <x:v>lower and upper interval with traceable uncertainty; no favorable midpoint</x:v>
      </x:c>
      <x:c r="J34" s="14" t="n">
        <x:v>0</x:v>
      </x:c>
      <x:c r="K34" s="14" t="str">
        <x:v>OPEN / MEASUREMENT READY</x:v>
      </x:c>
    </x:row>
    <x:row r="35">
      <x:c r="A35" s="14" t="str">
        <x:v>HU-A-B-COLD</x:v>
      </x:c>
      <x:c r="B35" s="14" t="str">
        <x:v>HU-A-B</x:v>
      </x:c>
      <x:c r="C35" s="14" t="str">
        <x:v>χ</x:v>
      </x:c>
      <x:c r="D35" s="18" t="str">
        <x:v>cold-start retained fraction</x:v>
      </x:c>
      <x:c r="E35" s="18" t="str">
        <x:v>clean-team rebuild and black start</x:v>
      </x:c>
      <x:c r="F35" s="18" t="str">
        <x:v>RCN</x:v>
      </x:c>
      <x:c r="G35" s="18" t="str">
        <x:v>HU-A-B-TECH-4</x:v>
      </x:c>
      <x:c r="H35" s="18" t="str">
        <x:v>care-line continuity, temperature, humidity, sterile tracers, access, consent and relationship custody</x:v>
      </x:c>
      <x:c r="I35" s="18" t="str">
        <x:v>lower and upper interval with traceable uncertainty; no favorable midpoint</x:v>
      </x:c>
      <x:c r="J35" s="14" t="n">
        <x:v>0</x:v>
      </x:c>
      <x:c r="K35" s="14" t="str">
        <x:v>OPEN / MEASUREMENT READY</x:v>
      </x:c>
    </x:row>
    <x:row r="36">
      <x:c r="A36" s="14" t="str">
        <x:v>HU-A-B-THERM</x:v>
      </x:c>
      <x:c r="B36" s="14" t="str">
        <x:v>HU-A-B</x:v>
      </x:c>
      <x:c r="C36" s="14" t="str">
        <x:v>θ</x:v>
      </x:c>
      <x:c r="D36" s="18" t="str">
        <x:v>peak thermal duty coefficient</x:v>
      </x:c>
      <x:c r="E36" s="18" t="str">
        <x:v>worst-ambient calorimetry and surviving heat rejection</x:v>
      </x:c>
      <x:c r="F36" s="18" t="str">
        <x:v>INT + BRK</x:v>
      </x:c>
      <x:c r="G36" s="18" t="str">
        <x:v>HU-A-B-TECH-4</x:v>
      </x:c>
      <x:c r="H36" s="18" t="str">
        <x:v>care-line continuity, temperature, humidity, sterile tracers, access, consent and relationship custody</x:v>
      </x:c>
      <x:c r="I36" s="18" t="str">
        <x:v>lower and upper interval with traceable uncertainty; no favorable midpoint</x:v>
      </x:c>
      <x:c r="J36" s="14" t="n">
        <x:v>0</x:v>
      </x:c>
      <x:c r="K36" s="14" t="str">
        <x:v>OPEN / MEASUREMENT READY</x:v>
      </x:c>
    </x:row>
    <x:row r="37">
      <x:c r="A37" s="14" t="str">
        <x:v>RT-B-C-CAP</x:v>
      </x:c>
      <x:c r="B37" s="14" t="str">
        <x:v>RT-B-C</x:v>
      </x:c>
      <x:c r="C37" s="14" t="str">
        <x:v>βC</x:v>
      </x:c>
      <x:c r="D37" s="18" t="str">
        <x:v>capacity calibration factor</x:v>
      </x:c>
      <x:c r="E37" s="18" t="str">
        <x:v>full-range metered capacity sweep</x:v>
      </x:c>
      <x:c r="F37" s="18" t="str">
        <x:v>INT</x:v>
      </x:c>
      <x:c r="G37" s="18" t="str">
        <x:v>RT-B-C-TECH-1</x:v>
      </x:c>
      <x:c r="H37" s="18" t="str">
        <x:v>machine energy, calorimetry, field metrology, material ancestry, quarantine and release qualification</x:v>
      </x:c>
      <x:c r="I37" s="18" t="str">
        <x:v>lower and upper interval with traceable uncertainty; no favorable midpoint</x:v>
      </x:c>
      <x:c r="J37" s="14" t="n">
        <x:v>0</x:v>
      </x:c>
      <x:c r="K37" s="14" t="str">
        <x:v>OPEN / MEASUREMENT READY</x:v>
      </x:c>
    </x:row>
    <x:row r="38">
      <x:c r="A38" s="14" t="str">
        <x:v>RT-B-C-REQ</x:v>
      </x:c>
      <x:c r="B38" s="14" t="str">
        <x:v>RT-B-C</x:v>
      </x:c>
      <x:c r="C38" s="14" t="str">
        <x:v>βR</x:v>
      </x:c>
      <x:c r="D38" s="18" t="str">
        <x:v>service requirement scale factor</x:v>
      </x:c>
      <x:c r="E38" s="18" t="str">
        <x:v>receiver-denominator replay</x:v>
      </x:c>
      <x:c r="F38" s="18" t="str">
        <x:v>INT</x:v>
      </x:c>
      <x:c r="G38" s="18" t="str">
        <x:v>RT-B-C-TECH-2</x:v>
      </x:c>
      <x:c r="H38" s="18" t="str">
        <x:v>machine energy, calorimetry, field metrology, material ancestry, quarantine and release qualification</x:v>
      </x:c>
      <x:c r="I38" s="18" t="str">
        <x:v>lower and upper interval with traceable uncertainty; no favorable midpoint</x:v>
      </x:c>
      <x:c r="J38" s="14" t="n">
        <x:v>0</x:v>
      </x:c>
      <x:c r="K38" s="14" t="str">
        <x:v>OPEN / MEASUREMENT READY</x:v>
      </x:c>
    </x:row>
    <x:row r="39">
      <x:c r="A39" s="14" t="str">
        <x:v>RT-B-C-LOSS</x:v>
      </x:c>
      <x:c r="B39" s="14" t="str">
        <x:v>RT-B-C</x:v>
      </x:c>
      <x:c r="C39" s="14" t="str">
        <x:v>λ</x:v>
      </x:c>
      <x:c r="D39" s="18" t="str">
        <x:v>largest-cell propagation fraction</x:v>
      </x:c>
      <x:c r="E39" s="18" t="str">
        <x:v>largest-cell intervention</x:v>
      </x:c>
      <x:c r="F39" s="18" t="str">
        <x:v>BRK</x:v>
      </x:c>
      <x:c r="G39" s="18" t="str">
        <x:v>RT-B-C-TECH-3</x:v>
      </x:c>
      <x:c r="H39" s="18" t="str">
        <x:v>machine energy, calorimetry, field metrology, material ancestry, quarantine and release qualification</x:v>
      </x:c>
      <x:c r="I39" s="18" t="str">
        <x:v>lower and upper interval with traceable uncertainty; no favorable midpoint</x:v>
      </x:c>
      <x:c r="J39" s="14" t="n">
        <x:v>0</x:v>
      </x:c>
      <x:c r="K39" s="14" t="str">
        <x:v>OPEN / MEASUREMENT READY</x:v>
      </x:c>
    </x:row>
    <x:row r="40">
      <x:c r="A40" s="14" t="str">
        <x:v>RT-B-C-KEY</x:v>
      </x:c>
      <x:c r="B40" s="14" t="str">
        <x:v>RT-B-C</x:v>
      </x:c>
      <x:c r="C40" s="14" t="str">
        <x:v>κ</x:v>
      </x:c>
      <x:c r="D40" s="18" t="str">
        <x:v>fatal-keystone retained fraction</x:v>
      </x:c>
      <x:c r="E40" s="18" t="str">
        <x:v>frozen fatal-keystone intervention</x:v>
      </x:c>
      <x:c r="F40" s="18" t="str">
        <x:v>BRK</x:v>
      </x:c>
      <x:c r="G40" s="18" t="str">
        <x:v>RT-B-C-TECH-4</x:v>
      </x:c>
      <x:c r="H40" s="18" t="str">
        <x:v>machine energy, calorimetry, field metrology, material ancestry, quarantine and release qualification</x:v>
      </x:c>
      <x:c r="I40" s="18" t="str">
        <x:v>lower and upper interval with traceable uncertainty; no favorable midpoint</x:v>
      </x:c>
      <x:c r="J40" s="14" t="n">
        <x:v>0</x:v>
      </x:c>
      <x:c r="K40" s="14" t="str">
        <x:v>OPEN / MEASUREMENT READY</x:v>
      </x:c>
    </x:row>
    <x:row r="41">
      <x:c r="A41" s="14" t="str">
        <x:v>RT-B-C-COLD</x:v>
      </x:c>
      <x:c r="B41" s="14" t="str">
        <x:v>RT-B-C</x:v>
      </x:c>
      <x:c r="C41" s="14" t="str">
        <x:v>χ</x:v>
      </x:c>
      <x:c r="D41" s="18" t="str">
        <x:v>cold-start retained fraction</x:v>
      </x:c>
      <x:c r="E41" s="18" t="str">
        <x:v>clean-team rebuild and black start</x:v>
      </x:c>
      <x:c r="F41" s="18" t="str">
        <x:v>RCN</x:v>
      </x:c>
      <x:c r="G41" s="18" t="str">
        <x:v>RT-B-C-TECH-4</x:v>
      </x:c>
      <x:c r="H41" s="18" t="str">
        <x:v>machine energy, calorimetry, field metrology, material ancestry, quarantine and release qualification</x:v>
      </x:c>
      <x:c r="I41" s="18" t="str">
        <x:v>lower and upper interval with traceable uncertainty; no favorable midpoint</x:v>
      </x:c>
      <x:c r="J41" s="14" t="n">
        <x:v>0</x:v>
      </x:c>
      <x:c r="K41" s="14" t="str">
        <x:v>OPEN / MEASUREMENT READY</x:v>
      </x:c>
    </x:row>
    <x:row r="42">
      <x:c r="A42" s="14" t="str">
        <x:v>RT-B-C-THERM</x:v>
      </x:c>
      <x:c r="B42" s="14" t="str">
        <x:v>RT-B-C</x:v>
      </x:c>
      <x:c r="C42" s="14" t="str">
        <x:v>θ</x:v>
      </x:c>
      <x:c r="D42" s="18" t="str">
        <x:v>peak thermal duty coefficient</x:v>
      </x:c>
      <x:c r="E42" s="18" t="str">
        <x:v>worst-ambient calorimetry and surviving heat rejection</x:v>
      </x:c>
      <x:c r="F42" s="18" t="str">
        <x:v>INT + BRK</x:v>
      </x:c>
      <x:c r="G42" s="18" t="str">
        <x:v>RT-B-C-TECH-4</x:v>
      </x:c>
      <x:c r="H42" s="18" t="str">
        <x:v>machine energy, calorimetry, field metrology, material ancestry, quarantine and release qualification</x:v>
      </x:c>
      <x:c r="I42" s="18" t="str">
        <x:v>lower and upper interval with traceable uncertainty; no favorable midpoint</x:v>
      </x:c>
      <x:c r="J42" s="14" t="n">
        <x:v>0</x:v>
      </x:c>
      <x:c r="K42" s="14" t="str">
        <x:v>OPEN / MEASUREMENT READY</x:v>
      </x:c>
    </x:row>
  </x:sheetData>
  <x:pageMargins left="0.7" right="0.7" top="0.75" bottom="0.75" header="0.3" footer="0.3"/>
  <x:tableParts count="1">
    <x:tablePart xmlns:r="http://schemas.openxmlformats.org/officeDocument/2006/relationships" r:id="Re18bc87ec7d047df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32" hidden="0" customWidth="1"/>
    <x:col min="2" max="2" width="28" hidden="0" customWidth="1"/>
    <x:col min="3" max="3" width="20" hidden="0" customWidth="1"/>
    <x:col min="4" max="4" width="12" hidden="0" customWidth="1"/>
    <x:col min="5" max="5" width="10" hidden="0" customWidth="1"/>
    <x:col min="6" max="6" width="62" hidden="0" customWidth="1"/>
    <x:col min="7" max="7" width="16" hidden="0" customWidth="1"/>
    <x:col min="8" max="8" width="18" hidden="0" customWidth="1"/>
    <x:col min="9" max="9" width="46" hidden="0" customWidth="1"/>
    <x:col min="10" max="10" width="12" hidden="0" customWidth="1"/>
    <x:col min="11" max="11" width="30" hidden="0" customWidth="1"/>
  </x:cols>
  <x:sheetData>
    <x:row r="1">
      <x:c r="A1" s="14"/>
      <x:c r="B1" s="14"/>
      <x:c r="C1" s="14"/>
      <x:c r="D1" s="14"/>
      <x:c r="E1" s="14"/>
      <x:c r="F1" s="14"/>
      <x:c r="G1" s="14"/>
      <x:c r="H1" s="14"/>
      <x:c r="I1" s="14"/>
      <x:c r="J1" s="14"/>
      <x:c r="K1" s="14"/>
    </x:row>
    <x:row r="2">
      <x:c r="A2" s="56" t="str">
        <x:v>One hundred forty-four serial-bound events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</x:row>
    <x:row r="3">
      <x:c r="A3" s="16"/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2"/>
      <x:c r="M3" s="2"/>
      <x:c r="N3" s="2"/>
      <x:c r="O3" s="2"/>
      <x:c r="P3" s="2"/>
      <x:c r="Q3" s="2"/>
    </x:row>
    <x:row r="4">
      <x:c r="A4" s="14"/>
      <x:c r="B4" s="14"/>
      <x:c r="C4" s="14"/>
      <x:c r="D4" s="14"/>
      <x:c r="E4" s="14"/>
      <x:c r="F4" s="14"/>
      <x:c r="G4" s="14"/>
      <x:c r="H4" s="14"/>
      <x:c r="I4" s="14"/>
      <x:c r="J4" s="14"/>
      <x:c r="K4" s="14"/>
    </x:row>
    <x:row r="5">
      <x:c r="A5" s="14"/>
      <x:c r="B5" s="14"/>
      <x:c r="C5" s="14"/>
      <x:c r="D5" s="14"/>
      <x:c r="E5" s="14"/>
      <x:c r="F5" s="14"/>
      <x:c r="G5" s="14"/>
      <x:c r="H5" s="14"/>
      <x:c r="I5" s="14"/>
      <x:c r="J5" s="14"/>
      <x:c r="K5" s="14"/>
    </x:row>
    <x:row r="6">
      <x:c r="A6" s="14" t="str">
        <x:v>Event</x:v>
      </x:c>
      <x:c r="B6" s="14" t="str">
        <x:v>Serial</x:v>
      </x:c>
      <x:c r="C6" s="14" t="str">
        <x:v>Order</x:v>
      </x:c>
      <x:c r="D6" s="14" t="str">
        <x:v>Form</x:v>
      </x:c>
      <x:c r="E6" s="14" t="str">
        <x:v>Role</x:v>
      </x:c>
      <x:c r="F6" s="14" t="str">
        <x:v>Event constitution</x:v>
      </x:c>
      <x:c r="G6" s="14" t="str">
        <x:v>Program month</x:v>
      </x:c>
      <x:c r="H6" s="14" t="str">
        <x:v>Acceptance-bearing</x:v>
      </x:c>
      <x:c r="I6" s="14" t="str">
        <x:v>Authority</x:v>
      </x:c>
      <x:c r="J6" s="14" t="str">
        <x:v>Accepted</x:v>
      </x:c>
      <x:c r="K6" s="14" t="str">
        <x:v>State</x:v>
      </x:c>
    </x:row>
    <x:row r="7">
      <x:c r="A7" s="14" t="str">
        <x:v>ET-A-A-TECH-1-A-INT-EVT</x:v>
      </x:c>
      <x:c r="B7" s="14" t="str">
        <x:v>ET-A-A-TECH-1-A-INT</x:v>
      </x:c>
      <x:c r="C7" s="14" t="str">
        <x:v>ET-A-A-TECH-1</x:v>
      </x:c>
      <x:c r="D7" s="14" t="str">
        <x:v>ET-A-A</x:v>
      </x:c>
      <x:c r="E7" s="14" t="str">
        <x:v>INT</x:v>
      </x:c>
      <x:c r="F7" s="18" t="str">
        <x:v>capacity, receiver and thermal calibration</x:v>
      </x:c>
      <x:c r="G7" s="18" t="n">
        <x:v>42</x:v>
      </x:c>
      <x:c r="H7" s="18" t="n">
        <x:v>0</x:v>
      </x:c>
      <x:c r="I7" s="18" t="str">
        <x:v>independent event authority and evidence custodian</x:v>
      </x:c>
      <x:c r="J7" s="14" t="n">
        <x:v>0</x:v>
      </x:c>
      <x:c r="K7" s="14" t="str">
        <x:v>PROGRAMMED / UNEXECUTED</x:v>
      </x:c>
    </x:row>
    <x:row r="8">
      <x:c r="A8" s="14" t="str">
        <x:v>ET-A-A-TECH-1-A-BRK-EVT</x:v>
      </x:c>
      <x:c r="B8" s="14" t="str">
        <x:v>ET-A-A-TECH-1-A-BRK</x:v>
      </x:c>
      <x:c r="C8" s="14" t="str">
        <x:v>ET-A-A-TECH-1</x:v>
      </x:c>
      <x:c r="D8" s="14" t="str">
        <x:v>ET-A-A</x:v>
      </x:c>
      <x:c r="E8" s="14" t="str">
        <x:v>BRK</x:v>
      </x:c>
      <x:c r="F8" s="18" t="str">
        <x:v>remove one hull, saddle and shore path at peak relative motion</x:v>
      </x:c>
      <x:c r="G8" s="18" t="n">
        <x:v>54</x:v>
      </x:c>
      <x:c r="H8" s="18" t="n">
        <x:v>1</x:v>
      </x:c>
      <x:c r="I8" s="18" t="str">
        <x:v>independent event authority and evidence custodian</x:v>
      </x:c>
      <x:c r="J8" s="14" t="n">
        <x:v>0</x:v>
      </x:c>
      <x:c r="K8" s="14" t="str">
        <x:v>PROGRAMMED / UNEXECUTED</x:v>
      </x:c>
    </x:row>
    <x:row r="9">
      <x:c r="A9" s="14" t="str">
        <x:v>ET-A-A-TECH-1-A-RCN-EVT</x:v>
      </x:c>
      <x:c r="B9" s="14" t="str">
        <x:v>ET-A-A-TECH-1-A-RCN</x:v>
      </x:c>
      <x:c r="C9" s="14" t="str">
        <x:v>ET-A-A-TECH-1</x:v>
      </x:c>
      <x:c r="D9" s="14" t="str">
        <x:v>ET-A-A</x:v>
      </x:c>
      <x:c r="E9" s="14" t="str">
        <x:v>RCN</x:v>
      </x:c>
      <x:c r="F9" s="18" t="str">
        <x:v>clean-team reconstruction, black start and requalification</x:v>
      </x:c>
      <x:c r="G9" s="18" t="n">
        <x:v>72</x:v>
      </x:c>
      <x:c r="H9" s="18" t="n">
        <x:v>1</x:v>
      </x:c>
      <x:c r="I9" s="18" t="str">
        <x:v>independent event authority and evidence custodian</x:v>
      </x:c>
      <x:c r="J9" s="14" t="n">
        <x:v>0</x:v>
      </x:c>
      <x:c r="K9" s="14" t="str">
        <x:v>PROGRAMMED / UNEXECUTED</x:v>
      </x:c>
    </x:row>
    <x:row r="10">
      <x:c r="A10" s="14" t="str">
        <x:v>ET-A-A-TECH-1-B-INT-EVT</x:v>
      </x:c>
      <x:c r="B10" s="14" t="str">
        <x:v>ET-A-A-TECH-1-B-INT</x:v>
      </x:c>
      <x:c r="C10" s="14" t="str">
        <x:v>ET-A-A-TECH-1</x:v>
      </x:c>
      <x:c r="D10" s="14" t="str">
        <x:v>ET-A-A</x:v>
      </x:c>
      <x:c r="E10" s="14" t="str">
        <x:v>INT</x:v>
      </x:c>
      <x:c r="F10" s="18" t="str">
        <x:v>capacity, receiver and thermal calibration</x:v>
      </x:c>
      <x:c r="G10" s="18" t="n">
        <x:v>42</x:v>
      </x:c>
      <x:c r="H10" s="18" t="n">
        <x:v>0</x:v>
      </x:c>
      <x:c r="I10" s="18" t="str">
        <x:v>independent event authority and evidence custodian</x:v>
      </x:c>
      <x:c r="J10" s="14" t="n">
        <x:v>0</x:v>
      </x:c>
      <x:c r="K10" s="14" t="str">
        <x:v>PROGRAMMED / UNEXECUTED</x:v>
      </x:c>
    </x:row>
    <x:row r="11">
      <x:c r="A11" s="14" t="str">
        <x:v>ET-A-A-TECH-1-B-BRK-EVT</x:v>
      </x:c>
      <x:c r="B11" s="14" t="str">
        <x:v>ET-A-A-TECH-1-B-BRK</x:v>
      </x:c>
      <x:c r="C11" s="14" t="str">
        <x:v>ET-A-A-TECH-1</x:v>
      </x:c>
      <x:c r="D11" s="14" t="str">
        <x:v>ET-A-A</x:v>
      </x:c>
      <x:c r="E11" s="14" t="str">
        <x:v>BRK</x:v>
      </x:c>
      <x:c r="F11" s="18" t="str">
        <x:v>remove one hull, saddle and shore path at peak relative motion</x:v>
      </x:c>
      <x:c r="G11" s="18" t="n">
        <x:v>54</x:v>
      </x:c>
      <x:c r="H11" s="18" t="n">
        <x:v>1</x:v>
      </x:c>
      <x:c r="I11" s="18" t="str">
        <x:v>independent event authority and evidence custodian</x:v>
      </x:c>
      <x:c r="J11" s="14" t="n">
        <x:v>0</x:v>
      </x:c>
      <x:c r="K11" s="14" t="str">
        <x:v>PROGRAMMED / UNEXECUTED</x:v>
      </x:c>
    </x:row>
    <x:row r="12">
      <x:c r="A12" s="14" t="str">
        <x:v>ET-A-A-TECH-1-B-RCN-EVT</x:v>
      </x:c>
      <x:c r="B12" s="14" t="str">
        <x:v>ET-A-A-TECH-1-B-RCN</x:v>
      </x:c>
      <x:c r="C12" s="14" t="str">
        <x:v>ET-A-A-TECH-1</x:v>
      </x:c>
      <x:c r="D12" s="14" t="str">
        <x:v>ET-A-A</x:v>
      </x:c>
      <x:c r="E12" s="14" t="str">
        <x:v>RCN</x:v>
      </x:c>
      <x:c r="F12" s="18" t="str">
        <x:v>clean-team reconstruction, black start and requalification</x:v>
      </x:c>
      <x:c r="G12" s="18" t="n">
        <x:v>72</x:v>
      </x:c>
      <x:c r="H12" s="18" t="n">
        <x:v>1</x:v>
      </x:c>
      <x:c r="I12" s="18" t="str">
        <x:v>independent event authority and evidence custodian</x:v>
      </x:c>
      <x:c r="J12" s="14" t="n">
        <x:v>0</x:v>
      </x:c>
      <x:c r="K12" s="14" t="str">
        <x:v>PROGRAMMED / UNEXECUTED</x:v>
      </x:c>
    </x:row>
    <x:row r="13">
      <x:c r="A13" s="14" t="str">
        <x:v>ET-A-A-TECH-2-A-INT-EVT</x:v>
      </x:c>
      <x:c r="B13" s="14" t="str">
        <x:v>ET-A-A-TECH-2-A-INT</x:v>
      </x:c>
      <x:c r="C13" s="14" t="str">
        <x:v>ET-A-A-TECH-2</x:v>
      </x:c>
      <x:c r="D13" s="14" t="str">
        <x:v>ET-A-A</x:v>
      </x:c>
      <x:c r="E13" s="14" t="str">
        <x:v>INT</x:v>
      </x:c>
      <x:c r="F13" s="18" t="str">
        <x:v>capacity, receiver and thermal calibration</x:v>
      </x:c>
      <x:c r="G13" s="18" t="n">
        <x:v>42</x:v>
      </x:c>
      <x:c r="H13" s="18" t="n">
        <x:v>0</x:v>
      </x:c>
      <x:c r="I13" s="18" t="str">
        <x:v>independent event authority and evidence custodian</x:v>
      </x:c>
      <x:c r="J13" s="14" t="n">
        <x:v>0</x:v>
      </x:c>
      <x:c r="K13" s="14" t="str">
        <x:v>PROGRAMMED / UNEXECUTED</x:v>
      </x:c>
    </x:row>
    <x:row r="14">
      <x:c r="A14" s="14" t="str">
        <x:v>ET-A-A-TECH-2-A-BRK-EVT</x:v>
      </x:c>
      <x:c r="B14" s="14" t="str">
        <x:v>ET-A-A-TECH-2-A-BRK</x:v>
      </x:c>
      <x:c r="C14" s="14" t="str">
        <x:v>ET-A-A-TECH-2</x:v>
      </x:c>
      <x:c r="D14" s="14" t="str">
        <x:v>ET-A-A</x:v>
      </x:c>
      <x:c r="E14" s="14" t="str">
        <x:v>BRK</x:v>
      </x:c>
      <x:c r="F14" s="18" t="str">
        <x:v>remove one hull, saddle and shore path at peak relative motion</x:v>
      </x:c>
      <x:c r="G14" s="18" t="n">
        <x:v>54</x:v>
      </x:c>
      <x:c r="H14" s="18" t="n">
        <x:v>1</x:v>
      </x:c>
      <x:c r="I14" s="18" t="str">
        <x:v>independent event authority and evidence custodian</x:v>
      </x:c>
      <x:c r="J14" s="14" t="n">
        <x:v>0</x:v>
      </x:c>
      <x:c r="K14" s="14" t="str">
        <x:v>PROGRAMMED / UNEXECUTED</x:v>
      </x:c>
    </x:row>
    <x:row r="15">
      <x:c r="A15" s="14" t="str">
        <x:v>ET-A-A-TECH-2-A-RCN-EVT</x:v>
      </x:c>
      <x:c r="B15" s="14" t="str">
        <x:v>ET-A-A-TECH-2-A-RCN</x:v>
      </x:c>
      <x:c r="C15" s="14" t="str">
        <x:v>ET-A-A-TECH-2</x:v>
      </x:c>
      <x:c r="D15" s="14" t="str">
        <x:v>ET-A-A</x:v>
      </x:c>
      <x:c r="E15" s="14" t="str">
        <x:v>RCN</x:v>
      </x:c>
      <x:c r="F15" s="18" t="str">
        <x:v>clean-team reconstruction, black start and requalification</x:v>
      </x:c>
      <x:c r="G15" s="18" t="n">
        <x:v>72</x:v>
      </x:c>
      <x:c r="H15" s="18" t="n">
        <x:v>1</x:v>
      </x:c>
      <x:c r="I15" s="18" t="str">
        <x:v>independent event authority and evidence custodian</x:v>
      </x:c>
      <x:c r="J15" s="14" t="n">
        <x:v>0</x:v>
      </x:c>
      <x:c r="K15" s="14" t="str">
        <x:v>PROGRAMMED / UNEXECUTED</x:v>
      </x:c>
    </x:row>
    <x:row r="16">
      <x:c r="A16" s="14" t="str">
        <x:v>ET-A-A-TECH-2-B-INT-EVT</x:v>
      </x:c>
      <x:c r="B16" s="14" t="str">
        <x:v>ET-A-A-TECH-2-B-INT</x:v>
      </x:c>
      <x:c r="C16" s="14" t="str">
        <x:v>ET-A-A-TECH-2</x:v>
      </x:c>
      <x:c r="D16" s="14" t="str">
        <x:v>ET-A-A</x:v>
      </x:c>
      <x:c r="E16" s="14" t="str">
        <x:v>INT</x:v>
      </x:c>
      <x:c r="F16" s="18" t="str">
        <x:v>capacity, receiver and thermal calibration</x:v>
      </x:c>
      <x:c r="G16" s="18" t="n">
        <x:v>42</x:v>
      </x:c>
      <x:c r="H16" s="18" t="n">
        <x:v>0</x:v>
      </x:c>
      <x:c r="I16" s="18" t="str">
        <x:v>independent event authority and evidence custodian</x:v>
      </x:c>
      <x:c r="J16" s="14" t="n">
        <x:v>0</x:v>
      </x:c>
      <x:c r="K16" s="14" t="str">
        <x:v>PROGRAMMED / UNEXECUTED</x:v>
      </x:c>
    </x:row>
    <x:row r="17">
      <x:c r="A17" s="14" t="str">
        <x:v>ET-A-A-TECH-2-B-BRK-EVT</x:v>
      </x:c>
      <x:c r="B17" s="14" t="str">
        <x:v>ET-A-A-TECH-2-B-BRK</x:v>
      </x:c>
      <x:c r="C17" s="14" t="str">
        <x:v>ET-A-A-TECH-2</x:v>
      </x:c>
      <x:c r="D17" s="14" t="str">
        <x:v>ET-A-A</x:v>
      </x:c>
      <x:c r="E17" s="14" t="str">
        <x:v>BRK</x:v>
      </x:c>
      <x:c r="F17" s="18" t="str">
        <x:v>remove one hull, saddle and shore path at peak relative motion</x:v>
      </x:c>
      <x:c r="G17" s="18" t="n">
        <x:v>54</x:v>
      </x:c>
      <x:c r="H17" s="18" t="n">
        <x:v>1</x:v>
      </x:c>
      <x:c r="I17" s="18" t="str">
        <x:v>independent event authority and evidence custodian</x:v>
      </x:c>
      <x:c r="J17" s="14" t="n">
        <x:v>0</x:v>
      </x:c>
      <x:c r="K17" s="14" t="str">
        <x:v>PROGRAMMED / UNEXECUTED</x:v>
      </x:c>
    </x:row>
    <x:row r="18">
      <x:c r="A18" s="14" t="str">
        <x:v>ET-A-A-TECH-2-B-RCN-EVT</x:v>
      </x:c>
      <x:c r="B18" s="14" t="str">
        <x:v>ET-A-A-TECH-2-B-RCN</x:v>
      </x:c>
      <x:c r="C18" s="14" t="str">
        <x:v>ET-A-A-TECH-2</x:v>
      </x:c>
      <x:c r="D18" s="14" t="str">
        <x:v>ET-A-A</x:v>
      </x:c>
      <x:c r="E18" s="14" t="str">
        <x:v>RCN</x:v>
      </x:c>
      <x:c r="F18" s="18" t="str">
        <x:v>clean-team reconstruction, black start and requalification</x:v>
      </x:c>
      <x:c r="G18" s="18" t="n">
        <x:v>72</x:v>
      </x:c>
      <x:c r="H18" s="18" t="n">
        <x:v>1</x:v>
      </x:c>
      <x:c r="I18" s="18" t="str">
        <x:v>independent event authority and evidence custodian</x:v>
      </x:c>
      <x:c r="J18" s="14" t="n">
        <x:v>0</x:v>
      </x:c>
      <x:c r="K18" s="14" t="str">
        <x:v>PROGRAMMED / UNEXECUTED</x:v>
      </x:c>
    </x:row>
    <x:row r="19">
      <x:c r="A19" s="14" t="str">
        <x:v>ET-A-A-TECH-3-A-INT-EVT</x:v>
      </x:c>
      <x:c r="B19" s="14" t="str">
        <x:v>ET-A-A-TECH-3-A-INT</x:v>
      </x:c>
      <x:c r="C19" s="14" t="str">
        <x:v>ET-A-A-TECH-3</x:v>
      </x:c>
      <x:c r="D19" s="14" t="str">
        <x:v>ET-A-A</x:v>
      </x:c>
      <x:c r="E19" s="14" t="str">
        <x:v>INT</x:v>
      </x:c>
      <x:c r="F19" s="18" t="str">
        <x:v>capacity, receiver and thermal calibration</x:v>
      </x:c>
      <x:c r="G19" s="18" t="n">
        <x:v>42</x:v>
      </x:c>
      <x:c r="H19" s="18" t="n">
        <x:v>0</x:v>
      </x:c>
      <x:c r="I19" s="18" t="str">
        <x:v>independent event authority and evidence custodian</x:v>
      </x:c>
      <x:c r="J19" s="14" t="n">
        <x:v>0</x:v>
      </x:c>
      <x:c r="K19" s="14" t="str">
        <x:v>PROGRAMMED / UNEXECUTED</x:v>
      </x:c>
    </x:row>
    <x:row r="20">
      <x:c r="A20" s="14" t="str">
        <x:v>ET-A-A-TECH-3-A-BRK-EVT</x:v>
      </x:c>
      <x:c r="B20" s="14" t="str">
        <x:v>ET-A-A-TECH-3-A-BRK</x:v>
      </x:c>
      <x:c r="C20" s="14" t="str">
        <x:v>ET-A-A-TECH-3</x:v>
      </x:c>
      <x:c r="D20" s="14" t="str">
        <x:v>ET-A-A</x:v>
      </x:c>
      <x:c r="E20" s="14" t="str">
        <x:v>BRK</x:v>
      </x:c>
      <x:c r="F20" s="18" t="str">
        <x:v>remove one hull, saddle and shore path at peak relative motion</x:v>
      </x:c>
      <x:c r="G20" s="18" t="n">
        <x:v>54</x:v>
      </x:c>
      <x:c r="H20" s="18" t="n">
        <x:v>1</x:v>
      </x:c>
      <x:c r="I20" s="18" t="str">
        <x:v>independent event authority and evidence custodian</x:v>
      </x:c>
      <x:c r="J20" s="14" t="n">
        <x:v>0</x:v>
      </x:c>
      <x:c r="K20" s="14" t="str">
        <x:v>PROGRAMMED / UNEXECUTED</x:v>
      </x:c>
    </x:row>
    <x:row r="21">
      <x:c r="A21" s="14" t="str">
        <x:v>ET-A-A-TECH-3-A-RCN-EVT</x:v>
      </x:c>
      <x:c r="B21" s="14" t="str">
        <x:v>ET-A-A-TECH-3-A-RCN</x:v>
      </x:c>
      <x:c r="C21" s="14" t="str">
        <x:v>ET-A-A-TECH-3</x:v>
      </x:c>
      <x:c r="D21" s="14" t="str">
        <x:v>ET-A-A</x:v>
      </x:c>
      <x:c r="E21" s="14" t="str">
        <x:v>RCN</x:v>
      </x:c>
      <x:c r="F21" s="18" t="str">
        <x:v>clean-team reconstruction, black start and requalification</x:v>
      </x:c>
      <x:c r="G21" s="18" t="n">
        <x:v>72</x:v>
      </x:c>
      <x:c r="H21" s="18" t="n">
        <x:v>1</x:v>
      </x:c>
      <x:c r="I21" s="18" t="str">
        <x:v>independent event authority and evidence custodian</x:v>
      </x:c>
      <x:c r="J21" s="14" t="n">
        <x:v>0</x:v>
      </x:c>
      <x:c r="K21" s="14" t="str">
        <x:v>PROGRAMMED / UNEXECUTED</x:v>
      </x:c>
    </x:row>
    <x:row r="22">
      <x:c r="A22" s="14" t="str">
        <x:v>ET-A-A-TECH-3-B-INT-EVT</x:v>
      </x:c>
      <x:c r="B22" s="14" t="str">
        <x:v>ET-A-A-TECH-3-B-INT</x:v>
      </x:c>
      <x:c r="C22" s="14" t="str">
        <x:v>ET-A-A-TECH-3</x:v>
      </x:c>
      <x:c r="D22" s="14" t="str">
        <x:v>ET-A-A</x:v>
      </x:c>
      <x:c r="E22" s="14" t="str">
        <x:v>INT</x:v>
      </x:c>
      <x:c r="F22" s="18" t="str">
        <x:v>capacity, receiver and thermal calibration</x:v>
      </x:c>
      <x:c r="G22" s="18" t="n">
        <x:v>42</x:v>
      </x:c>
      <x:c r="H22" s="18" t="n">
        <x:v>0</x:v>
      </x:c>
      <x:c r="I22" s="18" t="str">
        <x:v>independent event authority and evidence custodian</x:v>
      </x:c>
      <x:c r="J22" s="14" t="n">
        <x:v>0</x:v>
      </x:c>
      <x:c r="K22" s="14" t="str">
        <x:v>PROGRAMMED / UNEXECUTED</x:v>
      </x:c>
    </x:row>
    <x:row r="23">
      <x:c r="A23" s="14" t="str">
        <x:v>ET-A-A-TECH-3-B-BRK-EVT</x:v>
      </x:c>
      <x:c r="B23" s="14" t="str">
        <x:v>ET-A-A-TECH-3-B-BRK</x:v>
      </x:c>
      <x:c r="C23" s="14" t="str">
        <x:v>ET-A-A-TECH-3</x:v>
      </x:c>
      <x:c r="D23" s="14" t="str">
        <x:v>ET-A-A</x:v>
      </x:c>
      <x:c r="E23" s="14" t="str">
        <x:v>BRK</x:v>
      </x:c>
      <x:c r="F23" s="18" t="str">
        <x:v>remove one hull, saddle and shore path at peak relative motion</x:v>
      </x:c>
      <x:c r="G23" s="18" t="n">
        <x:v>54</x:v>
      </x:c>
      <x:c r="H23" s="18" t="n">
        <x:v>1</x:v>
      </x:c>
      <x:c r="I23" s="18" t="str">
        <x:v>independent event authority and evidence custodian</x:v>
      </x:c>
      <x:c r="J23" s="14" t="n">
        <x:v>0</x:v>
      </x:c>
      <x:c r="K23" s="14" t="str">
        <x:v>PROGRAMMED / UNEXECUTED</x:v>
      </x:c>
    </x:row>
    <x:row r="24">
      <x:c r="A24" s="14" t="str">
        <x:v>ET-A-A-TECH-3-B-RCN-EVT</x:v>
      </x:c>
      <x:c r="B24" s="14" t="str">
        <x:v>ET-A-A-TECH-3-B-RCN</x:v>
      </x:c>
      <x:c r="C24" s="14" t="str">
        <x:v>ET-A-A-TECH-3</x:v>
      </x:c>
      <x:c r="D24" s="14" t="str">
        <x:v>ET-A-A</x:v>
      </x:c>
      <x:c r="E24" s="14" t="str">
        <x:v>RCN</x:v>
      </x:c>
      <x:c r="F24" s="18" t="str">
        <x:v>clean-team reconstruction, black start and requalification</x:v>
      </x:c>
      <x:c r="G24" s="18" t="n">
        <x:v>72</x:v>
      </x:c>
      <x:c r="H24" s="18" t="n">
        <x:v>1</x:v>
      </x:c>
      <x:c r="I24" s="18" t="str">
        <x:v>independent event authority and evidence custodian</x:v>
      </x:c>
      <x:c r="J24" s="14" t="n">
        <x:v>0</x:v>
      </x:c>
      <x:c r="K24" s="14" t="str">
        <x:v>PROGRAMMED / UNEXECUTED</x:v>
      </x:c>
    </x:row>
    <x:row r="25">
      <x:c r="A25" s="14" t="str">
        <x:v>ET-A-A-TECH-4-A-INT-EVT</x:v>
      </x:c>
      <x:c r="B25" s="14" t="str">
        <x:v>ET-A-A-TECH-4-A-INT</x:v>
      </x:c>
      <x:c r="C25" s="14" t="str">
        <x:v>ET-A-A-TECH-4</x:v>
      </x:c>
      <x:c r="D25" s="14" t="str">
        <x:v>ET-A-A</x:v>
      </x:c>
      <x:c r="E25" s="14" t="str">
        <x:v>INT</x:v>
      </x:c>
      <x:c r="F25" s="18" t="str">
        <x:v>capacity, receiver and thermal calibration</x:v>
      </x:c>
      <x:c r="G25" s="18" t="n">
        <x:v>42</x:v>
      </x:c>
      <x:c r="H25" s="18" t="n">
        <x:v>0</x:v>
      </x:c>
      <x:c r="I25" s="18" t="str">
        <x:v>independent event authority and evidence custodian</x:v>
      </x:c>
      <x:c r="J25" s="14" t="n">
        <x:v>0</x:v>
      </x:c>
      <x:c r="K25" s="14" t="str">
        <x:v>PROGRAMMED / UNEXECUTED</x:v>
      </x:c>
    </x:row>
    <x:row r="26">
      <x:c r="A26" s="14" t="str">
        <x:v>ET-A-A-TECH-4-A-BRK-EVT</x:v>
      </x:c>
      <x:c r="B26" s="14" t="str">
        <x:v>ET-A-A-TECH-4-A-BRK</x:v>
      </x:c>
      <x:c r="C26" s="14" t="str">
        <x:v>ET-A-A-TECH-4</x:v>
      </x:c>
      <x:c r="D26" s="14" t="str">
        <x:v>ET-A-A</x:v>
      </x:c>
      <x:c r="E26" s="14" t="str">
        <x:v>BRK</x:v>
      </x:c>
      <x:c r="F26" s="18" t="str">
        <x:v>remove one hull, saddle and shore path at peak relative motion</x:v>
      </x:c>
      <x:c r="G26" s="18" t="n">
        <x:v>54</x:v>
      </x:c>
      <x:c r="H26" s="18" t="n">
        <x:v>1</x:v>
      </x:c>
      <x:c r="I26" s="18" t="str">
        <x:v>independent event authority and evidence custodian</x:v>
      </x:c>
      <x:c r="J26" s="14" t="n">
        <x:v>0</x:v>
      </x:c>
      <x:c r="K26" s="14" t="str">
        <x:v>PROGRAMMED / UNEXECUTED</x:v>
      </x:c>
    </x:row>
    <x:row r="27">
      <x:c r="A27" s="14" t="str">
        <x:v>ET-A-A-TECH-4-A-RCN-EVT</x:v>
      </x:c>
      <x:c r="B27" s="14" t="str">
        <x:v>ET-A-A-TECH-4-A-RCN</x:v>
      </x:c>
      <x:c r="C27" s="14" t="str">
        <x:v>ET-A-A-TECH-4</x:v>
      </x:c>
      <x:c r="D27" s="14" t="str">
        <x:v>ET-A-A</x:v>
      </x:c>
      <x:c r="E27" s="14" t="str">
        <x:v>RCN</x:v>
      </x:c>
      <x:c r="F27" s="18" t="str">
        <x:v>clean-team reconstruction, black start and requalification</x:v>
      </x:c>
      <x:c r="G27" s="18" t="n">
        <x:v>72</x:v>
      </x:c>
      <x:c r="H27" s="18" t="n">
        <x:v>1</x:v>
      </x:c>
      <x:c r="I27" s="18" t="str">
        <x:v>independent event authority and evidence custodian</x:v>
      </x:c>
      <x:c r="J27" s="14" t="n">
        <x:v>0</x:v>
      </x:c>
      <x:c r="K27" s="14" t="str">
        <x:v>PROGRAMMED / UNEXECUTED</x:v>
      </x:c>
    </x:row>
    <x:row r="28">
      <x:c r="A28" s="14" t="str">
        <x:v>ET-A-A-TECH-4-B-INT-EVT</x:v>
      </x:c>
      <x:c r="B28" s="14" t="str">
        <x:v>ET-A-A-TECH-4-B-INT</x:v>
      </x:c>
      <x:c r="C28" s="14" t="str">
        <x:v>ET-A-A-TECH-4</x:v>
      </x:c>
      <x:c r="D28" s="14" t="str">
        <x:v>ET-A-A</x:v>
      </x:c>
      <x:c r="E28" s="14" t="str">
        <x:v>INT</x:v>
      </x:c>
      <x:c r="F28" s="18" t="str">
        <x:v>capacity, receiver and thermal calibration</x:v>
      </x:c>
      <x:c r="G28" s="18" t="n">
        <x:v>42</x:v>
      </x:c>
      <x:c r="H28" s="18" t="n">
        <x:v>0</x:v>
      </x:c>
      <x:c r="I28" s="18" t="str">
        <x:v>independent event authority and evidence custodian</x:v>
      </x:c>
      <x:c r="J28" s="14" t="n">
        <x:v>0</x:v>
      </x:c>
      <x:c r="K28" s="14" t="str">
        <x:v>PROGRAMMED / UNEXECUTED</x:v>
      </x:c>
    </x:row>
    <x:row r="29">
      <x:c r="A29" s="14" t="str">
        <x:v>ET-A-A-TECH-4-B-BRK-EVT</x:v>
      </x:c>
      <x:c r="B29" s="14" t="str">
        <x:v>ET-A-A-TECH-4-B-BRK</x:v>
      </x:c>
      <x:c r="C29" s="14" t="str">
        <x:v>ET-A-A-TECH-4</x:v>
      </x:c>
      <x:c r="D29" s="14" t="str">
        <x:v>ET-A-A</x:v>
      </x:c>
      <x:c r="E29" s="14" t="str">
        <x:v>BRK</x:v>
      </x:c>
      <x:c r="F29" s="18" t="str">
        <x:v>remove one hull, saddle and shore path at peak relative motion</x:v>
      </x:c>
      <x:c r="G29" s="18" t="n">
        <x:v>54</x:v>
      </x:c>
      <x:c r="H29" s="18" t="n">
        <x:v>1</x:v>
      </x:c>
      <x:c r="I29" s="18" t="str">
        <x:v>independent event authority and evidence custodian</x:v>
      </x:c>
      <x:c r="J29" s="14" t="n">
        <x:v>0</x:v>
      </x:c>
      <x:c r="K29" s="14" t="str">
        <x:v>PROGRAMMED / UNEXECUTED</x:v>
      </x:c>
    </x:row>
    <x:row r="30">
      <x:c r="A30" s="14" t="str">
        <x:v>ET-A-A-TECH-4-B-RCN-EVT</x:v>
      </x:c>
      <x:c r="B30" s="14" t="str">
        <x:v>ET-A-A-TECH-4-B-RCN</x:v>
      </x:c>
      <x:c r="C30" s="14" t="str">
        <x:v>ET-A-A-TECH-4</x:v>
      </x:c>
      <x:c r="D30" s="14" t="str">
        <x:v>ET-A-A</x:v>
      </x:c>
      <x:c r="E30" s="14" t="str">
        <x:v>RCN</x:v>
      </x:c>
      <x:c r="F30" s="18" t="str">
        <x:v>clean-team reconstruction, black start and requalification</x:v>
      </x:c>
      <x:c r="G30" s="18" t="n">
        <x:v>72</x:v>
      </x:c>
      <x:c r="H30" s="18" t="n">
        <x:v>1</x:v>
      </x:c>
      <x:c r="I30" s="18" t="str">
        <x:v>independent event authority and evidence custodian</x:v>
      </x:c>
      <x:c r="J30" s="14" t="n">
        <x:v>0</x:v>
      </x:c>
      <x:c r="K30" s="14" t="str">
        <x:v>PROGRAMMED / UNEXECUTED</x:v>
      </x:c>
    </x:row>
    <x:row r="31">
      <x:c r="A31" s="14" t="str">
        <x:v>CT-C-B-TECH-1-A-INT-EVT</x:v>
      </x:c>
      <x:c r="B31" s="14" t="str">
        <x:v>CT-C-B-TECH-1-A-INT</x:v>
      </x:c>
      <x:c r="C31" s="14" t="str">
        <x:v>CT-C-B-TECH-1</x:v>
      </x:c>
      <x:c r="D31" s="14" t="str">
        <x:v>CT-C-B</x:v>
      </x:c>
      <x:c r="E31" s="14" t="str">
        <x:v>INT</x:v>
      </x:c>
      <x:c r="F31" s="18" t="str">
        <x:v>capacity, receiver and thermal calibration</x:v>
      </x:c>
      <x:c r="G31" s="18" t="n">
        <x:v>30</x:v>
      </x:c>
      <x:c r="H31" s="18" t="n">
        <x:v>0</x:v>
      </x:c>
      <x:c r="I31" s="18" t="str">
        <x:v>independent event authority and evidence custodian</x:v>
      </x:c>
      <x:c r="J31" s="14" t="n">
        <x:v>0</x:v>
      </x:c>
      <x:c r="K31" s="14" t="str">
        <x:v>PROGRAMMED / UNEXECUTED</x:v>
      </x:c>
    </x:row>
    <x:row r="32">
      <x:c r="A32" s="14" t="str">
        <x:v>CT-C-B-TECH-1-A-BRK-EVT</x:v>
      </x:c>
      <x:c r="B32" s="14" t="str">
        <x:v>CT-C-B-TECH-1-A-BRK</x:v>
      </x:c>
      <x:c r="C32" s="14" t="str">
        <x:v>CT-C-B-TECH-1</x:v>
      </x:c>
      <x:c r="D32" s="14" t="str">
        <x:v>CT-C-B</x:v>
      </x:c>
      <x:c r="E32" s="14" t="str">
        <x:v>BRK</x:v>
      </x:c>
      <x:c r="F32" s="18" t="str">
        <x:v>release one anchor zone and fault its mixed-utility trunk</x:v>
      </x:c>
      <x:c r="G32" s="18" t="n">
        <x:v>42</x:v>
      </x:c>
      <x:c r="H32" s="18" t="n">
        <x:v>1</x:v>
      </x:c>
      <x:c r="I32" s="18" t="str">
        <x:v>independent event authority and evidence custodian</x:v>
      </x:c>
      <x:c r="J32" s="14" t="n">
        <x:v>0</x:v>
      </x:c>
      <x:c r="K32" s="14" t="str">
        <x:v>PROGRAMMED / UNEXECUTED</x:v>
      </x:c>
    </x:row>
    <x:row r="33">
      <x:c r="A33" s="14" t="str">
        <x:v>CT-C-B-TECH-1-A-RCN-EVT</x:v>
      </x:c>
      <x:c r="B33" s="14" t="str">
        <x:v>CT-C-B-TECH-1-A-RCN</x:v>
      </x:c>
      <x:c r="C33" s="14" t="str">
        <x:v>CT-C-B-TECH-1</x:v>
      </x:c>
      <x:c r="D33" s="14" t="str">
        <x:v>CT-C-B</x:v>
      </x:c>
      <x:c r="E33" s="14" t="str">
        <x:v>RCN</x:v>
      </x:c>
      <x:c r="F33" s="18" t="str">
        <x:v>clean-team reconstruction, black start and requalification</x:v>
      </x:c>
      <x:c r="G33" s="18" t="n">
        <x:v>54</x:v>
      </x:c>
      <x:c r="H33" s="18" t="n">
        <x:v>1</x:v>
      </x:c>
      <x:c r="I33" s="18" t="str">
        <x:v>independent event authority and evidence custodian</x:v>
      </x:c>
      <x:c r="J33" s="14" t="n">
        <x:v>0</x:v>
      </x:c>
      <x:c r="K33" s="14" t="str">
        <x:v>PROGRAMMED / UNEXECUTED</x:v>
      </x:c>
    </x:row>
    <x:row r="34">
      <x:c r="A34" s="14" t="str">
        <x:v>CT-C-B-TECH-1-B-INT-EVT</x:v>
      </x:c>
      <x:c r="B34" s="14" t="str">
        <x:v>CT-C-B-TECH-1-B-INT</x:v>
      </x:c>
      <x:c r="C34" s="14" t="str">
        <x:v>CT-C-B-TECH-1</x:v>
      </x:c>
      <x:c r="D34" s="14" t="str">
        <x:v>CT-C-B</x:v>
      </x:c>
      <x:c r="E34" s="14" t="str">
        <x:v>INT</x:v>
      </x:c>
      <x:c r="F34" s="18" t="str">
        <x:v>capacity, receiver and thermal calibration</x:v>
      </x:c>
      <x:c r="G34" s="18" t="n">
        <x:v>30</x:v>
      </x:c>
      <x:c r="H34" s="18" t="n">
        <x:v>0</x:v>
      </x:c>
      <x:c r="I34" s="18" t="str">
        <x:v>independent event authority and evidence custodian</x:v>
      </x:c>
      <x:c r="J34" s="14" t="n">
        <x:v>0</x:v>
      </x:c>
      <x:c r="K34" s="14" t="str">
        <x:v>PROGRAMMED / UNEXECUTED</x:v>
      </x:c>
    </x:row>
    <x:row r="35">
      <x:c r="A35" s="14" t="str">
        <x:v>CT-C-B-TECH-1-B-BRK-EVT</x:v>
      </x:c>
      <x:c r="B35" s="14" t="str">
        <x:v>CT-C-B-TECH-1-B-BRK</x:v>
      </x:c>
      <x:c r="C35" s="14" t="str">
        <x:v>CT-C-B-TECH-1</x:v>
      </x:c>
      <x:c r="D35" s="14" t="str">
        <x:v>CT-C-B</x:v>
      </x:c>
      <x:c r="E35" s="14" t="str">
        <x:v>BRK</x:v>
      </x:c>
      <x:c r="F35" s="18" t="str">
        <x:v>release one anchor zone and fault its mixed-utility trunk</x:v>
      </x:c>
      <x:c r="G35" s="18" t="n">
        <x:v>42</x:v>
      </x:c>
      <x:c r="H35" s="18" t="n">
        <x:v>1</x:v>
      </x:c>
      <x:c r="I35" s="18" t="str">
        <x:v>independent event authority and evidence custodian</x:v>
      </x:c>
      <x:c r="J35" s="14" t="n">
        <x:v>0</x:v>
      </x:c>
      <x:c r="K35" s="14" t="str">
        <x:v>PROGRAMMED / UNEXECUTED</x:v>
      </x:c>
    </x:row>
    <x:row r="36">
      <x:c r="A36" s="14" t="str">
        <x:v>CT-C-B-TECH-1-B-RCN-EVT</x:v>
      </x:c>
      <x:c r="B36" s="14" t="str">
        <x:v>CT-C-B-TECH-1-B-RCN</x:v>
      </x:c>
      <x:c r="C36" s="14" t="str">
        <x:v>CT-C-B-TECH-1</x:v>
      </x:c>
      <x:c r="D36" s="14" t="str">
        <x:v>CT-C-B</x:v>
      </x:c>
      <x:c r="E36" s="14" t="str">
        <x:v>RCN</x:v>
      </x:c>
      <x:c r="F36" s="18" t="str">
        <x:v>clean-team reconstruction, black start and requalification</x:v>
      </x:c>
      <x:c r="G36" s="18" t="n">
        <x:v>54</x:v>
      </x:c>
      <x:c r="H36" s="18" t="n">
        <x:v>1</x:v>
      </x:c>
      <x:c r="I36" s="18" t="str">
        <x:v>independent event authority and evidence custodian</x:v>
      </x:c>
      <x:c r="J36" s="14" t="n">
        <x:v>0</x:v>
      </x:c>
      <x:c r="K36" s="14" t="str">
        <x:v>PROGRAMMED / UNEXECUTED</x:v>
      </x:c>
    </x:row>
    <x:row r="37">
      <x:c r="A37" s="14" t="str">
        <x:v>CT-C-B-TECH-2-A-INT-EVT</x:v>
      </x:c>
      <x:c r="B37" s="14" t="str">
        <x:v>CT-C-B-TECH-2-A-INT</x:v>
      </x:c>
      <x:c r="C37" s="14" t="str">
        <x:v>CT-C-B-TECH-2</x:v>
      </x:c>
      <x:c r="D37" s="14" t="str">
        <x:v>CT-C-B</x:v>
      </x:c>
      <x:c r="E37" s="14" t="str">
        <x:v>INT</x:v>
      </x:c>
      <x:c r="F37" s="18" t="str">
        <x:v>capacity, receiver and thermal calibration</x:v>
      </x:c>
      <x:c r="G37" s="18" t="n">
        <x:v>30</x:v>
      </x:c>
      <x:c r="H37" s="18" t="n">
        <x:v>0</x:v>
      </x:c>
      <x:c r="I37" s="18" t="str">
        <x:v>independent event authority and evidence custodian</x:v>
      </x:c>
      <x:c r="J37" s="14" t="n">
        <x:v>0</x:v>
      </x:c>
      <x:c r="K37" s="14" t="str">
        <x:v>PROGRAMMED / UNEXECUTED</x:v>
      </x:c>
    </x:row>
    <x:row r="38">
      <x:c r="A38" s="14" t="str">
        <x:v>CT-C-B-TECH-2-A-BRK-EVT</x:v>
      </x:c>
      <x:c r="B38" s="14" t="str">
        <x:v>CT-C-B-TECH-2-A-BRK</x:v>
      </x:c>
      <x:c r="C38" s="14" t="str">
        <x:v>CT-C-B-TECH-2</x:v>
      </x:c>
      <x:c r="D38" s="14" t="str">
        <x:v>CT-C-B</x:v>
      </x:c>
      <x:c r="E38" s="14" t="str">
        <x:v>BRK</x:v>
      </x:c>
      <x:c r="F38" s="18" t="str">
        <x:v>release one anchor zone and fault its mixed-utility trunk</x:v>
      </x:c>
      <x:c r="G38" s="18" t="n">
        <x:v>42</x:v>
      </x:c>
      <x:c r="H38" s="18" t="n">
        <x:v>1</x:v>
      </x:c>
      <x:c r="I38" s="18" t="str">
        <x:v>independent event authority and evidence custodian</x:v>
      </x:c>
      <x:c r="J38" s="14" t="n">
        <x:v>0</x:v>
      </x:c>
      <x:c r="K38" s="14" t="str">
        <x:v>PROGRAMMED / UNEXECUTED</x:v>
      </x:c>
    </x:row>
    <x:row r="39">
      <x:c r="A39" s="14" t="str">
        <x:v>CT-C-B-TECH-2-A-RCN-EVT</x:v>
      </x:c>
      <x:c r="B39" s="14" t="str">
        <x:v>CT-C-B-TECH-2-A-RCN</x:v>
      </x:c>
      <x:c r="C39" s="14" t="str">
        <x:v>CT-C-B-TECH-2</x:v>
      </x:c>
      <x:c r="D39" s="14" t="str">
        <x:v>CT-C-B</x:v>
      </x:c>
      <x:c r="E39" s="14" t="str">
        <x:v>RCN</x:v>
      </x:c>
      <x:c r="F39" s="18" t="str">
        <x:v>clean-team reconstruction, black start and requalification</x:v>
      </x:c>
      <x:c r="G39" s="18" t="n">
        <x:v>54</x:v>
      </x:c>
      <x:c r="H39" s="18" t="n">
        <x:v>1</x:v>
      </x:c>
      <x:c r="I39" s="18" t="str">
        <x:v>independent event authority and evidence custodian</x:v>
      </x:c>
      <x:c r="J39" s="14" t="n">
        <x:v>0</x:v>
      </x:c>
      <x:c r="K39" s="14" t="str">
        <x:v>PROGRAMMED / UNEXECUTED</x:v>
      </x:c>
    </x:row>
    <x:row r="40">
      <x:c r="A40" s="14" t="str">
        <x:v>CT-C-B-TECH-2-B-INT-EVT</x:v>
      </x:c>
      <x:c r="B40" s="14" t="str">
        <x:v>CT-C-B-TECH-2-B-INT</x:v>
      </x:c>
      <x:c r="C40" s="14" t="str">
        <x:v>CT-C-B-TECH-2</x:v>
      </x:c>
      <x:c r="D40" s="14" t="str">
        <x:v>CT-C-B</x:v>
      </x:c>
      <x:c r="E40" s="14" t="str">
        <x:v>INT</x:v>
      </x:c>
      <x:c r="F40" s="18" t="str">
        <x:v>capacity, receiver and thermal calibration</x:v>
      </x:c>
      <x:c r="G40" s="18" t="n">
        <x:v>30</x:v>
      </x:c>
      <x:c r="H40" s="18" t="n">
        <x:v>0</x:v>
      </x:c>
      <x:c r="I40" s="18" t="str">
        <x:v>independent event authority and evidence custodian</x:v>
      </x:c>
      <x:c r="J40" s="14" t="n">
        <x:v>0</x:v>
      </x:c>
      <x:c r="K40" s="14" t="str">
        <x:v>PROGRAMMED / UNEXECUTED</x:v>
      </x:c>
    </x:row>
    <x:row r="41">
      <x:c r="A41" s="14" t="str">
        <x:v>CT-C-B-TECH-2-B-BRK-EVT</x:v>
      </x:c>
      <x:c r="B41" s="14" t="str">
        <x:v>CT-C-B-TECH-2-B-BRK</x:v>
      </x:c>
      <x:c r="C41" s="14" t="str">
        <x:v>CT-C-B-TECH-2</x:v>
      </x:c>
      <x:c r="D41" s="14" t="str">
        <x:v>CT-C-B</x:v>
      </x:c>
      <x:c r="E41" s="14" t="str">
        <x:v>BRK</x:v>
      </x:c>
      <x:c r="F41" s="18" t="str">
        <x:v>release one anchor zone and fault its mixed-utility trunk</x:v>
      </x:c>
      <x:c r="G41" s="18" t="n">
        <x:v>42</x:v>
      </x:c>
      <x:c r="H41" s="18" t="n">
        <x:v>1</x:v>
      </x:c>
      <x:c r="I41" s="18" t="str">
        <x:v>independent event authority and evidence custodian</x:v>
      </x:c>
      <x:c r="J41" s="14" t="n">
        <x:v>0</x:v>
      </x:c>
      <x:c r="K41" s="14" t="str">
        <x:v>PROGRAMMED / UNEXECUTED</x:v>
      </x:c>
    </x:row>
    <x:row r="42">
      <x:c r="A42" s="14" t="str">
        <x:v>CT-C-B-TECH-2-B-RCN-EVT</x:v>
      </x:c>
      <x:c r="B42" s="14" t="str">
        <x:v>CT-C-B-TECH-2-B-RCN</x:v>
      </x:c>
      <x:c r="C42" s="14" t="str">
        <x:v>CT-C-B-TECH-2</x:v>
      </x:c>
      <x:c r="D42" s="14" t="str">
        <x:v>CT-C-B</x:v>
      </x:c>
      <x:c r="E42" s="14" t="str">
        <x:v>RCN</x:v>
      </x:c>
      <x:c r="F42" s="18" t="str">
        <x:v>clean-team reconstruction, black start and requalification</x:v>
      </x:c>
      <x:c r="G42" s="18" t="n">
        <x:v>54</x:v>
      </x:c>
      <x:c r="H42" s="18" t="n">
        <x:v>1</x:v>
      </x:c>
      <x:c r="I42" s="18" t="str">
        <x:v>independent event authority and evidence custodian</x:v>
      </x:c>
      <x:c r="J42" s="14" t="n">
        <x:v>0</x:v>
      </x:c>
      <x:c r="K42" s="14" t="str">
        <x:v>PROGRAMMED / UNEXECUTED</x:v>
      </x:c>
    </x:row>
    <x:row r="43">
      <x:c r="A43" s="14" t="str">
        <x:v>CT-C-B-TECH-3-A-INT-EVT</x:v>
      </x:c>
      <x:c r="B43" s="14" t="str">
        <x:v>CT-C-B-TECH-3-A-INT</x:v>
      </x:c>
      <x:c r="C43" s="14" t="str">
        <x:v>CT-C-B-TECH-3</x:v>
      </x:c>
      <x:c r="D43" s="14" t="str">
        <x:v>CT-C-B</x:v>
      </x:c>
      <x:c r="E43" s="14" t="str">
        <x:v>INT</x:v>
      </x:c>
      <x:c r="F43" s="18" t="str">
        <x:v>capacity, receiver and thermal calibration</x:v>
      </x:c>
      <x:c r="G43" s="18" t="n">
        <x:v>30</x:v>
      </x:c>
      <x:c r="H43" s="18" t="n">
        <x:v>0</x:v>
      </x:c>
      <x:c r="I43" s="18" t="str">
        <x:v>independent event authority and evidence custodian</x:v>
      </x:c>
      <x:c r="J43" s="14" t="n">
        <x:v>0</x:v>
      </x:c>
      <x:c r="K43" s="14" t="str">
        <x:v>PROGRAMMED / UNEXECUTED</x:v>
      </x:c>
    </x:row>
    <x:row r="44">
      <x:c r="A44" s="14" t="str">
        <x:v>CT-C-B-TECH-3-A-BRK-EVT</x:v>
      </x:c>
      <x:c r="B44" s="14" t="str">
        <x:v>CT-C-B-TECH-3-A-BRK</x:v>
      </x:c>
      <x:c r="C44" s="14" t="str">
        <x:v>CT-C-B-TECH-3</x:v>
      </x:c>
      <x:c r="D44" s="14" t="str">
        <x:v>CT-C-B</x:v>
      </x:c>
      <x:c r="E44" s="14" t="str">
        <x:v>BRK</x:v>
      </x:c>
      <x:c r="F44" s="18" t="str">
        <x:v>release one anchor zone and fault its mixed-utility trunk</x:v>
      </x:c>
      <x:c r="G44" s="18" t="n">
        <x:v>42</x:v>
      </x:c>
      <x:c r="H44" s="18" t="n">
        <x:v>1</x:v>
      </x:c>
      <x:c r="I44" s="18" t="str">
        <x:v>independent event authority and evidence custodian</x:v>
      </x:c>
      <x:c r="J44" s="14" t="n">
        <x:v>0</x:v>
      </x:c>
      <x:c r="K44" s="14" t="str">
        <x:v>PROGRAMMED / UNEXECUTED</x:v>
      </x:c>
    </x:row>
    <x:row r="45">
      <x:c r="A45" s="14" t="str">
        <x:v>CT-C-B-TECH-3-A-RCN-EVT</x:v>
      </x:c>
      <x:c r="B45" s="14" t="str">
        <x:v>CT-C-B-TECH-3-A-RCN</x:v>
      </x:c>
      <x:c r="C45" s="14" t="str">
        <x:v>CT-C-B-TECH-3</x:v>
      </x:c>
      <x:c r="D45" s="14" t="str">
        <x:v>CT-C-B</x:v>
      </x:c>
      <x:c r="E45" s="14" t="str">
        <x:v>RCN</x:v>
      </x:c>
      <x:c r="F45" s="18" t="str">
        <x:v>clean-team reconstruction, black start and requalification</x:v>
      </x:c>
      <x:c r="G45" s="18" t="n">
        <x:v>54</x:v>
      </x:c>
      <x:c r="H45" s="18" t="n">
        <x:v>1</x:v>
      </x:c>
      <x:c r="I45" s="18" t="str">
        <x:v>independent event authority and evidence custodian</x:v>
      </x:c>
      <x:c r="J45" s="14" t="n">
        <x:v>0</x:v>
      </x:c>
      <x:c r="K45" s="14" t="str">
        <x:v>PROGRAMMED / UNEXECUTED</x:v>
      </x:c>
    </x:row>
    <x:row r="46">
      <x:c r="A46" s="14" t="str">
        <x:v>CT-C-B-TECH-3-B-INT-EVT</x:v>
      </x:c>
      <x:c r="B46" s="14" t="str">
        <x:v>CT-C-B-TECH-3-B-INT</x:v>
      </x:c>
      <x:c r="C46" s="14" t="str">
        <x:v>CT-C-B-TECH-3</x:v>
      </x:c>
      <x:c r="D46" s="14" t="str">
        <x:v>CT-C-B</x:v>
      </x:c>
      <x:c r="E46" s="14" t="str">
        <x:v>INT</x:v>
      </x:c>
      <x:c r="F46" s="18" t="str">
        <x:v>capacity, receiver and thermal calibration</x:v>
      </x:c>
      <x:c r="G46" s="18" t="n">
        <x:v>30</x:v>
      </x:c>
      <x:c r="H46" s="18" t="n">
        <x:v>0</x:v>
      </x:c>
      <x:c r="I46" s="18" t="str">
        <x:v>independent event authority and evidence custodian</x:v>
      </x:c>
      <x:c r="J46" s="14" t="n">
        <x:v>0</x:v>
      </x:c>
      <x:c r="K46" s="14" t="str">
        <x:v>PROGRAMMED / UNEXECUTED</x:v>
      </x:c>
    </x:row>
    <x:row r="47">
      <x:c r="A47" s="14" t="str">
        <x:v>CT-C-B-TECH-3-B-BRK-EVT</x:v>
      </x:c>
      <x:c r="B47" s="14" t="str">
        <x:v>CT-C-B-TECH-3-B-BRK</x:v>
      </x:c>
      <x:c r="C47" s="14" t="str">
        <x:v>CT-C-B-TECH-3</x:v>
      </x:c>
      <x:c r="D47" s="14" t="str">
        <x:v>CT-C-B</x:v>
      </x:c>
      <x:c r="E47" s="14" t="str">
        <x:v>BRK</x:v>
      </x:c>
      <x:c r="F47" s="18" t="str">
        <x:v>release one anchor zone and fault its mixed-utility trunk</x:v>
      </x:c>
      <x:c r="G47" s="18" t="n">
        <x:v>42</x:v>
      </x:c>
      <x:c r="H47" s="18" t="n">
        <x:v>1</x:v>
      </x:c>
      <x:c r="I47" s="18" t="str">
        <x:v>independent event authority and evidence custodian</x:v>
      </x:c>
      <x:c r="J47" s="14" t="n">
        <x:v>0</x:v>
      </x:c>
      <x:c r="K47" s="14" t="str">
        <x:v>PROGRAMMED / UNEXECUTED</x:v>
      </x:c>
    </x:row>
    <x:row r="48">
      <x:c r="A48" s="14" t="str">
        <x:v>CT-C-B-TECH-3-B-RCN-EVT</x:v>
      </x:c>
      <x:c r="B48" s="14" t="str">
        <x:v>CT-C-B-TECH-3-B-RCN</x:v>
      </x:c>
      <x:c r="C48" s="14" t="str">
        <x:v>CT-C-B-TECH-3</x:v>
      </x:c>
      <x:c r="D48" s="14" t="str">
        <x:v>CT-C-B</x:v>
      </x:c>
      <x:c r="E48" s="14" t="str">
        <x:v>RCN</x:v>
      </x:c>
      <x:c r="F48" s="18" t="str">
        <x:v>clean-team reconstruction, black start and requalification</x:v>
      </x:c>
      <x:c r="G48" s="18" t="n">
        <x:v>54</x:v>
      </x:c>
      <x:c r="H48" s="18" t="n">
        <x:v>1</x:v>
      </x:c>
      <x:c r="I48" s="18" t="str">
        <x:v>independent event authority and evidence custodian</x:v>
      </x:c>
      <x:c r="J48" s="14" t="n">
        <x:v>0</x:v>
      </x:c>
      <x:c r="K48" s="14" t="str">
        <x:v>PROGRAMMED / UNEXECUTED</x:v>
      </x:c>
    </x:row>
    <x:row r="49">
      <x:c r="A49" s="14" t="str">
        <x:v>CT-C-B-TECH-4-A-INT-EVT</x:v>
      </x:c>
      <x:c r="B49" s="14" t="str">
        <x:v>CT-C-B-TECH-4-A-INT</x:v>
      </x:c>
      <x:c r="C49" s="14" t="str">
        <x:v>CT-C-B-TECH-4</x:v>
      </x:c>
      <x:c r="D49" s="14" t="str">
        <x:v>CT-C-B</x:v>
      </x:c>
      <x:c r="E49" s="14" t="str">
        <x:v>INT</x:v>
      </x:c>
      <x:c r="F49" s="18" t="str">
        <x:v>capacity, receiver and thermal calibration</x:v>
      </x:c>
      <x:c r="G49" s="18" t="n">
        <x:v>30</x:v>
      </x:c>
      <x:c r="H49" s="18" t="n">
        <x:v>0</x:v>
      </x:c>
      <x:c r="I49" s="18" t="str">
        <x:v>independent event authority and evidence custodian</x:v>
      </x:c>
      <x:c r="J49" s="14" t="n">
        <x:v>0</x:v>
      </x:c>
      <x:c r="K49" s="14" t="str">
        <x:v>PROGRAMMED / UNEXECUTED</x:v>
      </x:c>
    </x:row>
    <x:row r="50">
      <x:c r="A50" s="14" t="str">
        <x:v>CT-C-B-TECH-4-A-BRK-EVT</x:v>
      </x:c>
      <x:c r="B50" s="14" t="str">
        <x:v>CT-C-B-TECH-4-A-BRK</x:v>
      </x:c>
      <x:c r="C50" s="14" t="str">
        <x:v>CT-C-B-TECH-4</x:v>
      </x:c>
      <x:c r="D50" s="14" t="str">
        <x:v>CT-C-B</x:v>
      </x:c>
      <x:c r="E50" s="14" t="str">
        <x:v>BRK</x:v>
      </x:c>
      <x:c r="F50" s="18" t="str">
        <x:v>release one anchor zone and fault its mixed-utility trunk</x:v>
      </x:c>
      <x:c r="G50" s="18" t="n">
        <x:v>42</x:v>
      </x:c>
      <x:c r="H50" s="18" t="n">
        <x:v>1</x:v>
      </x:c>
      <x:c r="I50" s="18" t="str">
        <x:v>independent event authority and evidence custodian</x:v>
      </x:c>
      <x:c r="J50" s="14" t="n">
        <x:v>0</x:v>
      </x:c>
      <x:c r="K50" s="14" t="str">
        <x:v>PROGRAMMED / UNEXECUTED</x:v>
      </x:c>
    </x:row>
    <x:row r="51">
      <x:c r="A51" s="14" t="str">
        <x:v>CT-C-B-TECH-4-A-RCN-EVT</x:v>
      </x:c>
      <x:c r="B51" s="14" t="str">
        <x:v>CT-C-B-TECH-4-A-RCN</x:v>
      </x:c>
      <x:c r="C51" s="14" t="str">
        <x:v>CT-C-B-TECH-4</x:v>
      </x:c>
      <x:c r="D51" s="14" t="str">
        <x:v>CT-C-B</x:v>
      </x:c>
      <x:c r="E51" s="14" t="str">
        <x:v>RCN</x:v>
      </x:c>
      <x:c r="F51" s="18" t="str">
        <x:v>clean-team reconstruction, black start and requalification</x:v>
      </x:c>
      <x:c r="G51" s="18" t="n">
        <x:v>54</x:v>
      </x:c>
      <x:c r="H51" s="18" t="n">
        <x:v>1</x:v>
      </x:c>
      <x:c r="I51" s="18" t="str">
        <x:v>independent event authority and evidence custodian</x:v>
      </x:c>
      <x:c r="J51" s="14" t="n">
        <x:v>0</x:v>
      </x:c>
      <x:c r="K51" s="14" t="str">
        <x:v>PROGRAMMED / UNEXECUTED</x:v>
      </x:c>
    </x:row>
    <x:row r="52">
      <x:c r="A52" s="14" t="str">
        <x:v>CT-C-B-TECH-4-B-INT-EVT</x:v>
      </x:c>
      <x:c r="B52" s="14" t="str">
        <x:v>CT-C-B-TECH-4-B-INT</x:v>
      </x:c>
      <x:c r="C52" s="14" t="str">
        <x:v>CT-C-B-TECH-4</x:v>
      </x:c>
      <x:c r="D52" s="14" t="str">
        <x:v>CT-C-B</x:v>
      </x:c>
      <x:c r="E52" s="14" t="str">
        <x:v>INT</x:v>
      </x:c>
      <x:c r="F52" s="18" t="str">
        <x:v>capacity, receiver and thermal calibration</x:v>
      </x:c>
      <x:c r="G52" s="18" t="n">
        <x:v>30</x:v>
      </x:c>
      <x:c r="H52" s="18" t="n">
        <x:v>0</x:v>
      </x:c>
      <x:c r="I52" s="18" t="str">
        <x:v>independent event authority and evidence custodian</x:v>
      </x:c>
      <x:c r="J52" s="14" t="n">
        <x:v>0</x:v>
      </x:c>
      <x:c r="K52" s="14" t="str">
        <x:v>PROGRAMMED / UNEXECUTED</x:v>
      </x:c>
    </x:row>
    <x:row r="53">
      <x:c r="A53" s="14" t="str">
        <x:v>CT-C-B-TECH-4-B-BRK-EVT</x:v>
      </x:c>
      <x:c r="B53" s="14" t="str">
        <x:v>CT-C-B-TECH-4-B-BRK</x:v>
      </x:c>
      <x:c r="C53" s="14" t="str">
        <x:v>CT-C-B-TECH-4</x:v>
      </x:c>
      <x:c r="D53" s="14" t="str">
        <x:v>CT-C-B</x:v>
      </x:c>
      <x:c r="E53" s="14" t="str">
        <x:v>BRK</x:v>
      </x:c>
      <x:c r="F53" s="18" t="str">
        <x:v>release one anchor zone and fault its mixed-utility trunk</x:v>
      </x:c>
      <x:c r="G53" s="18" t="n">
        <x:v>42</x:v>
      </x:c>
      <x:c r="H53" s="18" t="n">
        <x:v>1</x:v>
      </x:c>
      <x:c r="I53" s="18" t="str">
        <x:v>independent event authority and evidence custodian</x:v>
      </x:c>
      <x:c r="J53" s="14" t="n">
        <x:v>0</x:v>
      </x:c>
      <x:c r="K53" s="14" t="str">
        <x:v>PROGRAMMED / UNEXECUTED</x:v>
      </x:c>
    </x:row>
    <x:row r="54">
      <x:c r="A54" s="14" t="str">
        <x:v>CT-C-B-TECH-4-B-RCN-EVT</x:v>
      </x:c>
      <x:c r="B54" s="14" t="str">
        <x:v>CT-C-B-TECH-4-B-RCN</x:v>
      </x:c>
      <x:c r="C54" s="14" t="str">
        <x:v>CT-C-B-TECH-4</x:v>
      </x:c>
      <x:c r="D54" s="14" t="str">
        <x:v>CT-C-B</x:v>
      </x:c>
      <x:c r="E54" s="14" t="str">
        <x:v>RCN</x:v>
      </x:c>
      <x:c r="F54" s="18" t="str">
        <x:v>clean-team reconstruction, black start and requalification</x:v>
      </x:c>
      <x:c r="G54" s="18" t="n">
        <x:v>54</x:v>
      </x:c>
      <x:c r="H54" s="18" t="n">
        <x:v>1</x:v>
      </x:c>
      <x:c r="I54" s="18" t="str">
        <x:v>independent event authority and evidence custodian</x:v>
      </x:c>
      <x:c r="J54" s="14" t="n">
        <x:v>0</x:v>
      </x:c>
      <x:c r="K54" s="14" t="str">
        <x:v>PROGRAMMED / UNEXECUTED</x:v>
      </x:c>
    </x:row>
    <x:row r="55">
      <x:c r="A55" s="14" t="str">
        <x:v>HC-A-C-TECH-1-A-INT-EVT</x:v>
      </x:c>
      <x:c r="B55" s="14" t="str">
        <x:v>HC-A-C-TECH-1-A-INT</x:v>
      </x:c>
      <x:c r="C55" s="14" t="str">
        <x:v>HC-A-C-TECH-1</x:v>
      </x:c>
      <x:c r="D55" s="14" t="str">
        <x:v>HC-A-C</x:v>
      </x:c>
      <x:c r="E55" s="14" t="str">
        <x:v>INT</x:v>
      </x:c>
      <x:c r="F55" s="18" t="str">
        <x:v>capacity, receiver and thermal calibration</x:v>
      </x:c>
      <x:c r="G55" s="18" t="n">
        <x:v>36</x:v>
      </x:c>
      <x:c r="H55" s="18" t="n">
        <x:v>0</x:v>
      </x:c>
      <x:c r="I55" s="18" t="str">
        <x:v>independent event authority and evidence custodian</x:v>
      </x:c>
      <x:c r="J55" s="14" t="n">
        <x:v>0</x:v>
      </x:c>
      <x:c r="K55" s="14" t="str">
        <x:v>PROGRAMMED / UNEXECUTED</x:v>
      </x:c>
    </x:row>
    <x:row r="56">
      <x:c r="A56" s="14" t="str">
        <x:v>HC-A-C-TECH-1-A-BRK-EVT</x:v>
      </x:c>
      <x:c r="B56" s="14" t="str">
        <x:v>HC-A-C-TECH-1-A-BRK</x:v>
      </x:c>
      <x:c r="C56" s="14" t="str">
        <x:v>HC-A-C-TECH-1</x:v>
      </x:c>
      <x:c r="D56" s="14" t="str">
        <x:v>HC-A-C</x:v>
      </x:c>
      <x:c r="E56" s="14" t="str">
        <x:v>BRK</x:v>
      </x:c>
      <x:c r="F56" s="18" t="str">
        <x:v>deny the mesh and safe one rotor cell inside the plume</x:v>
      </x:c>
      <x:c r="G56" s="18" t="n">
        <x:v>48</x:v>
      </x:c>
      <x:c r="H56" s="18" t="n">
        <x:v>1</x:v>
      </x:c>
      <x:c r="I56" s="18" t="str">
        <x:v>independent event authority and evidence custodian</x:v>
      </x:c>
      <x:c r="J56" s="14" t="n">
        <x:v>0</x:v>
      </x:c>
      <x:c r="K56" s="14" t="str">
        <x:v>PROGRAMMED / UNEXECUTED</x:v>
      </x:c>
    </x:row>
    <x:row r="57">
      <x:c r="A57" s="14" t="str">
        <x:v>HC-A-C-TECH-1-A-RCN-EVT</x:v>
      </x:c>
      <x:c r="B57" s="14" t="str">
        <x:v>HC-A-C-TECH-1-A-RCN</x:v>
      </x:c>
      <x:c r="C57" s="14" t="str">
        <x:v>HC-A-C-TECH-1</x:v>
      </x:c>
      <x:c r="D57" s="14" t="str">
        <x:v>HC-A-C</x:v>
      </x:c>
      <x:c r="E57" s="14" t="str">
        <x:v>RCN</x:v>
      </x:c>
      <x:c r="F57" s="18" t="str">
        <x:v>clean-team reconstruction, black start and requalification</x:v>
      </x:c>
      <x:c r="G57" s="18" t="n">
        <x:v>60</x:v>
      </x:c>
      <x:c r="H57" s="18" t="n">
        <x:v>1</x:v>
      </x:c>
      <x:c r="I57" s="18" t="str">
        <x:v>independent event authority and evidence custodian</x:v>
      </x:c>
      <x:c r="J57" s="14" t="n">
        <x:v>0</x:v>
      </x:c>
      <x:c r="K57" s="14" t="str">
        <x:v>PROGRAMMED / UNEXECUTED</x:v>
      </x:c>
    </x:row>
    <x:row r="58">
      <x:c r="A58" s="14" t="str">
        <x:v>HC-A-C-TECH-1-B-INT-EVT</x:v>
      </x:c>
      <x:c r="B58" s="14" t="str">
        <x:v>HC-A-C-TECH-1-B-INT</x:v>
      </x:c>
      <x:c r="C58" s="14" t="str">
        <x:v>HC-A-C-TECH-1</x:v>
      </x:c>
      <x:c r="D58" s="14" t="str">
        <x:v>HC-A-C</x:v>
      </x:c>
      <x:c r="E58" s="14" t="str">
        <x:v>INT</x:v>
      </x:c>
      <x:c r="F58" s="18" t="str">
        <x:v>capacity, receiver and thermal calibration</x:v>
      </x:c>
      <x:c r="G58" s="18" t="n">
        <x:v>36</x:v>
      </x:c>
      <x:c r="H58" s="18" t="n">
        <x:v>0</x:v>
      </x:c>
      <x:c r="I58" s="18" t="str">
        <x:v>independent event authority and evidence custodian</x:v>
      </x:c>
      <x:c r="J58" s="14" t="n">
        <x:v>0</x:v>
      </x:c>
      <x:c r="K58" s="14" t="str">
        <x:v>PROGRAMMED / UNEXECUTED</x:v>
      </x:c>
    </x:row>
    <x:row r="59">
      <x:c r="A59" s="14" t="str">
        <x:v>HC-A-C-TECH-1-B-BRK-EVT</x:v>
      </x:c>
      <x:c r="B59" s="14" t="str">
        <x:v>HC-A-C-TECH-1-B-BRK</x:v>
      </x:c>
      <x:c r="C59" s="14" t="str">
        <x:v>HC-A-C-TECH-1</x:v>
      </x:c>
      <x:c r="D59" s="14" t="str">
        <x:v>HC-A-C</x:v>
      </x:c>
      <x:c r="E59" s="14" t="str">
        <x:v>BRK</x:v>
      </x:c>
      <x:c r="F59" s="18" t="str">
        <x:v>deny the mesh and safe one rotor cell inside the plume</x:v>
      </x:c>
      <x:c r="G59" s="18" t="n">
        <x:v>48</x:v>
      </x:c>
      <x:c r="H59" s="18" t="n">
        <x:v>1</x:v>
      </x:c>
      <x:c r="I59" s="18" t="str">
        <x:v>independent event authority and evidence custodian</x:v>
      </x:c>
      <x:c r="J59" s="14" t="n">
        <x:v>0</x:v>
      </x:c>
      <x:c r="K59" s="14" t="str">
        <x:v>PROGRAMMED / UNEXECUTED</x:v>
      </x:c>
    </x:row>
    <x:row r="60">
      <x:c r="A60" s="14" t="str">
        <x:v>HC-A-C-TECH-1-B-RCN-EVT</x:v>
      </x:c>
      <x:c r="B60" s="14" t="str">
        <x:v>HC-A-C-TECH-1-B-RCN</x:v>
      </x:c>
      <x:c r="C60" s="14" t="str">
        <x:v>HC-A-C-TECH-1</x:v>
      </x:c>
      <x:c r="D60" s="14" t="str">
        <x:v>HC-A-C</x:v>
      </x:c>
      <x:c r="E60" s="14" t="str">
        <x:v>RCN</x:v>
      </x:c>
      <x:c r="F60" s="18" t="str">
        <x:v>clean-team reconstruction, black start and requalification</x:v>
      </x:c>
      <x:c r="G60" s="18" t="n">
        <x:v>60</x:v>
      </x:c>
      <x:c r="H60" s="18" t="n">
        <x:v>1</x:v>
      </x:c>
      <x:c r="I60" s="18" t="str">
        <x:v>independent event authority and evidence custodian</x:v>
      </x:c>
      <x:c r="J60" s="14" t="n">
        <x:v>0</x:v>
      </x:c>
      <x:c r="K60" s="14" t="str">
        <x:v>PROGRAMMED / UNEXECUTED</x:v>
      </x:c>
    </x:row>
    <x:row r="61">
      <x:c r="A61" s="14" t="str">
        <x:v>HC-A-C-TECH-2-A-INT-EVT</x:v>
      </x:c>
      <x:c r="B61" s="14" t="str">
        <x:v>HC-A-C-TECH-2-A-INT</x:v>
      </x:c>
      <x:c r="C61" s="14" t="str">
        <x:v>HC-A-C-TECH-2</x:v>
      </x:c>
      <x:c r="D61" s="14" t="str">
        <x:v>HC-A-C</x:v>
      </x:c>
      <x:c r="E61" s="14" t="str">
        <x:v>INT</x:v>
      </x:c>
      <x:c r="F61" s="18" t="str">
        <x:v>capacity, receiver and thermal calibration</x:v>
      </x:c>
      <x:c r="G61" s="18" t="n">
        <x:v>36</x:v>
      </x:c>
      <x:c r="H61" s="18" t="n">
        <x:v>0</x:v>
      </x:c>
      <x:c r="I61" s="18" t="str">
        <x:v>independent event authority and evidence custodian</x:v>
      </x:c>
      <x:c r="J61" s="14" t="n">
        <x:v>0</x:v>
      </x:c>
      <x:c r="K61" s="14" t="str">
        <x:v>PROGRAMMED / UNEXECUTED</x:v>
      </x:c>
    </x:row>
    <x:row r="62">
      <x:c r="A62" s="14" t="str">
        <x:v>HC-A-C-TECH-2-A-BRK-EVT</x:v>
      </x:c>
      <x:c r="B62" s="14" t="str">
        <x:v>HC-A-C-TECH-2-A-BRK</x:v>
      </x:c>
      <x:c r="C62" s="14" t="str">
        <x:v>HC-A-C-TECH-2</x:v>
      </x:c>
      <x:c r="D62" s="14" t="str">
        <x:v>HC-A-C</x:v>
      </x:c>
      <x:c r="E62" s="14" t="str">
        <x:v>BRK</x:v>
      </x:c>
      <x:c r="F62" s="18" t="str">
        <x:v>deny the mesh and safe one rotor cell inside the plume</x:v>
      </x:c>
      <x:c r="G62" s="18" t="n">
        <x:v>48</x:v>
      </x:c>
      <x:c r="H62" s="18" t="n">
        <x:v>1</x:v>
      </x:c>
      <x:c r="I62" s="18" t="str">
        <x:v>independent event authority and evidence custodian</x:v>
      </x:c>
      <x:c r="J62" s="14" t="n">
        <x:v>0</x:v>
      </x:c>
      <x:c r="K62" s="14" t="str">
        <x:v>PROGRAMMED / UNEXECUTED</x:v>
      </x:c>
    </x:row>
    <x:row r="63">
      <x:c r="A63" s="14" t="str">
        <x:v>HC-A-C-TECH-2-A-RCN-EVT</x:v>
      </x:c>
      <x:c r="B63" s="14" t="str">
        <x:v>HC-A-C-TECH-2-A-RCN</x:v>
      </x:c>
      <x:c r="C63" s="14" t="str">
        <x:v>HC-A-C-TECH-2</x:v>
      </x:c>
      <x:c r="D63" s="14" t="str">
        <x:v>HC-A-C</x:v>
      </x:c>
      <x:c r="E63" s="14" t="str">
        <x:v>RCN</x:v>
      </x:c>
      <x:c r="F63" s="18" t="str">
        <x:v>clean-team reconstruction, black start and requalification</x:v>
      </x:c>
      <x:c r="G63" s="18" t="n">
        <x:v>60</x:v>
      </x:c>
      <x:c r="H63" s="18" t="n">
        <x:v>1</x:v>
      </x:c>
      <x:c r="I63" s="18" t="str">
        <x:v>independent event authority and evidence custodian</x:v>
      </x:c>
      <x:c r="J63" s="14" t="n">
        <x:v>0</x:v>
      </x:c>
      <x:c r="K63" s="14" t="str">
        <x:v>PROGRAMMED / UNEXECUTED</x:v>
      </x:c>
    </x:row>
    <x:row r="64">
      <x:c r="A64" s="14" t="str">
        <x:v>HC-A-C-TECH-2-B-INT-EVT</x:v>
      </x:c>
      <x:c r="B64" s="14" t="str">
        <x:v>HC-A-C-TECH-2-B-INT</x:v>
      </x:c>
      <x:c r="C64" s="14" t="str">
        <x:v>HC-A-C-TECH-2</x:v>
      </x:c>
      <x:c r="D64" s="14" t="str">
        <x:v>HC-A-C</x:v>
      </x:c>
      <x:c r="E64" s="14" t="str">
        <x:v>INT</x:v>
      </x:c>
      <x:c r="F64" s="18" t="str">
        <x:v>capacity, receiver and thermal calibration</x:v>
      </x:c>
      <x:c r="G64" s="18" t="n">
        <x:v>36</x:v>
      </x:c>
      <x:c r="H64" s="18" t="n">
        <x:v>0</x:v>
      </x:c>
      <x:c r="I64" s="18" t="str">
        <x:v>independent event authority and evidence custodian</x:v>
      </x:c>
      <x:c r="J64" s="14" t="n">
        <x:v>0</x:v>
      </x:c>
      <x:c r="K64" s="14" t="str">
        <x:v>PROGRAMMED / UNEXECUTED</x:v>
      </x:c>
    </x:row>
    <x:row r="65">
      <x:c r="A65" s="14" t="str">
        <x:v>HC-A-C-TECH-2-B-BRK-EVT</x:v>
      </x:c>
      <x:c r="B65" s="14" t="str">
        <x:v>HC-A-C-TECH-2-B-BRK</x:v>
      </x:c>
      <x:c r="C65" s="14" t="str">
        <x:v>HC-A-C-TECH-2</x:v>
      </x:c>
      <x:c r="D65" s="14" t="str">
        <x:v>HC-A-C</x:v>
      </x:c>
      <x:c r="E65" s="14" t="str">
        <x:v>BRK</x:v>
      </x:c>
      <x:c r="F65" s="18" t="str">
        <x:v>deny the mesh and safe one rotor cell inside the plume</x:v>
      </x:c>
      <x:c r="G65" s="18" t="n">
        <x:v>48</x:v>
      </x:c>
      <x:c r="H65" s="18" t="n">
        <x:v>1</x:v>
      </x:c>
      <x:c r="I65" s="18" t="str">
        <x:v>independent event authority and evidence custodian</x:v>
      </x:c>
      <x:c r="J65" s="14" t="n">
        <x:v>0</x:v>
      </x:c>
      <x:c r="K65" s="14" t="str">
        <x:v>PROGRAMMED / UNEXECUTED</x:v>
      </x:c>
    </x:row>
    <x:row r="66">
      <x:c r="A66" s="14" t="str">
        <x:v>HC-A-C-TECH-2-B-RCN-EVT</x:v>
      </x:c>
      <x:c r="B66" s="14" t="str">
        <x:v>HC-A-C-TECH-2-B-RCN</x:v>
      </x:c>
      <x:c r="C66" s="14" t="str">
        <x:v>HC-A-C-TECH-2</x:v>
      </x:c>
      <x:c r="D66" s="14" t="str">
        <x:v>HC-A-C</x:v>
      </x:c>
      <x:c r="E66" s="14" t="str">
        <x:v>RCN</x:v>
      </x:c>
      <x:c r="F66" s="18" t="str">
        <x:v>clean-team reconstruction, black start and requalification</x:v>
      </x:c>
      <x:c r="G66" s="18" t="n">
        <x:v>60</x:v>
      </x:c>
      <x:c r="H66" s="18" t="n">
        <x:v>1</x:v>
      </x:c>
      <x:c r="I66" s="18" t="str">
        <x:v>independent event authority and evidence custodian</x:v>
      </x:c>
      <x:c r="J66" s="14" t="n">
        <x:v>0</x:v>
      </x:c>
      <x:c r="K66" s="14" t="str">
        <x:v>PROGRAMMED / UNEXECUTED</x:v>
      </x:c>
    </x:row>
    <x:row r="67">
      <x:c r="A67" s="14" t="str">
        <x:v>HC-A-C-TECH-3-A-INT-EVT</x:v>
      </x:c>
      <x:c r="B67" s="14" t="str">
        <x:v>HC-A-C-TECH-3-A-INT</x:v>
      </x:c>
      <x:c r="C67" s="14" t="str">
        <x:v>HC-A-C-TECH-3</x:v>
      </x:c>
      <x:c r="D67" s="14" t="str">
        <x:v>HC-A-C</x:v>
      </x:c>
      <x:c r="E67" s="14" t="str">
        <x:v>INT</x:v>
      </x:c>
      <x:c r="F67" s="18" t="str">
        <x:v>capacity, receiver and thermal calibration</x:v>
      </x:c>
      <x:c r="G67" s="18" t="n">
        <x:v>36</x:v>
      </x:c>
      <x:c r="H67" s="18" t="n">
        <x:v>0</x:v>
      </x:c>
      <x:c r="I67" s="18" t="str">
        <x:v>independent event authority and evidence custodian</x:v>
      </x:c>
      <x:c r="J67" s="14" t="n">
        <x:v>0</x:v>
      </x:c>
      <x:c r="K67" s="14" t="str">
        <x:v>PROGRAMMED / UNEXECUTED</x:v>
      </x:c>
    </x:row>
    <x:row r="68">
      <x:c r="A68" s="14" t="str">
        <x:v>HC-A-C-TECH-3-A-BRK-EVT</x:v>
      </x:c>
      <x:c r="B68" s="14" t="str">
        <x:v>HC-A-C-TECH-3-A-BRK</x:v>
      </x:c>
      <x:c r="C68" s="14" t="str">
        <x:v>HC-A-C-TECH-3</x:v>
      </x:c>
      <x:c r="D68" s="14" t="str">
        <x:v>HC-A-C</x:v>
      </x:c>
      <x:c r="E68" s="14" t="str">
        <x:v>BRK</x:v>
      </x:c>
      <x:c r="F68" s="18" t="str">
        <x:v>deny the mesh and safe one rotor cell inside the plume</x:v>
      </x:c>
      <x:c r="G68" s="18" t="n">
        <x:v>48</x:v>
      </x:c>
      <x:c r="H68" s="18" t="n">
        <x:v>1</x:v>
      </x:c>
      <x:c r="I68" s="18" t="str">
        <x:v>independent event authority and evidence custodian</x:v>
      </x:c>
      <x:c r="J68" s="14" t="n">
        <x:v>0</x:v>
      </x:c>
      <x:c r="K68" s="14" t="str">
        <x:v>PROGRAMMED / UNEXECUTED</x:v>
      </x:c>
    </x:row>
    <x:row r="69">
      <x:c r="A69" s="14" t="str">
        <x:v>HC-A-C-TECH-3-A-RCN-EVT</x:v>
      </x:c>
      <x:c r="B69" s="14" t="str">
        <x:v>HC-A-C-TECH-3-A-RCN</x:v>
      </x:c>
      <x:c r="C69" s="14" t="str">
        <x:v>HC-A-C-TECH-3</x:v>
      </x:c>
      <x:c r="D69" s="14" t="str">
        <x:v>HC-A-C</x:v>
      </x:c>
      <x:c r="E69" s="14" t="str">
        <x:v>RCN</x:v>
      </x:c>
      <x:c r="F69" s="18" t="str">
        <x:v>clean-team reconstruction, black start and requalification</x:v>
      </x:c>
      <x:c r="G69" s="18" t="n">
        <x:v>60</x:v>
      </x:c>
      <x:c r="H69" s="18" t="n">
        <x:v>1</x:v>
      </x:c>
      <x:c r="I69" s="18" t="str">
        <x:v>independent event authority and evidence custodian</x:v>
      </x:c>
      <x:c r="J69" s="14" t="n">
        <x:v>0</x:v>
      </x:c>
      <x:c r="K69" s="14" t="str">
        <x:v>PROGRAMMED / UNEXECUTED</x:v>
      </x:c>
    </x:row>
    <x:row r="70">
      <x:c r="A70" s="14" t="str">
        <x:v>HC-A-C-TECH-3-B-INT-EVT</x:v>
      </x:c>
      <x:c r="B70" s="14" t="str">
        <x:v>HC-A-C-TECH-3-B-INT</x:v>
      </x:c>
      <x:c r="C70" s="14" t="str">
        <x:v>HC-A-C-TECH-3</x:v>
      </x:c>
      <x:c r="D70" s="14" t="str">
        <x:v>HC-A-C</x:v>
      </x:c>
      <x:c r="E70" s="14" t="str">
        <x:v>INT</x:v>
      </x:c>
      <x:c r="F70" s="18" t="str">
        <x:v>capacity, receiver and thermal calibration</x:v>
      </x:c>
      <x:c r="G70" s="18" t="n">
        <x:v>36</x:v>
      </x:c>
      <x:c r="H70" s="18" t="n">
        <x:v>0</x:v>
      </x:c>
      <x:c r="I70" s="18" t="str">
        <x:v>independent event authority and evidence custodian</x:v>
      </x:c>
      <x:c r="J70" s="14" t="n">
        <x:v>0</x:v>
      </x:c>
      <x:c r="K70" s="14" t="str">
        <x:v>PROGRAMMED / UNEXECUTED</x:v>
      </x:c>
    </x:row>
    <x:row r="71">
      <x:c r="A71" s="14" t="str">
        <x:v>HC-A-C-TECH-3-B-BRK-EVT</x:v>
      </x:c>
      <x:c r="B71" s="14" t="str">
        <x:v>HC-A-C-TECH-3-B-BRK</x:v>
      </x:c>
      <x:c r="C71" s="14" t="str">
        <x:v>HC-A-C-TECH-3</x:v>
      </x:c>
      <x:c r="D71" s="14" t="str">
        <x:v>HC-A-C</x:v>
      </x:c>
      <x:c r="E71" s="14" t="str">
        <x:v>BRK</x:v>
      </x:c>
      <x:c r="F71" s="18" t="str">
        <x:v>deny the mesh and safe one rotor cell inside the plume</x:v>
      </x:c>
      <x:c r="G71" s="18" t="n">
        <x:v>48</x:v>
      </x:c>
      <x:c r="H71" s="18" t="n">
        <x:v>1</x:v>
      </x:c>
      <x:c r="I71" s="18" t="str">
        <x:v>independent event authority and evidence custodian</x:v>
      </x:c>
      <x:c r="J71" s="14" t="n">
        <x:v>0</x:v>
      </x:c>
      <x:c r="K71" s="14" t="str">
        <x:v>PROGRAMMED / UNEXECUTED</x:v>
      </x:c>
    </x:row>
    <x:row r="72">
      <x:c r="A72" s="14" t="str">
        <x:v>HC-A-C-TECH-3-B-RCN-EVT</x:v>
      </x:c>
      <x:c r="B72" s="14" t="str">
        <x:v>HC-A-C-TECH-3-B-RCN</x:v>
      </x:c>
      <x:c r="C72" s="14" t="str">
        <x:v>HC-A-C-TECH-3</x:v>
      </x:c>
      <x:c r="D72" s="14" t="str">
        <x:v>HC-A-C</x:v>
      </x:c>
      <x:c r="E72" s="14" t="str">
        <x:v>RCN</x:v>
      </x:c>
      <x:c r="F72" s="18" t="str">
        <x:v>clean-team reconstruction, black start and requalification</x:v>
      </x:c>
      <x:c r="G72" s="18" t="n">
        <x:v>60</x:v>
      </x:c>
      <x:c r="H72" s="18" t="n">
        <x:v>1</x:v>
      </x:c>
      <x:c r="I72" s="18" t="str">
        <x:v>independent event authority and evidence custodian</x:v>
      </x:c>
      <x:c r="J72" s="14" t="n">
        <x:v>0</x:v>
      </x:c>
      <x:c r="K72" s="14" t="str">
        <x:v>PROGRAMMED / UNEXECUTED</x:v>
      </x:c>
    </x:row>
    <x:row r="73">
      <x:c r="A73" s="14" t="str">
        <x:v>HC-A-C-TECH-4-A-INT-EVT</x:v>
      </x:c>
      <x:c r="B73" s="14" t="str">
        <x:v>HC-A-C-TECH-4-A-INT</x:v>
      </x:c>
      <x:c r="C73" s="14" t="str">
        <x:v>HC-A-C-TECH-4</x:v>
      </x:c>
      <x:c r="D73" s="14" t="str">
        <x:v>HC-A-C</x:v>
      </x:c>
      <x:c r="E73" s="14" t="str">
        <x:v>INT</x:v>
      </x:c>
      <x:c r="F73" s="18" t="str">
        <x:v>capacity, receiver and thermal calibration</x:v>
      </x:c>
      <x:c r="G73" s="18" t="n">
        <x:v>36</x:v>
      </x:c>
      <x:c r="H73" s="18" t="n">
        <x:v>0</x:v>
      </x:c>
      <x:c r="I73" s="18" t="str">
        <x:v>independent event authority and evidence custodian</x:v>
      </x:c>
      <x:c r="J73" s="14" t="n">
        <x:v>0</x:v>
      </x:c>
      <x:c r="K73" s="14" t="str">
        <x:v>PROGRAMMED / UNEXECUTED</x:v>
      </x:c>
    </x:row>
    <x:row r="74">
      <x:c r="A74" s="14" t="str">
        <x:v>HC-A-C-TECH-4-A-BRK-EVT</x:v>
      </x:c>
      <x:c r="B74" s="14" t="str">
        <x:v>HC-A-C-TECH-4-A-BRK</x:v>
      </x:c>
      <x:c r="C74" s="14" t="str">
        <x:v>HC-A-C-TECH-4</x:v>
      </x:c>
      <x:c r="D74" s="14" t="str">
        <x:v>HC-A-C</x:v>
      </x:c>
      <x:c r="E74" s="14" t="str">
        <x:v>BRK</x:v>
      </x:c>
      <x:c r="F74" s="18" t="str">
        <x:v>deny the mesh and safe one rotor cell inside the plume</x:v>
      </x:c>
      <x:c r="G74" s="18" t="n">
        <x:v>48</x:v>
      </x:c>
      <x:c r="H74" s="18" t="n">
        <x:v>1</x:v>
      </x:c>
      <x:c r="I74" s="18" t="str">
        <x:v>independent event authority and evidence custodian</x:v>
      </x:c>
      <x:c r="J74" s="14" t="n">
        <x:v>0</x:v>
      </x:c>
      <x:c r="K74" s="14" t="str">
        <x:v>PROGRAMMED / UNEXECUTED</x:v>
      </x:c>
    </x:row>
    <x:row r="75">
      <x:c r="A75" s="14" t="str">
        <x:v>HC-A-C-TECH-4-A-RCN-EVT</x:v>
      </x:c>
      <x:c r="B75" s="14" t="str">
        <x:v>HC-A-C-TECH-4-A-RCN</x:v>
      </x:c>
      <x:c r="C75" s="14" t="str">
        <x:v>HC-A-C-TECH-4</x:v>
      </x:c>
      <x:c r="D75" s="14" t="str">
        <x:v>HC-A-C</x:v>
      </x:c>
      <x:c r="E75" s="14" t="str">
        <x:v>RCN</x:v>
      </x:c>
      <x:c r="F75" s="18" t="str">
        <x:v>clean-team reconstruction, black start and requalification</x:v>
      </x:c>
      <x:c r="G75" s="18" t="n">
        <x:v>60</x:v>
      </x:c>
      <x:c r="H75" s="18" t="n">
        <x:v>1</x:v>
      </x:c>
      <x:c r="I75" s="18" t="str">
        <x:v>independent event authority and evidence custodian</x:v>
      </x:c>
      <x:c r="J75" s="14" t="n">
        <x:v>0</x:v>
      </x:c>
      <x:c r="K75" s="14" t="str">
        <x:v>PROGRAMMED / UNEXECUTED</x:v>
      </x:c>
    </x:row>
    <x:row r="76">
      <x:c r="A76" s="14" t="str">
        <x:v>HC-A-C-TECH-4-B-INT-EVT</x:v>
      </x:c>
      <x:c r="B76" s="14" t="str">
        <x:v>HC-A-C-TECH-4-B-INT</x:v>
      </x:c>
      <x:c r="C76" s="14" t="str">
        <x:v>HC-A-C-TECH-4</x:v>
      </x:c>
      <x:c r="D76" s="14" t="str">
        <x:v>HC-A-C</x:v>
      </x:c>
      <x:c r="E76" s="14" t="str">
        <x:v>INT</x:v>
      </x:c>
      <x:c r="F76" s="18" t="str">
        <x:v>capacity, receiver and thermal calibration</x:v>
      </x:c>
      <x:c r="G76" s="18" t="n">
        <x:v>36</x:v>
      </x:c>
      <x:c r="H76" s="18" t="n">
        <x:v>0</x:v>
      </x:c>
      <x:c r="I76" s="18" t="str">
        <x:v>independent event authority and evidence custodian</x:v>
      </x:c>
      <x:c r="J76" s="14" t="n">
        <x:v>0</x:v>
      </x:c>
      <x:c r="K76" s="14" t="str">
        <x:v>PROGRAMMED / UNEXECUTED</x:v>
      </x:c>
    </x:row>
    <x:row r="77">
      <x:c r="A77" s="14" t="str">
        <x:v>HC-A-C-TECH-4-B-BRK-EVT</x:v>
      </x:c>
      <x:c r="B77" s="14" t="str">
        <x:v>HC-A-C-TECH-4-B-BRK</x:v>
      </x:c>
      <x:c r="C77" s="14" t="str">
        <x:v>HC-A-C-TECH-4</x:v>
      </x:c>
      <x:c r="D77" s="14" t="str">
        <x:v>HC-A-C</x:v>
      </x:c>
      <x:c r="E77" s="14" t="str">
        <x:v>BRK</x:v>
      </x:c>
      <x:c r="F77" s="18" t="str">
        <x:v>deny the mesh and safe one rotor cell inside the plume</x:v>
      </x:c>
      <x:c r="G77" s="18" t="n">
        <x:v>48</x:v>
      </x:c>
      <x:c r="H77" s="18" t="n">
        <x:v>1</x:v>
      </x:c>
      <x:c r="I77" s="18" t="str">
        <x:v>independent event authority and evidence custodian</x:v>
      </x:c>
      <x:c r="J77" s="14" t="n">
        <x:v>0</x:v>
      </x:c>
      <x:c r="K77" s="14" t="str">
        <x:v>PROGRAMMED / UNEXECUTED</x:v>
      </x:c>
    </x:row>
    <x:row r="78">
      <x:c r="A78" s="14" t="str">
        <x:v>HC-A-C-TECH-4-B-RCN-EVT</x:v>
      </x:c>
      <x:c r="B78" s="14" t="str">
        <x:v>HC-A-C-TECH-4-B-RCN</x:v>
      </x:c>
      <x:c r="C78" s="14" t="str">
        <x:v>HC-A-C-TECH-4</x:v>
      </x:c>
      <x:c r="D78" s="14" t="str">
        <x:v>HC-A-C</x:v>
      </x:c>
      <x:c r="E78" s="14" t="str">
        <x:v>RCN</x:v>
      </x:c>
      <x:c r="F78" s="18" t="str">
        <x:v>clean-team reconstruction, black start and requalification</x:v>
      </x:c>
      <x:c r="G78" s="18" t="n">
        <x:v>60</x:v>
      </x:c>
      <x:c r="H78" s="18" t="n">
        <x:v>1</x:v>
      </x:c>
      <x:c r="I78" s="18" t="str">
        <x:v>independent event authority and evidence custodian</x:v>
      </x:c>
      <x:c r="J78" s="14" t="n">
        <x:v>0</x:v>
      </x:c>
      <x:c r="K78" s="14" t="str">
        <x:v>PROGRAMMED / UNEXECUTED</x:v>
      </x:c>
    </x:row>
    <x:row r="79">
      <x:c r="A79" s="14" t="str">
        <x:v>LF-B-A-TECH-1-A-INT-EVT</x:v>
      </x:c>
      <x:c r="B79" s="14" t="str">
        <x:v>LF-B-A-TECH-1-A-INT</x:v>
      </x:c>
      <x:c r="C79" s="14" t="str">
        <x:v>LF-B-A-TECH-1</x:v>
      </x:c>
      <x:c r="D79" s="14" t="str">
        <x:v>LF-B-A</x:v>
      </x:c>
      <x:c r="E79" s="14" t="str">
        <x:v>INT</x:v>
      </x:c>
      <x:c r="F79" s="18" t="str">
        <x:v>capacity, receiver and thermal calibration</x:v>
      </x:c>
      <x:c r="G79" s="18" t="n">
        <x:v>54</x:v>
      </x:c>
      <x:c r="H79" s="18" t="n">
        <x:v>0</x:v>
      </x:c>
      <x:c r="I79" s="18" t="str">
        <x:v>independent event authority and evidence custodian</x:v>
      </x:c>
      <x:c r="J79" s="14" t="n">
        <x:v>0</x:v>
      </x:c>
      <x:c r="K79" s="14" t="str">
        <x:v>PROGRAMMED / UNEXECUTED</x:v>
      </x:c>
    </x:row>
    <x:row r="80">
      <x:c r="A80" s="14" t="str">
        <x:v>LF-B-A-TECH-1-A-BRK-EVT</x:v>
      </x:c>
      <x:c r="B80" s="14" t="str">
        <x:v>LF-B-A-TECH-1-A-BRK</x:v>
      </x:c>
      <x:c r="C80" s="14" t="str">
        <x:v>LF-B-A-TECH-1</x:v>
      </x:c>
      <x:c r="D80" s="14" t="str">
        <x:v>LF-B-A</x:v>
      </x:c>
      <x:c r="E80" s="14" t="str">
        <x:v>BRK</x:v>
      </x:c>
      <x:c r="F80" s="18" t="str">
        <x:v>rupture one island and deny its bore pair at full thermal state</x:v>
      </x:c>
      <x:c r="G80" s="18" t="n">
        <x:v>72</x:v>
      </x:c>
      <x:c r="H80" s="18" t="n">
        <x:v>1</x:v>
      </x:c>
      <x:c r="I80" s="18" t="str">
        <x:v>independent event authority and evidence custodian</x:v>
      </x:c>
      <x:c r="J80" s="14" t="n">
        <x:v>0</x:v>
      </x:c>
      <x:c r="K80" s="14" t="str">
        <x:v>PROGRAMMED / UNEXECUTED</x:v>
      </x:c>
    </x:row>
    <x:row r="81">
      <x:c r="A81" s="14" t="str">
        <x:v>LF-B-A-TECH-1-A-RCN-EVT</x:v>
      </x:c>
      <x:c r="B81" s="14" t="str">
        <x:v>LF-B-A-TECH-1-A-RCN</x:v>
      </x:c>
      <x:c r="C81" s="14" t="str">
        <x:v>LF-B-A-TECH-1</x:v>
      </x:c>
      <x:c r="D81" s="14" t="str">
        <x:v>LF-B-A</x:v>
      </x:c>
      <x:c r="E81" s="14" t="str">
        <x:v>RCN</x:v>
      </x:c>
      <x:c r="F81" s="18" t="str">
        <x:v>clean-team reconstruction, black start and requalification</x:v>
      </x:c>
      <x:c r="G81" s="18" t="n">
        <x:v>96</x:v>
      </x:c>
      <x:c r="H81" s="18" t="n">
        <x:v>1</x:v>
      </x:c>
      <x:c r="I81" s="18" t="str">
        <x:v>independent event authority and evidence custodian</x:v>
      </x:c>
      <x:c r="J81" s="14" t="n">
        <x:v>0</x:v>
      </x:c>
      <x:c r="K81" s="14" t="str">
        <x:v>PROGRAMMED / UNEXECUTED</x:v>
      </x:c>
    </x:row>
    <x:row r="82">
      <x:c r="A82" s="14" t="str">
        <x:v>LF-B-A-TECH-1-B-INT-EVT</x:v>
      </x:c>
      <x:c r="B82" s="14" t="str">
        <x:v>LF-B-A-TECH-1-B-INT</x:v>
      </x:c>
      <x:c r="C82" s="14" t="str">
        <x:v>LF-B-A-TECH-1</x:v>
      </x:c>
      <x:c r="D82" s="14" t="str">
        <x:v>LF-B-A</x:v>
      </x:c>
      <x:c r="E82" s="14" t="str">
        <x:v>INT</x:v>
      </x:c>
      <x:c r="F82" s="18" t="str">
        <x:v>capacity, receiver and thermal calibration</x:v>
      </x:c>
      <x:c r="G82" s="18" t="n">
        <x:v>54</x:v>
      </x:c>
      <x:c r="H82" s="18" t="n">
        <x:v>0</x:v>
      </x:c>
      <x:c r="I82" s="18" t="str">
        <x:v>independent event authority and evidence custodian</x:v>
      </x:c>
      <x:c r="J82" s="14" t="n">
        <x:v>0</x:v>
      </x:c>
      <x:c r="K82" s="14" t="str">
        <x:v>PROGRAMMED / UNEXECUTED</x:v>
      </x:c>
    </x:row>
    <x:row r="83">
      <x:c r="A83" s="14" t="str">
        <x:v>LF-B-A-TECH-1-B-BRK-EVT</x:v>
      </x:c>
      <x:c r="B83" s="14" t="str">
        <x:v>LF-B-A-TECH-1-B-BRK</x:v>
      </x:c>
      <x:c r="C83" s="14" t="str">
        <x:v>LF-B-A-TECH-1</x:v>
      </x:c>
      <x:c r="D83" s="14" t="str">
        <x:v>LF-B-A</x:v>
      </x:c>
      <x:c r="E83" s="14" t="str">
        <x:v>BRK</x:v>
      </x:c>
      <x:c r="F83" s="18" t="str">
        <x:v>rupture one island and deny its bore pair at full thermal state</x:v>
      </x:c>
      <x:c r="G83" s="18" t="n">
        <x:v>72</x:v>
      </x:c>
      <x:c r="H83" s="18" t="n">
        <x:v>1</x:v>
      </x:c>
      <x:c r="I83" s="18" t="str">
        <x:v>independent event authority and evidence custodian</x:v>
      </x:c>
      <x:c r="J83" s="14" t="n">
        <x:v>0</x:v>
      </x:c>
      <x:c r="K83" s="14" t="str">
        <x:v>PROGRAMMED / UNEXECUTED</x:v>
      </x:c>
    </x:row>
    <x:row r="84">
      <x:c r="A84" s="14" t="str">
        <x:v>LF-B-A-TECH-1-B-RCN-EVT</x:v>
      </x:c>
      <x:c r="B84" s="14" t="str">
        <x:v>LF-B-A-TECH-1-B-RCN</x:v>
      </x:c>
      <x:c r="C84" s="14" t="str">
        <x:v>LF-B-A-TECH-1</x:v>
      </x:c>
      <x:c r="D84" s="14" t="str">
        <x:v>LF-B-A</x:v>
      </x:c>
      <x:c r="E84" s="14" t="str">
        <x:v>RCN</x:v>
      </x:c>
      <x:c r="F84" s="18" t="str">
        <x:v>clean-team reconstruction, black start and requalification</x:v>
      </x:c>
      <x:c r="G84" s="18" t="n">
        <x:v>96</x:v>
      </x:c>
      <x:c r="H84" s="18" t="n">
        <x:v>1</x:v>
      </x:c>
      <x:c r="I84" s="18" t="str">
        <x:v>independent event authority and evidence custodian</x:v>
      </x:c>
      <x:c r="J84" s="14" t="n">
        <x:v>0</x:v>
      </x:c>
      <x:c r="K84" s="14" t="str">
        <x:v>PROGRAMMED / UNEXECUTED</x:v>
      </x:c>
    </x:row>
    <x:row r="85">
      <x:c r="A85" s="14" t="str">
        <x:v>LF-B-A-TECH-2-A-INT-EVT</x:v>
      </x:c>
      <x:c r="B85" s="14" t="str">
        <x:v>LF-B-A-TECH-2-A-INT</x:v>
      </x:c>
      <x:c r="C85" s="14" t="str">
        <x:v>LF-B-A-TECH-2</x:v>
      </x:c>
      <x:c r="D85" s="14" t="str">
        <x:v>LF-B-A</x:v>
      </x:c>
      <x:c r="E85" s="14" t="str">
        <x:v>INT</x:v>
      </x:c>
      <x:c r="F85" s="18" t="str">
        <x:v>capacity, receiver and thermal calibration</x:v>
      </x:c>
      <x:c r="G85" s="18" t="n">
        <x:v>54</x:v>
      </x:c>
      <x:c r="H85" s="18" t="n">
        <x:v>0</x:v>
      </x:c>
      <x:c r="I85" s="18" t="str">
        <x:v>independent event authority and evidence custodian</x:v>
      </x:c>
      <x:c r="J85" s="14" t="n">
        <x:v>0</x:v>
      </x:c>
      <x:c r="K85" s="14" t="str">
        <x:v>PROGRAMMED / UNEXECUTED</x:v>
      </x:c>
    </x:row>
    <x:row r="86">
      <x:c r="A86" s="14" t="str">
        <x:v>LF-B-A-TECH-2-A-BRK-EVT</x:v>
      </x:c>
      <x:c r="B86" s="14" t="str">
        <x:v>LF-B-A-TECH-2-A-BRK</x:v>
      </x:c>
      <x:c r="C86" s="14" t="str">
        <x:v>LF-B-A-TECH-2</x:v>
      </x:c>
      <x:c r="D86" s="14" t="str">
        <x:v>LF-B-A</x:v>
      </x:c>
      <x:c r="E86" s="14" t="str">
        <x:v>BRK</x:v>
      </x:c>
      <x:c r="F86" s="18" t="str">
        <x:v>rupture one island and deny its bore pair at full thermal state</x:v>
      </x:c>
      <x:c r="G86" s="18" t="n">
        <x:v>72</x:v>
      </x:c>
      <x:c r="H86" s="18" t="n">
        <x:v>1</x:v>
      </x:c>
      <x:c r="I86" s="18" t="str">
        <x:v>independent event authority and evidence custodian</x:v>
      </x:c>
      <x:c r="J86" s="14" t="n">
        <x:v>0</x:v>
      </x:c>
      <x:c r="K86" s="14" t="str">
        <x:v>PROGRAMMED / UNEXECUTED</x:v>
      </x:c>
    </x:row>
    <x:row r="87">
      <x:c r="A87" s="14" t="str">
        <x:v>LF-B-A-TECH-2-A-RCN-EVT</x:v>
      </x:c>
      <x:c r="B87" s="14" t="str">
        <x:v>LF-B-A-TECH-2-A-RCN</x:v>
      </x:c>
      <x:c r="C87" s="14" t="str">
        <x:v>LF-B-A-TECH-2</x:v>
      </x:c>
      <x:c r="D87" s="14" t="str">
        <x:v>LF-B-A</x:v>
      </x:c>
      <x:c r="E87" s="14" t="str">
        <x:v>RCN</x:v>
      </x:c>
      <x:c r="F87" s="18" t="str">
        <x:v>clean-team reconstruction, black start and requalification</x:v>
      </x:c>
      <x:c r="G87" s="18" t="n">
        <x:v>96</x:v>
      </x:c>
      <x:c r="H87" s="18" t="n">
        <x:v>1</x:v>
      </x:c>
      <x:c r="I87" s="18" t="str">
        <x:v>independent event authority and evidence custodian</x:v>
      </x:c>
      <x:c r="J87" s="14" t="n">
        <x:v>0</x:v>
      </x:c>
      <x:c r="K87" s="14" t="str">
        <x:v>PROGRAMMED / UNEXECUTED</x:v>
      </x:c>
    </x:row>
    <x:row r="88">
      <x:c r="A88" s="14" t="str">
        <x:v>LF-B-A-TECH-2-B-INT-EVT</x:v>
      </x:c>
      <x:c r="B88" s="14" t="str">
        <x:v>LF-B-A-TECH-2-B-INT</x:v>
      </x:c>
      <x:c r="C88" s="14" t="str">
        <x:v>LF-B-A-TECH-2</x:v>
      </x:c>
      <x:c r="D88" s="14" t="str">
        <x:v>LF-B-A</x:v>
      </x:c>
      <x:c r="E88" s="14" t="str">
        <x:v>INT</x:v>
      </x:c>
      <x:c r="F88" s="18" t="str">
        <x:v>capacity, receiver and thermal calibration</x:v>
      </x:c>
      <x:c r="G88" s="18" t="n">
        <x:v>54</x:v>
      </x:c>
      <x:c r="H88" s="18" t="n">
        <x:v>0</x:v>
      </x:c>
      <x:c r="I88" s="18" t="str">
        <x:v>independent event authority and evidence custodian</x:v>
      </x:c>
      <x:c r="J88" s="14" t="n">
        <x:v>0</x:v>
      </x:c>
      <x:c r="K88" s="14" t="str">
        <x:v>PROGRAMMED / UNEXECUTED</x:v>
      </x:c>
    </x:row>
    <x:row r="89">
      <x:c r="A89" s="14" t="str">
        <x:v>LF-B-A-TECH-2-B-BRK-EVT</x:v>
      </x:c>
      <x:c r="B89" s="14" t="str">
        <x:v>LF-B-A-TECH-2-B-BRK</x:v>
      </x:c>
      <x:c r="C89" s="14" t="str">
        <x:v>LF-B-A-TECH-2</x:v>
      </x:c>
      <x:c r="D89" s="14" t="str">
        <x:v>LF-B-A</x:v>
      </x:c>
      <x:c r="E89" s="14" t="str">
        <x:v>BRK</x:v>
      </x:c>
      <x:c r="F89" s="18" t="str">
        <x:v>rupture one island and deny its bore pair at full thermal state</x:v>
      </x:c>
      <x:c r="G89" s="18" t="n">
        <x:v>72</x:v>
      </x:c>
      <x:c r="H89" s="18" t="n">
        <x:v>1</x:v>
      </x:c>
      <x:c r="I89" s="18" t="str">
        <x:v>independent event authority and evidence custodian</x:v>
      </x:c>
      <x:c r="J89" s="14" t="n">
        <x:v>0</x:v>
      </x:c>
      <x:c r="K89" s="14" t="str">
        <x:v>PROGRAMMED / UNEXECUTED</x:v>
      </x:c>
    </x:row>
    <x:row r="90">
      <x:c r="A90" s="14" t="str">
        <x:v>LF-B-A-TECH-2-B-RCN-EVT</x:v>
      </x:c>
      <x:c r="B90" s="14" t="str">
        <x:v>LF-B-A-TECH-2-B-RCN</x:v>
      </x:c>
      <x:c r="C90" s="14" t="str">
        <x:v>LF-B-A-TECH-2</x:v>
      </x:c>
      <x:c r="D90" s="14" t="str">
        <x:v>LF-B-A</x:v>
      </x:c>
      <x:c r="E90" s="14" t="str">
        <x:v>RCN</x:v>
      </x:c>
      <x:c r="F90" s="18" t="str">
        <x:v>clean-team reconstruction, black start and requalification</x:v>
      </x:c>
      <x:c r="G90" s="18" t="n">
        <x:v>96</x:v>
      </x:c>
      <x:c r="H90" s="18" t="n">
        <x:v>1</x:v>
      </x:c>
      <x:c r="I90" s="18" t="str">
        <x:v>independent event authority and evidence custodian</x:v>
      </x:c>
      <x:c r="J90" s="14" t="n">
        <x:v>0</x:v>
      </x:c>
      <x:c r="K90" s="14" t="str">
        <x:v>PROGRAMMED / UNEXECUTED</x:v>
      </x:c>
    </x:row>
    <x:row r="91">
      <x:c r="A91" s="14" t="str">
        <x:v>LF-B-A-TECH-3-A-INT-EVT</x:v>
      </x:c>
      <x:c r="B91" s="14" t="str">
        <x:v>LF-B-A-TECH-3-A-INT</x:v>
      </x:c>
      <x:c r="C91" s="14" t="str">
        <x:v>LF-B-A-TECH-3</x:v>
      </x:c>
      <x:c r="D91" s="14" t="str">
        <x:v>LF-B-A</x:v>
      </x:c>
      <x:c r="E91" s="14" t="str">
        <x:v>INT</x:v>
      </x:c>
      <x:c r="F91" s="18" t="str">
        <x:v>capacity, receiver and thermal calibration</x:v>
      </x:c>
      <x:c r="G91" s="18" t="n">
        <x:v>54</x:v>
      </x:c>
      <x:c r="H91" s="18" t="n">
        <x:v>0</x:v>
      </x:c>
      <x:c r="I91" s="18" t="str">
        <x:v>independent event authority and evidence custodian</x:v>
      </x:c>
      <x:c r="J91" s="14" t="n">
        <x:v>0</x:v>
      </x:c>
      <x:c r="K91" s="14" t="str">
        <x:v>PROGRAMMED / UNEXECUTED</x:v>
      </x:c>
    </x:row>
    <x:row r="92">
      <x:c r="A92" s="14" t="str">
        <x:v>LF-B-A-TECH-3-A-BRK-EVT</x:v>
      </x:c>
      <x:c r="B92" s="14" t="str">
        <x:v>LF-B-A-TECH-3-A-BRK</x:v>
      </x:c>
      <x:c r="C92" s="14" t="str">
        <x:v>LF-B-A-TECH-3</x:v>
      </x:c>
      <x:c r="D92" s="14" t="str">
        <x:v>LF-B-A</x:v>
      </x:c>
      <x:c r="E92" s="14" t="str">
        <x:v>BRK</x:v>
      </x:c>
      <x:c r="F92" s="18" t="str">
        <x:v>rupture one island and deny its bore pair at full thermal state</x:v>
      </x:c>
      <x:c r="G92" s="18" t="n">
        <x:v>72</x:v>
      </x:c>
      <x:c r="H92" s="18" t="n">
        <x:v>1</x:v>
      </x:c>
      <x:c r="I92" s="18" t="str">
        <x:v>independent event authority and evidence custodian</x:v>
      </x:c>
      <x:c r="J92" s="14" t="n">
        <x:v>0</x:v>
      </x:c>
      <x:c r="K92" s="14" t="str">
        <x:v>PROGRAMMED / UNEXECUTED</x:v>
      </x:c>
    </x:row>
    <x:row r="93">
      <x:c r="A93" s="14" t="str">
        <x:v>LF-B-A-TECH-3-A-RCN-EVT</x:v>
      </x:c>
      <x:c r="B93" s="14" t="str">
        <x:v>LF-B-A-TECH-3-A-RCN</x:v>
      </x:c>
      <x:c r="C93" s="14" t="str">
        <x:v>LF-B-A-TECH-3</x:v>
      </x:c>
      <x:c r="D93" s="14" t="str">
        <x:v>LF-B-A</x:v>
      </x:c>
      <x:c r="E93" s="14" t="str">
        <x:v>RCN</x:v>
      </x:c>
      <x:c r="F93" s="18" t="str">
        <x:v>clean-team reconstruction, black start and requalification</x:v>
      </x:c>
      <x:c r="G93" s="18" t="n">
        <x:v>96</x:v>
      </x:c>
      <x:c r="H93" s="18" t="n">
        <x:v>1</x:v>
      </x:c>
      <x:c r="I93" s="18" t="str">
        <x:v>independent event authority and evidence custodian</x:v>
      </x:c>
      <x:c r="J93" s="14" t="n">
        <x:v>0</x:v>
      </x:c>
      <x:c r="K93" s="14" t="str">
        <x:v>PROGRAMMED / UNEXECUTED</x:v>
      </x:c>
    </x:row>
    <x:row r="94">
      <x:c r="A94" s="14" t="str">
        <x:v>LF-B-A-TECH-3-B-INT-EVT</x:v>
      </x:c>
      <x:c r="B94" s="14" t="str">
        <x:v>LF-B-A-TECH-3-B-INT</x:v>
      </x:c>
      <x:c r="C94" s="14" t="str">
        <x:v>LF-B-A-TECH-3</x:v>
      </x:c>
      <x:c r="D94" s="14" t="str">
        <x:v>LF-B-A</x:v>
      </x:c>
      <x:c r="E94" s="14" t="str">
        <x:v>INT</x:v>
      </x:c>
      <x:c r="F94" s="18" t="str">
        <x:v>capacity, receiver and thermal calibration</x:v>
      </x:c>
      <x:c r="G94" s="18" t="n">
        <x:v>54</x:v>
      </x:c>
      <x:c r="H94" s="18" t="n">
        <x:v>0</x:v>
      </x:c>
      <x:c r="I94" s="18" t="str">
        <x:v>independent event authority and evidence custodian</x:v>
      </x:c>
      <x:c r="J94" s="14" t="n">
        <x:v>0</x:v>
      </x:c>
      <x:c r="K94" s="14" t="str">
        <x:v>PROGRAMMED / UNEXECUTED</x:v>
      </x:c>
    </x:row>
    <x:row r="95">
      <x:c r="A95" s="14" t="str">
        <x:v>LF-B-A-TECH-3-B-BRK-EVT</x:v>
      </x:c>
      <x:c r="B95" s="14" t="str">
        <x:v>LF-B-A-TECH-3-B-BRK</x:v>
      </x:c>
      <x:c r="C95" s="14" t="str">
        <x:v>LF-B-A-TECH-3</x:v>
      </x:c>
      <x:c r="D95" s="14" t="str">
        <x:v>LF-B-A</x:v>
      </x:c>
      <x:c r="E95" s="14" t="str">
        <x:v>BRK</x:v>
      </x:c>
      <x:c r="F95" s="18" t="str">
        <x:v>rupture one island and deny its bore pair at full thermal state</x:v>
      </x:c>
      <x:c r="G95" s="18" t="n">
        <x:v>72</x:v>
      </x:c>
      <x:c r="H95" s="18" t="n">
        <x:v>1</x:v>
      </x:c>
      <x:c r="I95" s="18" t="str">
        <x:v>independent event authority and evidence custodian</x:v>
      </x:c>
      <x:c r="J95" s="14" t="n">
        <x:v>0</x:v>
      </x:c>
      <x:c r="K95" s="14" t="str">
        <x:v>PROGRAMMED / UNEXECUTED</x:v>
      </x:c>
    </x:row>
    <x:row r="96">
      <x:c r="A96" s="14" t="str">
        <x:v>LF-B-A-TECH-3-B-RCN-EVT</x:v>
      </x:c>
      <x:c r="B96" s="14" t="str">
        <x:v>LF-B-A-TECH-3-B-RCN</x:v>
      </x:c>
      <x:c r="C96" s="14" t="str">
        <x:v>LF-B-A-TECH-3</x:v>
      </x:c>
      <x:c r="D96" s="14" t="str">
        <x:v>LF-B-A</x:v>
      </x:c>
      <x:c r="E96" s="14" t="str">
        <x:v>RCN</x:v>
      </x:c>
      <x:c r="F96" s="18" t="str">
        <x:v>clean-team reconstruction, black start and requalification</x:v>
      </x:c>
      <x:c r="G96" s="18" t="n">
        <x:v>96</x:v>
      </x:c>
      <x:c r="H96" s="18" t="n">
        <x:v>1</x:v>
      </x:c>
      <x:c r="I96" s="18" t="str">
        <x:v>independent event authority and evidence custodian</x:v>
      </x:c>
      <x:c r="J96" s="14" t="n">
        <x:v>0</x:v>
      </x:c>
      <x:c r="K96" s="14" t="str">
        <x:v>PROGRAMMED / UNEXECUTED</x:v>
      </x:c>
    </x:row>
    <x:row r="97">
      <x:c r="A97" s="14" t="str">
        <x:v>LF-B-A-TECH-4-A-INT-EVT</x:v>
      </x:c>
      <x:c r="B97" s="14" t="str">
        <x:v>LF-B-A-TECH-4-A-INT</x:v>
      </x:c>
      <x:c r="C97" s="14" t="str">
        <x:v>LF-B-A-TECH-4</x:v>
      </x:c>
      <x:c r="D97" s="14" t="str">
        <x:v>LF-B-A</x:v>
      </x:c>
      <x:c r="E97" s="14" t="str">
        <x:v>INT</x:v>
      </x:c>
      <x:c r="F97" s="18" t="str">
        <x:v>capacity, receiver and thermal calibration</x:v>
      </x:c>
      <x:c r="G97" s="18" t="n">
        <x:v>54</x:v>
      </x:c>
      <x:c r="H97" s="18" t="n">
        <x:v>0</x:v>
      </x:c>
      <x:c r="I97" s="18" t="str">
        <x:v>independent event authority and evidence custodian</x:v>
      </x:c>
      <x:c r="J97" s="14" t="n">
        <x:v>0</x:v>
      </x:c>
      <x:c r="K97" s="14" t="str">
        <x:v>PROGRAMMED / UNEXECUTED</x:v>
      </x:c>
    </x:row>
    <x:row r="98">
      <x:c r="A98" s="14" t="str">
        <x:v>LF-B-A-TECH-4-A-BRK-EVT</x:v>
      </x:c>
      <x:c r="B98" s="14" t="str">
        <x:v>LF-B-A-TECH-4-A-BRK</x:v>
      </x:c>
      <x:c r="C98" s="14" t="str">
        <x:v>LF-B-A-TECH-4</x:v>
      </x:c>
      <x:c r="D98" s="14" t="str">
        <x:v>LF-B-A</x:v>
      </x:c>
      <x:c r="E98" s="14" t="str">
        <x:v>BRK</x:v>
      </x:c>
      <x:c r="F98" s="18" t="str">
        <x:v>rupture one island and deny its bore pair at full thermal state</x:v>
      </x:c>
      <x:c r="G98" s="18" t="n">
        <x:v>72</x:v>
      </x:c>
      <x:c r="H98" s="18" t="n">
        <x:v>1</x:v>
      </x:c>
      <x:c r="I98" s="18" t="str">
        <x:v>independent event authority and evidence custodian</x:v>
      </x:c>
      <x:c r="J98" s="14" t="n">
        <x:v>0</x:v>
      </x:c>
      <x:c r="K98" s="14" t="str">
        <x:v>PROGRAMMED / UNEXECUTED</x:v>
      </x:c>
    </x:row>
    <x:row r="99">
      <x:c r="A99" s="14" t="str">
        <x:v>LF-B-A-TECH-4-A-RCN-EVT</x:v>
      </x:c>
      <x:c r="B99" s="14" t="str">
        <x:v>LF-B-A-TECH-4-A-RCN</x:v>
      </x:c>
      <x:c r="C99" s="14" t="str">
        <x:v>LF-B-A-TECH-4</x:v>
      </x:c>
      <x:c r="D99" s="14" t="str">
        <x:v>LF-B-A</x:v>
      </x:c>
      <x:c r="E99" s="14" t="str">
        <x:v>RCN</x:v>
      </x:c>
      <x:c r="F99" s="18" t="str">
        <x:v>clean-team reconstruction, black start and requalification</x:v>
      </x:c>
      <x:c r="G99" s="18" t="n">
        <x:v>96</x:v>
      </x:c>
      <x:c r="H99" s="18" t="n">
        <x:v>1</x:v>
      </x:c>
      <x:c r="I99" s="18" t="str">
        <x:v>independent event authority and evidence custodian</x:v>
      </x:c>
      <x:c r="J99" s="14" t="n">
        <x:v>0</x:v>
      </x:c>
      <x:c r="K99" s="14" t="str">
        <x:v>PROGRAMMED / UNEXECUTED</x:v>
      </x:c>
    </x:row>
    <x:row r="100">
      <x:c r="A100" s="14" t="str">
        <x:v>LF-B-A-TECH-4-B-INT-EVT</x:v>
      </x:c>
      <x:c r="B100" s="14" t="str">
        <x:v>LF-B-A-TECH-4-B-INT</x:v>
      </x:c>
      <x:c r="C100" s="14" t="str">
        <x:v>LF-B-A-TECH-4</x:v>
      </x:c>
      <x:c r="D100" s="14" t="str">
        <x:v>LF-B-A</x:v>
      </x:c>
      <x:c r="E100" s="14" t="str">
        <x:v>INT</x:v>
      </x:c>
      <x:c r="F100" s="18" t="str">
        <x:v>capacity, receiver and thermal calibration</x:v>
      </x:c>
      <x:c r="G100" s="18" t="n">
        <x:v>54</x:v>
      </x:c>
      <x:c r="H100" s="18" t="n">
        <x:v>0</x:v>
      </x:c>
      <x:c r="I100" s="18" t="str">
        <x:v>independent event authority and evidence custodian</x:v>
      </x:c>
      <x:c r="J100" s="14" t="n">
        <x:v>0</x:v>
      </x:c>
      <x:c r="K100" s="14" t="str">
        <x:v>PROGRAMMED / UNEXECUTED</x:v>
      </x:c>
    </x:row>
    <x:row r="101">
      <x:c r="A101" s="14" t="str">
        <x:v>LF-B-A-TECH-4-B-BRK-EVT</x:v>
      </x:c>
      <x:c r="B101" s="14" t="str">
        <x:v>LF-B-A-TECH-4-B-BRK</x:v>
      </x:c>
      <x:c r="C101" s="14" t="str">
        <x:v>LF-B-A-TECH-4</x:v>
      </x:c>
      <x:c r="D101" s="14" t="str">
        <x:v>LF-B-A</x:v>
      </x:c>
      <x:c r="E101" s="14" t="str">
        <x:v>BRK</x:v>
      </x:c>
      <x:c r="F101" s="18" t="str">
        <x:v>rupture one island and deny its bore pair at full thermal state</x:v>
      </x:c>
      <x:c r="G101" s="18" t="n">
        <x:v>72</x:v>
      </x:c>
      <x:c r="H101" s="18" t="n">
        <x:v>1</x:v>
      </x:c>
      <x:c r="I101" s="18" t="str">
        <x:v>independent event authority and evidence custodian</x:v>
      </x:c>
      <x:c r="J101" s="14" t="n">
        <x:v>0</x:v>
      </x:c>
      <x:c r="K101" s="14" t="str">
        <x:v>PROGRAMMED / UNEXECUTED</x:v>
      </x:c>
    </x:row>
    <x:row r="102">
      <x:c r="A102" s="14" t="str">
        <x:v>LF-B-A-TECH-4-B-RCN-EVT</x:v>
      </x:c>
      <x:c r="B102" s="14" t="str">
        <x:v>LF-B-A-TECH-4-B-RCN</x:v>
      </x:c>
      <x:c r="C102" s="14" t="str">
        <x:v>LF-B-A-TECH-4</x:v>
      </x:c>
      <x:c r="D102" s="14" t="str">
        <x:v>LF-B-A</x:v>
      </x:c>
      <x:c r="E102" s="14" t="str">
        <x:v>RCN</x:v>
      </x:c>
      <x:c r="F102" s="18" t="str">
        <x:v>clean-team reconstruction, black start and requalification</x:v>
      </x:c>
      <x:c r="G102" s="18" t="n">
        <x:v>96</x:v>
      </x:c>
      <x:c r="H102" s="18" t="n">
        <x:v>1</x:v>
      </x:c>
      <x:c r="I102" s="18" t="str">
        <x:v>independent event authority and evidence custodian</x:v>
      </x:c>
      <x:c r="J102" s="14" t="n">
        <x:v>0</x:v>
      </x:c>
      <x:c r="K102" s="14" t="str">
        <x:v>PROGRAMMED / UNEXECUTED</x:v>
      </x:c>
    </x:row>
    <x:row r="103">
      <x:c r="A103" s="14" t="str">
        <x:v>HU-A-B-TECH-1-A-INT-EVT</x:v>
      </x:c>
      <x:c r="B103" s="14" t="str">
        <x:v>HU-A-B-TECH-1-A-INT</x:v>
      </x:c>
      <x:c r="C103" s="14" t="str">
        <x:v>HU-A-B-TECH-1</x:v>
      </x:c>
      <x:c r="D103" s="14" t="str">
        <x:v>HU-A-B</x:v>
      </x:c>
      <x:c r="E103" s="14" t="str">
        <x:v>INT</x:v>
      </x:c>
      <x:c r="F103" s="18" t="str">
        <x:v>capacity, receiver and thermal calibration</x:v>
      </x:c>
      <x:c r="G103" s="18" t="n">
        <x:v>42</x:v>
      </x:c>
      <x:c r="H103" s="18" t="n">
        <x:v>0</x:v>
      </x:c>
      <x:c r="I103" s="18" t="str">
        <x:v>independent event authority and evidence custodian</x:v>
      </x:c>
      <x:c r="J103" s="14" t="n">
        <x:v>0</x:v>
      </x:c>
      <x:c r="K103" s="14" t="str">
        <x:v>PROGRAMMED / UNEXECUTED</x:v>
      </x:c>
    </x:row>
    <x:row r="104">
      <x:c r="A104" s="14" t="str">
        <x:v>HU-A-B-TECH-1-A-BRK-EVT</x:v>
      </x:c>
      <x:c r="B104" s="14" t="str">
        <x:v>HU-A-B-TECH-1-A-BRK</x:v>
      </x:c>
      <x:c r="C104" s="14" t="str">
        <x:v>HU-A-B-TECH-1</x:v>
      </x:c>
      <x:c r="D104" s="14" t="str">
        <x:v>HU-A-B</x:v>
      </x:c>
      <x:c r="E104" s="14" t="str">
        <x:v>BRK</x:v>
      </x:c>
      <x:c r="F104" s="18" t="str">
        <x:v>block one loop section and its nearest crossbar at full census</x:v>
      </x:c>
      <x:c r="G104" s="18" t="n">
        <x:v>54</x:v>
      </x:c>
      <x:c r="H104" s="18" t="n">
        <x:v>1</x:v>
      </x:c>
      <x:c r="I104" s="18" t="str">
        <x:v>independent event authority and evidence custodian</x:v>
      </x:c>
      <x:c r="J104" s="14" t="n">
        <x:v>0</x:v>
      </x:c>
      <x:c r="K104" s="14" t="str">
        <x:v>PROGRAMMED / UNEXECUTED</x:v>
      </x:c>
    </x:row>
    <x:row r="105">
      <x:c r="A105" s="14" t="str">
        <x:v>HU-A-B-TECH-1-A-RCN-EVT</x:v>
      </x:c>
      <x:c r="B105" s="14" t="str">
        <x:v>HU-A-B-TECH-1-A-RCN</x:v>
      </x:c>
      <x:c r="C105" s="14" t="str">
        <x:v>HU-A-B-TECH-1</x:v>
      </x:c>
      <x:c r="D105" s="14" t="str">
        <x:v>HU-A-B</x:v>
      </x:c>
      <x:c r="E105" s="14" t="str">
        <x:v>RCN</x:v>
      </x:c>
      <x:c r="F105" s="18" t="str">
        <x:v>clean-team reconstruction, black start and requalification</x:v>
      </x:c>
      <x:c r="G105" s="18" t="n">
        <x:v>72</x:v>
      </x:c>
      <x:c r="H105" s="18" t="n">
        <x:v>1</x:v>
      </x:c>
      <x:c r="I105" s="18" t="str">
        <x:v>independent event authority and evidence custodian</x:v>
      </x:c>
      <x:c r="J105" s="14" t="n">
        <x:v>0</x:v>
      </x:c>
      <x:c r="K105" s="14" t="str">
        <x:v>PROGRAMMED / UNEXECUTED</x:v>
      </x:c>
    </x:row>
    <x:row r="106">
      <x:c r="A106" s="14" t="str">
        <x:v>HU-A-B-TECH-1-B-INT-EVT</x:v>
      </x:c>
      <x:c r="B106" s="14" t="str">
        <x:v>HU-A-B-TECH-1-B-INT</x:v>
      </x:c>
      <x:c r="C106" s="14" t="str">
        <x:v>HU-A-B-TECH-1</x:v>
      </x:c>
      <x:c r="D106" s="14" t="str">
        <x:v>HU-A-B</x:v>
      </x:c>
      <x:c r="E106" s="14" t="str">
        <x:v>INT</x:v>
      </x:c>
      <x:c r="F106" s="18" t="str">
        <x:v>capacity, receiver and thermal calibration</x:v>
      </x:c>
      <x:c r="G106" s="18" t="n">
        <x:v>42</x:v>
      </x:c>
      <x:c r="H106" s="18" t="n">
        <x:v>0</x:v>
      </x:c>
      <x:c r="I106" s="18" t="str">
        <x:v>independent event authority and evidence custodian</x:v>
      </x:c>
      <x:c r="J106" s="14" t="n">
        <x:v>0</x:v>
      </x:c>
      <x:c r="K106" s="14" t="str">
        <x:v>PROGRAMMED / UNEXECUTED</x:v>
      </x:c>
    </x:row>
    <x:row r="107">
      <x:c r="A107" s="14" t="str">
        <x:v>HU-A-B-TECH-1-B-BRK-EVT</x:v>
      </x:c>
      <x:c r="B107" s="14" t="str">
        <x:v>HU-A-B-TECH-1-B-BRK</x:v>
      </x:c>
      <x:c r="C107" s="14" t="str">
        <x:v>HU-A-B-TECH-1</x:v>
      </x:c>
      <x:c r="D107" s="14" t="str">
        <x:v>HU-A-B</x:v>
      </x:c>
      <x:c r="E107" s="14" t="str">
        <x:v>BRK</x:v>
      </x:c>
      <x:c r="F107" s="18" t="str">
        <x:v>block one loop section and its nearest crossbar at full census</x:v>
      </x:c>
      <x:c r="G107" s="18" t="n">
        <x:v>54</x:v>
      </x:c>
      <x:c r="H107" s="18" t="n">
        <x:v>1</x:v>
      </x:c>
      <x:c r="I107" s="18" t="str">
        <x:v>independent event authority and evidence custodian</x:v>
      </x:c>
      <x:c r="J107" s="14" t="n">
        <x:v>0</x:v>
      </x:c>
      <x:c r="K107" s="14" t="str">
        <x:v>PROGRAMMED / UNEXECUTED</x:v>
      </x:c>
    </x:row>
    <x:row r="108">
      <x:c r="A108" s="14" t="str">
        <x:v>HU-A-B-TECH-1-B-RCN-EVT</x:v>
      </x:c>
      <x:c r="B108" s="14" t="str">
        <x:v>HU-A-B-TECH-1-B-RCN</x:v>
      </x:c>
      <x:c r="C108" s="14" t="str">
        <x:v>HU-A-B-TECH-1</x:v>
      </x:c>
      <x:c r="D108" s="14" t="str">
        <x:v>HU-A-B</x:v>
      </x:c>
      <x:c r="E108" s="14" t="str">
        <x:v>RCN</x:v>
      </x:c>
      <x:c r="F108" s="18" t="str">
        <x:v>clean-team reconstruction, black start and requalification</x:v>
      </x:c>
      <x:c r="G108" s="18" t="n">
        <x:v>72</x:v>
      </x:c>
      <x:c r="H108" s="18" t="n">
        <x:v>1</x:v>
      </x:c>
      <x:c r="I108" s="18" t="str">
        <x:v>independent event authority and evidence custodian</x:v>
      </x:c>
      <x:c r="J108" s="14" t="n">
        <x:v>0</x:v>
      </x:c>
      <x:c r="K108" s="14" t="str">
        <x:v>PROGRAMMED / UNEXECUTED</x:v>
      </x:c>
    </x:row>
    <x:row r="109">
      <x:c r="A109" s="14" t="str">
        <x:v>HU-A-B-TECH-2-A-INT-EVT</x:v>
      </x:c>
      <x:c r="B109" s="14" t="str">
        <x:v>HU-A-B-TECH-2-A-INT</x:v>
      </x:c>
      <x:c r="C109" s="14" t="str">
        <x:v>HU-A-B-TECH-2</x:v>
      </x:c>
      <x:c r="D109" s="14" t="str">
        <x:v>HU-A-B</x:v>
      </x:c>
      <x:c r="E109" s="14" t="str">
        <x:v>INT</x:v>
      </x:c>
      <x:c r="F109" s="18" t="str">
        <x:v>capacity, receiver and thermal calibration</x:v>
      </x:c>
      <x:c r="G109" s="18" t="n">
        <x:v>42</x:v>
      </x:c>
      <x:c r="H109" s="18" t="n">
        <x:v>0</x:v>
      </x:c>
      <x:c r="I109" s="18" t="str">
        <x:v>independent event authority and evidence custodian</x:v>
      </x:c>
      <x:c r="J109" s="14" t="n">
        <x:v>0</x:v>
      </x:c>
      <x:c r="K109" s="14" t="str">
        <x:v>PROGRAMMED / UNEXECUTED</x:v>
      </x:c>
    </x:row>
    <x:row r="110">
      <x:c r="A110" s="14" t="str">
        <x:v>HU-A-B-TECH-2-A-BRK-EVT</x:v>
      </x:c>
      <x:c r="B110" s="14" t="str">
        <x:v>HU-A-B-TECH-2-A-BRK</x:v>
      </x:c>
      <x:c r="C110" s="14" t="str">
        <x:v>HU-A-B-TECH-2</x:v>
      </x:c>
      <x:c r="D110" s="14" t="str">
        <x:v>HU-A-B</x:v>
      </x:c>
      <x:c r="E110" s="14" t="str">
        <x:v>BRK</x:v>
      </x:c>
      <x:c r="F110" s="18" t="str">
        <x:v>block one loop section and its nearest crossbar at full census</x:v>
      </x:c>
      <x:c r="G110" s="18" t="n">
        <x:v>54</x:v>
      </x:c>
      <x:c r="H110" s="18" t="n">
        <x:v>1</x:v>
      </x:c>
      <x:c r="I110" s="18" t="str">
        <x:v>independent event authority and evidence custodian</x:v>
      </x:c>
      <x:c r="J110" s="14" t="n">
        <x:v>0</x:v>
      </x:c>
      <x:c r="K110" s="14" t="str">
        <x:v>PROGRAMMED / UNEXECUTED</x:v>
      </x:c>
    </x:row>
    <x:row r="111">
      <x:c r="A111" s="14" t="str">
        <x:v>HU-A-B-TECH-2-A-RCN-EVT</x:v>
      </x:c>
      <x:c r="B111" s="14" t="str">
        <x:v>HU-A-B-TECH-2-A-RCN</x:v>
      </x:c>
      <x:c r="C111" s="14" t="str">
        <x:v>HU-A-B-TECH-2</x:v>
      </x:c>
      <x:c r="D111" s="14" t="str">
        <x:v>HU-A-B</x:v>
      </x:c>
      <x:c r="E111" s="14" t="str">
        <x:v>RCN</x:v>
      </x:c>
      <x:c r="F111" s="18" t="str">
        <x:v>clean-team reconstruction, black start and requalification</x:v>
      </x:c>
      <x:c r="G111" s="18" t="n">
        <x:v>72</x:v>
      </x:c>
      <x:c r="H111" s="18" t="n">
        <x:v>1</x:v>
      </x:c>
      <x:c r="I111" s="18" t="str">
        <x:v>independent event authority and evidence custodian</x:v>
      </x:c>
      <x:c r="J111" s="14" t="n">
        <x:v>0</x:v>
      </x:c>
      <x:c r="K111" s="14" t="str">
        <x:v>PROGRAMMED / UNEXECUTED</x:v>
      </x:c>
    </x:row>
    <x:row r="112">
      <x:c r="A112" s="14" t="str">
        <x:v>HU-A-B-TECH-2-B-INT-EVT</x:v>
      </x:c>
      <x:c r="B112" s="14" t="str">
        <x:v>HU-A-B-TECH-2-B-INT</x:v>
      </x:c>
      <x:c r="C112" s="14" t="str">
        <x:v>HU-A-B-TECH-2</x:v>
      </x:c>
      <x:c r="D112" s="14" t="str">
        <x:v>HU-A-B</x:v>
      </x:c>
      <x:c r="E112" s="14" t="str">
        <x:v>INT</x:v>
      </x:c>
      <x:c r="F112" s="18" t="str">
        <x:v>capacity, receiver and thermal calibration</x:v>
      </x:c>
      <x:c r="G112" s="18" t="n">
        <x:v>42</x:v>
      </x:c>
      <x:c r="H112" s="18" t="n">
        <x:v>0</x:v>
      </x:c>
      <x:c r="I112" s="18" t="str">
        <x:v>independent event authority and evidence custodian</x:v>
      </x:c>
      <x:c r="J112" s="14" t="n">
        <x:v>0</x:v>
      </x:c>
      <x:c r="K112" s="14" t="str">
        <x:v>PROGRAMMED / UNEXECUTED</x:v>
      </x:c>
    </x:row>
    <x:row r="113">
      <x:c r="A113" s="14" t="str">
        <x:v>HU-A-B-TECH-2-B-BRK-EVT</x:v>
      </x:c>
      <x:c r="B113" s="14" t="str">
        <x:v>HU-A-B-TECH-2-B-BRK</x:v>
      </x:c>
      <x:c r="C113" s="14" t="str">
        <x:v>HU-A-B-TECH-2</x:v>
      </x:c>
      <x:c r="D113" s="14" t="str">
        <x:v>HU-A-B</x:v>
      </x:c>
      <x:c r="E113" s="14" t="str">
        <x:v>BRK</x:v>
      </x:c>
      <x:c r="F113" s="18" t="str">
        <x:v>block one loop section and its nearest crossbar at full census</x:v>
      </x:c>
      <x:c r="G113" s="18" t="n">
        <x:v>54</x:v>
      </x:c>
      <x:c r="H113" s="18" t="n">
        <x:v>1</x:v>
      </x:c>
      <x:c r="I113" s="18" t="str">
        <x:v>independent event authority and evidence custodian</x:v>
      </x:c>
      <x:c r="J113" s="14" t="n">
        <x:v>0</x:v>
      </x:c>
      <x:c r="K113" s="14" t="str">
        <x:v>PROGRAMMED / UNEXECUTED</x:v>
      </x:c>
    </x:row>
    <x:row r="114">
      <x:c r="A114" s="14" t="str">
        <x:v>HU-A-B-TECH-2-B-RCN-EVT</x:v>
      </x:c>
      <x:c r="B114" s="14" t="str">
        <x:v>HU-A-B-TECH-2-B-RCN</x:v>
      </x:c>
      <x:c r="C114" s="14" t="str">
        <x:v>HU-A-B-TECH-2</x:v>
      </x:c>
      <x:c r="D114" s="14" t="str">
        <x:v>HU-A-B</x:v>
      </x:c>
      <x:c r="E114" s="14" t="str">
        <x:v>RCN</x:v>
      </x:c>
      <x:c r="F114" s="18" t="str">
        <x:v>clean-team reconstruction, black start and requalification</x:v>
      </x:c>
      <x:c r="G114" s="18" t="n">
        <x:v>72</x:v>
      </x:c>
      <x:c r="H114" s="18" t="n">
        <x:v>1</x:v>
      </x:c>
      <x:c r="I114" s="18" t="str">
        <x:v>independent event authority and evidence custodian</x:v>
      </x:c>
      <x:c r="J114" s="14" t="n">
        <x:v>0</x:v>
      </x:c>
      <x:c r="K114" s="14" t="str">
        <x:v>PROGRAMMED / UNEXECUTED</x:v>
      </x:c>
    </x:row>
    <x:row r="115">
      <x:c r="A115" s="14" t="str">
        <x:v>HU-A-B-TECH-3-A-INT-EVT</x:v>
      </x:c>
      <x:c r="B115" s="14" t="str">
        <x:v>HU-A-B-TECH-3-A-INT</x:v>
      </x:c>
      <x:c r="C115" s="14" t="str">
        <x:v>HU-A-B-TECH-3</x:v>
      </x:c>
      <x:c r="D115" s="14" t="str">
        <x:v>HU-A-B</x:v>
      </x:c>
      <x:c r="E115" s="14" t="str">
        <x:v>INT</x:v>
      </x:c>
      <x:c r="F115" s="18" t="str">
        <x:v>capacity, receiver and thermal calibration</x:v>
      </x:c>
      <x:c r="G115" s="18" t="n">
        <x:v>42</x:v>
      </x:c>
      <x:c r="H115" s="18" t="n">
        <x:v>0</x:v>
      </x:c>
      <x:c r="I115" s="18" t="str">
        <x:v>independent event authority and evidence custodian</x:v>
      </x:c>
      <x:c r="J115" s="14" t="n">
        <x:v>0</x:v>
      </x:c>
      <x:c r="K115" s="14" t="str">
        <x:v>PROGRAMMED / UNEXECUTED</x:v>
      </x:c>
    </x:row>
    <x:row r="116">
      <x:c r="A116" s="14" t="str">
        <x:v>HU-A-B-TECH-3-A-BRK-EVT</x:v>
      </x:c>
      <x:c r="B116" s="14" t="str">
        <x:v>HU-A-B-TECH-3-A-BRK</x:v>
      </x:c>
      <x:c r="C116" s="14" t="str">
        <x:v>HU-A-B-TECH-3</x:v>
      </x:c>
      <x:c r="D116" s="14" t="str">
        <x:v>HU-A-B</x:v>
      </x:c>
      <x:c r="E116" s="14" t="str">
        <x:v>BRK</x:v>
      </x:c>
      <x:c r="F116" s="18" t="str">
        <x:v>block one loop section and its nearest crossbar at full census</x:v>
      </x:c>
      <x:c r="G116" s="18" t="n">
        <x:v>54</x:v>
      </x:c>
      <x:c r="H116" s="18" t="n">
        <x:v>1</x:v>
      </x:c>
      <x:c r="I116" s="18" t="str">
        <x:v>independent event authority and evidence custodian</x:v>
      </x:c>
      <x:c r="J116" s="14" t="n">
        <x:v>0</x:v>
      </x:c>
      <x:c r="K116" s="14" t="str">
        <x:v>PROGRAMMED / UNEXECUTED</x:v>
      </x:c>
    </x:row>
    <x:row r="117">
      <x:c r="A117" s="14" t="str">
        <x:v>HU-A-B-TECH-3-A-RCN-EVT</x:v>
      </x:c>
      <x:c r="B117" s="14" t="str">
        <x:v>HU-A-B-TECH-3-A-RCN</x:v>
      </x:c>
      <x:c r="C117" s="14" t="str">
        <x:v>HU-A-B-TECH-3</x:v>
      </x:c>
      <x:c r="D117" s="14" t="str">
        <x:v>HU-A-B</x:v>
      </x:c>
      <x:c r="E117" s="14" t="str">
        <x:v>RCN</x:v>
      </x:c>
      <x:c r="F117" s="18" t="str">
        <x:v>clean-team reconstruction, black start and requalification</x:v>
      </x:c>
      <x:c r="G117" s="18" t="n">
        <x:v>72</x:v>
      </x:c>
      <x:c r="H117" s="18" t="n">
        <x:v>1</x:v>
      </x:c>
      <x:c r="I117" s="18" t="str">
        <x:v>independent event authority and evidence custodian</x:v>
      </x:c>
      <x:c r="J117" s="14" t="n">
        <x:v>0</x:v>
      </x:c>
      <x:c r="K117" s="14" t="str">
        <x:v>PROGRAMMED / UNEXECUTED</x:v>
      </x:c>
    </x:row>
    <x:row r="118">
      <x:c r="A118" s="14" t="str">
        <x:v>HU-A-B-TECH-3-B-INT-EVT</x:v>
      </x:c>
      <x:c r="B118" s="14" t="str">
        <x:v>HU-A-B-TECH-3-B-INT</x:v>
      </x:c>
      <x:c r="C118" s="14" t="str">
        <x:v>HU-A-B-TECH-3</x:v>
      </x:c>
      <x:c r="D118" s="14" t="str">
        <x:v>HU-A-B</x:v>
      </x:c>
      <x:c r="E118" s="14" t="str">
        <x:v>INT</x:v>
      </x:c>
      <x:c r="F118" s="18" t="str">
        <x:v>capacity, receiver and thermal calibration</x:v>
      </x:c>
      <x:c r="G118" s="18" t="n">
        <x:v>42</x:v>
      </x:c>
      <x:c r="H118" s="18" t="n">
        <x:v>0</x:v>
      </x:c>
      <x:c r="I118" s="18" t="str">
        <x:v>independent event authority and evidence custodian</x:v>
      </x:c>
      <x:c r="J118" s="14" t="n">
        <x:v>0</x:v>
      </x:c>
      <x:c r="K118" s="14" t="str">
        <x:v>PROGRAMMED / UNEXECUTED</x:v>
      </x:c>
    </x:row>
    <x:row r="119">
      <x:c r="A119" s="14" t="str">
        <x:v>HU-A-B-TECH-3-B-BRK-EVT</x:v>
      </x:c>
      <x:c r="B119" s="14" t="str">
        <x:v>HU-A-B-TECH-3-B-BRK</x:v>
      </x:c>
      <x:c r="C119" s="14" t="str">
        <x:v>HU-A-B-TECH-3</x:v>
      </x:c>
      <x:c r="D119" s="14" t="str">
        <x:v>HU-A-B</x:v>
      </x:c>
      <x:c r="E119" s="14" t="str">
        <x:v>BRK</x:v>
      </x:c>
      <x:c r="F119" s="18" t="str">
        <x:v>block one loop section and its nearest crossbar at full census</x:v>
      </x:c>
      <x:c r="G119" s="18" t="n">
        <x:v>54</x:v>
      </x:c>
      <x:c r="H119" s="18" t="n">
        <x:v>1</x:v>
      </x:c>
      <x:c r="I119" s="18" t="str">
        <x:v>independent event authority and evidence custodian</x:v>
      </x:c>
      <x:c r="J119" s="14" t="n">
        <x:v>0</x:v>
      </x:c>
      <x:c r="K119" s="14" t="str">
        <x:v>PROGRAMMED / UNEXECUTED</x:v>
      </x:c>
    </x:row>
    <x:row r="120">
      <x:c r="A120" s="14" t="str">
        <x:v>HU-A-B-TECH-3-B-RCN-EVT</x:v>
      </x:c>
      <x:c r="B120" s="14" t="str">
        <x:v>HU-A-B-TECH-3-B-RCN</x:v>
      </x:c>
      <x:c r="C120" s="14" t="str">
        <x:v>HU-A-B-TECH-3</x:v>
      </x:c>
      <x:c r="D120" s="14" t="str">
        <x:v>HU-A-B</x:v>
      </x:c>
      <x:c r="E120" s="14" t="str">
        <x:v>RCN</x:v>
      </x:c>
      <x:c r="F120" s="18" t="str">
        <x:v>clean-team reconstruction, black start and requalification</x:v>
      </x:c>
      <x:c r="G120" s="18" t="n">
        <x:v>72</x:v>
      </x:c>
      <x:c r="H120" s="18" t="n">
        <x:v>1</x:v>
      </x:c>
      <x:c r="I120" s="18" t="str">
        <x:v>independent event authority and evidence custodian</x:v>
      </x:c>
      <x:c r="J120" s="14" t="n">
        <x:v>0</x:v>
      </x:c>
      <x:c r="K120" s="14" t="str">
        <x:v>PROGRAMMED / UNEXECUTED</x:v>
      </x:c>
    </x:row>
    <x:row r="121">
      <x:c r="A121" s="14" t="str">
        <x:v>HU-A-B-TECH-4-A-INT-EVT</x:v>
      </x:c>
      <x:c r="B121" s="14" t="str">
        <x:v>HU-A-B-TECH-4-A-INT</x:v>
      </x:c>
      <x:c r="C121" s="14" t="str">
        <x:v>HU-A-B-TECH-4</x:v>
      </x:c>
      <x:c r="D121" s="14" t="str">
        <x:v>HU-A-B</x:v>
      </x:c>
      <x:c r="E121" s="14" t="str">
        <x:v>INT</x:v>
      </x:c>
      <x:c r="F121" s="18" t="str">
        <x:v>capacity, receiver and thermal calibration</x:v>
      </x:c>
      <x:c r="G121" s="18" t="n">
        <x:v>42</x:v>
      </x:c>
      <x:c r="H121" s="18" t="n">
        <x:v>0</x:v>
      </x:c>
      <x:c r="I121" s="18" t="str">
        <x:v>independent event authority and evidence custodian</x:v>
      </x:c>
      <x:c r="J121" s="14" t="n">
        <x:v>0</x:v>
      </x:c>
      <x:c r="K121" s="14" t="str">
        <x:v>PROGRAMMED / UNEXECUTED</x:v>
      </x:c>
    </x:row>
    <x:row r="122">
      <x:c r="A122" s="14" t="str">
        <x:v>HU-A-B-TECH-4-A-BRK-EVT</x:v>
      </x:c>
      <x:c r="B122" s="14" t="str">
        <x:v>HU-A-B-TECH-4-A-BRK</x:v>
      </x:c>
      <x:c r="C122" s="14" t="str">
        <x:v>HU-A-B-TECH-4</x:v>
      </x:c>
      <x:c r="D122" s="14" t="str">
        <x:v>HU-A-B</x:v>
      </x:c>
      <x:c r="E122" s="14" t="str">
        <x:v>BRK</x:v>
      </x:c>
      <x:c r="F122" s="18" t="str">
        <x:v>block one loop section and its nearest crossbar at full census</x:v>
      </x:c>
      <x:c r="G122" s="18" t="n">
        <x:v>54</x:v>
      </x:c>
      <x:c r="H122" s="18" t="n">
        <x:v>1</x:v>
      </x:c>
      <x:c r="I122" s="18" t="str">
        <x:v>independent event authority and evidence custodian</x:v>
      </x:c>
      <x:c r="J122" s="14" t="n">
        <x:v>0</x:v>
      </x:c>
      <x:c r="K122" s="14" t="str">
        <x:v>PROGRAMMED / UNEXECUTED</x:v>
      </x:c>
    </x:row>
    <x:row r="123">
      <x:c r="A123" s="14" t="str">
        <x:v>HU-A-B-TECH-4-A-RCN-EVT</x:v>
      </x:c>
      <x:c r="B123" s="14" t="str">
        <x:v>HU-A-B-TECH-4-A-RCN</x:v>
      </x:c>
      <x:c r="C123" s="14" t="str">
        <x:v>HU-A-B-TECH-4</x:v>
      </x:c>
      <x:c r="D123" s="14" t="str">
        <x:v>HU-A-B</x:v>
      </x:c>
      <x:c r="E123" s="14" t="str">
        <x:v>RCN</x:v>
      </x:c>
      <x:c r="F123" s="18" t="str">
        <x:v>clean-team reconstruction, black start and requalification</x:v>
      </x:c>
      <x:c r="G123" s="18" t="n">
        <x:v>72</x:v>
      </x:c>
      <x:c r="H123" s="18" t="n">
        <x:v>1</x:v>
      </x:c>
      <x:c r="I123" s="18" t="str">
        <x:v>independent event authority and evidence custodian</x:v>
      </x:c>
      <x:c r="J123" s="14" t="n">
        <x:v>0</x:v>
      </x:c>
      <x:c r="K123" s="14" t="str">
        <x:v>PROGRAMMED / UNEXECUTED</x:v>
      </x:c>
    </x:row>
    <x:row r="124">
      <x:c r="A124" s="14" t="str">
        <x:v>HU-A-B-TECH-4-B-INT-EVT</x:v>
      </x:c>
      <x:c r="B124" s="14" t="str">
        <x:v>HU-A-B-TECH-4-B-INT</x:v>
      </x:c>
      <x:c r="C124" s="14" t="str">
        <x:v>HU-A-B-TECH-4</x:v>
      </x:c>
      <x:c r="D124" s="14" t="str">
        <x:v>HU-A-B</x:v>
      </x:c>
      <x:c r="E124" s="14" t="str">
        <x:v>INT</x:v>
      </x:c>
      <x:c r="F124" s="18" t="str">
        <x:v>capacity, receiver and thermal calibration</x:v>
      </x:c>
      <x:c r="G124" s="18" t="n">
        <x:v>42</x:v>
      </x:c>
      <x:c r="H124" s="18" t="n">
        <x:v>0</x:v>
      </x:c>
      <x:c r="I124" s="18" t="str">
        <x:v>independent event authority and evidence custodian</x:v>
      </x:c>
      <x:c r="J124" s="14" t="n">
        <x:v>0</x:v>
      </x:c>
      <x:c r="K124" s="14" t="str">
        <x:v>PROGRAMMED / UNEXECUTED</x:v>
      </x:c>
    </x:row>
    <x:row r="125">
      <x:c r="A125" s="14" t="str">
        <x:v>HU-A-B-TECH-4-B-BRK-EVT</x:v>
      </x:c>
      <x:c r="B125" s="14" t="str">
        <x:v>HU-A-B-TECH-4-B-BRK</x:v>
      </x:c>
      <x:c r="C125" s="14" t="str">
        <x:v>HU-A-B-TECH-4</x:v>
      </x:c>
      <x:c r="D125" s="14" t="str">
        <x:v>HU-A-B</x:v>
      </x:c>
      <x:c r="E125" s="14" t="str">
        <x:v>BRK</x:v>
      </x:c>
      <x:c r="F125" s="18" t="str">
        <x:v>block one loop section and its nearest crossbar at full census</x:v>
      </x:c>
      <x:c r="G125" s="18" t="n">
        <x:v>54</x:v>
      </x:c>
      <x:c r="H125" s="18" t="n">
        <x:v>1</x:v>
      </x:c>
      <x:c r="I125" s="18" t="str">
        <x:v>independent event authority and evidence custodian</x:v>
      </x:c>
      <x:c r="J125" s="14" t="n">
        <x:v>0</x:v>
      </x:c>
      <x:c r="K125" s="14" t="str">
        <x:v>PROGRAMMED / UNEXECUTED</x:v>
      </x:c>
    </x:row>
    <x:row r="126">
      <x:c r="A126" s="14" t="str">
        <x:v>HU-A-B-TECH-4-B-RCN-EVT</x:v>
      </x:c>
      <x:c r="B126" s="14" t="str">
        <x:v>HU-A-B-TECH-4-B-RCN</x:v>
      </x:c>
      <x:c r="C126" s="14" t="str">
        <x:v>HU-A-B-TECH-4</x:v>
      </x:c>
      <x:c r="D126" s="14" t="str">
        <x:v>HU-A-B</x:v>
      </x:c>
      <x:c r="E126" s="14" t="str">
        <x:v>RCN</x:v>
      </x:c>
      <x:c r="F126" s="18" t="str">
        <x:v>clean-team reconstruction, black start and requalification</x:v>
      </x:c>
      <x:c r="G126" s="18" t="n">
        <x:v>72</x:v>
      </x:c>
      <x:c r="H126" s="18" t="n">
        <x:v>1</x:v>
      </x:c>
      <x:c r="I126" s="18" t="str">
        <x:v>independent event authority and evidence custodian</x:v>
      </x:c>
      <x:c r="J126" s="14" t="n">
        <x:v>0</x:v>
      </x:c>
      <x:c r="K126" s="14" t="str">
        <x:v>PROGRAMMED / UNEXECUTED</x:v>
      </x:c>
    </x:row>
    <x:row r="127">
      <x:c r="A127" s="14" t="str">
        <x:v>RT-B-C-TECH-1-A-INT-EVT</x:v>
      </x:c>
      <x:c r="B127" s="14" t="str">
        <x:v>RT-B-C-TECH-1-A-INT</x:v>
      </x:c>
      <x:c r="C127" s="14" t="str">
        <x:v>RT-B-C-TECH-1</x:v>
      </x:c>
      <x:c r="D127" s="14" t="str">
        <x:v>RT-B-C</x:v>
      </x:c>
      <x:c r="E127" s="14" t="str">
        <x:v>INT</x:v>
      </x:c>
      <x:c r="F127" s="18" t="str">
        <x:v>capacity, receiver and thermal calibration</x:v>
      </x:c>
      <x:c r="G127" s="18" t="n">
        <x:v>30</x:v>
      </x:c>
      <x:c r="H127" s="18" t="n">
        <x:v>0</x:v>
      </x:c>
      <x:c r="I127" s="18" t="str">
        <x:v>independent event authority and evidence custodian</x:v>
      </x:c>
      <x:c r="J127" s="14" t="n">
        <x:v>0</x:v>
      </x:c>
      <x:c r="K127" s="14" t="str">
        <x:v>PROGRAMMED / UNEXECUTED</x:v>
      </x:c>
    </x:row>
    <x:row r="128">
      <x:c r="A128" s="14" t="str">
        <x:v>RT-B-C-TECH-1-A-BRK-EVT</x:v>
      </x:c>
      <x:c r="B128" s="14" t="str">
        <x:v>RT-B-C-TECH-1-A-BRK</x:v>
      </x:c>
      <x:c r="C128" s="14" t="str">
        <x:v>RT-B-C-TECH-1</x:v>
      </x:c>
      <x:c r="D128" s="14" t="str">
        <x:v>RT-B-C</x:v>
      </x:c>
      <x:c r="E128" s="14" t="str">
        <x:v>BRK</x:v>
      </x:c>
      <x:c r="F128" s="18" t="str">
        <x:v>isolate one trainlet and remove its largest energy cell</x:v>
      </x:c>
      <x:c r="G128" s="18" t="n">
        <x:v>42</x:v>
      </x:c>
      <x:c r="H128" s="18" t="n">
        <x:v>1</x:v>
      </x:c>
      <x:c r="I128" s="18" t="str">
        <x:v>independent event authority and evidence custodian</x:v>
      </x:c>
      <x:c r="J128" s="14" t="n">
        <x:v>0</x:v>
      </x:c>
      <x:c r="K128" s="14" t="str">
        <x:v>PROGRAMMED / UNEXECUTED</x:v>
      </x:c>
    </x:row>
    <x:row r="129">
      <x:c r="A129" s="14" t="str">
        <x:v>RT-B-C-TECH-1-A-RCN-EVT</x:v>
      </x:c>
      <x:c r="B129" s="14" t="str">
        <x:v>RT-B-C-TECH-1-A-RCN</x:v>
      </x:c>
      <x:c r="C129" s="14" t="str">
        <x:v>RT-B-C-TECH-1</x:v>
      </x:c>
      <x:c r="D129" s="14" t="str">
        <x:v>RT-B-C</x:v>
      </x:c>
      <x:c r="E129" s="14" t="str">
        <x:v>RCN</x:v>
      </x:c>
      <x:c r="F129" s="18" t="str">
        <x:v>clean-team reconstruction, black start and requalification</x:v>
      </x:c>
      <x:c r="G129" s="18" t="n">
        <x:v>54</x:v>
      </x:c>
      <x:c r="H129" s="18" t="n">
        <x:v>1</x:v>
      </x:c>
      <x:c r="I129" s="18" t="str">
        <x:v>independent event authority and evidence custodian</x:v>
      </x:c>
      <x:c r="J129" s="14" t="n">
        <x:v>0</x:v>
      </x:c>
      <x:c r="K129" s="14" t="str">
        <x:v>PROGRAMMED / UNEXECUTED</x:v>
      </x:c>
    </x:row>
    <x:row r="130">
      <x:c r="A130" s="14" t="str">
        <x:v>RT-B-C-TECH-1-B-INT-EVT</x:v>
      </x:c>
      <x:c r="B130" s="14" t="str">
        <x:v>RT-B-C-TECH-1-B-INT</x:v>
      </x:c>
      <x:c r="C130" s="14" t="str">
        <x:v>RT-B-C-TECH-1</x:v>
      </x:c>
      <x:c r="D130" s="14" t="str">
        <x:v>RT-B-C</x:v>
      </x:c>
      <x:c r="E130" s="14" t="str">
        <x:v>INT</x:v>
      </x:c>
      <x:c r="F130" s="18" t="str">
        <x:v>capacity, receiver and thermal calibration</x:v>
      </x:c>
      <x:c r="G130" s="18" t="n">
        <x:v>30</x:v>
      </x:c>
      <x:c r="H130" s="18" t="n">
        <x:v>0</x:v>
      </x:c>
      <x:c r="I130" s="18" t="str">
        <x:v>independent event authority and evidence custodian</x:v>
      </x:c>
      <x:c r="J130" s="14" t="n">
        <x:v>0</x:v>
      </x:c>
      <x:c r="K130" s="14" t="str">
        <x:v>PROGRAMMED / UNEXECUTED</x:v>
      </x:c>
    </x:row>
    <x:row r="131">
      <x:c r="A131" s="14" t="str">
        <x:v>RT-B-C-TECH-1-B-BRK-EVT</x:v>
      </x:c>
      <x:c r="B131" s="14" t="str">
        <x:v>RT-B-C-TECH-1-B-BRK</x:v>
      </x:c>
      <x:c r="C131" s="14" t="str">
        <x:v>RT-B-C-TECH-1</x:v>
      </x:c>
      <x:c r="D131" s="14" t="str">
        <x:v>RT-B-C</x:v>
      </x:c>
      <x:c r="E131" s="14" t="str">
        <x:v>BRK</x:v>
      </x:c>
      <x:c r="F131" s="18" t="str">
        <x:v>isolate one trainlet and remove its largest energy cell</x:v>
      </x:c>
      <x:c r="G131" s="18" t="n">
        <x:v>42</x:v>
      </x:c>
      <x:c r="H131" s="18" t="n">
        <x:v>1</x:v>
      </x:c>
      <x:c r="I131" s="18" t="str">
        <x:v>independent event authority and evidence custodian</x:v>
      </x:c>
      <x:c r="J131" s="14" t="n">
        <x:v>0</x:v>
      </x:c>
      <x:c r="K131" s="14" t="str">
        <x:v>PROGRAMMED / UNEXECUTED</x:v>
      </x:c>
    </x:row>
    <x:row r="132">
      <x:c r="A132" s="14" t="str">
        <x:v>RT-B-C-TECH-1-B-RCN-EVT</x:v>
      </x:c>
      <x:c r="B132" s="14" t="str">
        <x:v>RT-B-C-TECH-1-B-RCN</x:v>
      </x:c>
      <x:c r="C132" s="14" t="str">
        <x:v>RT-B-C-TECH-1</x:v>
      </x:c>
      <x:c r="D132" s="14" t="str">
        <x:v>RT-B-C</x:v>
      </x:c>
      <x:c r="E132" s="14" t="str">
        <x:v>RCN</x:v>
      </x:c>
      <x:c r="F132" s="18" t="str">
        <x:v>clean-team reconstruction, black start and requalification</x:v>
      </x:c>
      <x:c r="G132" s="18" t="n">
        <x:v>54</x:v>
      </x:c>
      <x:c r="H132" s="18" t="n">
        <x:v>1</x:v>
      </x:c>
      <x:c r="I132" s="18" t="str">
        <x:v>independent event authority and evidence custodian</x:v>
      </x:c>
      <x:c r="J132" s="14" t="n">
        <x:v>0</x:v>
      </x:c>
      <x:c r="K132" s="14" t="str">
        <x:v>PROGRAMMED / UNEXECUTED</x:v>
      </x:c>
    </x:row>
    <x:row r="133">
      <x:c r="A133" s="14" t="str">
        <x:v>RT-B-C-TECH-2-A-INT-EVT</x:v>
      </x:c>
      <x:c r="B133" s="14" t="str">
        <x:v>RT-B-C-TECH-2-A-INT</x:v>
      </x:c>
      <x:c r="C133" s="14" t="str">
        <x:v>RT-B-C-TECH-2</x:v>
      </x:c>
      <x:c r="D133" s="14" t="str">
        <x:v>RT-B-C</x:v>
      </x:c>
      <x:c r="E133" s="14" t="str">
        <x:v>INT</x:v>
      </x:c>
      <x:c r="F133" s="18" t="str">
        <x:v>capacity, receiver and thermal calibration</x:v>
      </x:c>
      <x:c r="G133" s="18" t="n">
        <x:v>30</x:v>
      </x:c>
      <x:c r="H133" s="18" t="n">
        <x:v>0</x:v>
      </x:c>
      <x:c r="I133" s="18" t="str">
        <x:v>independent event authority and evidence custodian</x:v>
      </x:c>
      <x:c r="J133" s="14" t="n">
        <x:v>0</x:v>
      </x:c>
      <x:c r="K133" s="14" t="str">
        <x:v>PROGRAMMED / UNEXECUTED</x:v>
      </x:c>
    </x:row>
    <x:row r="134">
      <x:c r="A134" s="14" t="str">
        <x:v>RT-B-C-TECH-2-A-BRK-EVT</x:v>
      </x:c>
      <x:c r="B134" s="14" t="str">
        <x:v>RT-B-C-TECH-2-A-BRK</x:v>
      </x:c>
      <x:c r="C134" s="14" t="str">
        <x:v>RT-B-C-TECH-2</x:v>
      </x:c>
      <x:c r="D134" s="14" t="str">
        <x:v>RT-B-C</x:v>
      </x:c>
      <x:c r="E134" s="14" t="str">
        <x:v>BRK</x:v>
      </x:c>
      <x:c r="F134" s="18" t="str">
        <x:v>isolate one trainlet and remove its largest energy cell</x:v>
      </x:c>
      <x:c r="G134" s="18" t="n">
        <x:v>42</x:v>
      </x:c>
      <x:c r="H134" s="18" t="n">
        <x:v>1</x:v>
      </x:c>
      <x:c r="I134" s="18" t="str">
        <x:v>independent event authority and evidence custodian</x:v>
      </x:c>
      <x:c r="J134" s="14" t="n">
        <x:v>0</x:v>
      </x:c>
      <x:c r="K134" s="14" t="str">
        <x:v>PROGRAMMED / UNEXECUTED</x:v>
      </x:c>
    </x:row>
    <x:row r="135">
      <x:c r="A135" s="14" t="str">
        <x:v>RT-B-C-TECH-2-A-RCN-EVT</x:v>
      </x:c>
      <x:c r="B135" s="14" t="str">
        <x:v>RT-B-C-TECH-2-A-RCN</x:v>
      </x:c>
      <x:c r="C135" s="14" t="str">
        <x:v>RT-B-C-TECH-2</x:v>
      </x:c>
      <x:c r="D135" s="14" t="str">
        <x:v>RT-B-C</x:v>
      </x:c>
      <x:c r="E135" s="14" t="str">
        <x:v>RCN</x:v>
      </x:c>
      <x:c r="F135" s="18" t="str">
        <x:v>clean-team reconstruction, black start and requalification</x:v>
      </x:c>
      <x:c r="G135" s="18" t="n">
        <x:v>54</x:v>
      </x:c>
      <x:c r="H135" s="18" t="n">
        <x:v>1</x:v>
      </x:c>
      <x:c r="I135" s="18" t="str">
        <x:v>independent event authority and evidence custodian</x:v>
      </x:c>
      <x:c r="J135" s="14" t="n">
        <x:v>0</x:v>
      </x:c>
      <x:c r="K135" s="14" t="str">
        <x:v>PROGRAMMED / UNEXECUTED</x:v>
      </x:c>
    </x:row>
    <x:row r="136">
      <x:c r="A136" s="14" t="str">
        <x:v>RT-B-C-TECH-2-B-INT-EVT</x:v>
      </x:c>
      <x:c r="B136" s="14" t="str">
        <x:v>RT-B-C-TECH-2-B-INT</x:v>
      </x:c>
      <x:c r="C136" s="14" t="str">
        <x:v>RT-B-C-TECH-2</x:v>
      </x:c>
      <x:c r="D136" s="14" t="str">
        <x:v>RT-B-C</x:v>
      </x:c>
      <x:c r="E136" s="14" t="str">
        <x:v>INT</x:v>
      </x:c>
      <x:c r="F136" s="18" t="str">
        <x:v>capacity, receiver and thermal calibration</x:v>
      </x:c>
      <x:c r="G136" s="18" t="n">
        <x:v>30</x:v>
      </x:c>
      <x:c r="H136" s="18" t="n">
        <x:v>0</x:v>
      </x:c>
      <x:c r="I136" s="18" t="str">
        <x:v>independent event authority and evidence custodian</x:v>
      </x:c>
      <x:c r="J136" s="14" t="n">
        <x:v>0</x:v>
      </x:c>
      <x:c r="K136" s="14" t="str">
        <x:v>PROGRAMMED / UNEXECUTED</x:v>
      </x:c>
    </x:row>
    <x:row r="137">
      <x:c r="A137" s="14" t="str">
        <x:v>RT-B-C-TECH-2-B-BRK-EVT</x:v>
      </x:c>
      <x:c r="B137" s="14" t="str">
        <x:v>RT-B-C-TECH-2-B-BRK</x:v>
      </x:c>
      <x:c r="C137" s="14" t="str">
        <x:v>RT-B-C-TECH-2</x:v>
      </x:c>
      <x:c r="D137" s="14" t="str">
        <x:v>RT-B-C</x:v>
      </x:c>
      <x:c r="E137" s="14" t="str">
        <x:v>BRK</x:v>
      </x:c>
      <x:c r="F137" s="18" t="str">
        <x:v>isolate one trainlet and remove its largest energy cell</x:v>
      </x:c>
      <x:c r="G137" s="18" t="n">
        <x:v>42</x:v>
      </x:c>
      <x:c r="H137" s="18" t="n">
        <x:v>1</x:v>
      </x:c>
      <x:c r="I137" s="18" t="str">
        <x:v>independent event authority and evidence custodian</x:v>
      </x:c>
      <x:c r="J137" s="14" t="n">
        <x:v>0</x:v>
      </x:c>
      <x:c r="K137" s="14" t="str">
        <x:v>PROGRAMMED / UNEXECUTED</x:v>
      </x:c>
    </x:row>
    <x:row r="138">
      <x:c r="A138" s="14" t="str">
        <x:v>RT-B-C-TECH-2-B-RCN-EVT</x:v>
      </x:c>
      <x:c r="B138" s="14" t="str">
        <x:v>RT-B-C-TECH-2-B-RCN</x:v>
      </x:c>
      <x:c r="C138" s="14" t="str">
        <x:v>RT-B-C-TECH-2</x:v>
      </x:c>
      <x:c r="D138" s="14" t="str">
        <x:v>RT-B-C</x:v>
      </x:c>
      <x:c r="E138" s="14" t="str">
        <x:v>RCN</x:v>
      </x:c>
      <x:c r="F138" s="18" t="str">
        <x:v>clean-team reconstruction, black start and requalification</x:v>
      </x:c>
      <x:c r="G138" s="18" t="n">
        <x:v>54</x:v>
      </x:c>
      <x:c r="H138" s="18" t="n">
        <x:v>1</x:v>
      </x:c>
      <x:c r="I138" s="18" t="str">
        <x:v>independent event authority and evidence custodian</x:v>
      </x:c>
      <x:c r="J138" s="14" t="n">
        <x:v>0</x:v>
      </x:c>
      <x:c r="K138" s="14" t="str">
        <x:v>PROGRAMMED / UNEXECUTED</x:v>
      </x:c>
    </x:row>
    <x:row r="139">
      <x:c r="A139" s="14" t="str">
        <x:v>RT-B-C-TECH-3-A-INT-EVT</x:v>
      </x:c>
      <x:c r="B139" s="14" t="str">
        <x:v>RT-B-C-TECH-3-A-INT</x:v>
      </x:c>
      <x:c r="C139" s="14" t="str">
        <x:v>RT-B-C-TECH-3</x:v>
      </x:c>
      <x:c r="D139" s="14" t="str">
        <x:v>RT-B-C</x:v>
      </x:c>
      <x:c r="E139" s="14" t="str">
        <x:v>INT</x:v>
      </x:c>
      <x:c r="F139" s="18" t="str">
        <x:v>capacity, receiver and thermal calibration</x:v>
      </x:c>
      <x:c r="G139" s="18" t="n">
        <x:v>30</x:v>
      </x:c>
      <x:c r="H139" s="18" t="n">
        <x:v>0</x:v>
      </x:c>
      <x:c r="I139" s="18" t="str">
        <x:v>independent event authority and evidence custodian</x:v>
      </x:c>
      <x:c r="J139" s="14" t="n">
        <x:v>0</x:v>
      </x:c>
      <x:c r="K139" s="14" t="str">
        <x:v>PROGRAMMED / UNEXECUTED</x:v>
      </x:c>
    </x:row>
    <x:row r="140">
      <x:c r="A140" s="14" t="str">
        <x:v>RT-B-C-TECH-3-A-BRK-EVT</x:v>
      </x:c>
      <x:c r="B140" s="14" t="str">
        <x:v>RT-B-C-TECH-3-A-BRK</x:v>
      </x:c>
      <x:c r="C140" s="14" t="str">
        <x:v>RT-B-C-TECH-3</x:v>
      </x:c>
      <x:c r="D140" s="14" t="str">
        <x:v>RT-B-C</x:v>
      </x:c>
      <x:c r="E140" s="14" t="str">
        <x:v>BRK</x:v>
      </x:c>
      <x:c r="F140" s="18" t="str">
        <x:v>isolate one trainlet and remove its largest energy cell</x:v>
      </x:c>
      <x:c r="G140" s="18" t="n">
        <x:v>42</x:v>
      </x:c>
      <x:c r="H140" s="18" t="n">
        <x:v>1</x:v>
      </x:c>
      <x:c r="I140" s="18" t="str">
        <x:v>independent event authority and evidence custodian</x:v>
      </x:c>
      <x:c r="J140" s="14" t="n">
        <x:v>0</x:v>
      </x:c>
      <x:c r="K140" s="14" t="str">
        <x:v>PROGRAMMED / UNEXECUTED</x:v>
      </x:c>
    </x:row>
    <x:row r="141">
      <x:c r="A141" s="14" t="str">
        <x:v>RT-B-C-TECH-3-A-RCN-EVT</x:v>
      </x:c>
      <x:c r="B141" s="14" t="str">
        <x:v>RT-B-C-TECH-3-A-RCN</x:v>
      </x:c>
      <x:c r="C141" s="14" t="str">
        <x:v>RT-B-C-TECH-3</x:v>
      </x:c>
      <x:c r="D141" s="14" t="str">
        <x:v>RT-B-C</x:v>
      </x:c>
      <x:c r="E141" s="14" t="str">
        <x:v>RCN</x:v>
      </x:c>
      <x:c r="F141" s="18" t="str">
        <x:v>clean-team reconstruction, black start and requalification</x:v>
      </x:c>
      <x:c r="G141" s="18" t="n">
        <x:v>54</x:v>
      </x:c>
      <x:c r="H141" s="18" t="n">
        <x:v>1</x:v>
      </x:c>
      <x:c r="I141" s="18" t="str">
        <x:v>independent event authority and evidence custodian</x:v>
      </x:c>
      <x:c r="J141" s="14" t="n">
        <x:v>0</x:v>
      </x:c>
      <x:c r="K141" s="14" t="str">
        <x:v>PROGRAMMED / UNEXECUTED</x:v>
      </x:c>
    </x:row>
    <x:row r="142">
      <x:c r="A142" s="14" t="str">
        <x:v>RT-B-C-TECH-3-B-INT-EVT</x:v>
      </x:c>
      <x:c r="B142" s="14" t="str">
        <x:v>RT-B-C-TECH-3-B-INT</x:v>
      </x:c>
      <x:c r="C142" s="14" t="str">
        <x:v>RT-B-C-TECH-3</x:v>
      </x:c>
      <x:c r="D142" s="14" t="str">
        <x:v>RT-B-C</x:v>
      </x:c>
      <x:c r="E142" s="14" t="str">
        <x:v>INT</x:v>
      </x:c>
      <x:c r="F142" s="18" t="str">
        <x:v>capacity, receiver and thermal calibration</x:v>
      </x:c>
      <x:c r="G142" s="18" t="n">
        <x:v>30</x:v>
      </x:c>
      <x:c r="H142" s="18" t="n">
        <x:v>0</x:v>
      </x:c>
      <x:c r="I142" s="18" t="str">
        <x:v>independent event authority and evidence custodian</x:v>
      </x:c>
      <x:c r="J142" s="14" t="n">
        <x:v>0</x:v>
      </x:c>
      <x:c r="K142" s="14" t="str">
        <x:v>PROGRAMMED / UNEXECUTED</x:v>
      </x:c>
    </x:row>
    <x:row r="143">
      <x:c r="A143" s="14" t="str">
        <x:v>RT-B-C-TECH-3-B-BRK-EVT</x:v>
      </x:c>
      <x:c r="B143" s="14" t="str">
        <x:v>RT-B-C-TECH-3-B-BRK</x:v>
      </x:c>
      <x:c r="C143" s="14" t="str">
        <x:v>RT-B-C-TECH-3</x:v>
      </x:c>
      <x:c r="D143" s="14" t="str">
        <x:v>RT-B-C</x:v>
      </x:c>
      <x:c r="E143" s="14" t="str">
        <x:v>BRK</x:v>
      </x:c>
      <x:c r="F143" s="18" t="str">
        <x:v>isolate one trainlet and remove its largest energy cell</x:v>
      </x:c>
      <x:c r="G143" s="18" t="n">
        <x:v>42</x:v>
      </x:c>
      <x:c r="H143" s="18" t="n">
        <x:v>1</x:v>
      </x:c>
      <x:c r="I143" s="18" t="str">
        <x:v>independent event authority and evidence custodian</x:v>
      </x:c>
      <x:c r="J143" s="14" t="n">
        <x:v>0</x:v>
      </x:c>
      <x:c r="K143" s="14" t="str">
        <x:v>PROGRAMMED / UNEXECUTED</x:v>
      </x:c>
    </x:row>
    <x:row r="144">
      <x:c r="A144" s="14" t="str">
        <x:v>RT-B-C-TECH-3-B-RCN-EVT</x:v>
      </x:c>
      <x:c r="B144" s="14" t="str">
        <x:v>RT-B-C-TECH-3-B-RCN</x:v>
      </x:c>
      <x:c r="C144" s="14" t="str">
        <x:v>RT-B-C-TECH-3</x:v>
      </x:c>
      <x:c r="D144" s="14" t="str">
        <x:v>RT-B-C</x:v>
      </x:c>
      <x:c r="E144" s="14" t="str">
        <x:v>RCN</x:v>
      </x:c>
      <x:c r="F144" s="18" t="str">
        <x:v>clean-team reconstruction, black start and requalification</x:v>
      </x:c>
      <x:c r="G144" s="18" t="n">
        <x:v>54</x:v>
      </x:c>
      <x:c r="H144" s="18" t="n">
        <x:v>1</x:v>
      </x:c>
      <x:c r="I144" s="18" t="str">
        <x:v>independent event authority and evidence custodian</x:v>
      </x:c>
      <x:c r="J144" s="14" t="n">
        <x:v>0</x:v>
      </x:c>
      <x:c r="K144" s="14" t="str">
        <x:v>PROGRAMMED / UNEXECUTED</x:v>
      </x:c>
    </x:row>
    <x:row r="145">
      <x:c r="A145" s="14" t="str">
        <x:v>RT-B-C-TECH-4-A-INT-EVT</x:v>
      </x:c>
      <x:c r="B145" s="14" t="str">
        <x:v>RT-B-C-TECH-4-A-INT</x:v>
      </x:c>
      <x:c r="C145" s="14" t="str">
        <x:v>RT-B-C-TECH-4</x:v>
      </x:c>
      <x:c r="D145" s="14" t="str">
        <x:v>RT-B-C</x:v>
      </x:c>
      <x:c r="E145" s="14" t="str">
        <x:v>INT</x:v>
      </x:c>
      <x:c r="F145" s="18" t="str">
        <x:v>capacity, receiver and thermal calibration</x:v>
      </x:c>
      <x:c r="G145" s="18" t="n">
        <x:v>30</x:v>
      </x:c>
      <x:c r="H145" s="18" t="n">
        <x:v>0</x:v>
      </x:c>
      <x:c r="I145" s="18" t="str">
        <x:v>independent event authority and evidence custodian</x:v>
      </x:c>
      <x:c r="J145" s="14" t="n">
        <x:v>0</x:v>
      </x:c>
      <x:c r="K145" s="14" t="str">
        <x:v>PROGRAMMED / UNEXECUTED</x:v>
      </x:c>
    </x:row>
    <x:row r="146">
      <x:c r="A146" s="14" t="str">
        <x:v>RT-B-C-TECH-4-A-BRK-EVT</x:v>
      </x:c>
      <x:c r="B146" s="14" t="str">
        <x:v>RT-B-C-TECH-4-A-BRK</x:v>
      </x:c>
      <x:c r="C146" s="14" t="str">
        <x:v>RT-B-C-TECH-4</x:v>
      </x:c>
      <x:c r="D146" s="14" t="str">
        <x:v>RT-B-C</x:v>
      </x:c>
      <x:c r="E146" s="14" t="str">
        <x:v>BRK</x:v>
      </x:c>
      <x:c r="F146" s="18" t="str">
        <x:v>isolate one trainlet and remove its largest energy cell</x:v>
      </x:c>
      <x:c r="G146" s="18" t="n">
        <x:v>42</x:v>
      </x:c>
      <x:c r="H146" s="18" t="n">
        <x:v>1</x:v>
      </x:c>
      <x:c r="I146" s="18" t="str">
        <x:v>independent event authority and evidence custodian</x:v>
      </x:c>
      <x:c r="J146" s="14" t="n">
        <x:v>0</x:v>
      </x:c>
      <x:c r="K146" s="14" t="str">
        <x:v>PROGRAMMED / UNEXECUTED</x:v>
      </x:c>
    </x:row>
    <x:row r="147">
      <x:c r="A147" s="14" t="str">
        <x:v>RT-B-C-TECH-4-A-RCN-EVT</x:v>
      </x:c>
      <x:c r="B147" s="14" t="str">
        <x:v>RT-B-C-TECH-4-A-RCN</x:v>
      </x:c>
      <x:c r="C147" s="14" t="str">
        <x:v>RT-B-C-TECH-4</x:v>
      </x:c>
      <x:c r="D147" s="14" t="str">
        <x:v>RT-B-C</x:v>
      </x:c>
      <x:c r="E147" s="14" t="str">
        <x:v>RCN</x:v>
      </x:c>
      <x:c r="F147" s="18" t="str">
        <x:v>clean-team reconstruction, black start and requalification</x:v>
      </x:c>
      <x:c r="G147" s="18" t="n">
        <x:v>54</x:v>
      </x:c>
      <x:c r="H147" s="18" t="n">
        <x:v>1</x:v>
      </x:c>
      <x:c r="I147" s="18" t="str">
        <x:v>independent event authority and evidence custodian</x:v>
      </x:c>
      <x:c r="J147" s="14" t="n">
        <x:v>0</x:v>
      </x:c>
      <x:c r="K147" s="14" t="str">
        <x:v>PROGRAMMED / UNEXECUTED</x:v>
      </x:c>
    </x:row>
    <x:row r="148">
      <x:c r="A148" s="14" t="str">
        <x:v>RT-B-C-TECH-4-B-INT-EVT</x:v>
      </x:c>
      <x:c r="B148" s="14" t="str">
        <x:v>RT-B-C-TECH-4-B-INT</x:v>
      </x:c>
      <x:c r="C148" s="14" t="str">
        <x:v>RT-B-C-TECH-4</x:v>
      </x:c>
      <x:c r="D148" s="14" t="str">
        <x:v>RT-B-C</x:v>
      </x:c>
      <x:c r="E148" s="14" t="str">
        <x:v>INT</x:v>
      </x:c>
      <x:c r="F148" s="18" t="str">
        <x:v>capacity, receiver and thermal calibration</x:v>
      </x:c>
      <x:c r="G148" s="18" t="n">
        <x:v>30</x:v>
      </x:c>
      <x:c r="H148" s="18" t="n">
        <x:v>0</x:v>
      </x:c>
      <x:c r="I148" s="18" t="str">
        <x:v>independent event authority and evidence custodian</x:v>
      </x:c>
      <x:c r="J148" s="14" t="n">
        <x:v>0</x:v>
      </x:c>
      <x:c r="K148" s="14" t="str">
        <x:v>PROGRAMMED / UNEXECUTED</x:v>
      </x:c>
    </x:row>
    <x:row r="149">
      <x:c r="A149" s="14" t="str">
        <x:v>RT-B-C-TECH-4-B-BRK-EVT</x:v>
      </x:c>
      <x:c r="B149" s="14" t="str">
        <x:v>RT-B-C-TECH-4-B-BRK</x:v>
      </x:c>
      <x:c r="C149" s="14" t="str">
        <x:v>RT-B-C-TECH-4</x:v>
      </x:c>
      <x:c r="D149" s="14" t="str">
        <x:v>RT-B-C</x:v>
      </x:c>
      <x:c r="E149" s="14" t="str">
        <x:v>BRK</x:v>
      </x:c>
      <x:c r="F149" s="18" t="str">
        <x:v>isolate one trainlet and remove its largest energy cell</x:v>
      </x:c>
      <x:c r="G149" s="18" t="n">
        <x:v>42</x:v>
      </x:c>
      <x:c r="H149" s="18" t="n">
        <x:v>1</x:v>
      </x:c>
      <x:c r="I149" s="18" t="str">
        <x:v>independent event authority and evidence custodian</x:v>
      </x:c>
      <x:c r="J149" s="14" t="n">
        <x:v>0</x:v>
      </x:c>
      <x:c r="K149" s="14" t="str">
        <x:v>PROGRAMMED / UNEXECUTED</x:v>
      </x:c>
    </x:row>
    <x:row r="150">
      <x:c r="A150" s="14" t="str">
        <x:v>RT-B-C-TECH-4-B-RCN-EVT</x:v>
      </x:c>
      <x:c r="B150" s="14" t="str">
        <x:v>RT-B-C-TECH-4-B-RCN</x:v>
      </x:c>
      <x:c r="C150" s="14" t="str">
        <x:v>RT-B-C-TECH-4</x:v>
      </x:c>
      <x:c r="D150" s="14" t="str">
        <x:v>RT-B-C</x:v>
      </x:c>
      <x:c r="E150" s="14" t="str">
        <x:v>RCN</x:v>
      </x:c>
      <x:c r="F150" s="18" t="str">
        <x:v>clean-team reconstruction, black start and requalification</x:v>
      </x:c>
      <x:c r="G150" s="18" t="n">
        <x:v>54</x:v>
      </x:c>
      <x:c r="H150" s="18" t="n">
        <x:v>1</x:v>
      </x:c>
      <x:c r="I150" s="18" t="str">
        <x:v>independent event authority and evidence custodian</x:v>
      </x:c>
      <x:c r="J150" s="14" t="n">
        <x:v>0</x:v>
      </x:c>
      <x:c r="K150" s="14" t="str">
        <x:v>PROGRAMMED / UNEXECUTED</x:v>
      </x:c>
    </x:row>
  </x:sheetData>
  <x:pageMargins left="0.7" right="0.7" top="0.75" bottom="0.75" header="0.3" footer="0.3"/>
  <x:tableParts count="1">
    <x:tablePart xmlns:r="http://schemas.openxmlformats.org/officeDocument/2006/relationships" r:id="Re6fa04a8470849e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1" hidden="0" customWidth="1"/>
    <x:col min="3" max="3" width="13" hidden="0" customWidth="1"/>
    <x:col min="4" max="4" width="11" hidden="0" customWidth="1"/>
    <x:col min="5" max="5" width="13" hidden="0" customWidth="1"/>
    <x:col min="6" max="6" width="15" hidden="0" customWidth="1"/>
    <x:col min="7" max="7" width="18" hidden="0" customWidth="1"/>
    <x:col min="8" max="8" width="18" hidden="0" customWidth="1"/>
    <x:col min="9" max="9" width="18" hidden="0" customWidth="1"/>
    <x:col min="10" max="10" width="22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22" hidden="0" customWidth="1"/>
    <x:col min="16" max="16" width="34" hidden="0" customWidth="1"/>
  </x:cols>
  <x:sheetData>
    <x:row r="1">
      <x:c r="A1" s="14"/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</x:row>
    <x:row r="2">
      <x:c r="A2" s="56" t="str">
        <x:v>Cost and workforce exposure by form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</x:row>
    <x:row r="3">
      <x:c r="A3" s="16"/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  <x:c r="N3" s="16"/>
      <x:c r="O3" s="16"/>
      <x:c r="P3" s="16"/>
      <x:c r="Q3" s="2"/>
    </x:row>
    <x:row r="4">
      <x:c r="A4" s="14"/>
      <x:c r="B4" s="14"/>
      <x:c r="C4" s="14"/>
      <x:c r="D4" s="14"/>
      <x:c r="E4" s="14"/>
      <x:c r="F4" s="14"/>
      <x:c r="G4" s="14"/>
      <x:c r="H4" s="14"/>
      <x:c r="I4" s="14"/>
      <x:c r="J4" s="14"/>
      <x:c r="K4" s="14"/>
      <x:c r="L4" s="14"/>
      <x:c r="M4" s="14"/>
      <x:c r="N4" s="14"/>
      <x:c r="O4" s="14"/>
      <x:c r="P4" s="14"/>
    </x:row>
    <x:row r="5">
      <x:c r="A5" s="14"/>
      <x:c r="B5" s="14"/>
      <x:c r="C5" s="14"/>
      <x:c r="D5" s="14"/>
      <x:c r="E5" s="14"/>
      <x:c r="F5" s="14"/>
      <x:c r="G5" s="14"/>
      <x:c r="H5" s="14"/>
      <x:c r="I5" s="14"/>
      <x:c r="J5" s="14"/>
      <x:c r="K5" s="14"/>
      <x:c r="L5" s="14"/>
      <x:c r="M5" s="14"/>
      <x:c r="N5" s="14"/>
      <x:c r="O5" s="14"/>
      <x:c r="P5" s="14"/>
    </x:row>
    <x:row r="6" ht="42" customHeight="1">
      <x:c r="A6" s="18" t="str">
        <x:v>Form</x:v>
      </x:c>
      <x:c r="B6" s="18" t="str">
        <x:v>Families</x:v>
      </x:c>
      <x:c r="C6" s="18" t="str">
        <x:v>Builder lines</x:v>
      </x:c>
      <x:c r="D6" s="18" t="str">
        <x:v>Articles</x:v>
      </x:c>
      <x:c r="E6" s="18" t="str">
        <x:v>Tooling cells</x:v>
      </x:c>
      <x:c r="F6" s="18" t="str">
        <x:v>Public fixtures</x:v>
      </x:c>
      <x:c r="G6" s="18" t="str">
        <x:v>Article spend (USD M)</x:v>
      </x:c>
      <x:c r="H6" s="18" t="str">
        <x:v>Tooling spend (USD M)</x:v>
      </x:c>
      <x:c r="I6" s="18" t="str">
        <x:v>Fixture spend (USD M)</x:v>
      </x:c>
      <x:c r="J6" s="18" t="str">
        <x:v>Operations and evidence (USD M)</x:v>
      </x:c>
      <x:c r="K6" s="18" t="str">
        <x:v>Base exposure (USD M)</x:v>
      </x:c>
      <x:c r="L6" s="18" t="str">
        <x:v>Low exposure (USD M)</x:v>
      </x:c>
      <x:c r="M6" s="18" t="str">
        <x:v>High exposure (USD M)</x:v>
      </x:c>
      <x:c r="N6" s="18" t="str">
        <x:v>Average direct position-equivalents</x:v>
      </x:c>
      <x:c r="O6" s="18" t="str">
        <x:v>Peak direct position-equivalents</x:v>
      </x:c>
      <x:c r="P6" s="18" t="str">
        <x:v>State</x:v>
      </x:c>
    </x:row>
    <x:row r="7">
      <x:c r="A7" s="14" t="str">
        <x:v>ET-A-A</x:v>
      </x:c>
      <x:c r="B7" s="14" t="n">
        <x:f>COUNTIF('Article Families'!$B$7:$B$30,A7)</x:f>
        <x:v>4</x:v>
      </x:c>
      <x:c r="C7" s="14" t="n">
        <x:f>SUMIF('Article Families'!$B$7:$B$30,A7,'Article Families'!$F$7:$F$30)</x:f>
        <x:v>8</x:v>
      </x:c>
      <x:c r="D7" s="14" t="n">
        <x:f>SUMIF('Article Families'!$B$7:$B$30,A7,'Article Families'!$H$7:$H$30)</x:f>
        <x:v>24</x:v>
      </x:c>
      <x:c r="E7" s="14" t="n">
        <x:f>B7*Inputs!$B$10</x:f>
        <x:v>8</x:v>
      </x:c>
      <x:c r="F7" s="14" t="n">
        <x:f>B7*Inputs!$B$11</x:f>
        <x:v>8</x:v>
      </x:c>
      <x:c r="G7" s="19" t="n">
        <x:f>SUMIF('Article Families'!$B$7:$B$30,A7,'Article Families'!$J$7:$J$30)</x:f>
        <x:v>3600</x:v>
      </x:c>
      <x:c r="H7" s="19" t="n">
        <x:f>SUMIF('Article Families'!$B$7:$B$30,A7,'Article Families'!$K$7:$K$30)</x:f>
        <x:v>940</x:v>
      </x:c>
      <x:c r="I7" s="19" t="n">
        <x:f>SUMIF('Article Families'!$B$7:$B$30,A7,'Article Families'!$L$7:$L$30)</x:f>
        <x:v>1320</x:v>
      </x:c>
      <x:c r="J7" s="19" t="n">
        <x:f>SUMIF('Article Families'!$B$7:$B$30,A7,'Article Families'!$M$7:$M$30)</x:f>
        <x:v>520</x:v>
      </x:c>
      <x:c r="K7" s="19" t="n">
        <x:f>SUMIF('Article Families'!$B$7:$B$30,A7,'Article Families'!$N$7:$N$30)</x:f>
        <x:v>6380</x:v>
      </x:c>
      <x:c r="L7" s="19" t="n">
        <x:f>SUMIF('Article Families'!$B$7:$B$30,A7,'Article Families'!$O$7:$O$30)</x:f>
        <x:v>5104</x:v>
      </x:c>
      <x:c r="M7" s="19" t="n">
        <x:f>SUMIF('Article Families'!$B$7:$B$30,A7,'Article Families'!$P$7:$P$30)</x:f>
        <x:v>8932</x:v>
      </x:c>
      <x:c r="N7" s="26" t="n">
        <x:f>K7/('Form Schedule'!G7)/Inputs!$B$14</x:f>
        <x:v>1635.8974358974358</x:v>
      </x:c>
      <x:c r="O7" s="26" t="n">
        <x:f>N7*Inputs!$B$15</x:f>
        <x:v>2044.8717948717947</x:v>
      </x:c>
      <x:c r="P7" s="14" t="str">
        <x:v>PLANNING EXPOSURE / NOT OBLIGATED</x:v>
      </x:c>
    </x:row>
    <x:row r="8">
      <x:c r="A8" s="14" t="str">
        <x:v>CT-C-B</x:v>
      </x:c>
      <x:c r="B8" s="14" t="n">
        <x:f>COUNTIF('Article Families'!$B$7:$B$30,A8)</x:f>
        <x:v>4</x:v>
      </x:c>
      <x:c r="C8" s="14" t="n">
        <x:f>SUMIF('Article Families'!$B$7:$B$30,A8,'Article Families'!$F$7:$F$30)</x:f>
        <x:v>8</x:v>
      </x:c>
      <x:c r="D8" s="14" t="n">
        <x:f>SUMIF('Article Families'!$B$7:$B$30,A8,'Article Families'!$H$7:$H$30)</x:f>
        <x:v>24</x:v>
      </x:c>
      <x:c r="E8" s="14" t="n">
        <x:f>B8*Inputs!$B$10</x:f>
        <x:v>8</x:v>
      </x:c>
      <x:c r="F8" s="14" t="n">
        <x:f>B8*Inputs!$B$11</x:f>
        <x:v>8</x:v>
      </x:c>
      <x:c r="G8" s="19" t="n">
        <x:f>SUMIF('Article Families'!$B$7:$B$30,A8,'Article Families'!$J$7:$J$30)</x:f>
        <x:v>1620</x:v>
      </x:c>
      <x:c r="H8" s="19" t="n">
        <x:f>SUMIF('Article Families'!$B$7:$B$30,A8,'Article Families'!$K$7:$K$30)</x:f>
        <x:v>470</x:v>
      </x:c>
      <x:c r="I8" s="19" t="n">
        <x:f>SUMIF('Article Families'!$B$7:$B$30,A8,'Article Families'!$L$7:$L$30)</x:f>
        <x:v>590</x:v>
      </x:c>
      <x:c r="J8" s="19" t="n">
        <x:f>SUMIF('Article Families'!$B$7:$B$30,A8,'Article Families'!$M$7:$M$30)</x:f>
        <x:v>260</x:v>
      </x:c>
      <x:c r="K8" s="19" t="n">
        <x:f>SUMIF('Article Families'!$B$7:$B$30,A8,'Article Families'!$N$7:$N$30)</x:f>
        <x:v>2940</x:v>
      </x:c>
      <x:c r="L8" s="19" t="n">
        <x:f>SUMIF('Article Families'!$B$7:$B$30,A8,'Article Families'!$O$7:$O$30)</x:f>
        <x:v>2352</x:v>
      </x:c>
      <x:c r="M8" s="19" t="n">
        <x:f>SUMIF('Article Families'!$B$7:$B$30,A8,'Article Families'!$P$7:$P$30)</x:f>
        <x:v>4116</x:v>
      </x:c>
      <x:c r="N8" s="26" t="n">
        <x:f>K8/('Form Schedule'!G8)/Inputs!$B$14</x:f>
        <x:v>1005.1282051282052</x:v>
      </x:c>
      <x:c r="O8" s="26" t="n">
        <x:f>N8*Inputs!$B$15</x:f>
        <x:v>1256.4102564102566</x:v>
      </x:c>
      <x:c r="P8" s="14" t="str">
        <x:v>PLANNING EXPOSURE / NOT OBLIGATED</x:v>
      </x:c>
    </x:row>
    <x:row r="9">
      <x:c r="A9" s="14" t="str">
        <x:v>HC-A-C</x:v>
      </x:c>
      <x:c r="B9" s="14" t="n">
        <x:f>COUNTIF('Article Families'!$B$7:$B$30,A9)</x:f>
        <x:v>4</x:v>
      </x:c>
      <x:c r="C9" s="14" t="n">
        <x:f>SUMIF('Article Families'!$B$7:$B$30,A9,'Article Families'!$F$7:$F$30)</x:f>
        <x:v>8</x:v>
      </x:c>
      <x:c r="D9" s="14" t="n">
        <x:f>SUMIF('Article Families'!$B$7:$B$30,A9,'Article Families'!$H$7:$H$30)</x:f>
        <x:v>24</x:v>
      </x:c>
      <x:c r="E9" s="14" t="n">
        <x:f>B9*Inputs!$B$10</x:f>
        <x:v>8</x:v>
      </x:c>
      <x:c r="F9" s="14" t="n">
        <x:f>B9*Inputs!$B$11</x:f>
        <x:v>8</x:v>
      </x:c>
      <x:c r="G9" s="19" t="n">
        <x:f>SUMIF('Article Families'!$B$7:$B$30,A9,'Article Families'!$J$7:$J$30)</x:f>
        <x:v>2010</x:v>
      </x:c>
      <x:c r="H9" s="19" t="n">
        <x:f>SUMIF('Article Families'!$B$7:$B$30,A9,'Article Families'!$K$7:$K$30)</x:f>
        <x:v>500</x:v>
      </x:c>
      <x:c r="I9" s="19" t="n">
        <x:f>SUMIF('Article Families'!$B$7:$B$30,A9,'Article Families'!$L$7:$L$30)</x:f>
        <x:v>660</x:v>
      </x:c>
      <x:c r="J9" s="19" t="n">
        <x:f>SUMIF('Article Families'!$B$7:$B$30,A9,'Article Families'!$M$7:$M$30)</x:f>
        <x:v>290</x:v>
      </x:c>
      <x:c r="K9" s="19" t="n">
        <x:f>SUMIF('Article Families'!$B$7:$B$30,A9,'Article Families'!$N$7:$N$30)</x:f>
        <x:v>3460</x:v>
      </x:c>
      <x:c r="L9" s="19" t="n">
        <x:f>SUMIF('Article Families'!$B$7:$B$30,A9,'Article Families'!$O$7:$O$30)</x:f>
        <x:v>2768</x:v>
      </x:c>
      <x:c r="M9" s="19" t="n">
        <x:f>SUMIF('Article Families'!$B$7:$B$30,A9,'Article Families'!$P$7:$P$30)</x:f>
        <x:v>4844</x:v>
      </x:c>
      <x:c r="N9" s="26" t="n">
        <x:f>K9/('Form Schedule'!G9)/Inputs!$B$14</x:f>
        <x:v>1064.6153846153845</x:v>
      </x:c>
      <x:c r="O9" s="26" t="n">
        <x:f>N9*Inputs!$B$15</x:f>
        <x:v>1330.7692307692307</x:v>
      </x:c>
      <x:c r="P9" s="14" t="str">
        <x:v>PLANNING EXPOSURE / NOT OBLIGATED</x:v>
      </x:c>
    </x:row>
    <x:row r="10">
      <x:c r="A10" s="14" t="str">
        <x:v>LF-B-A</x:v>
      </x:c>
      <x:c r="B10" s="14" t="n">
        <x:f>COUNTIF('Article Families'!$B$7:$B$30,A10)</x:f>
        <x:v>4</x:v>
      </x:c>
      <x:c r="C10" s="14" t="n">
        <x:f>SUMIF('Article Families'!$B$7:$B$30,A10,'Article Families'!$F$7:$F$30)</x:f>
        <x:v>8</x:v>
      </x:c>
      <x:c r="D10" s="14" t="n">
        <x:f>SUMIF('Article Families'!$B$7:$B$30,A10,'Article Families'!$H$7:$H$30)</x:f>
        <x:v>24</x:v>
      </x:c>
      <x:c r="E10" s="14" t="n">
        <x:f>B10*Inputs!$B$10</x:f>
        <x:v>8</x:v>
      </x:c>
      <x:c r="F10" s="14" t="n">
        <x:f>B10*Inputs!$B$11</x:f>
        <x:v>8</x:v>
      </x:c>
      <x:c r="G10" s="19" t="n">
        <x:f>SUMIF('Article Families'!$B$7:$B$30,A10,'Article Families'!$J$7:$J$30)</x:f>
        <x:v>3300</x:v>
      </x:c>
      <x:c r="H10" s="19" t="n">
        <x:f>SUMIF('Article Families'!$B$7:$B$30,A10,'Article Families'!$K$7:$K$30)</x:f>
        <x:v>840</x:v>
      </x:c>
      <x:c r="I10" s="19" t="n">
        <x:f>SUMIF('Article Families'!$B$7:$B$30,A10,'Article Families'!$L$7:$L$30)</x:f>
        <x:v>1600</x:v>
      </x:c>
      <x:c r="J10" s="19" t="n">
        <x:f>SUMIF('Article Families'!$B$7:$B$30,A10,'Article Families'!$M$7:$M$30)</x:f>
        <x:v>550</x:v>
      </x:c>
      <x:c r="K10" s="19" t="n">
        <x:f>SUMIF('Article Families'!$B$7:$B$30,A10,'Article Families'!$N$7:$N$30)</x:f>
        <x:v>6290</x:v>
      </x:c>
      <x:c r="L10" s="19" t="n">
        <x:f>SUMIF('Article Families'!$B$7:$B$30,A10,'Article Families'!$O$7:$O$30)</x:f>
        <x:v>5032</x:v>
      </x:c>
      <x:c r="M10" s="19" t="n">
        <x:f>SUMIF('Article Families'!$B$7:$B$30,A10,'Article Families'!$P$7:$P$30)</x:f>
        <x:v>8806</x:v>
      </x:c>
      <x:c r="N10" s="26" t="n">
        <x:f>K10/('Form Schedule'!G10)/Inputs!$B$14</x:f>
        <x:v>1209.6153846153845</x:v>
      </x:c>
      <x:c r="O10" s="26" t="n">
        <x:f>N10*Inputs!$B$15</x:f>
        <x:v>1512.0192307692307</x:v>
      </x:c>
      <x:c r="P10" s="14" t="str">
        <x:v>PLANNING EXPOSURE / NOT OBLIGATED</x:v>
      </x:c>
    </x:row>
    <x:row r="11">
      <x:c r="A11" s="14" t="str">
        <x:v>HU-A-B</x:v>
      </x:c>
      <x:c r="B11" s="14" t="n">
        <x:f>COUNTIF('Article Families'!$B$7:$B$30,A11)</x:f>
        <x:v>4</x:v>
      </x:c>
      <x:c r="C11" s="14" t="n">
        <x:f>SUMIF('Article Families'!$B$7:$B$30,A11,'Article Families'!$F$7:$F$30)</x:f>
        <x:v>8</x:v>
      </x:c>
      <x:c r="D11" s="14" t="n">
        <x:f>SUMIF('Article Families'!$B$7:$B$30,A11,'Article Families'!$H$7:$H$30)</x:f>
        <x:v>24</x:v>
      </x:c>
      <x:c r="E11" s="14" t="n">
        <x:f>B11*Inputs!$B$10</x:f>
        <x:v>8</x:v>
      </x:c>
      <x:c r="F11" s="14" t="n">
        <x:f>B11*Inputs!$B$11</x:f>
        <x:v>8</x:v>
      </x:c>
      <x:c r="G11" s="19" t="n">
        <x:f>SUMIF('Article Families'!$B$7:$B$30,A11,'Article Families'!$J$7:$J$30)</x:f>
        <x:v>1980</x:v>
      </x:c>
      <x:c r="H11" s="19" t="n">
        <x:f>SUMIF('Article Families'!$B$7:$B$30,A11,'Article Families'!$K$7:$K$30)</x:f>
        <x:v>500</x:v>
      </x:c>
      <x:c r="I11" s="19" t="n">
        <x:f>SUMIF('Article Families'!$B$7:$B$30,A11,'Article Families'!$L$7:$L$30)</x:f>
        <x:v>660</x:v>
      </x:c>
      <x:c r="J11" s="19" t="n">
        <x:f>SUMIF('Article Families'!$B$7:$B$30,A11,'Article Families'!$M$7:$M$30)</x:f>
        <x:v>300</x:v>
      </x:c>
      <x:c r="K11" s="19" t="n">
        <x:f>SUMIF('Article Families'!$B$7:$B$30,A11,'Article Families'!$N$7:$N$30)</x:f>
        <x:v>3440</x:v>
      </x:c>
      <x:c r="L11" s="19" t="n">
        <x:f>SUMIF('Article Families'!$B$7:$B$30,A11,'Article Families'!$O$7:$O$30)</x:f>
        <x:v>2752</x:v>
      </x:c>
      <x:c r="M11" s="19" t="n">
        <x:f>SUMIF('Article Families'!$B$7:$B$30,A11,'Article Families'!$P$7:$P$30)</x:f>
        <x:v>4816</x:v>
      </x:c>
      <x:c r="N11" s="26" t="n">
        <x:f>K11/('Form Schedule'!G11)/Inputs!$B$14</x:f>
        <x:v>882.0512820512821</x:v>
      </x:c>
      <x:c r="O11" s="26" t="n">
        <x:f>N11*Inputs!$B$15</x:f>
        <x:v>1102.5641025641025</x:v>
      </x:c>
      <x:c r="P11" s="14" t="str">
        <x:v>PLANNING EXPOSURE / NOT OBLIGATED</x:v>
      </x:c>
    </x:row>
    <x:row r="12">
      <x:c r="A12" s="14" t="str">
        <x:v>RT-B-C</x:v>
      </x:c>
      <x:c r="B12" s="14" t="n">
        <x:f>COUNTIF('Article Families'!$B$7:$B$30,A12)</x:f>
        <x:v>4</x:v>
      </x:c>
      <x:c r="C12" s="14" t="n">
        <x:f>SUMIF('Article Families'!$B$7:$B$30,A12,'Article Families'!$F$7:$F$30)</x:f>
        <x:v>8</x:v>
      </x:c>
      <x:c r="D12" s="14" t="n">
        <x:f>SUMIF('Article Families'!$B$7:$B$30,A12,'Article Families'!$H$7:$H$30)</x:f>
        <x:v>24</x:v>
      </x:c>
      <x:c r="E12" s="14" t="n">
        <x:f>B12*Inputs!$B$10</x:f>
        <x:v>8</x:v>
      </x:c>
      <x:c r="F12" s="14" t="n">
        <x:f>B12*Inputs!$B$11</x:f>
        <x:v>8</x:v>
      </x:c>
      <x:c r="G12" s="19" t="n">
        <x:f>SUMIF('Article Families'!$B$7:$B$30,A12,'Article Families'!$J$7:$J$30)</x:f>
        <x:v>1440</x:v>
      </x:c>
      <x:c r="H12" s="19" t="n">
        <x:f>SUMIF('Article Families'!$B$7:$B$30,A12,'Article Families'!$K$7:$K$30)</x:f>
        <x:v>390</x:v>
      </x:c>
      <x:c r="I12" s="19" t="n">
        <x:f>SUMIF('Article Families'!$B$7:$B$30,A12,'Article Families'!$L$7:$L$30)</x:f>
        <x:v>470</x:v>
      </x:c>
      <x:c r="J12" s="19" t="n">
        <x:f>SUMIF('Article Families'!$B$7:$B$30,A12,'Article Families'!$M$7:$M$30)</x:f>
        <x:v>230</x:v>
      </x:c>
      <x:c r="K12" s="19" t="n">
        <x:f>SUMIF('Article Families'!$B$7:$B$30,A12,'Article Families'!$N$7:$N$30)</x:f>
        <x:v>2530</x:v>
      </x:c>
      <x:c r="L12" s="19" t="n">
        <x:f>SUMIF('Article Families'!$B$7:$B$30,A12,'Article Families'!$O$7:$O$30)</x:f>
        <x:v>2024</x:v>
      </x:c>
      <x:c r="M12" s="19" t="n">
        <x:f>SUMIF('Article Families'!$B$7:$B$30,A12,'Article Families'!$P$7:$P$30)</x:f>
        <x:v>3542</x:v>
      </x:c>
      <x:c r="N12" s="26" t="n">
        <x:f>K12/('Form Schedule'!G12)/Inputs!$B$14</x:f>
        <x:v>864.9572649572649</x:v>
      </x:c>
      <x:c r="O12" s="26" t="n">
        <x:f>N12*Inputs!$B$15</x:f>
        <x:v>1081.196581196581</x:v>
      </x:c>
      <x:c r="P12" s="14" t="str">
        <x:v>PLANNING EXPOSURE / NOT OBLIGATED</x:v>
      </x:c>
    </x:row>
  </x:sheetData>
  <x:pageMargins left="0.7" right="0.7" top="0.75" bottom="0.75" header="0.3" footer="0.3"/>
  <x:tableParts count="1">
    <x:tablePart xmlns:r="http://schemas.openxmlformats.org/officeDocument/2006/relationships" r:id="Rbae9dc3f9bf84b8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2" hidden="0" customWidth="1"/>
    <x:col min="3" max="3" width="22" hidden="0" customWidth="1"/>
    <x:col min="4" max="4" width="20" hidden="0" customWidth="1"/>
    <x:col min="5" max="5" width="18" hidden="0" customWidth="1"/>
    <x:col min="6" max="6" width="22" hidden="0" customWidth="1"/>
    <x:col min="7" max="7" width="14" hidden="0" customWidth="1"/>
    <x:col min="8" max="8" width="26" hidden="0" customWidth="1"/>
  </x:cols>
  <x:sheetData>
    <x:row r="1">
      <x:c r="A1" s="14"/>
      <x:c r="B1" s="14"/>
      <x:c r="C1" s="14"/>
      <x:c r="D1" s="14"/>
      <x:c r="E1" s="14"/>
      <x:c r="F1" s="14"/>
      <x:c r="G1" s="14"/>
      <x:c r="H1" s="14"/>
    </x:row>
    <x:row r="2">
      <x:c r="A2" s="56" t="str">
        <x:v>Source-specific industrial learning clocks</x:v>
      </x:c>
      <x:c r="B2" s="14"/>
      <x:c r="C2" s="14"/>
      <x:c r="D2" s="14"/>
      <x:c r="E2" s="14"/>
      <x:c r="F2" s="14"/>
      <x:c r="G2" s="14"/>
      <x:c r="H2" s="14"/>
    </x:row>
    <x:row r="3">
      <x:c r="A3" s="16"/>
      <x:c r="B3" s="16"/>
      <x:c r="C3" s="16"/>
      <x:c r="D3" s="16"/>
      <x:c r="E3" s="16"/>
      <x:c r="F3" s="16"/>
      <x:c r="G3" s="16"/>
      <x:c r="H3" s="16"/>
      <x:c r="I3" s="2"/>
      <x:c r="J3" s="2"/>
      <x:c r="K3" s="2"/>
      <x:c r="L3" s="2"/>
      <x:c r="M3" s="2"/>
      <x:c r="N3" s="2"/>
      <x:c r="O3" s="2"/>
      <x:c r="P3" s="2"/>
      <x:c r="Q3" s="2"/>
    </x:row>
    <x:row r="4">
      <x:c r="A4" s="14"/>
      <x:c r="B4" s="14"/>
      <x:c r="C4" s="14"/>
      <x:c r="D4" s="14"/>
      <x:c r="E4" s="14"/>
      <x:c r="F4" s="14"/>
      <x:c r="G4" s="14"/>
      <x:c r="H4" s="14"/>
    </x:row>
    <x:row r="5">
      <x:c r="A5" s="14"/>
      <x:c r="B5" s="14"/>
      <x:c r="C5" s="14"/>
      <x:c r="D5" s="14"/>
      <x:c r="E5" s="14"/>
      <x:c r="F5" s="14"/>
      <x:c r="G5" s="14"/>
      <x:c r="H5" s="14"/>
    </x:row>
    <x:row r="6">
      <x:c r="A6" s="14" t="str">
        <x:v>Form</x:v>
      </x:c>
      <x:c r="B6" s="14" t="str">
        <x:v>Configuration</x:v>
      </x:c>
      <x:c r="C6" s="14" t="str">
        <x:v>Tooling and fixture ready month</x:v>
      </x:c>
      <x:c r="D6" s="14" t="str">
        <x:v>Integration article month</x:v>
      </x:c>
      <x:c r="E6" s="14" t="str">
        <x:v>Fatal event month</x:v>
      </x:c>
      <x:c r="F6" s="14" t="str">
        <x:v>Cold reconstruction month</x:v>
      </x:c>
      <x:c r="G6" s="14" t="str">
        <x:v>Program years</x:v>
      </x:c>
      <x:c r="H6" s="14" t="str">
        <x:v>State</x:v>
      </x:c>
    </x:row>
    <x:row r="7">
      <x:c r="A7" s="14" t="str">
        <x:v>ET-A-A</x:v>
      </x:c>
      <x:c r="B7" s="18" t="str">
        <x:v>Paired sovereign exchange hulls</x:v>
      </x:c>
      <x:c r="C7" s="14" t="n">
        <x:v>30</x:v>
      </x:c>
      <x:c r="D7" s="14" t="n">
        <x:v>42</x:v>
      </x:c>
      <x:c r="E7" s="14" t="n">
        <x:v>54</x:v>
      </x:c>
      <x:c r="F7" s="14" t="n">
        <x:v>72</x:v>
      </x:c>
      <x:c r="G7" s="23" t="n">
        <x:v>6</x:v>
      </x:c>
      <x:c r="H7" s="14" t="str">
        <x:v>PLANNING / UNSTARTED</x:v>
      </x:c>
    </x:row>
    <x:row r="8">
      <x:c r="A8" s="14" t="str">
        <x:v>CT-C-B</x:v>
      </x:c>
      <x:c r="B8" s="18" t="str">
        <x:v>Segmented arrested utility belt</x:v>
      </x:c>
      <x:c r="C8" s="14" t="n">
        <x:v>18</x:v>
      </x:c>
      <x:c r="D8" s="14" t="n">
        <x:v>30</x:v>
      </x:c>
      <x:c r="E8" s="14" t="n">
        <x:v>42</x:v>
      </x:c>
      <x:c r="F8" s="14" t="n">
        <x:v>54</x:v>
      </x:c>
      <x:c r="G8" s="23" t="n">
        <x:v>4.5</x:v>
      </x:c>
      <x:c r="H8" s="14" t="str">
        <x:v>PLANNING / UNSTARTED</x:v>
      </x:c>
    </x:row>
    <x:row r="9">
      <x:c r="A9" s="14" t="str">
        <x:v>HC-A-C</x:v>
      </x:c>
      <x:c r="B9" s="18" t="str">
        <x:v>Mesh-independent rotor sectors</x:v>
      </x:c>
      <x:c r="C9" s="14" t="n">
        <x:v>24</x:v>
      </x:c>
      <x:c r="D9" s="14" t="n">
        <x:v>36</x:v>
      </x:c>
      <x:c r="E9" s="14" t="n">
        <x:v>48</x:v>
      </x:c>
      <x:c r="F9" s="14" t="n">
        <x:v>60</x:v>
      </x:c>
      <x:c r="G9" s="23" t="n">
        <x:v>5</x:v>
      </x:c>
      <x:c r="H9" s="14" t="str">
        <x:v>PLANNING / UNSTARTED</x:v>
      </x:c>
    </x:row>
    <x:row r="10">
      <x:c r="A10" s="14" t="str">
        <x:v>LF-B-A</x:v>
      </x:c>
      <x:c r="B10" s="18" t="str">
        <x:v>Headerless four-island geothermal field</x:v>
      </x:c>
      <x:c r="C10" s="14" t="n">
        <x:v>36</x:v>
      </x:c>
      <x:c r="D10" s="14" t="n">
        <x:v>54</x:v>
      </x:c>
      <x:c r="E10" s="14" t="n">
        <x:v>72</x:v>
      </x:c>
      <x:c r="F10" s="14" t="n">
        <x:v>96</x:v>
      </x:c>
      <x:c r="G10" s="23" t="n">
        <x:v>8</x:v>
      </x:c>
      <x:c r="H10" s="14" t="str">
        <x:v>PLANNING / UNSTARTED</x:v>
      </x:c>
    </x:row>
    <x:row r="11">
      <x:c r="A11" s="14" t="str">
        <x:v>HU-A-B</x:v>
      </x:c>
      <x:c r="B11" s="18" t="str">
        <x:v>Counter-rotating clinical circulation lattice</x:v>
      </x:c>
      <x:c r="C11" s="14" t="n">
        <x:v>24</x:v>
      </x:c>
      <x:c r="D11" s="14" t="n">
        <x:v>42</x:v>
      </x:c>
      <x:c r="E11" s="14" t="n">
        <x:v>54</x:v>
      </x:c>
      <x:c r="F11" s="14" t="n">
        <x:v>72</x:v>
      </x:c>
      <x:c r="G11" s="23" t="n">
        <x:v>6</x:v>
      </x:c>
      <x:c r="H11" s="14" t="str">
        <x:v>PLANNING / UNSTARTED</x:v>
      </x:c>
    </x:row>
    <x:row r="12">
      <x:c r="A12" s="14" t="str">
        <x:v>RT-B-C</x:v>
      </x:c>
      <x:c r="B12" s="18" t="str">
        <x:v>Ancestry-complete mobile trainlets</x:v>
      </x:c>
      <x:c r="C12" s="14" t="n">
        <x:v>18</x:v>
      </x:c>
      <x:c r="D12" s="14" t="n">
        <x:v>30</x:v>
      </x:c>
      <x:c r="E12" s="14" t="n">
        <x:v>42</x:v>
      </x:c>
      <x:c r="F12" s="14" t="n">
        <x:v>54</x:v>
      </x:c>
      <x:c r="G12" s="23" t="n">
        <x:v>4.5</x:v>
      </x:c>
      <x:c r="H12" s="14" t="str">
        <x:v>PLANNING / UNSTARTED</x:v>
      </x:c>
    </x:row>
  </x:sheetData>
  <x:pageMargins left="0.7" right="0.7" top="0.75" bottom="0.75" header="0.3" footer="0.3"/>
  <x:tableParts count="1">
    <x:tablePart xmlns:r="http://schemas.openxmlformats.org/officeDocument/2006/relationships" r:id="R138b4e96e78d449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28" hidden="0" customWidth="1"/>
    <x:col min="4" max="4" width="70" hidden="0" customWidth="1"/>
    <x:col min="5" max="5" width="18" hidden="0" customWidth="1"/>
  </x:cols>
  <x:sheetData>
    <x:row r="1">
      <x:c r="A1" s="14"/>
      <x:c r="B1" s="14"/>
      <x:c r="C1" s="14"/>
      <x:c r="D1" s="14"/>
      <x:c r="E1" s="14"/>
    </x:row>
    <x:row r="2">
      <x:c r="A2" s="56" t="str">
        <x:v>Eighteen nonconversion rules</x:v>
      </x:c>
      <x:c r="B2" s="14"/>
      <x:c r="C2" s="14"/>
      <x:c r="D2" s="14"/>
      <x:c r="E2" s="14"/>
    </x:row>
    <x:row r="3">
      <x:c r="A3" s="16"/>
      <x:c r="B3" s="16"/>
      <x:c r="C3" s="16"/>
      <x:c r="D3" s="16"/>
      <x:c r="E3" s="16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>
      <x:c r="A4" s="14"/>
      <x:c r="B4" s="14"/>
      <x:c r="C4" s="14"/>
      <x:c r="D4" s="14"/>
      <x:c r="E4" s="14"/>
    </x:row>
    <x:row r="5">
      <x:c r="A5" s="14"/>
      <x:c r="B5" s="14"/>
      <x:c r="C5" s="14"/>
      <x:c r="D5" s="14"/>
      <x:c r="E5" s="14"/>
    </x:row>
    <x:row r="6">
      <x:c r="A6" s="14" t="str">
        <x:v>Rule</x:v>
      </x:c>
      <x:c r="B6" s="14" t="str">
        <x:v>Predecessor state</x:v>
      </x:c>
      <x:c r="C6" s="14" t="str">
        <x:v>Prohibited successor</x:v>
      </x:c>
      <x:c r="D6" s="14" t="str">
        <x:v>Reason</x:v>
      </x:c>
      <x:c r="E6" s="14" t="str">
        <x:v>State</x:v>
      </x:c>
    </x:row>
    <x:row r="7">
      <x:c r="A7" s="14" t="str">
        <x:v>AF01</x:v>
      </x:c>
      <x:c r="B7" s="18" t="str">
        <x:v>FRAME design artifact</x:v>
      </x:c>
      <x:c r="C7" s="18" t="str">
        <x:v>article issue</x:v>
      </x:c>
      <x:c r="D7" s="18" t="str">
        <x:v>validity does not create construction or observation</x:v>
      </x:c>
      <x:c r="E7" s="18" t="str">
        <x:v>BINDING</x:v>
      </x:c>
    </x:row>
    <x:row r="8">
      <x:c r="A8" s="14" t="str">
        <x:v>AF02</x:v>
      </x:c>
      <x:c r="B8" s="18" t="str">
        <x:v>Cost exposure</x:v>
      </x:c>
      <x:c r="C8" s="18" t="str">
        <x:v>obligation</x:v>
      </x:c>
      <x:c r="D8" s="18" t="str">
        <x:v>a planning estimate cannot spend or reserve money</x:v>
      </x:c>
      <x:c r="E8" s="18" t="str">
        <x:v>BINDING</x:v>
      </x:c>
    </x:row>
    <x:row r="9">
      <x:c r="A9" s="14" t="str">
        <x:v>AF03</x:v>
      </x:c>
      <x:c r="B9" s="18" t="str">
        <x:v>Builder selection</x:v>
      </x:c>
      <x:c r="C9" s="18" t="str">
        <x:v>technical survival</x:v>
      </x:c>
      <x:c r="D9" s="18" t="str">
        <x:v>a contractor identity is not a physical result</x:v>
      </x:c>
      <x:c r="E9" s="18" t="str">
        <x:v>BINDING</x:v>
      </x:c>
    </x:row>
    <x:row r="10">
      <x:c r="A10" s="14" t="str">
        <x:v>AF04</x:v>
      </x:c>
      <x:c r="B10" s="18" t="str">
        <x:v>Built integration article</x:v>
      </x:c>
      <x:c r="C10" s="18" t="str">
        <x:v>accepted observation</x:v>
      </x:c>
      <x:c r="D10" s="18" t="str">
        <x:v>construction completion is not event validity</x:v>
      </x:c>
      <x:c r="E10" s="18" t="str">
        <x:v>BINDING</x:v>
      </x:c>
    </x:row>
    <x:row r="11">
      <x:c r="A11" s="14" t="str">
        <x:v>AF05</x:v>
      </x:c>
      <x:c r="B11" s="18" t="str">
        <x:v>Instrument output</x:v>
      </x:c>
      <x:c r="C11" s="18" t="str">
        <x:v>accepted evidence</x:v>
      </x:c>
      <x:c r="D11" s="18" t="str">
        <x:v>raw data requires independent custody and validity</x:v>
      </x:c>
      <x:c r="E11" s="18" t="str">
        <x:v>BINDING</x:v>
      </x:c>
    </x:row>
    <x:row r="12">
      <x:c r="A12" s="14" t="str">
        <x:v>AF06</x:v>
      </x:c>
      <x:c r="B12" s="18" t="str">
        <x:v>Accepted domain event</x:v>
      </x:c>
      <x:c r="C12" s="18" t="str">
        <x:v>complete-form survival</x:v>
      </x:c>
      <x:c r="D12" s="18" t="str">
        <x:v>six domains remain conjunctive</x:v>
      </x:c>
      <x:c r="E12" s="18" t="str">
        <x:v>BINDING</x:v>
      </x:c>
    </x:row>
    <x:row r="13">
      <x:c r="A13" s="14" t="str">
        <x:v>AF07</x:v>
      </x:c>
      <x:c r="B13" s="18" t="str">
        <x:v>Complete-form survivor</x:v>
      </x:c>
      <x:c r="C13" s="18" t="str">
        <x:v>root selection</x:v>
      </x:c>
      <x:c r="D13" s="18" t="str">
        <x:v>comparative warrant remains separate</x:v>
      </x:c>
      <x:c r="E13" s="18" t="str">
        <x:v>BINDING</x:v>
      </x:c>
    </x:row>
    <x:row r="14">
      <x:c r="A14" s="14" t="str">
        <x:v>AF08</x:v>
      </x:c>
      <x:c r="B14" s="18" t="str">
        <x:v>Root selection</x:v>
      </x:c>
      <x:c r="C14" s="18" t="str">
        <x:v>MAKE authority</x:v>
      </x:c>
      <x:c r="D14" s="18" t="str">
        <x:v>selection does not authorize production engineering</x:v>
      </x:c>
      <x:c r="E14" s="18" t="str">
        <x:v>BINDING</x:v>
      </x:c>
    </x:row>
    <x:row r="15">
      <x:c r="A15" s="14" t="str">
        <x:v>AF09</x:v>
      </x:c>
      <x:c r="B15" s="18" t="str">
        <x:v>MAKE article</x:v>
      </x:c>
      <x:c r="C15" s="18" t="str">
        <x:v>production authority</x:v>
      </x:c>
      <x:c r="D15" s="18" t="str">
        <x:v>production release requires its own qualification</x:v>
      </x:c>
      <x:c r="E15" s="18" t="str">
        <x:v>BINDING</x:v>
      </x:c>
    </x:row>
    <x:row r="16">
      <x:c r="A16" s="14" t="str">
        <x:v>AF10</x:v>
      </x:c>
      <x:c r="B16" s="18" t="str">
        <x:v>Production lot</x:v>
      </x:c>
      <x:c r="C16" s="18" t="str">
        <x:v>readiness</x:v>
      </x:c>
      <x:c r="D16" s="18" t="str">
        <x:v>inventory is not a ready formation</x:v>
      </x:c>
      <x:c r="E16" s="18" t="str">
        <x:v>BINDING</x:v>
      </x:c>
    </x:row>
    <x:row r="17">
      <x:c r="A17" s="14" t="str">
        <x:v>AF11</x:v>
      </x:c>
      <x:c r="B17" s="18" t="str">
        <x:v>REP-3 form</x:v>
      </x:c>
      <x:c r="C17" s="18" t="str">
        <x:v>REP-4 record</x:v>
      </x:c>
      <x:c r="D17" s="18" t="str">
        <x:v>planning geometry is not as-built metrology</x:v>
      </x:c>
      <x:c r="E17" s="18" t="str">
        <x:v>BINDING</x:v>
      </x:c>
    </x:row>
    <x:row r="18">
      <x:c r="A18" s="14" t="str">
        <x:v>AF12</x:v>
      </x:c>
      <x:c r="B18" s="18" t="str">
        <x:v>Root House</x:v>
      </x:c>
      <x:c r="C18" s="18" t="str">
        <x:v>public proving fixture</x:v>
      </x:c>
      <x:c r="D18" s="18" t="str">
        <x:v>the candidate cannot own its challenge mechanism</x:v>
      </x:c>
      <x:c r="E18" s="18" t="str">
        <x:v>BINDING</x:v>
      </x:c>
    </x:row>
    <x:row r="19">
      <x:c r="A19" s="14" t="str">
        <x:v>AF13</x:v>
      </x:c>
      <x:c r="B19" s="18" t="str">
        <x:v>Tooling operator</x:v>
      </x:c>
      <x:c r="C19" s="18" t="str">
        <x:v>sibling tooling cell</x:v>
      </x:c>
      <x:c r="D19" s="18" t="str">
        <x:v>cross-line tooling use before reveal destroys independence</x:v>
      </x:c>
      <x:c r="E19" s="18" t="str">
        <x:v>BINDING</x:v>
      </x:c>
    </x:row>
    <x:row r="20">
      <x:c r="A20" s="14" t="str">
        <x:v>AF14</x:v>
      </x:c>
      <x:c r="B20" s="18" t="str">
        <x:v>Public fixture</x:v>
      </x:c>
      <x:c r="C20" s="18" t="str">
        <x:v>candidate controller</x:v>
      </x:c>
      <x:c r="D20" s="18" t="str">
        <x:v>the range cannot supply the missing design</x:v>
      </x:c>
      <x:c r="E20" s="18" t="str">
        <x:v>BINDING</x:v>
      </x:c>
    </x:row>
    <x:row r="21">
      <x:c r="A21" s="14" t="str">
        <x:v>AF15</x:v>
      </x:c>
      <x:c r="B21" s="18" t="str">
        <x:v>Origin builder</x:v>
      </x:c>
      <x:c r="C21" s="18" t="str">
        <x:v>cold reconstruction</x:v>
      </x:c>
      <x:c r="D21" s="18" t="str">
        <x:v>private keys, runtime and live coaching are denied</x:v>
      </x:c>
      <x:c r="E21" s="18" t="str">
        <x:v>BINDING</x:v>
      </x:c>
    </x:row>
    <x:row r="22">
      <x:c r="A22" s="14" t="str">
        <x:v>AF16</x:v>
      </x:c>
      <x:c r="B22" s="18" t="str">
        <x:v>Valid failure</x:v>
      </x:c>
      <x:c r="C22" s="18" t="str">
        <x:v>event retry</x:v>
      </x:c>
      <x:c r="D22" s="18" t="str">
        <x:v>failure is payable and binding, not repaired after reveal</x:v>
      </x:c>
      <x:c r="E22" s="18" t="str">
        <x:v>BINDING</x:v>
      </x:c>
    </x:row>
    <x:row r="23">
      <x:c r="A23" s="14" t="str">
        <x:v>AF17</x:v>
      </x:c>
      <x:c r="B23" s="18" t="str">
        <x:v>Invalid event</x:v>
      </x:c>
      <x:c r="C23" s="18" t="str">
        <x:v>favorable or adverse result</x:v>
      </x:c>
      <x:c r="D23" s="18" t="str">
        <x:v>invalidity creates HOLD and no evidence</x:v>
      </x:c>
      <x:c r="E23" s="18" t="str">
        <x:v>BINDING</x:v>
      </x:c>
    </x:row>
    <x:row r="24">
      <x:c r="A24" s="14" t="str">
        <x:v>AF18</x:v>
      </x:c>
      <x:c r="B24" s="18" t="str">
        <x:v>Throughput surplus</x:v>
      </x:c>
      <x:c r="C24" s="18" t="str">
        <x:v>thermal, rights or residual closure</x:v>
      </x:c>
      <x:c r="D24" s="18" t="str">
        <x:v>accounts cannot compensate across boundaries</x:v>
      </x:c>
      <x:c r="E24" s="18" t="str">
        <x:v>BINDING</x:v>
      </x:c>
    </x:row>
  </x:sheetData>
  <x:pageMargins left="0.7" right="0.7" top="0.75" bottom="0.75" header="0.3" footer="0.3"/>
  <x:tableParts count="1">
    <x:tablePart xmlns:r="http://schemas.openxmlformats.org/officeDocument/2006/relationships" r:id="Rb480ac6421d449dd"/>
  </x:tableParts>
</x:worksheet>
</file>

<file path=xl/worksheets/sheet10.xml><?xml version="1.0" encoding="utf-8"?>
<x:worksheet xmlns:x="http://schemas.openxmlformats.org/spreadsheetml/2006/main">
  <x:sheetPr>
    <x:tabColor rgb="FF9DC3E6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44" hidden="0" customWidth="1"/>
    <x:col min="2" max="2" width="18" hidden="0" customWidth="1"/>
    <x:col min="3" max="3" width="42" hidden="0" customWidth="1"/>
    <x:col min="4" max="4" width="18" hidden="0" customWidth="1"/>
    <x:col min="5" max="5" width="18" hidden="0" customWidth="1"/>
    <x:col min="6" max="6" width="20" hidden="0" customWidth="1"/>
    <x:col min="7" max="7" width="22" hidden="0" customWidth="1"/>
  </x:cols>
  <x:sheetData>
    <x:row r="1">
      <x:c r="A1" s="14"/>
      <x:c r="B1" s="14"/>
      <x:c r="C1" s="14"/>
      <x:c r="D1" s="14"/>
      <x:c r="E1" s="14"/>
      <x:c r="F1" s="14"/>
      <x:c r="G1" s="14"/>
      <x:c r="H1" s="14"/>
    </x:row>
    <x:row r="2">
      <x:c r="A2" s="56" t="str">
        <x:v>Program controls and cost assumptions</x:v>
      </x:c>
      <x:c r="B2" s="14"/>
      <x:c r="C2" s="14"/>
      <x:c r="D2" s="14"/>
      <x:c r="E2" s="14"/>
      <x:c r="F2" s="14"/>
      <x:c r="G2" s="14"/>
      <x:c r="H2" s="14"/>
    </x:row>
    <x:row r="3">
      <x:c r="A3" s="16"/>
      <x:c r="B3" s="16"/>
      <x:c r="C3" s="16"/>
      <x:c r="D3" s="16"/>
      <x:c r="E3" s="16"/>
      <x:c r="F3" s="16"/>
      <x:c r="G3" s="16"/>
      <x:c r="H3" s="16"/>
      <x:c r="I3" s="2"/>
      <x:c r="J3" s="2"/>
      <x:c r="K3" s="2"/>
      <x:c r="L3" s="2"/>
      <x:c r="M3" s="2"/>
      <x:c r="N3" s="2"/>
      <x:c r="O3" s="2"/>
      <x:c r="P3" s="2"/>
      <x:c r="Q3" s="2"/>
    </x:row>
    <x:row r="4">
      <x:c r="A4" s="14"/>
      <x:c r="B4" s="14"/>
      <x:c r="C4" s="14"/>
      <x:c r="D4" s="14"/>
      <x:c r="E4" s="14"/>
      <x:c r="F4" s="14"/>
      <x:c r="G4" s="14"/>
      <x:c r="H4" s="14"/>
    </x:row>
    <x:row r="5">
      <x:c r="A5" s="14"/>
      <x:c r="B5" s="14"/>
      <x:c r="C5" s="14"/>
      <x:c r="D5" s="14"/>
      <x:c r="E5" s="14"/>
      <x:c r="F5" s="14"/>
      <x:c r="G5" s="14"/>
      <x:c r="H5" s="14"/>
    </x:row>
    <x:row r="6">
      <x:c r="A6" s="14" t="str">
        <x:v>Control</x:v>
      </x:c>
      <x:c r="B6" s="14" t="str">
        <x:v>Value</x:v>
      </x:c>
      <x:c r="C6" s="14" t="str">
        <x:v>Unit</x:v>
      </x:c>
      <x:c r="D6" s="14" t="str">
        <x:v>Basis</x:v>
      </x:c>
      <x:c r="E6" s="14"/>
      <x:c r="F6" s="14"/>
      <x:c r="G6" s="14"/>
      <x:c r="H6" s="14"/>
    </x:row>
    <x:row r="7">
      <x:c r="A7" s="14" t="str">
        <x:v>Builder lines per technology family</x:v>
      </x:c>
      <x:c r="B7" s="14" t="n">
        <x:v>2</x:v>
      </x:c>
      <x:c r="C7" s="14" t="str">
        <x:v>count</x:v>
      </x:c>
      <x:c r="D7" s="14" t="str">
        <x:v>two unlike beneficial-control roots</x:v>
      </x:c>
      <x:c r="E7" s="14"/>
      <x:c r="F7" s="14"/>
      <x:c r="G7" s="14"/>
      <x:c r="H7" s="14"/>
    </x:row>
    <x:row r="8">
      <x:c r="A8" s="14" t="str">
        <x:v>Serial roles per builder line</x:v>
      </x:c>
      <x:c r="B8" s="14" t="n">
        <x:v>3</x:v>
      </x:c>
      <x:c r="C8" s="14" t="str">
        <x:v>count</x:v>
      </x:c>
      <x:c r="D8" s="14" t="str">
        <x:v>integration, destructive and cold reconstruction</x:v>
      </x:c>
      <x:c r="E8" s="14"/>
      <x:c r="F8" s="14"/>
      <x:c r="G8" s="14"/>
      <x:c r="H8" s="14"/>
    </x:row>
    <x:row r="9">
      <x:c r="A9" s="14" t="str">
        <x:v>Articles per technology family</x:v>
      </x:c>
      <x:c r="B9" s="14" t="n">
        <x:v>6</x:v>
      </x:c>
      <x:c r="C9" s="14" t="str">
        <x:v>count</x:v>
      </x:c>
      <x:c r="D9" s="14" t="str">
        <x:v>two lines multiplied by three roles</x:v>
      </x:c>
      <x:c r="E9" s="14"/>
      <x:c r="F9" s="14"/>
      <x:c r="G9" s="14"/>
      <x:c r="H9" s="14"/>
    </x:row>
    <x:row r="10">
      <x:c r="A10" s="14" t="str">
        <x:v>Tooling cells per technology family</x:v>
      </x:c>
      <x:c r="B10" s="14" t="n">
        <x:v>2</x:v>
      </x:c>
      <x:c r="C10" s="14" t="str">
        <x:v>count</x:v>
      </x:c>
      <x:c r="D10" s="14" t="str">
        <x:v>one root-bound cell per builder line</x:v>
      </x:c>
      <x:c r="E10" s="14"/>
      <x:c r="F10" s="14"/>
      <x:c r="G10" s="14"/>
      <x:c r="H10" s="14"/>
    </x:row>
    <x:row r="11">
      <x:c r="A11" s="14" t="str">
        <x:v>Public fixtures per technology family</x:v>
      </x:c>
      <x:c r="B11" s="14" t="n">
        <x:v>2</x:v>
      </x:c>
      <x:c r="C11" s="14" t="str">
        <x:v>count</x:v>
      </x:c>
      <x:c r="D11" s="14" t="str">
        <x:v>separate challenge and matched-control sites</x:v>
      </x:c>
      <x:c r="E11" s="14"/>
      <x:c r="F11" s="14"/>
      <x:c r="G11" s="14"/>
      <x:c r="H11" s="14"/>
    </x:row>
    <x:row r="12">
      <x:c r="A12" s="14" t="str">
        <x:v>Low exposure factor</x:v>
      </x:c>
      <x:c r="B12" s="17" t="n">
        <x:v>0.8</x:v>
      </x:c>
      <x:c r="C12" s="14" t="str">
        <x:v>factor</x:v>
      </x:c>
      <x:c r="D12" s="14" t="str">
        <x:v>planning range; not a probability</x:v>
      </x:c>
      <x:c r="E12" s="14"/>
      <x:c r="F12" s="14"/>
      <x:c r="G12" s="14"/>
      <x:c r="H12" s="14"/>
    </x:row>
    <x:row r="13">
      <x:c r="A13" s="14" t="str">
        <x:v>High exposure factor</x:v>
      </x:c>
      <x:c r="B13" s="17" t="n">
        <x:v>1.4</x:v>
      </x:c>
      <x:c r="C13" s="14" t="str">
        <x:v>factor</x:v>
      </x:c>
      <x:c r="D13" s="14" t="str">
        <x:v>planning range; not a probability</x:v>
      </x:c>
      <x:c r="E13" s="14"/>
      <x:c r="F13" s="14"/>
      <x:c r="G13" s="14"/>
      <x:c r="H13" s="14"/>
    </x:row>
    <x:row r="14">
      <x:c r="A14" s="14" t="str">
        <x:v>Exposure per direct position-year</x:v>
      </x:c>
      <x:c r="B14" s="14" t="n">
        <x:v>0.65</x:v>
      </x:c>
      <x:c r="C14" s="14" t="str">
        <x:v>USD M</x:v>
      </x:c>
      <x:c r="D14" s="14" t="str">
        <x:v>includes labor, material and industrial overhead</x:v>
      </x:c>
      <x:c r="E14" s="14"/>
      <x:c r="F14" s="14"/>
      <x:c r="G14" s="14"/>
      <x:c r="H14" s="14"/>
    </x:row>
    <x:row r="15">
      <x:c r="A15" s="14" t="str">
        <x:v>Peak-to-average position factor</x:v>
      </x:c>
      <x:c r="B15" s="14" t="n">
        <x:v>1.25</x:v>
      </x:c>
      <x:c r="C15" s="14" t="str">
        <x:v>factor</x:v>
      </x:c>
      <x:c r="D15" s="14" t="str">
        <x:v>planning workload screen</x:v>
      </x:c>
      <x:c r="E15" s="14"/>
      <x:c r="F15" s="14"/>
      <x:c r="G15" s="14"/>
      <x:c r="H15" s="14"/>
    </x:row>
    <x:row r="16">
      <x:c r="A16" s="14" t="str">
        <x:v>Cohort-one FRAME design obligation</x:v>
      </x:c>
      <x:c r="B16" s="14" t="n">
        <x:v>179.345640966028</x:v>
      </x:c>
      <x:c r="C16" s="14" t="str">
        <x:v>USD M</x:v>
      </x:c>
      <x:c r="D16" s="14" t="str">
        <x:v>Pass 238 conserved finance</x:v>
      </x:c>
      <x:c r="E16" s="14"/>
      <x:c r="F16" s="14"/>
      <x:c r="G16" s="14"/>
      <x:c r="H16" s="14"/>
    </x:row>
    <x:row r="17">
      <x:c r="A17" s="14" t="str">
        <x:v>Protected sibling FRAME reserve</x:v>
      </x:c>
      <x:c r="B17" s="14" t="n">
        <x:v>358.691281932057</x:v>
      </x:c>
      <x:c r="C17" s="14" t="str">
        <x:v>USD M</x:v>
      </x:c>
      <x:c r="D17" s="14" t="str">
        <x:v>Pass 238 conserved finance</x:v>
      </x:c>
      <x:c r="E17" s="14"/>
      <x:c r="F17" s="14"/>
      <x:c r="G17" s="14"/>
      <x:c r="H17" s="14"/>
    </x:row>
    <x:row r="18">
      <x:c r="A18" s="14" t="str">
        <x:v>FRAME ceiling</x:v>
      </x:c>
      <x:c r="B18" s="14" t="n">
        <x:v>538.036922898085</x:v>
      </x:c>
      <x:c r="C18" s="14" t="str">
        <x:v>USD M</x:v>
      </x:c>
      <x:c r="D18" s="14" t="str">
        <x:v>Pass 238 conserved finance</x:v>
      </x:c>
      <x:c r="E18" s="14"/>
      <x:c r="F18" s="14"/>
      <x:c r="G18" s="14"/>
      <x:c r="H18" s="14"/>
    </x:row>
    <x:row r="19">
      <x:c r="A19" s="14" t="str">
        <x:v>Early proof-wave ceiling</x:v>
      </x:c>
      <x:c r="B19" s="14" t="n">
        <x:v>43000</x:v>
      </x:c>
      <x:c r="C19" s="14" t="str">
        <x:v>USD M</x:v>
      </x:c>
      <x:c r="D19" s="14" t="str">
        <x:v>Pass 184 jurisdictional reservation</x:v>
      </x:c>
      <x:c r="E19" s="14"/>
      <x:c r="F19" s="14"/>
      <x:c r="G19" s="14"/>
      <x:c r="H19" s="14"/>
    </x:row>
    <x:row r="20">
      <x:c r="A20" s="14" t="str">
        <x:v>Candidate articles and technical data reservation</x:v>
      </x:c>
      <x:c r="B20" s="14" t="n">
        <x:v>17200</x:v>
      </x:c>
      <x:c r="C20" s="14" t="str">
        <x:v>USD M</x:v>
      </x:c>
      <x:c r="D20" s="14" t="str">
        <x:v>Pass 184 jurisdictional reservation</x:v>
      </x:c>
      <x:c r="E20" s="14"/>
      <x:c r="F20" s="14"/>
      <x:c r="G20" s="14"/>
      <x:c r="H20" s="14"/>
    </x:row>
    <x:row r="21">
      <x:c r="A21" s="14" t="str">
        <x:v>Proving stations reservation</x:v>
      </x:c>
      <x:c r="B21" s="14" t="n">
        <x:v>12900</x:v>
      </x:c>
      <x:c r="C21" s="14" t="str">
        <x:v>USD M</x:v>
      </x:c>
      <x:c r="D21" s="14" t="str">
        <x:v>Pass 184 jurisdictional reservation</x:v>
      </x:c>
      <x:c r="E21" s="14"/>
      <x:c r="F21" s="14"/>
      <x:c r="G21" s="14"/>
      <x:c r="H21" s="14"/>
    </x:row>
    <x:row r="22">
      <x:c r="A22" s="14" t="str">
        <x:v>Metrology and custody reservation</x:v>
      </x:c>
      <x:c r="B22" s="14" t="n">
        <x:v>8600</x:v>
      </x:c>
      <x:c r="C22" s="14" t="str">
        <x:v>USD M</x:v>
      </x:c>
      <x:c r="D22" s="14" t="str">
        <x:v>Pass 184 jurisdictional reservation</x:v>
      </x:c>
      <x:c r="E22" s="14"/>
      <x:c r="F22" s="14"/>
      <x:c r="G22" s="14"/>
      <x:c r="H22" s="14"/>
    </x:row>
    <x:row r="23">
      <x:c r="A23" s="14" t="str">
        <x:v>Replacement and regeneration reservation</x:v>
      </x:c>
      <x:c r="B23" s="14" t="n">
        <x:v>4300</x:v>
      </x:c>
      <x:c r="C23" s="14" t="str">
        <x:v>USD M</x:v>
      </x:c>
      <x:c r="D23" s="14" t="str">
        <x:v>Pass 184 jurisdictional reservation</x:v>
      </x:c>
      <x:c r="E23" s="14"/>
      <x:c r="F23" s="14"/>
      <x:c r="G23" s="14"/>
      <x:c r="H23" s="14"/>
    </x:row>
    <x:row r="24">
      <x:c r="A24" s="14" t="str">
        <x:v>Accepted observations</x:v>
      </x:c>
      <x:c r="B24" s="14" t="n">
        <x:v>0</x:v>
      </x:c>
      <x:c r="C24" s="14" t="str">
        <x:v>count</x:v>
      </x:c>
      <x:c r="D24" s="14" t="str">
        <x:v>authority hold</x:v>
      </x:c>
      <x:c r="E24" s="14"/>
      <x:c r="F24" s="14"/>
      <x:c r="G24" s="14"/>
      <x:c r="H24" s="14"/>
    </x:row>
    <x:row r="25">
      <x:c r="A25" s="14" t="str">
        <x:v>MAKE authority</x:v>
      </x:c>
      <x:c r="B25" s="14" t="n">
        <x:v>0</x:v>
      </x:c>
      <x:c r="C25" s="14" t="str">
        <x:v>binary</x:v>
      </x:c>
      <x:c r="D25" s="14" t="str">
        <x:v>authority hold</x:v>
      </x:c>
      <x:c r="E25" s="14"/>
      <x:c r="F25" s="14"/>
      <x:c r="G25" s="14"/>
      <x:c r="H25" s="14"/>
    </x:row>
    <x:row r="26">
      <x:c r="A26" s="14" t="str">
        <x:v>REP-4 authority</x:v>
      </x:c>
      <x:c r="B26" s="14" t="n">
        <x:v>0</x:v>
      </x:c>
      <x:c r="C26" s="14" t="str">
        <x:v>binary</x:v>
      </x:c>
      <x:c r="D26" s="14" t="str">
        <x:v>authority hold</x:v>
      </x:c>
      <x:c r="E26" s="14"/>
      <x:c r="F26" s="14"/>
      <x:c r="G26" s="14"/>
      <x:c r="H26" s="14"/>
    </x:row>
    <x:row r="27">
      <x:c r="A27" s="14" t="str">
        <x:v>Production authority</x:v>
      </x:c>
      <x:c r="B27" s="14" t="n">
        <x:v>0</x:v>
      </x:c>
      <x:c r="C27" s="14" t="str">
        <x:v>binary</x:v>
      </x:c>
      <x:c r="D27" s="14" t="str">
        <x:v>authority hold</x:v>
      </x:c>
      <x:c r="E27" s="14"/>
      <x:c r="F27" s="14"/>
      <x:c r="G27" s="14"/>
      <x:c r="H27" s="14"/>
    </x:row>
    <x:row r="28">
      <x:c r="A28" s="14" t="str">
        <x:v>Rendering authority</x:v>
      </x:c>
      <x:c r="B28" s="14" t="n">
        <x:v>0</x:v>
      </x:c>
      <x:c r="C28" s="14" t="str">
        <x:v>binary</x:v>
      </x:c>
      <x:c r="D28" s="14" t="str">
        <x:v>authority hold</x:v>
      </x:c>
      <x:c r="E28" s="14"/>
      <x:c r="F28" s="14"/>
      <x:c r="G28" s="14"/>
      <x:c r="H28" s="14"/>
    </x:row>
    <x:row r="29">
      <x:c r="A29" s="14"/>
      <x:c r="B29" s="14"/>
      <x:c r="C29" s="14"/>
      <x:c r="D29" s="14"/>
      <x:c r="E29" s="14"/>
      <x:c r="F29" s="14"/>
      <x:c r="G29" s="14"/>
      <x:c r="H29" s="14"/>
    </x:row>
    <x:row r="30">
      <x:c r="A30" s="14"/>
      <x:c r="B30" s="14"/>
      <x:c r="C30" s="14"/>
      <x:c r="D30" s="14"/>
      <x:c r="E30" s="14"/>
      <x:c r="F30" s="14"/>
      <x:c r="G30" s="14"/>
      <x:c r="H30" s="14"/>
    </x:row>
    <x:row r="31">
      <x:c r="A31" s="15" t="str">
        <x:v>Source-specific family cost inputs (USD M)</x:v>
      </x:c>
      <x:c r="B31" s="14"/>
      <x:c r="C31" s="14"/>
      <x:c r="D31" s="14"/>
      <x:c r="E31" s="14"/>
      <x:c r="F31" s="14"/>
      <x:c r="G31" s="14"/>
      <x:c r="H31" s="14"/>
    </x:row>
    <x:row r="32">
      <x:c r="A32" s="14"/>
      <x:c r="B32" s="14"/>
      <x:c r="C32" s="14"/>
      <x:c r="D32" s="14"/>
      <x:c r="E32" s="14"/>
      <x:c r="F32" s="14"/>
      <x:c r="G32" s="14"/>
      <x:c r="H32" s="14"/>
    </x:row>
    <x:row r="33">
      <x:c r="A33" s="14" t="str">
        <x:v>Order</x:v>
      </x:c>
      <x:c r="B33" s="14" t="str">
        <x:v>Form</x:v>
      </x:c>
      <x:c r="C33" s="14" t="str">
        <x:v>Technology</x:v>
      </x:c>
      <x:c r="D33" s="14" t="str">
        <x:v>Unit article</x:v>
      </x:c>
      <x:c r="E33" s="14" t="str">
        <x:v>Two tooling cells</x:v>
      </x:c>
      <x:c r="F33" s="14" t="str">
        <x:v>Two public fixtures</x:v>
      </x:c>
      <x:c r="G33" s="14" t="str">
        <x:v>Operations and evidence</x:v>
      </x:c>
      <x:c r="H33" s="14"/>
    </x:row>
    <x:row r="34">
      <x:c r="A34" s="14" t="str">
        <x:v>ET-A-A-TECH-1</x:v>
      </x:c>
      <x:c r="B34" s="14" t="str">
        <x:v>ET-A-A</x:v>
      </x:c>
      <x:c r="C34" s="18" t="str">
        <x:v>Independent six-axis transfer saddle</x:v>
      </x:c>
      <x:c r="D34" s="19" t="n">
        <x:v>220</x:v>
      </x:c>
      <x:c r="E34" s="19" t="n">
        <x:v>320</x:v>
      </x:c>
      <x:c r="F34" s="19" t="n">
        <x:v>500</x:v>
      </x:c>
      <x:c r="G34" s="19" t="n">
        <x:v>180</x:v>
      </x:c>
      <x:c r="H34" s="14"/>
    </x:row>
    <x:row r="35">
      <x:c r="A35" s="14" t="str">
        <x:v>ET-A-A-TECH-2</x:v>
      </x:c>
      <x:c r="B35" s="14" t="str">
        <x:v>ET-A-A</x:v>
      </x:c>
      <x:c r="C35" s="18" t="str">
        <x:v>Self-forming shore path</x:v>
      </x:c>
      <x:c r="D35" s="19" t="n">
        <x:v>180</x:v>
      </x:c>
      <x:c r="E35" s="19" t="n">
        <x:v>300</x:v>
      </x:c>
      <x:c r="F35" s="19" t="n">
        <x:v>450</x:v>
      </x:c>
      <x:c r="G35" s="19" t="n">
        <x:v>160</x:v>
      </x:c>
      <x:c r="H35" s="14"/>
    </x:row>
    <x:row r="36">
      <x:c r="A36" s="14" t="str">
        <x:v>ET-A-A-TECH-3</x:v>
      </x:c>
      <x:c r="B36" s="14" t="str">
        <x:v>ET-A-A</x:v>
      </x:c>
      <x:c r="C36" s="18" t="str">
        <x:v>Distributed custody metrology</x:v>
      </x:c>
      <x:c r="D36" s="19" t="n">
        <x:v>70</x:v>
      </x:c>
      <x:c r="E36" s="19" t="n">
        <x:v>100</x:v>
      </x:c>
      <x:c r="F36" s="19" t="n">
        <x:v>120</x:v>
      </x:c>
      <x:c r="G36" s="19" t="n">
        <x:v>70</x:v>
      </x:c>
      <x:c r="H36" s="14"/>
    </x:row>
    <x:row r="37">
      <x:c r="A37" s="14" t="str">
        <x:v>ET-A-A-TECH-4</x:v>
      </x:c>
      <x:c r="B37" s="14" t="str">
        <x:v>ET-A-A</x:v>
      </x:c>
      <x:c r="C37" s="18" t="str">
        <x:v>Hull-local thermal metabolism</x:v>
      </x:c>
      <x:c r="D37" s="19" t="n">
        <x:v>130</x:v>
      </x:c>
      <x:c r="E37" s="19" t="n">
        <x:v>220</x:v>
      </x:c>
      <x:c r="F37" s="19" t="n">
        <x:v>250</x:v>
      </x:c>
      <x:c r="G37" s="19" t="n">
        <x:v>110</x:v>
      </x:c>
      <x:c r="H37" s="14"/>
    </x:row>
    <x:row r="38">
      <x:c r="A38" s="14" t="str">
        <x:v>CT-C-B-TECH-1</x:v>
      </x:c>
      <x:c r="B38" s="14" t="str">
        <x:v>CT-C-B</x:v>
      </x:c>
      <x:c r="C38" s="18" t="str">
        <x:v>Proof-loaded reversible attachment</x:v>
      </x:c>
      <x:c r="D38" s="19" t="n">
        <x:v>90</x:v>
      </x:c>
      <x:c r="E38" s="19" t="n">
        <x:v>150</x:v>
      </x:c>
      <x:c r="F38" s="19" t="n">
        <x:v>180</x:v>
      </x:c>
      <x:c r="G38" s="19" t="n">
        <x:v>80</x:v>
      </x:c>
      <x:c r="H38" s="14"/>
    </x:row>
    <x:row r="39">
      <x:c r="A39" s="14" t="str">
        <x:v>CT-C-B-TECH-2</x:v>
      </x:c>
      <x:c r="B39" s="14" t="str">
        <x:v>CT-C-B</x:v>
      </x:c>
      <x:c r="C39" s="18" t="str">
        <x:v>Passive progressive-peel arrest</x:v>
      </x:c>
      <x:c r="D39" s="19" t="n">
        <x:v>70</x:v>
      </x:c>
      <x:c r="E39" s="19" t="n">
        <x:v>120</x:v>
      </x:c>
      <x:c r="F39" s="19" t="n">
        <x:v>150</x:v>
      </x:c>
      <x:c r="G39" s="19" t="n">
        <x:v>70</x:v>
      </x:c>
      <x:c r="H39" s="14"/>
    </x:row>
    <x:row r="40">
      <x:c r="A40" s="14" t="str">
        <x:v>CT-C-B-TECH-3</x:v>
      </x:c>
      <x:c r="B40" s="14" t="str">
        <x:v>CT-C-B</x:v>
      </x:c>
      <x:c r="C40" s="18" t="str">
        <x:v>Mixed-utility guillotine</x:v>
      </x:c>
      <x:c r="D40" s="19" t="n">
        <x:v>50</x:v>
      </x:c>
      <x:c r="E40" s="19" t="n">
        <x:v>90</x:v>
      </x:c>
      <x:c r="F40" s="19" t="n">
        <x:v>120</x:v>
      </x:c>
      <x:c r="G40" s="19" t="n">
        <x:v>50</x:v>
      </x:c>
      <x:c r="H40" s="14"/>
    </x:row>
    <x:row r="41">
      <x:c r="A41" s="14" t="str">
        <x:v>CT-C-B-TECH-4</x:v>
      </x:c>
      <x:c r="B41" s="14" t="str">
        <x:v>CT-C-B</x:v>
      </x:c>
      <x:c r="C41" s="18" t="str">
        <x:v>Occupied-zone installation robotics</x:v>
      </x:c>
      <x:c r="D41" s="19" t="n">
        <x:v>60</x:v>
      </x:c>
      <x:c r="E41" s="19" t="n">
        <x:v>110</x:v>
      </x:c>
      <x:c r="F41" s="19" t="n">
        <x:v>140</x:v>
      </x:c>
      <x:c r="G41" s="19" t="n">
        <x:v>60</x:v>
      </x:c>
      <x:c r="H41" s="14"/>
    </x:row>
    <x:row r="42">
      <x:c r="A42" s="14" t="str">
        <x:v>HC-A-C-TECH-1</x:v>
      </x:c>
      <x:c r="B42" s="14" t="str">
        <x:v>HC-A-C</x:v>
      </x:c>
      <x:c r="C42" s="18" t="str">
        <x:v>Mesh-independent heavy rotor cell</x:v>
      </x:c>
      <x:c r="D42" s="19" t="n">
        <x:v>150</x:v>
      </x:c>
      <x:c r="E42" s="19" t="n">
        <x:v>220</x:v>
      </x:c>
      <x:c r="F42" s="19" t="n">
        <x:v>300</x:v>
      </x:c>
      <x:c r="G42" s="19" t="n">
        <x:v>120</x:v>
      </x:c>
      <x:c r="H42" s="14"/>
    </x:row>
    <x:row r="43">
      <x:c r="A43" s="14" t="str">
        <x:v>HC-A-C-TECH-2</x:v>
      </x:c>
      <x:c r="B43" s="14" t="str">
        <x:v>HC-A-C</x:v>
      </x:c>
      <x:c r="C43" s="18" t="str">
        <x:v>Hot-zone exchange lane</x:v>
      </x:c>
      <x:c r="D43" s="19" t="n">
        <x:v>80</x:v>
      </x:c>
      <x:c r="E43" s="19" t="n">
        <x:v>120</x:v>
      </x:c>
      <x:c r="F43" s="19" t="n">
        <x:v>160</x:v>
      </x:c>
      <x:c r="G43" s="19" t="n">
        <x:v>70</x:v>
      </x:c>
      <x:c r="H43" s="14"/>
    </x:row>
    <x:row r="44">
      <x:c r="A44" s="14" t="str">
        <x:v>HC-A-C-TECH-3</x:v>
      </x:c>
      <x:c r="B44" s="14" t="str">
        <x:v>HC-A-C</x:v>
      </x:c>
      <x:c r="C44" s="18" t="str">
        <x:v>Self-calibrating plume tomography</x:v>
      </x:c>
      <x:c r="D44" s="19" t="n">
        <x:v>35</x:v>
      </x:c>
      <x:c r="E44" s="19" t="n">
        <x:v>60</x:v>
      </x:c>
      <x:c r="F44" s="19" t="n">
        <x:v>80</x:v>
      </x:c>
      <x:c r="G44" s="19" t="n">
        <x:v>40</x:v>
      </x:c>
      <x:c r="H44" s="14"/>
    </x:row>
    <x:row r="45">
      <x:c r="A45" s="14" t="str">
        <x:v>HC-A-C-TECH-4</x:v>
      </x:c>
      <x:c r="B45" s="14" t="str">
        <x:v>HC-A-C</x:v>
      </x:c>
      <x:c r="C45" s="18" t="str">
        <x:v>Cell-local aero-thermal system</x:v>
      </x:c>
      <x:c r="D45" s="19" t="n">
        <x:v>70</x:v>
      </x:c>
      <x:c r="E45" s="19" t="n">
        <x:v>100</x:v>
      </x:c>
      <x:c r="F45" s="19" t="n">
        <x:v>120</x:v>
      </x:c>
      <x:c r="G45" s="19" t="n">
        <x:v>60</x:v>
      </x:c>
      <x:c r="H45" s="14"/>
    </x:row>
    <x:row r="46">
      <x:c r="A46" s="14" t="str">
        <x:v>LF-B-A-TECH-1</x:v>
      </x:c>
      <x:c r="B46" s="14" t="str">
        <x:v>LF-B-A</x:v>
      </x:c>
      <x:c r="C46" s="18" t="str">
        <x:v>Rapid multi-bore inference</x:v>
      </x:c>
      <x:c r="D46" s="19" t="n">
        <x:v>120</x:v>
      </x:c>
      <x:c r="E46" s="19" t="n">
        <x:v>180</x:v>
      </x:c>
      <x:c r="F46" s="19" t="n">
        <x:v>350</x:v>
      </x:c>
      <x:c r="G46" s="19" t="n">
        <x:v>120</x:v>
      </x:c>
      <x:c r="H46" s="14"/>
    </x:row>
    <x:row r="47">
      <x:c r="A47" s="14" t="str">
        <x:v>LF-B-A-TECH-2</x:v>
      </x:c>
      <x:c r="B47" s="14" t="str">
        <x:v>LF-B-A</x:v>
      </x:c>
      <x:c r="C47" s="18" t="str">
        <x:v>Headerless high-temperature switching</x:v>
      </x:c>
      <x:c r="D47" s="19" t="n">
        <x:v>210</x:v>
      </x:c>
      <x:c r="E47" s="19" t="n">
        <x:v>300</x:v>
      </x:c>
      <x:c r="F47" s="19" t="n">
        <x:v>600</x:v>
      </x:c>
      <x:c r="G47" s="19" t="n">
        <x:v>200</x:v>
      </x:c>
      <x:c r="H47" s="14"/>
    </x:row>
    <x:row r="48">
      <x:c r="A48" s="14" t="str">
        <x:v>LF-B-A-TECH-3</x:v>
      </x:c>
      <x:c r="B48" s="14" t="str">
        <x:v>LF-B-A</x:v>
      </x:c>
      <x:c r="C48" s="18" t="str">
        <x:v>Closed brine-mineral metabolism</x:v>
      </x:c>
      <x:c r="D48" s="19" t="n">
        <x:v>130</x:v>
      </x:c>
      <x:c r="E48" s="19" t="n">
        <x:v>220</x:v>
      </x:c>
      <x:c r="F48" s="19" t="n">
        <x:v>400</x:v>
      </x:c>
      <x:c r="G48" s="19" t="n">
        <x:v>140</x:v>
      </x:c>
      <x:c r="H48" s="14"/>
    </x:row>
    <x:row r="49">
      <x:c r="A49" s="14" t="str">
        <x:v>LF-B-A-TECH-4</x:v>
      </x:c>
      <x:c r="B49" s="14" t="str">
        <x:v>LF-B-A</x:v>
      </x:c>
      <x:c r="C49" s="18" t="str">
        <x:v>Autonomous trenchless lifeline corridor</x:v>
      </x:c>
      <x:c r="D49" s="19" t="n">
        <x:v>90</x:v>
      </x:c>
      <x:c r="E49" s="19" t="n">
        <x:v>140</x:v>
      </x:c>
      <x:c r="F49" s="19" t="n">
        <x:v>250</x:v>
      </x:c>
      <x:c r="G49" s="19" t="n">
        <x:v>90</x:v>
      </x:c>
      <x:c r="H49" s="14"/>
    </x:row>
    <x:row r="50">
      <x:c r="A50" s="14" t="str">
        <x:v>HU-A-B-TECH-1</x:v>
      </x:c>
      <x:c r="B50" s="14" t="str">
        <x:v>HU-A-B</x:v>
      </x:c>
      <x:c r="C50" s="18" t="str">
        <x:v>Counter-rotating clinical loops</x:v>
      </x:c>
      <x:c r="D50" s="19" t="n">
        <x:v>120</x:v>
      </x:c>
      <x:c r="E50" s="19" t="n">
        <x:v>180</x:v>
      </x:c>
      <x:c r="F50" s="19" t="n">
        <x:v>240</x:v>
      </x:c>
      <x:c r="G50" s="19" t="n">
        <x:v>100</x:v>
      </x:c>
      <x:c r="H50" s="14"/>
    </x:row>
    <x:row r="51">
      <x:c r="A51" s="14" t="str">
        <x:v>HU-A-B-TECH-2</x:v>
      </x:c>
      <x:c r="B51" s="14" t="str">
        <x:v>HU-A-B</x:v>
      </x:c>
      <x:c r="C51" s="18" t="str">
        <x:v>Acuity-reconfigurable care district</x:v>
      </x:c>
      <x:c r="D51" s="19" t="n">
        <x:v>100</x:v>
      </x:c>
      <x:c r="E51" s="19" t="n">
        <x:v>150</x:v>
      </x:c>
      <x:c r="F51" s="19" t="n">
        <x:v>200</x:v>
      </x:c>
      <x:c r="G51" s="19" t="n">
        <x:v>90</x:v>
      </x:c>
      <x:c r="H51" s="14"/>
    </x:row>
    <x:row r="52">
      <x:c r="A52" s="14" t="str">
        <x:v>HU-A-B-TECH-3</x:v>
      </x:c>
      <x:c r="B52" s="14" t="str">
        <x:v>HU-A-B</x:v>
      </x:c>
      <x:c r="C52" s="18" t="str">
        <x:v>Distributed sterile ancestry</x:v>
      </x:c>
      <x:c r="D52" s="19" t="n">
        <x:v>80</x:v>
      </x:c>
      <x:c r="E52" s="19" t="n">
        <x:v>120</x:v>
      </x:c>
      <x:c r="F52" s="19" t="n">
        <x:v>160</x:v>
      </x:c>
      <x:c r="G52" s="19" t="n">
        <x:v>70</x:v>
      </x:c>
      <x:c r="H52" s="14"/>
    </x:row>
    <x:row r="53">
      <x:c r="A53" s="14" t="str">
        <x:v>HU-A-B-TECH-4</x:v>
      </x:c>
      <x:c r="B53" s="14" t="str">
        <x:v>HU-A-B</x:v>
      </x:c>
      <x:c r="C53" s="18" t="str">
        <x:v>Offline relationship continuity</x:v>
      </x:c>
      <x:c r="D53" s="19" t="n">
        <x:v>30</x:v>
      </x:c>
      <x:c r="E53" s="19" t="n">
        <x:v>50</x:v>
      </x:c>
      <x:c r="F53" s="19" t="n">
        <x:v>60</x:v>
      </x:c>
      <x:c r="G53" s="19" t="n">
        <x:v>40</x:v>
      </x:c>
      <x:c r="H53" s="14"/>
    </x:row>
    <x:row r="54">
      <x:c r="A54" s="14" t="str">
        <x:v>RT-B-C-TECH-1</x:v>
      </x:c>
      <x:c r="B54" s="14" t="str">
        <x:v>RT-B-C</x:v>
      </x:c>
      <x:c r="C54" s="18" t="str">
        <x:v>Ancestry-complete mobile trainlet</x:v>
      </x:c>
      <x:c r="D54" s="19" t="n">
        <x:v>80</x:v>
      </x:c>
      <x:c r="E54" s="19" t="n">
        <x:v>120</x:v>
      </x:c>
      <x:c r="F54" s="19" t="n">
        <x:v>140</x:v>
      </x:c>
      <x:c r="G54" s="19" t="n">
        <x:v>70</x:v>
      </x:c>
      <x:c r="H54" s="14"/>
    </x:row>
    <x:row r="55">
      <x:c r="A55" s="14" t="str">
        <x:v>RT-B-C-TECH-2</x:v>
      </x:c>
      <x:c r="B55" s="14" t="str">
        <x:v>RT-B-C</x:v>
      </x:c>
      <x:c r="C55" s="18" t="str">
        <x:v>Pulsed process microgrid</x:v>
      </x:c>
      <x:c r="D55" s="19" t="n">
        <x:v>55</x:v>
      </x:c>
      <x:c r="E55" s="19" t="n">
        <x:v>90</x:v>
      </x:c>
      <x:c r="F55" s="19" t="n">
        <x:v>110</x:v>
      </x:c>
      <x:c r="G55" s="19" t="n">
        <x:v>50</x:v>
      </x:c>
      <x:c r="H55" s="14"/>
    </x:row>
    <x:row r="56">
      <x:c r="A56" s="14" t="str">
        <x:v>RT-B-C-TECH-3</x:v>
      </x:c>
      <x:c r="B56" s="14" t="str">
        <x:v>RT-B-C</x:v>
      </x:c>
      <x:c r="C56" s="18" t="str">
        <x:v>Self-describing machines and fixtures</x:v>
      </x:c>
      <x:c r="D56" s="19" t="n">
        <x:v>60</x:v>
      </x:c>
      <x:c r="E56" s="19" t="n">
        <x:v>100</x:v>
      </x:c>
      <x:c r="F56" s="19" t="n">
        <x:v>120</x:v>
      </x:c>
      <x:c r="G56" s="19" t="n">
        <x:v>60</x:v>
      </x:c>
      <x:c r="H56" s="14"/>
    </x:row>
    <x:row r="57">
      <x:c r="A57" s="14" t="str">
        <x:v>RT-B-C-TECH-4</x:v>
      </x:c>
      <x:c r="B57" s="14" t="str">
        <x:v>RT-B-C</x:v>
      </x:c>
      <x:c r="C57" s="18" t="str">
        <x:v>Portable primary metrology</x:v>
      </x:c>
      <x:c r="D57" s="19" t="n">
        <x:v>45</x:v>
      </x:c>
      <x:c r="E57" s="19" t="n">
        <x:v>80</x:v>
      </x:c>
      <x:c r="F57" s="19" t="n">
        <x:v>100</x:v>
      </x:c>
      <x:c r="G57" s="19" t="n">
        <x:v>50</x:v>
      </x:c>
      <x:c r="H57" s="14"/>
    </x:row>
  </x:sheetData>
  <x:pageMargins left="0.7" right="0.7" top="0.75" bottom="0.75" header="0.3" footer="0.3"/>
  <x:tableParts count="2">
    <x:tablePart xmlns:r="http://schemas.openxmlformats.org/officeDocument/2006/relationships" r:id="R9f59543d7c5648ef"/>
    <x:tablePart xmlns:r="http://schemas.openxmlformats.org/officeDocument/2006/relationships" r:id="R1f8660d102cc47d7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2" hidden="0" customWidth="1"/>
    <x:col min="4" max="4" width="42" hidden="0" customWidth="1"/>
    <x:col min="5" max="5" width="38" hidden="0" customWidth="1"/>
    <x:col min="6" max="6" width="34" hidden="0" customWidth="1"/>
    <x:col min="7" max="7" width="24" hidden="0" customWidth="1"/>
  </x:cols>
  <x:sheetData>
    <x:row r="1">
      <x:c r="A1" s="14"/>
      <x:c r="B1" s="14"/>
      <x:c r="C1" s="14"/>
      <x:c r="D1" s="14"/>
      <x:c r="E1" s="14"/>
      <x:c r="F1" s="14"/>
      <x:c r="G1" s="14"/>
    </x:row>
    <x:row r="2">
      <x:c r="A2" s="56" t="str">
        <x:v>Disposable mutation protocol</x:v>
      </x:c>
      <x:c r="B2" s="14"/>
      <x:c r="C2" s="14"/>
      <x:c r="D2" s="14"/>
      <x:c r="E2" s="14"/>
      <x:c r="F2" s="14"/>
      <x:c r="G2" s="14"/>
    </x:row>
    <x:row r="3">
      <x:c r="A3" s="16"/>
      <x:c r="B3" s="16"/>
      <x:c r="C3" s="16"/>
      <x:c r="D3" s="16"/>
      <x:c r="E3" s="16"/>
      <x:c r="F3" s="16"/>
      <x:c r="G3" s="16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>
      <x:c r="A4" s="14"/>
      <x:c r="B4" s="14"/>
      <x:c r="C4" s="14"/>
      <x:c r="D4" s="14"/>
      <x:c r="E4" s="14"/>
      <x:c r="F4" s="14"/>
      <x:c r="G4" s="14"/>
    </x:row>
    <x:row r="5">
      <x:c r="A5" s="14"/>
      <x:c r="B5" s="14"/>
      <x:c r="C5" s="14"/>
      <x:c r="D5" s="14"/>
      <x:c r="E5" s="14"/>
      <x:c r="F5" s="14"/>
      <x:c r="G5" s="14"/>
    </x:row>
    <x:row r="6">
      <x:c r="A6" s="14" t="str">
        <x:v>Mutation</x:v>
      </x:c>
      <x:c r="B6" s="14" t="str">
        <x:v>Sheet</x:v>
      </x:c>
      <x:c r="C6" s="14" t="str">
        <x:v>Cell</x:v>
      </x:c>
      <x:c r="D6" s="14" t="str">
        <x:v>Disposable change</x:v>
      </x:c>
      <x:c r="E6" s="14" t="str">
        <x:v>Expected result</x:v>
      </x:c>
      <x:c r="F6" s="14" t="str">
        <x:v>Observed result</x:v>
      </x:c>
      <x:c r="G6" s="14" t="str">
        <x:v>Disposition</x:v>
      </x:c>
    </x:row>
    <x:row r="7">
      <x:c r="A7" s="14" t="str">
        <x:v>M01</x:v>
      </x:c>
      <x:c r="B7" s="14" t="str">
        <x:v>Inputs</x:v>
      </x:c>
      <x:c r="C7" s="14" t="str">
        <x:v>B7</x:v>
      </x:c>
      <x:c r="D7" s="18" t="str">
        <x:v>set builder lines to one</x:v>
      </x:c>
      <x:c r="E7" s="18" t="str">
        <x:v>builder-line audit fails</x:v>
      </x:c>
      <x:c r="F7" s="18" t="str">
        <x:v>audit changed as specified</x:v>
      </x:c>
      <x:c r="G7" s="18" t="str">
        <x:v>DETECTED / RESTORED</x:v>
      </x:c>
    </x:row>
    <x:row r="8">
      <x:c r="A8" s="14" t="str">
        <x:v>M02</x:v>
      </x:c>
      <x:c r="B8" s="14" t="str">
        <x:v>Inputs</x:v>
      </x:c>
      <x:c r="C8" s="14" t="str">
        <x:v>B8</x:v>
      </x:c>
      <x:c r="D8" s="18" t="str">
        <x:v>delete a serial role</x:v>
      </x:c>
      <x:c r="E8" s="18" t="str">
        <x:v>article-count audit fails</x:v>
      </x:c>
      <x:c r="F8" s="18" t="str">
        <x:v>audit changed as specified</x:v>
      </x:c>
      <x:c r="G8" s="18" t="str">
        <x:v>DETECTED / RESTORED</x:v>
      </x:c>
    </x:row>
    <x:row r="9">
      <x:c r="A9" s="14" t="str">
        <x:v>M03</x:v>
      </x:c>
      <x:c r="B9" s="14" t="str">
        <x:v>Inputs</x:v>
      </x:c>
      <x:c r="C9" s="14" t="str">
        <x:v>B12</x:v>
      </x:c>
      <x:c r="D9" s="18" t="str">
        <x:v>raise low factor above one</x:v>
      </x:c>
      <x:c r="E9" s="18" t="str">
        <x:v>range-order audit fails</x:v>
      </x:c>
      <x:c r="F9" s="18" t="str">
        <x:v>audit changed as specified</x:v>
      </x:c>
      <x:c r="G9" s="18" t="str">
        <x:v>DETECTED / RESTORED</x:v>
      </x:c>
    </x:row>
    <x:row r="10">
      <x:c r="A10" s="14" t="str">
        <x:v>M04</x:v>
      </x:c>
      <x:c r="B10" s="14" t="str">
        <x:v>Inputs</x:v>
      </x:c>
      <x:c r="C10" s="14" t="str">
        <x:v>B13</x:v>
      </x:c>
      <x:c r="D10" s="18" t="str">
        <x:v>set high factor below one</x:v>
      </x:c>
      <x:c r="E10" s="18" t="str">
        <x:v>range-order audit fails</x:v>
      </x:c>
      <x:c r="F10" s="18" t="str">
        <x:v>audit changed as specified</x:v>
      </x:c>
      <x:c r="G10" s="18" t="str">
        <x:v>DETECTED / RESTORED</x:v>
      </x:c>
    </x:row>
    <x:row r="11">
      <x:c r="A11" s="14" t="str">
        <x:v>M05</x:v>
      </x:c>
      <x:c r="B11" s="14" t="str">
        <x:v>Inputs</x:v>
      </x:c>
      <x:c r="C11" s="14" t="str">
        <x:v>B20</x:v>
      </x:c>
      <x:c r="D11" s="18" t="str">
        <x:v>raise candidate reservation</x:v>
      </x:c>
      <x:c r="E11" s="18" t="str">
        <x:v>mismatch-control audit fails</x:v>
      </x:c>
      <x:c r="F11" s="18" t="str">
        <x:v>audit changed as specified</x:v>
      </x:c>
      <x:c r="G11" s="18" t="str">
        <x:v>DETECTED / RESTORED</x:v>
      </x:c>
    </x:row>
    <x:row r="12">
      <x:c r="A12" s="14" t="str">
        <x:v>M06</x:v>
      </x:c>
      <x:c r="B12" s="14" t="str">
        <x:v>Article Families</x:v>
      </x:c>
      <x:c r="C12" s="14" t="str">
        <x:v>F7</x:v>
      </x:c>
      <x:c r="D12" s="18" t="str">
        <x:v>delete one builder line</x:v>
      </x:c>
      <x:c r="E12" s="18" t="str">
        <x:v>builder-line total fails</x:v>
      </x:c>
      <x:c r="F12" s="18" t="str">
        <x:v>audit changed as specified</x:v>
      </x:c>
      <x:c r="G12" s="18" t="str">
        <x:v>DETECTED / RESTORED</x:v>
      </x:c>
    </x:row>
    <x:row r="13">
      <x:c r="A13" s="14" t="str">
        <x:v>M07</x:v>
      </x:c>
      <x:c r="B13" s="14" t="str">
        <x:v>Article Families</x:v>
      </x:c>
      <x:c r="C13" s="14" t="str">
        <x:v>H8</x:v>
      </x:c>
      <x:c r="D13" s="18" t="str">
        <x:v>delete one serial</x:v>
      </x:c>
      <x:c r="E13" s="18" t="str">
        <x:v>article total fails</x:v>
      </x:c>
      <x:c r="F13" s="18" t="str">
        <x:v>audit changed as specified</x:v>
      </x:c>
      <x:c r="G13" s="18" t="str">
        <x:v>DETECTED / RESTORED</x:v>
      </x:c>
    </x:row>
    <x:row r="14">
      <x:c r="A14" s="14" t="str">
        <x:v>M08</x:v>
      </x:c>
      <x:c r="B14" s="14" t="str">
        <x:v>Serial Register</x:v>
      </x:c>
      <x:c r="C14" s="14" t="str">
        <x:v>I7</x:v>
      </x:c>
      <x:c r="D14" s="18" t="str">
        <x:v>make integration event acceptance-bearing</x:v>
      </x:c>
      <x:c r="E14" s="18" t="str">
        <x:v>acceptance count fails</x:v>
      </x:c>
      <x:c r="F14" s="18" t="str">
        <x:v>audit changed as specified</x:v>
      </x:c>
      <x:c r="G14" s="18" t="str">
        <x:v>DETECTED / RESTORED</x:v>
      </x:c>
    </x:row>
    <x:row r="15">
      <x:c r="A15" s="14" t="str">
        <x:v>M09</x:v>
      </x:c>
      <x:c r="B15" s="14" t="str">
        <x:v>Serial Register</x:v>
      </x:c>
      <x:c r="C15" s="14" t="str">
        <x:v>J8</x:v>
      </x:c>
      <x:c r="D15" s="18" t="str">
        <x:v>mark article built</x:v>
      </x:c>
      <x:c r="E15" s="18" t="str">
        <x:v>build hold fails</x:v>
      </x:c>
      <x:c r="F15" s="18" t="str">
        <x:v>audit changed as specified</x:v>
      </x:c>
      <x:c r="G15" s="18" t="str">
        <x:v>DETECTED / RESTORED</x:v>
      </x:c>
    </x:row>
    <x:row r="16">
      <x:c r="A16" s="14" t="str">
        <x:v>M10</x:v>
      </x:c>
      <x:c r="B16" s="14" t="str">
        <x:v>Industrial Estate</x:v>
      </x:c>
      <x:c r="C16" s="14" t="str">
        <x:v>E7</x:v>
      </x:c>
      <x:c r="D16" s="18" t="str">
        <x:v>erase estate class</x:v>
      </x:c>
      <x:c r="E16" s="18" t="str">
        <x:v>estate completeness fails</x:v>
      </x:c>
      <x:c r="F16" s="18" t="str">
        <x:v>audit changed as specified</x:v>
      </x:c>
      <x:c r="G16" s="18" t="str">
        <x:v>DETECTED / RESTORED</x:v>
      </x:c>
    </x:row>
    <x:row r="17">
      <x:c r="A17" s="14" t="str">
        <x:v>M11</x:v>
      </x:c>
      <x:c r="B17" s="14" t="str">
        <x:v>Measurement Packets</x:v>
      </x:c>
      <x:c r="C17" s="14" t="str">
        <x:v>J7</x:v>
      </x:c>
      <x:c r="D17" s="18" t="str">
        <x:v>grant a measurement</x:v>
      </x:c>
      <x:c r="E17" s="18" t="str">
        <x:v>measurement hold fails</x:v>
      </x:c>
      <x:c r="F17" s="18" t="str">
        <x:v>audit changed as specified</x:v>
      </x:c>
      <x:c r="G17" s="18" t="str">
        <x:v>DETECTED / RESTORED</x:v>
      </x:c>
    </x:row>
    <x:row r="18">
      <x:c r="A18" s="14" t="str">
        <x:v>M12</x:v>
      </x:c>
      <x:c r="B18" s="14" t="str">
        <x:v>Event Sequence</x:v>
      </x:c>
      <x:c r="C18" s="14" t="str">
        <x:v>H7</x:v>
      </x:c>
      <x:c r="D18" s="18" t="str">
        <x:v>make development event acceptance-bearing</x:v>
      </x:c>
      <x:c r="E18" s="18" t="str">
        <x:v>acceptance count fails</x:v>
      </x:c>
      <x:c r="F18" s="18" t="str">
        <x:v>audit changed as specified</x:v>
      </x:c>
      <x:c r="G18" s="18" t="str">
        <x:v>DETECTED / RESTORED</x:v>
      </x:c>
    </x:row>
    <x:row r="19">
      <x:c r="A19" s="14" t="str">
        <x:v>M13</x:v>
      </x:c>
      <x:c r="B19" s="14" t="str">
        <x:v>Event Sequence</x:v>
      </x:c>
      <x:c r="C19" s="14" t="str">
        <x:v>J8</x:v>
      </x:c>
      <x:c r="D19" s="18" t="str">
        <x:v>grant event acceptance</x:v>
      </x:c>
      <x:c r="E19" s="18" t="str">
        <x:v>event hold fails</x:v>
      </x:c>
      <x:c r="F19" s="18" t="str">
        <x:v>audit changed as specified</x:v>
      </x:c>
      <x:c r="G19" s="18" t="str">
        <x:v>DETECTED / RESTORED</x:v>
      </x:c>
    </x:row>
    <x:row r="20">
      <x:c r="A20" s="14" t="str">
        <x:v>M14</x:v>
      </x:c>
      <x:c r="B20" s="14" t="str">
        <x:v>Form Schedule</x:v>
      </x:c>
      <x:c r="C20" s="14" t="str">
        <x:v>F7</x:v>
      </x:c>
      <x:c r="D20" s="18" t="str">
        <x:v>shorten cold program</x:v>
      </x:c>
      <x:c r="E20" s="18" t="str">
        <x:v>schedule control fails</x:v>
      </x:c>
      <x:c r="F20" s="18" t="str">
        <x:v>audit changed as specified</x:v>
      </x:c>
      <x:c r="G20" s="18" t="str">
        <x:v>DETECTED / RESTORED</x:v>
      </x:c>
    </x:row>
    <x:row r="21">
      <x:c r="A21" s="14" t="str">
        <x:v>M15</x:v>
      </x:c>
      <x:c r="B21" s="14" t="str">
        <x:v>Inputs</x:v>
      </x:c>
      <x:c r="C21" s="14" t="str">
        <x:v>B24</x:v>
      </x:c>
      <x:c r="D21" s="18" t="str">
        <x:v>grant an observation</x:v>
      </x:c>
      <x:c r="E21" s="18" t="str">
        <x:v>authority hold fails</x:v>
      </x:c>
      <x:c r="F21" s="18" t="str">
        <x:v>audit changed as specified</x:v>
      </x:c>
      <x:c r="G21" s="18" t="str">
        <x:v>DETECTED / RESTORED</x:v>
      </x:c>
    </x:row>
    <x:row r="22">
      <x:c r="A22" s="14" t="str">
        <x:v>M16</x:v>
      </x:c>
      <x:c r="B22" s="14" t="str">
        <x:v>Inputs</x:v>
      </x:c>
      <x:c r="C22" s="14" t="str">
        <x:v>B25</x:v>
      </x:c>
      <x:c r="D22" s="18" t="str">
        <x:v>grant MAKE</x:v>
      </x:c>
      <x:c r="E22" s="18" t="str">
        <x:v>authority hold fails</x:v>
      </x:c>
      <x:c r="F22" s="18" t="str">
        <x:v>audit changed as specified</x:v>
      </x:c>
      <x:c r="G22" s="18" t="str">
        <x:v>DETECTED / RESTORED</x:v>
      </x:c>
    </x:row>
    <x:row r="23">
      <x:c r="A23" s="14" t="str">
        <x:v>M17</x:v>
      </x:c>
      <x:c r="B23" s="14" t="str">
        <x:v>Inputs</x:v>
      </x:c>
      <x:c r="C23" s="14" t="str">
        <x:v>B26</x:v>
      </x:c>
      <x:c r="D23" s="18" t="str">
        <x:v>grant REP-4</x:v>
      </x:c>
      <x:c r="E23" s="18" t="str">
        <x:v>authority hold fails</x:v>
      </x:c>
      <x:c r="F23" s="18" t="str">
        <x:v>audit changed as specified</x:v>
      </x:c>
      <x:c r="G23" s="18" t="str">
        <x:v>DETECTED / RESTORED</x:v>
      </x:c>
    </x:row>
    <x:row r="24">
      <x:c r="A24" s="14" t="str">
        <x:v>M18</x:v>
      </x:c>
      <x:c r="B24" s="14" t="str">
        <x:v>Inputs</x:v>
      </x:c>
      <x:c r="C24" s="14" t="str">
        <x:v>B27</x:v>
      </x:c>
      <x:c r="D24" s="18" t="str">
        <x:v>grant production</x:v>
      </x:c>
      <x:c r="E24" s="18" t="str">
        <x:v>authority hold fails</x:v>
      </x:c>
      <x:c r="F24" s="18" t="str">
        <x:v>audit changed as specified</x:v>
      </x:c>
      <x:c r="G24" s="18" t="str">
        <x:v>DETECTED / RESTORED</x:v>
      </x:c>
    </x:row>
    <x:row r="25">
      <x:c r="A25" s="14" t="str">
        <x:v>M19</x:v>
      </x:c>
      <x:c r="B25" s="14" t="str">
        <x:v>Inputs</x:v>
      </x:c>
      <x:c r="C25" s="14" t="str">
        <x:v>B28</x:v>
      </x:c>
      <x:c r="D25" s="18" t="str">
        <x:v>grant rendering</x:v>
      </x:c>
      <x:c r="E25" s="18" t="str">
        <x:v>authority hold fails</x:v>
      </x:c>
      <x:c r="F25" s="18" t="str">
        <x:v>audit changed as specified</x:v>
      </x:c>
      <x:c r="G25" s="18" t="str">
        <x:v>DETECTED / RESTORED</x:v>
      </x:c>
    </x:row>
    <x:row r="26">
      <x:c r="A26" s="14" t="str">
        <x:v>M20</x:v>
      </x:c>
      <x:c r="B26" s="14" t="str">
        <x:v>Inputs</x:v>
      </x:c>
      <x:c r="C26" s="14" t="str">
        <x:v>D34</x:v>
      </x:c>
      <x:c r="D26" s="18" t="str">
        <x:v>raise article unit cost</x:v>
      </x:c>
      <x:c r="E26" s="18" t="str">
        <x:v>cost-control audit fails</x:v>
      </x:c>
      <x:c r="F26" s="18" t="str">
        <x:v>audit changed as specified</x:v>
      </x:c>
      <x:c r="G26" s="18" t="str">
        <x:v>DETECTED / RESTORED</x:v>
      </x:c>
    </x:row>
    <x:row r="27">
      <x:c r="A27" s="14" t="str">
        <x:v>M21</x:v>
      </x:c>
      <x:c r="B27" s="14" t="str">
        <x:v>Authority Firewall</x:v>
      </x:c>
      <x:c r="C27" s="14" t="str">
        <x:v>E7</x:v>
      </x:c>
      <x:c r="D27" s="18" t="str">
        <x:v>erase binding state</x:v>
      </x:c>
      <x:c r="E27" s="18" t="str">
        <x:v>firewall completeness fails</x:v>
      </x:c>
      <x:c r="F27" s="18" t="str">
        <x:v>audit changed as specified</x:v>
      </x:c>
      <x:c r="G27" s="18" t="str">
        <x:v>DETECTED / RESTORED</x:v>
      </x:c>
    </x:row>
    <x:row r="28">
      <x:c r="A28" s="14" t="str">
        <x:v>M22</x:v>
      </x:c>
      <x:c r="B28" s="14" t="str">
        <x:v>Article Families</x:v>
      </x:c>
      <x:c r="C28" s="14" t="str">
        <x:v>Q7</x:v>
      </x:c>
      <x:c r="D28" s="18" t="str">
        <x:v>claim BUILT</x:v>
      </x:c>
      <x:c r="E28" s="18" t="str">
        <x:v>program-state audit fails</x:v>
      </x:c>
      <x:c r="F28" s="18" t="str">
        <x:v>audit changed as specified</x:v>
      </x:c>
      <x:c r="G28" s="18" t="str">
        <x:v>DETECTED / RESTORED</x:v>
      </x:c>
    </x:row>
  </x:sheetData>
  <x:pageMargins left="0.7" right="0.7" top="0.75" bottom="0.75" header="0.3" footer="0.3"/>
  <x:tableParts count="1">
    <x:tablePart xmlns:r="http://schemas.openxmlformats.org/officeDocument/2006/relationships" r:id="R7f5dd67b716f458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8" hidden="0" customWidth="1"/>
    <x:col min="3" max="3" width="20" hidden="0" customWidth="1"/>
    <x:col min="4" max="4" width="20" hidden="0" customWidth="1"/>
    <x:col min="5" max="5" width="14" hidden="0" customWidth="1"/>
  </x:cols>
  <x:sheetData>
    <x:row r="1">
      <x:c r="A1" s="14"/>
      <x:c r="B1" s="14"/>
      <x:c r="C1" s="14"/>
      <x:c r="D1" s="14"/>
      <x:c r="E1" s="14"/>
    </x:row>
    <x:row r="2">
      <x:c r="A2" s="56" t="str">
        <x:v>Terminal workbook audits</x:v>
      </x:c>
      <x:c r="B2" s="14"/>
      <x:c r="C2" s="14"/>
      <x:c r="D2" s="14"/>
      <x:c r="E2" s="14"/>
    </x:row>
    <x:row r="3">
      <x:c r="A3" s="16"/>
      <x:c r="B3" s="16"/>
      <x:c r="C3" s="16"/>
      <x:c r="D3" s="16"/>
      <x:c r="E3" s="16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>
      <x:c r="A4" s="14"/>
      <x:c r="B4" s="14"/>
      <x:c r="C4" s="14"/>
      <x:c r="D4" s="14"/>
      <x:c r="E4" s="14"/>
    </x:row>
    <x:row r="5">
      <x:c r="A5" s="14"/>
      <x:c r="B5" s="14"/>
      <x:c r="C5" s="14"/>
      <x:c r="D5" s="14"/>
      <x:c r="E5" s="14"/>
    </x:row>
    <x:row r="6">
      <x:c r="A6" s="14" t="str">
        <x:v>Audit</x:v>
      </x:c>
      <x:c r="B6" s="14" t="str">
        <x:v>Test</x:v>
      </x:c>
      <x:c r="C6" s="14" t="str">
        <x:v>Calculated</x:v>
      </x:c>
      <x:c r="D6" s="14" t="str">
        <x:v>Expected</x:v>
      </x:c>
      <x:c r="E6" s="14" t="str">
        <x:v>State</x:v>
      </x:c>
    </x:row>
    <x:row r="7">
      <x:c r="A7" s="14" t="str">
        <x:v>A01</x:v>
      </x:c>
      <x:c r="B7" s="14" t="str">
        <x:v>24 technology families</x:v>
      </x:c>
      <x:c r="C7" s="14" t="n">
        <x:f>COUNTA('Article Families'!$A$7:$A$30)</x:f>
        <x:v>24</x:v>
      </x:c>
      <x:c r="D7" s="14" t="n">
        <x:v>24</x:v>
      </x:c>
      <x:c r="E7" s="14" t="str">
        <x:f>IF(C7=D7,"PASS","FAIL")</x:f>
        <x:v>PASS</x:v>
      </x:c>
    </x:row>
    <x:row r="8">
      <x:c r="A8" s="14" t="str">
        <x:v>A02</x:v>
      </x:c>
      <x:c r="B8" s="14" t="str">
        <x:v>48 builder lines</x:v>
      </x:c>
      <x:c r="C8" s="14" t="n">
        <x:f>SUM('Article Families'!$F$7:$F$30)</x:f>
        <x:v>48</x:v>
      </x:c>
      <x:c r="D8" s="14" t="n">
        <x:v>48</x:v>
      </x:c>
      <x:c r="E8" s="14" t="str">
        <x:f>IF(C8=D8,"PASS","FAIL")</x:f>
        <x:v>PASS</x:v>
      </x:c>
    </x:row>
    <x:row r="9">
      <x:c r="A9" s="14" t="str">
        <x:v>A03</x:v>
      </x:c>
      <x:c r="B9" s="14" t="str">
        <x:v>144 full-scale articles</x:v>
      </x:c>
      <x:c r="C9" s="14" t="n">
        <x:f>SUM('Article Families'!$H$7:$H$30)</x:f>
        <x:v>144</x:v>
      </x:c>
      <x:c r="D9" s="14" t="n">
        <x:v>144</x:v>
      </x:c>
      <x:c r="E9" s="14" t="str">
        <x:f>IF(C9=D9,"PASS","FAIL")</x:f>
        <x:v>PASS</x:v>
      </x:c>
    </x:row>
    <x:row r="10">
      <x:c r="A10" s="14" t="str">
        <x:v>A04</x:v>
      </x:c>
      <x:c r="B10" s="14" t="str">
        <x:v>144 serial records</x:v>
      </x:c>
      <x:c r="C10" s="14" t="n">
        <x:f>COUNTA('Serial Register'!$A$7:$A$150)</x:f>
        <x:v>144</x:v>
      </x:c>
      <x:c r="D10" s="14" t="n">
        <x:v>144</x:v>
      </x:c>
      <x:c r="E10" s="14" t="str">
        <x:f>IF(C10=D10,"PASS","FAIL")</x:f>
        <x:v>PASS</x:v>
      </x:c>
    </x:row>
    <x:row r="11">
      <x:c r="A11" s="14" t="str">
        <x:v>A05</x:v>
      </x:c>
      <x:c r="B11" s="14" t="str">
        <x:v>48 integration articles</x:v>
      </x:c>
      <x:c r="C11" s="14" t="n">
        <x:f>COUNTIF('Serial Register'!$E$7:$E$150,"INT")</x:f>
        <x:v>48</x:v>
      </x:c>
      <x:c r="D11" s="14" t="n">
        <x:v>48</x:v>
      </x:c>
      <x:c r="E11" s="14" t="str">
        <x:f>IF(C11=D11,"PASS","FAIL")</x:f>
        <x:v>PASS</x:v>
      </x:c>
    </x:row>
    <x:row r="12">
      <x:c r="A12" s="14" t="str">
        <x:v>A06</x:v>
      </x:c>
      <x:c r="B12" s="14" t="str">
        <x:v>48 destructive articles</x:v>
      </x:c>
      <x:c r="C12" s="14" t="n">
        <x:f>COUNTIF('Serial Register'!$E$7:$E$150,"BRK")</x:f>
        <x:v>48</x:v>
      </x:c>
      <x:c r="D12" s="14" t="n">
        <x:v>48</x:v>
      </x:c>
      <x:c r="E12" s="14" t="str">
        <x:f>IF(C12=D12,"PASS","FAIL")</x:f>
        <x:v>PASS</x:v>
      </x:c>
    </x:row>
    <x:row r="13">
      <x:c r="A13" s="14" t="str">
        <x:v>A07</x:v>
      </x:c>
      <x:c r="B13" s="14" t="str">
        <x:v>48 reconstruction articles</x:v>
      </x:c>
      <x:c r="C13" s="14" t="n">
        <x:f>COUNTIF('Serial Register'!$E$7:$E$150,"RCN")</x:f>
        <x:v>48</x:v>
      </x:c>
      <x:c r="D13" s="14" t="n">
        <x:v>48</x:v>
      </x:c>
      <x:c r="E13" s="14" t="str">
        <x:f>IF(C13=D13,"PASS","FAIL")</x:f>
        <x:v>PASS</x:v>
      </x:c>
    </x:row>
    <x:row r="14">
      <x:c r="A14" s="14" t="str">
        <x:v>A08</x:v>
      </x:c>
      <x:c r="B14" s="14" t="str">
        <x:v>96 acceptance-bearing serials</x:v>
      </x:c>
      <x:c r="C14" s="14" t="n">
        <x:f>SUM('Serial Register'!$I$7:$I$150)</x:f>
        <x:v>96</x:v>
      </x:c>
      <x:c r="D14" s="14" t="n">
        <x:v>96</x:v>
      </x:c>
      <x:c r="E14" s="14" t="str">
        <x:f>IF(C14=D14,"PASS","FAIL")</x:f>
        <x:v>PASS</x:v>
      </x:c>
    </x:row>
    <x:row r="15">
      <x:c r="A15" s="14" t="str">
        <x:v>A09</x:v>
      </x:c>
      <x:c r="B15" s="14" t="str">
        <x:v>No article built</x:v>
      </x:c>
      <x:c r="C15" s="14" t="n">
        <x:f>SUM('Serial Register'!$J$7:$J$150)</x:f>
        <x:v>0</x:v>
      </x:c>
      <x:c r="D15" s="14" t="n">
        <x:v>0</x:v>
      </x:c>
      <x:c r="E15" s="14" t="str">
        <x:f>IF(C15=D15,"PASS","FAIL")</x:f>
        <x:v>PASS</x:v>
      </x:c>
    </x:row>
    <x:row r="16">
      <x:c r="A16" s="14" t="str">
        <x:v>A10</x:v>
      </x:c>
      <x:c r="B16" s="14" t="str">
        <x:v>No article accepted</x:v>
      </x:c>
      <x:c r="C16" s="14" t="n">
        <x:f>SUM('Serial Register'!$K$7:$K$150)</x:f>
        <x:v>0</x:v>
      </x:c>
      <x:c r="D16" s="14" t="n">
        <x:v>0</x:v>
      </x:c>
      <x:c r="E16" s="14" t="str">
        <x:f>IF(C16=D16,"PASS","FAIL")</x:f>
        <x:v>PASS</x:v>
      </x:c>
    </x:row>
    <x:row r="17">
      <x:c r="A17" s="14" t="str">
        <x:v>A11</x:v>
      </x:c>
      <x:c r="B17" s="14" t="str">
        <x:v>144 estate records</x:v>
      </x:c>
      <x:c r="C17" s="14" t="n">
        <x:f>COUNTA('Industrial Estate'!$A$7:$A$150)</x:f>
        <x:v>144</x:v>
      </x:c>
      <x:c r="D17" s="14" t="n">
        <x:v>144</x:v>
      </x:c>
      <x:c r="E17" s="14" t="str">
        <x:f>IF(C17=D17,"PASS","FAIL")</x:f>
        <x:v>PASS</x:v>
      </x:c>
    </x:row>
    <x:row r="18">
      <x:c r="A18" s="14" t="str">
        <x:v>A12</x:v>
      </x:c>
      <x:c r="B18" s="14" t="str">
        <x:v>48 builder estate records</x:v>
      </x:c>
      <x:c r="C18" s="14" t="n">
        <x:f>COUNTIF('Industrial Estate'!$E$7:$E$150,"Builder line")</x:f>
        <x:v>48</x:v>
      </x:c>
      <x:c r="D18" s="14" t="n">
        <x:v>48</x:v>
      </x:c>
      <x:c r="E18" s="14" t="str">
        <x:f>IF(C18=D18,"PASS","FAIL")</x:f>
        <x:v>PASS</x:v>
      </x:c>
    </x:row>
    <x:row r="19">
      <x:c r="A19" s="14" t="str">
        <x:v>A13</x:v>
      </x:c>
      <x:c r="B19" s="14" t="str">
        <x:v>48 tooling cells</x:v>
      </x:c>
      <x:c r="C19" s="14" t="n">
        <x:f>COUNTIF('Industrial Estate'!$E$7:$E$150,"Root-bound tooling cell")</x:f>
        <x:v>48</x:v>
      </x:c>
      <x:c r="D19" s="14" t="n">
        <x:v>48</x:v>
      </x:c>
      <x:c r="E19" s="14" t="str">
        <x:f>IF(C19=D19,"PASS","FAIL")</x:f>
        <x:v>PASS</x:v>
      </x:c>
    </x:row>
    <x:row r="20">
      <x:c r="A20" s="14" t="str">
        <x:v>A14</x:v>
      </x:c>
      <x:c r="B20" s="14" t="str">
        <x:v>48 public fixtures</x:v>
      </x:c>
      <x:c r="C20" s="14" t="n">
        <x:f>COUNTIF('Industrial Estate'!$E$7:$E$150,"Public proving fixture")</x:f>
        <x:v>48</x:v>
      </x:c>
      <x:c r="D20" s="14" t="n">
        <x:v>48</x:v>
      </x:c>
      <x:c r="E20" s="14" t="str">
        <x:f>IF(C20=D20,"PASS","FAIL")</x:f>
        <x:v>PASS</x:v>
      </x:c>
    </x:row>
    <x:row r="21">
      <x:c r="A21" s="14" t="str">
        <x:v>A15</x:v>
      </x:c>
      <x:c r="B21" s="14" t="str">
        <x:v>Estate classes complete</x:v>
      </x:c>
      <x:c r="C21" s="14" t="n">
        <x:f>COUNTBLANK('Industrial Estate'!$E$7:$E$150)</x:f>
        <x:v>0</x:v>
      </x:c>
      <x:c r="D21" s="14" t="n">
        <x:v>0</x:v>
      </x:c>
      <x:c r="E21" s="14" t="str">
        <x:f>IF(C21=D21,"PASS","FAIL")</x:f>
        <x:v>PASS</x:v>
      </x:c>
    </x:row>
    <x:row r="22">
      <x:c r="A22" s="14" t="str">
        <x:v>A16</x:v>
      </x:c>
      <x:c r="B22" s="14" t="str">
        <x:v>36 measurement packets</x:v>
      </x:c>
      <x:c r="C22" s="14" t="n">
        <x:f>COUNTA('Measurement Packets'!$A$7:$A$42)</x:f>
        <x:v>36</x:v>
      </x:c>
      <x:c r="D22" s="14" t="n">
        <x:v>36</x:v>
      </x:c>
      <x:c r="E22" s="14" t="str">
        <x:f>IF(C22=D22,"PASS","FAIL")</x:f>
        <x:v>PASS</x:v>
      </x:c>
    </x:row>
    <x:row r="23">
      <x:c r="A23" s="14" t="str">
        <x:v>A17</x:v>
      </x:c>
      <x:c r="B23" s="14" t="str">
        <x:v>No measured coefficient</x:v>
      </x:c>
      <x:c r="C23" s="14" t="n">
        <x:f>SUM('Measurement Packets'!$J$7:$J$42)</x:f>
        <x:v>0</x:v>
      </x:c>
      <x:c r="D23" s="14" t="n">
        <x:v>0</x:v>
      </x:c>
      <x:c r="E23" s="14" t="str">
        <x:f>IF(C23=D23,"PASS","FAIL")</x:f>
        <x:v>PASS</x:v>
      </x:c>
    </x:row>
    <x:row r="24">
      <x:c r="A24" s="14" t="str">
        <x:v>A18</x:v>
      </x:c>
      <x:c r="B24" s="14" t="str">
        <x:v>144 serial-bound events</x:v>
      </x:c>
      <x:c r="C24" s="14" t="n">
        <x:f>COUNTA('Event Sequence'!$A$7:$A$150)</x:f>
        <x:v>144</x:v>
      </x:c>
      <x:c r="D24" s="14" t="n">
        <x:v>144</x:v>
      </x:c>
      <x:c r="E24" s="14" t="str">
        <x:f>IF(C24=D24,"PASS","FAIL")</x:f>
        <x:v>PASS</x:v>
      </x:c>
    </x:row>
    <x:row r="25">
      <x:c r="A25" s="14" t="str">
        <x:v>A19</x:v>
      </x:c>
      <x:c r="B25" s="14" t="str">
        <x:v>96 acceptance-bearing events</x:v>
      </x:c>
      <x:c r="C25" s="14" t="n">
        <x:f>SUM('Event Sequence'!$H$7:$H$150)</x:f>
        <x:v>96</x:v>
      </x:c>
      <x:c r="D25" s="14" t="n">
        <x:v>96</x:v>
      </x:c>
      <x:c r="E25" s="14" t="str">
        <x:f>IF(C25=D25,"PASS","FAIL")</x:f>
        <x:v>PASS</x:v>
      </x:c>
    </x:row>
    <x:row r="26">
      <x:c r="A26" s="14" t="str">
        <x:v>A20</x:v>
      </x:c>
      <x:c r="B26" s="14" t="str">
        <x:v>No accepted event</x:v>
      </x:c>
      <x:c r="C26" s="14" t="n">
        <x:f>SUM('Event Sequence'!$J$7:$J$150)</x:f>
        <x:v>0</x:v>
      </x:c>
      <x:c r="D26" s="14" t="n">
        <x:v>0</x:v>
      </x:c>
      <x:c r="E26" s="14" t="str">
        <x:f>IF(C26=D26,"PASS","FAIL")</x:f>
        <x:v>PASS</x:v>
      </x:c>
    </x:row>
    <x:row r="27">
      <x:c r="A27" s="14" t="str">
        <x:v>A21</x:v>
      </x:c>
      <x:c r="B27" s="14" t="str">
        <x:v>Six form schedules</x:v>
      </x:c>
      <x:c r="C27" s="14" t="n">
        <x:f>COUNTA('Form Schedule'!$A$7:$A$12)</x:f>
        <x:v>6</x:v>
      </x:c>
      <x:c r="D27" s="14" t="n">
        <x:v>6</x:v>
      </x:c>
      <x:c r="E27" s="14" t="str">
        <x:f>IF(C27=D27,"PASS","FAIL")</x:f>
        <x:v>PASS</x:v>
      </x:c>
    </x:row>
    <x:row r="28">
      <x:c r="A28" s="14" t="str">
        <x:v>A22</x:v>
      </x:c>
      <x:c r="B28" s="14" t="str">
        <x:v>Longest program 8 years</x:v>
      </x:c>
      <x:c r="C28" s="14" t="n">
        <x:f>MAX('Form Schedule'!$G$7:$G$12)</x:f>
        <x:v>8</x:v>
      </x:c>
      <x:c r="D28" s="14" t="n">
        <x:v>8</x:v>
      </x:c>
      <x:c r="E28" s="14" t="str">
        <x:f>IF(C28=D28,"PASS","FAIL")</x:f>
        <x:v>PASS</x:v>
      </x:c>
    </x:row>
    <x:row r="29">
      <x:c r="A29" s="14" t="str">
        <x:v>A23</x:v>
      </x:c>
      <x:c r="B29" s="14" t="str">
        <x:v>Base exposure USD25.04B</x:v>
      </x:c>
      <x:c r="C29" s="14" t="n">
        <x:f>SUM('Form Economics'!$K$7:$K$12)</x:f>
        <x:v>25040</x:v>
      </x:c>
      <x:c r="D29" s="14" t="n">
        <x:v>25040</x:v>
      </x:c>
      <x:c r="E29" s="14" t="str">
        <x:f>IF(C29=D29,"PASS","FAIL")</x:f>
        <x:v>PASS</x:v>
      </x:c>
    </x:row>
    <x:row r="30">
      <x:c r="A30" s="14" t="str">
        <x:v>A24</x:v>
      </x:c>
      <x:c r="B30" s="14" t="str">
        <x:v>Low exposure USD20.032B</x:v>
      </x:c>
      <x:c r="C30" s="14" t="n">
        <x:f>SUM('Form Economics'!$L$7:$L$12)</x:f>
        <x:v>20032</x:v>
      </x:c>
      <x:c r="D30" s="14" t="n">
        <x:v>20032</x:v>
      </x:c>
      <x:c r="E30" s="14" t="str">
        <x:f>IF(C30=D30,"PASS","FAIL")</x:f>
        <x:v>PASS</x:v>
      </x:c>
    </x:row>
    <x:row r="31">
      <x:c r="A31" s="14" t="str">
        <x:v>A25</x:v>
      </x:c>
      <x:c r="B31" s="14" t="str">
        <x:v>High exposure USD35.056B</x:v>
      </x:c>
      <x:c r="C31" s="14" t="n">
        <x:f>SUM('Form Economics'!$M$7:$M$12)</x:f>
        <x:v>35056</x:v>
      </x:c>
      <x:c r="D31" s="14" t="n">
        <x:v>35056</x:v>
      </x:c>
      <x:c r="E31" s="14" t="str">
        <x:f>IF(C31=D31,"PASS","FAIL")</x:f>
        <x:v>PASS</x:v>
      </x:c>
    </x:row>
    <x:row r="32">
      <x:c r="A32" s="14" t="str">
        <x:v>A26</x:v>
      </x:c>
      <x:c r="B32" s="14" t="str">
        <x:v>Low below base</x:v>
      </x:c>
      <x:c r="C32" s="14" t="n">
        <x:f>IF(SUM('Form Economics'!$L$7:$L$12)&lt;SUM('Form Economics'!$K$7:$K$12),1,0)</x:f>
        <x:v>1</x:v>
      </x:c>
      <x:c r="D32" s="14" t="n">
        <x:v>1</x:v>
      </x:c>
      <x:c r="E32" s="14" t="str">
        <x:f>IF(C32=D32,"PASS","FAIL")</x:f>
        <x:v>PASS</x:v>
      </x:c>
    </x:row>
    <x:row r="33">
      <x:c r="A33" s="14" t="str">
        <x:v>A27</x:v>
      </x:c>
      <x:c r="B33" s="14" t="str">
        <x:v>High above base</x:v>
      </x:c>
      <x:c r="C33" s="14" t="n">
        <x:f>IF(SUM('Form Economics'!$M$7:$M$12)&gt;SUM('Form Economics'!$K$7:$K$12),1,0)</x:f>
        <x:v>1</x:v>
      </x:c>
      <x:c r="D33" s="14" t="n">
        <x:v>1</x:v>
      </x:c>
      <x:c r="E33" s="14" t="str">
        <x:f>IF(C33=D33,"PASS","FAIL")</x:f>
        <x:v>PASS</x:v>
      </x:c>
    </x:row>
    <x:row r="34">
      <x:c r="A34" s="14" t="str">
        <x:v>A28</x:v>
      </x:c>
      <x:c r="B34" s="14" t="str">
        <x:v>High below proof-wave ceiling</x:v>
      </x:c>
      <x:c r="C34" s="14" t="n">
        <x:f>IF(SUM('Form Economics'!$M$7:$M$12)&lt;Inputs!$B$19,1,0)</x:f>
        <x:v>1</x:v>
      </x:c>
      <x:c r="D34" s="14" t="n">
        <x:v>1</x:v>
      </x:c>
      <x:c r="E34" s="14" t="str">
        <x:f>IF(C34=D34,"PASS","FAIL")</x:f>
        <x:v>PASS</x:v>
      </x:c>
    </x:row>
    <x:row r="35">
      <x:c r="A35" s="14" t="str">
        <x:v>A29</x:v>
      </x:c>
      <x:c r="B35" s="14" t="str">
        <x:v>Candidate/tooling mismatch USD390M</x:v>
      </x:c>
      <x:c r="C35" s="14" t="n">
        <x:f>SUM('Form Economics'!$G$7:$G$12)+SUM('Form Economics'!$H$7:$H$12)-Inputs!$B$20</x:f>
        <x:v>390</x:v>
      </x:c>
      <x:c r="D35" s="14" t="n">
        <x:v>390</x:v>
      </x:c>
      <x:c r="E35" s="14" t="str">
        <x:f>IF(C35=D35,"PASS","FAIL")</x:f>
        <x:v>PASS</x:v>
      </x:c>
    </x:row>
    <x:row r="36">
      <x:c r="A36" s="14" t="str">
        <x:v>A30</x:v>
      </x:c>
      <x:c r="B36" s="14" t="str">
        <x:v>18 firewall rules</x:v>
      </x:c>
      <x:c r="C36" s="14" t="n">
        <x:f>COUNTA('Authority Firewall'!$A$7:$A$24)</x:f>
        <x:v>18</x:v>
      </x:c>
      <x:c r="D36" s="14" t="n">
        <x:v>18</x:v>
      </x:c>
      <x:c r="E36" s="14" t="str">
        <x:f>IF(C36=D36,"PASS","FAIL")</x:f>
        <x:v>PASS</x:v>
      </x:c>
    </x:row>
    <x:row r="37">
      <x:c r="A37" s="14" t="str">
        <x:v>A31</x:v>
      </x:c>
      <x:c r="B37" s="14" t="str">
        <x:v>All firewall states binding</x:v>
      </x:c>
      <x:c r="C37" s="14" t="n">
        <x:f>COUNTIF('Authority Firewall'!$E$7:$E$24,"BINDING")</x:f>
        <x:v>18</x:v>
      </x:c>
      <x:c r="D37" s="14" t="n">
        <x:v>18</x:v>
      </x:c>
      <x:c r="E37" s="14" t="str">
        <x:f>IF(C37=D37,"PASS","FAIL")</x:f>
        <x:v>PASS</x:v>
      </x:c>
    </x:row>
    <x:row r="38">
      <x:c r="A38" s="14" t="str">
        <x:v>A32</x:v>
      </x:c>
      <x:c r="B38" s="14" t="str">
        <x:v>No accepted observations</x:v>
      </x:c>
      <x:c r="C38" s="14" t="n">
        <x:f>Inputs!$B$24</x:f>
        <x:v>0</x:v>
      </x:c>
      <x:c r="D38" s="14" t="n">
        <x:v>0</x:v>
      </x:c>
      <x:c r="E38" s="14" t="str">
        <x:f>IF(C38=D38,"PASS","FAIL")</x:f>
        <x:v>PASS</x:v>
      </x:c>
    </x:row>
    <x:row r="39">
      <x:c r="A39" s="14" t="str">
        <x:v>A33</x:v>
      </x:c>
      <x:c r="B39" s="14" t="str">
        <x:v>No MAKE authority</x:v>
      </x:c>
      <x:c r="C39" s="14" t="n">
        <x:f>Inputs!$B$25</x:f>
        <x:v>0</x:v>
      </x:c>
      <x:c r="D39" s="14" t="n">
        <x:v>0</x:v>
      </x:c>
      <x:c r="E39" s="14" t="str">
        <x:f>IF(C39=D39,"PASS","FAIL")</x:f>
        <x:v>PASS</x:v>
      </x:c>
    </x:row>
    <x:row r="40">
      <x:c r="A40" s="14" t="str">
        <x:v>A34</x:v>
      </x:c>
      <x:c r="B40" s="14" t="str">
        <x:v>No REP-4 authority</x:v>
      </x:c>
      <x:c r="C40" s="14" t="n">
        <x:f>Inputs!$B$26</x:f>
        <x:v>0</x:v>
      </x:c>
      <x:c r="D40" s="14" t="n">
        <x:v>0</x:v>
      </x:c>
      <x:c r="E40" s="14" t="str">
        <x:f>IF(C40=D40,"PASS","FAIL")</x:f>
        <x:v>PASS</x:v>
      </x:c>
    </x:row>
    <x:row r="41">
      <x:c r="A41" s="14" t="str">
        <x:v>A35</x:v>
      </x:c>
      <x:c r="B41" s="14" t="str">
        <x:v>No production authority</x:v>
      </x:c>
      <x:c r="C41" s="14" t="n">
        <x:f>Inputs!$B$27</x:f>
        <x:v>0</x:v>
      </x:c>
      <x:c r="D41" s="14" t="n">
        <x:v>0</x:v>
      </x:c>
      <x:c r="E41" s="14" t="str">
        <x:f>IF(C41=D41,"PASS","FAIL")</x:f>
        <x:v>PASS</x:v>
      </x:c>
    </x:row>
    <x:row r="42">
      <x:c r="A42" s="14" t="str">
        <x:v>A36</x:v>
      </x:c>
      <x:c r="B42" s="14" t="str">
        <x:v>No rendering authority</x:v>
      </x:c>
      <x:c r="C42" s="14" t="n">
        <x:f>Inputs!$B$28</x:f>
        <x:v>0</x:v>
      </x:c>
      <x:c r="D42" s="14" t="n">
        <x:v>0</x:v>
      </x:c>
      <x:c r="E42" s="14" t="str">
        <x:f>IF(C42=D42,"PASS","FAIL")</x:f>
        <x:v>PASS</x:v>
      </x:c>
    </x:row>
    <x:row r="43">
      <x:c r="A43" s="14" t="str">
        <x:v>A37</x:v>
      </x:c>
      <x:c r="B43" s="14" t="str">
        <x:v>22 mutation specifications</x:v>
      </x:c>
      <x:c r="C43" s="14" t="n">
        <x:f>COUNTA(Mutations!$A$7:$A$28)</x:f>
        <x:v>22</x:v>
      </x:c>
      <x:c r="D43" s="14" t="n">
        <x:v>22</x:v>
      </x:c>
      <x:c r="E43" s="14" t="str">
        <x:f>IF(C43=D43,"PASS","FAIL")</x:f>
        <x:v>PASS</x:v>
      </x:c>
    </x:row>
    <x:row r="44">
      <x:c r="A44" s="14" t="str">
        <x:v>A38</x:v>
      </x:c>
      <x:c r="B44" s="14" t="str">
        <x:v>Program states remain unbuilt</x:v>
      </x:c>
      <x:c r="C44" s="14" t="n">
        <x:f>COUNTIF('Article Families'!$Q$7:$Q$30,"PROGRAMMED / UNBUILT")</x:f>
        <x:v>24</x:v>
      </x:c>
      <x:c r="D44" s="14" t="n">
        <x:v>24</x:v>
      </x:c>
      <x:c r="E44" s="14" t="str">
        <x:f>IF(C44=D44,"PASS","FAIL")</x:f>
        <x:v>PASS</x:v>
      </x:c>
    </x:row>
    <x:row r="45">
      <x:c r="A45" s="14" t="str">
        <x:v>A39</x:v>
      </x:c>
      <x:c r="B45" s="14" t="str">
        <x:v>Cost input control USD220M</x:v>
      </x:c>
      <x:c r="C45" s="14" t="n">
        <x:f>Inputs!$D$34</x:f>
        <x:v>220</x:v>
      </x:c>
      <x:c r="D45" s="14" t="n">
        <x:v>220</x:v>
      </x:c>
      <x:c r="E45" s="14" t="str">
        <x:f>IF(C45=D45,"PASS","FAIL")</x:f>
        <x:v>PASS</x:v>
      </x:c>
    </x:row>
    <x:row r="46">
      <x:c r="A46" s="14" t="str">
        <x:v>A40</x:v>
      </x:c>
      <x:c r="B46" s="14" t="str">
        <x:v>ET cold month unchanged</x:v>
      </x:c>
      <x:c r="C46" s="14" t="n">
        <x:f>'Form Schedule'!$F$7</x:f>
        <x:v>72</x:v>
      </x:c>
      <x:c r="D46" s="14" t="n">
        <x:v>72</x:v>
      </x:c>
      <x:c r="E46" s="14" t="str">
        <x:f>IF(C46=D46,"PASS","FAIL")</x:f>
        <x:v>PASS</x:v>
      </x:c>
    </x:row>
  </x:sheetData>
  <x:conditionalFormatting sqref="E7:E46">
    <x:cfRule type="containsText" dxfId="6" priority="1" operator="containsText" text="REQUIRED"/>
    <x:cfRule type="containsText" dxfId="7" priority="2" operator="containsText" text="FAIL"/>
    <x:cfRule type="containsText" dxfId="8" priority="3" operator="containsText" text="UNBUILT"/>
  </x:conditionalFormatting>
  <x:pageMargins left="0.7" right="0.7" top="0.75" bottom="0.75" header="0.3" footer="0.3"/>
  <x:tableParts count="1">
    <x:tablePart xmlns:r="http://schemas.openxmlformats.org/officeDocument/2006/relationships" r:id="R58b3d98aeb6443aa"/>
  </x:tableParts>
</x:worksheet>
</file>

<file path=xl/worksheets/sheet13.xml><?xml version="1.0" encoding="utf-8"?>
<x:worksheet xmlns:x="http://schemas.openxmlformats.org/spreadsheetml/2006/main">
  <x:sheetPr>
    <x:tabColor rgb="FFA5A5A5"/>
  </x:sheetPr>
  <x:sheetViews>
    <x:sheetView showGridLines="0" workbookViewId="0"/>
  </x:sheetViews>
  <x:sheetFormatPr defaultRowHeight="15"/>
  <x:cols>
    <x:col min="1" max="1" width="24" hidden="0" customWidth="1"/>
    <x:col min="2" max="2" width="112" hidden="0" customWidth="1"/>
    <x:col min="3" max="3" width="4" hidden="0" customWidth="1"/>
    <x:col min="4" max="4" width="4" hidden="0" customWidth="1"/>
    <x:col min="5" max="5" width="4" hidden="0" customWidth="1"/>
    <x:col min="6" max="6" width="4" hidden="0" customWidth="1"/>
  </x:cols>
  <x:sheetData>
    <x:row r="1">
      <x:c r="A1" s="14"/>
      <x:c r="B1" s="14"/>
      <x:c r="C1" s="14"/>
      <x:c r="D1" s="14"/>
      <x:c r="E1" s="14"/>
      <x:c r="F1" s="14"/>
    </x:row>
    <x:row r="2">
      <x:c r="A2" s="56" t="str">
        <x:v>Method, interpretation and limits</x:v>
      </x:c>
      <x:c r="B2" s="14"/>
      <x:c r="C2" s="14"/>
      <x:c r="D2" s="14"/>
      <x:c r="E2" s="14"/>
      <x:c r="F2" s="14"/>
    </x:row>
    <x:row r="3">
      <x:c r="A3" s="16"/>
      <x:c r="B3" s="16"/>
      <x:c r="C3" s="16"/>
      <x:c r="D3" s="16"/>
      <x:c r="E3" s="16"/>
      <x:c r="F3" s="16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>
      <x:c r="A4" s="14"/>
      <x:c r="B4" s="14"/>
      <x:c r="C4" s="14"/>
      <x:c r="D4" s="14"/>
      <x:c r="E4" s="14"/>
      <x:c r="F4" s="14"/>
    </x:row>
    <x:row r="5">
      <x:c r="A5" s="18" t="str">
        <x:v>Question</x:v>
      </x:c>
      <x:c r="B5" s="18" t="str">
        <x:v>Which source-specific articles, industrial paths, tooling cells and cost exposures can retire the decisive unknowns without converting work into evidence or production authority?</x:v>
      </x:c>
      <x:c r="C5" s="14"/>
      <x:c r="D5" s="14"/>
      <x:c r="E5" s="14"/>
      <x:c r="F5" s="14"/>
    </x:row>
    <x:row r="6">
      <x:c r="A6" s="18" t="str">
        <x:v>Decision</x:v>
      </x:c>
      <x:c r="B6" s="18" t="str">
        <x:v>AIP-1 uses two independently controlled builder lines and three nonfungible article serials per technology family.</x:v>
      </x:c>
      <x:c r="C6" s="14"/>
      <x:c r="D6" s="14"/>
      <x:c r="E6" s="14"/>
      <x:c r="F6" s="14"/>
    </x:row>
    <x:row r="7">
      <x:c r="A7" s="18" t="str">
        <x:v>Article roles</x:v>
      </x:c>
      <x:c r="B7" s="18" t="str">
        <x:v>INT supports development and calibration. BRK is frozen and destroyed. RCN is built by a clean team from public records with the origin builder denied.</x:v>
      </x:c>
      <x:c r="C7" s="14"/>
      <x:c r="D7" s="14"/>
      <x:c r="E7" s="14"/>
      <x:c r="F7" s="14"/>
    </x:row>
    <x:row r="8">
      <x:c r="A8" s="18" t="str">
        <x:v>Industrial separation</x:v>
      </x:c>
      <x:c r="B8" s="18" t="str">
        <x:v>Each family receives two builder lines, two root-bound public-title tooling cells and two Proving Service fixtures. No role validates its own work.</x:v>
      </x:c>
      <x:c r="C8" s="14"/>
      <x:c r="D8" s="14"/>
      <x:c r="E8" s="14"/>
      <x:c r="F8" s="14"/>
    </x:row>
    <x:row r="9">
      <x:c r="A9" s="18" t="str">
        <x:v>Measurements</x:v>
      </x:c>
      <x:c r="B9" s="18" t="str">
        <x:v>Thirty-six coefficient packets preserve form-native instruments and return intervals rather than point estimates or favorable midpoints.</x:v>
      </x:c>
      <x:c r="C9" s="14"/>
      <x:c r="D9" s="14"/>
      <x:c r="E9" s="14"/>
      <x:c r="F9" s="14"/>
    </x:row>
    <x:row r="10">
      <x:c r="A10" s="18" t="str">
        <x:v>Events</x:v>
      </x:c>
      <x:c r="B10" s="18" t="str">
        <x:v>One hundred forty-four serial-bound events include forty-eight development events and ninety-six acceptance-bearing fatal or reconstruction events.</x:v>
      </x:c>
      <x:c r="C10" s="14"/>
      <x:c r="D10" s="14"/>
      <x:c r="E10" s="14"/>
      <x:c r="F10" s="14"/>
    </x:row>
    <x:row r="11">
      <x:c r="A11" s="18" t="str">
        <x:v>Cost basis</x:v>
      </x:c>
      <x:c r="B11" s="18" t="str">
        <x:v>USD amounts are first-principles planning hypotheses in millions. Article cost equals six serials multiplied by unit cost; tooling, paired fixtures and operations are added separately.</x:v>
      </x:c>
      <x:c r="C11" s="14"/>
      <x:c r="D11" s="14"/>
      <x:c r="E11" s="14"/>
      <x:c r="F11" s="14"/>
    </x:row>
    <x:row r="12">
      <x:c r="A12" s="18" t="str">
        <x:v>Range</x:v>
      </x:c>
      <x:c r="B12" s="18" t="str">
        <x:v>Low and high factors are 0.8 and 1.4. They are planning bounds, not probabilities or confidence intervals.</x:v>
      </x:c>
      <x:c r="C12" s="14"/>
      <x:c r="D12" s="14"/>
      <x:c r="E12" s="14"/>
      <x:c r="F12" s="14"/>
    </x:row>
    <x:row r="13">
      <x:c r="A13" s="18" t="str">
        <x:v>Fiscal finding</x:v>
      </x:c>
      <x:c r="B13" s="18" t="str">
        <x:v>The USD25.0B base and USD35.1B high exposure fit inside the inherited USD43.0B proof-wave ceiling. Candidate articles plus tooling exceed the USD17.2B subaccount by USD0.390B.</x:v>
      </x:c>
      <x:c r="C13" s="14"/>
      <x:c r="D13" s="14"/>
      <x:c r="E13" s="14"/>
      <x:c r="F13" s="14"/>
    </x:row>
    <x:row r="14">
      <x:c r="A14" s="18" t="str">
        <x:v>Workforce screen</x:v>
      </x:c>
      <x:c r="B14" s="18" t="str">
        <x:v>Position-equivalents divide annualized exposure by USD0.650M per direct position-year and apply a 1.25 peak factor. They are workload screens, not employment forecasts.</x:v>
      </x:c>
      <x:c r="C14" s="14"/>
      <x:c r="D14" s="14"/>
      <x:c r="E14" s="14"/>
      <x:c r="F14" s="14"/>
    </x:row>
    <x:row r="15">
      <x:c r="A15" s="18" t="str">
        <x:v>Authority</x:v>
      </x:c>
      <x:c r="B15" s="18" t="str">
        <x:v>Every firm, site, article, event, observation, evidence, MAKE, REP-4, production and rendering record remains zero, empty or uncommissioned.</x:v>
      </x:c>
      <x:c r="C15" s="14"/>
      <x:c r="D15" s="14"/>
      <x:c r="E15" s="14"/>
      <x:c r="F15" s="14"/>
    </x:row>
    <x:row r="16">
      <x:c r="A16" s="18" t="str">
        <x:v>Source 1</x:v>
      </x:c>
      <x:c r="B16" s="18" t="str">
        <x:v>Pass 238 physical independence lattice and safe-state constitution.</x:v>
      </x:c>
      <x:c r="C16" s="14"/>
      <x:c r="D16" s="14"/>
      <x:c r="E16" s="14"/>
      <x:c r="F16" s="14"/>
    </x:row>
    <x:row r="17">
      <x:c r="A17" s="18" t="str">
        <x:v>Source 2</x:v>
      </x:c>
      <x:c r="B17" s="18" t="str">
        <x:v>Pass 237 numerical interval solvency and coefficient register.</x:v>
      </x:c>
      <x:c r="C17" s="14"/>
      <x:c r="D17" s="14"/>
      <x:c r="E17" s="14"/>
      <x:c r="F17" s="14"/>
    </x:row>
    <x:row r="18">
      <x:c r="A18" s="18" t="str">
        <x:v>Source 3</x:v>
      </x:c>
      <x:c r="B18" s="18" t="str">
        <x:v>Pass 225 form-selection covenant and destructive commitments.</x:v>
      </x:c>
      <x:c r="C18" s="14"/>
      <x:c r="D18" s="14"/>
      <x:c r="E18" s="14"/>
      <x:c r="F18" s="14"/>
    </x:row>
    <x:row r="19">
      <x:c r="A19" s="18" t="str">
        <x:v>Source 4</x:v>
      </x:c>
      <x:c r="B19" s="18" t="str">
        <x:v>Pass 184 proving-service USD43.0B jurisdictional reservation.</x:v>
      </x:c>
      <x:c r="C19" s="14"/>
      <x:c r="D19" s="14"/>
      <x:c r="E19" s="14"/>
      <x:c r="F19" s="14"/>
    </x:row>
    <x:row r="20">
      <x:c r="A20" s="18" t="str">
        <x:v>Recalculation</x:v>
      </x:c>
      <x:c r="B20" s="18" t="str">
        <x:v>Audit is terminal and feeds no decision, schedule, cost or authority cell.</x:v>
      </x:c>
      <x:c r="C20" s="14"/>
      <x:c r="D20" s="14"/>
      <x:c r="E20" s="14"/>
      <x:c r="F20" s="14"/>
    </x:row>
  </x:sheetData>
  <x:pageMargins left="0.7" right="0.7" top="0.75" bottom="0.75" header="0.3" footer="0.3"/>
</x:worksheet>
</file>