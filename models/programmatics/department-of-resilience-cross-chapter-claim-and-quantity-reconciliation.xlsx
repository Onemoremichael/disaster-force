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e95a59929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8b441f039d4ee1"/>
    <x:sheet xmlns:r="http://schemas.openxmlformats.org/officeDocument/2006/relationships" name="Claim Register" sheetId="2" r:id="R8fff27892c1340fa"/>
    <x:sheet xmlns:r="http://schemas.openxmlformats.org/officeDocument/2006/relationships" name="Quantity Register" sheetId="3" r:id="R68b3757d32e44e20"/>
    <x:sheet xmlns:r="http://schemas.openxmlformats.org/officeDocument/2006/relationships" name="Fiscal Bridge" sheetId="4" r:id="Raa1aa939772f4e0e"/>
    <x:sheet xmlns:r="http://schemas.openxmlformats.org/officeDocument/2006/relationships" name="Force Bridge" sheetId="5" r:id="R084bb7b47f19462a"/>
    <x:sheet xmlns:r="http://schemas.openxmlformats.org/officeDocument/2006/relationships" name="Gate Delta" sheetId="6" r:id="Rfb6b8472a81d442e"/>
    <x:sheet xmlns:r="http://schemas.openxmlformats.org/officeDocument/2006/relationships" name="Contradictions" sheetId="7" r:id="R73527d0cd8694390"/>
    <x:sheet xmlns:r="http://schemas.openxmlformats.org/officeDocument/2006/relationships" name="Chapter Map" sheetId="8" r:id="R7ac41bd0bdff4360"/>
    <x:sheet xmlns:r="http://schemas.openxmlformats.org/officeDocument/2006/relationships" name="Inputs" sheetId="9" r:id="Rf4e732e1b6fe4606"/>
    <x:sheet xmlns:r="http://schemas.openxmlformats.org/officeDocument/2006/relationships" name="Mutations" sheetId="10" r:id="Rd6d23d12c0e64844"/>
    <x:sheet xmlns:r="http://schemas.openxmlformats.org/officeDocument/2006/relationships" name="Audit" sheetId="11" r:id="R8d22df2340be4ff7"/>
    <x:sheet xmlns:r="http://schemas.openxmlformats.org/officeDocument/2006/relationships" name="ReadMe" sheetId="12" r:id="R9f51d43f3118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.000"/>
    <x:numFmt numFmtId="202" formatCode="0%"/>
    <x:numFmt numFmtId="203" formatCode="#,##0.0000"/>
  </x:numFmts>
  <x:fonts count="6">
    <x:font>
      <x:sz val="11"/>
      <x:name val="Carlito"/>
    </x:font>
    <x:font>
      <x:b/>
      <x:sz val="14"/>
      <x:color rgb="FF17365D"/>
      <x:name val="Arial"/>
    </x:font>
    <x:font>
      <x:sz val="10"/>
      <x:color rgb="FF007F4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6B7A"/>
      </x:patternFill>
    </x:fill>
    <x:fill>
      <x:patternFill patternType="solid">
        <x:fgColor rgb="FF17365D"/>
      </x:patternFill>
    </x:fill>
  </x:fills>
  <x:borders count="2">
    <x:border/>
    <x:border>
      <x:bottom style="thin">
        <x:color rgb="FF88EE22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3" fillId="0" borderId="0" xfId="0" applyNumberFormat="1" applyFont="1" applyFill="1" applyBorder="1"/>
    <x:xf numFmtId="203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6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9d8cf96d54022" /><Relationship Type="http://schemas.openxmlformats.org/officeDocument/2006/relationships/theme" Target="/xl/theme/theme1.xml" Id="R8faebd630d9446b5" /><Relationship Type="http://schemas.openxmlformats.org/officeDocument/2006/relationships/sharedStrings" Target="/xl/sharedStrings.xml" Id="R893bd4f5d41c4a78" /><Relationship Type="http://schemas.openxmlformats.org/officeDocument/2006/relationships/worksheet" Target="/xl/worksheets/sheet1.xml" Id="Ra98b441f039d4ee1" /><Relationship Type="http://schemas.openxmlformats.org/officeDocument/2006/relationships/worksheet" Target="/xl/worksheets/sheet2.xml" Id="R8fff27892c1340fa" /><Relationship Type="http://schemas.openxmlformats.org/officeDocument/2006/relationships/worksheet" Target="/xl/worksheets/sheet3.xml" Id="R68b3757d32e44e20" /><Relationship Type="http://schemas.openxmlformats.org/officeDocument/2006/relationships/worksheet" Target="/xl/worksheets/sheet4.xml" Id="Raa1aa939772f4e0e" /><Relationship Type="http://schemas.openxmlformats.org/officeDocument/2006/relationships/worksheet" Target="/xl/worksheets/sheet5.xml" Id="R084bb7b47f19462a" /><Relationship Type="http://schemas.openxmlformats.org/officeDocument/2006/relationships/worksheet" Target="/xl/worksheets/sheet6.xml" Id="Rfb6b8472a81d442e" /><Relationship Type="http://schemas.openxmlformats.org/officeDocument/2006/relationships/worksheet" Target="/xl/worksheets/sheet7.xml" Id="R73527d0cd8694390" /><Relationship Type="http://schemas.openxmlformats.org/officeDocument/2006/relationships/worksheet" Target="/xl/worksheets/sheet8.xml" Id="R7ac41bd0bdff4360" /><Relationship Type="http://schemas.openxmlformats.org/officeDocument/2006/relationships/worksheet" Target="/xl/worksheets/sheet9.xml" Id="Rf4e732e1b6fe4606" /><Relationship Type="http://schemas.openxmlformats.org/officeDocument/2006/relationships/worksheet" Target="/xl/worksheets/sheet10.xml" Id="Rd6d23d12c0e64844" /><Relationship Type="http://schemas.openxmlformats.org/officeDocument/2006/relationships/worksheet" Target="/xl/worksheets/sheet11.xml" Id="R8d22df2340be4ff7" /><Relationship Type="http://schemas.openxmlformats.org/officeDocument/2006/relationships/worksheet" Target="/xl/worksheets/sheet12.xml" Id="R9f51d43f31184781" /></Relationships>
</file>

<file path=xl/tables/table1.xml><?xml version="1.0" encoding="utf-8"?>
<x:table xmlns:x="http://schemas.openxmlformats.org/spreadsheetml/2006/main" id="2" name="CrossChapterClaimRegisterTable" displayName="CrossChapterClaimRegisterTable" ref="A6:H34" headerRowCount="1" totalsRowCount="0" totalsRowShown="0">
  <x:tableColumns count="8">
    <x:tableColumn id="1" name="Claim"/>
    <x:tableColumn id="2" name="Chapter"/>
    <x:tableColumn id="3" name="Class"/>
    <x:tableColumn id="4" name="Controlling text"/>
    <x:tableColumn id="5" name="State"/>
    <x:tableColumn id="6" name="Internal source"/>
    <x:tableColumn id="7" name="Required qualifier"/>
    <x:tableColumn id="8" name="Prohibited in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rossChapterQuantityRegisterTable" displayName="CrossChapterQuantityRegisterTable" ref="A6:L49" headerRowCount="1" totalsRowCount="0" totalsRowShown="0">
  <x:tableColumns count="12">
    <x:tableColumn id="1" name="Quantity"/>
    <x:tableColumn id="2" name="Domain"/>
    <x:tableColumn id="3" name="Name"/>
    <x:tableColumn id="4" name="Value"/>
    <x:tableColumn id="5" name="Unit"/>
    <x:tableColumn id="6" name="Scope"/>
    <x:tableColumn id="7" name="Time basis"/>
    <x:tableColumn id="8" name="Evidence state"/>
    <x:tableColumn id="9" name="Parent"/>
    <x:tableColumn id="10" name="Relation"/>
    <x:tableColumn id="11" name="Internal source"/>
    <x:tableColumn id="12" name="Permitted u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FiscalBridgeTable" displayName="FiscalBridgeTable" ref="A6:I45" headerRowCount="1" totalsRowCount="0" totalsRowShown="0">
  <x:tableColumns count="9">
    <x:tableColumn id="1" name="Record"/>
    <x:tableColumn id="2" name="Ledger"/>
    <x:tableColumn id="3" name="Item"/>
    <x:tableColumn id="4" name="Value"/>
    <x:tableColumn id="5" name="Unit"/>
    <x:tableColumn id="6" name="Treatment"/>
    <x:tableColumn id="7" name="Parent"/>
    <x:tableColumn id="8" name="Internal source"/>
    <x:tableColumn id="9" name="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ForceBridgeTable" displayName="ForceBridgeTable" ref="A6:I32" headerRowCount="1" totalsRowCount="0" totalsRowShown="0">
  <x:tableColumns count="9">
    <x:tableColumn id="1" name="Record"/>
    <x:tableColumn id="2" name="Ledger"/>
    <x:tableColumn id="3" name="Item"/>
    <x:tableColumn id="4" name="Value"/>
    <x:tableColumn id="5" name="Unit"/>
    <x:tableColumn id="6" name="Treatment"/>
    <x:tableColumn id="7" name="Parent"/>
    <x:tableColumn id="8" name="Internal source"/>
    <x:tableColumn id="9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GateDeltaTable" displayName="GateDeltaTable" ref="A6:G14" headerRowCount="1" totalsRowCount="0" totalsRowShown="0">
  <x:tableColumns count="7">
    <x:tableColumn id="1" name="Gate"/>
    <x:tableColumn id="2" name="Chapter"/>
    <x:tableColumn id="3" name="Final chapter"/>
    <x:tableColumn id="4" name="Gate class"/>
    <x:tableColumn id="5" name="Prior"/>
    <x:tableColumn id="6" name="Current"/>
    <x:tableColumn id="7" name="Closure bas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radictionDispositionTable" displayName="ContradictionDispositionTable" ref="A6:F20" headerRowCount="1" totalsRowCount="0" totalsRowShown="0">
  <x:tableColumns count="6">
    <x:tableColumn id="1" name="Record"/>
    <x:tableColumn id="2" name="Apparent contradiction"/>
    <x:tableColumn id="3" name="Disposition"/>
    <x:tableColumn id="4" name="Controlling interpretation"/>
    <x:tableColumn id="5" name="Supporting records"/>
    <x:tableColumn id="6" name="Chapter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ChapterCrosswalkTable" displayName="ChapterCrosswalkTable" ref="A6:I20" headerRowCount="1" totalsRowCount="0" totalsRowShown="0">
  <x:tableColumns count="9">
    <x:tableColumn id="1" name="Chapter"/>
    <x:tableColumn id="2" name="Final chapter"/>
    <x:tableColumn id="3" name="Claims"/>
    <x:tableColumn id="4" name="Primary quantities"/>
    <x:tableColumn id="5" name="Reconciliation state"/>
    <x:tableColumn id="6" name="Closed gates"/>
    <x:tableColumn id="7" name="Open gates"/>
    <x:tableColumn id="8" name="Completion"/>
    <x:tableColumn id="9" name="Publication 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" name="ClaimQuantityInputsTable" displayName="ClaimQuantityInputsTable" ref="A6:D33" headerRowCount="1" totalsRowCount="0" totalsRowShown="0">
  <x:tableColumns count="4">
    <x:tableColumn id="1" name="Control"/>
    <x:tableColumn id="2" name="Value"/>
    <x:tableColumn id="3" name="Unit"/>
    <x:tableColumn id="4" name="Internal 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ClaimQuantityMutationsTable" displayName="ClaimQuantityMutationsTable" ref="A6:G26" headerRowCount="1" totalsRowCount="0" totalsRowShown="0">
  <x:tableColumns count="7">
    <x:tableColumn id="1" name="Mutation"/>
    <x:tableColumn id="2" name="Sheet"/>
    <x:tableColumn id="3" name="Target cell"/>
    <x:tableColumn id="4" name="Mutated value"/>
    <x:tableColumn id="5" name="Expected failed audit"/>
    <x:tableColumn id="6" name="Detection"/>
    <x:tableColumn id="7" name="Restor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ClaimQuantityAuditTable" displayName="ClaimQuantityAuditTable" ref="A6:F46" headerRowCount="1" totalsRowCount="0" totalsRowShown="0">
  <x:tableColumns count="6">
    <x:tableColumn id="1" name="Audit"/>
    <x:tableColumn id="2" name="Test"/>
    <x:tableColumn id="3" name="Actual"/>
    <x:tableColumn id="4" name="Expected"/>
    <x:tableColumn id="5" name="Tolerance"/>
    <x:tableColumn id="6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laimQuantityReadMeTable" displayName="ClaimQuantityReadMeTable" ref="A6:B21" headerRowCount="1" totalsRowCount="0" totalsRowShown="0"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97320b70854e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8879261c864d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1bea50266245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d1536681a245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22af78cb794b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2953c027db47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b28bb110204c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f1c35d9b7242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57fb89848ac41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78d7ae5273445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6636a80981b496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4" hidden="0" customWidth="1"/>
    <x:col min="8" max="8" width="26" hidden="0" customWidth="1"/>
    <x:col min="9" max="9" width="100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</x:row>
    <x:row r="2">
      <x:c r="A2" s="27" t="str">
        <x:v>Cross-chapter claim and quantity reconciliation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A6" s="9" t="str">
        <x:v>Decision</x:v>
      </x:c>
      <x:c r="B6" s="9" t="str">
        <x:v>SYN-2</x:v>
      </x:c>
      <x:c r="C6" s="9" t="str">
        <x:v>Verdict</x:v>
      </x:c>
      <x:c r="D6" s="9" t="str">
        <x:v>CLOSE</x:v>
      </x:c>
      <x:c r="E6" s="9" t="str">
        <x:v>Branch</x:v>
      </x:c>
      <x:c r="F6" s="9" t="str">
        <x:v>SYN 2/5</x:v>
      </x:c>
      <x:c r="G6" s="9"/>
      <x:c r="H6" s="9"/>
      <x:c r="I6" s="9"/>
      <x:c r="J6" s="9"/>
      <x:c r="K6" s="9"/>
      <x:c r="L6" s="9"/>
      <x:c r="M6" s="9"/>
      <x:c r="N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</x:row>
    <x:row r="8">
      <x:c r="A8" s="9" t="str">
        <x:v>Controlling claims</x:v>
      </x:c>
      <x:c r="B8" s="9" t="n">
        <x:f>COUNTA('Claim Register'!A7:A34)</x:f>
        <x:v>28</x:v>
      </x:c>
      <x:c r="C8" s="9"/>
      <x:c r="D8" s="9"/>
      <x:c r="E8" s="9"/>
      <x:c r="F8" s="9"/>
      <x:c r="G8" s="9"/>
      <x:c r="H8" s="33" t="str">
        <x:v>Controlling judgment</x:v>
      </x:c>
      <x:c r="I8" s="33" t="str">
        <x:v>SYN-2 result</x:v>
      </x:c>
      <x:c r="J8" s="9"/>
      <x:c r="K8" s="9"/>
      <x:c r="L8" s="9"/>
      <x:c r="M8" s="9"/>
      <x:c r="N8" s="9"/>
    </x:row>
    <x:row r="9">
      <x:c r="A9" s="9" t="str">
        <x:v>Quantities governed</x:v>
      </x:c>
      <x:c r="B9" s="9" t="n">
        <x:f>COUNTA('Quantity Register'!A7:A49)</x:f>
        <x:v>43</x:v>
      </x:c>
      <x:c r="C9" s="9"/>
      <x:c r="D9" s="9"/>
      <x:c r="E9" s="9"/>
      <x:c r="F9" s="9"/>
      <x:c r="G9" s="9"/>
      <x:c r="H9" s="16" t="str">
        <x:v>Mature scale</x:v>
      </x:c>
      <x:c r="I9" s="16" t="str">
        <x:v>USD68.4T over twenty-five years is the planning screen; USD1.00T is its technology and industrialization account.</x:v>
      </x:c>
      <x:c r="J9" s="9"/>
      <x:c r="K9" s="9"/>
      <x:c r="L9" s="9"/>
      <x:c r="M9" s="9"/>
      <x:c r="N9" s="9"/>
    </x:row>
    <x:row r="10">
      <x:c r="A10" s="9" t="str">
        <x:v>Apparent contradictions</x:v>
      </x:c>
      <x:c r="B10" s="9" t="n">
        <x:f>COUNTA(Contradictions!A7:A20)</x:f>
        <x:v>14</x:v>
      </x:c>
      <x:c r="C10" s="9"/>
      <x:c r="D10" s="9"/>
      <x:c r="E10" s="9"/>
      <x:c r="F10" s="9"/>
      <x:c r="G10" s="9"/>
      <x:c r="H10" s="16" t="str">
        <x:v>Force</x:v>
      </x:c>
      <x:c r="I10" s="16" t="str">
        <x:v>2,420 commitments become 5,251 owned formations after reserve, geographic buffer and cycle stock.</x:v>
      </x:c>
      <x:c r="J10" s="9"/>
      <x:c r="K10" s="9"/>
      <x:c r="L10" s="9"/>
      <x:c r="M10" s="9"/>
      <x:c r="N10" s="9"/>
    </x:row>
    <x:row r="11">
      <x:c r="A11" s="9" t="str">
        <x:v>Contradictions unresolved</x:v>
      </x:c>
      <x:c r="B11" s="9" t="n">
        <x:f>COUNTIFS(Contradictions!C7:C20,"UNRESOLVED")</x:f>
        <x:v>0</x:v>
      </x:c>
      <x:c r="C11" s="9"/>
      <x:c r="D11" s="9"/>
      <x:c r="E11" s="9"/>
      <x:c r="F11" s="9"/>
      <x:c r="G11" s="9"/>
      <x:c r="H11" s="16" t="str">
        <x:v>Workforce</x:v>
      </x:c>
      <x:c r="I11" s="16" t="str">
        <x:v>13.0M affiliations are a service-membership architecture, not simultaneous employment or payroll.</x:v>
      </x:c>
      <x:c r="J11" s="9"/>
      <x:c r="K11" s="9"/>
      <x:c r="L11" s="9"/>
      <x:c r="M11" s="9"/>
      <x:c r="N11" s="9"/>
    </x:row>
    <x:row r="12">
      <x:c r="A12" s="9" t="str">
        <x:v>Gates closed this pass</x:v>
      </x:c>
      <x:c r="B12" s="9" t="n">
        <x:f>COUNTA('Gate Delta'!A7:A14)</x:f>
        <x:v>8</x:v>
      </x:c>
      <x:c r="C12" s="9"/>
      <x:c r="D12" s="9"/>
      <x:c r="E12" s="9"/>
      <x:c r="F12" s="9"/>
      <x:c r="G12" s="9"/>
      <x:c r="H12" s="16" t="str">
        <x:v>Program nesting</x:v>
      </x:c>
      <x:c r="I12" s="16" t="str">
        <x:v>USD550B mission technology, USD200B first tranche, USD43.0B proof reservation and USD25.0B exposure are nonadditive.</x:v>
      </x:c>
      <x:c r="J12" s="9"/>
      <x:c r="K12" s="9"/>
      <x:c r="L12" s="9"/>
      <x:c r="M12" s="9"/>
      <x:c r="N12" s="9"/>
    </x:row>
    <x:row r="13">
      <x:c r="A13" s="9" t="str">
        <x:v>Publication gates closed</x:v>
      </x:c>
      <x:c r="B13" s="9" t="n">
        <x:f>Inputs!B11</x:f>
        <x:v>57</x:v>
      </x:c>
      <x:c r="C13" s="9"/>
      <x:c r="D13" s="9"/>
      <x:c r="E13" s="9"/>
      <x:c r="F13" s="9"/>
      <x:c r="G13" s="9"/>
      <x:c r="H13" s="16" t="str">
        <x:v>International</x:v>
      </x:c>
      <x:c r="I13" s="16" t="str">
        <x:v>Two campaigns, 675 formation commitments and 1,350 corridor claims retain different denominators.</x:v>
      </x:c>
      <x:c r="J13" s="9"/>
      <x:c r="K13" s="9"/>
      <x:c r="L13" s="9"/>
      <x:c r="M13" s="9"/>
      <x:c r="N13" s="9"/>
    </x:row>
    <x:row r="14">
      <x:c r="A14" s="9" t="str">
        <x:v>Publication gates open</x:v>
      </x:c>
      <x:c r="B14" s="9" t="n">
        <x:f>Inputs!B12</x:f>
        <x:v>13</x:v>
      </x:c>
      <x:c r="C14" s="9"/>
      <x:c r="D14" s="9"/>
      <x:c r="E14" s="9"/>
      <x:c r="F14" s="9"/>
      <x:c r="G14" s="9"/>
      <x:c r="H14" s="16" t="str">
        <x:v>Editorial</x:v>
      </x:c>
      <x:c r="I14" s="16" t="str">
        <x:v>Eight gates close; 57 of 70 now close, moving the completion screen from 70.0% to 81.4%.</x:v>
      </x:c>
      <x:c r="J14" s="9"/>
      <x:c r="K14" s="9"/>
      <x:c r="L14" s="9"/>
      <x:c r="M14" s="9"/>
      <x:c r="N14" s="9"/>
    </x:row>
    <x:row r="15">
      <x:c r="A15" s="9" t="str">
        <x:v>Editorial completion</x:v>
      </x:c>
      <x:c r="B15" s="12" t="n">
        <x:f>Inputs!B13</x:f>
        <x:v>0.8142857142857143</x:v>
      </x:c>
      <x:c r="C15" s="9"/>
      <x:c r="D15" s="9"/>
      <x:c r="E15" s="9"/>
      <x:c r="F15" s="9"/>
      <x:c r="G15" s="9"/>
      <x:c r="H15" s="16" t="str">
        <x:v>Next</x:v>
      </x:c>
      <x:c r="I15" s="16" t="str">
        <x:v>Write international projection and partnership doctrine, then convert the ledger into the manuscript.</x:v>
      </x:c>
      <x:c r="J15" s="9"/>
      <x:c r="K15" s="9"/>
      <x:c r="L15" s="9"/>
      <x:c r="M15" s="9"/>
      <x:c r="N15" s="9"/>
    </x:row>
    <x:row r="16">
      <x:c r="A16" s="9" t="str">
        <x:v>Publication-ready chapters</x:v>
      </x:c>
      <x:c r="B16" s="9" t="n">
        <x:f>Inputs!B14</x:f>
        <x:v>5</x:v>
      </x:c>
      <x:c r="C16" s="9"/>
      <x:c r="D16" s="9"/>
      <x:c r="E16" s="9"/>
      <x:c r="F16" s="9"/>
      <x:c r="G16" s="9"/>
      <x:c r="H16" s="16" t="str">
        <x:v>Rendering</x:v>
      </x:c>
      <x:c r="I16" s="16" t="str">
        <x:v>Held; reconciliation authorizes no exterior form or evidence claim.</x:v>
      </x:c>
      <x:c r="J16" s="9"/>
      <x:c r="K16" s="9"/>
      <x:c r="L16" s="9"/>
      <x:c r="M16" s="9"/>
      <x:c r="N16" s="9"/>
    </x:row>
    <x:row r="17">
      <x:c r="A17" s="9" t="str">
        <x:v>SYN passes consumed</x:v>
      </x:c>
      <x:c r="B17" s="9" t="n">
        <x:f>Inputs!B17</x:f>
        <x:v>2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</x:row>
    <x:row r="18">
      <x:c r="A18" s="9" t="str">
        <x:v>Branch open-item ledger</x:v>
      </x:c>
      <x:c r="B18" s="9" t="n">
        <x:f>Inputs!B19</x:f>
        <x:v>1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</x:row>
    <x:row r="19">
      <x:c r="A19" s="9" t="str">
        <x:v>Publication authority</x:v>
      </x:c>
      <x:c r="B19" s="9" t="n">
        <x:f>Inputs!B20</x:f>
        <x:v>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</x:row>
    <x:row r="20">
      <x:c r="A20" s="9" t="str">
        <x:v>Evidence promotions</x:v>
      </x:c>
      <x:c r="B20" s="9" t="n">
        <x:f>Inputs!B21</x:f>
        <x:v>0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</x:row>
    <x:row r="21">
      <x:c r="A21" s="9" t="str">
        <x:v>Rendering issues</x:v>
      </x:c>
      <x:c r="B21" s="9" t="n">
        <x:f>Inputs!B22</x:f>
        <x:v>0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92" hidden="0" customWidth="1"/>
    <x:col min="5" max="5" width="25" hidden="0" customWidth="1"/>
    <x:col min="6" max="6" width="28" hidden="0" customWidth="1"/>
    <x:col min="7" max="7" width="66" hidden="0" customWidth="1"/>
    <x:col min="8" max="8" width="48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</x:row>
    <x:row r="2">
      <x:c r="A2" s="27" t="str">
        <x:v>Twenty-eight controlling claims and their prohibitions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</x:row>
    <x:row r="6" ht="34" customHeight="1">
      <x:c r="A6" s="31" t="str">
        <x:v>Claim</x:v>
      </x:c>
      <x:c r="B6" s="31" t="str">
        <x:v>Chapter</x:v>
      </x:c>
      <x:c r="C6" s="31" t="str">
        <x:v>Class</x:v>
      </x:c>
      <x:c r="D6" s="31" t="str">
        <x:v>Controlling text</x:v>
      </x:c>
      <x:c r="E6" s="31" t="str">
        <x:v>State</x:v>
      </x:c>
      <x:c r="F6" s="31" t="str">
        <x:v>Internal source</x:v>
      </x:c>
      <x:c r="G6" s="31" t="str">
        <x:v>Required qualifier</x:v>
      </x:c>
      <x:c r="H6" s="31" t="str">
        <x:v>Prohibited inference</x:v>
      </x:c>
      <x:c r="I6" s="9"/>
    </x:row>
    <x:row r="7">
      <x:c r="A7" s="9" t="str">
        <x:v>CL01</x:v>
      </x:c>
      <x:c r="B7" s="9" t="str">
        <x:v>CH01</x:v>
      </x:c>
      <x:c r="C7" s="9" t="str">
        <x:v>Thesis</x:v>
      </x:c>
      <x:c r="D7" s="16" t="str">
        <x:v>Resilience power is the capacity to preserve and restore civilian life-support at strategic scale.</x:v>
      </x:c>
      <x:c r="E7" s="16" t="str">
        <x:v>CONTROLLING DESIGN</x:v>
      </x:c>
      <x:c r="F7" s="16" t="str">
        <x:v>strategic-study.md</x:v>
      </x:c>
      <x:c r="G7" s="16" t="str">
        <x:v>Coequal means institutional seriousness and strategic value.</x:v>
      </x:c>
      <x:c r="H7" s="16" t="str">
        <x:v>Observed national capability</x:v>
      </x:c>
      <x:c r="I7" s="9"/>
    </x:row>
    <x:row r="8">
      <x:c r="A8" s="9" t="str">
        <x:v>CL02</x:v>
      </x:c>
      <x:c r="B8" s="9" t="str">
        <x:v>CH02</x:v>
      </x:c>
      <x:c r="C8" s="9" t="str">
        <x:v>Service</x:v>
      </x:c>
      <x:c r="D8" s="16" t="str">
        <x:v>Effect is credited only as complete service to a defined population or function by a deadline and for a duration.</x:v>
      </x:c>
      <x:c r="E8" s="16" t="str">
        <x:v>CONTROLLING DESIGN</x:v>
      </x:c>
      <x:c r="F8" s="16" t="str">
        <x:v>first-principles.md</x:v>
      </x:c>
      <x:c r="G8" s="16" t="str">
        <x:v>Inputs and nameplate output remain insufficient.</x:v>
      </x:c>
      <x:c r="H8" s="16" t="str">
        <x:v>Equipment output equals effect</x:v>
      </x:c>
      <x:c r="I8" s="9"/>
    </x:row>
    <x:row r="9">
      <x:c r="A9" s="9" t="str">
        <x:v>CL03</x:v>
      </x:c>
      <x:c r="B9" s="9" t="str">
        <x:v>CH03</x:v>
      </x:c>
      <x:c r="C9" s="9" t="str">
        <x:v>Institution</x:v>
      </x:c>
      <x:c r="D9" s="16" t="str">
        <x:v>A cabinet Department owns the promise through five coequal houses and seventeen typed warrants.</x:v>
      </x:c>
      <x:c r="E9" s="16" t="str">
        <x:v>CONTROLLING DESIGN</x:v>
      </x:c>
      <x:c r="F9" s="16" t="str">
        <x:v>DCA-5</x:v>
      </x:c>
      <x:c r="G9" s="16" t="str">
        <x:v>No office manufactures its own downstream state.</x:v>
      </x:c>
      <x:c r="H9" s="16" t="str">
        <x:v>Unified emergency command</x:v>
      </x:c>
      <x:c r="I9" s="9"/>
    </x:row>
    <x:row r="10">
      <x:c r="A10" s="9" t="str">
        <x:v>CL04</x:v>
      </x:c>
      <x:c r="B10" s="9" t="str">
        <x:v>CH03</x:v>
      </x:c>
      <x:c r="C10" s="9" t="str">
        <x:v>Institution</x:v>
      </x:c>
      <x:c r="D10" s="16" t="str">
        <x:v>The mature institution is allocated from first principles rather than inherited agencies.</x:v>
      </x:c>
      <x:c r="E10" s="16" t="str">
        <x:v>CONTROLLING DESIGN</x:v>
      </x:c>
      <x:c r="F10" s="16" t="str">
        <x:v>strategic-study.md</x:v>
      </x:c>
      <x:c r="G10" s="16" t="str">
        <x:v>Existing agencies may seed functions.</x:v>
      </x:c>
      <x:c r="H10" s="16" t="str">
        <x:v>Agency enlargement</x:v>
      </x:c>
      <x:c r="I10" s="9"/>
    </x:row>
    <x:row r="11">
      <x:c r="A11" s="9" t="str">
        <x:v>CL05</x:v>
      </x:c>
      <x:c r="B11" s="9" t="str">
        <x:v>CH04</x:v>
      </x:c>
      <x:c r="C11" s="9" t="str">
        <x:v>Force grammar</x:v>
      </x:c>
      <x:c r="D11" s="16" t="str">
        <x:v>Seven services, six mission systems, nine effects and forty-eight families are distinct coordinates.</x:v>
      </x:c>
      <x:c r="E11" s="16" t="str">
        <x:v>CONTROLLING DESIGN</x:v>
      </x:c>
      <x:c r="F11" s="16" t="str">
        <x:v>force-architecture.md</x:v>
      </x:c>
      <x:c r="G11" s="16" t="str">
        <x:v>Their counts are nonadditive.</x:v>
      </x:c>
      <x:c r="H11" s="16" t="str">
        <x:v>Single organization chart</x:v>
      </x:c>
      <x:c r="I11" s="9"/>
    </x:row>
    <x:row r="12">
      <x:c r="A12" s="9" t="str">
        <x:v>CL06</x:v>
      </x:c>
      <x:c r="B12" s="9" t="str">
        <x:v>CH04</x:v>
      </x:c>
      <x:c r="C12" s="9" t="str">
        <x:v>Force promise</x:v>
      </x:c>
      <x:c r="D12" s="16" t="str">
        <x:v>The stress promise is 3C + 5M + 2I + R20 / N−1 across seven districts and two reach networks.</x:v>
      </x:c>
      <x:c r="E12" s="16" t="str">
        <x:v>PLANNING CONSTITUTION</x:v>
      </x:c>
      <x:c r="F12" s="16" t="str">
        <x:v>NIFS-1</x:v>
      </x:c>
      <x:c r="G12" s="16" t="str">
        <x:v>A stress case, not a frequency forecast.</x:v>
      </x:c>
      <x:c r="H12" s="16" t="str">
        <x:v>Prediction</x:v>
      </x:c>
      <x:c r="I12" s="9"/>
    </x:row>
    <x:row r="13">
      <x:c r="A13" s="9" t="str">
        <x:v>CL07</x:v>
      </x:c>
      <x:c r="B13" s="9" t="str">
        <x:v>CH04</x:v>
      </x:c>
      <x:c r="C13" s="9" t="str">
        <x:v>Inventory</x:v>
      </x:c>
      <x:c r="D13" s="16" t="str">
        <x:v>2,420 commitments require 5,251 owned formations after reserve, geographic buffer and cycle stock.</x:v>
      </x:c>
      <x:c r="E13" s="16" t="str">
        <x:v>PLANNING CONSEQUENCE</x:v>
      </x:c>
      <x:c r="F13" s="16" t="str">
        <x:v>NIFS-1</x:v>
      </x:c>
      <x:c r="G13" s="16" t="str">
        <x:v>Formation equivalents remain heterogeneous.</x:v>
      </x:c>
      <x:c r="H13" s="16" t="str">
        <x:v>Interchangeable units</x:v>
      </x:c>
      <x:c r="I13" s="9"/>
    </x:row>
    <x:row r="14">
      <x:c r="A14" s="9" t="str">
        <x:v>CL08</x:v>
      </x:c>
      <x:c r="B14" s="9" t="str">
        <x:v>CH11</x:v>
      </x:c>
      <x:c r="C14" s="9" t="str">
        <x:v>Workforce</x:v>
      </x:c>
      <x:c r="D14" s="16" t="str">
        <x:v>The selected establishment contains about 13.0 million affiliations across five civil statuses.</x:v>
      </x:c>
      <x:c r="E14" s="16" t="str">
        <x:v>PLANNING CONSEQUENCE</x:v>
      </x:c>
      <x:c r="F14" s="16" t="str">
        <x:v>DCA-5</x:v>
      </x:c>
      <x:c r="G14" s="16" t="str">
        <x:v>Affiliations are not simultaneous workers or ready crews.</x:v>
      </x:c>
      <x:c r="H14" s="16" t="str">
        <x:v>Employment forecast</x:v>
      </x:c>
      <x:c r="I14" s="9"/>
    </x:row>
    <x:row r="15">
      <x:c r="A15" s="9" t="str">
        <x:v>CL09</x:v>
      </x:c>
      <x:c r="B15" s="9" t="str">
        <x:v>CH12</x:v>
      </x:c>
      <x:c r="C15" s="9" t="str">
        <x:v>Mature resources</x:v>
      </x:c>
      <x:c r="D15" s="16" t="str">
        <x:v>The mature screen is USD68.4T: USD1.00T technology, USD17.4T capital and USD50.0T ramped operations.</x:v>
      </x:c>
      <x:c r="E15" s="16" t="str">
        <x:v>PLANNING CONSEQUENCE</x:v>
      </x:c>
      <x:c r="F15" s="16" t="str">
        <x:v>DCA-5</x:v>
      </x:c>
      <x:c r="G15" s="16" t="str">
        <x:v>Undiscounted constant-2026-dollar architecture screen.</x:v>
      </x:c>
      <x:c r="H15" s="16" t="str">
        <x:v>Budget recommendation</x:v>
      </x:c>
      <x:c r="I15" s="9"/>
    </x:row>
    <x:row r="16">
      <x:c r="A16" s="9" t="str">
        <x:v>CL10</x:v>
      </x:c>
      <x:c r="B16" s="9" t="str">
        <x:v>CH12</x:v>
      </x:c>
      <x:c r="C16" s="9" t="str">
        <x:v>Technology</x:v>
      </x:c>
      <x:c r="D16" s="16" t="str">
        <x:v>USD1.00T is the technology and industrialization program, not total Department cost.</x:v>
      </x:c>
      <x:c r="E16" s="16" t="str">
        <x:v>CONTROLLING PROGRAM</x:v>
      </x:c>
      <x:c r="F16" s="16" t="str">
        <x:v>MSDW-1</x:v>
      </x:c>
      <x:c r="G16" s="16" t="str">
        <x:v>Account and wave views conserve the same funds.</x:v>
      </x:c>
      <x:c r="H16" s="16" t="str">
        <x:v>Whole-force ceiling</x:v>
      </x:c>
      <x:c r="I16" s="9"/>
    </x:row>
    <x:row r="17">
      <x:c r="A17" s="9" t="str">
        <x:v>CL11</x:v>
      </x:c>
      <x:c r="B17" s="9" t="str">
        <x:v>CH09</x:v>
      </x:c>
      <x:c r="C17" s="9" t="str">
        <x:v>Technology</x:v>
      </x:c>
      <x:c r="D17" s="16" t="str">
        <x:v>All six systems advance through one coupled wavefront; all-six mission proof precedes production readiness.</x:v>
      </x:c>
      <x:c r="E17" s="16" t="str">
        <x:v>CONTROLLING PROGRAM</x:v>
      </x:c>
      <x:c r="F17" s="16" t="str">
        <x:v>MSDW-1</x:v>
      </x:c>
      <x:c r="G17" s="16" t="str">
        <x:v>Common waves do not require common mechanisms.</x:v>
      </x:c>
      <x:c r="H17" s="16" t="str">
        <x:v>Six disconnected queues</x:v>
      </x:c>
      <x:c r="I17" s="9"/>
    </x:row>
    <x:row r="18">
      <x:c r="A18" s="9" t="str">
        <x:v>CL12</x:v>
      </x:c>
      <x:c r="B18" s="9" t="str">
        <x:v>CH09</x:v>
      </x:c>
      <x:c r="C18" s="9" t="str">
        <x:v>Tranche</x:v>
      </x:c>
      <x:c r="D18" s="16" t="str">
        <x:v>The first USD200B tranche is nested inside the USD1.00T technology program.</x:v>
      </x:c>
      <x:c r="E18" s="16" t="str">
        <x:v>CONTROLLING PROGRAM</x:v>
      </x:c>
      <x:c r="F18" s="16" t="str">
        <x:v>PFP-5</x:v>
      </x:c>
      <x:c r="G18" s="16" t="str">
        <x:v>It is a constituted ceiling with zero obligation.</x:v>
      </x:c>
      <x:c r="H18" s="16" t="str">
        <x:v>Additional appropriation</x:v>
      </x:c>
      <x:c r="I18" s="9"/>
    </x:row>
    <x:row r="19">
      <x:c r="A19" s="9" t="str">
        <x:v>CL13</x:v>
      </x:c>
      <x:c r="B19" s="9" t="str">
        <x:v>CH09</x:v>
      </x:c>
      <x:c r="C19" s="9" t="str">
        <x:v>Experiment</x:v>
      </x:c>
      <x:c r="D19" s="16" t="str">
        <x:v>Cohort one has twenty-four orders, two builder roots per order and three nonfungible roles per root.</x:v>
      </x:c>
      <x:c r="E19" s="16" t="str">
        <x:v>CONTROLLING DESIGN</x:v>
      </x:c>
      <x:c r="F19" s="16" t="str">
        <x:v>AIP-1</x:v>
      </x:c>
      <x:c r="G19" s="16" t="str">
        <x:v>All 144 articles remain unbuilt.</x:v>
      </x:c>
      <x:c r="H19" s="16" t="str">
        <x:v>One reusable prototype</x:v>
      </x:c>
      <x:c r="I19" s="9"/>
    </x:row>
    <x:row r="20">
      <x:c r="A20" s="9" t="str">
        <x:v>CL14</x:v>
      </x:c>
      <x:c r="B20" s="9" t="str">
        <x:v>CH09</x:v>
      </x:c>
      <x:c r="C20" s="9" t="str">
        <x:v>Evidence</x:v>
      </x:c>
      <x:c r="D20" s="16" t="str">
        <x:v>Integration, fatal-break and virgin clean-reconstruction roles remain separated under public custody.</x:v>
      </x:c>
      <x:c r="E20" s="16" t="str">
        <x:v>CONTROLLING DESIGN</x:v>
      </x:c>
      <x:c r="F20" s="16" t="str">
        <x:v>EXR-TC</x:v>
      </x:c>
      <x:c r="G20" s="16" t="str">
        <x:v>Accepted observation is not favorable performance.</x:v>
      </x:c>
      <x:c r="H20" s="16" t="str">
        <x:v>Demonstration equals proof</x:v>
      </x:c>
      <x:c r="I20" s="9"/>
    </x:row>
    <x:row r="21">
      <x:c r="A21" s="9" t="str">
        <x:v>CL15</x:v>
      </x:c>
      <x:c r="B21" s="9" t="str">
        <x:v>CH10</x:v>
      </x:c>
      <x:c r="C21" s="9" t="str">
        <x:v>Market</x:v>
      </x:c>
      <x:c r="D21" s="16" t="str">
        <x:v>Twenty-four Root Houses may become large complete-system firms but may not control multiple roots.</x:v>
      </x:c>
      <x:c r="E21" s="16" t="str">
        <x:v>CONTROLLING DESIGN</x:v>
      </x:c>
      <x:c r="F21" s="16" t="str">
        <x:v>MPC-1</x:v>
      </x:c>
      <x:c r="G21" s="16" t="str">
        <x:v>Firms and charters remain uninstantiated.</x:v>
      </x:c>
      <x:c r="H21" s="16" t="str">
        <x:v>Selected contractors</x:v>
      </x:c>
      <x:c r="I21" s="9"/>
    </x:row>
    <x:row r="22">
      <x:c r="A22" s="9" t="str">
        <x:v>CL16</x:v>
      </x:c>
      <x:c r="B22" s="9" t="str">
        <x:v>CH10</x:v>
      </x:c>
      <x:c r="C22" s="9" t="str">
        <x:v>Public capacity</x:v>
      </x:c>
      <x:c r="D22" s="16" t="str">
        <x:v>Public proving, reproduction and step-in capacity prevent industrial concentration from controlling truth.</x:v>
      </x:c>
      <x:c r="E22" s="16" t="str">
        <x:v>CONTROLLING DESIGN</x:v>
      </x:c>
      <x:c r="F22" s="16" t="str">
        <x:v>MPC-1</x:v>
      </x:c>
      <x:c r="G22" s="16" t="str">
        <x:v>Fallback is distinct from a permanent public winner.</x:v>
      </x:c>
      <x:c r="H22" s="16" t="str">
        <x:v>National monopoly</x:v>
      </x:c>
      <x:c r="I22" s="9"/>
    </x:row>
    <x:row r="23">
      <x:c r="A23" s="9" t="str">
        <x:v>CL17</x:v>
      </x:c>
      <x:c r="B23" s="9" t="str">
        <x:v>CH10</x:v>
      </x:c>
      <x:c r="C23" s="9" t="str">
        <x:v>Export</x:v>
      </x:c>
      <x:c r="D23" s="16" t="str">
        <x:v>Exports are a second production system and never count as domestic readiness.</x:v>
      </x:c>
      <x:c r="E23" s="16" t="str">
        <x:v>CONTROLLING DESIGN</x:v>
      </x:c>
      <x:c r="F23" s="16" t="str">
        <x:v>MPC-1</x:v>
      </x:c>
      <x:c r="G23" s="16" t="str">
        <x:v>Domestic replacement and recipient sovereignty must close.</x:v>
      </x:c>
      <x:c r="H23" s="16" t="str">
        <x:v>Sales equal strategic effect</x:v>
      </x:c>
      <x:c r="I23" s="9"/>
    </x:row>
    <x:row r="24">
      <x:c r="A24" s="9" t="str">
        <x:v>CL18</x:v>
      </x:c>
      <x:c r="B24" s="9" t="str">
        <x:v>CH06</x:v>
      </x:c>
      <x:c r="C24" s="9" t="str">
        <x:v>International</x:v>
      </x:c>
      <x:c r="D24" s="16" t="str">
        <x:v>Invited capacity is optional before acceptance and non-recallable afterward without joint release.</x:v>
      </x:c>
      <x:c r="E24" s="16" t="str">
        <x:v>CONTROLLING DESIGN</x:v>
      </x:c>
      <x:c r="F24" s="16" t="str">
        <x:v>NIFS-1</x:v>
      </x:c>
      <x:c r="G24" s="16" t="str">
        <x:v>No host or partner capacity receives U.S. readiness credit.</x:v>
      </x:c>
      <x:c r="H24" s="16" t="str">
        <x:v>Recallable surplus aid</x:v>
      </x:c>
      <x:c r="I24" s="9"/>
    </x:row>
    <x:row r="25">
      <x:c r="A25" s="9" t="str">
        <x:v>CL19</x:v>
      </x:c>
      <x:c r="B25" s="9" t="str">
        <x:v>CH06</x:v>
      </x:c>
      <x:c r="C25" s="9" t="str">
        <x:v>International</x:v>
      </x:c>
      <x:c r="D25" s="16" t="str">
        <x:v>International service is sovereign support rather than charity delivery or colonial substitution.</x:v>
      </x:c>
      <x:c r="E25" s="16" t="str">
        <x:v>CONTROLLING DESIGN</x:v>
      </x:c>
      <x:c r="F25" s="16" t="str">
        <x:v>strategic-study.md</x:v>
      </x:c>
      <x:c r="G25" s="16" t="str">
        <x:v>Mission, custody, transfer and exit remain host-governed.</x:v>
      </x:c>
      <x:c r="H25" s="16" t="str">
        <x:v>Platform diplomacy</x:v>
      </x:c>
      <x:c r="I25" s="9"/>
    </x:row>
    <x:row r="26">
      <x:c r="A26" s="9" t="str">
        <x:v>CL20</x:v>
      </x:c>
      <x:c r="B26" s="9" t="str">
        <x:v>CH05</x:v>
      </x:c>
      <x:c r="C26" s="9" t="str">
        <x:v>Domestic</x:v>
      </x:c>
      <x:c r="D26" s="16" t="str">
        <x:v>Protected local continuity precedes avoidable displacement while accessible rescue remains owned capacity.</x:v>
      </x:c>
      <x:c r="E26" s="16" t="str">
        <x:v>CONTROLLING DESIGN</x:v>
      </x:c>
      <x:c r="F26" s="16" t="str">
        <x:v>strategic-study.md</x:v>
      </x:c>
      <x:c r="G26" s="16" t="str">
        <x:v>Protection includes last-building access and receivers.</x:v>
      </x:c>
      <x:c r="H26" s="16" t="str">
        <x:v>Shelter-in-place alone</x:v>
      </x:c>
      <x:c r="I26" s="9"/>
    </x:row>
    <x:row r="27">
      <x:c r="A27" s="9" t="str">
        <x:v>CL21</x:v>
      </x:c>
      <x:c r="B27" s="9" t="str">
        <x:v>CH07</x:v>
      </x:c>
      <x:c r="C27" s="9" t="str">
        <x:v>Operations</x:v>
      </x:c>
      <x:c r="D27" s="16" t="str">
        <x:v>Hazard specialization belongs in tactics and physics; force generation follows complete service chains.</x:v>
      </x:c>
      <x:c r="E27" s="16" t="str">
        <x:v>CONTROLLING DESIGN</x:v>
      </x:c>
      <x:c r="F27" s="16" t="str">
        <x:v>strategic-study.md</x:v>
      </x:c>
      <x:c r="G27" s="16" t="str">
        <x:v>A hazard label cannot close interfaces.</x:v>
      </x:c>
      <x:c r="H27" s="16" t="str">
        <x:v>Separate hazard fleets</x:v>
      </x:c>
      <x:c r="I27" s="9"/>
    </x:row>
    <x:row r="28">
      <x:c r="A28" s="9" t="str">
        <x:v>CL22</x:v>
      </x:c>
      <x:c r="B28" s="9" t="str">
        <x:v>CH08</x:v>
      </x:c>
      <x:c r="C28" s="9" t="str">
        <x:v>Projection</x:v>
      </x:c>
      <x:c r="D28" s="16" t="str">
        <x:v>Carrier, route, node, reception, local access, sustainment and return form one projection chain.</x:v>
      </x:c>
      <x:c r="E28" s="16" t="str">
        <x:v>CONTROLLING DESIGN</x:v>
      </x:c>
      <x:c r="F28" s="16" t="str">
        <x:v>strategic-study.md</x:v>
      </x:c>
      <x:c r="G28" s="16" t="str">
        <x:v>Lift alone earns no service credit.</x:v>
      </x:c>
      <x:c r="H28" s="16" t="str">
        <x:v>Transport equals projection</x:v>
      </x:c>
      <x:c r="I28" s="9"/>
    </x:row>
    <x:row r="29">
      <x:c r="A29" s="9" t="str">
        <x:v>CL23</x:v>
      </x:c>
      <x:c r="B29" s="9" t="str">
        <x:v>CH11</x:v>
      </x:c>
      <x:c r="C29" s="9" t="str">
        <x:v>Readiness</x:v>
      </x:c>
      <x:c r="D29" s="16" t="str">
        <x:v>Fixed receivers and mobile response are one system, and every family must survive geographic loss.</x:v>
      </x:c>
      <x:c r="E29" s="16" t="str">
        <x:v>CONTROLLING DESIGN</x:v>
      </x:c>
      <x:c r="F29" s="16" t="str">
        <x:v>NIFS-1</x:v>
      </x:c>
      <x:c r="G29" s="16" t="str">
        <x:v>Prepared capacity must remain intact and accessible.</x:v>
      </x:c>
      <x:c r="H29" s="16" t="str">
        <x:v>Static infrastructure equals readiness</x:v>
      </x:c>
      <x:c r="I29" s="9"/>
    </x:row>
    <x:row r="30">
      <x:c r="A30" s="9" t="str">
        <x:v>CL24</x:v>
      </x:c>
      <x:c r="B30" s="9" t="str">
        <x:v>CH12</x:v>
      </x:c>
      <x:c r="C30" s="9" t="str">
        <x:v>Accounting</x:v>
      </x:c>
      <x:c r="D30" s="16" t="str">
        <x:v>Capital, operations, incident spending, transfers, markets and avoided loss remain separate ledgers.</x:v>
      </x:c>
      <x:c r="E30" s="16" t="str">
        <x:v>CONTROLLING DESIGN</x:v>
      </x:c>
      <x:c r="F30" s="16" t="str">
        <x:v>strategic-study.md</x:v>
      </x:c>
      <x:c r="G30" s="16" t="str">
        <x:v>Only three mature public accounts add to USD68.4T.</x:v>
      </x:c>
      <x:c r="H30" s="16" t="str">
        <x:v>Netting benefits against appropriations</x:v>
      </x:c>
      <x:c r="I30" s="9"/>
    </x:row>
    <x:row r="31">
      <x:c r="A31" s="9" t="str">
        <x:v>CL25</x:v>
      </x:c>
      <x:c r="B31" s="9" t="str">
        <x:v>CH13</x:v>
      </x:c>
      <x:c r="C31" s="9" t="str">
        <x:v>Authority</x:v>
      </x:c>
      <x:c r="D31" s="16" t="str">
        <x:v>The strategic study owns publication; frontier, history, papers and models retain distinct roles.</x:v>
      </x:c>
      <x:c r="E31" s="16" t="str">
        <x:v>CONTROLLING DESIGN</x:v>
      </x:c>
      <x:c r="F31" s="16" t="str">
        <x:v>SYN-1</x:v>
      </x:c>
      <x:c r="G31" s="16" t="str">
        <x:v>Repetition cannot promote a claim.</x:v>
      </x:c>
      <x:c r="H31" s="16" t="str">
        <x:v>Corpus size equals authority</x:v>
      </x:c>
      <x:c r="I31" s="9"/>
    </x:row>
    <x:row r="32">
      <x:c r="A32" s="9" t="str">
        <x:v>CL26</x:v>
      </x:c>
      <x:c r="B32" s="9" t="str">
        <x:v>CH13</x:v>
      </x:c>
      <x:c r="C32" s="9" t="str">
        <x:v>Quantity law</x:v>
      </x:c>
      <x:c r="D32" s="16" t="str">
        <x:v>Every number carries unit, scope, horizon, state, relation, owner and prohibited use.</x:v>
      </x:c>
      <x:c r="E32" s="16" t="str">
        <x:v>CONTROLLING DESIGN</x:v>
      </x:c>
      <x:c r="F32" s="16" t="str">
        <x:v>SYN-2</x:v>
      </x:c>
      <x:c r="G32" s="16" t="str">
        <x:v>Planning remains planning after reconciliation.</x:v>
      </x:c>
      <x:c r="H32" s="16" t="str">
        <x:v>Precision equals evidence</x:v>
      </x:c>
      <x:c r="I32" s="9"/>
    </x:row>
    <x:row r="33">
      <x:c r="A33" s="9" t="str">
        <x:v>CL27</x:v>
      </x:c>
      <x:c r="B33" s="9" t="str">
        <x:v>CH14</x:v>
      </x:c>
      <x:c r="C33" s="9" t="str">
        <x:v>Representation</x:v>
      </x:c>
      <x:c r="D33" s="16" t="str">
        <x:v>Rendering follows requirement, causal topology, configuration and representation class.</x:v>
      </x:c>
      <x:c r="E33" s="16" t="str">
        <x:v>HOLD</x:v>
      </x:c>
      <x:c r="F33" s="16" t="str">
        <x:v>EDB-TC; SYN-1</x:v>
      </x:c>
      <x:c r="G33" s="16" t="str">
        <x:v>REP-2 eligibility is not issue or metrology.</x:v>
      </x:c>
      <x:c r="H33" s="16" t="str">
        <x:v>Visual coherence equals truth</x:v>
      </x:c>
      <x:c r="I33" s="9"/>
    </x:row>
    <x:row r="34">
      <x:c r="A34" s="9" t="str">
        <x:v>CL28</x:v>
      </x:c>
      <x:c r="B34" s="9" t="str">
        <x:v>CH13</x:v>
      </x:c>
      <x:c r="C34" s="9" t="str">
        <x:v>Completion</x:v>
      </x:c>
      <x:c r="D34" s="16" t="str">
        <x:v>Publication completion is 57 of 70 gates, or 81.4 percent.</x:v>
      </x:c>
      <x:c r="E34" s="16" t="str">
        <x:v>EDITORIAL SCREEN</x:v>
      </x:c>
      <x:c r="F34" s="16" t="str">
        <x:v>SYN-2</x:v>
      </x:c>
      <x:c r="G34" s="16" t="str">
        <x:v>Not confidence, capability, readiness or release.</x:v>
      </x:c>
      <x:c r="H34" s="16" t="str">
        <x:v>Research-validity percentage</x:v>
      </x:c>
      <x:c r="I34" s="9"/>
    </x:row>
  </x:sheetData>
  <x:conditionalFormatting sqref="E7:E34">
    <x:cfRule type="containsText" dxfId="0" priority="1" operator="containsText" text="OPEN"/>
    <x:cfRule type="containsText" dxfId="1" priority="2" operator="containsText" text="PARTIAL"/>
    <x:cfRule type="containsText" dxfId="2" priority="3" operator="containsText" text="HOLD"/>
    <x:cfRule type="containsText" dxfId="3" priority="4" operator="containsText" text="RETIRE"/>
    <x:cfRule type="containsText" dxfId="4" priority="5" operator="containsText" text="UNRESOLVED"/>
    <x:cfRule type="containsText" dxfId="5" priority="6" operator="containsText" text="FAIL"/>
    <x:cfRule type="containsText" dxfId="6" priority="7" operator="containsText" text="PROHIBITED"/>
    <x:cfRule type="containsText" dxfId="7" priority="8" operator="containsText" text="CONTRADICTION"/>
    <x:cfRule type="containsText" dxfId="8" priority="9" operator="containsText" text="PASS"/>
    <x:cfRule type="containsText" dxfId="9" priority="10" operator="containsText" text="CLOSED"/>
    <x:cfRule type="containsText" dxfId="10" priority="11" operator="containsText" text="CONTROLLING"/>
    <x:cfRule type="containsText" dxfId="11" priority="12" operator="containsText" text="RECONCILED"/>
    <x:cfRule type="containsText" dxfId="12" priority="13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ed97320b70854e2a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8" hidden="0" customWidth="1"/>
    <x:col min="4" max="4" width="18" hidden="0" customWidth="1"/>
    <x:col min="5" max="5" width="24" hidden="0" customWidth="1"/>
    <x:col min="6" max="6" width="38" hidden="0" customWidth="1"/>
    <x:col min="7" max="7" width="24" hidden="0" customWidth="1"/>
    <x:col min="8" max="8" width="20" hidden="0" customWidth="1"/>
    <x:col min="9" max="9" width="12" hidden="0" customWidth="1"/>
    <x:col min="10" max="10" width="18" hidden="0" customWidth="1"/>
    <x:col min="11" max="11" width="26" hidden="0" customWidth="1"/>
    <x:col min="12" max="12" width="42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>
      <x:c r="A2" s="27" t="str">
        <x:v>Forty-three quantities with scope, relation and use limit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</x:row>
    <x:row r="6" ht="34" customHeight="1">
      <x:c r="A6" s="31" t="str">
        <x:v>Quantity</x:v>
      </x:c>
      <x:c r="B6" s="31" t="str">
        <x:v>Domain</x:v>
      </x:c>
      <x:c r="C6" s="31" t="str">
        <x:v>Name</x:v>
      </x:c>
      <x:c r="D6" s="31" t="str">
        <x:v>Value</x:v>
      </x:c>
      <x:c r="E6" s="31" t="str">
        <x:v>Unit</x:v>
      </x:c>
      <x:c r="F6" s="31" t="str">
        <x:v>Scope</x:v>
      </x:c>
      <x:c r="G6" s="31" t="str">
        <x:v>Time basis</x:v>
      </x:c>
      <x:c r="H6" s="31" t="str">
        <x:v>Evidence state</x:v>
      </x:c>
      <x:c r="I6" s="31" t="str">
        <x:v>Parent</x:v>
      </x:c>
      <x:c r="J6" s="31" t="str">
        <x:v>Relation</x:v>
      </x:c>
      <x:c r="K6" s="31" t="str">
        <x:v>Internal source</x:v>
      </x:c>
      <x:c r="L6" s="31" t="str">
        <x:v>Permitted use</x:v>
      </x:c>
      <x:c r="M6" s="9"/>
    </x:row>
    <x:row r="7">
      <x:c r="A7" s="9" t="str">
        <x:v>Q01</x:v>
      </x:c>
      <x:c r="B7" s="9" t="str">
        <x:v>Institution</x:v>
      </x:c>
      <x:c r="C7" s="9" t="str">
        <x:v>Constitutional houses</x:v>
      </x:c>
      <x:c r="D7" s="22" t="n">
        <x:v>5</x:v>
      </x:c>
      <x:c r="E7" s="9" t="str">
        <x:v>houses</x:v>
      </x:c>
      <x:c r="F7" s="16" t="str">
        <x:v>Department</x:v>
      </x:c>
      <x:c r="G7" s="16" t="str">
        <x:v>mature</x:v>
      </x:c>
      <x:c r="H7" s="16" t="str">
        <x:v>design</x:v>
      </x:c>
      <x:c r="I7" s="16" t="str"/>
      <x:c r="J7" s="16" t="str">
        <x:v>INDEPENDENT</x:v>
      </x:c>
      <x:c r="K7" s="16" t="str">
        <x:v>DCA-5</x:v>
      </x:c>
      <x:c r="L7" s="16" t="str">
        <x:v>Topology only</x:v>
      </x:c>
      <x:c r="M7" s="9"/>
    </x:row>
    <x:row r="8">
      <x:c r="A8" s="9" t="str">
        <x:v>Q02</x:v>
      </x:c>
      <x:c r="B8" s="9" t="str">
        <x:v>Institution</x:v>
      </x:c>
      <x:c r="C8" s="9" t="str">
        <x:v>Top-level warrants</x:v>
      </x:c>
      <x:c r="D8" s="22" t="n">
        <x:v>17</x:v>
      </x:c>
      <x:c r="E8" s="9" t="str">
        <x:v>warrants</x:v>
      </x:c>
      <x:c r="F8" s="16" t="str">
        <x:v>Department</x:v>
      </x:c>
      <x:c r="G8" s="16" t="str">
        <x:v>mature</x:v>
      </x:c>
      <x:c r="H8" s="16" t="str">
        <x:v>design</x:v>
      </x:c>
      <x:c r="I8" s="16" t="str"/>
      <x:c r="J8" s="16" t="str">
        <x:v>INDEPENDENT</x:v>
      </x:c>
      <x:c r="K8" s="16" t="str">
        <x:v>DCA-5</x:v>
      </x:c>
      <x:c r="L8" s="16" t="str">
        <x:v>State transitions</x:v>
      </x:c>
      <x:c r="M8" s="9"/>
    </x:row>
    <x:row r="9">
      <x:c r="A9" s="9" t="str">
        <x:v>Q03</x:v>
      </x:c>
      <x:c r="B9" s="9" t="str">
        <x:v>Force</x:v>
      </x:c>
      <x:c r="C9" s="9" t="str">
        <x:v>Operating services</x:v>
      </x:c>
      <x:c r="D9" s="22" t="n">
        <x:v>7</x:v>
      </x:c>
      <x:c r="E9" s="9" t="str">
        <x:v>services</x:v>
      </x:c>
      <x:c r="F9" s="16" t="str">
        <x:v>force generation</x:v>
      </x:c>
      <x:c r="G9" s="16" t="str">
        <x:v>mature</x:v>
      </x:c>
      <x:c r="H9" s="16" t="str">
        <x:v>design</x:v>
      </x:c>
      <x:c r="I9" s="16" t="str"/>
      <x:c r="J9" s="16" t="str">
        <x:v>INDEPENDENT</x:v>
      </x:c>
      <x:c r="K9" s="16" t="str">
        <x:v>force architecture</x:v>
      </x:c>
      <x:c r="L9" s="16" t="str">
        <x:v>Professional homes</x:v>
      </x:c>
      <x:c r="M9" s="9"/>
    </x:row>
    <x:row r="10">
      <x:c r="A10" s="9" t="str">
        <x:v>Q04</x:v>
      </x:c>
      <x:c r="B10" s="9" t="str">
        <x:v>Force</x:v>
      </x:c>
      <x:c r="C10" s="9" t="str">
        <x:v>Mission systems</x:v>
      </x:c>
      <x:c r="D10" s="22" t="n">
        <x:v>6</x:v>
      </x:c>
      <x:c r="E10" s="9" t="str">
        <x:v>systems</x:v>
      </x:c>
      <x:c r="F10" s="16" t="str">
        <x:v>acquisition</x:v>
      </x:c>
      <x:c r="G10" s="16" t="str">
        <x:v>mature</x:v>
      </x:c>
      <x:c r="H10" s="16" t="str">
        <x:v>design</x:v>
      </x:c>
      <x:c r="I10" s="16" t="str"/>
      <x:c r="J10" s="16" t="str">
        <x:v>INDEPENDENT</x:v>
      </x:c>
      <x:c r="K10" s="16" t="str">
        <x:v>MSPT-1</x:v>
      </x:c>
      <x:c r="L10" s="16" t="str">
        <x:v>Complete chains</x:v>
      </x:c>
      <x:c r="M10" s="9"/>
    </x:row>
    <x:row r="11">
      <x:c r="A11" s="9" t="str">
        <x:v>Q05</x:v>
      </x:c>
      <x:c r="B11" s="9" t="str">
        <x:v>Service</x:v>
      </x:c>
      <x:c r="C11" s="9" t="str">
        <x:v>Public effects</x:v>
      </x:c>
      <x:c r="D11" s="22" t="n">
        <x:v>9</x:v>
      </x:c>
      <x:c r="E11" s="9" t="str">
        <x:v>effect ledgers</x:v>
      </x:c>
      <x:c r="F11" s="16" t="str">
        <x:v>public service</x:v>
      </x:c>
      <x:c r="G11" s="16" t="str">
        <x:v>campaign</x:v>
      </x:c>
      <x:c r="H11" s="16" t="str">
        <x:v>design</x:v>
      </x:c>
      <x:c r="I11" s="16" t="str"/>
      <x:c r="J11" s="16" t="str">
        <x:v>INDEPENDENT</x:v>
      </x:c>
      <x:c r="K11" s="16" t="str">
        <x:v>force architecture</x:v>
      </x:c>
      <x:c r="L11" s="16" t="str">
        <x:v>Acceptance ledgers</x:v>
      </x:c>
      <x:c r="M11" s="9"/>
    </x:row>
    <x:row r="12">
      <x:c r="A12" s="9" t="str">
        <x:v>Q06</x:v>
      </x:c>
      <x:c r="B12" s="9" t="str">
        <x:v>Force</x:v>
      </x:c>
      <x:c r="C12" s="9" t="str">
        <x:v>Formation families</x:v>
      </x:c>
      <x:c r="D12" s="22" t="n">
        <x:v>48</x:v>
      </x:c>
      <x:c r="E12" s="9" t="str">
        <x:v>families</x:v>
      </x:c>
      <x:c r="F12" s="16" t="str">
        <x:v>national force</x:v>
      </x:c>
      <x:c r="G12" s="16" t="str">
        <x:v>mature</x:v>
      </x:c>
      <x:c r="H12" s="16" t="str">
        <x:v>planning</x:v>
      </x:c>
      <x:c r="I12" s="16" t="str"/>
      <x:c r="J12" s="16" t="str">
        <x:v>INDEPENDENT</x:v>
      </x:c>
      <x:c r="K12" s="16" t="str">
        <x:v>Formation Registry</x:v>
      </x:c>
      <x:c r="L12" s="16" t="str">
        <x:v>Typed hypotheses</x:v>
      </x:c>
      <x:c r="M12" s="9"/>
    </x:row>
    <x:row r="13">
      <x:c r="A13" s="9" t="str">
        <x:v>Q07</x:v>
      </x:c>
      <x:c r="B13" s="9" t="str">
        <x:v>Demand</x:v>
      </x:c>
      <x:c r="C13" s="9" t="str">
        <x:v>Catastrophic domestic campaigns</x:v>
      </x:c>
      <x:c r="D13" s="22" t="n">
        <x:v>3</x:v>
      </x:c>
      <x:c r="E13" s="9" t="str">
        <x:v>campaigns</x:v>
      </x:c>
      <x:c r="F13" s="16" t="str">
        <x:v>concurrency</x:v>
      </x:c>
      <x:c r="G13" s="16" t="str">
        <x:v>simultaneous</x:v>
      </x:c>
      <x:c r="H13" s="16" t="str">
        <x:v>planning</x:v>
      </x:c>
      <x:c r="I13" s="16" t="str">
        <x:v>CONCURRENCY-10</x:v>
      </x:c>
      <x:c r="J13" s="16" t="str">
        <x:v>COMPONENT</x:v>
      </x:c>
      <x:c r="K13" s="16" t="str">
        <x:v>NIFS-1</x:v>
      </x:c>
      <x:c r="L13" s="16" t="str">
        <x:v>Stress case</x:v>
      </x:c>
      <x:c r="M13" s="9"/>
    </x:row>
    <x:row r="14">
      <x:c r="A14" s="9" t="str">
        <x:v>Q08</x:v>
      </x:c>
      <x:c r="B14" s="9" t="str">
        <x:v>Demand</x:v>
      </x:c>
      <x:c r="C14" s="9" t="str">
        <x:v>Major domestic campaigns</x:v>
      </x:c>
      <x:c r="D14" s="22" t="n">
        <x:v>5</x:v>
      </x:c>
      <x:c r="E14" s="9" t="str">
        <x:v>campaigns</x:v>
      </x:c>
      <x:c r="F14" s="16" t="str">
        <x:v>concurrency</x:v>
      </x:c>
      <x:c r="G14" s="16" t="str">
        <x:v>simultaneous</x:v>
      </x:c>
      <x:c r="H14" s="16" t="str">
        <x:v>planning</x:v>
      </x:c>
      <x:c r="I14" s="16" t="str">
        <x:v>CONCURRENCY-10</x:v>
      </x:c>
      <x:c r="J14" s="16" t="str">
        <x:v>COMPONENT</x:v>
      </x:c>
      <x:c r="K14" s="16" t="str">
        <x:v>NIFS-1</x:v>
      </x:c>
      <x:c r="L14" s="16" t="str">
        <x:v>Stress case</x:v>
      </x:c>
      <x:c r="M14" s="9"/>
    </x:row>
    <x:row r="15">
      <x:c r="A15" s="9" t="str">
        <x:v>Q09</x:v>
      </x:c>
      <x:c r="B15" s="9" t="str">
        <x:v>Demand</x:v>
      </x:c>
      <x:c r="C15" s="9" t="str">
        <x:v>Invited international campaigns</x:v>
      </x:c>
      <x:c r="D15" s="22" t="n">
        <x:v>2</x:v>
      </x:c>
      <x:c r="E15" s="9" t="str">
        <x:v>campaigns</x:v>
      </x:c>
      <x:c r="F15" s="16" t="str">
        <x:v>concurrency</x:v>
      </x:c>
      <x:c r="G15" s="16" t="str">
        <x:v>simultaneous</x:v>
      </x:c>
      <x:c r="H15" s="16" t="str">
        <x:v>planning</x:v>
      </x:c>
      <x:c r="I15" s="16" t="str">
        <x:v>CONCURRENCY-10</x:v>
      </x:c>
      <x:c r="J15" s="16" t="str">
        <x:v>COMPONENT</x:v>
      </x:c>
      <x:c r="K15" s="16" t="str">
        <x:v>NIFS-1</x:v>
      </x:c>
      <x:c r="L15" s="16" t="str">
        <x:v>Sovereign invitations</x:v>
      </x:c>
      <x:c r="M15" s="9"/>
    </x:row>
    <x:row r="16">
      <x:c r="A16" s="9" t="str">
        <x:v>Q10</x:v>
      </x:c>
      <x:c r="B16" s="9" t="str">
        <x:v>Readiness</x:v>
      </x:c>
      <x:c r="C16" s="9" t="str">
        <x:v>Protected reserve</x:v>
      </x:c>
      <x:c r="D16" s="23" t="n">
        <x:v>0.2</x:v>
      </x:c>
      <x:c r="E16" s="9" t="str">
        <x:v>share</x:v>
      </x:c>
      <x:c r="F16" s="16" t="str">
        <x:v>complete demand</x:v>
      </x:c>
      <x:c r="G16" s="16" t="str">
        <x:v>simultaneous</x:v>
      </x:c>
      <x:c r="H16" s="16" t="str">
        <x:v>planning</x:v>
      </x:c>
      <x:c r="I16" s="16" t="str">
        <x:v>Q17</x:v>
      </x:c>
      <x:c r="J16" s="16" t="str">
        <x:v>DRIVER</x:v>
      </x:c>
      <x:c r="K16" s="16" t="str">
        <x:v>NIFS-1</x:v>
      </x:c>
      <x:c r="L16" s="16" t="str">
        <x:v>Cannot close base plan</x:v>
      </x:c>
      <x:c r="M16" s="9"/>
    </x:row>
    <x:row r="17">
      <x:c r="A17" s="9" t="str">
        <x:v>Q11</x:v>
      </x:c>
      <x:c r="B17" s="9" t="str">
        <x:v>Geography</x:v>
      </x:c>
      <x:c r="C17" s="9" t="str">
        <x:v>Domestic readiness districts</x:v>
      </x:c>
      <x:c r="D17" s="22" t="n">
        <x:v>7</x:v>
      </x:c>
      <x:c r="E17" s="9" t="str">
        <x:v>districts</x:v>
      </x:c>
      <x:c r="F17" s="16" t="str">
        <x:v>national force</x:v>
      </x:c>
      <x:c r="G17" s="16" t="str">
        <x:v>mature</x:v>
      </x:c>
      <x:c r="H17" s="16" t="str">
        <x:v>design</x:v>
      </x:c>
      <x:c r="I17" s="16" t="str"/>
      <x:c r="J17" s="16" t="str">
        <x:v>INDEPENDENT</x:v>
      </x:c>
      <x:c r="K17" s="16" t="str">
        <x:v>NIFS-1</x:v>
      </x:c>
      <x:c r="L17" s="16" t="str">
        <x:v>N−1 distribution</x:v>
      </x:c>
      <x:c r="M17" s="9"/>
    </x:row>
    <x:row r="18">
      <x:c r="A18" s="9" t="str">
        <x:v>Q12</x:v>
      </x:c>
      <x:c r="B18" s="9" t="str">
        <x:v>Geography</x:v>
      </x:c>
      <x:c r="C18" s="9" t="str">
        <x:v>International reach networks</x:v>
      </x:c>
      <x:c r="D18" s="22" t="n">
        <x:v>2</x:v>
      </x:c>
      <x:c r="E18" s="9" t="str">
        <x:v>networks</x:v>
      </x:c>
      <x:c r="F18" s="16" t="str">
        <x:v>invited missions</x:v>
      </x:c>
      <x:c r="G18" s="16" t="str">
        <x:v>mature</x:v>
      </x:c>
      <x:c r="H18" s="16" t="str">
        <x:v>design</x:v>
      </x:c>
      <x:c r="I18" s="16" t="str"/>
      <x:c r="J18" s="16" t="str">
        <x:v>INDEPENDENT</x:v>
      </x:c>
      <x:c r="K18" s="16" t="str">
        <x:v>NIFS-1</x:v>
      </x:c>
      <x:c r="L18" s="16" t="str">
        <x:v>Not campaigns</x:v>
      </x:c>
      <x:c r="M18" s="9"/>
    </x:row>
    <x:row r="19">
      <x:c r="A19" s="9" t="str">
        <x:v>Q13</x:v>
      </x:c>
      <x:c r="B19" s="9" t="str">
        <x:v>Force</x:v>
      </x:c>
      <x:c r="C19" s="9" t="str">
        <x:v>Concurrent commitments</x:v>
      </x:c>
      <x:c r="D19" s="22" t="n">
        <x:v>2420</x:v>
      </x:c>
      <x:c r="E19" s="9" t="str">
        <x:v>formation equivalents</x:v>
      </x:c>
      <x:c r="F19" s="16" t="str">
        <x:v>ten campaigns</x:v>
      </x:c>
      <x:c r="G19" s="16" t="str">
        <x:v>simultaneous</x:v>
      </x:c>
      <x:c r="H19" s="16" t="str">
        <x:v>planning</x:v>
      </x:c>
      <x:c r="I19" s="16" t="str">
        <x:v>Q17</x:v>
      </x:c>
      <x:c r="J19" s="16" t="str">
        <x:v>COMPONENT</x:v>
      </x:c>
      <x:c r="K19" s="16" t="str">
        <x:v>NIFS-1</x:v>
      </x:c>
      <x:c r="L19" s="16" t="str">
        <x:v>Heterogeneous demand</x:v>
      </x:c>
      <x:c r="M19" s="9"/>
    </x:row>
    <x:row r="20">
      <x:c r="A20" s="9" t="str">
        <x:v>Q14</x:v>
      </x:c>
      <x:c r="B20" s="9" t="str">
        <x:v>Force</x:v>
      </x:c>
      <x:c r="C20" s="9" t="str">
        <x:v>Protected reserve inventory</x:v>
      </x:c>
      <x:c r="D20" s="22" t="n">
        <x:v>502</x:v>
      </x:c>
      <x:c r="E20" s="9" t="str">
        <x:v>formation equivalents</x:v>
      </x:c>
      <x:c r="F20" s="16" t="str">
        <x:v>owned inventory</x:v>
      </x:c>
      <x:c r="G20" s="16" t="str">
        <x:v>simultaneous</x:v>
      </x:c>
      <x:c r="H20" s="16" t="str">
        <x:v>planning</x:v>
      </x:c>
      <x:c r="I20" s="16" t="str">
        <x:v>Q17</x:v>
      </x:c>
      <x:c r="J20" s="16" t="str">
        <x:v>COMPONENT</x:v>
      </x:c>
      <x:c r="K20" s="16" t="str">
        <x:v>DCA-5</x:v>
      </x:c>
      <x:c r="L20" s="16" t="str">
        <x:v>Reserve stock</x:v>
      </x:c>
      <x:c r="M20" s="9"/>
    </x:row>
    <x:row r="21">
      <x:c r="A21" s="9" t="str">
        <x:v>Q15</x:v>
      </x:c>
      <x:c r="B21" s="9" t="str">
        <x:v>Force</x:v>
      </x:c>
      <x:c r="C21" s="9" t="str">
        <x:v>Geographic buffer</x:v>
      </x:c>
      <x:c r="D21" s="22" t="n">
        <x:v>745</x:v>
      </x:c>
      <x:c r="E21" s="9" t="str">
        <x:v>formation equivalents</x:v>
      </x:c>
      <x:c r="F21" s="16" t="str">
        <x:v>owned inventory</x:v>
      </x:c>
      <x:c r="G21" s="16" t="str">
        <x:v>N−1</x:v>
      </x:c>
      <x:c r="H21" s="16" t="str">
        <x:v>planning</x:v>
      </x:c>
      <x:c r="I21" s="16" t="str">
        <x:v>Q17</x:v>
      </x:c>
      <x:c r="J21" s="16" t="str">
        <x:v>COMPONENT</x:v>
      </x:c>
      <x:c r="K21" s="16" t="str">
        <x:v>DCA-5</x:v>
      </x:c>
      <x:c r="L21" s="16" t="str">
        <x:v>Loss-survival stock</x:v>
      </x:c>
      <x:c r="M21" s="9"/>
    </x:row>
    <x:row r="22">
      <x:c r="A22" s="9" t="str">
        <x:v>Q16</x:v>
      </x:c>
      <x:c r="B22" s="9" t="str">
        <x:v>Force</x:v>
      </x:c>
      <x:c r="C22" s="9" t="str">
        <x:v>Requalification and maintenance</x:v>
      </x:c>
      <x:c r="D22" s="22" t="n">
        <x:v>1584</x:v>
      </x:c>
      <x:c r="E22" s="9" t="str">
        <x:v>formation equivalents</x:v>
      </x:c>
      <x:c r="F22" s="16" t="str">
        <x:v>owned inventory</x:v>
      </x:c>
      <x:c r="G22" s="16" t="str">
        <x:v>mature cycle</x:v>
      </x:c>
      <x:c r="H22" s="16" t="str">
        <x:v>planning</x:v>
      </x:c>
      <x:c r="I22" s="16" t="str">
        <x:v>Q17</x:v>
      </x:c>
      <x:c r="J22" s="16" t="str">
        <x:v>COMPONENT</x:v>
      </x:c>
      <x:c r="K22" s="16" t="str">
        <x:v>DCA-5</x:v>
      </x:c>
      <x:c r="L22" s="16" t="str">
        <x:v>Cycle stock</x:v>
      </x:c>
      <x:c r="M22" s="9"/>
    </x:row>
    <x:row r="23">
      <x:c r="A23" s="9" t="str">
        <x:v>Q17</x:v>
      </x:c>
      <x:c r="B23" s="9" t="str">
        <x:v>Force</x:v>
      </x:c>
      <x:c r="C23" s="9" t="str">
        <x:v>Owned inventory</x:v>
      </x:c>
      <x:c r="D23" s="22" t="n">
        <x:v>5251</x:v>
      </x:c>
      <x:c r="E23" s="9" t="str">
        <x:v>formation equivalents</x:v>
      </x:c>
      <x:c r="F23" s="16" t="str">
        <x:v>national force</x:v>
      </x:c>
      <x:c r="G23" s="16" t="str">
        <x:v>mature</x:v>
      </x:c>
      <x:c r="H23" s="16" t="str">
        <x:v>planning</x:v>
      </x:c>
      <x:c r="I23" s="16" t="str"/>
      <x:c r="J23" s="16" t="str">
        <x:v>TOTAL</x:v>
      </x:c>
      <x:c r="K23" s="16" t="str">
        <x:v>NIFS-1</x:v>
      </x:c>
      <x:c r="L23" s="16" t="str">
        <x:v>Not additive with commitments</x:v>
      </x:c>
      <x:c r="M23" s="9"/>
    </x:row>
    <x:row r="24">
      <x:c r="A24" s="9" t="str">
        <x:v>Q18</x:v>
      </x:c>
      <x:c r="B24" s="9" t="str">
        <x:v>Force</x:v>
      </x:c>
      <x:c r="C24" s="9" t="str">
        <x:v>Ready serials</x:v>
      </x:c>
      <x:c r="D24" s="22" t="n">
        <x:v>3667</x:v>
      </x:c>
      <x:c r="E24" s="9" t="str">
        <x:v>formation equivalents</x:v>
      </x:c>
      <x:c r="F24" s="16" t="str">
        <x:v>owned inventory</x:v>
      </x:c>
      <x:c r="G24" s="16" t="str">
        <x:v>simultaneous</x:v>
      </x:c>
      <x:c r="H24" s="16" t="str">
        <x:v>planning</x:v>
      </x:c>
      <x:c r="I24" s="16" t="str">
        <x:v>Q17</x:v>
      </x:c>
      <x:c r="J24" s="16" t="str">
        <x:v>SUBSET</x:v>
      </x:c>
      <x:c r="K24" s="16" t="str">
        <x:v>DCA-5</x:v>
      </x:c>
      <x:c r="L24" s="16" t="str">
        <x:v>Excludes cycle stock</x:v>
      </x:c>
      <x:c r="M24" s="9"/>
    </x:row>
    <x:row r="25">
      <x:c r="A25" s="9" t="str">
        <x:v>Q19</x:v>
      </x:c>
      <x:c r="B25" s="9" t="str">
        <x:v>International</x:v>
      </x:c>
      <x:c r="C25" s="9" t="str">
        <x:v>Invited commitments</x:v>
      </x:c>
      <x:c r="D25" s="22" t="n">
        <x:v>675</x:v>
      </x:c>
      <x:c r="E25" s="9" t="str">
        <x:v>formation equivalents</x:v>
      </x:c>
      <x:c r="F25" s="16" t="str">
        <x:v>two invited campaigns</x:v>
      </x:c>
      <x:c r="G25" s="16" t="str">
        <x:v>simultaneous</x:v>
      </x:c>
      <x:c r="H25" s="16" t="str">
        <x:v>planning</x:v>
      </x:c>
      <x:c r="I25" s="16" t="str">
        <x:v>Q13</x:v>
      </x:c>
      <x:c r="J25" s="16" t="str">
        <x:v>SUBSET</x:v>
      </x:c>
      <x:c r="K25" s="16" t="str">
        <x:v>DCA-5</x:v>
      </x:c>
      <x:c r="L25" s="16" t="str">
        <x:v>Non-recallable</x:v>
      </x:c>
      <x:c r="M25" s="9"/>
    </x:row>
    <x:row r="26">
      <x:c r="A26" s="9" t="str">
        <x:v>Q20</x:v>
      </x:c>
      <x:c r="B26" s="9" t="str">
        <x:v>International</x:v>
      </x:c>
      <x:c r="C26" s="9" t="str">
        <x:v>Invited corridor claims</x:v>
      </x:c>
      <x:c r="D26" s="22" t="n">
        <x:v>1350</x:v>
      </x:c>
      <x:c r="E26" s="9" t="str">
        <x:v>corridor claims</x:v>
      </x:c>
      <x:c r="F26" s="16" t="str">
        <x:v>two reach networks</x:v>
      </x:c>
      <x:c r="G26" s="16" t="str">
        <x:v>campaign</x:v>
      </x:c>
      <x:c r="H26" s="16" t="str">
        <x:v>planning</x:v>
      </x:c>
      <x:c r="I26" s="16" t="str"/>
      <x:c r="J26" s="16" t="str">
        <x:v>NONADDITIVE</x:v>
      </x:c>
      <x:c r="K26" s="16" t="str">
        <x:v>DCA-5</x:v>
      </x:c>
      <x:c r="L26" s="16" t="str">
        <x:v>Routes, not formations</x:v>
      </x:c>
      <x:c r="M26" s="9"/>
    </x:row>
    <x:row r="27">
      <x:c r="A27" s="9" t="str">
        <x:v>Q21</x:v>
      </x:c>
      <x:c r="B27" s="9" t="str">
        <x:v>Workforce</x:v>
      </x:c>
      <x:c r="C27" s="9" t="str">
        <x:v>No-loss predecessor affiliation</x:v>
      </x:c>
      <x:c r="D27" s="22" t="n">
        <x:v>10.484</x:v>
      </x:c>
      <x:c r="E27" s="9" t="str">
        <x:v>million positions</x:v>
      </x:c>
      <x:c r="F27" s="16" t="str">
        <x:v>earlier force</x:v>
      </x:c>
      <x:c r="G27" s="16" t="str">
        <x:v>mature</x:v>
      </x:c>
      <x:c r="H27" s="16" t="str">
        <x:v>superseded</x:v>
      </x:c>
      <x:c r="I27" s="16" t="str">
        <x:v>Q23</x:v>
      </x:c>
      <x:c r="J27" s="16" t="str">
        <x:v>SUPERSEDED</x:v>
      </x:c>
      <x:c r="K27" s="16" t="str">
        <x:v>Pass 58</x:v>
      </x:c>
      <x:c r="L27" s="16" t="str">
        <x:v>Lineage only</x:v>
      </x:c>
      <x:c r="M27" s="9"/>
    </x:row>
    <x:row r="28">
      <x:c r="A28" s="9" t="str">
        <x:v>Q22</x:v>
      </x:c>
      <x:c r="B28" s="9" t="str">
        <x:v>Workforce</x:v>
      </x:c>
      <x:c r="C28" s="9" t="str">
        <x:v>Direct formation affiliation</x:v>
      </x:c>
      <x:c r="D28" s="22" t="n">
        <x:v>11.5</x:v>
      </x:c>
      <x:c r="E28" s="9" t="str">
        <x:v>million positions</x:v>
      </x:c>
      <x:c r="F28" s="16" t="str">
        <x:v>selected force</x:v>
      </x:c>
      <x:c r="G28" s="16" t="str">
        <x:v>mature</x:v>
      </x:c>
      <x:c r="H28" s="16" t="str">
        <x:v>planning</x:v>
      </x:c>
      <x:c r="I28" s="16" t="str">
        <x:v>Q23</x:v>
      </x:c>
      <x:c r="J28" s="16" t="str">
        <x:v>SUBSET</x:v>
      </x:c>
      <x:c r="K28" s="16" t="str">
        <x:v>NIFS-1</x:v>
      </x:c>
      <x:c r="L28" s="16" t="str">
        <x:v>Before common depth</x:v>
      </x:c>
      <x:c r="M28" s="9"/>
    </x:row>
    <x:row r="29">
      <x:c r="A29" s="9" t="str">
        <x:v>Q23</x:v>
      </x:c>
      <x:c r="B29" s="9" t="str">
        <x:v>Workforce</x:v>
      </x:c>
      <x:c r="C29" s="9" t="str">
        <x:v>Total affiliated establishment</x:v>
      </x:c>
      <x:c r="D29" s="22" t="n">
        <x:v>13</x:v>
      </x:c>
      <x:c r="E29" s="9" t="str">
        <x:v>million positions</x:v>
      </x:c>
      <x:c r="F29" s="16" t="str">
        <x:v>Department</x:v>
      </x:c>
      <x:c r="G29" s="16" t="str">
        <x:v>mature</x:v>
      </x:c>
      <x:c r="H29" s="16" t="str">
        <x:v>planning</x:v>
      </x:c>
      <x:c r="I29" s="16" t="str"/>
      <x:c r="J29" s="16" t="str">
        <x:v>TOTAL</x:v>
      </x:c>
      <x:c r="K29" s="16" t="str">
        <x:v>DCA-5</x:v>
      </x:c>
      <x:c r="L29" s="16" t="str">
        <x:v>Not payroll</x:v>
      </x:c>
      <x:c r="M29" s="9"/>
    </x:row>
    <x:row r="30">
      <x:c r="A30" s="9" t="str">
        <x:v>Q24</x:v>
      </x:c>
      <x:c r="B30" s="9" t="str">
        <x:v>Movement</x:v>
      </x:c>
      <x:c r="C30" s="9" t="str">
        <x:v>Early-entry formations</x:v>
      </x:c>
      <x:c r="D30" s="22" t="n">
        <x:v>1409</x:v>
      </x:c>
      <x:c r="E30" s="9" t="str">
        <x:v>formation equivalents</x:v>
      </x:c>
      <x:c r="F30" s="16" t="str">
        <x:v>opening movement</x:v>
      </x:c>
      <x:c r="G30" s="16" t="str">
        <x:v>campaign opening</x:v>
      </x:c>
      <x:c r="H30" s="16" t="str">
        <x:v>planning</x:v>
      </x:c>
      <x:c r="I30" s="16" t="str">
        <x:v>Q13</x:v>
      </x:c>
      <x:c r="J30" s="16" t="str">
        <x:v>SUBSET</x:v>
      </x:c>
      <x:c r="K30" s="16" t="str">
        <x:v>NIFS-1</x:v>
      </x:c>
      <x:c r="L30" s="16" t="str">
        <x:v>Not a transport fleet</x:v>
      </x:c>
      <x:c r="M30" s="9"/>
    </x:row>
    <x:row r="31">
      <x:c r="A31" s="9" t="str">
        <x:v>Q25</x:v>
      </x:c>
      <x:c r="B31" s="9" t="str">
        <x:v>Movement</x:v>
      </x:c>
      <x:c r="C31" s="9" t="str">
        <x:v>Early deployable mass</x:v>
      </x:c>
      <x:c r="D31" s="22" t="n">
        <x:v>8.9</x:v>
      </x:c>
      <x:c r="E31" s="9" t="str">
        <x:v>million tonnes</x:v>
      </x:c>
      <x:c r="F31" s="16" t="str">
        <x:v>opening movement</x:v>
      </x:c>
      <x:c r="G31" s="16" t="str">
        <x:v>campaign opening</x:v>
      </x:c>
      <x:c r="H31" s="16" t="str">
        <x:v>planning</x:v>
      </x:c>
      <x:c r="I31" s="16" t="str"/>
      <x:c r="J31" s="16" t="str">
        <x:v>INDEPENDENT</x:v>
      </x:c>
      <x:c r="K31" s="16" t="str">
        <x:v>NIFS-1</x:v>
      </x:c>
      <x:c r="L31" s="16" t="str">
        <x:v>Inherited factors</x:v>
      </x:c>
      <x:c r="M31" s="9"/>
    </x:row>
    <x:row r="32">
      <x:c r="A32" s="9" t="str">
        <x:v>Q26</x:v>
      </x:c>
      <x:c r="B32" s="9" t="str">
        <x:v>Movement</x:v>
      </x:c>
      <x:c r="C32" s="9" t="str">
        <x:v>Sustainment flow</x:v>
      </x:c>
      <x:c r="D32" s="22" t="n">
        <x:v>174000</x:v>
      </x:c>
      <x:c r="E32" s="9" t="str">
        <x:v>tonnes/day</x:v>
      </x:c>
      <x:c r="F32" s="16" t="str">
        <x:v>ten campaigns</x:v>
      </x:c>
      <x:c r="G32" s="16" t="str">
        <x:v>occupied interval</x:v>
      </x:c>
      <x:c r="H32" s="16" t="str">
        <x:v>planning</x:v>
      </x:c>
      <x:c r="I32" s="16" t="str"/>
      <x:c r="J32" s="16" t="str">
        <x:v>INDEPENDENT</x:v>
      </x:c>
      <x:c r="K32" s="16" t="str">
        <x:v>NIFS-1</x:v>
      </x:c>
      <x:c r="L32" s="16" t="str">
        <x:v>Routes remain open</x:v>
      </x:c>
      <x:c r="M32" s="9"/>
    </x:row>
    <x:row r="33">
      <x:c r="A33" s="9" t="str">
        <x:v>Q27</x:v>
      </x:c>
      <x:c r="B33" s="9" t="str">
        <x:v>Finance</x:v>
      </x:c>
      <x:c r="C33" s="9" t="str">
        <x:v>Technology program</x:v>
      </x:c>
      <x:c r="D33" s="22" t="n">
        <x:v>1</x:v>
      </x:c>
      <x:c r="E33" s="9" t="str">
        <x:v>USD T</x:v>
      </x:c>
      <x:c r="F33" s="16" t="str">
        <x:v>technology and industry</x:v>
      </x:c>
      <x:c r="G33" s="16" t="str">
        <x:v>25 years</x:v>
      </x:c>
      <x:c r="H33" s="16" t="str">
        <x:v>program</x:v>
      </x:c>
      <x:c r="I33" s="16" t="str">
        <x:v>Q30</x:v>
      </x:c>
      <x:c r="J33" s="16" t="str">
        <x:v>COMPONENT</x:v>
      </x:c>
      <x:c r="K33" s="16" t="str">
        <x:v>MSDW-1</x:v>
      </x:c>
      <x:c r="L33" s="16" t="str">
        <x:v>Not total cost</x:v>
      </x:c>
      <x:c r="M33" s="9"/>
    </x:row>
    <x:row r="34">
      <x:c r="A34" s="9" t="str">
        <x:v>Q28</x:v>
      </x:c>
      <x:c r="B34" s="9" t="str">
        <x:v>Finance</x:v>
      </x:c>
      <x:c r="C34" s="9" t="str">
        <x:v>Mature capital</x:v>
      </x:c>
      <x:c r="D34" s="22" t="n">
        <x:v>17.4</x:v>
      </x:c>
      <x:c r="E34" s="9" t="str">
        <x:v>USD T</x:v>
      </x:c>
      <x:c r="F34" s="16" t="str">
        <x:v>owned force and estate</x:v>
      </x:c>
      <x:c r="G34" s="16" t="str">
        <x:v>25 years</x:v>
      </x:c>
      <x:c r="H34" s="16" t="str">
        <x:v>planning</x:v>
      </x:c>
      <x:c r="I34" s="16" t="str">
        <x:v>Q30</x:v>
      </x:c>
      <x:c r="J34" s="16" t="str">
        <x:v>COMPONENT</x:v>
      </x:c>
      <x:c r="K34" s="16" t="str">
        <x:v>NIFS-1</x:v>
      </x:c>
      <x:c r="L34" s="16" t="str">
        <x:v>Not appropriation</x:v>
      </x:c>
      <x:c r="M34" s="9"/>
    </x:row>
    <x:row r="35">
      <x:c r="A35" s="9" t="str">
        <x:v>Q29</x:v>
      </x:c>
      <x:c r="B35" s="9" t="str">
        <x:v>Finance</x:v>
      </x:c>
      <x:c r="C35" s="9" t="str">
        <x:v>Ramped operations</x:v>
      </x:c>
      <x:c r="D35" s="22" t="n">
        <x:v>50</x:v>
      </x:c>
      <x:c r="E35" s="9" t="str">
        <x:v>USD T</x:v>
      </x:c>
      <x:c r="F35" s="16" t="str">
        <x:v>Department operations</x:v>
      </x:c>
      <x:c r="G35" s="16" t="str">
        <x:v>25 years</x:v>
      </x:c>
      <x:c r="H35" s="16" t="str">
        <x:v>planning</x:v>
      </x:c>
      <x:c r="I35" s="16" t="str">
        <x:v>Q30</x:v>
      </x:c>
      <x:c r="J35" s="16" t="str">
        <x:v>COMPONENT</x:v>
      </x:c>
      <x:c r="K35" s="16" t="str">
        <x:v>DCA-5</x:v>
      </x:c>
      <x:c r="L35" s="16" t="str">
        <x:v>Ramp path</x:v>
      </x:c>
      <x:c r="M35" s="9"/>
    </x:row>
    <x:row r="36">
      <x:c r="A36" s="9" t="str">
        <x:v>Q30</x:v>
      </x:c>
      <x:c r="B36" s="9" t="str">
        <x:v>Finance</x:v>
      </x:c>
      <x:c r="C36" s="9" t="str">
        <x:v>Mature resource screen</x:v>
      </x:c>
      <x:c r="D36" s="22" t="n">
        <x:v>68.4</x:v>
      </x:c>
      <x:c r="E36" s="9" t="str">
        <x:v>USD T</x:v>
      </x:c>
      <x:c r="F36" s="16" t="str">
        <x:v>three public accounts</x:v>
      </x:c>
      <x:c r="G36" s="16" t="str">
        <x:v>25 years</x:v>
      </x:c>
      <x:c r="H36" s="16" t="str">
        <x:v>planning</x:v>
      </x:c>
      <x:c r="I36" s="16" t="str"/>
      <x:c r="J36" s="16" t="str">
        <x:v>TOTAL</x:v>
      </x:c>
      <x:c r="K36" s="16" t="str">
        <x:v>DCA-5</x:v>
      </x:c>
      <x:c r="L36" s="16" t="str">
        <x:v>Not a recommendation</x:v>
      </x:c>
      <x:c r="M36" s="9"/>
    </x:row>
    <x:row r="37">
      <x:c r="A37" s="9" t="str">
        <x:v>Q31</x:v>
      </x:c>
      <x:c r="B37" s="9" t="str">
        <x:v>Finance</x:v>
      </x:c>
      <x:c r="C37" s="9" t="str">
        <x:v>Mature annual operations</x:v>
      </x:c>
      <x:c r="D37" s="22" t="n">
        <x:v>2.11</x:v>
      </x:c>
      <x:c r="E37" s="9" t="str">
        <x:v>USD T/year</x:v>
      </x:c>
      <x:c r="F37" s="16" t="str">
        <x:v>mature Department</x:v>
      </x:c>
      <x:c r="G37" s="16" t="str">
        <x:v>steady mature year</x:v>
      </x:c>
      <x:c r="H37" s="16" t="str">
        <x:v>planning</x:v>
      </x:c>
      <x:c r="I37" s="16" t="str"/>
      <x:c r="J37" s="16" t="str">
        <x:v>INDEPENDENT</x:v>
      </x:c>
      <x:c r="K37" s="16" t="str">
        <x:v>NIFS-1</x:v>
      </x:c>
      <x:c r="L37" s="16" t="str">
        <x:v>Do not multiply by 25</x:v>
      </x:c>
      <x:c r="M37" s="9"/>
    </x:row>
    <x:row r="38">
      <x:c r="A38" s="9" t="str">
        <x:v>Q32</x:v>
      </x:c>
      <x:c r="B38" s="9" t="str">
        <x:v>Program</x:v>
      </x:c>
      <x:c r="C38" s="9" t="str">
        <x:v>Mission-system technology</x:v>
      </x:c>
      <x:c r="D38" s="22" t="n">
        <x:v>550</x:v>
      </x:c>
      <x:c r="E38" s="9" t="str">
        <x:v>USD B</x:v>
      </x:c>
      <x:c r="F38" s="16" t="str">
        <x:v>technology program</x:v>
      </x:c>
      <x:c r="G38" s="16" t="str">
        <x:v>25 years</x:v>
      </x:c>
      <x:c r="H38" s="16" t="str">
        <x:v>program</x:v>
      </x:c>
      <x:c r="I38" s="16" t="str">
        <x:v>Q27</x:v>
      </x:c>
      <x:c r="J38" s="16" t="str">
        <x:v>COMPONENT</x:v>
      </x:c>
      <x:c r="K38" s="16" t="str">
        <x:v>MSDW-1</x:v>
      </x:c>
      <x:c r="L38" s="16" t="str">
        <x:v>One of five accounts</x:v>
      </x:c>
      <x:c r="M38" s="9"/>
    </x:row>
    <x:row r="39">
      <x:c r="A39" s="9" t="str">
        <x:v>Q33</x:v>
      </x:c>
      <x:c r="B39" s="9" t="str">
        <x:v>Program</x:v>
      </x:c>
      <x:c r="C39" s="9" t="str">
        <x:v>First physical tranche</x:v>
      </x:c>
      <x:c r="D39" s="22" t="n">
        <x:v>200</x:v>
      </x:c>
      <x:c r="E39" s="9" t="str">
        <x:v>USD B</x:v>
      </x:c>
      <x:c r="F39" s="16" t="str">
        <x:v>technology program</x:v>
      </x:c>
      <x:c r="G39" s="16" t="str">
        <x:v>years 1–5</x:v>
      </x:c>
      <x:c r="H39" s="16" t="str">
        <x:v>program</x:v>
      </x:c>
      <x:c r="I39" s="16" t="str">
        <x:v>Q27</x:v>
      </x:c>
      <x:c r="J39" s="16" t="str">
        <x:v>SUBSET</x:v>
      </x:c>
      <x:c r="K39" s="16" t="str">
        <x:v>PFP-5</x:v>
      </x:c>
      <x:c r="L39" s="16" t="str">
        <x:v>Unobligated</x:v>
      </x:c>
      <x:c r="M39" s="9"/>
    </x:row>
    <x:row r="40">
      <x:c r="A40" s="9" t="str">
        <x:v>Q34</x:v>
      </x:c>
      <x:c r="B40" s="9" t="str">
        <x:v>Program</x:v>
      </x:c>
      <x:c r="C40" s="9" t="str">
        <x:v>First fifteen years</x:v>
      </x:c>
      <x:c r="D40" s="22" t="n">
        <x:v>750</x:v>
      </x:c>
      <x:c r="E40" s="9" t="str">
        <x:v>USD B</x:v>
      </x:c>
      <x:c r="F40" s="16" t="str">
        <x:v>technology program</x:v>
      </x:c>
      <x:c r="G40" s="16" t="str">
        <x:v>years 1–15</x:v>
      </x:c>
      <x:c r="H40" s="16" t="str">
        <x:v>program</x:v>
      </x:c>
      <x:c r="I40" s="16" t="str">
        <x:v>Q27</x:v>
      </x:c>
      <x:c r="J40" s="16" t="str">
        <x:v>SUBSET</x:v>
      </x:c>
      <x:c r="K40" s="16" t="str">
        <x:v>MSDW-1</x:v>
      </x:c>
      <x:c r="L40" s="16" t="str">
        <x:v>Includes first tranche</x:v>
      </x:c>
      <x:c r="M40" s="9"/>
    </x:row>
    <x:row r="41">
      <x:c r="A41" s="9" t="str">
        <x:v>Q35</x:v>
      </x:c>
      <x:c r="B41" s="9" t="str">
        <x:v>Program</x:v>
      </x:c>
      <x:c r="C41" s="9" t="str">
        <x:v>First cohort mission authority</x:v>
      </x:c>
      <x:c r="D41" s="22" t="n">
        <x:v>27.5</x:v>
      </x:c>
      <x:c r="E41" s="9" t="str">
        <x:v>USD B</x:v>
      </x:c>
      <x:c r="F41" s="16" t="str">
        <x:v>six selected fields</x:v>
      </x:c>
      <x:c r="G41" s="16" t="str">
        <x:v>first tranche</x:v>
      </x:c>
      <x:c r="H41" s="16" t="str">
        <x:v>program</x:v>
      </x:c>
      <x:c r="I41" s="16" t="str">
        <x:v>Q33</x:v>
      </x:c>
      <x:c r="J41" s="16" t="str">
        <x:v>SUBSET</x:v>
      </x:c>
      <x:c r="K41" s="16" t="str">
        <x:v>PFP-5</x:v>
      </x:c>
      <x:c r="L41" s="16" t="str">
        <x:v>Stageable plus held</x:v>
      </x:c>
      <x:c r="M41" s="9"/>
    </x:row>
    <x:row r="42">
      <x:c r="A42" s="9" t="str">
        <x:v>Q36</x:v>
      </x:c>
      <x:c r="B42" s="9" t="str">
        <x:v>Program</x:v>
      </x:c>
      <x:c r="C42" s="9" t="str">
        <x:v>Six-root sentinel ceiling</x:v>
      </x:c>
      <x:c r="D42" s="22" t="n">
        <x:v>15.6</x:v>
      </x:c>
      <x:c r="E42" s="9" t="str">
        <x:v>USD B</x:v>
      </x:c>
      <x:c r="F42" s="16" t="str">
        <x:v>first construction wave</x:v>
      </x:c>
      <x:c r="G42" s="16" t="str">
        <x:v>first tranche</x:v>
      </x:c>
      <x:c r="H42" s="16" t="str">
        <x:v>program</x:v>
      </x:c>
      <x:c r="I42" s="16" t="str">
        <x:v>Q33</x:v>
      </x:c>
      <x:c r="J42" s="16" t="str">
        <x:v>SUBSET</x:v>
      </x:c>
      <x:c r="K42" s="16" t="str">
        <x:v>A2C-1</x:v>
      </x:c>
      <x:c r="L42" s="16" t="str">
        <x:v>Private plus public</x:v>
      </x:c>
      <x:c r="M42" s="9"/>
    </x:row>
    <x:row r="43">
      <x:c r="A43" s="9" t="str">
        <x:v>Q37</x:v>
      </x:c>
      <x:c r="B43" s="9" t="str">
        <x:v>Proof</x:v>
      </x:c>
      <x:c r="C43" s="9" t="str">
        <x:v>Proof-wave reservation</x:v>
      </x:c>
      <x:c r="D43" s="22" t="n">
        <x:v>43</x:v>
      </x:c>
      <x:c r="E43" s="9" t="str">
        <x:v>USD B</x:v>
      </x:c>
      <x:c r="F43" s="16" t="str">
        <x:v>twenty non-lifeline roots</x:v>
      </x:c>
      <x:c r="G43" s="16" t="str">
        <x:v>G0–G3</x:v>
      </x:c>
      <x:c r="H43" s="16" t="str">
        <x:v>program</x:v>
      </x:c>
      <x:c r="I43" s="16" t="str">
        <x:v>Q27</x:v>
      </x:c>
      <x:c r="J43" s="16" t="str">
        <x:v>SUBSET</x:v>
      </x:c>
      <x:c r="K43" s="16" t="str">
        <x:v>C3-SPW-5</x:v>
      </x:c>
      <x:c r="L43" s="16" t="str">
        <x:v>Cross-classified</x:v>
      </x:c>
      <x:c r="M43" s="9"/>
    </x:row>
    <x:row r="44">
      <x:c r="A44" s="9" t="str">
        <x:v>Q38</x:v>
      </x:c>
      <x:c r="B44" s="9" t="str">
        <x:v>Proof</x:v>
      </x:c>
      <x:c r="C44" s="9" t="str">
        <x:v>Cohort assigned exposure</x:v>
      </x:c>
      <x:c r="D44" s="22" t="n">
        <x:v>25.04003</x:v>
      </x:c>
      <x:c r="E44" s="9" t="str">
        <x:v>USD B</x:v>
      </x:c>
      <x:c r="F44" s="16" t="str">
        <x:v>cohort one</x:v>
      </x:c>
      <x:c r="G44" s="16" t="str">
        <x:v>six-year campaign</x:v>
      </x:c>
      <x:c r="H44" s="16" t="str">
        <x:v>planning</x:v>
      </x:c>
      <x:c r="I44" s="16" t="str">
        <x:v>Q37</x:v>
      </x:c>
      <x:c r="J44" s="16" t="str">
        <x:v>SUBSET</x:v>
      </x:c>
      <x:c r="K44" s="16" t="str">
        <x:v>EXR-TC</x:v>
      </x:c>
      <x:c r="L44" s="16" t="str">
        <x:v>Rounded USD25.0B</x:v>
      </x:c>
      <x:c r="M44" s="9"/>
    </x:row>
    <x:row r="45">
      <x:c r="A45" s="9" t="str">
        <x:v>Q39</x:v>
      </x:c>
      <x:c r="B45" s="9" t="str">
        <x:v>Experiment</x:v>
      </x:c>
      <x:c r="C45" s="9" t="str">
        <x:v>Technology orders</x:v>
      </x:c>
      <x:c r="D45" s="22" t="n">
        <x:v>24</x:v>
      </x:c>
      <x:c r="E45" s="9" t="str">
        <x:v>orders</x:v>
      </x:c>
      <x:c r="F45" s="16" t="str">
        <x:v>cohort one</x:v>
      </x:c>
      <x:c r="G45" s="16" t="str">
        <x:v>proof campaign</x:v>
      </x:c>
      <x:c r="H45" s="16" t="str">
        <x:v>design</x:v>
      </x:c>
      <x:c r="I45" s="16" t="str"/>
      <x:c r="J45" s="16" t="str">
        <x:v>INDEPENDENT</x:v>
      </x:c>
      <x:c r="K45" s="16" t="str">
        <x:v>EDB-TC</x:v>
      </x:c>
      <x:c r="L45" s="16" t="str">
        <x:v>Not families</x:v>
      </x:c>
      <x:c r="M45" s="9"/>
    </x:row>
    <x:row r="46">
      <x:c r="A46" s="9" t="str">
        <x:v>Q40</x:v>
      </x:c>
      <x:c r="B46" s="9" t="str">
        <x:v>Experiment</x:v>
      </x:c>
      <x:c r="C46" s="9" t="str">
        <x:v>Builder-root dossiers</x:v>
      </x:c>
      <x:c r="D46" s="22" t="n">
        <x:v>48</x:v>
      </x:c>
      <x:c r="E46" s="9" t="str">
        <x:v>dossiers</x:v>
      </x:c>
      <x:c r="F46" s="16" t="str">
        <x:v>cohort one</x:v>
      </x:c>
      <x:c r="G46" s="16" t="str">
        <x:v>proof campaign</x:v>
      </x:c>
      <x:c r="H46" s="16" t="str">
        <x:v>design</x:v>
      </x:c>
      <x:c r="I46" s="16" t="str"/>
      <x:c r="J46" s="16" t="str">
        <x:v>INDEPENDENT</x:v>
      </x:c>
      <x:c r="K46" s="16" t="str">
        <x:v>EXR-TC</x:v>
      </x:c>
      <x:c r="L46" s="16" t="str">
        <x:v>Not firms</x:v>
      </x:c>
      <x:c r="M46" s="9"/>
    </x:row>
    <x:row r="47">
      <x:c r="A47" s="9" t="str">
        <x:v>Q41</x:v>
      </x:c>
      <x:c r="B47" s="9" t="str">
        <x:v>Experiment</x:v>
      </x:c>
      <x:c r="C47" s="9" t="str">
        <x:v>Full-scale articles</x:v>
      </x:c>
      <x:c r="D47" s="22" t="n">
        <x:v>144</x:v>
      </x:c>
      <x:c r="E47" s="9" t="str">
        <x:v>articles</x:v>
      </x:c>
      <x:c r="F47" s="16" t="str">
        <x:v>cohort one</x:v>
      </x:c>
      <x:c r="G47" s="16" t="str">
        <x:v>proof campaign</x:v>
      </x:c>
      <x:c r="H47" s="16" t="str">
        <x:v>design</x:v>
      </x:c>
      <x:c r="I47" s="16" t="str"/>
      <x:c r="J47" s="16" t="str">
        <x:v>INDEPENDENT</x:v>
      </x:c>
      <x:c r="K47" s="16" t="str">
        <x:v>AIP-1</x:v>
      </x:c>
      <x:c r="L47" s="16" t="str">
        <x:v>Unbuilt</x:v>
      </x:c>
      <x:c r="M47" s="9"/>
    </x:row>
    <x:row r="48">
      <x:c r="A48" s="9" t="str">
        <x:v>Q42</x:v>
      </x:c>
      <x:c r="B48" s="9" t="str">
        <x:v>Experiment</x:v>
      </x:c>
      <x:c r="C48" s="9" t="str">
        <x:v>Acceptance-bearing events</x:v>
      </x:c>
      <x:c r="D48" s="22" t="n">
        <x:v>96</x:v>
      </x:c>
      <x:c r="E48" s="9" t="str">
        <x:v>events</x:v>
      </x:c>
      <x:c r="F48" s="16" t="str">
        <x:v>cohort one</x:v>
      </x:c>
      <x:c r="G48" s="16" t="str">
        <x:v>proof campaign</x:v>
      </x:c>
      <x:c r="H48" s="16" t="str">
        <x:v>design</x:v>
      </x:c>
      <x:c r="I48" s="16" t="str"/>
      <x:c r="J48" s="16" t="str">
        <x:v>INDEPENDENT</x:v>
      </x:c>
      <x:c r="K48" s="16" t="str">
        <x:v>EXR-TC</x:v>
      </x:c>
      <x:c r="L48" s="16" t="str">
        <x:v>Potential only</x:v>
      </x:c>
      <x:c r="M48" s="9"/>
    </x:row>
    <x:row r="49">
      <x:c r="A49" s="9" t="str">
        <x:v>Q43</x:v>
      </x:c>
      <x:c r="B49" s="9" t="str">
        <x:v>Editorial</x:v>
      </x:c>
      <x:c r="C49" s="9" t="str">
        <x:v>Current completion</x:v>
      </x:c>
      <x:c r="D49" s="12" t="n">
        <x:v>0.8142857142857143</x:v>
      </x:c>
      <x:c r="E49" s="9" t="str">
        <x:v>share of gates</x:v>
      </x:c>
      <x:c r="F49" s="16" t="str">
        <x:v>final manuscript</x:v>
      </x:c>
      <x:c r="G49" s="16" t="str">
        <x:v>Pass 247</x:v>
      </x:c>
      <x:c r="H49" s="16" t="str">
        <x:v>editorial</x:v>
      </x:c>
      <x:c r="I49" s="16" t="str"/>
      <x:c r="J49" s="16" t="str">
        <x:v>DERIVED</x:v>
      </x:c>
      <x:c r="K49" s="16" t="str">
        <x:v>SYN-2</x:v>
      </x:c>
      <x:c r="L49" s="16" t="str">
        <x:v>Not capability</x:v>
      </x:c>
      <x:c r="M49" s="9"/>
    </x:row>
  </x:sheetData>
  <x:conditionalFormatting sqref="H7:H49">
    <x:cfRule type="containsText" dxfId="13" priority="1" operator="containsText" text="OPEN"/>
    <x:cfRule type="containsText" dxfId="14" priority="2" operator="containsText" text="PARTIAL"/>
    <x:cfRule type="containsText" dxfId="15" priority="3" operator="containsText" text="HOLD"/>
    <x:cfRule type="containsText" dxfId="16" priority="4" operator="containsText" text="RETIRE"/>
    <x:cfRule type="containsText" dxfId="17" priority="5" operator="containsText" text="UNRESOLVED"/>
    <x:cfRule type="containsText" dxfId="18" priority="6" operator="containsText" text="FAIL"/>
    <x:cfRule type="containsText" dxfId="19" priority="7" operator="containsText" text="PROHIBITED"/>
    <x:cfRule type="containsText" dxfId="20" priority="8" operator="containsText" text="CONTRADICTION"/>
    <x:cfRule type="containsText" dxfId="21" priority="9" operator="containsText" text="PASS"/>
    <x:cfRule type="containsText" dxfId="22" priority="10" operator="containsText" text="CLOSED"/>
    <x:cfRule type="containsText" dxfId="23" priority="11" operator="containsText" text="CONTROLLING"/>
    <x:cfRule type="containsText" dxfId="24" priority="12" operator="containsText" text="RECONCILED"/>
    <x:cfRule type="containsText" dxfId="25" priority="13" operator="containsText" text="SUPERSEDED"/>
  </x:conditionalFormatting>
  <x:conditionalFormatting sqref="J7:J49">
    <x:cfRule type="containsText" dxfId="26" priority="14" operator="containsText" text="OPEN"/>
    <x:cfRule type="containsText" dxfId="27" priority="15" operator="containsText" text="PARTIAL"/>
    <x:cfRule type="containsText" dxfId="28" priority="16" operator="containsText" text="HOLD"/>
    <x:cfRule type="containsText" dxfId="29" priority="17" operator="containsText" text="RETIRE"/>
    <x:cfRule type="containsText" dxfId="30" priority="18" operator="containsText" text="UNRESOLVED"/>
    <x:cfRule type="containsText" dxfId="31" priority="19" operator="containsText" text="FAIL"/>
    <x:cfRule type="containsText" dxfId="32" priority="20" operator="containsText" text="PROHIBITED"/>
    <x:cfRule type="containsText" dxfId="33" priority="21" operator="containsText" text="CONTRADICTION"/>
    <x:cfRule type="containsText" dxfId="34" priority="22" operator="containsText" text="PASS"/>
    <x:cfRule type="containsText" dxfId="35" priority="23" operator="containsText" text="CLOSED"/>
    <x:cfRule type="containsText" dxfId="36" priority="24" operator="containsText" text="CONTROLLING"/>
    <x:cfRule type="containsText" dxfId="37" priority="25" operator="containsText" text="RECONCILED"/>
    <x:cfRule type="containsText" dxfId="38" priority="26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428879261c864dee"/>
  </x:tableParts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40" hidden="0" customWidth="1"/>
    <x:col min="4" max="4" width="18" hidden="0" customWidth="1"/>
    <x:col min="5" max="5" width="14" hidden="0" customWidth="1"/>
    <x:col min="6" max="6" width="24" hidden="0" customWidth="1"/>
    <x:col min="7" max="7" width="12" hidden="0" customWidth="1"/>
    <x:col min="8" max="8" width="24" hidden="0" customWidth="1"/>
    <x:col min="9" max="9" width="46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</x:row>
    <x:row r="2">
      <x:c r="A2" s="27" t="str">
        <x:v>Fiscal reconciliation: additive accounts, nested views and nonadditive exposure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</x:row>
    <x:row r="6" ht="34" customHeight="1">
      <x:c r="A6" s="31" t="str">
        <x:v>Record</x:v>
      </x:c>
      <x:c r="B6" s="31" t="str">
        <x:v>Ledger</x:v>
      </x:c>
      <x:c r="C6" s="31" t="str">
        <x:v>Item</x:v>
      </x:c>
      <x:c r="D6" s="31" t="str">
        <x:v>Value</x:v>
      </x:c>
      <x:c r="E6" s="31" t="str">
        <x:v>Unit</x:v>
      </x:c>
      <x:c r="F6" s="31" t="str">
        <x:v>Treatment</x:v>
      </x:c>
      <x:c r="G6" s="31" t="str">
        <x:v>Parent</x:v>
      </x:c>
      <x:c r="H6" s="31" t="str">
        <x:v>Internal source</x:v>
      </x:c>
      <x:c r="I6" s="31" t="str">
        <x:v>Interpretation</x:v>
      </x:c>
      <x:c r="J6" s="9"/>
    </x:row>
    <x:row r="7">
      <x:c r="A7" s="9" t="str">
        <x:v>FB01</x:v>
      </x:c>
      <x:c r="B7" s="9" t="str">
        <x:v>Mature accounts</x:v>
      </x:c>
      <x:c r="C7" s="9" t="str">
        <x:v>Technology and industrialization</x:v>
      </x:c>
      <x:c r="D7" s="22" t="n">
        <x:v>1</x:v>
      </x:c>
      <x:c r="E7" s="9" t="str">
        <x:v>USD T</x:v>
      </x:c>
      <x:c r="F7" s="9" t="str">
        <x:v>ADDITIVE COMPONENT</x:v>
      </x:c>
      <x:c r="G7" s="9" t="str">
        <x:v>FB04</x:v>
      </x:c>
      <x:c r="H7" s="16" t="str">
        <x:v>DCA-5</x:v>
      </x:c>
      <x:c r="I7" s="16" t="str">
        <x:v>One of three public accounts</x:v>
      </x:c>
      <x:c r="J7" s="9"/>
    </x:row>
    <x:row r="8">
      <x:c r="A8" s="9" t="str">
        <x:v>FB02</x:v>
      </x:c>
      <x:c r="B8" s="9" t="str">
        <x:v>Mature accounts</x:v>
      </x:c>
      <x:c r="C8" s="9" t="str">
        <x:v>Capital</x:v>
      </x:c>
      <x:c r="D8" s="22" t="n">
        <x:v>17.4</x:v>
      </x:c>
      <x:c r="E8" s="9" t="str">
        <x:v>USD T</x:v>
      </x:c>
      <x:c r="F8" s="9" t="str">
        <x:v>ADDITIVE COMPONENT</x:v>
      </x:c>
      <x:c r="G8" s="9" t="str">
        <x:v>FB04</x:v>
      </x:c>
      <x:c r="H8" s="16" t="str">
        <x:v>NIFS-1</x:v>
      </x:c>
      <x:c r="I8" s="16" t="str">
        <x:v>Twenty-five-year screen</x:v>
      </x:c>
      <x:c r="J8" s="9"/>
    </x:row>
    <x:row r="9">
      <x:c r="A9" s="9" t="str">
        <x:v>FB03</x:v>
      </x:c>
      <x:c r="B9" s="9" t="str">
        <x:v>Mature accounts</x:v>
      </x:c>
      <x:c r="C9" s="9" t="str">
        <x:v>Ramped operations</x:v>
      </x:c>
      <x:c r="D9" s="22" t="n">
        <x:v>50</x:v>
      </x:c>
      <x:c r="E9" s="9" t="str">
        <x:v>USD T</x:v>
      </x:c>
      <x:c r="F9" s="9" t="str">
        <x:v>ADDITIVE COMPONENT</x:v>
      </x:c>
      <x:c r="G9" s="9" t="str">
        <x:v>FB04</x:v>
      </x:c>
      <x:c r="H9" s="16" t="str">
        <x:v>DCA-5</x:v>
      </x:c>
      <x:c r="I9" s="16" t="str">
        <x:v>Twenty-five-year ramp</x:v>
      </x:c>
      <x:c r="J9" s="9"/>
    </x:row>
    <x:row r="10">
      <x:c r="A10" s="9" t="str">
        <x:v>FB04</x:v>
      </x:c>
      <x:c r="B10" s="9" t="str">
        <x:v>Mature accounts</x:v>
      </x:c>
      <x:c r="C10" s="9" t="str">
        <x:v>Mature resource screen</x:v>
      </x:c>
      <x:c r="D10" s="22" t="n">
        <x:f>SUM(D7:D9)</x:f>
        <x:v>68.4</x:v>
      </x:c>
      <x:c r="E10" s="9" t="str">
        <x:v>USD T</x:v>
      </x:c>
      <x:c r="F10" s="9" t="str">
        <x:v>FORMULA TOTAL</x:v>
      </x:c>
      <x:c r="G10" s="9" t="str"/>
      <x:c r="H10" s="16" t="str">
        <x:v>DCA-5</x:v>
      </x:c>
      <x:c r="I10" s="16" t="str">
        <x:v>Not a budget recommendation</x:v>
      </x:c>
      <x:c r="J10" s="9"/>
    </x:row>
    <x:row r="11">
      <x:c r="A11" s="9" t="str">
        <x:v>FB05</x:v>
      </x:c>
      <x:c r="B11" s="9" t="str">
        <x:v>Technology accounts</x:v>
      </x:c>
      <x:c r="C11" s="9" t="str">
        <x:v>Mission systems</x:v>
      </x:c>
      <x:c r="D11" s="22" t="n">
        <x:v>0.55</x:v>
      </x:c>
      <x:c r="E11" s="9" t="str">
        <x:v>USD T</x:v>
      </x:c>
      <x:c r="F11" s="9" t="str">
        <x:v>ADDITIVE COMPONENT</x:v>
      </x:c>
      <x:c r="G11" s="9" t="str">
        <x:v>FB10</x:v>
      </x:c>
      <x:c r="H11" s="16" t="str">
        <x:v>MSDW-1</x:v>
      </x:c>
      <x:c r="I11" s="16" t="str"/>
      <x:c r="J11" s="9"/>
    </x:row>
    <x:row r="12">
      <x:c r="A12" s="9" t="str">
        <x:v>FB06</x:v>
      </x:c>
      <x:c r="B12" s="9" t="str">
        <x:v>Technology accounts</x:v>
      </x:c>
      <x:c r="C12" s="9" t="str">
        <x:v>Service technical bases</x:v>
      </x:c>
      <x:c r="D12" s="22" t="n">
        <x:v>0.15</x:v>
      </x:c>
      <x:c r="E12" s="9" t="str">
        <x:v>USD T</x:v>
      </x:c>
      <x:c r="F12" s="9" t="str">
        <x:v>ADDITIVE COMPONENT</x:v>
      </x:c>
      <x:c r="G12" s="9" t="str">
        <x:v>FB10</x:v>
      </x:c>
      <x:c r="H12" s="16" t="str">
        <x:v>MSDW-1</x:v>
      </x:c>
      <x:c r="I12" s="16" t="str"/>
      <x:c r="J12" s="9"/>
    </x:row>
    <x:row r="13">
      <x:c r="A13" s="9" t="str">
        <x:v>FB07</x:v>
      </x:c>
      <x:c r="B13" s="9" t="str">
        <x:v>Technology accounts</x:v>
      </x:c>
      <x:c r="C13" s="9" t="str">
        <x:v>National common capacity</x:v>
      </x:c>
      <x:c r="D13" s="22" t="n">
        <x:v>0.15</x:v>
      </x:c>
      <x:c r="E13" s="9" t="str">
        <x:v>USD T</x:v>
      </x:c>
      <x:c r="F13" s="9" t="str">
        <x:v>ADDITIVE COMPONENT</x:v>
      </x:c>
      <x:c r="G13" s="9" t="str">
        <x:v>FB10</x:v>
      </x:c>
      <x:c r="H13" s="16" t="str">
        <x:v>MSDW-1</x:v>
      </x:c>
      <x:c r="I13" s="16" t="str"/>
      <x:c r="J13" s="9"/>
    </x:row>
    <x:row r="14">
      <x:c r="A14" s="9" t="str">
        <x:v>FB08</x:v>
      </x:c>
      <x:c r="B14" s="9" t="str">
        <x:v>Technology accounts</x:v>
      </x:c>
      <x:c r="C14" s="9" t="str">
        <x:v>Sovereign technical estate</x:v>
      </x:c>
      <x:c r="D14" s="22" t="n">
        <x:v>0.1</x:v>
      </x:c>
      <x:c r="E14" s="9" t="str">
        <x:v>USD T</x:v>
      </x:c>
      <x:c r="F14" s="9" t="str">
        <x:v>ADDITIVE COMPONENT</x:v>
      </x:c>
      <x:c r="G14" s="9" t="str">
        <x:v>FB10</x:v>
      </x:c>
      <x:c r="H14" s="16" t="str">
        <x:v>MSDW-1</x:v>
      </x:c>
      <x:c r="I14" s="16" t="str"/>
      <x:c r="J14" s="9"/>
    </x:row>
    <x:row r="15">
      <x:c r="A15" s="9" t="str">
        <x:v>FB09</x:v>
      </x:c>
      <x:c r="B15" s="9" t="str">
        <x:v>Technology accounts</x:v>
      </x:c>
      <x:c r="C15" s="9" t="str">
        <x:v>Competitive failure reserve</x:v>
      </x:c>
      <x:c r="D15" s="22" t="n">
        <x:v>0.05</x:v>
      </x:c>
      <x:c r="E15" s="9" t="str">
        <x:v>USD T</x:v>
      </x:c>
      <x:c r="F15" s="9" t="str">
        <x:v>ADDITIVE COMPONENT</x:v>
      </x:c>
      <x:c r="G15" s="9" t="str">
        <x:v>FB10</x:v>
      </x:c>
      <x:c r="H15" s="16" t="str">
        <x:v>MSDW-1</x:v>
      </x:c>
      <x:c r="I15" s="16" t="str"/>
      <x:c r="J15" s="9"/>
    </x:row>
    <x:row r="16">
      <x:c r="A16" s="9" t="str">
        <x:v>FB10</x:v>
      </x:c>
      <x:c r="B16" s="9" t="str">
        <x:v>Technology accounts</x:v>
      </x:c>
      <x:c r="C16" s="9" t="str">
        <x:v>Technology program</x:v>
      </x:c>
      <x:c r="D16" s="22" t="n">
        <x:f>SUM(D11:D15)</x:f>
        <x:v>1</x:v>
      </x:c>
      <x:c r="E16" s="9" t="str">
        <x:v>USD T</x:v>
      </x:c>
      <x:c r="F16" s="9" t="str">
        <x:v>FORMULA TOTAL</x:v>
      </x:c>
      <x:c r="G16" s="9" t="str">
        <x:v>FB01</x:v>
      </x:c>
      <x:c r="H16" s="16" t="str">
        <x:v>MSDW-1</x:v>
      </x:c>
      <x:c r="I16" s="16" t="str">
        <x:v>Same USD1.00T</x:v>
      </x:c>
      <x:c r="J16" s="9"/>
    </x:row>
    <x:row r="17">
      <x:c r="A17" s="9" t="str">
        <x:v>FB11</x:v>
      </x:c>
      <x:c r="B17" s="9" t="str">
        <x:v>Technology waves</x:v>
      </x:c>
      <x:c r="C17" s="9" t="str">
        <x:v>Years 1–5</x:v>
      </x:c>
      <x:c r="D17" s="22" t="n">
        <x:v>0.2</x:v>
      </x:c>
      <x:c r="E17" s="9" t="str">
        <x:v>USD T</x:v>
      </x:c>
      <x:c r="F17" s="9" t="str">
        <x:v>ADDITIVE COMPONENT</x:v>
      </x:c>
      <x:c r="G17" s="9" t="str">
        <x:v>FB16</x:v>
      </x:c>
      <x:c r="H17" s="16" t="str">
        <x:v>MSDW-1</x:v>
      </x:c>
      <x:c r="I17" s="16" t="str">
        <x:v>First tranche</x:v>
      </x:c>
      <x:c r="J17" s="9"/>
    </x:row>
    <x:row r="18">
      <x:c r="A18" s="9" t="str">
        <x:v>FB12</x:v>
      </x:c>
      <x:c r="B18" s="9" t="str">
        <x:v>Technology waves</x:v>
      </x:c>
      <x:c r="C18" s="9" t="str">
        <x:v>Years 6–10</x:v>
      </x:c>
      <x:c r="D18" s="22" t="n">
        <x:v>0.3</x:v>
      </x:c>
      <x:c r="E18" s="9" t="str">
        <x:v>USD T</x:v>
      </x:c>
      <x:c r="F18" s="9" t="str">
        <x:v>ADDITIVE COMPONENT</x:v>
      </x:c>
      <x:c r="G18" s="9" t="str">
        <x:v>FB16</x:v>
      </x:c>
      <x:c r="H18" s="16" t="str">
        <x:v>MSDW-1</x:v>
      </x:c>
      <x:c r="I18" s="16" t="str"/>
      <x:c r="J18" s="9"/>
    </x:row>
    <x:row r="19">
      <x:c r="A19" s="9" t="str">
        <x:v>FB13</x:v>
      </x:c>
      <x:c r="B19" s="9" t="str">
        <x:v>Technology waves</x:v>
      </x:c>
      <x:c r="C19" s="9" t="str">
        <x:v>Years 11–15</x:v>
      </x:c>
      <x:c r="D19" s="22" t="n">
        <x:v>0.25</x:v>
      </x:c>
      <x:c r="E19" s="9" t="str">
        <x:v>USD T</x:v>
      </x:c>
      <x:c r="F19" s="9" t="str">
        <x:v>ADDITIVE COMPONENT</x:v>
      </x:c>
      <x:c r="G19" s="9" t="str">
        <x:v>FB16</x:v>
      </x:c>
      <x:c r="H19" s="16" t="str">
        <x:v>MSDW-1</x:v>
      </x:c>
      <x:c r="I19" s="16" t="str"/>
      <x:c r="J19" s="9"/>
    </x:row>
    <x:row r="20">
      <x:c r="A20" s="9" t="str">
        <x:v>FB14</x:v>
      </x:c>
      <x:c r="B20" s="9" t="str">
        <x:v>Technology waves</x:v>
      </x:c>
      <x:c r="C20" s="9" t="str">
        <x:v>Years 16–20</x:v>
      </x:c>
      <x:c r="D20" s="22" t="n">
        <x:v>0.15</x:v>
      </x:c>
      <x:c r="E20" s="9" t="str">
        <x:v>USD T</x:v>
      </x:c>
      <x:c r="F20" s="9" t="str">
        <x:v>ADDITIVE COMPONENT</x:v>
      </x:c>
      <x:c r="G20" s="9" t="str">
        <x:v>FB16</x:v>
      </x:c>
      <x:c r="H20" s="16" t="str">
        <x:v>MSDW-1</x:v>
      </x:c>
      <x:c r="I20" s="16" t="str"/>
      <x:c r="J20" s="9"/>
    </x:row>
    <x:row r="21">
      <x:c r="A21" s="9" t="str">
        <x:v>FB15</x:v>
      </x:c>
      <x:c r="B21" s="9" t="str">
        <x:v>Technology waves</x:v>
      </x:c>
      <x:c r="C21" s="9" t="str">
        <x:v>Years 21–25</x:v>
      </x:c>
      <x:c r="D21" s="22" t="n">
        <x:v>0.1</x:v>
      </x:c>
      <x:c r="E21" s="9" t="str">
        <x:v>USD T</x:v>
      </x:c>
      <x:c r="F21" s="9" t="str">
        <x:v>ADDITIVE COMPONENT</x:v>
      </x:c>
      <x:c r="G21" s="9" t="str">
        <x:v>FB16</x:v>
      </x:c>
      <x:c r="H21" s="16" t="str">
        <x:v>MSDW-1</x:v>
      </x:c>
      <x:c r="I21" s="16" t="str"/>
      <x:c r="J21" s="9"/>
    </x:row>
    <x:row r="22">
      <x:c r="A22" s="9" t="str">
        <x:v>FB16</x:v>
      </x:c>
      <x:c r="B22" s="9" t="str">
        <x:v>Technology waves</x:v>
      </x:c>
      <x:c r="C22" s="9" t="str">
        <x:v>Technology program</x:v>
      </x:c>
      <x:c r="D22" s="22" t="n">
        <x:f>SUM(D17:D21)</x:f>
        <x:v>1</x:v>
      </x:c>
      <x:c r="E22" s="9" t="str">
        <x:v>USD T</x:v>
      </x:c>
      <x:c r="F22" s="9" t="str">
        <x:v>FORMULA TOTAL</x:v>
      </x:c>
      <x:c r="G22" s="9" t="str">
        <x:v>FB01</x:v>
      </x:c>
      <x:c r="H22" s="16" t="str">
        <x:v>MSDW-1</x:v>
      </x:c>
      <x:c r="I22" s="16" t="str">
        <x:v>Same USD1.00T by time</x:v>
      </x:c>
      <x:c r="J22" s="9"/>
    </x:row>
    <x:row r="23">
      <x:c r="A23" s="9" t="str">
        <x:v>FB17</x:v>
      </x:c>
      <x:c r="B23" s="9" t="str">
        <x:v>First-tranche accounts</x:v>
      </x:c>
      <x:c r="C23" s="9" t="str">
        <x:v>Mission systems</x:v>
      </x:c>
      <x:c r="D23" s="22" t="n">
        <x:v>0.11</x:v>
      </x:c>
      <x:c r="E23" s="9" t="str">
        <x:v>USD T</x:v>
      </x:c>
      <x:c r="F23" s="9" t="str">
        <x:v>ADDITIVE COMPONENT</x:v>
      </x:c>
      <x:c r="G23" s="9" t="str">
        <x:v>FB22</x:v>
      </x:c>
      <x:c r="H23" s="16" t="str">
        <x:v>PFP-5</x:v>
      </x:c>
      <x:c r="I23" s="16" t="str"/>
      <x:c r="J23" s="9"/>
    </x:row>
    <x:row r="24">
      <x:c r="A24" s="9" t="str">
        <x:v>FB18</x:v>
      </x:c>
      <x:c r="B24" s="9" t="str">
        <x:v>First-tranche accounts</x:v>
      </x:c>
      <x:c r="C24" s="9" t="str">
        <x:v>Service technical bases</x:v>
      </x:c>
      <x:c r="D24" s="22" t="n">
        <x:v>0.03</x:v>
      </x:c>
      <x:c r="E24" s="9" t="str">
        <x:v>USD T</x:v>
      </x:c>
      <x:c r="F24" s="9" t="str">
        <x:v>ADDITIVE COMPONENT</x:v>
      </x:c>
      <x:c r="G24" s="9" t="str">
        <x:v>FB22</x:v>
      </x:c>
      <x:c r="H24" s="16" t="str">
        <x:v>PFP-5</x:v>
      </x:c>
      <x:c r="I24" s="16" t="str"/>
      <x:c r="J24" s="9"/>
    </x:row>
    <x:row r="25">
      <x:c r="A25" s="9" t="str">
        <x:v>FB19</x:v>
      </x:c>
      <x:c r="B25" s="9" t="str">
        <x:v>First-tranche accounts</x:v>
      </x:c>
      <x:c r="C25" s="9" t="str">
        <x:v>National common capacity</x:v>
      </x:c>
      <x:c r="D25" s="22" t="n">
        <x:v>0.03</x:v>
      </x:c>
      <x:c r="E25" s="9" t="str">
        <x:v>USD T</x:v>
      </x:c>
      <x:c r="F25" s="9" t="str">
        <x:v>ADDITIVE COMPONENT</x:v>
      </x:c>
      <x:c r="G25" s="9" t="str">
        <x:v>FB22</x:v>
      </x:c>
      <x:c r="H25" s="16" t="str">
        <x:v>PFP-5</x:v>
      </x:c>
      <x:c r="I25" s="16" t="str"/>
      <x:c r="J25" s="9"/>
    </x:row>
    <x:row r="26">
      <x:c r="A26" s="9" t="str">
        <x:v>FB20</x:v>
      </x:c>
      <x:c r="B26" s="9" t="str">
        <x:v>First-tranche accounts</x:v>
      </x:c>
      <x:c r="C26" s="9" t="str">
        <x:v>Sovereign technical estate</x:v>
      </x:c>
      <x:c r="D26" s="22" t="n">
        <x:v>0.02</x:v>
      </x:c>
      <x:c r="E26" s="9" t="str">
        <x:v>USD T</x:v>
      </x:c>
      <x:c r="F26" s="9" t="str">
        <x:v>ADDITIVE COMPONENT</x:v>
      </x:c>
      <x:c r="G26" s="9" t="str">
        <x:v>FB22</x:v>
      </x:c>
      <x:c r="H26" s="16" t="str">
        <x:v>PFP-5</x:v>
      </x:c>
      <x:c r="I26" s="16" t="str"/>
      <x:c r="J26" s="9"/>
    </x:row>
    <x:row r="27">
      <x:c r="A27" s="9" t="str">
        <x:v>FB21</x:v>
      </x:c>
      <x:c r="B27" s="9" t="str">
        <x:v>First-tranche accounts</x:v>
      </x:c>
      <x:c r="C27" s="9" t="str">
        <x:v>Failure reserve</x:v>
      </x:c>
      <x:c r="D27" s="22" t="n">
        <x:v>0.01</x:v>
      </x:c>
      <x:c r="E27" s="9" t="str">
        <x:v>USD T</x:v>
      </x:c>
      <x:c r="F27" s="9" t="str">
        <x:v>ADDITIVE COMPONENT</x:v>
      </x:c>
      <x:c r="G27" s="9" t="str">
        <x:v>FB22</x:v>
      </x:c>
      <x:c r="H27" s="16" t="str">
        <x:v>PFP-5</x:v>
      </x:c>
      <x:c r="I27" s="16" t="str"/>
      <x:c r="J27" s="9"/>
    </x:row>
    <x:row r="28">
      <x:c r="A28" s="9" t="str">
        <x:v>FB22</x:v>
      </x:c>
      <x:c r="B28" s="9" t="str">
        <x:v>First-tranche accounts</x:v>
      </x:c>
      <x:c r="C28" s="9" t="str">
        <x:v>First tranche</x:v>
      </x:c>
      <x:c r="D28" s="22" t="n">
        <x:f>SUM(D23:D27)</x:f>
        <x:v>0.2</x:v>
      </x:c>
      <x:c r="E28" s="9" t="str">
        <x:v>USD T</x:v>
      </x:c>
      <x:c r="F28" s="9" t="str">
        <x:v>FORMULA TOTAL</x:v>
      </x:c>
      <x:c r="G28" s="9" t="str">
        <x:v>FB11</x:v>
      </x:c>
      <x:c r="H28" s="16" t="str">
        <x:v>PFP-5</x:v>
      </x:c>
      <x:c r="I28" s="16" t="str">
        <x:v>Nested in technology program</x:v>
      </x:c>
      <x:c r="J28" s="9"/>
    </x:row>
    <x:row r="29">
      <x:c r="A29" s="9" t="str">
        <x:v>FB23</x:v>
      </x:c>
      <x:c r="B29" s="9" t="str">
        <x:v>First cohort</x:v>
      </x:c>
      <x:c r="C29" s="9" t="str">
        <x:v>Stageable mission authority</x:v>
      </x:c>
      <x:c r="D29" s="22" t="n">
        <x:v>14.3</x:v>
      </x:c>
      <x:c r="E29" s="9" t="str">
        <x:v>USD B</x:v>
      </x:c>
      <x:c r="F29" s="9" t="str">
        <x:v>ADDITIVE COMPONENT</x:v>
      </x:c>
      <x:c r="G29" s="9" t="str">
        <x:v>FB25</x:v>
      </x:c>
      <x:c r="H29" s="16" t="str">
        <x:v>PFP-5</x:v>
      </x:c>
      <x:c r="I29" s="16" t="str"/>
      <x:c r="J29" s="9"/>
    </x:row>
    <x:row r="30">
      <x:c r="A30" s="9" t="str">
        <x:v>FB24</x:v>
      </x:c>
      <x:c r="B30" s="9" t="str">
        <x:v>First cohort</x:v>
      </x:c>
      <x:c r="C30" s="9" t="str">
        <x:v>Evidence-held authority</x:v>
      </x:c>
      <x:c r="D30" s="22" t="n">
        <x:v>13.2</x:v>
      </x:c>
      <x:c r="E30" s="9" t="str">
        <x:v>USD B</x:v>
      </x:c>
      <x:c r="F30" s="9" t="str">
        <x:v>ADDITIVE COMPONENT</x:v>
      </x:c>
      <x:c r="G30" s="9" t="str">
        <x:v>FB25</x:v>
      </x:c>
      <x:c r="H30" s="16" t="str">
        <x:v>PFP-5</x:v>
      </x:c>
      <x:c r="I30" s="16" t="str"/>
      <x:c r="J30" s="9"/>
    </x:row>
    <x:row r="31">
      <x:c r="A31" s="9" t="str">
        <x:v>FB25</x:v>
      </x:c>
      <x:c r="B31" s="9" t="str">
        <x:v>First cohort</x:v>
      </x:c>
      <x:c r="C31" s="9" t="str">
        <x:v>First cohort mission authority</x:v>
      </x:c>
      <x:c r="D31" s="22" t="n">
        <x:f>SUM(D29:D30)</x:f>
        <x:v>27.5</x:v>
      </x:c>
      <x:c r="E31" s="9" t="str">
        <x:v>USD B</x:v>
      </x:c>
      <x:c r="F31" s="9" t="str">
        <x:v>FORMULA TOTAL</x:v>
      </x:c>
      <x:c r="G31" s="9" t="str">
        <x:v>FB17</x:v>
      </x:c>
      <x:c r="H31" s="16" t="str">
        <x:v>PFP-5</x:v>
      </x:c>
      <x:c r="I31" s="16" t="str">
        <x:v>Subset of first tranche</x:v>
      </x:c>
      <x:c r="J31" s="9"/>
    </x:row>
    <x:row r="32">
      <x:c r="A32" s="9" t="str">
        <x:v>FB26</x:v>
      </x:c>
      <x:c r="B32" s="9" t="str">
        <x:v>Six-root sentinel</x:v>
      </x:c>
      <x:c r="C32" s="9" t="str">
        <x:v>Private root options</x:v>
      </x:c>
      <x:c r="D32" s="22" t="n">
        <x:v>3.59</x:v>
      </x:c>
      <x:c r="E32" s="9" t="str">
        <x:v>USD B</x:v>
      </x:c>
      <x:c r="F32" s="9" t="str">
        <x:v>ADDITIVE COMPONENT</x:v>
      </x:c>
      <x:c r="G32" s="9" t="str">
        <x:v>FB28</x:v>
      </x:c>
      <x:c r="H32" s="16" t="str">
        <x:v>A2C-1</x:v>
      </x:c>
      <x:c r="I32" s="16" t="str"/>
      <x:c r="J32" s="9"/>
    </x:row>
    <x:row r="33">
      <x:c r="A33" s="9" t="str">
        <x:v>FB27</x:v>
      </x:c>
      <x:c r="B33" s="9" t="str">
        <x:v>Six-root sentinel</x:v>
      </x:c>
      <x:c r="C33" s="9" t="str">
        <x:v>Reusable public method reserve</x:v>
      </x:c>
      <x:c r="D33" s="22" t="n">
        <x:v>12</x:v>
      </x:c>
      <x:c r="E33" s="9" t="str">
        <x:v>USD B</x:v>
      </x:c>
      <x:c r="F33" s="9" t="str">
        <x:v>ADDITIVE COMPONENT</x:v>
      </x:c>
      <x:c r="G33" s="9" t="str">
        <x:v>FB28</x:v>
      </x:c>
      <x:c r="H33" s="16" t="str">
        <x:v>A2C-1</x:v>
      </x:c>
      <x:c r="I33" s="16" t="str"/>
      <x:c r="J33" s="9"/>
    </x:row>
    <x:row r="34">
      <x:c r="A34" s="9" t="str">
        <x:v>FB28</x:v>
      </x:c>
      <x:c r="B34" s="9" t="str">
        <x:v>Six-root sentinel</x:v>
      </x:c>
      <x:c r="C34" s="9" t="str">
        <x:v>Sentinel construction ceiling</x:v>
      </x:c>
      <x:c r="D34" s="22" t="n">
        <x:f>SUM(D32:D33)</x:f>
        <x:v>15.59</x:v>
      </x:c>
      <x:c r="E34" s="9" t="str">
        <x:v>USD B</x:v>
      </x:c>
      <x:c r="F34" s="9" t="str">
        <x:v>FORMULA TOTAL</x:v>
      </x:c>
      <x:c r="G34" s="9" t="str">
        <x:v>FB22</x:v>
      </x:c>
      <x:c r="H34" s="16" t="str">
        <x:v>A2C-1</x:v>
      </x:c>
      <x:c r="I34" s="16" t="str">
        <x:v>Rounded USD15.6B</x:v>
      </x:c>
      <x:c r="J34" s="9"/>
    </x:row>
    <x:row r="35">
      <x:c r="A35" s="9" t="str">
        <x:v>FB29</x:v>
      </x:c>
      <x:c r="B35" s="9" t="str">
        <x:v>Proof wave</x:v>
      </x:c>
      <x:c r="C35" s="9" t="str">
        <x:v>Candidate articles and data</x:v>
      </x:c>
      <x:c r="D35" s="22" t="n">
        <x:v>17.2</x:v>
      </x:c>
      <x:c r="E35" s="9" t="str">
        <x:v>USD B</x:v>
      </x:c>
      <x:c r="F35" s="9" t="str">
        <x:v>ADDITIVE RESERVATION</x:v>
      </x:c>
      <x:c r="G35" s="9" t="str">
        <x:v>FB33</x:v>
      </x:c>
      <x:c r="H35" s="16" t="str">
        <x:v>C3-SPW-5</x:v>
      </x:c>
      <x:c r="I35" s="16" t="str"/>
      <x:c r="J35" s="9"/>
    </x:row>
    <x:row r="36">
      <x:c r="A36" s="9" t="str">
        <x:v>FB30</x:v>
      </x:c>
      <x:c r="B36" s="9" t="str">
        <x:v>Proof wave</x:v>
      </x:c>
      <x:c r="C36" s="9" t="str">
        <x:v>Proving stations</x:v>
      </x:c>
      <x:c r="D36" s="22" t="n">
        <x:v>12.9</x:v>
      </x:c>
      <x:c r="E36" s="9" t="str">
        <x:v>USD B</x:v>
      </x:c>
      <x:c r="F36" s="9" t="str">
        <x:v>ADDITIVE RESERVATION</x:v>
      </x:c>
      <x:c r="G36" s="9" t="str">
        <x:v>FB33</x:v>
      </x:c>
      <x:c r="H36" s="16" t="str">
        <x:v>C3-SPW-5</x:v>
      </x:c>
      <x:c r="I36" s="16" t="str"/>
      <x:c r="J36" s="9"/>
    </x:row>
    <x:row r="37">
      <x:c r="A37" s="9" t="str">
        <x:v>FB31</x:v>
      </x:c>
      <x:c r="B37" s="9" t="str">
        <x:v>Proof wave</x:v>
      </x:c>
      <x:c r="C37" s="9" t="str">
        <x:v>Metrology and custody</x:v>
      </x:c>
      <x:c r="D37" s="22" t="n">
        <x:v>8.6</x:v>
      </x:c>
      <x:c r="E37" s="9" t="str">
        <x:v>USD B</x:v>
      </x:c>
      <x:c r="F37" s="9" t="str">
        <x:v>ADDITIVE RESERVATION</x:v>
      </x:c>
      <x:c r="G37" s="9" t="str">
        <x:v>FB33</x:v>
      </x:c>
      <x:c r="H37" s="16" t="str">
        <x:v>C3-SPW-5</x:v>
      </x:c>
      <x:c r="I37" s="16" t="str"/>
      <x:c r="J37" s="9"/>
    </x:row>
    <x:row r="38">
      <x:c r="A38" s="9" t="str">
        <x:v>FB32</x:v>
      </x:c>
      <x:c r="B38" s="9" t="str">
        <x:v>Proof wave</x:v>
      </x:c>
      <x:c r="C38" s="9" t="str">
        <x:v>Replacement and regeneration</x:v>
      </x:c>
      <x:c r="D38" s="22" t="n">
        <x:v>4.3</x:v>
      </x:c>
      <x:c r="E38" s="9" t="str">
        <x:v>USD B</x:v>
      </x:c>
      <x:c r="F38" s="9" t="str">
        <x:v>ADDITIVE RESERVATION</x:v>
      </x:c>
      <x:c r="G38" s="9" t="str">
        <x:v>FB33</x:v>
      </x:c>
      <x:c r="H38" s="16" t="str">
        <x:v>C3-SPW-5</x:v>
      </x:c>
      <x:c r="I38" s="16" t="str"/>
      <x:c r="J38" s="9"/>
    </x:row>
    <x:row r="39">
      <x:c r="A39" s="9" t="str">
        <x:v>FB33</x:v>
      </x:c>
      <x:c r="B39" s="9" t="str">
        <x:v>Proof wave</x:v>
      </x:c>
      <x:c r="C39" s="9" t="str">
        <x:v>Proof-wave reservation</x:v>
      </x:c>
      <x:c r="D39" s="22" t="n">
        <x:f>SUM(D35:D38)</x:f>
        <x:v>43</x:v>
      </x:c>
      <x:c r="E39" s="9" t="str">
        <x:v>USD B</x:v>
      </x:c>
      <x:c r="F39" s="9" t="str">
        <x:v>FORMULA TOTAL</x:v>
      </x:c>
      <x:c r="G39" s="9" t="str">
        <x:v>FB01</x:v>
      </x:c>
      <x:c r="H39" s="16" t="str">
        <x:v>C3-SPW-5</x:v>
      </x:c>
      <x:c r="I39" s="16" t="str">
        <x:v>Cross-classified inside program</x:v>
      </x:c>
      <x:c r="J39" s="9"/>
    </x:row>
    <x:row r="40">
      <x:c r="A40" s="9" t="str">
        <x:v>FB34</x:v>
      </x:c>
      <x:c r="B40" s="9" t="str">
        <x:v>Assigned exposure</x:v>
      </x:c>
      <x:c r="C40" s="9" t="str">
        <x:v>Candidate fabrication and data</x:v>
      </x:c>
      <x:c r="D40" s="22" t="n">
        <x:v>16.3767</x:v>
      </x:c>
      <x:c r="E40" s="9" t="str">
        <x:v>USD B</x:v>
      </x:c>
      <x:c r="F40" s="9" t="str">
        <x:v>ADDITIVE EXPOSURE</x:v>
      </x:c>
      <x:c r="G40" s="9" t="str">
        <x:v>FB38</x:v>
      </x:c>
      <x:c r="H40" s="16" t="str">
        <x:v>EXR-TC</x:v>
      </x:c>
      <x:c r="I40" s="16" t="str"/>
      <x:c r="J40" s="9"/>
    </x:row>
    <x:row r="41">
      <x:c r="A41" s="9" t="str">
        <x:v>FB35</x:v>
      </x:c>
      <x:c r="B41" s="9" t="str">
        <x:v>Assigned exposure</x:v>
      </x:c>
      <x:c r="C41" s="9" t="str">
        <x:v>Proving</x:v>
      </x:c>
      <x:c r="D41" s="22" t="n">
        <x:v>5.3</x:v>
      </x:c>
      <x:c r="E41" s="9" t="str">
        <x:v>USD B</x:v>
      </x:c>
      <x:c r="F41" s="9" t="str">
        <x:v>ADDITIVE EXPOSURE</x:v>
      </x:c>
      <x:c r="G41" s="9" t="str">
        <x:v>FB38</x:v>
      </x:c>
      <x:c r="H41" s="16" t="str">
        <x:v>EXR-TC</x:v>
      </x:c>
      <x:c r="I41" s="16" t="str"/>
      <x:c r="J41" s="9"/>
    </x:row>
    <x:row r="42">
      <x:c r="A42" s="9" t="str">
        <x:v>FB36</x:v>
      </x:c>
      <x:c r="B42" s="9" t="str">
        <x:v>Assigned exposure</x:v>
      </x:c>
      <x:c r="C42" s="9" t="str">
        <x:v>Metrology and custody</x:v>
      </x:c>
      <x:c r="D42" s="22" t="n">
        <x:v>2.15</x:v>
      </x:c>
      <x:c r="E42" s="9" t="str">
        <x:v>USD B</x:v>
      </x:c>
      <x:c r="F42" s="9" t="str">
        <x:v>ADDITIVE EXPOSURE</x:v>
      </x:c>
      <x:c r="G42" s="9" t="str">
        <x:v>FB38</x:v>
      </x:c>
      <x:c r="H42" s="16" t="str">
        <x:v>EXR-TC</x:v>
      </x:c>
      <x:c r="I42" s="16" t="str"/>
      <x:c r="J42" s="9"/>
    </x:row>
    <x:row r="43">
      <x:c r="A43" s="9" t="str">
        <x:v>FB37</x:v>
      </x:c>
      <x:c r="B43" s="9" t="str">
        <x:v>Assigned exposure</x:v>
      </x:c>
      <x:c r="C43" s="9" t="str">
        <x:v>Replacement and regeneration</x:v>
      </x:c>
      <x:c r="D43" s="22" t="n">
        <x:v>1.21333</x:v>
      </x:c>
      <x:c r="E43" s="9" t="str">
        <x:v>USD B</x:v>
      </x:c>
      <x:c r="F43" s="9" t="str">
        <x:v>ADDITIVE EXPOSURE</x:v>
      </x:c>
      <x:c r="G43" s="9" t="str">
        <x:v>FB38</x:v>
      </x:c>
      <x:c r="H43" s="16" t="str">
        <x:v>EXR-TC</x:v>
      </x:c>
      <x:c r="I43" s="16" t="str"/>
      <x:c r="J43" s="9"/>
    </x:row>
    <x:row r="44">
      <x:c r="A44" s="9" t="str">
        <x:v>FB38</x:v>
      </x:c>
      <x:c r="B44" s="9" t="str">
        <x:v>Assigned exposure</x:v>
      </x:c>
      <x:c r="C44" s="9" t="str">
        <x:v>Cohort assigned exposure</x:v>
      </x:c>
      <x:c r="D44" s="22" t="n">
        <x:f>SUM(D40:D43)</x:f>
        <x:v>25.040029999999998</x:v>
      </x:c>
      <x:c r="E44" s="9" t="str">
        <x:v>USD B</x:v>
      </x:c>
      <x:c r="F44" s="9" t="str">
        <x:v>FORMULA TOTAL</x:v>
      </x:c>
      <x:c r="G44" s="9" t="str">
        <x:v>FB33</x:v>
      </x:c>
      <x:c r="H44" s="16" t="str">
        <x:v>EXR-TC</x:v>
      </x:c>
      <x:c r="I44" s="16" t="str">
        <x:v>Rounded USD25.0B</x:v>
      </x:c>
      <x:c r="J44" s="9"/>
    </x:row>
    <x:row r="45">
      <x:c r="A45" s="9" t="str">
        <x:v>FB39</x:v>
      </x:c>
      <x:c r="B45" s="9" t="str">
        <x:v>Assigned exposure</x:v>
      </x:c>
      <x:c r="C45" s="9" t="str">
        <x:v>Proof-wave headroom</x:v>
      </x:c>
      <x:c r="D45" s="22" t="n">
        <x:f>D39-D44</x:f>
        <x:v>17.959970000000002</x:v>
      </x:c>
      <x:c r="E45" s="9" t="str">
        <x:v>USD B</x:v>
      </x:c>
      <x:c r="F45" s="9" t="str">
        <x:v>FORMULA RESIDUAL</x:v>
      </x:c>
      <x:c r="G45" s="9" t="str">
        <x:v>FB33</x:v>
      </x:c>
      <x:c r="H45" s="16" t="str">
        <x:v>EXR-TC</x:v>
      </x:c>
      <x:c r="I45" s="16" t="str">
        <x:v>Reservation less exposure</x:v>
      </x:c>
      <x:c r="J45" s="9"/>
    </x:row>
  </x:sheetData>
  <x:conditionalFormatting sqref="F7:F45">
    <x:cfRule type="containsText" dxfId="39" priority="1" operator="containsText" text="OPEN"/>
    <x:cfRule type="containsText" dxfId="40" priority="2" operator="containsText" text="PARTIAL"/>
    <x:cfRule type="containsText" dxfId="41" priority="3" operator="containsText" text="HOLD"/>
    <x:cfRule type="containsText" dxfId="42" priority="4" operator="containsText" text="RETIRE"/>
    <x:cfRule type="containsText" dxfId="43" priority="5" operator="containsText" text="UNRESOLVED"/>
    <x:cfRule type="containsText" dxfId="44" priority="6" operator="containsText" text="FAIL"/>
    <x:cfRule type="containsText" dxfId="45" priority="7" operator="containsText" text="PROHIBITED"/>
    <x:cfRule type="containsText" dxfId="46" priority="8" operator="containsText" text="CONTRADICTION"/>
    <x:cfRule type="containsText" dxfId="47" priority="9" operator="containsText" text="PASS"/>
    <x:cfRule type="containsText" dxfId="48" priority="10" operator="containsText" text="CLOSED"/>
    <x:cfRule type="containsText" dxfId="49" priority="11" operator="containsText" text="CONTROLLING"/>
    <x:cfRule type="containsText" dxfId="50" priority="12" operator="containsText" text="RECONCILED"/>
    <x:cfRule type="containsText" dxfId="51" priority="13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6d1bea50266245ad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40" hidden="0" customWidth="1"/>
    <x:col min="4" max="4" width="18" hidden="0" customWidth="1"/>
    <x:col min="5" max="5" width="24" hidden="0" customWidth="1"/>
    <x:col min="6" max="6" width="24" hidden="0" customWidth="1"/>
    <x:col min="7" max="7" width="12" hidden="0" customWidth="1"/>
    <x:col min="8" max="8" width="22" hidden="0" customWidth="1"/>
    <x:col min="9" max="9" width="42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</x:row>
    <x:row r="2">
      <x:c r="A2" s="27" t="str">
        <x:v>Force, readiness, workforce and capital reconciliation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</x:row>
    <x:row r="6" ht="34" customHeight="1">
      <x:c r="A6" s="31" t="str">
        <x:v>Record</x:v>
      </x:c>
      <x:c r="B6" s="31" t="str">
        <x:v>Ledger</x:v>
      </x:c>
      <x:c r="C6" s="31" t="str">
        <x:v>Item</x:v>
      </x:c>
      <x:c r="D6" s="31" t="str">
        <x:v>Value</x:v>
      </x:c>
      <x:c r="E6" s="31" t="str">
        <x:v>Unit</x:v>
      </x:c>
      <x:c r="F6" s="31" t="str">
        <x:v>Treatment</x:v>
      </x:c>
      <x:c r="G6" s="31" t="str">
        <x:v>Parent</x:v>
      </x:c>
      <x:c r="H6" s="31" t="str">
        <x:v>Internal source</x:v>
      </x:c>
      <x:c r="I6" s="31" t="str">
        <x:v>Interpretation</x:v>
      </x:c>
      <x:c r="J6" s="9"/>
    </x:row>
    <x:row r="7">
      <x:c r="A7" s="9" t="str">
        <x:v>FR01</x:v>
      </x:c>
      <x:c r="B7" s="9" t="str">
        <x:v>Force inventory</x:v>
      </x:c>
      <x:c r="C7" s="9" t="str">
        <x:v>Concurrent commitments</x:v>
      </x:c>
      <x:c r="D7" s="22" t="n">
        <x:v>2420</x:v>
      </x:c>
      <x:c r="E7" s="9" t="str">
        <x:v>formation equivalents</x:v>
      </x:c>
      <x:c r="F7" s="9" t="str">
        <x:v>ADDITIVE COMPONENT</x:v>
      </x:c>
      <x:c r="G7" s="9" t="str">
        <x:v>FR05</x:v>
      </x:c>
      <x:c r="H7" s="16" t="str">
        <x:v>NIFS-1</x:v>
      </x:c>
      <x:c r="I7" s="16" t="str">
        <x:v>Demand stock</x:v>
      </x:c>
      <x:c r="J7" s="9"/>
    </x:row>
    <x:row r="8">
      <x:c r="A8" s="9" t="str">
        <x:v>FR02</x:v>
      </x:c>
      <x:c r="B8" s="9" t="str">
        <x:v>Force inventory</x:v>
      </x:c>
      <x:c r="C8" s="9" t="str">
        <x:v>Protected reserve</x:v>
      </x:c>
      <x:c r="D8" s="22" t="n">
        <x:v>502</x:v>
      </x:c>
      <x:c r="E8" s="9" t="str">
        <x:v>formation equivalents</x:v>
      </x:c>
      <x:c r="F8" s="9" t="str">
        <x:v>ADDITIVE COMPONENT</x:v>
      </x:c>
      <x:c r="G8" s="9" t="str">
        <x:v>FR05</x:v>
      </x:c>
      <x:c r="H8" s="16" t="str">
        <x:v>DCA-5</x:v>
      </x:c>
      <x:c r="I8" s="16" t="str">
        <x:v>Reserve stock</x:v>
      </x:c>
      <x:c r="J8" s="9"/>
    </x:row>
    <x:row r="9">
      <x:c r="A9" s="9" t="str">
        <x:v>FR03</x:v>
      </x:c>
      <x:c r="B9" s="9" t="str">
        <x:v>Force inventory</x:v>
      </x:c>
      <x:c r="C9" s="9" t="str">
        <x:v>Geographic buffer</x:v>
      </x:c>
      <x:c r="D9" s="22" t="n">
        <x:v>745</x:v>
      </x:c>
      <x:c r="E9" s="9" t="str">
        <x:v>formation equivalents</x:v>
      </x:c>
      <x:c r="F9" s="9" t="str">
        <x:v>ADDITIVE COMPONENT</x:v>
      </x:c>
      <x:c r="G9" s="9" t="str">
        <x:v>FR05</x:v>
      </x:c>
      <x:c r="H9" s="16" t="str">
        <x:v>DCA-5</x:v>
      </x:c>
      <x:c r="I9" s="16" t="str">
        <x:v>N−1 stock</x:v>
      </x:c>
      <x:c r="J9" s="9"/>
    </x:row>
    <x:row r="10">
      <x:c r="A10" s="9" t="str">
        <x:v>FR04</x:v>
      </x:c>
      <x:c r="B10" s="9" t="str">
        <x:v>Force inventory</x:v>
      </x:c>
      <x:c r="C10" s="9" t="str">
        <x:v>Requalification and maintenance</x:v>
      </x:c>
      <x:c r="D10" s="22" t="n">
        <x:v>1584</x:v>
      </x:c>
      <x:c r="E10" s="9" t="str">
        <x:v>formation equivalents</x:v>
      </x:c>
      <x:c r="F10" s="9" t="str">
        <x:v>ADDITIVE COMPONENT</x:v>
      </x:c>
      <x:c r="G10" s="9" t="str">
        <x:v>FR05</x:v>
      </x:c>
      <x:c r="H10" s="16" t="str">
        <x:v>DCA-5</x:v>
      </x:c>
      <x:c r="I10" s="16" t="str">
        <x:v>Cycle stock</x:v>
      </x:c>
      <x:c r="J10" s="9"/>
    </x:row>
    <x:row r="11">
      <x:c r="A11" s="9" t="str">
        <x:v>FR05</x:v>
      </x:c>
      <x:c r="B11" s="9" t="str">
        <x:v>Force inventory</x:v>
      </x:c>
      <x:c r="C11" s="9" t="str">
        <x:v>Owned inventory</x:v>
      </x:c>
      <x:c r="D11" s="22" t="n">
        <x:f>SUM(D7:D10)</x:f>
        <x:v>5251</x:v>
      </x:c>
      <x:c r="E11" s="9" t="str">
        <x:v>formation equivalents</x:v>
      </x:c>
      <x:c r="F11" s="9" t="str">
        <x:v>FORMULA TOTAL</x:v>
      </x:c>
      <x:c r="G11" s="9" t="str"/>
      <x:c r="H11" s="16" t="str">
        <x:v>NIFS-1</x:v>
      </x:c>
      <x:c r="I11" s="16" t="str">
        <x:v>5,251 selected</x:v>
      </x:c>
      <x:c r="J11" s="9"/>
    </x:row>
    <x:row r="12">
      <x:c r="A12" s="9" t="str">
        <x:v>FR06</x:v>
      </x:c>
      <x:c r="B12" s="9" t="str">
        <x:v>Ready subset</x:v>
      </x:c>
      <x:c r="C12" s="9" t="str">
        <x:v>Commitments</x:v>
      </x:c>
      <x:c r="D12" s="22" t="n">
        <x:v>2420</x:v>
      </x:c>
      <x:c r="E12" s="9" t="str">
        <x:v>formation equivalents</x:v>
      </x:c>
      <x:c r="F12" s="9" t="str">
        <x:v>ADDITIVE COMPONENT</x:v>
      </x:c>
      <x:c r="G12" s="9" t="str">
        <x:v>FR09</x:v>
      </x:c>
      <x:c r="H12" s="16" t="str">
        <x:v>DCA-5</x:v>
      </x:c>
      <x:c r="I12" s="16" t="str"/>
      <x:c r="J12" s="9"/>
    </x:row>
    <x:row r="13">
      <x:c r="A13" s="9" t="str">
        <x:v>FR07</x:v>
      </x:c>
      <x:c r="B13" s="9" t="str">
        <x:v>Ready subset</x:v>
      </x:c>
      <x:c r="C13" s="9" t="str">
        <x:v>Protected reserve</x:v>
      </x:c>
      <x:c r="D13" s="22" t="n">
        <x:v>502</x:v>
      </x:c>
      <x:c r="E13" s="9" t="str">
        <x:v>formation equivalents</x:v>
      </x:c>
      <x:c r="F13" s="9" t="str">
        <x:v>ADDITIVE COMPONENT</x:v>
      </x:c>
      <x:c r="G13" s="9" t="str">
        <x:v>FR09</x:v>
      </x:c>
      <x:c r="H13" s="16" t="str">
        <x:v>DCA-5</x:v>
      </x:c>
      <x:c r="I13" s="16" t="str"/>
      <x:c r="J13" s="9"/>
    </x:row>
    <x:row r="14">
      <x:c r="A14" s="9" t="str">
        <x:v>FR08</x:v>
      </x:c>
      <x:c r="B14" s="9" t="str">
        <x:v>Ready subset</x:v>
      </x:c>
      <x:c r="C14" s="9" t="str">
        <x:v>Geographic buffer</x:v>
      </x:c>
      <x:c r="D14" s="22" t="n">
        <x:v>745</x:v>
      </x:c>
      <x:c r="E14" s="9" t="str">
        <x:v>formation equivalents</x:v>
      </x:c>
      <x:c r="F14" s="9" t="str">
        <x:v>ADDITIVE COMPONENT</x:v>
      </x:c>
      <x:c r="G14" s="9" t="str">
        <x:v>FR09</x:v>
      </x:c>
      <x:c r="H14" s="16" t="str">
        <x:v>DCA-5</x:v>
      </x:c>
      <x:c r="I14" s="16" t="str"/>
      <x:c r="J14" s="9"/>
    </x:row>
    <x:row r="15">
      <x:c r="A15" s="9" t="str">
        <x:v>FR09</x:v>
      </x:c>
      <x:c r="B15" s="9" t="str">
        <x:v>Ready subset</x:v>
      </x:c>
      <x:c r="C15" s="9" t="str">
        <x:v>Ready serials</x:v>
      </x:c>
      <x:c r="D15" s="22" t="n">
        <x:f>SUM(D12:D14)</x:f>
        <x:v>3667</x:v>
      </x:c>
      <x:c r="E15" s="9" t="str">
        <x:v>formation equivalents</x:v>
      </x:c>
      <x:c r="F15" s="9" t="str">
        <x:v>FORMULA TOTAL</x:v>
      </x:c>
      <x:c r="G15" s="9" t="str">
        <x:v>FR05</x:v>
      </x:c>
      <x:c r="H15" s="16" t="str">
        <x:v>DCA-5</x:v>
      </x:c>
      <x:c r="I15" s="16" t="str">
        <x:v>Excludes cycle stock</x:v>
      </x:c>
      <x:c r="J15" s="9"/>
    </x:row>
    <x:row r="16">
      <x:c r="A16" s="9" t="str">
        <x:v>FR10</x:v>
      </x:c>
      <x:c r="B16" s="9" t="str">
        <x:v>Commitment split</x:v>
      </x:c>
      <x:c r="C16" s="9" t="str">
        <x:v>Domestic commitments</x:v>
      </x:c>
      <x:c r="D16" s="22" t="n">
        <x:v>1745</x:v>
      </x:c>
      <x:c r="E16" s="9" t="str">
        <x:v>formation equivalents</x:v>
      </x:c>
      <x:c r="F16" s="9" t="str">
        <x:v>ADDITIVE COMPONENT</x:v>
      </x:c>
      <x:c r="G16" s="9" t="str">
        <x:v>FR12</x:v>
      </x:c>
      <x:c r="H16" s="16" t="str">
        <x:v>DCA-5</x:v>
      </x:c>
      <x:c r="I16" s="16" t="str"/>
      <x:c r="J16" s="9"/>
    </x:row>
    <x:row r="17">
      <x:c r="A17" s="9" t="str">
        <x:v>FR11</x:v>
      </x:c>
      <x:c r="B17" s="9" t="str">
        <x:v>Commitment split</x:v>
      </x:c>
      <x:c r="C17" s="9" t="str">
        <x:v>Invited commitments</x:v>
      </x:c>
      <x:c r="D17" s="22" t="n">
        <x:v>675</x:v>
      </x:c>
      <x:c r="E17" s="9" t="str">
        <x:v>formation equivalents</x:v>
      </x:c>
      <x:c r="F17" s="9" t="str">
        <x:v>ADDITIVE COMPONENT</x:v>
      </x:c>
      <x:c r="G17" s="9" t="str">
        <x:v>FR12</x:v>
      </x:c>
      <x:c r="H17" s="16" t="str">
        <x:v>DCA-5</x:v>
      </x:c>
      <x:c r="I17" s="16" t="str">
        <x:v>Non-recallable</x:v>
      </x:c>
      <x:c r="J17" s="9"/>
    </x:row>
    <x:row r="18">
      <x:c r="A18" s="9" t="str">
        <x:v>FR12</x:v>
      </x:c>
      <x:c r="B18" s="9" t="str">
        <x:v>Commitment split</x:v>
      </x:c>
      <x:c r="C18" s="9" t="str">
        <x:v>Concurrent commitments</x:v>
      </x:c>
      <x:c r="D18" s="22" t="n">
        <x:f>SUM(D16:D17)</x:f>
        <x:v>2420</x:v>
      </x:c>
      <x:c r="E18" s="9" t="str">
        <x:v>formation equivalents</x:v>
      </x:c>
      <x:c r="F18" s="9" t="str">
        <x:v>FORMULA TOTAL</x:v>
      </x:c>
      <x:c r="G18" s="9" t="str">
        <x:v>FR01</x:v>
      </x:c>
      <x:c r="H18" s="16" t="str">
        <x:v>DCA-5</x:v>
      </x:c>
      <x:c r="I18" s="16" t="str">
        <x:v>Same 2,420</x:v>
      </x:c>
      <x:c r="J18" s="9"/>
    </x:row>
    <x:row r="19">
      <x:c r="A19" s="9" t="str">
        <x:v>FR13</x:v>
      </x:c>
      <x:c r="B19" s="9" t="str">
        <x:v>Affiliation status</x:v>
      </x:c>
      <x:c r="C19" s="9" t="str">
        <x:v>National career</x:v>
      </x:c>
      <x:c r="D19" s="22" t="n">
        <x:v>5.57</x:v>
      </x:c>
      <x:c r="E19" s="9" t="str">
        <x:v>million positions</x:v>
      </x:c>
      <x:c r="F19" s="9" t="str">
        <x:v>ADDITIVE COMPONENT</x:v>
      </x:c>
      <x:c r="G19" s="9" t="str">
        <x:v>FR18</x:v>
      </x:c>
      <x:c r="H19" s="16" t="str">
        <x:v>DCA-5</x:v>
      </x:c>
      <x:c r="I19" s="16" t="str"/>
      <x:c r="J19" s="9"/>
    </x:row>
    <x:row r="20">
      <x:c r="A20" s="9" t="str">
        <x:v>FR14</x:v>
      </x:c>
      <x:c r="B20" s="9" t="str">
        <x:v>Affiliation status</x:v>
      </x:c>
      <x:c r="C20" s="9" t="str">
        <x:v>Ready reserve</x:v>
      </x:c>
      <x:c r="D20" s="22" t="n">
        <x:v>2.94</x:v>
      </x:c>
      <x:c r="E20" s="9" t="str">
        <x:v>million positions</x:v>
      </x:c>
      <x:c r="F20" s="9" t="str">
        <x:v>ADDITIVE COMPONENT</x:v>
      </x:c>
      <x:c r="G20" s="9" t="str">
        <x:v>FR18</x:v>
      </x:c>
      <x:c r="H20" s="16" t="str">
        <x:v>DCA-5</x:v>
      </x:c>
      <x:c r="I20" s="16" t="str"/>
      <x:c r="J20" s="9"/>
    </x:row>
    <x:row r="21">
      <x:c r="A21" s="9" t="str">
        <x:v>FR15</x:v>
      </x:c>
      <x:c r="B21" s="9" t="str">
        <x:v>Affiliation status</x:v>
      </x:c>
      <x:c r="C21" s="9" t="str">
        <x:v>Sovereign covenant</x:v>
      </x:c>
      <x:c r="D21" s="22" t="n">
        <x:v>2.43</x:v>
      </x:c>
      <x:c r="E21" s="9" t="str">
        <x:v>million positions</x:v>
      </x:c>
      <x:c r="F21" s="9" t="str">
        <x:v>ADDITIVE COMPONENT</x:v>
      </x:c>
      <x:c r="G21" s="9" t="str">
        <x:v>FR18</x:v>
      </x:c>
      <x:c r="H21" s="16" t="str">
        <x:v>DCA-5</x:v>
      </x:c>
      <x:c r="I21" s="16" t="str"/>
      <x:c r="J21" s="9"/>
    </x:row>
    <x:row r="22">
      <x:c r="A22" s="9" t="str">
        <x:v>FR16</x:v>
      </x:c>
      <x:c r="B22" s="9" t="str">
        <x:v>Affiliation status</x:v>
      </x:c>
      <x:c r="C22" s="9" t="str">
        <x:v>Productive service</x:v>
      </x:c>
      <x:c r="D22" s="22" t="n">
        <x:v>2.07</x:v>
      </x:c>
      <x:c r="E22" s="9" t="str">
        <x:v>million positions</x:v>
      </x:c>
      <x:c r="F22" s="9" t="str">
        <x:v>ADDITIVE COMPONENT</x:v>
      </x:c>
      <x:c r="G22" s="9" t="str">
        <x:v>FR18</x:v>
      </x:c>
      <x:c r="H22" s="16" t="str">
        <x:v>DCA-5</x:v>
      </x:c>
      <x:c r="I22" s="16" t="str"/>
      <x:c r="J22" s="9"/>
    </x:row>
    <x:row r="23">
      <x:c r="A23" s="9" t="str">
        <x:v>FR17</x:v>
      </x:c>
      <x:c r="B23" s="9" t="str">
        <x:v>Affiliation status</x:v>
      </x:c>
      <x:c r="C23" s="9" t="str">
        <x:v>Partner fellows</x:v>
      </x:c>
      <x:c r="D23" s="22" t="n">
        <x:v>0.0207</x:v>
      </x:c>
      <x:c r="E23" s="9" t="str">
        <x:v>million positions</x:v>
      </x:c>
      <x:c r="F23" s="9" t="str">
        <x:v>ADDITIVE COMPONENT</x:v>
      </x:c>
      <x:c r="G23" s="9" t="str">
        <x:v>FR18</x:v>
      </x:c>
      <x:c r="H23" s="16" t="str">
        <x:v>DCA-5</x:v>
      </x:c>
      <x:c r="I23" s="16" t="str">
        <x:v>20,700 positions</x:v>
      </x:c>
      <x:c r="J23" s="9"/>
    </x:row>
    <x:row r="24">
      <x:c r="A24" s="9" t="str">
        <x:v>FR18</x:v>
      </x:c>
      <x:c r="B24" s="9" t="str">
        <x:v>Affiliation status</x:v>
      </x:c>
      <x:c r="C24" s="9" t="str">
        <x:v>Affiliated establishment</x:v>
      </x:c>
      <x:c r="D24" s="22" t="n">
        <x:f>SUM(D19:D23)</x:f>
        <x:v>13.0307</x:v>
      </x:c>
      <x:c r="E24" s="9" t="str">
        <x:v>million positions</x:v>
      </x:c>
      <x:c r="F24" s="9" t="str">
        <x:v>FORMULA TOTAL</x:v>
      </x:c>
      <x:c r="G24" s="9" t="str"/>
      <x:c r="H24" s="16" t="str">
        <x:v>DCA-5</x:v>
      </x:c>
      <x:c r="I24" s="16" t="str">
        <x:v>Rounds to 13.0M</x:v>
      </x:c>
      <x:c r="J24" s="9"/>
    </x:row>
    <x:row r="25">
      <x:c r="A25" s="9" t="str">
        <x:v>FR19</x:v>
      </x:c>
      <x:c r="B25" s="9" t="str">
        <x:v>Capital build</x:v>
      </x:c>
      <x:c r="C25" s="9" t="str">
        <x:v>Formation capital</x:v>
      </x:c>
      <x:c r="D25" s="22" t="n">
        <x:v>9.41</x:v>
      </x:c>
      <x:c r="E25" s="9" t="str">
        <x:v>USD T</x:v>
      </x:c>
      <x:c r="F25" s="9" t="str">
        <x:v>ADDITIVE COMPONENT</x:v>
      </x:c>
      <x:c r="G25" s="9" t="str">
        <x:v>FR21</x:v>
      </x:c>
      <x:c r="H25" s="16" t="str">
        <x:v>NIFS-1</x:v>
      </x:c>
      <x:c r="I25" s="16" t="str"/>
      <x:c r="J25" s="9"/>
    </x:row>
    <x:row r="26">
      <x:c r="A26" s="9" t="str">
        <x:v>FR20</x:v>
      </x:c>
      <x:c r="B26" s="9" t="str">
        <x:v>Capital build</x:v>
      </x:c>
      <x:c r="C26" s="9" t="str">
        <x:v>Common capital</x:v>
      </x:c>
      <x:c r="D26" s="22" t="n">
        <x:v>5.1</x:v>
      </x:c>
      <x:c r="E26" s="9" t="str">
        <x:v>USD T</x:v>
      </x:c>
      <x:c r="F26" s="9" t="str">
        <x:v>ADDITIVE COMPONENT</x:v>
      </x:c>
      <x:c r="G26" s="9" t="str">
        <x:v>FR21</x:v>
      </x:c>
      <x:c r="H26" s="16" t="str">
        <x:v>NIFS-1</x:v>
      </x:c>
      <x:c r="I26" s="16" t="str">
        <x:v>Held once</x:v>
      </x:c>
      <x:c r="J26" s="9"/>
    </x:row>
    <x:row r="27">
      <x:c r="A27" s="9" t="str">
        <x:v>FR21</x:v>
      </x:c>
      <x:c r="B27" s="9" t="str">
        <x:v>Capital build</x:v>
      </x:c>
      <x:c r="C27" s="9" t="str">
        <x:v>Pre-reserve capital</x:v>
      </x:c>
      <x:c r="D27" s="22" t="n">
        <x:f>SUM(D25:D26)</x:f>
        <x:v>14.51</x:v>
      </x:c>
      <x:c r="E27" s="9" t="str">
        <x:v>USD T</x:v>
      </x:c>
      <x:c r="F27" s="9" t="str">
        <x:v>FORMULA TOTAL</x:v>
      </x:c>
      <x:c r="G27" s="9" t="str">
        <x:v>FR23</x:v>
      </x:c>
      <x:c r="H27" s="16" t="str">
        <x:v>NIFS-1</x:v>
      </x:c>
      <x:c r="I27" s="16" t="str"/>
      <x:c r="J27" s="9"/>
    </x:row>
    <x:row r="28">
      <x:c r="A28" s="9" t="str">
        <x:v>FR22</x:v>
      </x:c>
      <x:c r="B28" s="9" t="str">
        <x:v>Capital build</x:v>
      </x:c>
      <x:c r="C28" s="9" t="str">
        <x:v>Program reserve factor</x:v>
      </x:c>
      <x:c r="D28" s="23" t="n">
        <x:v>0.2</x:v>
      </x:c>
      <x:c r="E28" s="9" t="str">
        <x:v>share</x:v>
      </x:c>
      <x:c r="F28" s="9" t="str">
        <x:v>DRIVER</x:v>
      </x:c>
      <x:c r="G28" s="9" t="str">
        <x:v>FR23</x:v>
      </x:c>
      <x:c r="H28" s="16" t="str">
        <x:v>NIFS-1</x:v>
      </x:c>
      <x:c r="I28" s="16" t="str"/>
      <x:c r="J28" s="9"/>
    </x:row>
    <x:row r="29">
      <x:c r="A29" s="9" t="str">
        <x:v>FR23</x:v>
      </x:c>
      <x:c r="B29" s="9" t="str">
        <x:v>Capital build</x:v>
      </x:c>
      <x:c r="C29" s="9" t="str">
        <x:v>Capital with reserve</x:v>
      </x:c>
      <x:c r="D29" s="22" t="n">
        <x:f>D27*(1+D28)</x:f>
        <x:v>17.412</x:v>
      </x:c>
      <x:c r="E29" s="9" t="str">
        <x:v>USD T</x:v>
      </x:c>
      <x:c r="F29" s="9" t="str">
        <x:v>FORMULA TOTAL</x:v>
      </x:c>
      <x:c r="G29" s="9" t="str"/>
      <x:c r="H29" s="16" t="str">
        <x:v>NIFS-1</x:v>
      </x:c>
      <x:c r="I29" s="16" t="str">
        <x:v>Rounds to USD17.4T</x:v>
      </x:c>
      <x:c r="J29" s="9"/>
    </x:row>
    <x:row r="30">
      <x:c r="A30" s="9" t="str">
        <x:v>FR24</x:v>
      </x:c>
      <x:c r="B30" s="9" t="str">
        <x:v>Historical</x:v>
      </x:c>
      <x:c r="C30" s="9" t="str">
        <x:v>No-loss affiliation predecessor</x:v>
      </x:c>
      <x:c r="D30" s="22" t="n">
        <x:v>10.484</x:v>
      </x:c>
      <x:c r="E30" s="9" t="str">
        <x:v>million positions</x:v>
      </x:c>
      <x:c r="F30" s="9" t="str">
        <x:v>SUPERSEDED</x:v>
      </x:c>
      <x:c r="G30" s="9" t="str">
        <x:v>FR18</x:v>
      </x:c>
      <x:c r="H30" s="16" t="str">
        <x:v>Pass 58</x:v>
      </x:c>
      <x:c r="I30" s="16" t="str">
        <x:v>Lineage only</x:v>
      </x:c>
      <x:c r="J30" s="9"/>
    </x:row>
    <x:row r="31">
      <x:c r="A31" s="9" t="str">
        <x:v>FR25</x:v>
      </x:c>
      <x:c r="B31" s="9" t="str">
        <x:v>Historical</x:v>
      </x:c>
      <x:c r="C31" s="9" t="str">
        <x:v>No-loss capital predecessor</x:v>
      </x:c>
      <x:c r="D31" s="22" t="n">
        <x:v>15.179</x:v>
      </x:c>
      <x:c r="E31" s="9" t="str">
        <x:v>USD T</x:v>
      </x:c>
      <x:c r="F31" s="9" t="str">
        <x:v>SUPERSEDED</x:v>
      </x:c>
      <x:c r="G31" s="9" t="str">
        <x:v>FR23</x:v>
      </x:c>
      <x:c r="H31" s="16" t="str">
        <x:v>Pass 58</x:v>
      </x:c>
      <x:c r="I31" s="16" t="str">
        <x:v>Lineage only</x:v>
      </x:c>
      <x:c r="J31" s="9"/>
    </x:row>
    <x:row r="32">
      <x:c r="A32" s="9" t="str">
        <x:v>FR26</x:v>
      </x:c>
      <x:c r="B32" s="9" t="str">
        <x:v>Historical</x:v>
      </x:c>
      <x:c r="C32" s="9" t="str">
        <x:v>No-loss annual operations</x:v>
      </x:c>
      <x:c r="D32" s="22" t="n">
        <x:v>1.736</x:v>
      </x:c>
      <x:c r="E32" s="9" t="str">
        <x:v>USD T/year</x:v>
      </x:c>
      <x:c r="F32" s="9" t="str">
        <x:v>SUPERSEDED</x:v>
      </x:c>
      <x:c r="G32" s="9" t="str"/>
      <x:c r="H32" s="16" t="str">
        <x:v>Pass 58</x:v>
      </x:c>
      <x:c r="I32" s="16" t="str">
        <x:v>Lineage only</x:v>
      </x:c>
      <x:c r="J32" s="9"/>
    </x:row>
  </x:sheetData>
  <x:conditionalFormatting sqref="F7:F32">
    <x:cfRule type="containsText" dxfId="52" priority="1" operator="containsText" text="OPEN"/>
    <x:cfRule type="containsText" dxfId="53" priority="2" operator="containsText" text="PARTIAL"/>
    <x:cfRule type="containsText" dxfId="54" priority="3" operator="containsText" text="HOLD"/>
    <x:cfRule type="containsText" dxfId="55" priority="4" operator="containsText" text="RETIRE"/>
    <x:cfRule type="containsText" dxfId="56" priority="5" operator="containsText" text="UNRESOLVED"/>
    <x:cfRule type="containsText" dxfId="57" priority="6" operator="containsText" text="FAIL"/>
    <x:cfRule type="containsText" dxfId="58" priority="7" operator="containsText" text="PROHIBITED"/>
    <x:cfRule type="containsText" dxfId="59" priority="8" operator="containsText" text="CONTRADICTION"/>
    <x:cfRule type="containsText" dxfId="60" priority="9" operator="containsText" text="PASS"/>
    <x:cfRule type="containsText" dxfId="61" priority="10" operator="containsText" text="CLOSED"/>
    <x:cfRule type="containsText" dxfId="62" priority="11" operator="containsText" text="CONTROLLING"/>
    <x:cfRule type="containsText" dxfId="63" priority="12" operator="containsText" text="RECONCILED"/>
    <x:cfRule type="containsText" dxfId="64" priority="13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00d1536681a245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42" hidden="0" customWidth="1"/>
    <x:col min="4" max="4" width="20" hidden="0" customWidth="1"/>
    <x:col min="5" max="5" width="14" hidden="0" customWidth="1"/>
    <x:col min="6" max="6" width="14" hidden="0" customWidth="1"/>
    <x:col min="7" max="7" width="9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</x:row>
    <x:row r="2">
      <x:c r="A2" s="27" t="str">
        <x:v>Publication gates closed by SYN-2</x:v>
      </x:c>
      <x:c r="B2" s="10"/>
      <x:c r="C2" s="10"/>
      <x:c r="D2" s="10"/>
      <x:c r="E2" s="10"/>
      <x:c r="F2" s="10"/>
      <x:c r="G2" s="10"/>
      <x:c r="H2" s="10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9"/>
      <x:c r="B5" s="9"/>
      <x:c r="C5" s="9"/>
      <x:c r="D5" s="9"/>
      <x:c r="E5" s="9"/>
      <x:c r="F5" s="9"/>
      <x:c r="G5" s="9"/>
      <x:c r="H5" s="9"/>
    </x:row>
    <x:row r="6" ht="34" customHeight="1">
      <x:c r="A6" s="31" t="str">
        <x:v>Gate</x:v>
      </x:c>
      <x:c r="B6" s="31" t="str">
        <x:v>Chapter</x:v>
      </x:c>
      <x:c r="C6" s="31" t="str">
        <x:v>Final chapter</x:v>
      </x:c>
      <x:c r="D6" s="31" t="str">
        <x:v>Gate class</x:v>
      </x:c>
      <x:c r="E6" s="31" t="str">
        <x:v>Prior</x:v>
      </x:c>
      <x:c r="F6" s="31" t="str">
        <x:v>Current</x:v>
      </x:c>
      <x:c r="G6" s="31" t="str">
        <x:v>Closure basis</x:v>
      </x:c>
      <x:c r="H6" s="9"/>
    </x:row>
    <x:row r="7">
      <x:c r="A7" s="9" t="str">
        <x:v>CH06-G3</x:v>
      </x:c>
      <x:c r="B7" s="9" t="str">
        <x:v>CH06</x:v>
      </x:c>
      <x:c r="C7" s="16" t="str">
        <x:v>International projection and partnership</x:v>
      </x:c>
      <x:c r="D7" s="16" t="str">
        <x:v>Quantification</x:v>
      </x:c>
      <x:c r="E7" s="16" t="str">
        <x:v>OPEN</x:v>
      </x:c>
      <x:c r="F7" s="16" t="str">
        <x:v>CLOSED</x:v>
      </x:c>
      <x:c r="G7" s="16" t="str">
        <x:v>Two campaigns, 675 commitments and 1,350 corridor claims retain distinct denominators.</x:v>
      </x:c>
      <x:c r="H7" s="9"/>
    </x:row>
    <x:row r="8">
      <x:c r="A8" s="9" t="str">
        <x:v>CH06-G4</x:v>
      </x:c>
      <x:c r="B8" s="9" t="str">
        <x:v>CH06</x:v>
      </x:c>
      <x:c r="C8" s="16" t="str">
        <x:v>International projection and partnership</x:v>
      </x:c>
      <x:c r="D8" s="16" t="str">
        <x:v>Integration</x:v>
      </x:c>
      <x:c r="E8" s="16" t="str">
        <x:v>OPEN</x:v>
      </x:c>
      <x:c r="F8" s="16" t="str">
        <x:v>CLOSED</x:v>
      </x:c>
      <x:c r="G8" s="16" t="str">
        <x:v>Non-recall, host sovereignty, force inventory and export noncredit now reconcile.</x:v>
      </x:c>
      <x:c r="H8" s="9"/>
    </x:row>
    <x:row r="9">
      <x:c r="A9" s="9" t="str">
        <x:v>CH10-G4</x:v>
      </x:c>
      <x:c r="B9" s="9" t="str">
        <x:v>CH10</x:v>
      </x:c>
      <x:c r="C9" s="16" t="str">
        <x:v>Industrial economy and market design</x:v>
      </x:c>
      <x:c r="D9" s="16" t="str">
        <x:v>Integration</x:v>
      </x:c>
      <x:c r="E9" s="16" t="str">
        <x:v>OPEN</x:v>
      </x:c>
      <x:c r="F9" s="16" t="str">
        <x:v>CLOSED</x:v>
      </x:c>
      <x:c r="G9" s="16" t="str">
        <x:v>Root Houses, public fallback, program accounts and export noncredit share one ledger.</x:v>
      </x:c>
      <x:c r="H9" s="9"/>
    </x:row>
    <x:row r="10">
      <x:c r="A10" s="9" t="str">
        <x:v>CH12-G4</x:v>
      </x:c>
      <x:c r="B10" s="9" t="str">
        <x:v>CH12</x:v>
      </x:c>
      <x:c r="C10" s="16" t="str">
        <x:v>Finance and program reconciliation</x:v>
      </x:c>
      <x:c r="D10" s="16" t="str">
        <x:v>Integration</x:v>
      </x:c>
      <x:c r="E10" s="16" t="str">
        <x:v>OPEN</x:v>
      </x:c>
      <x:c r="F10" s="16" t="str">
        <x:v>CLOSED</x:v>
      </x:c>
      <x:c r="G10" s="16" t="str">
        <x:v>Mature accounts, program accounts, waves, tranches, reservations and exposures reconcile.</x:v>
      </x:c>
      <x:c r="H10" s="9"/>
    </x:row>
    <x:row r="11">
      <x:c r="A11" s="9" t="str">
        <x:v>CH12-G5</x:v>
      </x:c>
      <x:c r="B11" s="9" t="str">
        <x:v>CH12</x:v>
      </x:c>
      <x:c r="C11" s="16" t="str">
        <x:v>Finance and program reconciliation</x:v>
      </x:c>
      <x:c r="D11" s="16" t="str">
        <x:v>Reader asset</x:v>
      </x:c>
      <x:c r="E11" s="16" t="str">
        <x:v>OPEN</x:v>
      </x:c>
      <x:c r="F11" s="16" t="str">
        <x:v>CLOSED</x:v>
      </x:c>
      <x:c r="G11" s="16" t="str">
        <x:v>Fiscal and force bridges provide a standalone reader path.</x:v>
      </x:c>
      <x:c r="H11" s="9"/>
    </x:row>
    <x:row r="12">
      <x:c r="A12" s="9" t="str">
        <x:v>CH13-G2</x:v>
      </x:c>
      <x:c r="B12" s="9" t="str">
        <x:v>CH13</x:v>
      </x:c>
      <x:c r="C12" s="16" t="str">
        <x:v>Integrated strategic synthesis</x:v>
      </x:c>
      <x:c r="D12" s="16" t="str">
        <x:v>Architecture</x:v>
      </x:c>
      <x:c r="E12" s="16" t="str">
        <x:v>OPEN</x:v>
      </x:c>
      <x:c r="F12" s="16" t="str">
        <x:v>CLOSED</x:v>
      </x:c>
      <x:c r="G12" s="16" t="str">
        <x:v>One claim owner and quantity-relation grammar govern the final manuscript.</x:v>
      </x:c>
      <x:c r="H12" s="9"/>
    </x:row>
    <x:row r="13">
      <x:c r="A13" s="9" t="str">
        <x:v>CH13-G3</x:v>
      </x:c>
      <x:c r="B13" s="9" t="str">
        <x:v>CH13</x:v>
      </x:c>
      <x:c r="C13" s="16" t="str">
        <x:v>Integrated strategic synthesis</x:v>
      </x:c>
      <x:c r="D13" s="16" t="str">
        <x:v>Quantification</x:v>
      </x:c>
      <x:c r="E13" s="16" t="str">
        <x:v>OPEN</x:v>
      </x:c>
      <x:c r="F13" s="16" t="str">
        <x:v>CLOSED</x:v>
      </x:c>
      <x:c r="G13" s="16" t="str">
        <x:v>Forty-three quantities retain unit, scope, horizon, state, relation and use limit.</x:v>
      </x:c>
      <x:c r="H13" s="9"/>
    </x:row>
    <x:row r="14">
      <x:c r="A14" s="9" t="str">
        <x:v>CH13-G4</x:v>
      </x:c>
      <x:c r="B14" s="9" t="str">
        <x:v>CH13</x:v>
      </x:c>
      <x:c r="C14" s="16" t="str">
        <x:v>Integrated strategic synthesis</x:v>
      </x:c>
      <x:c r="D14" s="16" t="str">
        <x:v>Integration</x:v>
      </x:c>
      <x:c r="E14" s="16" t="str">
        <x:v>OPEN</x:v>
      </x:c>
      <x:c r="F14" s="16" t="str">
        <x:v>CLOSED</x:v>
      </x:c>
      <x:c r="G14" s="16" t="str">
        <x:v>Fourteen apparent contradictions receive controlling dispositions.</x:v>
      </x:c>
      <x:c r="H14" s="9"/>
    </x:row>
  </x:sheetData>
  <x:conditionalFormatting sqref="F7:F14">
    <x:cfRule type="containsText" dxfId="78" priority="1" operator="containsText" text="OPEN"/>
    <x:cfRule type="containsText" dxfId="79" priority="2" operator="containsText" text="PARTIAL"/>
    <x:cfRule type="containsText" dxfId="80" priority="3" operator="containsText" text="HOLD"/>
    <x:cfRule type="containsText" dxfId="81" priority="4" operator="containsText" text="RETIRE"/>
    <x:cfRule type="containsText" dxfId="82" priority="5" operator="containsText" text="UNRESOLVED"/>
    <x:cfRule type="containsText" dxfId="83" priority="6" operator="containsText" text="FAIL"/>
    <x:cfRule type="containsText" dxfId="84" priority="7" operator="containsText" text="PROHIBITED"/>
    <x:cfRule type="containsText" dxfId="85" priority="8" operator="containsText" text="CONTRADICTION"/>
    <x:cfRule type="containsText" dxfId="86" priority="9" operator="containsText" text="PASS"/>
    <x:cfRule type="containsText" dxfId="87" priority="10" operator="containsText" text="CLOSED"/>
    <x:cfRule type="containsText" dxfId="88" priority="11" operator="containsText" text="CONTROLLING"/>
    <x:cfRule type="containsText" dxfId="89" priority="12" operator="containsText" text="RECONCILED"/>
    <x:cfRule type="containsText" dxfId="90" priority="13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2f22af78cb794b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6" hidden="0" customWidth="1"/>
    <x:col min="3" max="3" width="20" hidden="0" customWidth="1"/>
    <x:col min="4" max="4" width="90" hidden="0" customWidth="1"/>
    <x:col min="5" max="5" width="24" hidden="0" customWidth="1"/>
    <x:col min="6" max="6" width="20" hidden="0" customWidth="1"/>
  </x:cols>
  <x:sheetData>
    <x:row r="1">
      <x:c r="A1" s="9"/>
      <x:c r="B1" s="9"/>
      <x:c r="C1" s="9"/>
      <x:c r="D1" s="9"/>
      <x:c r="E1" s="9"/>
      <x:c r="F1" s="9"/>
      <x:c r="G1" s="9"/>
    </x:row>
    <x:row r="2">
      <x:c r="A2" s="27" t="str">
        <x:v>Fourteen apparent contradictions and controlling dispositions</x:v>
      </x:c>
      <x:c r="B2" s="10"/>
      <x:c r="C2" s="10"/>
      <x:c r="D2" s="10"/>
      <x:c r="E2" s="10"/>
      <x:c r="F2" s="10"/>
      <x:c r="G2" s="10"/>
    </x:row>
    <x:row r="3">
      <x:c r="A3" s="9"/>
      <x:c r="B3" s="9"/>
      <x:c r="C3" s="9"/>
      <x:c r="D3" s="9"/>
      <x:c r="E3" s="9"/>
      <x:c r="F3" s="9"/>
      <x:c r="G3" s="9"/>
    </x:row>
    <x:row r="4">
      <x:c r="A4" s="11"/>
      <x:c r="B4" s="11"/>
      <x:c r="C4" s="11"/>
      <x:c r="D4" s="11"/>
      <x:c r="E4" s="11"/>
      <x:c r="F4" s="11"/>
      <x:c r="G4" s="11"/>
    </x:row>
    <x:row r="5">
      <x:c r="A5" s="9"/>
      <x:c r="B5" s="9"/>
      <x:c r="C5" s="9"/>
      <x:c r="D5" s="9"/>
      <x:c r="E5" s="9"/>
      <x:c r="F5" s="9"/>
      <x:c r="G5" s="9"/>
    </x:row>
    <x:row r="6" ht="34" customHeight="1">
      <x:c r="A6" s="31" t="str">
        <x:v>Record</x:v>
      </x:c>
      <x:c r="B6" s="31" t="str">
        <x:v>Apparent contradiction</x:v>
      </x:c>
      <x:c r="C6" s="31" t="str">
        <x:v>Disposition</x:v>
      </x:c>
      <x:c r="D6" s="31" t="str">
        <x:v>Controlling interpretation</x:v>
      </x:c>
      <x:c r="E6" s="31" t="str">
        <x:v>Supporting records</x:v>
      </x:c>
      <x:c r="F6" s="31" t="str">
        <x:v>Chapters</x:v>
      </x:c>
      <x:c r="G6" s="9"/>
    </x:row>
    <x:row r="7">
      <x:c r="A7" s="9" t="str">
        <x:v>CT01</x:v>
      </x:c>
      <x:c r="B7" s="16" t="str">
        <x:v>USD1.00T is the mature Department cost</x:v>
      </x:c>
      <x:c r="C7" s="16" t="str">
        <x:v>RETIRE</x:v>
      </x:c>
      <x:c r="D7" s="16" t="str">
        <x:v>It is the technology and industrialization account inside the USD68.4T mature resource screen.</x:v>
      </x:c>
      <x:c r="E7" s="16" t="str">
        <x:v>CL09; CL10</x:v>
      </x:c>
      <x:c r="F7" s="16" t="str">
        <x:v>CH12</x:v>
      </x:c>
      <x:c r="G7" s="9"/>
    </x:row>
    <x:row r="8">
      <x:c r="A8" s="9" t="str">
        <x:v>CT02</x:v>
      </x:c>
      <x:c r="B8" s="16" t="str">
        <x:v>USD68.4T is a recommended appropriation</x:v>
      </x:c>
      <x:c r="C8" s="16" t="str">
        <x:v>RETIRE</x:v>
      </x:c>
      <x:c r="D8" s="16" t="str">
        <x:v>It is an undiscounted constant-2026-dollar architecture screen with uncalibrated inputs.</x:v>
      </x:c>
      <x:c r="E8" s="16" t="str">
        <x:v>CL09</x:v>
      </x:c>
      <x:c r="F8" s="16" t="str">
        <x:v>CH12</x:v>
      </x:c>
      <x:c r="G8" s="9"/>
    </x:row>
    <x:row r="9">
      <x:c r="A9" s="9" t="str">
        <x:v>CT03</x:v>
      </x:c>
      <x:c r="B9" s="16" t="str">
        <x:v>USD2.11T annual operations multiplied by 25 is the operations account</x:v>
      </x:c>
      <x:c r="C9" s="16" t="str">
        <x:v>RETIRE</x:v>
      </x:c>
      <x:c r="D9" s="16" t="str">
        <x:v>USD50.0T follows a ramp path; USD2.11T is the mature steady-year endpoint.</x:v>
      </x:c>
      <x:c r="E9" s="16" t="str">
        <x:v>Q29; Q31</x:v>
      </x:c>
      <x:c r="F9" s="16" t="str">
        <x:v>CH12</x:v>
      </x:c>
      <x:c r="G9" s="9"/>
    </x:row>
    <x:row r="10">
      <x:c r="A10" s="9" t="str">
        <x:v>CT04</x:v>
      </x:c>
      <x:c r="B10" s="16" t="str">
        <x:v>2,420 and 5,251 are competing force totals</x:v>
      </x:c>
      <x:c r="C10" s="16" t="str">
        <x:v>RECONCILED</x:v>
      </x:c>
      <x:c r="D10" s="16" t="str">
        <x:v>2,420 is simultaneous commitment; 5,251 includes reserve, geographic buffer and cycle stock.</x:v>
      </x:c>
      <x:c r="E10" s="16" t="str">
        <x:v>FR01:FR05</x:v>
      </x:c>
      <x:c r="F10" s="16" t="str">
        <x:v>CH04</x:v>
      </x:c>
      <x:c r="G10" s="9"/>
    </x:row>
    <x:row r="11">
      <x:c r="A11" s="9" t="str">
        <x:v>CT05</x:v>
      </x:c>
      <x:c r="B11" s="16" t="str">
        <x:v>10.484M, 11.5M and 13.0M are interchangeable headcounts</x:v>
      </x:c>
      <x:c r="C11" s="16" t="str">
        <x:v>RECONCILED</x:v>
      </x:c>
      <x:c r="D11" s="16" t="str">
        <x:v>They are superseded no-loss lineage, direct formation affiliation and total affiliation respectively.</x:v>
      </x:c>
      <x:c r="E11" s="16" t="str">
        <x:v>Q21:Q23</x:v>
      </x:c>
      <x:c r="F11" s="16" t="str">
        <x:v>CH11</x:v>
      </x:c>
      <x:c r="G11" s="9"/>
    </x:row>
    <x:row r="12">
      <x:c r="A12" s="9" t="str">
        <x:v>CT06</x:v>
      </x:c>
      <x:c r="B12" s="16" t="str">
        <x:v>USD15.179T and USD17.4T are parallel capital requirements</x:v>
      </x:c>
      <x:c r="C12" s="16" t="str">
        <x:v>SUPERSEDED</x:v>
      </x:c>
      <x:c r="D12" s="16" t="str">
        <x:v>USD17.4T replaces the no-loss predecessor after geographic survival and reserve.</x:v>
      </x:c>
      <x:c r="E12" s="16" t="str">
        <x:v>FR23; FR25</x:v>
      </x:c>
      <x:c r="F12" s="16" t="str">
        <x:v>CH12</x:v>
      </x:c>
      <x:c r="G12" s="9"/>
    </x:row>
    <x:row r="13">
      <x:c r="A13" s="9" t="str">
        <x:v>CT07</x:v>
      </x:c>
      <x:c r="B13" s="16" t="str">
        <x:v>USD1.736T and USD2.11T are both current annual operations</x:v>
      </x:c>
      <x:c r="C13" s="16" t="str">
        <x:v>SUPERSEDED</x:v>
      </x:c>
      <x:c r="D13" s="16" t="str">
        <x:v>USD2.11T is the current N−1 mature-year screen.</x:v>
      </x:c>
      <x:c r="E13" s="16" t="str">
        <x:v>Q31; FR26</x:v>
      </x:c>
      <x:c r="F13" s="16" t="str">
        <x:v>CH12</x:v>
      </x:c>
      <x:c r="G13" s="9"/>
    </x:row>
    <x:row r="14">
      <x:c r="A14" s="9" t="str">
        <x:v>CT08</x:v>
      </x:c>
      <x:c r="B14" s="16" t="str">
        <x:v>USD550B, USD200B and USD1.00T can be added</x:v>
      </x:c>
      <x:c r="C14" s="16" t="str">
        <x:v>RECONCILED</x:v>
      </x:c>
      <x:c r="D14" s="16" t="str">
        <x:v>USD550B is one account and USD200B the first time tranche of the same USD1.00T.</x:v>
      </x:c>
      <x:c r="E14" s="16" t="str">
        <x:v>FB05:FB22</x:v>
      </x:c>
      <x:c r="F14" s="16" t="str">
        <x:v>CH09</x:v>
      </x:c>
      <x:c r="G14" s="9"/>
    </x:row>
    <x:row r="15">
      <x:c r="A15" s="9" t="str">
        <x:v>CT09</x:v>
      </x:c>
      <x:c r="B15" s="16" t="str">
        <x:v>USD200B plus USD750B through year fifteen equals USD950B</x:v>
      </x:c>
      <x:c r="C15" s="16" t="str">
        <x:v>RECONCILED</x:v>
      </x:c>
      <x:c r="D15" s="16" t="str">
        <x:v>The USD750B cumulative boundary already includes the USD200B first tranche.</x:v>
      </x:c>
      <x:c r="E15" s="16" t="str">
        <x:v>Q33; Q34</x:v>
      </x:c>
      <x:c r="F15" s="16" t="str">
        <x:v>CH09</x:v>
      </x:c>
      <x:c r="G15" s="9"/>
    </x:row>
    <x:row r="16">
      <x:c r="A16" s="9" t="str">
        <x:v>CT10</x:v>
      </x:c>
      <x:c r="B16" s="16" t="str">
        <x:v>USD27.5B, USD15.6B, USD43.0B and USD25.0B are additive programs</x:v>
      </x:c>
      <x:c r="C16" s="16" t="str">
        <x:v>RECONCILED</x:v>
      </x:c>
      <x:c r="D16" s="16" t="str">
        <x:v>They are overlapping mission, construction, reservation and exposure views inside the technology program.</x:v>
      </x:c>
      <x:c r="E16" s="16" t="str">
        <x:v>Q35:Q38</x:v>
      </x:c>
      <x:c r="F16" s="16" t="str">
        <x:v>CH09; CH12</x:v>
      </x:c>
      <x:c r="G16" s="9"/>
    </x:row>
    <x:row r="17">
      <x:c r="A17" s="9" t="str">
        <x:v>CT11</x:v>
      </x:c>
      <x:c r="B17" s="16" t="str">
        <x:v>Forty-eight families, dossiers and control groups name the same object</x:v>
      </x:c>
      <x:c r="C17" s="16" t="str">
        <x:v>RECONCILED</x:v>
      </x:c>
      <x:c r="D17" s="16" t="str">
        <x:v>They are force types, builder-root judgments and industrial-independence units.</x:v>
      </x:c>
      <x:c r="E17" s="16" t="str">
        <x:v>Q06; Q40</x:v>
      </x:c>
      <x:c r="F17" s="16" t="str">
        <x:v>CH04; CH10</x:v>
      </x:c>
      <x:c r="G17" s="9"/>
    </x:row>
    <x:row r="18">
      <x:c r="A18" s="9" t="str">
        <x:v>CT12</x:v>
      </x:c>
      <x:c r="B18" s="16" t="str">
        <x:v>Twenty-four technology orders are half of forty-eight families</x:v>
      </x:c>
      <x:c r="C18" s="16" t="str">
        <x:v>RECONCILED</x:v>
      </x:c>
      <x:c r="D18" s="16" t="str">
        <x:v>Orders are cohort experiments; families are mature force types. No arithmetic relation is authorized.</x:v>
      </x:c>
      <x:c r="E18" s="16" t="str">
        <x:v>Q06; Q39</x:v>
      </x:c>
      <x:c r="F18" s="16" t="str">
        <x:v>CH04; CH09</x:v>
      </x:c>
      <x:c r="G18" s="9"/>
    </x:row>
    <x:row r="19">
      <x:c r="A19" s="9" t="str">
        <x:v>CT13</x:v>
      </x:c>
      <x:c r="B19" s="16" t="str">
        <x:v>Two invited campaigns, 675 commitments and 1,350 corridor claims add</x:v>
      </x:c>
      <x:c r="C19" s="16" t="str">
        <x:v>RECONCILED</x:v>
      </x:c>
      <x:c r="D19" s="16" t="str">
        <x:v>They are scenario, formation and route denominators respectively.</x:v>
      </x:c>
      <x:c r="E19" s="16" t="str">
        <x:v>Q09; Q19; Q20</x:v>
      </x:c>
      <x:c r="F19" s="16" t="str">
        <x:v>CH06</x:v>
      </x:c>
      <x:c r="G19" s="9"/>
    </x:row>
    <x:row r="20">
      <x:c r="A20" s="9" t="str">
        <x:v>CT14</x:v>
      </x:c>
      <x:c r="B20" s="16" t="str">
        <x:v>USD6.19T Public Reality Commons adds to USD68.4T</x:v>
      </x:c>
      <x:c r="C20" s="16" t="str">
        <x:v>RETIRE</x:v>
      </x:c>
      <x:c r="D20" s="16" t="str">
        <x:v>USD6.19T is an overlapping jurisdictional view inside the mature accounts.</x:v>
      </x:c>
      <x:c r="E20" s="16" t="str">
        <x:v>CL24</x:v>
      </x:c>
      <x:c r="F20" s="16" t="str">
        <x:v>CH03; CH12</x:v>
      </x:c>
      <x:c r="G20" s="9"/>
    </x:row>
  </x:sheetData>
  <x:conditionalFormatting sqref="C7:C20">
    <x:cfRule type="containsText" dxfId="65" priority="1" operator="containsText" text="OPEN"/>
    <x:cfRule type="containsText" dxfId="66" priority="2" operator="containsText" text="PARTIAL"/>
    <x:cfRule type="containsText" dxfId="67" priority="3" operator="containsText" text="HOLD"/>
    <x:cfRule type="containsText" dxfId="68" priority="4" operator="containsText" text="RETIRE"/>
    <x:cfRule type="containsText" dxfId="69" priority="5" operator="containsText" text="UNRESOLVED"/>
    <x:cfRule type="containsText" dxfId="70" priority="6" operator="containsText" text="FAIL"/>
    <x:cfRule type="containsText" dxfId="71" priority="7" operator="containsText" text="PROHIBITED"/>
    <x:cfRule type="containsText" dxfId="72" priority="8" operator="containsText" text="CONTRADICTION"/>
    <x:cfRule type="containsText" dxfId="73" priority="9" operator="containsText" text="PASS"/>
    <x:cfRule type="containsText" dxfId="74" priority="10" operator="containsText" text="CLOSED"/>
    <x:cfRule type="containsText" dxfId="75" priority="11" operator="containsText" text="CONTROLLING"/>
    <x:cfRule type="containsText" dxfId="76" priority="12" operator="containsText" text="RECONCILED"/>
    <x:cfRule type="containsText" dxfId="77" priority="13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192953c027db47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34" hidden="0" customWidth="1"/>
    <x:col min="4" max="4" width="58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</x:row>
    <x:row r="2">
      <x:c r="A2" s="27" t="str">
        <x:v>Claim, quantity and publication-gate crosswalk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</x:row>
    <x:row r="6" ht="34" customHeight="1">
      <x:c r="A6" s="31" t="str">
        <x:v>Chapter</x:v>
      </x:c>
      <x:c r="B6" s="31" t="str">
        <x:v>Final chapter</x:v>
      </x:c>
      <x:c r="C6" s="31" t="str">
        <x:v>Claims</x:v>
      </x:c>
      <x:c r="D6" s="31" t="str">
        <x:v>Primary quantities</x:v>
      </x:c>
      <x:c r="E6" s="31" t="str">
        <x:v>Reconciliation state</x:v>
      </x:c>
      <x:c r="F6" s="31" t="str">
        <x:v>Closed gates</x:v>
      </x:c>
      <x:c r="G6" s="31" t="str">
        <x:v>Open gates</x:v>
      </x:c>
      <x:c r="H6" s="31" t="str">
        <x:v>Completion</x:v>
      </x:c>
      <x:c r="I6" s="31" t="str">
        <x:v>Publication state</x:v>
      </x:c>
      <x:c r="J6" s="9"/>
    </x:row>
    <x:row r="7">
      <x:c r="A7" s="9" t="str">
        <x:v>CH01</x:v>
      </x:c>
      <x:c r="B7" s="9" t="str">
        <x:v>Strategic proposition</x:v>
      </x:c>
      <x:c r="C7" s="16" t="str">
        <x:v>CL01</x:v>
      </x:c>
      <x:c r="D7" s="16" t="str"/>
      <x:c r="E7" s="16" t="str">
        <x:v>RETAINED</x:v>
      </x:c>
      <x:c r="F7" s="9" t="n">
        <x:v>5</x:v>
      </x:c>
      <x:c r="G7" s="9" t="n">
        <x:v>0</x:v>
      </x:c>
      <x:c r="H7" s="23" t="n">
        <x:f>F7/(F7+G7)</x:f>
        <x:v>1</x:v>
      </x:c>
      <x:c r="I7" s="9" t="str">
        <x:v>PUBLICATION READY</x:v>
      </x:c>
      <x:c r="J7" s="9"/>
    </x:row>
    <x:row r="8">
      <x:c r="A8" s="9" t="str">
        <x:v>CH02</x:v>
      </x:c>
      <x:c r="B8" s="9" t="str">
        <x:v>Public service contract</x:v>
      </x:c>
      <x:c r="C8" s="16" t="str">
        <x:v>CL02</x:v>
      </x:c>
      <x:c r="D8" s="16" t="str"/>
      <x:c r="E8" s="16" t="str">
        <x:v>RETAINED</x:v>
      </x:c>
      <x:c r="F8" s="9" t="n">
        <x:v>5</x:v>
      </x:c>
      <x:c r="G8" s="9" t="n">
        <x:v>0</x:v>
      </x:c>
      <x:c r="H8" s="23" t="n">
        <x:f>F8/(F8+G8)</x:f>
        <x:v>1</x:v>
      </x:c>
      <x:c r="I8" s="9" t="str">
        <x:v>PUBLICATION READY</x:v>
      </x:c>
      <x:c r="J8" s="9"/>
    </x:row>
    <x:row r="9">
      <x:c r="A9" s="9" t="str">
        <x:v>CH03</x:v>
      </x:c>
      <x:c r="B9" s="9" t="str">
        <x:v>Department and authorities</x:v>
      </x:c>
      <x:c r="C9" s="16" t="str">
        <x:v>CL03; CL04</x:v>
      </x:c>
      <x:c r="D9" s="16" t="str"/>
      <x:c r="E9" s="16" t="str">
        <x:v>RETAINED</x:v>
      </x:c>
      <x:c r="F9" s="9" t="n">
        <x:v>5</x:v>
      </x:c>
      <x:c r="G9" s="9" t="n">
        <x:v>0</x:v>
      </x:c>
      <x:c r="H9" s="23" t="n">
        <x:f>F9/(F9+G9)</x:f>
        <x:v>1</x:v>
      </x:c>
      <x:c r="I9" s="9" t="str">
        <x:v>PUBLICATION READY</x:v>
      </x:c>
      <x:c r="J9" s="9"/>
    </x:row>
    <x:row r="10">
      <x:c r="A10" s="9" t="str">
        <x:v>CH04</x:v>
      </x:c>
      <x:c r="B10" s="9" t="str">
        <x:v>National force composition</x:v>
      </x:c>
      <x:c r="C10" s="16" t="str">
        <x:v>CL05; CL06; CL07</x:v>
      </x:c>
      <x:c r="D10" s="16" t="str">
        <x:v>Q03; Q04; Q06; Q07; Q08; Q09; Q10; Q11; Q12; Q13; Q14; Q15; Q16; Q17; Q18</x:v>
      </x:c>
      <x:c r="E10" s="16" t="str">
        <x:v>RETAINED</x:v>
      </x:c>
      <x:c r="F10" s="9" t="n">
        <x:v>5</x:v>
      </x:c>
      <x:c r="G10" s="9" t="n">
        <x:v>0</x:v>
      </x:c>
      <x:c r="H10" s="23" t="n">
        <x:f>F10/(F10+G10)</x:f>
        <x:v>1</x:v>
      </x:c>
      <x:c r="I10" s="9" t="str">
        <x:v>PUBLICATION READY</x:v>
      </x:c>
      <x:c r="J10" s="9"/>
    </x:row>
    <x:row r="11">
      <x:c r="A11" s="9" t="str">
        <x:v>CH05</x:v>
      </x:c>
      <x:c r="B11" s="9" t="str">
        <x:v>Domestic employment doctrine</x:v>
      </x:c>
      <x:c r="C11" s="16" t="str">
        <x:v>CL20</x:v>
      </x:c>
      <x:c r="D11" s="16" t="str"/>
      <x:c r="E11" s="16" t="str">
        <x:v>RETAINED</x:v>
      </x:c>
      <x:c r="F11" s="9" t="n">
        <x:v>4</x:v>
      </x:c>
      <x:c r="G11" s="9" t="n">
        <x:v>1</x:v>
      </x:c>
      <x:c r="H11" s="23" t="n">
        <x:f>F11/(F11+G11)</x:f>
        <x:v>0.8</x:v>
      </x:c>
      <x:c r="I11" s="9" t="str">
        <x:v>PARTIAL</x:v>
      </x:c>
      <x:c r="J11" s="9"/>
    </x:row>
    <x:row r="12">
      <x:c r="A12" s="9" t="str">
        <x:v>CH06</x:v>
      </x:c>
      <x:c r="B12" s="9" t="str">
        <x:v>International projection and partnership</x:v>
      </x:c>
      <x:c r="C12" s="16" t="str">
        <x:v>CL18; CL19</x:v>
      </x:c>
      <x:c r="D12" s="16" t="str">
        <x:v>Q19; Q20</x:v>
      </x:c>
      <x:c r="E12" s="16" t="str">
        <x:v>RECONCILED THIS PASS</x:v>
      </x:c>
      <x:c r="F12" s="9" t="n">
        <x:v>4</x:v>
      </x:c>
      <x:c r="G12" s="9" t="n">
        <x:v>1</x:v>
      </x:c>
      <x:c r="H12" s="23" t="n">
        <x:f>F12/(F12+G12)</x:f>
        <x:v>0.8</x:v>
      </x:c>
      <x:c r="I12" s="9" t="str">
        <x:v>PARTIAL</x:v>
      </x:c>
      <x:c r="J12" s="9"/>
    </x:row>
    <x:row r="13">
      <x:c r="A13" s="9" t="str">
        <x:v>CH07</x:v>
      </x:c>
      <x:c r="B13" s="9" t="str">
        <x:v>Hazard control and lifeline restoration</x:v>
      </x:c>
      <x:c r="C13" s="16" t="str">
        <x:v>CL21</x:v>
      </x:c>
      <x:c r="D13" s="16" t="str"/>
      <x:c r="E13" s="16" t="str">
        <x:v>RETAINED</x:v>
      </x:c>
      <x:c r="F13" s="9" t="n">
        <x:v>4</x:v>
      </x:c>
      <x:c r="G13" s="9" t="n">
        <x:v>1</x:v>
      </x:c>
      <x:c r="H13" s="23" t="n">
        <x:f>F13/(F13+G13)</x:f>
        <x:v>0.8</x:v>
      </x:c>
      <x:c r="I13" s="9" t="str">
        <x:v>PARTIAL</x:v>
      </x:c>
      <x:c r="J13" s="9"/>
    </x:row>
    <x:row r="14">
      <x:c r="A14" s="9" t="str">
        <x:v>CH08</x:v>
      </x:c>
      <x:c r="B14" s="9" t="str">
        <x:v>Strategic mobility and reception</x:v>
      </x:c>
      <x:c r="C14" s="16" t="str">
        <x:v>CL22</x:v>
      </x:c>
      <x:c r="D14" s="16" t="str"/>
      <x:c r="E14" s="16" t="str">
        <x:v>RETAINED</x:v>
      </x:c>
      <x:c r="F14" s="9" t="n">
        <x:v>4</x:v>
      </x:c>
      <x:c r="G14" s="9" t="n">
        <x:v>1</x:v>
      </x:c>
      <x:c r="H14" s="23" t="n">
        <x:f>F14/(F14+G14)</x:f>
        <x:v>0.8</x:v>
      </x:c>
      <x:c r="I14" s="9" t="str">
        <x:v>PARTIAL</x:v>
      </x:c>
      <x:c r="J14" s="9"/>
    </x:row>
    <x:row r="15">
      <x:c r="A15" s="9" t="str">
        <x:v>CH09</x:v>
      </x:c>
      <x:c r="B15" s="9" t="str">
        <x:v>Technology and invention portfolio</x:v>
      </x:c>
      <x:c r="C15" s="16" t="str">
        <x:v>CL11; CL12; CL13; CL14</x:v>
      </x:c>
      <x:c r="D15" s="16" t="str">
        <x:v>Q32; Q33; Q34; Q35; Q36; Q37; Q38; Q39; Q40; Q41; Q42</x:v>
      </x:c>
      <x:c r="E15" s="16" t="str">
        <x:v>RETAINED</x:v>
      </x:c>
      <x:c r="F15" s="9" t="n">
        <x:v>4</x:v>
      </x:c>
      <x:c r="G15" s="9" t="n">
        <x:v>1</x:v>
      </x:c>
      <x:c r="H15" s="23" t="n">
        <x:f>F15/(F15+G15)</x:f>
        <x:v>0.8</x:v>
      </x:c>
      <x:c r="I15" s="9" t="str">
        <x:v>PARTIAL</x:v>
      </x:c>
      <x:c r="J15" s="9"/>
    </x:row>
    <x:row r="16">
      <x:c r="A16" s="9" t="str">
        <x:v>CH10</x:v>
      </x:c>
      <x:c r="B16" s="9" t="str">
        <x:v>Industrial economy and market design</x:v>
      </x:c>
      <x:c r="C16" s="16" t="str">
        <x:v>CL15; CL16; CL17</x:v>
      </x:c>
      <x:c r="D16" s="16" t="str"/>
      <x:c r="E16" s="16" t="str">
        <x:v>RECONCILED THIS PASS</x:v>
      </x:c>
      <x:c r="F16" s="9" t="n">
        <x:v>4</x:v>
      </x:c>
      <x:c r="G16" s="9" t="n">
        <x:v>1</x:v>
      </x:c>
      <x:c r="H16" s="23" t="n">
        <x:f>F16/(F16+G16)</x:f>
        <x:v>0.8</x:v>
      </x:c>
      <x:c r="I16" s="9" t="str">
        <x:v>PARTIAL</x:v>
      </x:c>
      <x:c r="J16" s="9"/>
    </x:row>
    <x:row r="17">
      <x:c r="A17" s="9" t="str">
        <x:v>CH11</x:v>
      </x:c>
      <x:c r="B17" s="9" t="str">
        <x:v>Workforce, basing and readiness</x:v>
      </x:c>
      <x:c r="C17" s="16" t="str">
        <x:v>CL08; CL23</x:v>
      </x:c>
      <x:c r="D17" s="16" t="str">
        <x:v>Q21; Q22; Q23</x:v>
      </x:c>
      <x:c r="E17" s="16" t="str">
        <x:v>RETAINED</x:v>
      </x:c>
      <x:c r="F17" s="9" t="n">
        <x:v>4</x:v>
      </x:c>
      <x:c r="G17" s="9" t="n">
        <x:v>1</x:v>
      </x:c>
      <x:c r="H17" s="23" t="n">
        <x:f>F17/(F17+G17)</x:f>
        <x:v>0.8</x:v>
      </x:c>
      <x:c r="I17" s="9" t="str">
        <x:v>PARTIAL</x:v>
      </x:c>
      <x:c r="J17" s="9"/>
    </x:row>
    <x:row r="18">
      <x:c r="A18" s="9" t="str">
        <x:v>CH12</x:v>
      </x:c>
      <x:c r="B18" s="9" t="str">
        <x:v>Finance and program reconciliation</x:v>
      </x:c>
      <x:c r="C18" s="16" t="str">
        <x:v>CL09; CL10; CL24</x:v>
      </x:c>
      <x:c r="D18" s="16" t="str">
        <x:v>Q27; Q28; Q29; Q30; Q31</x:v>
      </x:c>
      <x:c r="E18" s="16" t="str">
        <x:v>RECONCILED THIS PASS</x:v>
      </x:c>
      <x:c r="F18" s="9" t="n">
        <x:v>5</x:v>
      </x:c>
      <x:c r="G18" s="9" t="n">
        <x:v>0</x:v>
      </x:c>
      <x:c r="H18" s="23" t="n">
        <x:f>F18/(F18+G18)</x:f>
        <x:v>1</x:v>
      </x:c>
      <x:c r="I18" s="9" t="str">
        <x:v>PUBLICATION READY</x:v>
      </x:c>
      <x:c r="J18" s="9"/>
    </x:row>
    <x:row r="19">
      <x:c r="A19" s="9" t="str">
        <x:v>CH13</x:v>
      </x:c>
      <x:c r="B19" s="9" t="str">
        <x:v>Integrated strategic synthesis</x:v>
      </x:c>
      <x:c r="C19" s="16" t="str">
        <x:v>CL25; CL26; CL28</x:v>
      </x:c>
      <x:c r="D19" s="16" t="str">
        <x:v>Q43</x:v>
      </x:c>
      <x:c r="E19" s="16" t="str">
        <x:v>RECONCILED THIS PASS</x:v>
      </x:c>
      <x:c r="F19" s="9" t="n">
        <x:v>4</x:v>
      </x:c>
      <x:c r="G19" s="9" t="n">
        <x:v>1</x:v>
      </x:c>
      <x:c r="H19" s="23" t="n">
        <x:f>F19/(F19+G19)</x:f>
        <x:v>0.8</x:v>
      </x:c>
      <x:c r="I19" s="9" t="str">
        <x:v>PARTIAL</x:v>
      </x:c>
      <x:c r="J19" s="9"/>
    </x:row>
    <x:row r="20">
      <x:c r="A20" s="9" t="str">
        <x:v>CH14</x:v>
      </x:c>
      <x:c r="B20" s="9" t="str">
        <x:v>Technical visual atlas</x:v>
      </x:c>
      <x:c r="C20" s="16" t="str">
        <x:v>CL27</x:v>
      </x:c>
      <x:c r="D20" s="16" t="str"/>
      <x:c r="E20" s="16" t="str">
        <x:v>RETAINED</x:v>
      </x:c>
      <x:c r="F20" s="9" t="n">
        <x:v>0</x:v>
      </x:c>
      <x:c r="G20" s="9" t="n">
        <x:v>5</x:v>
      </x:c>
      <x:c r="H20" s="23" t="n">
        <x:f>F20/(F20+G20)</x:f>
        <x:v>0</x:v>
      </x:c>
      <x:c r="I20" s="9" t="str">
        <x:v>NOT READY</x:v>
      </x:c>
      <x:c r="J20" s="9"/>
    </x:row>
  </x:sheetData>
  <x:conditionalFormatting sqref="E7:E20">
    <x:cfRule type="containsText" dxfId="91" priority="1" operator="containsText" text="OPEN"/>
    <x:cfRule type="containsText" dxfId="92" priority="2" operator="containsText" text="PARTIAL"/>
    <x:cfRule type="containsText" dxfId="93" priority="3" operator="containsText" text="HOLD"/>
    <x:cfRule type="containsText" dxfId="94" priority="4" operator="containsText" text="RETIRE"/>
    <x:cfRule type="containsText" dxfId="95" priority="5" operator="containsText" text="UNRESOLVED"/>
    <x:cfRule type="containsText" dxfId="96" priority="6" operator="containsText" text="FAIL"/>
    <x:cfRule type="containsText" dxfId="97" priority="7" operator="containsText" text="PROHIBITED"/>
    <x:cfRule type="containsText" dxfId="98" priority="8" operator="containsText" text="CONTRADICTION"/>
    <x:cfRule type="containsText" dxfId="99" priority="9" operator="containsText" text="PASS"/>
    <x:cfRule type="containsText" dxfId="100" priority="10" operator="containsText" text="CLOSED"/>
    <x:cfRule type="containsText" dxfId="101" priority="11" operator="containsText" text="CONTROLLING"/>
    <x:cfRule type="containsText" dxfId="102" priority="12" operator="containsText" text="RECONCILED"/>
    <x:cfRule type="containsText" dxfId="103" priority="13" operator="containsText" text="SUPERSEDED"/>
  </x:conditionalFormatting>
  <x:conditionalFormatting sqref="I7:I20">
    <x:cfRule type="containsText" dxfId="104" priority="14" operator="containsText" text="OPEN"/>
    <x:cfRule type="containsText" dxfId="105" priority="15" operator="containsText" text="PARTIAL"/>
    <x:cfRule type="containsText" dxfId="106" priority="16" operator="containsText" text="HOLD"/>
    <x:cfRule type="containsText" dxfId="107" priority="17" operator="containsText" text="RETIRE"/>
    <x:cfRule type="containsText" dxfId="108" priority="18" operator="containsText" text="UNRESOLVED"/>
    <x:cfRule type="containsText" dxfId="109" priority="19" operator="containsText" text="FAIL"/>
    <x:cfRule type="containsText" dxfId="110" priority="20" operator="containsText" text="PROHIBITED"/>
    <x:cfRule type="containsText" dxfId="111" priority="21" operator="containsText" text="CONTRADICTION"/>
    <x:cfRule type="containsText" dxfId="112" priority="22" operator="containsText" text="PASS"/>
    <x:cfRule type="containsText" dxfId="113" priority="23" operator="containsText" text="CLOSED"/>
    <x:cfRule type="containsText" dxfId="114" priority="24" operator="containsText" text="CONTROLLING"/>
    <x:cfRule type="containsText" dxfId="115" priority="25" operator="containsText" text="RECONCILED"/>
    <x:cfRule type="containsText" dxfId="116" priority="26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f4b28bb110204cb0"/>
  </x:tableParts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22" hidden="0" customWidth="1"/>
    <x:col min="3" max="3" width="28" hidden="0" customWidth="1"/>
    <x:col min="4" max="4" width="36" hidden="0" customWidth="1"/>
  </x:cols>
  <x:sheetData>
    <x:row r="1">
      <x:c r="A1" s="9"/>
      <x:c r="B1" s="9"/>
      <x:c r="C1" s="9"/>
      <x:c r="D1" s="9"/>
      <x:c r="E1" s="9"/>
    </x:row>
    <x:row r="2">
      <x:c r="A2" s="27" t="str">
        <x:v>Controlling synthesis inputs</x:v>
      </x:c>
      <x:c r="B2" s="10"/>
      <x:c r="C2" s="10"/>
      <x:c r="D2" s="10"/>
      <x:c r="E2" s="10"/>
    </x:row>
    <x:row r="3">
      <x:c r="A3" s="9"/>
      <x:c r="B3" s="9"/>
      <x:c r="C3" s="9"/>
      <x:c r="D3" s="9"/>
      <x:c r="E3" s="9"/>
    </x:row>
    <x:row r="4">
      <x:c r="A4" s="11"/>
      <x:c r="B4" s="11"/>
      <x:c r="C4" s="11"/>
      <x:c r="D4" s="11"/>
      <x:c r="E4" s="11"/>
    </x:row>
    <x:row r="5">
      <x:c r="A5" s="9"/>
      <x:c r="B5" s="9"/>
      <x:c r="C5" s="9"/>
      <x:c r="D5" s="9"/>
      <x:c r="E5" s="9"/>
    </x:row>
    <x:row r="6" ht="34" customHeight="1">
      <x:c r="A6" s="31" t="str">
        <x:v>Control</x:v>
      </x:c>
      <x:c r="B6" s="31" t="str">
        <x:v>Value</x:v>
      </x:c>
      <x:c r="C6" s="31" t="str">
        <x:v>Unit</x:v>
      </x:c>
      <x:c r="D6" s="31" t="str">
        <x:v>Internal source</x:v>
      </x:c>
      <x:c r="E6" s="9"/>
    </x:row>
    <x:row r="7">
      <x:c r="A7" s="9" t="str">
        <x:v>Final report chapters</x:v>
      </x:c>
      <x:c r="B7" s="34" t="n">
        <x:v>14</x:v>
      </x:c>
      <x:c r="C7" s="9" t="str">
        <x:v>count</x:v>
      </x:c>
      <x:c r="D7" s="9" t="str">
        <x:v>SYN-1</x:v>
      </x:c>
      <x:c r="E7" s="9"/>
    </x:row>
    <x:row r="8">
      <x:c r="A8" s="9" t="str">
        <x:v>Total publication gates</x:v>
      </x:c>
      <x:c r="B8" s="34" t="n">
        <x:v>70</x:v>
      </x:c>
      <x:c r="C8" s="9" t="str">
        <x:v>count</x:v>
      </x:c>
      <x:c r="D8" s="9" t="str">
        <x:v>SYN-1</x:v>
      </x:c>
      <x:c r="E8" s="9"/>
    </x:row>
    <x:row r="9">
      <x:c r="A9" s="9" t="str">
        <x:v>Previously closed gates</x:v>
      </x:c>
      <x:c r="B9" s="34" t="n">
        <x:v>49</x:v>
      </x:c>
      <x:c r="C9" s="9" t="str">
        <x:v>count</x:v>
      </x:c>
      <x:c r="D9" s="9" t="str">
        <x:v>Pass 246</x:v>
      </x:c>
      <x:c r="E9" s="9"/>
    </x:row>
    <x:row r="10">
      <x:c r="A10" s="9" t="str">
        <x:v>Gates closed this pass</x:v>
      </x:c>
      <x:c r="B10" s="34" t="n">
        <x:v>8</x:v>
      </x:c>
      <x:c r="C10" s="9" t="str">
        <x:v>count</x:v>
      </x:c>
      <x:c r="D10" s="9" t="str">
        <x:v>SYN-2</x:v>
      </x:c>
      <x:c r="E10" s="9"/>
    </x:row>
    <x:row r="11">
      <x:c r="A11" s="9" t="str">
        <x:v>Currently closed gates</x:v>
      </x:c>
      <x:c r="B11" s="34" t="n">
        <x:v>57</x:v>
      </x:c>
      <x:c r="C11" s="9" t="str">
        <x:v>count</x:v>
      </x:c>
      <x:c r="D11" s="9" t="str">
        <x:v>49 plus eight</x:v>
      </x:c>
      <x:c r="E11" s="9"/>
    </x:row>
    <x:row r="12">
      <x:c r="A12" s="9" t="str">
        <x:v>Currently open gates</x:v>
      </x:c>
      <x:c r="B12" s="34" t="n">
        <x:v>13</x:v>
      </x:c>
      <x:c r="C12" s="9" t="str">
        <x:v>count</x:v>
      </x:c>
      <x:c r="D12" s="9" t="str">
        <x:v>70 less 57</x:v>
      </x:c>
      <x:c r="E12" s="9"/>
    </x:row>
    <x:row r="13">
      <x:c r="A13" s="9" t="str">
        <x:v>Current completion screen</x:v>
      </x:c>
      <x:c r="B13" s="35" t="n">
        <x:v>0.8142857142857143</x:v>
      </x:c>
      <x:c r="C13" s="9" t="str">
        <x:v>share</x:v>
      </x:c>
      <x:c r="D13" s="9" t="str">
        <x:v>closed divided by total</x:v>
      </x:c>
      <x:c r="E13" s="9"/>
    </x:row>
    <x:row r="14">
      <x:c r="A14" s="9" t="str">
        <x:v>Publication-ready chapters</x:v>
      </x:c>
      <x:c r="B14" s="34" t="n">
        <x:v>5</x:v>
      </x:c>
      <x:c r="C14" s="9" t="str">
        <x:v>count</x:v>
      </x:c>
      <x:c r="D14" s="9" t="str">
        <x:v>all five gates closed</x:v>
      </x:c>
      <x:c r="E14" s="9"/>
    </x:row>
    <x:row r="15">
      <x:c r="A15" s="9" t="str">
        <x:v>Partial chapters</x:v>
      </x:c>
      <x:c r="B15" s="34" t="n">
        <x:v>8</x:v>
      </x:c>
      <x:c r="C15" s="9" t="str">
        <x:v>count</x:v>
      </x:c>
      <x:c r="D15" s="9" t="str">
        <x:v>one to four gates closed</x:v>
      </x:c>
      <x:c r="E15" s="9"/>
    </x:row>
    <x:row r="16">
      <x:c r="A16" s="9" t="str">
        <x:v>Not-ready chapters</x:v>
      </x:c>
      <x:c r="B16" s="34" t="n">
        <x:v>1</x:v>
      </x:c>
      <x:c r="C16" s="9" t="str">
        <x:v>count</x:v>
      </x:c>
      <x:c r="D16" s="9" t="str">
        <x:v>zero gates closed</x:v>
      </x:c>
      <x:c r="E16" s="9"/>
    </x:row>
    <x:row r="17">
      <x:c r="A17" s="9" t="str">
        <x:v>SYN passes consumed</x:v>
      </x:c>
      <x:c r="B17" s="34" t="n">
        <x:v>2</x:v>
      </x:c>
      <x:c r="C17" s="9" t="str">
        <x:v>count</x:v>
      </x:c>
      <x:c r="D17" s="9" t="str">
        <x:v>Pass 247</x:v>
      </x:c>
      <x:c r="E17" s="9"/>
    </x:row>
    <x:row r="18">
      <x:c r="A18" s="9" t="str">
        <x:v>SYN pass budget</x:v>
      </x:c>
      <x:c r="B18" s="34" t="n">
        <x:v>5</x:v>
      </x:c>
      <x:c r="C18" s="9" t="str">
        <x:v>count</x:v>
      </x:c>
      <x:c r="D18" s="9" t="str">
        <x:v>FR-05</x:v>
      </x:c>
      <x:c r="E18" s="9"/>
    </x:row>
    <x:row r="19">
      <x:c r="A19" s="9" t="str">
        <x:v>Branch open-item ledger</x:v>
      </x:c>
      <x:c r="B19" s="34" t="n">
        <x:v>1</x:v>
      </x:c>
      <x:c r="C19" s="9" t="str">
        <x:v>count</x:v>
      </x:c>
      <x:c r="D19" s="9" t="str">
        <x:v>one successor after Pass 247</x:v>
      </x:c>
      <x:c r="E19" s="9"/>
    </x:row>
    <x:row r="20">
      <x:c r="A20" s="9" t="str">
        <x:v>Publication authority</x:v>
      </x:c>
      <x:c r="B20" s="34" t="n">
        <x:v>0</x:v>
      </x:c>
      <x:c r="C20" s="9" t="str">
        <x:v>binary</x:v>
      </x:c>
      <x:c r="D20" s="9" t="str">
        <x:v>not granted</x:v>
      </x:c>
      <x:c r="E20" s="9"/>
    </x:row>
    <x:row r="21">
      <x:c r="A21" s="9" t="str">
        <x:v>Evidence promotions</x:v>
      </x:c>
      <x:c r="B21" s="34" t="n">
        <x:v>0</x:v>
      </x:c>
      <x:c r="C21" s="9" t="str">
        <x:v>count</x:v>
      </x:c>
      <x:c r="D21" s="9" t="str">
        <x:v>none</x:v>
      </x:c>
      <x:c r="E21" s="9"/>
    </x:row>
    <x:row r="22">
      <x:c r="A22" s="9" t="str">
        <x:v>Rendering issues</x:v>
      </x:c>
      <x:c r="B22" s="34" t="n">
        <x:v>0</x:v>
      </x:c>
      <x:c r="C22" s="9" t="str">
        <x:v>count</x:v>
      </x:c>
      <x:c r="D22" s="9" t="str">
        <x:v>held</x:v>
      </x:c>
      <x:c r="E22" s="9"/>
    </x:row>
    <x:row r="23">
      <x:c r="A23" s="9" t="str">
        <x:v>Technology program</x:v>
      </x:c>
      <x:c r="B23" s="34" t="n">
        <x:v>1</x:v>
      </x:c>
      <x:c r="C23" s="9" t="str">
        <x:v>USD T / 25 years</x:v>
      </x:c>
      <x:c r="D23" s="9" t="str">
        <x:v>MSDW-1</x:v>
      </x:c>
      <x:c r="E23" s="9"/>
    </x:row>
    <x:row r="24">
      <x:c r="A24" s="9" t="str">
        <x:v>Mature capital screen</x:v>
      </x:c>
      <x:c r="B24" s="34" t="n">
        <x:v>17.4</x:v>
      </x:c>
      <x:c r="C24" s="9" t="str">
        <x:v>USD T / 25 years</x:v>
      </x:c>
      <x:c r="D24" s="9" t="str">
        <x:v>NIFS-1</x:v>
      </x:c>
      <x:c r="E24" s="9"/>
    </x:row>
    <x:row r="25">
      <x:c r="A25" s="9" t="str">
        <x:v>Ramped operations</x:v>
      </x:c>
      <x:c r="B25" s="34" t="n">
        <x:v>50</x:v>
      </x:c>
      <x:c r="C25" s="9" t="str">
        <x:v>USD T / 25 years</x:v>
      </x:c>
      <x:c r="D25" s="9" t="str">
        <x:v>DCA-5</x:v>
      </x:c>
      <x:c r="E25" s="9"/>
    </x:row>
    <x:row r="26">
      <x:c r="A26" s="9" t="str">
        <x:v>Mature resource screen</x:v>
      </x:c>
      <x:c r="B26" s="34" t="n">
        <x:v>68.4</x:v>
      </x:c>
      <x:c r="C26" s="9" t="str">
        <x:v>USD T / 25 years</x:v>
      </x:c>
      <x:c r="D26" s="9" t="str">
        <x:v>DCA-5</x:v>
      </x:c>
      <x:c r="E26" s="9"/>
    </x:row>
    <x:row r="27">
      <x:c r="A27" s="9" t="str">
        <x:v>Mature annual operations</x:v>
      </x:c>
      <x:c r="B27" s="34" t="n">
        <x:v>2.11</x:v>
      </x:c>
      <x:c r="C27" s="9" t="str">
        <x:v>USD T / mature year</x:v>
      </x:c>
      <x:c r="D27" s="9" t="str">
        <x:v>NIFS-1</x:v>
      </x:c>
      <x:c r="E27" s="9"/>
    </x:row>
    <x:row r="28">
      <x:c r="A28" s="9" t="str">
        <x:v>Concurrent commitments</x:v>
      </x:c>
      <x:c r="B28" s="34" t="n">
        <x:v>2420</x:v>
      </x:c>
      <x:c r="C28" s="9" t="str">
        <x:v>formation equivalents</x:v>
      </x:c>
      <x:c r="D28" s="9" t="str">
        <x:v>NIFS-1</x:v>
      </x:c>
      <x:c r="E28" s="9"/>
    </x:row>
    <x:row r="29">
      <x:c r="A29" s="9" t="str">
        <x:v>Owned inventory</x:v>
      </x:c>
      <x:c r="B29" s="34" t="n">
        <x:v>5251</x:v>
      </x:c>
      <x:c r="C29" s="9" t="str">
        <x:v>formation equivalents</x:v>
      </x:c>
      <x:c r="D29" s="9" t="str">
        <x:v>NIFS-1</x:v>
      </x:c>
      <x:c r="E29" s="9"/>
    </x:row>
    <x:row r="30">
      <x:c r="A30" s="9" t="str">
        <x:v>Affiliated establishment</x:v>
      </x:c>
      <x:c r="B30" s="34" t="n">
        <x:v>13</x:v>
      </x:c>
      <x:c r="C30" s="9" t="str">
        <x:v>million positions</x:v>
      </x:c>
      <x:c r="D30" s="9" t="str">
        <x:v>DCA-5</x:v>
      </x:c>
      <x:c r="E30" s="9"/>
    </x:row>
    <x:row r="31">
      <x:c r="A31" s="9" t="str">
        <x:v>First tranche</x:v>
      </x:c>
      <x:c r="B31" s="34" t="n">
        <x:v>200</x:v>
      </x:c>
      <x:c r="C31" s="9" t="str">
        <x:v>USD B</x:v>
      </x:c>
      <x:c r="D31" s="9" t="str">
        <x:v>PFP-5</x:v>
      </x:c>
      <x:c r="E31" s="9"/>
    </x:row>
    <x:row r="32">
      <x:c r="A32" s="9" t="str">
        <x:v>Proof-wave reservation</x:v>
      </x:c>
      <x:c r="B32" s="34" t="n">
        <x:v>43</x:v>
      </x:c>
      <x:c r="C32" s="9" t="str">
        <x:v>USD B</x:v>
      </x:c>
      <x:c r="D32" s="9" t="str">
        <x:v>C3-SPW-5</x:v>
      </x:c>
      <x:c r="E32" s="9"/>
    </x:row>
    <x:row r="33">
      <x:c r="A33" s="9" t="str">
        <x:v>Cohort assigned exposure</x:v>
      </x:c>
      <x:c r="B33" s="34" t="n">
        <x:v>25.04003</x:v>
      </x:c>
      <x:c r="C33" s="9" t="str">
        <x:v>USD B</x:v>
      </x:c>
      <x:c r="D33" s="9" t="str">
        <x:v>EXR-TC</x:v>
      </x:c>
      <x:c r="E33" s="9"/>
    </x:row>
  </x:sheetData>
  <x:pageMargins left="0.7" right="0.7" top="0.75" bottom="0.75" header="0.3" footer="0.3"/>
  <x:tableParts count="1">
    <x:tablePart xmlns:r="http://schemas.openxmlformats.org/officeDocument/2006/relationships" r:id="Rabf1c35d9b7242f9"/>
  </x:tableParts>
</x:worksheet>
</file>

<file path=xl/worksheets/sheet10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2" hidden="0" customWidth="1"/>
  </x:cols>
  <x:sheetData>
    <x:row r="1">
      <x:c r="A1" s="9"/>
      <x:c r="B1" s="9"/>
      <x:c r="C1" s="9"/>
      <x:c r="D1" s="9"/>
      <x:c r="E1" s="9"/>
      <x:c r="F1" s="9"/>
      <x:c r="G1" s="9"/>
    </x:row>
    <x:row r="2">
      <x:c r="A2" s="27" t="str">
        <x:v>Live mutation and restoration protocol</x:v>
      </x:c>
      <x:c r="B2" s="10"/>
      <x:c r="C2" s="10"/>
      <x:c r="D2" s="10"/>
      <x:c r="E2" s="10"/>
      <x:c r="F2" s="10"/>
      <x:c r="G2" s="10"/>
    </x:row>
    <x:row r="3">
      <x:c r="A3" s="9"/>
      <x:c r="B3" s="9"/>
      <x:c r="C3" s="9"/>
      <x:c r="D3" s="9"/>
      <x:c r="E3" s="9"/>
      <x:c r="F3" s="9"/>
      <x:c r="G3" s="9"/>
    </x:row>
    <x:row r="4">
      <x:c r="A4" s="11"/>
      <x:c r="B4" s="11"/>
      <x:c r="C4" s="11"/>
      <x:c r="D4" s="11"/>
      <x:c r="E4" s="11"/>
      <x:c r="F4" s="11"/>
      <x:c r="G4" s="11"/>
    </x:row>
    <x:row r="5">
      <x:c r="A5" s="9"/>
      <x:c r="B5" s="9"/>
      <x:c r="C5" s="9"/>
      <x:c r="D5" s="9"/>
      <x:c r="E5" s="9"/>
      <x:c r="F5" s="9"/>
      <x:c r="G5" s="9"/>
    </x:row>
    <x:row r="6" ht="34" customHeight="1">
      <x:c r="A6" s="31" t="str">
        <x:v>Mutation</x:v>
      </x:c>
      <x:c r="B6" s="31" t="str">
        <x:v>Sheet</x:v>
      </x:c>
      <x:c r="C6" s="31" t="str">
        <x:v>Target cell</x:v>
      </x:c>
      <x:c r="D6" s="31" t="str">
        <x:v>Mutated value</x:v>
      </x:c>
      <x:c r="E6" s="31" t="str">
        <x:v>Expected failed audit</x:v>
      </x:c>
      <x:c r="F6" s="31" t="str">
        <x:v>Detection</x:v>
      </x:c>
      <x:c r="G6" s="31" t="str">
        <x:v>Restoration</x:v>
      </x:c>
    </x:row>
    <x:row r="7">
      <x:c r="A7" s="9" t="str">
        <x:v>M01</x:v>
      </x:c>
      <x:c r="B7" s="9" t="str">
        <x:v>Inputs</x:v>
      </x:c>
      <x:c r="C7" s="9" t="str">
        <x:v>B11</x:v>
      </x:c>
      <x:c r="D7" s="9" t="n">
        <x:v>56</x:v>
      </x:c>
      <x:c r="E7" s="9" t="str">
        <x:v>A06</x:v>
      </x:c>
      <x:c r="F7" s="9" t="str">
        <x:v>APPLIED / DETECTED</x:v>
      </x:c>
      <x:c r="G7" s="9" t="str">
        <x:v>RESTORED / PASS</x:v>
      </x:c>
    </x:row>
    <x:row r="8">
      <x:c r="A8" s="9" t="str">
        <x:v>M02</x:v>
      </x:c>
      <x:c r="B8" s="9" t="str">
        <x:v>Inputs</x:v>
      </x:c>
      <x:c r="C8" s="9" t="str">
        <x:v>B12</x:v>
      </x:c>
      <x:c r="D8" s="9" t="n">
        <x:v>14</x:v>
      </x:c>
      <x:c r="E8" s="9" t="str">
        <x:v>A07</x:v>
      </x:c>
      <x:c r="F8" s="9" t="str">
        <x:v>APPLIED / DETECTED</x:v>
      </x:c>
      <x:c r="G8" s="9" t="str">
        <x:v>RESTORED / PASS</x:v>
      </x:c>
    </x:row>
    <x:row r="9">
      <x:c r="A9" s="9" t="str">
        <x:v>M03</x:v>
      </x:c>
      <x:c r="B9" s="9" t="str">
        <x:v>Inputs</x:v>
      </x:c>
      <x:c r="C9" s="9" t="str">
        <x:v>B20</x:v>
      </x:c>
      <x:c r="D9" s="9" t="n">
        <x:v>1</x:v>
      </x:c>
      <x:c r="E9" s="9" t="str">
        <x:v>A38</x:v>
      </x:c>
      <x:c r="F9" s="9" t="str">
        <x:v>APPLIED / DETECTED</x:v>
      </x:c>
      <x:c r="G9" s="9" t="str">
        <x:v>RESTORED / PASS</x:v>
      </x:c>
    </x:row>
    <x:row r="10">
      <x:c r="A10" s="9" t="str">
        <x:v>M04</x:v>
      </x:c>
      <x:c r="B10" s="9" t="str">
        <x:v>Inputs</x:v>
      </x:c>
      <x:c r="C10" s="9" t="str">
        <x:v>B21</x:v>
      </x:c>
      <x:c r="D10" s="9" t="n">
        <x:v>1</x:v>
      </x:c>
      <x:c r="E10" s="9" t="str">
        <x:v>A39</x:v>
      </x:c>
      <x:c r="F10" s="9" t="str">
        <x:v>APPLIED / DETECTED</x:v>
      </x:c>
      <x:c r="G10" s="9" t="str">
        <x:v>RESTORED / PASS</x:v>
      </x:c>
    </x:row>
    <x:row r="11">
      <x:c r="A11" s="9" t="str">
        <x:v>M05</x:v>
      </x:c>
      <x:c r="B11" s="9" t="str">
        <x:v>Inputs</x:v>
      </x:c>
      <x:c r="C11" s="9" t="str">
        <x:v>B22</x:v>
      </x:c>
      <x:c r="D11" s="9" t="n">
        <x:v>1</x:v>
      </x:c>
      <x:c r="E11" s="9" t="str">
        <x:v>A40</x:v>
      </x:c>
      <x:c r="F11" s="9" t="str">
        <x:v>APPLIED / DETECTED</x:v>
      </x:c>
      <x:c r="G11" s="9" t="str">
        <x:v>RESTORED / PASS</x:v>
      </x:c>
    </x:row>
    <x:row r="12">
      <x:c r="A12" s="9" t="str">
        <x:v>M06</x:v>
      </x:c>
      <x:c r="B12" s="9" t="str">
        <x:v>Fiscal Bridge</x:v>
      </x:c>
      <x:c r="C12" s="9" t="str">
        <x:v>D7</x:v>
      </x:c>
      <x:c r="D12" s="9" t="n">
        <x:v>0.9</x:v>
      </x:c>
      <x:c r="E12" s="9" t="str">
        <x:v>A13</x:v>
      </x:c>
      <x:c r="F12" s="9" t="str">
        <x:v>APPLIED / DETECTED</x:v>
      </x:c>
      <x:c r="G12" s="9" t="str">
        <x:v>RESTORED / PASS</x:v>
      </x:c>
    </x:row>
    <x:row r="13">
      <x:c r="A13" s="9" t="str">
        <x:v>M07</x:v>
      </x:c>
      <x:c r="B13" s="9" t="str">
        <x:v>Fiscal Bridge</x:v>
      </x:c>
      <x:c r="C13" s="9" t="str">
        <x:v>D11</x:v>
      </x:c>
      <x:c r="D13" s="9" t="n">
        <x:v>0.5</x:v>
      </x:c>
      <x:c r="E13" s="9" t="str">
        <x:v>A14</x:v>
      </x:c>
      <x:c r="F13" s="9" t="str">
        <x:v>APPLIED / DETECTED</x:v>
      </x:c>
      <x:c r="G13" s="9" t="str">
        <x:v>RESTORED / PASS</x:v>
      </x:c>
    </x:row>
    <x:row r="14">
      <x:c r="A14" s="9" t="str">
        <x:v>M08</x:v>
      </x:c>
      <x:c r="B14" s="9" t="str">
        <x:v>Fiscal Bridge</x:v>
      </x:c>
      <x:c r="C14" s="9" t="str">
        <x:v>D17</x:v>
      </x:c>
      <x:c r="D14" s="9" t="n">
        <x:v>0.19</x:v>
      </x:c>
      <x:c r="E14" s="9" t="str">
        <x:v>A15</x:v>
      </x:c>
      <x:c r="F14" s="9" t="str">
        <x:v>APPLIED / DETECTED</x:v>
      </x:c>
      <x:c r="G14" s="9" t="str">
        <x:v>RESTORED / PASS</x:v>
      </x:c>
    </x:row>
    <x:row r="15">
      <x:c r="A15" s="9" t="str">
        <x:v>M09</x:v>
      </x:c>
      <x:c r="B15" s="9" t="str">
        <x:v>Fiscal Bridge</x:v>
      </x:c>
      <x:c r="C15" s="9" t="str">
        <x:v>D23</x:v>
      </x:c>
      <x:c r="D15" s="9" t="n">
        <x:v>0.1</x:v>
      </x:c>
      <x:c r="E15" s="9" t="str">
        <x:v>A16</x:v>
      </x:c>
      <x:c r="F15" s="9" t="str">
        <x:v>APPLIED / DETECTED</x:v>
      </x:c>
      <x:c r="G15" s="9" t="str">
        <x:v>RESTORED / PASS</x:v>
      </x:c>
    </x:row>
    <x:row r="16">
      <x:c r="A16" s="9" t="str">
        <x:v>M10</x:v>
      </x:c>
      <x:c r="B16" s="9" t="str">
        <x:v>Fiscal Bridge</x:v>
      </x:c>
      <x:c r="C16" s="9" t="str">
        <x:v>D29</x:v>
      </x:c>
      <x:c r="D16" s="9" t="n">
        <x:v>14.2</x:v>
      </x:c>
      <x:c r="E16" s="9" t="str">
        <x:v>A17</x:v>
      </x:c>
      <x:c r="F16" s="9" t="str">
        <x:v>APPLIED / DETECTED</x:v>
      </x:c>
      <x:c r="G16" s="9" t="str">
        <x:v>RESTORED / PASS</x:v>
      </x:c>
    </x:row>
    <x:row r="17">
      <x:c r="A17" s="9" t="str">
        <x:v>M11</x:v>
      </x:c>
      <x:c r="B17" s="9" t="str">
        <x:v>Fiscal Bridge</x:v>
      </x:c>
      <x:c r="C17" s="9" t="str">
        <x:v>D32</x:v>
      </x:c>
      <x:c r="D17" s="9" t="n">
        <x:v>3.5</x:v>
      </x:c>
      <x:c r="E17" s="9" t="str">
        <x:v>A18</x:v>
      </x:c>
      <x:c r="F17" s="9" t="str">
        <x:v>APPLIED / DETECTED</x:v>
      </x:c>
      <x:c r="G17" s="9" t="str">
        <x:v>RESTORED / PASS</x:v>
      </x:c>
    </x:row>
    <x:row r="18">
      <x:c r="A18" s="9" t="str">
        <x:v>M12</x:v>
      </x:c>
      <x:c r="B18" s="9" t="str">
        <x:v>Fiscal Bridge</x:v>
      </x:c>
      <x:c r="C18" s="9" t="str">
        <x:v>D35</x:v>
      </x:c>
      <x:c r="D18" s="9" t="n">
        <x:v>17.1</x:v>
      </x:c>
      <x:c r="E18" s="9" t="str">
        <x:v>A19</x:v>
      </x:c>
      <x:c r="F18" s="9" t="str">
        <x:v>APPLIED / DETECTED</x:v>
      </x:c>
      <x:c r="G18" s="9" t="str">
        <x:v>RESTORED / PASS</x:v>
      </x:c>
    </x:row>
    <x:row r="19">
      <x:c r="A19" s="9" t="str">
        <x:v>M13</x:v>
      </x:c>
      <x:c r="B19" s="9" t="str">
        <x:v>Fiscal Bridge</x:v>
      </x:c>
      <x:c r="C19" s="9" t="str">
        <x:v>D40</x:v>
      </x:c>
      <x:c r="D19" s="9" t="n">
        <x:v>16</x:v>
      </x:c>
      <x:c r="E19" s="9" t="str">
        <x:v>A20</x:v>
      </x:c>
      <x:c r="F19" s="9" t="str">
        <x:v>APPLIED / DETECTED</x:v>
      </x:c>
      <x:c r="G19" s="9" t="str">
        <x:v>RESTORED / PASS</x:v>
      </x:c>
    </x:row>
    <x:row r="20">
      <x:c r="A20" s="9" t="str">
        <x:v>M14</x:v>
      </x:c>
      <x:c r="B20" s="9" t="str">
        <x:v>Force Bridge</x:v>
      </x:c>
      <x:c r="C20" s="9" t="str">
        <x:v>D7</x:v>
      </x:c>
      <x:c r="D20" s="9" t="n">
        <x:v>2419</x:v>
      </x:c>
      <x:c r="E20" s="9" t="str">
        <x:v>A22</x:v>
      </x:c>
      <x:c r="F20" s="9" t="str">
        <x:v>APPLIED / DETECTED</x:v>
      </x:c>
      <x:c r="G20" s="9" t="str">
        <x:v>RESTORED / PASS</x:v>
      </x:c>
    </x:row>
    <x:row r="21">
      <x:c r="A21" s="9" t="str">
        <x:v>M15</x:v>
      </x:c>
      <x:c r="B21" s="9" t="str">
        <x:v>Force Bridge</x:v>
      </x:c>
      <x:c r="C21" s="9" t="str">
        <x:v>D12</x:v>
      </x:c>
      <x:c r="D21" s="9" t="n">
        <x:v>2419</x:v>
      </x:c>
      <x:c r="E21" s="9" t="str">
        <x:v>A23</x:v>
      </x:c>
      <x:c r="F21" s="9" t="str">
        <x:v>APPLIED / DETECTED</x:v>
      </x:c>
      <x:c r="G21" s="9" t="str">
        <x:v>RESTORED / PASS</x:v>
      </x:c>
    </x:row>
    <x:row r="22">
      <x:c r="A22" s="9" t="str">
        <x:v>M16</x:v>
      </x:c>
      <x:c r="B22" s="9" t="str">
        <x:v>Force Bridge</x:v>
      </x:c>
      <x:c r="C22" s="9" t="str">
        <x:v>D16</x:v>
      </x:c>
      <x:c r="D22" s="9" t="n">
        <x:v>1744</x:v>
      </x:c>
      <x:c r="E22" s="9" t="str">
        <x:v>A24</x:v>
      </x:c>
      <x:c r="F22" s="9" t="str">
        <x:v>APPLIED / DETECTED</x:v>
      </x:c>
      <x:c r="G22" s="9" t="str">
        <x:v>RESTORED / PASS</x:v>
      </x:c>
    </x:row>
    <x:row r="23">
      <x:c r="A23" s="9" t="str">
        <x:v>M17</x:v>
      </x:c>
      <x:c r="B23" s="9" t="str">
        <x:v>Force Bridge</x:v>
      </x:c>
      <x:c r="C23" s="9" t="str">
        <x:v>D19</x:v>
      </x:c>
      <x:c r="D23" s="9" t="n">
        <x:v>5.5</x:v>
      </x:c>
      <x:c r="E23" s="9" t="str">
        <x:v>A25</x:v>
      </x:c>
      <x:c r="F23" s="9" t="str">
        <x:v>APPLIED / DETECTED</x:v>
      </x:c>
      <x:c r="G23" s="9" t="str">
        <x:v>RESTORED / PASS</x:v>
      </x:c>
    </x:row>
    <x:row r="24">
      <x:c r="A24" s="9" t="str">
        <x:v>M18</x:v>
      </x:c>
      <x:c r="B24" s="9" t="str">
        <x:v>Force Bridge</x:v>
      </x:c>
      <x:c r="C24" s="9" t="str">
        <x:v>D25</x:v>
      </x:c>
      <x:c r="D24" s="9" t="n">
        <x:v>9.3</x:v>
      </x:c>
      <x:c r="E24" s="9" t="str">
        <x:v>A26</x:v>
      </x:c>
      <x:c r="F24" s="9" t="str">
        <x:v>APPLIED / DETECTED</x:v>
      </x:c>
      <x:c r="G24" s="9" t="str">
        <x:v>RESTORED / PASS</x:v>
      </x:c>
    </x:row>
    <x:row r="25">
      <x:c r="A25" s="9" t="str">
        <x:v>M19</x:v>
      </x:c>
      <x:c r="B25" s="9" t="str">
        <x:v>Force Bridge</x:v>
      </x:c>
      <x:c r="C25" s="9" t="str">
        <x:v>D28</x:v>
      </x:c>
      <x:c r="D25" s="9" t="n">
        <x:v>0.19</x:v>
      </x:c>
      <x:c r="E25" s="9" t="str">
        <x:v>A27</x:v>
      </x:c>
      <x:c r="F25" s="9" t="str">
        <x:v>APPLIED / DETECTED</x:v>
      </x:c>
      <x:c r="G25" s="9" t="str">
        <x:v>RESTORED / PASS</x:v>
      </x:c>
    </x:row>
    <x:row r="26">
      <x:c r="A26" s="9" t="str">
        <x:v>M20</x:v>
      </x:c>
      <x:c r="B26" s="9" t="str">
        <x:v>Contradictions</x:v>
      </x:c>
      <x:c r="C26" s="9" t="str">
        <x:v>C7</x:v>
      </x:c>
      <x:c r="D26" s="9" t="str">
        <x:v>UNRESOLVED</x:v>
      </x:c>
      <x:c r="E26" s="9" t="str">
        <x:v>A04</x:v>
      </x:c>
      <x:c r="F26" s="9" t="str">
        <x:v>APPLIED / DETECTED</x:v>
      </x:c>
      <x:c r="G26" s="9" t="str">
        <x:v>RESTORED / PASS</x:v>
      </x:c>
    </x:row>
  </x:sheetData>
  <x:conditionalFormatting sqref="F7:F26">
    <x:cfRule type="containsText" dxfId="130" priority="1" operator="containsText" text="OPEN"/>
    <x:cfRule type="containsText" dxfId="131" priority="2" operator="containsText" text="PARTIAL"/>
    <x:cfRule type="containsText" dxfId="132" priority="3" operator="containsText" text="HOLD"/>
    <x:cfRule type="containsText" dxfId="133" priority="4" operator="containsText" text="RETIRE"/>
    <x:cfRule type="containsText" dxfId="134" priority="5" operator="containsText" text="UNRESOLVED"/>
    <x:cfRule type="containsText" dxfId="135" priority="6" operator="containsText" text="FAIL"/>
    <x:cfRule type="containsText" dxfId="136" priority="7" operator="containsText" text="PROHIBITED"/>
    <x:cfRule type="containsText" dxfId="137" priority="8" operator="containsText" text="CONTRADICTION"/>
    <x:cfRule type="containsText" dxfId="138" priority="9" operator="containsText" text="PASS"/>
    <x:cfRule type="containsText" dxfId="139" priority="10" operator="containsText" text="CLOSED"/>
    <x:cfRule type="containsText" dxfId="140" priority="11" operator="containsText" text="CONTROLLING"/>
    <x:cfRule type="containsText" dxfId="141" priority="12" operator="containsText" text="RECONCILED"/>
    <x:cfRule type="containsText" dxfId="142" priority="13" operator="containsText" text="SUPERSEDED"/>
  </x:conditionalFormatting>
  <x:conditionalFormatting sqref="G7:G26">
    <x:cfRule type="containsText" dxfId="143" priority="14" operator="containsText" text="OPEN"/>
    <x:cfRule type="containsText" dxfId="144" priority="15" operator="containsText" text="PARTIAL"/>
    <x:cfRule type="containsText" dxfId="145" priority="16" operator="containsText" text="HOLD"/>
    <x:cfRule type="containsText" dxfId="146" priority="17" operator="containsText" text="RETIRE"/>
    <x:cfRule type="containsText" dxfId="147" priority="18" operator="containsText" text="UNRESOLVED"/>
    <x:cfRule type="containsText" dxfId="148" priority="19" operator="containsText" text="FAIL"/>
    <x:cfRule type="containsText" dxfId="149" priority="20" operator="containsText" text="PROHIBITED"/>
    <x:cfRule type="containsText" dxfId="150" priority="21" operator="containsText" text="CONTRADICTION"/>
    <x:cfRule type="containsText" dxfId="151" priority="22" operator="containsText" text="PASS"/>
    <x:cfRule type="containsText" dxfId="152" priority="23" operator="containsText" text="CLOSED"/>
    <x:cfRule type="containsText" dxfId="153" priority="24" operator="containsText" text="CONTROLLING"/>
    <x:cfRule type="containsText" dxfId="154" priority="25" operator="containsText" text="RECONCILED"/>
    <x:cfRule type="containsText" dxfId="155" priority="26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b57fb89848ac4104"/>
  </x:tableParts>
</x:worksheet>
</file>

<file path=xl/worksheets/sheet11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56" hidden="0" customWidth="1"/>
    <x:col min="3" max="3" width="22" hidden="0" customWidth="1"/>
    <x:col min="4" max="4" width="22" hidden="0" customWidth="1"/>
    <x:col min="5" max="5" width="16" hidden="0" customWidth="1"/>
    <x:col min="6" max="6" width="14" hidden="0" customWidth="1"/>
  </x:cols>
  <x:sheetData>
    <x:row r="1">
      <x:c r="A1" s="9"/>
      <x:c r="B1" s="9"/>
      <x:c r="C1" s="9"/>
      <x:c r="D1" s="9"/>
      <x:c r="E1" s="9"/>
      <x:c r="F1" s="9"/>
    </x:row>
    <x:row r="2">
      <x:c r="A2" s="27" t="str">
        <x:v>Independent reconciliation checks</x:v>
      </x:c>
      <x:c r="B2" s="10"/>
      <x:c r="C2" s="10"/>
      <x:c r="D2" s="10"/>
      <x:c r="E2" s="10"/>
      <x:c r="F2" s="10"/>
    </x:row>
    <x:row r="3">
      <x:c r="A3" s="9"/>
      <x:c r="B3" s="9"/>
      <x:c r="C3" s="9"/>
      <x:c r="D3" s="9"/>
      <x:c r="E3" s="9"/>
      <x:c r="F3" s="9"/>
    </x:row>
    <x:row r="4">
      <x:c r="A4" s="11"/>
      <x:c r="B4" s="11"/>
      <x:c r="C4" s="11"/>
      <x:c r="D4" s="11"/>
      <x:c r="E4" s="11"/>
      <x:c r="F4" s="11"/>
    </x:row>
    <x:row r="5">
      <x:c r="A5" s="9"/>
      <x:c r="B5" s="9"/>
      <x:c r="C5" s="9"/>
      <x:c r="D5" s="9"/>
      <x:c r="E5" s="9"/>
      <x:c r="F5" s="9"/>
    </x:row>
    <x:row r="6" ht="34" customHeight="1">
      <x:c r="A6" s="31" t="str">
        <x:v>Audit</x:v>
      </x:c>
      <x:c r="B6" s="31" t="str">
        <x:v>Test</x:v>
      </x:c>
      <x:c r="C6" s="31" t="str">
        <x:v>Actual</x:v>
      </x:c>
      <x:c r="D6" s="31" t="str">
        <x:v>Expected</x:v>
      </x:c>
      <x:c r="E6" s="31" t="str">
        <x:v>Tolerance</x:v>
      </x:c>
      <x:c r="F6" s="31" t="str">
        <x:v>Status</x:v>
      </x:c>
    </x:row>
    <x:row r="7">
      <x:c r="A7" s="9" t="str">
        <x:v>A01</x:v>
      </x:c>
      <x:c r="B7" s="9" t="str">
        <x:v>Claim count</x:v>
      </x:c>
      <x:c r="C7" s="26" t="n">
        <x:f>COUNTA('Claim Register'!A7:A34)</x:f>
        <x:v>28</x:v>
      </x:c>
      <x:c r="D7" s="26" t="n">
        <x:f>28</x:f>
        <x:v>28</x:v>
      </x:c>
      <x:c r="E7" s="26" t="n">
        <x:v>0</x:v>
      </x:c>
      <x:c r="F7" s="9" t="str">
        <x:f>IF(ABS(C7-D7)&lt;=E7,"PASS","FAIL")</x:f>
        <x:v>PASS</x:v>
      </x:c>
    </x:row>
    <x:row r="8">
      <x:c r="A8" s="9" t="str">
        <x:v>A02</x:v>
      </x:c>
      <x:c r="B8" s="9" t="str">
        <x:v>Quantity count</x:v>
      </x:c>
      <x:c r="C8" s="26" t="n">
        <x:f>COUNTA('Quantity Register'!A7:A49)</x:f>
        <x:v>43</x:v>
      </x:c>
      <x:c r="D8" s="26" t="n">
        <x:f>43</x:f>
        <x:v>43</x:v>
      </x:c>
      <x:c r="E8" s="26" t="n">
        <x:v>0</x:v>
      </x:c>
      <x:c r="F8" s="9" t="str">
        <x:f>IF(ABS(C8-D8)&lt;=E8,"PASS","FAIL")</x:f>
        <x:v>PASS</x:v>
      </x:c>
    </x:row>
    <x:row r="9">
      <x:c r="A9" s="9" t="str">
        <x:v>A03</x:v>
      </x:c>
      <x:c r="B9" s="9" t="str">
        <x:v>Contradiction count</x:v>
      </x:c>
      <x:c r="C9" s="26" t="n">
        <x:f>COUNTA(Contradictions!A7:A20)</x:f>
        <x:v>14</x:v>
      </x:c>
      <x:c r="D9" s="26" t="n">
        <x:f>14</x:f>
        <x:v>14</x:v>
      </x:c>
      <x:c r="E9" s="26" t="n">
        <x:v>0</x:v>
      </x:c>
      <x:c r="F9" s="9" t="str">
        <x:f>IF(ABS(C9-D9)&lt;=E9,"PASS","FAIL")</x:f>
        <x:v>PASS</x:v>
      </x:c>
    </x:row>
    <x:row r="10">
      <x:c r="A10" s="9" t="str">
        <x:v>A04</x:v>
      </x:c>
      <x:c r="B10" s="9" t="str">
        <x:v>All contradictions disposed</x:v>
      </x:c>
      <x:c r="C10" s="26" t="n">
        <x:f>COUNTIFS(Contradictions!C7:C20,"&lt;&gt;UNRESOLVED")</x:f>
        <x:v>14</x:v>
      </x:c>
      <x:c r="D10" s="26" t="n">
        <x:f>14</x:f>
        <x:v>14</x:v>
      </x:c>
      <x:c r="E10" s="26" t="n">
        <x:v>0</x:v>
      </x:c>
      <x:c r="F10" s="9" t="str">
        <x:f>IF(ABS(C10-D10)&lt;=E10,"PASS","FAIL")</x:f>
        <x:v>PASS</x:v>
      </x:c>
    </x:row>
    <x:row r="11">
      <x:c r="A11" s="9" t="str">
        <x:v>A05</x:v>
      </x:c>
      <x:c r="B11" s="9" t="str">
        <x:v>Gate delta</x:v>
      </x:c>
      <x:c r="C11" s="26" t="n">
        <x:f>COUNTA('Gate Delta'!A7:A14)</x:f>
        <x:v>8</x:v>
      </x:c>
      <x:c r="D11" s="26" t="n">
        <x:f>8</x:f>
        <x:v>8</x:v>
      </x:c>
      <x:c r="E11" s="26" t="n">
        <x:v>0</x:v>
      </x:c>
      <x:c r="F11" s="9" t="str">
        <x:f>IF(ABS(C11-D11)&lt;=E11,"PASS","FAIL")</x:f>
        <x:v>PASS</x:v>
      </x:c>
    </x:row>
    <x:row r="12">
      <x:c r="A12" s="9" t="str">
        <x:v>A06</x:v>
      </x:c>
      <x:c r="B12" s="9" t="str">
        <x:v>Current closed gates</x:v>
      </x:c>
      <x:c r="C12" s="26" t="n">
        <x:f>Inputs!B11</x:f>
        <x:v>57</x:v>
      </x:c>
      <x:c r="D12" s="26" t="n">
        <x:f>57</x:f>
        <x:v>57</x:v>
      </x:c>
      <x:c r="E12" s="26" t="n">
        <x:v>0</x:v>
      </x:c>
      <x:c r="F12" s="9" t="str">
        <x:f>IF(ABS(C12-D12)&lt;=E12,"PASS","FAIL")</x:f>
        <x:v>PASS</x:v>
      </x:c>
    </x:row>
    <x:row r="13">
      <x:c r="A13" s="9" t="str">
        <x:v>A07</x:v>
      </x:c>
      <x:c r="B13" s="9" t="str">
        <x:v>Current open gates</x:v>
      </x:c>
      <x:c r="C13" s="26" t="n">
        <x:f>Inputs!B12</x:f>
        <x:v>13</x:v>
      </x:c>
      <x:c r="D13" s="26" t="n">
        <x:f>13</x:f>
        <x:v>13</x:v>
      </x:c>
      <x:c r="E13" s="26" t="n">
        <x:v>0</x:v>
      </x:c>
      <x:c r="F13" s="9" t="str">
        <x:f>IF(ABS(C13-D13)&lt;=E13,"PASS","FAIL")</x:f>
        <x:v>PASS</x:v>
      </x:c>
    </x:row>
    <x:row r="14">
      <x:c r="A14" s="9" t="str">
        <x:v>A08</x:v>
      </x:c>
      <x:c r="B14" s="9" t="str">
        <x:v>Gate total</x:v>
      </x:c>
      <x:c r="C14" s="26" t="n">
        <x:f>Inputs!B11+Inputs!B12</x:f>
        <x:v>70</x:v>
      </x:c>
      <x:c r="D14" s="26" t="n">
        <x:f>70</x:f>
        <x:v>70</x:v>
      </x:c>
      <x:c r="E14" s="26" t="n">
        <x:v>0</x:v>
      </x:c>
      <x:c r="F14" s="9" t="str">
        <x:f>IF(ABS(C14-D14)&lt;=E14,"PASS","FAIL")</x:f>
        <x:v>PASS</x:v>
      </x:c>
    </x:row>
    <x:row r="15">
      <x:c r="A15" s="9" t="str">
        <x:v>A09</x:v>
      </x:c>
      <x:c r="B15" s="9" t="str">
        <x:v>Completion screen</x:v>
      </x:c>
      <x:c r="C15" s="26" t="n">
        <x:f>Inputs!B11/Inputs!B8</x:f>
        <x:v>0.8142857142857143</x:v>
      </x:c>
      <x:c r="D15" s="26" t="n">
        <x:f>0.8142857142857143</x:f>
        <x:v>0.8142857142857143</x:v>
      </x:c>
      <x:c r="E15" s="26" t="n">
        <x:v>0.0001</x:v>
      </x:c>
      <x:c r="F15" s="9" t="str">
        <x:f>IF(ABS(C15-D15)&lt;=E15,"PASS","FAIL")</x:f>
        <x:v>PASS</x:v>
      </x:c>
    </x:row>
    <x:row r="16">
      <x:c r="A16" s="9" t="str">
        <x:v>A10</x:v>
      </x:c>
      <x:c r="B16" s="9" t="str">
        <x:v>Publication-ready chapters</x:v>
      </x:c>
      <x:c r="C16" s="26" t="n">
        <x:f>COUNTIFS('Chapter Map'!I7:I20,"PUBLICATION READY")</x:f>
        <x:v>5</x:v>
      </x:c>
      <x:c r="D16" s="26" t="n">
        <x:f>5</x:f>
        <x:v>5</x:v>
      </x:c>
      <x:c r="E16" s="26" t="n">
        <x:v>0</x:v>
      </x:c>
      <x:c r="F16" s="9" t="str">
        <x:f>IF(ABS(C16-D16)&lt;=E16,"PASS","FAIL")</x:f>
        <x:v>PASS</x:v>
      </x:c>
    </x:row>
    <x:row r="17">
      <x:c r="A17" s="9" t="str">
        <x:v>A11</x:v>
      </x:c>
      <x:c r="B17" s="9" t="str">
        <x:v>Partial chapters</x:v>
      </x:c>
      <x:c r="C17" s="26" t="n">
        <x:f>COUNTIFS('Chapter Map'!I7:I20,"PARTIAL")</x:f>
        <x:v>8</x:v>
      </x:c>
      <x:c r="D17" s="26" t="n">
        <x:f>8</x:f>
        <x:v>8</x:v>
      </x:c>
      <x:c r="E17" s="26" t="n">
        <x:v>0</x:v>
      </x:c>
      <x:c r="F17" s="9" t="str">
        <x:f>IF(ABS(C17-D17)&lt;=E17,"PASS","FAIL")</x:f>
        <x:v>PASS</x:v>
      </x:c>
    </x:row>
    <x:row r="18">
      <x:c r="A18" s="9" t="str">
        <x:v>A12</x:v>
      </x:c>
      <x:c r="B18" s="9" t="str">
        <x:v>Not-ready chapters</x:v>
      </x:c>
      <x:c r="C18" s="26" t="n">
        <x:f>COUNTIFS('Chapter Map'!I7:I20,"NOT READY")</x:f>
        <x:v>1</x:v>
      </x:c>
      <x:c r="D18" s="26" t="n">
        <x:f>1</x:f>
        <x:v>1</x:v>
      </x:c>
      <x:c r="E18" s="26" t="n">
        <x:v>0</x:v>
      </x:c>
      <x:c r="F18" s="9" t="str">
        <x:f>IF(ABS(C18-D18)&lt;=E18,"PASS","FAIL")</x:f>
        <x:v>PASS</x:v>
      </x:c>
    </x:row>
    <x:row r="19">
      <x:c r="A19" s="9" t="str">
        <x:v>A13</x:v>
      </x:c>
      <x:c r="B19" s="9" t="str">
        <x:v>Mature accounts reconcile</x:v>
      </x:c>
      <x:c r="C19" s="26" t="n">
        <x:f>'Fiscal Bridge'!D10</x:f>
        <x:v>68.4</x:v>
      </x:c>
      <x:c r="D19" s="26" t="n">
        <x:f>68.4</x:f>
        <x:v>68.4</x:v>
      </x:c>
      <x:c r="E19" s="26" t="n">
        <x:v>0.0001</x:v>
      </x:c>
      <x:c r="F19" s="9" t="str">
        <x:f>IF(ABS(C19-D19)&lt;=E19,"PASS","FAIL")</x:f>
        <x:v>PASS</x:v>
      </x:c>
    </x:row>
    <x:row r="20">
      <x:c r="A20" s="9" t="str">
        <x:v>A14</x:v>
      </x:c>
      <x:c r="B20" s="9" t="str">
        <x:v>Technology accounts reconcile</x:v>
      </x:c>
      <x:c r="C20" s="26" t="n">
        <x:f>'Fiscal Bridge'!D16</x:f>
        <x:v>1</x:v>
      </x:c>
      <x:c r="D20" s="26" t="n">
        <x:f>1</x:f>
        <x:v>1</x:v>
      </x:c>
      <x:c r="E20" s="26" t="n">
        <x:v>0.0001</x:v>
      </x:c>
      <x:c r="F20" s="9" t="str">
        <x:f>IF(ABS(C20-D20)&lt;=E20,"PASS","FAIL")</x:f>
        <x:v>PASS</x:v>
      </x:c>
    </x:row>
    <x:row r="21">
      <x:c r="A21" s="9" t="str">
        <x:v>A15</x:v>
      </x:c>
      <x:c r="B21" s="9" t="str">
        <x:v>Technology waves reconcile</x:v>
      </x:c>
      <x:c r="C21" s="26" t="n">
        <x:f>'Fiscal Bridge'!D22</x:f>
        <x:v>1</x:v>
      </x:c>
      <x:c r="D21" s="26" t="n">
        <x:f>1</x:f>
        <x:v>1</x:v>
      </x:c>
      <x:c r="E21" s="26" t="n">
        <x:v>0.0001</x:v>
      </x:c>
      <x:c r="F21" s="9" t="str">
        <x:f>IF(ABS(C21-D21)&lt;=E21,"PASS","FAIL")</x:f>
        <x:v>PASS</x:v>
      </x:c>
    </x:row>
    <x:row r="22">
      <x:c r="A22" s="9" t="str">
        <x:v>A16</x:v>
      </x:c>
      <x:c r="B22" s="9" t="str">
        <x:v>First tranche reconciles</x:v>
      </x:c>
      <x:c r="C22" s="26" t="n">
        <x:f>'Fiscal Bridge'!D28</x:f>
        <x:v>0.2</x:v>
      </x:c>
      <x:c r="D22" s="26" t="n">
        <x:f>0.2</x:f>
        <x:v>0.2</x:v>
      </x:c>
      <x:c r="E22" s="26" t="n">
        <x:v>0.0001</x:v>
      </x:c>
      <x:c r="F22" s="9" t="str">
        <x:f>IF(ABS(C22-D22)&lt;=E22,"PASS","FAIL")</x:f>
        <x:v>PASS</x:v>
      </x:c>
    </x:row>
    <x:row r="23">
      <x:c r="A23" s="9" t="str">
        <x:v>A17</x:v>
      </x:c>
      <x:c r="B23" s="9" t="str">
        <x:v>First cohort reconciles</x:v>
      </x:c>
      <x:c r="C23" s="26" t="n">
        <x:f>'Fiscal Bridge'!D31</x:f>
        <x:v>27.5</x:v>
      </x:c>
      <x:c r="D23" s="26" t="n">
        <x:f>27.5</x:f>
        <x:v>27.5</x:v>
      </x:c>
      <x:c r="E23" s="26" t="n">
        <x:v>0.0001</x:v>
      </x:c>
      <x:c r="F23" s="9" t="str">
        <x:f>IF(ABS(C23-D23)&lt;=E23,"PASS","FAIL")</x:f>
        <x:v>PASS</x:v>
      </x:c>
    </x:row>
    <x:row r="24">
      <x:c r="A24" s="9" t="str">
        <x:v>A18</x:v>
      </x:c>
      <x:c r="B24" s="9" t="str">
        <x:v>Sentinel ceiling reconciles</x:v>
      </x:c>
      <x:c r="C24" s="26" t="n">
        <x:f>'Fiscal Bridge'!D34</x:f>
        <x:v>15.59</x:v>
      </x:c>
      <x:c r="D24" s="26" t="n">
        <x:f>15.59</x:f>
        <x:v>15.59</x:v>
      </x:c>
      <x:c r="E24" s="26" t="n">
        <x:v>0.0001</x:v>
      </x:c>
      <x:c r="F24" s="9" t="str">
        <x:f>IF(ABS(C24-D24)&lt;=E24,"PASS","FAIL")</x:f>
        <x:v>PASS</x:v>
      </x:c>
    </x:row>
    <x:row r="25">
      <x:c r="A25" s="9" t="str">
        <x:v>A19</x:v>
      </x:c>
      <x:c r="B25" s="9" t="str">
        <x:v>Proof reservation reconciles</x:v>
      </x:c>
      <x:c r="C25" s="26" t="n">
        <x:f>'Fiscal Bridge'!D39</x:f>
        <x:v>43</x:v>
      </x:c>
      <x:c r="D25" s="26" t="n">
        <x:f>43</x:f>
        <x:v>43</x:v>
      </x:c>
      <x:c r="E25" s="26" t="n">
        <x:v>0.0001</x:v>
      </x:c>
      <x:c r="F25" s="9" t="str">
        <x:f>IF(ABS(C25-D25)&lt;=E25,"PASS","FAIL")</x:f>
        <x:v>PASS</x:v>
      </x:c>
    </x:row>
    <x:row r="26">
      <x:c r="A26" s="9" t="str">
        <x:v>A20</x:v>
      </x:c>
      <x:c r="B26" s="9" t="str">
        <x:v>Assigned exposure reconciles</x:v>
      </x:c>
      <x:c r="C26" s="26" t="n">
        <x:f>'Fiscal Bridge'!D44</x:f>
        <x:v>25.040029999999998</x:v>
      </x:c>
      <x:c r="D26" s="26" t="n">
        <x:f>25.04003</x:f>
        <x:v>25.04003</x:v>
      </x:c>
      <x:c r="E26" s="26" t="n">
        <x:v>0.0001</x:v>
      </x:c>
      <x:c r="F26" s="9" t="str">
        <x:f>IF(ABS(C26-D26)&lt;=E26,"PASS","FAIL")</x:f>
        <x:v>PASS</x:v>
      </x:c>
    </x:row>
    <x:row r="27">
      <x:c r="A27" s="9" t="str">
        <x:v>A21</x:v>
      </x:c>
      <x:c r="B27" s="9" t="str">
        <x:v>Proof headroom reconciles</x:v>
      </x:c>
      <x:c r="C27" s="26" t="n">
        <x:f>'Fiscal Bridge'!D45</x:f>
        <x:v>17.959970000000002</x:v>
      </x:c>
      <x:c r="D27" s="26" t="n">
        <x:f>17.95997</x:f>
        <x:v>17.95997</x:v>
      </x:c>
      <x:c r="E27" s="26" t="n">
        <x:v>0.0001</x:v>
      </x:c>
      <x:c r="F27" s="9" t="str">
        <x:f>IF(ABS(C27-D27)&lt;=E27,"PASS","FAIL")</x:f>
        <x:v>PASS</x:v>
      </x:c>
    </x:row>
    <x:row r="28">
      <x:c r="A28" s="9" t="str">
        <x:v>A22</x:v>
      </x:c>
      <x:c r="B28" s="9" t="str">
        <x:v>Owned inventory reconciles</x:v>
      </x:c>
      <x:c r="C28" s="26" t="n">
        <x:f>'Force Bridge'!D11</x:f>
        <x:v>5251</x:v>
      </x:c>
      <x:c r="D28" s="26" t="n">
        <x:f>5251</x:f>
        <x:v>5251</x:v>
      </x:c>
      <x:c r="E28" s="26" t="n">
        <x:v>0</x:v>
      </x:c>
      <x:c r="F28" s="9" t="str">
        <x:f>IF(ABS(C28-D28)&lt;=E28,"PASS","FAIL")</x:f>
        <x:v>PASS</x:v>
      </x:c>
    </x:row>
    <x:row r="29">
      <x:c r="A29" s="9" t="str">
        <x:v>A23</x:v>
      </x:c>
      <x:c r="B29" s="9" t="str">
        <x:v>Ready subset reconciles</x:v>
      </x:c>
      <x:c r="C29" s="26" t="n">
        <x:f>'Force Bridge'!D15</x:f>
        <x:v>3667</x:v>
      </x:c>
      <x:c r="D29" s="26" t="n">
        <x:f>3667</x:f>
        <x:v>3667</x:v>
      </x:c>
      <x:c r="E29" s="26" t="n">
        <x:v>0</x:v>
      </x:c>
      <x:c r="F29" s="9" t="str">
        <x:f>IF(ABS(C29-D29)&lt;=E29,"PASS","FAIL")</x:f>
        <x:v>PASS</x:v>
      </x:c>
    </x:row>
    <x:row r="30">
      <x:c r="A30" s="9" t="str">
        <x:v>A24</x:v>
      </x:c>
      <x:c r="B30" s="9" t="str">
        <x:v>Commitment split reconciles</x:v>
      </x:c>
      <x:c r="C30" s="26" t="n">
        <x:f>'Force Bridge'!D18</x:f>
        <x:v>2420</x:v>
      </x:c>
      <x:c r="D30" s="26" t="n">
        <x:f>2420</x:f>
        <x:v>2420</x:v>
      </x:c>
      <x:c r="E30" s="26" t="n">
        <x:v>0</x:v>
      </x:c>
      <x:c r="F30" s="9" t="str">
        <x:f>IF(ABS(C30-D30)&lt;=E30,"PASS","FAIL")</x:f>
        <x:v>PASS</x:v>
      </x:c>
    </x:row>
    <x:row r="31">
      <x:c r="A31" s="9" t="str">
        <x:v>A25</x:v>
      </x:c>
      <x:c r="B31" s="9" t="str">
        <x:v>Affiliation statuses reconcile</x:v>
      </x:c>
      <x:c r="C31" s="26" t="n">
        <x:f>'Force Bridge'!D24</x:f>
        <x:v>13.0307</x:v>
      </x:c>
      <x:c r="D31" s="26" t="n">
        <x:f>13.0307</x:f>
        <x:v>13.0307</x:v>
      </x:c>
      <x:c r="E31" s="26" t="n">
        <x:v>0.0001</x:v>
      </x:c>
      <x:c r="F31" s="9" t="str">
        <x:f>IF(ABS(C31-D31)&lt;=E31,"PASS","FAIL")</x:f>
        <x:v>PASS</x:v>
      </x:c>
    </x:row>
    <x:row r="32">
      <x:c r="A32" s="9" t="str">
        <x:v>A26</x:v>
      </x:c>
      <x:c r="B32" s="9" t="str">
        <x:v>Pre-reserve capital reconciles</x:v>
      </x:c>
      <x:c r="C32" s="26" t="n">
        <x:f>'Force Bridge'!D27</x:f>
        <x:v>14.51</x:v>
      </x:c>
      <x:c r="D32" s="26" t="n">
        <x:f>14.51</x:f>
        <x:v>14.51</x:v>
      </x:c>
      <x:c r="E32" s="26" t="n">
        <x:v>0.0001</x:v>
      </x:c>
      <x:c r="F32" s="9" t="str">
        <x:f>IF(ABS(C32-D32)&lt;=E32,"PASS","FAIL")</x:f>
        <x:v>PASS</x:v>
      </x:c>
    </x:row>
    <x:row r="33">
      <x:c r="A33" s="9" t="str">
        <x:v>A27</x:v>
      </x:c>
      <x:c r="B33" s="9" t="str">
        <x:v>Capital with reserve reconciles</x:v>
      </x:c>
      <x:c r="C33" s="26" t="n">
        <x:f>'Force Bridge'!D29</x:f>
        <x:v>17.412</x:v>
      </x:c>
      <x:c r="D33" s="26" t="n">
        <x:f>17.412</x:f>
        <x:v>17.412</x:v>
      </x:c>
      <x:c r="E33" s="26" t="n">
        <x:v>0.0001</x:v>
      </x:c>
      <x:c r="F33" s="9" t="str">
        <x:f>IF(ABS(C33-D33)&lt;=E33,"PASS","FAIL")</x:f>
        <x:v>PASS</x:v>
      </x:c>
    </x:row>
    <x:row r="34">
      <x:c r="A34" s="9" t="str">
        <x:v>A28</x:v>
      </x:c>
      <x:c r="B34" s="9" t="str">
        <x:v>All claims have state</x:v>
      </x:c>
      <x:c r="C34" s="26" t="n">
        <x:f>COUNTA('Claim Register'!E7:E34)</x:f>
        <x:v>28</x:v>
      </x:c>
      <x:c r="D34" s="26" t="n">
        <x:f>28</x:f>
        <x:v>28</x:v>
      </x:c>
      <x:c r="E34" s="26" t="n">
        <x:v>0</x:v>
      </x:c>
      <x:c r="F34" s="9" t="str">
        <x:f>IF(ABS(C34-D34)&lt;=E34,"PASS","FAIL")</x:f>
        <x:v>PASS</x:v>
      </x:c>
    </x:row>
    <x:row r="35">
      <x:c r="A35" s="9" t="str">
        <x:v>A29</x:v>
      </x:c>
      <x:c r="B35" s="9" t="str">
        <x:v>All claims prohibit an inference</x:v>
      </x:c>
      <x:c r="C35" s="26" t="n">
        <x:f>COUNTA('Claim Register'!H7:H34)</x:f>
        <x:v>28</x:v>
      </x:c>
      <x:c r="D35" s="26" t="n">
        <x:f>28</x:f>
        <x:v>28</x:v>
      </x:c>
      <x:c r="E35" s="26" t="n">
        <x:v>0</x:v>
      </x:c>
      <x:c r="F35" s="9" t="str">
        <x:f>IF(ABS(C35-D35)&lt;=E35,"PASS","FAIL")</x:f>
        <x:v>PASS</x:v>
      </x:c>
    </x:row>
    <x:row r="36">
      <x:c r="A36" s="9" t="str">
        <x:v>A30</x:v>
      </x:c>
      <x:c r="B36" s="9" t="str">
        <x:v>All quantities have unit</x:v>
      </x:c>
      <x:c r="C36" s="26" t="n">
        <x:f>COUNTA('Quantity Register'!E7:E49)</x:f>
        <x:v>43</x:v>
      </x:c>
      <x:c r="D36" s="26" t="n">
        <x:f>43</x:f>
        <x:v>43</x:v>
      </x:c>
      <x:c r="E36" s="26" t="n">
        <x:v>0</x:v>
      </x:c>
      <x:c r="F36" s="9" t="str">
        <x:f>IF(ABS(C36-D36)&lt;=E36,"PASS","FAIL")</x:f>
        <x:v>PASS</x:v>
      </x:c>
    </x:row>
    <x:row r="37">
      <x:c r="A37" s="9" t="str">
        <x:v>A31</x:v>
      </x:c>
      <x:c r="B37" s="9" t="str">
        <x:v>All quantities have scope</x:v>
      </x:c>
      <x:c r="C37" s="26" t="n">
        <x:f>COUNTA('Quantity Register'!F7:F49)</x:f>
        <x:v>43</x:v>
      </x:c>
      <x:c r="D37" s="26" t="n">
        <x:f>43</x:f>
        <x:v>43</x:v>
      </x:c>
      <x:c r="E37" s="26" t="n">
        <x:v>0</x:v>
      </x:c>
      <x:c r="F37" s="9" t="str">
        <x:f>IF(ABS(C37-D37)&lt;=E37,"PASS","FAIL")</x:f>
        <x:v>PASS</x:v>
      </x:c>
    </x:row>
    <x:row r="38">
      <x:c r="A38" s="9" t="str">
        <x:v>A32</x:v>
      </x:c>
      <x:c r="B38" s="9" t="str">
        <x:v>All quantities have state</x:v>
      </x:c>
      <x:c r="C38" s="26" t="n">
        <x:f>COUNTA('Quantity Register'!H7:H49)</x:f>
        <x:v>43</x:v>
      </x:c>
      <x:c r="D38" s="26" t="n">
        <x:f>43</x:f>
        <x:v>43</x:v>
      </x:c>
      <x:c r="E38" s="26" t="n">
        <x:v>0</x:v>
      </x:c>
      <x:c r="F38" s="9" t="str">
        <x:f>IF(ABS(C38-D38)&lt;=E38,"PASS","FAIL")</x:f>
        <x:v>PASS</x:v>
      </x:c>
    </x:row>
    <x:row r="39">
      <x:c r="A39" s="9" t="str">
        <x:v>A33</x:v>
      </x:c>
      <x:c r="B39" s="9" t="str">
        <x:v>All quantities have relation</x:v>
      </x:c>
      <x:c r="C39" s="26" t="n">
        <x:f>COUNTA('Quantity Register'!J7:J49)</x:f>
        <x:v>43</x:v>
      </x:c>
      <x:c r="D39" s="26" t="n">
        <x:f>43</x:f>
        <x:v>43</x:v>
      </x:c>
      <x:c r="E39" s="26" t="n">
        <x:v>0</x:v>
      </x:c>
      <x:c r="F39" s="9" t="str">
        <x:f>IF(ABS(C39-D39)&lt;=E39,"PASS","FAIL")</x:f>
        <x:v>PASS</x:v>
      </x:c>
    </x:row>
    <x:row r="40">
      <x:c r="A40" s="9" t="str">
        <x:v>A34</x:v>
      </x:c>
      <x:c r="B40" s="9" t="str">
        <x:v>All quantities have use limit</x:v>
      </x:c>
      <x:c r="C40" s="26" t="n">
        <x:f>COUNTA('Quantity Register'!L7:L49)</x:f>
        <x:v>43</x:v>
      </x:c>
      <x:c r="D40" s="26" t="n">
        <x:f>43</x:f>
        <x:v>43</x:v>
      </x:c>
      <x:c r="E40" s="26" t="n">
        <x:v>0</x:v>
      </x:c>
      <x:c r="F40" s="9" t="str">
        <x:f>IF(ABS(C40-D40)&lt;=E40,"PASS","FAIL")</x:f>
        <x:v>PASS</x:v>
      </x:c>
    </x:row>
    <x:row r="41">
      <x:c r="A41" s="9" t="str">
        <x:v>A35</x:v>
      </x:c>
      <x:c r="B41" s="9" t="str">
        <x:v>SYN pass count</x:v>
      </x:c>
      <x:c r="C41" s="26" t="n">
        <x:f>Inputs!B17</x:f>
        <x:v>2</x:v>
      </x:c>
      <x:c r="D41" s="26" t="n">
        <x:f>2</x:f>
        <x:v>2</x:v>
      </x:c>
      <x:c r="E41" s="26" t="n">
        <x:v>0</x:v>
      </x:c>
      <x:c r="F41" s="9" t="str">
        <x:f>IF(ABS(C41-D41)&lt;=E41,"PASS","FAIL")</x:f>
        <x:v>PASS</x:v>
      </x:c>
    </x:row>
    <x:row r="42">
      <x:c r="A42" s="9" t="str">
        <x:v>A36</x:v>
      </x:c>
      <x:c r="B42" s="9" t="str">
        <x:v>SYN remains inside budget</x:v>
      </x:c>
      <x:c r="C42" s="26" t="n">
        <x:f>IF(Inputs!B17&lt;Inputs!B18,1,0)</x:f>
        <x:v>1</x:v>
      </x:c>
      <x:c r="D42" s="26" t="n">
        <x:f>1</x:f>
        <x:v>1</x:v>
      </x:c>
      <x:c r="E42" s="26" t="n">
        <x:v>0</x:v>
      </x:c>
      <x:c r="F42" s="9" t="str">
        <x:f>IF(ABS(C42-D42)&lt;=E42,"PASS","FAIL")</x:f>
        <x:v>PASS</x:v>
      </x:c>
    </x:row>
    <x:row r="43">
      <x:c r="A43" s="9" t="str">
        <x:v>A37</x:v>
      </x:c>
      <x:c r="B43" s="9" t="str">
        <x:v>Open-item ledger remains one</x:v>
      </x:c>
      <x:c r="C43" s="26" t="n">
        <x:f>Inputs!B19</x:f>
        <x:v>1</x:v>
      </x:c>
      <x:c r="D43" s="26" t="n">
        <x:f>1</x:f>
        <x:v>1</x:v>
      </x:c>
      <x:c r="E43" s="26" t="n">
        <x:v>0</x:v>
      </x:c>
      <x:c r="F43" s="9" t="str">
        <x:f>IF(ABS(C43-D43)&lt;=E43,"PASS","FAIL")</x:f>
        <x:v>PASS</x:v>
      </x:c>
    </x:row>
    <x:row r="44">
      <x:c r="A44" s="9" t="str">
        <x:v>A38</x:v>
      </x:c>
      <x:c r="B44" s="9" t="str">
        <x:v>Publication authority remains zero</x:v>
      </x:c>
      <x:c r="C44" s="26" t="n">
        <x:f>Inputs!B20</x:f>
        <x:v>0</x:v>
      </x:c>
      <x:c r="D44" s="26" t="n">
        <x:f>0</x:f>
        <x:v>0</x:v>
      </x:c>
      <x:c r="E44" s="26" t="n">
        <x:v>0</x:v>
      </x:c>
      <x:c r="F44" s="9" t="str">
        <x:f>IF(ABS(C44-D44)&lt;=E44,"PASS","FAIL")</x:f>
        <x:v>PASS</x:v>
      </x:c>
    </x:row>
    <x:row r="45">
      <x:c r="A45" s="9" t="str">
        <x:v>A39</x:v>
      </x:c>
      <x:c r="B45" s="9" t="str">
        <x:v>Evidence promotions remain zero</x:v>
      </x:c>
      <x:c r="C45" s="26" t="n">
        <x:f>Inputs!B21</x:f>
        <x:v>0</x:v>
      </x:c>
      <x:c r="D45" s="26" t="n">
        <x:f>0</x:f>
        <x:v>0</x:v>
      </x:c>
      <x:c r="E45" s="26" t="n">
        <x:v>0</x:v>
      </x:c>
      <x:c r="F45" s="9" t="str">
        <x:f>IF(ABS(C45-D45)&lt;=E45,"PASS","FAIL")</x:f>
        <x:v>PASS</x:v>
      </x:c>
    </x:row>
    <x:row r="46">
      <x:c r="A46" s="9" t="str">
        <x:v>A40</x:v>
      </x:c>
      <x:c r="B46" s="9" t="str">
        <x:v>Rendering issues remain zero</x:v>
      </x:c>
      <x:c r="C46" s="26" t="n">
        <x:f>Inputs!B22</x:f>
        <x:v>0</x:v>
      </x:c>
      <x:c r="D46" s="26" t="n">
        <x:f>0</x:f>
        <x:v>0</x:v>
      </x:c>
      <x:c r="E46" s="26" t="n">
        <x:v>0</x:v>
      </x:c>
      <x:c r="F46" s="9" t="str">
        <x:f>IF(ABS(C46-D46)&lt;=E46,"PASS","FAIL")</x:f>
        <x:v>PASS</x:v>
      </x:c>
    </x:row>
  </x:sheetData>
  <x:conditionalFormatting sqref="F7:F46">
    <x:cfRule type="containsText" dxfId="117" priority="1" operator="containsText" text="OPEN"/>
    <x:cfRule type="containsText" dxfId="118" priority="2" operator="containsText" text="PARTIAL"/>
    <x:cfRule type="containsText" dxfId="119" priority="3" operator="containsText" text="HOLD"/>
    <x:cfRule type="containsText" dxfId="120" priority="4" operator="containsText" text="RETIRE"/>
    <x:cfRule type="containsText" dxfId="121" priority="5" operator="containsText" text="UNRESOLVED"/>
    <x:cfRule type="containsText" dxfId="122" priority="6" operator="containsText" text="FAIL"/>
    <x:cfRule type="containsText" dxfId="123" priority="7" operator="containsText" text="PROHIBITED"/>
    <x:cfRule type="containsText" dxfId="124" priority="8" operator="containsText" text="CONTRADICTION"/>
    <x:cfRule type="containsText" dxfId="125" priority="9" operator="containsText" text="PASS"/>
    <x:cfRule type="containsText" dxfId="126" priority="10" operator="containsText" text="CLOSED"/>
    <x:cfRule type="containsText" dxfId="127" priority="11" operator="containsText" text="CONTROLLING"/>
    <x:cfRule type="containsText" dxfId="128" priority="12" operator="containsText" text="RECONCILED"/>
    <x:cfRule type="containsText" dxfId="129" priority="13" operator="containsText" text="SUPERSEDED"/>
  </x:conditionalFormatting>
  <x:pageMargins left="0.7" right="0.7" top="0.75" bottom="0.75" header="0.3" footer="0.3"/>
  <x:tableParts count="1">
    <x:tablePart xmlns:r="http://schemas.openxmlformats.org/officeDocument/2006/relationships" r:id="R178d7ae527344519"/>
  </x:tableParts>
</x:worksheet>
</file>

<file path=xl/worksheets/sheet12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30" hidden="0" customWidth="1"/>
    <x:col min="2" max="2" width="12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9"/>
      <x:c r="B1" s="9"/>
      <x:c r="C1" s="9"/>
      <x:c r="D1" s="9"/>
      <x:c r="E1" s="9"/>
      <x:c r="F1" s="9"/>
    </x:row>
    <x:row r="2">
      <x:c r="A2" s="27" t="str">
        <x:v>Method, interpretation and limits</x:v>
      </x:c>
      <x:c r="B2" s="10"/>
      <x:c r="C2" s="10"/>
      <x:c r="D2" s="10"/>
      <x:c r="E2" s="10"/>
      <x:c r="F2" s="10"/>
    </x:row>
    <x:row r="3">
      <x:c r="A3" s="9"/>
      <x:c r="B3" s="9"/>
      <x:c r="C3" s="9"/>
      <x:c r="D3" s="9"/>
      <x:c r="E3" s="9"/>
      <x:c r="F3" s="9"/>
    </x:row>
    <x:row r="4">
      <x:c r="A4" s="11"/>
      <x:c r="B4" s="11"/>
      <x:c r="C4" s="11"/>
      <x:c r="D4" s="11"/>
      <x:c r="E4" s="11"/>
      <x:c r="F4" s="11"/>
    </x:row>
    <x:row r="5">
      <x:c r="A5" s="9"/>
      <x:c r="B5" s="9"/>
      <x:c r="C5" s="9"/>
      <x:c r="D5" s="9"/>
      <x:c r="E5" s="9"/>
      <x:c r="F5" s="9"/>
    </x:row>
    <x:row r="6" ht="34" customHeight="1">
      <x:c r="A6" s="31" t="str">
        <x:v>Topic</x:v>
      </x:c>
      <x:c r="B6" s="31" t="str">
        <x:v>Explanation</x:v>
      </x:c>
      <x:c r="C6" s="9"/>
      <x:c r="D6" s="9"/>
      <x:c r="E6" s="9"/>
      <x:c r="F6" s="9"/>
    </x:row>
    <x:row r="7">
      <x:c r="A7" s="9" t="str">
        <x:v>Decision</x:v>
      </x:c>
      <x:c r="B7" s="16" t="str">
        <x:v>SYN-2 reconciles the controlling claims and quantities that may enter the final manuscript.</x:v>
      </x:c>
      <x:c r="C7" s="9"/>
      <x:c r="D7" s="9"/>
      <x:c r="E7" s="9"/>
      <x:c r="F7" s="9"/>
    </x:row>
    <x:row r="8">
      <x:c r="A8" s="9" t="str">
        <x:v>Audience</x:v>
      </x:c>
      <x:c r="B8" s="16" t="str">
        <x:v>Senior national-security, infrastructure, public-health, humanitarian, industrial-policy and science leadership.</x:v>
      </x:c>
      <x:c r="C8" s="9"/>
      <x:c r="D8" s="9"/>
      <x:c r="E8" s="9"/>
      <x:c r="F8" s="9"/>
    </x:row>
    <x:row r="9">
      <x:c r="A9" s="9" t="str">
        <x:v>Claim rule</x:v>
      </x:c>
      <x:c r="B9" s="16" t="str">
        <x:v>One claim has one controlling chapter, state, source, qualifier and prohibited inference.</x:v>
      </x:c>
      <x:c r="C9" s="9"/>
      <x:c r="D9" s="9"/>
      <x:c r="E9" s="9"/>
      <x:c r="F9" s="9"/>
    </x:row>
    <x:row r="10">
      <x:c r="A10" s="9" t="str">
        <x:v>Quantity rule</x:v>
      </x:c>
      <x:c r="B10" s="16" t="str">
        <x:v>Every quantity retains unit, scope, time basis, state, relation, owner and permitted use.</x:v>
      </x:c>
      <x:c r="C10" s="9"/>
      <x:c r="D10" s="9"/>
      <x:c r="E10" s="9"/>
      <x:c r="F10" s="9"/>
    </x:row>
    <x:row r="11">
      <x:c r="A11" s="9" t="str">
        <x:v>Mature scale</x:v>
      </x:c>
      <x:c r="B11" s="16" t="str">
        <x:v>USD68.4T comprises USD1.00T technology, USD17.4T capital and USD50.0T ramped operations over twenty-five years.</x:v>
      </x:c>
      <x:c r="C11" s="9"/>
      <x:c r="D11" s="9"/>
      <x:c r="E11" s="9"/>
      <x:c r="F11" s="9"/>
    </x:row>
    <x:row r="12">
      <x:c r="A12" s="9" t="str">
        <x:v>Technology scale</x:v>
      </x:c>
      <x:c r="B12" s="16" t="str">
        <x:v>USD1.00T is a program account, not total Department cost. Account and wave views are the same money.</x:v>
      </x:c>
      <x:c r="C12" s="9"/>
      <x:c r="D12" s="9"/>
      <x:c r="E12" s="9"/>
      <x:c r="F12" s="9"/>
    </x:row>
    <x:row r="13">
      <x:c r="A13" s="9" t="str">
        <x:v>Force scale</x:v>
      </x:c>
      <x:c r="B13" s="16" t="str">
        <x:v>2,420 is concurrent demand; 5,251 is owned inventory; 13.0M is affiliation, not payroll or deployed strength.</x:v>
      </x:c>
      <x:c r="C13" s="9"/>
      <x:c r="D13" s="9"/>
      <x:c r="E13" s="9"/>
      <x:c r="F13" s="9"/>
    </x:row>
    <x:row r="14">
      <x:c r="A14" s="9" t="str">
        <x:v>Nested amounts</x:v>
      </x:c>
      <x:c r="B14" s="16" t="str">
        <x:v>Tranche, cohort, sentinel, proof-wave and assigned-exposure figures overlap and are never summed as one total.</x:v>
      </x:c>
      <x:c r="C14" s="9"/>
      <x:c r="D14" s="9"/>
      <x:c r="E14" s="9"/>
      <x:c r="F14" s="9"/>
    </x:row>
    <x:row r="15">
      <x:c r="A15" s="9" t="str">
        <x:v>Evidence</x:v>
      </x:c>
      <x:c r="B15" s="16" t="str">
        <x:v>Reconciliation does not promote planning, a ceiling or an unexecuted experiment into observation.</x:v>
      </x:c>
      <x:c r="C15" s="9"/>
      <x:c r="D15" s="9"/>
      <x:c r="E15" s="9"/>
      <x:c r="F15" s="9"/>
    </x:row>
    <x:row r="16">
      <x:c r="A16" s="9" t="str">
        <x:v>Editorial result</x:v>
      </x:c>
      <x:c r="B16" s="16" t="str">
        <x:v>Eight gates close. Fifty-seven of seventy now close, an 81.4% editorial screen only.</x:v>
      </x:c>
      <x:c r="C16" s="9"/>
      <x:c r="D16" s="9"/>
      <x:c r="E16" s="9"/>
      <x:c r="F16" s="9"/>
    </x:row>
    <x:row r="17">
      <x:c r="A17" s="9" t="str">
        <x:v>Rendering</x:v>
      </x:c>
      <x:c r="B17" s="16" t="str">
        <x:v>Exterior and vehicle rendering remains held. Financial reconciliation creates no form authority.</x:v>
      </x:c>
      <x:c r="C17" s="9"/>
      <x:c r="D17" s="9"/>
      <x:c r="E17" s="9"/>
      <x:c r="F17" s="9"/>
    </x:row>
    <x:row r="18">
      <x:c r="A18" s="9" t="str">
        <x:v>Sources</x:v>
      </x:c>
      <x:c r="B18" s="16" t="str">
        <x:v>All sources are internal repository decisions. No external sites or web content are used.</x:v>
      </x:c>
      <x:c r="C18" s="9"/>
      <x:c r="D18" s="9"/>
      <x:c r="E18" s="9"/>
      <x:c r="F18" s="9"/>
    </x:row>
    <x:row r="19">
      <x:c r="A19" s="9" t="str">
        <x:v>Workbook flow</x:v>
      </x:c>
      <x:c r="B19" s="16" t="str">
        <x:v>Inputs feed force and fiscal bridges; registers and bridges feed Summary. Audit feeds no result.</x:v>
      </x:c>
      <x:c r="C19" s="9"/>
      <x:c r="D19" s="9"/>
      <x:c r="E19" s="9"/>
      <x:c r="F19" s="9"/>
    </x:row>
    <x:row r="20">
      <x:c r="A20" s="9" t="str">
        <x:v>Mutation protocol</x:v>
      </x:c>
      <x:c r="B20" s="16" t="str">
        <x:v>Twenty source changes were applied one at a time, failed the named audit and restored before export.</x:v>
      </x:c>
      <x:c r="C20" s="9"/>
      <x:c r="D20" s="9"/>
      <x:c r="E20" s="9"/>
      <x:c r="F20" s="9"/>
    </x:row>
    <x:row r="21">
      <x:c r="A21" s="9" t="str">
        <x:v>Limit</x:v>
      </x:c>
      <x:c r="B21" s="16" t="str">
        <x:v>This workbook does not certify factual truth, feasibility, cost, procurement, implementation, readiness or publication release.</x:v>
      </x:c>
      <x:c r="C21" s="9"/>
      <x:c r="D21" s="9"/>
      <x:c r="E21" s="9"/>
      <x:c r="F21" s="9"/>
    </x:row>
  </x:sheetData>
  <x:pageMargins left="0.7" right="0.7" top="0.75" bottom="0.75" header="0.3" footer="0.3"/>
  <x:tableParts count="1">
    <x:tablePart xmlns:r="http://schemas.openxmlformats.org/officeDocument/2006/relationships" r:id="Ra6636a80981b496b"/>
  </x:tableParts>
</x:worksheet>
</file>