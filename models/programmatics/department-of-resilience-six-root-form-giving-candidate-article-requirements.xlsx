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8.xml" ContentType="application/vnd.openxmlformats-officedocument.spreadsheetml.worksheet+xml"/>
  <Override PartName="/xl/worksheets/sheet6.xml" ContentType="application/vnd.openxmlformats-officedocument.spreadsheetml.worksheet+xml"/>
  <Override PartName="/xl/worksheets/sheet19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20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Controls" sheetId="2" state="visible" r:id="rId4"/>
    <sheet name="Alternatives" sheetId="3" state="visible" r:id="rId5"/>
    <sheet name="Package Grammar" sheetId="4" state="visible" r:id="rId6"/>
    <sheet name="Candidate Articles" sheetId="5" state="visible" r:id="rId7"/>
    <sheet name="Parent Burdens" sheetId="6" state="visible" r:id="rId8"/>
    <sheet name="Form Loads" sheetId="7" state="visible" r:id="rId9"/>
    <sheet name="Interfaces" sheetId="8" state="visible" r:id="rId10"/>
    <sheet name="Denial Worlds" sheetId="9" state="visible" r:id="rId11"/>
    <sheet name="Endpoint Rules" sheetId="10" state="visible" r:id="rId12"/>
    <sheet name="Technology Campaigns" sheetId="11" state="visible" r:id="rId13"/>
    <sheet name="Finance" sheetId="12" state="visible" r:id="rId14"/>
    <sheet name="Payment Stages" sheetId="13" state="visible" r:id="rId15"/>
    <sheet name="Release Gates" sheetId="14" state="visible" r:id="rId16"/>
    <sheet name="Nonconversions" sheetId="15" state="visible" r:id="rId17"/>
    <sheet name="Requirement Crosswalk" sheetId="16" state="visible" r:id="rId18"/>
    <sheet name="Stress Tests" sheetId="17" state="visible" r:id="rId19"/>
    <sheet name="Mutations" sheetId="18" state="visible" r:id="rId20"/>
    <sheet name="Audit" sheetId="19" state="visible" r:id="rId21"/>
    <sheet name="Sources &amp; Limits" sheetId="20" state="visible" r:id="rId2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<sst xmlns="http://schemas.openxmlformats.org/spreadsheetml/2006/main" count="4817" uniqueCount="1362">
  <si>
    <t xml:space="preserve">FGR-1 Six-Root Form-Giving Candidate Requirements</t>
  </si>
  <si>
    <t xml:space="preserve">Verdict: CLOSE. Six asymmetric causal-interface articles now have controlled loads, interfaces, denial worlds and technology campaigns. Internal architecture is next; exterior form remains held.</t>
  </si>
  <si>
    <t xml:space="preserve">Decision</t>
  </si>
  <si>
    <t xml:space="preserve">Result</t>
  </si>
  <si>
    <t xml:space="preserve">Unit</t>
  </si>
  <si>
    <t xml:space="preserve">State</t>
  </si>
  <si>
    <t xml:space="preserve">Why it matters</t>
  </si>
  <si>
    <t xml:space="preserve">Current authority</t>
  </si>
  <si>
    <t xml:space="preserve">Held conversion</t>
  </si>
  <si>
    <t xml:space="preserve">Next parent question</t>
  </si>
  <si>
    <t xml:space="preserve">requirement architecture</t>
  </si>
  <si>
    <t xml:space="preserve">causal-interface packages</t>
  </si>
  <si>
    <t xml:space="preserve">architecture</t>
  </si>
  <si>
    <t xml:space="preserve">SELECTED</t>
  </si>
  <si>
    <t xml:space="preserve">full nonlinear interface; open exterior</t>
  </si>
  <si>
    <t xml:space="preserve">FGR-1</t>
  </si>
  <si>
    <t xml:space="preserve">requirement to platform</t>
  </si>
  <si>
    <t xml:space="preserve">internal section grammar</t>
  </si>
  <si>
    <t xml:space="preserve">candidate packages</t>
  </si>
  <si>
    <t xml:space="preserve">count</t>
  </si>
  <si>
    <t xml:space="preserve">CONSTITUTED</t>
  </si>
  <si>
    <t xml:space="preserve">one asymmetric article per sentinel</t>
  </si>
  <si>
    <t xml:space="preserve">package to article</t>
  </si>
  <si>
    <t xml:space="preserve">mass-energy closure</t>
  </si>
  <si>
    <t xml:space="preserve">package clauses</t>
  </si>
  <si>
    <t xml:space="preserve">sixteen obligations per package</t>
  </si>
  <si>
    <t xml:space="preserve">field to evidence</t>
  </si>
  <si>
    <t xml:space="preserve">controlled sections</t>
  </si>
  <si>
    <t xml:space="preserve">form-load records</t>
  </si>
  <si>
    <t xml:space="preserve">FROZEN</t>
  </si>
  <si>
    <t xml:space="preserve">shape follows explicit burdens</t>
  </si>
  <si>
    <t xml:space="preserve">target to result</t>
  </si>
  <si>
    <t xml:space="preserve">root-native balances</t>
  </si>
  <si>
    <t xml:space="preserve">interfaces</t>
  </si>
  <si>
    <t xml:space="preserve">causal boundaries stay root native</t>
  </si>
  <si>
    <t xml:space="preserve">public seam to common tech</t>
  </si>
  <si>
    <t xml:space="preserve">interface drawings</t>
  </si>
  <si>
    <t xml:space="preserve">denial worlds</t>
  </si>
  <si>
    <t xml:space="preserve">failure remains designed evidence</t>
  </si>
  <si>
    <t xml:space="preserve">denial to likelihood</t>
  </si>
  <si>
    <t xml:space="preserve">safe-state sections</t>
  </si>
  <si>
    <t xml:space="preserve">endpoint rules</t>
  </si>
  <si>
    <t xml:space="preserve">balance resizes; keystone kills</t>
  </si>
  <si>
    <t xml:space="preserve">A2C-1</t>
  </si>
  <si>
    <t xml:space="preserve">subsystem surplus to pass</t>
  </si>
  <si>
    <t xml:space="preserve">measurement sections</t>
  </si>
  <si>
    <t xml:space="preserve">technology campaigns</t>
  </si>
  <si>
    <t xml:space="preserve">innovation follows limiting physics</t>
  </si>
  <si>
    <t xml:space="preserve">program to success</t>
  </si>
  <si>
    <t xml:space="preserve">root-native work</t>
  </si>
  <si>
    <t xml:space="preserve">private option ceiling</t>
  </si>
  <si>
    <t xml:space="preserve">USD B</t>
  </si>
  <si>
    <t xml:space="preserve">UNCHANGED</t>
  </si>
  <si>
    <t xml:space="preserve">workstreams and stages cross-classify once</t>
  </si>
  <si>
    <t xml:space="preserve">A2C-5</t>
  </si>
  <si>
    <t xml:space="preserve">authority to cost</t>
  </si>
  <si>
    <t xml:space="preserve">accepted artifacts</t>
  </si>
  <si>
    <t xml:space="preserve">release gates</t>
  </si>
  <si>
    <t xml:space="preserve">30 CONSTITUTED / 42 OPEN</t>
  </si>
  <si>
    <t xml:space="preserve">requirements precede evidence</t>
  </si>
  <si>
    <t xml:space="preserve">gate to capability</t>
  </si>
  <si>
    <t xml:space="preserve">seven evidence gates</t>
  </si>
  <si>
    <t xml:space="preserve">observations</t>
  </si>
  <si>
    <t xml:space="preserve">SOURCE EMPTY</t>
  </si>
  <si>
    <t xml:space="preserve">no physical article exists</t>
  </si>
  <si>
    <t xml:space="preserve">none</t>
  </si>
  <si>
    <t xml:space="preserve">model to evidence</t>
  </si>
  <si>
    <t xml:space="preserve">representative events</t>
  </si>
  <si>
    <t xml:space="preserve">capability credit</t>
  </si>
  <si>
    <t xml:space="preserve">HELD</t>
  </si>
  <si>
    <t xml:space="preserve">article architecture is not readiness</t>
  </si>
  <si>
    <t xml:space="preserve">architecture to force</t>
  </si>
  <si>
    <t xml:space="preserve">later proof</t>
  </si>
  <si>
    <t xml:space="preserve">production authority</t>
  </si>
  <si>
    <t xml:space="preserve">six sentinels retain sibling roots</t>
  </si>
  <si>
    <t xml:space="preserve">survival to winner</t>
  </si>
  <si>
    <t xml:space="preserve">complete-root proof</t>
  </si>
  <si>
    <t xml:space="preserve">rendering authority</t>
  </si>
  <si>
    <t xml:space="preserve">exterior follows internal closure</t>
  </si>
  <si>
    <t xml:space="preserve">envelope to image</t>
  </si>
  <si>
    <t xml:space="preserve">separate form warrant</t>
  </si>
  <si>
    <t xml:space="preserve">Terminal test</t>
  </si>
  <si>
    <t xml:space="preserve">Observed</t>
  </si>
  <si>
    <t xml:space="preserve">eligible architecture</t>
  </si>
  <si>
    <t xml:space="preserve">packages</t>
  </si>
  <si>
    <t xml:space="preserve">form loads</t>
  </si>
  <si>
    <t xml:space="preserve">audit failures</t>
  </si>
  <si>
    <t xml:space="preserve">capability</t>
  </si>
  <si>
    <t xml:space="preserve">rendering</t>
  </si>
  <si>
    <t xml:space="preserve">Authoritative FGR-1 controls</t>
  </si>
  <si>
    <t xml:space="preserve">Blue cells are planning controls. They preserve prior authority and deliberate zero states; they are not physical evidence.</t>
  </si>
  <si>
    <t xml:space="preserve">Control</t>
  </si>
  <si>
    <t xml:space="preserve">Value</t>
  </si>
  <si>
    <t xml:space="preserve">Authority</t>
  </si>
  <si>
    <t xml:space="preserve">Meaning</t>
  </si>
  <si>
    <t xml:space="preserve">mission systems</t>
  </si>
  <si>
    <t xml:space="preserve">constituted planning boundary</t>
  </si>
  <si>
    <t xml:space="preserve">requirement packages</t>
  </si>
  <si>
    <t xml:space="preserve">clauses per package</t>
  </si>
  <si>
    <t xml:space="preserve">form loads per package</t>
  </si>
  <si>
    <t xml:space="preserve">interfaces per package</t>
  </si>
  <si>
    <t xml:space="preserve">interface records</t>
  </si>
  <si>
    <t xml:space="preserve">denial worlds per package</t>
  </si>
  <si>
    <t xml:space="preserve">denial-world records</t>
  </si>
  <si>
    <t xml:space="preserve">constituted release gates</t>
  </si>
  <si>
    <t xml:space="preserve">open evidence gates</t>
  </si>
  <si>
    <t xml:space="preserve">decisive physics share</t>
  </si>
  <si>
    <t xml:space="preserve">share</t>
  </si>
  <si>
    <t xml:space="preserve">C3-SPW</t>
  </si>
  <si>
    <t xml:space="preserve">complete article share</t>
  </si>
  <si>
    <t xml:space="preserve">independent proving share</t>
  </si>
  <si>
    <t xml:space="preserve">reproduction share</t>
  </si>
  <si>
    <t xml:space="preserve">FRAME share</t>
  </si>
  <si>
    <t xml:space="preserve">MAKE share</t>
  </si>
  <si>
    <t xml:space="preserve">BREAK share</t>
  </si>
  <si>
    <t xml:space="preserve">TRANSFER share</t>
  </si>
  <si>
    <t xml:space="preserve">sites</t>
  </si>
  <si>
    <t xml:space="preserve">implementation state held</t>
  </si>
  <si>
    <t xml:space="preserve">firms</t>
  </si>
  <si>
    <t xml:space="preserve">awards</t>
  </si>
  <si>
    <t xml:space="preserve">obligations</t>
  </si>
  <si>
    <t xml:space="preserve">payments</t>
  </si>
  <si>
    <t xml:space="preserve">Candidate-requirement architecture hard-gate test</t>
  </si>
  <si>
    <t xml:space="preserve">The selected architecture fixes public burdens and causal interfaces without choosing a common vehicle, contractor-defined test or complete-root build.</t>
  </si>
  <si>
    <t xml:space="preserve">Architecture</t>
  </si>
  <si>
    <t xml:space="preserve">public denominator</t>
  </si>
  <si>
    <t xml:space="preserve">root-native boundary</t>
  </si>
  <si>
    <t xml:space="preserve">full-scale causal interface</t>
  </si>
  <si>
    <t xml:space="preserve">no hidden host support</t>
  </si>
  <si>
    <t xml:space="preserve">unlike mechanisms</t>
  </si>
  <si>
    <t xml:space="preserve">denial explicit</t>
  </si>
  <si>
    <t xml:space="preserve">fatal result</t>
  </si>
  <si>
    <t xml:space="preserve">safe state</t>
  </si>
  <si>
    <t xml:space="preserve">residual custody</t>
  </si>
  <si>
    <t xml:space="preserve">cold reconstruction</t>
  </si>
  <si>
    <t xml:space="preserve">bounded money</t>
  </si>
  <si>
    <t xml:space="preserve">exterior held</t>
  </si>
  <si>
    <t xml:space="preserve">Passes</t>
  </si>
  <si>
    <t xml:space="preserve">Eligible</t>
  </si>
  <si>
    <t xml:space="preserve">causal-interface requirement packages</t>
  </si>
  <si>
    <t xml:space="preserve">common platform outline</t>
  </si>
  <si>
    <t xml:space="preserve">output-only service contract</t>
  </si>
  <si>
    <t xml:space="preserve">contractor-authored specification</t>
  </si>
  <si>
    <t xml:space="preserve">complete-root first article</t>
  </si>
  <si>
    <t xml:space="preserve">Ninety-six clauses across six requirement packages</t>
  </si>
  <si>
    <t xml:space="preserve">A common field grammar makes obligations legible. It does not make candidate physics, control or structure common.</t>
  </si>
  <si>
    <t xml:space="preserve">Record</t>
  </si>
  <si>
    <t xml:space="preserve">System</t>
  </si>
  <si>
    <t xml:space="preserve">Root</t>
  </si>
  <si>
    <t xml:space="preserve">Clause</t>
  </si>
  <si>
    <t xml:space="preserve">Requirement field</t>
  </si>
  <si>
    <t xml:space="preserve">Article</t>
  </si>
  <si>
    <t xml:space="preserve">Root-native content</t>
  </si>
  <si>
    <t xml:space="preserve">Observed?</t>
  </si>
  <si>
    <t xml:space="preserve">Cannot infer</t>
  </si>
  <si>
    <t xml:space="preserve">ET-A-C01</t>
  </si>
  <si>
    <t xml:space="preserve">MS-ET</t>
  </si>
  <si>
    <t xml:space="preserve">ET-A</t>
  </si>
  <si>
    <t xml:space="preserve">C01</t>
  </si>
  <si>
    <t xml:space="preserve">Public denominator</t>
  </si>
  <si>
    <t xml:space="preserve">Pelagic exchange cell</t>
  </si>
  <si>
    <t xml:space="preserve">moving source through dry custody and onward handoff</t>
  </si>
  <si>
    <t xml:space="preserve">NO</t>
  </si>
  <si>
    <t xml:space="preserve">architecture or evidence</t>
  </si>
  <si>
    <t xml:space="preserve">ET-A-C02</t>
  </si>
  <si>
    <t xml:space="preserve">C02</t>
  </si>
  <si>
    <t xml:space="preserve">Article boundary</t>
  </si>
  <si>
    <t xml:space="preserve">ET-A-C03</t>
  </si>
  <si>
    <t xml:space="preserve">C03</t>
  </si>
  <si>
    <t xml:space="preserve">Full-scale causal interface</t>
  </si>
  <si>
    <t xml:space="preserve">ET-A-C04</t>
  </si>
  <si>
    <t xml:space="preserve">C04</t>
  </si>
  <si>
    <t xml:space="preserve">Parent-root scale context</t>
  </si>
  <si>
    <t xml:space="preserve">ET-A-C05</t>
  </si>
  <si>
    <t xml:space="preserve">C05</t>
  </si>
  <si>
    <t xml:space="preserve">Load histories</t>
  </si>
  <si>
    <t xml:space="preserve">ET-A-C06</t>
  </si>
  <si>
    <t xml:space="preserve">C06</t>
  </si>
  <si>
    <t xml:space="preserve">Receiver states</t>
  </si>
  <si>
    <t xml:space="preserve">ET-A-C07</t>
  </si>
  <si>
    <t xml:space="preserve">C07</t>
  </si>
  <si>
    <t xml:space="preserve">Denied dependencies</t>
  </si>
  <si>
    <t xml:space="preserve">ET-A-C08</t>
  </si>
  <si>
    <t xml:space="preserve">C08</t>
  </si>
  <si>
    <t xml:space="preserve">Largest-cell loss</t>
  </si>
  <si>
    <t xml:space="preserve">ET-A-C09</t>
  </si>
  <si>
    <t xml:space="preserve">C09</t>
  </si>
  <si>
    <t xml:space="preserve">Balance endpoint</t>
  </si>
  <si>
    <t xml:space="preserve">ET-A-C10</t>
  </si>
  <si>
    <t xml:space="preserve">C10</t>
  </si>
  <si>
    <t xml:space="preserve">Fatal keystone</t>
  </si>
  <si>
    <t xml:space="preserve">ET-A-C11</t>
  </si>
  <si>
    <t xml:space="preserve">C11</t>
  </si>
  <si>
    <t xml:space="preserve">Safe state</t>
  </si>
  <si>
    <t xml:space="preserve">ET-A-C12</t>
  </si>
  <si>
    <t xml:space="preserve">C12</t>
  </si>
  <si>
    <t xml:space="preserve">Residual custody</t>
  </si>
  <si>
    <t xml:space="preserve">ET-A-C13</t>
  </si>
  <si>
    <t xml:space="preserve">C13</t>
  </si>
  <si>
    <t xml:space="preserve">Human and civil-rights boundary</t>
  </si>
  <si>
    <t xml:space="preserve">ET-A-C14</t>
  </si>
  <si>
    <t xml:space="preserve">C14</t>
  </si>
  <si>
    <t xml:space="preserve">Root-native measurement</t>
  </si>
  <si>
    <t xml:space="preserve">ET-A-C15</t>
  </si>
  <si>
    <t xml:space="preserve">C15</t>
  </si>
  <si>
    <t xml:space="preserve">Cold reconstruction</t>
  </si>
  <si>
    <t xml:space="preserve">ET-A-C16</t>
  </si>
  <si>
    <t xml:space="preserve">C16</t>
  </si>
  <si>
    <t xml:space="preserve">Architecture-unlock rule</t>
  </si>
  <si>
    <t xml:space="preserve">CT-C-C01</t>
  </si>
  <si>
    <t xml:space="preserve">MS-CT</t>
  </si>
  <si>
    <t xml:space="preserve">CT-C</t>
  </si>
  <si>
    <t xml:space="preserve">Occupied-building utility-spine sector</t>
  </si>
  <si>
    <t xml:space="preserve">reversible attachment through isolated utility and dirty-return trunks</t>
  </si>
  <si>
    <t xml:space="preserve">CT-C-C02</t>
  </si>
  <si>
    <t xml:space="preserve">CT-C-C03</t>
  </si>
  <si>
    <t xml:space="preserve">CT-C-C04</t>
  </si>
  <si>
    <t xml:space="preserve">CT-C-C05</t>
  </si>
  <si>
    <t xml:space="preserve">CT-C-C06</t>
  </si>
  <si>
    <t xml:space="preserve">CT-C-C07</t>
  </si>
  <si>
    <t xml:space="preserve">CT-C-C08</t>
  </si>
  <si>
    <t xml:space="preserve">CT-C-C09</t>
  </si>
  <si>
    <t xml:space="preserve">CT-C-C10</t>
  </si>
  <si>
    <t xml:space="preserve">CT-C-C11</t>
  </si>
  <si>
    <t xml:space="preserve">CT-C-C12</t>
  </si>
  <si>
    <t xml:space="preserve">CT-C-C13</t>
  </si>
  <si>
    <t xml:space="preserve">CT-C-C14</t>
  </si>
  <si>
    <t xml:space="preserve">CT-C-C15</t>
  </si>
  <si>
    <t xml:space="preserve">CT-C-C16</t>
  </si>
  <si>
    <t xml:space="preserve">HC-A-C01</t>
  </si>
  <si>
    <t xml:space="preserve">MS-HC</t>
  </si>
  <si>
    <t xml:space="preserve">HC-A</t>
  </si>
  <si>
    <t xml:space="preserve">Atmospheric intervention cell</t>
  </si>
  <si>
    <t xml:space="preserve">heat-plume field through deposition, held edge and runoff custody</t>
  </si>
  <si>
    <t xml:space="preserve">HC-A-C02</t>
  </si>
  <si>
    <t xml:space="preserve">HC-A-C03</t>
  </si>
  <si>
    <t xml:space="preserve">HC-A-C04</t>
  </si>
  <si>
    <t xml:space="preserve">HC-A-C05</t>
  </si>
  <si>
    <t xml:space="preserve">HC-A-C06</t>
  </si>
  <si>
    <t xml:space="preserve">HC-A-C07</t>
  </si>
  <si>
    <t xml:space="preserve">HC-A-C08</t>
  </si>
  <si>
    <t xml:space="preserve">HC-A-C09</t>
  </si>
  <si>
    <t xml:space="preserve">HC-A-C10</t>
  </si>
  <si>
    <t xml:space="preserve">HC-A-C11</t>
  </si>
  <si>
    <t xml:space="preserve">HC-A-C12</t>
  </si>
  <si>
    <t xml:space="preserve">HC-A-C13</t>
  </si>
  <si>
    <t xml:space="preserve">HC-A-C14</t>
  </si>
  <si>
    <t xml:space="preserve">HC-A-C15</t>
  </si>
  <si>
    <t xml:space="preserve">HC-A-C16</t>
  </si>
  <si>
    <t xml:space="preserve">LF-B-C01</t>
  </si>
  <si>
    <t xml:space="preserve">MS-LF</t>
  </si>
  <si>
    <t xml:space="preserve">LF-B</t>
  </si>
  <si>
    <t xml:space="preserve">IGT-50 geothermal source position</t>
  </si>
  <si>
    <t xml:space="preserve">subsurface production and injection through water-energy-thermal release</t>
  </si>
  <si>
    <t xml:space="preserve">LF-B-C02</t>
  </si>
  <si>
    <t xml:space="preserve">LF-B-C03</t>
  </si>
  <si>
    <t xml:space="preserve">LF-B-C04</t>
  </si>
  <si>
    <t xml:space="preserve">LF-B-C05</t>
  </si>
  <si>
    <t xml:space="preserve">LF-B-C06</t>
  </si>
  <si>
    <t xml:space="preserve">LF-B-C07</t>
  </si>
  <si>
    <t xml:space="preserve">LF-B-C08</t>
  </si>
  <si>
    <t xml:space="preserve">LF-B-C09</t>
  </si>
  <si>
    <t xml:space="preserve">LF-B-C10</t>
  </si>
  <si>
    <t xml:space="preserve">LF-B-C11</t>
  </si>
  <si>
    <t xml:space="preserve">LF-B-C12</t>
  </si>
  <si>
    <t xml:space="preserve">LF-B-C13</t>
  </si>
  <si>
    <t xml:space="preserve">LF-B-C14</t>
  </si>
  <si>
    <t xml:space="preserve">LF-B-C15</t>
  </si>
  <si>
    <t xml:space="preserve">LF-B-C16</t>
  </si>
  <si>
    <t xml:space="preserve">HU-A-C01</t>
  </si>
  <si>
    <t xml:space="preserve">MS-HU</t>
  </si>
  <si>
    <t xml:space="preserve">HU-A</t>
  </si>
  <si>
    <t xml:space="preserve">Complete clinical island</t>
  </si>
  <si>
    <t xml:space="preserve">relationship-bearing reception through definitive care and supported discharge</t>
  </si>
  <si>
    <t xml:space="preserve">HU-A-C02</t>
  </si>
  <si>
    <t xml:space="preserve">HU-A-C03</t>
  </si>
  <si>
    <t xml:space="preserve">HU-A-C04</t>
  </si>
  <si>
    <t xml:space="preserve">HU-A-C05</t>
  </si>
  <si>
    <t xml:space="preserve">HU-A-C06</t>
  </si>
  <si>
    <t xml:space="preserve">HU-A-C07</t>
  </si>
  <si>
    <t xml:space="preserve">HU-A-C08</t>
  </si>
  <si>
    <t xml:space="preserve">HU-A-C09</t>
  </si>
  <si>
    <t xml:space="preserve">HU-A-C10</t>
  </si>
  <si>
    <t xml:space="preserve">HU-A-C11</t>
  </si>
  <si>
    <t xml:space="preserve">HU-A-C12</t>
  </si>
  <si>
    <t xml:space="preserve">HU-A-C13</t>
  </si>
  <si>
    <t xml:space="preserve">HU-A-C14</t>
  </si>
  <si>
    <t xml:space="preserve">HU-A-C15</t>
  </si>
  <si>
    <t xml:space="preserve">HU-A-C16</t>
  </si>
  <si>
    <t xml:space="preserve">RT-B-C01</t>
  </si>
  <si>
    <t xml:space="preserve">MS-RT</t>
  </si>
  <si>
    <t xml:space="preserve">RT-B</t>
  </si>
  <si>
    <t xml:space="preserve">Disconnected microfactory mesh</t>
  </si>
  <si>
    <t xml:space="preserve">dirty return through manufacture, qualification and signed release</t>
  </si>
  <si>
    <t xml:space="preserve">RT-B-C02</t>
  </si>
  <si>
    <t xml:space="preserve">RT-B-C03</t>
  </si>
  <si>
    <t xml:space="preserve">RT-B-C04</t>
  </si>
  <si>
    <t xml:space="preserve">RT-B-C05</t>
  </si>
  <si>
    <t xml:space="preserve">RT-B-C06</t>
  </si>
  <si>
    <t xml:space="preserve">RT-B-C07</t>
  </si>
  <si>
    <t xml:space="preserve">RT-B-C08</t>
  </si>
  <si>
    <t xml:space="preserve">RT-B-C09</t>
  </si>
  <si>
    <t xml:space="preserve">RT-B-C10</t>
  </si>
  <si>
    <t xml:space="preserve">RT-B-C11</t>
  </si>
  <si>
    <t xml:space="preserve">RT-B-C12</t>
  </si>
  <si>
    <t xml:space="preserve">RT-B-C13</t>
  </si>
  <si>
    <t xml:space="preserve">RT-B-C14</t>
  </si>
  <si>
    <t xml:space="preserve">RT-B-C15</t>
  </si>
  <si>
    <t xml:space="preserve">RT-B-C16</t>
  </si>
  <si>
    <t xml:space="preserve">Six asymmetric full-scale causal-interface articles</t>
  </si>
  <si>
    <t xml:space="preserve">The first article is not a uniformly scaled root. Full scale attaches only to the mechanism whose nonlinear behavior decides the root.</t>
  </si>
  <si>
    <t xml:space="preserve">Package</t>
  </si>
  <si>
    <t xml:space="preserve">Owned causal boundary</t>
  </si>
  <si>
    <t xml:space="preserve">Limiting account</t>
  </si>
  <si>
    <t xml:space="preserve">Parent loss margin</t>
  </si>
  <si>
    <t xml:space="preserve">Fatal result</t>
  </si>
  <si>
    <t xml:space="preserve">Option USD B</t>
  </si>
  <si>
    <t xml:space="preserve">Requirement state</t>
  </si>
  <si>
    <t xml:space="preserve">Exterior state</t>
  </si>
  <si>
    <t xml:space="preserve">FG-ET-A</t>
  </si>
  <si>
    <t xml:space="preserve">Route flow</t>
  </si>
  <si>
    <t xml:space="preserve">motion compensation, shore transition or custody loss breaks complete flow</t>
  </si>
  <si>
    <t xml:space="preserve">FG-CT-C</t>
  </si>
  <si>
    <t xml:space="preserve">Energy</t>
  </si>
  <si>
    <t xml:space="preserve">insertion propagates structural, utility or contamination failure</t>
  </si>
  <si>
    <t xml:space="preserve">FG-HC-A</t>
  </si>
  <si>
    <t xml:space="preserve">delivered fluid cannot be attributed to held effect or transfers risk</t>
  </si>
  <si>
    <t xml:space="preserve">FG-LF-B</t>
  </si>
  <si>
    <t xml:space="preserve">drawdown, induced hazard or unclosed residual defeats the source position</t>
  </si>
  <si>
    <t xml:space="preserve">FG-HU-A</t>
  </si>
  <si>
    <t xml:space="preserve">Mass</t>
  </si>
  <si>
    <t xml:space="preserve">mass, sterile metabolism, specialist or destination loss breaks an episode</t>
  </si>
  <si>
    <t xml:space="preserve">FG-RT-B</t>
  </si>
  <si>
    <t xml:space="preserve">output lacks reproducible ancestry, material state, calibration or release</t>
  </si>
  <si>
    <t xml:space="preserve">Inherited complete-root scale context</t>
  </si>
  <si>
    <t xml:space="preserve">Parent burdens prove the consequence of scale. They are not silently assigned to the first causal-interface article.</t>
  </si>
  <si>
    <t xml:space="preserve">Deployment mass t</t>
  </si>
  <si>
    <t xml:space="preserve">Peak MW</t>
  </si>
  <si>
    <t xml:space="preserve">Deployed roles</t>
  </si>
  <si>
    <t xml:space="preserve">Residual rate</t>
  </si>
  <si>
    <t xml:space="preserve">Residual unit</t>
  </si>
  <si>
    <t xml:space="preserve">Receiver interfaces</t>
  </si>
  <si>
    <t xml:space="preserve">Loss margin</t>
  </si>
  <si>
    <t xml:space="preserve">Article target?</t>
  </si>
  <si>
    <t xml:space="preserve">t/day</t>
  </si>
  <si>
    <t xml:space="preserve">CONTROLLED HYPOTHESIS</t>
  </si>
  <si>
    <t xml:space="preserve">m3/day</t>
  </si>
  <si>
    <t xml:space="preserve">Seventy-two form-driving load records</t>
  </si>
  <si>
    <t xml:space="preserve">Targets are controlled acquisition hypotheses. Parent-context rows shape the scale path but do not become first-article mass or capacity by division.</t>
  </si>
  <si>
    <t xml:space="preserve">Load</t>
  </si>
  <si>
    <t xml:space="preserve">Family</t>
  </si>
  <si>
    <t xml:space="preserve">Metric</t>
  </si>
  <si>
    <t xml:space="preserve">Target</t>
  </si>
  <si>
    <t xml:space="preserve">Comparator</t>
  </si>
  <si>
    <t xml:space="preserve">Scope</t>
  </si>
  <si>
    <t xml:space="preserve">Form consequence</t>
  </si>
  <si>
    <t xml:space="preserve">Observation</t>
  </si>
  <si>
    <t xml:space="preserve">Credit</t>
  </si>
  <si>
    <t xml:space="preserve">ET-A-L01</t>
  </si>
  <si>
    <t xml:space="preserve">PUBLIC EFFECT</t>
  </si>
  <si>
    <t xml:space="preserve">complete route flow</t>
  </si>
  <si>
    <t xml:space="preserve">&gt;=</t>
  </si>
  <si>
    <t xml:space="preserve">PARENT</t>
  </si>
  <si>
    <t xml:space="preserve">carrier count, queue and shore capacity</t>
  </si>
  <si>
    <t xml:space="preserve">ET-A-L02</t>
  </si>
  <si>
    <t xml:space="preserve">RATE</t>
  </si>
  <si>
    <t xml:space="preserve">rated exchange</t>
  </si>
  <si>
    <t xml:space="preserve">t/h</t>
  </si>
  <si>
    <t xml:space="preserve">ARTICLE</t>
  </si>
  <si>
    <t xml:space="preserve">connector, handling and deck reaction</t>
  </si>
  <si>
    <t xml:space="preserve">ET-A-L03</t>
  </si>
  <si>
    <t xml:space="preserve">LOSS RATE</t>
  </si>
  <si>
    <t xml:space="preserve">flow after largest connector loss</t>
  </si>
  <si>
    <t xml:space="preserve">two separable transfer paths</t>
  </si>
  <si>
    <t xml:space="preserve">ET-A-L04</t>
  </si>
  <si>
    <t xml:space="preserve">LATENCY</t>
  </si>
  <si>
    <t xml:space="preserve">service entry</t>
  </si>
  <si>
    <t xml:space="preserve">h</t>
  </si>
  <si>
    <t xml:space="preserve">&lt;=</t>
  </si>
  <si>
    <t xml:space="preserve">deployment and self-installation</t>
  </si>
  <si>
    <t xml:space="preserve">ET-A-L05</t>
  </si>
  <si>
    <t xml:space="preserve">DURATION</t>
  </si>
  <si>
    <t xml:space="preserve">continuous service</t>
  </si>
  <si>
    <t xml:space="preserve">day</t>
  </si>
  <si>
    <t xml:space="preserve">fatigue, stores and maintenance</t>
  </si>
  <si>
    <t xml:space="preserve">ET-A-L06</t>
  </si>
  <si>
    <t xml:space="preserve">MASS</t>
  </si>
  <si>
    <t xml:space="preserve">parent deployment burden</t>
  </si>
  <si>
    <t xml:space="preserve">t</t>
  </si>
  <si>
    <t xml:space="preserve">PARENT CONTEXT</t>
  </si>
  <si>
    <t xml:space="preserve">scale path; not article mass</t>
  </si>
  <si>
    <t xml:space="preserve">ET-A-L07</t>
  </si>
  <si>
    <t xml:space="preserve">ENERGY</t>
  </si>
  <si>
    <t xml:space="preserve">parent peak electrical load</t>
  </si>
  <si>
    <t xml:space="preserve">MW</t>
  </si>
  <si>
    <t xml:space="preserve">generation and black start</t>
  </si>
  <si>
    <t xml:space="preserve">ET-A-L08</t>
  </si>
  <si>
    <t xml:space="preserve">WORKFRONTS</t>
  </si>
  <si>
    <t xml:space="preserve">simultaneous temporary works</t>
  </si>
  <si>
    <t xml:space="preserve">shore formation and onward routes</t>
  </si>
  <si>
    <t xml:space="preserve">ET-A-L09</t>
  </si>
  <si>
    <t xml:space="preserve">RECEIVER</t>
  </si>
  <si>
    <t xml:space="preserve">independent receiver interfaces</t>
  </si>
  <si>
    <t xml:space="preserve">custody and route release</t>
  </si>
  <si>
    <t xml:space="preserve">ET-A-L10</t>
  </si>
  <si>
    <t xml:space="preserve">RESIDUAL</t>
  </si>
  <si>
    <t xml:space="preserve">treated residual burden</t>
  </si>
  <si>
    <t xml:space="preserve">containment and reverse flow</t>
  </si>
  <si>
    <t xml:space="preserve">ET-A-L11</t>
  </si>
  <si>
    <t xml:space="preserve">BLACK START</t>
  </si>
  <si>
    <t xml:space="preserve">critical endurance</t>
  </si>
  <si>
    <t xml:space="preserve">islanded exchange control</t>
  </si>
  <si>
    <t xml:space="preserve">ET-A-L12</t>
  </si>
  <si>
    <t xml:space="preserve">RETURN</t>
  </si>
  <si>
    <t xml:space="preserve">cold reconstruction ceiling</t>
  </si>
  <si>
    <t xml:space="preserve">sectional replaceability and replay</t>
  </si>
  <si>
    <t xml:space="preserve">CT-C-L01</t>
  </si>
  <si>
    <t xml:space="preserve">people governed</t>
  </si>
  <si>
    <t xml:space="preserve">people/168 h</t>
  </si>
  <si>
    <t xml:space="preserve">district scale and authority</t>
  </si>
  <si>
    <t xml:space="preserve">CT-C-L02</t>
  </si>
  <si>
    <t xml:space="preserve">household dispositions</t>
  </si>
  <si>
    <t xml:space="preserve">households/168 h</t>
  </si>
  <si>
    <t xml:space="preserve">access and exception capacity</t>
  </si>
  <si>
    <t xml:space="preserve">CT-C-L03</t>
  </si>
  <si>
    <t xml:space="preserve">ROUTE</t>
  </si>
  <si>
    <t xml:space="preserve">released reach</t>
  </si>
  <si>
    <t xml:space="preserve">route-km/168 h</t>
  </si>
  <si>
    <t xml:space="preserve">spine distribution scale</t>
  </si>
  <si>
    <t xml:space="preserve">CT-C-L04</t>
  </si>
  <si>
    <t xml:space="preserve">completed dispositions</t>
  </si>
  <si>
    <t xml:space="preserve">per team-h</t>
  </si>
  <si>
    <t xml:space="preserve">crew-machine productivity</t>
  </si>
  <si>
    <t xml:space="preserve">CT-C-L05</t>
  </si>
  <si>
    <t xml:space="preserve">safe vertical cases</t>
  </si>
  <si>
    <t xml:space="preserve">lift and access cycle</t>
  </si>
  <si>
    <t xml:space="preserve">CT-C-L06</t>
  </si>
  <si>
    <t xml:space="preserve">FAULT</t>
  </si>
  <si>
    <t xml:space="preserve">denied power cell</t>
  </si>
  <si>
    <t xml:space="preserve">isolation and fault containment</t>
  </si>
  <si>
    <t xml:space="preserve">CT-C-L07</t>
  </si>
  <si>
    <t xml:space="preserve">district closure</t>
  </si>
  <si>
    <t xml:space="preserve">installation and service entry</t>
  </si>
  <si>
    <t xml:space="preserve">CT-C-L08</t>
  </si>
  <si>
    <t xml:space="preserve">CT-C-L09</t>
  </si>
  <si>
    <t xml:space="preserve">parent peak load</t>
  </si>
  <si>
    <t xml:space="preserve">seven-cell generation architecture</t>
  </si>
  <si>
    <t xml:space="preserve">CT-C-L10</t>
  </si>
  <si>
    <t xml:space="preserve">building and civil release</t>
  </si>
  <si>
    <t xml:space="preserve">CT-C-L11</t>
  </si>
  <si>
    <t xml:space="preserve">treated dirty return</t>
  </si>
  <si>
    <t xml:space="preserve">containment and removal</t>
  </si>
  <si>
    <t xml:space="preserve">CT-C-L12</t>
  </si>
  <si>
    <t xml:space="preserve">offline occupied-building service</t>
  </si>
  <si>
    <t xml:space="preserve">HC-A-L01</t>
  </si>
  <si>
    <t xml:space="preserve">INTERFACE</t>
  </si>
  <si>
    <t xml:space="preserve">causal corridor length</t>
  </si>
  <si>
    <t xml:space="preserve">km</t>
  </si>
  <si>
    <t xml:space="preserve">full-scale plume and deposition field</t>
  </si>
  <si>
    <t xml:space="preserve">HC-A-L02</t>
  </si>
  <si>
    <t xml:space="preserve">first attributable effect</t>
  </si>
  <si>
    <t xml:space="preserve">arrival, sensing and first cycle</t>
  </si>
  <si>
    <t xml:space="preserve">HC-A-L03</t>
  </si>
  <si>
    <t xml:space="preserve">measured edge closure</t>
  </si>
  <si>
    <t xml:space="preserve">sortie and refill tempo</t>
  </si>
  <si>
    <t xml:space="preserve">HC-A-L04</t>
  </si>
  <si>
    <t xml:space="preserve">continuous held edge</t>
  </si>
  <si>
    <t xml:space="preserve">high-duty thermal operation</t>
  </si>
  <si>
    <t xml:space="preserve">HC-A-L05</t>
  </si>
  <si>
    <t xml:space="preserve">parent service persistence</t>
  </si>
  <si>
    <t xml:space="preserve">maintenance and crew rotation</t>
  </si>
  <si>
    <t xml:space="preserve">HC-A-L06</t>
  </si>
  <si>
    <t xml:space="preserve">parent held-line capacity</t>
  </si>
  <si>
    <t xml:space="preserve">km/day</t>
  </si>
  <si>
    <t xml:space="preserve">scale path; not article credit</t>
  </si>
  <si>
    <t xml:space="preserve">HC-A-L07</t>
  </si>
  <si>
    <t xml:space="preserve">air, refill and residual estate</t>
  </si>
  <si>
    <t xml:space="preserve">HC-A-L08</t>
  </si>
  <si>
    <t xml:space="preserve">generation and refill</t>
  </si>
  <si>
    <t xml:space="preserve">HC-A-L09</t>
  </si>
  <si>
    <t xml:space="preserve">LOSS</t>
  </si>
  <si>
    <t xml:space="preserve">intervention cell denied</t>
  </si>
  <si>
    <t xml:space="preserve">cell</t>
  </si>
  <si>
    <t xml:space="preserve">independent control and refill</t>
  </si>
  <si>
    <t xml:space="preserve">HC-A-L10</t>
  </si>
  <si>
    <t xml:space="preserve">independent effect interfaces</t>
  </si>
  <si>
    <t xml:space="preserve">edge and rights release</t>
  </si>
  <si>
    <t xml:space="preserve">HC-A-L11</t>
  </si>
  <si>
    <t xml:space="preserve">treated runoff and material</t>
  </si>
  <si>
    <t xml:space="preserve">closed intervention metabolism</t>
  </si>
  <si>
    <t xml:space="preserve">HC-A-L12</t>
  </si>
  <si>
    <t xml:space="preserve">offline sensing and flight support</t>
  </si>
  <si>
    <t xml:space="preserve">LF-B-L01</t>
  </si>
  <si>
    <t xml:space="preserve">WATER</t>
  </si>
  <si>
    <t xml:space="preserve">quality-released water</t>
  </si>
  <si>
    <t xml:space="preserve">treatment and corridor diameter</t>
  </si>
  <si>
    <t xml:space="preserve">LF-B-L02</t>
  </si>
  <si>
    <t xml:space="preserve">POWER</t>
  </si>
  <si>
    <t xml:space="preserve">firm electric export</t>
  </si>
  <si>
    <t xml:space="preserve">bus and conversion equipment</t>
  </si>
  <si>
    <t xml:space="preserve">LF-B-L03</t>
  </si>
  <si>
    <t xml:space="preserve">THERMAL</t>
  </si>
  <si>
    <t xml:space="preserve">useful heating or cooling</t>
  </si>
  <si>
    <t xml:space="preserve">MWth</t>
  </si>
  <si>
    <t xml:space="preserve">heat-exchange and receiver loop</t>
  </si>
  <si>
    <t xml:space="preserve">LF-B-L04</t>
  </si>
  <si>
    <t xml:space="preserve">SOURCE</t>
  </si>
  <si>
    <t xml:space="preserve">firm source bus</t>
  </si>
  <si>
    <t xml:space="preserve">reservoir and conversion scale</t>
  </si>
  <si>
    <t xml:space="preserve">LF-B-L05</t>
  </si>
  <si>
    <t xml:space="preserve">BALANCE</t>
  </si>
  <si>
    <t xml:space="preserve">sustained requirement</t>
  </si>
  <si>
    <t xml:space="preserve">2.65 MW energy margin</t>
  </si>
  <si>
    <t xml:space="preserve">LF-B-L06</t>
  </si>
  <si>
    <t xml:space="preserve">first source position service</t>
  </si>
  <si>
    <t xml:space="preserve">rapid characterization and construction</t>
  </si>
  <si>
    <t xml:space="preserve">LF-B-L07</t>
  </si>
  <si>
    <t xml:space="preserve">SCALE</t>
  </si>
  <si>
    <t xml:space="preserve">source positions by day 21</t>
  </si>
  <si>
    <t xml:space="preserve">100 MW and 100,000 m3/day root</t>
  </si>
  <si>
    <t xml:space="preserve">LF-B-L08</t>
  </si>
  <si>
    <t xml:space="preserve">wastewater or residual intake</t>
  </si>
  <si>
    <t xml:space="preserve">brine and injection custody</t>
  </si>
  <si>
    <t xml:space="preserve">LF-B-L09</t>
  </si>
  <si>
    <t xml:space="preserve">BUFFER</t>
  </si>
  <si>
    <t xml:space="preserve">product-water hold</t>
  </si>
  <si>
    <t xml:space="preserve">m3</t>
  </si>
  <si>
    <t xml:space="preserve">one-day receiver refusal</t>
  </si>
  <si>
    <t xml:space="preserve">LF-B-L10</t>
  </si>
  <si>
    <t xml:space="preserve">CORRIDOR</t>
  </si>
  <si>
    <t xml:space="preserve">two water paths</t>
  </si>
  <si>
    <t xml:space="preserve">pipe-km</t>
  </si>
  <si>
    <t xml:space="preserve">robotic buried route</t>
  </si>
  <si>
    <t xml:space="preserve">LF-B-L11</t>
  </si>
  <si>
    <t xml:space="preserve">source-position storage</t>
  </si>
  <si>
    <t xml:space="preserve">MWh</t>
  </si>
  <si>
    <t xml:space="preserve">islanded local service</t>
  </si>
  <si>
    <t xml:space="preserve">LF-B-L12</t>
  </si>
  <si>
    <t xml:space="preserve">drawdown, chemistry and reset</t>
  </si>
  <si>
    <t xml:space="preserve">HU-A-L01</t>
  </si>
  <si>
    <t xml:space="preserve">relationship-bearing population</t>
  </si>
  <si>
    <t xml:space="preserve">relationships/168 h</t>
  </si>
  <si>
    <t xml:space="preserve">complete island capacity</t>
  </si>
  <si>
    <t xml:space="preserve">HU-A-L02</t>
  </si>
  <si>
    <t xml:space="preserve">CARE</t>
  </si>
  <si>
    <t xml:space="preserve">unlike care-line interfaces</t>
  </si>
  <si>
    <t xml:space="preserve">acuity and adjacency</t>
  </si>
  <si>
    <t xml:space="preserve">HU-A-L03</t>
  </si>
  <si>
    <t xml:space="preserve">definitive episodes</t>
  </si>
  <si>
    <t xml:space="preserve">episodes/168 h</t>
  </si>
  <si>
    <t xml:space="preserve">clinical space and staff</t>
  </si>
  <si>
    <t xml:space="preserve">HU-A-L04</t>
  </si>
  <si>
    <t xml:space="preserve">TRANSFER</t>
  </si>
  <si>
    <t xml:space="preserve">regulated patient transfers</t>
  </si>
  <si>
    <t xml:space="preserve">transfers/168 h</t>
  </si>
  <si>
    <t xml:space="preserve">patient movement and destination state</t>
  </si>
  <si>
    <t xml:space="preserve">HU-A-L05</t>
  </si>
  <si>
    <t xml:space="preserve">qualification interval</t>
  </si>
  <si>
    <t xml:space="preserve">utility and staff continuity</t>
  </si>
  <si>
    <t xml:space="preserve">HU-A-L06</t>
  </si>
  <si>
    <t xml:space="preserve">two-island region</t>
  </si>
  <si>
    <t xml:space="preserve">people</t>
  </si>
  <si>
    <t xml:space="preserve">one-island-loss regional architecture</t>
  </si>
  <si>
    <t xml:space="preserve">HU-A-L07</t>
  </si>
  <si>
    <t xml:space="preserve">regional service</t>
  </si>
  <si>
    <t xml:space="preserve">supply, workforce and discharge</t>
  </si>
  <si>
    <t xml:space="preserve">HU-A-L08</t>
  </si>
  <si>
    <t xml:space="preserve">mass is limiting account</t>
  </si>
  <si>
    <t xml:space="preserve">HU-A-L09</t>
  </si>
  <si>
    <t xml:space="preserve">clinical utility island</t>
  </si>
  <si>
    <t xml:space="preserve">HU-A-L10</t>
  </si>
  <si>
    <t xml:space="preserve">WORKFORCE</t>
  </si>
  <si>
    <t xml:space="preserve">parent deployed roles</t>
  </si>
  <si>
    <t xml:space="preserve">roles</t>
  </si>
  <si>
    <t xml:space="preserve">shift and specialist depth</t>
  </si>
  <si>
    <t xml:space="preserve">HU-A-L11</t>
  </si>
  <si>
    <t xml:space="preserve">relationship-bearing handoff</t>
  </si>
  <si>
    <t xml:space="preserve">HU-A-L12</t>
  </si>
  <si>
    <t xml:space="preserve">treated clinical residual</t>
  </si>
  <si>
    <t xml:space="preserve">sterile and dirty counterflow</t>
  </si>
  <si>
    <t xml:space="preserve">RT-B-L01</t>
  </si>
  <si>
    <t xml:space="preserve">indivisible supported positions</t>
  </si>
  <si>
    <t xml:space="preserve">positions</t>
  </si>
  <si>
    <t xml:space="preserve">process-family coverage</t>
  </si>
  <si>
    <t xml:space="preserve">RT-B-L02</t>
  </si>
  <si>
    <t xml:space="preserve">sustained position service</t>
  </si>
  <si>
    <t xml:space="preserve">position-days</t>
  </si>
  <si>
    <t xml:space="preserve">30-day feedstock and duty</t>
  </si>
  <si>
    <t xml:space="preserve">RT-B-L03</t>
  </si>
  <si>
    <t xml:space="preserve">critical-class restoration</t>
  </si>
  <si>
    <t xml:space="preserve">diagnosis-through-release cycle</t>
  </si>
  <si>
    <t xml:space="preserve">RT-B-L04</t>
  </si>
  <si>
    <t xml:space="preserve">UTILITY</t>
  </si>
  <si>
    <t xml:space="preserve">utility reconstruction</t>
  </si>
  <si>
    <t xml:space="preserve">MW-equivalent/168 h</t>
  </si>
  <si>
    <t xml:space="preserve">electrical and process output</t>
  </si>
  <si>
    <t xml:space="preserve">RT-B-L05</t>
  </si>
  <si>
    <t xml:space="preserve">distributed process estate</t>
  </si>
  <si>
    <t xml:space="preserve">RT-B-L06</t>
  </si>
  <si>
    <t xml:space="preserve">energy is limiting account</t>
  </si>
  <si>
    <t xml:space="preserve">RT-B-L07</t>
  </si>
  <si>
    <t xml:space="preserve">shift-complete qualification</t>
  </si>
  <si>
    <t xml:space="preserve">RT-B-L08</t>
  </si>
  <si>
    <t xml:space="preserve">PROCESS</t>
  </si>
  <si>
    <t xml:space="preserve">independent process cells</t>
  </si>
  <si>
    <t xml:space="preserve">one-cell-loss coverage</t>
  </si>
  <si>
    <t xml:space="preserve">RT-B-L09</t>
  </si>
  <si>
    <t xml:space="preserve">signed release and transfer</t>
  </si>
  <si>
    <t xml:space="preserve">RT-B-L10</t>
  </si>
  <si>
    <t xml:space="preserve">material sorting and quarantine</t>
  </si>
  <si>
    <t xml:space="preserve">RT-B-L11</t>
  </si>
  <si>
    <t xml:space="preserve">disconnected process control</t>
  </si>
  <si>
    <t xml:space="preserve">RT-B-L12</t>
  </si>
  <si>
    <t xml:space="preserve">denied primary dependencies</t>
  </si>
  <si>
    <t xml:space="preserve">classes</t>
  </si>
  <si>
    <t xml:space="preserve">depot, network, calibration and process</t>
  </si>
  <si>
    <t xml:space="preserve">Forty-eight root-native article interfaces</t>
  </si>
  <si>
    <t xml:space="preserve">Public meanings may be common. Geometry, actuation, safeing, measurement and repair remain root native.</t>
  </si>
  <si>
    <t xml:space="preserve">Interface</t>
  </si>
  <si>
    <t xml:space="preserve">Boundary</t>
  </si>
  <si>
    <t xml:space="preserve">Article chain</t>
  </si>
  <si>
    <t xml:space="preserve">Causal role</t>
  </si>
  <si>
    <t xml:space="preserve">Implementation</t>
  </si>
  <si>
    <t xml:space="preserve">ET-A-I01</t>
  </si>
  <si>
    <t xml:space="preserve">moving-source datum</t>
  </si>
  <si>
    <t xml:space="preserve">DECISIVE</t>
  </si>
  <si>
    <t xml:space="preserve">root-native</t>
  </si>
  <si>
    <t xml:space="preserve">ET-A-I02</t>
  </si>
  <si>
    <t xml:space="preserve">dynamic transfer connector</t>
  </si>
  <si>
    <t xml:space="preserve">ET-A-I03</t>
  </si>
  <si>
    <t xml:space="preserve">wet-side cargo custody</t>
  </si>
  <si>
    <t xml:space="preserve">ROUTE-COMPLETE</t>
  </si>
  <si>
    <t xml:space="preserve">ET-A-I04</t>
  </si>
  <si>
    <t xml:space="preserve">breakable shore transition</t>
  </si>
  <si>
    <t xml:space="preserve">ET-A-I05</t>
  </si>
  <si>
    <t xml:space="preserve">dry staging reaction</t>
  </si>
  <si>
    <t xml:space="preserve">ET-A-I06</t>
  </si>
  <si>
    <t xml:space="preserve">onward handoff</t>
  </si>
  <si>
    <t xml:space="preserve">ET-A-I07</t>
  </si>
  <si>
    <t xml:space="preserve">residual return</t>
  </si>
  <si>
    <t xml:space="preserve">ET-A-I08</t>
  </si>
  <si>
    <t xml:space="preserve">causal-time and mass record</t>
  </si>
  <si>
    <t xml:space="preserve">CT-C-I01</t>
  </si>
  <si>
    <t xml:space="preserve">reversible structure attachment</t>
  </si>
  <si>
    <t xml:space="preserve">CT-C-I02</t>
  </si>
  <si>
    <t xml:space="preserve">electrical trunk</t>
  </si>
  <si>
    <t xml:space="preserve">CT-C-I03</t>
  </si>
  <si>
    <t xml:space="preserve">potable-water trunk</t>
  </si>
  <si>
    <t xml:space="preserve">CT-C-I04</t>
  </si>
  <si>
    <t xml:space="preserve">communications trunk</t>
  </si>
  <si>
    <t xml:space="preserve">CT-C-I05</t>
  </si>
  <si>
    <t xml:space="preserve">smoke-control trunk</t>
  </si>
  <si>
    <t xml:space="preserve">CT-C-I06</t>
  </si>
  <si>
    <t xml:space="preserve">dirty-return trunk</t>
  </si>
  <si>
    <t xml:space="preserve">CT-C-I07</t>
  </si>
  <si>
    <t xml:space="preserve">occupied-person boundary</t>
  </si>
  <si>
    <t xml:space="preserve">CT-C-I08</t>
  </si>
  <si>
    <t xml:space="preserve">civil release record</t>
  </si>
  <si>
    <t xml:space="preserve">HC-A-I01</t>
  </si>
  <si>
    <t xml:space="preserve">heat-plume field</t>
  </si>
  <si>
    <t xml:space="preserve">HC-A-I02</t>
  </si>
  <si>
    <t xml:space="preserve">all-weather sensing</t>
  </si>
  <si>
    <t xml:space="preserve">HC-A-I03</t>
  </si>
  <si>
    <t xml:space="preserve">intervention working fluid</t>
  </si>
  <si>
    <t xml:space="preserve">HC-A-I04</t>
  </si>
  <si>
    <t xml:space="preserve">high-duty flight cycle</t>
  </si>
  <si>
    <t xml:space="preserve">HC-A-I05</t>
  </si>
  <si>
    <t xml:space="preserve">precision deposition</t>
  </si>
  <si>
    <t xml:space="preserve">HC-A-I06</t>
  </si>
  <si>
    <t xml:space="preserve">refill chain</t>
  </si>
  <si>
    <t xml:space="preserve">HC-A-I07</t>
  </si>
  <si>
    <t xml:space="preserve">runoff custody</t>
  </si>
  <si>
    <t xml:space="preserve">HC-A-I08</t>
  </si>
  <si>
    <t xml:space="preserve">held-edge observation</t>
  </si>
  <si>
    <t xml:space="preserve">LF-B-I01</t>
  </si>
  <si>
    <t xml:space="preserve">reservoir truth volume</t>
  </si>
  <si>
    <t xml:space="preserve">LF-B-I02</t>
  </si>
  <si>
    <t xml:space="preserve">production bore</t>
  </si>
  <si>
    <t xml:space="preserve">LF-B-I03</t>
  </si>
  <si>
    <t xml:space="preserve">injection bore</t>
  </si>
  <si>
    <t xml:space="preserve">LF-B-I04</t>
  </si>
  <si>
    <t xml:space="preserve">40 MW firm bus</t>
  </si>
  <si>
    <t xml:space="preserve">LF-B-I05</t>
  </si>
  <si>
    <t xml:space="preserve">water release</t>
  </si>
  <si>
    <t xml:space="preserve">LF-B-I06</t>
  </si>
  <si>
    <t xml:space="preserve">thermal release</t>
  </si>
  <si>
    <t xml:space="preserve">LF-B-I07</t>
  </si>
  <si>
    <t xml:space="preserve">brine custody</t>
  </si>
  <si>
    <t xml:space="preserve">LF-B-I08</t>
  </si>
  <si>
    <t xml:space="preserve">buried corridor</t>
  </si>
  <si>
    <t xml:space="preserve">HU-A-I01</t>
  </si>
  <si>
    <t xml:space="preserve">reception and identity</t>
  </si>
  <si>
    <t xml:space="preserve">HU-A-I02</t>
  </si>
  <si>
    <t xml:space="preserve">acute care</t>
  </si>
  <si>
    <t xml:space="preserve">HU-A-I03</t>
  </si>
  <si>
    <t xml:space="preserve">specialty dependency</t>
  </si>
  <si>
    <t xml:space="preserve">HU-A-I04</t>
  </si>
  <si>
    <t xml:space="preserve">patient transfer</t>
  </si>
  <si>
    <t xml:space="preserve">HU-A-I05</t>
  </si>
  <si>
    <t xml:space="preserve">supported discharge</t>
  </si>
  <si>
    <t xml:space="preserve">HU-A-I06</t>
  </si>
  <si>
    <t xml:space="preserve">sterile utilities</t>
  </si>
  <si>
    <t xml:space="preserve">HU-A-I07</t>
  </si>
  <si>
    <t xml:space="preserve">dirty return</t>
  </si>
  <si>
    <t xml:space="preserve">HU-A-I08</t>
  </si>
  <si>
    <t xml:space="preserve">relationship-bearing record</t>
  </si>
  <si>
    <t xml:space="preserve">RT-B-I01</t>
  </si>
  <si>
    <t xml:space="preserve">RT-B-I02</t>
  </si>
  <si>
    <t xml:space="preserve">diagnosis</t>
  </si>
  <si>
    <t xml:space="preserve">RT-B-I03</t>
  </si>
  <si>
    <t xml:space="preserve">feedstock preparation</t>
  </si>
  <si>
    <t xml:space="preserve">RT-B-I04</t>
  </si>
  <si>
    <t xml:space="preserve">manufacture</t>
  </si>
  <si>
    <t xml:space="preserve">RT-B-I05</t>
  </si>
  <si>
    <t xml:space="preserve">inspection</t>
  </si>
  <si>
    <t xml:space="preserve">RT-B-I06</t>
  </si>
  <si>
    <t xml:space="preserve">portable calibration</t>
  </si>
  <si>
    <t xml:space="preserve">RT-B-I07</t>
  </si>
  <si>
    <t xml:space="preserve">signed release</t>
  </si>
  <si>
    <t xml:space="preserve">RT-B-I08</t>
  </si>
  <si>
    <t xml:space="preserve">evidence custody</t>
  </si>
  <si>
    <t xml:space="preserve">Seventy-two root-native denial worlds</t>
  </si>
  <si>
    <t xml:space="preserve">Denial is a controlled test condition, not a claim about likelihood. A missing or invalid result remains distinct from adverse evidence.</t>
  </si>
  <si>
    <t xml:space="preserve">World</t>
  </si>
  <si>
    <t xml:space="preserve">Denied condition</t>
  </si>
  <si>
    <t xml:space="preserve">Required response</t>
  </si>
  <si>
    <t xml:space="preserve">Role</t>
  </si>
  <si>
    <t xml:space="preserve">Permitted disposition</t>
  </si>
  <si>
    <t xml:space="preserve">ET-A-D01</t>
  </si>
  <si>
    <t xml:space="preserve">principal mechanism source removed</t>
  </si>
  <si>
    <t xml:space="preserve">CHALLENGE</t>
  </si>
  <si>
    <t xml:space="preserve">KILL OR RESIZE</t>
  </si>
  <si>
    <t xml:space="preserve">ET-A-D02</t>
  </si>
  <si>
    <t xml:space="preserve">largest independent cell or connector removed</t>
  </si>
  <si>
    <t xml:space="preserve">ET-A-D03</t>
  </si>
  <si>
    <t xml:space="preserve">external power absent</t>
  </si>
  <si>
    <t xml:space="preserve">safe stop, truthful hold or continued bounded service</t>
  </si>
  <si>
    <t xml:space="preserve">HOLD OR SAFE CONTINUE</t>
  </si>
  <si>
    <t xml:space="preserve">ET-A-D04</t>
  </si>
  <si>
    <t xml:space="preserve">wide-area network and time absent</t>
  </si>
  <si>
    <t xml:space="preserve">ET-A-D05</t>
  </si>
  <si>
    <t xml:space="preserve">primary workforce lineage unavailable</t>
  </si>
  <si>
    <t xml:space="preserve">ET-A-D06</t>
  </si>
  <si>
    <t xml:space="preserve">receiver refuses service</t>
  </si>
  <si>
    <t xml:space="preserve">ET-A-D07</t>
  </si>
  <si>
    <t xml:space="preserve">residual receiver refuses return</t>
  </si>
  <si>
    <t xml:space="preserve">ET-A-D08</t>
  </si>
  <si>
    <t xml:space="preserve">primary depot unavailable</t>
  </si>
  <si>
    <t xml:space="preserve">ET-A-D09</t>
  </si>
  <si>
    <t xml:space="preserve">vendor key or operations center unavailable</t>
  </si>
  <si>
    <t xml:space="preserve">ET-A-D10</t>
  </si>
  <si>
    <t xml:space="preserve">primary measurement route unavailable</t>
  </si>
  <si>
    <t xml:space="preserve">ET-A-D11</t>
  </si>
  <si>
    <t xml:space="preserve">civil authority revoked</t>
  </si>
  <si>
    <t xml:space="preserve">ET-A-D12</t>
  </si>
  <si>
    <t xml:space="preserve">outside team receives frozen records only</t>
  </si>
  <si>
    <t xml:space="preserve">CT-C-D01</t>
  </si>
  <si>
    <t xml:space="preserve">CT-C-D02</t>
  </si>
  <si>
    <t xml:space="preserve">CT-C-D03</t>
  </si>
  <si>
    <t xml:space="preserve">CT-C-D04</t>
  </si>
  <si>
    <t xml:space="preserve">CT-C-D05</t>
  </si>
  <si>
    <t xml:space="preserve">CT-C-D06</t>
  </si>
  <si>
    <t xml:space="preserve">CT-C-D07</t>
  </si>
  <si>
    <t xml:space="preserve">CT-C-D08</t>
  </si>
  <si>
    <t xml:space="preserve">CT-C-D09</t>
  </si>
  <si>
    <t xml:space="preserve">CT-C-D10</t>
  </si>
  <si>
    <t xml:space="preserve">CT-C-D11</t>
  </si>
  <si>
    <t xml:space="preserve">CT-C-D12</t>
  </si>
  <si>
    <t xml:space="preserve">HC-A-D01</t>
  </si>
  <si>
    <t xml:space="preserve">HC-A-D02</t>
  </si>
  <si>
    <t xml:space="preserve">HC-A-D03</t>
  </si>
  <si>
    <t xml:space="preserve">HC-A-D04</t>
  </si>
  <si>
    <t xml:space="preserve">HC-A-D05</t>
  </si>
  <si>
    <t xml:space="preserve">HC-A-D06</t>
  </si>
  <si>
    <t xml:space="preserve">HC-A-D07</t>
  </si>
  <si>
    <t xml:space="preserve">HC-A-D08</t>
  </si>
  <si>
    <t xml:space="preserve">HC-A-D09</t>
  </si>
  <si>
    <t xml:space="preserve">HC-A-D10</t>
  </si>
  <si>
    <t xml:space="preserve">HC-A-D11</t>
  </si>
  <si>
    <t xml:space="preserve">HC-A-D12</t>
  </si>
  <si>
    <t xml:space="preserve">LF-B-D01</t>
  </si>
  <si>
    <t xml:space="preserve">LF-B-D02</t>
  </si>
  <si>
    <t xml:space="preserve">LF-B-D03</t>
  </si>
  <si>
    <t xml:space="preserve">LF-B-D04</t>
  </si>
  <si>
    <t xml:space="preserve">LF-B-D05</t>
  </si>
  <si>
    <t xml:space="preserve">LF-B-D06</t>
  </si>
  <si>
    <t xml:space="preserve">LF-B-D07</t>
  </si>
  <si>
    <t xml:space="preserve">LF-B-D08</t>
  </si>
  <si>
    <t xml:space="preserve">LF-B-D09</t>
  </si>
  <si>
    <t xml:space="preserve">LF-B-D10</t>
  </si>
  <si>
    <t xml:space="preserve">LF-B-D11</t>
  </si>
  <si>
    <t xml:space="preserve">LF-B-D12</t>
  </si>
  <si>
    <t xml:space="preserve">HU-A-D01</t>
  </si>
  <si>
    <t xml:space="preserve">HU-A-D02</t>
  </si>
  <si>
    <t xml:space="preserve">HU-A-D03</t>
  </si>
  <si>
    <t xml:space="preserve">HU-A-D04</t>
  </si>
  <si>
    <t xml:space="preserve">HU-A-D05</t>
  </si>
  <si>
    <t xml:space="preserve">HU-A-D06</t>
  </si>
  <si>
    <t xml:space="preserve">HU-A-D07</t>
  </si>
  <si>
    <t xml:space="preserve">HU-A-D08</t>
  </si>
  <si>
    <t xml:space="preserve">HU-A-D09</t>
  </si>
  <si>
    <t xml:space="preserve">HU-A-D10</t>
  </si>
  <si>
    <t xml:space="preserve">HU-A-D11</t>
  </si>
  <si>
    <t xml:space="preserve">HU-A-D12</t>
  </si>
  <si>
    <t xml:space="preserve">RT-B-D01</t>
  </si>
  <si>
    <t xml:space="preserve">RT-B-D02</t>
  </si>
  <si>
    <t xml:space="preserve">RT-B-D03</t>
  </si>
  <si>
    <t xml:space="preserve">RT-B-D04</t>
  </si>
  <si>
    <t xml:space="preserve">RT-B-D05</t>
  </si>
  <si>
    <t xml:space="preserve">RT-B-D06</t>
  </si>
  <si>
    <t xml:space="preserve">RT-B-D07</t>
  </si>
  <si>
    <t xml:space="preserve">RT-B-D08</t>
  </si>
  <si>
    <t xml:space="preserve">RT-B-D09</t>
  </si>
  <si>
    <t xml:space="preserve">RT-B-D10</t>
  </si>
  <si>
    <t xml:space="preserve">RT-B-D11</t>
  </si>
  <si>
    <t xml:space="preserve">RT-B-D12</t>
  </si>
  <si>
    <t xml:space="preserve">Twelve balance and causal-keystone endpoint rules</t>
  </si>
  <si>
    <t xml:space="preserve">A favorable subsystem cannot compensate for a failed balance or keystone. Valid adverse evidence is payable and terminal for the tested claim.</t>
  </si>
  <si>
    <t xml:space="preserve">Endpoint</t>
  </si>
  <si>
    <t xml:space="preserve">Type</t>
  </si>
  <si>
    <t xml:space="preserve">Claim</t>
  </si>
  <si>
    <t xml:space="preserve">Estimator</t>
  </si>
  <si>
    <t xml:space="preserve">Threshold</t>
  </si>
  <si>
    <t xml:space="preserve">Decision rule</t>
  </si>
  <si>
    <t xml:space="preserve">Disposition</t>
  </si>
  <si>
    <t xml:space="preserve">ET-A-BAL</t>
  </si>
  <si>
    <t xml:space="preserve">lower confidence bound / requirement</t>
  </si>
  <si>
    <t xml:space="preserve">RESIZE if below; HOLD if interval crosses</t>
  </si>
  <si>
    <t xml:space="preserve">HOLD</t>
  </si>
  <si>
    <t xml:space="preserve">ET-A-KEY</t>
  </si>
  <si>
    <t xml:space="preserve">KEYSTONE</t>
  </si>
  <si>
    <t xml:space="preserve">binary causal survival</t>
  </si>
  <si>
    <t xml:space="preserve">EQUALS</t>
  </si>
  <si>
    <t xml:space="preserve">KILL if validly failed</t>
  </si>
  <si>
    <t xml:space="preserve">CT-C-BAL</t>
  </si>
  <si>
    <t xml:space="preserve">CT-C-KEY</t>
  </si>
  <si>
    <t xml:space="preserve">HC-A-BAL</t>
  </si>
  <si>
    <t xml:space="preserve">HC-A-KEY</t>
  </si>
  <si>
    <t xml:space="preserve">LF-B-BAL</t>
  </si>
  <si>
    <t xml:space="preserve">LF-B-KEY</t>
  </si>
  <si>
    <t xml:space="preserve">HU-A-BAL</t>
  </si>
  <si>
    <t xml:space="preserve">HU-A-KEY</t>
  </si>
  <si>
    <t xml:space="preserve">RT-B-BAL</t>
  </si>
  <si>
    <t xml:space="preserve">RT-B-KEY</t>
  </si>
  <si>
    <t xml:space="preserve">Twenty-four root-native technology campaigns</t>
  </si>
  <si>
    <t xml:space="preserve">Technology authority buys rival causal mechanisms and their failure. It does not buy a predetermined component catalog.</t>
  </si>
  <si>
    <t xml:space="preserve">Campaign</t>
  </si>
  <si>
    <t xml:space="preserve">Workstream</t>
  </si>
  <si>
    <t xml:space="preserve">Technology objective</t>
  </si>
  <si>
    <t xml:space="preserve">Share</t>
  </si>
  <si>
    <t xml:space="preserve">Root option USD B</t>
  </si>
  <si>
    <t xml:space="preserve">Campaign ceiling USD B</t>
  </si>
  <si>
    <t xml:space="preserve">Program state</t>
  </si>
  <si>
    <t xml:space="preserve">Evidence state</t>
  </si>
  <si>
    <t xml:space="preserve">ET-A-T1</t>
  </si>
  <si>
    <t xml:space="preserve">DECISIVE PHYSICS</t>
  </si>
  <si>
    <t xml:space="preserve">moving-base load transfer</t>
  </si>
  <si>
    <t xml:space="preserve">FROZEN PROGRAM</t>
  </si>
  <si>
    <t xml:space="preserve">OPEN</t>
  </si>
  <si>
    <t xml:space="preserve">ET-A-T2</t>
  </si>
  <si>
    <t xml:space="preserve">COMPLETE ARTICLE</t>
  </si>
  <si>
    <t xml:space="preserve">self-forming wet-to-dry terminal</t>
  </si>
  <si>
    <t xml:space="preserve">ET-A-T3</t>
  </si>
  <si>
    <t xml:space="preserve">INDEPENDENT PROVING</t>
  </si>
  <si>
    <t xml:space="preserve">high-rate custody metrology</t>
  </si>
  <si>
    <t xml:space="preserve">ET-A-T4</t>
  </si>
  <si>
    <t xml:space="preserve">REPRODUCTION</t>
  </si>
  <si>
    <t xml:space="preserve">reconstructable connector system</t>
  </si>
  <si>
    <t xml:space="preserve">CT-C-T1</t>
  </si>
  <si>
    <t xml:space="preserve">reversible occupied-structure attachment</t>
  </si>
  <si>
    <t xml:space="preserve">CT-C-T2</t>
  </si>
  <si>
    <t xml:space="preserve">fault-contained multi-utility trunk</t>
  </si>
  <si>
    <t xml:space="preserve">CT-C-T3</t>
  </si>
  <si>
    <t xml:space="preserve">contamination-aware installation robotics</t>
  </si>
  <si>
    <t xml:space="preserve">CT-C-T4</t>
  </si>
  <si>
    <t xml:space="preserve">offline human release and repair</t>
  </si>
  <si>
    <t xml:space="preserve">HC-A-T1</t>
  </si>
  <si>
    <t xml:space="preserve">all-weather plume tomography</t>
  </si>
  <si>
    <t xml:space="preserve">HC-A-T2</t>
  </si>
  <si>
    <t xml:space="preserve">high-duty thermal atmospheric article</t>
  </si>
  <si>
    <t xml:space="preserve">HC-A-T3</t>
  </si>
  <si>
    <t xml:space="preserve">causal precision deposition</t>
  </si>
  <si>
    <t xml:space="preserve">HC-A-T4</t>
  </si>
  <si>
    <t xml:space="preserve">closed refill and runoff metabolism</t>
  </si>
  <si>
    <t xml:space="preserve">LF-B-T1</t>
  </si>
  <si>
    <t xml:space="preserve">rapid subsurface inference and bore steering</t>
  </si>
  <si>
    <t xml:space="preserve">LF-B-T2</t>
  </si>
  <si>
    <t xml:space="preserve">induced-hazard-limited extraction and injection</t>
  </si>
  <si>
    <t xml:space="preserve">LF-B-T3</t>
  </si>
  <si>
    <t xml:space="preserve">closed water-brine-mineral metabolism</t>
  </si>
  <si>
    <t xml:space="preserve">LF-B-T4</t>
  </si>
  <si>
    <t xml:space="preserve">autonomous buried multi-utility corridor</t>
  </si>
  <si>
    <t xml:space="preserve">HU-A-T1</t>
  </si>
  <si>
    <t xml:space="preserve">acuity-reconfigurable clinical space</t>
  </si>
  <si>
    <t xml:space="preserve">HU-A-T2</t>
  </si>
  <si>
    <t xml:space="preserve">sterile and dirty counterflow automation</t>
  </si>
  <si>
    <t xml:space="preserve">HU-A-T3</t>
  </si>
  <si>
    <t xml:space="preserve">islanded clinical utilities</t>
  </si>
  <si>
    <t xml:space="preserve">HU-A-T4</t>
  </si>
  <si>
    <t xml:space="preserve">relationship-preserving regulation and discharge</t>
  </si>
  <si>
    <t xml:space="preserve">RT-B-T1</t>
  </si>
  <si>
    <t xml:space="preserve">disconnected process planning and signing</t>
  </si>
  <si>
    <t xml:space="preserve">RT-B-T2</t>
  </si>
  <si>
    <t xml:space="preserve">heterogeneous local-material qualification</t>
  </si>
  <si>
    <t xml:space="preserve">RT-B-T3</t>
  </si>
  <si>
    <t xml:space="preserve">portable metrology and calibration transfer</t>
  </si>
  <si>
    <t xml:space="preserve">RT-B-T4</t>
  </si>
  <si>
    <t xml:space="preserve">robotic disassembly and cold reconstruction</t>
  </si>
  <si>
    <t xml:space="preserve">Conserved candidate-option authority</t>
  </si>
  <si>
    <t xml:space="preserve">The four workstream views and four payment stages cross-classify the same USD 3.59B. Neither view adds authority.</t>
  </si>
  <si>
    <t xml:space="preserve">Decisive physics</t>
  </si>
  <si>
    <t xml:space="preserve">Complete article</t>
  </si>
  <si>
    <t xml:space="preserve">Independent proving</t>
  </si>
  <si>
    <t xml:space="preserve">Reproduction</t>
  </si>
  <si>
    <t xml:space="preserve">Cross-classified total</t>
  </si>
  <si>
    <t xml:space="preserve">Difference</t>
  </si>
  <si>
    <t xml:space="preserve">TOTAL</t>
  </si>
  <si>
    <t xml:space="preserve">six roots</t>
  </si>
  <si>
    <t xml:space="preserve">all candidate articles</t>
  </si>
  <si>
    <t xml:space="preserve">Twenty-four held candidate payment stages</t>
  </si>
  <si>
    <t xml:space="preserve">Requirement authority is not award, obligation, acceptance or payment. Stage ceilings remain held until their inherited warrants close.</t>
  </si>
  <si>
    <t xml:space="preserve">Stage</t>
  </si>
  <si>
    <t xml:space="preserve">Stage share</t>
  </si>
  <si>
    <t xml:space="preserve">Stage ceiling USD B</t>
  </si>
  <si>
    <t xml:space="preserve">Accepted</t>
  </si>
  <si>
    <t xml:space="preserve">Obligated USD B</t>
  </si>
  <si>
    <t xml:space="preserve">ET-A-FRAME</t>
  </si>
  <si>
    <t xml:space="preserve">FRAME</t>
  </si>
  <si>
    <t xml:space="preserve">ET-A-MAKE</t>
  </si>
  <si>
    <t xml:space="preserve">MAKE</t>
  </si>
  <si>
    <t xml:space="preserve">ET-A-BREAK</t>
  </si>
  <si>
    <t xml:space="preserve">BREAK</t>
  </si>
  <si>
    <t xml:space="preserve">ET-A-TRANSFER</t>
  </si>
  <si>
    <t xml:space="preserve">CT-C-FRAME</t>
  </si>
  <si>
    <t xml:space="preserve">CT-C-MAKE</t>
  </si>
  <si>
    <t xml:space="preserve">CT-C-BREAK</t>
  </si>
  <si>
    <t xml:space="preserve">CT-C-TRANSFER</t>
  </si>
  <si>
    <t xml:space="preserve">HC-A-FRAME</t>
  </si>
  <si>
    <t xml:space="preserve">HC-A-MAKE</t>
  </si>
  <si>
    <t xml:space="preserve">HC-A-BREAK</t>
  </si>
  <si>
    <t xml:space="preserve">HC-A-TRANSFER</t>
  </si>
  <si>
    <t xml:space="preserve">LF-B-FRAME</t>
  </si>
  <si>
    <t xml:space="preserve">LF-B-MAKE</t>
  </si>
  <si>
    <t xml:space="preserve">LF-B-BREAK</t>
  </si>
  <si>
    <t xml:space="preserve">LF-B-TRANSFER</t>
  </si>
  <si>
    <t xml:space="preserve">HU-A-FRAME</t>
  </si>
  <si>
    <t xml:space="preserve">HU-A-MAKE</t>
  </si>
  <si>
    <t xml:space="preserve">HU-A-BREAK</t>
  </si>
  <si>
    <t xml:space="preserve">HU-A-TRANSFER</t>
  </si>
  <si>
    <t xml:space="preserve">RT-B-FRAME</t>
  </si>
  <si>
    <t xml:space="preserve">RT-B-MAKE</t>
  </si>
  <si>
    <t xml:space="preserve">RT-B-BREAK</t>
  </si>
  <si>
    <t xml:space="preserve">RT-B-TRANSFER</t>
  </si>
  <si>
    <t xml:space="preserve">Seventy-two requirement-to-architecture release gates</t>
  </si>
  <si>
    <t xml:space="preserve">The first five gates are constituted requirements. Seven evidence-bearing gates remain open. Even G12 permits internal architecture, not exterior form.</t>
  </si>
  <si>
    <t xml:space="preserve">Gate</t>
  </si>
  <si>
    <t xml:space="preserve">Order</t>
  </si>
  <si>
    <t xml:space="preserve">Gate claim</t>
  </si>
  <si>
    <t xml:space="preserve">Authority basis</t>
  </si>
  <si>
    <t xml:space="preserve">Requirement closed</t>
  </si>
  <si>
    <t xml:space="preserve">Evidence accepted</t>
  </si>
  <si>
    <t xml:space="preserve">If closed</t>
  </si>
  <si>
    <t xml:space="preserve">Exterior authority</t>
  </si>
  <si>
    <t xml:space="preserve">ET-A-G01</t>
  </si>
  <si>
    <t xml:space="preserve">denominator</t>
  </si>
  <si>
    <t xml:space="preserve">requirement package</t>
  </si>
  <si>
    <t xml:space="preserve">NEXT GATE</t>
  </si>
  <si>
    <t xml:space="preserve">n.a.</t>
  </si>
  <si>
    <t xml:space="preserve">ET-A-G02</t>
  </si>
  <si>
    <t xml:space="preserve">article boundary</t>
  </si>
  <si>
    <t xml:space="preserve">ET-A-G03</t>
  </si>
  <si>
    <t xml:space="preserve">ET-A-G04</t>
  </si>
  <si>
    <t xml:space="preserve">ET-A-G05</t>
  </si>
  <si>
    <t xml:space="preserve">denial set</t>
  </si>
  <si>
    <t xml:space="preserve">ET-A-G06</t>
  </si>
  <si>
    <t xml:space="preserve">paper closure</t>
  </si>
  <si>
    <t xml:space="preserve">future source record</t>
  </si>
  <si>
    <t xml:space="preserve">ET-A-G07</t>
  </si>
  <si>
    <t xml:space="preserve">safety and rights</t>
  </si>
  <si>
    <t xml:space="preserve">ET-A-G08</t>
  </si>
  <si>
    <t xml:space="preserve">ancestry</t>
  </si>
  <si>
    <t xml:space="preserve">ET-A-G09</t>
  </si>
  <si>
    <t xml:space="preserve">executable build record</t>
  </si>
  <si>
    <t xml:space="preserve">ET-A-G10</t>
  </si>
  <si>
    <t xml:space="preserve">representative event</t>
  </si>
  <si>
    <t xml:space="preserve">ET-A-G11</t>
  </si>
  <si>
    <t xml:space="preserve">ET-A-G12</t>
  </si>
  <si>
    <t xml:space="preserve">architecture warrant</t>
  </si>
  <si>
    <t xml:space="preserve">INTERNAL ARCHITECTURE ONLY</t>
  </si>
  <si>
    <t xml:space="preserve">CT-C-G01</t>
  </si>
  <si>
    <t xml:space="preserve">CT-C-G02</t>
  </si>
  <si>
    <t xml:space="preserve">CT-C-G03</t>
  </si>
  <si>
    <t xml:space="preserve">CT-C-G04</t>
  </si>
  <si>
    <t xml:space="preserve">CT-C-G05</t>
  </si>
  <si>
    <t xml:space="preserve">CT-C-G06</t>
  </si>
  <si>
    <t xml:space="preserve">CT-C-G07</t>
  </si>
  <si>
    <t xml:space="preserve">CT-C-G08</t>
  </si>
  <si>
    <t xml:space="preserve">CT-C-G09</t>
  </si>
  <si>
    <t xml:space="preserve">CT-C-G10</t>
  </si>
  <si>
    <t xml:space="preserve">CT-C-G11</t>
  </si>
  <si>
    <t xml:space="preserve">CT-C-G12</t>
  </si>
  <si>
    <t xml:space="preserve">HC-A-G01</t>
  </si>
  <si>
    <t xml:space="preserve">HC-A-G02</t>
  </si>
  <si>
    <t xml:space="preserve">HC-A-G03</t>
  </si>
  <si>
    <t xml:space="preserve">HC-A-G04</t>
  </si>
  <si>
    <t xml:space="preserve">HC-A-G05</t>
  </si>
  <si>
    <t xml:space="preserve">HC-A-G06</t>
  </si>
  <si>
    <t xml:space="preserve">HC-A-G07</t>
  </si>
  <si>
    <t xml:space="preserve">HC-A-G08</t>
  </si>
  <si>
    <t xml:space="preserve">HC-A-G09</t>
  </si>
  <si>
    <t xml:space="preserve">HC-A-G10</t>
  </si>
  <si>
    <t xml:space="preserve">HC-A-G11</t>
  </si>
  <si>
    <t xml:space="preserve">HC-A-G12</t>
  </si>
  <si>
    <t xml:space="preserve">LF-B-G01</t>
  </si>
  <si>
    <t xml:space="preserve">LF-B-G02</t>
  </si>
  <si>
    <t xml:space="preserve">LF-B-G03</t>
  </si>
  <si>
    <t xml:space="preserve">LF-B-G04</t>
  </si>
  <si>
    <t xml:space="preserve">LF-B-G05</t>
  </si>
  <si>
    <t xml:space="preserve">LF-B-G06</t>
  </si>
  <si>
    <t xml:space="preserve">LF-B-G07</t>
  </si>
  <si>
    <t xml:space="preserve">LF-B-G08</t>
  </si>
  <si>
    <t xml:space="preserve">LF-B-G09</t>
  </si>
  <si>
    <t xml:space="preserve">LF-B-G10</t>
  </si>
  <si>
    <t xml:space="preserve">LF-B-G11</t>
  </si>
  <si>
    <t xml:space="preserve">LF-B-G12</t>
  </si>
  <si>
    <t xml:space="preserve">HU-A-G01</t>
  </si>
  <si>
    <t xml:space="preserve">HU-A-G02</t>
  </si>
  <si>
    <t xml:space="preserve">HU-A-G03</t>
  </si>
  <si>
    <t xml:space="preserve">HU-A-G04</t>
  </si>
  <si>
    <t xml:space="preserve">HU-A-G05</t>
  </si>
  <si>
    <t xml:space="preserve">HU-A-G06</t>
  </si>
  <si>
    <t xml:space="preserve">HU-A-G07</t>
  </si>
  <si>
    <t xml:space="preserve">HU-A-G08</t>
  </si>
  <si>
    <t xml:space="preserve">HU-A-G09</t>
  </si>
  <si>
    <t xml:space="preserve">HU-A-G10</t>
  </si>
  <si>
    <t xml:space="preserve">HU-A-G11</t>
  </si>
  <si>
    <t xml:space="preserve">HU-A-G12</t>
  </si>
  <si>
    <t xml:space="preserve">RT-B-G01</t>
  </si>
  <si>
    <t xml:space="preserve">RT-B-G02</t>
  </si>
  <si>
    <t xml:space="preserve">RT-B-G03</t>
  </si>
  <si>
    <t xml:space="preserve">RT-B-G04</t>
  </si>
  <si>
    <t xml:space="preserve">RT-B-G05</t>
  </si>
  <si>
    <t xml:space="preserve">RT-B-G06</t>
  </si>
  <si>
    <t xml:space="preserve">RT-B-G07</t>
  </si>
  <si>
    <t xml:space="preserve">RT-B-G08</t>
  </si>
  <si>
    <t xml:space="preserve">RT-B-G09</t>
  </si>
  <si>
    <t xml:space="preserve">RT-B-G10</t>
  </si>
  <si>
    <t xml:space="preserve">RT-B-G11</t>
  </si>
  <si>
    <t xml:space="preserve">RT-B-G12</t>
  </si>
  <si>
    <t xml:space="preserve">Eighteen prohibited requirement conversions</t>
  </si>
  <si>
    <t xml:space="preserve">These are hard type boundaries, not review preferences. Crossing one invalidates the claimed downstream state.</t>
  </si>
  <si>
    <t xml:space="preserve">Rule</t>
  </si>
  <si>
    <t xml:space="preserve">From</t>
  </si>
  <si>
    <t xml:space="preserve">Must not become</t>
  </si>
  <si>
    <t xml:space="preserve">Reason</t>
  </si>
  <si>
    <t xml:space="preserve">N01</t>
  </si>
  <si>
    <t xml:space="preserve">candidate architecture</t>
  </si>
  <si>
    <t xml:space="preserve">a bounded planning or evidence state cannot manufacture a downstream authority</t>
  </si>
  <si>
    <t xml:space="preserve">N02</t>
  </si>
  <si>
    <t xml:space="preserve">exterior form</t>
  </si>
  <si>
    <t xml:space="preserve">N03</t>
  </si>
  <si>
    <t xml:space="preserve">full-scale interface</t>
  </si>
  <si>
    <t xml:space="preserve">complete operational root</t>
  </si>
  <si>
    <t xml:space="preserve">N04</t>
  </si>
  <si>
    <t xml:space="preserve">parent-root burden</t>
  </si>
  <si>
    <t xml:space="preserve">first-article mass</t>
  </si>
  <si>
    <t xml:space="preserve">N05</t>
  </si>
  <si>
    <t xml:space="preserve">load target</t>
  </si>
  <si>
    <t xml:space="preserve">observed performance</t>
  </si>
  <si>
    <t xml:space="preserve">N06</t>
  </si>
  <si>
    <t xml:space="preserve">receiver emulator</t>
  </si>
  <si>
    <t xml:space="preserve">candidate subsystem</t>
  </si>
  <si>
    <t xml:space="preserve">N07</t>
  </si>
  <si>
    <t xml:space="preserve">public field name</t>
  </si>
  <si>
    <t xml:space="preserve">common technical implementation</t>
  </si>
  <si>
    <t xml:space="preserve">N08</t>
  </si>
  <si>
    <t xml:space="preserve">denial world</t>
  </si>
  <si>
    <t xml:space="preserve">mission likelihood</t>
  </si>
  <si>
    <t xml:space="preserve">N09</t>
  </si>
  <si>
    <t xml:space="preserve">paper balance</t>
  </si>
  <si>
    <t xml:space="preserve">physical margin</t>
  </si>
  <si>
    <t xml:space="preserve">N10</t>
  </si>
  <si>
    <t xml:space="preserve">private option</t>
  </si>
  <si>
    <t xml:space="preserve">award</t>
  </si>
  <si>
    <t xml:space="preserve">N11</t>
  </si>
  <si>
    <t xml:space="preserve">stage ceiling</t>
  </si>
  <si>
    <t xml:space="preserve">obligation</t>
  </si>
  <si>
    <t xml:space="preserve">N12</t>
  </si>
  <si>
    <t xml:space="preserve">accepted construction</t>
  </si>
  <si>
    <t xml:space="preserve">valid event</t>
  </si>
  <si>
    <t xml:space="preserve">N13</t>
  </si>
  <si>
    <t xml:space="preserve">favorable evidence</t>
  </si>
  <si>
    <t xml:space="preserve">N14</t>
  </si>
  <si>
    <t xml:space="preserve">valid failure</t>
  </si>
  <si>
    <t xml:space="preserve">contract default</t>
  </si>
  <si>
    <t xml:space="preserve">N15</t>
  </si>
  <si>
    <t xml:space="preserve">root survival</t>
  </si>
  <si>
    <t xml:space="preserve">production selection</t>
  </si>
  <si>
    <t xml:space="preserve">N16</t>
  </si>
  <si>
    <t xml:space="preserve">force readiness</t>
  </si>
  <si>
    <t xml:space="preserve">N17</t>
  </si>
  <si>
    <t xml:space="preserve">internal section warrant</t>
  </si>
  <si>
    <t xml:space="preserve">exterior rendering</t>
  </si>
  <si>
    <t xml:space="preserve">N18</t>
  </si>
  <si>
    <t xml:space="preserve">one selected sentinel</t>
  </si>
  <si>
    <t xml:space="preserve">cancellation of three sibling roots</t>
  </si>
  <si>
    <t xml:space="preserve">Six package-to-evidence crosswalk records</t>
  </si>
  <si>
    <t xml:space="preserve">Each package is complete as a requirement object while every implementation, evidence, capability and exterior state remains empty or held.</t>
  </si>
  <si>
    <t xml:space="preserve">Clauses</t>
  </si>
  <si>
    <t xml:space="preserve">Form loads</t>
  </si>
  <si>
    <t xml:space="preserve">Interfaces</t>
  </si>
  <si>
    <t xml:space="preserve">Denial worlds</t>
  </si>
  <si>
    <t xml:space="preserve">Endpoints</t>
  </si>
  <si>
    <t xml:space="preserve">Technology campaigns</t>
  </si>
  <si>
    <t xml:space="preserve">Release gates</t>
  </si>
  <si>
    <t xml:space="preserve">Constituted gates</t>
  </si>
  <si>
    <t xml:space="preserve">Open evidence gates</t>
  </si>
  <si>
    <t xml:space="preserve">Site</t>
  </si>
  <si>
    <t xml:space="preserve">Firm</t>
  </si>
  <si>
    <t xml:space="preserve">Award</t>
  </si>
  <si>
    <t xml:space="preserve">Capability</t>
  </si>
  <si>
    <t xml:space="preserve">Rendering</t>
  </si>
  <si>
    <t xml:space="preserve">Sixteen requirement-constitution stress cases</t>
  </si>
  <si>
    <t xml:space="preserve">The constitution must preserve radical technical freedom while denying every shortcut from a requirement or promising mechanism to a finished platform.</t>
  </si>
  <si>
    <t xml:space="preserve">ID</t>
  </si>
  <si>
    <t xml:space="preserve">Disturbance</t>
  </si>
  <si>
    <t xml:space="preserve">Forbidden conversion</t>
  </si>
  <si>
    <t xml:space="preserve">S01</t>
  </si>
  <si>
    <t xml:space="preserve">designer proposes one common carrier outline</t>
  </si>
  <si>
    <t xml:space="preserve">retain six causal boundaries</t>
  </si>
  <si>
    <t xml:space="preserve">common form to unlike physics</t>
  </si>
  <si>
    <t xml:space="preserve">REJECT</t>
  </si>
  <si>
    <t xml:space="preserve">PASS</t>
  </si>
  <si>
    <t xml:space="preserve">S02</t>
  </si>
  <si>
    <t xml:space="preserve">supplier rewrites its denominator</t>
  </si>
  <si>
    <t xml:space="preserve">return to public requirement authority</t>
  </si>
  <si>
    <t xml:space="preserve">candidate to test owner</t>
  </si>
  <si>
    <t xml:space="preserve">INVALID</t>
  </si>
  <si>
    <t xml:space="preserve">S03</t>
  </si>
  <si>
    <t xml:space="preserve">host power closes an article balance</t>
  </si>
  <si>
    <t xml:space="preserve">remove host contribution</t>
  </si>
  <si>
    <t xml:space="preserve">borrowed support to capability</t>
  </si>
  <si>
    <t xml:space="preserve">FAIL</t>
  </si>
  <si>
    <t xml:space="preserve">S04</t>
  </si>
  <si>
    <t xml:space="preserve">scaled model omits nonlinear interface</t>
  </si>
  <si>
    <t xml:space="preserve">require full-scale causal boundary</t>
  </si>
  <si>
    <t xml:space="preserve">model similarity to physical truth</t>
  </si>
  <si>
    <t xml:space="preserve">S05</t>
  </si>
  <si>
    <t xml:space="preserve">parent-root mass is divided into article mass</t>
  </si>
  <si>
    <t xml:space="preserve">retain context-only scope</t>
  </si>
  <si>
    <t xml:space="preserve">portfolio arithmetic to geometry</t>
  </si>
  <si>
    <t xml:space="preserve">S06</t>
  </si>
  <si>
    <t xml:space="preserve">receiver emulator controls the candidate</t>
  </si>
  <si>
    <t xml:space="preserve">split actuation and measurement</t>
  </si>
  <si>
    <t xml:space="preserve">public method to candidate root</t>
  </si>
  <si>
    <t xml:space="preserve">S07</t>
  </si>
  <si>
    <t xml:space="preserve">one load exceeds target but another fails</t>
  </si>
  <si>
    <t xml:space="preserve">apply conjunctive endpoints</t>
  </si>
  <si>
    <t xml:space="preserve">surplus to compensation</t>
  </si>
  <si>
    <t xml:space="preserve">RESIZE</t>
  </si>
  <si>
    <t xml:space="preserve">S08</t>
  </si>
  <si>
    <t xml:space="preserve">valid keystone failure is repeated</t>
  </si>
  <si>
    <t xml:space="preserve">bind result and kill claim</t>
  </si>
  <si>
    <t xml:space="preserve">adverse evidence to schedule delay</t>
  </si>
  <si>
    <t xml:space="preserve">KILL</t>
  </si>
  <si>
    <t xml:space="preserve">S09</t>
  </si>
  <si>
    <t xml:space="preserve">uncertainty interval crosses one</t>
  </si>
  <si>
    <t xml:space="preserve">retain hold</t>
  </si>
  <si>
    <t xml:space="preserve">uncertainty to pass</t>
  </si>
  <si>
    <t xml:space="preserve">S10</t>
  </si>
  <si>
    <t xml:space="preserve">technology campaign converges on sibling root</t>
  </si>
  <si>
    <t xml:space="preserve">redeclare ancestry or end root</t>
  </si>
  <si>
    <t xml:space="preserve">program label to diversity</t>
  </si>
  <si>
    <t xml:space="preserve">S11</t>
  </si>
  <si>
    <t xml:space="preserve">option ceiling is treated as cost estimate</t>
  </si>
  <si>
    <t xml:space="preserve">retain authority-only meaning</t>
  </si>
  <si>
    <t xml:space="preserve">reservation to price</t>
  </si>
  <si>
    <t xml:space="preserve">S12</t>
  </si>
  <si>
    <t xml:space="preserve">FRAME is requested after requirement issue</t>
  </si>
  <si>
    <t xml:space="preserve">require award and accepted artifact</t>
  </si>
  <si>
    <t xml:space="preserve">requirement to payment</t>
  </si>
  <si>
    <t xml:space="preserve">S13</t>
  </si>
  <si>
    <t xml:space="preserve">cold reconstruction uses vendor key</t>
  </si>
  <si>
    <t xml:space="preserve">reject architecture warrant</t>
  </si>
  <si>
    <t xml:space="preserve">access to reproducibility</t>
  </si>
  <si>
    <t xml:space="preserve">S14</t>
  </si>
  <si>
    <t xml:space="preserve">internal sections close before safety case</t>
  </si>
  <si>
    <t xml:space="preserve">hold architecture</t>
  </si>
  <si>
    <t xml:space="preserve">partial closure to form</t>
  </si>
  <si>
    <t xml:space="preserve">S15</t>
  </si>
  <si>
    <t xml:space="preserve">one sentinel survives</t>
  </si>
  <si>
    <t xml:space="preserve">retain three sibling roots</t>
  </si>
  <si>
    <t xml:space="preserve">survival to production winner</t>
  </si>
  <si>
    <t xml:space="preserve">NO CREDIT</t>
  </si>
  <si>
    <t xml:space="preserve">S16</t>
  </si>
  <si>
    <t xml:space="preserve">exterior rendering is requested</t>
  </si>
  <si>
    <t xml:space="preserve">require G12 plus separate form warrant</t>
  </si>
  <si>
    <t xml:space="preserve">internal authority to rendering</t>
  </si>
  <si>
    <t xml:space="preserve">Live mutation and restoration log</t>
  </si>
  <si>
    <t xml:space="preserve">Each mutation changes one authoritative control, trips at least one terminal audit and restores the passing baseline before export.</t>
  </si>
  <si>
    <t xml:space="preserve">Control cell</t>
  </si>
  <si>
    <t xml:space="preserve">Baseline</t>
  </si>
  <si>
    <t xml:space="preserve">Mutated</t>
  </si>
  <si>
    <t xml:space="preserve">Audit failures</t>
  </si>
  <si>
    <t xml:space="preserve">Mutation detected</t>
  </si>
  <si>
    <t xml:space="preserve">Baseline restored</t>
  </si>
  <si>
    <t xml:space="preserve">M01</t>
  </si>
  <si>
    <t xml:space="preserve">Controls!B7</t>
  </si>
  <si>
    <t xml:space="preserve">YES</t>
  </si>
  <si>
    <t xml:space="preserve">M02</t>
  </si>
  <si>
    <t xml:space="preserve">Controls!B8</t>
  </si>
  <si>
    <t xml:space="preserve">M03</t>
  </si>
  <si>
    <t xml:space="preserve">Controls!B9</t>
  </si>
  <si>
    <t xml:space="preserve">M04</t>
  </si>
  <si>
    <t xml:space="preserve">Controls!B10</t>
  </si>
  <si>
    <t xml:space="preserve">M05</t>
  </si>
  <si>
    <t xml:space="preserve">Controls!B11</t>
  </si>
  <si>
    <t xml:space="preserve">M06</t>
  </si>
  <si>
    <t xml:space="preserve">Controls!B12</t>
  </si>
  <si>
    <t xml:space="preserve">M07</t>
  </si>
  <si>
    <t xml:space="preserve">Controls!B13</t>
  </si>
  <si>
    <t xml:space="preserve">M08</t>
  </si>
  <si>
    <t xml:space="preserve">Controls!B14</t>
  </si>
  <si>
    <t xml:space="preserve">M09</t>
  </si>
  <si>
    <t xml:space="preserve">Controls!B15</t>
  </si>
  <si>
    <t xml:space="preserve">M10</t>
  </si>
  <si>
    <t xml:space="preserve">Controls!B16</t>
  </si>
  <si>
    <t xml:space="preserve">M11</t>
  </si>
  <si>
    <t xml:space="preserve">Controls!B17</t>
  </si>
  <si>
    <t xml:space="preserve">M12</t>
  </si>
  <si>
    <t xml:space="preserve">Controls!B18</t>
  </si>
  <si>
    <t xml:space="preserve">M13</t>
  </si>
  <si>
    <t xml:space="preserve">Controls!B19</t>
  </si>
  <si>
    <t xml:space="preserve">M14</t>
  </si>
  <si>
    <t xml:space="preserve">Controls!B20</t>
  </si>
  <si>
    <t xml:space="preserve">M15</t>
  </si>
  <si>
    <t xml:space="preserve">Controls!B21</t>
  </si>
  <si>
    <t xml:space="preserve">M16</t>
  </si>
  <si>
    <t xml:space="preserve">Controls!B22</t>
  </si>
  <si>
    <t xml:space="preserve">M17</t>
  </si>
  <si>
    <t xml:space="preserve">Controls!B23</t>
  </si>
  <si>
    <t xml:space="preserve">M18</t>
  </si>
  <si>
    <t xml:space="preserve">Controls!B27</t>
  </si>
  <si>
    <t xml:space="preserve">M19</t>
  </si>
  <si>
    <t xml:space="preserve">Controls!B31</t>
  </si>
  <si>
    <t xml:space="preserve">M20</t>
  </si>
  <si>
    <t xml:space="preserve">Controls!B39</t>
  </si>
  <si>
    <t xml:space="preserve">Terminal candidate-requirement audit</t>
  </si>
  <si>
    <t xml:space="preserve">Passing checks prove internal completeness and conservation only. They create no firm, article, evidence, capability, production or exterior authority.</t>
  </si>
  <si>
    <t xml:space="preserve">Audit</t>
  </si>
  <si>
    <t xml:space="preserve">Expected</t>
  </si>
  <si>
    <t xml:space="preserve">systems</t>
  </si>
  <si>
    <t xml:space="preserve">packages control</t>
  </si>
  <si>
    <t xml:space="preserve">package rows</t>
  </si>
  <si>
    <t xml:space="preserve">package clauses control</t>
  </si>
  <si>
    <t xml:space="preserve">package clause rows</t>
  </si>
  <si>
    <t xml:space="preserve">loads per package</t>
  </si>
  <si>
    <t xml:space="preserve">form-load control</t>
  </si>
  <si>
    <t xml:space="preserve">form-load rows</t>
  </si>
  <si>
    <t xml:space="preserve">form-load observations empty</t>
  </si>
  <si>
    <t xml:space="preserve">form-load credit zero</t>
  </si>
  <si>
    <t xml:space="preserve">interface control</t>
  </si>
  <si>
    <t xml:space="preserve">interface rows</t>
  </si>
  <si>
    <t xml:space="preserve">interface observations empty</t>
  </si>
  <si>
    <t xml:space="preserve">interface credit zero</t>
  </si>
  <si>
    <t xml:space="preserve">denials per package</t>
  </si>
  <si>
    <t xml:space="preserve">denial control</t>
  </si>
  <si>
    <t xml:space="preserve">denial rows</t>
  </si>
  <si>
    <t xml:space="preserve">denial observations empty</t>
  </si>
  <si>
    <t xml:space="preserve">denial credit zero</t>
  </si>
  <si>
    <t xml:space="preserve">endpoint control</t>
  </si>
  <si>
    <t xml:space="preserve">endpoint rows</t>
  </si>
  <si>
    <t xml:space="preserve">balance endpoints</t>
  </si>
  <si>
    <t xml:space="preserve">keystone endpoints</t>
  </si>
  <si>
    <t xml:space="preserve">endpoint evidence empty</t>
  </si>
  <si>
    <t xml:space="preserve">endpoint credit zero</t>
  </si>
  <si>
    <t xml:space="preserve">technology control</t>
  </si>
  <si>
    <t xml:space="preserve">technology rows</t>
  </si>
  <si>
    <t xml:space="preserve">technology ceiling</t>
  </si>
  <si>
    <t xml:space="preserve">technology evidence open</t>
  </si>
  <si>
    <t xml:space="preserve">release gate control</t>
  </si>
  <si>
    <t xml:space="preserve">release gate rows</t>
  </si>
  <si>
    <t xml:space="preserve">constituted gate control</t>
  </si>
  <si>
    <t xml:space="preserve">constituted gate rows</t>
  </si>
  <si>
    <t xml:space="preserve">open gate control</t>
  </si>
  <si>
    <t xml:space="preserve">open gate rows</t>
  </si>
  <si>
    <t xml:space="preserve">evidence accepted zero</t>
  </si>
  <si>
    <t xml:space="preserve">private option control</t>
  </si>
  <si>
    <t xml:space="preserve">article option sum</t>
  </si>
  <si>
    <t xml:space="preserve">finance option sum</t>
  </si>
  <si>
    <t xml:space="preserve">finance crossclass sum</t>
  </si>
  <si>
    <t xml:space="preserve">finance difference</t>
  </si>
  <si>
    <t xml:space="preserve">workstream share sum</t>
  </si>
  <si>
    <t xml:space="preserve">payment share sum</t>
  </si>
  <si>
    <t xml:space="preserve">payment rows</t>
  </si>
  <si>
    <t xml:space="preserve">payment stage ceiling</t>
  </si>
  <si>
    <t xml:space="preserve">payment accepted zero</t>
  </si>
  <si>
    <t xml:space="preserve">payment obligations zero</t>
  </si>
  <si>
    <t xml:space="preserve">crosswalk rows</t>
  </si>
  <si>
    <t xml:space="preserve">crosswalk clauses</t>
  </si>
  <si>
    <t xml:space="preserve">crosswalk loads</t>
  </si>
  <si>
    <t xml:space="preserve">crosswalk interfaces</t>
  </si>
  <si>
    <t xml:space="preserve">crosswalk denials</t>
  </si>
  <si>
    <t xml:space="preserve">crosswalk endpoints</t>
  </si>
  <si>
    <t xml:space="preserve">crosswalk technology</t>
  </si>
  <si>
    <t xml:space="preserve">crosswalk gates</t>
  </si>
  <si>
    <t xml:space="preserve">selected architecture</t>
  </si>
  <si>
    <t xml:space="preserve">selected gate count</t>
  </si>
  <si>
    <t xml:space="preserve">rejected alternatives</t>
  </si>
  <si>
    <t xml:space="preserve">nonconversions</t>
  </si>
  <si>
    <t xml:space="preserve">stress cases</t>
  </si>
  <si>
    <t xml:space="preserve">stress passes</t>
  </si>
  <si>
    <t xml:space="preserve">sites zero</t>
  </si>
  <si>
    <t xml:space="preserve">firms zero</t>
  </si>
  <si>
    <t xml:space="preserve">awards zero</t>
  </si>
  <si>
    <t xml:space="preserve">obligations zero</t>
  </si>
  <si>
    <t xml:space="preserve">payments zero</t>
  </si>
  <si>
    <t xml:space="preserve">observations zero</t>
  </si>
  <si>
    <t xml:space="preserve">capability zero</t>
  </si>
  <si>
    <t xml:space="preserve">production zero</t>
  </si>
  <si>
    <t xml:space="preserve">rendering zero</t>
  </si>
  <si>
    <t xml:space="preserve">Internal authorities and model limits</t>
  </si>
  <si>
    <t xml:space="preserve">Only internal repository authorities are used. Every physical coefficient remains a controlled hypothesis until representative evidence closes it.</t>
  </si>
  <si>
    <t xml:space="preserve">Source</t>
  </si>
  <si>
    <t xml:space="preserve">Repository artifact</t>
  </si>
  <si>
    <t xml:space="preserve">Use</t>
  </si>
  <si>
    <t xml:space="preserve">Status</t>
  </si>
  <si>
    <t xml:space="preserve">Limitation</t>
  </si>
  <si>
    <t xml:space="preserve">National First Sentinel Construction Compact</t>
  </si>
  <si>
    <t xml:space="preserve">returned authority and private options</t>
  </si>
  <si>
    <t xml:space="preserve">authoritative</t>
  </si>
  <si>
    <t xml:space="preserve">no implementation records</t>
  </si>
  <si>
    <t xml:space="preserve">PFP-3</t>
  </si>
  <si>
    <t xml:space="preserve">First Six-System Requirement Cohort</t>
  </si>
  <si>
    <t xml:space="preserve">public denominators and selected problem fields</t>
  </si>
  <si>
    <t xml:space="preserve">no candidate performance</t>
  </si>
  <si>
    <t xml:space="preserve">Six-Root Sentinel Wave</t>
  </si>
  <si>
    <t xml:space="preserve">selected roots, endpoints and cancellation law</t>
  </si>
  <si>
    <t xml:space="preserve">selection is not promise</t>
  </si>
  <si>
    <t xml:space="preserve">A2C-2</t>
  </si>
  <si>
    <t xml:space="preserve">Sovereign Truth Trains</t>
  </si>
  <si>
    <t xml:space="preserve">full-scale causal interfaces and denied conditions</t>
  </si>
  <si>
    <t xml:space="preserve">rig configuration is not article form</t>
  </si>
  <si>
    <t xml:space="preserve">C3-SPW-3</t>
  </si>
  <si>
    <t xml:space="preserve">Twenty Non-Lifeline Root Physical Balances</t>
  </si>
  <si>
    <t xml:space="preserve">parent mass, energy, labor, receiver and residual context</t>
  </si>
  <si>
    <t xml:space="preserve">controlled hypothesis</t>
  </si>
  <si>
    <t xml:space="preserve">coefficients unobserved</t>
  </si>
  <si>
    <t xml:space="preserve">C3-LFG3-1</t>
  </si>
  <si>
    <t xml:space="preserve">Lifeline Four-Root Configuration</t>
  </si>
  <si>
    <t xml:space="preserve">IGT-50 source, water, power, thermal and corridor balances</t>
  </si>
  <si>
    <t xml:space="preserve">geology and rates unobserved</t>
  </si>
  <si>
    <t xml:space="preserve">Model boundary</t>
  </si>
  <si>
    <t xml:space="preserve">this workbook</t>
  </si>
  <si>
    <t xml:space="preserve">requirement completeness, finance and release checks</t>
  </si>
  <si>
    <t xml:space="preserve">planning only</t>
  </si>
  <si>
    <t xml:space="preserve">no sites used; no exterior produced</t>
  </si>
  <si>
    <t xml:space="preserve">Evidence boundary</t>
  </si>
  <si>
    <t xml:space="preserve">all observation fields</t>
  </si>
  <si>
    <t xml:space="preserve">deliberate source-empty state</t>
  </si>
  <si>
    <t xml:space="preserve">not available</t>
  </si>
  <si>
    <t xml:space="preserve">no physical event has run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</si>
</sst>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0"/>
    <numFmt numFmtId="166" formatCode="0.000"/>
    <numFmt numFmtId="167" formatCode="\$0.000"/>
    <numFmt numFmtId="168" formatCode="0.0%"/>
    <numFmt numFmtId="169" formatCode="#,##0.000000"/>
  </numFmts>
  <fonts count="1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4"/>
      <color rgb="FF17365D"/>
      <name val="Arial"/>
      <family val="0"/>
      <charset val="1"/>
    </font>
    <font>
      <sz val="11"/>
      <name val="Arial"/>
      <family val="0"/>
      <charset val="1"/>
    </font>
    <font>
      <i val="true"/>
      <sz val="10"/>
      <color rgb="FF1F293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2937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70C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9"/>
      <color rgb="FF000000"/>
      <name val="Arial"/>
      <family val="2"/>
    </font>
    <font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7365D"/>
        <bgColor rgb="FF1F2937"/>
      </patternFill>
    </fill>
    <fill>
      <patternFill patternType="solid">
        <fgColor rgb="FFFFF2CC"/>
        <bgColor rgb="FFFCE8E6"/>
      </patternFill>
    </fill>
    <fill>
      <patternFill patternType="solid">
        <fgColor rgb="FF0F6B78"/>
        <bgColor rgb="FF008080"/>
      </patternFill>
    </fill>
    <fill>
      <patternFill patternType="solid">
        <fgColor rgb="FFEAF2F8"/>
        <bgColor rgb="FFE2F0D9"/>
      </patternFill>
    </fill>
    <fill>
      <patternFill patternType="solid">
        <fgColor rgb="FFE2F0D9"/>
        <bgColor rgb="FFEAF2F8"/>
      </patternFill>
    </fill>
    <fill>
      <patternFill patternType="solid">
        <fgColor rgb="FFFCE8E6"/>
        <bgColor rgb="FFFFF2CC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17365D"/>
      </bottom>
      <diagonal/>
    </border>
    <border diagonalUp="false" diagonalDown="false">
      <left/>
      <right style="thin">
        <color rgb="FFFFFFFF"/>
      </right>
      <top/>
      <bottom/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  <border diagonalUp="false" diagonalDown="false">
      <left style="thin">
        <color rgb="FFFFFFFF"/>
      </left>
      <right/>
      <top/>
      <bottom/>
      <diagonal/>
    </border>
    <border diagonalUp="false" diagonalDown="false">
      <left/>
      <right/>
      <top/>
      <bottom style="thin">
        <color rgb="FFD6DFEA"/>
      </bottom>
      <diagonal/>
    </border>
    <border diagonalUp="false" diagonalDown="false">
      <left/>
      <right/>
      <top style="thin">
        <color rgb="FFD6DFEA"/>
      </top>
      <bottom style="thin">
        <color rgb="FFD6DFEA"/>
      </bottom>
      <diagonal/>
    </border>
    <border diagonalUp="false" diagonalDown="false">
      <left/>
      <right/>
      <top style="thin">
        <color rgb="FFD6DFEA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5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5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5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6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7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7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9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0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9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0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9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0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4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4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4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3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0" fillId="3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3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0" fillId="3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3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0" fillId="3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6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6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6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0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9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0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9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0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9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B78"/>
      <rgbColor rgb="FFCCCCCC"/>
      <rgbColor rgb="FF8B8B8B"/>
      <rgbColor rgb="FF9999FF"/>
      <rgbColor rgb="FF993366"/>
      <rgbColor rgb="FFFFF2CC"/>
      <rgbColor rgb="FFEAF2F8"/>
      <rgbColor rgb="FF660066"/>
      <rgbColor rgb="FFFF8080"/>
      <rgbColor rgb="FF0070C0"/>
      <rgbColor rgb="FFD6DF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CE8E6"/>
      <rgbColor rgb="FF99CCFF"/>
      <rgbColor rgb="FFFF99CC"/>
      <rgbColor rgb="FFCC99FF"/>
      <rgbColor rgb="FFD9D9D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900" b="1" u="none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Candidate option authority (USD B)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"Series 1"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Finance!$B$7:$B$12</c:f>
              <c:strCache>
                <c:ptCount val="6"/>
                <c:pt idx="0">
                  <c:v>ET-A</c:v>
                </c:pt>
                <c:pt idx="1">
                  <c:v>CT-C</c:v>
                </c:pt>
                <c:pt idx="2">
                  <c:v>HC-A</c:v>
                </c:pt>
                <c:pt idx="3">
                  <c:v>LF-B</c:v>
                </c:pt>
                <c:pt idx="4">
                  <c:v>HU-A</c:v>
                </c:pt>
                <c:pt idx="5">
                  <c:v>RT-B</c:v>
                </c:pt>
              </c:strCache>
            </c:strRef>
          </c:cat>
          <c:val>
            <c:numRef>
              <c:f>Finance!$D$7:$D$12</c:f>
              <c:numCache>
                <c:formatCode>\$0.000</c:formatCode>
                <c:ptCount val="6"/>
                <c:pt idx="0">
                  <c:v>0.50047461808185</c:v>
                </c:pt>
                <c:pt idx="1">
                  <c:v>0.51649348177396</c:v>
                </c:pt>
                <c:pt idx="2">
                  <c:v>0.307221654067133</c:v>
                </c:pt>
                <c:pt idx="3">
                  <c:v>0.899412819320565</c:v>
                </c:pt>
                <c:pt idx="4">
                  <c:v>0.860712452941095</c:v>
                </c:pt>
                <c:pt idx="5">
                  <c:v>0.502597793135963</c:v>
                </c:pt>
              </c:numCache>
            </c:numRef>
          </c:val>
        </c:ser>
        <c:gapWidth val="150"/>
        <c:overlap val="0"/>
        <c:axId val="85558798"/>
        <c:axId val="12007121"/>
      </c:barChart>
      <c:catAx>
        <c:axId val="85558798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12007121"/>
        <c:crosses val="autoZero"/>
        <c:auto val="1"/>
        <c:lblAlgn val="ctr"/>
        <c:lblOffset val="100"/>
        <c:noMultiLvlLbl val="0"/>
      </c:catAx>
      <c:valAx>
        <c:axId val="12007121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85558798"/>
        <c:crosses val="autoZero"/>
        <c:crossBetween val="between"/>
      </c:valAx>
      <c:spPr>
        <a:ln w="0">
          <a:noFill/>
        </a:ln>
      </c:spPr>
    </c:plotArea>
    <c:plotVisOnly val="1"/>
    <c:dispBlanksAs val="zero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5</xdr:row>
      <xdr:rowOff>0</xdr:rowOff>
    </xdr:from>
    <xdr:to>
      <xdr:col>18</xdr:col>
      <xdr:colOff>611280</xdr:colOff>
      <xdr:row>20</xdr:row>
      <xdr:rowOff>190080</xdr:rowOff>
    </xdr:to>
    <xdr:graphicFrame>
      <xdr:nvGraphicFramePr>
        <xdr:cNvPr id="1" name="Chart"/>
        <xdr:cNvGraphicFramePr/>
      </xdr:nvGraphicFramePr>
      <xdr:xfrm>
        <a:off x="15202080" y="1066680"/>
        <a:ext cx="4891680" cy="3250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3"/>
    <col collapsed="false" customWidth="true" hidden="false" outlineLevel="0" max="2" min="2" style="0" width="39"/>
    <col collapsed="false" customWidth="true" hidden="false" outlineLevel="0" max="3" min="3" style="0" width="19"/>
    <col collapsed="false" customWidth="true" hidden="false" outlineLevel="0" max="4" min="4" style="0" width="26"/>
    <col collapsed="false" customWidth="true" hidden="false" outlineLevel="0" max="5" min="5" style="0" width="52"/>
    <col collapsed="false" customWidth="true" hidden="false" outlineLevel="0" max="6" min="6" style="0" width="29"/>
    <col collapsed="false" customWidth="true" hidden="false" outlineLevel="0" max="7" min="7" style="0" width="36"/>
    <col collapsed="false" customWidth="true" hidden="false" outlineLevel="0" max="8" min="8" style="0" width="35"/>
  </cols>
  <sheetData>
    <row r="2" customFormat="false" ht="24" hidden="false" customHeight="true" outlineLevel="0" collapsed="false">
      <c r="A2" s="1" t="s">
        <v>0</v>
      </c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3" t="s">
        <v>1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</row>
    <row r="6" customFormat="false" ht="23" hidden="false" customHeight="true" outlineLevel="0" collapsed="false">
      <c r="A6" s="5" t="s">
        <v>2</v>
      </c>
      <c r="B6" s="6" t="s">
        <v>3</v>
      </c>
      <c r="C6" s="6" t="s">
        <v>4</v>
      </c>
      <c r="D6" s="6" t="s">
        <v>5</v>
      </c>
      <c r="E6" s="6" t="s">
        <v>6</v>
      </c>
      <c r="F6" s="6" t="s">
        <v>7</v>
      </c>
      <c r="G6" s="6" t="s">
        <v>8</v>
      </c>
      <c r="H6" s="7" t="s">
        <v>9</v>
      </c>
    </row>
    <row r="7" customFormat="false" ht="15" hidden="false" customHeight="false" outlineLevel="0" collapsed="false">
      <c r="A7" s="8" t="s">
        <v>10</v>
      </c>
      <c r="B7" s="8" t="s">
        <v>11</v>
      </c>
      <c r="C7" s="8" t="s">
        <v>12</v>
      </c>
      <c r="D7" s="8" t="s">
        <v>13</v>
      </c>
      <c r="E7" s="8" t="s">
        <v>14</v>
      </c>
      <c r="F7" s="8" t="s">
        <v>15</v>
      </c>
      <c r="G7" s="8" t="s">
        <v>16</v>
      </c>
      <c r="H7" s="8" t="s">
        <v>17</v>
      </c>
    </row>
    <row r="8" customFormat="false" ht="15" hidden="false" customHeight="false" outlineLevel="0" collapsed="false">
      <c r="A8" s="9" t="s">
        <v>18</v>
      </c>
      <c r="B8" s="10" t="n">
        <v>6</v>
      </c>
      <c r="C8" s="9" t="s">
        <v>19</v>
      </c>
      <c r="D8" s="9" t="s">
        <v>20</v>
      </c>
      <c r="E8" s="9" t="s">
        <v>21</v>
      </c>
      <c r="F8" s="9" t="s">
        <v>15</v>
      </c>
      <c r="G8" s="9" t="s">
        <v>22</v>
      </c>
      <c r="H8" s="9" t="s">
        <v>23</v>
      </c>
    </row>
    <row r="9" customFormat="false" ht="15" hidden="false" customHeight="false" outlineLevel="0" collapsed="false">
      <c r="A9" s="9" t="s">
        <v>24</v>
      </c>
      <c r="B9" s="10" t="n">
        <v>96</v>
      </c>
      <c r="C9" s="9" t="s">
        <v>19</v>
      </c>
      <c r="D9" s="9" t="s">
        <v>20</v>
      </c>
      <c r="E9" s="9" t="s">
        <v>25</v>
      </c>
      <c r="F9" s="9" t="s">
        <v>15</v>
      </c>
      <c r="G9" s="9" t="s">
        <v>26</v>
      </c>
      <c r="H9" s="9" t="s">
        <v>27</v>
      </c>
    </row>
    <row r="10" customFormat="false" ht="15" hidden="false" customHeight="false" outlineLevel="0" collapsed="false">
      <c r="A10" s="9" t="s">
        <v>28</v>
      </c>
      <c r="B10" s="10" t="n">
        <v>72</v>
      </c>
      <c r="C10" s="9" t="s">
        <v>19</v>
      </c>
      <c r="D10" s="9" t="s">
        <v>29</v>
      </c>
      <c r="E10" s="9" t="s">
        <v>30</v>
      </c>
      <c r="F10" s="9" t="s">
        <v>15</v>
      </c>
      <c r="G10" s="9" t="s">
        <v>31</v>
      </c>
      <c r="H10" s="9" t="s">
        <v>32</v>
      </c>
    </row>
    <row r="11" customFormat="false" ht="15" hidden="false" customHeight="false" outlineLevel="0" collapsed="false">
      <c r="A11" s="9" t="s">
        <v>33</v>
      </c>
      <c r="B11" s="10" t="n">
        <v>48</v>
      </c>
      <c r="C11" s="9" t="s">
        <v>19</v>
      </c>
      <c r="D11" s="9" t="s">
        <v>29</v>
      </c>
      <c r="E11" s="9" t="s">
        <v>34</v>
      </c>
      <c r="F11" s="9" t="s">
        <v>15</v>
      </c>
      <c r="G11" s="9" t="s">
        <v>35</v>
      </c>
      <c r="H11" s="9" t="s">
        <v>36</v>
      </c>
    </row>
    <row r="12" customFormat="false" ht="15" hidden="false" customHeight="false" outlineLevel="0" collapsed="false">
      <c r="A12" s="9" t="s">
        <v>37</v>
      </c>
      <c r="B12" s="10" t="n">
        <v>72</v>
      </c>
      <c r="C12" s="9" t="s">
        <v>19</v>
      </c>
      <c r="D12" s="9" t="s">
        <v>29</v>
      </c>
      <c r="E12" s="9" t="s">
        <v>38</v>
      </c>
      <c r="F12" s="9" t="s">
        <v>15</v>
      </c>
      <c r="G12" s="9" t="s">
        <v>39</v>
      </c>
      <c r="H12" s="9" t="s">
        <v>40</v>
      </c>
    </row>
    <row r="13" customFormat="false" ht="15" hidden="false" customHeight="false" outlineLevel="0" collapsed="false">
      <c r="A13" s="9" t="s">
        <v>41</v>
      </c>
      <c r="B13" s="10" t="n">
        <v>12</v>
      </c>
      <c r="C13" s="9" t="s">
        <v>19</v>
      </c>
      <c r="D13" s="9" t="s">
        <v>29</v>
      </c>
      <c r="E13" s="9" t="s">
        <v>42</v>
      </c>
      <c r="F13" s="9" t="s">
        <v>43</v>
      </c>
      <c r="G13" s="9" t="s">
        <v>44</v>
      </c>
      <c r="H13" s="9" t="s">
        <v>45</v>
      </c>
    </row>
    <row r="14" customFormat="false" ht="15" hidden="false" customHeight="false" outlineLevel="0" collapsed="false">
      <c r="A14" s="9" t="s">
        <v>46</v>
      </c>
      <c r="B14" s="10" t="n">
        <v>24</v>
      </c>
      <c r="C14" s="9" t="s">
        <v>19</v>
      </c>
      <c r="D14" s="9" t="s">
        <v>29</v>
      </c>
      <c r="E14" s="9" t="s">
        <v>47</v>
      </c>
      <c r="F14" s="9" t="s">
        <v>15</v>
      </c>
      <c r="G14" s="9" t="s">
        <v>48</v>
      </c>
      <c r="H14" s="9" t="s">
        <v>49</v>
      </c>
    </row>
    <row r="15" customFormat="false" ht="15" hidden="false" customHeight="false" outlineLevel="0" collapsed="false">
      <c r="A15" s="9" t="s">
        <v>50</v>
      </c>
      <c r="B15" s="10" t="n">
        <v>3.58691281932057</v>
      </c>
      <c r="C15" s="9" t="s">
        <v>51</v>
      </c>
      <c r="D15" s="9" t="s">
        <v>52</v>
      </c>
      <c r="E15" s="9" t="s">
        <v>53</v>
      </c>
      <c r="F15" s="9" t="s">
        <v>54</v>
      </c>
      <c r="G15" s="9" t="s">
        <v>55</v>
      </c>
      <c r="H15" s="9" t="s">
        <v>56</v>
      </c>
    </row>
    <row r="16" customFormat="false" ht="15" hidden="false" customHeight="false" outlineLevel="0" collapsed="false">
      <c r="A16" s="9" t="s">
        <v>57</v>
      </c>
      <c r="B16" s="10" t="n">
        <v>72</v>
      </c>
      <c r="C16" s="9" t="s">
        <v>19</v>
      </c>
      <c r="D16" s="11" t="s">
        <v>58</v>
      </c>
      <c r="E16" s="9" t="s">
        <v>59</v>
      </c>
      <c r="F16" s="9" t="s">
        <v>15</v>
      </c>
      <c r="G16" s="9" t="s">
        <v>60</v>
      </c>
      <c r="H16" s="9" t="s">
        <v>61</v>
      </c>
    </row>
    <row r="17" customFormat="false" ht="15" hidden="false" customHeight="false" outlineLevel="0" collapsed="false">
      <c r="A17" s="9" t="s">
        <v>62</v>
      </c>
      <c r="B17" s="10" t="n">
        <v>0</v>
      </c>
      <c r="C17" s="9" t="s">
        <v>19</v>
      </c>
      <c r="D17" s="11" t="s">
        <v>63</v>
      </c>
      <c r="E17" s="9" t="s">
        <v>64</v>
      </c>
      <c r="F17" s="9" t="s">
        <v>65</v>
      </c>
      <c r="G17" s="9" t="s">
        <v>66</v>
      </c>
      <c r="H17" s="9" t="s">
        <v>67</v>
      </c>
    </row>
    <row r="18" customFormat="false" ht="15" hidden="false" customHeight="false" outlineLevel="0" collapsed="false">
      <c r="A18" s="9" t="s">
        <v>68</v>
      </c>
      <c r="B18" s="10" t="n">
        <v>0</v>
      </c>
      <c r="C18" s="9" t="s">
        <v>19</v>
      </c>
      <c r="D18" s="11" t="s">
        <v>69</v>
      </c>
      <c r="E18" s="9" t="s">
        <v>70</v>
      </c>
      <c r="F18" s="9" t="s">
        <v>65</v>
      </c>
      <c r="G18" s="9" t="s">
        <v>71</v>
      </c>
      <c r="H18" s="9" t="s">
        <v>72</v>
      </c>
    </row>
    <row r="19" customFormat="false" ht="15" hidden="false" customHeight="false" outlineLevel="0" collapsed="false">
      <c r="A19" s="9" t="s">
        <v>73</v>
      </c>
      <c r="B19" s="10" t="n">
        <v>0</v>
      </c>
      <c r="C19" s="9" t="s">
        <v>19</v>
      </c>
      <c r="D19" s="11" t="s">
        <v>69</v>
      </c>
      <c r="E19" s="9" t="s">
        <v>74</v>
      </c>
      <c r="F19" s="9" t="s">
        <v>65</v>
      </c>
      <c r="G19" s="9" t="s">
        <v>75</v>
      </c>
      <c r="H19" s="9" t="s">
        <v>76</v>
      </c>
    </row>
    <row r="20" customFormat="false" ht="15" hidden="false" customHeight="false" outlineLevel="0" collapsed="false">
      <c r="A20" s="12" t="s">
        <v>77</v>
      </c>
      <c r="B20" s="13" t="n">
        <v>0</v>
      </c>
      <c r="C20" s="12" t="s">
        <v>19</v>
      </c>
      <c r="D20" s="14" t="s">
        <v>69</v>
      </c>
      <c r="E20" s="12" t="s">
        <v>78</v>
      </c>
      <c r="F20" s="12" t="s">
        <v>65</v>
      </c>
      <c r="G20" s="12" t="s">
        <v>79</v>
      </c>
      <c r="H20" s="12" t="s">
        <v>80</v>
      </c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</row>
    <row r="23" customFormat="false" ht="23" hidden="false" customHeight="true" outlineLevel="0" collapsed="false">
      <c r="A23" s="15" t="s">
        <v>81</v>
      </c>
      <c r="B23" s="16" t="s">
        <v>82</v>
      </c>
      <c r="C23" s="17" t="s">
        <v>5</v>
      </c>
      <c r="D23" s="4"/>
      <c r="E23" s="4"/>
      <c r="F23" s="4"/>
      <c r="G23" s="4"/>
      <c r="H23" s="4"/>
    </row>
    <row r="24" customFormat="false" ht="15" hidden="false" customHeight="false" outlineLevel="0" collapsed="false">
      <c r="A24" s="8" t="s">
        <v>83</v>
      </c>
      <c r="B24" s="18" t="n">
        <f aca="false">COUNTIF(Alternatives!P7:P11,"SELECT")</f>
        <v>1</v>
      </c>
      <c r="C24" s="18" t="str">
        <f aca="false">IF(ABS(B24-1)&lt;0.000001,"PASS","FAIL")</f>
        <v>PASS</v>
      </c>
      <c r="D24" s="4"/>
      <c r="E24" s="4"/>
      <c r="F24" s="4"/>
      <c r="G24" s="4"/>
      <c r="H24" s="4"/>
    </row>
    <row r="25" customFormat="false" ht="15" hidden="false" customHeight="false" outlineLevel="0" collapsed="false">
      <c r="A25" s="9" t="s">
        <v>84</v>
      </c>
      <c r="B25" s="19" t="n">
        <f aca="false">COUNTA('Candidate Articles'!A7:A12)</f>
        <v>6</v>
      </c>
      <c r="C25" s="19" t="str">
        <f aca="false">IF(ABS(B25-6)&lt;0.000001,"PASS","FAIL")</f>
        <v>PASS</v>
      </c>
      <c r="D25" s="4"/>
      <c r="E25" s="4"/>
      <c r="F25" s="4"/>
      <c r="G25" s="4"/>
      <c r="H25" s="4"/>
    </row>
    <row r="26" customFormat="false" ht="15" hidden="false" customHeight="false" outlineLevel="0" collapsed="false">
      <c r="A26" s="9" t="s">
        <v>85</v>
      </c>
      <c r="B26" s="19" t="n">
        <f aca="false">COUNTA('Form Loads'!A7:A78)</f>
        <v>72</v>
      </c>
      <c r="C26" s="19" t="str">
        <f aca="false">IF(ABS(B26-72)&lt;0.000001,"PASS","FAIL")</f>
        <v>PASS</v>
      </c>
      <c r="D26" s="4"/>
      <c r="E26" s="4"/>
      <c r="F26" s="4"/>
      <c r="G26" s="4"/>
      <c r="H26" s="4"/>
    </row>
    <row r="27" customFormat="false" ht="15" hidden="false" customHeight="false" outlineLevel="0" collapsed="false">
      <c r="A27" s="9" t="s">
        <v>33</v>
      </c>
      <c r="B27" s="19" t="n">
        <f aca="false">COUNTA(Interfaces!A7:A54)</f>
        <v>48</v>
      </c>
      <c r="C27" s="19" t="str">
        <f aca="false">IF(ABS(B27-48)&lt;0.000001,"PASS","FAIL")</f>
        <v>PASS</v>
      </c>
      <c r="D27" s="4"/>
      <c r="E27" s="4"/>
      <c r="F27" s="4"/>
      <c r="G27" s="4"/>
      <c r="H27" s="4"/>
    </row>
    <row r="28" customFormat="false" ht="15" hidden="false" customHeight="false" outlineLevel="0" collapsed="false">
      <c r="A28" s="9" t="s">
        <v>37</v>
      </c>
      <c r="B28" s="19" t="n">
        <f aca="false">COUNTA('Denial Worlds'!A7:A78)</f>
        <v>72</v>
      </c>
      <c r="C28" s="19" t="str">
        <f aca="false">IF(ABS(B28-72)&lt;0.000001,"PASS","FAIL")</f>
        <v>PASS</v>
      </c>
      <c r="D28" s="4"/>
      <c r="E28" s="4"/>
      <c r="F28" s="4"/>
      <c r="G28" s="4"/>
      <c r="H28" s="4"/>
    </row>
    <row r="29" customFormat="false" ht="15" hidden="false" customHeight="false" outlineLevel="0" collapsed="false">
      <c r="A29" s="9" t="s">
        <v>46</v>
      </c>
      <c r="B29" s="19" t="n">
        <f aca="false">COUNTA('Technology Campaigns'!A7:A30)</f>
        <v>24</v>
      </c>
      <c r="C29" s="19" t="str">
        <f aca="false">IF(ABS(B29-24)&lt;0.000001,"PASS","FAIL")</f>
        <v>PASS</v>
      </c>
      <c r="D29" s="4"/>
      <c r="E29" s="4"/>
      <c r="F29" s="4"/>
      <c r="G29" s="4"/>
      <c r="H29" s="4"/>
    </row>
    <row r="30" customFormat="false" ht="15" hidden="false" customHeight="false" outlineLevel="0" collapsed="false">
      <c r="A30" s="9" t="s">
        <v>57</v>
      </c>
      <c r="B30" s="19" t="n">
        <f aca="false">COUNTA('Release Gates'!A7:A78)</f>
        <v>72</v>
      </c>
      <c r="C30" s="19" t="str">
        <f aca="false">IF(ABS(B30-72)&lt;0.000001,"PASS","FAIL")</f>
        <v>PASS</v>
      </c>
      <c r="D30" s="4"/>
      <c r="E30" s="4"/>
      <c r="F30" s="4"/>
      <c r="G30" s="4"/>
      <c r="H30" s="4"/>
    </row>
    <row r="31" customFormat="false" ht="15" hidden="false" customHeight="false" outlineLevel="0" collapsed="false">
      <c r="A31" s="9" t="s">
        <v>86</v>
      </c>
      <c r="B31" s="19" t="n">
        <f aca="false">COUNTIF(Audit!E7:E79,"FAIL")</f>
        <v>0</v>
      </c>
      <c r="C31" s="19" t="str">
        <f aca="false">IF(ABS(B31-0)&lt;0.000001,"PASS","FAIL")</f>
        <v>PASS</v>
      </c>
      <c r="D31" s="4"/>
      <c r="E31" s="4"/>
      <c r="F31" s="4"/>
      <c r="G31" s="4"/>
      <c r="H31" s="4"/>
    </row>
    <row r="32" customFormat="false" ht="15" hidden="false" customHeight="false" outlineLevel="0" collapsed="false">
      <c r="A32" s="9" t="s">
        <v>62</v>
      </c>
      <c r="B32" s="19" t="n">
        <f aca="false">Controls!B36</f>
        <v>0</v>
      </c>
      <c r="C32" s="19" t="str">
        <f aca="false">IF(ABS(B32-0)&lt;0.000001,"PASS","FAIL")</f>
        <v>PASS</v>
      </c>
      <c r="D32" s="4"/>
      <c r="E32" s="4"/>
      <c r="F32" s="4"/>
      <c r="G32" s="4"/>
      <c r="H32" s="4"/>
    </row>
    <row r="33" customFormat="false" ht="15" hidden="false" customHeight="false" outlineLevel="0" collapsed="false">
      <c r="A33" s="9" t="s">
        <v>87</v>
      </c>
      <c r="B33" s="19" t="n">
        <f aca="false">Controls!B37</f>
        <v>0</v>
      </c>
      <c r="C33" s="19" t="str">
        <f aca="false">IF(ABS(B33-0)&lt;0.000001,"PASS","FAIL")</f>
        <v>PASS</v>
      </c>
      <c r="D33" s="4"/>
      <c r="E33" s="4"/>
      <c r="F33" s="4"/>
      <c r="G33" s="4"/>
      <c r="H33" s="4"/>
    </row>
    <row r="34" customFormat="false" ht="15" hidden="false" customHeight="false" outlineLevel="0" collapsed="false">
      <c r="A34" s="12" t="s">
        <v>88</v>
      </c>
      <c r="B34" s="20" t="n">
        <f aca="false">Controls!B39</f>
        <v>0</v>
      </c>
      <c r="C34" s="20" t="str">
        <f aca="false">IF(ABS(B34-0)&lt;0.000001,"PASS","FAIL")</f>
        <v>PASS</v>
      </c>
      <c r="D34" s="4"/>
      <c r="E34" s="4"/>
      <c r="F34" s="4"/>
      <c r="G34" s="4"/>
      <c r="H34" s="4"/>
    </row>
  </sheetData>
  <mergeCells count="2">
    <mergeCell ref="A2:H2"/>
    <mergeCell ref="A4:H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7"/>
    <col collapsed="false" customWidth="true" hidden="false" outlineLevel="0" max="2" min="2" style="0" width="19"/>
    <col collapsed="false" customWidth="true" hidden="false" outlineLevel="0" max="3" min="3" style="0" width="17"/>
    <col collapsed="false" customWidth="true" hidden="false" outlineLevel="0" max="4" min="4" style="0" width="18"/>
    <col collapsed="false" customWidth="true" hidden="false" outlineLevel="0" max="5" min="5" style="0" width="40"/>
  </cols>
  <sheetData>
    <row r="2" customFormat="false" ht="24" hidden="false" customHeight="true" outlineLevel="0" collapsed="false">
      <c r="A2" s="1" t="s">
        <v>89</v>
      </c>
      <c r="B2" s="1"/>
      <c r="C2" s="1"/>
      <c r="D2" s="1"/>
      <c r="E2" s="1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3" t="s">
        <v>90</v>
      </c>
      <c r="B4" s="3"/>
      <c r="C4" s="3"/>
      <c r="D4" s="3"/>
      <c r="E4" s="3"/>
    </row>
    <row r="5" customFormat="false" ht="15" hidden="false" customHeight="false" outlineLevel="0" collapsed="false">
      <c r="A5" s="4"/>
      <c r="B5" s="4"/>
      <c r="C5" s="4"/>
      <c r="D5" s="4"/>
      <c r="E5" s="4"/>
    </row>
    <row r="6" customFormat="false" ht="23" hidden="false" customHeight="true" outlineLevel="0" collapsed="false">
      <c r="A6" s="5" t="s">
        <v>91</v>
      </c>
      <c r="B6" s="6" t="s">
        <v>92</v>
      </c>
      <c r="C6" s="6" t="s">
        <v>4</v>
      </c>
      <c r="D6" s="6" t="s">
        <v>93</v>
      </c>
      <c r="E6" s="7" t="s">
        <v>94</v>
      </c>
    </row>
    <row r="7" customFormat="false" ht="15" hidden="false" customHeight="false" outlineLevel="0" collapsed="false">
      <c r="A7" s="8" t="s">
        <v>95</v>
      </c>
      <c r="B7" s="21" t="n">
        <v>6</v>
      </c>
      <c r="C7" s="8" t="s">
        <v>19</v>
      </c>
      <c r="D7" s="8" t="s">
        <v>15</v>
      </c>
      <c r="E7" s="8" t="s">
        <v>96</v>
      </c>
    </row>
    <row r="8" customFormat="false" ht="15" hidden="false" customHeight="false" outlineLevel="0" collapsed="false">
      <c r="A8" s="9" t="s">
        <v>97</v>
      </c>
      <c r="B8" s="22" t="n">
        <v>6</v>
      </c>
      <c r="C8" s="9" t="s">
        <v>19</v>
      </c>
      <c r="D8" s="9" t="s">
        <v>15</v>
      </c>
      <c r="E8" s="9" t="s">
        <v>96</v>
      </c>
    </row>
    <row r="9" customFormat="false" ht="15" hidden="false" customHeight="false" outlineLevel="0" collapsed="false">
      <c r="A9" s="9" t="s">
        <v>98</v>
      </c>
      <c r="B9" s="22" t="n">
        <v>16</v>
      </c>
      <c r="C9" s="9" t="s">
        <v>19</v>
      </c>
      <c r="D9" s="9" t="s">
        <v>15</v>
      </c>
      <c r="E9" s="9" t="s">
        <v>96</v>
      </c>
    </row>
    <row r="10" customFormat="false" ht="15" hidden="false" customHeight="false" outlineLevel="0" collapsed="false">
      <c r="A10" s="9" t="s">
        <v>24</v>
      </c>
      <c r="B10" s="22" t="n">
        <v>96</v>
      </c>
      <c r="C10" s="9" t="s">
        <v>19</v>
      </c>
      <c r="D10" s="9" t="s">
        <v>15</v>
      </c>
      <c r="E10" s="9" t="s">
        <v>96</v>
      </c>
    </row>
    <row r="11" customFormat="false" ht="15" hidden="false" customHeight="false" outlineLevel="0" collapsed="false">
      <c r="A11" s="9" t="s">
        <v>99</v>
      </c>
      <c r="B11" s="22" t="n">
        <v>12</v>
      </c>
      <c r="C11" s="9" t="s">
        <v>19</v>
      </c>
      <c r="D11" s="9" t="s">
        <v>15</v>
      </c>
      <c r="E11" s="9" t="s">
        <v>96</v>
      </c>
    </row>
    <row r="12" customFormat="false" ht="15" hidden="false" customHeight="false" outlineLevel="0" collapsed="false">
      <c r="A12" s="9" t="s">
        <v>28</v>
      </c>
      <c r="B12" s="22" t="n">
        <v>72</v>
      </c>
      <c r="C12" s="9" t="s">
        <v>19</v>
      </c>
      <c r="D12" s="9" t="s">
        <v>15</v>
      </c>
      <c r="E12" s="9" t="s">
        <v>96</v>
      </c>
    </row>
    <row r="13" customFormat="false" ht="15" hidden="false" customHeight="false" outlineLevel="0" collapsed="false">
      <c r="A13" s="9" t="s">
        <v>100</v>
      </c>
      <c r="B13" s="22" t="n">
        <v>8</v>
      </c>
      <c r="C13" s="9" t="s">
        <v>19</v>
      </c>
      <c r="D13" s="9" t="s">
        <v>15</v>
      </c>
      <c r="E13" s="9" t="s">
        <v>96</v>
      </c>
    </row>
    <row r="14" customFormat="false" ht="15" hidden="false" customHeight="false" outlineLevel="0" collapsed="false">
      <c r="A14" s="9" t="s">
        <v>101</v>
      </c>
      <c r="B14" s="22" t="n">
        <v>48</v>
      </c>
      <c r="C14" s="9" t="s">
        <v>19</v>
      </c>
      <c r="D14" s="9" t="s">
        <v>15</v>
      </c>
      <c r="E14" s="9" t="s">
        <v>96</v>
      </c>
    </row>
    <row r="15" customFormat="false" ht="15" hidden="false" customHeight="false" outlineLevel="0" collapsed="false">
      <c r="A15" s="9" t="s">
        <v>102</v>
      </c>
      <c r="B15" s="22" t="n">
        <v>12</v>
      </c>
      <c r="C15" s="9" t="s">
        <v>19</v>
      </c>
      <c r="D15" s="9" t="s">
        <v>15</v>
      </c>
      <c r="E15" s="9" t="s">
        <v>96</v>
      </c>
    </row>
    <row r="16" customFormat="false" ht="15" hidden="false" customHeight="false" outlineLevel="0" collapsed="false">
      <c r="A16" s="9" t="s">
        <v>103</v>
      </c>
      <c r="B16" s="22" t="n">
        <v>72</v>
      </c>
      <c r="C16" s="9" t="s">
        <v>19</v>
      </c>
      <c r="D16" s="9" t="s">
        <v>15</v>
      </c>
      <c r="E16" s="9" t="s">
        <v>96</v>
      </c>
    </row>
    <row r="17" customFormat="false" ht="15" hidden="false" customHeight="false" outlineLevel="0" collapsed="false">
      <c r="A17" s="9" t="s">
        <v>41</v>
      </c>
      <c r="B17" s="22" t="n">
        <v>12</v>
      </c>
      <c r="C17" s="9" t="s">
        <v>19</v>
      </c>
      <c r="D17" s="9" t="s">
        <v>15</v>
      </c>
      <c r="E17" s="9" t="s">
        <v>96</v>
      </c>
    </row>
    <row r="18" customFormat="false" ht="15" hidden="false" customHeight="false" outlineLevel="0" collapsed="false">
      <c r="A18" s="9" t="s">
        <v>46</v>
      </c>
      <c r="B18" s="22" t="n">
        <v>24</v>
      </c>
      <c r="C18" s="9" t="s">
        <v>19</v>
      </c>
      <c r="D18" s="9" t="s">
        <v>15</v>
      </c>
      <c r="E18" s="9" t="s">
        <v>96</v>
      </c>
    </row>
    <row r="19" customFormat="false" ht="15" hidden="false" customHeight="false" outlineLevel="0" collapsed="false">
      <c r="A19" s="9" t="s">
        <v>57</v>
      </c>
      <c r="B19" s="22" t="n">
        <v>72</v>
      </c>
      <c r="C19" s="9" t="s">
        <v>19</v>
      </c>
      <c r="D19" s="9" t="s">
        <v>15</v>
      </c>
      <c r="E19" s="9" t="s">
        <v>96</v>
      </c>
    </row>
    <row r="20" customFormat="false" ht="15" hidden="false" customHeight="false" outlineLevel="0" collapsed="false">
      <c r="A20" s="9" t="s">
        <v>104</v>
      </c>
      <c r="B20" s="22" t="n">
        <v>30</v>
      </c>
      <c r="C20" s="9" t="s">
        <v>19</v>
      </c>
      <c r="D20" s="9" t="s">
        <v>15</v>
      </c>
      <c r="E20" s="9" t="s">
        <v>96</v>
      </c>
    </row>
    <row r="21" customFormat="false" ht="15" hidden="false" customHeight="false" outlineLevel="0" collapsed="false">
      <c r="A21" s="9" t="s">
        <v>105</v>
      </c>
      <c r="B21" s="22" t="n">
        <v>42</v>
      </c>
      <c r="C21" s="9" t="s">
        <v>19</v>
      </c>
      <c r="D21" s="9" t="s">
        <v>15</v>
      </c>
      <c r="E21" s="9" t="s">
        <v>96</v>
      </c>
    </row>
    <row r="22" customFormat="false" ht="15" hidden="false" customHeight="false" outlineLevel="0" collapsed="false">
      <c r="A22" s="9" t="s">
        <v>50</v>
      </c>
      <c r="B22" s="22" t="n">
        <v>3.58691281932057</v>
      </c>
      <c r="C22" s="9" t="s">
        <v>51</v>
      </c>
      <c r="D22" s="9" t="s">
        <v>54</v>
      </c>
      <c r="E22" s="9" t="s">
        <v>96</v>
      </c>
    </row>
    <row r="23" customFormat="false" ht="15" hidden="false" customHeight="false" outlineLevel="0" collapsed="false">
      <c r="A23" s="9" t="s">
        <v>106</v>
      </c>
      <c r="B23" s="22" t="n">
        <v>0.35</v>
      </c>
      <c r="C23" s="9" t="s">
        <v>107</v>
      </c>
      <c r="D23" s="9" t="s">
        <v>108</v>
      </c>
      <c r="E23" s="9" t="s">
        <v>96</v>
      </c>
    </row>
    <row r="24" customFormat="false" ht="15" hidden="false" customHeight="false" outlineLevel="0" collapsed="false">
      <c r="A24" s="9" t="s">
        <v>109</v>
      </c>
      <c r="B24" s="22" t="n">
        <v>0.3</v>
      </c>
      <c r="C24" s="9" t="s">
        <v>107</v>
      </c>
      <c r="D24" s="9" t="s">
        <v>108</v>
      </c>
      <c r="E24" s="9" t="s">
        <v>96</v>
      </c>
    </row>
    <row r="25" customFormat="false" ht="15" hidden="false" customHeight="false" outlineLevel="0" collapsed="false">
      <c r="A25" s="9" t="s">
        <v>110</v>
      </c>
      <c r="B25" s="22" t="n">
        <v>0.2</v>
      </c>
      <c r="C25" s="9" t="s">
        <v>107</v>
      </c>
      <c r="D25" s="9" t="s">
        <v>108</v>
      </c>
      <c r="E25" s="9" t="s">
        <v>96</v>
      </c>
    </row>
    <row r="26" customFormat="false" ht="15" hidden="false" customHeight="false" outlineLevel="0" collapsed="false">
      <c r="A26" s="9" t="s">
        <v>111</v>
      </c>
      <c r="B26" s="22" t="n">
        <v>0.15</v>
      </c>
      <c r="C26" s="9" t="s">
        <v>107</v>
      </c>
      <c r="D26" s="9" t="s">
        <v>108</v>
      </c>
      <c r="E26" s="9" t="s">
        <v>96</v>
      </c>
    </row>
    <row r="27" customFormat="false" ht="15" hidden="false" customHeight="false" outlineLevel="0" collapsed="false">
      <c r="A27" s="9" t="s">
        <v>112</v>
      </c>
      <c r="B27" s="22" t="n">
        <v>0.15</v>
      </c>
      <c r="C27" s="9" t="s">
        <v>107</v>
      </c>
      <c r="D27" s="9" t="s">
        <v>54</v>
      </c>
      <c r="E27" s="9" t="s">
        <v>96</v>
      </c>
    </row>
    <row r="28" customFormat="false" ht="15" hidden="false" customHeight="false" outlineLevel="0" collapsed="false">
      <c r="A28" s="9" t="s">
        <v>113</v>
      </c>
      <c r="B28" s="22" t="n">
        <v>0.35</v>
      </c>
      <c r="C28" s="9" t="s">
        <v>107</v>
      </c>
      <c r="D28" s="9" t="s">
        <v>54</v>
      </c>
      <c r="E28" s="9" t="s">
        <v>96</v>
      </c>
    </row>
    <row r="29" customFormat="false" ht="15" hidden="false" customHeight="false" outlineLevel="0" collapsed="false">
      <c r="A29" s="9" t="s">
        <v>114</v>
      </c>
      <c r="B29" s="22" t="n">
        <v>0.35</v>
      </c>
      <c r="C29" s="9" t="s">
        <v>107</v>
      </c>
      <c r="D29" s="9" t="s">
        <v>54</v>
      </c>
      <c r="E29" s="9" t="s">
        <v>96</v>
      </c>
    </row>
    <row r="30" customFormat="false" ht="15" hidden="false" customHeight="false" outlineLevel="0" collapsed="false">
      <c r="A30" s="9" t="s">
        <v>115</v>
      </c>
      <c r="B30" s="22" t="n">
        <v>0.15</v>
      </c>
      <c r="C30" s="9" t="s">
        <v>107</v>
      </c>
      <c r="D30" s="9" t="s">
        <v>54</v>
      </c>
      <c r="E30" s="9" t="s">
        <v>96</v>
      </c>
    </row>
    <row r="31" customFormat="false" ht="15" hidden="false" customHeight="false" outlineLevel="0" collapsed="false">
      <c r="A31" s="9" t="s">
        <v>116</v>
      </c>
      <c r="B31" s="22" t="n">
        <v>0</v>
      </c>
      <c r="C31" s="9" t="s">
        <v>19</v>
      </c>
      <c r="D31" s="9" t="s">
        <v>63</v>
      </c>
      <c r="E31" s="9" t="s">
        <v>117</v>
      </c>
    </row>
    <row r="32" customFormat="false" ht="15" hidden="false" customHeight="false" outlineLevel="0" collapsed="false">
      <c r="A32" s="9" t="s">
        <v>118</v>
      </c>
      <c r="B32" s="22" t="n">
        <v>0</v>
      </c>
      <c r="C32" s="9" t="s">
        <v>19</v>
      </c>
      <c r="D32" s="9" t="s">
        <v>63</v>
      </c>
      <c r="E32" s="9" t="s">
        <v>117</v>
      </c>
    </row>
    <row r="33" customFormat="false" ht="15" hidden="false" customHeight="false" outlineLevel="0" collapsed="false">
      <c r="A33" s="9" t="s">
        <v>119</v>
      </c>
      <c r="B33" s="22" t="n">
        <v>0</v>
      </c>
      <c r="C33" s="9" t="s">
        <v>19</v>
      </c>
      <c r="D33" s="9" t="s">
        <v>63</v>
      </c>
      <c r="E33" s="9" t="s">
        <v>117</v>
      </c>
    </row>
    <row r="34" customFormat="false" ht="15" hidden="false" customHeight="false" outlineLevel="0" collapsed="false">
      <c r="A34" s="9" t="s">
        <v>120</v>
      </c>
      <c r="B34" s="22" t="n">
        <v>0</v>
      </c>
      <c r="C34" s="9" t="s">
        <v>51</v>
      </c>
      <c r="D34" s="9" t="s">
        <v>63</v>
      </c>
      <c r="E34" s="9" t="s">
        <v>117</v>
      </c>
    </row>
    <row r="35" customFormat="false" ht="15" hidden="false" customHeight="false" outlineLevel="0" collapsed="false">
      <c r="A35" s="9" t="s">
        <v>121</v>
      </c>
      <c r="B35" s="22" t="n">
        <v>0</v>
      </c>
      <c r="C35" s="9" t="s">
        <v>51</v>
      </c>
      <c r="D35" s="9" t="s">
        <v>63</v>
      </c>
      <c r="E35" s="9" t="s">
        <v>117</v>
      </c>
    </row>
    <row r="36" customFormat="false" ht="15" hidden="false" customHeight="false" outlineLevel="0" collapsed="false">
      <c r="A36" s="9" t="s">
        <v>62</v>
      </c>
      <c r="B36" s="22" t="n">
        <v>0</v>
      </c>
      <c r="C36" s="9" t="s">
        <v>19</v>
      </c>
      <c r="D36" s="9" t="s">
        <v>63</v>
      </c>
      <c r="E36" s="9" t="s">
        <v>117</v>
      </c>
    </row>
    <row r="37" customFormat="false" ht="15" hidden="false" customHeight="false" outlineLevel="0" collapsed="false">
      <c r="A37" s="9" t="s">
        <v>68</v>
      </c>
      <c r="B37" s="22" t="n">
        <v>0</v>
      </c>
      <c r="C37" s="9" t="s">
        <v>19</v>
      </c>
      <c r="D37" s="9" t="s">
        <v>69</v>
      </c>
      <c r="E37" s="9" t="s">
        <v>117</v>
      </c>
    </row>
    <row r="38" customFormat="false" ht="15" hidden="false" customHeight="false" outlineLevel="0" collapsed="false">
      <c r="A38" s="9" t="s">
        <v>73</v>
      </c>
      <c r="B38" s="22" t="n">
        <v>0</v>
      </c>
      <c r="C38" s="9" t="s">
        <v>19</v>
      </c>
      <c r="D38" s="9" t="s">
        <v>69</v>
      </c>
      <c r="E38" s="9" t="s">
        <v>117</v>
      </c>
    </row>
    <row r="39" customFormat="false" ht="15" hidden="false" customHeight="false" outlineLevel="0" collapsed="false">
      <c r="A39" s="12" t="s">
        <v>77</v>
      </c>
      <c r="B39" s="23" t="n">
        <v>0</v>
      </c>
      <c r="C39" s="12" t="s">
        <v>19</v>
      </c>
      <c r="D39" s="12" t="s">
        <v>69</v>
      </c>
      <c r="E39" s="12" t="s">
        <v>117</v>
      </c>
    </row>
  </sheetData>
  <mergeCells count="2">
    <mergeCell ref="A2:E2"/>
    <mergeCell ref="A4:E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P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9"/>
    <col collapsed="false" customWidth="true" hidden="false" outlineLevel="0" max="2" min="2" style="0" width="18"/>
    <col collapsed="false" customWidth="true" hidden="false" outlineLevel="0" max="3" min="3" style="0" width="19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19"/>
    <col collapsed="false" customWidth="true" hidden="false" outlineLevel="0" max="7" min="7" style="0" width="17"/>
    <col collapsed="false" customWidth="true" hidden="false" outlineLevel="0" max="8" min="8" style="0" width="16"/>
    <col collapsed="false" customWidth="true" hidden="false" outlineLevel="0" max="9" min="9" style="0" width="15"/>
    <col collapsed="false" customWidth="true" hidden="false" outlineLevel="0" max="10" min="10" style="0" width="17"/>
    <col collapsed="false" customWidth="true" hidden="false" outlineLevel="0" max="11" min="11" style="0" width="19"/>
    <col collapsed="false" customWidth="true" hidden="false" outlineLevel="0" max="12" min="12" style="0" width="18"/>
    <col collapsed="false" customWidth="true" hidden="false" outlineLevel="0" max="13" min="13" style="0" width="16"/>
    <col collapsed="false" customWidth="true" hidden="false" outlineLevel="0" max="14" min="14" style="0" width="10"/>
    <col collapsed="false" customWidth="true" hidden="false" outlineLevel="0" max="15" min="15" style="0" width="13"/>
    <col collapsed="false" customWidth="true" hidden="false" outlineLevel="0" max="16" min="16" style="0" width="14"/>
  </cols>
  <sheetData>
    <row r="2" customFormat="false" ht="24" hidden="false" customHeight="true" outlineLevel="0" collapsed="false">
      <c r="A2" s="1" t="s">
        <v>122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customFormat="false" ht="15" hidden="false" customHeight="false" outlineLevel="0" collapsed="false">
      <c r="A4" s="3" t="s">
        <v>123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customFormat="false" ht="23" hidden="false" customHeight="true" outlineLevel="0" collapsed="false">
      <c r="A6" s="5" t="s">
        <v>124</v>
      </c>
      <c r="B6" s="6" t="s">
        <v>125</v>
      </c>
      <c r="C6" s="6" t="s">
        <v>126</v>
      </c>
      <c r="D6" s="6" t="s">
        <v>127</v>
      </c>
      <c r="E6" s="6" t="s">
        <v>128</v>
      </c>
      <c r="F6" s="6" t="s">
        <v>129</v>
      </c>
      <c r="G6" s="6" t="s">
        <v>130</v>
      </c>
      <c r="H6" s="6" t="s">
        <v>131</v>
      </c>
      <c r="I6" s="6" t="s">
        <v>132</v>
      </c>
      <c r="J6" s="6" t="s">
        <v>133</v>
      </c>
      <c r="K6" s="6" t="s">
        <v>134</v>
      </c>
      <c r="L6" s="6" t="s">
        <v>135</v>
      </c>
      <c r="M6" s="6" t="s">
        <v>136</v>
      </c>
      <c r="N6" s="6" t="s">
        <v>137</v>
      </c>
      <c r="O6" s="6" t="s">
        <v>138</v>
      </c>
      <c r="P6" s="7" t="s">
        <v>2</v>
      </c>
    </row>
    <row r="7" customFormat="false" ht="15" hidden="false" customHeight="false" outlineLevel="0" collapsed="false">
      <c r="A7" s="8" t="s">
        <v>139</v>
      </c>
      <c r="B7" s="8" t="n">
        <v>1</v>
      </c>
      <c r="C7" s="8" t="n">
        <v>1</v>
      </c>
      <c r="D7" s="8" t="n">
        <v>1</v>
      </c>
      <c r="E7" s="8" t="n">
        <v>1</v>
      </c>
      <c r="F7" s="8" t="n">
        <v>1</v>
      </c>
      <c r="G7" s="8" t="n">
        <v>1</v>
      </c>
      <c r="H7" s="8" t="n">
        <v>1</v>
      </c>
      <c r="I7" s="8" t="n">
        <v>1</v>
      </c>
      <c r="J7" s="8" t="n">
        <v>1</v>
      </c>
      <c r="K7" s="8" t="n">
        <v>1</v>
      </c>
      <c r="L7" s="8" t="n">
        <v>1</v>
      </c>
      <c r="M7" s="8" t="n">
        <v>1</v>
      </c>
      <c r="N7" s="18" t="n">
        <f aca="false">SUM(B7:M7)</f>
        <v>12</v>
      </c>
      <c r="O7" s="24" t="str">
        <f aca="false">IF(N7=12,"YES","NO")</f>
        <v>YES</v>
      </c>
      <c r="P7" s="24" t="str">
        <f aca="false">IF(O7="YES","SELECT","REJECT")</f>
        <v>SELECT</v>
      </c>
    </row>
    <row r="8" customFormat="false" ht="15" hidden="false" customHeight="false" outlineLevel="0" collapsed="false">
      <c r="A8" s="9" t="s">
        <v>140</v>
      </c>
      <c r="B8" s="9" t="n">
        <v>1</v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1</v>
      </c>
      <c r="H8" s="9" t="n">
        <v>0</v>
      </c>
      <c r="I8" s="9" t="n">
        <v>1</v>
      </c>
      <c r="J8" s="9" t="n">
        <v>0</v>
      </c>
      <c r="K8" s="9" t="n">
        <v>0</v>
      </c>
      <c r="L8" s="9" t="n">
        <v>1</v>
      </c>
      <c r="M8" s="9" t="n">
        <v>0</v>
      </c>
      <c r="N8" s="19" t="n">
        <f aca="false">SUM(B8:M8)</f>
        <v>4</v>
      </c>
      <c r="O8" s="25" t="str">
        <f aca="false">IF(N8=12,"YES","NO")</f>
        <v>NO</v>
      </c>
      <c r="P8" s="25" t="str">
        <f aca="false">IF(O8="YES","SELECT","REJECT")</f>
        <v>REJECT</v>
      </c>
    </row>
    <row r="9" customFormat="false" ht="15" hidden="false" customHeight="false" outlineLevel="0" collapsed="false">
      <c r="A9" s="9" t="s">
        <v>141</v>
      </c>
      <c r="B9" s="9" t="n">
        <v>1</v>
      </c>
      <c r="C9" s="9" t="n">
        <v>0</v>
      </c>
      <c r="D9" s="9" t="n">
        <v>0</v>
      </c>
      <c r="E9" s="9" t="n">
        <v>0</v>
      </c>
      <c r="F9" s="9" t="n">
        <v>1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1</v>
      </c>
      <c r="M9" s="9" t="n">
        <v>1</v>
      </c>
      <c r="N9" s="19" t="n">
        <f aca="false">SUM(B9:M9)</f>
        <v>4</v>
      </c>
      <c r="O9" s="25" t="str">
        <f aca="false">IF(N9=12,"YES","NO")</f>
        <v>NO</v>
      </c>
      <c r="P9" s="25" t="str">
        <f aca="false">IF(O9="YES","SELECT","REJECT")</f>
        <v>REJECT</v>
      </c>
    </row>
    <row r="10" customFormat="false" ht="15" hidden="false" customHeight="false" outlineLevel="0" collapsed="false">
      <c r="A10" s="9" t="s">
        <v>142</v>
      </c>
      <c r="B10" s="9" t="n">
        <v>1</v>
      </c>
      <c r="C10" s="9" t="n">
        <v>0</v>
      </c>
      <c r="D10" s="9" t="n">
        <v>1</v>
      </c>
      <c r="E10" s="9" t="n">
        <v>0</v>
      </c>
      <c r="F10" s="9" t="n">
        <v>1</v>
      </c>
      <c r="G10" s="9" t="n">
        <v>1</v>
      </c>
      <c r="H10" s="9" t="n">
        <v>0</v>
      </c>
      <c r="I10" s="9" t="n">
        <v>1</v>
      </c>
      <c r="J10" s="9" t="n">
        <v>1</v>
      </c>
      <c r="K10" s="9" t="n">
        <v>0</v>
      </c>
      <c r="L10" s="9" t="n">
        <v>1</v>
      </c>
      <c r="M10" s="9" t="n">
        <v>0</v>
      </c>
      <c r="N10" s="19" t="n">
        <f aca="false">SUM(B10:M10)</f>
        <v>7</v>
      </c>
      <c r="O10" s="25" t="str">
        <f aca="false">IF(N10=12,"YES","NO")</f>
        <v>NO</v>
      </c>
      <c r="P10" s="25" t="str">
        <f aca="false">IF(O10="YES","SELECT","REJECT")</f>
        <v>REJECT</v>
      </c>
    </row>
    <row r="11" customFormat="false" ht="15" hidden="false" customHeight="false" outlineLevel="0" collapsed="false">
      <c r="A11" s="12" t="s">
        <v>143</v>
      </c>
      <c r="B11" s="12" t="n">
        <v>1</v>
      </c>
      <c r="C11" s="12" t="n">
        <v>1</v>
      </c>
      <c r="D11" s="12" t="n">
        <v>1</v>
      </c>
      <c r="E11" s="12" t="n">
        <v>1</v>
      </c>
      <c r="F11" s="12" t="n">
        <v>1</v>
      </c>
      <c r="G11" s="12" t="n">
        <v>1</v>
      </c>
      <c r="H11" s="12" t="n">
        <v>1</v>
      </c>
      <c r="I11" s="12" t="n">
        <v>1</v>
      </c>
      <c r="J11" s="12" t="n">
        <v>1</v>
      </c>
      <c r="K11" s="12" t="n">
        <v>1</v>
      </c>
      <c r="L11" s="12" t="n">
        <v>0</v>
      </c>
      <c r="M11" s="12" t="n">
        <v>1</v>
      </c>
      <c r="N11" s="20" t="n">
        <f aca="false">SUM(B11:M11)</f>
        <v>11</v>
      </c>
      <c r="O11" s="26" t="str">
        <f aca="false">IF(N11=12,"YES","NO")</f>
        <v>NO</v>
      </c>
      <c r="P11" s="26" t="str">
        <f aca="false">IF(O11="YES","SELECT","REJECT")</f>
        <v>REJECT</v>
      </c>
    </row>
  </sheetData>
  <mergeCells count="2">
    <mergeCell ref="A2:P2"/>
    <mergeCell ref="A4:P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36"/>
    <col collapsed="false" customWidth="true" hidden="false" outlineLevel="0" max="6" min="6" style="0" width="39"/>
    <col collapsed="false" customWidth="true" hidden="false" outlineLevel="0" max="7" min="7" style="0" width="64"/>
    <col collapsed="false" customWidth="true" hidden="false" outlineLevel="0" max="8" min="8" style="0" width="18"/>
    <col collapsed="false" customWidth="true" hidden="false" outlineLevel="0" max="9" min="9" style="0" width="14"/>
    <col collapsed="false" customWidth="true" hidden="false" outlineLevel="0" max="10" min="10" style="0" width="31"/>
  </cols>
  <sheetData>
    <row r="2" customFormat="false" ht="24" hidden="false" customHeight="true" outlineLevel="0" collapsed="false">
      <c r="A2" s="1" t="s">
        <v>144</v>
      </c>
      <c r="B2" s="1"/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145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</row>
    <row r="6" customFormat="false" ht="23" hidden="false" customHeight="true" outlineLevel="0" collapsed="false">
      <c r="A6" s="5" t="s">
        <v>146</v>
      </c>
      <c r="B6" s="6" t="s">
        <v>147</v>
      </c>
      <c r="C6" s="6" t="s">
        <v>148</v>
      </c>
      <c r="D6" s="6" t="s">
        <v>149</v>
      </c>
      <c r="E6" s="6" t="s">
        <v>150</v>
      </c>
      <c r="F6" s="6" t="s">
        <v>151</v>
      </c>
      <c r="G6" s="6" t="s">
        <v>152</v>
      </c>
      <c r="H6" s="6" t="s">
        <v>5</v>
      </c>
      <c r="I6" s="6" t="s">
        <v>153</v>
      </c>
      <c r="J6" s="7" t="s">
        <v>154</v>
      </c>
    </row>
    <row r="7" customFormat="false" ht="15" hidden="false" customHeight="false" outlineLevel="0" collapsed="false">
      <c r="A7" s="8" t="s">
        <v>155</v>
      </c>
      <c r="B7" s="8" t="s">
        <v>156</v>
      </c>
      <c r="C7" s="8" t="s">
        <v>157</v>
      </c>
      <c r="D7" s="8" t="s">
        <v>158</v>
      </c>
      <c r="E7" s="8" t="s">
        <v>159</v>
      </c>
      <c r="F7" s="8" t="s">
        <v>160</v>
      </c>
      <c r="G7" s="8" t="s">
        <v>161</v>
      </c>
      <c r="H7" s="8" t="s">
        <v>20</v>
      </c>
      <c r="I7" s="8" t="s">
        <v>162</v>
      </c>
      <c r="J7" s="8" t="s">
        <v>163</v>
      </c>
    </row>
    <row r="8" customFormat="false" ht="15" hidden="false" customHeight="false" outlineLevel="0" collapsed="false">
      <c r="A8" s="9" t="s">
        <v>164</v>
      </c>
      <c r="B8" s="9" t="s">
        <v>156</v>
      </c>
      <c r="C8" s="9" t="s">
        <v>157</v>
      </c>
      <c r="D8" s="9" t="s">
        <v>165</v>
      </c>
      <c r="E8" s="9" t="s">
        <v>166</v>
      </c>
      <c r="F8" s="9" t="s">
        <v>160</v>
      </c>
      <c r="G8" s="9" t="s">
        <v>161</v>
      </c>
      <c r="H8" s="9" t="s">
        <v>20</v>
      </c>
      <c r="I8" s="9" t="s">
        <v>162</v>
      </c>
      <c r="J8" s="9" t="s">
        <v>163</v>
      </c>
    </row>
    <row r="9" customFormat="false" ht="15" hidden="false" customHeight="false" outlineLevel="0" collapsed="false">
      <c r="A9" s="9" t="s">
        <v>167</v>
      </c>
      <c r="B9" s="9" t="s">
        <v>156</v>
      </c>
      <c r="C9" s="9" t="s">
        <v>157</v>
      </c>
      <c r="D9" s="9" t="s">
        <v>168</v>
      </c>
      <c r="E9" s="9" t="s">
        <v>169</v>
      </c>
      <c r="F9" s="9" t="s">
        <v>160</v>
      </c>
      <c r="G9" s="9" t="s">
        <v>161</v>
      </c>
      <c r="H9" s="9" t="s">
        <v>20</v>
      </c>
      <c r="I9" s="9" t="s">
        <v>162</v>
      </c>
      <c r="J9" s="9" t="s">
        <v>163</v>
      </c>
    </row>
    <row r="10" customFormat="false" ht="15" hidden="false" customHeight="false" outlineLevel="0" collapsed="false">
      <c r="A10" s="9" t="s">
        <v>170</v>
      </c>
      <c r="B10" s="9" t="s">
        <v>156</v>
      </c>
      <c r="C10" s="9" t="s">
        <v>157</v>
      </c>
      <c r="D10" s="9" t="s">
        <v>171</v>
      </c>
      <c r="E10" s="9" t="s">
        <v>172</v>
      </c>
      <c r="F10" s="9" t="s">
        <v>160</v>
      </c>
      <c r="G10" s="9" t="s">
        <v>161</v>
      </c>
      <c r="H10" s="9" t="s">
        <v>20</v>
      </c>
      <c r="I10" s="9" t="s">
        <v>162</v>
      </c>
      <c r="J10" s="9" t="s">
        <v>163</v>
      </c>
    </row>
    <row r="11" customFormat="false" ht="15" hidden="false" customHeight="false" outlineLevel="0" collapsed="false">
      <c r="A11" s="9" t="s">
        <v>173</v>
      </c>
      <c r="B11" s="9" t="s">
        <v>156</v>
      </c>
      <c r="C11" s="9" t="s">
        <v>157</v>
      </c>
      <c r="D11" s="9" t="s">
        <v>174</v>
      </c>
      <c r="E11" s="9" t="s">
        <v>175</v>
      </c>
      <c r="F11" s="9" t="s">
        <v>160</v>
      </c>
      <c r="G11" s="9" t="s">
        <v>161</v>
      </c>
      <c r="H11" s="9" t="s">
        <v>20</v>
      </c>
      <c r="I11" s="9" t="s">
        <v>162</v>
      </c>
      <c r="J11" s="9" t="s">
        <v>163</v>
      </c>
    </row>
    <row r="12" customFormat="false" ht="15" hidden="false" customHeight="false" outlineLevel="0" collapsed="false">
      <c r="A12" s="9" t="s">
        <v>176</v>
      </c>
      <c r="B12" s="9" t="s">
        <v>156</v>
      </c>
      <c r="C12" s="9" t="s">
        <v>157</v>
      </c>
      <c r="D12" s="9" t="s">
        <v>177</v>
      </c>
      <c r="E12" s="9" t="s">
        <v>178</v>
      </c>
      <c r="F12" s="9" t="s">
        <v>160</v>
      </c>
      <c r="G12" s="9" t="s">
        <v>161</v>
      </c>
      <c r="H12" s="9" t="s">
        <v>20</v>
      </c>
      <c r="I12" s="9" t="s">
        <v>162</v>
      </c>
      <c r="J12" s="9" t="s">
        <v>163</v>
      </c>
    </row>
    <row r="13" customFormat="false" ht="15" hidden="false" customHeight="false" outlineLevel="0" collapsed="false">
      <c r="A13" s="9" t="s">
        <v>179</v>
      </c>
      <c r="B13" s="9" t="s">
        <v>156</v>
      </c>
      <c r="C13" s="9" t="s">
        <v>157</v>
      </c>
      <c r="D13" s="9" t="s">
        <v>180</v>
      </c>
      <c r="E13" s="9" t="s">
        <v>181</v>
      </c>
      <c r="F13" s="9" t="s">
        <v>160</v>
      </c>
      <c r="G13" s="9" t="s">
        <v>161</v>
      </c>
      <c r="H13" s="9" t="s">
        <v>20</v>
      </c>
      <c r="I13" s="9" t="s">
        <v>162</v>
      </c>
      <c r="J13" s="9" t="s">
        <v>163</v>
      </c>
    </row>
    <row r="14" customFormat="false" ht="15" hidden="false" customHeight="false" outlineLevel="0" collapsed="false">
      <c r="A14" s="9" t="s">
        <v>182</v>
      </c>
      <c r="B14" s="9" t="s">
        <v>156</v>
      </c>
      <c r="C14" s="9" t="s">
        <v>157</v>
      </c>
      <c r="D14" s="9" t="s">
        <v>183</v>
      </c>
      <c r="E14" s="9" t="s">
        <v>184</v>
      </c>
      <c r="F14" s="9" t="s">
        <v>160</v>
      </c>
      <c r="G14" s="9" t="s">
        <v>161</v>
      </c>
      <c r="H14" s="9" t="s">
        <v>20</v>
      </c>
      <c r="I14" s="9" t="s">
        <v>162</v>
      </c>
      <c r="J14" s="9" t="s">
        <v>163</v>
      </c>
    </row>
    <row r="15" customFormat="false" ht="15" hidden="false" customHeight="false" outlineLevel="0" collapsed="false">
      <c r="A15" s="9" t="s">
        <v>185</v>
      </c>
      <c r="B15" s="9" t="s">
        <v>156</v>
      </c>
      <c r="C15" s="9" t="s">
        <v>157</v>
      </c>
      <c r="D15" s="9" t="s">
        <v>186</v>
      </c>
      <c r="E15" s="9" t="s">
        <v>187</v>
      </c>
      <c r="F15" s="9" t="s">
        <v>160</v>
      </c>
      <c r="G15" s="9" t="s">
        <v>161</v>
      </c>
      <c r="H15" s="9" t="s">
        <v>20</v>
      </c>
      <c r="I15" s="9" t="s">
        <v>162</v>
      </c>
      <c r="J15" s="9" t="s">
        <v>163</v>
      </c>
    </row>
    <row r="16" customFormat="false" ht="15" hidden="false" customHeight="false" outlineLevel="0" collapsed="false">
      <c r="A16" s="9" t="s">
        <v>188</v>
      </c>
      <c r="B16" s="9" t="s">
        <v>156</v>
      </c>
      <c r="C16" s="9" t="s">
        <v>157</v>
      </c>
      <c r="D16" s="9" t="s">
        <v>189</v>
      </c>
      <c r="E16" s="9" t="s">
        <v>190</v>
      </c>
      <c r="F16" s="9" t="s">
        <v>160</v>
      </c>
      <c r="G16" s="9" t="s">
        <v>161</v>
      </c>
      <c r="H16" s="9" t="s">
        <v>20</v>
      </c>
      <c r="I16" s="9" t="s">
        <v>162</v>
      </c>
      <c r="J16" s="9" t="s">
        <v>163</v>
      </c>
    </row>
    <row r="17" customFormat="false" ht="15" hidden="false" customHeight="false" outlineLevel="0" collapsed="false">
      <c r="A17" s="9" t="s">
        <v>191</v>
      </c>
      <c r="B17" s="9" t="s">
        <v>156</v>
      </c>
      <c r="C17" s="9" t="s">
        <v>157</v>
      </c>
      <c r="D17" s="9" t="s">
        <v>192</v>
      </c>
      <c r="E17" s="9" t="s">
        <v>193</v>
      </c>
      <c r="F17" s="9" t="s">
        <v>160</v>
      </c>
      <c r="G17" s="9" t="s">
        <v>161</v>
      </c>
      <c r="H17" s="9" t="s">
        <v>20</v>
      </c>
      <c r="I17" s="9" t="s">
        <v>162</v>
      </c>
      <c r="J17" s="9" t="s">
        <v>163</v>
      </c>
    </row>
    <row r="18" customFormat="false" ht="15" hidden="false" customHeight="false" outlineLevel="0" collapsed="false">
      <c r="A18" s="9" t="s">
        <v>194</v>
      </c>
      <c r="B18" s="9" t="s">
        <v>156</v>
      </c>
      <c r="C18" s="9" t="s">
        <v>157</v>
      </c>
      <c r="D18" s="9" t="s">
        <v>195</v>
      </c>
      <c r="E18" s="9" t="s">
        <v>196</v>
      </c>
      <c r="F18" s="9" t="s">
        <v>160</v>
      </c>
      <c r="G18" s="9" t="s">
        <v>161</v>
      </c>
      <c r="H18" s="9" t="s">
        <v>20</v>
      </c>
      <c r="I18" s="9" t="s">
        <v>162</v>
      </c>
      <c r="J18" s="9" t="s">
        <v>163</v>
      </c>
    </row>
    <row r="19" customFormat="false" ht="15" hidden="false" customHeight="false" outlineLevel="0" collapsed="false">
      <c r="A19" s="9" t="s">
        <v>197</v>
      </c>
      <c r="B19" s="9" t="s">
        <v>156</v>
      </c>
      <c r="C19" s="9" t="s">
        <v>157</v>
      </c>
      <c r="D19" s="9" t="s">
        <v>198</v>
      </c>
      <c r="E19" s="9" t="s">
        <v>199</v>
      </c>
      <c r="F19" s="9" t="s">
        <v>160</v>
      </c>
      <c r="G19" s="9" t="s">
        <v>161</v>
      </c>
      <c r="H19" s="9" t="s">
        <v>20</v>
      </c>
      <c r="I19" s="9" t="s">
        <v>162</v>
      </c>
      <c r="J19" s="9" t="s">
        <v>163</v>
      </c>
    </row>
    <row r="20" customFormat="false" ht="15" hidden="false" customHeight="false" outlineLevel="0" collapsed="false">
      <c r="A20" s="9" t="s">
        <v>200</v>
      </c>
      <c r="B20" s="9" t="s">
        <v>156</v>
      </c>
      <c r="C20" s="9" t="s">
        <v>157</v>
      </c>
      <c r="D20" s="9" t="s">
        <v>201</v>
      </c>
      <c r="E20" s="9" t="s">
        <v>202</v>
      </c>
      <c r="F20" s="9" t="s">
        <v>160</v>
      </c>
      <c r="G20" s="9" t="s">
        <v>161</v>
      </c>
      <c r="H20" s="9" t="s">
        <v>20</v>
      </c>
      <c r="I20" s="9" t="s">
        <v>162</v>
      </c>
      <c r="J20" s="9" t="s">
        <v>163</v>
      </c>
    </row>
    <row r="21" customFormat="false" ht="15" hidden="false" customHeight="false" outlineLevel="0" collapsed="false">
      <c r="A21" s="9" t="s">
        <v>203</v>
      </c>
      <c r="B21" s="9" t="s">
        <v>156</v>
      </c>
      <c r="C21" s="9" t="s">
        <v>157</v>
      </c>
      <c r="D21" s="9" t="s">
        <v>204</v>
      </c>
      <c r="E21" s="9" t="s">
        <v>205</v>
      </c>
      <c r="F21" s="9" t="s">
        <v>160</v>
      </c>
      <c r="G21" s="9" t="s">
        <v>161</v>
      </c>
      <c r="H21" s="9" t="s">
        <v>20</v>
      </c>
      <c r="I21" s="9" t="s">
        <v>162</v>
      </c>
      <c r="J21" s="9" t="s">
        <v>163</v>
      </c>
    </row>
    <row r="22" customFormat="false" ht="15" hidden="false" customHeight="false" outlineLevel="0" collapsed="false">
      <c r="A22" s="9" t="s">
        <v>206</v>
      </c>
      <c r="B22" s="9" t="s">
        <v>156</v>
      </c>
      <c r="C22" s="9" t="s">
        <v>157</v>
      </c>
      <c r="D22" s="9" t="s">
        <v>207</v>
      </c>
      <c r="E22" s="9" t="s">
        <v>208</v>
      </c>
      <c r="F22" s="9" t="s">
        <v>160</v>
      </c>
      <c r="G22" s="9" t="s">
        <v>161</v>
      </c>
      <c r="H22" s="9" t="s">
        <v>20</v>
      </c>
      <c r="I22" s="9" t="s">
        <v>162</v>
      </c>
      <c r="J22" s="9" t="s">
        <v>163</v>
      </c>
    </row>
    <row r="23" customFormat="false" ht="15" hidden="false" customHeight="false" outlineLevel="0" collapsed="false">
      <c r="A23" s="9" t="s">
        <v>209</v>
      </c>
      <c r="B23" s="9" t="s">
        <v>210</v>
      </c>
      <c r="C23" s="9" t="s">
        <v>211</v>
      </c>
      <c r="D23" s="9" t="s">
        <v>158</v>
      </c>
      <c r="E23" s="9" t="s">
        <v>159</v>
      </c>
      <c r="F23" s="9" t="s">
        <v>212</v>
      </c>
      <c r="G23" s="9" t="s">
        <v>213</v>
      </c>
      <c r="H23" s="9" t="s">
        <v>20</v>
      </c>
      <c r="I23" s="9" t="s">
        <v>162</v>
      </c>
      <c r="J23" s="9" t="s">
        <v>163</v>
      </c>
    </row>
    <row r="24" customFormat="false" ht="15" hidden="false" customHeight="false" outlineLevel="0" collapsed="false">
      <c r="A24" s="9" t="s">
        <v>214</v>
      </c>
      <c r="B24" s="9" t="s">
        <v>210</v>
      </c>
      <c r="C24" s="9" t="s">
        <v>211</v>
      </c>
      <c r="D24" s="9" t="s">
        <v>165</v>
      </c>
      <c r="E24" s="9" t="s">
        <v>166</v>
      </c>
      <c r="F24" s="9" t="s">
        <v>212</v>
      </c>
      <c r="G24" s="9" t="s">
        <v>213</v>
      </c>
      <c r="H24" s="9" t="s">
        <v>20</v>
      </c>
      <c r="I24" s="9" t="s">
        <v>162</v>
      </c>
      <c r="J24" s="9" t="s">
        <v>163</v>
      </c>
    </row>
    <row r="25" customFormat="false" ht="15" hidden="false" customHeight="false" outlineLevel="0" collapsed="false">
      <c r="A25" s="9" t="s">
        <v>215</v>
      </c>
      <c r="B25" s="9" t="s">
        <v>210</v>
      </c>
      <c r="C25" s="9" t="s">
        <v>211</v>
      </c>
      <c r="D25" s="9" t="s">
        <v>168</v>
      </c>
      <c r="E25" s="9" t="s">
        <v>169</v>
      </c>
      <c r="F25" s="9" t="s">
        <v>212</v>
      </c>
      <c r="G25" s="9" t="s">
        <v>213</v>
      </c>
      <c r="H25" s="9" t="s">
        <v>20</v>
      </c>
      <c r="I25" s="9" t="s">
        <v>162</v>
      </c>
      <c r="J25" s="9" t="s">
        <v>163</v>
      </c>
    </row>
    <row r="26" customFormat="false" ht="15" hidden="false" customHeight="false" outlineLevel="0" collapsed="false">
      <c r="A26" s="9" t="s">
        <v>216</v>
      </c>
      <c r="B26" s="9" t="s">
        <v>210</v>
      </c>
      <c r="C26" s="9" t="s">
        <v>211</v>
      </c>
      <c r="D26" s="9" t="s">
        <v>171</v>
      </c>
      <c r="E26" s="9" t="s">
        <v>172</v>
      </c>
      <c r="F26" s="9" t="s">
        <v>212</v>
      </c>
      <c r="G26" s="9" t="s">
        <v>213</v>
      </c>
      <c r="H26" s="9" t="s">
        <v>20</v>
      </c>
      <c r="I26" s="9" t="s">
        <v>162</v>
      </c>
      <c r="J26" s="9" t="s">
        <v>163</v>
      </c>
    </row>
    <row r="27" customFormat="false" ht="15" hidden="false" customHeight="false" outlineLevel="0" collapsed="false">
      <c r="A27" s="9" t="s">
        <v>217</v>
      </c>
      <c r="B27" s="9" t="s">
        <v>210</v>
      </c>
      <c r="C27" s="9" t="s">
        <v>211</v>
      </c>
      <c r="D27" s="9" t="s">
        <v>174</v>
      </c>
      <c r="E27" s="9" t="s">
        <v>175</v>
      </c>
      <c r="F27" s="9" t="s">
        <v>212</v>
      </c>
      <c r="G27" s="9" t="s">
        <v>213</v>
      </c>
      <c r="H27" s="9" t="s">
        <v>20</v>
      </c>
      <c r="I27" s="9" t="s">
        <v>162</v>
      </c>
      <c r="J27" s="9" t="s">
        <v>163</v>
      </c>
    </row>
    <row r="28" customFormat="false" ht="15" hidden="false" customHeight="false" outlineLevel="0" collapsed="false">
      <c r="A28" s="9" t="s">
        <v>218</v>
      </c>
      <c r="B28" s="9" t="s">
        <v>210</v>
      </c>
      <c r="C28" s="9" t="s">
        <v>211</v>
      </c>
      <c r="D28" s="9" t="s">
        <v>177</v>
      </c>
      <c r="E28" s="9" t="s">
        <v>178</v>
      </c>
      <c r="F28" s="9" t="s">
        <v>212</v>
      </c>
      <c r="G28" s="9" t="s">
        <v>213</v>
      </c>
      <c r="H28" s="9" t="s">
        <v>20</v>
      </c>
      <c r="I28" s="9" t="s">
        <v>162</v>
      </c>
      <c r="J28" s="9" t="s">
        <v>163</v>
      </c>
    </row>
    <row r="29" customFormat="false" ht="15" hidden="false" customHeight="false" outlineLevel="0" collapsed="false">
      <c r="A29" s="9" t="s">
        <v>219</v>
      </c>
      <c r="B29" s="9" t="s">
        <v>210</v>
      </c>
      <c r="C29" s="9" t="s">
        <v>211</v>
      </c>
      <c r="D29" s="9" t="s">
        <v>180</v>
      </c>
      <c r="E29" s="9" t="s">
        <v>181</v>
      </c>
      <c r="F29" s="9" t="s">
        <v>212</v>
      </c>
      <c r="G29" s="9" t="s">
        <v>213</v>
      </c>
      <c r="H29" s="9" t="s">
        <v>20</v>
      </c>
      <c r="I29" s="9" t="s">
        <v>162</v>
      </c>
      <c r="J29" s="9" t="s">
        <v>163</v>
      </c>
    </row>
    <row r="30" customFormat="false" ht="15" hidden="false" customHeight="false" outlineLevel="0" collapsed="false">
      <c r="A30" s="9" t="s">
        <v>220</v>
      </c>
      <c r="B30" s="9" t="s">
        <v>210</v>
      </c>
      <c r="C30" s="9" t="s">
        <v>211</v>
      </c>
      <c r="D30" s="9" t="s">
        <v>183</v>
      </c>
      <c r="E30" s="9" t="s">
        <v>184</v>
      </c>
      <c r="F30" s="9" t="s">
        <v>212</v>
      </c>
      <c r="G30" s="9" t="s">
        <v>213</v>
      </c>
      <c r="H30" s="9" t="s">
        <v>20</v>
      </c>
      <c r="I30" s="9" t="s">
        <v>162</v>
      </c>
      <c r="J30" s="9" t="s">
        <v>163</v>
      </c>
    </row>
    <row r="31" customFormat="false" ht="15" hidden="false" customHeight="false" outlineLevel="0" collapsed="false">
      <c r="A31" s="9" t="s">
        <v>221</v>
      </c>
      <c r="B31" s="9" t="s">
        <v>210</v>
      </c>
      <c r="C31" s="9" t="s">
        <v>211</v>
      </c>
      <c r="D31" s="9" t="s">
        <v>186</v>
      </c>
      <c r="E31" s="9" t="s">
        <v>187</v>
      </c>
      <c r="F31" s="9" t="s">
        <v>212</v>
      </c>
      <c r="G31" s="9" t="s">
        <v>213</v>
      </c>
      <c r="H31" s="9" t="s">
        <v>20</v>
      </c>
      <c r="I31" s="9" t="s">
        <v>162</v>
      </c>
      <c r="J31" s="9" t="s">
        <v>163</v>
      </c>
    </row>
    <row r="32" customFormat="false" ht="15" hidden="false" customHeight="false" outlineLevel="0" collapsed="false">
      <c r="A32" s="9" t="s">
        <v>222</v>
      </c>
      <c r="B32" s="9" t="s">
        <v>210</v>
      </c>
      <c r="C32" s="9" t="s">
        <v>211</v>
      </c>
      <c r="D32" s="9" t="s">
        <v>189</v>
      </c>
      <c r="E32" s="9" t="s">
        <v>190</v>
      </c>
      <c r="F32" s="9" t="s">
        <v>212</v>
      </c>
      <c r="G32" s="9" t="s">
        <v>213</v>
      </c>
      <c r="H32" s="9" t="s">
        <v>20</v>
      </c>
      <c r="I32" s="9" t="s">
        <v>162</v>
      </c>
      <c r="J32" s="9" t="s">
        <v>163</v>
      </c>
    </row>
    <row r="33" customFormat="false" ht="15" hidden="false" customHeight="false" outlineLevel="0" collapsed="false">
      <c r="A33" s="9" t="s">
        <v>223</v>
      </c>
      <c r="B33" s="9" t="s">
        <v>210</v>
      </c>
      <c r="C33" s="9" t="s">
        <v>211</v>
      </c>
      <c r="D33" s="9" t="s">
        <v>192</v>
      </c>
      <c r="E33" s="9" t="s">
        <v>193</v>
      </c>
      <c r="F33" s="9" t="s">
        <v>212</v>
      </c>
      <c r="G33" s="9" t="s">
        <v>213</v>
      </c>
      <c r="H33" s="9" t="s">
        <v>20</v>
      </c>
      <c r="I33" s="9" t="s">
        <v>162</v>
      </c>
      <c r="J33" s="9" t="s">
        <v>163</v>
      </c>
    </row>
    <row r="34" customFormat="false" ht="15" hidden="false" customHeight="false" outlineLevel="0" collapsed="false">
      <c r="A34" s="9" t="s">
        <v>224</v>
      </c>
      <c r="B34" s="9" t="s">
        <v>210</v>
      </c>
      <c r="C34" s="9" t="s">
        <v>211</v>
      </c>
      <c r="D34" s="9" t="s">
        <v>195</v>
      </c>
      <c r="E34" s="9" t="s">
        <v>196</v>
      </c>
      <c r="F34" s="9" t="s">
        <v>212</v>
      </c>
      <c r="G34" s="9" t="s">
        <v>213</v>
      </c>
      <c r="H34" s="9" t="s">
        <v>20</v>
      </c>
      <c r="I34" s="9" t="s">
        <v>162</v>
      </c>
      <c r="J34" s="9" t="s">
        <v>163</v>
      </c>
    </row>
    <row r="35" customFormat="false" ht="15" hidden="false" customHeight="false" outlineLevel="0" collapsed="false">
      <c r="A35" s="9" t="s">
        <v>225</v>
      </c>
      <c r="B35" s="9" t="s">
        <v>210</v>
      </c>
      <c r="C35" s="9" t="s">
        <v>211</v>
      </c>
      <c r="D35" s="9" t="s">
        <v>198</v>
      </c>
      <c r="E35" s="9" t="s">
        <v>199</v>
      </c>
      <c r="F35" s="9" t="s">
        <v>212</v>
      </c>
      <c r="G35" s="9" t="s">
        <v>213</v>
      </c>
      <c r="H35" s="9" t="s">
        <v>20</v>
      </c>
      <c r="I35" s="9" t="s">
        <v>162</v>
      </c>
      <c r="J35" s="9" t="s">
        <v>163</v>
      </c>
    </row>
    <row r="36" customFormat="false" ht="15" hidden="false" customHeight="false" outlineLevel="0" collapsed="false">
      <c r="A36" s="9" t="s">
        <v>226</v>
      </c>
      <c r="B36" s="9" t="s">
        <v>210</v>
      </c>
      <c r="C36" s="9" t="s">
        <v>211</v>
      </c>
      <c r="D36" s="9" t="s">
        <v>201</v>
      </c>
      <c r="E36" s="9" t="s">
        <v>202</v>
      </c>
      <c r="F36" s="9" t="s">
        <v>212</v>
      </c>
      <c r="G36" s="9" t="s">
        <v>213</v>
      </c>
      <c r="H36" s="9" t="s">
        <v>20</v>
      </c>
      <c r="I36" s="9" t="s">
        <v>162</v>
      </c>
      <c r="J36" s="9" t="s">
        <v>163</v>
      </c>
    </row>
    <row r="37" customFormat="false" ht="15" hidden="false" customHeight="false" outlineLevel="0" collapsed="false">
      <c r="A37" s="9" t="s">
        <v>227</v>
      </c>
      <c r="B37" s="9" t="s">
        <v>210</v>
      </c>
      <c r="C37" s="9" t="s">
        <v>211</v>
      </c>
      <c r="D37" s="9" t="s">
        <v>204</v>
      </c>
      <c r="E37" s="9" t="s">
        <v>205</v>
      </c>
      <c r="F37" s="9" t="s">
        <v>212</v>
      </c>
      <c r="G37" s="9" t="s">
        <v>213</v>
      </c>
      <c r="H37" s="9" t="s">
        <v>20</v>
      </c>
      <c r="I37" s="9" t="s">
        <v>162</v>
      </c>
      <c r="J37" s="9" t="s">
        <v>163</v>
      </c>
    </row>
    <row r="38" customFormat="false" ht="15" hidden="false" customHeight="false" outlineLevel="0" collapsed="false">
      <c r="A38" s="9" t="s">
        <v>228</v>
      </c>
      <c r="B38" s="9" t="s">
        <v>210</v>
      </c>
      <c r="C38" s="9" t="s">
        <v>211</v>
      </c>
      <c r="D38" s="9" t="s">
        <v>207</v>
      </c>
      <c r="E38" s="9" t="s">
        <v>208</v>
      </c>
      <c r="F38" s="9" t="s">
        <v>212</v>
      </c>
      <c r="G38" s="9" t="s">
        <v>213</v>
      </c>
      <c r="H38" s="9" t="s">
        <v>20</v>
      </c>
      <c r="I38" s="9" t="s">
        <v>162</v>
      </c>
      <c r="J38" s="9" t="s">
        <v>163</v>
      </c>
    </row>
    <row r="39" customFormat="false" ht="15" hidden="false" customHeight="false" outlineLevel="0" collapsed="false">
      <c r="A39" s="9" t="s">
        <v>229</v>
      </c>
      <c r="B39" s="9" t="s">
        <v>230</v>
      </c>
      <c r="C39" s="9" t="s">
        <v>231</v>
      </c>
      <c r="D39" s="9" t="s">
        <v>158</v>
      </c>
      <c r="E39" s="9" t="s">
        <v>159</v>
      </c>
      <c r="F39" s="9" t="s">
        <v>232</v>
      </c>
      <c r="G39" s="9" t="s">
        <v>233</v>
      </c>
      <c r="H39" s="9" t="s">
        <v>20</v>
      </c>
      <c r="I39" s="9" t="s">
        <v>162</v>
      </c>
      <c r="J39" s="9" t="s">
        <v>163</v>
      </c>
    </row>
    <row r="40" customFormat="false" ht="15" hidden="false" customHeight="false" outlineLevel="0" collapsed="false">
      <c r="A40" s="9" t="s">
        <v>234</v>
      </c>
      <c r="B40" s="9" t="s">
        <v>230</v>
      </c>
      <c r="C40" s="9" t="s">
        <v>231</v>
      </c>
      <c r="D40" s="9" t="s">
        <v>165</v>
      </c>
      <c r="E40" s="9" t="s">
        <v>166</v>
      </c>
      <c r="F40" s="9" t="s">
        <v>232</v>
      </c>
      <c r="G40" s="9" t="s">
        <v>233</v>
      </c>
      <c r="H40" s="9" t="s">
        <v>20</v>
      </c>
      <c r="I40" s="9" t="s">
        <v>162</v>
      </c>
      <c r="J40" s="9" t="s">
        <v>163</v>
      </c>
    </row>
    <row r="41" customFormat="false" ht="15" hidden="false" customHeight="false" outlineLevel="0" collapsed="false">
      <c r="A41" s="9" t="s">
        <v>235</v>
      </c>
      <c r="B41" s="9" t="s">
        <v>230</v>
      </c>
      <c r="C41" s="9" t="s">
        <v>231</v>
      </c>
      <c r="D41" s="9" t="s">
        <v>168</v>
      </c>
      <c r="E41" s="9" t="s">
        <v>169</v>
      </c>
      <c r="F41" s="9" t="s">
        <v>232</v>
      </c>
      <c r="G41" s="9" t="s">
        <v>233</v>
      </c>
      <c r="H41" s="9" t="s">
        <v>20</v>
      </c>
      <c r="I41" s="9" t="s">
        <v>162</v>
      </c>
      <c r="J41" s="9" t="s">
        <v>163</v>
      </c>
    </row>
    <row r="42" customFormat="false" ht="15" hidden="false" customHeight="false" outlineLevel="0" collapsed="false">
      <c r="A42" s="9" t="s">
        <v>236</v>
      </c>
      <c r="B42" s="9" t="s">
        <v>230</v>
      </c>
      <c r="C42" s="9" t="s">
        <v>231</v>
      </c>
      <c r="D42" s="9" t="s">
        <v>171</v>
      </c>
      <c r="E42" s="9" t="s">
        <v>172</v>
      </c>
      <c r="F42" s="9" t="s">
        <v>232</v>
      </c>
      <c r="G42" s="9" t="s">
        <v>233</v>
      </c>
      <c r="H42" s="9" t="s">
        <v>20</v>
      </c>
      <c r="I42" s="9" t="s">
        <v>162</v>
      </c>
      <c r="J42" s="9" t="s">
        <v>163</v>
      </c>
    </row>
    <row r="43" customFormat="false" ht="15" hidden="false" customHeight="false" outlineLevel="0" collapsed="false">
      <c r="A43" s="9" t="s">
        <v>237</v>
      </c>
      <c r="B43" s="9" t="s">
        <v>230</v>
      </c>
      <c r="C43" s="9" t="s">
        <v>231</v>
      </c>
      <c r="D43" s="9" t="s">
        <v>174</v>
      </c>
      <c r="E43" s="9" t="s">
        <v>175</v>
      </c>
      <c r="F43" s="9" t="s">
        <v>232</v>
      </c>
      <c r="G43" s="9" t="s">
        <v>233</v>
      </c>
      <c r="H43" s="9" t="s">
        <v>20</v>
      </c>
      <c r="I43" s="9" t="s">
        <v>162</v>
      </c>
      <c r="J43" s="9" t="s">
        <v>163</v>
      </c>
    </row>
    <row r="44" customFormat="false" ht="15" hidden="false" customHeight="false" outlineLevel="0" collapsed="false">
      <c r="A44" s="9" t="s">
        <v>238</v>
      </c>
      <c r="B44" s="9" t="s">
        <v>230</v>
      </c>
      <c r="C44" s="9" t="s">
        <v>231</v>
      </c>
      <c r="D44" s="9" t="s">
        <v>177</v>
      </c>
      <c r="E44" s="9" t="s">
        <v>178</v>
      </c>
      <c r="F44" s="9" t="s">
        <v>232</v>
      </c>
      <c r="G44" s="9" t="s">
        <v>233</v>
      </c>
      <c r="H44" s="9" t="s">
        <v>20</v>
      </c>
      <c r="I44" s="9" t="s">
        <v>162</v>
      </c>
      <c r="J44" s="9" t="s">
        <v>163</v>
      </c>
    </row>
    <row r="45" customFormat="false" ht="15" hidden="false" customHeight="false" outlineLevel="0" collapsed="false">
      <c r="A45" s="9" t="s">
        <v>239</v>
      </c>
      <c r="B45" s="9" t="s">
        <v>230</v>
      </c>
      <c r="C45" s="9" t="s">
        <v>231</v>
      </c>
      <c r="D45" s="9" t="s">
        <v>180</v>
      </c>
      <c r="E45" s="9" t="s">
        <v>181</v>
      </c>
      <c r="F45" s="9" t="s">
        <v>232</v>
      </c>
      <c r="G45" s="9" t="s">
        <v>233</v>
      </c>
      <c r="H45" s="9" t="s">
        <v>20</v>
      </c>
      <c r="I45" s="9" t="s">
        <v>162</v>
      </c>
      <c r="J45" s="9" t="s">
        <v>163</v>
      </c>
    </row>
    <row r="46" customFormat="false" ht="15" hidden="false" customHeight="false" outlineLevel="0" collapsed="false">
      <c r="A46" s="9" t="s">
        <v>240</v>
      </c>
      <c r="B46" s="9" t="s">
        <v>230</v>
      </c>
      <c r="C46" s="9" t="s">
        <v>231</v>
      </c>
      <c r="D46" s="9" t="s">
        <v>183</v>
      </c>
      <c r="E46" s="9" t="s">
        <v>184</v>
      </c>
      <c r="F46" s="9" t="s">
        <v>232</v>
      </c>
      <c r="G46" s="9" t="s">
        <v>233</v>
      </c>
      <c r="H46" s="9" t="s">
        <v>20</v>
      </c>
      <c r="I46" s="9" t="s">
        <v>162</v>
      </c>
      <c r="J46" s="9" t="s">
        <v>163</v>
      </c>
    </row>
    <row r="47" customFormat="false" ht="15" hidden="false" customHeight="false" outlineLevel="0" collapsed="false">
      <c r="A47" s="9" t="s">
        <v>241</v>
      </c>
      <c r="B47" s="9" t="s">
        <v>230</v>
      </c>
      <c r="C47" s="9" t="s">
        <v>231</v>
      </c>
      <c r="D47" s="9" t="s">
        <v>186</v>
      </c>
      <c r="E47" s="9" t="s">
        <v>187</v>
      </c>
      <c r="F47" s="9" t="s">
        <v>232</v>
      </c>
      <c r="G47" s="9" t="s">
        <v>233</v>
      </c>
      <c r="H47" s="9" t="s">
        <v>20</v>
      </c>
      <c r="I47" s="9" t="s">
        <v>162</v>
      </c>
      <c r="J47" s="9" t="s">
        <v>163</v>
      </c>
    </row>
    <row r="48" customFormat="false" ht="15" hidden="false" customHeight="false" outlineLevel="0" collapsed="false">
      <c r="A48" s="9" t="s">
        <v>242</v>
      </c>
      <c r="B48" s="9" t="s">
        <v>230</v>
      </c>
      <c r="C48" s="9" t="s">
        <v>231</v>
      </c>
      <c r="D48" s="9" t="s">
        <v>189</v>
      </c>
      <c r="E48" s="9" t="s">
        <v>190</v>
      </c>
      <c r="F48" s="9" t="s">
        <v>232</v>
      </c>
      <c r="G48" s="9" t="s">
        <v>233</v>
      </c>
      <c r="H48" s="9" t="s">
        <v>20</v>
      </c>
      <c r="I48" s="9" t="s">
        <v>162</v>
      </c>
      <c r="J48" s="9" t="s">
        <v>163</v>
      </c>
    </row>
    <row r="49" customFormat="false" ht="15" hidden="false" customHeight="false" outlineLevel="0" collapsed="false">
      <c r="A49" s="9" t="s">
        <v>243</v>
      </c>
      <c r="B49" s="9" t="s">
        <v>230</v>
      </c>
      <c r="C49" s="9" t="s">
        <v>231</v>
      </c>
      <c r="D49" s="9" t="s">
        <v>192</v>
      </c>
      <c r="E49" s="9" t="s">
        <v>193</v>
      </c>
      <c r="F49" s="9" t="s">
        <v>232</v>
      </c>
      <c r="G49" s="9" t="s">
        <v>233</v>
      </c>
      <c r="H49" s="9" t="s">
        <v>20</v>
      </c>
      <c r="I49" s="9" t="s">
        <v>162</v>
      </c>
      <c r="J49" s="9" t="s">
        <v>163</v>
      </c>
    </row>
    <row r="50" customFormat="false" ht="15" hidden="false" customHeight="false" outlineLevel="0" collapsed="false">
      <c r="A50" s="9" t="s">
        <v>244</v>
      </c>
      <c r="B50" s="9" t="s">
        <v>230</v>
      </c>
      <c r="C50" s="9" t="s">
        <v>231</v>
      </c>
      <c r="D50" s="9" t="s">
        <v>195</v>
      </c>
      <c r="E50" s="9" t="s">
        <v>196</v>
      </c>
      <c r="F50" s="9" t="s">
        <v>232</v>
      </c>
      <c r="G50" s="9" t="s">
        <v>233</v>
      </c>
      <c r="H50" s="9" t="s">
        <v>20</v>
      </c>
      <c r="I50" s="9" t="s">
        <v>162</v>
      </c>
      <c r="J50" s="9" t="s">
        <v>163</v>
      </c>
    </row>
    <row r="51" customFormat="false" ht="15" hidden="false" customHeight="false" outlineLevel="0" collapsed="false">
      <c r="A51" s="9" t="s">
        <v>245</v>
      </c>
      <c r="B51" s="9" t="s">
        <v>230</v>
      </c>
      <c r="C51" s="9" t="s">
        <v>231</v>
      </c>
      <c r="D51" s="9" t="s">
        <v>198</v>
      </c>
      <c r="E51" s="9" t="s">
        <v>199</v>
      </c>
      <c r="F51" s="9" t="s">
        <v>232</v>
      </c>
      <c r="G51" s="9" t="s">
        <v>233</v>
      </c>
      <c r="H51" s="9" t="s">
        <v>20</v>
      </c>
      <c r="I51" s="9" t="s">
        <v>162</v>
      </c>
      <c r="J51" s="9" t="s">
        <v>163</v>
      </c>
    </row>
    <row r="52" customFormat="false" ht="15" hidden="false" customHeight="false" outlineLevel="0" collapsed="false">
      <c r="A52" s="9" t="s">
        <v>246</v>
      </c>
      <c r="B52" s="9" t="s">
        <v>230</v>
      </c>
      <c r="C52" s="9" t="s">
        <v>231</v>
      </c>
      <c r="D52" s="9" t="s">
        <v>201</v>
      </c>
      <c r="E52" s="9" t="s">
        <v>202</v>
      </c>
      <c r="F52" s="9" t="s">
        <v>232</v>
      </c>
      <c r="G52" s="9" t="s">
        <v>233</v>
      </c>
      <c r="H52" s="9" t="s">
        <v>20</v>
      </c>
      <c r="I52" s="9" t="s">
        <v>162</v>
      </c>
      <c r="J52" s="9" t="s">
        <v>163</v>
      </c>
    </row>
    <row r="53" customFormat="false" ht="15" hidden="false" customHeight="false" outlineLevel="0" collapsed="false">
      <c r="A53" s="9" t="s">
        <v>247</v>
      </c>
      <c r="B53" s="9" t="s">
        <v>230</v>
      </c>
      <c r="C53" s="9" t="s">
        <v>231</v>
      </c>
      <c r="D53" s="9" t="s">
        <v>204</v>
      </c>
      <c r="E53" s="9" t="s">
        <v>205</v>
      </c>
      <c r="F53" s="9" t="s">
        <v>232</v>
      </c>
      <c r="G53" s="9" t="s">
        <v>233</v>
      </c>
      <c r="H53" s="9" t="s">
        <v>20</v>
      </c>
      <c r="I53" s="9" t="s">
        <v>162</v>
      </c>
      <c r="J53" s="9" t="s">
        <v>163</v>
      </c>
    </row>
    <row r="54" customFormat="false" ht="15" hidden="false" customHeight="false" outlineLevel="0" collapsed="false">
      <c r="A54" s="9" t="s">
        <v>248</v>
      </c>
      <c r="B54" s="9" t="s">
        <v>230</v>
      </c>
      <c r="C54" s="9" t="s">
        <v>231</v>
      </c>
      <c r="D54" s="9" t="s">
        <v>207</v>
      </c>
      <c r="E54" s="9" t="s">
        <v>208</v>
      </c>
      <c r="F54" s="9" t="s">
        <v>232</v>
      </c>
      <c r="G54" s="9" t="s">
        <v>233</v>
      </c>
      <c r="H54" s="9" t="s">
        <v>20</v>
      </c>
      <c r="I54" s="9" t="s">
        <v>162</v>
      </c>
      <c r="J54" s="9" t="s">
        <v>163</v>
      </c>
    </row>
    <row r="55" customFormat="false" ht="15" hidden="false" customHeight="false" outlineLevel="0" collapsed="false">
      <c r="A55" s="9" t="s">
        <v>249</v>
      </c>
      <c r="B55" s="9" t="s">
        <v>250</v>
      </c>
      <c r="C55" s="9" t="s">
        <v>251</v>
      </c>
      <c r="D55" s="9" t="s">
        <v>158</v>
      </c>
      <c r="E55" s="9" t="s">
        <v>159</v>
      </c>
      <c r="F55" s="9" t="s">
        <v>252</v>
      </c>
      <c r="G55" s="9" t="s">
        <v>253</v>
      </c>
      <c r="H55" s="9" t="s">
        <v>20</v>
      </c>
      <c r="I55" s="9" t="s">
        <v>162</v>
      </c>
      <c r="J55" s="9" t="s">
        <v>163</v>
      </c>
    </row>
    <row r="56" customFormat="false" ht="15" hidden="false" customHeight="false" outlineLevel="0" collapsed="false">
      <c r="A56" s="9" t="s">
        <v>254</v>
      </c>
      <c r="B56" s="9" t="s">
        <v>250</v>
      </c>
      <c r="C56" s="9" t="s">
        <v>251</v>
      </c>
      <c r="D56" s="9" t="s">
        <v>165</v>
      </c>
      <c r="E56" s="9" t="s">
        <v>166</v>
      </c>
      <c r="F56" s="9" t="s">
        <v>252</v>
      </c>
      <c r="G56" s="9" t="s">
        <v>253</v>
      </c>
      <c r="H56" s="9" t="s">
        <v>20</v>
      </c>
      <c r="I56" s="9" t="s">
        <v>162</v>
      </c>
      <c r="J56" s="9" t="s">
        <v>163</v>
      </c>
    </row>
    <row r="57" customFormat="false" ht="15" hidden="false" customHeight="false" outlineLevel="0" collapsed="false">
      <c r="A57" s="9" t="s">
        <v>255</v>
      </c>
      <c r="B57" s="9" t="s">
        <v>250</v>
      </c>
      <c r="C57" s="9" t="s">
        <v>251</v>
      </c>
      <c r="D57" s="9" t="s">
        <v>168</v>
      </c>
      <c r="E57" s="9" t="s">
        <v>169</v>
      </c>
      <c r="F57" s="9" t="s">
        <v>252</v>
      </c>
      <c r="G57" s="9" t="s">
        <v>253</v>
      </c>
      <c r="H57" s="9" t="s">
        <v>20</v>
      </c>
      <c r="I57" s="9" t="s">
        <v>162</v>
      </c>
      <c r="J57" s="9" t="s">
        <v>163</v>
      </c>
    </row>
    <row r="58" customFormat="false" ht="15" hidden="false" customHeight="false" outlineLevel="0" collapsed="false">
      <c r="A58" s="9" t="s">
        <v>256</v>
      </c>
      <c r="B58" s="9" t="s">
        <v>250</v>
      </c>
      <c r="C58" s="9" t="s">
        <v>251</v>
      </c>
      <c r="D58" s="9" t="s">
        <v>171</v>
      </c>
      <c r="E58" s="9" t="s">
        <v>172</v>
      </c>
      <c r="F58" s="9" t="s">
        <v>252</v>
      </c>
      <c r="G58" s="9" t="s">
        <v>253</v>
      </c>
      <c r="H58" s="9" t="s">
        <v>20</v>
      </c>
      <c r="I58" s="9" t="s">
        <v>162</v>
      </c>
      <c r="J58" s="9" t="s">
        <v>163</v>
      </c>
    </row>
    <row r="59" customFormat="false" ht="15" hidden="false" customHeight="false" outlineLevel="0" collapsed="false">
      <c r="A59" s="9" t="s">
        <v>257</v>
      </c>
      <c r="B59" s="9" t="s">
        <v>250</v>
      </c>
      <c r="C59" s="9" t="s">
        <v>251</v>
      </c>
      <c r="D59" s="9" t="s">
        <v>174</v>
      </c>
      <c r="E59" s="9" t="s">
        <v>175</v>
      </c>
      <c r="F59" s="9" t="s">
        <v>252</v>
      </c>
      <c r="G59" s="9" t="s">
        <v>253</v>
      </c>
      <c r="H59" s="9" t="s">
        <v>20</v>
      </c>
      <c r="I59" s="9" t="s">
        <v>162</v>
      </c>
      <c r="J59" s="9" t="s">
        <v>163</v>
      </c>
    </row>
    <row r="60" customFormat="false" ht="15" hidden="false" customHeight="false" outlineLevel="0" collapsed="false">
      <c r="A60" s="9" t="s">
        <v>258</v>
      </c>
      <c r="B60" s="9" t="s">
        <v>250</v>
      </c>
      <c r="C60" s="9" t="s">
        <v>251</v>
      </c>
      <c r="D60" s="9" t="s">
        <v>177</v>
      </c>
      <c r="E60" s="9" t="s">
        <v>178</v>
      </c>
      <c r="F60" s="9" t="s">
        <v>252</v>
      </c>
      <c r="G60" s="9" t="s">
        <v>253</v>
      </c>
      <c r="H60" s="9" t="s">
        <v>20</v>
      </c>
      <c r="I60" s="9" t="s">
        <v>162</v>
      </c>
      <c r="J60" s="9" t="s">
        <v>163</v>
      </c>
    </row>
    <row r="61" customFormat="false" ht="15" hidden="false" customHeight="false" outlineLevel="0" collapsed="false">
      <c r="A61" s="9" t="s">
        <v>259</v>
      </c>
      <c r="B61" s="9" t="s">
        <v>250</v>
      </c>
      <c r="C61" s="9" t="s">
        <v>251</v>
      </c>
      <c r="D61" s="9" t="s">
        <v>180</v>
      </c>
      <c r="E61" s="9" t="s">
        <v>181</v>
      </c>
      <c r="F61" s="9" t="s">
        <v>252</v>
      </c>
      <c r="G61" s="9" t="s">
        <v>253</v>
      </c>
      <c r="H61" s="9" t="s">
        <v>20</v>
      </c>
      <c r="I61" s="9" t="s">
        <v>162</v>
      </c>
      <c r="J61" s="9" t="s">
        <v>163</v>
      </c>
    </row>
    <row r="62" customFormat="false" ht="15" hidden="false" customHeight="false" outlineLevel="0" collapsed="false">
      <c r="A62" s="9" t="s">
        <v>260</v>
      </c>
      <c r="B62" s="9" t="s">
        <v>250</v>
      </c>
      <c r="C62" s="9" t="s">
        <v>251</v>
      </c>
      <c r="D62" s="9" t="s">
        <v>183</v>
      </c>
      <c r="E62" s="9" t="s">
        <v>184</v>
      </c>
      <c r="F62" s="9" t="s">
        <v>252</v>
      </c>
      <c r="G62" s="9" t="s">
        <v>253</v>
      </c>
      <c r="H62" s="9" t="s">
        <v>20</v>
      </c>
      <c r="I62" s="9" t="s">
        <v>162</v>
      </c>
      <c r="J62" s="9" t="s">
        <v>163</v>
      </c>
    </row>
    <row r="63" customFormat="false" ht="15" hidden="false" customHeight="false" outlineLevel="0" collapsed="false">
      <c r="A63" s="9" t="s">
        <v>261</v>
      </c>
      <c r="B63" s="9" t="s">
        <v>250</v>
      </c>
      <c r="C63" s="9" t="s">
        <v>251</v>
      </c>
      <c r="D63" s="9" t="s">
        <v>186</v>
      </c>
      <c r="E63" s="9" t="s">
        <v>187</v>
      </c>
      <c r="F63" s="9" t="s">
        <v>252</v>
      </c>
      <c r="G63" s="9" t="s">
        <v>253</v>
      </c>
      <c r="H63" s="9" t="s">
        <v>20</v>
      </c>
      <c r="I63" s="9" t="s">
        <v>162</v>
      </c>
      <c r="J63" s="9" t="s">
        <v>163</v>
      </c>
    </row>
    <row r="64" customFormat="false" ht="15" hidden="false" customHeight="false" outlineLevel="0" collapsed="false">
      <c r="A64" s="9" t="s">
        <v>262</v>
      </c>
      <c r="B64" s="9" t="s">
        <v>250</v>
      </c>
      <c r="C64" s="9" t="s">
        <v>251</v>
      </c>
      <c r="D64" s="9" t="s">
        <v>189</v>
      </c>
      <c r="E64" s="9" t="s">
        <v>190</v>
      </c>
      <c r="F64" s="9" t="s">
        <v>252</v>
      </c>
      <c r="G64" s="9" t="s">
        <v>253</v>
      </c>
      <c r="H64" s="9" t="s">
        <v>20</v>
      </c>
      <c r="I64" s="9" t="s">
        <v>162</v>
      </c>
      <c r="J64" s="9" t="s">
        <v>163</v>
      </c>
    </row>
    <row r="65" customFormat="false" ht="15" hidden="false" customHeight="false" outlineLevel="0" collapsed="false">
      <c r="A65" s="9" t="s">
        <v>263</v>
      </c>
      <c r="B65" s="9" t="s">
        <v>250</v>
      </c>
      <c r="C65" s="9" t="s">
        <v>251</v>
      </c>
      <c r="D65" s="9" t="s">
        <v>192</v>
      </c>
      <c r="E65" s="9" t="s">
        <v>193</v>
      </c>
      <c r="F65" s="9" t="s">
        <v>252</v>
      </c>
      <c r="G65" s="9" t="s">
        <v>253</v>
      </c>
      <c r="H65" s="9" t="s">
        <v>20</v>
      </c>
      <c r="I65" s="9" t="s">
        <v>162</v>
      </c>
      <c r="J65" s="9" t="s">
        <v>163</v>
      </c>
    </row>
    <row r="66" customFormat="false" ht="15" hidden="false" customHeight="false" outlineLevel="0" collapsed="false">
      <c r="A66" s="9" t="s">
        <v>264</v>
      </c>
      <c r="B66" s="9" t="s">
        <v>250</v>
      </c>
      <c r="C66" s="9" t="s">
        <v>251</v>
      </c>
      <c r="D66" s="9" t="s">
        <v>195</v>
      </c>
      <c r="E66" s="9" t="s">
        <v>196</v>
      </c>
      <c r="F66" s="9" t="s">
        <v>252</v>
      </c>
      <c r="G66" s="9" t="s">
        <v>253</v>
      </c>
      <c r="H66" s="9" t="s">
        <v>20</v>
      </c>
      <c r="I66" s="9" t="s">
        <v>162</v>
      </c>
      <c r="J66" s="9" t="s">
        <v>163</v>
      </c>
    </row>
    <row r="67" customFormat="false" ht="15" hidden="false" customHeight="false" outlineLevel="0" collapsed="false">
      <c r="A67" s="9" t="s">
        <v>265</v>
      </c>
      <c r="B67" s="9" t="s">
        <v>250</v>
      </c>
      <c r="C67" s="9" t="s">
        <v>251</v>
      </c>
      <c r="D67" s="9" t="s">
        <v>198</v>
      </c>
      <c r="E67" s="9" t="s">
        <v>199</v>
      </c>
      <c r="F67" s="9" t="s">
        <v>252</v>
      </c>
      <c r="G67" s="9" t="s">
        <v>253</v>
      </c>
      <c r="H67" s="9" t="s">
        <v>20</v>
      </c>
      <c r="I67" s="9" t="s">
        <v>162</v>
      </c>
      <c r="J67" s="9" t="s">
        <v>163</v>
      </c>
    </row>
    <row r="68" customFormat="false" ht="15" hidden="false" customHeight="false" outlineLevel="0" collapsed="false">
      <c r="A68" s="9" t="s">
        <v>266</v>
      </c>
      <c r="B68" s="9" t="s">
        <v>250</v>
      </c>
      <c r="C68" s="9" t="s">
        <v>251</v>
      </c>
      <c r="D68" s="9" t="s">
        <v>201</v>
      </c>
      <c r="E68" s="9" t="s">
        <v>202</v>
      </c>
      <c r="F68" s="9" t="s">
        <v>252</v>
      </c>
      <c r="G68" s="9" t="s">
        <v>253</v>
      </c>
      <c r="H68" s="9" t="s">
        <v>20</v>
      </c>
      <c r="I68" s="9" t="s">
        <v>162</v>
      </c>
      <c r="J68" s="9" t="s">
        <v>163</v>
      </c>
    </row>
    <row r="69" customFormat="false" ht="15" hidden="false" customHeight="false" outlineLevel="0" collapsed="false">
      <c r="A69" s="9" t="s">
        <v>267</v>
      </c>
      <c r="B69" s="9" t="s">
        <v>250</v>
      </c>
      <c r="C69" s="9" t="s">
        <v>251</v>
      </c>
      <c r="D69" s="9" t="s">
        <v>204</v>
      </c>
      <c r="E69" s="9" t="s">
        <v>205</v>
      </c>
      <c r="F69" s="9" t="s">
        <v>252</v>
      </c>
      <c r="G69" s="9" t="s">
        <v>253</v>
      </c>
      <c r="H69" s="9" t="s">
        <v>20</v>
      </c>
      <c r="I69" s="9" t="s">
        <v>162</v>
      </c>
      <c r="J69" s="9" t="s">
        <v>163</v>
      </c>
    </row>
    <row r="70" customFormat="false" ht="15" hidden="false" customHeight="false" outlineLevel="0" collapsed="false">
      <c r="A70" s="9" t="s">
        <v>268</v>
      </c>
      <c r="B70" s="9" t="s">
        <v>250</v>
      </c>
      <c r="C70" s="9" t="s">
        <v>251</v>
      </c>
      <c r="D70" s="9" t="s">
        <v>207</v>
      </c>
      <c r="E70" s="9" t="s">
        <v>208</v>
      </c>
      <c r="F70" s="9" t="s">
        <v>252</v>
      </c>
      <c r="G70" s="9" t="s">
        <v>253</v>
      </c>
      <c r="H70" s="9" t="s">
        <v>20</v>
      </c>
      <c r="I70" s="9" t="s">
        <v>162</v>
      </c>
      <c r="J70" s="9" t="s">
        <v>163</v>
      </c>
    </row>
    <row r="71" customFormat="false" ht="15" hidden="false" customHeight="false" outlineLevel="0" collapsed="false">
      <c r="A71" s="9" t="s">
        <v>269</v>
      </c>
      <c r="B71" s="9" t="s">
        <v>270</v>
      </c>
      <c r="C71" s="9" t="s">
        <v>271</v>
      </c>
      <c r="D71" s="9" t="s">
        <v>158</v>
      </c>
      <c r="E71" s="9" t="s">
        <v>159</v>
      </c>
      <c r="F71" s="9" t="s">
        <v>272</v>
      </c>
      <c r="G71" s="9" t="s">
        <v>273</v>
      </c>
      <c r="H71" s="9" t="s">
        <v>20</v>
      </c>
      <c r="I71" s="9" t="s">
        <v>162</v>
      </c>
      <c r="J71" s="9" t="s">
        <v>163</v>
      </c>
    </row>
    <row r="72" customFormat="false" ht="15" hidden="false" customHeight="false" outlineLevel="0" collapsed="false">
      <c r="A72" s="9" t="s">
        <v>274</v>
      </c>
      <c r="B72" s="9" t="s">
        <v>270</v>
      </c>
      <c r="C72" s="9" t="s">
        <v>271</v>
      </c>
      <c r="D72" s="9" t="s">
        <v>165</v>
      </c>
      <c r="E72" s="9" t="s">
        <v>166</v>
      </c>
      <c r="F72" s="9" t="s">
        <v>272</v>
      </c>
      <c r="G72" s="9" t="s">
        <v>273</v>
      </c>
      <c r="H72" s="9" t="s">
        <v>20</v>
      </c>
      <c r="I72" s="9" t="s">
        <v>162</v>
      </c>
      <c r="J72" s="9" t="s">
        <v>163</v>
      </c>
    </row>
    <row r="73" customFormat="false" ht="15" hidden="false" customHeight="false" outlineLevel="0" collapsed="false">
      <c r="A73" s="9" t="s">
        <v>275</v>
      </c>
      <c r="B73" s="9" t="s">
        <v>270</v>
      </c>
      <c r="C73" s="9" t="s">
        <v>271</v>
      </c>
      <c r="D73" s="9" t="s">
        <v>168</v>
      </c>
      <c r="E73" s="9" t="s">
        <v>169</v>
      </c>
      <c r="F73" s="9" t="s">
        <v>272</v>
      </c>
      <c r="G73" s="9" t="s">
        <v>273</v>
      </c>
      <c r="H73" s="9" t="s">
        <v>20</v>
      </c>
      <c r="I73" s="9" t="s">
        <v>162</v>
      </c>
      <c r="J73" s="9" t="s">
        <v>163</v>
      </c>
    </row>
    <row r="74" customFormat="false" ht="15" hidden="false" customHeight="false" outlineLevel="0" collapsed="false">
      <c r="A74" s="9" t="s">
        <v>276</v>
      </c>
      <c r="B74" s="9" t="s">
        <v>270</v>
      </c>
      <c r="C74" s="9" t="s">
        <v>271</v>
      </c>
      <c r="D74" s="9" t="s">
        <v>171</v>
      </c>
      <c r="E74" s="9" t="s">
        <v>172</v>
      </c>
      <c r="F74" s="9" t="s">
        <v>272</v>
      </c>
      <c r="G74" s="9" t="s">
        <v>273</v>
      </c>
      <c r="H74" s="9" t="s">
        <v>20</v>
      </c>
      <c r="I74" s="9" t="s">
        <v>162</v>
      </c>
      <c r="J74" s="9" t="s">
        <v>163</v>
      </c>
    </row>
    <row r="75" customFormat="false" ht="15" hidden="false" customHeight="false" outlineLevel="0" collapsed="false">
      <c r="A75" s="9" t="s">
        <v>277</v>
      </c>
      <c r="B75" s="9" t="s">
        <v>270</v>
      </c>
      <c r="C75" s="9" t="s">
        <v>271</v>
      </c>
      <c r="D75" s="9" t="s">
        <v>174</v>
      </c>
      <c r="E75" s="9" t="s">
        <v>175</v>
      </c>
      <c r="F75" s="9" t="s">
        <v>272</v>
      </c>
      <c r="G75" s="9" t="s">
        <v>273</v>
      </c>
      <c r="H75" s="9" t="s">
        <v>20</v>
      </c>
      <c r="I75" s="9" t="s">
        <v>162</v>
      </c>
      <c r="J75" s="9" t="s">
        <v>163</v>
      </c>
    </row>
    <row r="76" customFormat="false" ht="15" hidden="false" customHeight="false" outlineLevel="0" collapsed="false">
      <c r="A76" s="9" t="s">
        <v>278</v>
      </c>
      <c r="B76" s="9" t="s">
        <v>270</v>
      </c>
      <c r="C76" s="9" t="s">
        <v>271</v>
      </c>
      <c r="D76" s="9" t="s">
        <v>177</v>
      </c>
      <c r="E76" s="9" t="s">
        <v>178</v>
      </c>
      <c r="F76" s="9" t="s">
        <v>272</v>
      </c>
      <c r="G76" s="9" t="s">
        <v>273</v>
      </c>
      <c r="H76" s="9" t="s">
        <v>20</v>
      </c>
      <c r="I76" s="9" t="s">
        <v>162</v>
      </c>
      <c r="J76" s="9" t="s">
        <v>163</v>
      </c>
    </row>
    <row r="77" customFormat="false" ht="15" hidden="false" customHeight="false" outlineLevel="0" collapsed="false">
      <c r="A77" s="9" t="s">
        <v>279</v>
      </c>
      <c r="B77" s="9" t="s">
        <v>270</v>
      </c>
      <c r="C77" s="9" t="s">
        <v>271</v>
      </c>
      <c r="D77" s="9" t="s">
        <v>180</v>
      </c>
      <c r="E77" s="9" t="s">
        <v>181</v>
      </c>
      <c r="F77" s="9" t="s">
        <v>272</v>
      </c>
      <c r="G77" s="9" t="s">
        <v>273</v>
      </c>
      <c r="H77" s="9" t="s">
        <v>20</v>
      </c>
      <c r="I77" s="9" t="s">
        <v>162</v>
      </c>
      <c r="J77" s="9" t="s">
        <v>163</v>
      </c>
    </row>
    <row r="78" customFormat="false" ht="15" hidden="false" customHeight="false" outlineLevel="0" collapsed="false">
      <c r="A78" s="9" t="s">
        <v>280</v>
      </c>
      <c r="B78" s="9" t="s">
        <v>270</v>
      </c>
      <c r="C78" s="9" t="s">
        <v>271</v>
      </c>
      <c r="D78" s="9" t="s">
        <v>183</v>
      </c>
      <c r="E78" s="9" t="s">
        <v>184</v>
      </c>
      <c r="F78" s="9" t="s">
        <v>272</v>
      </c>
      <c r="G78" s="9" t="s">
        <v>273</v>
      </c>
      <c r="H78" s="9" t="s">
        <v>20</v>
      </c>
      <c r="I78" s="9" t="s">
        <v>162</v>
      </c>
      <c r="J78" s="9" t="s">
        <v>163</v>
      </c>
    </row>
    <row r="79" customFormat="false" ht="15" hidden="false" customHeight="false" outlineLevel="0" collapsed="false">
      <c r="A79" s="9" t="s">
        <v>281</v>
      </c>
      <c r="B79" s="9" t="s">
        <v>270</v>
      </c>
      <c r="C79" s="9" t="s">
        <v>271</v>
      </c>
      <c r="D79" s="9" t="s">
        <v>186</v>
      </c>
      <c r="E79" s="9" t="s">
        <v>187</v>
      </c>
      <c r="F79" s="9" t="s">
        <v>272</v>
      </c>
      <c r="G79" s="9" t="s">
        <v>273</v>
      </c>
      <c r="H79" s="9" t="s">
        <v>20</v>
      </c>
      <c r="I79" s="9" t="s">
        <v>162</v>
      </c>
      <c r="J79" s="9" t="s">
        <v>163</v>
      </c>
    </row>
    <row r="80" customFormat="false" ht="15" hidden="false" customHeight="false" outlineLevel="0" collapsed="false">
      <c r="A80" s="9" t="s">
        <v>282</v>
      </c>
      <c r="B80" s="9" t="s">
        <v>270</v>
      </c>
      <c r="C80" s="9" t="s">
        <v>271</v>
      </c>
      <c r="D80" s="9" t="s">
        <v>189</v>
      </c>
      <c r="E80" s="9" t="s">
        <v>190</v>
      </c>
      <c r="F80" s="9" t="s">
        <v>272</v>
      </c>
      <c r="G80" s="9" t="s">
        <v>273</v>
      </c>
      <c r="H80" s="9" t="s">
        <v>20</v>
      </c>
      <c r="I80" s="9" t="s">
        <v>162</v>
      </c>
      <c r="J80" s="9" t="s">
        <v>163</v>
      </c>
    </row>
    <row r="81" customFormat="false" ht="15" hidden="false" customHeight="false" outlineLevel="0" collapsed="false">
      <c r="A81" s="9" t="s">
        <v>283</v>
      </c>
      <c r="B81" s="9" t="s">
        <v>270</v>
      </c>
      <c r="C81" s="9" t="s">
        <v>271</v>
      </c>
      <c r="D81" s="9" t="s">
        <v>192</v>
      </c>
      <c r="E81" s="9" t="s">
        <v>193</v>
      </c>
      <c r="F81" s="9" t="s">
        <v>272</v>
      </c>
      <c r="G81" s="9" t="s">
        <v>273</v>
      </c>
      <c r="H81" s="9" t="s">
        <v>20</v>
      </c>
      <c r="I81" s="9" t="s">
        <v>162</v>
      </c>
      <c r="J81" s="9" t="s">
        <v>163</v>
      </c>
    </row>
    <row r="82" customFormat="false" ht="15" hidden="false" customHeight="false" outlineLevel="0" collapsed="false">
      <c r="A82" s="9" t="s">
        <v>284</v>
      </c>
      <c r="B82" s="9" t="s">
        <v>270</v>
      </c>
      <c r="C82" s="9" t="s">
        <v>271</v>
      </c>
      <c r="D82" s="9" t="s">
        <v>195</v>
      </c>
      <c r="E82" s="9" t="s">
        <v>196</v>
      </c>
      <c r="F82" s="9" t="s">
        <v>272</v>
      </c>
      <c r="G82" s="9" t="s">
        <v>273</v>
      </c>
      <c r="H82" s="9" t="s">
        <v>20</v>
      </c>
      <c r="I82" s="9" t="s">
        <v>162</v>
      </c>
      <c r="J82" s="9" t="s">
        <v>163</v>
      </c>
    </row>
    <row r="83" customFormat="false" ht="15" hidden="false" customHeight="false" outlineLevel="0" collapsed="false">
      <c r="A83" s="9" t="s">
        <v>285</v>
      </c>
      <c r="B83" s="9" t="s">
        <v>270</v>
      </c>
      <c r="C83" s="9" t="s">
        <v>271</v>
      </c>
      <c r="D83" s="9" t="s">
        <v>198</v>
      </c>
      <c r="E83" s="9" t="s">
        <v>199</v>
      </c>
      <c r="F83" s="9" t="s">
        <v>272</v>
      </c>
      <c r="G83" s="9" t="s">
        <v>273</v>
      </c>
      <c r="H83" s="9" t="s">
        <v>20</v>
      </c>
      <c r="I83" s="9" t="s">
        <v>162</v>
      </c>
      <c r="J83" s="9" t="s">
        <v>163</v>
      </c>
    </row>
    <row r="84" customFormat="false" ht="15" hidden="false" customHeight="false" outlineLevel="0" collapsed="false">
      <c r="A84" s="9" t="s">
        <v>286</v>
      </c>
      <c r="B84" s="9" t="s">
        <v>270</v>
      </c>
      <c r="C84" s="9" t="s">
        <v>271</v>
      </c>
      <c r="D84" s="9" t="s">
        <v>201</v>
      </c>
      <c r="E84" s="9" t="s">
        <v>202</v>
      </c>
      <c r="F84" s="9" t="s">
        <v>272</v>
      </c>
      <c r="G84" s="9" t="s">
        <v>273</v>
      </c>
      <c r="H84" s="9" t="s">
        <v>20</v>
      </c>
      <c r="I84" s="9" t="s">
        <v>162</v>
      </c>
      <c r="J84" s="9" t="s">
        <v>163</v>
      </c>
    </row>
    <row r="85" customFormat="false" ht="15" hidden="false" customHeight="false" outlineLevel="0" collapsed="false">
      <c r="A85" s="9" t="s">
        <v>287</v>
      </c>
      <c r="B85" s="9" t="s">
        <v>270</v>
      </c>
      <c r="C85" s="9" t="s">
        <v>271</v>
      </c>
      <c r="D85" s="9" t="s">
        <v>204</v>
      </c>
      <c r="E85" s="9" t="s">
        <v>205</v>
      </c>
      <c r="F85" s="9" t="s">
        <v>272</v>
      </c>
      <c r="G85" s="9" t="s">
        <v>273</v>
      </c>
      <c r="H85" s="9" t="s">
        <v>20</v>
      </c>
      <c r="I85" s="9" t="s">
        <v>162</v>
      </c>
      <c r="J85" s="9" t="s">
        <v>163</v>
      </c>
    </row>
    <row r="86" customFormat="false" ht="15" hidden="false" customHeight="false" outlineLevel="0" collapsed="false">
      <c r="A86" s="9" t="s">
        <v>288</v>
      </c>
      <c r="B86" s="9" t="s">
        <v>270</v>
      </c>
      <c r="C86" s="9" t="s">
        <v>271</v>
      </c>
      <c r="D86" s="9" t="s">
        <v>207</v>
      </c>
      <c r="E86" s="9" t="s">
        <v>208</v>
      </c>
      <c r="F86" s="9" t="s">
        <v>272</v>
      </c>
      <c r="G86" s="9" t="s">
        <v>273</v>
      </c>
      <c r="H86" s="9" t="s">
        <v>20</v>
      </c>
      <c r="I86" s="9" t="s">
        <v>162</v>
      </c>
      <c r="J86" s="9" t="s">
        <v>163</v>
      </c>
    </row>
    <row r="87" customFormat="false" ht="15" hidden="false" customHeight="false" outlineLevel="0" collapsed="false">
      <c r="A87" s="9" t="s">
        <v>289</v>
      </c>
      <c r="B87" s="9" t="s">
        <v>290</v>
      </c>
      <c r="C87" s="9" t="s">
        <v>291</v>
      </c>
      <c r="D87" s="9" t="s">
        <v>158</v>
      </c>
      <c r="E87" s="9" t="s">
        <v>159</v>
      </c>
      <c r="F87" s="9" t="s">
        <v>292</v>
      </c>
      <c r="G87" s="9" t="s">
        <v>293</v>
      </c>
      <c r="H87" s="9" t="s">
        <v>20</v>
      </c>
      <c r="I87" s="9" t="s">
        <v>162</v>
      </c>
      <c r="J87" s="9" t="s">
        <v>163</v>
      </c>
    </row>
    <row r="88" customFormat="false" ht="15" hidden="false" customHeight="false" outlineLevel="0" collapsed="false">
      <c r="A88" s="9" t="s">
        <v>294</v>
      </c>
      <c r="B88" s="9" t="s">
        <v>290</v>
      </c>
      <c r="C88" s="9" t="s">
        <v>291</v>
      </c>
      <c r="D88" s="9" t="s">
        <v>165</v>
      </c>
      <c r="E88" s="9" t="s">
        <v>166</v>
      </c>
      <c r="F88" s="9" t="s">
        <v>292</v>
      </c>
      <c r="G88" s="9" t="s">
        <v>293</v>
      </c>
      <c r="H88" s="9" t="s">
        <v>20</v>
      </c>
      <c r="I88" s="9" t="s">
        <v>162</v>
      </c>
      <c r="J88" s="9" t="s">
        <v>163</v>
      </c>
    </row>
    <row r="89" customFormat="false" ht="15" hidden="false" customHeight="false" outlineLevel="0" collapsed="false">
      <c r="A89" s="9" t="s">
        <v>295</v>
      </c>
      <c r="B89" s="9" t="s">
        <v>290</v>
      </c>
      <c r="C89" s="9" t="s">
        <v>291</v>
      </c>
      <c r="D89" s="9" t="s">
        <v>168</v>
      </c>
      <c r="E89" s="9" t="s">
        <v>169</v>
      </c>
      <c r="F89" s="9" t="s">
        <v>292</v>
      </c>
      <c r="G89" s="9" t="s">
        <v>293</v>
      </c>
      <c r="H89" s="9" t="s">
        <v>20</v>
      </c>
      <c r="I89" s="9" t="s">
        <v>162</v>
      </c>
      <c r="J89" s="9" t="s">
        <v>163</v>
      </c>
    </row>
    <row r="90" customFormat="false" ht="15" hidden="false" customHeight="false" outlineLevel="0" collapsed="false">
      <c r="A90" s="9" t="s">
        <v>296</v>
      </c>
      <c r="B90" s="9" t="s">
        <v>290</v>
      </c>
      <c r="C90" s="9" t="s">
        <v>291</v>
      </c>
      <c r="D90" s="9" t="s">
        <v>171</v>
      </c>
      <c r="E90" s="9" t="s">
        <v>172</v>
      </c>
      <c r="F90" s="9" t="s">
        <v>292</v>
      </c>
      <c r="G90" s="9" t="s">
        <v>293</v>
      </c>
      <c r="H90" s="9" t="s">
        <v>20</v>
      </c>
      <c r="I90" s="9" t="s">
        <v>162</v>
      </c>
      <c r="J90" s="9" t="s">
        <v>163</v>
      </c>
    </row>
    <row r="91" customFormat="false" ht="15" hidden="false" customHeight="false" outlineLevel="0" collapsed="false">
      <c r="A91" s="9" t="s">
        <v>297</v>
      </c>
      <c r="B91" s="9" t="s">
        <v>290</v>
      </c>
      <c r="C91" s="9" t="s">
        <v>291</v>
      </c>
      <c r="D91" s="9" t="s">
        <v>174</v>
      </c>
      <c r="E91" s="9" t="s">
        <v>175</v>
      </c>
      <c r="F91" s="9" t="s">
        <v>292</v>
      </c>
      <c r="G91" s="9" t="s">
        <v>293</v>
      </c>
      <c r="H91" s="9" t="s">
        <v>20</v>
      </c>
      <c r="I91" s="9" t="s">
        <v>162</v>
      </c>
      <c r="J91" s="9" t="s">
        <v>163</v>
      </c>
    </row>
    <row r="92" customFormat="false" ht="15" hidden="false" customHeight="false" outlineLevel="0" collapsed="false">
      <c r="A92" s="9" t="s">
        <v>298</v>
      </c>
      <c r="B92" s="9" t="s">
        <v>290</v>
      </c>
      <c r="C92" s="9" t="s">
        <v>291</v>
      </c>
      <c r="D92" s="9" t="s">
        <v>177</v>
      </c>
      <c r="E92" s="9" t="s">
        <v>178</v>
      </c>
      <c r="F92" s="9" t="s">
        <v>292</v>
      </c>
      <c r="G92" s="9" t="s">
        <v>293</v>
      </c>
      <c r="H92" s="9" t="s">
        <v>20</v>
      </c>
      <c r="I92" s="9" t="s">
        <v>162</v>
      </c>
      <c r="J92" s="9" t="s">
        <v>163</v>
      </c>
    </row>
    <row r="93" customFormat="false" ht="15" hidden="false" customHeight="false" outlineLevel="0" collapsed="false">
      <c r="A93" s="9" t="s">
        <v>299</v>
      </c>
      <c r="B93" s="9" t="s">
        <v>290</v>
      </c>
      <c r="C93" s="9" t="s">
        <v>291</v>
      </c>
      <c r="D93" s="9" t="s">
        <v>180</v>
      </c>
      <c r="E93" s="9" t="s">
        <v>181</v>
      </c>
      <c r="F93" s="9" t="s">
        <v>292</v>
      </c>
      <c r="G93" s="9" t="s">
        <v>293</v>
      </c>
      <c r="H93" s="9" t="s">
        <v>20</v>
      </c>
      <c r="I93" s="9" t="s">
        <v>162</v>
      </c>
      <c r="J93" s="9" t="s">
        <v>163</v>
      </c>
    </row>
    <row r="94" customFormat="false" ht="15" hidden="false" customHeight="false" outlineLevel="0" collapsed="false">
      <c r="A94" s="9" t="s">
        <v>300</v>
      </c>
      <c r="B94" s="9" t="s">
        <v>290</v>
      </c>
      <c r="C94" s="9" t="s">
        <v>291</v>
      </c>
      <c r="D94" s="9" t="s">
        <v>183</v>
      </c>
      <c r="E94" s="9" t="s">
        <v>184</v>
      </c>
      <c r="F94" s="9" t="s">
        <v>292</v>
      </c>
      <c r="G94" s="9" t="s">
        <v>293</v>
      </c>
      <c r="H94" s="9" t="s">
        <v>20</v>
      </c>
      <c r="I94" s="9" t="s">
        <v>162</v>
      </c>
      <c r="J94" s="9" t="s">
        <v>163</v>
      </c>
    </row>
    <row r="95" customFormat="false" ht="15" hidden="false" customHeight="false" outlineLevel="0" collapsed="false">
      <c r="A95" s="9" t="s">
        <v>301</v>
      </c>
      <c r="B95" s="9" t="s">
        <v>290</v>
      </c>
      <c r="C95" s="9" t="s">
        <v>291</v>
      </c>
      <c r="D95" s="9" t="s">
        <v>186</v>
      </c>
      <c r="E95" s="9" t="s">
        <v>187</v>
      </c>
      <c r="F95" s="9" t="s">
        <v>292</v>
      </c>
      <c r="G95" s="9" t="s">
        <v>293</v>
      </c>
      <c r="H95" s="9" t="s">
        <v>20</v>
      </c>
      <c r="I95" s="9" t="s">
        <v>162</v>
      </c>
      <c r="J95" s="9" t="s">
        <v>163</v>
      </c>
    </row>
    <row r="96" customFormat="false" ht="15" hidden="false" customHeight="false" outlineLevel="0" collapsed="false">
      <c r="A96" s="9" t="s">
        <v>302</v>
      </c>
      <c r="B96" s="9" t="s">
        <v>290</v>
      </c>
      <c r="C96" s="9" t="s">
        <v>291</v>
      </c>
      <c r="D96" s="9" t="s">
        <v>189</v>
      </c>
      <c r="E96" s="9" t="s">
        <v>190</v>
      </c>
      <c r="F96" s="9" t="s">
        <v>292</v>
      </c>
      <c r="G96" s="9" t="s">
        <v>293</v>
      </c>
      <c r="H96" s="9" t="s">
        <v>20</v>
      </c>
      <c r="I96" s="9" t="s">
        <v>162</v>
      </c>
      <c r="J96" s="9" t="s">
        <v>163</v>
      </c>
    </row>
    <row r="97" customFormat="false" ht="15" hidden="false" customHeight="false" outlineLevel="0" collapsed="false">
      <c r="A97" s="9" t="s">
        <v>303</v>
      </c>
      <c r="B97" s="9" t="s">
        <v>290</v>
      </c>
      <c r="C97" s="9" t="s">
        <v>291</v>
      </c>
      <c r="D97" s="9" t="s">
        <v>192</v>
      </c>
      <c r="E97" s="9" t="s">
        <v>193</v>
      </c>
      <c r="F97" s="9" t="s">
        <v>292</v>
      </c>
      <c r="G97" s="9" t="s">
        <v>293</v>
      </c>
      <c r="H97" s="9" t="s">
        <v>20</v>
      </c>
      <c r="I97" s="9" t="s">
        <v>162</v>
      </c>
      <c r="J97" s="9" t="s">
        <v>163</v>
      </c>
    </row>
    <row r="98" customFormat="false" ht="15" hidden="false" customHeight="false" outlineLevel="0" collapsed="false">
      <c r="A98" s="9" t="s">
        <v>304</v>
      </c>
      <c r="B98" s="9" t="s">
        <v>290</v>
      </c>
      <c r="C98" s="9" t="s">
        <v>291</v>
      </c>
      <c r="D98" s="9" t="s">
        <v>195</v>
      </c>
      <c r="E98" s="9" t="s">
        <v>196</v>
      </c>
      <c r="F98" s="9" t="s">
        <v>292</v>
      </c>
      <c r="G98" s="9" t="s">
        <v>293</v>
      </c>
      <c r="H98" s="9" t="s">
        <v>20</v>
      </c>
      <c r="I98" s="9" t="s">
        <v>162</v>
      </c>
      <c r="J98" s="9" t="s">
        <v>163</v>
      </c>
    </row>
    <row r="99" customFormat="false" ht="15" hidden="false" customHeight="false" outlineLevel="0" collapsed="false">
      <c r="A99" s="9" t="s">
        <v>305</v>
      </c>
      <c r="B99" s="9" t="s">
        <v>290</v>
      </c>
      <c r="C99" s="9" t="s">
        <v>291</v>
      </c>
      <c r="D99" s="9" t="s">
        <v>198</v>
      </c>
      <c r="E99" s="9" t="s">
        <v>199</v>
      </c>
      <c r="F99" s="9" t="s">
        <v>292</v>
      </c>
      <c r="G99" s="9" t="s">
        <v>293</v>
      </c>
      <c r="H99" s="9" t="s">
        <v>20</v>
      </c>
      <c r="I99" s="9" t="s">
        <v>162</v>
      </c>
      <c r="J99" s="9" t="s">
        <v>163</v>
      </c>
    </row>
    <row r="100" customFormat="false" ht="15" hidden="false" customHeight="false" outlineLevel="0" collapsed="false">
      <c r="A100" s="9" t="s">
        <v>306</v>
      </c>
      <c r="B100" s="9" t="s">
        <v>290</v>
      </c>
      <c r="C100" s="9" t="s">
        <v>291</v>
      </c>
      <c r="D100" s="9" t="s">
        <v>201</v>
      </c>
      <c r="E100" s="9" t="s">
        <v>202</v>
      </c>
      <c r="F100" s="9" t="s">
        <v>292</v>
      </c>
      <c r="G100" s="9" t="s">
        <v>293</v>
      </c>
      <c r="H100" s="9" t="s">
        <v>20</v>
      </c>
      <c r="I100" s="9" t="s">
        <v>162</v>
      </c>
      <c r="J100" s="9" t="s">
        <v>163</v>
      </c>
    </row>
    <row r="101" customFormat="false" ht="15" hidden="false" customHeight="false" outlineLevel="0" collapsed="false">
      <c r="A101" s="9" t="s">
        <v>307</v>
      </c>
      <c r="B101" s="9" t="s">
        <v>290</v>
      </c>
      <c r="C101" s="9" t="s">
        <v>291</v>
      </c>
      <c r="D101" s="9" t="s">
        <v>204</v>
      </c>
      <c r="E101" s="9" t="s">
        <v>205</v>
      </c>
      <c r="F101" s="9" t="s">
        <v>292</v>
      </c>
      <c r="G101" s="9" t="s">
        <v>293</v>
      </c>
      <c r="H101" s="9" t="s">
        <v>20</v>
      </c>
      <c r="I101" s="9" t="s">
        <v>162</v>
      </c>
      <c r="J101" s="9" t="s">
        <v>163</v>
      </c>
    </row>
    <row r="102" customFormat="false" ht="15" hidden="false" customHeight="false" outlineLevel="0" collapsed="false">
      <c r="A102" s="12" t="s">
        <v>308</v>
      </c>
      <c r="B102" s="12" t="s">
        <v>290</v>
      </c>
      <c r="C102" s="12" t="s">
        <v>291</v>
      </c>
      <c r="D102" s="12" t="s">
        <v>207</v>
      </c>
      <c r="E102" s="12" t="s">
        <v>208</v>
      </c>
      <c r="F102" s="12" t="s">
        <v>292</v>
      </c>
      <c r="G102" s="12" t="s">
        <v>293</v>
      </c>
      <c r="H102" s="12" t="s">
        <v>20</v>
      </c>
      <c r="I102" s="12" t="s">
        <v>162</v>
      </c>
      <c r="J102" s="12" t="s">
        <v>163</v>
      </c>
    </row>
  </sheetData>
  <mergeCells count="2">
    <mergeCell ref="A2:J2"/>
    <mergeCell ref="A4:J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1"/>
    <col collapsed="false" customWidth="true" hidden="false" outlineLevel="0" max="3" min="3" style="0" width="15"/>
    <col collapsed="false" customWidth="true" hidden="false" outlineLevel="0" max="4" min="4" style="0" width="42"/>
    <col collapsed="false" customWidth="true" hidden="false" outlineLevel="0" max="5" min="5" style="0" width="66"/>
    <col collapsed="false" customWidth="true" hidden="false" outlineLevel="0" max="7" min="6" style="0" width="20"/>
    <col collapsed="false" customWidth="true" hidden="false" outlineLevel="0" max="8" min="8" style="0" width="65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1" min="11" style="0" width="17"/>
  </cols>
  <sheetData>
    <row r="2" customFormat="false" ht="24" hidden="false" customHeight="true" outlineLevel="0" collapsed="false">
      <c r="A2" s="1" t="s">
        <v>309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15" hidden="false" customHeight="false" outlineLevel="0" collapsed="false">
      <c r="A4" s="3" t="s">
        <v>310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 customFormat="false" ht="23" hidden="false" customHeight="true" outlineLevel="0" collapsed="false">
      <c r="A6" s="5" t="s">
        <v>147</v>
      </c>
      <c r="B6" s="6" t="s">
        <v>148</v>
      </c>
      <c r="C6" s="6" t="s">
        <v>311</v>
      </c>
      <c r="D6" s="6" t="s">
        <v>151</v>
      </c>
      <c r="E6" s="6" t="s">
        <v>312</v>
      </c>
      <c r="F6" s="6" t="s">
        <v>313</v>
      </c>
      <c r="G6" s="6" t="s">
        <v>314</v>
      </c>
      <c r="H6" s="6" t="s">
        <v>315</v>
      </c>
      <c r="I6" s="6" t="s">
        <v>316</v>
      </c>
      <c r="J6" s="6" t="s">
        <v>317</v>
      </c>
      <c r="K6" s="7" t="s">
        <v>318</v>
      </c>
    </row>
    <row r="7" customFormat="false" ht="15" hidden="false" customHeight="false" outlineLevel="0" collapsed="false">
      <c r="A7" s="8" t="s">
        <v>156</v>
      </c>
      <c r="B7" s="8" t="s">
        <v>157</v>
      </c>
      <c r="C7" s="8" t="s">
        <v>319</v>
      </c>
      <c r="D7" s="8" t="s">
        <v>160</v>
      </c>
      <c r="E7" s="8" t="s">
        <v>161</v>
      </c>
      <c r="F7" s="8" t="s">
        <v>320</v>
      </c>
      <c r="G7" s="27" t="n">
        <v>1.024</v>
      </c>
      <c r="H7" s="8" t="s">
        <v>321</v>
      </c>
      <c r="I7" s="28" t="n">
        <v>0.50047461808185</v>
      </c>
      <c r="J7" s="8" t="s">
        <v>20</v>
      </c>
      <c r="K7" s="29" t="s">
        <v>69</v>
      </c>
    </row>
    <row r="8" customFormat="false" ht="15" hidden="false" customHeight="false" outlineLevel="0" collapsed="false">
      <c r="A8" s="9" t="s">
        <v>210</v>
      </c>
      <c r="B8" s="9" t="s">
        <v>211</v>
      </c>
      <c r="C8" s="9" t="s">
        <v>322</v>
      </c>
      <c r="D8" s="9" t="s">
        <v>212</v>
      </c>
      <c r="E8" s="9" t="s">
        <v>213</v>
      </c>
      <c r="F8" s="9" t="s">
        <v>323</v>
      </c>
      <c r="G8" s="30" t="n">
        <v>1</v>
      </c>
      <c r="H8" s="9" t="s">
        <v>324</v>
      </c>
      <c r="I8" s="31" t="n">
        <v>0.51649348177396</v>
      </c>
      <c r="J8" s="9" t="s">
        <v>20</v>
      </c>
      <c r="K8" s="11" t="s">
        <v>69</v>
      </c>
    </row>
    <row r="9" customFormat="false" ht="15" hidden="false" customHeight="false" outlineLevel="0" collapsed="false">
      <c r="A9" s="9" t="s">
        <v>230</v>
      </c>
      <c r="B9" s="9" t="s">
        <v>231</v>
      </c>
      <c r="C9" s="9" t="s">
        <v>325</v>
      </c>
      <c r="D9" s="9" t="s">
        <v>232</v>
      </c>
      <c r="E9" s="9" t="s">
        <v>233</v>
      </c>
      <c r="F9" s="9" t="s">
        <v>320</v>
      </c>
      <c r="G9" s="30" t="n">
        <v>1.024</v>
      </c>
      <c r="H9" s="9" t="s">
        <v>326</v>
      </c>
      <c r="I9" s="31" t="n">
        <v>0.307221654067133</v>
      </c>
      <c r="J9" s="9" t="s">
        <v>20</v>
      </c>
      <c r="K9" s="11" t="s">
        <v>69</v>
      </c>
    </row>
    <row r="10" customFormat="false" ht="15" hidden="false" customHeight="false" outlineLevel="0" collapsed="false">
      <c r="A10" s="9" t="s">
        <v>250</v>
      </c>
      <c r="B10" s="9" t="s">
        <v>251</v>
      </c>
      <c r="C10" s="9" t="s">
        <v>327</v>
      </c>
      <c r="D10" s="9" t="s">
        <v>252</v>
      </c>
      <c r="E10" s="9" t="s">
        <v>253</v>
      </c>
      <c r="F10" s="9" t="s">
        <v>323</v>
      </c>
      <c r="G10" s="30" t="n">
        <v>1.066</v>
      </c>
      <c r="H10" s="9" t="s">
        <v>328</v>
      </c>
      <c r="I10" s="31" t="n">
        <v>0.899412819320565</v>
      </c>
      <c r="J10" s="9" t="s">
        <v>20</v>
      </c>
      <c r="K10" s="11" t="s">
        <v>69</v>
      </c>
    </row>
    <row r="11" customFormat="false" ht="15" hidden="false" customHeight="false" outlineLevel="0" collapsed="false">
      <c r="A11" s="9" t="s">
        <v>270</v>
      </c>
      <c r="B11" s="9" t="s">
        <v>271</v>
      </c>
      <c r="C11" s="9" t="s">
        <v>329</v>
      </c>
      <c r="D11" s="9" t="s">
        <v>272</v>
      </c>
      <c r="E11" s="9" t="s">
        <v>273</v>
      </c>
      <c r="F11" s="9" t="s">
        <v>330</v>
      </c>
      <c r="G11" s="30" t="n">
        <v>1.008</v>
      </c>
      <c r="H11" s="9" t="s">
        <v>331</v>
      </c>
      <c r="I11" s="31" t="n">
        <v>0.860712452941095</v>
      </c>
      <c r="J11" s="9" t="s">
        <v>20</v>
      </c>
      <c r="K11" s="11" t="s">
        <v>69</v>
      </c>
    </row>
    <row r="12" customFormat="false" ht="15" hidden="false" customHeight="false" outlineLevel="0" collapsed="false">
      <c r="A12" s="12" t="s">
        <v>290</v>
      </c>
      <c r="B12" s="12" t="s">
        <v>291</v>
      </c>
      <c r="C12" s="12" t="s">
        <v>332</v>
      </c>
      <c r="D12" s="12" t="s">
        <v>292</v>
      </c>
      <c r="E12" s="12" t="s">
        <v>293</v>
      </c>
      <c r="F12" s="12" t="s">
        <v>323</v>
      </c>
      <c r="G12" s="32" t="n">
        <v>1.00645161290323</v>
      </c>
      <c r="H12" s="12" t="s">
        <v>333</v>
      </c>
      <c r="I12" s="33" t="n">
        <v>0.502597793135963</v>
      </c>
      <c r="J12" s="12" t="s">
        <v>20</v>
      </c>
      <c r="K12" s="14" t="s">
        <v>69</v>
      </c>
    </row>
  </sheetData>
  <mergeCells count="2">
    <mergeCell ref="A2:K2"/>
    <mergeCell ref="A4:K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1"/>
    <col collapsed="false" customWidth="true" hidden="false" outlineLevel="0" max="3" min="3" style="0" width="22"/>
    <col collapsed="false" customWidth="true" hidden="false" outlineLevel="0" max="4" min="4" style="0" width="15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7" min="7" style="0" width="17"/>
    <col collapsed="false" customWidth="true" hidden="false" outlineLevel="0" max="8" min="8" style="0" width="23"/>
    <col collapsed="false" customWidth="true" hidden="false" outlineLevel="0" max="9" min="9" style="0" width="21"/>
    <col collapsed="false" customWidth="true" hidden="false" outlineLevel="0" max="10" min="10" style="0" width="16"/>
    <col collapsed="false" customWidth="true" hidden="false" outlineLevel="0" max="11" min="11" style="0" width="24"/>
    <col collapsed="false" customWidth="true" hidden="false" outlineLevel="0" max="12" min="12" style="0" width="18"/>
  </cols>
  <sheetData>
    <row r="2" customFormat="false" ht="24" hidden="false" customHeight="true" outlineLevel="0" collapsed="false">
      <c r="A2" s="1" t="s">
        <v>334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3" t="s">
        <v>335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customFormat="false" ht="23" hidden="false" customHeight="true" outlineLevel="0" collapsed="false">
      <c r="A6" s="5" t="s">
        <v>147</v>
      </c>
      <c r="B6" s="6" t="s">
        <v>148</v>
      </c>
      <c r="C6" s="6" t="s">
        <v>336</v>
      </c>
      <c r="D6" s="6" t="s">
        <v>337</v>
      </c>
      <c r="E6" s="6" t="s">
        <v>338</v>
      </c>
      <c r="F6" s="6" t="s">
        <v>339</v>
      </c>
      <c r="G6" s="6" t="s">
        <v>340</v>
      </c>
      <c r="H6" s="6" t="s">
        <v>341</v>
      </c>
      <c r="I6" s="6" t="s">
        <v>313</v>
      </c>
      <c r="J6" s="6" t="s">
        <v>342</v>
      </c>
      <c r="K6" s="6" t="s">
        <v>5</v>
      </c>
      <c r="L6" s="7" t="s">
        <v>343</v>
      </c>
    </row>
    <row r="7" customFormat="false" ht="15" hidden="false" customHeight="false" outlineLevel="0" collapsed="false">
      <c r="A7" s="8" t="s">
        <v>156</v>
      </c>
      <c r="B7" s="8" t="s">
        <v>157</v>
      </c>
      <c r="C7" s="34" t="n">
        <v>102000</v>
      </c>
      <c r="D7" s="34" t="n">
        <v>96</v>
      </c>
      <c r="E7" s="34" t="n">
        <v>4200</v>
      </c>
      <c r="F7" s="34" t="n">
        <v>1200</v>
      </c>
      <c r="G7" s="34" t="s">
        <v>344</v>
      </c>
      <c r="H7" s="34" t="n">
        <v>6</v>
      </c>
      <c r="I7" s="34" t="s">
        <v>320</v>
      </c>
      <c r="J7" s="34" t="n">
        <v>1.024</v>
      </c>
      <c r="K7" s="8" t="s">
        <v>345</v>
      </c>
      <c r="L7" s="8" t="s">
        <v>162</v>
      </c>
    </row>
    <row r="8" customFormat="false" ht="15" hidden="false" customHeight="false" outlineLevel="0" collapsed="false">
      <c r="A8" s="9" t="s">
        <v>210</v>
      </c>
      <c r="B8" s="9" t="s">
        <v>211</v>
      </c>
      <c r="C8" s="10" t="n">
        <v>31000</v>
      </c>
      <c r="D8" s="10" t="n">
        <v>42</v>
      </c>
      <c r="E8" s="10" t="n">
        <v>5200</v>
      </c>
      <c r="F8" s="10" t="n">
        <v>220</v>
      </c>
      <c r="G8" s="10" t="s">
        <v>344</v>
      </c>
      <c r="H8" s="10" t="n">
        <v>8</v>
      </c>
      <c r="I8" s="10" t="s">
        <v>323</v>
      </c>
      <c r="J8" s="10" t="n">
        <v>1</v>
      </c>
      <c r="K8" s="9" t="s">
        <v>345</v>
      </c>
      <c r="L8" s="9" t="s">
        <v>162</v>
      </c>
    </row>
    <row r="9" customFormat="false" ht="15" hidden="false" customHeight="false" outlineLevel="0" collapsed="false">
      <c r="A9" s="9" t="s">
        <v>230</v>
      </c>
      <c r="B9" s="9" t="s">
        <v>231</v>
      </c>
      <c r="C9" s="10" t="n">
        <v>54000</v>
      </c>
      <c r="D9" s="10" t="n">
        <v>140</v>
      </c>
      <c r="E9" s="10" t="n">
        <v>12300</v>
      </c>
      <c r="F9" s="10" t="n">
        <v>900</v>
      </c>
      <c r="G9" s="10" t="s">
        <v>344</v>
      </c>
      <c r="H9" s="10" t="n">
        <v>8</v>
      </c>
      <c r="I9" s="10" t="s">
        <v>320</v>
      </c>
      <c r="J9" s="10" t="n">
        <v>1.024</v>
      </c>
      <c r="K9" s="9" t="s">
        <v>345</v>
      </c>
      <c r="L9" s="9" t="s">
        <v>162</v>
      </c>
    </row>
    <row r="10" customFormat="false" ht="15" hidden="false" customHeight="false" outlineLevel="0" collapsed="false">
      <c r="A10" s="9" t="s">
        <v>250</v>
      </c>
      <c r="B10" s="9" t="s">
        <v>251</v>
      </c>
      <c r="C10" s="10" t="n">
        <v>124300</v>
      </c>
      <c r="D10" s="10" t="n">
        <v>40</v>
      </c>
      <c r="E10" s="10" t="n">
        <v>5330</v>
      </c>
      <c r="F10" s="10" t="n">
        <v>80000</v>
      </c>
      <c r="G10" s="10" t="s">
        <v>346</v>
      </c>
      <c r="H10" s="10" t="n">
        <v>8</v>
      </c>
      <c r="I10" s="10" t="s">
        <v>323</v>
      </c>
      <c r="J10" s="10" t="n">
        <v>1.066</v>
      </c>
      <c r="K10" s="9" t="s">
        <v>345</v>
      </c>
      <c r="L10" s="9" t="s">
        <v>162</v>
      </c>
    </row>
    <row r="11" customFormat="false" ht="15" hidden="false" customHeight="false" outlineLevel="0" collapsed="false">
      <c r="A11" s="9" t="s">
        <v>270</v>
      </c>
      <c r="B11" s="9" t="s">
        <v>271</v>
      </c>
      <c r="C11" s="10" t="n">
        <v>50000</v>
      </c>
      <c r="D11" s="10" t="n">
        <v>52</v>
      </c>
      <c r="E11" s="10" t="n">
        <v>8500</v>
      </c>
      <c r="F11" s="10" t="n">
        <v>350</v>
      </c>
      <c r="G11" s="10" t="s">
        <v>344</v>
      </c>
      <c r="H11" s="10" t="n">
        <v>8</v>
      </c>
      <c r="I11" s="10" t="s">
        <v>330</v>
      </c>
      <c r="J11" s="10" t="n">
        <v>1.008</v>
      </c>
      <c r="K11" s="9" t="s">
        <v>345</v>
      </c>
      <c r="L11" s="9" t="s">
        <v>162</v>
      </c>
    </row>
    <row r="12" customFormat="false" ht="15" hidden="false" customHeight="false" outlineLevel="0" collapsed="false">
      <c r="A12" s="12" t="s">
        <v>290</v>
      </c>
      <c r="B12" s="12" t="s">
        <v>291</v>
      </c>
      <c r="C12" s="13" t="n">
        <v>72000</v>
      </c>
      <c r="D12" s="13" t="n">
        <v>155</v>
      </c>
      <c r="E12" s="13" t="n">
        <v>8300</v>
      </c>
      <c r="F12" s="13" t="n">
        <v>1200</v>
      </c>
      <c r="G12" s="13" t="s">
        <v>344</v>
      </c>
      <c r="H12" s="13" t="n">
        <v>9</v>
      </c>
      <c r="I12" s="13" t="s">
        <v>323</v>
      </c>
      <c r="J12" s="13" t="n">
        <v>1.00645161290323</v>
      </c>
      <c r="K12" s="12" t="s">
        <v>345</v>
      </c>
      <c r="L12" s="12" t="s">
        <v>162</v>
      </c>
    </row>
  </sheetData>
  <mergeCells count="2">
    <mergeCell ref="A2:L2"/>
    <mergeCell ref="A4:L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"/>
    <col collapsed="false" customWidth="true" hidden="false" outlineLevel="0" max="3" min="3" style="0" width="18"/>
    <col collapsed="false" customWidth="true" hidden="false" outlineLevel="0" max="4" min="4" style="0" width="38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7" min="7" style="0" width="13"/>
    <col collapsed="false" customWidth="true" hidden="false" outlineLevel="0" max="8" min="8" style="0" width="21"/>
    <col collapsed="false" customWidth="true" hidden="false" outlineLevel="0" max="9" min="9" style="0" width="48"/>
    <col collapsed="false" customWidth="true" hidden="false" outlineLevel="0" max="10" min="10" style="0" width="20"/>
    <col collapsed="false" customWidth="true" hidden="false" outlineLevel="0" max="11" min="11" style="0" width="19"/>
    <col collapsed="false" customWidth="true" hidden="false" outlineLevel="0" max="12" min="12" style="0" width="13"/>
  </cols>
  <sheetData>
    <row r="2" customFormat="false" ht="24" hidden="false" customHeight="true" outlineLevel="0" collapsed="false">
      <c r="A2" s="1" t="s">
        <v>347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3" t="s">
        <v>348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customFormat="false" ht="23" hidden="false" customHeight="true" outlineLevel="0" collapsed="false">
      <c r="A6" s="5" t="s">
        <v>349</v>
      </c>
      <c r="B6" s="6" t="s">
        <v>148</v>
      </c>
      <c r="C6" s="6" t="s">
        <v>350</v>
      </c>
      <c r="D6" s="6" t="s">
        <v>351</v>
      </c>
      <c r="E6" s="6" t="s">
        <v>352</v>
      </c>
      <c r="F6" s="6" t="s">
        <v>4</v>
      </c>
      <c r="G6" s="6" t="s">
        <v>353</v>
      </c>
      <c r="H6" s="6" t="s">
        <v>354</v>
      </c>
      <c r="I6" s="6" t="s">
        <v>355</v>
      </c>
      <c r="J6" s="6" t="s">
        <v>317</v>
      </c>
      <c r="K6" s="6" t="s">
        <v>356</v>
      </c>
      <c r="L6" s="7" t="s">
        <v>357</v>
      </c>
    </row>
    <row r="7" customFormat="false" ht="15" hidden="false" customHeight="false" outlineLevel="0" collapsed="false">
      <c r="A7" s="8" t="s">
        <v>358</v>
      </c>
      <c r="B7" s="8" t="s">
        <v>157</v>
      </c>
      <c r="C7" s="8" t="s">
        <v>359</v>
      </c>
      <c r="D7" s="8" t="s">
        <v>360</v>
      </c>
      <c r="E7" s="34" t="n">
        <v>5630</v>
      </c>
      <c r="F7" s="8" t="s">
        <v>344</v>
      </c>
      <c r="G7" s="8" t="s">
        <v>361</v>
      </c>
      <c r="H7" s="8" t="s">
        <v>362</v>
      </c>
      <c r="I7" s="8" t="s">
        <v>363</v>
      </c>
      <c r="J7" s="8" t="s">
        <v>29</v>
      </c>
      <c r="K7" s="29" t="s">
        <v>63</v>
      </c>
      <c r="L7" s="29" t="n">
        <v>0</v>
      </c>
    </row>
    <row r="8" customFormat="false" ht="15" hidden="false" customHeight="false" outlineLevel="0" collapsed="false">
      <c r="A8" s="9" t="s">
        <v>364</v>
      </c>
      <c r="B8" s="9" t="s">
        <v>157</v>
      </c>
      <c r="C8" s="9" t="s">
        <v>365</v>
      </c>
      <c r="D8" s="9" t="s">
        <v>366</v>
      </c>
      <c r="E8" s="10" t="n">
        <v>600</v>
      </c>
      <c r="F8" s="9" t="s">
        <v>367</v>
      </c>
      <c r="G8" s="9" t="s">
        <v>361</v>
      </c>
      <c r="H8" s="9" t="s">
        <v>368</v>
      </c>
      <c r="I8" s="9" t="s">
        <v>369</v>
      </c>
      <c r="J8" s="9" t="s">
        <v>29</v>
      </c>
      <c r="K8" s="11" t="s">
        <v>63</v>
      </c>
      <c r="L8" s="11" t="n">
        <v>0</v>
      </c>
    </row>
    <row r="9" customFormat="false" ht="15" hidden="false" customHeight="false" outlineLevel="0" collapsed="false">
      <c r="A9" s="9" t="s">
        <v>370</v>
      </c>
      <c r="B9" s="9" t="s">
        <v>157</v>
      </c>
      <c r="C9" s="9" t="s">
        <v>371</v>
      </c>
      <c r="D9" s="9" t="s">
        <v>372</v>
      </c>
      <c r="E9" s="10" t="n">
        <v>234.583333333333</v>
      </c>
      <c r="F9" s="9" t="s">
        <v>367</v>
      </c>
      <c r="G9" s="9" t="s">
        <v>361</v>
      </c>
      <c r="H9" s="9" t="s">
        <v>368</v>
      </c>
      <c r="I9" s="9" t="s">
        <v>373</v>
      </c>
      <c r="J9" s="9" t="s">
        <v>29</v>
      </c>
      <c r="K9" s="11" t="s">
        <v>63</v>
      </c>
      <c r="L9" s="11" t="n">
        <v>0</v>
      </c>
    </row>
    <row r="10" customFormat="false" ht="15" hidden="false" customHeight="false" outlineLevel="0" collapsed="false">
      <c r="A10" s="9" t="s">
        <v>374</v>
      </c>
      <c r="B10" s="9" t="s">
        <v>157</v>
      </c>
      <c r="C10" s="9" t="s">
        <v>375</v>
      </c>
      <c r="D10" s="9" t="s">
        <v>376</v>
      </c>
      <c r="E10" s="10" t="n">
        <v>72</v>
      </c>
      <c r="F10" s="9" t="s">
        <v>377</v>
      </c>
      <c r="G10" s="9" t="s">
        <v>378</v>
      </c>
      <c r="H10" s="9" t="s">
        <v>362</v>
      </c>
      <c r="I10" s="9" t="s">
        <v>379</v>
      </c>
      <c r="J10" s="9" t="s">
        <v>29</v>
      </c>
      <c r="K10" s="11" t="s">
        <v>63</v>
      </c>
      <c r="L10" s="11" t="n">
        <v>0</v>
      </c>
    </row>
    <row r="11" customFormat="false" ht="15" hidden="false" customHeight="false" outlineLevel="0" collapsed="false">
      <c r="A11" s="9" t="s">
        <v>380</v>
      </c>
      <c r="B11" s="9" t="s">
        <v>157</v>
      </c>
      <c r="C11" s="9" t="s">
        <v>381</v>
      </c>
      <c r="D11" s="9" t="s">
        <v>382</v>
      </c>
      <c r="E11" s="10" t="n">
        <v>30</v>
      </c>
      <c r="F11" s="9" t="s">
        <v>383</v>
      </c>
      <c r="G11" s="9" t="s">
        <v>361</v>
      </c>
      <c r="H11" s="9" t="s">
        <v>362</v>
      </c>
      <c r="I11" s="9" t="s">
        <v>384</v>
      </c>
      <c r="J11" s="9" t="s">
        <v>29</v>
      </c>
      <c r="K11" s="11" t="s">
        <v>63</v>
      </c>
      <c r="L11" s="11" t="n">
        <v>0</v>
      </c>
    </row>
    <row r="12" customFormat="false" ht="15" hidden="false" customHeight="false" outlineLevel="0" collapsed="false">
      <c r="A12" s="9" t="s">
        <v>385</v>
      </c>
      <c r="B12" s="9" t="s">
        <v>157</v>
      </c>
      <c r="C12" s="9" t="s">
        <v>386</v>
      </c>
      <c r="D12" s="9" t="s">
        <v>387</v>
      </c>
      <c r="E12" s="10" t="n">
        <v>102000</v>
      </c>
      <c r="F12" s="9" t="s">
        <v>388</v>
      </c>
      <c r="G12" s="9" t="s">
        <v>378</v>
      </c>
      <c r="H12" s="9" t="s">
        <v>389</v>
      </c>
      <c r="I12" s="9" t="s">
        <v>390</v>
      </c>
      <c r="J12" s="9" t="s">
        <v>29</v>
      </c>
      <c r="K12" s="11" t="s">
        <v>63</v>
      </c>
      <c r="L12" s="11" t="n">
        <v>0</v>
      </c>
    </row>
    <row r="13" customFormat="false" ht="15" hidden="false" customHeight="false" outlineLevel="0" collapsed="false">
      <c r="A13" s="9" t="s">
        <v>391</v>
      </c>
      <c r="B13" s="9" t="s">
        <v>157</v>
      </c>
      <c r="C13" s="9" t="s">
        <v>392</v>
      </c>
      <c r="D13" s="9" t="s">
        <v>393</v>
      </c>
      <c r="E13" s="10" t="n">
        <v>96</v>
      </c>
      <c r="F13" s="9" t="s">
        <v>394</v>
      </c>
      <c r="G13" s="9" t="s">
        <v>378</v>
      </c>
      <c r="H13" s="9" t="s">
        <v>389</v>
      </c>
      <c r="I13" s="9" t="s">
        <v>395</v>
      </c>
      <c r="J13" s="9" t="s">
        <v>29</v>
      </c>
      <c r="K13" s="11" t="s">
        <v>63</v>
      </c>
      <c r="L13" s="11" t="n">
        <v>0</v>
      </c>
    </row>
    <row r="14" customFormat="false" ht="15" hidden="false" customHeight="false" outlineLevel="0" collapsed="false">
      <c r="A14" s="9" t="s">
        <v>396</v>
      </c>
      <c r="B14" s="9" t="s">
        <v>157</v>
      </c>
      <c r="C14" s="9" t="s">
        <v>397</v>
      </c>
      <c r="D14" s="9" t="s">
        <v>398</v>
      </c>
      <c r="E14" s="10" t="n">
        <v>3</v>
      </c>
      <c r="F14" s="9" t="s">
        <v>19</v>
      </c>
      <c r="G14" s="9" t="s">
        <v>361</v>
      </c>
      <c r="H14" s="9" t="s">
        <v>362</v>
      </c>
      <c r="I14" s="9" t="s">
        <v>399</v>
      </c>
      <c r="J14" s="9" t="s">
        <v>29</v>
      </c>
      <c r="K14" s="11" t="s">
        <v>63</v>
      </c>
      <c r="L14" s="11" t="n">
        <v>0</v>
      </c>
    </row>
    <row r="15" customFormat="false" ht="15" hidden="false" customHeight="false" outlineLevel="0" collapsed="false">
      <c r="A15" s="9" t="s">
        <v>400</v>
      </c>
      <c r="B15" s="9" t="s">
        <v>157</v>
      </c>
      <c r="C15" s="9" t="s">
        <v>401</v>
      </c>
      <c r="D15" s="9" t="s">
        <v>402</v>
      </c>
      <c r="E15" s="10" t="n">
        <v>6</v>
      </c>
      <c r="F15" s="9" t="s">
        <v>19</v>
      </c>
      <c r="G15" s="9" t="s">
        <v>361</v>
      </c>
      <c r="H15" s="9" t="s">
        <v>362</v>
      </c>
      <c r="I15" s="9" t="s">
        <v>403</v>
      </c>
      <c r="J15" s="9" t="s">
        <v>29</v>
      </c>
      <c r="K15" s="11" t="s">
        <v>63</v>
      </c>
      <c r="L15" s="11" t="n">
        <v>0</v>
      </c>
    </row>
    <row r="16" customFormat="false" ht="15" hidden="false" customHeight="false" outlineLevel="0" collapsed="false">
      <c r="A16" s="9" t="s">
        <v>404</v>
      </c>
      <c r="B16" s="9" t="s">
        <v>157</v>
      </c>
      <c r="C16" s="9" t="s">
        <v>405</v>
      </c>
      <c r="D16" s="9" t="s">
        <v>406</v>
      </c>
      <c r="E16" s="10" t="n">
        <v>1200</v>
      </c>
      <c r="F16" s="9" t="s">
        <v>344</v>
      </c>
      <c r="G16" s="9" t="s">
        <v>361</v>
      </c>
      <c r="H16" s="9" t="s">
        <v>362</v>
      </c>
      <c r="I16" s="9" t="s">
        <v>407</v>
      </c>
      <c r="J16" s="9" t="s">
        <v>29</v>
      </c>
      <c r="K16" s="11" t="s">
        <v>63</v>
      </c>
      <c r="L16" s="11" t="n">
        <v>0</v>
      </c>
    </row>
    <row r="17" customFormat="false" ht="15" hidden="false" customHeight="false" outlineLevel="0" collapsed="false">
      <c r="A17" s="9" t="s">
        <v>408</v>
      </c>
      <c r="B17" s="9" t="s">
        <v>157</v>
      </c>
      <c r="C17" s="9" t="s">
        <v>409</v>
      </c>
      <c r="D17" s="9" t="s">
        <v>410</v>
      </c>
      <c r="E17" s="10" t="n">
        <v>12</v>
      </c>
      <c r="F17" s="9" t="s">
        <v>377</v>
      </c>
      <c r="G17" s="9" t="s">
        <v>361</v>
      </c>
      <c r="H17" s="9" t="s">
        <v>362</v>
      </c>
      <c r="I17" s="9" t="s">
        <v>411</v>
      </c>
      <c r="J17" s="9" t="s">
        <v>29</v>
      </c>
      <c r="K17" s="11" t="s">
        <v>63</v>
      </c>
      <c r="L17" s="11" t="n">
        <v>0</v>
      </c>
    </row>
    <row r="18" customFormat="false" ht="15" hidden="false" customHeight="false" outlineLevel="0" collapsed="false">
      <c r="A18" s="9" t="s">
        <v>412</v>
      </c>
      <c r="B18" s="9" t="s">
        <v>157</v>
      </c>
      <c r="C18" s="9" t="s">
        <v>413</v>
      </c>
      <c r="D18" s="9" t="s">
        <v>414</v>
      </c>
      <c r="E18" s="10" t="n">
        <v>168</v>
      </c>
      <c r="F18" s="9" t="s">
        <v>377</v>
      </c>
      <c r="G18" s="9" t="s">
        <v>378</v>
      </c>
      <c r="H18" s="9" t="s">
        <v>368</v>
      </c>
      <c r="I18" s="9" t="s">
        <v>415</v>
      </c>
      <c r="J18" s="9" t="s">
        <v>29</v>
      </c>
      <c r="K18" s="11" t="s">
        <v>63</v>
      </c>
      <c r="L18" s="11" t="n">
        <v>0</v>
      </c>
    </row>
    <row r="19" customFormat="false" ht="15" hidden="false" customHeight="false" outlineLevel="0" collapsed="false">
      <c r="A19" s="9" t="s">
        <v>416</v>
      </c>
      <c r="B19" s="9" t="s">
        <v>211</v>
      </c>
      <c r="C19" s="9" t="s">
        <v>359</v>
      </c>
      <c r="D19" s="9" t="s">
        <v>417</v>
      </c>
      <c r="E19" s="10" t="n">
        <v>105000</v>
      </c>
      <c r="F19" s="9" t="s">
        <v>418</v>
      </c>
      <c r="G19" s="9" t="s">
        <v>361</v>
      </c>
      <c r="H19" s="9" t="s">
        <v>362</v>
      </c>
      <c r="I19" s="9" t="s">
        <v>419</v>
      </c>
      <c r="J19" s="9" t="s">
        <v>29</v>
      </c>
      <c r="K19" s="11" t="s">
        <v>63</v>
      </c>
      <c r="L19" s="11" t="n">
        <v>0</v>
      </c>
    </row>
    <row r="20" customFormat="false" ht="15" hidden="false" customHeight="false" outlineLevel="0" collapsed="false">
      <c r="A20" s="9" t="s">
        <v>420</v>
      </c>
      <c r="B20" s="9" t="s">
        <v>211</v>
      </c>
      <c r="C20" s="9" t="s">
        <v>359</v>
      </c>
      <c r="D20" s="9" t="s">
        <v>421</v>
      </c>
      <c r="E20" s="10" t="n">
        <v>42800</v>
      </c>
      <c r="F20" s="9" t="s">
        <v>422</v>
      </c>
      <c r="G20" s="9" t="s">
        <v>361</v>
      </c>
      <c r="H20" s="9" t="s">
        <v>362</v>
      </c>
      <c r="I20" s="9" t="s">
        <v>423</v>
      </c>
      <c r="J20" s="9" t="s">
        <v>29</v>
      </c>
      <c r="K20" s="11" t="s">
        <v>63</v>
      </c>
      <c r="L20" s="11" t="n">
        <v>0</v>
      </c>
    </row>
    <row r="21" customFormat="false" ht="15" hidden="false" customHeight="false" outlineLevel="0" collapsed="false">
      <c r="A21" s="9" t="s">
        <v>424</v>
      </c>
      <c r="B21" s="9" t="s">
        <v>211</v>
      </c>
      <c r="C21" s="9" t="s">
        <v>425</v>
      </c>
      <c r="D21" s="9" t="s">
        <v>426</v>
      </c>
      <c r="E21" s="10" t="n">
        <v>180</v>
      </c>
      <c r="F21" s="9" t="s">
        <v>427</v>
      </c>
      <c r="G21" s="9" t="s">
        <v>361</v>
      </c>
      <c r="H21" s="9" t="s">
        <v>362</v>
      </c>
      <c r="I21" s="9" t="s">
        <v>428</v>
      </c>
      <c r="J21" s="9" t="s">
        <v>29</v>
      </c>
      <c r="K21" s="11" t="s">
        <v>63</v>
      </c>
      <c r="L21" s="11" t="n">
        <v>0</v>
      </c>
    </row>
    <row r="22" customFormat="false" ht="15" hidden="false" customHeight="false" outlineLevel="0" collapsed="false">
      <c r="A22" s="9" t="s">
        <v>429</v>
      </c>
      <c r="B22" s="9" t="s">
        <v>211</v>
      </c>
      <c r="C22" s="9" t="s">
        <v>365</v>
      </c>
      <c r="D22" s="9" t="s">
        <v>430</v>
      </c>
      <c r="E22" s="10" t="n">
        <v>2.15</v>
      </c>
      <c r="F22" s="9" t="s">
        <v>431</v>
      </c>
      <c r="G22" s="9" t="s">
        <v>361</v>
      </c>
      <c r="H22" s="9" t="s">
        <v>368</v>
      </c>
      <c r="I22" s="9" t="s">
        <v>432</v>
      </c>
      <c r="J22" s="9" t="s">
        <v>29</v>
      </c>
      <c r="K22" s="11" t="s">
        <v>63</v>
      </c>
      <c r="L22" s="11" t="n">
        <v>0</v>
      </c>
    </row>
    <row r="23" customFormat="false" ht="15" hidden="false" customHeight="false" outlineLevel="0" collapsed="false">
      <c r="A23" s="9" t="s">
        <v>433</v>
      </c>
      <c r="B23" s="9" t="s">
        <v>211</v>
      </c>
      <c r="C23" s="9" t="s">
        <v>365</v>
      </c>
      <c r="D23" s="9" t="s">
        <v>434</v>
      </c>
      <c r="E23" s="10" t="n">
        <v>0.8</v>
      </c>
      <c r="F23" s="9" t="s">
        <v>431</v>
      </c>
      <c r="G23" s="9" t="s">
        <v>361</v>
      </c>
      <c r="H23" s="9" t="s">
        <v>368</v>
      </c>
      <c r="I23" s="9" t="s">
        <v>435</v>
      </c>
      <c r="J23" s="9" t="s">
        <v>29</v>
      </c>
      <c r="K23" s="11" t="s">
        <v>63</v>
      </c>
      <c r="L23" s="11" t="n">
        <v>0</v>
      </c>
    </row>
    <row r="24" customFormat="false" ht="15" hidden="false" customHeight="false" outlineLevel="0" collapsed="false">
      <c r="A24" s="9" t="s">
        <v>436</v>
      </c>
      <c r="B24" s="9" t="s">
        <v>211</v>
      </c>
      <c r="C24" s="9" t="s">
        <v>437</v>
      </c>
      <c r="D24" s="9" t="s">
        <v>438</v>
      </c>
      <c r="E24" s="10" t="n">
        <v>7</v>
      </c>
      <c r="F24" s="9" t="s">
        <v>394</v>
      </c>
      <c r="G24" s="9" t="s">
        <v>361</v>
      </c>
      <c r="H24" s="9" t="s">
        <v>368</v>
      </c>
      <c r="I24" s="9" t="s">
        <v>439</v>
      </c>
      <c r="J24" s="9" t="s">
        <v>29</v>
      </c>
      <c r="K24" s="11" t="s">
        <v>63</v>
      </c>
      <c r="L24" s="11" t="n">
        <v>0</v>
      </c>
    </row>
    <row r="25" customFormat="false" ht="15" hidden="false" customHeight="false" outlineLevel="0" collapsed="false">
      <c r="A25" s="9" t="s">
        <v>440</v>
      </c>
      <c r="B25" s="9" t="s">
        <v>211</v>
      </c>
      <c r="C25" s="9" t="s">
        <v>375</v>
      </c>
      <c r="D25" s="9" t="s">
        <v>441</v>
      </c>
      <c r="E25" s="10" t="n">
        <v>168</v>
      </c>
      <c r="F25" s="9" t="s">
        <v>377</v>
      </c>
      <c r="G25" s="9" t="s">
        <v>378</v>
      </c>
      <c r="H25" s="9" t="s">
        <v>362</v>
      </c>
      <c r="I25" s="9" t="s">
        <v>442</v>
      </c>
      <c r="J25" s="9" t="s">
        <v>29</v>
      </c>
      <c r="K25" s="11" t="s">
        <v>63</v>
      </c>
      <c r="L25" s="11" t="n">
        <v>0</v>
      </c>
    </row>
    <row r="26" customFormat="false" ht="15" hidden="false" customHeight="false" outlineLevel="0" collapsed="false">
      <c r="A26" s="9" t="s">
        <v>443</v>
      </c>
      <c r="B26" s="9" t="s">
        <v>211</v>
      </c>
      <c r="C26" s="9" t="s">
        <v>386</v>
      </c>
      <c r="D26" s="9" t="s">
        <v>387</v>
      </c>
      <c r="E26" s="10" t="n">
        <v>31000</v>
      </c>
      <c r="F26" s="9" t="s">
        <v>388</v>
      </c>
      <c r="G26" s="9" t="s">
        <v>378</v>
      </c>
      <c r="H26" s="9" t="s">
        <v>389</v>
      </c>
      <c r="I26" s="9" t="s">
        <v>390</v>
      </c>
      <c r="J26" s="9" t="s">
        <v>29</v>
      </c>
      <c r="K26" s="11" t="s">
        <v>63</v>
      </c>
      <c r="L26" s="11" t="n">
        <v>0</v>
      </c>
    </row>
    <row r="27" customFormat="false" ht="15" hidden="false" customHeight="false" outlineLevel="0" collapsed="false">
      <c r="A27" s="9" t="s">
        <v>444</v>
      </c>
      <c r="B27" s="9" t="s">
        <v>211</v>
      </c>
      <c r="C27" s="9" t="s">
        <v>392</v>
      </c>
      <c r="D27" s="9" t="s">
        <v>445</v>
      </c>
      <c r="E27" s="10" t="n">
        <v>42</v>
      </c>
      <c r="F27" s="9" t="s">
        <v>394</v>
      </c>
      <c r="G27" s="9" t="s">
        <v>378</v>
      </c>
      <c r="H27" s="9" t="s">
        <v>389</v>
      </c>
      <c r="I27" s="9" t="s">
        <v>446</v>
      </c>
      <c r="J27" s="9" t="s">
        <v>29</v>
      </c>
      <c r="K27" s="11" t="s">
        <v>63</v>
      </c>
      <c r="L27" s="11" t="n">
        <v>0</v>
      </c>
    </row>
    <row r="28" customFormat="false" ht="15" hidden="false" customHeight="false" outlineLevel="0" collapsed="false">
      <c r="A28" s="9" t="s">
        <v>447</v>
      </c>
      <c r="B28" s="9" t="s">
        <v>211</v>
      </c>
      <c r="C28" s="9" t="s">
        <v>401</v>
      </c>
      <c r="D28" s="9" t="s">
        <v>402</v>
      </c>
      <c r="E28" s="10" t="n">
        <v>8</v>
      </c>
      <c r="F28" s="9" t="s">
        <v>19</v>
      </c>
      <c r="G28" s="9" t="s">
        <v>361</v>
      </c>
      <c r="H28" s="9" t="s">
        <v>362</v>
      </c>
      <c r="I28" s="9" t="s">
        <v>448</v>
      </c>
      <c r="J28" s="9" t="s">
        <v>29</v>
      </c>
      <c r="K28" s="11" t="s">
        <v>63</v>
      </c>
      <c r="L28" s="11" t="n">
        <v>0</v>
      </c>
    </row>
    <row r="29" customFormat="false" ht="15" hidden="false" customHeight="false" outlineLevel="0" collapsed="false">
      <c r="A29" s="9" t="s">
        <v>449</v>
      </c>
      <c r="B29" s="9" t="s">
        <v>211</v>
      </c>
      <c r="C29" s="9" t="s">
        <v>405</v>
      </c>
      <c r="D29" s="9" t="s">
        <v>450</v>
      </c>
      <c r="E29" s="10" t="n">
        <v>220</v>
      </c>
      <c r="F29" s="9" t="s">
        <v>344</v>
      </c>
      <c r="G29" s="9" t="s">
        <v>361</v>
      </c>
      <c r="H29" s="9" t="s">
        <v>362</v>
      </c>
      <c r="I29" s="9" t="s">
        <v>451</v>
      </c>
      <c r="J29" s="9" t="s">
        <v>29</v>
      </c>
      <c r="K29" s="11" t="s">
        <v>63</v>
      </c>
      <c r="L29" s="11" t="n">
        <v>0</v>
      </c>
    </row>
    <row r="30" customFormat="false" ht="15" hidden="false" customHeight="false" outlineLevel="0" collapsed="false">
      <c r="A30" s="9" t="s">
        <v>452</v>
      </c>
      <c r="B30" s="9" t="s">
        <v>211</v>
      </c>
      <c r="C30" s="9" t="s">
        <v>409</v>
      </c>
      <c r="D30" s="9" t="s">
        <v>410</v>
      </c>
      <c r="E30" s="10" t="n">
        <v>24</v>
      </c>
      <c r="F30" s="9" t="s">
        <v>377</v>
      </c>
      <c r="G30" s="9" t="s">
        <v>361</v>
      </c>
      <c r="H30" s="9" t="s">
        <v>362</v>
      </c>
      <c r="I30" s="9" t="s">
        <v>453</v>
      </c>
      <c r="J30" s="9" t="s">
        <v>29</v>
      </c>
      <c r="K30" s="11" t="s">
        <v>63</v>
      </c>
      <c r="L30" s="11" t="n">
        <v>0</v>
      </c>
    </row>
    <row r="31" customFormat="false" ht="15" hidden="false" customHeight="false" outlineLevel="0" collapsed="false">
      <c r="A31" s="9" t="s">
        <v>454</v>
      </c>
      <c r="B31" s="9" t="s">
        <v>231</v>
      </c>
      <c r="C31" s="9" t="s">
        <v>455</v>
      </c>
      <c r="D31" s="9" t="s">
        <v>456</v>
      </c>
      <c r="E31" s="10" t="n">
        <v>1</v>
      </c>
      <c r="F31" s="9" t="s">
        <v>457</v>
      </c>
      <c r="G31" s="9" t="s">
        <v>361</v>
      </c>
      <c r="H31" s="9" t="s">
        <v>368</v>
      </c>
      <c r="I31" s="9" t="s">
        <v>458</v>
      </c>
      <c r="J31" s="9" t="s">
        <v>29</v>
      </c>
      <c r="K31" s="11" t="s">
        <v>63</v>
      </c>
      <c r="L31" s="11" t="n">
        <v>0</v>
      </c>
    </row>
    <row r="32" customFormat="false" ht="15" hidden="false" customHeight="false" outlineLevel="0" collapsed="false">
      <c r="A32" s="9" t="s">
        <v>459</v>
      </c>
      <c r="B32" s="9" t="s">
        <v>231</v>
      </c>
      <c r="C32" s="9" t="s">
        <v>375</v>
      </c>
      <c r="D32" s="9" t="s">
        <v>460</v>
      </c>
      <c r="E32" s="10" t="n">
        <v>6</v>
      </c>
      <c r="F32" s="9" t="s">
        <v>377</v>
      </c>
      <c r="G32" s="9" t="s">
        <v>378</v>
      </c>
      <c r="H32" s="9" t="s">
        <v>368</v>
      </c>
      <c r="I32" s="9" t="s">
        <v>461</v>
      </c>
      <c r="J32" s="9" t="s">
        <v>29</v>
      </c>
      <c r="K32" s="11" t="s">
        <v>63</v>
      </c>
      <c r="L32" s="11" t="n">
        <v>0</v>
      </c>
    </row>
    <row r="33" customFormat="false" ht="15" hidden="false" customHeight="false" outlineLevel="0" collapsed="false">
      <c r="A33" s="9" t="s">
        <v>462</v>
      </c>
      <c r="B33" s="9" t="s">
        <v>231</v>
      </c>
      <c r="C33" s="9" t="s">
        <v>375</v>
      </c>
      <c r="D33" s="9" t="s">
        <v>463</v>
      </c>
      <c r="E33" s="10" t="n">
        <v>18</v>
      </c>
      <c r="F33" s="9" t="s">
        <v>377</v>
      </c>
      <c r="G33" s="9" t="s">
        <v>378</v>
      </c>
      <c r="H33" s="9" t="s">
        <v>368</v>
      </c>
      <c r="I33" s="9" t="s">
        <v>464</v>
      </c>
      <c r="J33" s="9" t="s">
        <v>29</v>
      </c>
      <c r="K33" s="11" t="s">
        <v>63</v>
      </c>
      <c r="L33" s="11" t="n">
        <v>0</v>
      </c>
    </row>
    <row r="34" customFormat="false" ht="15" hidden="false" customHeight="false" outlineLevel="0" collapsed="false">
      <c r="A34" s="9" t="s">
        <v>465</v>
      </c>
      <c r="B34" s="9" t="s">
        <v>231</v>
      </c>
      <c r="C34" s="9" t="s">
        <v>381</v>
      </c>
      <c r="D34" s="9" t="s">
        <v>466</v>
      </c>
      <c r="E34" s="10" t="n">
        <v>72</v>
      </c>
      <c r="F34" s="9" t="s">
        <v>377</v>
      </c>
      <c r="G34" s="9" t="s">
        <v>361</v>
      </c>
      <c r="H34" s="9" t="s">
        <v>368</v>
      </c>
      <c r="I34" s="9" t="s">
        <v>467</v>
      </c>
      <c r="J34" s="9" t="s">
        <v>29</v>
      </c>
      <c r="K34" s="11" t="s">
        <v>63</v>
      </c>
      <c r="L34" s="11" t="n">
        <v>0</v>
      </c>
    </row>
    <row r="35" customFormat="false" ht="15" hidden="false" customHeight="false" outlineLevel="0" collapsed="false">
      <c r="A35" s="9" t="s">
        <v>468</v>
      </c>
      <c r="B35" s="9" t="s">
        <v>231</v>
      </c>
      <c r="C35" s="9" t="s">
        <v>381</v>
      </c>
      <c r="D35" s="9" t="s">
        <v>469</v>
      </c>
      <c r="E35" s="10" t="n">
        <v>30</v>
      </c>
      <c r="F35" s="9" t="s">
        <v>383</v>
      </c>
      <c r="G35" s="9" t="s">
        <v>361</v>
      </c>
      <c r="H35" s="9" t="s">
        <v>362</v>
      </c>
      <c r="I35" s="9" t="s">
        <v>470</v>
      </c>
      <c r="J35" s="9" t="s">
        <v>29</v>
      </c>
      <c r="K35" s="11" t="s">
        <v>63</v>
      </c>
      <c r="L35" s="11" t="n">
        <v>0</v>
      </c>
    </row>
    <row r="36" customFormat="false" ht="15" hidden="false" customHeight="false" outlineLevel="0" collapsed="false">
      <c r="A36" s="9" t="s">
        <v>471</v>
      </c>
      <c r="B36" s="9" t="s">
        <v>231</v>
      </c>
      <c r="C36" s="9" t="s">
        <v>425</v>
      </c>
      <c r="D36" s="9" t="s">
        <v>472</v>
      </c>
      <c r="E36" s="10" t="n">
        <v>103</v>
      </c>
      <c r="F36" s="9" t="s">
        <v>473</v>
      </c>
      <c r="G36" s="9" t="s">
        <v>361</v>
      </c>
      <c r="H36" s="9" t="s">
        <v>389</v>
      </c>
      <c r="I36" s="9" t="s">
        <v>474</v>
      </c>
      <c r="J36" s="9" t="s">
        <v>29</v>
      </c>
      <c r="K36" s="11" t="s">
        <v>63</v>
      </c>
      <c r="L36" s="11" t="n">
        <v>0</v>
      </c>
    </row>
    <row r="37" customFormat="false" ht="15" hidden="false" customHeight="false" outlineLevel="0" collapsed="false">
      <c r="A37" s="9" t="s">
        <v>475</v>
      </c>
      <c r="B37" s="9" t="s">
        <v>231</v>
      </c>
      <c r="C37" s="9" t="s">
        <v>386</v>
      </c>
      <c r="D37" s="9" t="s">
        <v>387</v>
      </c>
      <c r="E37" s="10" t="n">
        <v>54000</v>
      </c>
      <c r="F37" s="9" t="s">
        <v>388</v>
      </c>
      <c r="G37" s="9" t="s">
        <v>378</v>
      </c>
      <c r="H37" s="9" t="s">
        <v>389</v>
      </c>
      <c r="I37" s="9" t="s">
        <v>476</v>
      </c>
      <c r="J37" s="9" t="s">
        <v>29</v>
      </c>
      <c r="K37" s="11" t="s">
        <v>63</v>
      </c>
      <c r="L37" s="11" t="n">
        <v>0</v>
      </c>
    </row>
    <row r="38" customFormat="false" ht="15" hidden="false" customHeight="false" outlineLevel="0" collapsed="false">
      <c r="A38" s="9" t="s">
        <v>477</v>
      </c>
      <c r="B38" s="9" t="s">
        <v>231</v>
      </c>
      <c r="C38" s="9" t="s">
        <v>392</v>
      </c>
      <c r="D38" s="9" t="s">
        <v>445</v>
      </c>
      <c r="E38" s="10" t="n">
        <v>140</v>
      </c>
      <c r="F38" s="9" t="s">
        <v>394</v>
      </c>
      <c r="G38" s="9" t="s">
        <v>378</v>
      </c>
      <c r="H38" s="9" t="s">
        <v>389</v>
      </c>
      <c r="I38" s="9" t="s">
        <v>478</v>
      </c>
      <c r="J38" s="9" t="s">
        <v>29</v>
      </c>
      <c r="K38" s="11" t="s">
        <v>63</v>
      </c>
      <c r="L38" s="11" t="n">
        <v>0</v>
      </c>
    </row>
    <row r="39" customFormat="false" ht="15" hidden="false" customHeight="false" outlineLevel="0" collapsed="false">
      <c r="A39" s="9" t="s">
        <v>479</v>
      </c>
      <c r="B39" s="9" t="s">
        <v>231</v>
      </c>
      <c r="C39" s="9" t="s">
        <v>480</v>
      </c>
      <c r="D39" s="9" t="s">
        <v>481</v>
      </c>
      <c r="E39" s="10" t="n">
        <v>1</v>
      </c>
      <c r="F39" s="9" t="s">
        <v>482</v>
      </c>
      <c r="G39" s="9" t="s">
        <v>361</v>
      </c>
      <c r="H39" s="9" t="s">
        <v>368</v>
      </c>
      <c r="I39" s="9" t="s">
        <v>483</v>
      </c>
      <c r="J39" s="9" t="s">
        <v>29</v>
      </c>
      <c r="K39" s="11" t="s">
        <v>63</v>
      </c>
      <c r="L39" s="11" t="n">
        <v>0</v>
      </c>
    </row>
    <row r="40" customFormat="false" ht="15" hidden="false" customHeight="false" outlineLevel="0" collapsed="false">
      <c r="A40" s="9" t="s">
        <v>484</v>
      </c>
      <c r="B40" s="9" t="s">
        <v>231</v>
      </c>
      <c r="C40" s="9" t="s">
        <v>401</v>
      </c>
      <c r="D40" s="9" t="s">
        <v>485</v>
      </c>
      <c r="E40" s="10" t="n">
        <v>8</v>
      </c>
      <c r="F40" s="9" t="s">
        <v>19</v>
      </c>
      <c r="G40" s="9" t="s">
        <v>361</v>
      </c>
      <c r="H40" s="9" t="s">
        <v>362</v>
      </c>
      <c r="I40" s="9" t="s">
        <v>486</v>
      </c>
      <c r="J40" s="9" t="s">
        <v>29</v>
      </c>
      <c r="K40" s="11" t="s">
        <v>63</v>
      </c>
      <c r="L40" s="11" t="n">
        <v>0</v>
      </c>
    </row>
    <row r="41" customFormat="false" ht="15" hidden="false" customHeight="false" outlineLevel="0" collapsed="false">
      <c r="A41" s="9" t="s">
        <v>487</v>
      </c>
      <c r="B41" s="9" t="s">
        <v>231</v>
      </c>
      <c r="C41" s="9" t="s">
        <v>405</v>
      </c>
      <c r="D41" s="9" t="s">
        <v>488</v>
      </c>
      <c r="E41" s="10" t="n">
        <v>900</v>
      </c>
      <c r="F41" s="9" t="s">
        <v>344</v>
      </c>
      <c r="G41" s="9" t="s">
        <v>361</v>
      </c>
      <c r="H41" s="9" t="s">
        <v>362</v>
      </c>
      <c r="I41" s="9" t="s">
        <v>489</v>
      </c>
      <c r="J41" s="9" t="s">
        <v>29</v>
      </c>
      <c r="K41" s="11" t="s">
        <v>63</v>
      </c>
      <c r="L41" s="11" t="n">
        <v>0</v>
      </c>
    </row>
    <row r="42" customFormat="false" ht="15" hidden="false" customHeight="false" outlineLevel="0" collapsed="false">
      <c r="A42" s="9" t="s">
        <v>490</v>
      </c>
      <c r="B42" s="9" t="s">
        <v>231</v>
      </c>
      <c r="C42" s="9" t="s">
        <v>409</v>
      </c>
      <c r="D42" s="9" t="s">
        <v>410</v>
      </c>
      <c r="E42" s="10" t="n">
        <v>12</v>
      </c>
      <c r="F42" s="9" t="s">
        <v>377</v>
      </c>
      <c r="G42" s="9" t="s">
        <v>361</v>
      </c>
      <c r="H42" s="9" t="s">
        <v>362</v>
      </c>
      <c r="I42" s="9" t="s">
        <v>491</v>
      </c>
      <c r="J42" s="9" t="s">
        <v>29</v>
      </c>
      <c r="K42" s="11" t="s">
        <v>63</v>
      </c>
      <c r="L42" s="11" t="n">
        <v>0</v>
      </c>
    </row>
    <row r="43" customFormat="false" ht="15" hidden="false" customHeight="false" outlineLevel="0" collapsed="false">
      <c r="A43" s="9" t="s">
        <v>492</v>
      </c>
      <c r="B43" s="9" t="s">
        <v>251</v>
      </c>
      <c r="C43" s="9" t="s">
        <v>493</v>
      </c>
      <c r="D43" s="9" t="s">
        <v>494</v>
      </c>
      <c r="E43" s="10" t="n">
        <v>25000</v>
      </c>
      <c r="F43" s="9" t="s">
        <v>346</v>
      </c>
      <c r="G43" s="9" t="s">
        <v>361</v>
      </c>
      <c r="H43" s="9" t="s">
        <v>368</v>
      </c>
      <c r="I43" s="9" t="s">
        <v>495</v>
      </c>
      <c r="J43" s="9" t="s">
        <v>29</v>
      </c>
      <c r="K43" s="11" t="s">
        <v>63</v>
      </c>
      <c r="L43" s="11" t="n">
        <v>0</v>
      </c>
    </row>
    <row r="44" customFormat="false" ht="15" hidden="false" customHeight="false" outlineLevel="0" collapsed="false">
      <c r="A44" s="9" t="s">
        <v>496</v>
      </c>
      <c r="B44" s="9" t="s">
        <v>251</v>
      </c>
      <c r="C44" s="9" t="s">
        <v>497</v>
      </c>
      <c r="D44" s="9" t="s">
        <v>498</v>
      </c>
      <c r="E44" s="10" t="n">
        <v>25</v>
      </c>
      <c r="F44" s="9" t="s">
        <v>394</v>
      </c>
      <c r="G44" s="9" t="s">
        <v>361</v>
      </c>
      <c r="H44" s="9" t="s">
        <v>368</v>
      </c>
      <c r="I44" s="9" t="s">
        <v>499</v>
      </c>
      <c r="J44" s="9" t="s">
        <v>29</v>
      </c>
      <c r="K44" s="11" t="s">
        <v>63</v>
      </c>
      <c r="L44" s="11" t="n">
        <v>0</v>
      </c>
    </row>
    <row r="45" customFormat="false" ht="15" hidden="false" customHeight="false" outlineLevel="0" collapsed="false">
      <c r="A45" s="9" t="s">
        <v>500</v>
      </c>
      <c r="B45" s="9" t="s">
        <v>251</v>
      </c>
      <c r="C45" s="9" t="s">
        <v>501</v>
      </c>
      <c r="D45" s="9" t="s">
        <v>502</v>
      </c>
      <c r="E45" s="10" t="n">
        <v>20</v>
      </c>
      <c r="F45" s="9" t="s">
        <v>503</v>
      </c>
      <c r="G45" s="9" t="s">
        <v>361</v>
      </c>
      <c r="H45" s="9" t="s">
        <v>368</v>
      </c>
      <c r="I45" s="9" t="s">
        <v>504</v>
      </c>
      <c r="J45" s="9" t="s">
        <v>29</v>
      </c>
      <c r="K45" s="11" t="s">
        <v>63</v>
      </c>
      <c r="L45" s="11" t="n">
        <v>0</v>
      </c>
    </row>
    <row r="46" customFormat="false" ht="15" hidden="false" customHeight="false" outlineLevel="0" collapsed="false">
      <c r="A46" s="9" t="s">
        <v>505</v>
      </c>
      <c r="B46" s="9" t="s">
        <v>251</v>
      </c>
      <c r="C46" s="9" t="s">
        <v>506</v>
      </c>
      <c r="D46" s="9" t="s">
        <v>507</v>
      </c>
      <c r="E46" s="10" t="n">
        <v>40</v>
      </c>
      <c r="F46" s="9" t="s">
        <v>394</v>
      </c>
      <c r="G46" s="9" t="s">
        <v>361</v>
      </c>
      <c r="H46" s="9" t="s">
        <v>368</v>
      </c>
      <c r="I46" s="9" t="s">
        <v>508</v>
      </c>
      <c r="J46" s="9" t="s">
        <v>29</v>
      </c>
      <c r="K46" s="11" t="s">
        <v>63</v>
      </c>
      <c r="L46" s="11" t="n">
        <v>0</v>
      </c>
    </row>
    <row r="47" customFormat="false" ht="15" hidden="false" customHeight="false" outlineLevel="0" collapsed="false">
      <c r="A47" s="9" t="s">
        <v>509</v>
      </c>
      <c r="B47" s="9" t="s">
        <v>251</v>
      </c>
      <c r="C47" s="9" t="s">
        <v>510</v>
      </c>
      <c r="D47" s="9" t="s">
        <v>511</v>
      </c>
      <c r="E47" s="10" t="n">
        <v>37.3510416667</v>
      </c>
      <c r="F47" s="9" t="s">
        <v>394</v>
      </c>
      <c r="G47" s="9" t="s">
        <v>378</v>
      </c>
      <c r="H47" s="9" t="s">
        <v>368</v>
      </c>
      <c r="I47" s="9" t="s">
        <v>512</v>
      </c>
      <c r="J47" s="9" t="s">
        <v>29</v>
      </c>
      <c r="K47" s="11" t="s">
        <v>63</v>
      </c>
      <c r="L47" s="11" t="n">
        <v>0</v>
      </c>
    </row>
    <row r="48" customFormat="false" ht="15" hidden="false" customHeight="false" outlineLevel="0" collapsed="false">
      <c r="A48" s="9" t="s">
        <v>513</v>
      </c>
      <c r="B48" s="9" t="s">
        <v>251</v>
      </c>
      <c r="C48" s="9" t="s">
        <v>375</v>
      </c>
      <c r="D48" s="9" t="s">
        <v>514</v>
      </c>
      <c r="E48" s="10" t="n">
        <v>72</v>
      </c>
      <c r="F48" s="9" t="s">
        <v>377</v>
      </c>
      <c r="G48" s="9" t="s">
        <v>378</v>
      </c>
      <c r="H48" s="9" t="s">
        <v>368</v>
      </c>
      <c r="I48" s="9" t="s">
        <v>515</v>
      </c>
      <c r="J48" s="9" t="s">
        <v>29</v>
      </c>
      <c r="K48" s="11" t="s">
        <v>63</v>
      </c>
      <c r="L48" s="11" t="n">
        <v>0</v>
      </c>
    </row>
    <row r="49" customFormat="false" ht="15" hidden="false" customHeight="false" outlineLevel="0" collapsed="false">
      <c r="A49" s="9" t="s">
        <v>516</v>
      </c>
      <c r="B49" s="9" t="s">
        <v>251</v>
      </c>
      <c r="C49" s="9" t="s">
        <v>517</v>
      </c>
      <c r="D49" s="9" t="s">
        <v>518</v>
      </c>
      <c r="E49" s="10" t="n">
        <v>4</v>
      </c>
      <c r="F49" s="9" t="s">
        <v>19</v>
      </c>
      <c r="G49" s="9" t="s">
        <v>361</v>
      </c>
      <c r="H49" s="9" t="s">
        <v>362</v>
      </c>
      <c r="I49" s="9" t="s">
        <v>519</v>
      </c>
      <c r="J49" s="9" t="s">
        <v>29</v>
      </c>
      <c r="K49" s="11" t="s">
        <v>63</v>
      </c>
      <c r="L49" s="11" t="n">
        <v>0</v>
      </c>
    </row>
    <row r="50" customFormat="false" ht="15" hidden="false" customHeight="false" outlineLevel="0" collapsed="false">
      <c r="A50" s="9" t="s">
        <v>520</v>
      </c>
      <c r="B50" s="9" t="s">
        <v>251</v>
      </c>
      <c r="C50" s="9" t="s">
        <v>405</v>
      </c>
      <c r="D50" s="9" t="s">
        <v>521</v>
      </c>
      <c r="E50" s="10" t="n">
        <v>20000</v>
      </c>
      <c r="F50" s="9" t="s">
        <v>346</v>
      </c>
      <c r="G50" s="9" t="s">
        <v>361</v>
      </c>
      <c r="H50" s="9" t="s">
        <v>368</v>
      </c>
      <c r="I50" s="9" t="s">
        <v>522</v>
      </c>
      <c r="J50" s="9" t="s">
        <v>29</v>
      </c>
      <c r="K50" s="11" t="s">
        <v>63</v>
      </c>
      <c r="L50" s="11" t="n">
        <v>0</v>
      </c>
    </row>
    <row r="51" customFormat="false" ht="15" hidden="false" customHeight="false" outlineLevel="0" collapsed="false">
      <c r="A51" s="9" t="s">
        <v>523</v>
      </c>
      <c r="B51" s="9" t="s">
        <v>251</v>
      </c>
      <c r="C51" s="9" t="s">
        <v>524</v>
      </c>
      <c r="D51" s="9" t="s">
        <v>525</v>
      </c>
      <c r="E51" s="10" t="n">
        <v>25000</v>
      </c>
      <c r="F51" s="9" t="s">
        <v>526</v>
      </c>
      <c r="G51" s="9" t="s">
        <v>361</v>
      </c>
      <c r="H51" s="9" t="s">
        <v>368</v>
      </c>
      <c r="I51" s="9" t="s">
        <v>527</v>
      </c>
      <c r="J51" s="9" t="s">
        <v>29</v>
      </c>
      <c r="K51" s="11" t="s">
        <v>63</v>
      </c>
      <c r="L51" s="11" t="n">
        <v>0</v>
      </c>
    </row>
    <row r="52" customFormat="false" ht="15" hidden="false" customHeight="false" outlineLevel="0" collapsed="false">
      <c r="A52" s="9" t="s">
        <v>528</v>
      </c>
      <c r="B52" s="9" t="s">
        <v>251</v>
      </c>
      <c r="C52" s="9" t="s">
        <v>529</v>
      </c>
      <c r="D52" s="9" t="s">
        <v>530</v>
      </c>
      <c r="E52" s="10" t="n">
        <v>30</v>
      </c>
      <c r="F52" s="9" t="s">
        <v>531</v>
      </c>
      <c r="G52" s="9" t="s">
        <v>361</v>
      </c>
      <c r="H52" s="9" t="s">
        <v>368</v>
      </c>
      <c r="I52" s="9" t="s">
        <v>532</v>
      </c>
      <c r="J52" s="9" t="s">
        <v>29</v>
      </c>
      <c r="K52" s="11" t="s">
        <v>63</v>
      </c>
      <c r="L52" s="11" t="n">
        <v>0</v>
      </c>
    </row>
    <row r="53" customFormat="false" ht="15" hidden="false" customHeight="false" outlineLevel="0" collapsed="false">
      <c r="A53" s="9" t="s">
        <v>533</v>
      </c>
      <c r="B53" s="9" t="s">
        <v>251</v>
      </c>
      <c r="C53" s="9" t="s">
        <v>409</v>
      </c>
      <c r="D53" s="9" t="s">
        <v>534</v>
      </c>
      <c r="E53" s="10" t="n">
        <v>50</v>
      </c>
      <c r="F53" s="9" t="s">
        <v>535</v>
      </c>
      <c r="G53" s="9" t="s">
        <v>361</v>
      </c>
      <c r="H53" s="9" t="s">
        <v>368</v>
      </c>
      <c r="I53" s="9" t="s">
        <v>536</v>
      </c>
      <c r="J53" s="9" t="s">
        <v>29</v>
      </c>
      <c r="K53" s="11" t="s">
        <v>63</v>
      </c>
      <c r="L53" s="11" t="n">
        <v>0</v>
      </c>
    </row>
    <row r="54" customFormat="false" ht="15" hidden="false" customHeight="false" outlineLevel="0" collapsed="false">
      <c r="A54" s="9" t="s">
        <v>537</v>
      </c>
      <c r="B54" s="9" t="s">
        <v>251</v>
      </c>
      <c r="C54" s="9" t="s">
        <v>381</v>
      </c>
      <c r="D54" s="9" t="s">
        <v>382</v>
      </c>
      <c r="E54" s="10" t="n">
        <v>30</v>
      </c>
      <c r="F54" s="9" t="s">
        <v>383</v>
      </c>
      <c r="G54" s="9" t="s">
        <v>361</v>
      </c>
      <c r="H54" s="9" t="s">
        <v>362</v>
      </c>
      <c r="I54" s="9" t="s">
        <v>538</v>
      </c>
      <c r="J54" s="9" t="s">
        <v>29</v>
      </c>
      <c r="K54" s="11" t="s">
        <v>63</v>
      </c>
      <c r="L54" s="11" t="n">
        <v>0</v>
      </c>
    </row>
    <row r="55" customFormat="false" ht="15" hidden="false" customHeight="false" outlineLevel="0" collapsed="false">
      <c r="A55" s="9" t="s">
        <v>539</v>
      </c>
      <c r="B55" s="9" t="s">
        <v>271</v>
      </c>
      <c r="C55" s="9" t="s">
        <v>359</v>
      </c>
      <c r="D55" s="9" t="s">
        <v>540</v>
      </c>
      <c r="E55" s="10" t="n">
        <v>50000</v>
      </c>
      <c r="F55" s="9" t="s">
        <v>541</v>
      </c>
      <c r="G55" s="9" t="s">
        <v>361</v>
      </c>
      <c r="H55" s="9" t="s">
        <v>368</v>
      </c>
      <c r="I55" s="9" t="s">
        <v>542</v>
      </c>
      <c r="J55" s="9" t="s">
        <v>29</v>
      </c>
      <c r="K55" s="11" t="s">
        <v>63</v>
      </c>
      <c r="L55" s="11" t="n">
        <v>0</v>
      </c>
    </row>
    <row r="56" customFormat="false" ht="15" hidden="false" customHeight="false" outlineLevel="0" collapsed="false">
      <c r="A56" s="9" t="s">
        <v>543</v>
      </c>
      <c r="B56" s="9" t="s">
        <v>271</v>
      </c>
      <c r="C56" s="9" t="s">
        <v>544</v>
      </c>
      <c r="D56" s="9" t="s">
        <v>545</v>
      </c>
      <c r="E56" s="10" t="n">
        <v>10</v>
      </c>
      <c r="F56" s="9" t="s">
        <v>19</v>
      </c>
      <c r="G56" s="9" t="s">
        <v>361</v>
      </c>
      <c r="H56" s="9" t="s">
        <v>368</v>
      </c>
      <c r="I56" s="9" t="s">
        <v>546</v>
      </c>
      <c r="J56" s="9" t="s">
        <v>29</v>
      </c>
      <c r="K56" s="11" t="s">
        <v>63</v>
      </c>
      <c r="L56" s="11" t="n">
        <v>0</v>
      </c>
    </row>
    <row r="57" customFormat="false" ht="15" hidden="false" customHeight="false" outlineLevel="0" collapsed="false">
      <c r="A57" s="9" t="s">
        <v>547</v>
      </c>
      <c r="B57" s="9" t="s">
        <v>271</v>
      </c>
      <c r="C57" s="9" t="s">
        <v>544</v>
      </c>
      <c r="D57" s="9" t="s">
        <v>548</v>
      </c>
      <c r="E57" s="10" t="n">
        <v>2500</v>
      </c>
      <c r="F57" s="9" t="s">
        <v>549</v>
      </c>
      <c r="G57" s="9" t="s">
        <v>361</v>
      </c>
      <c r="H57" s="9" t="s">
        <v>368</v>
      </c>
      <c r="I57" s="9" t="s">
        <v>550</v>
      </c>
      <c r="J57" s="9" t="s">
        <v>29</v>
      </c>
      <c r="K57" s="11" t="s">
        <v>63</v>
      </c>
      <c r="L57" s="11" t="n">
        <v>0</v>
      </c>
    </row>
    <row r="58" customFormat="false" ht="15" hidden="false" customHeight="false" outlineLevel="0" collapsed="false">
      <c r="A58" s="9" t="s">
        <v>551</v>
      </c>
      <c r="B58" s="9" t="s">
        <v>271</v>
      </c>
      <c r="C58" s="9" t="s">
        <v>552</v>
      </c>
      <c r="D58" s="9" t="s">
        <v>553</v>
      </c>
      <c r="E58" s="10" t="n">
        <v>5000</v>
      </c>
      <c r="F58" s="9" t="s">
        <v>554</v>
      </c>
      <c r="G58" s="9" t="s">
        <v>361</v>
      </c>
      <c r="H58" s="9" t="s">
        <v>368</v>
      </c>
      <c r="I58" s="9" t="s">
        <v>555</v>
      </c>
      <c r="J58" s="9" t="s">
        <v>29</v>
      </c>
      <c r="K58" s="11" t="s">
        <v>63</v>
      </c>
      <c r="L58" s="11" t="n">
        <v>0</v>
      </c>
    </row>
    <row r="59" customFormat="false" ht="15" hidden="false" customHeight="false" outlineLevel="0" collapsed="false">
      <c r="A59" s="9" t="s">
        <v>556</v>
      </c>
      <c r="B59" s="9" t="s">
        <v>271</v>
      </c>
      <c r="C59" s="9" t="s">
        <v>375</v>
      </c>
      <c r="D59" s="9" t="s">
        <v>557</v>
      </c>
      <c r="E59" s="10" t="n">
        <v>168</v>
      </c>
      <c r="F59" s="9" t="s">
        <v>377</v>
      </c>
      <c r="G59" s="9" t="s">
        <v>361</v>
      </c>
      <c r="H59" s="9" t="s">
        <v>368</v>
      </c>
      <c r="I59" s="9" t="s">
        <v>558</v>
      </c>
      <c r="J59" s="9" t="s">
        <v>29</v>
      </c>
      <c r="K59" s="11" t="s">
        <v>63</v>
      </c>
      <c r="L59" s="11" t="n">
        <v>0</v>
      </c>
    </row>
    <row r="60" customFormat="false" ht="15" hidden="false" customHeight="false" outlineLevel="0" collapsed="false">
      <c r="A60" s="9" t="s">
        <v>559</v>
      </c>
      <c r="B60" s="9" t="s">
        <v>271</v>
      </c>
      <c r="C60" s="9" t="s">
        <v>517</v>
      </c>
      <c r="D60" s="9" t="s">
        <v>560</v>
      </c>
      <c r="E60" s="10" t="n">
        <v>100000</v>
      </c>
      <c r="F60" s="9" t="s">
        <v>561</v>
      </c>
      <c r="G60" s="9" t="s">
        <v>361</v>
      </c>
      <c r="H60" s="9" t="s">
        <v>362</v>
      </c>
      <c r="I60" s="9" t="s">
        <v>562</v>
      </c>
      <c r="J60" s="9" t="s">
        <v>29</v>
      </c>
      <c r="K60" s="11" t="s">
        <v>63</v>
      </c>
      <c r="L60" s="11" t="n">
        <v>0</v>
      </c>
    </row>
    <row r="61" customFormat="false" ht="15" hidden="false" customHeight="false" outlineLevel="0" collapsed="false">
      <c r="A61" s="9" t="s">
        <v>563</v>
      </c>
      <c r="B61" s="9" t="s">
        <v>271</v>
      </c>
      <c r="C61" s="9" t="s">
        <v>381</v>
      </c>
      <c r="D61" s="9" t="s">
        <v>564</v>
      </c>
      <c r="E61" s="10" t="n">
        <v>30</v>
      </c>
      <c r="F61" s="9" t="s">
        <v>383</v>
      </c>
      <c r="G61" s="9" t="s">
        <v>361</v>
      </c>
      <c r="H61" s="9" t="s">
        <v>362</v>
      </c>
      <c r="I61" s="9" t="s">
        <v>565</v>
      </c>
      <c r="J61" s="9" t="s">
        <v>29</v>
      </c>
      <c r="K61" s="11" t="s">
        <v>63</v>
      </c>
      <c r="L61" s="11" t="n">
        <v>0</v>
      </c>
    </row>
    <row r="62" customFormat="false" ht="15" hidden="false" customHeight="false" outlineLevel="0" collapsed="false">
      <c r="A62" s="9" t="s">
        <v>566</v>
      </c>
      <c r="B62" s="9" t="s">
        <v>271</v>
      </c>
      <c r="C62" s="9" t="s">
        <v>386</v>
      </c>
      <c r="D62" s="9" t="s">
        <v>387</v>
      </c>
      <c r="E62" s="10" t="n">
        <v>50000</v>
      </c>
      <c r="F62" s="9" t="s">
        <v>388</v>
      </c>
      <c r="G62" s="9" t="s">
        <v>378</v>
      </c>
      <c r="H62" s="9" t="s">
        <v>389</v>
      </c>
      <c r="I62" s="9" t="s">
        <v>567</v>
      </c>
      <c r="J62" s="9" t="s">
        <v>29</v>
      </c>
      <c r="K62" s="11" t="s">
        <v>63</v>
      </c>
      <c r="L62" s="11" t="n">
        <v>0</v>
      </c>
    </row>
    <row r="63" customFormat="false" ht="15" hidden="false" customHeight="false" outlineLevel="0" collapsed="false">
      <c r="A63" s="9" t="s">
        <v>568</v>
      </c>
      <c r="B63" s="9" t="s">
        <v>271</v>
      </c>
      <c r="C63" s="9" t="s">
        <v>392</v>
      </c>
      <c r="D63" s="9" t="s">
        <v>445</v>
      </c>
      <c r="E63" s="10" t="n">
        <v>52</v>
      </c>
      <c r="F63" s="9" t="s">
        <v>394</v>
      </c>
      <c r="G63" s="9" t="s">
        <v>378</v>
      </c>
      <c r="H63" s="9" t="s">
        <v>389</v>
      </c>
      <c r="I63" s="9" t="s">
        <v>569</v>
      </c>
      <c r="J63" s="9" t="s">
        <v>29</v>
      </c>
      <c r="K63" s="11" t="s">
        <v>63</v>
      </c>
      <c r="L63" s="11" t="n">
        <v>0</v>
      </c>
    </row>
    <row r="64" customFormat="false" ht="15" hidden="false" customHeight="false" outlineLevel="0" collapsed="false">
      <c r="A64" s="9" t="s">
        <v>570</v>
      </c>
      <c r="B64" s="9" t="s">
        <v>271</v>
      </c>
      <c r="C64" s="9" t="s">
        <v>571</v>
      </c>
      <c r="D64" s="9" t="s">
        <v>572</v>
      </c>
      <c r="E64" s="10" t="n">
        <v>8500</v>
      </c>
      <c r="F64" s="9" t="s">
        <v>573</v>
      </c>
      <c r="G64" s="9" t="s">
        <v>361</v>
      </c>
      <c r="H64" s="9" t="s">
        <v>389</v>
      </c>
      <c r="I64" s="9" t="s">
        <v>574</v>
      </c>
      <c r="J64" s="9" t="s">
        <v>29</v>
      </c>
      <c r="K64" s="11" t="s">
        <v>63</v>
      </c>
      <c r="L64" s="11" t="n">
        <v>0</v>
      </c>
    </row>
    <row r="65" customFormat="false" ht="15" hidden="false" customHeight="false" outlineLevel="0" collapsed="false">
      <c r="A65" s="9" t="s">
        <v>575</v>
      </c>
      <c r="B65" s="9" t="s">
        <v>271</v>
      </c>
      <c r="C65" s="9" t="s">
        <v>401</v>
      </c>
      <c r="D65" s="9" t="s">
        <v>402</v>
      </c>
      <c r="E65" s="10" t="n">
        <v>8</v>
      </c>
      <c r="F65" s="9" t="s">
        <v>19</v>
      </c>
      <c r="G65" s="9" t="s">
        <v>361</v>
      </c>
      <c r="H65" s="9" t="s">
        <v>362</v>
      </c>
      <c r="I65" s="9" t="s">
        <v>576</v>
      </c>
      <c r="J65" s="9" t="s">
        <v>29</v>
      </c>
      <c r="K65" s="11" t="s">
        <v>63</v>
      </c>
      <c r="L65" s="11" t="n">
        <v>0</v>
      </c>
    </row>
    <row r="66" customFormat="false" ht="15" hidden="false" customHeight="false" outlineLevel="0" collapsed="false">
      <c r="A66" s="9" t="s">
        <v>577</v>
      </c>
      <c r="B66" s="9" t="s">
        <v>271</v>
      </c>
      <c r="C66" s="9" t="s">
        <v>405</v>
      </c>
      <c r="D66" s="9" t="s">
        <v>578</v>
      </c>
      <c r="E66" s="10" t="n">
        <v>350</v>
      </c>
      <c r="F66" s="9" t="s">
        <v>344</v>
      </c>
      <c r="G66" s="9" t="s">
        <v>361</v>
      </c>
      <c r="H66" s="9" t="s">
        <v>362</v>
      </c>
      <c r="I66" s="9" t="s">
        <v>579</v>
      </c>
      <c r="J66" s="9" t="s">
        <v>29</v>
      </c>
      <c r="K66" s="11" t="s">
        <v>63</v>
      </c>
      <c r="L66" s="11" t="n">
        <v>0</v>
      </c>
    </row>
    <row r="67" customFormat="false" ht="15" hidden="false" customHeight="false" outlineLevel="0" collapsed="false">
      <c r="A67" s="9" t="s">
        <v>580</v>
      </c>
      <c r="B67" s="9" t="s">
        <v>291</v>
      </c>
      <c r="C67" s="9" t="s">
        <v>359</v>
      </c>
      <c r="D67" s="9" t="s">
        <v>581</v>
      </c>
      <c r="E67" s="10" t="n">
        <v>99</v>
      </c>
      <c r="F67" s="9" t="s">
        <v>582</v>
      </c>
      <c r="G67" s="9" t="s">
        <v>361</v>
      </c>
      <c r="H67" s="9" t="s">
        <v>368</v>
      </c>
      <c r="I67" s="9" t="s">
        <v>583</v>
      </c>
      <c r="J67" s="9" t="s">
        <v>29</v>
      </c>
      <c r="K67" s="11" t="s">
        <v>63</v>
      </c>
      <c r="L67" s="11" t="n">
        <v>0</v>
      </c>
    </row>
    <row r="68" customFormat="false" ht="15" hidden="false" customHeight="false" outlineLevel="0" collapsed="false">
      <c r="A68" s="9" t="s">
        <v>584</v>
      </c>
      <c r="B68" s="9" t="s">
        <v>291</v>
      </c>
      <c r="C68" s="9" t="s">
        <v>381</v>
      </c>
      <c r="D68" s="9" t="s">
        <v>585</v>
      </c>
      <c r="E68" s="10" t="n">
        <v>2970</v>
      </c>
      <c r="F68" s="9" t="s">
        <v>586</v>
      </c>
      <c r="G68" s="9" t="s">
        <v>361</v>
      </c>
      <c r="H68" s="9" t="s">
        <v>368</v>
      </c>
      <c r="I68" s="9" t="s">
        <v>587</v>
      </c>
      <c r="J68" s="9" t="s">
        <v>29</v>
      </c>
      <c r="K68" s="11" t="s">
        <v>63</v>
      </c>
      <c r="L68" s="11" t="n">
        <v>0</v>
      </c>
    </row>
    <row r="69" customFormat="false" ht="15" hidden="false" customHeight="false" outlineLevel="0" collapsed="false">
      <c r="A69" s="9" t="s">
        <v>588</v>
      </c>
      <c r="B69" s="9" t="s">
        <v>291</v>
      </c>
      <c r="C69" s="9" t="s">
        <v>413</v>
      </c>
      <c r="D69" s="9" t="s">
        <v>589</v>
      </c>
      <c r="E69" s="10" t="n">
        <v>168</v>
      </c>
      <c r="F69" s="9" t="s">
        <v>377</v>
      </c>
      <c r="G69" s="9" t="s">
        <v>361</v>
      </c>
      <c r="H69" s="9" t="s">
        <v>368</v>
      </c>
      <c r="I69" s="9" t="s">
        <v>590</v>
      </c>
      <c r="J69" s="9" t="s">
        <v>29</v>
      </c>
      <c r="K69" s="11" t="s">
        <v>63</v>
      </c>
      <c r="L69" s="11" t="n">
        <v>0</v>
      </c>
    </row>
    <row r="70" customFormat="false" ht="15" hidden="false" customHeight="false" outlineLevel="0" collapsed="false">
      <c r="A70" s="9" t="s">
        <v>591</v>
      </c>
      <c r="B70" s="9" t="s">
        <v>291</v>
      </c>
      <c r="C70" s="9" t="s">
        <v>592</v>
      </c>
      <c r="D70" s="9" t="s">
        <v>593</v>
      </c>
      <c r="E70" s="10" t="n">
        <v>45</v>
      </c>
      <c r="F70" s="9" t="s">
        <v>594</v>
      </c>
      <c r="G70" s="9" t="s">
        <v>361</v>
      </c>
      <c r="H70" s="9" t="s">
        <v>362</v>
      </c>
      <c r="I70" s="9" t="s">
        <v>595</v>
      </c>
      <c r="J70" s="9" t="s">
        <v>29</v>
      </c>
      <c r="K70" s="11" t="s">
        <v>63</v>
      </c>
      <c r="L70" s="11" t="n">
        <v>0</v>
      </c>
    </row>
    <row r="71" customFormat="false" ht="15" hidden="false" customHeight="false" outlineLevel="0" collapsed="false">
      <c r="A71" s="9" t="s">
        <v>596</v>
      </c>
      <c r="B71" s="9" t="s">
        <v>291</v>
      </c>
      <c r="C71" s="9" t="s">
        <v>386</v>
      </c>
      <c r="D71" s="9" t="s">
        <v>387</v>
      </c>
      <c r="E71" s="10" t="n">
        <v>72000</v>
      </c>
      <c r="F71" s="9" t="s">
        <v>388</v>
      </c>
      <c r="G71" s="9" t="s">
        <v>378</v>
      </c>
      <c r="H71" s="9" t="s">
        <v>389</v>
      </c>
      <c r="I71" s="9" t="s">
        <v>597</v>
      </c>
      <c r="J71" s="9" t="s">
        <v>29</v>
      </c>
      <c r="K71" s="11" t="s">
        <v>63</v>
      </c>
      <c r="L71" s="11" t="n">
        <v>0</v>
      </c>
    </row>
    <row r="72" customFormat="false" ht="15" hidden="false" customHeight="false" outlineLevel="0" collapsed="false">
      <c r="A72" s="9" t="s">
        <v>598</v>
      </c>
      <c r="B72" s="9" t="s">
        <v>291</v>
      </c>
      <c r="C72" s="9" t="s">
        <v>392</v>
      </c>
      <c r="D72" s="9" t="s">
        <v>445</v>
      </c>
      <c r="E72" s="10" t="n">
        <v>155</v>
      </c>
      <c r="F72" s="9" t="s">
        <v>394</v>
      </c>
      <c r="G72" s="9" t="s">
        <v>378</v>
      </c>
      <c r="H72" s="9" t="s">
        <v>389</v>
      </c>
      <c r="I72" s="9" t="s">
        <v>599</v>
      </c>
      <c r="J72" s="9" t="s">
        <v>29</v>
      </c>
      <c r="K72" s="11" t="s">
        <v>63</v>
      </c>
      <c r="L72" s="11" t="n">
        <v>0</v>
      </c>
    </row>
    <row r="73" customFormat="false" ht="15" hidden="false" customHeight="false" outlineLevel="0" collapsed="false">
      <c r="A73" s="9" t="s">
        <v>600</v>
      </c>
      <c r="B73" s="9" t="s">
        <v>291</v>
      </c>
      <c r="C73" s="9" t="s">
        <v>571</v>
      </c>
      <c r="D73" s="9" t="s">
        <v>572</v>
      </c>
      <c r="E73" s="10" t="n">
        <v>8300</v>
      </c>
      <c r="F73" s="9" t="s">
        <v>573</v>
      </c>
      <c r="G73" s="9" t="s">
        <v>361</v>
      </c>
      <c r="H73" s="9" t="s">
        <v>389</v>
      </c>
      <c r="I73" s="9" t="s">
        <v>601</v>
      </c>
      <c r="J73" s="9" t="s">
        <v>29</v>
      </c>
      <c r="K73" s="11" t="s">
        <v>63</v>
      </c>
      <c r="L73" s="11" t="n">
        <v>0</v>
      </c>
    </row>
    <row r="74" customFormat="false" ht="15" hidden="false" customHeight="false" outlineLevel="0" collapsed="false">
      <c r="A74" s="9" t="s">
        <v>602</v>
      </c>
      <c r="B74" s="9" t="s">
        <v>291</v>
      </c>
      <c r="C74" s="9" t="s">
        <v>603</v>
      </c>
      <c r="D74" s="9" t="s">
        <v>604</v>
      </c>
      <c r="E74" s="10" t="n">
        <v>5</v>
      </c>
      <c r="F74" s="9" t="s">
        <v>19</v>
      </c>
      <c r="G74" s="9" t="s">
        <v>361</v>
      </c>
      <c r="H74" s="9" t="s">
        <v>368</v>
      </c>
      <c r="I74" s="9" t="s">
        <v>605</v>
      </c>
      <c r="J74" s="9" t="s">
        <v>29</v>
      </c>
      <c r="K74" s="11" t="s">
        <v>63</v>
      </c>
      <c r="L74" s="11" t="n">
        <v>0</v>
      </c>
    </row>
    <row r="75" customFormat="false" ht="15" hidden="false" customHeight="false" outlineLevel="0" collapsed="false">
      <c r="A75" s="9" t="s">
        <v>606</v>
      </c>
      <c r="B75" s="9" t="s">
        <v>291</v>
      </c>
      <c r="C75" s="9" t="s">
        <v>401</v>
      </c>
      <c r="D75" s="9" t="s">
        <v>402</v>
      </c>
      <c r="E75" s="10" t="n">
        <v>9</v>
      </c>
      <c r="F75" s="9" t="s">
        <v>19</v>
      </c>
      <c r="G75" s="9" t="s">
        <v>361</v>
      </c>
      <c r="H75" s="9" t="s">
        <v>362</v>
      </c>
      <c r="I75" s="9" t="s">
        <v>607</v>
      </c>
      <c r="J75" s="9" t="s">
        <v>29</v>
      </c>
      <c r="K75" s="11" t="s">
        <v>63</v>
      </c>
      <c r="L75" s="11" t="n">
        <v>0</v>
      </c>
    </row>
    <row r="76" customFormat="false" ht="15" hidden="false" customHeight="false" outlineLevel="0" collapsed="false">
      <c r="A76" s="9" t="s">
        <v>608</v>
      </c>
      <c r="B76" s="9" t="s">
        <v>291</v>
      </c>
      <c r="C76" s="9" t="s">
        <v>405</v>
      </c>
      <c r="D76" s="9" t="s">
        <v>450</v>
      </c>
      <c r="E76" s="10" t="n">
        <v>1200</v>
      </c>
      <c r="F76" s="9" t="s">
        <v>344</v>
      </c>
      <c r="G76" s="9" t="s">
        <v>361</v>
      </c>
      <c r="H76" s="9" t="s">
        <v>362</v>
      </c>
      <c r="I76" s="9" t="s">
        <v>609</v>
      </c>
      <c r="J76" s="9" t="s">
        <v>29</v>
      </c>
      <c r="K76" s="11" t="s">
        <v>63</v>
      </c>
      <c r="L76" s="11" t="n">
        <v>0</v>
      </c>
    </row>
    <row r="77" customFormat="false" ht="15" hidden="false" customHeight="false" outlineLevel="0" collapsed="false">
      <c r="A77" s="9" t="s">
        <v>610</v>
      </c>
      <c r="B77" s="9" t="s">
        <v>291</v>
      </c>
      <c r="C77" s="9" t="s">
        <v>409</v>
      </c>
      <c r="D77" s="9" t="s">
        <v>410</v>
      </c>
      <c r="E77" s="10" t="n">
        <v>12</v>
      </c>
      <c r="F77" s="9" t="s">
        <v>377</v>
      </c>
      <c r="G77" s="9" t="s">
        <v>361</v>
      </c>
      <c r="H77" s="9" t="s">
        <v>362</v>
      </c>
      <c r="I77" s="9" t="s">
        <v>611</v>
      </c>
      <c r="J77" s="9" t="s">
        <v>29</v>
      </c>
      <c r="K77" s="11" t="s">
        <v>63</v>
      </c>
      <c r="L77" s="11" t="n">
        <v>0</v>
      </c>
    </row>
    <row r="78" customFormat="false" ht="15" hidden="false" customHeight="false" outlineLevel="0" collapsed="false">
      <c r="A78" s="12" t="s">
        <v>612</v>
      </c>
      <c r="B78" s="12" t="s">
        <v>291</v>
      </c>
      <c r="C78" s="12" t="s">
        <v>480</v>
      </c>
      <c r="D78" s="12" t="s">
        <v>613</v>
      </c>
      <c r="E78" s="13" t="n">
        <v>4</v>
      </c>
      <c r="F78" s="12" t="s">
        <v>614</v>
      </c>
      <c r="G78" s="12" t="s">
        <v>361</v>
      </c>
      <c r="H78" s="12" t="s">
        <v>368</v>
      </c>
      <c r="I78" s="12" t="s">
        <v>615</v>
      </c>
      <c r="J78" s="12" t="s">
        <v>29</v>
      </c>
      <c r="K78" s="14" t="s">
        <v>63</v>
      </c>
      <c r="L78" s="14" t="n">
        <v>0</v>
      </c>
    </row>
  </sheetData>
  <mergeCells count="2">
    <mergeCell ref="A2:L2"/>
    <mergeCell ref="A4:L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38"/>
    <col collapsed="false" customWidth="true" hidden="false" outlineLevel="0" max="5" min="5" style="0" width="62"/>
    <col collapsed="false" customWidth="true" hidden="false" outlineLevel="0" max="6" min="6" style="0" width="18"/>
    <col collapsed="false" customWidth="true" hidden="false" outlineLevel="0" max="7" min="7" style="0" width="21"/>
    <col collapsed="false" customWidth="true" hidden="false" outlineLevel="0" max="8" min="8" style="0" width="20"/>
    <col collapsed="false" customWidth="true" hidden="false" outlineLevel="0" max="9" min="9" style="0" width="19"/>
    <col collapsed="false" customWidth="true" hidden="false" outlineLevel="0" max="10" min="10" style="0" width="13"/>
  </cols>
  <sheetData>
    <row r="2" customFormat="false" ht="24" hidden="false" customHeight="true" outlineLevel="0" collapsed="false">
      <c r="A2" s="1" t="s">
        <v>616</v>
      </c>
      <c r="B2" s="1"/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617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</row>
    <row r="6" customFormat="false" ht="23" hidden="false" customHeight="true" outlineLevel="0" collapsed="false">
      <c r="A6" s="5" t="s">
        <v>618</v>
      </c>
      <c r="B6" s="6" t="s">
        <v>147</v>
      </c>
      <c r="C6" s="6" t="s">
        <v>148</v>
      </c>
      <c r="D6" s="6" t="s">
        <v>619</v>
      </c>
      <c r="E6" s="6" t="s">
        <v>620</v>
      </c>
      <c r="F6" s="6" t="s">
        <v>621</v>
      </c>
      <c r="G6" s="6" t="s">
        <v>622</v>
      </c>
      <c r="H6" s="6" t="s">
        <v>317</v>
      </c>
      <c r="I6" s="6" t="s">
        <v>356</v>
      </c>
      <c r="J6" s="7" t="s">
        <v>357</v>
      </c>
    </row>
    <row r="7" customFormat="false" ht="15" hidden="false" customHeight="false" outlineLevel="0" collapsed="false">
      <c r="A7" s="8" t="s">
        <v>623</v>
      </c>
      <c r="B7" s="8" t="s">
        <v>156</v>
      </c>
      <c r="C7" s="8" t="s">
        <v>157</v>
      </c>
      <c r="D7" s="8" t="s">
        <v>624</v>
      </c>
      <c r="E7" s="8" t="s">
        <v>161</v>
      </c>
      <c r="F7" s="8" t="s">
        <v>625</v>
      </c>
      <c r="G7" s="8" t="s">
        <v>626</v>
      </c>
      <c r="H7" s="8" t="s">
        <v>29</v>
      </c>
      <c r="I7" s="29" t="s">
        <v>63</v>
      </c>
      <c r="J7" s="29" t="n">
        <v>0</v>
      </c>
    </row>
    <row r="8" customFormat="false" ht="15" hidden="false" customHeight="false" outlineLevel="0" collapsed="false">
      <c r="A8" s="9" t="s">
        <v>627</v>
      </c>
      <c r="B8" s="9" t="s">
        <v>156</v>
      </c>
      <c r="C8" s="9" t="s">
        <v>157</v>
      </c>
      <c r="D8" s="9" t="s">
        <v>628</v>
      </c>
      <c r="E8" s="9" t="s">
        <v>161</v>
      </c>
      <c r="F8" s="9" t="s">
        <v>625</v>
      </c>
      <c r="G8" s="9" t="s">
        <v>626</v>
      </c>
      <c r="H8" s="9" t="s">
        <v>29</v>
      </c>
      <c r="I8" s="11" t="s">
        <v>63</v>
      </c>
      <c r="J8" s="11" t="n">
        <v>0</v>
      </c>
    </row>
    <row r="9" customFormat="false" ht="15" hidden="false" customHeight="false" outlineLevel="0" collapsed="false">
      <c r="A9" s="9" t="s">
        <v>629</v>
      </c>
      <c r="B9" s="9" t="s">
        <v>156</v>
      </c>
      <c r="C9" s="9" t="s">
        <v>157</v>
      </c>
      <c r="D9" s="9" t="s">
        <v>630</v>
      </c>
      <c r="E9" s="9" t="s">
        <v>161</v>
      </c>
      <c r="F9" s="9" t="s">
        <v>631</v>
      </c>
      <c r="G9" s="9" t="s">
        <v>626</v>
      </c>
      <c r="H9" s="9" t="s">
        <v>29</v>
      </c>
      <c r="I9" s="11" t="s">
        <v>63</v>
      </c>
      <c r="J9" s="11" t="n">
        <v>0</v>
      </c>
    </row>
    <row r="10" customFormat="false" ht="15" hidden="false" customHeight="false" outlineLevel="0" collapsed="false">
      <c r="A10" s="9" t="s">
        <v>632</v>
      </c>
      <c r="B10" s="9" t="s">
        <v>156</v>
      </c>
      <c r="C10" s="9" t="s">
        <v>157</v>
      </c>
      <c r="D10" s="9" t="s">
        <v>633</v>
      </c>
      <c r="E10" s="9" t="s">
        <v>161</v>
      </c>
      <c r="F10" s="9" t="s">
        <v>631</v>
      </c>
      <c r="G10" s="9" t="s">
        <v>626</v>
      </c>
      <c r="H10" s="9" t="s">
        <v>29</v>
      </c>
      <c r="I10" s="11" t="s">
        <v>63</v>
      </c>
      <c r="J10" s="11" t="n">
        <v>0</v>
      </c>
    </row>
    <row r="11" customFormat="false" ht="15" hidden="false" customHeight="false" outlineLevel="0" collapsed="false">
      <c r="A11" s="9" t="s">
        <v>634</v>
      </c>
      <c r="B11" s="9" t="s">
        <v>156</v>
      </c>
      <c r="C11" s="9" t="s">
        <v>157</v>
      </c>
      <c r="D11" s="9" t="s">
        <v>635</v>
      </c>
      <c r="E11" s="9" t="s">
        <v>161</v>
      </c>
      <c r="F11" s="9" t="s">
        <v>631</v>
      </c>
      <c r="G11" s="9" t="s">
        <v>626</v>
      </c>
      <c r="H11" s="9" t="s">
        <v>29</v>
      </c>
      <c r="I11" s="11" t="s">
        <v>63</v>
      </c>
      <c r="J11" s="11" t="n">
        <v>0</v>
      </c>
    </row>
    <row r="12" customFormat="false" ht="15" hidden="false" customHeight="false" outlineLevel="0" collapsed="false">
      <c r="A12" s="9" t="s">
        <v>636</v>
      </c>
      <c r="B12" s="9" t="s">
        <v>156</v>
      </c>
      <c r="C12" s="9" t="s">
        <v>157</v>
      </c>
      <c r="D12" s="9" t="s">
        <v>637</v>
      </c>
      <c r="E12" s="9" t="s">
        <v>161</v>
      </c>
      <c r="F12" s="9" t="s">
        <v>631</v>
      </c>
      <c r="G12" s="9" t="s">
        <v>626</v>
      </c>
      <c r="H12" s="9" t="s">
        <v>29</v>
      </c>
      <c r="I12" s="11" t="s">
        <v>63</v>
      </c>
      <c r="J12" s="11" t="n">
        <v>0</v>
      </c>
    </row>
    <row r="13" customFormat="false" ht="15" hidden="false" customHeight="false" outlineLevel="0" collapsed="false">
      <c r="A13" s="9" t="s">
        <v>638</v>
      </c>
      <c r="B13" s="9" t="s">
        <v>156</v>
      </c>
      <c r="C13" s="9" t="s">
        <v>157</v>
      </c>
      <c r="D13" s="9" t="s">
        <v>639</v>
      </c>
      <c r="E13" s="9" t="s">
        <v>161</v>
      </c>
      <c r="F13" s="9" t="s">
        <v>631</v>
      </c>
      <c r="G13" s="9" t="s">
        <v>626</v>
      </c>
      <c r="H13" s="9" t="s">
        <v>29</v>
      </c>
      <c r="I13" s="11" t="s">
        <v>63</v>
      </c>
      <c r="J13" s="11" t="n">
        <v>0</v>
      </c>
    </row>
    <row r="14" customFormat="false" ht="15" hidden="false" customHeight="false" outlineLevel="0" collapsed="false">
      <c r="A14" s="9" t="s">
        <v>640</v>
      </c>
      <c r="B14" s="9" t="s">
        <v>156</v>
      </c>
      <c r="C14" s="9" t="s">
        <v>157</v>
      </c>
      <c r="D14" s="9" t="s">
        <v>641</v>
      </c>
      <c r="E14" s="9" t="s">
        <v>161</v>
      </c>
      <c r="F14" s="9" t="s">
        <v>631</v>
      </c>
      <c r="G14" s="9" t="s">
        <v>626</v>
      </c>
      <c r="H14" s="9" t="s">
        <v>29</v>
      </c>
      <c r="I14" s="11" t="s">
        <v>63</v>
      </c>
      <c r="J14" s="11" t="n">
        <v>0</v>
      </c>
    </row>
    <row r="15" customFormat="false" ht="15" hidden="false" customHeight="false" outlineLevel="0" collapsed="false">
      <c r="A15" s="9" t="s">
        <v>642</v>
      </c>
      <c r="B15" s="9" t="s">
        <v>210</v>
      </c>
      <c r="C15" s="9" t="s">
        <v>211</v>
      </c>
      <c r="D15" s="9" t="s">
        <v>643</v>
      </c>
      <c r="E15" s="9" t="s">
        <v>213</v>
      </c>
      <c r="F15" s="9" t="s">
        <v>625</v>
      </c>
      <c r="G15" s="9" t="s">
        <v>626</v>
      </c>
      <c r="H15" s="9" t="s">
        <v>29</v>
      </c>
      <c r="I15" s="11" t="s">
        <v>63</v>
      </c>
      <c r="J15" s="11" t="n">
        <v>0</v>
      </c>
    </row>
    <row r="16" customFormat="false" ht="15" hidden="false" customHeight="false" outlineLevel="0" collapsed="false">
      <c r="A16" s="9" t="s">
        <v>644</v>
      </c>
      <c r="B16" s="9" t="s">
        <v>210</v>
      </c>
      <c r="C16" s="9" t="s">
        <v>211</v>
      </c>
      <c r="D16" s="9" t="s">
        <v>645</v>
      </c>
      <c r="E16" s="9" t="s">
        <v>213</v>
      </c>
      <c r="F16" s="9" t="s">
        <v>625</v>
      </c>
      <c r="G16" s="9" t="s">
        <v>626</v>
      </c>
      <c r="H16" s="9" t="s">
        <v>29</v>
      </c>
      <c r="I16" s="11" t="s">
        <v>63</v>
      </c>
      <c r="J16" s="11" t="n">
        <v>0</v>
      </c>
    </row>
    <row r="17" customFormat="false" ht="15" hidden="false" customHeight="false" outlineLevel="0" collapsed="false">
      <c r="A17" s="9" t="s">
        <v>646</v>
      </c>
      <c r="B17" s="9" t="s">
        <v>210</v>
      </c>
      <c r="C17" s="9" t="s">
        <v>211</v>
      </c>
      <c r="D17" s="9" t="s">
        <v>647</v>
      </c>
      <c r="E17" s="9" t="s">
        <v>213</v>
      </c>
      <c r="F17" s="9" t="s">
        <v>631</v>
      </c>
      <c r="G17" s="9" t="s">
        <v>626</v>
      </c>
      <c r="H17" s="9" t="s">
        <v>29</v>
      </c>
      <c r="I17" s="11" t="s">
        <v>63</v>
      </c>
      <c r="J17" s="11" t="n">
        <v>0</v>
      </c>
    </row>
    <row r="18" customFormat="false" ht="15" hidden="false" customHeight="false" outlineLevel="0" collapsed="false">
      <c r="A18" s="9" t="s">
        <v>648</v>
      </c>
      <c r="B18" s="9" t="s">
        <v>210</v>
      </c>
      <c r="C18" s="9" t="s">
        <v>211</v>
      </c>
      <c r="D18" s="9" t="s">
        <v>649</v>
      </c>
      <c r="E18" s="9" t="s">
        <v>213</v>
      </c>
      <c r="F18" s="9" t="s">
        <v>631</v>
      </c>
      <c r="G18" s="9" t="s">
        <v>626</v>
      </c>
      <c r="H18" s="9" t="s">
        <v>29</v>
      </c>
      <c r="I18" s="11" t="s">
        <v>63</v>
      </c>
      <c r="J18" s="11" t="n">
        <v>0</v>
      </c>
    </row>
    <row r="19" customFormat="false" ht="15" hidden="false" customHeight="false" outlineLevel="0" collapsed="false">
      <c r="A19" s="9" t="s">
        <v>650</v>
      </c>
      <c r="B19" s="9" t="s">
        <v>210</v>
      </c>
      <c r="C19" s="9" t="s">
        <v>211</v>
      </c>
      <c r="D19" s="9" t="s">
        <v>651</v>
      </c>
      <c r="E19" s="9" t="s">
        <v>213</v>
      </c>
      <c r="F19" s="9" t="s">
        <v>631</v>
      </c>
      <c r="G19" s="9" t="s">
        <v>626</v>
      </c>
      <c r="H19" s="9" t="s">
        <v>29</v>
      </c>
      <c r="I19" s="11" t="s">
        <v>63</v>
      </c>
      <c r="J19" s="11" t="n">
        <v>0</v>
      </c>
    </row>
    <row r="20" customFormat="false" ht="15" hidden="false" customHeight="false" outlineLevel="0" collapsed="false">
      <c r="A20" s="9" t="s">
        <v>652</v>
      </c>
      <c r="B20" s="9" t="s">
        <v>210</v>
      </c>
      <c r="C20" s="9" t="s">
        <v>211</v>
      </c>
      <c r="D20" s="9" t="s">
        <v>653</v>
      </c>
      <c r="E20" s="9" t="s">
        <v>213</v>
      </c>
      <c r="F20" s="9" t="s">
        <v>631</v>
      </c>
      <c r="G20" s="9" t="s">
        <v>626</v>
      </c>
      <c r="H20" s="9" t="s">
        <v>29</v>
      </c>
      <c r="I20" s="11" t="s">
        <v>63</v>
      </c>
      <c r="J20" s="11" t="n">
        <v>0</v>
      </c>
    </row>
    <row r="21" customFormat="false" ht="15" hidden="false" customHeight="false" outlineLevel="0" collapsed="false">
      <c r="A21" s="9" t="s">
        <v>654</v>
      </c>
      <c r="B21" s="9" t="s">
        <v>210</v>
      </c>
      <c r="C21" s="9" t="s">
        <v>211</v>
      </c>
      <c r="D21" s="9" t="s">
        <v>655</v>
      </c>
      <c r="E21" s="9" t="s">
        <v>213</v>
      </c>
      <c r="F21" s="9" t="s">
        <v>631</v>
      </c>
      <c r="G21" s="9" t="s">
        <v>626</v>
      </c>
      <c r="H21" s="9" t="s">
        <v>29</v>
      </c>
      <c r="I21" s="11" t="s">
        <v>63</v>
      </c>
      <c r="J21" s="11" t="n">
        <v>0</v>
      </c>
    </row>
    <row r="22" customFormat="false" ht="15" hidden="false" customHeight="false" outlineLevel="0" collapsed="false">
      <c r="A22" s="9" t="s">
        <v>656</v>
      </c>
      <c r="B22" s="9" t="s">
        <v>210</v>
      </c>
      <c r="C22" s="9" t="s">
        <v>211</v>
      </c>
      <c r="D22" s="9" t="s">
        <v>657</v>
      </c>
      <c r="E22" s="9" t="s">
        <v>213</v>
      </c>
      <c r="F22" s="9" t="s">
        <v>631</v>
      </c>
      <c r="G22" s="9" t="s">
        <v>626</v>
      </c>
      <c r="H22" s="9" t="s">
        <v>29</v>
      </c>
      <c r="I22" s="11" t="s">
        <v>63</v>
      </c>
      <c r="J22" s="11" t="n">
        <v>0</v>
      </c>
    </row>
    <row r="23" customFormat="false" ht="15" hidden="false" customHeight="false" outlineLevel="0" collapsed="false">
      <c r="A23" s="9" t="s">
        <v>658</v>
      </c>
      <c r="B23" s="9" t="s">
        <v>230</v>
      </c>
      <c r="C23" s="9" t="s">
        <v>231</v>
      </c>
      <c r="D23" s="9" t="s">
        <v>659</v>
      </c>
      <c r="E23" s="9" t="s">
        <v>233</v>
      </c>
      <c r="F23" s="9" t="s">
        <v>625</v>
      </c>
      <c r="G23" s="9" t="s">
        <v>626</v>
      </c>
      <c r="H23" s="9" t="s">
        <v>29</v>
      </c>
      <c r="I23" s="11" t="s">
        <v>63</v>
      </c>
      <c r="J23" s="11" t="n">
        <v>0</v>
      </c>
    </row>
    <row r="24" customFormat="false" ht="15" hidden="false" customHeight="false" outlineLevel="0" collapsed="false">
      <c r="A24" s="9" t="s">
        <v>660</v>
      </c>
      <c r="B24" s="9" t="s">
        <v>230</v>
      </c>
      <c r="C24" s="9" t="s">
        <v>231</v>
      </c>
      <c r="D24" s="9" t="s">
        <v>661</v>
      </c>
      <c r="E24" s="9" t="s">
        <v>233</v>
      </c>
      <c r="F24" s="9" t="s">
        <v>625</v>
      </c>
      <c r="G24" s="9" t="s">
        <v>626</v>
      </c>
      <c r="H24" s="9" t="s">
        <v>29</v>
      </c>
      <c r="I24" s="11" t="s">
        <v>63</v>
      </c>
      <c r="J24" s="11" t="n">
        <v>0</v>
      </c>
    </row>
    <row r="25" customFormat="false" ht="15" hidden="false" customHeight="false" outlineLevel="0" collapsed="false">
      <c r="A25" s="9" t="s">
        <v>662</v>
      </c>
      <c r="B25" s="9" t="s">
        <v>230</v>
      </c>
      <c r="C25" s="9" t="s">
        <v>231</v>
      </c>
      <c r="D25" s="9" t="s">
        <v>663</v>
      </c>
      <c r="E25" s="9" t="s">
        <v>233</v>
      </c>
      <c r="F25" s="9" t="s">
        <v>631</v>
      </c>
      <c r="G25" s="9" t="s">
        <v>626</v>
      </c>
      <c r="H25" s="9" t="s">
        <v>29</v>
      </c>
      <c r="I25" s="11" t="s">
        <v>63</v>
      </c>
      <c r="J25" s="11" t="n">
        <v>0</v>
      </c>
    </row>
    <row r="26" customFormat="false" ht="15" hidden="false" customHeight="false" outlineLevel="0" collapsed="false">
      <c r="A26" s="9" t="s">
        <v>664</v>
      </c>
      <c r="B26" s="9" t="s">
        <v>230</v>
      </c>
      <c r="C26" s="9" t="s">
        <v>231</v>
      </c>
      <c r="D26" s="9" t="s">
        <v>665</v>
      </c>
      <c r="E26" s="9" t="s">
        <v>233</v>
      </c>
      <c r="F26" s="9" t="s">
        <v>631</v>
      </c>
      <c r="G26" s="9" t="s">
        <v>626</v>
      </c>
      <c r="H26" s="9" t="s">
        <v>29</v>
      </c>
      <c r="I26" s="11" t="s">
        <v>63</v>
      </c>
      <c r="J26" s="11" t="n">
        <v>0</v>
      </c>
    </row>
    <row r="27" customFormat="false" ht="15" hidden="false" customHeight="false" outlineLevel="0" collapsed="false">
      <c r="A27" s="9" t="s">
        <v>666</v>
      </c>
      <c r="B27" s="9" t="s">
        <v>230</v>
      </c>
      <c r="C27" s="9" t="s">
        <v>231</v>
      </c>
      <c r="D27" s="9" t="s">
        <v>667</v>
      </c>
      <c r="E27" s="9" t="s">
        <v>233</v>
      </c>
      <c r="F27" s="9" t="s">
        <v>631</v>
      </c>
      <c r="G27" s="9" t="s">
        <v>626</v>
      </c>
      <c r="H27" s="9" t="s">
        <v>29</v>
      </c>
      <c r="I27" s="11" t="s">
        <v>63</v>
      </c>
      <c r="J27" s="11" t="n">
        <v>0</v>
      </c>
    </row>
    <row r="28" customFormat="false" ht="15" hidden="false" customHeight="false" outlineLevel="0" collapsed="false">
      <c r="A28" s="9" t="s">
        <v>668</v>
      </c>
      <c r="B28" s="9" t="s">
        <v>230</v>
      </c>
      <c r="C28" s="9" t="s">
        <v>231</v>
      </c>
      <c r="D28" s="9" t="s">
        <v>669</v>
      </c>
      <c r="E28" s="9" t="s">
        <v>233</v>
      </c>
      <c r="F28" s="9" t="s">
        <v>631</v>
      </c>
      <c r="G28" s="9" t="s">
        <v>626</v>
      </c>
      <c r="H28" s="9" t="s">
        <v>29</v>
      </c>
      <c r="I28" s="11" t="s">
        <v>63</v>
      </c>
      <c r="J28" s="11" t="n">
        <v>0</v>
      </c>
    </row>
    <row r="29" customFormat="false" ht="15" hidden="false" customHeight="false" outlineLevel="0" collapsed="false">
      <c r="A29" s="9" t="s">
        <v>670</v>
      </c>
      <c r="B29" s="9" t="s">
        <v>230</v>
      </c>
      <c r="C29" s="9" t="s">
        <v>231</v>
      </c>
      <c r="D29" s="9" t="s">
        <v>671</v>
      </c>
      <c r="E29" s="9" t="s">
        <v>233</v>
      </c>
      <c r="F29" s="9" t="s">
        <v>631</v>
      </c>
      <c r="G29" s="9" t="s">
        <v>626</v>
      </c>
      <c r="H29" s="9" t="s">
        <v>29</v>
      </c>
      <c r="I29" s="11" t="s">
        <v>63</v>
      </c>
      <c r="J29" s="11" t="n">
        <v>0</v>
      </c>
    </row>
    <row r="30" customFormat="false" ht="15" hidden="false" customHeight="false" outlineLevel="0" collapsed="false">
      <c r="A30" s="9" t="s">
        <v>672</v>
      </c>
      <c r="B30" s="9" t="s">
        <v>230</v>
      </c>
      <c r="C30" s="9" t="s">
        <v>231</v>
      </c>
      <c r="D30" s="9" t="s">
        <v>673</v>
      </c>
      <c r="E30" s="9" t="s">
        <v>233</v>
      </c>
      <c r="F30" s="9" t="s">
        <v>631</v>
      </c>
      <c r="G30" s="9" t="s">
        <v>626</v>
      </c>
      <c r="H30" s="9" t="s">
        <v>29</v>
      </c>
      <c r="I30" s="11" t="s">
        <v>63</v>
      </c>
      <c r="J30" s="11" t="n">
        <v>0</v>
      </c>
    </row>
    <row r="31" customFormat="false" ht="15" hidden="false" customHeight="false" outlineLevel="0" collapsed="false">
      <c r="A31" s="9" t="s">
        <v>674</v>
      </c>
      <c r="B31" s="9" t="s">
        <v>250</v>
      </c>
      <c r="C31" s="9" t="s">
        <v>251</v>
      </c>
      <c r="D31" s="9" t="s">
        <v>675</v>
      </c>
      <c r="E31" s="9" t="s">
        <v>253</v>
      </c>
      <c r="F31" s="9" t="s">
        <v>625</v>
      </c>
      <c r="G31" s="9" t="s">
        <v>626</v>
      </c>
      <c r="H31" s="9" t="s">
        <v>29</v>
      </c>
      <c r="I31" s="11" t="s">
        <v>63</v>
      </c>
      <c r="J31" s="11" t="n">
        <v>0</v>
      </c>
    </row>
    <row r="32" customFormat="false" ht="15" hidden="false" customHeight="false" outlineLevel="0" collapsed="false">
      <c r="A32" s="9" t="s">
        <v>676</v>
      </c>
      <c r="B32" s="9" t="s">
        <v>250</v>
      </c>
      <c r="C32" s="9" t="s">
        <v>251</v>
      </c>
      <c r="D32" s="9" t="s">
        <v>677</v>
      </c>
      <c r="E32" s="9" t="s">
        <v>253</v>
      </c>
      <c r="F32" s="9" t="s">
        <v>625</v>
      </c>
      <c r="G32" s="9" t="s">
        <v>626</v>
      </c>
      <c r="H32" s="9" t="s">
        <v>29</v>
      </c>
      <c r="I32" s="11" t="s">
        <v>63</v>
      </c>
      <c r="J32" s="11" t="n">
        <v>0</v>
      </c>
    </row>
    <row r="33" customFormat="false" ht="15" hidden="false" customHeight="false" outlineLevel="0" collapsed="false">
      <c r="A33" s="9" t="s">
        <v>678</v>
      </c>
      <c r="B33" s="9" t="s">
        <v>250</v>
      </c>
      <c r="C33" s="9" t="s">
        <v>251</v>
      </c>
      <c r="D33" s="9" t="s">
        <v>679</v>
      </c>
      <c r="E33" s="9" t="s">
        <v>253</v>
      </c>
      <c r="F33" s="9" t="s">
        <v>631</v>
      </c>
      <c r="G33" s="9" t="s">
        <v>626</v>
      </c>
      <c r="H33" s="9" t="s">
        <v>29</v>
      </c>
      <c r="I33" s="11" t="s">
        <v>63</v>
      </c>
      <c r="J33" s="11" t="n">
        <v>0</v>
      </c>
    </row>
    <row r="34" customFormat="false" ht="15" hidden="false" customHeight="false" outlineLevel="0" collapsed="false">
      <c r="A34" s="9" t="s">
        <v>680</v>
      </c>
      <c r="B34" s="9" t="s">
        <v>250</v>
      </c>
      <c r="C34" s="9" t="s">
        <v>251</v>
      </c>
      <c r="D34" s="9" t="s">
        <v>681</v>
      </c>
      <c r="E34" s="9" t="s">
        <v>253</v>
      </c>
      <c r="F34" s="9" t="s">
        <v>631</v>
      </c>
      <c r="G34" s="9" t="s">
        <v>626</v>
      </c>
      <c r="H34" s="9" t="s">
        <v>29</v>
      </c>
      <c r="I34" s="11" t="s">
        <v>63</v>
      </c>
      <c r="J34" s="11" t="n">
        <v>0</v>
      </c>
    </row>
    <row r="35" customFormat="false" ht="15" hidden="false" customHeight="false" outlineLevel="0" collapsed="false">
      <c r="A35" s="9" t="s">
        <v>682</v>
      </c>
      <c r="B35" s="9" t="s">
        <v>250</v>
      </c>
      <c r="C35" s="9" t="s">
        <v>251</v>
      </c>
      <c r="D35" s="9" t="s">
        <v>683</v>
      </c>
      <c r="E35" s="9" t="s">
        <v>253</v>
      </c>
      <c r="F35" s="9" t="s">
        <v>631</v>
      </c>
      <c r="G35" s="9" t="s">
        <v>626</v>
      </c>
      <c r="H35" s="9" t="s">
        <v>29</v>
      </c>
      <c r="I35" s="11" t="s">
        <v>63</v>
      </c>
      <c r="J35" s="11" t="n">
        <v>0</v>
      </c>
    </row>
    <row r="36" customFormat="false" ht="15" hidden="false" customHeight="false" outlineLevel="0" collapsed="false">
      <c r="A36" s="9" t="s">
        <v>684</v>
      </c>
      <c r="B36" s="9" t="s">
        <v>250</v>
      </c>
      <c r="C36" s="9" t="s">
        <v>251</v>
      </c>
      <c r="D36" s="9" t="s">
        <v>685</v>
      </c>
      <c r="E36" s="9" t="s">
        <v>253</v>
      </c>
      <c r="F36" s="9" t="s">
        <v>631</v>
      </c>
      <c r="G36" s="9" t="s">
        <v>626</v>
      </c>
      <c r="H36" s="9" t="s">
        <v>29</v>
      </c>
      <c r="I36" s="11" t="s">
        <v>63</v>
      </c>
      <c r="J36" s="11" t="n">
        <v>0</v>
      </c>
    </row>
    <row r="37" customFormat="false" ht="15" hidden="false" customHeight="false" outlineLevel="0" collapsed="false">
      <c r="A37" s="9" t="s">
        <v>686</v>
      </c>
      <c r="B37" s="9" t="s">
        <v>250</v>
      </c>
      <c r="C37" s="9" t="s">
        <v>251</v>
      </c>
      <c r="D37" s="9" t="s">
        <v>687</v>
      </c>
      <c r="E37" s="9" t="s">
        <v>253</v>
      </c>
      <c r="F37" s="9" t="s">
        <v>631</v>
      </c>
      <c r="G37" s="9" t="s">
        <v>626</v>
      </c>
      <c r="H37" s="9" t="s">
        <v>29</v>
      </c>
      <c r="I37" s="11" t="s">
        <v>63</v>
      </c>
      <c r="J37" s="11" t="n">
        <v>0</v>
      </c>
    </row>
    <row r="38" customFormat="false" ht="15" hidden="false" customHeight="false" outlineLevel="0" collapsed="false">
      <c r="A38" s="9" t="s">
        <v>688</v>
      </c>
      <c r="B38" s="9" t="s">
        <v>250</v>
      </c>
      <c r="C38" s="9" t="s">
        <v>251</v>
      </c>
      <c r="D38" s="9" t="s">
        <v>689</v>
      </c>
      <c r="E38" s="9" t="s">
        <v>253</v>
      </c>
      <c r="F38" s="9" t="s">
        <v>631</v>
      </c>
      <c r="G38" s="9" t="s">
        <v>626</v>
      </c>
      <c r="H38" s="9" t="s">
        <v>29</v>
      </c>
      <c r="I38" s="11" t="s">
        <v>63</v>
      </c>
      <c r="J38" s="11" t="n">
        <v>0</v>
      </c>
    </row>
    <row r="39" customFormat="false" ht="15" hidden="false" customHeight="false" outlineLevel="0" collapsed="false">
      <c r="A39" s="9" t="s">
        <v>690</v>
      </c>
      <c r="B39" s="9" t="s">
        <v>270</v>
      </c>
      <c r="C39" s="9" t="s">
        <v>271</v>
      </c>
      <c r="D39" s="9" t="s">
        <v>691</v>
      </c>
      <c r="E39" s="9" t="s">
        <v>273</v>
      </c>
      <c r="F39" s="9" t="s">
        <v>625</v>
      </c>
      <c r="G39" s="9" t="s">
        <v>626</v>
      </c>
      <c r="H39" s="9" t="s">
        <v>29</v>
      </c>
      <c r="I39" s="11" t="s">
        <v>63</v>
      </c>
      <c r="J39" s="11" t="n">
        <v>0</v>
      </c>
    </row>
    <row r="40" customFormat="false" ht="15" hidden="false" customHeight="false" outlineLevel="0" collapsed="false">
      <c r="A40" s="9" t="s">
        <v>692</v>
      </c>
      <c r="B40" s="9" t="s">
        <v>270</v>
      </c>
      <c r="C40" s="9" t="s">
        <v>271</v>
      </c>
      <c r="D40" s="9" t="s">
        <v>693</v>
      </c>
      <c r="E40" s="9" t="s">
        <v>273</v>
      </c>
      <c r="F40" s="9" t="s">
        <v>625</v>
      </c>
      <c r="G40" s="9" t="s">
        <v>626</v>
      </c>
      <c r="H40" s="9" t="s">
        <v>29</v>
      </c>
      <c r="I40" s="11" t="s">
        <v>63</v>
      </c>
      <c r="J40" s="11" t="n">
        <v>0</v>
      </c>
    </row>
    <row r="41" customFormat="false" ht="15" hidden="false" customHeight="false" outlineLevel="0" collapsed="false">
      <c r="A41" s="9" t="s">
        <v>694</v>
      </c>
      <c r="B41" s="9" t="s">
        <v>270</v>
      </c>
      <c r="C41" s="9" t="s">
        <v>271</v>
      </c>
      <c r="D41" s="9" t="s">
        <v>695</v>
      </c>
      <c r="E41" s="9" t="s">
        <v>273</v>
      </c>
      <c r="F41" s="9" t="s">
        <v>631</v>
      </c>
      <c r="G41" s="9" t="s">
        <v>626</v>
      </c>
      <c r="H41" s="9" t="s">
        <v>29</v>
      </c>
      <c r="I41" s="11" t="s">
        <v>63</v>
      </c>
      <c r="J41" s="11" t="n">
        <v>0</v>
      </c>
    </row>
    <row r="42" customFormat="false" ht="15" hidden="false" customHeight="false" outlineLevel="0" collapsed="false">
      <c r="A42" s="9" t="s">
        <v>696</v>
      </c>
      <c r="B42" s="9" t="s">
        <v>270</v>
      </c>
      <c r="C42" s="9" t="s">
        <v>271</v>
      </c>
      <c r="D42" s="9" t="s">
        <v>697</v>
      </c>
      <c r="E42" s="9" t="s">
        <v>273</v>
      </c>
      <c r="F42" s="9" t="s">
        <v>631</v>
      </c>
      <c r="G42" s="9" t="s">
        <v>626</v>
      </c>
      <c r="H42" s="9" t="s">
        <v>29</v>
      </c>
      <c r="I42" s="11" t="s">
        <v>63</v>
      </c>
      <c r="J42" s="11" t="n">
        <v>0</v>
      </c>
    </row>
    <row r="43" customFormat="false" ht="15" hidden="false" customHeight="false" outlineLevel="0" collapsed="false">
      <c r="A43" s="9" t="s">
        <v>698</v>
      </c>
      <c r="B43" s="9" t="s">
        <v>270</v>
      </c>
      <c r="C43" s="9" t="s">
        <v>271</v>
      </c>
      <c r="D43" s="9" t="s">
        <v>699</v>
      </c>
      <c r="E43" s="9" t="s">
        <v>273</v>
      </c>
      <c r="F43" s="9" t="s">
        <v>631</v>
      </c>
      <c r="G43" s="9" t="s">
        <v>626</v>
      </c>
      <c r="H43" s="9" t="s">
        <v>29</v>
      </c>
      <c r="I43" s="11" t="s">
        <v>63</v>
      </c>
      <c r="J43" s="11" t="n">
        <v>0</v>
      </c>
    </row>
    <row r="44" customFormat="false" ht="15" hidden="false" customHeight="false" outlineLevel="0" collapsed="false">
      <c r="A44" s="9" t="s">
        <v>700</v>
      </c>
      <c r="B44" s="9" t="s">
        <v>270</v>
      </c>
      <c r="C44" s="9" t="s">
        <v>271</v>
      </c>
      <c r="D44" s="9" t="s">
        <v>701</v>
      </c>
      <c r="E44" s="9" t="s">
        <v>273</v>
      </c>
      <c r="F44" s="9" t="s">
        <v>631</v>
      </c>
      <c r="G44" s="9" t="s">
        <v>626</v>
      </c>
      <c r="H44" s="9" t="s">
        <v>29</v>
      </c>
      <c r="I44" s="11" t="s">
        <v>63</v>
      </c>
      <c r="J44" s="11" t="n">
        <v>0</v>
      </c>
    </row>
    <row r="45" customFormat="false" ht="15" hidden="false" customHeight="false" outlineLevel="0" collapsed="false">
      <c r="A45" s="9" t="s">
        <v>702</v>
      </c>
      <c r="B45" s="9" t="s">
        <v>270</v>
      </c>
      <c r="C45" s="9" t="s">
        <v>271</v>
      </c>
      <c r="D45" s="9" t="s">
        <v>703</v>
      </c>
      <c r="E45" s="9" t="s">
        <v>273</v>
      </c>
      <c r="F45" s="9" t="s">
        <v>631</v>
      </c>
      <c r="G45" s="9" t="s">
        <v>626</v>
      </c>
      <c r="H45" s="9" t="s">
        <v>29</v>
      </c>
      <c r="I45" s="11" t="s">
        <v>63</v>
      </c>
      <c r="J45" s="11" t="n">
        <v>0</v>
      </c>
    </row>
    <row r="46" customFormat="false" ht="15" hidden="false" customHeight="false" outlineLevel="0" collapsed="false">
      <c r="A46" s="9" t="s">
        <v>704</v>
      </c>
      <c r="B46" s="9" t="s">
        <v>270</v>
      </c>
      <c r="C46" s="9" t="s">
        <v>271</v>
      </c>
      <c r="D46" s="9" t="s">
        <v>705</v>
      </c>
      <c r="E46" s="9" t="s">
        <v>273</v>
      </c>
      <c r="F46" s="9" t="s">
        <v>631</v>
      </c>
      <c r="G46" s="9" t="s">
        <v>626</v>
      </c>
      <c r="H46" s="9" t="s">
        <v>29</v>
      </c>
      <c r="I46" s="11" t="s">
        <v>63</v>
      </c>
      <c r="J46" s="11" t="n">
        <v>0</v>
      </c>
    </row>
    <row r="47" customFormat="false" ht="15" hidden="false" customHeight="false" outlineLevel="0" collapsed="false">
      <c r="A47" s="9" t="s">
        <v>706</v>
      </c>
      <c r="B47" s="9" t="s">
        <v>290</v>
      </c>
      <c r="C47" s="9" t="s">
        <v>291</v>
      </c>
      <c r="D47" s="9" t="s">
        <v>703</v>
      </c>
      <c r="E47" s="9" t="s">
        <v>293</v>
      </c>
      <c r="F47" s="9" t="s">
        <v>625</v>
      </c>
      <c r="G47" s="9" t="s">
        <v>626</v>
      </c>
      <c r="H47" s="9" t="s">
        <v>29</v>
      </c>
      <c r="I47" s="11" t="s">
        <v>63</v>
      </c>
      <c r="J47" s="11" t="n">
        <v>0</v>
      </c>
    </row>
    <row r="48" customFormat="false" ht="15" hidden="false" customHeight="false" outlineLevel="0" collapsed="false">
      <c r="A48" s="9" t="s">
        <v>707</v>
      </c>
      <c r="B48" s="9" t="s">
        <v>290</v>
      </c>
      <c r="C48" s="9" t="s">
        <v>291</v>
      </c>
      <c r="D48" s="9" t="s">
        <v>708</v>
      </c>
      <c r="E48" s="9" t="s">
        <v>293</v>
      </c>
      <c r="F48" s="9" t="s">
        <v>625</v>
      </c>
      <c r="G48" s="9" t="s">
        <v>626</v>
      </c>
      <c r="H48" s="9" t="s">
        <v>29</v>
      </c>
      <c r="I48" s="11" t="s">
        <v>63</v>
      </c>
      <c r="J48" s="11" t="n">
        <v>0</v>
      </c>
    </row>
    <row r="49" customFormat="false" ht="15" hidden="false" customHeight="false" outlineLevel="0" collapsed="false">
      <c r="A49" s="9" t="s">
        <v>709</v>
      </c>
      <c r="B49" s="9" t="s">
        <v>290</v>
      </c>
      <c r="C49" s="9" t="s">
        <v>291</v>
      </c>
      <c r="D49" s="9" t="s">
        <v>710</v>
      </c>
      <c r="E49" s="9" t="s">
        <v>293</v>
      </c>
      <c r="F49" s="9" t="s">
        <v>631</v>
      </c>
      <c r="G49" s="9" t="s">
        <v>626</v>
      </c>
      <c r="H49" s="9" t="s">
        <v>29</v>
      </c>
      <c r="I49" s="11" t="s">
        <v>63</v>
      </c>
      <c r="J49" s="11" t="n">
        <v>0</v>
      </c>
    </row>
    <row r="50" customFormat="false" ht="15" hidden="false" customHeight="false" outlineLevel="0" collapsed="false">
      <c r="A50" s="9" t="s">
        <v>711</v>
      </c>
      <c r="B50" s="9" t="s">
        <v>290</v>
      </c>
      <c r="C50" s="9" t="s">
        <v>291</v>
      </c>
      <c r="D50" s="9" t="s">
        <v>712</v>
      </c>
      <c r="E50" s="9" t="s">
        <v>293</v>
      </c>
      <c r="F50" s="9" t="s">
        <v>631</v>
      </c>
      <c r="G50" s="9" t="s">
        <v>626</v>
      </c>
      <c r="H50" s="9" t="s">
        <v>29</v>
      </c>
      <c r="I50" s="11" t="s">
        <v>63</v>
      </c>
      <c r="J50" s="11" t="n">
        <v>0</v>
      </c>
    </row>
    <row r="51" customFormat="false" ht="15" hidden="false" customHeight="false" outlineLevel="0" collapsed="false">
      <c r="A51" s="9" t="s">
        <v>713</v>
      </c>
      <c r="B51" s="9" t="s">
        <v>290</v>
      </c>
      <c r="C51" s="9" t="s">
        <v>291</v>
      </c>
      <c r="D51" s="9" t="s">
        <v>714</v>
      </c>
      <c r="E51" s="9" t="s">
        <v>293</v>
      </c>
      <c r="F51" s="9" t="s">
        <v>631</v>
      </c>
      <c r="G51" s="9" t="s">
        <v>626</v>
      </c>
      <c r="H51" s="9" t="s">
        <v>29</v>
      </c>
      <c r="I51" s="11" t="s">
        <v>63</v>
      </c>
      <c r="J51" s="11" t="n">
        <v>0</v>
      </c>
    </row>
    <row r="52" customFormat="false" ht="15" hidden="false" customHeight="false" outlineLevel="0" collapsed="false">
      <c r="A52" s="9" t="s">
        <v>715</v>
      </c>
      <c r="B52" s="9" t="s">
        <v>290</v>
      </c>
      <c r="C52" s="9" t="s">
        <v>291</v>
      </c>
      <c r="D52" s="9" t="s">
        <v>716</v>
      </c>
      <c r="E52" s="9" t="s">
        <v>293</v>
      </c>
      <c r="F52" s="9" t="s">
        <v>631</v>
      </c>
      <c r="G52" s="9" t="s">
        <v>626</v>
      </c>
      <c r="H52" s="9" t="s">
        <v>29</v>
      </c>
      <c r="I52" s="11" t="s">
        <v>63</v>
      </c>
      <c r="J52" s="11" t="n">
        <v>0</v>
      </c>
    </row>
    <row r="53" customFormat="false" ht="15" hidden="false" customHeight="false" outlineLevel="0" collapsed="false">
      <c r="A53" s="9" t="s">
        <v>717</v>
      </c>
      <c r="B53" s="9" t="s">
        <v>290</v>
      </c>
      <c r="C53" s="9" t="s">
        <v>291</v>
      </c>
      <c r="D53" s="9" t="s">
        <v>718</v>
      </c>
      <c r="E53" s="9" t="s">
        <v>293</v>
      </c>
      <c r="F53" s="9" t="s">
        <v>631</v>
      </c>
      <c r="G53" s="9" t="s">
        <v>626</v>
      </c>
      <c r="H53" s="9" t="s">
        <v>29</v>
      </c>
      <c r="I53" s="11" t="s">
        <v>63</v>
      </c>
      <c r="J53" s="11" t="n">
        <v>0</v>
      </c>
    </row>
    <row r="54" customFormat="false" ht="15" hidden="false" customHeight="false" outlineLevel="0" collapsed="false">
      <c r="A54" s="12" t="s">
        <v>719</v>
      </c>
      <c r="B54" s="12" t="s">
        <v>290</v>
      </c>
      <c r="C54" s="12" t="s">
        <v>291</v>
      </c>
      <c r="D54" s="12" t="s">
        <v>720</v>
      </c>
      <c r="E54" s="12" t="s">
        <v>293</v>
      </c>
      <c r="F54" s="12" t="s">
        <v>631</v>
      </c>
      <c r="G54" s="12" t="s">
        <v>626</v>
      </c>
      <c r="H54" s="12" t="s">
        <v>29</v>
      </c>
      <c r="I54" s="14" t="s">
        <v>63</v>
      </c>
      <c r="J54" s="14" t="n">
        <v>0</v>
      </c>
    </row>
  </sheetData>
  <mergeCells count="2">
    <mergeCell ref="A2:J2"/>
    <mergeCell ref="A4:J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47"/>
    <col collapsed="false" customWidth="true" hidden="false" outlineLevel="0" max="5" min="5" style="0" width="65"/>
    <col collapsed="false" customWidth="true" hidden="false" outlineLevel="0" max="6" min="6" style="0" width="17"/>
    <col collapsed="false" customWidth="true" hidden="false" outlineLevel="0" max="7" min="7" style="0" width="24"/>
    <col collapsed="false" customWidth="true" hidden="false" outlineLevel="0" max="8" min="8" style="0" width="20"/>
    <col collapsed="false" customWidth="true" hidden="false" outlineLevel="0" max="9" min="9" style="0" width="19"/>
    <col collapsed="false" customWidth="true" hidden="false" outlineLevel="0" max="10" min="10" style="0" width="13"/>
  </cols>
  <sheetData>
    <row r="2" customFormat="false" ht="24" hidden="false" customHeight="true" outlineLevel="0" collapsed="false">
      <c r="A2" s="1" t="s">
        <v>721</v>
      </c>
      <c r="B2" s="1"/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722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</row>
    <row r="6" customFormat="false" ht="23" hidden="false" customHeight="true" outlineLevel="0" collapsed="false">
      <c r="A6" s="5" t="s">
        <v>723</v>
      </c>
      <c r="B6" s="6" t="s">
        <v>147</v>
      </c>
      <c r="C6" s="6" t="s">
        <v>148</v>
      </c>
      <c r="D6" s="6" t="s">
        <v>724</v>
      </c>
      <c r="E6" s="6" t="s">
        <v>725</v>
      </c>
      <c r="F6" s="6" t="s">
        <v>726</v>
      </c>
      <c r="G6" s="6" t="s">
        <v>727</v>
      </c>
      <c r="H6" s="6" t="s">
        <v>317</v>
      </c>
      <c r="I6" s="6" t="s">
        <v>356</v>
      </c>
      <c r="J6" s="7" t="s">
        <v>357</v>
      </c>
    </row>
    <row r="7" customFormat="false" ht="15" hidden="false" customHeight="false" outlineLevel="0" collapsed="false">
      <c r="A7" s="8" t="s">
        <v>728</v>
      </c>
      <c r="B7" s="8" t="s">
        <v>156</v>
      </c>
      <c r="C7" s="8" t="s">
        <v>157</v>
      </c>
      <c r="D7" s="8" t="s">
        <v>729</v>
      </c>
      <c r="E7" s="8" t="s">
        <v>321</v>
      </c>
      <c r="F7" s="8" t="s">
        <v>730</v>
      </c>
      <c r="G7" s="8" t="s">
        <v>731</v>
      </c>
      <c r="H7" s="8" t="s">
        <v>29</v>
      </c>
      <c r="I7" s="29" t="s">
        <v>63</v>
      </c>
      <c r="J7" s="29" t="n">
        <v>0</v>
      </c>
    </row>
    <row r="8" customFormat="false" ht="15" hidden="false" customHeight="false" outlineLevel="0" collapsed="false">
      <c r="A8" s="9" t="s">
        <v>732</v>
      </c>
      <c r="B8" s="9" t="s">
        <v>156</v>
      </c>
      <c r="C8" s="9" t="s">
        <v>157</v>
      </c>
      <c r="D8" s="9" t="s">
        <v>733</v>
      </c>
      <c r="E8" s="9" t="s">
        <v>321</v>
      </c>
      <c r="F8" s="9" t="s">
        <v>730</v>
      </c>
      <c r="G8" s="9" t="s">
        <v>731</v>
      </c>
      <c r="H8" s="9" t="s">
        <v>29</v>
      </c>
      <c r="I8" s="11" t="s">
        <v>63</v>
      </c>
      <c r="J8" s="11" t="n">
        <v>0</v>
      </c>
    </row>
    <row r="9" customFormat="false" ht="15" hidden="false" customHeight="false" outlineLevel="0" collapsed="false">
      <c r="A9" s="9" t="s">
        <v>734</v>
      </c>
      <c r="B9" s="9" t="s">
        <v>156</v>
      </c>
      <c r="C9" s="9" t="s">
        <v>157</v>
      </c>
      <c r="D9" s="9" t="s">
        <v>735</v>
      </c>
      <c r="E9" s="9" t="s">
        <v>736</v>
      </c>
      <c r="F9" s="9" t="s">
        <v>730</v>
      </c>
      <c r="G9" s="9" t="s">
        <v>737</v>
      </c>
      <c r="H9" s="9" t="s">
        <v>29</v>
      </c>
      <c r="I9" s="11" t="s">
        <v>63</v>
      </c>
      <c r="J9" s="11" t="n">
        <v>0</v>
      </c>
    </row>
    <row r="10" customFormat="false" ht="15" hidden="false" customHeight="false" outlineLevel="0" collapsed="false">
      <c r="A10" s="9" t="s">
        <v>738</v>
      </c>
      <c r="B10" s="9" t="s">
        <v>156</v>
      </c>
      <c r="C10" s="9" t="s">
        <v>157</v>
      </c>
      <c r="D10" s="9" t="s">
        <v>739</v>
      </c>
      <c r="E10" s="9" t="s">
        <v>736</v>
      </c>
      <c r="F10" s="9" t="s">
        <v>730</v>
      </c>
      <c r="G10" s="9" t="s">
        <v>737</v>
      </c>
      <c r="H10" s="9" t="s">
        <v>29</v>
      </c>
      <c r="I10" s="11" t="s">
        <v>63</v>
      </c>
      <c r="J10" s="11" t="n">
        <v>0</v>
      </c>
    </row>
    <row r="11" customFormat="false" ht="15" hidden="false" customHeight="false" outlineLevel="0" collapsed="false">
      <c r="A11" s="9" t="s">
        <v>740</v>
      </c>
      <c r="B11" s="9" t="s">
        <v>156</v>
      </c>
      <c r="C11" s="9" t="s">
        <v>157</v>
      </c>
      <c r="D11" s="9" t="s">
        <v>741</v>
      </c>
      <c r="E11" s="9" t="s">
        <v>736</v>
      </c>
      <c r="F11" s="9" t="s">
        <v>730</v>
      </c>
      <c r="G11" s="9" t="s">
        <v>737</v>
      </c>
      <c r="H11" s="9" t="s">
        <v>29</v>
      </c>
      <c r="I11" s="11" t="s">
        <v>63</v>
      </c>
      <c r="J11" s="11" t="n">
        <v>0</v>
      </c>
    </row>
    <row r="12" customFormat="false" ht="15" hidden="false" customHeight="false" outlineLevel="0" collapsed="false">
      <c r="A12" s="9" t="s">
        <v>742</v>
      </c>
      <c r="B12" s="9" t="s">
        <v>156</v>
      </c>
      <c r="C12" s="9" t="s">
        <v>157</v>
      </c>
      <c r="D12" s="9" t="s">
        <v>743</v>
      </c>
      <c r="E12" s="9" t="s">
        <v>736</v>
      </c>
      <c r="F12" s="9" t="s">
        <v>730</v>
      </c>
      <c r="G12" s="9" t="s">
        <v>737</v>
      </c>
      <c r="H12" s="9" t="s">
        <v>29</v>
      </c>
      <c r="I12" s="11" t="s">
        <v>63</v>
      </c>
      <c r="J12" s="11" t="n">
        <v>0</v>
      </c>
    </row>
    <row r="13" customFormat="false" ht="15" hidden="false" customHeight="false" outlineLevel="0" collapsed="false">
      <c r="A13" s="9" t="s">
        <v>744</v>
      </c>
      <c r="B13" s="9" t="s">
        <v>156</v>
      </c>
      <c r="C13" s="9" t="s">
        <v>157</v>
      </c>
      <c r="D13" s="9" t="s">
        <v>745</v>
      </c>
      <c r="E13" s="9" t="s">
        <v>736</v>
      </c>
      <c r="F13" s="9" t="s">
        <v>730</v>
      </c>
      <c r="G13" s="9" t="s">
        <v>737</v>
      </c>
      <c r="H13" s="9" t="s">
        <v>29</v>
      </c>
      <c r="I13" s="11" t="s">
        <v>63</v>
      </c>
      <c r="J13" s="11" t="n">
        <v>0</v>
      </c>
    </row>
    <row r="14" customFormat="false" ht="15" hidden="false" customHeight="false" outlineLevel="0" collapsed="false">
      <c r="A14" s="9" t="s">
        <v>746</v>
      </c>
      <c r="B14" s="9" t="s">
        <v>156</v>
      </c>
      <c r="C14" s="9" t="s">
        <v>157</v>
      </c>
      <c r="D14" s="9" t="s">
        <v>747</v>
      </c>
      <c r="E14" s="9" t="s">
        <v>736</v>
      </c>
      <c r="F14" s="9" t="s">
        <v>730</v>
      </c>
      <c r="G14" s="9" t="s">
        <v>737</v>
      </c>
      <c r="H14" s="9" t="s">
        <v>29</v>
      </c>
      <c r="I14" s="11" t="s">
        <v>63</v>
      </c>
      <c r="J14" s="11" t="n">
        <v>0</v>
      </c>
    </row>
    <row r="15" customFormat="false" ht="15" hidden="false" customHeight="false" outlineLevel="0" collapsed="false">
      <c r="A15" s="9" t="s">
        <v>748</v>
      </c>
      <c r="B15" s="9" t="s">
        <v>156</v>
      </c>
      <c r="C15" s="9" t="s">
        <v>157</v>
      </c>
      <c r="D15" s="9" t="s">
        <v>749</v>
      </c>
      <c r="E15" s="9" t="s">
        <v>736</v>
      </c>
      <c r="F15" s="9" t="s">
        <v>730</v>
      </c>
      <c r="G15" s="9" t="s">
        <v>737</v>
      </c>
      <c r="H15" s="9" t="s">
        <v>29</v>
      </c>
      <c r="I15" s="11" t="s">
        <v>63</v>
      </c>
      <c r="J15" s="11" t="n">
        <v>0</v>
      </c>
    </row>
    <row r="16" customFormat="false" ht="15" hidden="false" customHeight="false" outlineLevel="0" collapsed="false">
      <c r="A16" s="9" t="s">
        <v>750</v>
      </c>
      <c r="B16" s="9" t="s">
        <v>156</v>
      </c>
      <c r="C16" s="9" t="s">
        <v>157</v>
      </c>
      <c r="D16" s="9" t="s">
        <v>751</v>
      </c>
      <c r="E16" s="9" t="s">
        <v>736</v>
      </c>
      <c r="F16" s="9" t="s">
        <v>730</v>
      </c>
      <c r="G16" s="9" t="s">
        <v>737</v>
      </c>
      <c r="H16" s="9" t="s">
        <v>29</v>
      </c>
      <c r="I16" s="11" t="s">
        <v>63</v>
      </c>
      <c r="J16" s="11" t="n">
        <v>0</v>
      </c>
    </row>
    <row r="17" customFormat="false" ht="15" hidden="false" customHeight="false" outlineLevel="0" collapsed="false">
      <c r="A17" s="9" t="s">
        <v>752</v>
      </c>
      <c r="B17" s="9" t="s">
        <v>156</v>
      </c>
      <c r="C17" s="9" t="s">
        <v>157</v>
      </c>
      <c r="D17" s="9" t="s">
        <v>753</v>
      </c>
      <c r="E17" s="9" t="s">
        <v>736</v>
      </c>
      <c r="F17" s="9" t="s">
        <v>730</v>
      </c>
      <c r="G17" s="9" t="s">
        <v>737</v>
      </c>
      <c r="H17" s="9" t="s">
        <v>29</v>
      </c>
      <c r="I17" s="11" t="s">
        <v>63</v>
      </c>
      <c r="J17" s="11" t="n">
        <v>0</v>
      </c>
    </row>
    <row r="18" customFormat="false" ht="15" hidden="false" customHeight="false" outlineLevel="0" collapsed="false">
      <c r="A18" s="9" t="s">
        <v>754</v>
      </c>
      <c r="B18" s="9" t="s">
        <v>156</v>
      </c>
      <c r="C18" s="9" t="s">
        <v>157</v>
      </c>
      <c r="D18" s="9" t="s">
        <v>755</v>
      </c>
      <c r="E18" s="9" t="s">
        <v>736</v>
      </c>
      <c r="F18" s="9" t="s">
        <v>730</v>
      </c>
      <c r="G18" s="9" t="s">
        <v>737</v>
      </c>
      <c r="H18" s="9" t="s">
        <v>29</v>
      </c>
      <c r="I18" s="11" t="s">
        <v>63</v>
      </c>
      <c r="J18" s="11" t="n">
        <v>0</v>
      </c>
    </row>
    <row r="19" customFormat="false" ht="15" hidden="false" customHeight="false" outlineLevel="0" collapsed="false">
      <c r="A19" s="9" t="s">
        <v>756</v>
      </c>
      <c r="B19" s="9" t="s">
        <v>210</v>
      </c>
      <c r="C19" s="9" t="s">
        <v>211</v>
      </c>
      <c r="D19" s="9" t="s">
        <v>729</v>
      </c>
      <c r="E19" s="9" t="s">
        <v>324</v>
      </c>
      <c r="F19" s="9" t="s">
        <v>730</v>
      </c>
      <c r="G19" s="9" t="s">
        <v>731</v>
      </c>
      <c r="H19" s="9" t="s">
        <v>29</v>
      </c>
      <c r="I19" s="11" t="s">
        <v>63</v>
      </c>
      <c r="J19" s="11" t="n">
        <v>0</v>
      </c>
    </row>
    <row r="20" customFormat="false" ht="15" hidden="false" customHeight="false" outlineLevel="0" collapsed="false">
      <c r="A20" s="9" t="s">
        <v>757</v>
      </c>
      <c r="B20" s="9" t="s">
        <v>210</v>
      </c>
      <c r="C20" s="9" t="s">
        <v>211</v>
      </c>
      <c r="D20" s="9" t="s">
        <v>733</v>
      </c>
      <c r="E20" s="9" t="s">
        <v>324</v>
      </c>
      <c r="F20" s="9" t="s">
        <v>730</v>
      </c>
      <c r="G20" s="9" t="s">
        <v>731</v>
      </c>
      <c r="H20" s="9" t="s">
        <v>29</v>
      </c>
      <c r="I20" s="11" t="s">
        <v>63</v>
      </c>
      <c r="J20" s="11" t="n">
        <v>0</v>
      </c>
    </row>
    <row r="21" customFormat="false" ht="15" hidden="false" customHeight="false" outlineLevel="0" collapsed="false">
      <c r="A21" s="9" t="s">
        <v>758</v>
      </c>
      <c r="B21" s="9" t="s">
        <v>210</v>
      </c>
      <c r="C21" s="9" t="s">
        <v>211</v>
      </c>
      <c r="D21" s="9" t="s">
        <v>735</v>
      </c>
      <c r="E21" s="9" t="s">
        <v>736</v>
      </c>
      <c r="F21" s="9" t="s">
        <v>730</v>
      </c>
      <c r="G21" s="9" t="s">
        <v>737</v>
      </c>
      <c r="H21" s="9" t="s">
        <v>29</v>
      </c>
      <c r="I21" s="11" t="s">
        <v>63</v>
      </c>
      <c r="J21" s="11" t="n">
        <v>0</v>
      </c>
    </row>
    <row r="22" customFormat="false" ht="15" hidden="false" customHeight="false" outlineLevel="0" collapsed="false">
      <c r="A22" s="9" t="s">
        <v>759</v>
      </c>
      <c r="B22" s="9" t="s">
        <v>210</v>
      </c>
      <c r="C22" s="9" t="s">
        <v>211</v>
      </c>
      <c r="D22" s="9" t="s">
        <v>739</v>
      </c>
      <c r="E22" s="9" t="s">
        <v>736</v>
      </c>
      <c r="F22" s="9" t="s">
        <v>730</v>
      </c>
      <c r="G22" s="9" t="s">
        <v>737</v>
      </c>
      <c r="H22" s="9" t="s">
        <v>29</v>
      </c>
      <c r="I22" s="11" t="s">
        <v>63</v>
      </c>
      <c r="J22" s="11" t="n">
        <v>0</v>
      </c>
    </row>
    <row r="23" customFormat="false" ht="15" hidden="false" customHeight="false" outlineLevel="0" collapsed="false">
      <c r="A23" s="9" t="s">
        <v>760</v>
      </c>
      <c r="B23" s="9" t="s">
        <v>210</v>
      </c>
      <c r="C23" s="9" t="s">
        <v>211</v>
      </c>
      <c r="D23" s="9" t="s">
        <v>741</v>
      </c>
      <c r="E23" s="9" t="s">
        <v>736</v>
      </c>
      <c r="F23" s="9" t="s">
        <v>730</v>
      </c>
      <c r="G23" s="9" t="s">
        <v>737</v>
      </c>
      <c r="H23" s="9" t="s">
        <v>29</v>
      </c>
      <c r="I23" s="11" t="s">
        <v>63</v>
      </c>
      <c r="J23" s="11" t="n">
        <v>0</v>
      </c>
    </row>
    <row r="24" customFormat="false" ht="15" hidden="false" customHeight="false" outlineLevel="0" collapsed="false">
      <c r="A24" s="9" t="s">
        <v>761</v>
      </c>
      <c r="B24" s="9" t="s">
        <v>210</v>
      </c>
      <c r="C24" s="9" t="s">
        <v>211</v>
      </c>
      <c r="D24" s="9" t="s">
        <v>743</v>
      </c>
      <c r="E24" s="9" t="s">
        <v>736</v>
      </c>
      <c r="F24" s="9" t="s">
        <v>730</v>
      </c>
      <c r="G24" s="9" t="s">
        <v>737</v>
      </c>
      <c r="H24" s="9" t="s">
        <v>29</v>
      </c>
      <c r="I24" s="11" t="s">
        <v>63</v>
      </c>
      <c r="J24" s="11" t="n">
        <v>0</v>
      </c>
    </row>
    <row r="25" customFormat="false" ht="15" hidden="false" customHeight="false" outlineLevel="0" collapsed="false">
      <c r="A25" s="9" t="s">
        <v>762</v>
      </c>
      <c r="B25" s="9" t="s">
        <v>210</v>
      </c>
      <c r="C25" s="9" t="s">
        <v>211</v>
      </c>
      <c r="D25" s="9" t="s">
        <v>745</v>
      </c>
      <c r="E25" s="9" t="s">
        <v>736</v>
      </c>
      <c r="F25" s="9" t="s">
        <v>730</v>
      </c>
      <c r="G25" s="9" t="s">
        <v>737</v>
      </c>
      <c r="H25" s="9" t="s">
        <v>29</v>
      </c>
      <c r="I25" s="11" t="s">
        <v>63</v>
      </c>
      <c r="J25" s="11" t="n">
        <v>0</v>
      </c>
    </row>
    <row r="26" customFormat="false" ht="15" hidden="false" customHeight="false" outlineLevel="0" collapsed="false">
      <c r="A26" s="9" t="s">
        <v>763</v>
      </c>
      <c r="B26" s="9" t="s">
        <v>210</v>
      </c>
      <c r="C26" s="9" t="s">
        <v>211</v>
      </c>
      <c r="D26" s="9" t="s">
        <v>747</v>
      </c>
      <c r="E26" s="9" t="s">
        <v>736</v>
      </c>
      <c r="F26" s="9" t="s">
        <v>730</v>
      </c>
      <c r="G26" s="9" t="s">
        <v>737</v>
      </c>
      <c r="H26" s="9" t="s">
        <v>29</v>
      </c>
      <c r="I26" s="11" t="s">
        <v>63</v>
      </c>
      <c r="J26" s="11" t="n">
        <v>0</v>
      </c>
    </row>
    <row r="27" customFormat="false" ht="15" hidden="false" customHeight="false" outlineLevel="0" collapsed="false">
      <c r="A27" s="9" t="s">
        <v>764</v>
      </c>
      <c r="B27" s="9" t="s">
        <v>210</v>
      </c>
      <c r="C27" s="9" t="s">
        <v>211</v>
      </c>
      <c r="D27" s="9" t="s">
        <v>749</v>
      </c>
      <c r="E27" s="9" t="s">
        <v>736</v>
      </c>
      <c r="F27" s="9" t="s">
        <v>730</v>
      </c>
      <c r="G27" s="9" t="s">
        <v>737</v>
      </c>
      <c r="H27" s="9" t="s">
        <v>29</v>
      </c>
      <c r="I27" s="11" t="s">
        <v>63</v>
      </c>
      <c r="J27" s="11" t="n">
        <v>0</v>
      </c>
    </row>
    <row r="28" customFormat="false" ht="15" hidden="false" customHeight="false" outlineLevel="0" collapsed="false">
      <c r="A28" s="9" t="s">
        <v>765</v>
      </c>
      <c r="B28" s="9" t="s">
        <v>210</v>
      </c>
      <c r="C28" s="9" t="s">
        <v>211</v>
      </c>
      <c r="D28" s="9" t="s">
        <v>751</v>
      </c>
      <c r="E28" s="9" t="s">
        <v>736</v>
      </c>
      <c r="F28" s="9" t="s">
        <v>730</v>
      </c>
      <c r="G28" s="9" t="s">
        <v>737</v>
      </c>
      <c r="H28" s="9" t="s">
        <v>29</v>
      </c>
      <c r="I28" s="11" t="s">
        <v>63</v>
      </c>
      <c r="J28" s="11" t="n">
        <v>0</v>
      </c>
    </row>
    <row r="29" customFormat="false" ht="15" hidden="false" customHeight="false" outlineLevel="0" collapsed="false">
      <c r="A29" s="9" t="s">
        <v>766</v>
      </c>
      <c r="B29" s="9" t="s">
        <v>210</v>
      </c>
      <c r="C29" s="9" t="s">
        <v>211</v>
      </c>
      <c r="D29" s="9" t="s">
        <v>753</v>
      </c>
      <c r="E29" s="9" t="s">
        <v>736</v>
      </c>
      <c r="F29" s="9" t="s">
        <v>730</v>
      </c>
      <c r="G29" s="9" t="s">
        <v>737</v>
      </c>
      <c r="H29" s="9" t="s">
        <v>29</v>
      </c>
      <c r="I29" s="11" t="s">
        <v>63</v>
      </c>
      <c r="J29" s="11" t="n">
        <v>0</v>
      </c>
    </row>
    <row r="30" customFormat="false" ht="15" hidden="false" customHeight="false" outlineLevel="0" collapsed="false">
      <c r="A30" s="9" t="s">
        <v>767</v>
      </c>
      <c r="B30" s="9" t="s">
        <v>210</v>
      </c>
      <c r="C30" s="9" t="s">
        <v>211</v>
      </c>
      <c r="D30" s="9" t="s">
        <v>755</v>
      </c>
      <c r="E30" s="9" t="s">
        <v>736</v>
      </c>
      <c r="F30" s="9" t="s">
        <v>730</v>
      </c>
      <c r="G30" s="9" t="s">
        <v>737</v>
      </c>
      <c r="H30" s="9" t="s">
        <v>29</v>
      </c>
      <c r="I30" s="11" t="s">
        <v>63</v>
      </c>
      <c r="J30" s="11" t="n">
        <v>0</v>
      </c>
    </row>
    <row r="31" customFormat="false" ht="15" hidden="false" customHeight="false" outlineLevel="0" collapsed="false">
      <c r="A31" s="9" t="s">
        <v>768</v>
      </c>
      <c r="B31" s="9" t="s">
        <v>230</v>
      </c>
      <c r="C31" s="9" t="s">
        <v>231</v>
      </c>
      <c r="D31" s="9" t="s">
        <v>729</v>
      </c>
      <c r="E31" s="9" t="s">
        <v>326</v>
      </c>
      <c r="F31" s="9" t="s">
        <v>730</v>
      </c>
      <c r="G31" s="9" t="s">
        <v>731</v>
      </c>
      <c r="H31" s="9" t="s">
        <v>29</v>
      </c>
      <c r="I31" s="11" t="s">
        <v>63</v>
      </c>
      <c r="J31" s="11" t="n">
        <v>0</v>
      </c>
    </row>
    <row r="32" customFormat="false" ht="15" hidden="false" customHeight="false" outlineLevel="0" collapsed="false">
      <c r="A32" s="9" t="s">
        <v>769</v>
      </c>
      <c r="B32" s="9" t="s">
        <v>230</v>
      </c>
      <c r="C32" s="9" t="s">
        <v>231</v>
      </c>
      <c r="D32" s="9" t="s">
        <v>733</v>
      </c>
      <c r="E32" s="9" t="s">
        <v>326</v>
      </c>
      <c r="F32" s="9" t="s">
        <v>730</v>
      </c>
      <c r="G32" s="9" t="s">
        <v>731</v>
      </c>
      <c r="H32" s="9" t="s">
        <v>29</v>
      </c>
      <c r="I32" s="11" t="s">
        <v>63</v>
      </c>
      <c r="J32" s="11" t="n">
        <v>0</v>
      </c>
    </row>
    <row r="33" customFormat="false" ht="15" hidden="false" customHeight="false" outlineLevel="0" collapsed="false">
      <c r="A33" s="9" t="s">
        <v>770</v>
      </c>
      <c r="B33" s="9" t="s">
        <v>230</v>
      </c>
      <c r="C33" s="9" t="s">
        <v>231</v>
      </c>
      <c r="D33" s="9" t="s">
        <v>735</v>
      </c>
      <c r="E33" s="9" t="s">
        <v>736</v>
      </c>
      <c r="F33" s="9" t="s">
        <v>730</v>
      </c>
      <c r="G33" s="9" t="s">
        <v>737</v>
      </c>
      <c r="H33" s="9" t="s">
        <v>29</v>
      </c>
      <c r="I33" s="11" t="s">
        <v>63</v>
      </c>
      <c r="J33" s="11" t="n">
        <v>0</v>
      </c>
    </row>
    <row r="34" customFormat="false" ht="15" hidden="false" customHeight="false" outlineLevel="0" collapsed="false">
      <c r="A34" s="9" t="s">
        <v>771</v>
      </c>
      <c r="B34" s="9" t="s">
        <v>230</v>
      </c>
      <c r="C34" s="9" t="s">
        <v>231</v>
      </c>
      <c r="D34" s="9" t="s">
        <v>739</v>
      </c>
      <c r="E34" s="9" t="s">
        <v>736</v>
      </c>
      <c r="F34" s="9" t="s">
        <v>730</v>
      </c>
      <c r="G34" s="9" t="s">
        <v>737</v>
      </c>
      <c r="H34" s="9" t="s">
        <v>29</v>
      </c>
      <c r="I34" s="11" t="s">
        <v>63</v>
      </c>
      <c r="J34" s="11" t="n">
        <v>0</v>
      </c>
    </row>
    <row r="35" customFormat="false" ht="15" hidden="false" customHeight="false" outlineLevel="0" collapsed="false">
      <c r="A35" s="9" t="s">
        <v>772</v>
      </c>
      <c r="B35" s="9" t="s">
        <v>230</v>
      </c>
      <c r="C35" s="9" t="s">
        <v>231</v>
      </c>
      <c r="D35" s="9" t="s">
        <v>741</v>
      </c>
      <c r="E35" s="9" t="s">
        <v>736</v>
      </c>
      <c r="F35" s="9" t="s">
        <v>730</v>
      </c>
      <c r="G35" s="9" t="s">
        <v>737</v>
      </c>
      <c r="H35" s="9" t="s">
        <v>29</v>
      </c>
      <c r="I35" s="11" t="s">
        <v>63</v>
      </c>
      <c r="J35" s="11" t="n">
        <v>0</v>
      </c>
    </row>
    <row r="36" customFormat="false" ht="15" hidden="false" customHeight="false" outlineLevel="0" collapsed="false">
      <c r="A36" s="9" t="s">
        <v>773</v>
      </c>
      <c r="B36" s="9" t="s">
        <v>230</v>
      </c>
      <c r="C36" s="9" t="s">
        <v>231</v>
      </c>
      <c r="D36" s="9" t="s">
        <v>743</v>
      </c>
      <c r="E36" s="9" t="s">
        <v>736</v>
      </c>
      <c r="F36" s="9" t="s">
        <v>730</v>
      </c>
      <c r="G36" s="9" t="s">
        <v>737</v>
      </c>
      <c r="H36" s="9" t="s">
        <v>29</v>
      </c>
      <c r="I36" s="11" t="s">
        <v>63</v>
      </c>
      <c r="J36" s="11" t="n">
        <v>0</v>
      </c>
    </row>
    <row r="37" customFormat="false" ht="15" hidden="false" customHeight="false" outlineLevel="0" collapsed="false">
      <c r="A37" s="9" t="s">
        <v>774</v>
      </c>
      <c r="B37" s="9" t="s">
        <v>230</v>
      </c>
      <c r="C37" s="9" t="s">
        <v>231</v>
      </c>
      <c r="D37" s="9" t="s">
        <v>745</v>
      </c>
      <c r="E37" s="9" t="s">
        <v>736</v>
      </c>
      <c r="F37" s="9" t="s">
        <v>730</v>
      </c>
      <c r="G37" s="9" t="s">
        <v>737</v>
      </c>
      <c r="H37" s="9" t="s">
        <v>29</v>
      </c>
      <c r="I37" s="11" t="s">
        <v>63</v>
      </c>
      <c r="J37" s="11" t="n">
        <v>0</v>
      </c>
    </row>
    <row r="38" customFormat="false" ht="15" hidden="false" customHeight="false" outlineLevel="0" collapsed="false">
      <c r="A38" s="9" t="s">
        <v>775</v>
      </c>
      <c r="B38" s="9" t="s">
        <v>230</v>
      </c>
      <c r="C38" s="9" t="s">
        <v>231</v>
      </c>
      <c r="D38" s="9" t="s">
        <v>747</v>
      </c>
      <c r="E38" s="9" t="s">
        <v>736</v>
      </c>
      <c r="F38" s="9" t="s">
        <v>730</v>
      </c>
      <c r="G38" s="9" t="s">
        <v>737</v>
      </c>
      <c r="H38" s="9" t="s">
        <v>29</v>
      </c>
      <c r="I38" s="11" t="s">
        <v>63</v>
      </c>
      <c r="J38" s="11" t="n">
        <v>0</v>
      </c>
    </row>
    <row r="39" customFormat="false" ht="15" hidden="false" customHeight="false" outlineLevel="0" collapsed="false">
      <c r="A39" s="9" t="s">
        <v>776</v>
      </c>
      <c r="B39" s="9" t="s">
        <v>230</v>
      </c>
      <c r="C39" s="9" t="s">
        <v>231</v>
      </c>
      <c r="D39" s="9" t="s">
        <v>749</v>
      </c>
      <c r="E39" s="9" t="s">
        <v>736</v>
      </c>
      <c r="F39" s="9" t="s">
        <v>730</v>
      </c>
      <c r="G39" s="9" t="s">
        <v>737</v>
      </c>
      <c r="H39" s="9" t="s">
        <v>29</v>
      </c>
      <c r="I39" s="11" t="s">
        <v>63</v>
      </c>
      <c r="J39" s="11" t="n">
        <v>0</v>
      </c>
    </row>
    <row r="40" customFormat="false" ht="15" hidden="false" customHeight="false" outlineLevel="0" collapsed="false">
      <c r="A40" s="9" t="s">
        <v>777</v>
      </c>
      <c r="B40" s="9" t="s">
        <v>230</v>
      </c>
      <c r="C40" s="9" t="s">
        <v>231</v>
      </c>
      <c r="D40" s="9" t="s">
        <v>751</v>
      </c>
      <c r="E40" s="9" t="s">
        <v>736</v>
      </c>
      <c r="F40" s="9" t="s">
        <v>730</v>
      </c>
      <c r="G40" s="9" t="s">
        <v>737</v>
      </c>
      <c r="H40" s="9" t="s">
        <v>29</v>
      </c>
      <c r="I40" s="11" t="s">
        <v>63</v>
      </c>
      <c r="J40" s="11" t="n">
        <v>0</v>
      </c>
    </row>
    <row r="41" customFormat="false" ht="15" hidden="false" customHeight="false" outlineLevel="0" collapsed="false">
      <c r="A41" s="9" t="s">
        <v>778</v>
      </c>
      <c r="B41" s="9" t="s">
        <v>230</v>
      </c>
      <c r="C41" s="9" t="s">
        <v>231</v>
      </c>
      <c r="D41" s="9" t="s">
        <v>753</v>
      </c>
      <c r="E41" s="9" t="s">
        <v>736</v>
      </c>
      <c r="F41" s="9" t="s">
        <v>730</v>
      </c>
      <c r="G41" s="9" t="s">
        <v>737</v>
      </c>
      <c r="H41" s="9" t="s">
        <v>29</v>
      </c>
      <c r="I41" s="11" t="s">
        <v>63</v>
      </c>
      <c r="J41" s="11" t="n">
        <v>0</v>
      </c>
    </row>
    <row r="42" customFormat="false" ht="15" hidden="false" customHeight="false" outlineLevel="0" collapsed="false">
      <c r="A42" s="9" t="s">
        <v>779</v>
      </c>
      <c r="B42" s="9" t="s">
        <v>230</v>
      </c>
      <c r="C42" s="9" t="s">
        <v>231</v>
      </c>
      <c r="D42" s="9" t="s">
        <v>755</v>
      </c>
      <c r="E42" s="9" t="s">
        <v>736</v>
      </c>
      <c r="F42" s="9" t="s">
        <v>730</v>
      </c>
      <c r="G42" s="9" t="s">
        <v>737</v>
      </c>
      <c r="H42" s="9" t="s">
        <v>29</v>
      </c>
      <c r="I42" s="11" t="s">
        <v>63</v>
      </c>
      <c r="J42" s="11" t="n">
        <v>0</v>
      </c>
    </row>
    <row r="43" customFormat="false" ht="15" hidden="false" customHeight="false" outlineLevel="0" collapsed="false">
      <c r="A43" s="9" t="s">
        <v>780</v>
      </c>
      <c r="B43" s="9" t="s">
        <v>250</v>
      </c>
      <c r="C43" s="9" t="s">
        <v>251</v>
      </c>
      <c r="D43" s="9" t="s">
        <v>729</v>
      </c>
      <c r="E43" s="9" t="s">
        <v>328</v>
      </c>
      <c r="F43" s="9" t="s">
        <v>730</v>
      </c>
      <c r="G43" s="9" t="s">
        <v>731</v>
      </c>
      <c r="H43" s="9" t="s">
        <v>29</v>
      </c>
      <c r="I43" s="11" t="s">
        <v>63</v>
      </c>
      <c r="J43" s="11" t="n">
        <v>0</v>
      </c>
    </row>
    <row r="44" customFormat="false" ht="15" hidden="false" customHeight="false" outlineLevel="0" collapsed="false">
      <c r="A44" s="9" t="s">
        <v>781</v>
      </c>
      <c r="B44" s="9" t="s">
        <v>250</v>
      </c>
      <c r="C44" s="9" t="s">
        <v>251</v>
      </c>
      <c r="D44" s="9" t="s">
        <v>733</v>
      </c>
      <c r="E44" s="9" t="s">
        <v>328</v>
      </c>
      <c r="F44" s="9" t="s">
        <v>730</v>
      </c>
      <c r="G44" s="9" t="s">
        <v>731</v>
      </c>
      <c r="H44" s="9" t="s">
        <v>29</v>
      </c>
      <c r="I44" s="11" t="s">
        <v>63</v>
      </c>
      <c r="J44" s="11" t="n">
        <v>0</v>
      </c>
    </row>
    <row r="45" customFormat="false" ht="15" hidden="false" customHeight="false" outlineLevel="0" collapsed="false">
      <c r="A45" s="9" t="s">
        <v>782</v>
      </c>
      <c r="B45" s="9" t="s">
        <v>250</v>
      </c>
      <c r="C45" s="9" t="s">
        <v>251</v>
      </c>
      <c r="D45" s="9" t="s">
        <v>735</v>
      </c>
      <c r="E45" s="9" t="s">
        <v>736</v>
      </c>
      <c r="F45" s="9" t="s">
        <v>730</v>
      </c>
      <c r="G45" s="9" t="s">
        <v>737</v>
      </c>
      <c r="H45" s="9" t="s">
        <v>29</v>
      </c>
      <c r="I45" s="11" t="s">
        <v>63</v>
      </c>
      <c r="J45" s="11" t="n">
        <v>0</v>
      </c>
    </row>
    <row r="46" customFormat="false" ht="15" hidden="false" customHeight="false" outlineLevel="0" collapsed="false">
      <c r="A46" s="9" t="s">
        <v>783</v>
      </c>
      <c r="B46" s="9" t="s">
        <v>250</v>
      </c>
      <c r="C46" s="9" t="s">
        <v>251</v>
      </c>
      <c r="D46" s="9" t="s">
        <v>739</v>
      </c>
      <c r="E46" s="9" t="s">
        <v>736</v>
      </c>
      <c r="F46" s="9" t="s">
        <v>730</v>
      </c>
      <c r="G46" s="9" t="s">
        <v>737</v>
      </c>
      <c r="H46" s="9" t="s">
        <v>29</v>
      </c>
      <c r="I46" s="11" t="s">
        <v>63</v>
      </c>
      <c r="J46" s="11" t="n">
        <v>0</v>
      </c>
    </row>
    <row r="47" customFormat="false" ht="15" hidden="false" customHeight="false" outlineLevel="0" collapsed="false">
      <c r="A47" s="9" t="s">
        <v>784</v>
      </c>
      <c r="B47" s="9" t="s">
        <v>250</v>
      </c>
      <c r="C47" s="9" t="s">
        <v>251</v>
      </c>
      <c r="D47" s="9" t="s">
        <v>741</v>
      </c>
      <c r="E47" s="9" t="s">
        <v>736</v>
      </c>
      <c r="F47" s="9" t="s">
        <v>730</v>
      </c>
      <c r="G47" s="9" t="s">
        <v>737</v>
      </c>
      <c r="H47" s="9" t="s">
        <v>29</v>
      </c>
      <c r="I47" s="11" t="s">
        <v>63</v>
      </c>
      <c r="J47" s="11" t="n">
        <v>0</v>
      </c>
    </row>
    <row r="48" customFormat="false" ht="15" hidden="false" customHeight="false" outlineLevel="0" collapsed="false">
      <c r="A48" s="9" t="s">
        <v>785</v>
      </c>
      <c r="B48" s="9" t="s">
        <v>250</v>
      </c>
      <c r="C48" s="9" t="s">
        <v>251</v>
      </c>
      <c r="D48" s="9" t="s">
        <v>743</v>
      </c>
      <c r="E48" s="9" t="s">
        <v>736</v>
      </c>
      <c r="F48" s="9" t="s">
        <v>730</v>
      </c>
      <c r="G48" s="9" t="s">
        <v>737</v>
      </c>
      <c r="H48" s="9" t="s">
        <v>29</v>
      </c>
      <c r="I48" s="11" t="s">
        <v>63</v>
      </c>
      <c r="J48" s="11" t="n">
        <v>0</v>
      </c>
    </row>
    <row r="49" customFormat="false" ht="15" hidden="false" customHeight="false" outlineLevel="0" collapsed="false">
      <c r="A49" s="9" t="s">
        <v>786</v>
      </c>
      <c r="B49" s="9" t="s">
        <v>250</v>
      </c>
      <c r="C49" s="9" t="s">
        <v>251</v>
      </c>
      <c r="D49" s="9" t="s">
        <v>745</v>
      </c>
      <c r="E49" s="9" t="s">
        <v>736</v>
      </c>
      <c r="F49" s="9" t="s">
        <v>730</v>
      </c>
      <c r="G49" s="9" t="s">
        <v>737</v>
      </c>
      <c r="H49" s="9" t="s">
        <v>29</v>
      </c>
      <c r="I49" s="11" t="s">
        <v>63</v>
      </c>
      <c r="J49" s="11" t="n">
        <v>0</v>
      </c>
    </row>
    <row r="50" customFormat="false" ht="15" hidden="false" customHeight="false" outlineLevel="0" collapsed="false">
      <c r="A50" s="9" t="s">
        <v>787</v>
      </c>
      <c r="B50" s="9" t="s">
        <v>250</v>
      </c>
      <c r="C50" s="9" t="s">
        <v>251</v>
      </c>
      <c r="D50" s="9" t="s">
        <v>747</v>
      </c>
      <c r="E50" s="9" t="s">
        <v>736</v>
      </c>
      <c r="F50" s="9" t="s">
        <v>730</v>
      </c>
      <c r="G50" s="9" t="s">
        <v>737</v>
      </c>
      <c r="H50" s="9" t="s">
        <v>29</v>
      </c>
      <c r="I50" s="11" t="s">
        <v>63</v>
      </c>
      <c r="J50" s="11" t="n">
        <v>0</v>
      </c>
    </row>
    <row r="51" customFormat="false" ht="15" hidden="false" customHeight="false" outlineLevel="0" collapsed="false">
      <c r="A51" s="9" t="s">
        <v>788</v>
      </c>
      <c r="B51" s="9" t="s">
        <v>250</v>
      </c>
      <c r="C51" s="9" t="s">
        <v>251</v>
      </c>
      <c r="D51" s="9" t="s">
        <v>749</v>
      </c>
      <c r="E51" s="9" t="s">
        <v>736</v>
      </c>
      <c r="F51" s="9" t="s">
        <v>730</v>
      </c>
      <c r="G51" s="9" t="s">
        <v>737</v>
      </c>
      <c r="H51" s="9" t="s">
        <v>29</v>
      </c>
      <c r="I51" s="11" t="s">
        <v>63</v>
      </c>
      <c r="J51" s="11" t="n">
        <v>0</v>
      </c>
    </row>
    <row r="52" customFormat="false" ht="15" hidden="false" customHeight="false" outlineLevel="0" collapsed="false">
      <c r="A52" s="9" t="s">
        <v>789</v>
      </c>
      <c r="B52" s="9" t="s">
        <v>250</v>
      </c>
      <c r="C52" s="9" t="s">
        <v>251</v>
      </c>
      <c r="D52" s="9" t="s">
        <v>751</v>
      </c>
      <c r="E52" s="9" t="s">
        <v>736</v>
      </c>
      <c r="F52" s="9" t="s">
        <v>730</v>
      </c>
      <c r="G52" s="9" t="s">
        <v>737</v>
      </c>
      <c r="H52" s="9" t="s">
        <v>29</v>
      </c>
      <c r="I52" s="11" t="s">
        <v>63</v>
      </c>
      <c r="J52" s="11" t="n">
        <v>0</v>
      </c>
    </row>
    <row r="53" customFormat="false" ht="15" hidden="false" customHeight="false" outlineLevel="0" collapsed="false">
      <c r="A53" s="9" t="s">
        <v>790</v>
      </c>
      <c r="B53" s="9" t="s">
        <v>250</v>
      </c>
      <c r="C53" s="9" t="s">
        <v>251</v>
      </c>
      <c r="D53" s="9" t="s">
        <v>753</v>
      </c>
      <c r="E53" s="9" t="s">
        <v>736</v>
      </c>
      <c r="F53" s="9" t="s">
        <v>730</v>
      </c>
      <c r="G53" s="9" t="s">
        <v>737</v>
      </c>
      <c r="H53" s="9" t="s">
        <v>29</v>
      </c>
      <c r="I53" s="11" t="s">
        <v>63</v>
      </c>
      <c r="J53" s="11" t="n">
        <v>0</v>
      </c>
    </row>
    <row r="54" customFormat="false" ht="15" hidden="false" customHeight="false" outlineLevel="0" collapsed="false">
      <c r="A54" s="9" t="s">
        <v>791</v>
      </c>
      <c r="B54" s="9" t="s">
        <v>250</v>
      </c>
      <c r="C54" s="9" t="s">
        <v>251</v>
      </c>
      <c r="D54" s="9" t="s">
        <v>755</v>
      </c>
      <c r="E54" s="9" t="s">
        <v>736</v>
      </c>
      <c r="F54" s="9" t="s">
        <v>730</v>
      </c>
      <c r="G54" s="9" t="s">
        <v>737</v>
      </c>
      <c r="H54" s="9" t="s">
        <v>29</v>
      </c>
      <c r="I54" s="11" t="s">
        <v>63</v>
      </c>
      <c r="J54" s="11" t="n">
        <v>0</v>
      </c>
    </row>
    <row r="55" customFormat="false" ht="15" hidden="false" customHeight="false" outlineLevel="0" collapsed="false">
      <c r="A55" s="9" t="s">
        <v>792</v>
      </c>
      <c r="B55" s="9" t="s">
        <v>270</v>
      </c>
      <c r="C55" s="9" t="s">
        <v>271</v>
      </c>
      <c r="D55" s="9" t="s">
        <v>729</v>
      </c>
      <c r="E55" s="9" t="s">
        <v>331</v>
      </c>
      <c r="F55" s="9" t="s">
        <v>730</v>
      </c>
      <c r="G55" s="9" t="s">
        <v>731</v>
      </c>
      <c r="H55" s="9" t="s">
        <v>29</v>
      </c>
      <c r="I55" s="11" t="s">
        <v>63</v>
      </c>
      <c r="J55" s="11" t="n">
        <v>0</v>
      </c>
    </row>
    <row r="56" customFormat="false" ht="15" hidden="false" customHeight="false" outlineLevel="0" collapsed="false">
      <c r="A56" s="9" t="s">
        <v>793</v>
      </c>
      <c r="B56" s="9" t="s">
        <v>270</v>
      </c>
      <c r="C56" s="9" t="s">
        <v>271</v>
      </c>
      <c r="D56" s="9" t="s">
        <v>733</v>
      </c>
      <c r="E56" s="9" t="s">
        <v>331</v>
      </c>
      <c r="F56" s="9" t="s">
        <v>730</v>
      </c>
      <c r="G56" s="9" t="s">
        <v>731</v>
      </c>
      <c r="H56" s="9" t="s">
        <v>29</v>
      </c>
      <c r="I56" s="11" t="s">
        <v>63</v>
      </c>
      <c r="J56" s="11" t="n">
        <v>0</v>
      </c>
    </row>
    <row r="57" customFormat="false" ht="15" hidden="false" customHeight="false" outlineLevel="0" collapsed="false">
      <c r="A57" s="9" t="s">
        <v>794</v>
      </c>
      <c r="B57" s="9" t="s">
        <v>270</v>
      </c>
      <c r="C57" s="9" t="s">
        <v>271</v>
      </c>
      <c r="D57" s="9" t="s">
        <v>735</v>
      </c>
      <c r="E57" s="9" t="s">
        <v>736</v>
      </c>
      <c r="F57" s="9" t="s">
        <v>730</v>
      </c>
      <c r="G57" s="9" t="s">
        <v>737</v>
      </c>
      <c r="H57" s="9" t="s">
        <v>29</v>
      </c>
      <c r="I57" s="11" t="s">
        <v>63</v>
      </c>
      <c r="J57" s="11" t="n">
        <v>0</v>
      </c>
    </row>
    <row r="58" customFormat="false" ht="15" hidden="false" customHeight="false" outlineLevel="0" collapsed="false">
      <c r="A58" s="9" t="s">
        <v>795</v>
      </c>
      <c r="B58" s="9" t="s">
        <v>270</v>
      </c>
      <c r="C58" s="9" t="s">
        <v>271</v>
      </c>
      <c r="D58" s="9" t="s">
        <v>739</v>
      </c>
      <c r="E58" s="9" t="s">
        <v>736</v>
      </c>
      <c r="F58" s="9" t="s">
        <v>730</v>
      </c>
      <c r="G58" s="9" t="s">
        <v>737</v>
      </c>
      <c r="H58" s="9" t="s">
        <v>29</v>
      </c>
      <c r="I58" s="11" t="s">
        <v>63</v>
      </c>
      <c r="J58" s="11" t="n">
        <v>0</v>
      </c>
    </row>
    <row r="59" customFormat="false" ht="15" hidden="false" customHeight="false" outlineLevel="0" collapsed="false">
      <c r="A59" s="9" t="s">
        <v>796</v>
      </c>
      <c r="B59" s="9" t="s">
        <v>270</v>
      </c>
      <c r="C59" s="9" t="s">
        <v>271</v>
      </c>
      <c r="D59" s="9" t="s">
        <v>741</v>
      </c>
      <c r="E59" s="9" t="s">
        <v>736</v>
      </c>
      <c r="F59" s="9" t="s">
        <v>730</v>
      </c>
      <c r="G59" s="9" t="s">
        <v>737</v>
      </c>
      <c r="H59" s="9" t="s">
        <v>29</v>
      </c>
      <c r="I59" s="11" t="s">
        <v>63</v>
      </c>
      <c r="J59" s="11" t="n">
        <v>0</v>
      </c>
    </row>
    <row r="60" customFormat="false" ht="15" hidden="false" customHeight="false" outlineLevel="0" collapsed="false">
      <c r="A60" s="9" t="s">
        <v>797</v>
      </c>
      <c r="B60" s="9" t="s">
        <v>270</v>
      </c>
      <c r="C60" s="9" t="s">
        <v>271</v>
      </c>
      <c r="D60" s="9" t="s">
        <v>743</v>
      </c>
      <c r="E60" s="9" t="s">
        <v>736</v>
      </c>
      <c r="F60" s="9" t="s">
        <v>730</v>
      </c>
      <c r="G60" s="9" t="s">
        <v>737</v>
      </c>
      <c r="H60" s="9" t="s">
        <v>29</v>
      </c>
      <c r="I60" s="11" t="s">
        <v>63</v>
      </c>
      <c r="J60" s="11" t="n">
        <v>0</v>
      </c>
    </row>
    <row r="61" customFormat="false" ht="15" hidden="false" customHeight="false" outlineLevel="0" collapsed="false">
      <c r="A61" s="9" t="s">
        <v>798</v>
      </c>
      <c r="B61" s="9" t="s">
        <v>270</v>
      </c>
      <c r="C61" s="9" t="s">
        <v>271</v>
      </c>
      <c r="D61" s="9" t="s">
        <v>745</v>
      </c>
      <c r="E61" s="9" t="s">
        <v>736</v>
      </c>
      <c r="F61" s="9" t="s">
        <v>730</v>
      </c>
      <c r="G61" s="9" t="s">
        <v>737</v>
      </c>
      <c r="H61" s="9" t="s">
        <v>29</v>
      </c>
      <c r="I61" s="11" t="s">
        <v>63</v>
      </c>
      <c r="J61" s="11" t="n">
        <v>0</v>
      </c>
    </row>
    <row r="62" customFormat="false" ht="15" hidden="false" customHeight="false" outlineLevel="0" collapsed="false">
      <c r="A62" s="9" t="s">
        <v>799</v>
      </c>
      <c r="B62" s="9" t="s">
        <v>270</v>
      </c>
      <c r="C62" s="9" t="s">
        <v>271</v>
      </c>
      <c r="D62" s="9" t="s">
        <v>747</v>
      </c>
      <c r="E62" s="9" t="s">
        <v>736</v>
      </c>
      <c r="F62" s="9" t="s">
        <v>730</v>
      </c>
      <c r="G62" s="9" t="s">
        <v>737</v>
      </c>
      <c r="H62" s="9" t="s">
        <v>29</v>
      </c>
      <c r="I62" s="11" t="s">
        <v>63</v>
      </c>
      <c r="J62" s="11" t="n">
        <v>0</v>
      </c>
    </row>
    <row r="63" customFormat="false" ht="15" hidden="false" customHeight="false" outlineLevel="0" collapsed="false">
      <c r="A63" s="9" t="s">
        <v>800</v>
      </c>
      <c r="B63" s="9" t="s">
        <v>270</v>
      </c>
      <c r="C63" s="9" t="s">
        <v>271</v>
      </c>
      <c r="D63" s="9" t="s">
        <v>749</v>
      </c>
      <c r="E63" s="9" t="s">
        <v>736</v>
      </c>
      <c r="F63" s="9" t="s">
        <v>730</v>
      </c>
      <c r="G63" s="9" t="s">
        <v>737</v>
      </c>
      <c r="H63" s="9" t="s">
        <v>29</v>
      </c>
      <c r="I63" s="11" t="s">
        <v>63</v>
      </c>
      <c r="J63" s="11" t="n">
        <v>0</v>
      </c>
    </row>
    <row r="64" customFormat="false" ht="15" hidden="false" customHeight="false" outlineLevel="0" collapsed="false">
      <c r="A64" s="9" t="s">
        <v>801</v>
      </c>
      <c r="B64" s="9" t="s">
        <v>270</v>
      </c>
      <c r="C64" s="9" t="s">
        <v>271</v>
      </c>
      <c r="D64" s="9" t="s">
        <v>751</v>
      </c>
      <c r="E64" s="9" t="s">
        <v>736</v>
      </c>
      <c r="F64" s="9" t="s">
        <v>730</v>
      </c>
      <c r="G64" s="9" t="s">
        <v>737</v>
      </c>
      <c r="H64" s="9" t="s">
        <v>29</v>
      </c>
      <c r="I64" s="11" t="s">
        <v>63</v>
      </c>
      <c r="J64" s="11" t="n">
        <v>0</v>
      </c>
    </row>
    <row r="65" customFormat="false" ht="15" hidden="false" customHeight="false" outlineLevel="0" collapsed="false">
      <c r="A65" s="9" t="s">
        <v>802</v>
      </c>
      <c r="B65" s="9" t="s">
        <v>270</v>
      </c>
      <c r="C65" s="9" t="s">
        <v>271</v>
      </c>
      <c r="D65" s="9" t="s">
        <v>753</v>
      </c>
      <c r="E65" s="9" t="s">
        <v>736</v>
      </c>
      <c r="F65" s="9" t="s">
        <v>730</v>
      </c>
      <c r="G65" s="9" t="s">
        <v>737</v>
      </c>
      <c r="H65" s="9" t="s">
        <v>29</v>
      </c>
      <c r="I65" s="11" t="s">
        <v>63</v>
      </c>
      <c r="J65" s="11" t="n">
        <v>0</v>
      </c>
    </row>
    <row r="66" customFormat="false" ht="15" hidden="false" customHeight="false" outlineLevel="0" collapsed="false">
      <c r="A66" s="9" t="s">
        <v>803</v>
      </c>
      <c r="B66" s="9" t="s">
        <v>270</v>
      </c>
      <c r="C66" s="9" t="s">
        <v>271</v>
      </c>
      <c r="D66" s="9" t="s">
        <v>755</v>
      </c>
      <c r="E66" s="9" t="s">
        <v>736</v>
      </c>
      <c r="F66" s="9" t="s">
        <v>730</v>
      </c>
      <c r="G66" s="9" t="s">
        <v>737</v>
      </c>
      <c r="H66" s="9" t="s">
        <v>29</v>
      </c>
      <c r="I66" s="11" t="s">
        <v>63</v>
      </c>
      <c r="J66" s="11" t="n">
        <v>0</v>
      </c>
    </row>
    <row r="67" customFormat="false" ht="15" hidden="false" customHeight="false" outlineLevel="0" collapsed="false">
      <c r="A67" s="9" t="s">
        <v>804</v>
      </c>
      <c r="B67" s="9" t="s">
        <v>290</v>
      </c>
      <c r="C67" s="9" t="s">
        <v>291</v>
      </c>
      <c r="D67" s="9" t="s">
        <v>729</v>
      </c>
      <c r="E67" s="9" t="s">
        <v>333</v>
      </c>
      <c r="F67" s="9" t="s">
        <v>730</v>
      </c>
      <c r="G67" s="9" t="s">
        <v>731</v>
      </c>
      <c r="H67" s="9" t="s">
        <v>29</v>
      </c>
      <c r="I67" s="11" t="s">
        <v>63</v>
      </c>
      <c r="J67" s="11" t="n">
        <v>0</v>
      </c>
    </row>
    <row r="68" customFormat="false" ht="15" hidden="false" customHeight="false" outlineLevel="0" collapsed="false">
      <c r="A68" s="9" t="s">
        <v>805</v>
      </c>
      <c r="B68" s="9" t="s">
        <v>290</v>
      </c>
      <c r="C68" s="9" t="s">
        <v>291</v>
      </c>
      <c r="D68" s="9" t="s">
        <v>733</v>
      </c>
      <c r="E68" s="9" t="s">
        <v>333</v>
      </c>
      <c r="F68" s="9" t="s">
        <v>730</v>
      </c>
      <c r="G68" s="9" t="s">
        <v>731</v>
      </c>
      <c r="H68" s="9" t="s">
        <v>29</v>
      </c>
      <c r="I68" s="11" t="s">
        <v>63</v>
      </c>
      <c r="J68" s="11" t="n">
        <v>0</v>
      </c>
    </row>
    <row r="69" customFormat="false" ht="15" hidden="false" customHeight="false" outlineLevel="0" collapsed="false">
      <c r="A69" s="9" t="s">
        <v>806</v>
      </c>
      <c r="B69" s="9" t="s">
        <v>290</v>
      </c>
      <c r="C69" s="9" t="s">
        <v>291</v>
      </c>
      <c r="D69" s="9" t="s">
        <v>735</v>
      </c>
      <c r="E69" s="9" t="s">
        <v>736</v>
      </c>
      <c r="F69" s="9" t="s">
        <v>730</v>
      </c>
      <c r="G69" s="9" t="s">
        <v>737</v>
      </c>
      <c r="H69" s="9" t="s">
        <v>29</v>
      </c>
      <c r="I69" s="11" t="s">
        <v>63</v>
      </c>
      <c r="J69" s="11" t="n">
        <v>0</v>
      </c>
    </row>
    <row r="70" customFormat="false" ht="15" hidden="false" customHeight="false" outlineLevel="0" collapsed="false">
      <c r="A70" s="9" t="s">
        <v>807</v>
      </c>
      <c r="B70" s="9" t="s">
        <v>290</v>
      </c>
      <c r="C70" s="9" t="s">
        <v>291</v>
      </c>
      <c r="D70" s="9" t="s">
        <v>739</v>
      </c>
      <c r="E70" s="9" t="s">
        <v>736</v>
      </c>
      <c r="F70" s="9" t="s">
        <v>730</v>
      </c>
      <c r="G70" s="9" t="s">
        <v>737</v>
      </c>
      <c r="H70" s="9" t="s">
        <v>29</v>
      </c>
      <c r="I70" s="11" t="s">
        <v>63</v>
      </c>
      <c r="J70" s="11" t="n">
        <v>0</v>
      </c>
    </row>
    <row r="71" customFormat="false" ht="15" hidden="false" customHeight="false" outlineLevel="0" collapsed="false">
      <c r="A71" s="9" t="s">
        <v>808</v>
      </c>
      <c r="B71" s="9" t="s">
        <v>290</v>
      </c>
      <c r="C71" s="9" t="s">
        <v>291</v>
      </c>
      <c r="D71" s="9" t="s">
        <v>741</v>
      </c>
      <c r="E71" s="9" t="s">
        <v>736</v>
      </c>
      <c r="F71" s="9" t="s">
        <v>730</v>
      </c>
      <c r="G71" s="9" t="s">
        <v>737</v>
      </c>
      <c r="H71" s="9" t="s">
        <v>29</v>
      </c>
      <c r="I71" s="11" t="s">
        <v>63</v>
      </c>
      <c r="J71" s="11" t="n">
        <v>0</v>
      </c>
    </row>
    <row r="72" customFormat="false" ht="15" hidden="false" customHeight="false" outlineLevel="0" collapsed="false">
      <c r="A72" s="9" t="s">
        <v>809</v>
      </c>
      <c r="B72" s="9" t="s">
        <v>290</v>
      </c>
      <c r="C72" s="9" t="s">
        <v>291</v>
      </c>
      <c r="D72" s="9" t="s">
        <v>743</v>
      </c>
      <c r="E72" s="9" t="s">
        <v>736</v>
      </c>
      <c r="F72" s="9" t="s">
        <v>730</v>
      </c>
      <c r="G72" s="9" t="s">
        <v>737</v>
      </c>
      <c r="H72" s="9" t="s">
        <v>29</v>
      </c>
      <c r="I72" s="11" t="s">
        <v>63</v>
      </c>
      <c r="J72" s="11" t="n">
        <v>0</v>
      </c>
    </row>
    <row r="73" customFormat="false" ht="15" hidden="false" customHeight="false" outlineLevel="0" collapsed="false">
      <c r="A73" s="9" t="s">
        <v>810</v>
      </c>
      <c r="B73" s="9" t="s">
        <v>290</v>
      </c>
      <c r="C73" s="9" t="s">
        <v>291</v>
      </c>
      <c r="D73" s="9" t="s">
        <v>745</v>
      </c>
      <c r="E73" s="9" t="s">
        <v>736</v>
      </c>
      <c r="F73" s="9" t="s">
        <v>730</v>
      </c>
      <c r="G73" s="9" t="s">
        <v>737</v>
      </c>
      <c r="H73" s="9" t="s">
        <v>29</v>
      </c>
      <c r="I73" s="11" t="s">
        <v>63</v>
      </c>
      <c r="J73" s="11" t="n">
        <v>0</v>
      </c>
    </row>
    <row r="74" customFormat="false" ht="15" hidden="false" customHeight="false" outlineLevel="0" collapsed="false">
      <c r="A74" s="9" t="s">
        <v>811</v>
      </c>
      <c r="B74" s="9" t="s">
        <v>290</v>
      </c>
      <c r="C74" s="9" t="s">
        <v>291</v>
      </c>
      <c r="D74" s="9" t="s">
        <v>747</v>
      </c>
      <c r="E74" s="9" t="s">
        <v>736</v>
      </c>
      <c r="F74" s="9" t="s">
        <v>730</v>
      </c>
      <c r="G74" s="9" t="s">
        <v>737</v>
      </c>
      <c r="H74" s="9" t="s">
        <v>29</v>
      </c>
      <c r="I74" s="11" t="s">
        <v>63</v>
      </c>
      <c r="J74" s="11" t="n">
        <v>0</v>
      </c>
    </row>
    <row r="75" customFormat="false" ht="15" hidden="false" customHeight="false" outlineLevel="0" collapsed="false">
      <c r="A75" s="9" t="s">
        <v>812</v>
      </c>
      <c r="B75" s="9" t="s">
        <v>290</v>
      </c>
      <c r="C75" s="9" t="s">
        <v>291</v>
      </c>
      <c r="D75" s="9" t="s">
        <v>749</v>
      </c>
      <c r="E75" s="9" t="s">
        <v>736</v>
      </c>
      <c r="F75" s="9" t="s">
        <v>730</v>
      </c>
      <c r="G75" s="9" t="s">
        <v>737</v>
      </c>
      <c r="H75" s="9" t="s">
        <v>29</v>
      </c>
      <c r="I75" s="11" t="s">
        <v>63</v>
      </c>
      <c r="J75" s="11" t="n">
        <v>0</v>
      </c>
    </row>
    <row r="76" customFormat="false" ht="15" hidden="false" customHeight="false" outlineLevel="0" collapsed="false">
      <c r="A76" s="9" t="s">
        <v>813</v>
      </c>
      <c r="B76" s="9" t="s">
        <v>290</v>
      </c>
      <c r="C76" s="9" t="s">
        <v>291</v>
      </c>
      <c r="D76" s="9" t="s">
        <v>751</v>
      </c>
      <c r="E76" s="9" t="s">
        <v>736</v>
      </c>
      <c r="F76" s="9" t="s">
        <v>730</v>
      </c>
      <c r="G76" s="9" t="s">
        <v>737</v>
      </c>
      <c r="H76" s="9" t="s">
        <v>29</v>
      </c>
      <c r="I76" s="11" t="s">
        <v>63</v>
      </c>
      <c r="J76" s="11" t="n">
        <v>0</v>
      </c>
    </row>
    <row r="77" customFormat="false" ht="15" hidden="false" customHeight="false" outlineLevel="0" collapsed="false">
      <c r="A77" s="9" t="s">
        <v>814</v>
      </c>
      <c r="B77" s="9" t="s">
        <v>290</v>
      </c>
      <c r="C77" s="9" t="s">
        <v>291</v>
      </c>
      <c r="D77" s="9" t="s">
        <v>753</v>
      </c>
      <c r="E77" s="9" t="s">
        <v>736</v>
      </c>
      <c r="F77" s="9" t="s">
        <v>730</v>
      </c>
      <c r="G77" s="9" t="s">
        <v>737</v>
      </c>
      <c r="H77" s="9" t="s">
        <v>29</v>
      </c>
      <c r="I77" s="11" t="s">
        <v>63</v>
      </c>
      <c r="J77" s="11" t="n">
        <v>0</v>
      </c>
    </row>
    <row r="78" customFormat="false" ht="15" hidden="false" customHeight="false" outlineLevel="0" collapsed="false">
      <c r="A78" s="12" t="s">
        <v>815</v>
      </c>
      <c r="B78" s="12" t="s">
        <v>290</v>
      </c>
      <c r="C78" s="12" t="s">
        <v>291</v>
      </c>
      <c r="D78" s="12" t="s">
        <v>755</v>
      </c>
      <c r="E78" s="12" t="s">
        <v>736</v>
      </c>
      <c r="F78" s="12" t="s">
        <v>730</v>
      </c>
      <c r="G78" s="12" t="s">
        <v>737</v>
      </c>
      <c r="H78" s="12" t="s">
        <v>29</v>
      </c>
      <c r="I78" s="14" t="s">
        <v>63</v>
      </c>
      <c r="J78" s="14" t="n">
        <v>0</v>
      </c>
    </row>
  </sheetData>
  <mergeCells count="2">
    <mergeCell ref="A2:J2"/>
    <mergeCell ref="A4:J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5" min="5" style="0" width="66"/>
    <col collapsed="false" customWidth="true" hidden="false" outlineLevel="0" max="6" min="6" style="0" width="34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37"/>
    <col collapsed="false" customWidth="true" hidden="false" outlineLevel="0" max="10" min="10" style="0" width="19"/>
    <col collapsed="false" customWidth="true" hidden="false" outlineLevel="0" max="11" min="11" style="0" width="15"/>
    <col collapsed="false" customWidth="true" hidden="false" outlineLevel="0" max="12" min="12" style="0" width="13"/>
  </cols>
  <sheetData>
    <row r="2" customFormat="false" ht="24" hidden="false" customHeight="true" outlineLevel="0" collapsed="false">
      <c r="A2" s="1" t="s">
        <v>816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3" t="s">
        <v>817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customFormat="false" ht="23" hidden="false" customHeight="true" outlineLevel="0" collapsed="false">
      <c r="A6" s="5" t="s">
        <v>818</v>
      </c>
      <c r="B6" s="6" t="s">
        <v>147</v>
      </c>
      <c r="C6" s="6" t="s">
        <v>148</v>
      </c>
      <c r="D6" s="6" t="s">
        <v>819</v>
      </c>
      <c r="E6" s="6" t="s">
        <v>820</v>
      </c>
      <c r="F6" s="6" t="s">
        <v>821</v>
      </c>
      <c r="G6" s="6" t="s">
        <v>353</v>
      </c>
      <c r="H6" s="6" t="s">
        <v>822</v>
      </c>
      <c r="I6" s="6" t="s">
        <v>823</v>
      </c>
      <c r="J6" s="6" t="s">
        <v>356</v>
      </c>
      <c r="K6" s="6" t="s">
        <v>824</v>
      </c>
      <c r="L6" s="7" t="s">
        <v>357</v>
      </c>
    </row>
    <row r="7" customFormat="false" ht="15" hidden="false" customHeight="false" outlineLevel="0" collapsed="false">
      <c r="A7" s="8" t="s">
        <v>825</v>
      </c>
      <c r="B7" s="8" t="s">
        <v>156</v>
      </c>
      <c r="C7" s="8" t="s">
        <v>157</v>
      </c>
      <c r="D7" s="8" t="s">
        <v>510</v>
      </c>
      <c r="E7" s="8" t="s">
        <v>320</v>
      </c>
      <c r="F7" s="8" t="s">
        <v>826</v>
      </c>
      <c r="G7" s="8" t="s">
        <v>361</v>
      </c>
      <c r="H7" s="8" t="n">
        <v>1</v>
      </c>
      <c r="I7" s="8" t="s">
        <v>827</v>
      </c>
      <c r="J7" s="29" t="s">
        <v>63</v>
      </c>
      <c r="K7" s="29" t="s">
        <v>828</v>
      </c>
      <c r="L7" s="29" t="n">
        <v>0</v>
      </c>
    </row>
    <row r="8" customFormat="false" ht="15" hidden="false" customHeight="false" outlineLevel="0" collapsed="false">
      <c r="A8" s="9" t="s">
        <v>829</v>
      </c>
      <c r="B8" s="9" t="s">
        <v>156</v>
      </c>
      <c r="C8" s="9" t="s">
        <v>157</v>
      </c>
      <c r="D8" s="9" t="s">
        <v>830</v>
      </c>
      <c r="E8" s="9" t="s">
        <v>321</v>
      </c>
      <c r="F8" s="9" t="s">
        <v>831</v>
      </c>
      <c r="G8" s="9" t="s">
        <v>832</v>
      </c>
      <c r="H8" s="9" t="n">
        <v>1</v>
      </c>
      <c r="I8" s="9" t="s">
        <v>833</v>
      </c>
      <c r="J8" s="11" t="s">
        <v>63</v>
      </c>
      <c r="K8" s="11" t="s">
        <v>828</v>
      </c>
      <c r="L8" s="11" t="n">
        <v>0</v>
      </c>
    </row>
    <row r="9" customFormat="false" ht="15" hidden="false" customHeight="false" outlineLevel="0" collapsed="false">
      <c r="A9" s="9" t="s">
        <v>834</v>
      </c>
      <c r="B9" s="9" t="s">
        <v>210</v>
      </c>
      <c r="C9" s="9" t="s">
        <v>211</v>
      </c>
      <c r="D9" s="9" t="s">
        <v>510</v>
      </c>
      <c r="E9" s="9" t="s">
        <v>323</v>
      </c>
      <c r="F9" s="9" t="s">
        <v>826</v>
      </c>
      <c r="G9" s="9" t="s">
        <v>361</v>
      </c>
      <c r="H9" s="9" t="n">
        <v>1</v>
      </c>
      <c r="I9" s="9" t="s">
        <v>827</v>
      </c>
      <c r="J9" s="11" t="s">
        <v>63</v>
      </c>
      <c r="K9" s="11" t="s">
        <v>828</v>
      </c>
      <c r="L9" s="11" t="n">
        <v>0</v>
      </c>
    </row>
    <row r="10" customFormat="false" ht="15" hidden="false" customHeight="false" outlineLevel="0" collapsed="false">
      <c r="A10" s="9" t="s">
        <v>835</v>
      </c>
      <c r="B10" s="9" t="s">
        <v>210</v>
      </c>
      <c r="C10" s="9" t="s">
        <v>211</v>
      </c>
      <c r="D10" s="9" t="s">
        <v>830</v>
      </c>
      <c r="E10" s="9" t="s">
        <v>324</v>
      </c>
      <c r="F10" s="9" t="s">
        <v>831</v>
      </c>
      <c r="G10" s="9" t="s">
        <v>832</v>
      </c>
      <c r="H10" s="9" t="n">
        <v>1</v>
      </c>
      <c r="I10" s="9" t="s">
        <v>833</v>
      </c>
      <c r="J10" s="11" t="s">
        <v>63</v>
      </c>
      <c r="K10" s="11" t="s">
        <v>828</v>
      </c>
      <c r="L10" s="11" t="n">
        <v>0</v>
      </c>
    </row>
    <row r="11" customFormat="false" ht="15" hidden="false" customHeight="false" outlineLevel="0" collapsed="false">
      <c r="A11" s="9" t="s">
        <v>836</v>
      </c>
      <c r="B11" s="9" t="s">
        <v>230</v>
      </c>
      <c r="C11" s="9" t="s">
        <v>231</v>
      </c>
      <c r="D11" s="9" t="s">
        <v>510</v>
      </c>
      <c r="E11" s="9" t="s">
        <v>320</v>
      </c>
      <c r="F11" s="9" t="s">
        <v>826</v>
      </c>
      <c r="G11" s="9" t="s">
        <v>361</v>
      </c>
      <c r="H11" s="9" t="n">
        <v>1</v>
      </c>
      <c r="I11" s="9" t="s">
        <v>827</v>
      </c>
      <c r="J11" s="11" t="s">
        <v>63</v>
      </c>
      <c r="K11" s="11" t="s">
        <v>828</v>
      </c>
      <c r="L11" s="11" t="n">
        <v>0</v>
      </c>
    </row>
    <row r="12" customFormat="false" ht="15" hidden="false" customHeight="false" outlineLevel="0" collapsed="false">
      <c r="A12" s="9" t="s">
        <v>837</v>
      </c>
      <c r="B12" s="9" t="s">
        <v>230</v>
      </c>
      <c r="C12" s="9" t="s">
        <v>231</v>
      </c>
      <c r="D12" s="9" t="s">
        <v>830</v>
      </c>
      <c r="E12" s="9" t="s">
        <v>326</v>
      </c>
      <c r="F12" s="9" t="s">
        <v>831</v>
      </c>
      <c r="G12" s="9" t="s">
        <v>832</v>
      </c>
      <c r="H12" s="9" t="n">
        <v>1</v>
      </c>
      <c r="I12" s="9" t="s">
        <v>833</v>
      </c>
      <c r="J12" s="11" t="s">
        <v>63</v>
      </c>
      <c r="K12" s="11" t="s">
        <v>828</v>
      </c>
      <c r="L12" s="11" t="n">
        <v>0</v>
      </c>
    </row>
    <row r="13" customFormat="false" ht="15" hidden="false" customHeight="false" outlineLevel="0" collapsed="false">
      <c r="A13" s="9" t="s">
        <v>838</v>
      </c>
      <c r="B13" s="9" t="s">
        <v>250</v>
      </c>
      <c r="C13" s="9" t="s">
        <v>251</v>
      </c>
      <c r="D13" s="9" t="s">
        <v>510</v>
      </c>
      <c r="E13" s="9" t="s">
        <v>323</v>
      </c>
      <c r="F13" s="9" t="s">
        <v>826</v>
      </c>
      <c r="G13" s="9" t="s">
        <v>361</v>
      </c>
      <c r="H13" s="9" t="n">
        <v>1</v>
      </c>
      <c r="I13" s="9" t="s">
        <v>827</v>
      </c>
      <c r="J13" s="11" t="s">
        <v>63</v>
      </c>
      <c r="K13" s="11" t="s">
        <v>828</v>
      </c>
      <c r="L13" s="11" t="n">
        <v>0</v>
      </c>
    </row>
    <row r="14" customFormat="false" ht="15" hidden="false" customHeight="false" outlineLevel="0" collapsed="false">
      <c r="A14" s="9" t="s">
        <v>839</v>
      </c>
      <c r="B14" s="9" t="s">
        <v>250</v>
      </c>
      <c r="C14" s="9" t="s">
        <v>251</v>
      </c>
      <c r="D14" s="9" t="s">
        <v>830</v>
      </c>
      <c r="E14" s="9" t="s">
        <v>328</v>
      </c>
      <c r="F14" s="9" t="s">
        <v>831</v>
      </c>
      <c r="G14" s="9" t="s">
        <v>832</v>
      </c>
      <c r="H14" s="9" t="n">
        <v>1</v>
      </c>
      <c r="I14" s="9" t="s">
        <v>833</v>
      </c>
      <c r="J14" s="11" t="s">
        <v>63</v>
      </c>
      <c r="K14" s="11" t="s">
        <v>828</v>
      </c>
      <c r="L14" s="11" t="n">
        <v>0</v>
      </c>
    </row>
    <row r="15" customFormat="false" ht="15" hidden="false" customHeight="false" outlineLevel="0" collapsed="false">
      <c r="A15" s="9" t="s">
        <v>840</v>
      </c>
      <c r="B15" s="9" t="s">
        <v>270</v>
      </c>
      <c r="C15" s="9" t="s">
        <v>271</v>
      </c>
      <c r="D15" s="9" t="s">
        <v>510</v>
      </c>
      <c r="E15" s="9" t="s">
        <v>330</v>
      </c>
      <c r="F15" s="9" t="s">
        <v>826</v>
      </c>
      <c r="G15" s="9" t="s">
        <v>361</v>
      </c>
      <c r="H15" s="9" t="n">
        <v>1</v>
      </c>
      <c r="I15" s="9" t="s">
        <v>827</v>
      </c>
      <c r="J15" s="11" t="s">
        <v>63</v>
      </c>
      <c r="K15" s="11" t="s">
        <v>828</v>
      </c>
      <c r="L15" s="11" t="n">
        <v>0</v>
      </c>
    </row>
    <row r="16" customFormat="false" ht="15" hidden="false" customHeight="false" outlineLevel="0" collapsed="false">
      <c r="A16" s="9" t="s">
        <v>841</v>
      </c>
      <c r="B16" s="9" t="s">
        <v>270</v>
      </c>
      <c r="C16" s="9" t="s">
        <v>271</v>
      </c>
      <c r="D16" s="9" t="s">
        <v>830</v>
      </c>
      <c r="E16" s="9" t="s">
        <v>331</v>
      </c>
      <c r="F16" s="9" t="s">
        <v>831</v>
      </c>
      <c r="G16" s="9" t="s">
        <v>832</v>
      </c>
      <c r="H16" s="9" t="n">
        <v>1</v>
      </c>
      <c r="I16" s="9" t="s">
        <v>833</v>
      </c>
      <c r="J16" s="11" t="s">
        <v>63</v>
      </c>
      <c r="K16" s="11" t="s">
        <v>828</v>
      </c>
      <c r="L16" s="11" t="n">
        <v>0</v>
      </c>
    </row>
    <row r="17" customFormat="false" ht="15" hidden="false" customHeight="false" outlineLevel="0" collapsed="false">
      <c r="A17" s="9" t="s">
        <v>842</v>
      </c>
      <c r="B17" s="9" t="s">
        <v>290</v>
      </c>
      <c r="C17" s="9" t="s">
        <v>291</v>
      </c>
      <c r="D17" s="9" t="s">
        <v>510</v>
      </c>
      <c r="E17" s="9" t="s">
        <v>323</v>
      </c>
      <c r="F17" s="9" t="s">
        <v>826</v>
      </c>
      <c r="G17" s="9" t="s">
        <v>361</v>
      </c>
      <c r="H17" s="9" t="n">
        <v>1</v>
      </c>
      <c r="I17" s="9" t="s">
        <v>827</v>
      </c>
      <c r="J17" s="11" t="s">
        <v>63</v>
      </c>
      <c r="K17" s="11" t="s">
        <v>828</v>
      </c>
      <c r="L17" s="11" t="n">
        <v>0</v>
      </c>
    </row>
    <row r="18" customFormat="false" ht="15" hidden="false" customHeight="false" outlineLevel="0" collapsed="false">
      <c r="A18" s="12" t="s">
        <v>843</v>
      </c>
      <c r="B18" s="12" t="s">
        <v>290</v>
      </c>
      <c r="C18" s="12" t="s">
        <v>291</v>
      </c>
      <c r="D18" s="12" t="s">
        <v>830</v>
      </c>
      <c r="E18" s="12" t="s">
        <v>333</v>
      </c>
      <c r="F18" s="12" t="s">
        <v>831</v>
      </c>
      <c r="G18" s="12" t="s">
        <v>832</v>
      </c>
      <c r="H18" s="12" t="n">
        <v>1</v>
      </c>
      <c r="I18" s="12" t="s">
        <v>833</v>
      </c>
      <c r="J18" s="14" t="s">
        <v>63</v>
      </c>
      <c r="K18" s="14" t="s">
        <v>828</v>
      </c>
      <c r="L18" s="14" t="n">
        <v>0</v>
      </c>
    </row>
  </sheetData>
  <mergeCells count="2">
    <mergeCell ref="A2:L2"/>
    <mergeCell ref="A4:L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M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23"/>
    <col collapsed="false" customWidth="true" hidden="false" outlineLevel="0" max="5" min="5" style="0" width="53"/>
    <col collapsed="false" customWidth="true" hidden="false" outlineLevel="0" max="6" min="6" style="0" width="13"/>
    <col collapsed="false" customWidth="true" hidden="false" outlineLevel="0" max="7" min="7" style="0" width="22"/>
    <col collapsed="false" customWidth="true" hidden="false" outlineLevel="0" max="8" min="8" style="0" width="25"/>
    <col collapsed="false" customWidth="true" hidden="false" outlineLevel="0" max="9" min="9" style="0" width="18"/>
    <col collapsed="false" customWidth="true" hidden="false" outlineLevel="0" max="10" min="10" style="0" width="58"/>
    <col collapsed="false" customWidth="true" hidden="false" outlineLevel="0" max="11" min="11" style="0" width="20"/>
    <col collapsed="false" customWidth="true" hidden="false" outlineLevel="0" max="12" min="12" style="0" width="18"/>
    <col collapsed="false" customWidth="true" hidden="false" outlineLevel="0" max="13" min="13" style="0" width="16"/>
  </cols>
  <sheetData>
    <row r="2" customFormat="false" ht="24" hidden="false" customHeight="true" outlineLevel="0" collapsed="false">
      <c r="A2" s="1" t="s">
        <v>844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15" hidden="false" customHeight="false" outlineLevel="0" collapsed="false">
      <c r="A4" s="3" t="s">
        <v>845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customFormat="false" ht="23" hidden="false" customHeight="true" outlineLevel="0" collapsed="false">
      <c r="A6" s="5" t="s">
        <v>846</v>
      </c>
      <c r="B6" s="6" t="s">
        <v>147</v>
      </c>
      <c r="C6" s="6" t="s">
        <v>148</v>
      </c>
      <c r="D6" s="6" t="s">
        <v>847</v>
      </c>
      <c r="E6" s="6" t="s">
        <v>848</v>
      </c>
      <c r="F6" s="6" t="s">
        <v>849</v>
      </c>
      <c r="G6" s="6" t="s">
        <v>850</v>
      </c>
      <c r="H6" s="6" t="s">
        <v>851</v>
      </c>
      <c r="I6" s="6" t="s">
        <v>818</v>
      </c>
      <c r="J6" s="6" t="s">
        <v>315</v>
      </c>
      <c r="K6" s="6" t="s">
        <v>852</v>
      </c>
      <c r="L6" s="6" t="s">
        <v>853</v>
      </c>
      <c r="M6" s="7" t="s">
        <v>824</v>
      </c>
    </row>
    <row r="7" customFormat="false" ht="15" hidden="false" customHeight="false" outlineLevel="0" collapsed="false">
      <c r="A7" s="8" t="s">
        <v>854</v>
      </c>
      <c r="B7" s="8" t="s">
        <v>156</v>
      </c>
      <c r="C7" s="8" t="s">
        <v>157</v>
      </c>
      <c r="D7" s="8" t="s">
        <v>855</v>
      </c>
      <c r="E7" s="8" t="s">
        <v>856</v>
      </c>
      <c r="F7" s="35" t="n">
        <v>0.35</v>
      </c>
      <c r="G7" s="28" t="n">
        <v>0.50047461808185</v>
      </c>
      <c r="H7" s="36" t="n">
        <f aca="false">F7*G7</f>
        <v>0.175166116328647</v>
      </c>
      <c r="I7" s="8" t="s">
        <v>825</v>
      </c>
      <c r="J7" s="8" t="s">
        <v>321</v>
      </c>
      <c r="K7" s="8" t="s">
        <v>857</v>
      </c>
      <c r="L7" s="29" t="s">
        <v>858</v>
      </c>
      <c r="M7" s="29" t="s">
        <v>828</v>
      </c>
    </row>
    <row r="8" customFormat="false" ht="15" hidden="false" customHeight="false" outlineLevel="0" collapsed="false">
      <c r="A8" s="9" t="s">
        <v>859</v>
      </c>
      <c r="B8" s="9" t="s">
        <v>156</v>
      </c>
      <c r="C8" s="9" t="s">
        <v>157</v>
      </c>
      <c r="D8" s="9" t="s">
        <v>860</v>
      </c>
      <c r="E8" s="9" t="s">
        <v>861</v>
      </c>
      <c r="F8" s="37" t="n">
        <v>0.3</v>
      </c>
      <c r="G8" s="31" t="n">
        <v>0.50047461808185</v>
      </c>
      <c r="H8" s="38" t="n">
        <f aca="false">F8*G8</f>
        <v>0.150142385424555</v>
      </c>
      <c r="I8" s="9" t="s">
        <v>829</v>
      </c>
      <c r="J8" s="9" t="s">
        <v>321</v>
      </c>
      <c r="K8" s="9" t="s">
        <v>857</v>
      </c>
      <c r="L8" s="11" t="s">
        <v>858</v>
      </c>
      <c r="M8" s="11" t="s">
        <v>828</v>
      </c>
    </row>
    <row r="9" customFormat="false" ht="15" hidden="false" customHeight="false" outlineLevel="0" collapsed="false">
      <c r="A9" s="9" t="s">
        <v>862</v>
      </c>
      <c r="B9" s="9" t="s">
        <v>156</v>
      </c>
      <c r="C9" s="9" t="s">
        <v>157</v>
      </c>
      <c r="D9" s="9" t="s">
        <v>863</v>
      </c>
      <c r="E9" s="9" t="s">
        <v>864</v>
      </c>
      <c r="F9" s="37" t="n">
        <v>0.2</v>
      </c>
      <c r="G9" s="31" t="n">
        <v>0.50047461808185</v>
      </c>
      <c r="H9" s="38" t="n">
        <f aca="false">F9*G9</f>
        <v>0.10009492361637</v>
      </c>
      <c r="I9" s="9" t="s">
        <v>829</v>
      </c>
      <c r="J9" s="9" t="s">
        <v>321</v>
      </c>
      <c r="K9" s="9" t="s">
        <v>857</v>
      </c>
      <c r="L9" s="11" t="s">
        <v>858</v>
      </c>
      <c r="M9" s="11" t="s">
        <v>828</v>
      </c>
    </row>
    <row r="10" customFormat="false" ht="15" hidden="false" customHeight="false" outlineLevel="0" collapsed="false">
      <c r="A10" s="9" t="s">
        <v>865</v>
      </c>
      <c r="B10" s="9" t="s">
        <v>156</v>
      </c>
      <c r="C10" s="9" t="s">
        <v>157</v>
      </c>
      <c r="D10" s="9" t="s">
        <v>866</v>
      </c>
      <c r="E10" s="9" t="s">
        <v>867</v>
      </c>
      <c r="F10" s="37" t="n">
        <v>0.15</v>
      </c>
      <c r="G10" s="31" t="n">
        <v>0.50047461808185</v>
      </c>
      <c r="H10" s="38" t="n">
        <f aca="false">F10*G10</f>
        <v>0.0750711927122775</v>
      </c>
      <c r="I10" s="9" t="s">
        <v>829</v>
      </c>
      <c r="J10" s="9" t="s">
        <v>321</v>
      </c>
      <c r="K10" s="9" t="s">
        <v>857</v>
      </c>
      <c r="L10" s="11" t="s">
        <v>858</v>
      </c>
      <c r="M10" s="11" t="s">
        <v>828</v>
      </c>
    </row>
    <row r="11" customFormat="false" ht="15" hidden="false" customHeight="false" outlineLevel="0" collapsed="false">
      <c r="A11" s="9" t="s">
        <v>868</v>
      </c>
      <c r="B11" s="9" t="s">
        <v>210</v>
      </c>
      <c r="C11" s="9" t="s">
        <v>211</v>
      </c>
      <c r="D11" s="9" t="s">
        <v>855</v>
      </c>
      <c r="E11" s="9" t="s">
        <v>869</v>
      </c>
      <c r="F11" s="37" t="n">
        <v>0.35</v>
      </c>
      <c r="G11" s="31" t="n">
        <v>0.51649348177396</v>
      </c>
      <c r="H11" s="38" t="n">
        <f aca="false">F11*G11</f>
        <v>0.180772718620886</v>
      </c>
      <c r="I11" s="9" t="s">
        <v>834</v>
      </c>
      <c r="J11" s="9" t="s">
        <v>324</v>
      </c>
      <c r="K11" s="9" t="s">
        <v>857</v>
      </c>
      <c r="L11" s="11" t="s">
        <v>858</v>
      </c>
      <c r="M11" s="11" t="s">
        <v>828</v>
      </c>
    </row>
    <row r="12" customFormat="false" ht="15" hidden="false" customHeight="false" outlineLevel="0" collapsed="false">
      <c r="A12" s="9" t="s">
        <v>870</v>
      </c>
      <c r="B12" s="9" t="s">
        <v>210</v>
      </c>
      <c r="C12" s="9" t="s">
        <v>211</v>
      </c>
      <c r="D12" s="9" t="s">
        <v>860</v>
      </c>
      <c r="E12" s="9" t="s">
        <v>871</v>
      </c>
      <c r="F12" s="37" t="n">
        <v>0.3</v>
      </c>
      <c r="G12" s="31" t="n">
        <v>0.51649348177396</v>
      </c>
      <c r="H12" s="38" t="n">
        <f aca="false">F12*G12</f>
        <v>0.154948044532188</v>
      </c>
      <c r="I12" s="9" t="s">
        <v>835</v>
      </c>
      <c r="J12" s="9" t="s">
        <v>324</v>
      </c>
      <c r="K12" s="9" t="s">
        <v>857</v>
      </c>
      <c r="L12" s="11" t="s">
        <v>858</v>
      </c>
      <c r="M12" s="11" t="s">
        <v>828</v>
      </c>
    </row>
    <row r="13" customFormat="false" ht="15" hidden="false" customHeight="false" outlineLevel="0" collapsed="false">
      <c r="A13" s="9" t="s">
        <v>872</v>
      </c>
      <c r="B13" s="9" t="s">
        <v>210</v>
      </c>
      <c r="C13" s="9" t="s">
        <v>211</v>
      </c>
      <c r="D13" s="9" t="s">
        <v>863</v>
      </c>
      <c r="E13" s="9" t="s">
        <v>873</v>
      </c>
      <c r="F13" s="37" t="n">
        <v>0.2</v>
      </c>
      <c r="G13" s="31" t="n">
        <v>0.51649348177396</v>
      </c>
      <c r="H13" s="38" t="n">
        <f aca="false">F13*G13</f>
        <v>0.103298696354792</v>
      </c>
      <c r="I13" s="9" t="s">
        <v>835</v>
      </c>
      <c r="J13" s="9" t="s">
        <v>324</v>
      </c>
      <c r="K13" s="9" t="s">
        <v>857</v>
      </c>
      <c r="L13" s="11" t="s">
        <v>858</v>
      </c>
      <c r="M13" s="11" t="s">
        <v>828</v>
      </c>
    </row>
    <row r="14" customFormat="false" ht="15" hidden="false" customHeight="false" outlineLevel="0" collapsed="false">
      <c r="A14" s="9" t="s">
        <v>874</v>
      </c>
      <c r="B14" s="9" t="s">
        <v>210</v>
      </c>
      <c r="C14" s="9" t="s">
        <v>211</v>
      </c>
      <c r="D14" s="9" t="s">
        <v>866</v>
      </c>
      <c r="E14" s="9" t="s">
        <v>875</v>
      </c>
      <c r="F14" s="37" t="n">
        <v>0.15</v>
      </c>
      <c r="G14" s="31" t="n">
        <v>0.51649348177396</v>
      </c>
      <c r="H14" s="38" t="n">
        <f aca="false">F14*G14</f>
        <v>0.077474022266094</v>
      </c>
      <c r="I14" s="9" t="s">
        <v>835</v>
      </c>
      <c r="J14" s="9" t="s">
        <v>324</v>
      </c>
      <c r="K14" s="9" t="s">
        <v>857</v>
      </c>
      <c r="L14" s="11" t="s">
        <v>858</v>
      </c>
      <c r="M14" s="11" t="s">
        <v>828</v>
      </c>
    </row>
    <row r="15" customFormat="false" ht="15" hidden="false" customHeight="false" outlineLevel="0" collapsed="false">
      <c r="A15" s="9" t="s">
        <v>876</v>
      </c>
      <c r="B15" s="9" t="s">
        <v>230</v>
      </c>
      <c r="C15" s="9" t="s">
        <v>231</v>
      </c>
      <c r="D15" s="9" t="s">
        <v>855</v>
      </c>
      <c r="E15" s="9" t="s">
        <v>877</v>
      </c>
      <c r="F15" s="37" t="n">
        <v>0.35</v>
      </c>
      <c r="G15" s="31" t="n">
        <v>0.307221654067133</v>
      </c>
      <c r="H15" s="38" t="n">
        <f aca="false">F15*G15</f>
        <v>0.107527578923497</v>
      </c>
      <c r="I15" s="9" t="s">
        <v>836</v>
      </c>
      <c r="J15" s="9" t="s">
        <v>326</v>
      </c>
      <c r="K15" s="9" t="s">
        <v>857</v>
      </c>
      <c r="L15" s="11" t="s">
        <v>858</v>
      </c>
      <c r="M15" s="11" t="s">
        <v>828</v>
      </c>
    </row>
    <row r="16" customFormat="false" ht="15" hidden="false" customHeight="false" outlineLevel="0" collapsed="false">
      <c r="A16" s="9" t="s">
        <v>878</v>
      </c>
      <c r="B16" s="9" t="s">
        <v>230</v>
      </c>
      <c r="C16" s="9" t="s">
        <v>231</v>
      </c>
      <c r="D16" s="9" t="s">
        <v>860</v>
      </c>
      <c r="E16" s="9" t="s">
        <v>879</v>
      </c>
      <c r="F16" s="37" t="n">
        <v>0.3</v>
      </c>
      <c r="G16" s="31" t="n">
        <v>0.307221654067133</v>
      </c>
      <c r="H16" s="38" t="n">
        <f aca="false">F16*G16</f>
        <v>0.0921664962201399</v>
      </c>
      <c r="I16" s="9" t="s">
        <v>837</v>
      </c>
      <c r="J16" s="9" t="s">
        <v>326</v>
      </c>
      <c r="K16" s="9" t="s">
        <v>857</v>
      </c>
      <c r="L16" s="11" t="s">
        <v>858</v>
      </c>
      <c r="M16" s="11" t="s">
        <v>828</v>
      </c>
    </row>
    <row r="17" customFormat="false" ht="15" hidden="false" customHeight="false" outlineLevel="0" collapsed="false">
      <c r="A17" s="9" t="s">
        <v>880</v>
      </c>
      <c r="B17" s="9" t="s">
        <v>230</v>
      </c>
      <c r="C17" s="9" t="s">
        <v>231</v>
      </c>
      <c r="D17" s="9" t="s">
        <v>863</v>
      </c>
      <c r="E17" s="9" t="s">
        <v>881</v>
      </c>
      <c r="F17" s="37" t="n">
        <v>0.2</v>
      </c>
      <c r="G17" s="31" t="n">
        <v>0.307221654067133</v>
      </c>
      <c r="H17" s="38" t="n">
        <f aca="false">F17*G17</f>
        <v>0.0614443308134266</v>
      </c>
      <c r="I17" s="9" t="s">
        <v>837</v>
      </c>
      <c r="J17" s="9" t="s">
        <v>326</v>
      </c>
      <c r="K17" s="9" t="s">
        <v>857</v>
      </c>
      <c r="L17" s="11" t="s">
        <v>858</v>
      </c>
      <c r="M17" s="11" t="s">
        <v>828</v>
      </c>
    </row>
    <row r="18" customFormat="false" ht="15" hidden="false" customHeight="false" outlineLevel="0" collapsed="false">
      <c r="A18" s="9" t="s">
        <v>882</v>
      </c>
      <c r="B18" s="9" t="s">
        <v>230</v>
      </c>
      <c r="C18" s="9" t="s">
        <v>231</v>
      </c>
      <c r="D18" s="9" t="s">
        <v>866</v>
      </c>
      <c r="E18" s="9" t="s">
        <v>883</v>
      </c>
      <c r="F18" s="37" t="n">
        <v>0.15</v>
      </c>
      <c r="G18" s="31" t="n">
        <v>0.307221654067133</v>
      </c>
      <c r="H18" s="38" t="n">
        <f aca="false">F18*G18</f>
        <v>0.0460832481100699</v>
      </c>
      <c r="I18" s="9" t="s">
        <v>837</v>
      </c>
      <c r="J18" s="9" t="s">
        <v>326</v>
      </c>
      <c r="K18" s="9" t="s">
        <v>857</v>
      </c>
      <c r="L18" s="11" t="s">
        <v>858</v>
      </c>
      <c r="M18" s="11" t="s">
        <v>828</v>
      </c>
    </row>
    <row r="19" customFormat="false" ht="15" hidden="false" customHeight="false" outlineLevel="0" collapsed="false">
      <c r="A19" s="9" t="s">
        <v>884</v>
      </c>
      <c r="B19" s="9" t="s">
        <v>250</v>
      </c>
      <c r="C19" s="9" t="s">
        <v>251</v>
      </c>
      <c r="D19" s="9" t="s">
        <v>855</v>
      </c>
      <c r="E19" s="9" t="s">
        <v>885</v>
      </c>
      <c r="F19" s="37" t="n">
        <v>0.35</v>
      </c>
      <c r="G19" s="31" t="n">
        <v>0.899412819320565</v>
      </c>
      <c r="H19" s="38" t="n">
        <f aca="false">F19*G19</f>
        <v>0.314794486762198</v>
      </c>
      <c r="I19" s="9" t="s">
        <v>838</v>
      </c>
      <c r="J19" s="9" t="s">
        <v>328</v>
      </c>
      <c r="K19" s="9" t="s">
        <v>857</v>
      </c>
      <c r="L19" s="11" t="s">
        <v>858</v>
      </c>
      <c r="M19" s="11" t="s">
        <v>828</v>
      </c>
    </row>
    <row r="20" customFormat="false" ht="15" hidden="false" customHeight="false" outlineLevel="0" collapsed="false">
      <c r="A20" s="9" t="s">
        <v>886</v>
      </c>
      <c r="B20" s="9" t="s">
        <v>250</v>
      </c>
      <c r="C20" s="9" t="s">
        <v>251</v>
      </c>
      <c r="D20" s="9" t="s">
        <v>860</v>
      </c>
      <c r="E20" s="9" t="s">
        <v>887</v>
      </c>
      <c r="F20" s="37" t="n">
        <v>0.3</v>
      </c>
      <c r="G20" s="31" t="n">
        <v>0.899412819320565</v>
      </c>
      <c r="H20" s="38" t="n">
        <f aca="false">F20*G20</f>
        <v>0.26982384579617</v>
      </c>
      <c r="I20" s="9" t="s">
        <v>839</v>
      </c>
      <c r="J20" s="9" t="s">
        <v>328</v>
      </c>
      <c r="K20" s="9" t="s">
        <v>857</v>
      </c>
      <c r="L20" s="11" t="s">
        <v>858</v>
      </c>
      <c r="M20" s="11" t="s">
        <v>828</v>
      </c>
    </row>
    <row r="21" customFormat="false" ht="15" hidden="false" customHeight="false" outlineLevel="0" collapsed="false">
      <c r="A21" s="9" t="s">
        <v>888</v>
      </c>
      <c r="B21" s="9" t="s">
        <v>250</v>
      </c>
      <c r="C21" s="9" t="s">
        <v>251</v>
      </c>
      <c r="D21" s="9" t="s">
        <v>863</v>
      </c>
      <c r="E21" s="9" t="s">
        <v>889</v>
      </c>
      <c r="F21" s="37" t="n">
        <v>0.2</v>
      </c>
      <c r="G21" s="31" t="n">
        <v>0.899412819320565</v>
      </c>
      <c r="H21" s="38" t="n">
        <f aca="false">F21*G21</f>
        <v>0.179882563864113</v>
      </c>
      <c r="I21" s="9" t="s">
        <v>839</v>
      </c>
      <c r="J21" s="9" t="s">
        <v>328</v>
      </c>
      <c r="K21" s="9" t="s">
        <v>857</v>
      </c>
      <c r="L21" s="11" t="s">
        <v>858</v>
      </c>
      <c r="M21" s="11" t="s">
        <v>828</v>
      </c>
    </row>
    <row r="22" customFormat="false" ht="15" hidden="false" customHeight="false" outlineLevel="0" collapsed="false">
      <c r="A22" s="9" t="s">
        <v>890</v>
      </c>
      <c r="B22" s="9" t="s">
        <v>250</v>
      </c>
      <c r="C22" s="9" t="s">
        <v>251</v>
      </c>
      <c r="D22" s="9" t="s">
        <v>866</v>
      </c>
      <c r="E22" s="9" t="s">
        <v>891</v>
      </c>
      <c r="F22" s="37" t="n">
        <v>0.15</v>
      </c>
      <c r="G22" s="31" t="n">
        <v>0.899412819320565</v>
      </c>
      <c r="H22" s="38" t="n">
        <f aca="false">F22*G22</f>
        <v>0.134911922898085</v>
      </c>
      <c r="I22" s="9" t="s">
        <v>839</v>
      </c>
      <c r="J22" s="9" t="s">
        <v>328</v>
      </c>
      <c r="K22" s="9" t="s">
        <v>857</v>
      </c>
      <c r="L22" s="11" t="s">
        <v>858</v>
      </c>
      <c r="M22" s="11" t="s">
        <v>828</v>
      </c>
    </row>
    <row r="23" customFormat="false" ht="15" hidden="false" customHeight="false" outlineLevel="0" collapsed="false">
      <c r="A23" s="9" t="s">
        <v>892</v>
      </c>
      <c r="B23" s="9" t="s">
        <v>270</v>
      </c>
      <c r="C23" s="9" t="s">
        <v>271</v>
      </c>
      <c r="D23" s="9" t="s">
        <v>855</v>
      </c>
      <c r="E23" s="9" t="s">
        <v>893</v>
      </c>
      <c r="F23" s="37" t="n">
        <v>0.35</v>
      </c>
      <c r="G23" s="31" t="n">
        <v>0.860712452941095</v>
      </c>
      <c r="H23" s="38" t="n">
        <f aca="false">F23*G23</f>
        <v>0.301249358529383</v>
      </c>
      <c r="I23" s="9" t="s">
        <v>840</v>
      </c>
      <c r="J23" s="9" t="s">
        <v>331</v>
      </c>
      <c r="K23" s="9" t="s">
        <v>857</v>
      </c>
      <c r="L23" s="11" t="s">
        <v>858</v>
      </c>
      <c r="M23" s="11" t="s">
        <v>828</v>
      </c>
    </row>
    <row r="24" customFormat="false" ht="15" hidden="false" customHeight="false" outlineLevel="0" collapsed="false">
      <c r="A24" s="9" t="s">
        <v>894</v>
      </c>
      <c r="B24" s="9" t="s">
        <v>270</v>
      </c>
      <c r="C24" s="9" t="s">
        <v>271</v>
      </c>
      <c r="D24" s="9" t="s">
        <v>860</v>
      </c>
      <c r="E24" s="9" t="s">
        <v>895</v>
      </c>
      <c r="F24" s="37" t="n">
        <v>0.3</v>
      </c>
      <c r="G24" s="31" t="n">
        <v>0.860712452941095</v>
      </c>
      <c r="H24" s="38" t="n">
        <f aca="false">F24*G24</f>
        <v>0.258213735882329</v>
      </c>
      <c r="I24" s="9" t="s">
        <v>841</v>
      </c>
      <c r="J24" s="9" t="s">
        <v>331</v>
      </c>
      <c r="K24" s="9" t="s">
        <v>857</v>
      </c>
      <c r="L24" s="11" t="s">
        <v>858</v>
      </c>
      <c r="M24" s="11" t="s">
        <v>828</v>
      </c>
    </row>
    <row r="25" customFormat="false" ht="15" hidden="false" customHeight="false" outlineLevel="0" collapsed="false">
      <c r="A25" s="9" t="s">
        <v>896</v>
      </c>
      <c r="B25" s="9" t="s">
        <v>270</v>
      </c>
      <c r="C25" s="9" t="s">
        <v>271</v>
      </c>
      <c r="D25" s="9" t="s">
        <v>863</v>
      </c>
      <c r="E25" s="9" t="s">
        <v>897</v>
      </c>
      <c r="F25" s="37" t="n">
        <v>0.2</v>
      </c>
      <c r="G25" s="31" t="n">
        <v>0.860712452941095</v>
      </c>
      <c r="H25" s="38" t="n">
        <f aca="false">F25*G25</f>
        <v>0.172142490588219</v>
      </c>
      <c r="I25" s="9" t="s">
        <v>841</v>
      </c>
      <c r="J25" s="9" t="s">
        <v>331</v>
      </c>
      <c r="K25" s="9" t="s">
        <v>857</v>
      </c>
      <c r="L25" s="11" t="s">
        <v>858</v>
      </c>
      <c r="M25" s="11" t="s">
        <v>828</v>
      </c>
    </row>
    <row r="26" customFormat="false" ht="15" hidden="false" customHeight="false" outlineLevel="0" collapsed="false">
      <c r="A26" s="9" t="s">
        <v>898</v>
      </c>
      <c r="B26" s="9" t="s">
        <v>270</v>
      </c>
      <c r="C26" s="9" t="s">
        <v>271</v>
      </c>
      <c r="D26" s="9" t="s">
        <v>866</v>
      </c>
      <c r="E26" s="9" t="s">
        <v>899</v>
      </c>
      <c r="F26" s="37" t="n">
        <v>0.15</v>
      </c>
      <c r="G26" s="31" t="n">
        <v>0.860712452941095</v>
      </c>
      <c r="H26" s="38" t="n">
        <f aca="false">F26*G26</f>
        <v>0.129106867941164</v>
      </c>
      <c r="I26" s="9" t="s">
        <v>841</v>
      </c>
      <c r="J26" s="9" t="s">
        <v>331</v>
      </c>
      <c r="K26" s="9" t="s">
        <v>857</v>
      </c>
      <c r="L26" s="11" t="s">
        <v>858</v>
      </c>
      <c r="M26" s="11" t="s">
        <v>828</v>
      </c>
    </row>
    <row r="27" customFormat="false" ht="15" hidden="false" customHeight="false" outlineLevel="0" collapsed="false">
      <c r="A27" s="9" t="s">
        <v>900</v>
      </c>
      <c r="B27" s="9" t="s">
        <v>290</v>
      </c>
      <c r="C27" s="9" t="s">
        <v>291</v>
      </c>
      <c r="D27" s="9" t="s">
        <v>855</v>
      </c>
      <c r="E27" s="9" t="s">
        <v>901</v>
      </c>
      <c r="F27" s="37" t="n">
        <v>0.35</v>
      </c>
      <c r="G27" s="31" t="n">
        <v>0.502597793135963</v>
      </c>
      <c r="H27" s="38" t="n">
        <f aca="false">F27*G27</f>
        <v>0.175909227597587</v>
      </c>
      <c r="I27" s="9" t="s">
        <v>842</v>
      </c>
      <c r="J27" s="9" t="s">
        <v>333</v>
      </c>
      <c r="K27" s="9" t="s">
        <v>857</v>
      </c>
      <c r="L27" s="11" t="s">
        <v>858</v>
      </c>
      <c r="M27" s="11" t="s">
        <v>828</v>
      </c>
    </row>
    <row r="28" customFormat="false" ht="15" hidden="false" customHeight="false" outlineLevel="0" collapsed="false">
      <c r="A28" s="9" t="s">
        <v>902</v>
      </c>
      <c r="B28" s="9" t="s">
        <v>290</v>
      </c>
      <c r="C28" s="9" t="s">
        <v>291</v>
      </c>
      <c r="D28" s="9" t="s">
        <v>860</v>
      </c>
      <c r="E28" s="9" t="s">
        <v>903</v>
      </c>
      <c r="F28" s="37" t="n">
        <v>0.3</v>
      </c>
      <c r="G28" s="31" t="n">
        <v>0.502597793135963</v>
      </c>
      <c r="H28" s="38" t="n">
        <f aca="false">F28*G28</f>
        <v>0.150779337940789</v>
      </c>
      <c r="I28" s="9" t="s">
        <v>843</v>
      </c>
      <c r="J28" s="9" t="s">
        <v>333</v>
      </c>
      <c r="K28" s="9" t="s">
        <v>857</v>
      </c>
      <c r="L28" s="11" t="s">
        <v>858</v>
      </c>
      <c r="M28" s="11" t="s">
        <v>828</v>
      </c>
    </row>
    <row r="29" customFormat="false" ht="15" hidden="false" customHeight="false" outlineLevel="0" collapsed="false">
      <c r="A29" s="9" t="s">
        <v>904</v>
      </c>
      <c r="B29" s="9" t="s">
        <v>290</v>
      </c>
      <c r="C29" s="9" t="s">
        <v>291</v>
      </c>
      <c r="D29" s="9" t="s">
        <v>863</v>
      </c>
      <c r="E29" s="9" t="s">
        <v>905</v>
      </c>
      <c r="F29" s="37" t="n">
        <v>0.2</v>
      </c>
      <c r="G29" s="31" t="n">
        <v>0.502597793135963</v>
      </c>
      <c r="H29" s="38" t="n">
        <f aca="false">F29*G29</f>
        <v>0.100519558627193</v>
      </c>
      <c r="I29" s="9" t="s">
        <v>843</v>
      </c>
      <c r="J29" s="9" t="s">
        <v>333</v>
      </c>
      <c r="K29" s="9" t="s">
        <v>857</v>
      </c>
      <c r="L29" s="11" t="s">
        <v>858</v>
      </c>
      <c r="M29" s="11" t="s">
        <v>828</v>
      </c>
    </row>
    <row r="30" customFormat="false" ht="15" hidden="false" customHeight="false" outlineLevel="0" collapsed="false">
      <c r="A30" s="12" t="s">
        <v>906</v>
      </c>
      <c r="B30" s="12" t="s">
        <v>290</v>
      </c>
      <c r="C30" s="12" t="s">
        <v>291</v>
      </c>
      <c r="D30" s="12" t="s">
        <v>866</v>
      </c>
      <c r="E30" s="12" t="s">
        <v>907</v>
      </c>
      <c r="F30" s="39" t="n">
        <v>0.15</v>
      </c>
      <c r="G30" s="33" t="n">
        <v>0.502597793135963</v>
      </c>
      <c r="H30" s="40" t="n">
        <f aca="false">F30*G30</f>
        <v>0.0753896689703944</v>
      </c>
      <c r="I30" s="12" t="s">
        <v>843</v>
      </c>
      <c r="J30" s="12" t="s">
        <v>333</v>
      </c>
      <c r="K30" s="12" t="s">
        <v>857</v>
      </c>
      <c r="L30" s="14" t="s">
        <v>858</v>
      </c>
      <c r="M30" s="14" t="s">
        <v>828</v>
      </c>
    </row>
  </sheetData>
  <mergeCells count="2">
    <mergeCell ref="A2:M2"/>
    <mergeCell ref="A4:M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N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1"/>
    <col collapsed="false" customWidth="true" hidden="false" outlineLevel="0" max="3" min="3" style="0" width="42"/>
    <col collapsed="false" customWidth="true" hidden="false" outlineLevel="0" max="4" min="4" style="0" width="19"/>
    <col collapsed="false" customWidth="true" hidden="false" outlineLevel="0" max="5" min="5" style="0" width="21"/>
    <col collapsed="false" customWidth="true" hidden="false" outlineLevel="0" max="6" min="6" style="0" width="20"/>
    <col collapsed="false" customWidth="true" hidden="false" outlineLevel="0" max="7" min="7" style="0" width="23"/>
    <col collapsed="false" customWidth="true" hidden="false" outlineLevel="0" max="8" min="8" style="0" width="18"/>
    <col collapsed="false" customWidth="true" hidden="false" outlineLevel="0" max="9" min="9" style="0" width="24"/>
    <col collapsed="false" customWidth="true" hidden="false" outlineLevel="0" max="10" min="10" style="0" width="16"/>
  </cols>
  <sheetData>
    <row r="2" customFormat="false" ht="24" hidden="false" customHeight="true" outlineLevel="0" collapsed="false">
      <c r="A2" s="1" t="s">
        <v>908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5" hidden="false" customHeight="false" outlineLevel="0" collapsed="false">
      <c r="A4" s="3" t="s">
        <v>909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customFormat="false" ht="23" hidden="false" customHeight="true" outlineLevel="0" collapsed="false">
      <c r="A6" s="5" t="s">
        <v>147</v>
      </c>
      <c r="B6" s="6" t="s">
        <v>148</v>
      </c>
      <c r="C6" s="6" t="s">
        <v>151</v>
      </c>
      <c r="D6" s="6" t="s">
        <v>316</v>
      </c>
      <c r="E6" s="6" t="s">
        <v>910</v>
      </c>
      <c r="F6" s="6" t="s">
        <v>911</v>
      </c>
      <c r="G6" s="6" t="s">
        <v>912</v>
      </c>
      <c r="H6" s="6" t="s">
        <v>913</v>
      </c>
      <c r="I6" s="6" t="s">
        <v>914</v>
      </c>
      <c r="J6" s="7" t="s">
        <v>915</v>
      </c>
      <c r="K6" s="4"/>
      <c r="L6" s="4"/>
      <c r="M6" s="4"/>
      <c r="N6" s="4"/>
    </row>
    <row r="7" customFormat="false" ht="15" hidden="false" customHeight="false" outlineLevel="0" collapsed="false">
      <c r="A7" s="8" t="s">
        <v>156</v>
      </c>
      <c r="B7" s="8" t="s">
        <v>157</v>
      </c>
      <c r="C7" s="8" t="s">
        <v>160</v>
      </c>
      <c r="D7" s="28" t="n">
        <v>0.50047461808185</v>
      </c>
      <c r="E7" s="36" t="n">
        <f aca="false">D7*Controls!$B$23</f>
        <v>0.175166116328647</v>
      </c>
      <c r="F7" s="36" t="n">
        <f aca="false">D7*Controls!$B$24</f>
        <v>0.150142385424555</v>
      </c>
      <c r="G7" s="36" t="n">
        <f aca="false">D7*Controls!$B$25</f>
        <v>0.10009492361637</v>
      </c>
      <c r="H7" s="36" t="n">
        <f aca="false">D7*Controls!$B$26</f>
        <v>0.0750711927122775</v>
      </c>
      <c r="I7" s="36" t="n">
        <f aca="false">SUM(E7:H7)</f>
        <v>0.50047461808185</v>
      </c>
      <c r="J7" s="36" t="n">
        <f aca="false">I7-D7</f>
        <v>0</v>
      </c>
      <c r="K7" s="4"/>
      <c r="L7" s="4"/>
      <c r="M7" s="4"/>
      <c r="N7" s="4"/>
    </row>
    <row r="8" customFormat="false" ht="15" hidden="false" customHeight="false" outlineLevel="0" collapsed="false">
      <c r="A8" s="9" t="s">
        <v>210</v>
      </c>
      <c r="B8" s="9" t="s">
        <v>211</v>
      </c>
      <c r="C8" s="9" t="s">
        <v>212</v>
      </c>
      <c r="D8" s="31" t="n">
        <v>0.51649348177396</v>
      </c>
      <c r="E8" s="38" t="n">
        <f aca="false">D8*Controls!$B$23</f>
        <v>0.180772718620886</v>
      </c>
      <c r="F8" s="38" t="n">
        <f aca="false">D8*Controls!$B$24</f>
        <v>0.154948044532188</v>
      </c>
      <c r="G8" s="38" t="n">
        <f aca="false">D8*Controls!$B$25</f>
        <v>0.103298696354792</v>
      </c>
      <c r="H8" s="38" t="n">
        <f aca="false">D8*Controls!$B$26</f>
        <v>0.077474022266094</v>
      </c>
      <c r="I8" s="38" t="n">
        <f aca="false">SUM(E8:H8)</f>
        <v>0.51649348177396</v>
      </c>
      <c r="J8" s="38" t="n">
        <f aca="false">I8-D8</f>
        <v>-1.11022302462516E-016</v>
      </c>
      <c r="K8" s="4"/>
      <c r="L8" s="4"/>
      <c r="M8" s="4"/>
      <c r="N8" s="4"/>
    </row>
    <row r="9" customFormat="false" ht="15" hidden="false" customHeight="false" outlineLevel="0" collapsed="false">
      <c r="A9" s="9" t="s">
        <v>230</v>
      </c>
      <c r="B9" s="9" t="s">
        <v>231</v>
      </c>
      <c r="C9" s="9" t="s">
        <v>232</v>
      </c>
      <c r="D9" s="31" t="n">
        <v>0.307221654067133</v>
      </c>
      <c r="E9" s="38" t="n">
        <f aca="false">D9*Controls!$B$23</f>
        <v>0.107527578923497</v>
      </c>
      <c r="F9" s="38" t="n">
        <f aca="false">D9*Controls!$B$24</f>
        <v>0.0921664962201399</v>
      </c>
      <c r="G9" s="38" t="n">
        <f aca="false">D9*Controls!$B$25</f>
        <v>0.0614443308134266</v>
      </c>
      <c r="H9" s="38" t="n">
        <f aca="false">D9*Controls!$B$26</f>
        <v>0.0460832481100699</v>
      </c>
      <c r="I9" s="38" t="n">
        <f aca="false">SUM(E9:H9)</f>
        <v>0.307221654067133</v>
      </c>
      <c r="J9" s="38" t="n">
        <f aca="false">I9-D9</f>
        <v>0</v>
      </c>
      <c r="K9" s="4"/>
      <c r="L9" s="4"/>
      <c r="M9" s="4"/>
      <c r="N9" s="4"/>
    </row>
    <row r="10" customFormat="false" ht="15" hidden="false" customHeight="false" outlineLevel="0" collapsed="false">
      <c r="A10" s="9" t="s">
        <v>250</v>
      </c>
      <c r="B10" s="9" t="s">
        <v>251</v>
      </c>
      <c r="C10" s="9" t="s">
        <v>252</v>
      </c>
      <c r="D10" s="31" t="n">
        <v>0.899412819320565</v>
      </c>
      <c r="E10" s="38" t="n">
        <f aca="false">D10*Controls!$B$23</f>
        <v>0.314794486762198</v>
      </c>
      <c r="F10" s="38" t="n">
        <f aca="false">D10*Controls!$B$24</f>
        <v>0.26982384579617</v>
      </c>
      <c r="G10" s="38" t="n">
        <f aca="false">D10*Controls!$B$25</f>
        <v>0.179882563864113</v>
      </c>
      <c r="H10" s="38" t="n">
        <f aca="false">D10*Controls!$B$26</f>
        <v>0.134911922898085</v>
      </c>
      <c r="I10" s="38" t="n">
        <f aca="false">SUM(E10:H10)</f>
        <v>0.899412819320565</v>
      </c>
      <c r="J10" s="38" t="n">
        <f aca="false">I10-D10</f>
        <v>0</v>
      </c>
      <c r="K10" s="4"/>
      <c r="L10" s="4"/>
      <c r="M10" s="4"/>
      <c r="N10" s="4"/>
    </row>
    <row r="11" customFormat="false" ht="15" hidden="false" customHeight="false" outlineLevel="0" collapsed="false">
      <c r="A11" s="9" t="s">
        <v>270</v>
      </c>
      <c r="B11" s="9" t="s">
        <v>271</v>
      </c>
      <c r="C11" s="9" t="s">
        <v>272</v>
      </c>
      <c r="D11" s="31" t="n">
        <v>0.860712452941095</v>
      </c>
      <c r="E11" s="38" t="n">
        <f aca="false">D11*Controls!$B$23</f>
        <v>0.301249358529383</v>
      </c>
      <c r="F11" s="38" t="n">
        <f aca="false">D11*Controls!$B$24</f>
        <v>0.258213735882329</v>
      </c>
      <c r="G11" s="38" t="n">
        <f aca="false">D11*Controls!$B$25</f>
        <v>0.172142490588219</v>
      </c>
      <c r="H11" s="38" t="n">
        <f aca="false">D11*Controls!$B$26</f>
        <v>0.129106867941164</v>
      </c>
      <c r="I11" s="38" t="n">
        <f aca="false">SUM(E11:H11)</f>
        <v>0.860712452941095</v>
      </c>
      <c r="J11" s="38" t="n">
        <f aca="false">I11-D11</f>
        <v>0</v>
      </c>
      <c r="K11" s="4"/>
      <c r="L11" s="4"/>
      <c r="M11" s="4"/>
      <c r="N11" s="4"/>
    </row>
    <row r="12" customFormat="false" ht="15" hidden="false" customHeight="false" outlineLevel="0" collapsed="false">
      <c r="A12" s="12" t="s">
        <v>290</v>
      </c>
      <c r="B12" s="12" t="s">
        <v>291</v>
      </c>
      <c r="C12" s="12" t="s">
        <v>292</v>
      </c>
      <c r="D12" s="33" t="n">
        <v>0.502597793135963</v>
      </c>
      <c r="E12" s="40" t="n">
        <f aca="false">D12*Controls!$B$23</f>
        <v>0.175909227597587</v>
      </c>
      <c r="F12" s="40" t="n">
        <f aca="false">D12*Controls!$B$24</f>
        <v>0.150779337940789</v>
      </c>
      <c r="G12" s="40" t="n">
        <f aca="false">D12*Controls!$B$25</f>
        <v>0.100519558627193</v>
      </c>
      <c r="H12" s="40" t="n">
        <f aca="false">D12*Controls!$B$26</f>
        <v>0.0753896689703944</v>
      </c>
      <c r="I12" s="40" t="n">
        <f aca="false">SUM(E12:H12)</f>
        <v>0.502597793135963</v>
      </c>
      <c r="J12" s="40" t="n">
        <f aca="false">I12-D12</f>
        <v>-1.11022302462516E-016</v>
      </c>
      <c r="K12" s="4"/>
      <c r="L12" s="4"/>
      <c r="M12" s="4"/>
      <c r="N12" s="4"/>
    </row>
    <row r="13" customFormat="false" ht="23" hidden="false" customHeight="true" outlineLevel="0" collapsed="false">
      <c r="A13" s="15" t="s">
        <v>916</v>
      </c>
      <c r="B13" s="16" t="s">
        <v>917</v>
      </c>
      <c r="C13" s="16" t="s">
        <v>918</v>
      </c>
      <c r="D13" s="41" t="n">
        <f aca="false">SUM(D7:D12)</f>
        <v>3.58691281932057</v>
      </c>
      <c r="E13" s="42" t="n">
        <f aca="false">SUM(E7:E12)</f>
        <v>1.2554194867622</v>
      </c>
      <c r="F13" s="42" t="n">
        <f aca="false">SUM(F7:F12)</f>
        <v>1.07607384579617</v>
      </c>
      <c r="G13" s="42" t="n">
        <f aca="false">SUM(G7:G12)</f>
        <v>0.717382563864113</v>
      </c>
      <c r="H13" s="42" t="n">
        <f aca="false">SUM(H7:H12)</f>
        <v>0.538036922898085</v>
      </c>
      <c r="I13" s="42" t="n">
        <f aca="false">SUM(I7:I12)</f>
        <v>3.58691281932057</v>
      </c>
      <c r="J13" s="43" t="n">
        <f aca="false">SUM(J7:J12)</f>
        <v>-2.22044604925031E-016</v>
      </c>
      <c r="K13" s="4"/>
      <c r="L13" s="4"/>
      <c r="M13" s="4"/>
      <c r="N13" s="4"/>
    </row>
  </sheetData>
  <mergeCells count="2">
    <mergeCell ref="A2:N2"/>
    <mergeCell ref="A4:N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19"/>
    <col collapsed="false" customWidth="true" hidden="false" outlineLevel="0" max="6" min="6" style="0" width="15"/>
    <col collapsed="false" customWidth="true" hidden="false" outlineLevel="0" max="7" min="7" style="0" width="23"/>
    <col collapsed="false" customWidth="true" hidden="false" outlineLevel="0" max="8" min="8" style="0" width="14"/>
    <col collapsed="false" customWidth="true" hidden="false" outlineLevel="0" max="9" min="9" style="0" width="21"/>
    <col collapsed="false" customWidth="true" hidden="false" outlineLevel="0" max="10" min="10" style="0" width="15"/>
  </cols>
  <sheetData>
    <row r="2" customFormat="false" ht="24" hidden="false" customHeight="true" outlineLevel="0" collapsed="false">
      <c r="A2" s="1" t="s">
        <v>919</v>
      </c>
      <c r="B2" s="1"/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920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</row>
    <row r="6" customFormat="false" ht="23" hidden="false" customHeight="true" outlineLevel="0" collapsed="false">
      <c r="A6" s="5" t="s">
        <v>146</v>
      </c>
      <c r="B6" s="6" t="s">
        <v>147</v>
      </c>
      <c r="C6" s="6" t="s">
        <v>148</v>
      </c>
      <c r="D6" s="6" t="s">
        <v>921</v>
      </c>
      <c r="E6" s="6" t="s">
        <v>316</v>
      </c>
      <c r="F6" s="6" t="s">
        <v>922</v>
      </c>
      <c r="G6" s="6" t="s">
        <v>923</v>
      </c>
      <c r="H6" s="6" t="s">
        <v>924</v>
      </c>
      <c r="I6" s="6" t="s">
        <v>925</v>
      </c>
      <c r="J6" s="7" t="s">
        <v>5</v>
      </c>
    </row>
    <row r="7" customFormat="false" ht="15" hidden="false" customHeight="false" outlineLevel="0" collapsed="false">
      <c r="A7" s="8" t="s">
        <v>926</v>
      </c>
      <c r="B7" s="8" t="s">
        <v>156</v>
      </c>
      <c r="C7" s="8" t="s">
        <v>157</v>
      </c>
      <c r="D7" s="8" t="s">
        <v>927</v>
      </c>
      <c r="E7" s="28" t="n">
        <v>0.50047461808185</v>
      </c>
      <c r="F7" s="35" t="n">
        <v>0.15</v>
      </c>
      <c r="G7" s="36" t="n">
        <f aca="false">E7*F7</f>
        <v>0.0750711927122775</v>
      </c>
      <c r="H7" s="44" t="n">
        <v>0</v>
      </c>
      <c r="I7" s="45" t="n">
        <f aca="false">IF(H7=1,G7,0)</f>
        <v>0</v>
      </c>
      <c r="J7" s="29" t="s">
        <v>69</v>
      </c>
    </row>
    <row r="8" customFormat="false" ht="15" hidden="false" customHeight="false" outlineLevel="0" collapsed="false">
      <c r="A8" s="9" t="s">
        <v>928</v>
      </c>
      <c r="B8" s="9" t="s">
        <v>156</v>
      </c>
      <c r="C8" s="9" t="s">
        <v>157</v>
      </c>
      <c r="D8" s="9" t="s">
        <v>929</v>
      </c>
      <c r="E8" s="31" t="n">
        <v>0.50047461808185</v>
      </c>
      <c r="F8" s="37" t="n">
        <v>0.35</v>
      </c>
      <c r="G8" s="38" t="n">
        <f aca="false">E8*F8</f>
        <v>0.175166116328647</v>
      </c>
      <c r="H8" s="46" t="n">
        <v>0</v>
      </c>
      <c r="I8" s="47" t="n">
        <f aca="false">IF(H8=1,G8,0)</f>
        <v>0</v>
      </c>
      <c r="J8" s="11" t="s">
        <v>69</v>
      </c>
    </row>
    <row r="9" customFormat="false" ht="15" hidden="false" customHeight="false" outlineLevel="0" collapsed="false">
      <c r="A9" s="9" t="s">
        <v>930</v>
      </c>
      <c r="B9" s="9" t="s">
        <v>156</v>
      </c>
      <c r="C9" s="9" t="s">
        <v>157</v>
      </c>
      <c r="D9" s="9" t="s">
        <v>931</v>
      </c>
      <c r="E9" s="31" t="n">
        <v>0.50047461808185</v>
      </c>
      <c r="F9" s="37" t="n">
        <v>0.35</v>
      </c>
      <c r="G9" s="38" t="n">
        <f aca="false">E9*F9</f>
        <v>0.175166116328647</v>
      </c>
      <c r="H9" s="46" t="n">
        <v>0</v>
      </c>
      <c r="I9" s="47" t="n">
        <f aca="false">IF(H9=1,G9,0)</f>
        <v>0</v>
      </c>
      <c r="J9" s="11" t="s">
        <v>69</v>
      </c>
    </row>
    <row r="10" customFormat="false" ht="15" hidden="false" customHeight="false" outlineLevel="0" collapsed="false">
      <c r="A10" s="9" t="s">
        <v>932</v>
      </c>
      <c r="B10" s="9" t="s">
        <v>156</v>
      </c>
      <c r="C10" s="9" t="s">
        <v>157</v>
      </c>
      <c r="D10" s="9" t="s">
        <v>552</v>
      </c>
      <c r="E10" s="31" t="n">
        <v>0.50047461808185</v>
      </c>
      <c r="F10" s="37" t="n">
        <v>0.15</v>
      </c>
      <c r="G10" s="38" t="n">
        <f aca="false">E10*F10</f>
        <v>0.0750711927122775</v>
      </c>
      <c r="H10" s="46" t="n">
        <v>0</v>
      </c>
      <c r="I10" s="47" t="n">
        <f aca="false">IF(H10=1,G10,0)</f>
        <v>0</v>
      </c>
      <c r="J10" s="11" t="s">
        <v>69</v>
      </c>
    </row>
    <row r="11" customFormat="false" ht="15" hidden="false" customHeight="false" outlineLevel="0" collapsed="false">
      <c r="A11" s="9" t="s">
        <v>933</v>
      </c>
      <c r="B11" s="9" t="s">
        <v>210</v>
      </c>
      <c r="C11" s="9" t="s">
        <v>211</v>
      </c>
      <c r="D11" s="9" t="s">
        <v>927</v>
      </c>
      <c r="E11" s="31" t="n">
        <v>0.51649348177396</v>
      </c>
      <c r="F11" s="37" t="n">
        <v>0.15</v>
      </c>
      <c r="G11" s="38" t="n">
        <f aca="false">E11*F11</f>
        <v>0.077474022266094</v>
      </c>
      <c r="H11" s="46" t="n">
        <v>0</v>
      </c>
      <c r="I11" s="47" t="n">
        <f aca="false">IF(H11=1,G11,0)</f>
        <v>0</v>
      </c>
      <c r="J11" s="11" t="s">
        <v>69</v>
      </c>
    </row>
    <row r="12" customFormat="false" ht="15" hidden="false" customHeight="false" outlineLevel="0" collapsed="false">
      <c r="A12" s="9" t="s">
        <v>934</v>
      </c>
      <c r="B12" s="9" t="s">
        <v>210</v>
      </c>
      <c r="C12" s="9" t="s">
        <v>211</v>
      </c>
      <c r="D12" s="9" t="s">
        <v>929</v>
      </c>
      <c r="E12" s="31" t="n">
        <v>0.51649348177396</v>
      </c>
      <c r="F12" s="37" t="n">
        <v>0.35</v>
      </c>
      <c r="G12" s="38" t="n">
        <f aca="false">E12*F12</f>
        <v>0.180772718620886</v>
      </c>
      <c r="H12" s="46" t="n">
        <v>0</v>
      </c>
      <c r="I12" s="47" t="n">
        <f aca="false">IF(H12=1,G12,0)</f>
        <v>0</v>
      </c>
      <c r="J12" s="11" t="s">
        <v>69</v>
      </c>
    </row>
    <row r="13" customFormat="false" ht="15" hidden="false" customHeight="false" outlineLevel="0" collapsed="false">
      <c r="A13" s="9" t="s">
        <v>935</v>
      </c>
      <c r="B13" s="9" t="s">
        <v>210</v>
      </c>
      <c r="C13" s="9" t="s">
        <v>211</v>
      </c>
      <c r="D13" s="9" t="s">
        <v>931</v>
      </c>
      <c r="E13" s="31" t="n">
        <v>0.51649348177396</v>
      </c>
      <c r="F13" s="37" t="n">
        <v>0.35</v>
      </c>
      <c r="G13" s="38" t="n">
        <f aca="false">E13*F13</f>
        <v>0.180772718620886</v>
      </c>
      <c r="H13" s="46" t="n">
        <v>0</v>
      </c>
      <c r="I13" s="47" t="n">
        <f aca="false">IF(H13=1,G13,0)</f>
        <v>0</v>
      </c>
      <c r="J13" s="11" t="s">
        <v>69</v>
      </c>
    </row>
    <row r="14" customFormat="false" ht="15" hidden="false" customHeight="false" outlineLevel="0" collapsed="false">
      <c r="A14" s="9" t="s">
        <v>936</v>
      </c>
      <c r="B14" s="9" t="s">
        <v>210</v>
      </c>
      <c r="C14" s="9" t="s">
        <v>211</v>
      </c>
      <c r="D14" s="9" t="s">
        <v>552</v>
      </c>
      <c r="E14" s="31" t="n">
        <v>0.51649348177396</v>
      </c>
      <c r="F14" s="37" t="n">
        <v>0.15</v>
      </c>
      <c r="G14" s="38" t="n">
        <f aca="false">E14*F14</f>
        <v>0.077474022266094</v>
      </c>
      <c r="H14" s="46" t="n">
        <v>0</v>
      </c>
      <c r="I14" s="47" t="n">
        <f aca="false">IF(H14=1,G14,0)</f>
        <v>0</v>
      </c>
      <c r="J14" s="11" t="s">
        <v>69</v>
      </c>
    </row>
    <row r="15" customFormat="false" ht="15" hidden="false" customHeight="false" outlineLevel="0" collapsed="false">
      <c r="A15" s="9" t="s">
        <v>937</v>
      </c>
      <c r="B15" s="9" t="s">
        <v>230</v>
      </c>
      <c r="C15" s="9" t="s">
        <v>231</v>
      </c>
      <c r="D15" s="9" t="s">
        <v>927</v>
      </c>
      <c r="E15" s="31" t="n">
        <v>0.307221654067133</v>
      </c>
      <c r="F15" s="37" t="n">
        <v>0.15</v>
      </c>
      <c r="G15" s="38" t="n">
        <f aca="false">E15*F15</f>
        <v>0.0460832481100699</v>
      </c>
      <c r="H15" s="46" t="n">
        <v>0</v>
      </c>
      <c r="I15" s="47" t="n">
        <f aca="false">IF(H15=1,G15,0)</f>
        <v>0</v>
      </c>
      <c r="J15" s="11" t="s">
        <v>69</v>
      </c>
    </row>
    <row r="16" customFormat="false" ht="15" hidden="false" customHeight="false" outlineLevel="0" collapsed="false">
      <c r="A16" s="9" t="s">
        <v>938</v>
      </c>
      <c r="B16" s="9" t="s">
        <v>230</v>
      </c>
      <c r="C16" s="9" t="s">
        <v>231</v>
      </c>
      <c r="D16" s="9" t="s">
        <v>929</v>
      </c>
      <c r="E16" s="31" t="n">
        <v>0.307221654067133</v>
      </c>
      <c r="F16" s="37" t="n">
        <v>0.35</v>
      </c>
      <c r="G16" s="38" t="n">
        <f aca="false">E16*F16</f>
        <v>0.107527578923497</v>
      </c>
      <c r="H16" s="46" t="n">
        <v>0</v>
      </c>
      <c r="I16" s="47" t="n">
        <f aca="false">IF(H16=1,G16,0)</f>
        <v>0</v>
      </c>
      <c r="J16" s="11" t="s">
        <v>69</v>
      </c>
    </row>
    <row r="17" customFormat="false" ht="15" hidden="false" customHeight="false" outlineLevel="0" collapsed="false">
      <c r="A17" s="9" t="s">
        <v>939</v>
      </c>
      <c r="B17" s="9" t="s">
        <v>230</v>
      </c>
      <c r="C17" s="9" t="s">
        <v>231</v>
      </c>
      <c r="D17" s="9" t="s">
        <v>931</v>
      </c>
      <c r="E17" s="31" t="n">
        <v>0.307221654067133</v>
      </c>
      <c r="F17" s="37" t="n">
        <v>0.35</v>
      </c>
      <c r="G17" s="38" t="n">
        <f aca="false">E17*F17</f>
        <v>0.107527578923497</v>
      </c>
      <c r="H17" s="46" t="n">
        <v>0</v>
      </c>
      <c r="I17" s="47" t="n">
        <f aca="false">IF(H17=1,G17,0)</f>
        <v>0</v>
      </c>
      <c r="J17" s="11" t="s">
        <v>69</v>
      </c>
    </row>
    <row r="18" customFormat="false" ht="15" hidden="false" customHeight="false" outlineLevel="0" collapsed="false">
      <c r="A18" s="9" t="s">
        <v>940</v>
      </c>
      <c r="B18" s="9" t="s">
        <v>230</v>
      </c>
      <c r="C18" s="9" t="s">
        <v>231</v>
      </c>
      <c r="D18" s="9" t="s">
        <v>552</v>
      </c>
      <c r="E18" s="31" t="n">
        <v>0.307221654067133</v>
      </c>
      <c r="F18" s="37" t="n">
        <v>0.15</v>
      </c>
      <c r="G18" s="38" t="n">
        <f aca="false">E18*F18</f>
        <v>0.0460832481100699</v>
      </c>
      <c r="H18" s="46" t="n">
        <v>0</v>
      </c>
      <c r="I18" s="47" t="n">
        <f aca="false">IF(H18=1,G18,0)</f>
        <v>0</v>
      </c>
      <c r="J18" s="11" t="s">
        <v>69</v>
      </c>
    </row>
    <row r="19" customFormat="false" ht="15" hidden="false" customHeight="false" outlineLevel="0" collapsed="false">
      <c r="A19" s="9" t="s">
        <v>941</v>
      </c>
      <c r="B19" s="9" t="s">
        <v>250</v>
      </c>
      <c r="C19" s="9" t="s">
        <v>251</v>
      </c>
      <c r="D19" s="9" t="s">
        <v>927</v>
      </c>
      <c r="E19" s="31" t="n">
        <v>0.899412819320565</v>
      </c>
      <c r="F19" s="37" t="n">
        <v>0.15</v>
      </c>
      <c r="G19" s="38" t="n">
        <f aca="false">E19*F19</f>
        <v>0.134911922898085</v>
      </c>
      <c r="H19" s="46" t="n">
        <v>0</v>
      </c>
      <c r="I19" s="47" t="n">
        <f aca="false">IF(H19=1,G19,0)</f>
        <v>0</v>
      </c>
      <c r="J19" s="11" t="s">
        <v>69</v>
      </c>
    </row>
    <row r="20" customFormat="false" ht="15" hidden="false" customHeight="false" outlineLevel="0" collapsed="false">
      <c r="A20" s="9" t="s">
        <v>942</v>
      </c>
      <c r="B20" s="9" t="s">
        <v>250</v>
      </c>
      <c r="C20" s="9" t="s">
        <v>251</v>
      </c>
      <c r="D20" s="9" t="s">
        <v>929</v>
      </c>
      <c r="E20" s="31" t="n">
        <v>0.899412819320565</v>
      </c>
      <c r="F20" s="37" t="n">
        <v>0.35</v>
      </c>
      <c r="G20" s="38" t="n">
        <f aca="false">E20*F20</f>
        <v>0.314794486762198</v>
      </c>
      <c r="H20" s="46" t="n">
        <v>0</v>
      </c>
      <c r="I20" s="47" t="n">
        <f aca="false">IF(H20=1,G20,0)</f>
        <v>0</v>
      </c>
      <c r="J20" s="11" t="s">
        <v>69</v>
      </c>
    </row>
    <row r="21" customFormat="false" ht="15" hidden="false" customHeight="false" outlineLevel="0" collapsed="false">
      <c r="A21" s="9" t="s">
        <v>943</v>
      </c>
      <c r="B21" s="9" t="s">
        <v>250</v>
      </c>
      <c r="C21" s="9" t="s">
        <v>251</v>
      </c>
      <c r="D21" s="9" t="s">
        <v>931</v>
      </c>
      <c r="E21" s="31" t="n">
        <v>0.899412819320565</v>
      </c>
      <c r="F21" s="37" t="n">
        <v>0.35</v>
      </c>
      <c r="G21" s="38" t="n">
        <f aca="false">E21*F21</f>
        <v>0.314794486762198</v>
      </c>
      <c r="H21" s="46" t="n">
        <v>0</v>
      </c>
      <c r="I21" s="47" t="n">
        <f aca="false">IF(H21=1,G21,0)</f>
        <v>0</v>
      </c>
      <c r="J21" s="11" t="s">
        <v>69</v>
      </c>
    </row>
    <row r="22" customFormat="false" ht="15" hidden="false" customHeight="false" outlineLevel="0" collapsed="false">
      <c r="A22" s="9" t="s">
        <v>944</v>
      </c>
      <c r="B22" s="9" t="s">
        <v>250</v>
      </c>
      <c r="C22" s="9" t="s">
        <v>251</v>
      </c>
      <c r="D22" s="9" t="s">
        <v>552</v>
      </c>
      <c r="E22" s="31" t="n">
        <v>0.899412819320565</v>
      </c>
      <c r="F22" s="37" t="n">
        <v>0.15</v>
      </c>
      <c r="G22" s="38" t="n">
        <f aca="false">E22*F22</f>
        <v>0.134911922898085</v>
      </c>
      <c r="H22" s="46" t="n">
        <v>0</v>
      </c>
      <c r="I22" s="47" t="n">
        <f aca="false">IF(H22=1,G22,0)</f>
        <v>0</v>
      </c>
      <c r="J22" s="11" t="s">
        <v>69</v>
      </c>
    </row>
    <row r="23" customFormat="false" ht="15" hidden="false" customHeight="false" outlineLevel="0" collapsed="false">
      <c r="A23" s="9" t="s">
        <v>945</v>
      </c>
      <c r="B23" s="9" t="s">
        <v>270</v>
      </c>
      <c r="C23" s="9" t="s">
        <v>271</v>
      </c>
      <c r="D23" s="9" t="s">
        <v>927</v>
      </c>
      <c r="E23" s="31" t="n">
        <v>0.860712452941095</v>
      </c>
      <c r="F23" s="37" t="n">
        <v>0.15</v>
      </c>
      <c r="G23" s="38" t="n">
        <f aca="false">E23*F23</f>
        <v>0.129106867941164</v>
      </c>
      <c r="H23" s="46" t="n">
        <v>0</v>
      </c>
      <c r="I23" s="47" t="n">
        <f aca="false">IF(H23=1,G23,0)</f>
        <v>0</v>
      </c>
      <c r="J23" s="11" t="s">
        <v>69</v>
      </c>
    </row>
    <row r="24" customFormat="false" ht="15" hidden="false" customHeight="false" outlineLevel="0" collapsed="false">
      <c r="A24" s="9" t="s">
        <v>946</v>
      </c>
      <c r="B24" s="9" t="s">
        <v>270</v>
      </c>
      <c r="C24" s="9" t="s">
        <v>271</v>
      </c>
      <c r="D24" s="9" t="s">
        <v>929</v>
      </c>
      <c r="E24" s="31" t="n">
        <v>0.860712452941095</v>
      </c>
      <c r="F24" s="37" t="n">
        <v>0.35</v>
      </c>
      <c r="G24" s="38" t="n">
        <f aca="false">E24*F24</f>
        <v>0.301249358529383</v>
      </c>
      <c r="H24" s="46" t="n">
        <v>0</v>
      </c>
      <c r="I24" s="47" t="n">
        <f aca="false">IF(H24=1,G24,0)</f>
        <v>0</v>
      </c>
      <c r="J24" s="11" t="s">
        <v>69</v>
      </c>
    </row>
    <row r="25" customFormat="false" ht="15" hidden="false" customHeight="false" outlineLevel="0" collapsed="false">
      <c r="A25" s="9" t="s">
        <v>947</v>
      </c>
      <c r="B25" s="9" t="s">
        <v>270</v>
      </c>
      <c r="C25" s="9" t="s">
        <v>271</v>
      </c>
      <c r="D25" s="9" t="s">
        <v>931</v>
      </c>
      <c r="E25" s="31" t="n">
        <v>0.860712452941095</v>
      </c>
      <c r="F25" s="37" t="n">
        <v>0.35</v>
      </c>
      <c r="G25" s="38" t="n">
        <f aca="false">E25*F25</f>
        <v>0.301249358529383</v>
      </c>
      <c r="H25" s="46" t="n">
        <v>0</v>
      </c>
      <c r="I25" s="47" t="n">
        <f aca="false">IF(H25=1,G25,0)</f>
        <v>0</v>
      </c>
      <c r="J25" s="11" t="s">
        <v>69</v>
      </c>
    </row>
    <row r="26" customFormat="false" ht="15" hidden="false" customHeight="false" outlineLevel="0" collapsed="false">
      <c r="A26" s="9" t="s">
        <v>948</v>
      </c>
      <c r="B26" s="9" t="s">
        <v>270</v>
      </c>
      <c r="C26" s="9" t="s">
        <v>271</v>
      </c>
      <c r="D26" s="9" t="s">
        <v>552</v>
      </c>
      <c r="E26" s="31" t="n">
        <v>0.860712452941095</v>
      </c>
      <c r="F26" s="37" t="n">
        <v>0.15</v>
      </c>
      <c r="G26" s="38" t="n">
        <f aca="false">E26*F26</f>
        <v>0.129106867941164</v>
      </c>
      <c r="H26" s="46" t="n">
        <v>0</v>
      </c>
      <c r="I26" s="47" t="n">
        <f aca="false">IF(H26=1,G26,0)</f>
        <v>0</v>
      </c>
      <c r="J26" s="11" t="s">
        <v>69</v>
      </c>
    </row>
    <row r="27" customFormat="false" ht="15" hidden="false" customHeight="false" outlineLevel="0" collapsed="false">
      <c r="A27" s="9" t="s">
        <v>949</v>
      </c>
      <c r="B27" s="9" t="s">
        <v>290</v>
      </c>
      <c r="C27" s="9" t="s">
        <v>291</v>
      </c>
      <c r="D27" s="9" t="s">
        <v>927</v>
      </c>
      <c r="E27" s="31" t="n">
        <v>0.502597793135963</v>
      </c>
      <c r="F27" s="37" t="n">
        <v>0.15</v>
      </c>
      <c r="G27" s="38" t="n">
        <f aca="false">E27*F27</f>
        <v>0.0753896689703944</v>
      </c>
      <c r="H27" s="46" t="n">
        <v>0</v>
      </c>
      <c r="I27" s="47" t="n">
        <f aca="false">IF(H27=1,G27,0)</f>
        <v>0</v>
      </c>
      <c r="J27" s="11" t="s">
        <v>69</v>
      </c>
    </row>
    <row r="28" customFormat="false" ht="15" hidden="false" customHeight="false" outlineLevel="0" collapsed="false">
      <c r="A28" s="9" t="s">
        <v>950</v>
      </c>
      <c r="B28" s="9" t="s">
        <v>290</v>
      </c>
      <c r="C28" s="9" t="s">
        <v>291</v>
      </c>
      <c r="D28" s="9" t="s">
        <v>929</v>
      </c>
      <c r="E28" s="31" t="n">
        <v>0.502597793135963</v>
      </c>
      <c r="F28" s="37" t="n">
        <v>0.35</v>
      </c>
      <c r="G28" s="38" t="n">
        <f aca="false">E28*F28</f>
        <v>0.175909227597587</v>
      </c>
      <c r="H28" s="46" t="n">
        <v>0</v>
      </c>
      <c r="I28" s="47" t="n">
        <f aca="false">IF(H28=1,G28,0)</f>
        <v>0</v>
      </c>
      <c r="J28" s="11" t="s">
        <v>69</v>
      </c>
    </row>
    <row r="29" customFormat="false" ht="15" hidden="false" customHeight="false" outlineLevel="0" collapsed="false">
      <c r="A29" s="9" t="s">
        <v>951</v>
      </c>
      <c r="B29" s="9" t="s">
        <v>290</v>
      </c>
      <c r="C29" s="9" t="s">
        <v>291</v>
      </c>
      <c r="D29" s="9" t="s">
        <v>931</v>
      </c>
      <c r="E29" s="31" t="n">
        <v>0.502597793135963</v>
      </c>
      <c r="F29" s="37" t="n">
        <v>0.35</v>
      </c>
      <c r="G29" s="38" t="n">
        <f aca="false">E29*F29</f>
        <v>0.175909227597587</v>
      </c>
      <c r="H29" s="46" t="n">
        <v>0</v>
      </c>
      <c r="I29" s="47" t="n">
        <f aca="false">IF(H29=1,G29,0)</f>
        <v>0</v>
      </c>
      <c r="J29" s="11" t="s">
        <v>69</v>
      </c>
    </row>
    <row r="30" customFormat="false" ht="15" hidden="false" customHeight="false" outlineLevel="0" collapsed="false">
      <c r="A30" s="12" t="s">
        <v>952</v>
      </c>
      <c r="B30" s="12" t="s">
        <v>290</v>
      </c>
      <c r="C30" s="12" t="s">
        <v>291</v>
      </c>
      <c r="D30" s="12" t="s">
        <v>552</v>
      </c>
      <c r="E30" s="33" t="n">
        <v>0.502597793135963</v>
      </c>
      <c r="F30" s="39" t="n">
        <v>0.15</v>
      </c>
      <c r="G30" s="40" t="n">
        <f aca="false">E30*F30</f>
        <v>0.0753896689703944</v>
      </c>
      <c r="H30" s="48" t="n">
        <v>0</v>
      </c>
      <c r="I30" s="49" t="n">
        <f aca="false">IF(H30=1,G30,0)</f>
        <v>0</v>
      </c>
      <c r="J30" s="14" t="s">
        <v>69</v>
      </c>
    </row>
  </sheetData>
  <mergeCells count="2">
    <mergeCell ref="A2:J2"/>
    <mergeCell ref="A4:J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39"/>
    <col collapsed="false" customWidth="true" hidden="false" outlineLevel="0" max="6" min="6" style="0" width="18"/>
    <col collapsed="false" customWidth="true" hidden="false" outlineLevel="0" max="7" min="7" style="0" width="28"/>
    <col collapsed="false" customWidth="true" hidden="false" outlineLevel="0" max="8" min="8" style="0" width="22"/>
    <col collapsed="false" customWidth="true" hidden="false" outlineLevel="0" max="9" min="9" style="0" width="20"/>
    <col collapsed="false" customWidth="true" hidden="false" outlineLevel="0" max="10" min="10" style="0" width="30"/>
    <col collapsed="false" customWidth="true" hidden="false" outlineLevel="0" max="11" min="11" style="0" width="19"/>
  </cols>
  <sheetData>
    <row r="2" customFormat="false" ht="24" hidden="false" customHeight="true" outlineLevel="0" collapsed="false">
      <c r="A2" s="1" t="s">
        <v>953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15" hidden="false" customHeight="false" outlineLevel="0" collapsed="false">
      <c r="A4" s="3" t="s">
        <v>954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 customFormat="false" ht="23" hidden="false" customHeight="true" outlineLevel="0" collapsed="false">
      <c r="A6" s="5" t="s">
        <v>955</v>
      </c>
      <c r="B6" s="6" t="s">
        <v>147</v>
      </c>
      <c r="C6" s="6" t="s">
        <v>148</v>
      </c>
      <c r="D6" s="6" t="s">
        <v>956</v>
      </c>
      <c r="E6" s="6" t="s">
        <v>957</v>
      </c>
      <c r="F6" s="6" t="s">
        <v>5</v>
      </c>
      <c r="G6" s="6" t="s">
        <v>958</v>
      </c>
      <c r="H6" s="6" t="s">
        <v>959</v>
      </c>
      <c r="I6" s="6" t="s">
        <v>960</v>
      </c>
      <c r="J6" s="6" t="s">
        <v>961</v>
      </c>
      <c r="K6" s="7" t="s">
        <v>962</v>
      </c>
    </row>
    <row r="7" customFormat="false" ht="15" hidden="false" customHeight="false" outlineLevel="0" collapsed="false">
      <c r="A7" s="8" t="s">
        <v>963</v>
      </c>
      <c r="B7" s="8" t="s">
        <v>156</v>
      </c>
      <c r="C7" s="8" t="s">
        <v>157</v>
      </c>
      <c r="D7" s="8" t="n">
        <v>1</v>
      </c>
      <c r="E7" s="8" t="s">
        <v>964</v>
      </c>
      <c r="F7" s="8" t="s">
        <v>20</v>
      </c>
      <c r="G7" s="8" t="s">
        <v>965</v>
      </c>
      <c r="H7" s="8" t="n">
        <v>1</v>
      </c>
      <c r="I7" s="29" t="n">
        <v>0</v>
      </c>
      <c r="J7" s="29" t="s">
        <v>966</v>
      </c>
      <c r="K7" s="29" t="s">
        <v>967</v>
      </c>
    </row>
    <row r="8" customFormat="false" ht="15" hidden="false" customHeight="false" outlineLevel="0" collapsed="false">
      <c r="A8" s="9" t="s">
        <v>968</v>
      </c>
      <c r="B8" s="9" t="s">
        <v>156</v>
      </c>
      <c r="C8" s="9" t="s">
        <v>157</v>
      </c>
      <c r="D8" s="9" t="n">
        <v>2</v>
      </c>
      <c r="E8" s="9" t="s">
        <v>969</v>
      </c>
      <c r="F8" s="9" t="s">
        <v>20</v>
      </c>
      <c r="G8" s="9" t="s">
        <v>965</v>
      </c>
      <c r="H8" s="9" t="n">
        <v>1</v>
      </c>
      <c r="I8" s="11" t="n">
        <v>0</v>
      </c>
      <c r="J8" s="11" t="s">
        <v>966</v>
      </c>
      <c r="K8" s="11" t="s">
        <v>967</v>
      </c>
    </row>
    <row r="9" customFormat="false" ht="15" hidden="false" customHeight="false" outlineLevel="0" collapsed="false">
      <c r="A9" s="9" t="s">
        <v>970</v>
      </c>
      <c r="B9" s="9" t="s">
        <v>156</v>
      </c>
      <c r="C9" s="9" t="s">
        <v>157</v>
      </c>
      <c r="D9" s="9" t="n">
        <v>3</v>
      </c>
      <c r="E9" s="9" t="s">
        <v>85</v>
      </c>
      <c r="F9" s="9" t="s">
        <v>20</v>
      </c>
      <c r="G9" s="9" t="s">
        <v>965</v>
      </c>
      <c r="H9" s="9" t="n">
        <v>1</v>
      </c>
      <c r="I9" s="11" t="n">
        <v>0</v>
      </c>
      <c r="J9" s="11" t="s">
        <v>966</v>
      </c>
      <c r="K9" s="11" t="s">
        <v>967</v>
      </c>
    </row>
    <row r="10" customFormat="false" ht="15" hidden="false" customHeight="false" outlineLevel="0" collapsed="false">
      <c r="A10" s="9" t="s">
        <v>971</v>
      </c>
      <c r="B10" s="9" t="s">
        <v>156</v>
      </c>
      <c r="C10" s="9" t="s">
        <v>157</v>
      </c>
      <c r="D10" s="9" t="n">
        <v>4</v>
      </c>
      <c r="E10" s="9" t="s">
        <v>33</v>
      </c>
      <c r="F10" s="9" t="s">
        <v>20</v>
      </c>
      <c r="G10" s="9" t="s">
        <v>965</v>
      </c>
      <c r="H10" s="9" t="n">
        <v>1</v>
      </c>
      <c r="I10" s="11" t="n">
        <v>0</v>
      </c>
      <c r="J10" s="11" t="s">
        <v>966</v>
      </c>
      <c r="K10" s="11" t="s">
        <v>967</v>
      </c>
    </row>
    <row r="11" customFormat="false" ht="15" hidden="false" customHeight="false" outlineLevel="0" collapsed="false">
      <c r="A11" s="9" t="s">
        <v>972</v>
      </c>
      <c r="B11" s="9" t="s">
        <v>156</v>
      </c>
      <c r="C11" s="9" t="s">
        <v>157</v>
      </c>
      <c r="D11" s="9" t="n">
        <v>5</v>
      </c>
      <c r="E11" s="9" t="s">
        <v>973</v>
      </c>
      <c r="F11" s="9" t="s">
        <v>20</v>
      </c>
      <c r="G11" s="9" t="s">
        <v>965</v>
      </c>
      <c r="H11" s="9" t="n">
        <v>1</v>
      </c>
      <c r="I11" s="11" t="n">
        <v>0</v>
      </c>
      <c r="J11" s="11" t="s">
        <v>966</v>
      </c>
      <c r="K11" s="11" t="s">
        <v>967</v>
      </c>
    </row>
    <row r="12" customFormat="false" ht="15" hidden="false" customHeight="false" outlineLevel="0" collapsed="false">
      <c r="A12" s="9" t="s">
        <v>974</v>
      </c>
      <c r="B12" s="9" t="s">
        <v>156</v>
      </c>
      <c r="C12" s="9" t="s">
        <v>157</v>
      </c>
      <c r="D12" s="9" t="n">
        <v>6</v>
      </c>
      <c r="E12" s="9" t="s">
        <v>975</v>
      </c>
      <c r="F12" s="9" t="s">
        <v>858</v>
      </c>
      <c r="G12" s="9" t="s">
        <v>976</v>
      </c>
      <c r="H12" s="9" t="n">
        <v>0</v>
      </c>
      <c r="I12" s="11" t="n">
        <v>0</v>
      </c>
      <c r="J12" s="11" t="s">
        <v>966</v>
      </c>
      <c r="K12" s="11" t="s">
        <v>967</v>
      </c>
    </row>
    <row r="13" customFormat="false" ht="15" hidden="false" customHeight="false" outlineLevel="0" collapsed="false">
      <c r="A13" s="9" t="s">
        <v>977</v>
      </c>
      <c r="B13" s="9" t="s">
        <v>156</v>
      </c>
      <c r="C13" s="9" t="s">
        <v>157</v>
      </c>
      <c r="D13" s="9" t="n">
        <v>7</v>
      </c>
      <c r="E13" s="9" t="s">
        <v>978</v>
      </c>
      <c r="F13" s="9" t="s">
        <v>858</v>
      </c>
      <c r="G13" s="9" t="s">
        <v>976</v>
      </c>
      <c r="H13" s="9" t="n">
        <v>0</v>
      </c>
      <c r="I13" s="11" t="n">
        <v>0</v>
      </c>
      <c r="J13" s="11" t="s">
        <v>966</v>
      </c>
      <c r="K13" s="11" t="s">
        <v>967</v>
      </c>
    </row>
    <row r="14" customFormat="false" ht="15" hidden="false" customHeight="false" outlineLevel="0" collapsed="false">
      <c r="A14" s="9" t="s">
        <v>979</v>
      </c>
      <c r="B14" s="9" t="s">
        <v>156</v>
      </c>
      <c r="C14" s="9" t="s">
        <v>157</v>
      </c>
      <c r="D14" s="9" t="n">
        <v>8</v>
      </c>
      <c r="E14" s="9" t="s">
        <v>980</v>
      </c>
      <c r="F14" s="9" t="s">
        <v>858</v>
      </c>
      <c r="G14" s="9" t="s">
        <v>976</v>
      </c>
      <c r="H14" s="9" t="n">
        <v>0</v>
      </c>
      <c r="I14" s="11" t="n">
        <v>0</v>
      </c>
      <c r="J14" s="11" t="s">
        <v>966</v>
      </c>
      <c r="K14" s="11" t="s">
        <v>967</v>
      </c>
    </row>
    <row r="15" customFormat="false" ht="15" hidden="false" customHeight="false" outlineLevel="0" collapsed="false">
      <c r="A15" s="9" t="s">
        <v>981</v>
      </c>
      <c r="B15" s="9" t="s">
        <v>156</v>
      </c>
      <c r="C15" s="9" t="s">
        <v>157</v>
      </c>
      <c r="D15" s="9" t="n">
        <v>9</v>
      </c>
      <c r="E15" s="9" t="s">
        <v>982</v>
      </c>
      <c r="F15" s="9" t="s">
        <v>858</v>
      </c>
      <c r="G15" s="9" t="s">
        <v>976</v>
      </c>
      <c r="H15" s="9" t="n">
        <v>0</v>
      </c>
      <c r="I15" s="11" t="n">
        <v>0</v>
      </c>
      <c r="J15" s="11" t="s">
        <v>966</v>
      </c>
      <c r="K15" s="11" t="s">
        <v>967</v>
      </c>
    </row>
    <row r="16" customFormat="false" ht="15" hidden="false" customHeight="false" outlineLevel="0" collapsed="false">
      <c r="A16" s="9" t="s">
        <v>983</v>
      </c>
      <c r="B16" s="9" t="s">
        <v>156</v>
      </c>
      <c r="C16" s="9" t="s">
        <v>157</v>
      </c>
      <c r="D16" s="9" t="n">
        <v>10</v>
      </c>
      <c r="E16" s="9" t="s">
        <v>984</v>
      </c>
      <c r="F16" s="9" t="s">
        <v>858</v>
      </c>
      <c r="G16" s="9" t="s">
        <v>976</v>
      </c>
      <c r="H16" s="9" t="n">
        <v>0</v>
      </c>
      <c r="I16" s="11" t="n">
        <v>0</v>
      </c>
      <c r="J16" s="11" t="s">
        <v>966</v>
      </c>
      <c r="K16" s="11" t="s">
        <v>967</v>
      </c>
    </row>
    <row r="17" customFormat="false" ht="15" hidden="false" customHeight="false" outlineLevel="0" collapsed="false">
      <c r="A17" s="9" t="s">
        <v>985</v>
      </c>
      <c r="B17" s="9" t="s">
        <v>156</v>
      </c>
      <c r="C17" s="9" t="s">
        <v>157</v>
      </c>
      <c r="D17" s="9" t="n">
        <v>11</v>
      </c>
      <c r="E17" s="9" t="s">
        <v>134</v>
      </c>
      <c r="F17" s="9" t="s">
        <v>858</v>
      </c>
      <c r="G17" s="9" t="s">
        <v>976</v>
      </c>
      <c r="H17" s="9" t="n">
        <v>0</v>
      </c>
      <c r="I17" s="11" t="n">
        <v>0</v>
      </c>
      <c r="J17" s="11" t="s">
        <v>966</v>
      </c>
      <c r="K17" s="11" t="s">
        <v>967</v>
      </c>
    </row>
    <row r="18" customFormat="false" ht="15" hidden="false" customHeight="false" outlineLevel="0" collapsed="false">
      <c r="A18" s="9" t="s">
        <v>986</v>
      </c>
      <c r="B18" s="9" t="s">
        <v>156</v>
      </c>
      <c r="C18" s="9" t="s">
        <v>157</v>
      </c>
      <c r="D18" s="9" t="n">
        <v>12</v>
      </c>
      <c r="E18" s="9" t="s">
        <v>987</v>
      </c>
      <c r="F18" s="9" t="s">
        <v>858</v>
      </c>
      <c r="G18" s="9" t="s">
        <v>976</v>
      </c>
      <c r="H18" s="9" t="n">
        <v>0</v>
      </c>
      <c r="I18" s="11" t="n">
        <v>0</v>
      </c>
      <c r="J18" s="11" t="s">
        <v>988</v>
      </c>
      <c r="K18" s="11" t="s">
        <v>69</v>
      </c>
    </row>
    <row r="19" customFormat="false" ht="15" hidden="false" customHeight="false" outlineLevel="0" collapsed="false">
      <c r="A19" s="9" t="s">
        <v>989</v>
      </c>
      <c r="B19" s="9" t="s">
        <v>210</v>
      </c>
      <c r="C19" s="9" t="s">
        <v>211</v>
      </c>
      <c r="D19" s="9" t="n">
        <v>1</v>
      </c>
      <c r="E19" s="9" t="s">
        <v>964</v>
      </c>
      <c r="F19" s="9" t="s">
        <v>20</v>
      </c>
      <c r="G19" s="9" t="s">
        <v>965</v>
      </c>
      <c r="H19" s="9" t="n">
        <v>1</v>
      </c>
      <c r="I19" s="11" t="n">
        <v>0</v>
      </c>
      <c r="J19" s="11" t="s">
        <v>966</v>
      </c>
      <c r="K19" s="11" t="s">
        <v>967</v>
      </c>
    </row>
    <row r="20" customFormat="false" ht="15" hidden="false" customHeight="false" outlineLevel="0" collapsed="false">
      <c r="A20" s="9" t="s">
        <v>990</v>
      </c>
      <c r="B20" s="9" t="s">
        <v>210</v>
      </c>
      <c r="C20" s="9" t="s">
        <v>211</v>
      </c>
      <c r="D20" s="9" t="n">
        <v>2</v>
      </c>
      <c r="E20" s="9" t="s">
        <v>969</v>
      </c>
      <c r="F20" s="9" t="s">
        <v>20</v>
      </c>
      <c r="G20" s="9" t="s">
        <v>965</v>
      </c>
      <c r="H20" s="9" t="n">
        <v>1</v>
      </c>
      <c r="I20" s="11" t="n">
        <v>0</v>
      </c>
      <c r="J20" s="11" t="s">
        <v>966</v>
      </c>
      <c r="K20" s="11" t="s">
        <v>967</v>
      </c>
    </row>
    <row r="21" customFormat="false" ht="15" hidden="false" customHeight="false" outlineLevel="0" collapsed="false">
      <c r="A21" s="9" t="s">
        <v>991</v>
      </c>
      <c r="B21" s="9" t="s">
        <v>210</v>
      </c>
      <c r="C21" s="9" t="s">
        <v>211</v>
      </c>
      <c r="D21" s="9" t="n">
        <v>3</v>
      </c>
      <c r="E21" s="9" t="s">
        <v>85</v>
      </c>
      <c r="F21" s="9" t="s">
        <v>20</v>
      </c>
      <c r="G21" s="9" t="s">
        <v>965</v>
      </c>
      <c r="H21" s="9" t="n">
        <v>1</v>
      </c>
      <c r="I21" s="11" t="n">
        <v>0</v>
      </c>
      <c r="J21" s="11" t="s">
        <v>966</v>
      </c>
      <c r="K21" s="11" t="s">
        <v>967</v>
      </c>
    </row>
    <row r="22" customFormat="false" ht="15" hidden="false" customHeight="false" outlineLevel="0" collapsed="false">
      <c r="A22" s="9" t="s">
        <v>992</v>
      </c>
      <c r="B22" s="9" t="s">
        <v>210</v>
      </c>
      <c r="C22" s="9" t="s">
        <v>211</v>
      </c>
      <c r="D22" s="9" t="n">
        <v>4</v>
      </c>
      <c r="E22" s="9" t="s">
        <v>33</v>
      </c>
      <c r="F22" s="9" t="s">
        <v>20</v>
      </c>
      <c r="G22" s="9" t="s">
        <v>965</v>
      </c>
      <c r="H22" s="9" t="n">
        <v>1</v>
      </c>
      <c r="I22" s="11" t="n">
        <v>0</v>
      </c>
      <c r="J22" s="11" t="s">
        <v>966</v>
      </c>
      <c r="K22" s="11" t="s">
        <v>967</v>
      </c>
    </row>
    <row r="23" customFormat="false" ht="15" hidden="false" customHeight="false" outlineLevel="0" collapsed="false">
      <c r="A23" s="9" t="s">
        <v>993</v>
      </c>
      <c r="B23" s="9" t="s">
        <v>210</v>
      </c>
      <c r="C23" s="9" t="s">
        <v>211</v>
      </c>
      <c r="D23" s="9" t="n">
        <v>5</v>
      </c>
      <c r="E23" s="9" t="s">
        <v>973</v>
      </c>
      <c r="F23" s="9" t="s">
        <v>20</v>
      </c>
      <c r="G23" s="9" t="s">
        <v>965</v>
      </c>
      <c r="H23" s="9" t="n">
        <v>1</v>
      </c>
      <c r="I23" s="11" t="n">
        <v>0</v>
      </c>
      <c r="J23" s="11" t="s">
        <v>966</v>
      </c>
      <c r="K23" s="11" t="s">
        <v>967</v>
      </c>
    </row>
    <row r="24" customFormat="false" ht="15" hidden="false" customHeight="false" outlineLevel="0" collapsed="false">
      <c r="A24" s="9" t="s">
        <v>994</v>
      </c>
      <c r="B24" s="9" t="s">
        <v>210</v>
      </c>
      <c r="C24" s="9" t="s">
        <v>211</v>
      </c>
      <c r="D24" s="9" t="n">
        <v>6</v>
      </c>
      <c r="E24" s="9" t="s">
        <v>975</v>
      </c>
      <c r="F24" s="9" t="s">
        <v>858</v>
      </c>
      <c r="G24" s="9" t="s">
        <v>976</v>
      </c>
      <c r="H24" s="9" t="n">
        <v>0</v>
      </c>
      <c r="I24" s="11" t="n">
        <v>0</v>
      </c>
      <c r="J24" s="11" t="s">
        <v>966</v>
      </c>
      <c r="K24" s="11" t="s">
        <v>967</v>
      </c>
    </row>
    <row r="25" customFormat="false" ht="15" hidden="false" customHeight="false" outlineLevel="0" collapsed="false">
      <c r="A25" s="9" t="s">
        <v>995</v>
      </c>
      <c r="B25" s="9" t="s">
        <v>210</v>
      </c>
      <c r="C25" s="9" t="s">
        <v>211</v>
      </c>
      <c r="D25" s="9" t="n">
        <v>7</v>
      </c>
      <c r="E25" s="9" t="s">
        <v>978</v>
      </c>
      <c r="F25" s="9" t="s">
        <v>858</v>
      </c>
      <c r="G25" s="9" t="s">
        <v>976</v>
      </c>
      <c r="H25" s="9" t="n">
        <v>0</v>
      </c>
      <c r="I25" s="11" t="n">
        <v>0</v>
      </c>
      <c r="J25" s="11" t="s">
        <v>966</v>
      </c>
      <c r="K25" s="11" t="s">
        <v>967</v>
      </c>
    </row>
    <row r="26" customFormat="false" ht="15" hidden="false" customHeight="false" outlineLevel="0" collapsed="false">
      <c r="A26" s="9" t="s">
        <v>996</v>
      </c>
      <c r="B26" s="9" t="s">
        <v>210</v>
      </c>
      <c r="C26" s="9" t="s">
        <v>211</v>
      </c>
      <c r="D26" s="9" t="n">
        <v>8</v>
      </c>
      <c r="E26" s="9" t="s">
        <v>980</v>
      </c>
      <c r="F26" s="9" t="s">
        <v>858</v>
      </c>
      <c r="G26" s="9" t="s">
        <v>976</v>
      </c>
      <c r="H26" s="9" t="n">
        <v>0</v>
      </c>
      <c r="I26" s="11" t="n">
        <v>0</v>
      </c>
      <c r="J26" s="11" t="s">
        <v>966</v>
      </c>
      <c r="K26" s="11" t="s">
        <v>967</v>
      </c>
    </row>
    <row r="27" customFormat="false" ht="15" hidden="false" customHeight="false" outlineLevel="0" collapsed="false">
      <c r="A27" s="9" t="s">
        <v>997</v>
      </c>
      <c r="B27" s="9" t="s">
        <v>210</v>
      </c>
      <c r="C27" s="9" t="s">
        <v>211</v>
      </c>
      <c r="D27" s="9" t="n">
        <v>9</v>
      </c>
      <c r="E27" s="9" t="s">
        <v>982</v>
      </c>
      <c r="F27" s="9" t="s">
        <v>858</v>
      </c>
      <c r="G27" s="9" t="s">
        <v>976</v>
      </c>
      <c r="H27" s="9" t="n">
        <v>0</v>
      </c>
      <c r="I27" s="11" t="n">
        <v>0</v>
      </c>
      <c r="J27" s="11" t="s">
        <v>966</v>
      </c>
      <c r="K27" s="11" t="s">
        <v>967</v>
      </c>
    </row>
    <row r="28" customFormat="false" ht="15" hidden="false" customHeight="false" outlineLevel="0" collapsed="false">
      <c r="A28" s="9" t="s">
        <v>998</v>
      </c>
      <c r="B28" s="9" t="s">
        <v>210</v>
      </c>
      <c r="C28" s="9" t="s">
        <v>211</v>
      </c>
      <c r="D28" s="9" t="n">
        <v>10</v>
      </c>
      <c r="E28" s="9" t="s">
        <v>984</v>
      </c>
      <c r="F28" s="9" t="s">
        <v>858</v>
      </c>
      <c r="G28" s="9" t="s">
        <v>976</v>
      </c>
      <c r="H28" s="9" t="n">
        <v>0</v>
      </c>
      <c r="I28" s="11" t="n">
        <v>0</v>
      </c>
      <c r="J28" s="11" t="s">
        <v>966</v>
      </c>
      <c r="K28" s="11" t="s">
        <v>967</v>
      </c>
    </row>
    <row r="29" customFormat="false" ht="15" hidden="false" customHeight="false" outlineLevel="0" collapsed="false">
      <c r="A29" s="9" t="s">
        <v>999</v>
      </c>
      <c r="B29" s="9" t="s">
        <v>210</v>
      </c>
      <c r="C29" s="9" t="s">
        <v>211</v>
      </c>
      <c r="D29" s="9" t="n">
        <v>11</v>
      </c>
      <c r="E29" s="9" t="s">
        <v>134</v>
      </c>
      <c r="F29" s="9" t="s">
        <v>858</v>
      </c>
      <c r="G29" s="9" t="s">
        <v>976</v>
      </c>
      <c r="H29" s="9" t="n">
        <v>0</v>
      </c>
      <c r="I29" s="11" t="n">
        <v>0</v>
      </c>
      <c r="J29" s="11" t="s">
        <v>966</v>
      </c>
      <c r="K29" s="11" t="s">
        <v>967</v>
      </c>
    </row>
    <row r="30" customFormat="false" ht="15" hidden="false" customHeight="false" outlineLevel="0" collapsed="false">
      <c r="A30" s="9" t="s">
        <v>1000</v>
      </c>
      <c r="B30" s="9" t="s">
        <v>210</v>
      </c>
      <c r="C30" s="9" t="s">
        <v>211</v>
      </c>
      <c r="D30" s="9" t="n">
        <v>12</v>
      </c>
      <c r="E30" s="9" t="s">
        <v>987</v>
      </c>
      <c r="F30" s="9" t="s">
        <v>858</v>
      </c>
      <c r="G30" s="9" t="s">
        <v>976</v>
      </c>
      <c r="H30" s="9" t="n">
        <v>0</v>
      </c>
      <c r="I30" s="11" t="n">
        <v>0</v>
      </c>
      <c r="J30" s="11" t="s">
        <v>988</v>
      </c>
      <c r="K30" s="11" t="s">
        <v>69</v>
      </c>
    </row>
    <row r="31" customFormat="false" ht="15" hidden="false" customHeight="false" outlineLevel="0" collapsed="false">
      <c r="A31" s="9" t="s">
        <v>1001</v>
      </c>
      <c r="B31" s="9" t="s">
        <v>230</v>
      </c>
      <c r="C31" s="9" t="s">
        <v>231</v>
      </c>
      <c r="D31" s="9" t="n">
        <v>1</v>
      </c>
      <c r="E31" s="9" t="s">
        <v>964</v>
      </c>
      <c r="F31" s="9" t="s">
        <v>20</v>
      </c>
      <c r="G31" s="9" t="s">
        <v>965</v>
      </c>
      <c r="H31" s="9" t="n">
        <v>1</v>
      </c>
      <c r="I31" s="11" t="n">
        <v>0</v>
      </c>
      <c r="J31" s="11" t="s">
        <v>966</v>
      </c>
      <c r="K31" s="11" t="s">
        <v>967</v>
      </c>
    </row>
    <row r="32" customFormat="false" ht="15" hidden="false" customHeight="false" outlineLevel="0" collapsed="false">
      <c r="A32" s="9" t="s">
        <v>1002</v>
      </c>
      <c r="B32" s="9" t="s">
        <v>230</v>
      </c>
      <c r="C32" s="9" t="s">
        <v>231</v>
      </c>
      <c r="D32" s="9" t="n">
        <v>2</v>
      </c>
      <c r="E32" s="9" t="s">
        <v>969</v>
      </c>
      <c r="F32" s="9" t="s">
        <v>20</v>
      </c>
      <c r="G32" s="9" t="s">
        <v>965</v>
      </c>
      <c r="H32" s="9" t="n">
        <v>1</v>
      </c>
      <c r="I32" s="11" t="n">
        <v>0</v>
      </c>
      <c r="J32" s="11" t="s">
        <v>966</v>
      </c>
      <c r="K32" s="11" t="s">
        <v>967</v>
      </c>
    </row>
    <row r="33" customFormat="false" ht="15" hidden="false" customHeight="false" outlineLevel="0" collapsed="false">
      <c r="A33" s="9" t="s">
        <v>1003</v>
      </c>
      <c r="B33" s="9" t="s">
        <v>230</v>
      </c>
      <c r="C33" s="9" t="s">
        <v>231</v>
      </c>
      <c r="D33" s="9" t="n">
        <v>3</v>
      </c>
      <c r="E33" s="9" t="s">
        <v>85</v>
      </c>
      <c r="F33" s="9" t="s">
        <v>20</v>
      </c>
      <c r="G33" s="9" t="s">
        <v>965</v>
      </c>
      <c r="H33" s="9" t="n">
        <v>1</v>
      </c>
      <c r="I33" s="11" t="n">
        <v>0</v>
      </c>
      <c r="J33" s="11" t="s">
        <v>966</v>
      </c>
      <c r="K33" s="11" t="s">
        <v>967</v>
      </c>
    </row>
    <row r="34" customFormat="false" ht="15" hidden="false" customHeight="false" outlineLevel="0" collapsed="false">
      <c r="A34" s="9" t="s">
        <v>1004</v>
      </c>
      <c r="B34" s="9" t="s">
        <v>230</v>
      </c>
      <c r="C34" s="9" t="s">
        <v>231</v>
      </c>
      <c r="D34" s="9" t="n">
        <v>4</v>
      </c>
      <c r="E34" s="9" t="s">
        <v>33</v>
      </c>
      <c r="F34" s="9" t="s">
        <v>20</v>
      </c>
      <c r="G34" s="9" t="s">
        <v>965</v>
      </c>
      <c r="H34" s="9" t="n">
        <v>1</v>
      </c>
      <c r="I34" s="11" t="n">
        <v>0</v>
      </c>
      <c r="J34" s="11" t="s">
        <v>966</v>
      </c>
      <c r="K34" s="11" t="s">
        <v>967</v>
      </c>
    </row>
    <row r="35" customFormat="false" ht="15" hidden="false" customHeight="false" outlineLevel="0" collapsed="false">
      <c r="A35" s="9" t="s">
        <v>1005</v>
      </c>
      <c r="B35" s="9" t="s">
        <v>230</v>
      </c>
      <c r="C35" s="9" t="s">
        <v>231</v>
      </c>
      <c r="D35" s="9" t="n">
        <v>5</v>
      </c>
      <c r="E35" s="9" t="s">
        <v>973</v>
      </c>
      <c r="F35" s="9" t="s">
        <v>20</v>
      </c>
      <c r="G35" s="9" t="s">
        <v>965</v>
      </c>
      <c r="H35" s="9" t="n">
        <v>1</v>
      </c>
      <c r="I35" s="11" t="n">
        <v>0</v>
      </c>
      <c r="J35" s="11" t="s">
        <v>966</v>
      </c>
      <c r="K35" s="11" t="s">
        <v>967</v>
      </c>
    </row>
    <row r="36" customFormat="false" ht="15" hidden="false" customHeight="false" outlineLevel="0" collapsed="false">
      <c r="A36" s="9" t="s">
        <v>1006</v>
      </c>
      <c r="B36" s="9" t="s">
        <v>230</v>
      </c>
      <c r="C36" s="9" t="s">
        <v>231</v>
      </c>
      <c r="D36" s="9" t="n">
        <v>6</v>
      </c>
      <c r="E36" s="9" t="s">
        <v>975</v>
      </c>
      <c r="F36" s="9" t="s">
        <v>858</v>
      </c>
      <c r="G36" s="9" t="s">
        <v>976</v>
      </c>
      <c r="H36" s="9" t="n">
        <v>0</v>
      </c>
      <c r="I36" s="11" t="n">
        <v>0</v>
      </c>
      <c r="J36" s="11" t="s">
        <v>966</v>
      </c>
      <c r="K36" s="11" t="s">
        <v>967</v>
      </c>
    </row>
    <row r="37" customFormat="false" ht="15" hidden="false" customHeight="false" outlineLevel="0" collapsed="false">
      <c r="A37" s="9" t="s">
        <v>1007</v>
      </c>
      <c r="B37" s="9" t="s">
        <v>230</v>
      </c>
      <c r="C37" s="9" t="s">
        <v>231</v>
      </c>
      <c r="D37" s="9" t="n">
        <v>7</v>
      </c>
      <c r="E37" s="9" t="s">
        <v>978</v>
      </c>
      <c r="F37" s="9" t="s">
        <v>858</v>
      </c>
      <c r="G37" s="9" t="s">
        <v>976</v>
      </c>
      <c r="H37" s="9" t="n">
        <v>0</v>
      </c>
      <c r="I37" s="11" t="n">
        <v>0</v>
      </c>
      <c r="J37" s="11" t="s">
        <v>966</v>
      </c>
      <c r="K37" s="11" t="s">
        <v>967</v>
      </c>
    </row>
    <row r="38" customFormat="false" ht="15" hidden="false" customHeight="false" outlineLevel="0" collapsed="false">
      <c r="A38" s="9" t="s">
        <v>1008</v>
      </c>
      <c r="B38" s="9" t="s">
        <v>230</v>
      </c>
      <c r="C38" s="9" t="s">
        <v>231</v>
      </c>
      <c r="D38" s="9" t="n">
        <v>8</v>
      </c>
      <c r="E38" s="9" t="s">
        <v>980</v>
      </c>
      <c r="F38" s="9" t="s">
        <v>858</v>
      </c>
      <c r="G38" s="9" t="s">
        <v>976</v>
      </c>
      <c r="H38" s="9" t="n">
        <v>0</v>
      </c>
      <c r="I38" s="11" t="n">
        <v>0</v>
      </c>
      <c r="J38" s="11" t="s">
        <v>966</v>
      </c>
      <c r="K38" s="11" t="s">
        <v>967</v>
      </c>
    </row>
    <row r="39" customFormat="false" ht="15" hidden="false" customHeight="false" outlineLevel="0" collapsed="false">
      <c r="A39" s="9" t="s">
        <v>1009</v>
      </c>
      <c r="B39" s="9" t="s">
        <v>230</v>
      </c>
      <c r="C39" s="9" t="s">
        <v>231</v>
      </c>
      <c r="D39" s="9" t="n">
        <v>9</v>
      </c>
      <c r="E39" s="9" t="s">
        <v>982</v>
      </c>
      <c r="F39" s="9" t="s">
        <v>858</v>
      </c>
      <c r="G39" s="9" t="s">
        <v>976</v>
      </c>
      <c r="H39" s="9" t="n">
        <v>0</v>
      </c>
      <c r="I39" s="11" t="n">
        <v>0</v>
      </c>
      <c r="J39" s="11" t="s">
        <v>966</v>
      </c>
      <c r="K39" s="11" t="s">
        <v>967</v>
      </c>
    </row>
    <row r="40" customFormat="false" ht="15" hidden="false" customHeight="false" outlineLevel="0" collapsed="false">
      <c r="A40" s="9" t="s">
        <v>1010</v>
      </c>
      <c r="B40" s="9" t="s">
        <v>230</v>
      </c>
      <c r="C40" s="9" t="s">
        <v>231</v>
      </c>
      <c r="D40" s="9" t="n">
        <v>10</v>
      </c>
      <c r="E40" s="9" t="s">
        <v>984</v>
      </c>
      <c r="F40" s="9" t="s">
        <v>858</v>
      </c>
      <c r="G40" s="9" t="s">
        <v>976</v>
      </c>
      <c r="H40" s="9" t="n">
        <v>0</v>
      </c>
      <c r="I40" s="11" t="n">
        <v>0</v>
      </c>
      <c r="J40" s="11" t="s">
        <v>966</v>
      </c>
      <c r="K40" s="11" t="s">
        <v>967</v>
      </c>
    </row>
    <row r="41" customFormat="false" ht="15" hidden="false" customHeight="false" outlineLevel="0" collapsed="false">
      <c r="A41" s="9" t="s">
        <v>1011</v>
      </c>
      <c r="B41" s="9" t="s">
        <v>230</v>
      </c>
      <c r="C41" s="9" t="s">
        <v>231</v>
      </c>
      <c r="D41" s="9" t="n">
        <v>11</v>
      </c>
      <c r="E41" s="9" t="s">
        <v>134</v>
      </c>
      <c r="F41" s="9" t="s">
        <v>858</v>
      </c>
      <c r="G41" s="9" t="s">
        <v>976</v>
      </c>
      <c r="H41" s="9" t="n">
        <v>0</v>
      </c>
      <c r="I41" s="11" t="n">
        <v>0</v>
      </c>
      <c r="J41" s="11" t="s">
        <v>966</v>
      </c>
      <c r="K41" s="11" t="s">
        <v>967</v>
      </c>
    </row>
    <row r="42" customFormat="false" ht="15" hidden="false" customHeight="false" outlineLevel="0" collapsed="false">
      <c r="A42" s="9" t="s">
        <v>1012</v>
      </c>
      <c r="B42" s="9" t="s">
        <v>230</v>
      </c>
      <c r="C42" s="9" t="s">
        <v>231</v>
      </c>
      <c r="D42" s="9" t="n">
        <v>12</v>
      </c>
      <c r="E42" s="9" t="s">
        <v>987</v>
      </c>
      <c r="F42" s="9" t="s">
        <v>858</v>
      </c>
      <c r="G42" s="9" t="s">
        <v>976</v>
      </c>
      <c r="H42" s="9" t="n">
        <v>0</v>
      </c>
      <c r="I42" s="11" t="n">
        <v>0</v>
      </c>
      <c r="J42" s="11" t="s">
        <v>988</v>
      </c>
      <c r="K42" s="11" t="s">
        <v>69</v>
      </c>
    </row>
    <row r="43" customFormat="false" ht="15" hidden="false" customHeight="false" outlineLevel="0" collapsed="false">
      <c r="A43" s="9" t="s">
        <v>1013</v>
      </c>
      <c r="B43" s="9" t="s">
        <v>250</v>
      </c>
      <c r="C43" s="9" t="s">
        <v>251</v>
      </c>
      <c r="D43" s="9" t="n">
        <v>1</v>
      </c>
      <c r="E43" s="9" t="s">
        <v>964</v>
      </c>
      <c r="F43" s="9" t="s">
        <v>20</v>
      </c>
      <c r="G43" s="9" t="s">
        <v>965</v>
      </c>
      <c r="H43" s="9" t="n">
        <v>1</v>
      </c>
      <c r="I43" s="11" t="n">
        <v>0</v>
      </c>
      <c r="J43" s="11" t="s">
        <v>966</v>
      </c>
      <c r="K43" s="11" t="s">
        <v>967</v>
      </c>
    </row>
    <row r="44" customFormat="false" ht="15" hidden="false" customHeight="false" outlineLevel="0" collapsed="false">
      <c r="A44" s="9" t="s">
        <v>1014</v>
      </c>
      <c r="B44" s="9" t="s">
        <v>250</v>
      </c>
      <c r="C44" s="9" t="s">
        <v>251</v>
      </c>
      <c r="D44" s="9" t="n">
        <v>2</v>
      </c>
      <c r="E44" s="9" t="s">
        <v>969</v>
      </c>
      <c r="F44" s="9" t="s">
        <v>20</v>
      </c>
      <c r="G44" s="9" t="s">
        <v>965</v>
      </c>
      <c r="H44" s="9" t="n">
        <v>1</v>
      </c>
      <c r="I44" s="11" t="n">
        <v>0</v>
      </c>
      <c r="J44" s="11" t="s">
        <v>966</v>
      </c>
      <c r="K44" s="11" t="s">
        <v>967</v>
      </c>
    </row>
    <row r="45" customFormat="false" ht="15" hidden="false" customHeight="false" outlineLevel="0" collapsed="false">
      <c r="A45" s="9" t="s">
        <v>1015</v>
      </c>
      <c r="B45" s="9" t="s">
        <v>250</v>
      </c>
      <c r="C45" s="9" t="s">
        <v>251</v>
      </c>
      <c r="D45" s="9" t="n">
        <v>3</v>
      </c>
      <c r="E45" s="9" t="s">
        <v>85</v>
      </c>
      <c r="F45" s="9" t="s">
        <v>20</v>
      </c>
      <c r="G45" s="9" t="s">
        <v>965</v>
      </c>
      <c r="H45" s="9" t="n">
        <v>1</v>
      </c>
      <c r="I45" s="11" t="n">
        <v>0</v>
      </c>
      <c r="J45" s="11" t="s">
        <v>966</v>
      </c>
      <c r="K45" s="11" t="s">
        <v>967</v>
      </c>
    </row>
    <row r="46" customFormat="false" ht="15" hidden="false" customHeight="false" outlineLevel="0" collapsed="false">
      <c r="A46" s="9" t="s">
        <v>1016</v>
      </c>
      <c r="B46" s="9" t="s">
        <v>250</v>
      </c>
      <c r="C46" s="9" t="s">
        <v>251</v>
      </c>
      <c r="D46" s="9" t="n">
        <v>4</v>
      </c>
      <c r="E46" s="9" t="s">
        <v>33</v>
      </c>
      <c r="F46" s="9" t="s">
        <v>20</v>
      </c>
      <c r="G46" s="9" t="s">
        <v>965</v>
      </c>
      <c r="H46" s="9" t="n">
        <v>1</v>
      </c>
      <c r="I46" s="11" t="n">
        <v>0</v>
      </c>
      <c r="J46" s="11" t="s">
        <v>966</v>
      </c>
      <c r="K46" s="11" t="s">
        <v>967</v>
      </c>
    </row>
    <row r="47" customFormat="false" ht="15" hidden="false" customHeight="false" outlineLevel="0" collapsed="false">
      <c r="A47" s="9" t="s">
        <v>1017</v>
      </c>
      <c r="B47" s="9" t="s">
        <v>250</v>
      </c>
      <c r="C47" s="9" t="s">
        <v>251</v>
      </c>
      <c r="D47" s="9" t="n">
        <v>5</v>
      </c>
      <c r="E47" s="9" t="s">
        <v>973</v>
      </c>
      <c r="F47" s="9" t="s">
        <v>20</v>
      </c>
      <c r="G47" s="9" t="s">
        <v>965</v>
      </c>
      <c r="H47" s="9" t="n">
        <v>1</v>
      </c>
      <c r="I47" s="11" t="n">
        <v>0</v>
      </c>
      <c r="J47" s="11" t="s">
        <v>966</v>
      </c>
      <c r="K47" s="11" t="s">
        <v>967</v>
      </c>
    </row>
    <row r="48" customFormat="false" ht="15" hidden="false" customHeight="false" outlineLevel="0" collapsed="false">
      <c r="A48" s="9" t="s">
        <v>1018</v>
      </c>
      <c r="B48" s="9" t="s">
        <v>250</v>
      </c>
      <c r="C48" s="9" t="s">
        <v>251</v>
      </c>
      <c r="D48" s="9" t="n">
        <v>6</v>
      </c>
      <c r="E48" s="9" t="s">
        <v>975</v>
      </c>
      <c r="F48" s="9" t="s">
        <v>858</v>
      </c>
      <c r="G48" s="9" t="s">
        <v>976</v>
      </c>
      <c r="H48" s="9" t="n">
        <v>0</v>
      </c>
      <c r="I48" s="11" t="n">
        <v>0</v>
      </c>
      <c r="J48" s="11" t="s">
        <v>966</v>
      </c>
      <c r="K48" s="11" t="s">
        <v>967</v>
      </c>
    </row>
    <row r="49" customFormat="false" ht="15" hidden="false" customHeight="false" outlineLevel="0" collapsed="false">
      <c r="A49" s="9" t="s">
        <v>1019</v>
      </c>
      <c r="B49" s="9" t="s">
        <v>250</v>
      </c>
      <c r="C49" s="9" t="s">
        <v>251</v>
      </c>
      <c r="D49" s="9" t="n">
        <v>7</v>
      </c>
      <c r="E49" s="9" t="s">
        <v>978</v>
      </c>
      <c r="F49" s="9" t="s">
        <v>858</v>
      </c>
      <c r="G49" s="9" t="s">
        <v>976</v>
      </c>
      <c r="H49" s="9" t="n">
        <v>0</v>
      </c>
      <c r="I49" s="11" t="n">
        <v>0</v>
      </c>
      <c r="J49" s="11" t="s">
        <v>966</v>
      </c>
      <c r="K49" s="11" t="s">
        <v>967</v>
      </c>
    </row>
    <row r="50" customFormat="false" ht="15" hidden="false" customHeight="false" outlineLevel="0" collapsed="false">
      <c r="A50" s="9" t="s">
        <v>1020</v>
      </c>
      <c r="B50" s="9" t="s">
        <v>250</v>
      </c>
      <c r="C50" s="9" t="s">
        <v>251</v>
      </c>
      <c r="D50" s="9" t="n">
        <v>8</v>
      </c>
      <c r="E50" s="9" t="s">
        <v>980</v>
      </c>
      <c r="F50" s="9" t="s">
        <v>858</v>
      </c>
      <c r="G50" s="9" t="s">
        <v>976</v>
      </c>
      <c r="H50" s="9" t="n">
        <v>0</v>
      </c>
      <c r="I50" s="11" t="n">
        <v>0</v>
      </c>
      <c r="J50" s="11" t="s">
        <v>966</v>
      </c>
      <c r="K50" s="11" t="s">
        <v>967</v>
      </c>
    </row>
    <row r="51" customFormat="false" ht="15" hidden="false" customHeight="false" outlineLevel="0" collapsed="false">
      <c r="A51" s="9" t="s">
        <v>1021</v>
      </c>
      <c r="B51" s="9" t="s">
        <v>250</v>
      </c>
      <c r="C51" s="9" t="s">
        <v>251</v>
      </c>
      <c r="D51" s="9" t="n">
        <v>9</v>
      </c>
      <c r="E51" s="9" t="s">
        <v>982</v>
      </c>
      <c r="F51" s="9" t="s">
        <v>858</v>
      </c>
      <c r="G51" s="9" t="s">
        <v>976</v>
      </c>
      <c r="H51" s="9" t="n">
        <v>0</v>
      </c>
      <c r="I51" s="11" t="n">
        <v>0</v>
      </c>
      <c r="J51" s="11" t="s">
        <v>966</v>
      </c>
      <c r="K51" s="11" t="s">
        <v>967</v>
      </c>
    </row>
    <row r="52" customFormat="false" ht="15" hidden="false" customHeight="false" outlineLevel="0" collapsed="false">
      <c r="A52" s="9" t="s">
        <v>1022</v>
      </c>
      <c r="B52" s="9" t="s">
        <v>250</v>
      </c>
      <c r="C52" s="9" t="s">
        <v>251</v>
      </c>
      <c r="D52" s="9" t="n">
        <v>10</v>
      </c>
      <c r="E52" s="9" t="s">
        <v>984</v>
      </c>
      <c r="F52" s="9" t="s">
        <v>858</v>
      </c>
      <c r="G52" s="9" t="s">
        <v>976</v>
      </c>
      <c r="H52" s="9" t="n">
        <v>0</v>
      </c>
      <c r="I52" s="11" t="n">
        <v>0</v>
      </c>
      <c r="J52" s="11" t="s">
        <v>966</v>
      </c>
      <c r="K52" s="11" t="s">
        <v>967</v>
      </c>
    </row>
    <row r="53" customFormat="false" ht="15" hidden="false" customHeight="false" outlineLevel="0" collapsed="false">
      <c r="A53" s="9" t="s">
        <v>1023</v>
      </c>
      <c r="B53" s="9" t="s">
        <v>250</v>
      </c>
      <c r="C53" s="9" t="s">
        <v>251</v>
      </c>
      <c r="D53" s="9" t="n">
        <v>11</v>
      </c>
      <c r="E53" s="9" t="s">
        <v>134</v>
      </c>
      <c r="F53" s="9" t="s">
        <v>858</v>
      </c>
      <c r="G53" s="9" t="s">
        <v>976</v>
      </c>
      <c r="H53" s="9" t="n">
        <v>0</v>
      </c>
      <c r="I53" s="11" t="n">
        <v>0</v>
      </c>
      <c r="J53" s="11" t="s">
        <v>966</v>
      </c>
      <c r="K53" s="11" t="s">
        <v>967</v>
      </c>
    </row>
    <row r="54" customFormat="false" ht="15" hidden="false" customHeight="false" outlineLevel="0" collapsed="false">
      <c r="A54" s="9" t="s">
        <v>1024</v>
      </c>
      <c r="B54" s="9" t="s">
        <v>250</v>
      </c>
      <c r="C54" s="9" t="s">
        <v>251</v>
      </c>
      <c r="D54" s="9" t="n">
        <v>12</v>
      </c>
      <c r="E54" s="9" t="s">
        <v>987</v>
      </c>
      <c r="F54" s="9" t="s">
        <v>858</v>
      </c>
      <c r="G54" s="9" t="s">
        <v>976</v>
      </c>
      <c r="H54" s="9" t="n">
        <v>0</v>
      </c>
      <c r="I54" s="11" t="n">
        <v>0</v>
      </c>
      <c r="J54" s="11" t="s">
        <v>988</v>
      </c>
      <c r="K54" s="11" t="s">
        <v>69</v>
      </c>
    </row>
    <row r="55" customFormat="false" ht="15" hidden="false" customHeight="false" outlineLevel="0" collapsed="false">
      <c r="A55" s="9" t="s">
        <v>1025</v>
      </c>
      <c r="B55" s="9" t="s">
        <v>270</v>
      </c>
      <c r="C55" s="9" t="s">
        <v>271</v>
      </c>
      <c r="D55" s="9" t="n">
        <v>1</v>
      </c>
      <c r="E55" s="9" t="s">
        <v>964</v>
      </c>
      <c r="F55" s="9" t="s">
        <v>20</v>
      </c>
      <c r="G55" s="9" t="s">
        <v>965</v>
      </c>
      <c r="H55" s="9" t="n">
        <v>1</v>
      </c>
      <c r="I55" s="11" t="n">
        <v>0</v>
      </c>
      <c r="J55" s="11" t="s">
        <v>966</v>
      </c>
      <c r="K55" s="11" t="s">
        <v>967</v>
      </c>
    </row>
    <row r="56" customFormat="false" ht="15" hidden="false" customHeight="false" outlineLevel="0" collapsed="false">
      <c r="A56" s="9" t="s">
        <v>1026</v>
      </c>
      <c r="B56" s="9" t="s">
        <v>270</v>
      </c>
      <c r="C56" s="9" t="s">
        <v>271</v>
      </c>
      <c r="D56" s="9" t="n">
        <v>2</v>
      </c>
      <c r="E56" s="9" t="s">
        <v>969</v>
      </c>
      <c r="F56" s="9" t="s">
        <v>20</v>
      </c>
      <c r="G56" s="9" t="s">
        <v>965</v>
      </c>
      <c r="H56" s="9" t="n">
        <v>1</v>
      </c>
      <c r="I56" s="11" t="n">
        <v>0</v>
      </c>
      <c r="J56" s="11" t="s">
        <v>966</v>
      </c>
      <c r="K56" s="11" t="s">
        <v>967</v>
      </c>
    </row>
    <row r="57" customFormat="false" ht="15" hidden="false" customHeight="false" outlineLevel="0" collapsed="false">
      <c r="A57" s="9" t="s">
        <v>1027</v>
      </c>
      <c r="B57" s="9" t="s">
        <v>270</v>
      </c>
      <c r="C57" s="9" t="s">
        <v>271</v>
      </c>
      <c r="D57" s="9" t="n">
        <v>3</v>
      </c>
      <c r="E57" s="9" t="s">
        <v>85</v>
      </c>
      <c r="F57" s="9" t="s">
        <v>20</v>
      </c>
      <c r="G57" s="9" t="s">
        <v>965</v>
      </c>
      <c r="H57" s="9" t="n">
        <v>1</v>
      </c>
      <c r="I57" s="11" t="n">
        <v>0</v>
      </c>
      <c r="J57" s="11" t="s">
        <v>966</v>
      </c>
      <c r="K57" s="11" t="s">
        <v>967</v>
      </c>
    </row>
    <row r="58" customFormat="false" ht="15" hidden="false" customHeight="false" outlineLevel="0" collapsed="false">
      <c r="A58" s="9" t="s">
        <v>1028</v>
      </c>
      <c r="B58" s="9" t="s">
        <v>270</v>
      </c>
      <c r="C58" s="9" t="s">
        <v>271</v>
      </c>
      <c r="D58" s="9" t="n">
        <v>4</v>
      </c>
      <c r="E58" s="9" t="s">
        <v>33</v>
      </c>
      <c r="F58" s="9" t="s">
        <v>20</v>
      </c>
      <c r="G58" s="9" t="s">
        <v>965</v>
      </c>
      <c r="H58" s="9" t="n">
        <v>1</v>
      </c>
      <c r="I58" s="11" t="n">
        <v>0</v>
      </c>
      <c r="J58" s="11" t="s">
        <v>966</v>
      </c>
      <c r="K58" s="11" t="s">
        <v>967</v>
      </c>
    </row>
    <row r="59" customFormat="false" ht="15" hidden="false" customHeight="false" outlineLevel="0" collapsed="false">
      <c r="A59" s="9" t="s">
        <v>1029</v>
      </c>
      <c r="B59" s="9" t="s">
        <v>270</v>
      </c>
      <c r="C59" s="9" t="s">
        <v>271</v>
      </c>
      <c r="D59" s="9" t="n">
        <v>5</v>
      </c>
      <c r="E59" s="9" t="s">
        <v>973</v>
      </c>
      <c r="F59" s="9" t="s">
        <v>20</v>
      </c>
      <c r="G59" s="9" t="s">
        <v>965</v>
      </c>
      <c r="H59" s="9" t="n">
        <v>1</v>
      </c>
      <c r="I59" s="11" t="n">
        <v>0</v>
      </c>
      <c r="J59" s="11" t="s">
        <v>966</v>
      </c>
      <c r="K59" s="11" t="s">
        <v>967</v>
      </c>
    </row>
    <row r="60" customFormat="false" ht="15" hidden="false" customHeight="false" outlineLevel="0" collapsed="false">
      <c r="A60" s="9" t="s">
        <v>1030</v>
      </c>
      <c r="B60" s="9" t="s">
        <v>270</v>
      </c>
      <c r="C60" s="9" t="s">
        <v>271</v>
      </c>
      <c r="D60" s="9" t="n">
        <v>6</v>
      </c>
      <c r="E60" s="9" t="s">
        <v>975</v>
      </c>
      <c r="F60" s="9" t="s">
        <v>858</v>
      </c>
      <c r="G60" s="9" t="s">
        <v>976</v>
      </c>
      <c r="H60" s="9" t="n">
        <v>0</v>
      </c>
      <c r="I60" s="11" t="n">
        <v>0</v>
      </c>
      <c r="J60" s="11" t="s">
        <v>966</v>
      </c>
      <c r="K60" s="11" t="s">
        <v>967</v>
      </c>
    </row>
    <row r="61" customFormat="false" ht="15" hidden="false" customHeight="false" outlineLevel="0" collapsed="false">
      <c r="A61" s="9" t="s">
        <v>1031</v>
      </c>
      <c r="B61" s="9" t="s">
        <v>270</v>
      </c>
      <c r="C61" s="9" t="s">
        <v>271</v>
      </c>
      <c r="D61" s="9" t="n">
        <v>7</v>
      </c>
      <c r="E61" s="9" t="s">
        <v>978</v>
      </c>
      <c r="F61" s="9" t="s">
        <v>858</v>
      </c>
      <c r="G61" s="9" t="s">
        <v>976</v>
      </c>
      <c r="H61" s="9" t="n">
        <v>0</v>
      </c>
      <c r="I61" s="11" t="n">
        <v>0</v>
      </c>
      <c r="J61" s="11" t="s">
        <v>966</v>
      </c>
      <c r="K61" s="11" t="s">
        <v>967</v>
      </c>
    </row>
    <row r="62" customFormat="false" ht="15" hidden="false" customHeight="false" outlineLevel="0" collapsed="false">
      <c r="A62" s="9" t="s">
        <v>1032</v>
      </c>
      <c r="B62" s="9" t="s">
        <v>270</v>
      </c>
      <c r="C62" s="9" t="s">
        <v>271</v>
      </c>
      <c r="D62" s="9" t="n">
        <v>8</v>
      </c>
      <c r="E62" s="9" t="s">
        <v>980</v>
      </c>
      <c r="F62" s="9" t="s">
        <v>858</v>
      </c>
      <c r="G62" s="9" t="s">
        <v>976</v>
      </c>
      <c r="H62" s="9" t="n">
        <v>0</v>
      </c>
      <c r="I62" s="11" t="n">
        <v>0</v>
      </c>
      <c r="J62" s="11" t="s">
        <v>966</v>
      </c>
      <c r="K62" s="11" t="s">
        <v>967</v>
      </c>
    </row>
    <row r="63" customFormat="false" ht="15" hidden="false" customHeight="false" outlineLevel="0" collapsed="false">
      <c r="A63" s="9" t="s">
        <v>1033</v>
      </c>
      <c r="B63" s="9" t="s">
        <v>270</v>
      </c>
      <c r="C63" s="9" t="s">
        <v>271</v>
      </c>
      <c r="D63" s="9" t="n">
        <v>9</v>
      </c>
      <c r="E63" s="9" t="s">
        <v>982</v>
      </c>
      <c r="F63" s="9" t="s">
        <v>858</v>
      </c>
      <c r="G63" s="9" t="s">
        <v>976</v>
      </c>
      <c r="H63" s="9" t="n">
        <v>0</v>
      </c>
      <c r="I63" s="11" t="n">
        <v>0</v>
      </c>
      <c r="J63" s="11" t="s">
        <v>966</v>
      </c>
      <c r="K63" s="11" t="s">
        <v>967</v>
      </c>
    </row>
    <row r="64" customFormat="false" ht="15" hidden="false" customHeight="false" outlineLevel="0" collapsed="false">
      <c r="A64" s="9" t="s">
        <v>1034</v>
      </c>
      <c r="B64" s="9" t="s">
        <v>270</v>
      </c>
      <c r="C64" s="9" t="s">
        <v>271</v>
      </c>
      <c r="D64" s="9" t="n">
        <v>10</v>
      </c>
      <c r="E64" s="9" t="s">
        <v>984</v>
      </c>
      <c r="F64" s="9" t="s">
        <v>858</v>
      </c>
      <c r="G64" s="9" t="s">
        <v>976</v>
      </c>
      <c r="H64" s="9" t="n">
        <v>0</v>
      </c>
      <c r="I64" s="11" t="n">
        <v>0</v>
      </c>
      <c r="J64" s="11" t="s">
        <v>966</v>
      </c>
      <c r="K64" s="11" t="s">
        <v>967</v>
      </c>
    </row>
    <row r="65" customFormat="false" ht="15" hidden="false" customHeight="false" outlineLevel="0" collapsed="false">
      <c r="A65" s="9" t="s">
        <v>1035</v>
      </c>
      <c r="B65" s="9" t="s">
        <v>270</v>
      </c>
      <c r="C65" s="9" t="s">
        <v>271</v>
      </c>
      <c r="D65" s="9" t="n">
        <v>11</v>
      </c>
      <c r="E65" s="9" t="s">
        <v>134</v>
      </c>
      <c r="F65" s="9" t="s">
        <v>858</v>
      </c>
      <c r="G65" s="9" t="s">
        <v>976</v>
      </c>
      <c r="H65" s="9" t="n">
        <v>0</v>
      </c>
      <c r="I65" s="11" t="n">
        <v>0</v>
      </c>
      <c r="J65" s="11" t="s">
        <v>966</v>
      </c>
      <c r="K65" s="11" t="s">
        <v>967</v>
      </c>
    </row>
    <row r="66" customFormat="false" ht="15" hidden="false" customHeight="false" outlineLevel="0" collapsed="false">
      <c r="A66" s="9" t="s">
        <v>1036</v>
      </c>
      <c r="B66" s="9" t="s">
        <v>270</v>
      </c>
      <c r="C66" s="9" t="s">
        <v>271</v>
      </c>
      <c r="D66" s="9" t="n">
        <v>12</v>
      </c>
      <c r="E66" s="9" t="s">
        <v>987</v>
      </c>
      <c r="F66" s="9" t="s">
        <v>858</v>
      </c>
      <c r="G66" s="9" t="s">
        <v>976</v>
      </c>
      <c r="H66" s="9" t="n">
        <v>0</v>
      </c>
      <c r="I66" s="11" t="n">
        <v>0</v>
      </c>
      <c r="J66" s="11" t="s">
        <v>988</v>
      </c>
      <c r="K66" s="11" t="s">
        <v>69</v>
      </c>
    </row>
    <row r="67" customFormat="false" ht="15" hidden="false" customHeight="false" outlineLevel="0" collapsed="false">
      <c r="A67" s="9" t="s">
        <v>1037</v>
      </c>
      <c r="B67" s="9" t="s">
        <v>290</v>
      </c>
      <c r="C67" s="9" t="s">
        <v>291</v>
      </c>
      <c r="D67" s="9" t="n">
        <v>1</v>
      </c>
      <c r="E67" s="9" t="s">
        <v>964</v>
      </c>
      <c r="F67" s="9" t="s">
        <v>20</v>
      </c>
      <c r="G67" s="9" t="s">
        <v>965</v>
      </c>
      <c r="H67" s="9" t="n">
        <v>1</v>
      </c>
      <c r="I67" s="11" t="n">
        <v>0</v>
      </c>
      <c r="J67" s="11" t="s">
        <v>966</v>
      </c>
      <c r="K67" s="11" t="s">
        <v>967</v>
      </c>
    </row>
    <row r="68" customFormat="false" ht="15" hidden="false" customHeight="false" outlineLevel="0" collapsed="false">
      <c r="A68" s="9" t="s">
        <v>1038</v>
      </c>
      <c r="B68" s="9" t="s">
        <v>290</v>
      </c>
      <c r="C68" s="9" t="s">
        <v>291</v>
      </c>
      <c r="D68" s="9" t="n">
        <v>2</v>
      </c>
      <c r="E68" s="9" t="s">
        <v>969</v>
      </c>
      <c r="F68" s="9" t="s">
        <v>20</v>
      </c>
      <c r="G68" s="9" t="s">
        <v>965</v>
      </c>
      <c r="H68" s="9" t="n">
        <v>1</v>
      </c>
      <c r="I68" s="11" t="n">
        <v>0</v>
      </c>
      <c r="J68" s="11" t="s">
        <v>966</v>
      </c>
      <c r="K68" s="11" t="s">
        <v>967</v>
      </c>
    </row>
    <row r="69" customFormat="false" ht="15" hidden="false" customHeight="false" outlineLevel="0" collapsed="false">
      <c r="A69" s="9" t="s">
        <v>1039</v>
      </c>
      <c r="B69" s="9" t="s">
        <v>290</v>
      </c>
      <c r="C69" s="9" t="s">
        <v>291</v>
      </c>
      <c r="D69" s="9" t="n">
        <v>3</v>
      </c>
      <c r="E69" s="9" t="s">
        <v>85</v>
      </c>
      <c r="F69" s="9" t="s">
        <v>20</v>
      </c>
      <c r="G69" s="9" t="s">
        <v>965</v>
      </c>
      <c r="H69" s="9" t="n">
        <v>1</v>
      </c>
      <c r="I69" s="11" t="n">
        <v>0</v>
      </c>
      <c r="J69" s="11" t="s">
        <v>966</v>
      </c>
      <c r="K69" s="11" t="s">
        <v>967</v>
      </c>
    </row>
    <row r="70" customFormat="false" ht="15" hidden="false" customHeight="false" outlineLevel="0" collapsed="false">
      <c r="A70" s="9" t="s">
        <v>1040</v>
      </c>
      <c r="B70" s="9" t="s">
        <v>290</v>
      </c>
      <c r="C70" s="9" t="s">
        <v>291</v>
      </c>
      <c r="D70" s="9" t="n">
        <v>4</v>
      </c>
      <c r="E70" s="9" t="s">
        <v>33</v>
      </c>
      <c r="F70" s="9" t="s">
        <v>20</v>
      </c>
      <c r="G70" s="9" t="s">
        <v>965</v>
      </c>
      <c r="H70" s="9" t="n">
        <v>1</v>
      </c>
      <c r="I70" s="11" t="n">
        <v>0</v>
      </c>
      <c r="J70" s="11" t="s">
        <v>966</v>
      </c>
      <c r="K70" s="11" t="s">
        <v>967</v>
      </c>
    </row>
    <row r="71" customFormat="false" ht="15" hidden="false" customHeight="false" outlineLevel="0" collapsed="false">
      <c r="A71" s="9" t="s">
        <v>1041</v>
      </c>
      <c r="B71" s="9" t="s">
        <v>290</v>
      </c>
      <c r="C71" s="9" t="s">
        <v>291</v>
      </c>
      <c r="D71" s="9" t="n">
        <v>5</v>
      </c>
      <c r="E71" s="9" t="s">
        <v>973</v>
      </c>
      <c r="F71" s="9" t="s">
        <v>20</v>
      </c>
      <c r="G71" s="9" t="s">
        <v>965</v>
      </c>
      <c r="H71" s="9" t="n">
        <v>1</v>
      </c>
      <c r="I71" s="11" t="n">
        <v>0</v>
      </c>
      <c r="J71" s="11" t="s">
        <v>966</v>
      </c>
      <c r="K71" s="11" t="s">
        <v>967</v>
      </c>
    </row>
    <row r="72" customFormat="false" ht="15" hidden="false" customHeight="false" outlineLevel="0" collapsed="false">
      <c r="A72" s="9" t="s">
        <v>1042</v>
      </c>
      <c r="B72" s="9" t="s">
        <v>290</v>
      </c>
      <c r="C72" s="9" t="s">
        <v>291</v>
      </c>
      <c r="D72" s="9" t="n">
        <v>6</v>
      </c>
      <c r="E72" s="9" t="s">
        <v>975</v>
      </c>
      <c r="F72" s="9" t="s">
        <v>858</v>
      </c>
      <c r="G72" s="9" t="s">
        <v>976</v>
      </c>
      <c r="H72" s="9" t="n">
        <v>0</v>
      </c>
      <c r="I72" s="11" t="n">
        <v>0</v>
      </c>
      <c r="J72" s="11" t="s">
        <v>966</v>
      </c>
      <c r="K72" s="11" t="s">
        <v>967</v>
      </c>
    </row>
    <row r="73" customFormat="false" ht="15" hidden="false" customHeight="false" outlineLevel="0" collapsed="false">
      <c r="A73" s="9" t="s">
        <v>1043</v>
      </c>
      <c r="B73" s="9" t="s">
        <v>290</v>
      </c>
      <c r="C73" s="9" t="s">
        <v>291</v>
      </c>
      <c r="D73" s="9" t="n">
        <v>7</v>
      </c>
      <c r="E73" s="9" t="s">
        <v>978</v>
      </c>
      <c r="F73" s="9" t="s">
        <v>858</v>
      </c>
      <c r="G73" s="9" t="s">
        <v>976</v>
      </c>
      <c r="H73" s="9" t="n">
        <v>0</v>
      </c>
      <c r="I73" s="11" t="n">
        <v>0</v>
      </c>
      <c r="J73" s="11" t="s">
        <v>966</v>
      </c>
      <c r="K73" s="11" t="s">
        <v>967</v>
      </c>
    </row>
    <row r="74" customFormat="false" ht="15" hidden="false" customHeight="false" outlineLevel="0" collapsed="false">
      <c r="A74" s="9" t="s">
        <v>1044</v>
      </c>
      <c r="B74" s="9" t="s">
        <v>290</v>
      </c>
      <c r="C74" s="9" t="s">
        <v>291</v>
      </c>
      <c r="D74" s="9" t="n">
        <v>8</v>
      </c>
      <c r="E74" s="9" t="s">
        <v>980</v>
      </c>
      <c r="F74" s="9" t="s">
        <v>858</v>
      </c>
      <c r="G74" s="9" t="s">
        <v>976</v>
      </c>
      <c r="H74" s="9" t="n">
        <v>0</v>
      </c>
      <c r="I74" s="11" t="n">
        <v>0</v>
      </c>
      <c r="J74" s="11" t="s">
        <v>966</v>
      </c>
      <c r="K74" s="11" t="s">
        <v>967</v>
      </c>
    </row>
    <row r="75" customFormat="false" ht="15" hidden="false" customHeight="false" outlineLevel="0" collapsed="false">
      <c r="A75" s="9" t="s">
        <v>1045</v>
      </c>
      <c r="B75" s="9" t="s">
        <v>290</v>
      </c>
      <c r="C75" s="9" t="s">
        <v>291</v>
      </c>
      <c r="D75" s="9" t="n">
        <v>9</v>
      </c>
      <c r="E75" s="9" t="s">
        <v>982</v>
      </c>
      <c r="F75" s="9" t="s">
        <v>858</v>
      </c>
      <c r="G75" s="9" t="s">
        <v>976</v>
      </c>
      <c r="H75" s="9" t="n">
        <v>0</v>
      </c>
      <c r="I75" s="11" t="n">
        <v>0</v>
      </c>
      <c r="J75" s="11" t="s">
        <v>966</v>
      </c>
      <c r="K75" s="11" t="s">
        <v>967</v>
      </c>
    </row>
    <row r="76" customFormat="false" ht="15" hidden="false" customHeight="false" outlineLevel="0" collapsed="false">
      <c r="A76" s="9" t="s">
        <v>1046</v>
      </c>
      <c r="B76" s="9" t="s">
        <v>290</v>
      </c>
      <c r="C76" s="9" t="s">
        <v>291</v>
      </c>
      <c r="D76" s="9" t="n">
        <v>10</v>
      </c>
      <c r="E76" s="9" t="s">
        <v>984</v>
      </c>
      <c r="F76" s="9" t="s">
        <v>858</v>
      </c>
      <c r="G76" s="9" t="s">
        <v>976</v>
      </c>
      <c r="H76" s="9" t="n">
        <v>0</v>
      </c>
      <c r="I76" s="11" t="n">
        <v>0</v>
      </c>
      <c r="J76" s="11" t="s">
        <v>966</v>
      </c>
      <c r="K76" s="11" t="s">
        <v>967</v>
      </c>
    </row>
    <row r="77" customFormat="false" ht="15" hidden="false" customHeight="false" outlineLevel="0" collapsed="false">
      <c r="A77" s="9" t="s">
        <v>1047</v>
      </c>
      <c r="B77" s="9" t="s">
        <v>290</v>
      </c>
      <c r="C77" s="9" t="s">
        <v>291</v>
      </c>
      <c r="D77" s="9" t="n">
        <v>11</v>
      </c>
      <c r="E77" s="9" t="s">
        <v>134</v>
      </c>
      <c r="F77" s="9" t="s">
        <v>858</v>
      </c>
      <c r="G77" s="9" t="s">
        <v>976</v>
      </c>
      <c r="H77" s="9" t="n">
        <v>0</v>
      </c>
      <c r="I77" s="11" t="n">
        <v>0</v>
      </c>
      <c r="J77" s="11" t="s">
        <v>966</v>
      </c>
      <c r="K77" s="11" t="s">
        <v>967</v>
      </c>
    </row>
    <row r="78" customFormat="false" ht="15" hidden="false" customHeight="false" outlineLevel="0" collapsed="false">
      <c r="A78" s="12" t="s">
        <v>1048</v>
      </c>
      <c r="B78" s="12" t="s">
        <v>290</v>
      </c>
      <c r="C78" s="12" t="s">
        <v>291</v>
      </c>
      <c r="D78" s="12" t="n">
        <v>12</v>
      </c>
      <c r="E78" s="12" t="s">
        <v>987</v>
      </c>
      <c r="F78" s="12" t="s">
        <v>858</v>
      </c>
      <c r="G78" s="12" t="s">
        <v>976</v>
      </c>
      <c r="H78" s="12" t="n">
        <v>0</v>
      </c>
      <c r="I78" s="14" t="n">
        <v>0</v>
      </c>
      <c r="J78" s="14" t="s">
        <v>988</v>
      </c>
      <c r="K78" s="14" t="s">
        <v>69</v>
      </c>
    </row>
  </sheetData>
  <mergeCells count="2">
    <mergeCell ref="A2:K2"/>
    <mergeCell ref="A4:K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5"/>
    <col collapsed="false" customWidth="true" hidden="false" outlineLevel="0" max="3" min="3" style="0" width="38"/>
    <col collapsed="false" customWidth="true" hidden="false" outlineLevel="0" max="4" min="4" style="0" width="67"/>
    <col collapsed="false" customWidth="true" hidden="false" outlineLevel="0" max="5" min="5" style="0" width="15"/>
  </cols>
  <sheetData>
    <row r="2" customFormat="false" ht="24" hidden="false" customHeight="true" outlineLevel="0" collapsed="false">
      <c r="A2" s="1" t="s">
        <v>1049</v>
      </c>
      <c r="B2" s="1"/>
      <c r="C2" s="1"/>
      <c r="D2" s="1"/>
      <c r="E2" s="1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3" t="s">
        <v>1050</v>
      </c>
      <c r="B4" s="3"/>
      <c r="C4" s="3"/>
      <c r="D4" s="3"/>
      <c r="E4" s="3"/>
    </row>
    <row r="5" customFormat="false" ht="15" hidden="false" customHeight="false" outlineLevel="0" collapsed="false">
      <c r="A5" s="4"/>
      <c r="B5" s="4"/>
      <c r="C5" s="4"/>
      <c r="D5" s="4"/>
      <c r="E5" s="4"/>
    </row>
    <row r="6" customFormat="false" ht="23" hidden="false" customHeight="true" outlineLevel="0" collapsed="false">
      <c r="A6" s="5" t="s">
        <v>1051</v>
      </c>
      <c r="B6" s="6" t="s">
        <v>1052</v>
      </c>
      <c r="C6" s="6" t="s">
        <v>1053</v>
      </c>
      <c r="D6" s="6" t="s">
        <v>1054</v>
      </c>
      <c r="E6" s="7" t="s">
        <v>5</v>
      </c>
    </row>
    <row r="7" customFormat="false" ht="15" hidden="false" customHeight="false" outlineLevel="0" collapsed="false">
      <c r="A7" s="8" t="s">
        <v>1055</v>
      </c>
      <c r="B7" s="8" t="s">
        <v>965</v>
      </c>
      <c r="C7" s="8" t="s">
        <v>1056</v>
      </c>
      <c r="D7" s="8" t="s">
        <v>1057</v>
      </c>
      <c r="E7" s="8" t="s">
        <v>29</v>
      </c>
    </row>
    <row r="8" customFormat="false" ht="15" hidden="false" customHeight="false" outlineLevel="0" collapsed="false">
      <c r="A8" s="9" t="s">
        <v>1058</v>
      </c>
      <c r="B8" s="9" t="s">
        <v>969</v>
      </c>
      <c r="C8" s="9" t="s">
        <v>1059</v>
      </c>
      <c r="D8" s="9" t="s">
        <v>1057</v>
      </c>
      <c r="E8" s="9" t="s">
        <v>29</v>
      </c>
    </row>
    <row r="9" customFormat="false" ht="15" hidden="false" customHeight="false" outlineLevel="0" collapsed="false">
      <c r="A9" s="9" t="s">
        <v>1060</v>
      </c>
      <c r="B9" s="9" t="s">
        <v>1061</v>
      </c>
      <c r="C9" s="9" t="s">
        <v>1062</v>
      </c>
      <c r="D9" s="9" t="s">
        <v>1057</v>
      </c>
      <c r="E9" s="9" t="s">
        <v>29</v>
      </c>
    </row>
    <row r="10" customFormat="false" ht="15" hidden="false" customHeight="false" outlineLevel="0" collapsed="false">
      <c r="A10" s="9" t="s">
        <v>1063</v>
      </c>
      <c r="B10" s="9" t="s">
        <v>1064</v>
      </c>
      <c r="C10" s="9" t="s">
        <v>1065</v>
      </c>
      <c r="D10" s="9" t="s">
        <v>1057</v>
      </c>
      <c r="E10" s="9" t="s">
        <v>29</v>
      </c>
    </row>
    <row r="11" customFormat="false" ht="15" hidden="false" customHeight="false" outlineLevel="0" collapsed="false">
      <c r="A11" s="9" t="s">
        <v>1066</v>
      </c>
      <c r="B11" s="9" t="s">
        <v>1067</v>
      </c>
      <c r="C11" s="9" t="s">
        <v>1068</v>
      </c>
      <c r="D11" s="9" t="s">
        <v>1057</v>
      </c>
      <c r="E11" s="9" t="s">
        <v>29</v>
      </c>
    </row>
    <row r="12" customFormat="false" ht="15" hidden="false" customHeight="false" outlineLevel="0" collapsed="false">
      <c r="A12" s="9" t="s">
        <v>1069</v>
      </c>
      <c r="B12" s="9" t="s">
        <v>1070</v>
      </c>
      <c r="C12" s="9" t="s">
        <v>1071</v>
      </c>
      <c r="D12" s="9" t="s">
        <v>1057</v>
      </c>
      <c r="E12" s="9" t="s">
        <v>29</v>
      </c>
    </row>
    <row r="13" customFormat="false" ht="15" hidden="false" customHeight="false" outlineLevel="0" collapsed="false">
      <c r="A13" s="9" t="s">
        <v>1072</v>
      </c>
      <c r="B13" s="9" t="s">
        <v>1073</v>
      </c>
      <c r="C13" s="9" t="s">
        <v>1074</v>
      </c>
      <c r="D13" s="9" t="s">
        <v>1057</v>
      </c>
      <c r="E13" s="9" t="s">
        <v>29</v>
      </c>
    </row>
    <row r="14" customFormat="false" ht="15" hidden="false" customHeight="false" outlineLevel="0" collapsed="false">
      <c r="A14" s="9" t="s">
        <v>1075</v>
      </c>
      <c r="B14" s="9" t="s">
        <v>1076</v>
      </c>
      <c r="C14" s="9" t="s">
        <v>1077</v>
      </c>
      <c r="D14" s="9" t="s">
        <v>1057</v>
      </c>
      <c r="E14" s="9" t="s">
        <v>29</v>
      </c>
    </row>
    <row r="15" customFormat="false" ht="15" hidden="false" customHeight="false" outlineLevel="0" collapsed="false">
      <c r="A15" s="9" t="s">
        <v>1078</v>
      </c>
      <c r="B15" s="9" t="s">
        <v>1079</v>
      </c>
      <c r="C15" s="9" t="s">
        <v>1080</v>
      </c>
      <c r="D15" s="9" t="s">
        <v>1057</v>
      </c>
      <c r="E15" s="9" t="s">
        <v>29</v>
      </c>
    </row>
    <row r="16" customFormat="false" ht="15" hidden="false" customHeight="false" outlineLevel="0" collapsed="false">
      <c r="A16" s="9" t="s">
        <v>1081</v>
      </c>
      <c r="B16" s="9" t="s">
        <v>1082</v>
      </c>
      <c r="C16" s="9" t="s">
        <v>1083</v>
      </c>
      <c r="D16" s="9" t="s">
        <v>1057</v>
      </c>
      <c r="E16" s="9" t="s">
        <v>29</v>
      </c>
    </row>
    <row r="17" customFormat="false" ht="15" hidden="false" customHeight="false" outlineLevel="0" collapsed="false">
      <c r="A17" s="9" t="s">
        <v>1084</v>
      </c>
      <c r="B17" s="9" t="s">
        <v>1085</v>
      </c>
      <c r="C17" s="9" t="s">
        <v>1086</v>
      </c>
      <c r="D17" s="9" t="s">
        <v>1057</v>
      </c>
      <c r="E17" s="9" t="s">
        <v>29</v>
      </c>
    </row>
    <row r="18" customFormat="false" ht="15" hidden="false" customHeight="false" outlineLevel="0" collapsed="false">
      <c r="A18" s="9" t="s">
        <v>1087</v>
      </c>
      <c r="B18" s="9" t="s">
        <v>1088</v>
      </c>
      <c r="C18" s="9" t="s">
        <v>1089</v>
      </c>
      <c r="D18" s="9" t="s">
        <v>1057</v>
      </c>
      <c r="E18" s="9" t="s">
        <v>29</v>
      </c>
    </row>
    <row r="19" customFormat="false" ht="15" hidden="false" customHeight="false" outlineLevel="0" collapsed="false">
      <c r="A19" s="9" t="s">
        <v>1090</v>
      </c>
      <c r="B19" s="9" t="s">
        <v>1089</v>
      </c>
      <c r="C19" s="9" t="s">
        <v>1091</v>
      </c>
      <c r="D19" s="9" t="s">
        <v>1057</v>
      </c>
      <c r="E19" s="9" t="s">
        <v>29</v>
      </c>
    </row>
    <row r="20" customFormat="false" ht="15" hidden="false" customHeight="false" outlineLevel="0" collapsed="false">
      <c r="A20" s="9" t="s">
        <v>1092</v>
      </c>
      <c r="B20" s="9" t="s">
        <v>1093</v>
      </c>
      <c r="C20" s="9" t="s">
        <v>1094</v>
      </c>
      <c r="D20" s="9" t="s">
        <v>1057</v>
      </c>
      <c r="E20" s="9" t="s">
        <v>29</v>
      </c>
    </row>
    <row r="21" customFormat="false" ht="15" hidden="false" customHeight="false" outlineLevel="0" collapsed="false">
      <c r="A21" s="9" t="s">
        <v>1095</v>
      </c>
      <c r="B21" s="9" t="s">
        <v>1096</v>
      </c>
      <c r="C21" s="9" t="s">
        <v>1097</v>
      </c>
      <c r="D21" s="9" t="s">
        <v>1057</v>
      </c>
      <c r="E21" s="9" t="s">
        <v>29</v>
      </c>
    </row>
    <row r="22" customFormat="false" ht="15" hidden="false" customHeight="false" outlineLevel="0" collapsed="false">
      <c r="A22" s="9" t="s">
        <v>1098</v>
      </c>
      <c r="B22" s="9" t="s">
        <v>134</v>
      </c>
      <c r="C22" s="9" t="s">
        <v>1099</v>
      </c>
      <c r="D22" s="9" t="s">
        <v>1057</v>
      </c>
      <c r="E22" s="9" t="s">
        <v>29</v>
      </c>
    </row>
    <row r="23" customFormat="false" ht="15" hidden="false" customHeight="false" outlineLevel="0" collapsed="false">
      <c r="A23" s="9" t="s">
        <v>1100</v>
      </c>
      <c r="B23" s="9" t="s">
        <v>1101</v>
      </c>
      <c r="C23" s="9" t="s">
        <v>1102</v>
      </c>
      <c r="D23" s="9" t="s">
        <v>1057</v>
      </c>
      <c r="E23" s="9" t="s">
        <v>29</v>
      </c>
    </row>
    <row r="24" customFormat="false" ht="15" hidden="false" customHeight="false" outlineLevel="0" collapsed="false">
      <c r="A24" s="12" t="s">
        <v>1103</v>
      </c>
      <c r="B24" s="12" t="s">
        <v>1104</v>
      </c>
      <c r="C24" s="12" t="s">
        <v>1105</v>
      </c>
      <c r="D24" s="12" t="s">
        <v>1057</v>
      </c>
      <c r="E24" s="12" t="s">
        <v>29</v>
      </c>
    </row>
  </sheetData>
  <mergeCells count="2">
    <mergeCell ref="A2:E2"/>
    <mergeCell ref="A4:E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S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1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5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23"/>
    <col collapsed="false" customWidth="true" hidden="false" outlineLevel="0" max="11" min="10" style="0" width="18"/>
    <col collapsed="false" customWidth="true" hidden="false" outlineLevel="0" max="12" min="12" style="0" width="21"/>
    <col collapsed="false" customWidth="true" hidden="false" outlineLevel="0" max="13" min="13" style="0" width="22"/>
    <col collapsed="false" customWidth="true" hidden="false" outlineLevel="0" max="14" min="14" style="0" width="20"/>
    <col collapsed="false" customWidth="true" hidden="false" outlineLevel="0" max="16" min="15" style="0" width="11"/>
    <col collapsed="false" customWidth="true" hidden="false" outlineLevel="0" max="17" min="17" style="0" width="12"/>
    <col collapsed="false" customWidth="true" hidden="false" outlineLevel="0" max="19" min="18" style="0" width="15"/>
  </cols>
  <sheetData>
    <row r="2" customFormat="false" ht="24" hidden="false" customHeight="true" outlineLevel="0" collapsed="false">
      <c r="A2" s="1" t="s">
        <v>1106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customFormat="false" ht="15" hidden="false" customHeight="false" outlineLevel="0" collapsed="false">
      <c r="A4" s="3" t="s">
        <v>1107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customFormat="false" ht="23" hidden="false" customHeight="true" outlineLevel="0" collapsed="false">
      <c r="A6" s="5" t="s">
        <v>147</v>
      </c>
      <c r="B6" s="6" t="s">
        <v>148</v>
      </c>
      <c r="C6" s="6" t="s">
        <v>311</v>
      </c>
      <c r="D6" s="6" t="s">
        <v>1108</v>
      </c>
      <c r="E6" s="6" t="s">
        <v>1109</v>
      </c>
      <c r="F6" s="6" t="s">
        <v>1110</v>
      </c>
      <c r="G6" s="6" t="s">
        <v>1111</v>
      </c>
      <c r="H6" s="6" t="s">
        <v>1112</v>
      </c>
      <c r="I6" s="6" t="s">
        <v>1113</v>
      </c>
      <c r="J6" s="6" t="s">
        <v>1114</v>
      </c>
      <c r="K6" s="6" t="s">
        <v>316</v>
      </c>
      <c r="L6" s="6" t="s">
        <v>1115</v>
      </c>
      <c r="M6" s="6" t="s">
        <v>1116</v>
      </c>
      <c r="N6" s="6" t="s">
        <v>317</v>
      </c>
      <c r="O6" s="6" t="s">
        <v>1117</v>
      </c>
      <c r="P6" s="6" t="s">
        <v>1118</v>
      </c>
      <c r="Q6" s="6" t="s">
        <v>1119</v>
      </c>
      <c r="R6" s="6" t="s">
        <v>1120</v>
      </c>
      <c r="S6" s="7" t="s">
        <v>1121</v>
      </c>
    </row>
    <row r="7" customFormat="false" ht="15" hidden="false" customHeight="false" outlineLevel="0" collapsed="false">
      <c r="A7" s="8" t="s">
        <v>156</v>
      </c>
      <c r="B7" s="8" t="s">
        <v>157</v>
      </c>
      <c r="C7" s="8" t="s">
        <v>319</v>
      </c>
      <c r="D7" s="8" t="n">
        <v>16</v>
      </c>
      <c r="E7" s="8" t="n">
        <v>12</v>
      </c>
      <c r="F7" s="8" t="n">
        <v>8</v>
      </c>
      <c r="G7" s="8" t="n">
        <v>12</v>
      </c>
      <c r="H7" s="8" t="n">
        <v>2</v>
      </c>
      <c r="I7" s="8" t="n">
        <v>4</v>
      </c>
      <c r="J7" s="8" t="n">
        <v>12</v>
      </c>
      <c r="K7" s="28" t="n">
        <v>0.50047461808185</v>
      </c>
      <c r="L7" s="8" t="n">
        <v>5</v>
      </c>
      <c r="M7" s="8" t="n">
        <v>7</v>
      </c>
      <c r="N7" s="8" t="s">
        <v>20</v>
      </c>
      <c r="O7" s="29" t="n">
        <v>0</v>
      </c>
      <c r="P7" s="29" t="n">
        <v>0</v>
      </c>
      <c r="Q7" s="29" t="n">
        <v>0</v>
      </c>
      <c r="R7" s="29" t="n">
        <v>0</v>
      </c>
      <c r="S7" s="29" t="n">
        <v>0</v>
      </c>
    </row>
    <row r="8" customFormat="false" ht="15" hidden="false" customHeight="false" outlineLevel="0" collapsed="false">
      <c r="A8" s="9" t="s">
        <v>210</v>
      </c>
      <c r="B8" s="9" t="s">
        <v>211</v>
      </c>
      <c r="C8" s="9" t="s">
        <v>322</v>
      </c>
      <c r="D8" s="9" t="n">
        <v>16</v>
      </c>
      <c r="E8" s="9" t="n">
        <v>12</v>
      </c>
      <c r="F8" s="9" t="n">
        <v>8</v>
      </c>
      <c r="G8" s="9" t="n">
        <v>12</v>
      </c>
      <c r="H8" s="9" t="n">
        <v>2</v>
      </c>
      <c r="I8" s="9" t="n">
        <v>4</v>
      </c>
      <c r="J8" s="9" t="n">
        <v>12</v>
      </c>
      <c r="K8" s="31" t="n">
        <v>0.51649348177396</v>
      </c>
      <c r="L8" s="9" t="n">
        <v>5</v>
      </c>
      <c r="M8" s="9" t="n">
        <v>7</v>
      </c>
      <c r="N8" s="9" t="s">
        <v>20</v>
      </c>
      <c r="O8" s="11" t="n">
        <v>0</v>
      </c>
      <c r="P8" s="11" t="n">
        <v>0</v>
      </c>
      <c r="Q8" s="11" t="n">
        <v>0</v>
      </c>
      <c r="R8" s="11" t="n">
        <v>0</v>
      </c>
      <c r="S8" s="11" t="n">
        <v>0</v>
      </c>
    </row>
    <row r="9" customFormat="false" ht="15" hidden="false" customHeight="false" outlineLevel="0" collapsed="false">
      <c r="A9" s="9" t="s">
        <v>230</v>
      </c>
      <c r="B9" s="9" t="s">
        <v>231</v>
      </c>
      <c r="C9" s="9" t="s">
        <v>325</v>
      </c>
      <c r="D9" s="9" t="n">
        <v>16</v>
      </c>
      <c r="E9" s="9" t="n">
        <v>12</v>
      </c>
      <c r="F9" s="9" t="n">
        <v>8</v>
      </c>
      <c r="G9" s="9" t="n">
        <v>12</v>
      </c>
      <c r="H9" s="9" t="n">
        <v>2</v>
      </c>
      <c r="I9" s="9" t="n">
        <v>4</v>
      </c>
      <c r="J9" s="9" t="n">
        <v>12</v>
      </c>
      <c r="K9" s="31" t="n">
        <v>0.307221654067133</v>
      </c>
      <c r="L9" s="9" t="n">
        <v>5</v>
      </c>
      <c r="M9" s="9" t="n">
        <v>7</v>
      </c>
      <c r="N9" s="9" t="s">
        <v>20</v>
      </c>
      <c r="O9" s="11" t="n">
        <v>0</v>
      </c>
      <c r="P9" s="11" t="n">
        <v>0</v>
      </c>
      <c r="Q9" s="11" t="n">
        <v>0</v>
      </c>
      <c r="R9" s="11" t="n">
        <v>0</v>
      </c>
      <c r="S9" s="11" t="n">
        <v>0</v>
      </c>
    </row>
    <row r="10" customFormat="false" ht="15" hidden="false" customHeight="false" outlineLevel="0" collapsed="false">
      <c r="A10" s="9" t="s">
        <v>250</v>
      </c>
      <c r="B10" s="9" t="s">
        <v>251</v>
      </c>
      <c r="C10" s="9" t="s">
        <v>327</v>
      </c>
      <c r="D10" s="9" t="n">
        <v>16</v>
      </c>
      <c r="E10" s="9" t="n">
        <v>12</v>
      </c>
      <c r="F10" s="9" t="n">
        <v>8</v>
      </c>
      <c r="G10" s="9" t="n">
        <v>12</v>
      </c>
      <c r="H10" s="9" t="n">
        <v>2</v>
      </c>
      <c r="I10" s="9" t="n">
        <v>4</v>
      </c>
      <c r="J10" s="9" t="n">
        <v>12</v>
      </c>
      <c r="K10" s="31" t="n">
        <v>0.899412819320565</v>
      </c>
      <c r="L10" s="9" t="n">
        <v>5</v>
      </c>
      <c r="M10" s="9" t="n">
        <v>7</v>
      </c>
      <c r="N10" s="9" t="s">
        <v>20</v>
      </c>
      <c r="O10" s="11" t="n">
        <v>0</v>
      </c>
      <c r="P10" s="11" t="n">
        <v>0</v>
      </c>
      <c r="Q10" s="11" t="n">
        <v>0</v>
      </c>
      <c r="R10" s="11" t="n">
        <v>0</v>
      </c>
      <c r="S10" s="11" t="n">
        <v>0</v>
      </c>
    </row>
    <row r="11" customFormat="false" ht="15" hidden="false" customHeight="false" outlineLevel="0" collapsed="false">
      <c r="A11" s="9" t="s">
        <v>270</v>
      </c>
      <c r="B11" s="9" t="s">
        <v>271</v>
      </c>
      <c r="C11" s="9" t="s">
        <v>329</v>
      </c>
      <c r="D11" s="9" t="n">
        <v>16</v>
      </c>
      <c r="E11" s="9" t="n">
        <v>12</v>
      </c>
      <c r="F11" s="9" t="n">
        <v>8</v>
      </c>
      <c r="G11" s="9" t="n">
        <v>12</v>
      </c>
      <c r="H11" s="9" t="n">
        <v>2</v>
      </c>
      <c r="I11" s="9" t="n">
        <v>4</v>
      </c>
      <c r="J11" s="9" t="n">
        <v>12</v>
      </c>
      <c r="K11" s="31" t="n">
        <v>0.860712452941095</v>
      </c>
      <c r="L11" s="9" t="n">
        <v>5</v>
      </c>
      <c r="M11" s="9" t="n">
        <v>7</v>
      </c>
      <c r="N11" s="9" t="s">
        <v>20</v>
      </c>
      <c r="O11" s="11" t="n">
        <v>0</v>
      </c>
      <c r="P11" s="11" t="n">
        <v>0</v>
      </c>
      <c r="Q11" s="11" t="n">
        <v>0</v>
      </c>
      <c r="R11" s="11" t="n">
        <v>0</v>
      </c>
      <c r="S11" s="11" t="n">
        <v>0</v>
      </c>
    </row>
    <row r="12" customFormat="false" ht="15" hidden="false" customHeight="false" outlineLevel="0" collapsed="false">
      <c r="A12" s="12" t="s">
        <v>290</v>
      </c>
      <c r="B12" s="12" t="s">
        <v>291</v>
      </c>
      <c r="C12" s="12" t="s">
        <v>332</v>
      </c>
      <c r="D12" s="12" t="n">
        <v>16</v>
      </c>
      <c r="E12" s="12" t="n">
        <v>12</v>
      </c>
      <c r="F12" s="12" t="n">
        <v>8</v>
      </c>
      <c r="G12" s="12" t="n">
        <v>12</v>
      </c>
      <c r="H12" s="12" t="n">
        <v>2</v>
      </c>
      <c r="I12" s="12" t="n">
        <v>4</v>
      </c>
      <c r="J12" s="12" t="n">
        <v>12</v>
      </c>
      <c r="K12" s="33" t="n">
        <v>0.502597793135963</v>
      </c>
      <c r="L12" s="12" t="n">
        <v>5</v>
      </c>
      <c r="M12" s="12" t="n">
        <v>7</v>
      </c>
      <c r="N12" s="12" t="s">
        <v>20</v>
      </c>
      <c r="O12" s="14" t="n">
        <v>0</v>
      </c>
      <c r="P12" s="14" t="n">
        <v>0</v>
      </c>
      <c r="Q12" s="14" t="n">
        <v>0</v>
      </c>
      <c r="R12" s="14" t="n">
        <v>0</v>
      </c>
      <c r="S12" s="14" t="n">
        <v>0</v>
      </c>
    </row>
  </sheetData>
  <mergeCells count="2">
    <mergeCell ref="A2:S2"/>
    <mergeCell ref="A4:S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3"/>
    <col collapsed="false" customWidth="true" hidden="false" outlineLevel="0" max="3" min="3" style="0" width="57"/>
    <col collapsed="false" customWidth="true" hidden="false" outlineLevel="0" max="4" min="4" style="0" width="49"/>
    <col collapsed="false" customWidth="true" hidden="false" outlineLevel="0" max="5" min="5" style="0" width="18"/>
    <col collapsed="false" customWidth="true" hidden="false" outlineLevel="0" max="6" min="6" style="0" width="13"/>
  </cols>
  <sheetData>
    <row r="2" customFormat="false" ht="24" hidden="false" customHeight="true" outlineLevel="0" collapsed="false">
      <c r="A2" s="1" t="s">
        <v>1122</v>
      </c>
      <c r="B2" s="1"/>
      <c r="C2" s="1"/>
      <c r="D2" s="1"/>
      <c r="E2" s="1"/>
      <c r="F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3" t="s">
        <v>1123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</row>
    <row r="6" customFormat="false" ht="23" hidden="false" customHeight="true" outlineLevel="0" collapsed="false">
      <c r="A6" s="5" t="s">
        <v>1124</v>
      </c>
      <c r="B6" s="6" t="s">
        <v>1125</v>
      </c>
      <c r="C6" s="6" t="s">
        <v>725</v>
      </c>
      <c r="D6" s="6" t="s">
        <v>1126</v>
      </c>
      <c r="E6" s="6" t="s">
        <v>824</v>
      </c>
      <c r="F6" s="7" t="s">
        <v>5</v>
      </c>
    </row>
    <row r="7" customFormat="false" ht="15" hidden="false" customHeight="false" outlineLevel="0" collapsed="false">
      <c r="A7" s="8" t="s">
        <v>1127</v>
      </c>
      <c r="B7" s="8" t="s">
        <v>1128</v>
      </c>
      <c r="C7" s="8" t="s">
        <v>1129</v>
      </c>
      <c r="D7" s="8" t="s">
        <v>1130</v>
      </c>
      <c r="E7" s="8" t="s">
        <v>1131</v>
      </c>
      <c r="F7" s="8" t="s">
        <v>1132</v>
      </c>
    </row>
    <row r="8" customFormat="false" ht="15" hidden="false" customHeight="false" outlineLevel="0" collapsed="false">
      <c r="A8" s="9" t="s">
        <v>1133</v>
      </c>
      <c r="B8" s="9" t="s">
        <v>1134</v>
      </c>
      <c r="C8" s="9" t="s">
        <v>1135</v>
      </c>
      <c r="D8" s="9" t="s">
        <v>1136</v>
      </c>
      <c r="E8" s="9" t="s">
        <v>1137</v>
      </c>
      <c r="F8" s="9" t="s">
        <v>1132</v>
      </c>
    </row>
    <row r="9" customFormat="false" ht="15" hidden="false" customHeight="false" outlineLevel="0" collapsed="false">
      <c r="A9" s="9" t="s">
        <v>1138</v>
      </c>
      <c r="B9" s="9" t="s">
        <v>1139</v>
      </c>
      <c r="C9" s="9" t="s">
        <v>1140</v>
      </c>
      <c r="D9" s="9" t="s">
        <v>1141</v>
      </c>
      <c r="E9" s="9" t="s">
        <v>1142</v>
      </c>
      <c r="F9" s="9" t="s">
        <v>1132</v>
      </c>
    </row>
    <row r="10" customFormat="false" ht="15" hidden="false" customHeight="false" outlineLevel="0" collapsed="false">
      <c r="A10" s="9" t="s">
        <v>1143</v>
      </c>
      <c r="B10" s="9" t="s">
        <v>1144</v>
      </c>
      <c r="C10" s="9" t="s">
        <v>1145</v>
      </c>
      <c r="D10" s="9" t="s">
        <v>1146</v>
      </c>
      <c r="E10" s="9" t="s">
        <v>828</v>
      </c>
      <c r="F10" s="9" t="s">
        <v>1132</v>
      </c>
    </row>
    <row r="11" customFormat="false" ht="15" hidden="false" customHeight="false" outlineLevel="0" collapsed="false">
      <c r="A11" s="9" t="s">
        <v>1147</v>
      </c>
      <c r="B11" s="9" t="s">
        <v>1148</v>
      </c>
      <c r="C11" s="9" t="s">
        <v>1149</v>
      </c>
      <c r="D11" s="9" t="s">
        <v>1150</v>
      </c>
      <c r="E11" s="9" t="s">
        <v>1131</v>
      </c>
      <c r="F11" s="9" t="s">
        <v>1132</v>
      </c>
    </row>
    <row r="12" customFormat="false" ht="15" hidden="false" customHeight="false" outlineLevel="0" collapsed="false">
      <c r="A12" s="9" t="s">
        <v>1151</v>
      </c>
      <c r="B12" s="9" t="s">
        <v>1152</v>
      </c>
      <c r="C12" s="9" t="s">
        <v>1153</v>
      </c>
      <c r="D12" s="9" t="s">
        <v>1154</v>
      </c>
      <c r="E12" s="9" t="s">
        <v>1137</v>
      </c>
      <c r="F12" s="9" t="s">
        <v>1132</v>
      </c>
    </row>
    <row r="13" customFormat="false" ht="15" hidden="false" customHeight="false" outlineLevel="0" collapsed="false">
      <c r="A13" s="9" t="s">
        <v>1155</v>
      </c>
      <c r="B13" s="9" t="s">
        <v>1156</v>
      </c>
      <c r="C13" s="9" t="s">
        <v>1157</v>
      </c>
      <c r="D13" s="9" t="s">
        <v>1158</v>
      </c>
      <c r="E13" s="9" t="s">
        <v>1159</v>
      </c>
      <c r="F13" s="9" t="s">
        <v>1132</v>
      </c>
    </row>
    <row r="14" customFormat="false" ht="15" hidden="false" customHeight="false" outlineLevel="0" collapsed="false">
      <c r="A14" s="9" t="s">
        <v>1160</v>
      </c>
      <c r="B14" s="9" t="s">
        <v>1161</v>
      </c>
      <c r="C14" s="9" t="s">
        <v>1162</v>
      </c>
      <c r="D14" s="9" t="s">
        <v>1163</v>
      </c>
      <c r="E14" s="9" t="s">
        <v>1164</v>
      </c>
      <c r="F14" s="9" t="s">
        <v>1132</v>
      </c>
    </row>
    <row r="15" customFormat="false" ht="15" hidden="false" customHeight="false" outlineLevel="0" collapsed="false">
      <c r="A15" s="9" t="s">
        <v>1165</v>
      </c>
      <c r="B15" s="9" t="s">
        <v>1166</v>
      </c>
      <c r="C15" s="9" t="s">
        <v>1167</v>
      </c>
      <c r="D15" s="9" t="s">
        <v>1168</v>
      </c>
      <c r="E15" s="9" t="s">
        <v>828</v>
      </c>
      <c r="F15" s="9" t="s">
        <v>1132</v>
      </c>
    </row>
    <row r="16" customFormat="false" ht="15" hidden="false" customHeight="false" outlineLevel="0" collapsed="false">
      <c r="A16" s="9" t="s">
        <v>1169</v>
      </c>
      <c r="B16" s="9" t="s">
        <v>1170</v>
      </c>
      <c r="C16" s="9" t="s">
        <v>1171</v>
      </c>
      <c r="D16" s="9" t="s">
        <v>1172</v>
      </c>
      <c r="E16" s="9" t="s">
        <v>413</v>
      </c>
      <c r="F16" s="9" t="s">
        <v>1132</v>
      </c>
    </row>
    <row r="17" customFormat="false" ht="15" hidden="false" customHeight="false" outlineLevel="0" collapsed="false">
      <c r="A17" s="9" t="s">
        <v>1173</v>
      </c>
      <c r="B17" s="9" t="s">
        <v>1174</v>
      </c>
      <c r="C17" s="9" t="s">
        <v>1175</v>
      </c>
      <c r="D17" s="9" t="s">
        <v>1176</v>
      </c>
      <c r="E17" s="9" t="s">
        <v>1131</v>
      </c>
      <c r="F17" s="9" t="s">
        <v>1132</v>
      </c>
    </row>
    <row r="18" customFormat="false" ht="15" hidden="false" customHeight="false" outlineLevel="0" collapsed="false">
      <c r="A18" s="9" t="s">
        <v>1177</v>
      </c>
      <c r="B18" s="9" t="s">
        <v>1178</v>
      </c>
      <c r="C18" s="9" t="s">
        <v>1179</v>
      </c>
      <c r="D18" s="9" t="s">
        <v>1180</v>
      </c>
      <c r="E18" s="9" t="s">
        <v>69</v>
      </c>
      <c r="F18" s="9" t="s">
        <v>1132</v>
      </c>
    </row>
    <row r="19" customFormat="false" ht="15" hidden="false" customHeight="false" outlineLevel="0" collapsed="false">
      <c r="A19" s="9" t="s">
        <v>1181</v>
      </c>
      <c r="B19" s="9" t="s">
        <v>1182</v>
      </c>
      <c r="C19" s="9" t="s">
        <v>1183</v>
      </c>
      <c r="D19" s="9" t="s">
        <v>1184</v>
      </c>
      <c r="E19" s="9" t="s">
        <v>1142</v>
      </c>
      <c r="F19" s="9" t="s">
        <v>1132</v>
      </c>
    </row>
    <row r="20" customFormat="false" ht="15" hidden="false" customHeight="false" outlineLevel="0" collapsed="false">
      <c r="A20" s="9" t="s">
        <v>1185</v>
      </c>
      <c r="B20" s="9" t="s">
        <v>1186</v>
      </c>
      <c r="C20" s="9" t="s">
        <v>1187</v>
      </c>
      <c r="D20" s="9" t="s">
        <v>1188</v>
      </c>
      <c r="E20" s="9" t="s">
        <v>69</v>
      </c>
      <c r="F20" s="9" t="s">
        <v>1132</v>
      </c>
    </row>
    <row r="21" customFormat="false" ht="15" hidden="false" customHeight="false" outlineLevel="0" collapsed="false">
      <c r="A21" s="9" t="s">
        <v>1189</v>
      </c>
      <c r="B21" s="9" t="s">
        <v>1190</v>
      </c>
      <c r="C21" s="9" t="s">
        <v>1191</v>
      </c>
      <c r="D21" s="9" t="s">
        <v>1192</v>
      </c>
      <c r="E21" s="9" t="s">
        <v>1193</v>
      </c>
      <c r="F21" s="9" t="s">
        <v>1132</v>
      </c>
    </row>
    <row r="22" customFormat="false" ht="15" hidden="false" customHeight="false" outlineLevel="0" collapsed="false">
      <c r="A22" s="12" t="s">
        <v>1194</v>
      </c>
      <c r="B22" s="12" t="s">
        <v>1195</v>
      </c>
      <c r="C22" s="12" t="s">
        <v>1196</v>
      </c>
      <c r="D22" s="12" t="s">
        <v>1197</v>
      </c>
      <c r="E22" s="12" t="s">
        <v>69</v>
      </c>
      <c r="F22" s="12" t="s">
        <v>1132</v>
      </c>
    </row>
  </sheetData>
  <mergeCells count="2">
    <mergeCell ref="A2:F2"/>
    <mergeCell ref="A4:F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5" min="2" style="0" width="18"/>
    <col collapsed="false" customWidth="true" hidden="false" outlineLevel="0" max="7" min="6" style="0" width="20"/>
  </cols>
  <sheetData>
    <row r="2" customFormat="false" ht="24" hidden="false" customHeight="true" outlineLevel="0" collapsed="false">
      <c r="A2" s="1" t="s">
        <v>1198</v>
      </c>
      <c r="B2" s="1"/>
      <c r="C2" s="1"/>
      <c r="D2" s="1"/>
      <c r="E2" s="1"/>
      <c r="F2" s="1"/>
      <c r="G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3" t="s">
        <v>1199</v>
      </c>
      <c r="B4" s="3"/>
      <c r="C4" s="3"/>
      <c r="D4" s="3"/>
      <c r="E4" s="3"/>
      <c r="F4" s="3"/>
      <c r="G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</row>
    <row r="6" customFormat="false" ht="23" hidden="false" customHeight="true" outlineLevel="0" collapsed="false">
      <c r="A6" s="5" t="s">
        <v>1124</v>
      </c>
      <c r="B6" s="6" t="s">
        <v>1200</v>
      </c>
      <c r="C6" s="6" t="s">
        <v>1201</v>
      </c>
      <c r="D6" s="6" t="s">
        <v>1202</v>
      </c>
      <c r="E6" s="6" t="s">
        <v>1203</v>
      </c>
      <c r="F6" s="6" t="s">
        <v>1204</v>
      </c>
      <c r="G6" s="7" t="s">
        <v>1205</v>
      </c>
    </row>
    <row r="7" customFormat="false" ht="15" hidden="false" customHeight="false" outlineLevel="0" collapsed="false">
      <c r="A7" s="8" t="s">
        <v>1206</v>
      </c>
      <c r="B7" s="8" t="s">
        <v>1207</v>
      </c>
      <c r="C7" s="34" t="n">
        <v>6</v>
      </c>
      <c r="D7" s="34" t="n">
        <v>5</v>
      </c>
      <c r="E7" s="34" t="n">
        <v>1</v>
      </c>
      <c r="F7" s="50" t="s">
        <v>1208</v>
      </c>
      <c r="G7" s="50" t="s">
        <v>1208</v>
      </c>
    </row>
    <row r="8" customFormat="false" ht="15" hidden="false" customHeight="false" outlineLevel="0" collapsed="false">
      <c r="A8" s="9" t="s">
        <v>1209</v>
      </c>
      <c r="B8" s="9" t="s">
        <v>1210</v>
      </c>
      <c r="C8" s="10" t="n">
        <v>6</v>
      </c>
      <c r="D8" s="10" t="n">
        <v>5</v>
      </c>
      <c r="E8" s="10" t="n">
        <v>1</v>
      </c>
      <c r="F8" s="51" t="s">
        <v>1208</v>
      </c>
      <c r="G8" s="51" t="s">
        <v>1208</v>
      </c>
    </row>
    <row r="9" customFormat="false" ht="15" hidden="false" customHeight="false" outlineLevel="0" collapsed="false">
      <c r="A9" s="9" t="s">
        <v>1211</v>
      </c>
      <c r="B9" s="9" t="s">
        <v>1212</v>
      </c>
      <c r="C9" s="10" t="n">
        <v>16</v>
      </c>
      <c r="D9" s="10" t="n">
        <v>15</v>
      </c>
      <c r="E9" s="10" t="n">
        <v>1</v>
      </c>
      <c r="F9" s="51" t="s">
        <v>1208</v>
      </c>
      <c r="G9" s="51" t="s">
        <v>1208</v>
      </c>
    </row>
    <row r="10" customFormat="false" ht="15" hidden="false" customHeight="false" outlineLevel="0" collapsed="false">
      <c r="A10" s="9" t="s">
        <v>1213</v>
      </c>
      <c r="B10" s="9" t="s">
        <v>1214</v>
      </c>
      <c r="C10" s="10" t="n">
        <v>96</v>
      </c>
      <c r="D10" s="10" t="n">
        <v>95</v>
      </c>
      <c r="E10" s="10" t="n">
        <v>1</v>
      </c>
      <c r="F10" s="51" t="s">
        <v>1208</v>
      </c>
      <c r="G10" s="51" t="s">
        <v>1208</v>
      </c>
    </row>
    <row r="11" customFormat="false" ht="15" hidden="false" customHeight="false" outlineLevel="0" collapsed="false">
      <c r="A11" s="9" t="s">
        <v>1215</v>
      </c>
      <c r="B11" s="9" t="s">
        <v>1216</v>
      </c>
      <c r="C11" s="10" t="n">
        <v>12</v>
      </c>
      <c r="D11" s="10" t="n">
        <v>11</v>
      </c>
      <c r="E11" s="10" t="n">
        <v>1</v>
      </c>
      <c r="F11" s="51" t="s">
        <v>1208</v>
      </c>
      <c r="G11" s="51" t="s">
        <v>1208</v>
      </c>
    </row>
    <row r="12" customFormat="false" ht="15" hidden="false" customHeight="false" outlineLevel="0" collapsed="false">
      <c r="A12" s="9" t="s">
        <v>1217</v>
      </c>
      <c r="B12" s="9" t="s">
        <v>1218</v>
      </c>
      <c r="C12" s="10" t="n">
        <v>72</v>
      </c>
      <c r="D12" s="10" t="n">
        <v>71</v>
      </c>
      <c r="E12" s="10" t="n">
        <v>1</v>
      </c>
      <c r="F12" s="51" t="s">
        <v>1208</v>
      </c>
      <c r="G12" s="51" t="s">
        <v>1208</v>
      </c>
    </row>
    <row r="13" customFormat="false" ht="15" hidden="false" customHeight="false" outlineLevel="0" collapsed="false">
      <c r="A13" s="9" t="s">
        <v>1219</v>
      </c>
      <c r="B13" s="9" t="s">
        <v>1220</v>
      </c>
      <c r="C13" s="10" t="n">
        <v>8</v>
      </c>
      <c r="D13" s="10" t="n">
        <v>7</v>
      </c>
      <c r="E13" s="10" t="n">
        <v>1</v>
      </c>
      <c r="F13" s="51" t="s">
        <v>1208</v>
      </c>
      <c r="G13" s="51" t="s">
        <v>1208</v>
      </c>
    </row>
    <row r="14" customFormat="false" ht="15" hidden="false" customHeight="false" outlineLevel="0" collapsed="false">
      <c r="A14" s="9" t="s">
        <v>1221</v>
      </c>
      <c r="B14" s="9" t="s">
        <v>1222</v>
      </c>
      <c r="C14" s="10" t="n">
        <v>48</v>
      </c>
      <c r="D14" s="10" t="n">
        <v>47</v>
      </c>
      <c r="E14" s="10" t="n">
        <v>1</v>
      </c>
      <c r="F14" s="51" t="s">
        <v>1208</v>
      </c>
      <c r="G14" s="51" t="s">
        <v>1208</v>
      </c>
    </row>
    <row r="15" customFormat="false" ht="15" hidden="false" customHeight="false" outlineLevel="0" collapsed="false">
      <c r="A15" s="9" t="s">
        <v>1223</v>
      </c>
      <c r="B15" s="9" t="s">
        <v>1224</v>
      </c>
      <c r="C15" s="10" t="n">
        <v>12</v>
      </c>
      <c r="D15" s="10" t="n">
        <v>11</v>
      </c>
      <c r="E15" s="10" t="n">
        <v>1</v>
      </c>
      <c r="F15" s="51" t="s">
        <v>1208</v>
      </c>
      <c r="G15" s="51" t="s">
        <v>1208</v>
      </c>
    </row>
    <row r="16" customFormat="false" ht="15" hidden="false" customHeight="false" outlineLevel="0" collapsed="false">
      <c r="A16" s="9" t="s">
        <v>1225</v>
      </c>
      <c r="B16" s="9" t="s">
        <v>1226</v>
      </c>
      <c r="C16" s="10" t="n">
        <v>72</v>
      </c>
      <c r="D16" s="10" t="n">
        <v>71</v>
      </c>
      <c r="E16" s="10" t="n">
        <v>1</v>
      </c>
      <c r="F16" s="51" t="s">
        <v>1208</v>
      </c>
      <c r="G16" s="51" t="s">
        <v>1208</v>
      </c>
    </row>
    <row r="17" customFormat="false" ht="15" hidden="false" customHeight="false" outlineLevel="0" collapsed="false">
      <c r="A17" s="9" t="s">
        <v>1227</v>
      </c>
      <c r="B17" s="9" t="s">
        <v>1228</v>
      </c>
      <c r="C17" s="10" t="n">
        <v>12</v>
      </c>
      <c r="D17" s="10" t="n">
        <v>11</v>
      </c>
      <c r="E17" s="10" t="n">
        <v>1</v>
      </c>
      <c r="F17" s="51" t="s">
        <v>1208</v>
      </c>
      <c r="G17" s="51" t="s">
        <v>1208</v>
      </c>
    </row>
    <row r="18" customFormat="false" ht="15" hidden="false" customHeight="false" outlineLevel="0" collapsed="false">
      <c r="A18" s="9" t="s">
        <v>1229</v>
      </c>
      <c r="B18" s="9" t="s">
        <v>1230</v>
      </c>
      <c r="C18" s="10" t="n">
        <v>24</v>
      </c>
      <c r="D18" s="10" t="n">
        <v>23</v>
      </c>
      <c r="E18" s="10" t="n">
        <v>1</v>
      </c>
      <c r="F18" s="51" t="s">
        <v>1208</v>
      </c>
      <c r="G18" s="51" t="s">
        <v>1208</v>
      </c>
    </row>
    <row r="19" customFormat="false" ht="15" hidden="false" customHeight="false" outlineLevel="0" collapsed="false">
      <c r="A19" s="9" t="s">
        <v>1231</v>
      </c>
      <c r="B19" s="9" t="s">
        <v>1232</v>
      </c>
      <c r="C19" s="10" t="n">
        <v>72</v>
      </c>
      <c r="D19" s="10" t="n">
        <v>71</v>
      </c>
      <c r="E19" s="10" t="n">
        <v>1</v>
      </c>
      <c r="F19" s="51" t="s">
        <v>1208</v>
      </c>
      <c r="G19" s="51" t="s">
        <v>1208</v>
      </c>
    </row>
    <row r="20" customFormat="false" ht="15" hidden="false" customHeight="false" outlineLevel="0" collapsed="false">
      <c r="A20" s="9" t="s">
        <v>1233</v>
      </c>
      <c r="B20" s="9" t="s">
        <v>1234</v>
      </c>
      <c r="C20" s="10" t="n">
        <v>30</v>
      </c>
      <c r="D20" s="10" t="n">
        <v>29</v>
      </c>
      <c r="E20" s="10" t="n">
        <v>1</v>
      </c>
      <c r="F20" s="51" t="s">
        <v>1208</v>
      </c>
      <c r="G20" s="51" t="s">
        <v>1208</v>
      </c>
    </row>
    <row r="21" customFormat="false" ht="15" hidden="false" customHeight="false" outlineLevel="0" collapsed="false">
      <c r="A21" s="9" t="s">
        <v>1235</v>
      </c>
      <c r="B21" s="9" t="s">
        <v>1236</v>
      </c>
      <c r="C21" s="10" t="n">
        <v>42</v>
      </c>
      <c r="D21" s="10" t="n">
        <v>41</v>
      </c>
      <c r="E21" s="10" t="n">
        <v>1</v>
      </c>
      <c r="F21" s="51" t="s">
        <v>1208</v>
      </c>
      <c r="G21" s="51" t="s">
        <v>1208</v>
      </c>
    </row>
    <row r="22" customFormat="false" ht="15" hidden="false" customHeight="false" outlineLevel="0" collapsed="false">
      <c r="A22" s="9" t="s">
        <v>1237</v>
      </c>
      <c r="B22" s="9" t="s">
        <v>1238</v>
      </c>
      <c r="C22" s="10" t="n">
        <v>3.58691281932057</v>
      </c>
      <c r="D22" s="10" t="n">
        <v>4</v>
      </c>
      <c r="E22" s="10" t="n">
        <v>1</v>
      </c>
      <c r="F22" s="51" t="s">
        <v>1208</v>
      </c>
      <c r="G22" s="51" t="s">
        <v>1208</v>
      </c>
    </row>
    <row r="23" customFormat="false" ht="15" hidden="false" customHeight="false" outlineLevel="0" collapsed="false">
      <c r="A23" s="9" t="s">
        <v>1239</v>
      </c>
      <c r="B23" s="9" t="s">
        <v>1240</v>
      </c>
      <c r="C23" s="10" t="n">
        <v>0.35</v>
      </c>
      <c r="D23" s="10" t="n">
        <v>0.34</v>
      </c>
      <c r="E23" s="10" t="n">
        <v>3</v>
      </c>
      <c r="F23" s="51" t="s">
        <v>1208</v>
      </c>
      <c r="G23" s="51" t="s">
        <v>1208</v>
      </c>
    </row>
    <row r="24" customFormat="false" ht="15" hidden="false" customHeight="false" outlineLevel="0" collapsed="false">
      <c r="A24" s="9" t="s">
        <v>1241</v>
      </c>
      <c r="B24" s="9" t="s">
        <v>1242</v>
      </c>
      <c r="C24" s="10" t="n">
        <v>0.15</v>
      </c>
      <c r="D24" s="10" t="n">
        <v>0.14</v>
      </c>
      <c r="E24" s="10" t="n">
        <v>1</v>
      </c>
      <c r="F24" s="51" t="s">
        <v>1208</v>
      </c>
      <c r="G24" s="51" t="s">
        <v>1208</v>
      </c>
    </row>
    <row r="25" customFormat="false" ht="15" hidden="false" customHeight="false" outlineLevel="0" collapsed="false">
      <c r="A25" s="9" t="s">
        <v>1243</v>
      </c>
      <c r="B25" s="9" t="s">
        <v>1244</v>
      </c>
      <c r="C25" s="10" t="n">
        <v>0</v>
      </c>
      <c r="D25" s="10" t="n">
        <v>1</v>
      </c>
      <c r="E25" s="10" t="n">
        <v>1</v>
      </c>
      <c r="F25" s="51" t="s">
        <v>1208</v>
      </c>
      <c r="G25" s="51" t="s">
        <v>1208</v>
      </c>
    </row>
    <row r="26" customFormat="false" ht="15" hidden="false" customHeight="false" outlineLevel="0" collapsed="false">
      <c r="A26" s="12" t="s">
        <v>1245</v>
      </c>
      <c r="B26" s="12" t="s">
        <v>1246</v>
      </c>
      <c r="C26" s="13" t="n">
        <v>0</v>
      </c>
      <c r="D26" s="13" t="n">
        <v>1</v>
      </c>
      <c r="E26" s="13" t="n">
        <v>1</v>
      </c>
      <c r="F26" s="52" t="s">
        <v>1208</v>
      </c>
      <c r="G26" s="52" t="s">
        <v>1208</v>
      </c>
    </row>
  </sheetData>
  <mergeCells count="2">
    <mergeCell ref="A2:G2"/>
    <mergeCell ref="A4:G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3"/>
    <col collapsed="false" customWidth="true" hidden="false" outlineLevel="0" max="3" min="2" style="0" width="24"/>
    <col collapsed="false" customWidth="true" hidden="false" outlineLevel="0" max="4" min="4" style="0" width="20"/>
    <col collapsed="false" customWidth="true" hidden="false" outlineLevel="0" max="5" min="5" style="0" width="14"/>
  </cols>
  <sheetData>
    <row r="2" customFormat="false" ht="24" hidden="false" customHeight="true" outlineLevel="0" collapsed="false">
      <c r="A2" s="1" t="s">
        <v>1247</v>
      </c>
      <c r="B2" s="1"/>
      <c r="C2" s="1"/>
      <c r="D2" s="1"/>
      <c r="E2" s="1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3" t="s">
        <v>1248</v>
      </c>
      <c r="B4" s="3"/>
      <c r="C4" s="3"/>
      <c r="D4" s="3"/>
      <c r="E4" s="3"/>
    </row>
    <row r="5" customFormat="false" ht="15" hidden="false" customHeight="false" outlineLevel="0" collapsed="false">
      <c r="A5" s="4"/>
      <c r="B5" s="4"/>
      <c r="C5" s="4"/>
      <c r="D5" s="4"/>
      <c r="E5" s="4"/>
    </row>
    <row r="6" customFormat="false" ht="23" hidden="false" customHeight="true" outlineLevel="0" collapsed="false">
      <c r="A6" s="5" t="s">
        <v>1249</v>
      </c>
      <c r="B6" s="6" t="s">
        <v>82</v>
      </c>
      <c r="C6" s="6" t="s">
        <v>1250</v>
      </c>
      <c r="D6" s="6" t="s">
        <v>915</v>
      </c>
      <c r="E6" s="7" t="s">
        <v>5</v>
      </c>
    </row>
    <row r="7" customFormat="false" ht="15" hidden="false" customHeight="false" outlineLevel="0" collapsed="false">
      <c r="A7" s="8" t="s">
        <v>1251</v>
      </c>
      <c r="B7" s="53" t="n">
        <f aca="false">Controls!B7</f>
        <v>6</v>
      </c>
      <c r="C7" s="54" t="n">
        <v>6</v>
      </c>
      <c r="D7" s="53" t="n">
        <f aca="false">B7-C7</f>
        <v>0</v>
      </c>
      <c r="E7" s="18" t="str">
        <f aca="false">IF(ABS(D7)&lt;0.000001,"PASS","FAIL")</f>
        <v>PASS</v>
      </c>
    </row>
    <row r="8" customFormat="false" ht="15" hidden="false" customHeight="false" outlineLevel="0" collapsed="false">
      <c r="A8" s="9" t="s">
        <v>1252</v>
      </c>
      <c r="B8" s="55" t="n">
        <f aca="false">Controls!B8</f>
        <v>6</v>
      </c>
      <c r="C8" s="56" t="n">
        <v>6</v>
      </c>
      <c r="D8" s="55" t="n">
        <f aca="false">B8-C8</f>
        <v>0</v>
      </c>
      <c r="E8" s="19" t="str">
        <f aca="false">IF(ABS(D8)&lt;0.000001,"PASS","FAIL")</f>
        <v>PASS</v>
      </c>
    </row>
    <row r="9" customFormat="false" ht="15" hidden="false" customHeight="false" outlineLevel="0" collapsed="false">
      <c r="A9" s="9" t="s">
        <v>1253</v>
      </c>
      <c r="B9" s="55" t="n">
        <f aca="false">COUNTA('Candidate Articles'!A7:A12)</f>
        <v>6</v>
      </c>
      <c r="C9" s="56" t="n">
        <v>6</v>
      </c>
      <c r="D9" s="55" t="n">
        <f aca="false">B9-C9</f>
        <v>0</v>
      </c>
      <c r="E9" s="19" t="str">
        <f aca="false">IF(ABS(D9)&lt;0.000001,"PASS","FAIL")</f>
        <v>PASS</v>
      </c>
    </row>
    <row r="10" customFormat="false" ht="15" hidden="false" customHeight="false" outlineLevel="0" collapsed="false">
      <c r="A10" s="9" t="s">
        <v>98</v>
      </c>
      <c r="B10" s="55" t="n">
        <f aca="false">Controls!B9</f>
        <v>16</v>
      </c>
      <c r="C10" s="56" t="n">
        <v>16</v>
      </c>
      <c r="D10" s="55" t="n">
        <f aca="false">B10-C10</f>
        <v>0</v>
      </c>
      <c r="E10" s="19" t="str">
        <f aca="false">IF(ABS(D10)&lt;0.000001,"PASS","FAIL")</f>
        <v>PASS</v>
      </c>
    </row>
    <row r="11" customFormat="false" ht="15" hidden="false" customHeight="false" outlineLevel="0" collapsed="false">
      <c r="A11" s="9" t="s">
        <v>1254</v>
      </c>
      <c r="B11" s="55" t="n">
        <f aca="false">Controls!B10</f>
        <v>96</v>
      </c>
      <c r="C11" s="56" t="n">
        <v>96</v>
      </c>
      <c r="D11" s="55" t="n">
        <f aca="false">B11-C11</f>
        <v>0</v>
      </c>
      <c r="E11" s="19" t="str">
        <f aca="false">IF(ABS(D11)&lt;0.000001,"PASS","FAIL")</f>
        <v>PASS</v>
      </c>
    </row>
    <row r="12" customFormat="false" ht="15" hidden="false" customHeight="false" outlineLevel="0" collapsed="false">
      <c r="A12" s="9" t="s">
        <v>1255</v>
      </c>
      <c r="B12" s="55" t="n">
        <f aca="false">COUNTA('Package Grammar'!A7:A102)</f>
        <v>96</v>
      </c>
      <c r="C12" s="56" t="n">
        <v>96</v>
      </c>
      <c r="D12" s="55" t="n">
        <f aca="false">B12-C12</f>
        <v>0</v>
      </c>
      <c r="E12" s="19" t="str">
        <f aca="false">IF(ABS(D12)&lt;0.000001,"PASS","FAIL")</f>
        <v>PASS</v>
      </c>
    </row>
    <row r="13" customFormat="false" ht="15" hidden="false" customHeight="false" outlineLevel="0" collapsed="false">
      <c r="A13" s="9" t="s">
        <v>1256</v>
      </c>
      <c r="B13" s="55" t="n">
        <f aca="false">Controls!B11</f>
        <v>12</v>
      </c>
      <c r="C13" s="56" t="n">
        <v>12</v>
      </c>
      <c r="D13" s="55" t="n">
        <f aca="false">B13-C13</f>
        <v>0</v>
      </c>
      <c r="E13" s="19" t="str">
        <f aca="false">IF(ABS(D13)&lt;0.000001,"PASS","FAIL")</f>
        <v>PASS</v>
      </c>
    </row>
    <row r="14" customFormat="false" ht="15" hidden="false" customHeight="false" outlineLevel="0" collapsed="false">
      <c r="A14" s="9" t="s">
        <v>1257</v>
      </c>
      <c r="B14" s="55" t="n">
        <f aca="false">Controls!B12</f>
        <v>72</v>
      </c>
      <c r="C14" s="56" t="n">
        <v>72</v>
      </c>
      <c r="D14" s="55" t="n">
        <f aca="false">B14-C14</f>
        <v>0</v>
      </c>
      <c r="E14" s="19" t="str">
        <f aca="false">IF(ABS(D14)&lt;0.000001,"PASS","FAIL")</f>
        <v>PASS</v>
      </c>
    </row>
    <row r="15" customFormat="false" ht="15" hidden="false" customHeight="false" outlineLevel="0" collapsed="false">
      <c r="A15" s="9" t="s">
        <v>1258</v>
      </c>
      <c r="B15" s="55" t="n">
        <f aca="false">COUNTA('Form Loads'!A7:A78)</f>
        <v>72</v>
      </c>
      <c r="C15" s="56" t="n">
        <v>72</v>
      </c>
      <c r="D15" s="55" t="n">
        <f aca="false">B15-C15</f>
        <v>0</v>
      </c>
      <c r="E15" s="19" t="str">
        <f aca="false">IF(ABS(D15)&lt;0.000001,"PASS","FAIL")</f>
        <v>PASS</v>
      </c>
    </row>
    <row r="16" customFormat="false" ht="15" hidden="false" customHeight="false" outlineLevel="0" collapsed="false">
      <c r="A16" s="9" t="s">
        <v>1259</v>
      </c>
      <c r="B16" s="55" t="n">
        <f aca="false">COUNTIF('Form Loads'!K7:K78,"SOURCE EMPTY")</f>
        <v>72</v>
      </c>
      <c r="C16" s="56" t="n">
        <v>72</v>
      </c>
      <c r="D16" s="55" t="n">
        <f aca="false">B16-C16</f>
        <v>0</v>
      </c>
      <c r="E16" s="19" t="str">
        <f aca="false">IF(ABS(D16)&lt;0.000001,"PASS","FAIL")</f>
        <v>PASS</v>
      </c>
    </row>
    <row r="17" customFormat="false" ht="15" hidden="false" customHeight="false" outlineLevel="0" collapsed="false">
      <c r="A17" s="9" t="s">
        <v>1260</v>
      </c>
      <c r="B17" s="55" t="n">
        <f aca="false">SUM('Form Loads'!L7:L78)</f>
        <v>0</v>
      </c>
      <c r="C17" s="56" t="n">
        <v>0</v>
      </c>
      <c r="D17" s="55" t="n">
        <f aca="false">B17-C17</f>
        <v>0</v>
      </c>
      <c r="E17" s="19" t="str">
        <f aca="false">IF(ABS(D17)&lt;0.000001,"PASS","FAIL")</f>
        <v>PASS</v>
      </c>
    </row>
    <row r="18" customFormat="false" ht="15" hidden="false" customHeight="false" outlineLevel="0" collapsed="false">
      <c r="A18" s="9" t="s">
        <v>100</v>
      </c>
      <c r="B18" s="55" t="n">
        <f aca="false">Controls!B13</f>
        <v>8</v>
      </c>
      <c r="C18" s="56" t="n">
        <v>8</v>
      </c>
      <c r="D18" s="55" t="n">
        <f aca="false">B18-C18</f>
        <v>0</v>
      </c>
      <c r="E18" s="19" t="str">
        <f aca="false">IF(ABS(D18)&lt;0.000001,"PASS","FAIL")</f>
        <v>PASS</v>
      </c>
    </row>
    <row r="19" customFormat="false" ht="15" hidden="false" customHeight="false" outlineLevel="0" collapsed="false">
      <c r="A19" s="9" t="s">
        <v>1261</v>
      </c>
      <c r="B19" s="55" t="n">
        <f aca="false">Controls!B14</f>
        <v>48</v>
      </c>
      <c r="C19" s="56" t="n">
        <v>48</v>
      </c>
      <c r="D19" s="55" t="n">
        <f aca="false">B19-C19</f>
        <v>0</v>
      </c>
      <c r="E19" s="19" t="str">
        <f aca="false">IF(ABS(D19)&lt;0.000001,"PASS","FAIL")</f>
        <v>PASS</v>
      </c>
    </row>
    <row r="20" customFormat="false" ht="15" hidden="false" customHeight="false" outlineLevel="0" collapsed="false">
      <c r="A20" s="9" t="s">
        <v>1262</v>
      </c>
      <c r="B20" s="55" t="n">
        <f aca="false">COUNTA(Interfaces!A7:A54)</f>
        <v>48</v>
      </c>
      <c r="C20" s="56" t="n">
        <v>48</v>
      </c>
      <c r="D20" s="55" t="n">
        <f aca="false">B20-C20</f>
        <v>0</v>
      </c>
      <c r="E20" s="19" t="str">
        <f aca="false">IF(ABS(D20)&lt;0.000001,"PASS","FAIL")</f>
        <v>PASS</v>
      </c>
    </row>
    <row r="21" customFormat="false" ht="15" hidden="false" customHeight="false" outlineLevel="0" collapsed="false">
      <c r="A21" s="9" t="s">
        <v>1263</v>
      </c>
      <c r="B21" s="55" t="n">
        <f aca="false">COUNTIF(Interfaces!I7:I54,"SOURCE EMPTY")</f>
        <v>48</v>
      </c>
      <c r="C21" s="56" t="n">
        <v>48</v>
      </c>
      <c r="D21" s="55" t="n">
        <f aca="false">B21-C21</f>
        <v>0</v>
      </c>
      <c r="E21" s="19" t="str">
        <f aca="false">IF(ABS(D21)&lt;0.000001,"PASS","FAIL")</f>
        <v>PASS</v>
      </c>
    </row>
    <row r="22" customFormat="false" ht="15" hidden="false" customHeight="false" outlineLevel="0" collapsed="false">
      <c r="A22" s="9" t="s">
        <v>1264</v>
      </c>
      <c r="B22" s="55" t="n">
        <f aca="false">SUM(Interfaces!J7:J54)</f>
        <v>0</v>
      </c>
      <c r="C22" s="56" t="n">
        <v>0</v>
      </c>
      <c r="D22" s="55" t="n">
        <f aca="false">B22-C22</f>
        <v>0</v>
      </c>
      <c r="E22" s="19" t="str">
        <f aca="false">IF(ABS(D22)&lt;0.000001,"PASS","FAIL")</f>
        <v>PASS</v>
      </c>
    </row>
    <row r="23" customFormat="false" ht="15" hidden="false" customHeight="false" outlineLevel="0" collapsed="false">
      <c r="A23" s="9" t="s">
        <v>1265</v>
      </c>
      <c r="B23" s="55" t="n">
        <f aca="false">Controls!B15</f>
        <v>12</v>
      </c>
      <c r="C23" s="56" t="n">
        <v>12</v>
      </c>
      <c r="D23" s="55" t="n">
        <f aca="false">B23-C23</f>
        <v>0</v>
      </c>
      <c r="E23" s="19" t="str">
        <f aca="false">IF(ABS(D23)&lt;0.000001,"PASS","FAIL")</f>
        <v>PASS</v>
      </c>
    </row>
    <row r="24" customFormat="false" ht="15" hidden="false" customHeight="false" outlineLevel="0" collapsed="false">
      <c r="A24" s="9" t="s">
        <v>1266</v>
      </c>
      <c r="B24" s="55" t="n">
        <f aca="false">Controls!B16</f>
        <v>72</v>
      </c>
      <c r="C24" s="56" t="n">
        <v>72</v>
      </c>
      <c r="D24" s="55" t="n">
        <f aca="false">B24-C24</f>
        <v>0</v>
      </c>
      <c r="E24" s="19" t="str">
        <f aca="false">IF(ABS(D24)&lt;0.000001,"PASS","FAIL")</f>
        <v>PASS</v>
      </c>
    </row>
    <row r="25" customFormat="false" ht="15" hidden="false" customHeight="false" outlineLevel="0" collapsed="false">
      <c r="A25" s="9" t="s">
        <v>1267</v>
      </c>
      <c r="B25" s="55" t="n">
        <f aca="false">COUNTA('Denial Worlds'!A7:A78)</f>
        <v>72</v>
      </c>
      <c r="C25" s="56" t="n">
        <v>72</v>
      </c>
      <c r="D25" s="55" t="n">
        <f aca="false">B25-C25</f>
        <v>0</v>
      </c>
      <c r="E25" s="19" t="str">
        <f aca="false">IF(ABS(D25)&lt;0.000001,"PASS","FAIL")</f>
        <v>PASS</v>
      </c>
    </row>
    <row r="26" customFormat="false" ht="15" hidden="false" customHeight="false" outlineLevel="0" collapsed="false">
      <c r="A26" s="9" t="s">
        <v>1268</v>
      </c>
      <c r="B26" s="55" t="n">
        <f aca="false">COUNTIF('Denial Worlds'!I7:I78,"SOURCE EMPTY")</f>
        <v>72</v>
      </c>
      <c r="C26" s="56" t="n">
        <v>72</v>
      </c>
      <c r="D26" s="55" t="n">
        <f aca="false">B26-C26</f>
        <v>0</v>
      </c>
      <c r="E26" s="19" t="str">
        <f aca="false">IF(ABS(D26)&lt;0.000001,"PASS","FAIL")</f>
        <v>PASS</v>
      </c>
    </row>
    <row r="27" customFormat="false" ht="15" hidden="false" customHeight="false" outlineLevel="0" collapsed="false">
      <c r="A27" s="9" t="s">
        <v>1269</v>
      </c>
      <c r="B27" s="55" t="n">
        <f aca="false">SUM('Denial Worlds'!J7:J78)</f>
        <v>0</v>
      </c>
      <c r="C27" s="56" t="n">
        <v>0</v>
      </c>
      <c r="D27" s="55" t="n">
        <f aca="false">B27-C27</f>
        <v>0</v>
      </c>
      <c r="E27" s="19" t="str">
        <f aca="false">IF(ABS(D27)&lt;0.000001,"PASS","FAIL")</f>
        <v>PASS</v>
      </c>
    </row>
    <row r="28" customFormat="false" ht="15" hidden="false" customHeight="false" outlineLevel="0" collapsed="false">
      <c r="A28" s="9" t="s">
        <v>1270</v>
      </c>
      <c r="B28" s="55" t="n">
        <f aca="false">Controls!B17</f>
        <v>12</v>
      </c>
      <c r="C28" s="56" t="n">
        <v>12</v>
      </c>
      <c r="D28" s="55" t="n">
        <f aca="false">B28-C28</f>
        <v>0</v>
      </c>
      <c r="E28" s="19" t="str">
        <f aca="false">IF(ABS(D28)&lt;0.000001,"PASS","FAIL")</f>
        <v>PASS</v>
      </c>
    </row>
    <row r="29" customFormat="false" ht="15" hidden="false" customHeight="false" outlineLevel="0" collapsed="false">
      <c r="A29" s="9" t="s">
        <v>1271</v>
      </c>
      <c r="B29" s="55" t="n">
        <f aca="false">COUNTA('Endpoint Rules'!A7:A18)</f>
        <v>12</v>
      </c>
      <c r="C29" s="56" t="n">
        <v>12</v>
      </c>
      <c r="D29" s="55" t="n">
        <f aca="false">B29-C29</f>
        <v>0</v>
      </c>
      <c r="E29" s="19" t="str">
        <f aca="false">IF(ABS(D29)&lt;0.000001,"PASS","FAIL")</f>
        <v>PASS</v>
      </c>
    </row>
    <row r="30" customFormat="false" ht="15" hidden="false" customHeight="false" outlineLevel="0" collapsed="false">
      <c r="A30" s="9" t="s">
        <v>1272</v>
      </c>
      <c r="B30" s="55" t="n">
        <f aca="false">COUNTIF('Endpoint Rules'!D7:D18,"BALANCE")</f>
        <v>6</v>
      </c>
      <c r="C30" s="56" t="n">
        <v>6</v>
      </c>
      <c r="D30" s="55" t="n">
        <f aca="false">B30-C30</f>
        <v>0</v>
      </c>
      <c r="E30" s="19" t="str">
        <f aca="false">IF(ABS(D30)&lt;0.000001,"PASS","FAIL")</f>
        <v>PASS</v>
      </c>
    </row>
    <row r="31" customFormat="false" ht="15" hidden="false" customHeight="false" outlineLevel="0" collapsed="false">
      <c r="A31" s="9" t="s">
        <v>1273</v>
      </c>
      <c r="B31" s="55" t="n">
        <f aca="false">COUNTIF('Endpoint Rules'!D7:D18,"KEYSTONE")</f>
        <v>6</v>
      </c>
      <c r="C31" s="56" t="n">
        <v>6</v>
      </c>
      <c r="D31" s="55" t="n">
        <f aca="false">B31-C31</f>
        <v>0</v>
      </c>
      <c r="E31" s="19" t="str">
        <f aca="false">IF(ABS(D31)&lt;0.000001,"PASS","FAIL")</f>
        <v>PASS</v>
      </c>
    </row>
    <row r="32" customFormat="false" ht="15" hidden="false" customHeight="false" outlineLevel="0" collapsed="false">
      <c r="A32" s="9" t="s">
        <v>1274</v>
      </c>
      <c r="B32" s="55" t="n">
        <f aca="false">COUNTIF('Endpoint Rules'!J7:J18,"SOURCE EMPTY")</f>
        <v>12</v>
      </c>
      <c r="C32" s="56" t="n">
        <v>12</v>
      </c>
      <c r="D32" s="55" t="n">
        <f aca="false">B32-C32</f>
        <v>0</v>
      </c>
      <c r="E32" s="19" t="str">
        <f aca="false">IF(ABS(D32)&lt;0.000001,"PASS","FAIL")</f>
        <v>PASS</v>
      </c>
    </row>
    <row r="33" customFormat="false" ht="15" hidden="false" customHeight="false" outlineLevel="0" collapsed="false">
      <c r="A33" s="9" t="s">
        <v>1275</v>
      </c>
      <c r="B33" s="55" t="n">
        <f aca="false">SUM('Endpoint Rules'!L7:L18)</f>
        <v>0</v>
      </c>
      <c r="C33" s="56" t="n">
        <v>0</v>
      </c>
      <c r="D33" s="55" t="n">
        <f aca="false">B33-C33</f>
        <v>0</v>
      </c>
      <c r="E33" s="19" t="str">
        <f aca="false">IF(ABS(D33)&lt;0.000001,"PASS","FAIL")</f>
        <v>PASS</v>
      </c>
    </row>
    <row r="34" customFormat="false" ht="15" hidden="false" customHeight="false" outlineLevel="0" collapsed="false">
      <c r="A34" s="9" t="s">
        <v>1276</v>
      </c>
      <c r="B34" s="55" t="n">
        <f aca="false">Controls!B18</f>
        <v>24</v>
      </c>
      <c r="C34" s="56" t="n">
        <v>24</v>
      </c>
      <c r="D34" s="55" t="n">
        <f aca="false">B34-C34</f>
        <v>0</v>
      </c>
      <c r="E34" s="19" t="str">
        <f aca="false">IF(ABS(D34)&lt;0.000001,"PASS","FAIL")</f>
        <v>PASS</v>
      </c>
    </row>
    <row r="35" customFormat="false" ht="15" hidden="false" customHeight="false" outlineLevel="0" collapsed="false">
      <c r="A35" s="9" t="s">
        <v>1277</v>
      </c>
      <c r="B35" s="55" t="n">
        <f aca="false">COUNTA('Technology Campaigns'!A7:A30)</f>
        <v>24</v>
      </c>
      <c r="C35" s="56" t="n">
        <v>24</v>
      </c>
      <c r="D35" s="55" t="n">
        <f aca="false">B35-C35</f>
        <v>0</v>
      </c>
      <c r="E35" s="19" t="str">
        <f aca="false">IF(ABS(D35)&lt;0.000001,"PASS","FAIL")</f>
        <v>PASS</v>
      </c>
    </row>
    <row r="36" customFormat="false" ht="15" hidden="false" customHeight="false" outlineLevel="0" collapsed="false">
      <c r="A36" s="9" t="s">
        <v>1278</v>
      </c>
      <c r="B36" s="55" t="n">
        <f aca="false">SUM('Technology Campaigns'!H7:H30)</f>
        <v>3.58691281932057</v>
      </c>
      <c r="C36" s="56" t="n">
        <v>3.58691281932057</v>
      </c>
      <c r="D36" s="55" t="n">
        <f aca="false">B36-C36</f>
        <v>0</v>
      </c>
      <c r="E36" s="19" t="str">
        <f aca="false">IF(ABS(D36)&lt;0.000001,"PASS","FAIL")</f>
        <v>PASS</v>
      </c>
    </row>
    <row r="37" customFormat="false" ht="15" hidden="false" customHeight="false" outlineLevel="0" collapsed="false">
      <c r="A37" s="9" t="s">
        <v>1279</v>
      </c>
      <c r="B37" s="55" t="n">
        <f aca="false">COUNTIF('Technology Campaigns'!L7:L30,"OPEN")</f>
        <v>24</v>
      </c>
      <c r="C37" s="56" t="n">
        <v>24</v>
      </c>
      <c r="D37" s="55" t="n">
        <f aca="false">B37-C37</f>
        <v>0</v>
      </c>
      <c r="E37" s="19" t="str">
        <f aca="false">IF(ABS(D37)&lt;0.000001,"PASS","FAIL")</f>
        <v>PASS</v>
      </c>
    </row>
    <row r="38" customFormat="false" ht="15" hidden="false" customHeight="false" outlineLevel="0" collapsed="false">
      <c r="A38" s="9" t="s">
        <v>1280</v>
      </c>
      <c r="B38" s="55" t="n">
        <f aca="false">Controls!B19</f>
        <v>72</v>
      </c>
      <c r="C38" s="56" t="n">
        <v>72</v>
      </c>
      <c r="D38" s="55" t="n">
        <f aca="false">B38-C38</f>
        <v>0</v>
      </c>
      <c r="E38" s="19" t="str">
        <f aca="false">IF(ABS(D38)&lt;0.000001,"PASS","FAIL")</f>
        <v>PASS</v>
      </c>
    </row>
    <row r="39" customFormat="false" ht="15" hidden="false" customHeight="false" outlineLevel="0" collapsed="false">
      <c r="A39" s="9" t="s">
        <v>1281</v>
      </c>
      <c r="B39" s="55" t="n">
        <f aca="false">COUNTA('Release Gates'!A7:A78)</f>
        <v>72</v>
      </c>
      <c r="C39" s="56" t="n">
        <v>72</v>
      </c>
      <c r="D39" s="55" t="n">
        <f aca="false">B39-C39</f>
        <v>0</v>
      </c>
      <c r="E39" s="19" t="str">
        <f aca="false">IF(ABS(D39)&lt;0.000001,"PASS","FAIL")</f>
        <v>PASS</v>
      </c>
    </row>
    <row r="40" customFormat="false" ht="15" hidden="false" customHeight="false" outlineLevel="0" collapsed="false">
      <c r="A40" s="9" t="s">
        <v>1282</v>
      </c>
      <c r="B40" s="55" t="n">
        <f aca="false">Controls!B20</f>
        <v>30</v>
      </c>
      <c r="C40" s="56" t="n">
        <v>30</v>
      </c>
      <c r="D40" s="55" t="n">
        <f aca="false">B40-C40</f>
        <v>0</v>
      </c>
      <c r="E40" s="19" t="str">
        <f aca="false">IF(ABS(D40)&lt;0.000001,"PASS","FAIL")</f>
        <v>PASS</v>
      </c>
    </row>
    <row r="41" customFormat="false" ht="15" hidden="false" customHeight="false" outlineLevel="0" collapsed="false">
      <c r="A41" s="9" t="s">
        <v>1283</v>
      </c>
      <c r="B41" s="55" t="n">
        <f aca="false">COUNTIF('Release Gates'!F7:F78,"CONSTITUTED")</f>
        <v>30</v>
      </c>
      <c r="C41" s="56" t="n">
        <v>30</v>
      </c>
      <c r="D41" s="55" t="n">
        <f aca="false">B41-C41</f>
        <v>0</v>
      </c>
      <c r="E41" s="19" t="str">
        <f aca="false">IF(ABS(D41)&lt;0.000001,"PASS","FAIL")</f>
        <v>PASS</v>
      </c>
    </row>
    <row r="42" customFormat="false" ht="15" hidden="false" customHeight="false" outlineLevel="0" collapsed="false">
      <c r="A42" s="9" t="s">
        <v>1284</v>
      </c>
      <c r="B42" s="55" t="n">
        <f aca="false">Controls!B21</f>
        <v>42</v>
      </c>
      <c r="C42" s="56" t="n">
        <v>42</v>
      </c>
      <c r="D42" s="55" t="n">
        <f aca="false">B42-C42</f>
        <v>0</v>
      </c>
      <c r="E42" s="19" t="str">
        <f aca="false">IF(ABS(D42)&lt;0.000001,"PASS","FAIL")</f>
        <v>PASS</v>
      </c>
    </row>
    <row r="43" customFormat="false" ht="15" hidden="false" customHeight="false" outlineLevel="0" collapsed="false">
      <c r="A43" s="9" t="s">
        <v>1285</v>
      </c>
      <c r="B43" s="55" t="n">
        <f aca="false">COUNTIF('Release Gates'!F7:F78,"OPEN")</f>
        <v>42</v>
      </c>
      <c r="C43" s="56" t="n">
        <v>42</v>
      </c>
      <c r="D43" s="55" t="n">
        <f aca="false">B43-C43</f>
        <v>0</v>
      </c>
      <c r="E43" s="19" t="str">
        <f aca="false">IF(ABS(D43)&lt;0.000001,"PASS","FAIL")</f>
        <v>PASS</v>
      </c>
    </row>
    <row r="44" customFormat="false" ht="15" hidden="false" customHeight="false" outlineLevel="0" collapsed="false">
      <c r="A44" s="9" t="s">
        <v>1286</v>
      </c>
      <c r="B44" s="55" t="n">
        <f aca="false">SUM('Release Gates'!I7:I78)</f>
        <v>0</v>
      </c>
      <c r="C44" s="56" t="n">
        <v>0</v>
      </c>
      <c r="D44" s="55" t="n">
        <f aca="false">B44-C44</f>
        <v>0</v>
      </c>
      <c r="E44" s="19" t="str">
        <f aca="false">IF(ABS(D44)&lt;0.000001,"PASS","FAIL")</f>
        <v>PASS</v>
      </c>
    </row>
    <row r="45" customFormat="false" ht="15" hidden="false" customHeight="false" outlineLevel="0" collapsed="false">
      <c r="A45" s="9" t="s">
        <v>136</v>
      </c>
      <c r="B45" s="55" t="n">
        <f aca="false">COUNTIF('Release Gates'!K7:K78,"HELD")</f>
        <v>6</v>
      </c>
      <c r="C45" s="56" t="n">
        <v>6</v>
      </c>
      <c r="D45" s="55" t="n">
        <f aca="false">B45-C45</f>
        <v>0</v>
      </c>
      <c r="E45" s="19" t="str">
        <f aca="false">IF(ABS(D45)&lt;0.000001,"PASS","FAIL")</f>
        <v>PASS</v>
      </c>
    </row>
    <row r="46" customFormat="false" ht="15" hidden="false" customHeight="false" outlineLevel="0" collapsed="false">
      <c r="A46" s="9" t="s">
        <v>1287</v>
      </c>
      <c r="B46" s="55" t="n">
        <f aca="false">Controls!B22</f>
        <v>3.58691281932057</v>
      </c>
      <c r="C46" s="56" t="n">
        <v>3.58691281932057</v>
      </c>
      <c r="D46" s="55" t="n">
        <f aca="false">B46-C46</f>
        <v>0</v>
      </c>
      <c r="E46" s="19" t="str">
        <f aca="false">IF(ABS(D46)&lt;0.000001,"PASS","FAIL")</f>
        <v>PASS</v>
      </c>
    </row>
    <row r="47" customFormat="false" ht="15" hidden="false" customHeight="false" outlineLevel="0" collapsed="false">
      <c r="A47" s="9" t="s">
        <v>1288</v>
      </c>
      <c r="B47" s="55" t="n">
        <f aca="false">SUM('Candidate Articles'!I7:I12)</f>
        <v>3.58691281932057</v>
      </c>
      <c r="C47" s="56" t="n">
        <v>3.58691281932057</v>
      </c>
      <c r="D47" s="55" t="n">
        <f aca="false">B47-C47</f>
        <v>0</v>
      </c>
      <c r="E47" s="19" t="str">
        <f aca="false">IF(ABS(D47)&lt;0.000001,"PASS","FAIL")</f>
        <v>PASS</v>
      </c>
    </row>
    <row r="48" customFormat="false" ht="15" hidden="false" customHeight="false" outlineLevel="0" collapsed="false">
      <c r="A48" s="9" t="s">
        <v>1289</v>
      </c>
      <c r="B48" s="55" t="n">
        <f aca="false">Finance!D13</f>
        <v>3.58691281932057</v>
      </c>
      <c r="C48" s="56" t="n">
        <v>3.58691281932057</v>
      </c>
      <c r="D48" s="55" t="n">
        <f aca="false">B48-C48</f>
        <v>0</v>
      </c>
      <c r="E48" s="19" t="str">
        <f aca="false">IF(ABS(D48)&lt;0.000001,"PASS","FAIL")</f>
        <v>PASS</v>
      </c>
    </row>
    <row r="49" customFormat="false" ht="15" hidden="false" customHeight="false" outlineLevel="0" collapsed="false">
      <c r="A49" s="9" t="s">
        <v>1290</v>
      </c>
      <c r="B49" s="55" t="n">
        <f aca="false">Finance!I13</f>
        <v>3.58691281932057</v>
      </c>
      <c r="C49" s="56" t="n">
        <v>3.58691281932057</v>
      </c>
      <c r="D49" s="55" t="n">
        <f aca="false">B49-C49</f>
        <v>0</v>
      </c>
      <c r="E49" s="19" t="str">
        <f aca="false">IF(ABS(D49)&lt;0.000001,"PASS","FAIL")</f>
        <v>PASS</v>
      </c>
    </row>
    <row r="50" customFormat="false" ht="15" hidden="false" customHeight="false" outlineLevel="0" collapsed="false">
      <c r="A50" s="9" t="s">
        <v>1291</v>
      </c>
      <c r="B50" s="55" t="n">
        <f aca="false">Finance!J13</f>
        <v>-2.22044604925031E-016</v>
      </c>
      <c r="C50" s="56" t="n">
        <v>0</v>
      </c>
      <c r="D50" s="55" t="n">
        <f aca="false">B50-C50</f>
        <v>-2.22044604925031E-016</v>
      </c>
      <c r="E50" s="19" t="str">
        <f aca="false">IF(ABS(D50)&lt;0.000001,"PASS","FAIL")</f>
        <v>PASS</v>
      </c>
    </row>
    <row r="51" customFormat="false" ht="15" hidden="false" customHeight="false" outlineLevel="0" collapsed="false">
      <c r="A51" s="9" t="s">
        <v>1292</v>
      </c>
      <c r="B51" s="55" t="n">
        <f aca="false">SUM(Controls!B23:B26)</f>
        <v>1</v>
      </c>
      <c r="C51" s="56" t="n">
        <v>1</v>
      </c>
      <c r="D51" s="55" t="n">
        <f aca="false">B51-C51</f>
        <v>-1.11022302462516E-016</v>
      </c>
      <c r="E51" s="19" t="str">
        <f aca="false">IF(ABS(D51)&lt;0.000001,"PASS","FAIL")</f>
        <v>PASS</v>
      </c>
    </row>
    <row r="52" customFormat="false" ht="15" hidden="false" customHeight="false" outlineLevel="0" collapsed="false">
      <c r="A52" s="9" t="s">
        <v>1293</v>
      </c>
      <c r="B52" s="55" t="n">
        <f aca="false">SUM(Controls!B27:B30)</f>
        <v>1</v>
      </c>
      <c r="C52" s="56" t="n">
        <v>1</v>
      </c>
      <c r="D52" s="55" t="n">
        <f aca="false">B52-C52</f>
        <v>0</v>
      </c>
      <c r="E52" s="19" t="str">
        <f aca="false">IF(ABS(D52)&lt;0.000001,"PASS","FAIL")</f>
        <v>PASS</v>
      </c>
    </row>
    <row r="53" customFormat="false" ht="15" hidden="false" customHeight="false" outlineLevel="0" collapsed="false">
      <c r="A53" s="9" t="s">
        <v>1294</v>
      </c>
      <c r="B53" s="55" t="n">
        <f aca="false">COUNTA('Payment Stages'!A7:A30)</f>
        <v>24</v>
      </c>
      <c r="C53" s="56" t="n">
        <v>24</v>
      </c>
      <c r="D53" s="55" t="n">
        <f aca="false">B53-C53</f>
        <v>0</v>
      </c>
      <c r="E53" s="19" t="str">
        <f aca="false">IF(ABS(D53)&lt;0.000001,"PASS","FAIL")</f>
        <v>PASS</v>
      </c>
    </row>
    <row r="54" customFormat="false" ht="15" hidden="false" customHeight="false" outlineLevel="0" collapsed="false">
      <c r="A54" s="9" t="s">
        <v>1295</v>
      </c>
      <c r="B54" s="55" t="n">
        <f aca="false">SUM('Payment Stages'!G7:G30)</f>
        <v>3.58691281932057</v>
      </c>
      <c r="C54" s="56" t="n">
        <v>3.58691281932057</v>
      </c>
      <c r="D54" s="55" t="n">
        <f aca="false">B54-C54</f>
        <v>8.88178419700125E-016</v>
      </c>
      <c r="E54" s="19" t="str">
        <f aca="false">IF(ABS(D54)&lt;0.000001,"PASS","FAIL")</f>
        <v>PASS</v>
      </c>
    </row>
    <row r="55" customFormat="false" ht="15" hidden="false" customHeight="false" outlineLevel="0" collapsed="false">
      <c r="A55" s="9" t="s">
        <v>1296</v>
      </c>
      <c r="B55" s="55" t="n">
        <f aca="false">SUM('Payment Stages'!H7:H30)</f>
        <v>0</v>
      </c>
      <c r="C55" s="56" t="n">
        <v>0</v>
      </c>
      <c r="D55" s="55" t="n">
        <f aca="false">B55-C55</f>
        <v>0</v>
      </c>
      <c r="E55" s="19" t="str">
        <f aca="false">IF(ABS(D55)&lt;0.000001,"PASS","FAIL")</f>
        <v>PASS</v>
      </c>
    </row>
    <row r="56" customFormat="false" ht="15" hidden="false" customHeight="false" outlineLevel="0" collapsed="false">
      <c r="A56" s="9" t="s">
        <v>1297</v>
      </c>
      <c r="B56" s="55" t="n">
        <f aca="false">SUM('Payment Stages'!I7:I30)</f>
        <v>0</v>
      </c>
      <c r="C56" s="56" t="n">
        <v>0</v>
      </c>
      <c r="D56" s="55" t="n">
        <f aca="false">B56-C56</f>
        <v>0</v>
      </c>
      <c r="E56" s="19" t="str">
        <f aca="false">IF(ABS(D56)&lt;0.000001,"PASS","FAIL")</f>
        <v>PASS</v>
      </c>
    </row>
    <row r="57" customFormat="false" ht="15" hidden="false" customHeight="false" outlineLevel="0" collapsed="false">
      <c r="A57" s="9" t="s">
        <v>1298</v>
      </c>
      <c r="B57" s="55" t="n">
        <f aca="false">COUNTA('Requirement Crosswalk'!A7:A12)</f>
        <v>6</v>
      </c>
      <c r="C57" s="56" t="n">
        <v>6</v>
      </c>
      <c r="D57" s="55" t="n">
        <f aca="false">B57-C57</f>
        <v>0</v>
      </c>
      <c r="E57" s="19" t="str">
        <f aca="false">IF(ABS(D57)&lt;0.000001,"PASS","FAIL")</f>
        <v>PASS</v>
      </c>
    </row>
    <row r="58" customFormat="false" ht="15" hidden="false" customHeight="false" outlineLevel="0" collapsed="false">
      <c r="A58" s="9" t="s">
        <v>1299</v>
      </c>
      <c r="B58" s="55" t="n">
        <f aca="false">SUM('Requirement Crosswalk'!D7:D12)</f>
        <v>96</v>
      </c>
      <c r="C58" s="56" t="n">
        <v>96</v>
      </c>
      <c r="D58" s="55" t="n">
        <f aca="false">B58-C58</f>
        <v>0</v>
      </c>
      <c r="E58" s="19" t="str">
        <f aca="false">IF(ABS(D58)&lt;0.000001,"PASS","FAIL")</f>
        <v>PASS</v>
      </c>
    </row>
    <row r="59" customFormat="false" ht="15" hidden="false" customHeight="false" outlineLevel="0" collapsed="false">
      <c r="A59" s="9" t="s">
        <v>1300</v>
      </c>
      <c r="B59" s="55" t="n">
        <f aca="false">SUM('Requirement Crosswalk'!E7:E12)</f>
        <v>72</v>
      </c>
      <c r="C59" s="56" t="n">
        <v>72</v>
      </c>
      <c r="D59" s="55" t="n">
        <f aca="false">B59-C59</f>
        <v>0</v>
      </c>
      <c r="E59" s="19" t="str">
        <f aca="false">IF(ABS(D59)&lt;0.000001,"PASS","FAIL")</f>
        <v>PASS</v>
      </c>
    </row>
    <row r="60" customFormat="false" ht="15" hidden="false" customHeight="false" outlineLevel="0" collapsed="false">
      <c r="A60" s="9" t="s">
        <v>1301</v>
      </c>
      <c r="B60" s="55" t="n">
        <f aca="false">SUM('Requirement Crosswalk'!F7:F12)</f>
        <v>48</v>
      </c>
      <c r="C60" s="56" t="n">
        <v>48</v>
      </c>
      <c r="D60" s="55" t="n">
        <f aca="false">B60-C60</f>
        <v>0</v>
      </c>
      <c r="E60" s="19" t="str">
        <f aca="false">IF(ABS(D60)&lt;0.000001,"PASS","FAIL")</f>
        <v>PASS</v>
      </c>
    </row>
    <row r="61" customFormat="false" ht="15" hidden="false" customHeight="false" outlineLevel="0" collapsed="false">
      <c r="A61" s="9" t="s">
        <v>1302</v>
      </c>
      <c r="B61" s="55" t="n">
        <f aca="false">SUM('Requirement Crosswalk'!G7:G12)</f>
        <v>72</v>
      </c>
      <c r="C61" s="56" t="n">
        <v>72</v>
      </c>
      <c r="D61" s="55" t="n">
        <f aca="false">B61-C61</f>
        <v>0</v>
      </c>
      <c r="E61" s="19" t="str">
        <f aca="false">IF(ABS(D61)&lt;0.000001,"PASS","FAIL")</f>
        <v>PASS</v>
      </c>
    </row>
    <row r="62" customFormat="false" ht="15" hidden="false" customHeight="false" outlineLevel="0" collapsed="false">
      <c r="A62" s="9" t="s">
        <v>1303</v>
      </c>
      <c r="B62" s="55" t="n">
        <f aca="false">SUM('Requirement Crosswalk'!H7:H12)</f>
        <v>12</v>
      </c>
      <c r="C62" s="56" t="n">
        <v>12</v>
      </c>
      <c r="D62" s="55" t="n">
        <f aca="false">B62-C62</f>
        <v>0</v>
      </c>
      <c r="E62" s="19" t="str">
        <f aca="false">IF(ABS(D62)&lt;0.000001,"PASS","FAIL")</f>
        <v>PASS</v>
      </c>
    </row>
    <row r="63" customFormat="false" ht="15" hidden="false" customHeight="false" outlineLevel="0" collapsed="false">
      <c r="A63" s="9" t="s">
        <v>1304</v>
      </c>
      <c r="B63" s="55" t="n">
        <f aca="false">SUM('Requirement Crosswalk'!I7:I12)</f>
        <v>24</v>
      </c>
      <c r="C63" s="56" t="n">
        <v>24</v>
      </c>
      <c r="D63" s="55" t="n">
        <f aca="false">B63-C63</f>
        <v>0</v>
      </c>
      <c r="E63" s="19" t="str">
        <f aca="false">IF(ABS(D63)&lt;0.000001,"PASS","FAIL")</f>
        <v>PASS</v>
      </c>
    </row>
    <row r="64" customFormat="false" ht="15" hidden="false" customHeight="false" outlineLevel="0" collapsed="false">
      <c r="A64" s="9" t="s">
        <v>1305</v>
      </c>
      <c r="B64" s="55" t="n">
        <f aca="false">SUM('Requirement Crosswalk'!J7:J12)</f>
        <v>72</v>
      </c>
      <c r="C64" s="56" t="n">
        <v>72</v>
      </c>
      <c r="D64" s="55" t="n">
        <f aca="false">B64-C64</f>
        <v>0</v>
      </c>
      <c r="E64" s="19" t="str">
        <f aca="false">IF(ABS(D64)&lt;0.000001,"PASS","FAIL")</f>
        <v>PASS</v>
      </c>
    </row>
    <row r="65" customFormat="false" ht="15" hidden="false" customHeight="false" outlineLevel="0" collapsed="false">
      <c r="A65" s="9" t="s">
        <v>1306</v>
      </c>
      <c r="B65" s="55" t="n">
        <f aca="false">COUNTIF(Alternatives!P7:P11,"SELECT")</f>
        <v>1</v>
      </c>
      <c r="C65" s="56" t="n">
        <v>1</v>
      </c>
      <c r="D65" s="55" t="n">
        <f aca="false">B65-C65</f>
        <v>0</v>
      </c>
      <c r="E65" s="19" t="str">
        <f aca="false">IF(ABS(D65)&lt;0.000001,"PASS","FAIL")</f>
        <v>PASS</v>
      </c>
    </row>
    <row r="66" customFormat="false" ht="15" hidden="false" customHeight="false" outlineLevel="0" collapsed="false">
      <c r="A66" s="9" t="s">
        <v>1307</v>
      </c>
      <c r="B66" s="55" t="n">
        <f aca="false">Alternatives!N7</f>
        <v>12</v>
      </c>
      <c r="C66" s="56" t="n">
        <v>12</v>
      </c>
      <c r="D66" s="55" t="n">
        <f aca="false">B66-C66</f>
        <v>0</v>
      </c>
      <c r="E66" s="19" t="str">
        <f aca="false">IF(ABS(D66)&lt;0.000001,"PASS","FAIL")</f>
        <v>PASS</v>
      </c>
    </row>
    <row r="67" customFormat="false" ht="15" hidden="false" customHeight="false" outlineLevel="0" collapsed="false">
      <c r="A67" s="9" t="s">
        <v>1308</v>
      </c>
      <c r="B67" s="55" t="n">
        <f aca="false">COUNTIF(Alternatives!P7:P11,"REJECT")</f>
        <v>4</v>
      </c>
      <c r="C67" s="56" t="n">
        <v>4</v>
      </c>
      <c r="D67" s="55" t="n">
        <f aca="false">B67-C67</f>
        <v>0</v>
      </c>
      <c r="E67" s="19" t="str">
        <f aca="false">IF(ABS(D67)&lt;0.000001,"PASS","FAIL")</f>
        <v>PASS</v>
      </c>
    </row>
    <row r="68" customFormat="false" ht="15" hidden="false" customHeight="false" outlineLevel="0" collapsed="false">
      <c r="A68" s="9" t="s">
        <v>1309</v>
      </c>
      <c r="B68" s="55" t="n">
        <f aca="false">COUNTA(Nonconversions!A7:A24)</f>
        <v>18</v>
      </c>
      <c r="C68" s="56" t="n">
        <v>18</v>
      </c>
      <c r="D68" s="55" t="n">
        <f aca="false">B68-C68</f>
        <v>0</v>
      </c>
      <c r="E68" s="19" t="str">
        <f aca="false">IF(ABS(D68)&lt;0.000001,"PASS","FAIL")</f>
        <v>PASS</v>
      </c>
    </row>
    <row r="69" customFormat="false" ht="15" hidden="false" customHeight="false" outlineLevel="0" collapsed="false">
      <c r="A69" s="9" t="s">
        <v>1310</v>
      </c>
      <c r="B69" s="55" t="n">
        <f aca="false">COUNTA('Stress Tests'!A7:A22)</f>
        <v>16</v>
      </c>
      <c r="C69" s="56" t="n">
        <v>16</v>
      </c>
      <c r="D69" s="55" t="n">
        <f aca="false">B69-C69</f>
        <v>0</v>
      </c>
      <c r="E69" s="19" t="str">
        <f aca="false">IF(ABS(D69)&lt;0.000001,"PASS","FAIL")</f>
        <v>PASS</v>
      </c>
    </row>
    <row r="70" customFormat="false" ht="15" hidden="false" customHeight="false" outlineLevel="0" collapsed="false">
      <c r="A70" s="9" t="s">
        <v>1311</v>
      </c>
      <c r="B70" s="55" t="n">
        <f aca="false">COUNTIF('Stress Tests'!F7:F22,"PASS")</f>
        <v>16</v>
      </c>
      <c r="C70" s="56" t="n">
        <v>16</v>
      </c>
      <c r="D70" s="55" t="n">
        <f aca="false">B70-C70</f>
        <v>0</v>
      </c>
      <c r="E70" s="19" t="str">
        <f aca="false">IF(ABS(D70)&lt;0.000001,"PASS","FAIL")</f>
        <v>PASS</v>
      </c>
    </row>
    <row r="71" customFormat="false" ht="15" hidden="false" customHeight="false" outlineLevel="0" collapsed="false">
      <c r="A71" s="9" t="s">
        <v>1312</v>
      </c>
      <c r="B71" s="55" t="n">
        <f aca="false">Controls!B31</f>
        <v>0</v>
      </c>
      <c r="C71" s="56" t="n">
        <v>0</v>
      </c>
      <c r="D71" s="55" t="n">
        <f aca="false">B71-C71</f>
        <v>0</v>
      </c>
      <c r="E71" s="19" t="str">
        <f aca="false">IF(ABS(D71)&lt;0.000001,"PASS","FAIL")</f>
        <v>PASS</v>
      </c>
    </row>
    <row r="72" customFormat="false" ht="15" hidden="false" customHeight="false" outlineLevel="0" collapsed="false">
      <c r="A72" s="9" t="s">
        <v>1313</v>
      </c>
      <c r="B72" s="55" t="n">
        <f aca="false">Controls!B32</f>
        <v>0</v>
      </c>
      <c r="C72" s="56" t="n">
        <v>0</v>
      </c>
      <c r="D72" s="55" t="n">
        <f aca="false">B72-C72</f>
        <v>0</v>
      </c>
      <c r="E72" s="19" t="str">
        <f aca="false">IF(ABS(D72)&lt;0.000001,"PASS","FAIL")</f>
        <v>PASS</v>
      </c>
    </row>
    <row r="73" customFormat="false" ht="15" hidden="false" customHeight="false" outlineLevel="0" collapsed="false">
      <c r="A73" s="9" t="s">
        <v>1314</v>
      </c>
      <c r="B73" s="55" t="n">
        <f aca="false">Controls!B33</f>
        <v>0</v>
      </c>
      <c r="C73" s="56" t="n">
        <v>0</v>
      </c>
      <c r="D73" s="55" t="n">
        <f aca="false">B73-C73</f>
        <v>0</v>
      </c>
      <c r="E73" s="19" t="str">
        <f aca="false">IF(ABS(D73)&lt;0.000001,"PASS","FAIL")</f>
        <v>PASS</v>
      </c>
    </row>
    <row r="74" customFormat="false" ht="15" hidden="false" customHeight="false" outlineLevel="0" collapsed="false">
      <c r="A74" s="9" t="s">
        <v>1315</v>
      </c>
      <c r="B74" s="55" t="n">
        <f aca="false">Controls!B34</f>
        <v>0</v>
      </c>
      <c r="C74" s="56" t="n">
        <v>0</v>
      </c>
      <c r="D74" s="55" t="n">
        <f aca="false">B74-C74</f>
        <v>0</v>
      </c>
      <c r="E74" s="19" t="str">
        <f aca="false">IF(ABS(D74)&lt;0.000001,"PASS","FAIL")</f>
        <v>PASS</v>
      </c>
    </row>
    <row r="75" customFormat="false" ht="15" hidden="false" customHeight="false" outlineLevel="0" collapsed="false">
      <c r="A75" s="9" t="s">
        <v>1316</v>
      </c>
      <c r="B75" s="55" t="n">
        <f aca="false">Controls!B35</f>
        <v>0</v>
      </c>
      <c r="C75" s="56" t="n">
        <v>0</v>
      </c>
      <c r="D75" s="55" t="n">
        <f aca="false">B75-C75</f>
        <v>0</v>
      </c>
      <c r="E75" s="19" t="str">
        <f aca="false">IF(ABS(D75)&lt;0.000001,"PASS","FAIL")</f>
        <v>PASS</v>
      </c>
    </row>
    <row r="76" customFormat="false" ht="15" hidden="false" customHeight="false" outlineLevel="0" collapsed="false">
      <c r="A76" s="9" t="s">
        <v>1317</v>
      </c>
      <c r="B76" s="55" t="n">
        <f aca="false">Controls!B36</f>
        <v>0</v>
      </c>
      <c r="C76" s="56" t="n">
        <v>0</v>
      </c>
      <c r="D76" s="55" t="n">
        <f aca="false">B76-C76</f>
        <v>0</v>
      </c>
      <c r="E76" s="19" t="str">
        <f aca="false">IF(ABS(D76)&lt;0.000001,"PASS","FAIL")</f>
        <v>PASS</v>
      </c>
    </row>
    <row r="77" customFormat="false" ht="15" hidden="false" customHeight="false" outlineLevel="0" collapsed="false">
      <c r="A77" s="9" t="s">
        <v>1318</v>
      </c>
      <c r="B77" s="55" t="n">
        <f aca="false">Controls!B37</f>
        <v>0</v>
      </c>
      <c r="C77" s="56" t="n">
        <v>0</v>
      </c>
      <c r="D77" s="55" t="n">
        <f aca="false">B77-C77</f>
        <v>0</v>
      </c>
      <c r="E77" s="19" t="str">
        <f aca="false">IF(ABS(D77)&lt;0.000001,"PASS","FAIL")</f>
        <v>PASS</v>
      </c>
    </row>
    <row r="78" customFormat="false" ht="15" hidden="false" customHeight="false" outlineLevel="0" collapsed="false">
      <c r="A78" s="9" t="s">
        <v>1319</v>
      </c>
      <c r="B78" s="55" t="n">
        <f aca="false">Controls!B38</f>
        <v>0</v>
      </c>
      <c r="C78" s="56" t="n">
        <v>0</v>
      </c>
      <c r="D78" s="55" t="n">
        <f aca="false">B78-C78</f>
        <v>0</v>
      </c>
      <c r="E78" s="19" t="str">
        <f aca="false">IF(ABS(D78)&lt;0.000001,"PASS","FAIL")</f>
        <v>PASS</v>
      </c>
    </row>
    <row r="79" customFormat="false" ht="15" hidden="false" customHeight="false" outlineLevel="0" collapsed="false">
      <c r="A79" s="12" t="s">
        <v>1320</v>
      </c>
      <c r="B79" s="57" t="n">
        <f aca="false">Controls!B39</f>
        <v>0</v>
      </c>
      <c r="C79" s="58" t="n">
        <v>0</v>
      </c>
      <c r="D79" s="57" t="n">
        <f aca="false">B79-C79</f>
        <v>0</v>
      </c>
      <c r="E79" s="20" t="str">
        <f aca="false">IF(ABS(D79)&lt;0.000001,"PASS","FAIL")</f>
        <v>PASS</v>
      </c>
    </row>
  </sheetData>
  <mergeCells count="2">
    <mergeCell ref="A2:E2"/>
    <mergeCell ref="A4:E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5"/>
    <col collapsed="false" customWidth="true" hidden="false" outlineLevel="0" max="3" min="3" style="0" width="58"/>
    <col collapsed="false" customWidth="true" hidden="false" outlineLevel="0" max="4" min="4" style="0" width="23"/>
    <col collapsed="false" customWidth="true" hidden="false" outlineLevel="0" max="5" min="5" style="0" width="51"/>
  </cols>
  <sheetData>
    <row r="2" customFormat="false" ht="24" hidden="false" customHeight="true" outlineLevel="0" collapsed="false">
      <c r="A2" s="1" t="s">
        <v>1321</v>
      </c>
      <c r="B2" s="1"/>
      <c r="C2" s="1"/>
      <c r="D2" s="1"/>
      <c r="E2" s="1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3" t="s">
        <v>1322</v>
      </c>
      <c r="B4" s="3"/>
      <c r="C4" s="3"/>
      <c r="D4" s="3"/>
      <c r="E4" s="3"/>
    </row>
    <row r="5" customFormat="false" ht="15" hidden="false" customHeight="false" outlineLevel="0" collapsed="false">
      <c r="A5" s="4"/>
      <c r="B5" s="4"/>
      <c r="C5" s="4"/>
      <c r="D5" s="4"/>
      <c r="E5" s="4"/>
    </row>
    <row r="6" customFormat="false" ht="23" hidden="false" customHeight="true" outlineLevel="0" collapsed="false">
      <c r="A6" s="5" t="s">
        <v>1323</v>
      </c>
      <c r="B6" s="6" t="s">
        <v>1324</v>
      </c>
      <c r="C6" s="6" t="s">
        <v>1325</v>
      </c>
      <c r="D6" s="6" t="s">
        <v>1326</v>
      </c>
      <c r="E6" s="7" t="s">
        <v>1327</v>
      </c>
    </row>
    <row r="7" customFormat="false" ht="15" hidden="false" customHeight="false" outlineLevel="0" collapsed="false">
      <c r="A7" s="8" t="s">
        <v>54</v>
      </c>
      <c r="B7" s="8" t="s">
        <v>1328</v>
      </c>
      <c r="C7" s="8" t="s">
        <v>1329</v>
      </c>
      <c r="D7" s="8" t="s">
        <v>1330</v>
      </c>
      <c r="E7" s="8" t="s">
        <v>1331</v>
      </c>
    </row>
    <row r="8" customFormat="false" ht="15" hidden="false" customHeight="false" outlineLevel="0" collapsed="false">
      <c r="A8" s="9" t="s">
        <v>1332</v>
      </c>
      <c r="B8" s="9" t="s">
        <v>1333</v>
      </c>
      <c r="C8" s="9" t="s">
        <v>1334</v>
      </c>
      <c r="D8" s="9" t="s">
        <v>1330</v>
      </c>
      <c r="E8" s="9" t="s">
        <v>1335</v>
      </c>
    </row>
    <row r="9" customFormat="false" ht="15" hidden="false" customHeight="false" outlineLevel="0" collapsed="false">
      <c r="A9" s="9" t="s">
        <v>43</v>
      </c>
      <c r="B9" s="9" t="s">
        <v>1336</v>
      </c>
      <c r="C9" s="9" t="s">
        <v>1337</v>
      </c>
      <c r="D9" s="9" t="s">
        <v>1330</v>
      </c>
      <c r="E9" s="9" t="s">
        <v>1338</v>
      </c>
    </row>
    <row r="10" customFormat="false" ht="15" hidden="false" customHeight="false" outlineLevel="0" collapsed="false">
      <c r="A10" s="9" t="s">
        <v>1339</v>
      </c>
      <c r="B10" s="9" t="s">
        <v>1340</v>
      </c>
      <c r="C10" s="9" t="s">
        <v>1341</v>
      </c>
      <c r="D10" s="9" t="s">
        <v>1330</v>
      </c>
      <c r="E10" s="9" t="s">
        <v>1342</v>
      </c>
    </row>
    <row r="11" customFormat="false" ht="15" hidden="false" customHeight="false" outlineLevel="0" collapsed="false">
      <c r="A11" s="9" t="s">
        <v>1343</v>
      </c>
      <c r="B11" s="9" t="s">
        <v>1344</v>
      </c>
      <c r="C11" s="9" t="s">
        <v>1345</v>
      </c>
      <c r="D11" s="9" t="s">
        <v>1346</v>
      </c>
      <c r="E11" s="9" t="s">
        <v>1347</v>
      </c>
    </row>
    <row r="12" customFormat="false" ht="15" hidden="false" customHeight="false" outlineLevel="0" collapsed="false">
      <c r="A12" s="9" t="s">
        <v>1348</v>
      </c>
      <c r="B12" s="9" t="s">
        <v>1349</v>
      </c>
      <c r="C12" s="9" t="s">
        <v>1350</v>
      </c>
      <c r="D12" s="9" t="s">
        <v>1346</v>
      </c>
      <c r="E12" s="9" t="s">
        <v>1351</v>
      </c>
    </row>
    <row r="13" customFormat="false" ht="15" hidden="false" customHeight="false" outlineLevel="0" collapsed="false">
      <c r="A13" s="9" t="s">
        <v>1352</v>
      </c>
      <c r="B13" s="9" t="s">
        <v>1353</v>
      </c>
      <c r="C13" s="9" t="s">
        <v>1354</v>
      </c>
      <c r="D13" s="9" t="s">
        <v>1355</v>
      </c>
      <c r="E13" s="9" t="s">
        <v>1356</v>
      </c>
    </row>
    <row r="14" customFormat="false" ht="15" hidden="false" customHeight="false" outlineLevel="0" collapsed="false">
      <c r="A14" s="12" t="s">
        <v>1357</v>
      </c>
      <c r="B14" s="12" t="s">
        <v>1358</v>
      </c>
      <c r="C14" s="12" t="s">
        <v>1359</v>
      </c>
      <c r="D14" s="12" t="s">
        <v>1360</v>
      </c>
      <c r="E14" s="12" t="s">
        <v>1361</v>
      </c>
    </row>
  </sheetData>
  <mergeCells count="2">
    <mergeCell ref="A2:E2"/>
    <mergeCell ref="A4:E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