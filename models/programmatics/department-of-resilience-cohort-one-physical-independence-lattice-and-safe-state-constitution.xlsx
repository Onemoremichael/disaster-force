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989dd73c244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84b94775344c1d"/>
    <x:sheet xmlns:r="http://schemas.openxmlformats.org/officeDocument/2006/relationships" name="Form Decisions" sheetId="2" r:id="Rce6f672edd4a430e"/>
    <x:sheet xmlns:r="http://schemas.openxmlformats.org/officeDocument/2006/relationships" name="Integration Gates" sheetId="3" r:id="Re94416246e7243f5"/>
    <x:sheet xmlns:r="http://schemas.openxmlformats.org/officeDocument/2006/relationships" name="Cut Sets" sheetId="4" r:id="R6f4229fbba674d50"/>
    <x:sheet xmlns:r="http://schemas.openxmlformats.org/officeDocument/2006/relationships" name="Physical Interfaces" sheetId="5" r:id="Rce782baa014542d0"/>
    <x:sheet xmlns:r="http://schemas.openxmlformats.org/officeDocument/2006/relationships" name="Rights Gates" sheetId="6" r:id="R2a5f62b8c601475d"/>
    <x:sheet xmlns:r="http://schemas.openxmlformats.org/officeDocument/2006/relationships" name="Residual Chains" sheetId="7" r:id="R9b3e1642e37a46f9"/>
    <x:sheet xmlns:r="http://schemas.openxmlformats.org/officeDocument/2006/relationships" name="Safe States" sheetId="8" r:id="R00209799c0754cc9"/>
    <x:sheet xmlns:r="http://schemas.openxmlformats.org/officeDocument/2006/relationships" name="Cold Reconstruction" sheetId="9" r:id="Raa66edb62a4f4d7a"/>
    <x:sheet xmlns:r="http://schemas.openxmlformats.org/officeDocument/2006/relationships" name="Technology Orders" sheetId="10" r:id="Rcceaf27178d943c6"/>
    <x:sheet xmlns:r="http://schemas.openxmlformats.org/officeDocument/2006/relationships" name="Finance" sheetId="11" r:id="R7a32a35cbb464bff"/>
    <x:sheet xmlns:r="http://schemas.openxmlformats.org/officeDocument/2006/relationships" name="Inputs" sheetId="12" r:id="Rc0ffffad92a848ad"/>
    <x:sheet xmlns:r="http://schemas.openxmlformats.org/officeDocument/2006/relationships" name="Mutations" sheetId="13" r:id="R6308ddaf719b40fc"/>
    <x:sheet xmlns:r="http://schemas.openxmlformats.org/officeDocument/2006/relationships" name="Audit" sheetId="14" r:id="Rf8da19a2692c4c73"/>
    <x:sheet xmlns:r="http://schemas.openxmlformats.org/officeDocument/2006/relationships" name="ReadMe" sheetId="15" r:id="Rb612f881bb7044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0.00"/>
    <x:numFmt numFmtId="202" formatCode="0.00%"/>
    <x:numFmt numFmtId="203" formatCode="0.000x"/>
  </x:numFmts>
  <x:fonts count="6">
    <x:font>
      <x:sz val="11"/>
      <x:name val="Carlito"/>
    </x:font>
    <x:font>
      <x:b/>
      <x:sz val="15"/>
      <x:color rgb="FF17365D"/>
      <x:name val="Arial"/>
    </x:font>
    <x:font>
      <x:b/>
      <x:sz val="10"/>
      <x:color rgb="FF17365D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1">
    <x:border/>
    <x:border>
      <x:bottom style="thin">
        <x:color rgb="FF2F75B5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2" xfId="0" applyNumberFormat="1" applyFont="1" applyFill="1" applyBorder="1"/>
    <x:xf numFmtId="0" fontId="3" fillId="0" borderId="3" xfId="0" applyNumberFormat="1" applyFont="1" applyFill="1" applyBorder="1"/>
    <x:xf numFmtId="0" fontId="2" fillId="0" borderId="4" xfId="0" applyNumberFormat="1" applyFont="1" applyFill="1" applyBorder="1"/>
    <x:xf numFmtId="0" fontId="3" fillId="0" borderId="5" xfId="0" applyNumberFormat="1" applyFont="1" applyFill="1" applyBorder="1"/>
    <x:xf numFmtId="0" fontId="2" fillId="0" borderId="6" xfId="0" applyNumberFormat="1" applyFont="1" applyFill="1" applyBorder="1"/>
    <x:xf numFmtId="0" fontId="3" fillId="0" borderId="7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8" xfId="0" applyNumberFormat="1" applyFont="1" applyFill="1" applyBorder="1"/>
    <x:xf numFmtId="0" fontId="4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0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3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4" xfId="0" applyNumberFormat="1" applyFont="1" applyFill="1" applyBorder="1"/>
    <x:xf numFmtId="0" fontId="5" fillId="0" borderId="6" xfId="0" applyNumberFormat="1" applyFont="1" applyFill="1" applyBorder="1"/>
    <x:xf numFmtId="0" fontId="5" fillId="2" borderId="2" xfId="0" applyNumberFormat="1" applyFont="1" applyFill="1" applyBorder="1"/>
    <x:xf numFmtId="0" fontId="5" fillId="2" borderId="8" xfId="0" applyNumberFormat="1" applyFont="1" applyFill="1" applyBorder="1"/>
    <x:xf numFmtId="0" fontId="5" fillId="2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9" xfId="0" applyNumberFormat="1" applyFont="1" applyFill="1" applyBorder="1"/>
    <x:xf numFmtId="0" fontId="3" fillId="0" borderId="6" xfId="0" applyNumberFormat="1" applyFont="1" applyFill="1" applyBorder="1"/>
    <x:xf numFmtId="0" fontId="3" fillId="0" borderId="10" xfId="0" applyNumberFormat="1" applyFont="1" applyFill="1" applyBorder="1"/>
    <x:xf numFmtId="0" fontId="5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8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200" fontId="4" fillId="2" borderId="0" xfId="0" applyNumberFormat="1" applyFont="1" applyFill="1" applyBorder="1"/>
    <x:xf numFmtId="201" fontId="0" fillId="0" borderId="0" xfId="0" applyNumberFormat="1" applyFont="1" applyFill="1" applyBorder="1"/>
    <x:xf numFmtId="200" fontId="3" fillId="0" borderId="0" xfId="0" applyNumberFormat="1" applyFont="1" applyFill="1" applyBorder="1"/>
    <x:xf numFmtId="0" fontId="5" fillId="2" borderId="0" xfId="0" applyNumberFormat="1" applyFont="1" applyFill="1" applyBorder="1"/>
    <x:xf numFmtId="200" fontId="5" fillId="2" borderId="0" xfId="0" applyNumberFormat="1" applyFont="1" applyFill="1" applyBorder="1"/>
    <x:xf numFmtId="201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2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d0051b15224328" /><Relationship Type="http://schemas.openxmlformats.org/officeDocument/2006/relationships/theme" Target="/xl/theme/theme1.xml" Id="R8506b3e548e7405c" /><Relationship Type="http://schemas.openxmlformats.org/officeDocument/2006/relationships/sharedStrings" Target="/xl/sharedStrings.xml" Id="Ra15e24d487a54aec" /><Relationship Type="http://schemas.openxmlformats.org/officeDocument/2006/relationships/worksheet" Target="/xl/worksheets/sheet1.xml" Id="R4b84b94775344c1d" /><Relationship Type="http://schemas.openxmlformats.org/officeDocument/2006/relationships/worksheet" Target="/xl/worksheets/sheet2.xml" Id="Rce6f672edd4a430e" /><Relationship Type="http://schemas.openxmlformats.org/officeDocument/2006/relationships/worksheet" Target="/xl/worksheets/sheet3.xml" Id="Re94416246e7243f5" /><Relationship Type="http://schemas.openxmlformats.org/officeDocument/2006/relationships/worksheet" Target="/xl/worksheets/sheet4.xml" Id="R6f4229fbba674d50" /><Relationship Type="http://schemas.openxmlformats.org/officeDocument/2006/relationships/worksheet" Target="/xl/worksheets/sheet5.xml" Id="Rce782baa014542d0" /><Relationship Type="http://schemas.openxmlformats.org/officeDocument/2006/relationships/worksheet" Target="/xl/worksheets/sheet6.xml" Id="R2a5f62b8c601475d" /><Relationship Type="http://schemas.openxmlformats.org/officeDocument/2006/relationships/worksheet" Target="/xl/worksheets/sheet7.xml" Id="R9b3e1642e37a46f9" /><Relationship Type="http://schemas.openxmlformats.org/officeDocument/2006/relationships/worksheet" Target="/xl/worksheets/sheet8.xml" Id="R00209799c0754cc9" /><Relationship Type="http://schemas.openxmlformats.org/officeDocument/2006/relationships/worksheet" Target="/xl/worksheets/sheet9.xml" Id="Raa66edb62a4f4d7a" /><Relationship Type="http://schemas.openxmlformats.org/officeDocument/2006/relationships/worksheet" Target="/xl/worksheets/sheet10.xml" Id="Rcceaf27178d943c6" /><Relationship Type="http://schemas.openxmlformats.org/officeDocument/2006/relationships/worksheet" Target="/xl/worksheets/sheet11.xml" Id="R7a32a35cbb464bff" /><Relationship Type="http://schemas.openxmlformats.org/officeDocument/2006/relationships/worksheet" Target="/xl/worksheets/sheet12.xml" Id="Rc0ffffad92a848ad" /><Relationship Type="http://schemas.openxmlformats.org/officeDocument/2006/relationships/worksheet" Target="/xl/worksheets/sheet13.xml" Id="R6308ddaf719b40fc" /><Relationship Type="http://schemas.openxmlformats.org/officeDocument/2006/relationships/worksheet" Target="/xl/worksheets/sheet14.xml" Id="Rf8da19a2692c4c73" /><Relationship Type="http://schemas.openxmlformats.org/officeDocument/2006/relationships/worksheet" Target="/xl/worksheets/sheet15.xml" Id="Rb612f881bb70447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9c15fba51724dd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Minimum independent boundary sets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Structural sets</c:v>
          </c:tx>
          <c:cat>
            <c:strRef>
              <c:f>'Summary'!$A$17:$A$22</c:f>
              <c:strCache>
                <c:ptCount val="0"/>
              </c:strCache>
            </c:strRef>
          </c:cat>
          <c:val>
            <c:numRef>
              <c:f>'Summary'!$B$17:$B$22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Service sets</c:v>
          </c:tx>
          <c:cat>
            <c:strRef>
              <c:f>'Summary'!$A$17:$A$22</c:f>
              <c:strCache>
                <c:ptCount val="0"/>
              </c:strCache>
            </c:strRef>
          </c:cat>
          <c:val>
            <c:numRef>
              <c:f>'Summary'!$C$17:$C$22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Control cells</c:v>
          </c:tx>
          <c:cat>
            <c:strRef>
              <c:f>'Summary'!$A$17:$A$22</c:f>
              <c:strCache>
                <c:ptCount val="0"/>
              </c:strCache>
            </c:strRef>
          </c:cat>
          <c:val>
            <c:numRef>
              <c:f>'Summary'!$D$17:$D$22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Rights zones</c:v>
          </c:tx>
          <c:cat>
            <c:strRef>
              <c:f>'Summary'!$A$17:$A$22</c:f>
              <c:strCache>
                <c:ptCount val="0"/>
              </c:strCache>
            </c:strRef>
          </c:cat>
          <c:val>
            <c:numRef>
              <c:f>'Summary'!$E$17:$E$22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Residual paths</c:v>
          </c:tx>
          <c:cat>
            <c:strRef>
              <c:f>'Summary'!$A$17:$A$22</c:f>
              <c:strCache>
                <c:ptCount val="0"/>
              </c:strCache>
            </c:strRef>
          </c:cat>
          <c:val>
            <c:numRef>
              <c:f>'Summary'!$F$17:$F$22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Cold-build objects</c:v>
          </c:tx>
          <c:cat>
            <c:strRef>
              <c:f>'Summary'!$A$17:$A$22</c:f>
              <c:strCache>
                <c:ptCount val="0"/>
              </c:strCache>
            </c:strRef>
          </c:cat>
          <c:val>
            <c:numRef>
              <c:f>'Summary'!$G$17:$G$22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c15fba51724dd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ormDecisionsTable" displayName="FormDecisionsTable" ref="A6:O12" headerRowCount="1" totalsRowCount="0" totalsRowShown="0">
  <x:tableColumns count="15">
    <x:tableColumn id="1" name="Form"/>
    <x:tableColumn id="2" name="Root"/>
    <x:tableColumn id="3" name="Prior form"/>
    <x:tableColumn id="4" name="Decision"/>
    <x:tableColumn id="5" name="Controlling configuration"/>
    <x:tableColumn id="6" name="Reason"/>
    <x:tableColumn id="7" name="Physical constitution"/>
    <x:tableColumn id="8" name="Fatal-keystone event"/>
    <x:tableColumn id="9" name="Governing uprate"/>
    <x:tableColumn id="10" name="Structural sets"/>
    <x:tableColumn id="11" name="Service sets"/>
    <x:tableColumn id="12" name="Control cells"/>
    <x:tableColumn id="13" name="Rights zones"/>
    <x:tableColumn id="14" name="Residual paths"/>
    <x:tableColumn id="15" name="Cold-build objec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egrationGatesTable" displayName="IntegrationGatesTable" ref="A6:M150" headerRowCount="1" totalsRowCount="0" totalsRowShown="0">
  <x:tableColumns count="13">
    <x:tableColumn id="1" name="Gate"/>
    <x:tableColumn id="2" name="Form"/>
    <x:tableColumn id="3" name="World"/>
    <x:tableColumn id="4" name="Domain"/>
    <x:tableColumn id="5" name="Specified physical object"/>
    <x:tableColumn id="6" name="Required independent sets"/>
    <x:tableColumn id="7" name="Specified independent sets"/>
    <x:tableColumn id="8" name="Active common keystones"/>
    <x:tableColumn id="9" name="Local termination"/>
    <x:tableColumn id="10" name="Rights route"/>
    <x:tableColumn id="11" name="Residual route"/>
    <x:tableColumn id="12" name="Public rebuild route"/>
    <x:tableColumn id="13" name="Design st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tSetsTable" displayName="CutSetsTable" ref="A6:I42" headerRowCount="1" totalsRowCount="0" totalsRowShown="0">
  <x:tableColumns count="9">
    <x:tableColumn id="1" name="Cut"/>
    <x:tableColumn id="2" name="Form"/>
    <x:tableColumn id="3" name="Boundary class"/>
    <x:tableColumn id="4" name="Denied object"/>
    <x:tableColumn id="5" name="Surviving route"/>
    <x:tableColumn id="6" name="Propagation barrier"/>
    <x:tableColumn id="7" name="Form-native fatal event"/>
    <x:tableColumn id="8" name="Evidence"/>
    <x:tableColumn id="9" name="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hysicalInterfacesTable" displayName="PhysicalInterfacesTable" ref="A6:G42" headerRowCount="1" totalsRowCount="0" totalsRowShown="0">
  <x:tableColumns count="7">
    <x:tableColumn id="1" name="Interface"/>
    <x:tableColumn id="2" name="Form"/>
    <x:tableColumn id="3" name="Interface role"/>
    <x:tableColumn id="4" name="Physical implementation"/>
    <x:tableColumn id="5" name="Isolation boundary"/>
    <x:tableColumn id="6" name="Witness"/>
    <x:tableColumn id="7" name="Author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ightsGatesTable" displayName="RightsGatesTable" ref="A6:I54" headerRowCount="1" totalsRowCount="0" totalsRowShown="0">
  <x:tableColumns count="9">
    <x:tableColumn id="1" name="Gate"/>
    <x:tableColumn id="2" name="Form"/>
    <x:tableColumn id="3" name="Protected interest"/>
    <x:tableColumn id="4" name="Failure rule"/>
    <x:tableColumn id="5" name="Physical implementation"/>
    <x:tableColumn id="6" name="Local authority"/>
    <x:tableColumn id="7" name="Independent record"/>
    <x:tableColumn id="8" name="Remedy path"/>
    <x:tableColumn id="9" name="St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idualChainsTable" displayName="ResidualChainsTable" ref="A6:H30" headerRowCount="1" totalsRowCount="0" totalsRowShown="0">
  <x:tableColumns count="8">
    <x:tableColumn id="1" name="Chain"/>
    <x:tableColumn id="2" name="Form"/>
    <x:tableColumn id="3" name="Stage"/>
    <x:tableColumn id="4" name="Custody requirement"/>
    <x:tableColumn id="5" name="Physical route"/>
    <x:tableColumn id="6" name="Account"/>
    <x:tableColumn id="7" name="Safe state"/>
    <x:tableColumn id="8" name="St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afeStatesTable" displayName="SafeStatesTable" ref="A6:H30" headerRowCount="1" totalsRowCount="0" totalsRowShown="0">
  <x:tableColumns count="8">
    <x:tableColumn id="1" name="Safe-state record"/>
    <x:tableColumn id="2" name="Form"/>
    <x:tableColumn id="3" name="World"/>
    <x:tableColumn id="4" name="Required terminal state"/>
    <x:tableColumn id="5" name="Prohibited credit"/>
    <x:tableColumn id="6" name="Sustain or rebuild ceiling"/>
    <x:tableColumn id="7" name="Unit"/>
    <x:tableColumn id="8" name="St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ldReconstructionTable" displayName="ColdReconstructionTable" ref="A6:J42" headerRowCount="1" totalsRowCount="0" totalsRowShown="0">
  <x:tableColumns count="10">
    <x:tableColumn id="1" name="Stage record"/>
    <x:tableColumn id="2" name="Form"/>
    <x:tableColumn id="3" name="Sequence"/>
    <x:tableColumn id="4" name="Stage"/>
    <x:tableColumn id="5" name="Completion rule"/>
    <x:tableColumn id="6" name="Witness"/>
    <x:tableColumn id="7" name="Elapsed ceiling"/>
    <x:tableColumn id="8" name="Unit"/>
    <x:tableColumn id="9" name="Accepted"/>
    <x:tableColumn id="10" name="Sta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echnologyOrdersTable" displayName="TechnologyOrdersTable" ref="A6:H30" headerRowCount="1" totalsRowCount="0" totalsRowShown="0">
  <x:tableColumns count="8">
    <x:tableColumn id="1" name="Order"/>
    <x:tableColumn id="2" name="Form"/>
    <x:tableColumn id="3" name="Technology"/>
    <x:tableColumn id="4" name="Required advance"/>
    <x:tableColumn id="5" name="Fatal prototype event"/>
    <x:tableColumn id="6" name="First article"/>
    <x:tableColumn id="7" name="Accepted evidence"/>
    <x:tableColumn id="8" name="Sta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inanceTable" displayName="FinanceTable" ref="A6:H12" headerRowCount="1" totalsRowCount="0" totalsRowShown="0">
  <x:tableColumns count="8">
    <x:tableColumn id="1" name="Form"/>
    <x:tableColumn id="2" name="Ceiling (USD M)"/>
    <x:tableColumn id="3" name="Event method 20%"/>
    <x:tableColumn id="4" name="Instrumentation 25%"/>
    <x:tableColumn id="5" name="Civil closure 15%"/>
    <x:tableColumn id="6" name="Article engineering 25%"/>
    <x:tableColumn id="7" name="Cold reconstruction 15%"/>
    <x:tableColumn id="8" name="Reconciled ceiling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InputsTable" displayName="InputsTable" ref="A6:D21" headerRowCount="1" totalsRowCount="0" totalsRowShown="0">
  <x:tableColumns count="4">
    <x:tableColumn id="1" name="Input"/>
    <x:tableColumn id="2" name="Value"/>
    <x:tableColumn id="3" name="Unit"/>
    <x:tableColumn id="4" name="Basi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MutationsTable" displayName="MutationsTable" ref="A6:G28" headerRowCount="1" totalsRowCount="0" totalsRowShown="0">
  <x:tableColumns count="7">
    <x:tableColumn id="1" name="Mutation"/>
    <x:tableColumn id="2" name="Sheet"/>
    <x:tableColumn id="3" name="Cell"/>
    <x:tableColumn id="4" name="Disposable change"/>
    <x:tableColumn id="5" name="Expected result"/>
    <x:tableColumn id="6" name="Observed result"/>
    <x:tableColumn id="7" name="Disposit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uditTable" displayName="AuditTable" ref="A6:E37" headerRowCount="1" totalsRowCount="0" totalsRowShown="0">
  <x:tableColumns count="5">
    <x:tableColumn id="1" name="Audit"/>
    <x:tableColumn id="2" name="Test"/>
    <x:tableColumn id="3" name="Calculated"/>
    <x:tableColumn id="4" name="Expected"/>
    <x:tableColumn id="5" name="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e17924c244047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9fd14836254f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319b25932a47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9738a8ec0840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affc077c2645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b1132648e44e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1f19c5c81440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fbd49e761348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df25547a324c1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f38c0ed688c44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5772227063d41d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f3577e3f4194e9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b34f6b373c42442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e5c28870ac1c40b6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3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39"/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>
      <x:c r="A2" s="75" t="str">
        <x:v>Cohort-one physical independence decision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</x:row>
    <x:row r="5">
      <x:c r="A5" s="42" t="str">
        <x:v>Decision</x:v>
      </x:c>
      <x:c r="B5" s="43" t="str">
        <x:v>PIL-1</x:v>
      </x:c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</x:row>
    <x:row r="6">
      <x:c r="A6" s="44" t="str">
        <x:v>Architecture</x:v>
      </x:c>
      <x:c r="B6" s="45" t="str">
        <x:v>Six source-specific physical independence lattices</x:v>
      </x:c>
      <x:c r="C6" s="39"/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</x:row>
    <x:row r="7">
      <x:c r="A7" s="44" t="str">
        <x:v>Forms retaining topology</x:v>
      </x:c>
      <x:c r="B7" s="45" t="n">
        <x:f>COUNTIF('Form Decisions'!$D$7:$D$12,"RETAIN TOPOLOGY")</x:f>
        <x:v>3</x:v>
      </x:c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</x:row>
    <x:row r="8">
      <x:c r="A8" s="44" t="str">
        <x:v>Forms requiring topology revision</x:v>
      </x:c>
      <x:c r="B8" s="45" t="n">
        <x:f>COUNTIF('Form Decisions'!$D$7:$D$12,"REVISE TOPOLOGY")</x:f>
        <x:v>3</x:v>
      </x:c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</x:row>
    <x:row r="9">
      <x:c r="A9" s="44" t="str">
        <x:v>Integration gates specified</x:v>
      </x:c>
      <x:c r="B9" s="45" t="n">
        <x:f>COUNTIF('Integration Gates'!$M$7:$M$150,"SPECIFIED / UNOBSERVED")</x:f>
        <x:v>144</x:v>
      </x:c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</x:row>
    <x:row r="10">
      <x:c r="A10" s="44" t="str">
        <x:v>Integration gates observed</x:v>
      </x:c>
      <x:c r="B10" s="45" t="n">
        <x:v>0</x:v>
      </x:c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</x:row>
    <x:row r="11">
      <x:c r="A11" s="44" t="str">
        <x:v>Fatal cut sets</x:v>
      </x:c>
      <x:c r="B11" s="45" t="n">
        <x:f>COUNTA('Cut Sets'!$A$7:$A$42)</x:f>
        <x:v>36</x:v>
      </x:c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</x:row>
    <x:row r="12">
      <x:c r="A12" s="44" t="str">
        <x:v>Rights gates</x:v>
      </x:c>
      <x:c r="B12" s="45" t="n">
        <x:f>COUNTA('Rights Gates'!$A$7:$A$54)</x:f>
        <x:v>48</x:v>
      </x:c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</x:row>
    <x:row r="13">
      <x:c r="A13" s="44" t="str">
        <x:v>Residual-custody chains</x:v>
      </x:c>
      <x:c r="B13" s="45" t="n">
        <x:f>COUNTA('Residual Chains'!$A$7:$A$30)</x:f>
        <x:v>24</x:v>
      </x:c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</x:row>
    <x:row r="14">
      <x:c r="A14" s="46" t="str">
        <x:v>Rendering authority</x:v>
      </x:c>
      <x:c r="B14" s="47" t="n">
        <x:v>0</x:v>
      </x:c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</x:row>
    <x:row r="16">
      <x:c r="A16" s="48" t="str">
        <x:v>Form</x:v>
      </x:c>
      <x:c r="B16" s="49" t="str">
        <x:v>Structural sets</x:v>
      </x:c>
      <x:c r="C16" s="49" t="str">
        <x:v>Service sets</x:v>
      </x:c>
      <x:c r="D16" s="49" t="str">
        <x:v>Control cells</x:v>
      </x:c>
      <x:c r="E16" s="49" t="str">
        <x:v>Rights zones</x:v>
      </x:c>
      <x:c r="F16" s="49" t="str">
        <x:v>Residual paths</x:v>
      </x:c>
      <x:c r="G16" s="50" t="str">
        <x:v>Cold-build objects</x:v>
      </x:c>
      <x:c r="H16" s="39"/>
      <x:c r="I16" s="39"/>
      <x:c r="J16" s="39"/>
      <x:c r="K16" s="39"/>
      <x:c r="L16" s="39"/>
      <x:c r="M16" s="39"/>
      <x:c r="N16" s="39"/>
    </x:row>
    <x:row r="17">
      <x:c r="A17" s="51" t="str">
        <x:v>ET-A-A</x:v>
      </x:c>
      <x:c r="B17" s="52" t="n">
        <x:v>2</x:v>
      </x:c>
      <x:c r="C17" s="52" t="n">
        <x:v>2</x:v>
      </x:c>
      <x:c r="D17" s="52" t="n">
        <x:v>2</x:v>
      </x:c>
      <x:c r="E17" s="52" t="n">
        <x:v>6</x:v>
      </x:c>
      <x:c r="F17" s="52" t="n">
        <x:v>6</x:v>
      </x:c>
      <x:c r="G17" s="45" t="n">
        <x:v>2</x:v>
      </x:c>
      <x:c r="H17" s="39"/>
      <x:c r="I17" s="39"/>
      <x:c r="J17" s="39"/>
      <x:c r="K17" s="39"/>
      <x:c r="L17" s="39"/>
      <x:c r="M17" s="39"/>
      <x:c r="N17" s="39"/>
    </x:row>
    <x:row r="18">
      <x:c r="A18" s="51" t="str">
        <x:v>CT-C-B</x:v>
      </x:c>
      <x:c r="B18" s="52" t="n">
        <x:v>5</x:v>
      </x:c>
      <x:c r="C18" s="52" t="n">
        <x:v>5</x:v>
      </x:c>
      <x:c r="D18" s="52" t="n">
        <x:v>5</x:v>
      </x:c>
      <x:c r="E18" s="52" t="n">
        <x:v>5</x:v>
      </x:c>
      <x:c r="F18" s="52" t="n">
        <x:v>5</x:v>
      </x:c>
      <x:c r="G18" s="45" t="n">
        <x:v>5</x:v>
      </x:c>
      <x:c r="H18" s="39"/>
      <x:c r="I18" s="39"/>
      <x:c r="J18" s="39"/>
      <x:c r="K18" s="39"/>
      <x:c r="L18" s="39"/>
      <x:c r="M18" s="39"/>
      <x:c r="N18" s="39"/>
    </x:row>
    <x:row r="19">
      <x:c r="A19" s="51" t="str">
        <x:v>HC-A-C</x:v>
      </x:c>
      <x:c r="B19" s="52" t="n">
        <x:v>5</x:v>
      </x:c>
      <x:c r="C19" s="52" t="n">
        <x:v>5</x:v>
      </x:c>
      <x:c r="D19" s="52" t="n">
        <x:v>5</x:v>
      </x:c>
      <x:c r="E19" s="52" t="n">
        <x:v>5</x:v>
      </x:c>
      <x:c r="F19" s="52" t="n">
        <x:v>5</x:v>
      </x:c>
      <x:c r="G19" s="45" t="n">
        <x:v>5</x:v>
      </x:c>
      <x:c r="H19" s="39"/>
      <x:c r="I19" s="39"/>
      <x:c r="J19" s="39"/>
      <x:c r="K19" s="39"/>
      <x:c r="L19" s="39"/>
      <x:c r="M19" s="39"/>
      <x:c r="N19" s="39"/>
    </x:row>
    <x:row r="20">
      <x:c r="A20" s="51" t="str">
        <x:v>LF-B-A</x:v>
      </x:c>
      <x:c r="B20" s="52" t="n">
        <x:v>4</x:v>
      </x:c>
      <x:c r="C20" s="52" t="n">
        <x:v>4</x:v>
      </x:c>
      <x:c r="D20" s="52" t="n">
        <x:v>4</x:v>
      </x:c>
      <x:c r="E20" s="52" t="n">
        <x:v>4</x:v>
      </x:c>
      <x:c r="F20" s="52" t="n">
        <x:v>3</x:v>
      </x:c>
      <x:c r="G20" s="45" t="n">
        <x:v>4</x:v>
      </x:c>
      <x:c r="H20" s="39"/>
      <x:c r="I20" s="39"/>
      <x:c r="J20" s="39"/>
      <x:c r="K20" s="39"/>
      <x:c r="L20" s="39"/>
      <x:c r="M20" s="39"/>
      <x:c r="N20" s="39"/>
    </x:row>
    <x:row r="21">
      <x:c r="A21" s="51" t="str">
        <x:v>HU-A-B</x:v>
      </x:c>
      <x:c r="B21" s="52" t="n">
        <x:v>8</x:v>
      </x:c>
      <x:c r="C21" s="52" t="n">
        <x:v>10</x:v>
      </x:c>
      <x:c r="D21" s="52" t="n">
        <x:v>8</x:v>
      </x:c>
      <x:c r="E21" s="52" t="n">
        <x:v>8</x:v>
      </x:c>
      <x:c r="F21" s="52" t="n">
        <x:v>8</x:v>
      </x:c>
      <x:c r="G21" s="45" t="n">
        <x:v>8</x:v>
      </x:c>
      <x:c r="H21" s="39"/>
      <x:c r="I21" s="39"/>
      <x:c r="J21" s="39"/>
      <x:c r="K21" s="39"/>
      <x:c r="L21" s="39"/>
      <x:c r="M21" s="39"/>
      <x:c r="N21" s="39"/>
    </x:row>
    <x:row r="22">
      <x:c r="A22" s="53" t="str">
        <x:v>RT-B-C</x:v>
      </x:c>
      <x:c r="B22" s="54" t="n">
        <x:v>5</x:v>
      </x:c>
      <x:c r="C22" s="54" t="n">
        <x:v>5</x:v>
      </x:c>
      <x:c r="D22" s="54" t="n">
        <x:v>5</x:v>
      </x:c>
      <x:c r="E22" s="54" t="n">
        <x:v>5</x:v>
      </x:c>
      <x:c r="F22" s="54" t="n">
        <x:v>5</x:v>
      </x:c>
      <x:c r="G22" s="47" t="n">
        <x:v>5</x:v>
      </x:c>
      <x:c r="H22" s="39"/>
      <x:c r="I22" s="39"/>
      <x:c r="J22" s="39"/>
      <x:c r="K22" s="39"/>
      <x:c r="L22" s="39"/>
      <x:c r="M22" s="39"/>
      <x:c r="N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</x:row>
    <x:row r="25">
      <x:c r="A25" s="55" t="str">
        <x:v>Finding</x:v>
      </x:c>
      <x:c r="B25" s="56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</x:row>
    <x:row r="26">
      <x:c r="A26" s="55" t="str">
        <x:v>Topology result</x:v>
      </x:c>
      <x:c r="B26" s="56" t="str">
        <x:v>Three uprates can stay inside the inherited topology. ET-A-A, LF-B-A and HU-A-B cannot: each contains a common physical dependency that defeats the fatal-cut world.</x:v>
      </x:c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</x:row>
    <x:row r="27">
      <x:c r="A27" s="55" t="str">
        <x:v>Authority result</x:v>
      </x:c>
      <x:c r="B27" s="56" t="str">
        <x:v>All 144 integration gates are specified, but none is observed. The architecture defines what must be built and destroyed; it creates no evidence, production or rendering authority.</x:v>
      </x:c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</x:row>
  </x:sheetData>
  <x:pageMargins left="0.7" right="0.7" top="0.75" bottom="0.75" header="0.3" footer="0.3"/>
  <x:drawing xmlns:r="http://schemas.openxmlformats.org/officeDocument/2006/relationships" r:id="Ree17924c2440478b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9" hidden="0" customWidth="1"/>
    <x:col min="3" max="3" width="28" hidden="0" customWidth="1"/>
    <x:col min="4" max="4" width="18" hidden="0" customWidth="1"/>
    <x:col min="5" max="5" width="30" hidden="0" customWidth="1"/>
    <x:col min="6" max="6" width="38" hidden="0" customWidth="1"/>
    <x:col min="7" max="7" width="62" hidden="0" customWidth="1"/>
    <x:col min="8" max="8" width="62" hidden="0" customWidth="1"/>
    <x:col min="9" max="9" width="26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</x:cols>
  <x:sheetData>
    <x:row r="1">
      <x:c r="A1" s="39"/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</x:row>
    <x:row r="2">
      <x:c r="A2" s="75" t="str">
        <x:v>Six physical integration dispositions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</x:row>
    <x:row r="6">
      <x:c r="A6" s="39" t="str">
        <x:v>Form</x:v>
      </x:c>
      <x:c r="B6" s="39" t="str">
        <x:v>Root</x:v>
      </x:c>
      <x:c r="C6" s="39" t="str">
        <x:v>Prior form</x:v>
      </x:c>
      <x:c r="D6" s="39" t="str">
        <x:v>Decision</x:v>
      </x:c>
      <x:c r="E6" s="39" t="str">
        <x:v>Controlling configuration</x:v>
      </x:c>
      <x:c r="F6" s="39" t="str">
        <x:v>Reason</x:v>
      </x:c>
      <x:c r="G6" s="39" t="str">
        <x:v>Physical constitution</x:v>
      </x:c>
      <x:c r="H6" s="39" t="str">
        <x:v>Fatal-keystone event</x:v>
      </x:c>
      <x:c r="I6" s="39" t="str">
        <x:v>Governing uprate</x:v>
      </x:c>
      <x:c r="J6" s="39" t="str">
        <x:v>Structural sets</x:v>
      </x:c>
      <x:c r="K6" s="39" t="str">
        <x:v>Service sets</x:v>
      </x:c>
      <x:c r="L6" s="39" t="str">
        <x:v>Control cells</x:v>
      </x:c>
      <x:c r="M6" s="39" t="str">
        <x:v>Rights zones</x:v>
      </x:c>
      <x:c r="N6" s="39" t="str">
        <x:v>Residual paths</x:v>
      </x:c>
      <x:c r="O6" s="39" t="str">
        <x:v>Cold-build objects</x:v>
      </x:c>
    </x:row>
    <x:row r="7">
      <x:c r="A7" s="39" t="str">
        <x:v>ET-A-A</x:v>
      </x:c>
      <x:c r="B7" s="39" t="str">
        <x:v>ET-A</x:v>
      </x:c>
      <x:c r="C7" s="56" t="str">
        <x:v>Distributed twin-body exchange</x:v>
      </x:c>
      <x:c r="D7" s="56" t="str">
        <x:v>REVISE TOPOLOGY</x:v>
      </x:c>
      <x:c r="E7" s="56" t="str">
        <x:v>Paired sovereign exchange hulls</x:v>
      </x:c>
      <x:c r="F7" s="56" t="str">
        <x:v>The inherited single shore transition could couple both complete exchange paths.</x:v>
      </x:c>
      <x:c r="G7" s="56" t="str">
        <x:v>Two complete hull-to-shore trains. Each hull owns its six-axis saddle, wet-dry train, custody ledger, refuge, heat rejection and amphibious shore path.</x:v>
      </x:c>
      <x:c r="H7" s="56" t="str">
        <x:v>Disable one hull, saddle and shore path at peak relative motion; the other train retains at least 247 t/h without tow, power or control credit.</x:v>
      </x:c>
      <x:c r="I7" s="56" t="str">
        <x:v>247 t/h per surviving exchange path</x:v>
      </x:c>
      <x:c r="J7" s="39" t="n">
        <x:v>2</x:v>
      </x:c>
      <x:c r="K7" s="39" t="n">
        <x:v>2</x:v>
      </x:c>
      <x:c r="L7" s="39" t="n">
        <x:v>2</x:v>
      </x:c>
      <x:c r="M7" s="39" t="n">
        <x:v>6</x:v>
      </x:c>
      <x:c r="N7" s="39" t="n">
        <x:v>6</x:v>
      </x:c>
      <x:c r="O7" s="39" t="n">
        <x:v>2</x:v>
      </x:c>
    </x:row>
    <x:row r="8">
      <x:c r="A8" s="39" t="str">
        <x:v>CT-C-B</x:v>
      </x:c>
      <x:c r="B8" s="39" t="str">
        <x:v>CT-C</x:v>
      </x:c>
      <x:c r="C8" s="56" t="str">
        <x:v>Sectional suspended utility belt</x:v>
      </x:c>
      <x:c r="D8" s="56" t="str">
        <x:v>RETAIN TOPOLOGY</x:v>
      </x:c>
      <x:c r="E8" s="56" t="str">
        <x:v>Segmented arrested utility belt</x:v>
      </x:c>
      <x:c r="F8" s="56" t="str">
        <x:v>Five anchor zones and five complete trunks already expose the decisive cut if arrest and guillotines are cell-local.</x:v>
      </x:c>
      <x:c r="G8" s="56" t="str">
        <x:v>Five structurally arrested façade zones. Each zone has reversible attachments, a complete mixed-utility trunk, local lowering capture and exterior egress.</x:v>
      </x:c>
      <x:c r="H8" s="56" t="str">
        <x:v>Release one anchor zone and fault its mixed trunk; adjacent arrestors stop progressive peel while occupied zones retain utility and egress.</x:v>
      </x:c>
      <x:c r="I8" s="56" t="str">
        <x:v>7.36 MW per isolated generation cell</x:v>
      </x:c>
      <x:c r="J8" s="39" t="n">
        <x:v>5</x:v>
      </x:c>
      <x:c r="K8" s="39" t="n">
        <x:v>5</x:v>
      </x:c>
      <x:c r="L8" s="39" t="n">
        <x:v>5</x:v>
      </x:c>
      <x:c r="M8" s="39" t="n">
        <x:v>5</x:v>
      </x:c>
      <x:c r="N8" s="39" t="n">
        <x:v>5</x:v>
      </x:c>
      <x:c r="O8" s="39" t="n">
        <x:v>5</x:v>
      </x:c>
    </x:row>
    <x:row r="9">
      <x:c r="A9" s="39" t="str">
        <x:v>HC-A-C</x:v>
      </x:c>
      <x:c r="B9" s="39" t="str">
        <x:v>HC-A</x:v>
      </x:c>
      <x:c r="C9" s="56" t="str">
        <x:v>Distributed rotorborne cells</x:v>
      </x:c>
      <x:c r="D9" s="56" t="str">
        <x:v>RETAIN TOPOLOGY</x:v>
      </x:c>
      <x:c r="E9" s="56" t="str">
        <x:v>Mesh-independent rotor sectors</x:v>
      </x:c>
      <x:c r="F9" s="56" t="str">
        <x:v>Five rotor cells already own separate sectors; the missing work is thermal, refill and attribution independence rather than rearrangement.</x:v>
      </x:c>
      <x:c r="G9" s="56" t="str">
        <x:v>Five locally commanded rotor sectors with passive time-space deconfliction, two hot-zone exchange lanes per sector and independent protected-edge sensing.</x:v>
      </x:c>
      <x:c r="H9" s="56" t="str">
        <x:v>Deny the mesh and safe one cell inside the plume; four sectors each retain at least 27.1 km/day without shared cooling, navigation or refill.</x:v>
      </x:c>
      <x:c r="I9" s="56" t="str">
        <x:v>27.1 km/day per surviving sector</x:v>
      </x:c>
      <x:c r="J9" s="39" t="n">
        <x:v>5</x:v>
      </x:c>
      <x:c r="K9" s="39" t="n">
        <x:v>5</x:v>
      </x:c>
      <x:c r="L9" s="39" t="n">
        <x:v>5</x:v>
      </x:c>
      <x:c r="M9" s="39" t="n">
        <x:v>5</x:v>
      </x:c>
      <x:c r="N9" s="39" t="n">
        <x:v>5</x:v>
      </x:c>
      <x:c r="O9" s="39" t="n">
        <x:v>5</x:v>
      </x:c>
    </x:row>
    <x:row r="10">
      <x:c r="A10" s="39" t="str">
        <x:v>LF-B-A</x:v>
      </x:c>
      <x:c r="B10" s="39" t="str">
        <x:v>LF-B</x:v>
      </x:c>
      <x:c r="C10" s="56" t="str">
        <x:v>Cellular radial multi-bore field</x:v>
      </x:c>
      <x:c r="D10" s="56" t="str">
        <x:v>REVISE TOPOLOGY</x:v>
      </x:c>
      <x:c r="E10" s="56" t="str">
        <x:v>Headerless four-island geothermal field</x:v>
      </x:c>
      <x:c r="F10" s="56" t="str">
        <x:v>The radial active header remained a pressure, chemistry and custody keystone across nominally isolated bores.</x:v>
      </x:c>
      <x:c r="G10" s="56" t="str">
        <x:v>Four complete conversion islands each own bore pairs, heat rejection and brine isolation. Three passive product buffers feed two separated delivery paths without an active common header.</x:v>
      </x:c>
      <x:c r="H10" s="56" t="str">
        <x:v>Rupture one island boundary and deny its bore pair; three islands and two injection paths close mass, enthalpy and chemistry without header substitution.</x:v>
      </x:c>
      <x:c r="I10" s="56" t="str">
        <x:v>4.08 kt per surviving access slot</x:v>
      </x:c>
      <x:c r="J10" s="39" t="n">
        <x:v>4</x:v>
      </x:c>
      <x:c r="K10" s="39" t="n">
        <x:v>4</x:v>
      </x:c>
      <x:c r="L10" s="39" t="n">
        <x:v>4</x:v>
      </x:c>
      <x:c r="M10" s="39" t="n">
        <x:v>4</x:v>
      </x:c>
      <x:c r="N10" s="39" t="n">
        <x:v>3</x:v>
      </x:c>
      <x:c r="O10" s="39" t="n">
        <x:v>4</x:v>
      </x:c>
    </x:row>
    <x:row r="11">
      <x:c r="A11" s="39" t="str">
        <x:v>HU-A-B</x:v>
      </x:c>
      <x:c r="B11" s="39" t="str">
        <x:v>HU-A</x:v>
      </x:c>
      <x:c r="C11" s="56" t="str">
        <x:v>Sectional bypassed care spine</x:v>
      </x:c>
      <x:c r="D11" s="56" t="str">
        <x:v>REVISE TOPOLOGY</x:v>
      </x:c>
      <x:c r="E11" s="56" t="str">
        <x:v>Counter-rotating clinical circulation lattice</x:v>
      </x:c>
      <x:c r="F11" s="56" t="str">
        <x:v>A spine plus bypass still lets one clinical cut defeat both patient movement and clean-dirty separation.</x:v>
      </x:c>
      <x:c r="G11" s="56" t="str">
        <x:v>Eight care districts sit between two opposed clean and dirty circulation loops. Local transfer crossbars keep patients in place while services reroute around one section.</x:v>
      </x:c>
      <x:c r="H11" s="56" t="str">
        <x:v>Block one loop section and its nearest crossbar during full census; all ten care lines retain clinical, sterile, thermal and relationship continuity.</x:v>
      </x:c>
      <x:c r="I11" s="56" t="str">
        <x:v>7.51 kt per surviving access cell</x:v>
      </x:c>
      <x:c r="J11" s="39" t="n">
        <x:v>8</x:v>
      </x:c>
      <x:c r="K11" s="39" t="n">
        <x:v>10</x:v>
      </x:c>
      <x:c r="L11" s="39" t="n">
        <x:v>8</x:v>
      </x:c>
      <x:c r="M11" s="39" t="n">
        <x:v>8</x:v>
      </x:c>
      <x:c r="N11" s="39" t="n">
        <x:v>8</x:v>
      </x:c>
      <x:c r="O11" s="39" t="n">
        <x:v>8</x:v>
      </x:c>
    </x:row>
    <x:row r="12">
      <x:c r="A12" s="39" t="str">
        <x:v>RT-B-C</x:v>
      </x:c>
      <x:c r="B12" s="39" t="str">
        <x:v>RT-B</x:v>
      </x:c>
      <x:c r="C12" s="56" t="str">
        <x:v>Parallel mobile microfactory trainlets</x:v>
      </x:c>
      <x:c r="D12" s="56" t="str">
        <x:v>RETAIN TOPOLOGY</x:v>
      </x:c>
      <x:c r="E12" s="56" t="str">
        <x:v>Ancestry-complete mobile trainlets</x:v>
      </x:c>
      <x:c r="F12" s="56" t="str">
        <x:v>Five complete trainlets already remove the machine-shop keystone if energy, metrology, cooling and release remain trainlet-local.</x:v>
      </x:c>
      <x:c r="G12" s="56" t="str">
        <x:v>Five road-mobile dirty-return-to-signed-release trainlets. Each owns process energy, heat rejection, field standards, quarantine and material ancestry.</x:v>
      </x:c>
      <x:c r="H12" s="56" t="str">
        <x:v>Isolate one trainlet and its largest energy cell; four trainlets preserve qualified release without shared heat sink, vendor key or calibration service.</x:v>
      </x:c>
      <x:c r="I12" s="56" t="str">
        <x:v>27.2 MW per isolated process-energy cell</x:v>
      </x:c>
      <x:c r="J12" s="39" t="n">
        <x:v>5</x:v>
      </x:c>
      <x:c r="K12" s="39" t="n">
        <x:v>5</x:v>
      </x:c>
      <x:c r="L12" s="39" t="n">
        <x:v>5</x:v>
      </x:c>
      <x:c r="M12" s="39" t="n">
        <x:v>5</x:v>
      </x:c>
      <x:c r="N12" s="39" t="n">
        <x:v>5</x:v>
      </x:c>
      <x:c r="O12" s="39" t="n">
        <x:v>5</x:v>
      </x:c>
    </x:row>
  </x:sheetData>
  <x:conditionalFormatting sqref="D7:D12">
    <x:cfRule type="containsText" dxfId="0" priority="1" operator="containsText" text="REDESIGN"/>
    <x:cfRule type="containsText" dxfId="1" priority="2" operator="containsText" text="SPECIFIED"/>
    <x:cfRule type="containsText" dxfId="2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559fd14836254f6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0" hidden="0" customWidth="1"/>
    <x:col min="2" max="2" width="12" hidden="0" customWidth="1"/>
    <x:col min="3" max="3" width="20" hidden="0" customWidth="1"/>
    <x:col min="4" max="4" width="18" hidden="0" customWidth="1"/>
    <x:col min="5" max="5" width="62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24" hidden="0" customWidth="1"/>
  </x:cols>
  <x:sheetData>
    <x:row r="1">
      <x:c r="A1" s="39"/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</x:row>
    <x:row r="2">
      <x:c r="A2" s="75" t="str">
        <x:v>Four-world physical integration matrix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</x:row>
    <x:row r="6">
      <x:c r="A6" s="39" t="str">
        <x:v>Gate</x:v>
      </x:c>
      <x:c r="B6" s="39" t="str">
        <x:v>Form</x:v>
      </x:c>
      <x:c r="C6" s="39" t="str">
        <x:v>World</x:v>
      </x:c>
      <x:c r="D6" s="39" t="str">
        <x:v>Domain</x:v>
      </x:c>
      <x:c r="E6" s="39" t="str">
        <x:v>Specified physical object</x:v>
      </x:c>
      <x:c r="F6" s="39" t="str">
        <x:v>Required independent sets</x:v>
      </x:c>
      <x:c r="G6" s="39" t="str">
        <x:v>Specified independent sets</x:v>
      </x:c>
      <x:c r="H6" s="39" t="str">
        <x:v>Active common keystones</x:v>
      </x:c>
      <x:c r="I6" s="39" t="str">
        <x:v>Local termination</x:v>
      </x:c>
      <x:c r="J6" s="39" t="str">
        <x:v>Rights route</x:v>
      </x:c>
      <x:c r="K6" s="39" t="str">
        <x:v>Residual route</x:v>
      </x:c>
      <x:c r="L6" s="39" t="str">
        <x:v>Public rebuild route</x:v>
      </x:c>
      <x:c r="M6" s="39" t="str">
        <x:v>Design state</x:v>
      </x:c>
    </x:row>
    <x:row r="7">
      <x:c r="A7" s="39" t="str">
        <x:v>ET-A-A-NO-GEOMETRY</x:v>
      </x:c>
      <x:c r="B7" s="39" t="str">
        <x:v>ET-A-A</x:v>
      </x:c>
      <x:c r="C7" s="39" t="str">
        <x:v>Nominal</x:v>
      </x:c>
      <x:c r="D7" s="39" t="str">
        <x:v>Geometry</x:v>
      </x:c>
      <x:c r="E7" s="56" t="str">
        <x:v>Two complete hull-to-shore trains. Each hull owns its six-axis saddle, wet-dry train, custody ledger, refuge, heat rejection and amphibious shore path.</x:v>
      </x:c>
      <x:c r="F7" s="39" t="n">
        <x:v>2</x:v>
      </x:c>
      <x:c r="G7" s="39" t="n">
        <x:v>2</x:v>
      </x:c>
      <x:c r="H7" s="39" t="n">
        <x:v>0</x:v>
      </x:c>
      <x:c r="I7" s="39" t="n">
        <x:v>1</x:v>
      </x:c>
      <x:c r="J7" s="39" t="n">
        <x:v>1</x:v>
      </x:c>
      <x:c r="K7" s="39" t="n">
        <x:v>1</x:v>
      </x:c>
      <x:c r="L7" s="39" t="n">
        <x:v>1</x:v>
      </x:c>
      <x:c r="M7" s="39" t="str">
        <x:f>IF(AND(G7&gt;=F7,H7=0,I7=1,J7=1,K7=1,L7=1),"SPECIFIED / UNOBSERVED","REDESIGN")</x:f>
        <x:v>SPECIFIED / UNOBSERVED</x:v>
      </x:c>
    </x:row>
    <x:row r="8">
      <x:c r="A8" s="39" t="str">
        <x:v>ET-A-A-NO-LOAD-PAT</x:v>
      </x:c>
      <x:c r="B8" s="39" t="str">
        <x:v>ET-A-A</x:v>
      </x:c>
      <x:c r="C8" s="39" t="str">
        <x:v>Nominal</x:v>
      </x:c>
      <x:c r="D8" s="39" t="str">
        <x:v>Load path</x:v>
      </x:c>
      <x:c r="E8" s="56" t="str">
        <x:v>Complete 2-path service chain with no active common transfer junction</x:v>
      </x:c>
      <x:c r="F8" s="39" t="n">
        <x:v>2</x:v>
      </x:c>
      <x:c r="G8" s="39" t="n">
        <x:v>2</x:v>
      </x:c>
      <x:c r="H8" s="39" t="n">
        <x:v>0</x:v>
      </x:c>
      <x:c r="I8" s="39" t="n">
        <x:v>1</x:v>
      </x:c>
      <x:c r="J8" s="39" t="n">
        <x:v>1</x:v>
      </x:c>
      <x:c r="K8" s="39" t="n">
        <x:v>1</x:v>
      </x:c>
      <x:c r="L8" s="39" t="n">
        <x:v>1</x:v>
      </x:c>
      <x:c r="M8" s="39" t="str">
        <x:f>IF(AND(G8&gt;=F8,H8=0,I8=1,J8=1,K8=1,L8=1),"SPECIFIED / UNOBSERVED","REDESIGN")</x:f>
        <x:v>SPECIFIED / UNOBSERVED</x:v>
      </x:c>
    </x:row>
    <x:row r="9">
      <x:c r="A9" s="39" t="str">
        <x:v>ET-A-A-NO-CONTROL</x:v>
      </x:c>
      <x:c r="B9" s="39" t="str">
        <x:v>ET-A-A</x:v>
      </x:c>
      <x:c r="C9" s="39" t="str">
        <x:v>Nominal</x:v>
      </x:c>
      <x:c r="D9" s="39" t="str">
        <x:v>Control</x:v>
      </x:c>
      <x:c r="E9" s="56" t="str">
        <x:v>2 local controllers; only passive status crosses the isolation seam</x:v>
      </x:c>
      <x:c r="F9" s="39" t="n">
        <x:v>2</x:v>
      </x:c>
      <x:c r="G9" s="39" t="n">
        <x:v>2</x:v>
      </x:c>
      <x:c r="H9" s="39" t="n">
        <x:v>0</x:v>
      </x:c>
      <x:c r="I9" s="39" t="n">
        <x:v>1</x:v>
      </x:c>
      <x:c r="J9" s="39" t="n">
        <x:v>1</x:v>
      </x:c>
      <x:c r="K9" s="39" t="n">
        <x:v>1</x:v>
      </x:c>
      <x:c r="L9" s="39" t="n">
        <x:v>1</x:v>
      </x:c>
      <x:c r="M9" s="39" t="str">
        <x:f>IF(AND(G9&gt;=F9,H9=0,I9=1,J9=1,K9=1,L9=1),"SPECIFIED / UNOBSERVED","REDESIGN")</x:f>
        <x:v>SPECIFIED / UNOBSERVED</x:v>
      </x:c>
    </x:row>
    <x:row r="10">
      <x:c r="A10" s="39" t="str">
        <x:v>ET-A-A-NO-CIVIL-RI</x:v>
      </x:c>
      <x:c r="B10" s="39" t="str">
        <x:v>ET-A-A</x:v>
      </x:c>
      <x:c r="C10" s="39" t="str">
        <x:v>Nominal</x:v>
      </x:c>
      <x:c r="D10" s="39" t="str">
        <x:v>Civil rights</x:v>
      </x:c>
      <x:c r="E10" s="56" t="str">
        <x:v>6 physically reachable notice, service, egress and remedy zones</x:v>
      </x:c>
      <x:c r="F10" s="39" t="n">
        <x:v>6</x:v>
      </x:c>
      <x:c r="G10" s="39" t="n">
        <x:v>6</x:v>
      </x:c>
      <x:c r="H10" s="39" t="n">
        <x:v>0</x:v>
      </x:c>
      <x:c r="I10" s="39" t="n">
        <x:v>1</x:v>
      </x:c>
      <x:c r="J10" s="39" t="n">
        <x:v>1</x:v>
      </x:c>
      <x:c r="K10" s="39" t="n">
        <x:v>1</x:v>
      </x:c>
      <x:c r="L10" s="39" t="n">
        <x:v>1</x:v>
      </x:c>
      <x:c r="M10" s="39" t="str">
        <x:f>IF(AND(G10&gt;=F10,H10=0,I10=1,J10=1,K10=1,L10=1),"SPECIFIED / UNOBSERVED","REDESIGN")</x:f>
        <x:v>SPECIFIED / UNOBSERVED</x:v>
      </x:c>
    </x:row>
    <x:row r="11">
      <x:c r="A11" s="39" t="str">
        <x:v>ET-A-A-NO-RESIDUAL</x:v>
      </x:c>
      <x:c r="B11" s="39" t="str">
        <x:v>ET-A-A</x:v>
      </x:c>
      <x:c r="C11" s="39" t="str">
        <x:v>Nominal</x:v>
      </x:c>
      <x:c r="D11" s="39" t="str">
        <x:v>Residual custody</x:v>
      </x:c>
      <x:c r="E11" s="56" t="str">
        <x:v>6 measured retain, quarantine, treatment and release paths</x:v>
      </x:c>
      <x:c r="F11" s="39" t="n">
        <x:v>6</x:v>
      </x:c>
      <x:c r="G11" s="39" t="n">
        <x:v>6</x:v>
      </x:c>
      <x:c r="H11" s="39" t="n">
        <x:v>0</x:v>
      </x:c>
      <x:c r="I11" s="39" t="n">
        <x:v>1</x:v>
      </x:c>
      <x:c r="J11" s="39" t="n">
        <x:v>1</x:v>
      </x:c>
      <x:c r="K11" s="39" t="n">
        <x:v>1</x:v>
      </x:c>
      <x:c r="L11" s="39" t="n">
        <x:v>1</x:v>
      </x:c>
      <x:c r="M11" s="39" t="str">
        <x:f>IF(AND(G11&gt;=F11,H11=0,I11=1,J11=1,K11=1,L11=1),"SPECIFIED / UNOBSERVED","REDESIGN")</x:f>
        <x:v>SPECIFIED / UNOBSERVED</x:v>
      </x:c>
    </x:row>
    <x:row r="12">
      <x:c r="A12" s="39" t="str">
        <x:v>ET-A-A-NO-SAFE-STA</x:v>
      </x:c>
      <x:c r="B12" s="39" t="str">
        <x:v>ET-A-A</x:v>
      </x:c>
      <x:c r="C12" s="39" t="str">
        <x:v>Nominal</x:v>
      </x:c>
      <x:c r="D12" s="39" t="str">
        <x:v>Safe state</x:v>
      </x:c>
      <x:c r="E12" s="56" t="str">
        <x:v>Local isolate, depressurize or de-energize, refuge, manual stop and lawful disposition</x:v>
      </x:c>
      <x:c r="F12" s="39" t="n">
        <x:v>2</x:v>
      </x:c>
      <x:c r="G12" s="39" t="n">
        <x:v>2</x:v>
      </x:c>
      <x:c r="H12" s="39" t="n">
        <x:v>0</x:v>
      </x:c>
      <x:c r="I12" s="39" t="n">
        <x:v>1</x:v>
      </x:c>
      <x:c r="J12" s="39" t="n">
        <x:v>1</x:v>
      </x:c>
      <x:c r="K12" s="39" t="n">
        <x:v>1</x:v>
      </x:c>
      <x:c r="L12" s="39" t="n">
        <x:v>1</x:v>
      </x:c>
      <x:c r="M12" s="39" t="str">
        <x:f>IF(AND(G12&gt;=F12,H12=0,I12=1,J12=1,K12=1,L12=1),"SPECIFIED / UNOBSERVED","REDESIGN")</x:f>
        <x:v>SPECIFIED / UNOBSERVED</x:v>
      </x:c>
    </x:row>
    <x:row r="13">
      <x:c r="A13" s="39" t="str">
        <x:v>ET-A-A-LA-GEOMETRY</x:v>
      </x:c>
      <x:c r="B13" s="39" t="str">
        <x:v>ET-A-A</x:v>
      </x:c>
      <x:c r="C13" s="39" t="str">
        <x:v>Largest-cell loss</x:v>
      </x:c>
      <x:c r="D13" s="39" t="str">
        <x:v>Geometry</x:v>
      </x:c>
      <x:c r="E13" s="56" t="str">
        <x:v>Two complete hull-to-shore trains. Each hull owns its six-axis saddle, wet-dry train, custody ledger, refuge, heat rejection and amphibious shore path.</x:v>
      </x:c>
      <x:c r="F13" s="39" t="n">
        <x:v>1</x:v>
      </x:c>
      <x:c r="G13" s="39" t="n">
        <x:v>1</x:v>
      </x:c>
      <x:c r="H13" s="39" t="n">
        <x:v>0</x:v>
      </x:c>
      <x:c r="I13" s="39" t="n">
        <x:v>1</x:v>
      </x:c>
      <x:c r="J13" s="39" t="n">
        <x:v>1</x:v>
      </x:c>
      <x:c r="K13" s="39" t="n">
        <x:v>1</x:v>
      </x:c>
      <x:c r="L13" s="39" t="n">
        <x:v>1</x:v>
      </x:c>
      <x:c r="M13" s="39" t="str">
        <x:f>IF(AND(G13&gt;=F13,H13=0,I13=1,J13=1,K13=1,L13=1),"SPECIFIED / UNOBSERVED","REDESIGN")</x:f>
        <x:v>SPECIFIED / UNOBSERVED</x:v>
      </x:c>
    </x:row>
    <x:row r="14">
      <x:c r="A14" s="39" t="str">
        <x:v>ET-A-A-LA-LOAD-PAT</x:v>
      </x:c>
      <x:c r="B14" s="39" t="str">
        <x:v>ET-A-A</x:v>
      </x:c>
      <x:c r="C14" s="39" t="str">
        <x:v>Largest-cell loss</x:v>
      </x:c>
      <x:c r="D14" s="39" t="str">
        <x:v>Load path</x:v>
      </x:c>
      <x:c r="E14" s="56" t="str">
        <x:v>Complete 2-path service chain with no active common transfer junction</x:v>
      </x:c>
      <x:c r="F14" s="39" t="n">
        <x:v>1</x:v>
      </x:c>
      <x:c r="G14" s="39" t="n">
        <x:v>1</x:v>
      </x:c>
      <x:c r="H14" s="39" t="n">
        <x:v>0</x:v>
      </x:c>
      <x:c r="I14" s="39" t="n">
        <x:v>1</x:v>
      </x:c>
      <x:c r="J14" s="39" t="n">
        <x:v>1</x:v>
      </x:c>
      <x:c r="K14" s="39" t="n">
        <x:v>1</x:v>
      </x:c>
      <x:c r="L14" s="39" t="n">
        <x:v>1</x:v>
      </x:c>
      <x:c r="M14" s="39" t="str">
        <x:f>IF(AND(G14&gt;=F14,H14=0,I14=1,J14=1,K14=1,L14=1),"SPECIFIED / UNOBSERVED","REDESIGN")</x:f>
        <x:v>SPECIFIED / UNOBSERVED</x:v>
      </x:c>
    </x:row>
    <x:row r="15">
      <x:c r="A15" s="39" t="str">
        <x:v>ET-A-A-LA-CONTROL</x:v>
      </x:c>
      <x:c r="B15" s="39" t="str">
        <x:v>ET-A-A</x:v>
      </x:c>
      <x:c r="C15" s="39" t="str">
        <x:v>Largest-cell loss</x:v>
      </x:c>
      <x:c r="D15" s="39" t="str">
        <x:v>Control</x:v>
      </x:c>
      <x:c r="E15" s="56" t="str">
        <x:v>2 local controllers; only passive status crosses the isolation seam</x:v>
      </x:c>
      <x:c r="F15" s="39" t="n">
        <x:v>1</x:v>
      </x:c>
      <x:c r="G15" s="39" t="n">
        <x:v>1</x:v>
      </x:c>
      <x:c r="H15" s="39" t="n">
        <x:v>0</x:v>
      </x:c>
      <x:c r="I15" s="39" t="n">
        <x:v>1</x:v>
      </x:c>
      <x:c r="J15" s="39" t="n">
        <x:v>1</x:v>
      </x:c>
      <x:c r="K15" s="39" t="n">
        <x:v>1</x:v>
      </x:c>
      <x:c r="L15" s="39" t="n">
        <x:v>1</x:v>
      </x:c>
      <x:c r="M15" s="39" t="str">
        <x:f>IF(AND(G15&gt;=F15,H15=0,I15=1,J15=1,K15=1,L15=1),"SPECIFIED / UNOBSERVED","REDESIGN")</x:f>
        <x:v>SPECIFIED / UNOBSERVED</x:v>
      </x:c>
    </x:row>
    <x:row r="16">
      <x:c r="A16" s="39" t="str">
        <x:v>ET-A-A-LA-CIVIL-RI</x:v>
      </x:c>
      <x:c r="B16" s="39" t="str">
        <x:v>ET-A-A</x:v>
      </x:c>
      <x:c r="C16" s="39" t="str">
        <x:v>Largest-cell loss</x:v>
      </x:c>
      <x:c r="D16" s="39" t="str">
        <x:v>Civil rights</x:v>
      </x:c>
      <x:c r="E16" s="56" t="str">
        <x:v>6 physically reachable notice, service, egress and remedy zones</x:v>
      </x:c>
      <x:c r="F16" s="39" t="n">
        <x:v>5</x:v>
      </x:c>
      <x:c r="G16" s="39" t="n">
        <x:v>5</x:v>
      </x:c>
      <x:c r="H16" s="39" t="n">
        <x:v>0</x:v>
      </x:c>
      <x:c r="I16" s="39" t="n">
        <x:v>1</x:v>
      </x:c>
      <x:c r="J16" s="39" t="n">
        <x:v>1</x:v>
      </x:c>
      <x:c r="K16" s="39" t="n">
        <x:v>1</x:v>
      </x:c>
      <x:c r="L16" s="39" t="n">
        <x:v>1</x:v>
      </x:c>
      <x:c r="M16" s="39" t="str">
        <x:f>IF(AND(G16&gt;=F16,H16=0,I16=1,J16=1,K16=1,L16=1),"SPECIFIED / UNOBSERVED","REDESIGN")</x:f>
        <x:v>SPECIFIED / UNOBSERVED</x:v>
      </x:c>
    </x:row>
    <x:row r="17">
      <x:c r="A17" s="39" t="str">
        <x:v>ET-A-A-LA-RESIDUAL</x:v>
      </x:c>
      <x:c r="B17" s="39" t="str">
        <x:v>ET-A-A</x:v>
      </x:c>
      <x:c r="C17" s="39" t="str">
        <x:v>Largest-cell loss</x:v>
      </x:c>
      <x:c r="D17" s="39" t="str">
        <x:v>Residual custody</x:v>
      </x:c>
      <x:c r="E17" s="56" t="str">
        <x:v>6 measured retain, quarantine, treatment and release paths</x:v>
      </x:c>
      <x:c r="F17" s="39" t="n">
        <x:v>5</x:v>
      </x:c>
      <x:c r="G17" s="39" t="n">
        <x:v>5</x:v>
      </x:c>
      <x:c r="H17" s="39" t="n">
        <x:v>0</x:v>
      </x:c>
      <x:c r="I17" s="39" t="n">
        <x:v>1</x:v>
      </x:c>
      <x:c r="J17" s="39" t="n">
        <x:v>1</x:v>
      </x:c>
      <x:c r="K17" s="39" t="n">
        <x:v>1</x:v>
      </x:c>
      <x:c r="L17" s="39" t="n">
        <x:v>1</x:v>
      </x:c>
      <x:c r="M17" s="39" t="str">
        <x:f>IF(AND(G17&gt;=F17,H17=0,I17=1,J17=1,K17=1,L17=1),"SPECIFIED / UNOBSERVED","REDESIGN")</x:f>
        <x:v>SPECIFIED / UNOBSERVED</x:v>
      </x:c>
    </x:row>
    <x:row r="18">
      <x:c r="A18" s="39" t="str">
        <x:v>ET-A-A-LA-SAFE-STA</x:v>
      </x:c>
      <x:c r="B18" s="39" t="str">
        <x:v>ET-A-A</x:v>
      </x:c>
      <x:c r="C18" s="39" t="str">
        <x:v>Largest-cell loss</x:v>
      </x:c>
      <x:c r="D18" s="39" t="str">
        <x:v>Safe state</x:v>
      </x:c>
      <x:c r="E18" s="56" t="str">
        <x:v>Local isolate, depressurize or de-energize, refuge, manual stop and lawful disposition</x:v>
      </x:c>
      <x:c r="F18" s="39" t="n">
        <x:v>1</x:v>
      </x:c>
      <x:c r="G18" s="39" t="n">
        <x:v>1</x:v>
      </x:c>
      <x:c r="H18" s="39" t="n">
        <x:v>0</x:v>
      </x:c>
      <x:c r="I18" s="39" t="n">
        <x:v>1</x:v>
      </x:c>
      <x:c r="J18" s="39" t="n">
        <x:v>1</x:v>
      </x:c>
      <x:c r="K18" s="39" t="n">
        <x:v>1</x:v>
      </x:c>
      <x:c r="L18" s="39" t="n">
        <x:v>1</x:v>
      </x:c>
      <x:c r="M18" s="39" t="str">
        <x:f>IF(AND(G18&gt;=F18,H18=0,I18=1,J18=1,K18=1,L18=1),"SPECIFIED / UNOBSERVED","REDESIGN")</x:f>
        <x:v>SPECIFIED / UNOBSERVED</x:v>
      </x:c>
    </x:row>
    <x:row r="19">
      <x:c r="A19" s="39" t="str">
        <x:v>ET-A-A-FA-GEOMETRY</x:v>
      </x:c>
      <x:c r="B19" s="39" t="str">
        <x:v>ET-A-A</x:v>
      </x:c>
      <x:c r="C19" s="39" t="str">
        <x:v>Fatal-keystone</x:v>
      </x:c>
      <x:c r="D19" s="39" t="str">
        <x:v>Geometry</x:v>
      </x:c>
      <x:c r="E19" s="56" t="str">
        <x:v>Two complete hull-to-shore trains. Each hull owns its six-axis saddle, wet-dry train, custody ledger, refuge, heat rejection and amphibious shore path.</x:v>
      </x:c>
      <x:c r="F19" s="39" t="n">
        <x:v>1</x:v>
      </x:c>
      <x:c r="G19" s="39" t="n">
        <x:v>1</x:v>
      </x:c>
      <x:c r="H19" s="39" t="n">
        <x:v>0</x:v>
      </x:c>
      <x:c r="I19" s="39" t="n">
        <x:v>1</x:v>
      </x:c>
      <x:c r="J19" s="39" t="n">
        <x:v>1</x:v>
      </x:c>
      <x:c r="K19" s="39" t="n">
        <x:v>1</x:v>
      </x:c>
      <x:c r="L19" s="39" t="n">
        <x:v>1</x:v>
      </x:c>
      <x:c r="M19" s="39" t="str">
        <x:f>IF(AND(G19&gt;=F19,H19=0,I19=1,J19=1,K19=1,L19=1),"SPECIFIED / UNOBSERVED","REDESIGN")</x:f>
        <x:v>SPECIFIED / UNOBSERVED</x:v>
      </x:c>
    </x:row>
    <x:row r="20">
      <x:c r="A20" s="39" t="str">
        <x:v>ET-A-A-FA-LOAD-PAT</x:v>
      </x:c>
      <x:c r="B20" s="39" t="str">
        <x:v>ET-A-A</x:v>
      </x:c>
      <x:c r="C20" s="39" t="str">
        <x:v>Fatal-keystone</x:v>
      </x:c>
      <x:c r="D20" s="39" t="str">
        <x:v>Load path</x:v>
      </x:c>
      <x:c r="E20" s="56" t="str">
        <x:v>Complete 2-path service chain with no active common transfer junction</x:v>
      </x:c>
      <x:c r="F20" s="39" t="n">
        <x:v>1</x:v>
      </x:c>
      <x:c r="G20" s="39" t="n">
        <x:v>1</x:v>
      </x:c>
      <x:c r="H20" s="39" t="n">
        <x:v>0</x:v>
      </x:c>
      <x:c r="I20" s="39" t="n">
        <x:v>1</x:v>
      </x:c>
      <x:c r="J20" s="39" t="n">
        <x:v>1</x:v>
      </x:c>
      <x:c r="K20" s="39" t="n">
        <x:v>1</x:v>
      </x:c>
      <x:c r="L20" s="39" t="n">
        <x:v>1</x:v>
      </x:c>
      <x:c r="M20" s="39" t="str">
        <x:f>IF(AND(G20&gt;=F20,H20=0,I20=1,J20=1,K20=1,L20=1),"SPECIFIED / UNOBSERVED","REDESIGN")</x:f>
        <x:v>SPECIFIED / UNOBSERVED</x:v>
      </x:c>
    </x:row>
    <x:row r="21">
      <x:c r="A21" s="39" t="str">
        <x:v>ET-A-A-FA-CONTROL</x:v>
      </x:c>
      <x:c r="B21" s="39" t="str">
        <x:v>ET-A-A</x:v>
      </x:c>
      <x:c r="C21" s="39" t="str">
        <x:v>Fatal-keystone</x:v>
      </x:c>
      <x:c r="D21" s="39" t="str">
        <x:v>Control</x:v>
      </x:c>
      <x:c r="E21" s="56" t="str">
        <x:v>2 local controllers; only passive status crosses the isolation seam</x:v>
      </x:c>
      <x:c r="F21" s="39" t="n">
        <x:v>1</x:v>
      </x:c>
      <x:c r="G21" s="39" t="n">
        <x:v>1</x:v>
      </x:c>
      <x:c r="H21" s="39" t="n">
        <x:v>0</x:v>
      </x:c>
      <x:c r="I21" s="39" t="n">
        <x:v>1</x:v>
      </x:c>
      <x:c r="J21" s="39" t="n">
        <x:v>1</x:v>
      </x:c>
      <x:c r="K21" s="39" t="n">
        <x:v>1</x:v>
      </x:c>
      <x:c r="L21" s="39" t="n">
        <x:v>1</x:v>
      </x:c>
      <x:c r="M21" s="39" t="str">
        <x:f>IF(AND(G21&gt;=F21,H21=0,I21=1,J21=1,K21=1,L21=1),"SPECIFIED / UNOBSERVED","REDESIGN")</x:f>
        <x:v>SPECIFIED / UNOBSERVED</x:v>
      </x:c>
    </x:row>
    <x:row r="22">
      <x:c r="A22" s="39" t="str">
        <x:v>ET-A-A-FA-CIVIL-RI</x:v>
      </x:c>
      <x:c r="B22" s="39" t="str">
        <x:v>ET-A-A</x:v>
      </x:c>
      <x:c r="C22" s="39" t="str">
        <x:v>Fatal-keystone</x:v>
      </x:c>
      <x:c r="D22" s="39" t="str">
        <x:v>Civil rights</x:v>
      </x:c>
      <x:c r="E22" s="56" t="str">
        <x:v>6 physically reachable notice, service, egress and remedy zones</x:v>
      </x:c>
      <x:c r="F22" s="39" t="n">
        <x:v>5</x:v>
      </x:c>
      <x:c r="G22" s="39" t="n">
        <x:v>5</x:v>
      </x:c>
      <x:c r="H22" s="39" t="n">
        <x:v>0</x:v>
      </x:c>
      <x:c r="I22" s="39" t="n">
        <x:v>1</x:v>
      </x:c>
      <x:c r="J22" s="39" t="n">
        <x:v>1</x:v>
      </x:c>
      <x:c r="K22" s="39" t="n">
        <x:v>1</x:v>
      </x:c>
      <x:c r="L22" s="39" t="n">
        <x:v>1</x:v>
      </x:c>
      <x:c r="M22" s="39" t="str">
        <x:f>IF(AND(G22&gt;=F22,H22=0,I22=1,J22=1,K22=1,L22=1),"SPECIFIED / UNOBSERVED","REDESIGN")</x:f>
        <x:v>SPECIFIED / UNOBSERVED</x:v>
      </x:c>
    </x:row>
    <x:row r="23">
      <x:c r="A23" s="39" t="str">
        <x:v>ET-A-A-FA-RESIDUAL</x:v>
      </x:c>
      <x:c r="B23" s="39" t="str">
        <x:v>ET-A-A</x:v>
      </x:c>
      <x:c r="C23" s="39" t="str">
        <x:v>Fatal-keystone</x:v>
      </x:c>
      <x:c r="D23" s="39" t="str">
        <x:v>Residual custody</x:v>
      </x:c>
      <x:c r="E23" s="56" t="str">
        <x:v>6 measured retain, quarantine, treatment and release paths</x:v>
      </x:c>
      <x:c r="F23" s="39" t="n">
        <x:v>5</x:v>
      </x:c>
      <x:c r="G23" s="39" t="n">
        <x:v>5</x:v>
      </x:c>
      <x:c r="H23" s="39" t="n">
        <x:v>0</x:v>
      </x:c>
      <x:c r="I23" s="39" t="n">
        <x:v>1</x:v>
      </x:c>
      <x:c r="J23" s="39" t="n">
        <x:v>1</x:v>
      </x:c>
      <x:c r="K23" s="39" t="n">
        <x:v>1</x:v>
      </x:c>
      <x:c r="L23" s="39" t="n">
        <x:v>1</x:v>
      </x:c>
      <x:c r="M23" s="39" t="str">
        <x:f>IF(AND(G23&gt;=F23,H23=0,I23=1,J23=1,K23=1,L23=1),"SPECIFIED / UNOBSERVED","REDESIGN")</x:f>
        <x:v>SPECIFIED / UNOBSERVED</x:v>
      </x:c>
    </x:row>
    <x:row r="24">
      <x:c r="A24" s="39" t="str">
        <x:v>ET-A-A-FA-SAFE-STA</x:v>
      </x:c>
      <x:c r="B24" s="39" t="str">
        <x:v>ET-A-A</x:v>
      </x:c>
      <x:c r="C24" s="39" t="str">
        <x:v>Fatal-keystone</x:v>
      </x:c>
      <x:c r="D24" s="39" t="str">
        <x:v>Safe state</x:v>
      </x:c>
      <x:c r="E24" s="56" t="str">
        <x:v>Local isolate, depressurize or de-energize, refuge, manual stop and lawful disposition</x:v>
      </x:c>
      <x:c r="F24" s="39" t="n">
        <x:v>1</x:v>
      </x:c>
      <x:c r="G24" s="39" t="n">
        <x:v>1</x:v>
      </x:c>
      <x:c r="H24" s="39" t="n">
        <x:v>0</x:v>
      </x:c>
      <x:c r="I24" s="39" t="n">
        <x:v>1</x:v>
      </x:c>
      <x:c r="J24" s="39" t="n">
        <x:v>1</x:v>
      </x:c>
      <x:c r="K24" s="39" t="n">
        <x:v>1</x:v>
      </x:c>
      <x:c r="L24" s="39" t="n">
        <x:v>1</x:v>
      </x:c>
      <x:c r="M24" s="39" t="str">
        <x:f>IF(AND(G24&gt;=F24,H24=0,I24=1,J24=1,K24=1,L24=1),"SPECIFIED / UNOBSERVED","REDESIGN")</x:f>
        <x:v>SPECIFIED / UNOBSERVED</x:v>
      </x:c>
    </x:row>
    <x:row r="25">
      <x:c r="A25" s="39" t="str">
        <x:v>ET-A-A-CO-GEOMETRY</x:v>
      </x:c>
      <x:c r="B25" s="39" t="str">
        <x:v>ET-A-A</x:v>
      </x:c>
      <x:c r="C25" s="39" t="str">
        <x:v>Cold reconstruction</x:v>
      </x:c>
      <x:c r="D25" s="39" t="str">
        <x:v>Geometry</x:v>
      </x:c>
      <x:c r="E25" s="56" t="str">
        <x:v>Two complete hull-to-shore trains. Each hull owns its six-axis saddle, wet-dry train, custody ledger, refuge, heat rejection and amphibious shore path.</x:v>
      </x:c>
      <x:c r="F25" s="39" t="n">
        <x:v>1</x:v>
      </x:c>
      <x:c r="G25" s="39" t="n">
        <x:v>1</x:v>
      </x:c>
      <x:c r="H25" s="39" t="n">
        <x:v>0</x:v>
      </x:c>
      <x:c r="I25" s="39" t="n">
        <x:v>1</x:v>
      </x:c>
      <x:c r="J25" s="39" t="n">
        <x:v>1</x:v>
      </x:c>
      <x:c r="K25" s="39" t="n">
        <x:v>1</x:v>
      </x:c>
      <x:c r="L25" s="39" t="n">
        <x:v>1</x:v>
      </x:c>
      <x:c r="M25" s="39" t="str">
        <x:f>IF(AND(G25&gt;=F25,H25=0,I25=1,J25=1,K25=1,L25=1),"SPECIFIED / UNOBSERVED","REDESIGN")</x:f>
        <x:v>SPECIFIED / UNOBSERVED</x:v>
      </x:c>
    </x:row>
    <x:row r="26">
      <x:c r="A26" s="39" t="str">
        <x:v>ET-A-A-CO-LOAD-PAT</x:v>
      </x:c>
      <x:c r="B26" s="39" t="str">
        <x:v>ET-A-A</x:v>
      </x:c>
      <x:c r="C26" s="39" t="str">
        <x:v>Cold reconstruction</x:v>
      </x:c>
      <x:c r="D26" s="39" t="str">
        <x:v>Load path</x:v>
      </x:c>
      <x:c r="E26" s="56" t="str">
        <x:v>Complete 2-path service chain with no active common transfer junction</x:v>
      </x:c>
      <x:c r="F26" s="39" t="n">
        <x:v>1</x:v>
      </x:c>
      <x:c r="G26" s="39" t="n">
        <x:v>1</x:v>
      </x:c>
      <x:c r="H26" s="39" t="n">
        <x:v>0</x:v>
      </x:c>
      <x:c r="I26" s="39" t="n">
        <x:v>1</x:v>
      </x:c>
      <x:c r="J26" s="39" t="n">
        <x:v>1</x:v>
      </x:c>
      <x:c r="K26" s="39" t="n">
        <x:v>1</x:v>
      </x:c>
      <x:c r="L26" s="39" t="n">
        <x:v>1</x:v>
      </x:c>
      <x:c r="M26" s="39" t="str">
        <x:f>IF(AND(G26&gt;=F26,H26=0,I26=1,J26=1,K26=1,L26=1),"SPECIFIED / UNOBSERVED","REDESIGN")</x:f>
        <x:v>SPECIFIED / UNOBSERVED</x:v>
      </x:c>
    </x:row>
    <x:row r="27">
      <x:c r="A27" s="39" t="str">
        <x:v>ET-A-A-CO-CONTROL</x:v>
      </x:c>
      <x:c r="B27" s="39" t="str">
        <x:v>ET-A-A</x:v>
      </x:c>
      <x:c r="C27" s="39" t="str">
        <x:v>Cold reconstruction</x:v>
      </x:c>
      <x:c r="D27" s="39" t="str">
        <x:v>Control</x:v>
      </x:c>
      <x:c r="E27" s="56" t="str">
        <x:v>2 local controllers; only passive status crosses the isolation seam</x:v>
      </x:c>
      <x:c r="F27" s="39" t="n">
        <x:v>1</x:v>
      </x:c>
      <x:c r="G27" s="39" t="n">
        <x:v>1</x:v>
      </x:c>
      <x:c r="H27" s="39" t="n">
        <x:v>0</x:v>
      </x:c>
      <x:c r="I27" s="39" t="n">
        <x:v>1</x:v>
      </x:c>
      <x:c r="J27" s="39" t="n">
        <x:v>1</x:v>
      </x:c>
      <x:c r="K27" s="39" t="n">
        <x:v>1</x:v>
      </x:c>
      <x:c r="L27" s="39" t="n">
        <x:v>1</x:v>
      </x:c>
      <x:c r="M27" s="39" t="str">
        <x:f>IF(AND(G27&gt;=F27,H27=0,I27=1,J27=1,K27=1,L27=1),"SPECIFIED / UNOBSERVED","REDESIGN")</x:f>
        <x:v>SPECIFIED / UNOBSERVED</x:v>
      </x:c>
    </x:row>
    <x:row r="28">
      <x:c r="A28" s="39" t="str">
        <x:v>ET-A-A-CO-CIVIL-RI</x:v>
      </x:c>
      <x:c r="B28" s="39" t="str">
        <x:v>ET-A-A</x:v>
      </x:c>
      <x:c r="C28" s="39" t="str">
        <x:v>Cold reconstruction</x:v>
      </x:c>
      <x:c r="D28" s="39" t="str">
        <x:v>Civil rights</x:v>
      </x:c>
      <x:c r="E28" s="56" t="str">
        <x:v>6 physically reachable notice, service, egress and remedy zones</x:v>
      </x:c>
      <x:c r="F28" s="39" t="n">
        <x:v>1</x:v>
      </x:c>
      <x:c r="G28" s="39" t="n">
        <x:v>1</x:v>
      </x:c>
      <x:c r="H28" s="39" t="n">
        <x:v>0</x:v>
      </x:c>
      <x:c r="I28" s="39" t="n">
        <x:v>1</x:v>
      </x:c>
      <x:c r="J28" s="39" t="n">
        <x:v>1</x:v>
      </x:c>
      <x:c r="K28" s="39" t="n">
        <x:v>1</x:v>
      </x:c>
      <x:c r="L28" s="39" t="n">
        <x:v>1</x:v>
      </x:c>
      <x:c r="M28" s="39" t="str">
        <x:f>IF(AND(G28&gt;=F28,H28=0,I28=1,J28=1,K28=1,L28=1),"SPECIFIED / UNOBSERVED","REDESIGN")</x:f>
        <x:v>SPECIFIED / UNOBSERVED</x:v>
      </x:c>
    </x:row>
    <x:row r="29">
      <x:c r="A29" s="39" t="str">
        <x:v>ET-A-A-CO-RESIDUAL</x:v>
      </x:c>
      <x:c r="B29" s="39" t="str">
        <x:v>ET-A-A</x:v>
      </x:c>
      <x:c r="C29" s="39" t="str">
        <x:v>Cold reconstruction</x:v>
      </x:c>
      <x:c r="D29" s="39" t="str">
        <x:v>Residual custody</x:v>
      </x:c>
      <x:c r="E29" s="56" t="str">
        <x:v>6 measured retain, quarantine, treatment and release paths</x:v>
      </x:c>
      <x:c r="F29" s="39" t="n">
        <x:v>1</x:v>
      </x:c>
      <x:c r="G29" s="39" t="n">
        <x:v>1</x:v>
      </x:c>
      <x:c r="H29" s="39" t="n">
        <x:v>0</x:v>
      </x:c>
      <x:c r="I29" s="39" t="n">
        <x:v>1</x:v>
      </x:c>
      <x:c r="J29" s="39" t="n">
        <x:v>1</x:v>
      </x:c>
      <x:c r="K29" s="39" t="n">
        <x:v>1</x:v>
      </x:c>
      <x:c r="L29" s="39" t="n">
        <x:v>1</x:v>
      </x:c>
      <x:c r="M29" s="39" t="str">
        <x:f>IF(AND(G29&gt;=F29,H29=0,I29=1,J29=1,K29=1,L29=1),"SPECIFIED / UNOBSERVED","REDESIGN")</x:f>
        <x:v>SPECIFIED / UNOBSERVED</x:v>
      </x:c>
    </x:row>
    <x:row r="30">
      <x:c r="A30" s="39" t="str">
        <x:v>ET-A-A-CO-SAFE-STA</x:v>
      </x:c>
      <x:c r="B30" s="39" t="str">
        <x:v>ET-A-A</x:v>
      </x:c>
      <x:c r="C30" s="39" t="str">
        <x:v>Cold reconstruction</x:v>
      </x:c>
      <x:c r="D30" s="39" t="str">
        <x:v>Safe state</x:v>
      </x:c>
      <x:c r="E30" s="56" t="str">
        <x:v>Local isolate, depressurize or de-energize, refuge, manual stop and lawful disposition</x:v>
      </x:c>
      <x:c r="F30" s="39" t="n">
        <x:v>1</x:v>
      </x:c>
      <x:c r="G30" s="39" t="n">
        <x:v>1</x:v>
      </x:c>
      <x:c r="H30" s="39" t="n">
        <x:v>0</x:v>
      </x:c>
      <x:c r="I30" s="39" t="n">
        <x:v>1</x:v>
      </x:c>
      <x:c r="J30" s="39" t="n">
        <x:v>1</x:v>
      </x:c>
      <x:c r="K30" s="39" t="n">
        <x:v>1</x:v>
      </x:c>
      <x:c r="L30" s="39" t="n">
        <x:v>1</x:v>
      </x:c>
      <x:c r="M30" s="39" t="str">
        <x:f>IF(AND(G30&gt;=F30,H30=0,I30=1,J30=1,K30=1,L30=1),"SPECIFIED / UNOBSERVED","REDESIGN")</x:f>
        <x:v>SPECIFIED / UNOBSERVED</x:v>
      </x:c>
    </x:row>
    <x:row r="31">
      <x:c r="A31" s="39" t="str">
        <x:v>CT-C-B-NO-GEOMETRY</x:v>
      </x:c>
      <x:c r="B31" s="39" t="str">
        <x:v>CT-C-B</x:v>
      </x:c>
      <x:c r="C31" s="39" t="str">
        <x:v>Nominal</x:v>
      </x:c>
      <x:c r="D31" s="39" t="str">
        <x:v>Geometry</x:v>
      </x:c>
      <x:c r="E31" s="56" t="str">
        <x:v>Five structurally arrested façade zones. Each zone has reversible attachments, a complete mixed-utility trunk, local lowering capture and exterior egress.</x:v>
      </x:c>
      <x:c r="F31" s="39" t="n">
        <x:v>5</x:v>
      </x:c>
      <x:c r="G31" s="39" t="n">
        <x:v>5</x:v>
      </x:c>
      <x:c r="H31" s="39" t="n">
        <x:v>0</x:v>
      </x:c>
      <x:c r="I31" s="39" t="n">
        <x:v>1</x:v>
      </x:c>
      <x:c r="J31" s="39" t="n">
        <x:v>1</x:v>
      </x:c>
      <x:c r="K31" s="39" t="n">
        <x:v>1</x:v>
      </x:c>
      <x:c r="L31" s="39" t="n">
        <x:v>1</x:v>
      </x:c>
      <x:c r="M31" s="39" t="str">
        <x:f>IF(AND(G31&gt;=F31,H31=0,I31=1,J31=1,K31=1,L31=1),"SPECIFIED / UNOBSERVED","REDESIGN")</x:f>
        <x:v>SPECIFIED / UNOBSERVED</x:v>
      </x:c>
    </x:row>
    <x:row r="32">
      <x:c r="A32" s="39" t="str">
        <x:v>CT-C-B-NO-LOAD-PAT</x:v>
      </x:c>
      <x:c r="B32" s="39" t="str">
        <x:v>CT-C-B</x:v>
      </x:c>
      <x:c r="C32" s="39" t="str">
        <x:v>Nominal</x:v>
      </x:c>
      <x:c r="D32" s="39" t="str">
        <x:v>Load path</x:v>
      </x:c>
      <x:c r="E32" s="56" t="str">
        <x:v>Complete 5-path service chain with no active common transfer junction</x:v>
      </x:c>
      <x:c r="F32" s="39" t="n">
        <x:v>5</x:v>
      </x:c>
      <x:c r="G32" s="39" t="n">
        <x:v>5</x:v>
      </x:c>
      <x:c r="H32" s="39" t="n">
        <x:v>0</x:v>
      </x:c>
      <x:c r="I32" s="39" t="n">
        <x:v>1</x:v>
      </x:c>
      <x:c r="J32" s="39" t="n">
        <x:v>1</x:v>
      </x:c>
      <x:c r="K32" s="39" t="n">
        <x:v>1</x:v>
      </x:c>
      <x:c r="L32" s="39" t="n">
        <x:v>1</x:v>
      </x:c>
      <x:c r="M32" s="39" t="str">
        <x:f>IF(AND(G32&gt;=F32,H32=0,I32=1,J32=1,K32=1,L32=1),"SPECIFIED / UNOBSERVED","REDESIGN")</x:f>
        <x:v>SPECIFIED / UNOBSERVED</x:v>
      </x:c>
    </x:row>
    <x:row r="33">
      <x:c r="A33" s="39" t="str">
        <x:v>CT-C-B-NO-CONTROL</x:v>
      </x:c>
      <x:c r="B33" s="39" t="str">
        <x:v>CT-C-B</x:v>
      </x:c>
      <x:c r="C33" s="39" t="str">
        <x:v>Nominal</x:v>
      </x:c>
      <x:c r="D33" s="39" t="str">
        <x:v>Control</x:v>
      </x:c>
      <x:c r="E33" s="56" t="str">
        <x:v>5 local controllers; only passive status crosses the isolation seam</x:v>
      </x:c>
      <x:c r="F33" s="39" t="n">
        <x:v>5</x:v>
      </x:c>
      <x:c r="G33" s="39" t="n">
        <x:v>5</x:v>
      </x:c>
      <x:c r="H33" s="39" t="n">
        <x:v>0</x:v>
      </x:c>
      <x:c r="I33" s="39" t="n">
        <x:v>1</x:v>
      </x:c>
      <x:c r="J33" s="39" t="n">
        <x:v>1</x:v>
      </x:c>
      <x:c r="K33" s="39" t="n">
        <x:v>1</x:v>
      </x:c>
      <x:c r="L33" s="39" t="n">
        <x:v>1</x:v>
      </x:c>
      <x:c r="M33" s="39" t="str">
        <x:f>IF(AND(G33&gt;=F33,H33=0,I33=1,J33=1,K33=1,L33=1),"SPECIFIED / UNOBSERVED","REDESIGN")</x:f>
        <x:v>SPECIFIED / UNOBSERVED</x:v>
      </x:c>
    </x:row>
    <x:row r="34">
      <x:c r="A34" s="39" t="str">
        <x:v>CT-C-B-NO-CIVIL-RI</x:v>
      </x:c>
      <x:c r="B34" s="39" t="str">
        <x:v>CT-C-B</x:v>
      </x:c>
      <x:c r="C34" s="39" t="str">
        <x:v>Nominal</x:v>
      </x:c>
      <x:c r="D34" s="39" t="str">
        <x:v>Civil rights</x:v>
      </x:c>
      <x:c r="E34" s="56" t="str">
        <x:v>5 physically reachable notice, service, egress and remedy zones</x:v>
      </x:c>
      <x:c r="F34" s="39" t="n">
        <x:v>5</x:v>
      </x:c>
      <x:c r="G34" s="39" t="n">
        <x:v>5</x:v>
      </x:c>
      <x:c r="H34" s="39" t="n">
        <x:v>0</x:v>
      </x:c>
      <x:c r="I34" s="39" t="n">
        <x:v>1</x:v>
      </x:c>
      <x:c r="J34" s="39" t="n">
        <x:v>1</x:v>
      </x:c>
      <x:c r="K34" s="39" t="n">
        <x:v>1</x:v>
      </x:c>
      <x:c r="L34" s="39" t="n">
        <x:v>1</x:v>
      </x:c>
      <x:c r="M34" s="39" t="str">
        <x:f>IF(AND(G34&gt;=F34,H34=0,I34=1,J34=1,K34=1,L34=1),"SPECIFIED / UNOBSERVED","REDESIGN")</x:f>
        <x:v>SPECIFIED / UNOBSERVED</x:v>
      </x:c>
    </x:row>
    <x:row r="35">
      <x:c r="A35" s="39" t="str">
        <x:v>CT-C-B-NO-RESIDUAL</x:v>
      </x:c>
      <x:c r="B35" s="39" t="str">
        <x:v>CT-C-B</x:v>
      </x:c>
      <x:c r="C35" s="39" t="str">
        <x:v>Nominal</x:v>
      </x:c>
      <x:c r="D35" s="39" t="str">
        <x:v>Residual custody</x:v>
      </x:c>
      <x:c r="E35" s="56" t="str">
        <x:v>5 measured retain, quarantine, treatment and release paths</x:v>
      </x:c>
      <x:c r="F35" s="39" t="n">
        <x:v>5</x:v>
      </x:c>
      <x:c r="G35" s="39" t="n">
        <x:v>5</x:v>
      </x:c>
      <x:c r="H35" s="39" t="n">
        <x:v>0</x:v>
      </x:c>
      <x:c r="I35" s="39" t="n">
        <x:v>1</x:v>
      </x:c>
      <x:c r="J35" s="39" t="n">
        <x:v>1</x:v>
      </x:c>
      <x:c r="K35" s="39" t="n">
        <x:v>1</x:v>
      </x:c>
      <x:c r="L35" s="39" t="n">
        <x:v>1</x:v>
      </x:c>
      <x:c r="M35" s="39" t="str">
        <x:f>IF(AND(G35&gt;=F35,H35=0,I35=1,J35=1,K35=1,L35=1),"SPECIFIED / UNOBSERVED","REDESIGN")</x:f>
        <x:v>SPECIFIED / UNOBSERVED</x:v>
      </x:c>
    </x:row>
    <x:row r="36">
      <x:c r="A36" s="39" t="str">
        <x:v>CT-C-B-NO-SAFE-STA</x:v>
      </x:c>
      <x:c r="B36" s="39" t="str">
        <x:v>CT-C-B</x:v>
      </x:c>
      <x:c r="C36" s="39" t="str">
        <x:v>Nominal</x:v>
      </x:c>
      <x:c r="D36" s="39" t="str">
        <x:v>Safe state</x:v>
      </x:c>
      <x:c r="E36" s="56" t="str">
        <x:v>Local isolate, depressurize or de-energize, refuge, manual stop and lawful disposition</x:v>
      </x:c>
      <x:c r="F36" s="39" t="n">
        <x:v>5</x:v>
      </x:c>
      <x:c r="G36" s="39" t="n">
        <x:v>5</x:v>
      </x:c>
      <x:c r="H36" s="39" t="n">
        <x:v>0</x:v>
      </x:c>
      <x:c r="I36" s="39" t="n">
        <x:v>1</x:v>
      </x:c>
      <x:c r="J36" s="39" t="n">
        <x:v>1</x:v>
      </x:c>
      <x:c r="K36" s="39" t="n">
        <x:v>1</x:v>
      </x:c>
      <x:c r="L36" s="39" t="n">
        <x:v>1</x:v>
      </x:c>
      <x:c r="M36" s="39" t="str">
        <x:f>IF(AND(G36&gt;=F36,H36=0,I36=1,J36=1,K36=1,L36=1),"SPECIFIED / UNOBSERVED","REDESIGN")</x:f>
        <x:v>SPECIFIED / UNOBSERVED</x:v>
      </x:c>
    </x:row>
    <x:row r="37">
      <x:c r="A37" s="39" t="str">
        <x:v>CT-C-B-LA-GEOMETRY</x:v>
      </x:c>
      <x:c r="B37" s="39" t="str">
        <x:v>CT-C-B</x:v>
      </x:c>
      <x:c r="C37" s="39" t="str">
        <x:v>Largest-cell loss</x:v>
      </x:c>
      <x:c r="D37" s="39" t="str">
        <x:v>Geometry</x:v>
      </x:c>
      <x:c r="E37" s="56" t="str">
        <x:v>Five structurally arrested façade zones. Each zone has reversible attachments, a complete mixed-utility trunk, local lowering capture and exterior egress.</x:v>
      </x:c>
      <x:c r="F37" s="39" t="n">
        <x:v>4</x:v>
      </x:c>
      <x:c r="G37" s="39" t="n">
        <x:v>4</x:v>
      </x:c>
      <x:c r="H37" s="39" t="n">
        <x:v>0</x:v>
      </x:c>
      <x:c r="I37" s="39" t="n">
        <x:v>1</x:v>
      </x:c>
      <x:c r="J37" s="39" t="n">
        <x:v>1</x:v>
      </x:c>
      <x:c r="K37" s="39" t="n">
        <x:v>1</x:v>
      </x:c>
      <x:c r="L37" s="39" t="n">
        <x:v>1</x:v>
      </x:c>
      <x:c r="M37" s="39" t="str">
        <x:f>IF(AND(G37&gt;=F37,H37=0,I37=1,J37=1,K37=1,L37=1),"SPECIFIED / UNOBSERVED","REDESIGN")</x:f>
        <x:v>SPECIFIED / UNOBSERVED</x:v>
      </x:c>
    </x:row>
    <x:row r="38">
      <x:c r="A38" s="39" t="str">
        <x:v>CT-C-B-LA-LOAD-PAT</x:v>
      </x:c>
      <x:c r="B38" s="39" t="str">
        <x:v>CT-C-B</x:v>
      </x:c>
      <x:c r="C38" s="39" t="str">
        <x:v>Largest-cell loss</x:v>
      </x:c>
      <x:c r="D38" s="39" t="str">
        <x:v>Load path</x:v>
      </x:c>
      <x:c r="E38" s="56" t="str">
        <x:v>Complete 5-path service chain with no active common transfer junction</x:v>
      </x:c>
      <x:c r="F38" s="39" t="n">
        <x:v>4</x:v>
      </x:c>
      <x:c r="G38" s="39" t="n">
        <x:v>4</x:v>
      </x:c>
      <x:c r="H38" s="39" t="n">
        <x:v>0</x:v>
      </x:c>
      <x:c r="I38" s="39" t="n">
        <x:v>1</x:v>
      </x:c>
      <x:c r="J38" s="39" t="n">
        <x:v>1</x:v>
      </x:c>
      <x:c r="K38" s="39" t="n">
        <x:v>1</x:v>
      </x:c>
      <x:c r="L38" s="39" t="n">
        <x:v>1</x:v>
      </x:c>
      <x:c r="M38" s="39" t="str">
        <x:f>IF(AND(G38&gt;=F38,H38=0,I38=1,J38=1,K38=1,L38=1),"SPECIFIED / UNOBSERVED","REDESIGN")</x:f>
        <x:v>SPECIFIED / UNOBSERVED</x:v>
      </x:c>
    </x:row>
    <x:row r="39">
      <x:c r="A39" s="39" t="str">
        <x:v>CT-C-B-LA-CONTROL</x:v>
      </x:c>
      <x:c r="B39" s="39" t="str">
        <x:v>CT-C-B</x:v>
      </x:c>
      <x:c r="C39" s="39" t="str">
        <x:v>Largest-cell loss</x:v>
      </x:c>
      <x:c r="D39" s="39" t="str">
        <x:v>Control</x:v>
      </x:c>
      <x:c r="E39" s="56" t="str">
        <x:v>5 local controllers; only passive status crosses the isolation seam</x:v>
      </x:c>
      <x:c r="F39" s="39" t="n">
        <x:v>4</x:v>
      </x:c>
      <x:c r="G39" s="39" t="n">
        <x:v>4</x:v>
      </x:c>
      <x:c r="H39" s="39" t="n">
        <x:v>0</x:v>
      </x:c>
      <x:c r="I39" s="39" t="n">
        <x:v>1</x:v>
      </x:c>
      <x:c r="J39" s="39" t="n">
        <x:v>1</x:v>
      </x:c>
      <x:c r="K39" s="39" t="n">
        <x:v>1</x:v>
      </x:c>
      <x:c r="L39" s="39" t="n">
        <x:v>1</x:v>
      </x:c>
      <x:c r="M39" s="39" t="str">
        <x:f>IF(AND(G39&gt;=F39,H39=0,I39=1,J39=1,K39=1,L39=1),"SPECIFIED / UNOBSERVED","REDESIGN")</x:f>
        <x:v>SPECIFIED / UNOBSERVED</x:v>
      </x:c>
    </x:row>
    <x:row r="40">
      <x:c r="A40" s="39" t="str">
        <x:v>CT-C-B-LA-CIVIL-RI</x:v>
      </x:c>
      <x:c r="B40" s="39" t="str">
        <x:v>CT-C-B</x:v>
      </x:c>
      <x:c r="C40" s="39" t="str">
        <x:v>Largest-cell loss</x:v>
      </x:c>
      <x:c r="D40" s="39" t="str">
        <x:v>Civil rights</x:v>
      </x:c>
      <x:c r="E40" s="56" t="str">
        <x:v>5 physically reachable notice, service, egress and remedy zones</x:v>
      </x:c>
      <x:c r="F40" s="39" t="n">
        <x:v>4</x:v>
      </x:c>
      <x:c r="G40" s="39" t="n">
        <x:v>4</x:v>
      </x:c>
      <x:c r="H40" s="39" t="n">
        <x:v>0</x:v>
      </x:c>
      <x:c r="I40" s="39" t="n">
        <x:v>1</x:v>
      </x:c>
      <x:c r="J40" s="39" t="n">
        <x:v>1</x:v>
      </x:c>
      <x:c r="K40" s="39" t="n">
        <x:v>1</x:v>
      </x:c>
      <x:c r="L40" s="39" t="n">
        <x:v>1</x:v>
      </x:c>
      <x:c r="M40" s="39" t="str">
        <x:f>IF(AND(G40&gt;=F40,H40=0,I40=1,J40=1,K40=1,L40=1),"SPECIFIED / UNOBSERVED","REDESIGN")</x:f>
        <x:v>SPECIFIED / UNOBSERVED</x:v>
      </x:c>
    </x:row>
    <x:row r="41">
      <x:c r="A41" s="39" t="str">
        <x:v>CT-C-B-LA-RESIDUAL</x:v>
      </x:c>
      <x:c r="B41" s="39" t="str">
        <x:v>CT-C-B</x:v>
      </x:c>
      <x:c r="C41" s="39" t="str">
        <x:v>Largest-cell loss</x:v>
      </x:c>
      <x:c r="D41" s="39" t="str">
        <x:v>Residual custody</x:v>
      </x:c>
      <x:c r="E41" s="56" t="str">
        <x:v>5 measured retain, quarantine, treatment and release paths</x:v>
      </x:c>
      <x:c r="F41" s="39" t="n">
        <x:v>4</x:v>
      </x:c>
      <x:c r="G41" s="39" t="n">
        <x:v>4</x:v>
      </x:c>
      <x:c r="H41" s="39" t="n">
        <x:v>0</x:v>
      </x:c>
      <x:c r="I41" s="39" t="n">
        <x:v>1</x:v>
      </x:c>
      <x:c r="J41" s="39" t="n">
        <x:v>1</x:v>
      </x:c>
      <x:c r="K41" s="39" t="n">
        <x:v>1</x:v>
      </x:c>
      <x:c r="L41" s="39" t="n">
        <x:v>1</x:v>
      </x:c>
      <x:c r="M41" s="39" t="str">
        <x:f>IF(AND(G41&gt;=F41,H41=0,I41=1,J41=1,K41=1,L41=1),"SPECIFIED / UNOBSERVED","REDESIGN")</x:f>
        <x:v>SPECIFIED / UNOBSERVED</x:v>
      </x:c>
    </x:row>
    <x:row r="42">
      <x:c r="A42" s="39" t="str">
        <x:v>CT-C-B-LA-SAFE-STA</x:v>
      </x:c>
      <x:c r="B42" s="39" t="str">
        <x:v>CT-C-B</x:v>
      </x:c>
      <x:c r="C42" s="39" t="str">
        <x:v>Largest-cell loss</x:v>
      </x:c>
      <x:c r="D42" s="39" t="str">
        <x:v>Safe state</x:v>
      </x:c>
      <x:c r="E42" s="56" t="str">
        <x:v>Local isolate, depressurize or de-energize, refuge, manual stop and lawful disposition</x:v>
      </x:c>
      <x:c r="F42" s="39" t="n">
        <x:v>4</x:v>
      </x:c>
      <x:c r="G42" s="39" t="n">
        <x:v>4</x:v>
      </x:c>
      <x:c r="H42" s="39" t="n">
        <x:v>0</x:v>
      </x:c>
      <x:c r="I42" s="39" t="n">
        <x:v>1</x:v>
      </x:c>
      <x:c r="J42" s="39" t="n">
        <x:v>1</x:v>
      </x:c>
      <x:c r="K42" s="39" t="n">
        <x:v>1</x:v>
      </x:c>
      <x:c r="L42" s="39" t="n">
        <x:v>1</x:v>
      </x:c>
      <x:c r="M42" s="39" t="str">
        <x:f>IF(AND(G42&gt;=F42,H42=0,I42=1,J42=1,K42=1,L42=1),"SPECIFIED / UNOBSERVED","REDESIGN")</x:f>
        <x:v>SPECIFIED / UNOBSERVED</x:v>
      </x:c>
    </x:row>
    <x:row r="43">
      <x:c r="A43" s="39" t="str">
        <x:v>CT-C-B-FA-GEOMETRY</x:v>
      </x:c>
      <x:c r="B43" s="39" t="str">
        <x:v>CT-C-B</x:v>
      </x:c>
      <x:c r="C43" s="39" t="str">
        <x:v>Fatal-keystone</x:v>
      </x:c>
      <x:c r="D43" s="39" t="str">
        <x:v>Geometry</x:v>
      </x:c>
      <x:c r="E43" s="56" t="str">
        <x:v>Five structurally arrested façade zones. Each zone has reversible attachments, a complete mixed-utility trunk, local lowering capture and exterior egress.</x:v>
      </x:c>
      <x:c r="F43" s="39" t="n">
        <x:v>4</x:v>
      </x:c>
      <x:c r="G43" s="39" t="n">
        <x:v>4</x:v>
      </x:c>
      <x:c r="H43" s="39" t="n">
        <x:v>0</x:v>
      </x:c>
      <x:c r="I43" s="39" t="n">
        <x:v>1</x:v>
      </x:c>
      <x:c r="J43" s="39" t="n">
        <x:v>1</x:v>
      </x:c>
      <x:c r="K43" s="39" t="n">
        <x:v>1</x:v>
      </x:c>
      <x:c r="L43" s="39" t="n">
        <x:v>1</x:v>
      </x:c>
      <x:c r="M43" s="39" t="str">
        <x:f>IF(AND(G43&gt;=F43,H43=0,I43=1,J43=1,K43=1,L43=1),"SPECIFIED / UNOBSERVED","REDESIGN")</x:f>
        <x:v>SPECIFIED / UNOBSERVED</x:v>
      </x:c>
    </x:row>
    <x:row r="44">
      <x:c r="A44" s="39" t="str">
        <x:v>CT-C-B-FA-LOAD-PAT</x:v>
      </x:c>
      <x:c r="B44" s="39" t="str">
        <x:v>CT-C-B</x:v>
      </x:c>
      <x:c r="C44" s="39" t="str">
        <x:v>Fatal-keystone</x:v>
      </x:c>
      <x:c r="D44" s="39" t="str">
        <x:v>Load path</x:v>
      </x:c>
      <x:c r="E44" s="56" t="str">
        <x:v>Complete 5-path service chain with no active common transfer junction</x:v>
      </x:c>
      <x:c r="F44" s="39" t="n">
        <x:v>4</x:v>
      </x:c>
      <x:c r="G44" s="39" t="n">
        <x:v>4</x:v>
      </x:c>
      <x:c r="H44" s="39" t="n">
        <x:v>0</x:v>
      </x:c>
      <x:c r="I44" s="39" t="n">
        <x:v>1</x:v>
      </x:c>
      <x:c r="J44" s="39" t="n">
        <x:v>1</x:v>
      </x:c>
      <x:c r="K44" s="39" t="n">
        <x:v>1</x:v>
      </x:c>
      <x:c r="L44" s="39" t="n">
        <x:v>1</x:v>
      </x:c>
      <x:c r="M44" s="39" t="str">
        <x:f>IF(AND(G44&gt;=F44,H44=0,I44=1,J44=1,K44=1,L44=1),"SPECIFIED / UNOBSERVED","REDESIGN")</x:f>
        <x:v>SPECIFIED / UNOBSERVED</x:v>
      </x:c>
    </x:row>
    <x:row r="45">
      <x:c r="A45" s="39" t="str">
        <x:v>CT-C-B-FA-CONTROL</x:v>
      </x:c>
      <x:c r="B45" s="39" t="str">
        <x:v>CT-C-B</x:v>
      </x:c>
      <x:c r="C45" s="39" t="str">
        <x:v>Fatal-keystone</x:v>
      </x:c>
      <x:c r="D45" s="39" t="str">
        <x:v>Control</x:v>
      </x:c>
      <x:c r="E45" s="56" t="str">
        <x:v>5 local controllers; only passive status crosses the isolation seam</x:v>
      </x:c>
      <x:c r="F45" s="39" t="n">
        <x:v>4</x:v>
      </x:c>
      <x:c r="G45" s="39" t="n">
        <x:v>4</x:v>
      </x:c>
      <x:c r="H45" s="39" t="n">
        <x:v>0</x:v>
      </x:c>
      <x:c r="I45" s="39" t="n">
        <x:v>1</x:v>
      </x:c>
      <x:c r="J45" s="39" t="n">
        <x:v>1</x:v>
      </x:c>
      <x:c r="K45" s="39" t="n">
        <x:v>1</x:v>
      </x:c>
      <x:c r="L45" s="39" t="n">
        <x:v>1</x:v>
      </x:c>
      <x:c r="M45" s="39" t="str">
        <x:f>IF(AND(G45&gt;=F45,H45=0,I45=1,J45=1,K45=1,L45=1),"SPECIFIED / UNOBSERVED","REDESIGN")</x:f>
        <x:v>SPECIFIED / UNOBSERVED</x:v>
      </x:c>
    </x:row>
    <x:row r="46">
      <x:c r="A46" s="39" t="str">
        <x:v>CT-C-B-FA-CIVIL-RI</x:v>
      </x:c>
      <x:c r="B46" s="39" t="str">
        <x:v>CT-C-B</x:v>
      </x:c>
      <x:c r="C46" s="39" t="str">
        <x:v>Fatal-keystone</x:v>
      </x:c>
      <x:c r="D46" s="39" t="str">
        <x:v>Civil rights</x:v>
      </x:c>
      <x:c r="E46" s="56" t="str">
        <x:v>5 physically reachable notice, service, egress and remedy zones</x:v>
      </x:c>
      <x:c r="F46" s="39" t="n">
        <x:v>4</x:v>
      </x:c>
      <x:c r="G46" s="39" t="n">
        <x:v>4</x:v>
      </x:c>
      <x:c r="H46" s="39" t="n">
        <x:v>0</x:v>
      </x:c>
      <x:c r="I46" s="39" t="n">
        <x:v>1</x:v>
      </x:c>
      <x:c r="J46" s="39" t="n">
        <x:v>1</x:v>
      </x:c>
      <x:c r="K46" s="39" t="n">
        <x:v>1</x:v>
      </x:c>
      <x:c r="L46" s="39" t="n">
        <x:v>1</x:v>
      </x:c>
      <x:c r="M46" s="39" t="str">
        <x:f>IF(AND(G46&gt;=F46,H46=0,I46=1,J46=1,K46=1,L46=1),"SPECIFIED / UNOBSERVED","REDESIGN")</x:f>
        <x:v>SPECIFIED / UNOBSERVED</x:v>
      </x:c>
    </x:row>
    <x:row r="47">
      <x:c r="A47" s="39" t="str">
        <x:v>CT-C-B-FA-RESIDUAL</x:v>
      </x:c>
      <x:c r="B47" s="39" t="str">
        <x:v>CT-C-B</x:v>
      </x:c>
      <x:c r="C47" s="39" t="str">
        <x:v>Fatal-keystone</x:v>
      </x:c>
      <x:c r="D47" s="39" t="str">
        <x:v>Residual custody</x:v>
      </x:c>
      <x:c r="E47" s="56" t="str">
        <x:v>5 measured retain, quarantine, treatment and release paths</x:v>
      </x:c>
      <x:c r="F47" s="39" t="n">
        <x:v>4</x:v>
      </x:c>
      <x:c r="G47" s="39" t="n">
        <x:v>4</x:v>
      </x:c>
      <x:c r="H47" s="39" t="n">
        <x:v>0</x:v>
      </x:c>
      <x:c r="I47" s="39" t="n">
        <x:v>1</x:v>
      </x:c>
      <x:c r="J47" s="39" t="n">
        <x:v>1</x:v>
      </x:c>
      <x:c r="K47" s="39" t="n">
        <x:v>1</x:v>
      </x:c>
      <x:c r="L47" s="39" t="n">
        <x:v>1</x:v>
      </x:c>
      <x:c r="M47" s="39" t="str">
        <x:f>IF(AND(G47&gt;=F47,H47=0,I47=1,J47=1,K47=1,L47=1),"SPECIFIED / UNOBSERVED","REDESIGN")</x:f>
        <x:v>SPECIFIED / UNOBSERVED</x:v>
      </x:c>
    </x:row>
    <x:row r="48">
      <x:c r="A48" s="39" t="str">
        <x:v>CT-C-B-FA-SAFE-STA</x:v>
      </x:c>
      <x:c r="B48" s="39" t="str">
        <x:v>CT-C-B</x:v>
      </x:c>
      <x:c r="C48" s="39" t="str">
        <x:v>Fatal-keystone</x:v>
      </x:c>
      <x:c r="D48" s="39" t="str">
        <x:v>Safe state</x:v>
      </x:c>
      <x:c r="E48" s="56" t="str">
        <x:v>Local isolate, depressurize or de-energize, refuge, manual stop and lawful disposition</x:v>
      </x:c>
      <x:c r="F48" s="39" t="n">
        <x:v>4</x:v>
      </x:c>
      <x:c r="G48" s="39" t="n">
        <x:v>4</x:v>
      </x:c>
      <x:c r="H48" s="39" t="n">
        <x:v>0</x:v>
      </x:c>
      <x:c r="I48" s="39" t="n">
        <x:v>1</x:v>
      </x:c>
      <x:c r="J48" s="39" t="n">
        <x:v>1</x:v>
      </x:c>
      <x:c r="K48" s="39" t="n">
        <x:v>1</x:v>
      </x:c>
      <x:c r="L48" s="39" t="n">
        <x:v>1</x:v>
      </x:c>
      <x:c r="M48" s="39" t="str">
        <x:f>IF(AND(G48&gt;=F48,H48=0,I48=1,J48=1,K48=1,L48=1),"SPECIFIED / UNOBSERVED","REDESIGN")</x:f>
        <x:v>SPECIFIED / UNOBSERVED</x:v>
      </x:c>
    </x:row>
    <x:row r="49">
      <x:c r="A49" s="39" t="str">
        <x:v>CT-C-B-CO-GEOMETRY</x:v>
      </x:c>
      <x:c r="B49" s="39" t="str">
        <x:v>CT-C-B</x:v>
      </x:c>
      <x:c r="C49" s="39" t="str">
        <x:v>Cold reconstruction</x:v>
      </x:c>
      <x:c r="D49" s="39" t="str">
        <x:v>Geometry</x:v>
      </x:c>
      <x:c r="E49" s="56" t="str">
        <x:v>Five structurally arrested façade zones. Each zone has reversible attachments, a complete mixed-utility trunk, local lowering capture and exterior egress.</x:v>
      </x:c>
      <x:c r="F49" s="39" t="n">
        <x:v>1</x:v>
      </x:c>
      <x:c r="G49" s="39" t="n">
        <x:v>1</x:v>
      </x:c>
      <x:c r="H49" s="39" t="n">
        <x:v>0</x:v>
      </x:c>
      <x:c r="I49" s="39" t="n">
        <x:v>1</x:v>
      </x:c>
      <x:c r="J49" s="39" t="n">
        <x:v>1</x:v>
      </x:c>
      <x:c r="K49" s="39" t="n">
        <x:v>1</x:v>
      </x:c>
      <x:c r="L49" s="39" t="n">
        <x:v>1</x:v>
      </x:c>
      <x:c r="M49" s="39" t="str">
        <x:f>IF(AND(G49&gt;=F49,H49=0,I49=1,J49=1,K49=1,L49=1),"SPECIFIED / UNOBSERVED","REDESIGN")</x:f>
        <x:v>SPECIFIED / UNOBSERVED</x:v>
      </x:c>
    </x:row>
    <x:row r="50">
      <x:c r="A50" s="39" t="str">
        <x:v>CT-C-B-CO-LOAD-PAT</x:v>
      </x:c>
      <x:c r="B50" s="39" t="str">
        <x:v>CT-C-B</x:v>
      </x:c>
      <x:c r="C50" s="39" t="str">
        <x:v>Cold reconstruction</x:v>
      </x:c>
      <x:c r="D50" s="39" t="str">
        <x:v>Load path</x:v>
      </x:c>
      <x:c r="E50" s="56" t="str">
        <x:v>Complete 5-path service chain with no active common transfer junction</x:v>
      </x:c>
      <x:c r="F50" s="39" t="n">
        <x:v>1</x:v>
      </x:c>
      <x:c r="G50" s="39" t="n">
        <x:v>1</x:v>
      </x:c>
      <x:c r="H50" s="39" t="n">
        <x:v>0</x:v>
      </x:c>
      <x:c r="I50" s="39" t="n">
        <x:v>1</x:v>
      </x:c>
      <x:c r="J50" s="39" t="n">
        <x:v>1</x:v>
      </x:c>
      <x:c r="K50" s="39" t="n">
        <x:v>1</x:v>
      </x:c>
      <x:c r="L50" s="39" t="n">
        <x:v>1</x:v>
      </x:c>
      <x:c r="M50" s="39" t="str">
        <x:f>IF(AND(G50&gt;=F50,H50=0,I50=1,J50=1,K50=1,L50=1),"SPECIFIED / UNOBSERVED","REDESIGN")</x:f>
        <x:v>SPECIFIED / UNOBSERVED</x:v>
      </x:c>
    </x:row>
    <x:row r="51">
      <x:c r="A51" s="39" t="str">
        <x:v>CT-C-B-CO-CONTROL</x:v>
      </x:c>
      <x:c r="B51" s="39" t="str">
        <x:v>CT-C-B</x:v>
      </x:c>
      <x:c r="C51" s="39" t="str">
        <x:v>Cold reconstruction</x:v>
      </x:c>
      <x:c r="D51" s="39" t="str">
        <x:v>Control</x:v>
      </x:c>
      <x:c r="E51" s="56" t="str">
        <x:v>5 local controllers; only passive status crosses the isolation seam</x:v>
      </x:c>
      <x:c r="F51" s="39" t="n">
        <x:v>1</x:v>
      </x:c>
      <x:c r="G51" s="39" t="n">
        <x:v>1</x:v>
      </x:c>
      <x:c r="H51" s="39" t="n">
        <x:v>0</x:v>
      </x:c>
      <x:c r="I51" s="39" t="n">
        <x:v>1</x:v>
      </x:c>
      <x:c r="J51" s="39" t="n">
        <x:v>1</x:v>
      </x:c>
      <x:c r="K51" s="39" t="n">
        <x:v>1</x:v>
      </x:c>
      <x:c r="L51" s="39" t="n">
        <x:v>1</x:v>
      </x:c>
      <x:c r="M51" s="39" t="str">
        <x:f>IF(AND(G51&gt;=F51,H51=0,I51=1,J51=1,K51=1,L51=1),"SPECIFIED / UNOBSERVED","REDESIGN")</x:f>
        <x:v>SPECIFIED / UNOBSERVED</x:v>
      </x:c>
    </x:row>
    <x:row r="52">
      <x:c r="A52" s="39" t="str">
        <x:v>CT-C-B-CO-CIVIL-RI</x:v>
      </x:c>
      <x:c r="B52" s="39" t="str">
        <x:v>CT-C-B</x:v>
      </x:c>
      <x:c r="C52" s="39" t="str">
        <x:v>Cold reconstruction</x:v>
      </x:c>
      <x:c r="D52" s="39" t="str">
        <x:v>Civil rights</x:v>
      </x:c>
      <x:c r="E52" s="56" t="str">
        <x:v>5 physically reachable notice, service, egress and remedy zones</x:v>
      </x:c>
      <x:c r="F52" s="39" t="n">
        <x:v>1</x:v>
      </x:c>
      <x:c r="G52" s="39" t="n">
        <x:v>1</x:v>
      </x:c>
      <x:c r="H52" s="39" t="n">
        <x:v>0</x:v>
      </x:c>
      <x:c r="I52" s="39" t="n">
        <x:v>1</x:v>
      </x:c>
      <x:c r="J52" s="39" t="n">
        <x:v>1</x:v>
      </x:c>
      <x:c r="K52" s="39" t="n">
        <x:v>1</x:v>
      </x:c>
      <x:c r="L52" s="39" t="n">
        <x:v>1</x:v>
      </x:c>
      <x:c r="M52" s="39" t="str">
        <x:f>IF(AND(G52&gt;=F52,H52=0,I52=1,J52=1,K52=1,L52=1),"SPECIFIED / UNOBSERVED","REDESIGN")</x:f>
        <x:v>SPECIFIED / UNOBSERVED</x:v>
      </x:c>
    </x:row>
    <x:row r="53">
      <x:c r="A53" s="39" t="str">
        <x:v>CT-C-B-CO-RESIDUAL</x:v>
      </x:c>
      <x:c r="B53" s="39" t="str">
        <x:v>CT-C-B</x:v>
      </x:c>
      <x:c r="C53" s="39" t="str">
        <x:v>Cold reconstruction</x:v>
      </x:c>
      <x:c r="D53" s="39" t="str">
        <x:v>Residual custody</x:v>
      </x:c>
      <x:c r="E53" s="56" t="str">
        <x:v>5 measured retain, quarantine, treatment and release paths</x:v>
      </x:c>
      <x:c r="F53" s="39" t="n">
        <x:v>1</x:v>
      </x:c>
      <x:c r="G53" s="39" t="n">
        <x:v>1</x:v>
      </x:c>
      <x:c r="H53" s="39" t="n">
        <x:v>0</x:v>
      </x:c>
      <x:c r="I53" s="39" t="n">
        <x:v>1</x:v>
      </x:c>
      <x:c r="J53" s="39" t="n">
        <x:v>1</x:v>
      </x:c>
      <x:c r="K53" s="39" t="n">
        <x:v>1</x:v>
      </x:c>
      <x:c r="L53" s="39" t="n">
        <x:v>1</x:v>
      </x:c>
      <x:c r="M53" s="39" t="str">
        <x:f>IF(AND(G53&gt;=F53,H53=0,I53=1,J53=1,K53=1,L53=1),"SPECIFIED / UNOBSERVED","REDESIGN")</x:f>
        <x:v>SPECIFIED / UNOBSERVED</x:v>
      </x:c>
    </x:row>
    <x:row r="54">
      <x:c r="A54" s="39" t="str">
        <x:v>CT-C-B-CO-SAFE-STA</x:v>
      </x:c>
      <x:c r="B54" s="39" t="str">
        <x:v>CT-C-B</x:v>
      </x:c>
      <x:c r="C54" s="39" t="str">
        <x:v>Cold reconstruction</x:v>
      </x:c>
      <x:c r="D54" s="39" t="str">
        <x:v>Safe state</x:v>
      </x:c>
      <x:c r="E54" s="56" t="str">
        <x:v>Local isolate, depressurize or de-energize, refuge, manual stop and lawful disposition</x:v>
      </x:c>
      <x:c r="F54" s="39" t="n">
        <x:v>1</x:v>
      </x:c>
      <x:c r="G54" s="39" t="n">
        <x:v>1</x:v>
      </x:c>
      <x:c r="H54" s="39" t="n">
        <x:v>0</x:v>
      </x:c>
      <x:c r="I54" s="39" t="n">
        <x:v>1</x:v>
      </x:c>
      <x:c r="J54" s="39" t="n">
        <x:v>1</x:v>
      </x:c>
      <x:c r="K54" s="39" t="n">
        <x:v>1</x:v>
      </x:c>
      <x:c r="L54" s="39" t="n">
        <x:v>1</x:v>
      </x:c>
      <x:c r="M54" s="39" t="str">
        <x:f>IF(AND(G54&gt;=F54,H54=0,I54=1,J54=1,K54=1,L54=1),"SPECIFIED / UNOBSERVED","REDESIGN")</x:f>
        <x:v>SPECIFIED / UNOBSERVED</x:v>
      </x:c>
    </x:row>
    <x:row r="55">
      <x:c r="A55" s="39" t="str">
        <x:v>HC-A-C-NO-GEOMETRY</x:v>
      </x:c>
      <x:c r="B55" s="39" t="str">
        <x:v>HC-A-C</x:v>
      </x:c>
      <x:c r="C55" s="39" t="str">
        <x:v>Nominal</x:v>
      </x:c>
      <x:c r="D55" s="39" t="str">
        <x:v>Geometry</x:v>
      </x:c>
      <x:c r="E55" s="56" t="str">
        <x:v>Five locally commanded rotor sectors with passive time-space deconfliction, two hot-zone exchange lanes per sector and independent protected-edge sensing.</x:v>
      </x:c>
      <x:c r="F55" s="39" t="n">
        <x:v>5</x:v>
      </x:c>
      <x:c r="G55" s="39" t="n">
        <x:v>5</x:v>
      </x:c>
      <x:c r="H55" s="39" t="n">
        <x:v>0</x:v>
      </x:c>
      <x:c r="I55" s="39" t="n">
        <x:v>1</x:v>
      </x:c>
      <x:c r="J55" s="39" t="n">
        <x:v>1</x:v>
      </x:c>
      <x:c r="K55" s="39" t="n">
        <x:v>1</x:v>
      </x:c>
      <x:c r="L55" s="39" t="n">
        <x:v>1</x:v>
      </x:c>
      <x:c r="M55" s="39" t="str">
        <x:f>IF(AND(G55&gt;=F55,H55=0,I55=1,J55=1,K55=1,L55=1),"SPECIFIED / UNOBSERVED","REDESIGN")</x:f>
        <x:v>SPECIFIED / UNOBSERVED</x:v>
      </x:c>
    </x:row>
    <x:row r="56">
      <x:c r="A56" s="39" t="str">
        <x:v>HC-A-C-NO-LOAD-PAT</x:v>
      </x:c>
      <x:c r="B56" s="39" t="str">
        <x:v>HC-A-C</x:v>
      </x:c>
      <x:c r="C56" s="39" t="str">
        <x:v>Nominal</x:v>
      </x:c>
      <x:c r="D56" s="39" t="str">
        <x:v>Load path</x:v>
      </x:c>
      <x:c r="E56" s="56" t="str">
        <x:v>Complete 5-path service chain with no active common transfer junction</x:v>
      </x:c>
      <x:c r="F56" s="39" t="n">
        <x:v>5</x:v>
      </x:c>
      <x:c r="G56" s="39" t="n">
        <x:v>5</x:v>
      </x:c>
      <x:c r="H56" s="39" t="n">
        <x:v>0</x:v>
      </x:c>
      <x:c r="I56" s="39" t="n">
        <x:v>1</x:v>
      </x:c>
      <x:c r="J56" s="39" t="n">
        <x:v>1</x:v>
      </x:c>
      <x:c r="K56" s="39" t="n">
        <x:v>1</x:v>
      </x:c>
      <x:c r="L56" s="39" t="n">
        <x:v>1</x:v>
      </x:c>
      <x:c r="M56" s="39" t="str">
        <x:f>IF(AND(G56&gt;=F56,H56=0,I56=1,J56=1,K56=1,L56=1),"SPECIFIED / UNOBSERVED","REDESIGN")</x:f>
        <x:v>SPECIFIED / UNOBSERVED</x:v>
      </x:c>
    </x:row>
    <x:row r="57">
      <x:c r="A57" s="39" t="str">
        <x:v>HC-A-C-NO-CONTROL</x:v>
      </x:c>
      <x:c r="B57" s="39" t="str">
        <x:v>HC-A-C</x:v>
      </x:c>
      <x:c r="C57" s="39" t="str">
        <x:v>Nominal</x:v>
      </x:c>
      <x:c r="D57" s="39" t="str">
        <x:v>Control</x:v>
      </x:c>
      <x:c r="E57" s="56" t="str">
        <x:v>5 local controllers; only passive status crosses the isolation seam</x:v>
      </x:c>
      <x:c r="F57" s="39" t="n">
        <x:v>5</x:v>
      </x:c>
      <x:c r="G57" s="39" t="n">
        <x:v>5</x:v>
      </x:c>
      <x:c r="H57" s="39" t="n">
        <x:v>0</x:v>
      </x:c>
      <x:c r="I57" s="39" t="n">
        <x:v>1</x:v>
      </x:c>
      <x:c r="J57" s="39" t="n">
        <x:v>1</x:v>
      </x:c>
      <x:c r="K57" s="39" t="n">
        <x:v>1</x:v>
      </x:c>
      <x:c r="L57" s="39" t="n">
        <x:v>1</x:v>
      </x:c>
      <x:c r="M57" s="39" t="str">
        <x:f>IF(AND(G57&gt;=F57,H57=0,I57=1,J57=1,K57=1,L57=1),"SPECIFIED / UNOBSERVED","REDESIGN")</x:f>
        <x:v>SPECIFIED / UNOBSERVED</x:v>
      </x:c>
    </x:row>
    <x:row r="58">
      <x:c r="A58" s="39" t="str">
        <x:v>HC-A-C-NO-CIVIL-RI</x:v>
      </x:c>
      <x:c r="B58" s="39" t="str">
        <x:v>HC-A-C</x:v>
      </x:c>
      <x:c r="C58" s="39" t="str">
        <x:v>Nominal</x:v>
      </x:c>
      <x:c r="D58" s="39" t="str">
        <x:v>Civil rights</x:v>
      </x:c>
      <x:c r="E58" s="56" t="str">
        <x:v>5 physically reachable notice, service, egress and remedy zones</x:v>
      </x:c>
      <x:c r="F58" s="39" t="n">
        <x:v>5</x:v>
      </x:c>
      <x:c r="G58" s="39" t="n">
        <x:v>5</x:v>
      </x:c>
      <x:c r="H58" s="39" t="n">
        <x:v>0</x:v>
      </x:c>
      <x:c r="I58" s="39" t="n">
        <x:v>1</x:v>
      </x:c>
      <x:c r="J58" s="39" t="n">
        <x:v>1</x:v>
      </x:c>
      <x:c r="K58" s="39" t="n">
        <x:v>1</x:v>
      </x:c>
      <x:c r="L58" s="39" t="n">
        <x:v>1</x:v>
      </x:c>
      <x:c r="M58" s="39" t="str">
        <x:f>IF(AND(G58&gt;=F58,H58=0,I58=1,J58=1,K58=1,L58=1),"SPECIFIED / UNOBSERVED","REDESIGN")</x:f>
        <x:v>SPECIFIED / UNOBSERVED</x:v>
      </x:c>
    </x:row>
    <x:row r="59">
      <x:c r="A59" s="39" t="str">
        <x:v>HC-A-C-NO-RESIDUAL</x:v>
      </x:c>
      <x:c r="B59" s="39" t="str">
        <x:v>HC-A-C</x:v>
      </x:c>
      <x:c r="C59" s="39" t="str">
        <x:v>Nominal</x:v>
      </x:c>
      <x:c r="D59" s="39" t="str">
        <x:v>Residual custody</x:v>
      </x:c>
      <x:c r="E59" s="56" t="str">
        <x:v>5 measured retain, quarantine, treatment and release paths</x:v>
      </x:c>
      <x:c r="F59" s="39" t="n">
        <x:v>5</x:v>
      </x:c>
      <x:c r="G59" s="39" t="n">
        <x:v>5</x:v>
      </x:c>
      <x:c r="H59" s="39" t="n">
        <x:v>0</x:v>
      </x:c>
      <x:c r="I59" s="39" t="n">
        <x:v>1</x:v>
      </x:c>
      <x:c r="J59" s="39" t="n">
        <x:v>1</x:v>
      </x:c>
      <x:c r="K59" s="39" t="n">
        <x:v>1</x:v>
      </x:c>
      <x:c r="L59" s="39" t="n">
        <x:v>1</x:v>
      </x:c>
      <x:c r="M59" s="39" t="str">
        <x:f>IF(AND(G59&gt;=F59,H59=0,I59=1,J59=1,K59=1,L59=1),"SPECIFIED / UNOBSERVED","REDESIGN")</x:f>
        <x:v>SPECIFIED / UNOBSERVED</x:v>
      </x:c>
    </x:row>
    <x:row r="60">
      <x:c r="A60" s="39" t="str">
        <x:v>HC-A-C-NO-SAFE-STA</x:v>
      </x:c>
      <x:c r="B60" s="39" t="str">
        <x:v>HC-A-C</x:v>
      </x:c>
      <x:c r="C60" s="39" t="str">
        <x:v>Nominal</x:v>
      </x:c>
      <x:c r="D60" s="39" t="str">
        <x:v>Safe state</x:v>
      </x:c>
      <x:c r="E60" s="56" t="str">
        <x:v>Local isolate, depressurize or de-energize, refuge, manual stop and lawful disposition</x:v>
      </x:c>
      <x:c r="F60" s="39" t="n">
        <x:v>5</x:v>
      </x:c>
      <x:c r="G60" s="39" t="n">
        <x:v>5</x:v>
      </x:c>
      <x:c r="H60" s="39" t="n">
        <x:v>0</x:v>
      </x:c>
      <x:c r="I60" s="39" t="n">
        <x:v>1</x:v>
      </x:c>
      <x:c r="J60" s="39" t="n">
        <x:v>1</x:v>
      </x:c>
      <x:c r="K60" s="39" t="n">
        <x:v>1</x:v>
      </x:c>
      <x:c r="L60" s="39" t="n">
        <x:v>1</x:v>
      </x:c>
      <x:c r="M60" s="39" t="str">
        <x:f>IF(AND(G60&gt;=F60,H60=0,I60=1,J60=1,K60=1,L60=1),"SPECIFIED / UNOBSERVED","REDESIGN")</x:f>
        <x:v>SPECIFIED / UNOBSERVED</x:v>
      </x:c>
    </x:row>
    <x:row r="61">
      <x:c r="A61" s="39" t="str">
        <x:v>HC-A-C-LA-GEOMETRY</x:v>
      </x:c>
      <x:c r="B61" s="39" t="str">
        <x:v>HC-A-C</x:v>
      </x:c>
      <x:c r="C61" s="39" t="str">
        <x:v>Largest-cell loss</x:v>
      </x:c>
      <x:c r="D61" s="39" t="str">
        <x:v>Geometry</x:v>
      </x:c>
      <x:c r="E61" s="56" t="str">
        <x:v>Five locally commanded rotor sectors with passive time-space deconfliction, two hot-zone exchange lanes per sector and independent protected-edge sensing.</x:v>
      </x:c>
      <x:c r="F61" s="39" t="n">
        <x:v>4</x:v>
      </x:c>
      <x:c r="G61" s="39" t="n">
        <x:v>4</x:v>
      </x:c>
      <x:c r="H61" s="39" t="n">
        <x:v>0</x:v>
      </x:c>
      <x:c r="I61" s="39" t="n">
        <x:v>1</x:v>
      </x:c>
      <x:c r="J61" s="39" t="n">
        <x:v>1</x:v>
      </x:c>
      <x:c r="K61" s="39" t="n">
        <x:v>1</x:v>
      </x:c>
      <x:c r="L61" s="39" t="n">
        <x:v>1</x:v>
      </x:c>
      <x:c r="M61" s="39" t="str">
        <x:f>IF(AND(G61&gt;=F61,H61=0,I61=1,J61=1,K61=1,L61=1),"SPECIFIED / UNOBSERVED","REDESIGN")</x:f>
        <x:v>SPECIFIED / UNOBSERVED</x:v>
      </x:c>
    </x:row>
    <x:row r="62">
      <x:c r="A62" s="39" t="str">
        <x:v>HC-A-C-LA-LOAD-PAT</x:v>
      </x:c>
      <x:c r="B62" s="39" t="str">
        <x:v>HC-A-C</x:v>
      </x:c>
      <x:c r="C62" s="39" t="str">
        <x:v>Largest-cell loss</x:v>
      </x:c>
      <x:c r="D62" s="39" t="str">
        <x:v>Load path</x:v>
      </x:c>
      <x:c r="E62" s="56" t="str">
        <x:v>Complete 5-path service chain with no active common transfer junction</x:v>
      </x:c>
      <x:c r="F62" s="39" t="n">
        <x:v>4</x:v>
      </x:c>
      <x:c r="G62" s="39" t="n">
        <x:v>4</x:v>
      </x:c>
      <x:c r="H62" s="39" t="n">
        <x:v>0</x:v>
      </x:c>
      <x:c r="I62" s="39" t="n">
        <x:v>1</x:v>
      </x:c>
      <x:c r="J62" s="39" t="n">
        <x:v>1</x:v>
      </x:c>
      <x:c r="K62" s="39" t="n">
        <x:v>1</x:v>
      </x:c>
      <x:c r="L62" s="39" t="n">
        <x:v>1</x:v>
      </x:c>
      <x:c r="M62" s="39" t="str">
        <x:f>IF(AND(G62&gt;=F62,H62=0,I62=1,J62=1,K62=1,L62=1),"SPECIFIED / UNOBSERVED","REDESIGN")</x:f>
        <x:v>SPECIFIED / UNOBSERVED</x:v>
      </x:c>
    </x:row>
    <x:row r="63">
      <x:c r="A63" s="39" t="str">
        <x:v>HC-A-C-LA-CONTROL</x:v>
      </x:c>
      <x:c r="B63" s="39" t="str">
        <x:v>HC-A-C</x:v>
      </x:c>
      <x:c r="C63" s="39" t="str">
        <x:v>Largest-cell loss</x:v>
      </x:c>
      <x:c r="D63" s="39" t="str">
        <x:v>Control</x:v>
      </x:c>
      <x:c r="E63" s="56" t="str">
        <x:v>5 local controllers; only passive status crosses the isolation seam</x:v>
      </x:c>
      <x:c r="F63" s="39" t="n">
        <x:v>4</x:v>
      </x:c>
      <x:c r="G63" s="39" t="n">
        <x:v>4</x:v>
      </x:c>
      <x:c r="H63" s="39" t="n">
        <x:v>0</x:v>
      </x:c>
      <x:c r="I63" s="39" t="n">
        <x:v>1</x:v>
      </x:c>
      <x:c r="J63" s="39" t="n">
        <x:v>1</x:v>
      </x:c>
      <x:c r="K63" s="39" t="n">
        <x:v>1</x:v>
      </x:c>
      <x:c r="L63" s="39" t="n">
        <x:v>1</x:v>
      </x:c>
      <x:c r="M63" s="39" t="str">
        <x:f>IF(AND(G63&gt;=F63,H63=0,I63=1,J63=1,K63=1,L63=1),"SPECIFIED / UNOBSERVED","REDESIGN")</x:f>
        <x:v>SPECIFIED / UNOBSERVED</x:v>
      </x:c>
    </x:row>
    <x:row r="64">
      <x:c r="A64" s="39" t="str">
        <x:v>HC-A-C-LA-CIVIL-RI</x:v>
      </x:c>
      <x:c r="B64" s="39" t="str">
        <x:v>HC-A-C</x:v>
      </x:c>
      <x:c r="C64" s="39" t="str">
        <x:v>Largest-cell loss</x:v>
      </x:c>
      <x:c r="D64" s="39" t="str">
        <x:v>Civil rights</x:v>
      </x:c>
      <x:c r="E64" s="56" t="str">
        <x:v>5 physically reachable notice, service, egress and remedy zones</x:v>
      </x:c>
      <x:c r="F64" s="39" t="n">
        <x:v>4</x:v>
      </x:c>
      <x:c r="G64" s="39" t="n">
        <x:v>4</x:v>
      </x:c>
      <x:c r="H64" s="39" t="n">
        <x:v>0</x:v>
      </x:c>
      <x:c r="I64" s="39" t="n">
        <x:v>1</x:v>
      </x:c>
      <x:c r="J64" s="39" t="n">
        <x:v>1</x:v>
      </x:c>
      <x:c r="K64" s="39" t="n">
        <x:v>1</x:v>
      </x:c>
      <x:c r="L64" s="39" t="n">
        <x:v>1</x:v>
      </x:c>
      <x:c r="M64" s="39" t="str">
        <x:f>IF(AND(G64&gt;=F64,H64=0,I64=1,J64=1,K64=1,L64=1),"SPECIFIED / UNOBSERVED","REDESIGN")</x:f>
        <x:v>SPECIFIED / UNOBSERVED</x:v>
      </x:c>
    </x:row>
    <x:row r="65">
      <x:c r="A65" s="39" t="str">
        <x:v>HC-A-C-LA-RESIDUAL</x:v>
      </x:c>
      <x:c r="B65" s="39" t="str">
        <x:v>HC-A-C</x:v>
      </x:c>
      <x:c r="C65" s="39" t="str">
        <x:v>Largest-cell loss</x:v>
      </x:c>
      <x:c r="D65" s="39" t="str">
        <x:v>Residual custody</x:v>
      </x:c>
      <x:c r="E65" s="56" t="str">
        <x:v>5 measured retain, quarantine, treatment and release paths</x:v>
      </x:c>
      <x:c r="F65" s="39" t="n">
        <x:v>4</x:v>
      </x:c>
      <x:c r="G65" s="39" t="n">
        <x:v>4</x:v>
      </x:c>
      <x:c r="H65" s="39" t="n">
        <x:v>0</x:v>
      </x:c>
      <x:c r="I65" s="39" t="n">
        <x:v>1</x:v>
      </x:c>
      <x:c r="J65" s="39" t="n">
        <x:v>1</x:v>
      </x:c>
      <x:c r="K65" s="39" t="n">
        <x:v>1</x:v>
      </x:c>
      <x:c r="L65" s="39" t="n">
        <x:v>1</x:v>
      </x:c>
      <x:c r="M65" s="39" t="str">
        <x:f>IF(AND(G65&gt;=F65,H65=0,I65=1,J65=1,K65=1,L65=1),"SPECIFIED / UNOBSERVED","REDESIGN")</x:f>
        <x:v>SPECIFIED / UNOBSERVED</x:v>
      </x:c>
    </x:row>
    <x:row r="66">
      <x:c r="A66" s="39" t="str">
        <x:v>HC-A-C-LA-SAFE-STA</x:v>
      </x:c>
      <x:c r="B66" s="39" t="str">
        <x:v>HC-A-C</x:v>
      </x:c>
      <x:c r="C66" s="39" t="str">
        <x:v>Largest-cell loss</x:v>
      </x:c>
      <x:c r="D66" s="39" t="str">
        <x:v>Safe state</x:v>
      </x:c>
      <x:c r="E66" s="56" t="str">
        <x:v>Local isolate, depressurize or de-energize, refuge, manual stop and lawful disposition</x:v>
      </x:c>
      <x:c r="F66" s="39" t="n">
        <x:v>4</x:v>
      </x:c>
      <x:c r="G66" s="39" t="n">
        <x:v>4</x:v>
      </x:c>
      <x:c r="H66" s="39" t="n">
        <x:v>0</x:v>
      </x:c>
      <x:c r="I66" s="39" t="n">
        <x:v>1</x:v>
      </x:c>
      <x:c r="J66" s="39" t="n">
        <x:v>1</x:v>
      </x:c>
      <x:c r="K66" s="39" t="n">
        <x:v>1</x:v>
      </x:c>
      <x:c r="L66" s="39" t="n">
        <x:v>1</x:v>
      </x:c>
      <x:c r="M66" s="39" t="str">
        <x:f>IF(AND(G66&gt;=F66,H66=0,I66=1,J66=1,K66=1,L66=1),"SPECIFIED / UNOBSERVED","REDESIGN")</x:f>
        <x:v>SPECIFIED / UNOBSERVED</x:v>
      </x:c>
    </x:row>
    <x:row r="67">
      <x:c r="A67" s="39" t="str">
        <x:v>HC-A-C-FA-GEOMETRY</x:v>
      </x:c>
      <x:c r="B67" s="39" t="str">
        <x:v>HC-A-C</x:v>
      </x:c>
      <x:c r="C67" s="39" t="str">
        <x:v>Fatal-keystone</x:v>
      </x:c>
      <x:c r="D67" s="39" t="str">
        <x:v>Geometry</x:v>
      </x:c>
      <x:c r="E67" s="56" t="str">
        <x:v>Five locally commanded rotor sectors with passive time-space deconfliction, two hot-zone exchange lanes per sector and independent protected-edge sensing.</x:v>
      </x:c>
      <x:c r="F67" s="39" t="n">
        <x:v>4</x:v>
      </x:c>
      <x:c r="G67" s="39" t="n">
        <x:v>4</x:v>
      </x:c>
      <x:c r="H67" s="39" t="n">
        <x:v>0</x:v>
      </x:c>
      <x:c r="I67" s="39" t="n">
        <x:v>1</x:v>
      </x:c>
      <x:c r="J67" s="39" t="n">
        <x:v>1</x:v>
      </x:c>
      <x:c r="K67" s="39" t="n">
        <x:v>1</x:v>
      </x:c>
      <x:c r="L67" s="39" t="n">
        <x:v>1</x:v>
      </x:c>
      <x:c r="M67" s="39" t="str">
        <x:f>IF(AND(G67&gt;=F67,H67=0,I67=1,J67=1,K67=1,L67=1),"SPECIFIED / UNOBSERVED","REDESIGN")</x:f>
        <x:v>SPECIFIED / UNOBSERVED</x:v>
      </x:c>
    </x:row>
    <x:row r="68">
      <x:c r="A68" s="39" t="str">
        <x:v>HC-A-C-FA-LOAD-PAT</x:v>
      </x:c>
      <x:c r="B68" s="39" t="str">
        <x:v>HC-A-C</x:v>
      </x:c>
      <x:c r="C68" s="39" t="str">
        <x:v>Fatal-keystone</x:v>
      </x:c>
      <x:c r="D68" s="39" t="str">
        <x:v>Load path</x:v>
      </x:c>
      <x:c r="E68" s="56" t="str">
        <x:v>Complete 5-path service chain with no active common transfer junction</x:v>
      </x:c>
      <x:c r="F68" s="39" t="n">
        <x:v>4</x:v>
      </x:c>
      <x:c r="G68" s="39" t="n">
        <x:v>4</x:v>
      </x:c>
      <x:c r="H68" s="39" t="n">
        <x:v>0</x:v>
      </x:c>
      <x:c r="I68" s="39" t="n">
        <x:v>1</x:v>
      </x:c>
      <x:c r="J68" s="39" t="n">
        <x:v>1</x:v>
      </x:c>
      <x:c r="K68" s="39" t="n">
        <x:v>1</x:v>
      </x:c>
      <x:c r="L68" s="39" t="n">
        <x:v>1</x:v>
      </x:c>
      <x:c r="M68" s="39" t="str">
        <x:f>IF(AND(G68&gt;=F68,H68=0,I68=1,J68=1,K68=1,L68=1),"SPECIFIED / UNOBSERVED","REDESIGN")</x:f>
        <x:v>SPECIFIED / UNOBSERVED</x:v>
      </x:c>
    </x:row>
    <x:row r="69">
      <x:c r="A69" s="39" t="str">
        <x:v>HC-A-C-FA-CONTROL</x:v>
      </x:c>
      <x:c r="B69" s="39" t="str">
        <x:v>HC-A-C</x:v>
      </x:c>
      <x:c r="C69" s="39" t="str">
        <x:v>Fatal-keystone</x:v>
      </x:c>
      <x:c r="D69" s="39" t="str">
        <x:v>Control</x:v>
      </x:c>
      <x:c r="E69" s="56" t="str">
        <x:v>5 local controllers; only passive status crosses the isolation seam</x:v>
      </x:c>
      <x:c r="F69" s="39" t="n">
        <x:v>4</x:v>
      </x:c>
      <x:c r="G69" s="39" t="n">
        <x:v>4</x:v>
      </x:c>
      <x:c r="H69" s="39" t="n">
        <x:v>0</x:v>
      </x:c>
      <x:c r="I69" s="39" t="n">
        <x:v>1</x:v>
      </x:c>
      <x:c r="J69" s="39" t="n">
        <x:v>1</x:v>
      </x:c>
      <x:c r="K69" s="39" t="n">
        <x:v>1</x:v>
      </x:c>
      <x:c r="L69" s="39" t="n">
        <x:v>1</x:v>
      </x:c>
      <x:c r="M69" s="39" t="str">
        <x:f>IF(AND(G69&gt;=F69,H69=0,I69=1,J69=1,K69=1,L69=1),"SPECIFIED / UNOBSERVED","REDESIGN")</x:f>
        <x:v>SPECIFIED / UNOBSERVED</x:v>
      </x:c>
    </x:row>
    <x:row r="70">
      <x:c r="A70" s="39" t="str">
        <x:v>HC-A-C-FA-CIVIL-RI</x:v>
      </x:c>
      <x:c r="B70" s="39" t="str">
        <x:v>HC-A-C</x:v>
      </x:c>
      <x:c r="C70" s="39" t="str">
        <x:v>Fatal-keystone</x:v>
      </x:c>
      <x:c r="D70" s="39" t="str">
        <x:v>Civil rights</x:v>
      </x:c>
      <x:c r="E70" s="56" t="str">
        <x:v>5 physically reachable notice, service, egress and remedy zones</x:v>
      </x:c>
      <x:c r="F70" s="39" t="n">
        <x:v>4</x:v>
      </x:c>
      <x:c r="G70" s="39" t="n">
        <x:v>4</x:v>
      </x:c>
      <x:c r="H70" s="39" t="n">
        <x:v>0</x:v>
      </x:c>
      <x:c r="I70" s="39" t="n">
        <x:v>1</x:v>
      </x:c>
      <x:c r="J70" s="39" t="n">
        <x:v>1</x:v>
      </x:c>
      <x:c r="K70" s="39" t="n">
        <x:v>1</x:v>
      </x:c>
      <x:c r="L70" s="39" t="n">
        <x:v>1</x:v>
      </x:c>
      <x:c r="M70" s="39" t="str">
        <x:f>IF(AND(G70&gt;=F70,H70=0,I70=1,J70=1,K70=1,L70=1),"SPECIFIED / UNOBSERVED","REDESIGN")</x:f>
        <x:v>SPECIFIED / UNOBSERVED</x:v>
      </x:c>
    </x:row>
    <x:row r="71">
      <x:c r="A71" s="39" t="str">
        <x:v>HC-A-C-FA-RESIDUAL</x:v>
      </x:c>
      <x:c r="B71" s="39" t="str">
        <x:v>HC-A-C</x:v>
      </x:c>
      <x:c r="C71" s="39" t="str">
        <x:v>Fatal-keystone</x:v>
      </x:c>
      <x:c r="D71" s="39" t="str">
        <x:v>Residual custody</x:v>
      </x:c>
      <x:c r="E71" s="56" t="str">
        <x:v>5 measured retain, quarantine, treatment and release paths</x:v>
      </x:c>
      <x:c r="F71" s="39" t="n">
        <x:v>4</x:v>
      </x:c>
      <x:c r="G71" s="39" t="n">
        <x:v>4</x:v>
      </x:c>
      <x:c r="H71" s="39" t="n">
        <x:v>0</x:v>
      </x:c>
      <x:c r="I71" s="39" t="n">
        <x:v>1</x:v>
      </x:c>
      <x:c r="J71" s="39" t="n">
        <x:v>1</x:v>
      </x:c>
      <x:c r="K71" s="39" t="n">
        <x:v>1</x:v>
      </x:c>
      <x:c r="L71" s="39" t="n">
        <x:v>1</x:v>
      </x:c>
      <x:c r="M71" s="39" t="str">
        <x:f>IF(AND(G71&gt;=F71,H71=0,I71=1,J71=1,K71=1,L71=1),"SPECIFIED / UNOBSERVED","REDESIGN")</x:f>
        <x:v>SPECIFIED / UNOBSERVED</x:v>
      </x:c>
    </x:row>
    <x:row r="72">
      <x:c r="A72" s="39" t="str">
        <x:v>HC-A-C-FA-SAFE-STA</x:v>
      </x:c>
      <x:c r="B72" s="39" t="str">
        <x:v>HC-A-C</x:v>
      </x:c>
      <x:c r="C72" s="39" t="str">
        <x:v>Fatal-keystone</x:v>
      </x:c>
      <x:c r="D72" s="39" t="str">
        <x:v>Safe state</x:v>
      </x:c>
      <x:c r="E72" s="56" t="str">
        <x:v>Local isolate, depressurize or de-energize, refuge, manual stop and lawful disposition</x:v>
      </x:c>
      <x:c r="F72" s="39" t="n">
        <x:v>4</x:v>
      </x:c>
      <x:c r="G72" s="39" t="n">
        <x:v>4</x:v>
      </x:c>
      <x:c r="H72" s="39" t="n">
        <x:v>0</x:v>
      </x:c>
      <x:c r="I72" s="39" t="n">
        <x:v>1</x:v>
      </x:c>
      <x:c r="J72" s="39" t="n">
        <x:v>1</x:v>
      </x:c>
      <x:c r="K72" s="39" t="n">
        <x:v>1</x:v>
      </x:c>
      <x:c r="L72" s="39" t="n">
        <x:v>1</x:v>
      </x:c>
      <x:c r="M72" s="39" t="str">
        <x:f>IF(AND(G72&gt;=F72,H72=0,I72=1,J72=1,K72=1,L72=1),"SPECIFIED / UNOBSERVED","REDESIGN")</x:f>
        <x:v>SPECIFIED / UNOBSERVED</x:v>
      </x:c>
    </x:row>
    <x:row r="73">
      <x:c r="A73" s="39" t="str">
        <x:v>HC-A-C-CO-GEOMETRY</x:v>
      </x:c>
      <x:c r="B73" s="39" t="str">
        <x:v>HC-A-C</x:v>
      </x:c>
      <x:c r="C73" s="39" t="str">
        <x:v>Cold reconstruction</x:v>
      </x:c>
      <x:c r="D73" s="39" t="str">
        <x:v>Geometry</x:v>
      </x:c>
      <x:c r="E73" s="56" t="str">
        <x:v>Five locally commanded rotor sectors with passive time-space deconfliction, two hot-zone exchange lanes per sector and independent protected-edge sensing.</x:v>
      </x:c>
      <x:c r="F73" s="39" t="n">
        <x:v>1</x:v>
      </x:c>
      <x:c r="G73" s="39" t="n">
        <x:v>1</x:v>
      </x:c>
      <x:c r="H73" s="39" t="n">
        <x:v>0</x:v>
      </x:c>
      <x:c r="I73" s="39" t="n">
        <x:v>1</x:v>
      </x:c>
      <x:c r="J73" s="39" t="n">
        <x:v>1</x:v>
      </x:c>
      <x:c r="K73" s="39" t="n">
        <x:v>1</x:v>
      </x:c>
      <x:c r="L73" s="39" t="n">
        <x:v>1</x:v>
      </x:c>
      <x:c r="M73" s="39" t="str">
        <x:f>IF(AND(G73&gt;=F73,H73=0,I73=1,J73=1,K73=1,L73=1),"SPECIFIED / UNOBSERVED","REDESIGN")</x:f>
        <x:v>SPECIFIED / UNOBSERVED</x:v>
      </x:c>
    </x:row>
    <x:row r="74">
      <x:c r="A74" s="39" t="str">
        <x:v>HC-A-C-CO-LOAD-PAT</x:v>
      </x:c>
      <x:c r="B74" s="39" t="str">
        <x:v>HC-A-C</x:v>
      </x:c>
      <x:c r="C74" s="39" t="str">
        <x:v>Cold reconstruction</x:v>
      </x:c>
      <x:c r="D74" s="39" t="str">
        <x:v>Load path</x:v>
      </x:c>
      <x:c r="E74" s="56" t="str">
        <x:v>Complete 5-path service chain with no active common transfer junction</x:v>
      </x:c>
      <x:c r="F74" s="39" t="n">
        <x:v>1</x:v>
      </x:c>
      <x:c r="G74" s="39" t="n">
        <x:v>1</x:v>
      </x:c>
      <x:c r="H74" s="39" t="n">
        <x:v>0</x:v>
      </x:c>
      <x:c r="I74" s="39" t="n">
        <x:v>1</x:v>
      </x:c>
      <x:c r="J74" s="39" t="n">
        <x:v>1</x:v>
      </x:c>
      <x:c r="K74" s="39" t="n">
        <x:v>1</x:v>
      </x:c>
      <x:c r="L74" s="39" t="n">
        <x:v>1</x:v>
      </x:c>
      <x:c r="M74" s="39" t="str">
        <x:f>IF(AND(G74&gt;=F74,H74=0,I74=1,J74=1,K74=1,L74=1),"SPECIFIED / UNOBSERVED","REDESIGN")</x:f>
        <x:v>SPECIFIED / UNOBSERVED</x:v>
      </x:c>
    </x:row>
    <x:row r="75">
      <x:c r="A75" s="39" t="str">
        <x:v>HC-A-C-CO-CONTROL</x:v>
      </x:c>
      <x:c r="B75" s="39" t="str">
        <x:v>HC-A-C</x:v>
      </x:c>
      <x:c r="C75" s="39" t="str">
        <x:v>Cold reconstruction</x:v>
      </x:c>
      <x:c r="D75" s="39" t="str">
        <x:v>Control</x:v>
      </x:c>
      <x:c r="E75" s="56" t="str">
        <x:v>5 local controllers; only passive status crosses the isolation seam</x:v>
      </x:c>
      <x:c r="F75" s="39" t="n">
        <x:v>1</x:v>
      </x:c>
      <x:c r="G75" s="39" t="n">
        <x:v>1</x:v>
      </x:c>
      <x:c r="H75" s="39" t="n">
        <x:v>0</x:v>
      </x:c>
      <x:c r="I75" s="39" t="n">
        <x:v>1</x:v>
      </x:c>
      <x:c r="J75" s="39" t="n">
        <x:v>1</x:v>
      </x:c>
      <x:c r="K75" s="39" t="n">
        <x:v>1</x:v>
      </x:c>
      <x:c r="L75" s="39" t="n">
        <x:v>1</x:v>
      </x:c>
      <x:c r="M75" s="39" t="str">
        <x:f>IF(AND(G75&gt;=F75,H75=0,I75=1,J75=1,K75=1,L75=1),"SPECIFIED / UNOBSERVED","REDESIGN")</x:f>
        <x:v>SPECIFIED / UNOBSERVED</x:v>
      </x:c>
    </x:row>
    <x:row r="76">
      <x:c r="A76" s="39" t="str">
        <x:v>HC-A-C-CO-CIVIL-RI</x:v>
      </x:c>
      <x:c r="B76" s="39" t="str">
        <x:v>HC-A-C</x:v>
      </x:c>
      <x:c r="C76" s="39" t="str">
        <x:v>Cold reconstruction</x:v>
      </x:c>
      <x:c r="D76" s="39" t="str">
        <x:v>Civil rights</x:v>
      </x:c>
      <x:c r="E76" s="56" t="str">
        <x:v>5 physically reachable notice, service, egress and remedy zones</x:v>
      </x:c>
      <x:c r="F76" s="39" t="n">
        <x:v>1</x:v>
      </x:c>
      <x:c r="G76" s="39" t="n">
        <x:v>1</x:v>
      </x:c>
      <x:c r="H76" s="39" t="n">
        <x:v>0</x:v>
      </x:c>
      <x:c r="I76" s="39" t="n">
        <x:v>1</x:v>
      </x:c>
      <x:c r="J76" s="39" t="n">
        <x:v>1</x:v>
      </x:c>
      <x:c r="K76" s="39" t="n">
        <x:v>1</x:v>
      </x:c>
      <x:c r="L76" s="39" t="n">
        <x:v>1</x:v>
      </x:c>
      <x:c r="M76" s="39" t="str">
        <x:f>IF(AND(G76&gt;=F76,H76=0,I76=1,J76=1,K76=1,L76=1),"SPECIFIED / UNOBSERVED","REDESIGN")</x:f>
        <x:v>SPECIFIED / UNOBSERVED</x:v>
      </x:c>
    </x:row>
    <x:row r="77">
      <x:c r="A77" s="39" t="str">
        <x:v>HC-A-C-CO-RESIDUAL</x:v>
      </x:c>
      <x:c r="B77" s="39" t="str">
        <x:v>HC-A-C</x:v>
      </x:c>
      <x:c r="C77" s="39" t="str">
        <x:v>Cold reconstruction</x:v>
      </x:c>
      <x:c r="D77" s="39" t="str">
        <x:v>Residual custody</x:v>
      </x:c>
      <x:c r="E77" s="56" t="str">
        <x:v>5 measured retain, quarantine, treatment and release paths</x:v>
      </x:c>
      <x:c r="F77" s="39" t="n">
        <x:v>1</x:v>
      </x:c>
      <x:c r="G77" s="39" t="n">
        <x:v>1</x:v>
      </x:c>
      <x:c r="H77" s="39" t="n">
        <x:v>0</x:v>
      </x:c>
      <x:c r="I77" s="39" t="n">
        <x:v>1</x:v>
      </x:c>
      <x:c r="J77" s="39" t="n">
        <x:v>1</x:v>
      </x:c>
      <x:c r="K77" s="39" t="n">
        <x:v>1</x:v>
      </x:c>
      <x:c r="L77" s="39" t="n">
        <x:v>1</x:v>
      </x:c>
      <x:c r="M77" s="39" t="str">
        <x:f>IF(AND(G77&gt;=F77,H77=0,I77=1,J77=1,K77=1,L77=1),"SPECIFIED / UNOBSERVED","REDESIGN")</x:f>
        <x:v>SPECIFIED / UNOBSERVED</x:v>
      </x:c>
    </x:row>
    <x:row r="78">
      <x:c r="A78" s="39" t="str">
        <x:v>HC-A-C-CO-SAFE-STA</x:v>
      </x:c>
      <x:c r="B78" s="39" t="str">
        <x:v>HC-A-C</x:v>
      </x:c>
      <x:c r="C78" s="39" t="str">
        <x:v>Cold reconstruction</x:v>
      </x:c>
      <x:c r="D78" s="39" t="str">
        <x:v>Safe state</x:v>
      </x:c>
      <x:c r="E78" s="56" t="str">
        <x:v>Local isolate, depressurize or de-energize, refuge, manual stop and lawful disposition</x:v>
      </x:c>
      <x:c r="F78" s="39" t="n">
        <x:v>1</x:v>
      </x:c>
      <x:c r="G78" s="39" t="n">
        <x:v>1</x:v>
      </x:c>
      <x:c r="H78" s="39" t="n">
        <x:v>0</x:v>
      </x:c>
      <x:c r="I78" s="39" t="n">
        <x:v>1</x:v>
      </x:c>
      <x:c r="J78" s="39" t="n">
        <x:v>1</x:v>
      </x:c>
      <x:c r="K78" s="39" t="n">
        <x:v>1</x:v>
      </x:c>
      <x:c r="L78" s="39" t="n">
        <x:v>1</x:v>
      </x:c>
      <x:c r="M78" s="39" t="str">
        <x:f>IF(AND(G78&gt;=F78,H78=0,I78=1,J78=1,K78=1,L78=1),"SPECIFIED / UNOBSERVED","REDESIGN")</x:f>
        <x:v>SPECIFIED / UNOBSERVED</x:v>
      </x:c>
    </x:row>
    <x:row r="79">
      <x:c r="A79" s="39" t="str">
        <x:v>LF-B-A-NO-GEOMETRY</x:v>
      </x:c>
      <x:c r="B79" s="39" t="str">
        <x:v>LF-B-A</x:v>
      </x:c>
      <x:c r="C79" s="39" t="str">
        <x:v>Nominal</x:v>
      </x:c>
      <x:c r="D79" s="39" t="str">
        <x:v>Geometry</x:v>
      </x:c>
      <x:c r="E79" s="56" t="str">
        <x:v>Four complete conversion islands each own bore pairs, heat rejection and brine isolation. Three passive product buffers feed two separated delivery paths without an active common header.</x:v>
      </x:c>
      <x:c r="F79" s="39" t="n">
        <x:v>4</x:v>
      </x:c>
      <x:c r="G79" s="39" t="n">
        <x:v>4</x:v>
      </x:c>
      <x:c r="H79" s="39" t="n">
        <x:v>0</x:v>
      </x:c>
      <x:c r="I79" s="39" t="n">
        <x:v>1</x:v>
      </x:c>
      <x:c r="J79" s="39" t="n">
        <x:v>1</x:v>
      </x:c>
      <x:c r="K79" s="39" t="n">
        <x:v>1</x:v>
      </x:c>
      <x:c r="L79" s="39" t="n">
        <x:v>1</x:v>
      </x:c>
      <x:c r="M79" s="39" t="str">
        <x:f>IF(AND(G79&gt;=F79,H79=0,I79=1,J79=1,K79=1,L79=1),"SPECIFIED / UNOBSERVED","REDESIGN")</x:f>
        <x:v>SPECIFIED / UNOBSERVED</x:v>
      </x:c>
    </x:row>
    <x:row r="80">
      <x:c r="A80" s="39" t="str">
        <x:v>LF-B-A-NO-LOAD-PAT</x:v>
      </x:c>
      <x:c r="B80" s="39" t="str">
        <x:v>LF-B-A</x:v>
      </x:c>
      <x:c r="C80" s="39" t="str">
        <x:v>Nominal</x:v>
      </x:c>
      <x:c r="D80" s="39" t="str">
        <x:v>Load path</x:v>
      </x:c>
      <x:c r="E80" s="56" t="str">
        <x:v>Complete 4-path service chain with no active common transfer junction</x:v>
      </x:c>
      <x:c r="F80" s="39" t="n">
        <x:v>4</x:v>
      </x:c>
      <x:c r="G80" s="39" t="n">
        <x:v>4</x:v>
      </x:c>
      <x:c r="H80" s="39" t="n">
        <x:v>0</x:v>
      </x:c>
      <x:c r="I80" s="39" t="n">
        <x:v>1</x:v>
      </x:c>
      <x:c r="J80" s="39" t="n">
        <x:v>1</x:v>
      </x:c>
      <x:c r="K80" s="39" t="n">
        <x:v>1</x:v>
      </x:c>
      <x:c r="L80" s="39" t="n">
        <x:v>1</x:v>
      </x:c>
      <x:c r="M80" s="39" t="str">
        <x:f>IF(AND(G80&gt;=F80,H80=0,I80=1,J80=1,K80=1,L80=1),"SPECIFIED / UNOBSERVED","REDESIGN")</x:f>
        <x:v>SPECIFIED / UNOBSERVED</x:v>
      </x:c>
    </x:row>
    <x:row r="81">
      <x:c r="A81" s="39" t="str">
        <x:v>LF-B-A-NO-CONTROL</x:v>
      </x:c>
      <x:c r="B81" s="39" t="str">
        <x:v>LF-B-A</x:v>
      </x:c>
      <x:c r="C81" s="39" t="str">
        <x:v>Nominal</x:v>
      </x:c>
      <x:c r="D81" s="39" t="str">
        <x:v>Control</x:v>
      </x:c>
      <x:c r="E81" s="56" t="str">
        <x:v>4 local controllers; only passive status crosses the isolation seam</x:v>
      </x:c>
      <x:c r="F81" s="39" t="n">
        <x:v>4</x:v>
      </x:c>
      <x:c r="G81" s="39" t="n">
        <x:v>4</x:v>
      </x:c>
      <x:c r="H81" s="39" t="n">
        <x:v>0</x:v>
      </x:c>
      <x:c r="I81" s="39" t="n">
        <x:v>1</x:v>
      </x:c>
      <x:c r="J81" s="39" t="n">
        <x:v>1</x:v>
      </x:c>
      <x:c r="K81" s="39" t="n">
        <x:v>1</x:v>
      </x:c>
      <x:c r="L81" s="39" t="n">
        <x:v>1</x:v>
      </x:c>
      <x:c r="M81" s="39" t="str">
        <x:f>IF(AND(G81&gt;=F81,H81=0,I81=1,J81=1,K81=1,L81=1),"SPECIFIED / UNOBSERVED","REDESIGN")</x:f>
        <x:v>SPECIFIED / UNOBSERVED</x:v>
      </x:c>
    </x:row>
    <x:row r="82">
      <x:c r="A82" s="39" t="str">
        <x:v>LF-B-A-NO-CIVIL-RI</x:v>
      </x:c>
      <x:c r="B82" s="39" t="str">
        <x:v>LF-B-A</x:v>
      </x:c>
      <x:c r="C82" s="39" t="str">
        <x:v>Nominal</x:v>
      </x:c>
      <x:c r="D82" s="39" t="str">
        <x:v>Civil rights</x:v>
      </x:c>
      <x:c r="E82" s="56" t="str">
        <x:v>4 physically reachable notice, service, egress and remedy zones</x:v>
      </x:c>
      <x:c r="F82" s="39" t="n">
        <x:v>4</x:v>
      </x:c>
      <x:c r="G82" s="39" t="n">
        <x:v>4</x:v>
      </x:c>
      <x:c r="H82" s="39" t="n">
        <x:v>0</x:v>
      </x:c>
      <x:c r="I82" s="39" t="n">
        <x:v>1</x:v>
      </x:c>
      <x:c r="J82" s="39" t="n">
        <x:v>1</x:v>
      </x:c>
      <x:c r="K82" s="39" t="n">
        <x:v>1</x:v>
      </x:c>
      <x:c r="L82" s="39" t="n">
        <x:v>1</x:v>
      </x:c>
      <x:c r="M82" s="39" t="str">
        <x:f>IF(AND(G82&gt;=F82,H82=0,I82=1,J82=1,K82=1,L82=1),"SPECIFIED / UNOBSERVED","REDESIGN")</x:f>
        <x:v>SPECIFIED / UNOBSERVED</x:v>
      </x:c>
    </x:row>
    <x:row r="83">
      <x:c r="A83" s="39" t="str">
        <x:v>LF-B-A-NO-RESIDUAL</x:v>
      </x:c>
      <x:c r="B83" s="39" t="str">
        <x:v>LF-B-A</x:v>
      </x:c>
      <x:c r="C83" s="39" t="str">
        <x:v>Nominal</x:v>
      </x:c>
      <x:c r="D83" s="39" t="str">
        <x:v>Residual custody</x:v>
      </x:c>
      <x:c r="E83" s="56" t="str">
        <x:v>3 measured retain, quarantine, treatment and release paths</x:v>
      </x:c>
      <x:c r="F83" s="39" t="n">
        <x:v>3</x:v>
      </x:c>
      <x:c r="G83" s="39" t="n">
        <x:v>3</x:v>
      </x:c>
      <x:c r="H83" s="39" t="n">
        <x:v>0</x:v>
      </x:c>
      <x:c r="I83" s="39" t="n">
        <x:v>1</x:v>
      </x:c>
      <x:c r="J83" s="39" t="n">
        <x:v>1</x:v>
      </x:c>
      <x:c r="K83" s="39" t="n">
        <x:v>1</x:v>
      </x:c>
      <x:c r="L83" s="39" t="n">
        <x:v>1</x:v>
      </x:c>
      <x:c r="M83" s="39" t="str">
        <x:f>IF(AND(G83&gt;=F83,H83=0,I83=1,J83=1,K83=1,L83=1),"SPECIFIED / UNOBSERVED","REDESIGN")</x:f>
        <x:v>SPECIFIED / UNOBSERVED</x:v>
      </x:c>
    </x:row>
    <x:row r="84">
      <x:c r="A84" s="39" t="str">
        <x:v>LF-B-A-NO-SAFE-STA</x:v>
      </x:c>
      <x:c r="B84" s="39" t="str">
        <x:v>LF-B-A</x:v>
      </x:c>
      <x:c r="C84" s="39" t="str">
        <x:v>Nominal</x:v>
      </x:c>
      <x:c r="D84" s="39" t="str">
        <x:v>Safe state</x:v>
      </x:c>
      <x:c r="E84" s="56" t="str">
        <x:v>Local isolate, depressurize or de-energize, refuge, manual stop and lawful disposition</x:v>
      </x:c>
      <x:c r="F84" s="39" t="n">
        <x:v>4</x:v>
      </x:c>
      <x:c r="G84" s="39" t="n">
        <x:v>4</x:v>
      </x:c>
      <x:c r="H84" s="39" t="n">
        <x:v>0</x:v>
      </x:c>
      <x:c r="I84" s="39" t="n">
        <x:v>1</x:v>
      </x:c>
      <x:c r="J84" s="39" t="n">
        <x:v>1</x:v>
      </x:c>
      <x:c r="K84" s="39" t="n">
        <x:v>1</x:v>
      </x:c>
      <x:c r="L84" s="39" t="n">
        <x:v>1</x:v>
      </x:c>
      <x:c r="M84" s="39" t="str">
        <x:f>IF(AND(G84&gt;=F84,H84=0,I84=1,J84=1,K84=1,L84=1),"SPECIFIED / UNOBSERVED","REDESIGN")</x:f>
        <x:v>SPECIFIED / UNOBSERVED</x:v>
      </x:c>
    </x:row>
    <x:row r="85">
      <x:c r="A85" s="39" t="str">
        <x:v>LF-B-A-LA-GEOMETRY</x:v>
      </x:c>
      <x:c r="B85" s="39" t="str">
        <x:v>LF-B-A</x:v>
      </x:c>
      <x:c r="C85" s="39" t="str">
        <x:v>Largest-cell loss</x:v>
      </x:c>
      <x:c r="D85" s="39" t="str">
        <x:v>Geometry</x:v>
      </x:c>
      <x:c r="E85" s="56" t="str">
        <x:v>Four complete conversion islands each own bore pairs, heat rejection and brine isolation. Three passive product buffers feed two separated delivery paths without an active common header.</x:v>
      </x:c>
      <x:c r="F85" s="39" t="n">
        <x:v>3</x:v>
      </x:c>
      <x:c r="G85" s="39" t="n">
        <x:v>3</x:v>
      </x:c>
      <x:c r="H85" s="39" t="n">
        <x:v>0</x:v>
      </x:c>
      <x:c r="I85" s="39" t="n">
        <x:v>1</x:v>
      </x:c>
      <x:c r="J85" s="39" t="n">
        <x:v>1</x:v>
      </x:c>
      <x:c r="K85" s="39" t="n">
        <x:v>1</x:v>
      </x:c>
      <x:c r="L85" s="39" t="n">
        <x:v>1</x:v>
      </x:c>
      <x:c r="M85" s="39" t="str">
        <x:f>IF(AND(G85&gt;=F85,H85=0,I85=1,J85=1,K85=1,L85=1),"SPECIFIED / UNOBSERVED","REDESIGN")</x:f>
        <x:v>SPECIFIED / UNOBSERVED</x:v>
      </x:c>
    </x:row>
    <x:row r="86">
      <x:c r="A86" s="39" t="str">
        <x:v>LF-B-A-LA-LOAD-PAT</x:v>
      </x:c>
      <x:c r="B86" s="39" t="str">
        <x:v>LF-B-A</x:v>
      </x:c>
      <x:c r="C86" s="39" t="str">
        <x:v>Largest-cell loss</x:v>
      </x:c>
      <x:c r="D86" s="39" t="str">
        <x:v>Load path</x:v>
      </x:c>
      <x:c r="E86" s="56" t="str">
        <x:v>Complete 4-path service chain with no active common transfer junction</x:v>
      </x:c>
      <x:c r="F86" s="39" t="n">
        <x:v>3</x:v>
      </x:c>
      <x:c r="G86" s="39" t="n">
        <x:v>3</x:v>
      </x:c>
      <x:c r="H86" s="39" t="n">
        <x:v>0</x:v>
      </x:c>
      <x:c r="I86" s="39" t="n">
        <x:v>1</x:v>
      </x:c>
      <x:c r="J86" s="39" t="n">
        <x:v>1</x:v>
      </x:c>
      <x:c r="K86" s="39" t="n">
        <x:v>1</x:v>
      </x:c>
      <x:c r="L86" s="39" t="n">
        <x:v>1</x:v>
      </x:c>
      <x:c r="M86" s="39" t="str">
        <x:f>IF(AND(G86&gt;=F86,H86=0,I86=1,J86=1,K86=1,L86=1),"SPECIFIED / UNOBSERVED","REDESIGN")</x:f>
        <x:v>SPECIFIED / UNOBSERVED</x:v>
      </x:c>
    </x:row>
    <x:row r="87">
      <x:c r="A87" s="39" t="str">
        <x:v>LF-B-A-LA-CONTROL</x:v>
      </x:c>
      <x:c r="B87" s="39" t="str">
        <x:v>LF-B-A</x:v>
      </x:c>
      <x:c r="C87" s="39" t="str">
        <x:v>Largest-cell loss</x:v>
      </x:c>
      <x:c r="D87" s="39" t="str">
        <x:v>Control</x:v>
      </x:c>
      <x:c r="E87" s="56" t="str">
        <x:v>4 local controllers; only passive status crosses the isolation seam</x:v>
      </x:c>
      <x:c r="F87" s="39" t="n">
        <x:v>3</x:v>
      </x:c>
      <x:c r="G87" s="39" t="n">
        <x:v>3</x:v>
      </x:c>
      <x:c r="H87" s="39" t="n">
        <x:v>0</x:v>
      </x:c>
      <x:c r="I87" s="39" t="n">
        <x:v>1</x:v>
      </x:c>
      <x:c r="J87" s="39" t="n">
        <x:v>1</x:v>
      </x:c>
      <x:c r="K87" s="39" t="n">
        <x:v>1</x:v>
      </x:c>
      <x:c r="L87" s="39" t="n">
        <x:v>1</x:v>
      </x:c>
      <x:c r="M87" s="39" t="str">
        <x:f>IF(AND(G87&gt;=F87,H87=0,I87=1,J87=1,K87=1,L87=1),"SPECIFIED / UNOBSERVED","REDESIGN")</x:f>
        <x:v>SPECIFIED / UNOBSERVED</x:v>
      </x:c>
    </x:row>
    <x:row r="88">
      <x:c r="A88" s="39" t="str">
        <x:v>LF-B-A-LA-CIVIL-RI</x:v>
      </x:c>
      <x:c r="B88" s="39" t="str">
        <x:v>LF-B-A</x:v>
      </x:c>
      <x:c r="C88" s="39" t="str">
        <x:v>Largest-cell loss</x:v>
      </x:c>
      <x:c r="D88" s="39" t="str">
        <x:v>Civil rights</x:v>
      </x:c>
      <x:c r="E88" s="56" t="str">
        <x:v>4 physically reachable notice, service, egress and remedy zones</x:v>
      </x:c>
      <x:c r="F88" s="39" t="n">
        <x:v>3</x:v>
      </x:c>
      <x:c r="G88" s="39" t="n">
        <x:v>3</x:v>
      </x:c>
      <x:c r="H88" s="39" t="n">
        <x:v>0</x:v>
      </x:c>
      <x:c r="I88" s="39" t="n">
        <x:v>1</x:v>
      </x:c>
      <x:c r="J88" s="39" t="n">
        <x:v>1</x:v>
      </x:c>
      <x:c r="K88" s="39" t="n">
        <x:v>1</x:v>
      </x:c>
      <x:c r="L88" s="39" t="n">
        <x:v>1</x:v>
      </x:c>
      <x:c r="M88" s="39" t="str">
        <x:f>IF(AND(G88&gt;=F88,H88=0,I88=1,J88=1,K88=1,L88=1),"SPECIFIED / UNOBSERVED","REDESIGN")</x:f>
        <x:v>SPECIFIED / UNOBSERVED</x:v>
      </x:c>
    </x:row>
    <x:row r="89">
      <x:c r="A89" s="39" t="str">
        <x:v>LF-B-A-LA-RESIDUAL</x:v>
      </x:c>
      <x:c r="B89" s="39" t="str">
        <x:v>LF-B-A</x:v>
      </x:c>
      <x:c r="C89" s="39" t="str">
        <x:v>Largest-cell loss</x:v>
      </x:c>
      <x:c r="D89" s="39" t="str">
        <x:v>Residual custody</x:v>
      </x:c>
      <x:c r="E89" s="56" t="str">
        <x:v>3 measured retain, quarantine, treatment and release paths</x:v>
      </x:c>
      <x:c r="F89" s="39" t="n">
        <x:v>2</x:v>
      </x:c>
      <x:c r="G89" s="39" t="n">
        <x:v>2</x:v>
      </x:c>
      <x:c r="H89" s="39" t="n">
        <x:v>0</x:v>
      </x:c>
      <x:c r="I89" s="39" t="n">
        <x:v>1</x:v>
      </x:c>
      <x:c r="J89" s="39" t="n">
        <x:v>1</x:v>
      </x:c>
      <x:c r="K89" s="39" t="n">
        <x:v>1</x:v>
      </x:c>
      <x:c r="L89" s="39" t="n">
        <x:v>1</x:v>
      </x:c>
      <x:c r="M89" s="39" t="str">
        <x:f>IF(AND(G89&gt;=F89,H89=0,I89=1,J89=1,K89=1,L89=1),"SPECIFIED / UNOBSERVED","REDESIGN")</x:f>
        <x:v>SPECIFIED / UNOBSERVED</x:v>
      </x:c>
    </x:row>
    <x:row r="90">
      <x:c r="A90" s="39" t="str">
        <x:v>LF-B-A-LA-SAFE-STA</x:v>
      </x:c>
      <x:c r="B90" s="39" t="str">
        <x:v>LF-B-A</x:v>
      </x:c>
      <x:c r="C90" s="39" t="str">
        <x:v>Largest-cell loss</x:v>
      </x:c>
      <x:c r="D90" s="39" t="str">
        <x:v>Safe state</x:v>
      </x:c>
      <x:c r="E90" s="56" t="str">
        <x:v>Local isolate, depressurize or de-energize, refuge, manual stop and lawful disposition</x:v>
      </x:c>
      <x:c r="F90" s="39" t="n">
        <x:v>3</x:v>
      </x:c>
      <x:c r="G90" s="39" t="n">
        <x:v>3</x:v>
      </x:c>
      <x:c r="H90" s="39" t="n">
        <x:v>0</x:v>
      </x:c>
      <x:c r="I90" s="39" t="n">
        <x:v>1</x:v>
      </x:c>
      <x:c r="J90" s="39" t="n">
        <x:v>1</x:v>
      </x:c>
      <x:c r="K90" s="39" t="n">
        <x:v>1</x:v>
      </x:c>
      <x:c r="L90" s="39" t="n">
        <x:v>1</x:v>
      </x:c>
      <x:c r="M90" s="39" t="str">
        <x:f>IF(AND(G90&gt;=F90,H90=0,I90=1,J90=1,K90=1,L90=1),"SPECIFIED / UNOBSERVED","REDESIGN")</x:f>
        <x:v>SPECIFIED / UNOBSERVED</x:v>
      </x:c>
    </x:row>
    <x:row r="91">
      <x:c r="A91" s="39" t="str">
        <x:v>LF-B-A-FA-GEOMETRY</x:v>
      </x:c>
      <x:c r="B91" s="39" t="str">
        <x:v>LF-B-A</x:v>
      </x:c>
      <x:c r="C91" s="39" t="str">
        <x:v>Fatal-keystone</x:v>
      </x:c>
      <x:c r="D91" s="39" t="str">
        <x:v>Geometry</x:v>
      </x:c>
      <x:c r="E91" s="56" t="str">
        <x:v>Four complete conversion islands each own bore pairs, heat rejection and brine isolation. Three passive product buffers feed two separated delivery paths without an active common header.</x:v>
      </x:c>
      <x:c r="F91" s="39" t="n">
        <x:v>3</x:v>
      </x:c>
      <x:c r="G91" s="39" t="n">
        <x:v>3</x:v>
      </x:c>
      <x:c r="H91" s="39" t="n">
        <x:v>0</x:v>
      </x:c>
      <x:c r="I91" s="39" t="n">
        <x:v>1</x:v>
      </x:c>
      <x:c r="J91" s="39" t="n">
        <x:v>1</x:v>
      </x:c>
      <x:c r="K91" s="39" t="n">
        <x:v>1</x:v>
      </x:c>
      <x:c r="L91" s="39" t="n">
        <x:v>1</x:v>
      </x:c>
      <x:c r="M91" s="39" t="str">
        <x:f>IF(AND(G91&gt;=F91,H91=0,I91=1,J91=1,K91=1,L91=1),"SPECIFIED / UNOBSERVED","REDESIGN")</x:f>
        <x:v>SPECIFIED / UNOBSERVED</x:v>
      </x:c>
    </x:row>
    <x:row r="92">
      <x:c r="A92" s="39" t="str">
        <x:v>LF-B-A-FA-LOAD-PAT</x:v>
      </x:c>
      <x:c r="B92" s="39" t="str">
        <x:v>LF-B-A</x:v>
      </x:c>
      <x:c r="C92" s="39" t="str">
        <x:v>Fatal-keystone</x:v>
      </x:c>
      <x:c r="D92" s="39" t="str">
        <x:v>Load path</x:v>
      </x:c>
      <x:c r="E92" s="56" t="str">
        <x:v>Complete 4-path service chain with no active common transfer junction</x:v>
      </x:c>
      <x:c r="F92" s="39" t="n">
        <x:v>3</x:v>
      </x:c>
      <x:c r="G92" s="39" t="n">
        <x:v>3</x:v>
      </x:c>
      <x:c r="H92" s="39" t="n">
        <x:v>0</x:v>
      </x:c>
      <x:c r="I92" s="39" t="n">
        <x:v>1</x:v>
      </x:c>
      <x:c r="J92" s="39" t="n">
        <x:v>1</x:v>
      </x:c>
      <x:c r="K92" s="39" t="n">
        <x:v>1</x:v>
      </x:c>
      <x:c r="L92" s="39" t="n">
        <x:v>1</x:v>
      </x:c>
      <x:c r="M92" s="39" t="str">
        <x:f>IF(AND(G92&gt;=F92,H92=0,I92=1,J92=1,K92=1,L92=1),"SPECIFIED / UNOBSERVED","REDESIGN")</x:f>
        <x:v>SPECIFIED / UNOBSERVED</x:v>
      </x:c>
    </x:row>
    <x:row r="93">
      <x:c r="A93" s="39" t="str">
        <x:v>LF-B-A-FA-CONTROL</x:v>
      </x:c>
      <x:c r="B93" s="39" t="str">
        <x:v>LF-B-A</x:v>
      </x:c>
      <x:c r="C93" s="39" t="str">
        <x:v>Fatal-keystone</x:v>
      </x:c>
      <x:c r="D93" s="39" t="str">
        <x:v>Control</x:v>
      </x:c>
      <x:c r="E93" s="56" t="str">
        <x:v>4 local controllers; only passive status crosses the isolation seam</x:v>
      </x:c>
      <x:c r="F93" s="39" t="n">
        <x:v>3</x:v>
      </x:c>
      <x:c r="G93" s="39" t="n">
        <x:v>3</x:v>
      </x:c>
      <x:c r="H93" s="39" t="n">
        <x:v>0</x:v>
      </x:c>
      <x:c r="I93" s="39" t="n">
        <x:v>1</x:v>
      </x:c>
      <x:c r="J93" s="39" t="n">
        <x:v>1</x:v>
      </x:c>
      <x:c r="K93" s="39" t="n">
        <x:v>1</x:v>
      </x:c>
      <x:c r="L93" s="39" t="n">
        <x:v>1</x:v>
      </x:c>
      <x:c r="M93" s="39" t="str">
        <x:f>IF(AND(G93&gt;=F93,H93=0,I93=1,J93=1,K93=1,L93=1),"SPECIFIED / UNOBSERVED","REDESIGN")</x:f>
        <x:v>SPECIFIED / UNOBSERVED</x:v>
      </x:c>
    </x:row>
    <x:row r="94">
      <x:c r="A94" s="39" t="str">
        <x:v>LF-B-A-FA-CIVIL-RI</x:v>
      </x:c>
      <x:c r="B94" s="39" t="str">
        <x:v>LF-B-A</x:v>
      </x:c>
      <x:c r="C94" s="39" t="str">
        <x:v>Fatal-keystone</x:v>
      </x:c>
      <x:c r="D94" s="39" t="str">
        <x:v>Civil rights</x:v>
      </x:c>
      <x:c r="E94" s="56" t="str">
        <x:v>4 physically reachable notice, service, egress and remedy zones</x:v>
      </x:c>
      <x:c r="F94" s="39" t="n">
        <x:v>3</x:v>
      </x:c>
      <x:c r="G94" s="39" t="n">
        <x:v>3</x:v>
      </x:c>
      <x:c r="H94" s="39" t="n">
        <x:v>0</x:v>
      </x:c>
      <x:c r="I94" s="39" t="n">
        <x:v>1</x:v>
      </x:c>
      <x:c r="J94" s="39" t="n">
        <x:v>1</x:v>
      </x:c>
      <x:c r="K94" s="39" t="n">
        <x:v>1</x:v>
      </x:c>
      <x:c r="L94" s="39" t="n">
        <x:v>1</x:v>
      </x:c>
      <x:c r="M94" s="39" t="str">
        <x:f>IF(AND(G94&gt;=F94,H94=0,I94=1,J94=1,K94=1,L94=1),"SPECIFIED / UNOBSERVED","REDESIGN")</x:f>
        <x:v>SPECIFIED / UNOBSERVED</x:v>
      </x:c>
    </x:row>
    <x:row r="95">
      <x:c r="A95" s="39" t="str">
        <x:v>LF-B-A-FA-RESIDUAL</x:v>
      </x:c>
      <x:c r="B95" s="39" t="str">
        <x:v>LF-B-A</x:v>
      </x:c>
      <x:c r="C95" s="39" t="str">
        <x:v>Fatal-keystone</x:v>
      </x:c>
      <x:c r="D95" s="39" t="str">
        <x:v>Residual custody</x:v>
      </x:c>
      <x:c r="E95" s="56" t="str">
        <x:v>3 measured retain, quarantine, treatment and release paths</x:v>
      </x:c>
      <x:c r="F95" s="39" t="n">
        <x:v>2</x:v>
      </x:c>
      <x:c r="G95" s="39" t="n">
        <x:v>2</x:v>
      </x:c>
      <x:c r="H95" s="39" t="n">
        <x:v>0</x:v>
      </x:c>
      <x:c r="I95" s="39" t="n">
        <x:v>1</x:v>
      </x:c>
      <x:c r="J95" s="39" t="n">
        <x:v>1</x:v>
      </x:c>
      <x:c r="K95" s="39" t="n">
        <x:v>1</x:v>
      </x:c>
      <x:c r="L95" s="39" t="n">
        <x:v>1</x:v>
      </x:c>
      <x:c r="M95" s="39" t="str">
        <x:f>IF(AND(G95&gt;=F95,H95=0,I95=1,J95=1,K95=1,L95=1),"SPECIFIED / UNOBSERVED","REDESIGN")</x:f>
        <x:v>SPECIFIED / UNOBSERVED</x:v>
      </x:c>
    </x:row>
    <x:row r="96">
      <x:c r="A96" s="39" t="str">
        <x:v>LF-B-A-FA-SAFE-STA</x:v>
      </x:c>
      <x:c r="B96" s="39" t="str">
        <x:v>LF-B-A</x:v>
      </x:c>
      <x:c r="C96" s="39" t="str">
        <x:v>Fatal-keystone</x:v>
      </x:c>
      <x:c r="D96" s="39" t="str">
        <x:v>Safe state</x:v>
      </x:c>
      <x:c r="E96" s="56" t="str">
        <x:v>Local isolate, depressurize or de-energize, refuge, manual stop and lawful disposition</x:v>
      </x:c>
      <x:c r="F96" s="39" t="n">
        <x:v>3</x:v>
      </x:c>
      <x:c r="G96" s="39" t="n">
        <x:v>3</x:v>
      </x:c>
      <x:c r="H96" s="39" t="n">
        <x:v>0</x:v>
      </x:c>
      <x:c r="I96" s="39" t="n">
        <x:v>1</x:v>
      </x:c>
      <x:c r="J96" s="39" t="n">
        <x:v>1</x:v>
      </x:c>
      <x:c r="K96" s="39" t="n">
        <x:v>1</x:v>
      </x:c>
      <x:c r="L96" s="39" t="n">
        <x:v>1</x:v>
      </x:c>
      <x:c r="M96" s="39" t="str">
        <x:f>IF(AND(G96&gt;=F96,H96=0,I96=1,J96=1,K96=1,L96=1),"SPECIFIED / UNOBSERVED","REDESIGN")</x:f>
        <x:v>SPECIFIED / UNOBSERVED</x:v>
      </x:c>
    </x:row>
    <x:row r="97">
      <x:c r="A97" s="39" t="str">
        <x:v>LF-B-A-CO-GEOMETRY</x:v>
      </x:c>
      <x:c r="B97" s="39" t="str">
        <x:v>LF-B-A</x:v>
      </x:c>
      <x:c r="C97" s="39" t="str">
        <x:v>Cold reconstruction</x:v>
      </x:c>
      <x:c r="D97" s="39" t="str">
        <x:v>Geometry</x:v>
      </x:c>
      <x:c r="E97" s="56" t="str">
        <x:v>Four complete conversion islands each own bore pairs, heat rejection and brine isolation. Three passive product buffers feed two separated delivery paths without an active common header.</x:v>
      </x:c>
      <x:c r="F97" s="39" t="n">
        <x:v>1</x:v>
      </x:c>
      <x:c r="G97" s="39" t="n">
        <x:v>1</x:v>
      </x:c>
      <x:c r="H97" s="39" t="n">
        <x:v>0</x:v>
      </x:c>
      <x:c r="I97" s="39" t="n">
        <x:v>1</x:v>
      </x:c>
      <x:c r="J97" s="39" t="n">
        <x:v>1</x:v>
      </x:c>
      <x:c r="K97" s="39" t="n">
        <x:v>1</x:v>
      </x:c>
      <x:c r="L97" s="39" t="n">
        <x:v>1</x:v>
      </x:c>
      <x:c r="M97" s="39" t="str">
        <x:f>IF(AND(G97&gt;=F97,H97=0,I97=1,J97=1,K97=1,L97=1),"SPECIFIED / UNOBSERVED","REDESIGN")</x:f>
        <x:v>SPECIFIED / UNOBSERVED</x:v>
      </x:c>
    </x:row>
    <x:row r="98">
      <x:c r="A98" s="39" t="str">
        <x:v>LF-B-A-CO-LOAD-PAT</x:v>
      </x:c>
      <x:c r="B98" s="39" t="str">
        <x:v>LF-B-A</x:v>
      </x:c>
      <x:c r="C98" s="39" t="str">
        <x:v>Cold reconstruction</x:v>
      </x:c>
      <x:c r="D98" s="39" t="str">
        <x:v>Load path</x:v>
      </x:c>
      <x:c r="E98" s="56" t="str">
        <x:v>Complete 4-path service chain with no active common transfer junction</x:v>
      </x:c>
      <x:c r="F98" s="39" t="n">
        <x:v>1</x:v>
      </x:c>
      <x:c r="G98" s="39" t="n">
        <x:v>1</x:v>
      </x:c>
      <x:c r="H98" s="39" t="n">
        <x:v>0</x:v>
      </x:c>
      <x:c r="I98" s="39" t="n">
        <x:v>1</x:v>
      </x:c>
      <x:c r="J98" s="39" t="n">
        <x:v>1</x:v>
      </x:c>
      <x:c r="K98" s="39" t="n">
        <x:v>1</x:v>
      </x:c>
      <x:c r="L98" s="39" t="n">
        <x:v>1</x:v>
      </x:c>
      <x:c r="M98" s="39" t="str">
        <x:f>IF(AND(G98&gt;=F98,H98=0,I98=1,J98=1,K98=1,L98=1),"SPECIFIED / UNOBSERVED","REDESIGN")</x:f>
        <x:v>SPECIFIED / UNOBSERVED</x:v>
      </x:c>
    </x:row>
    <x:row r="99">
      <x:c r="A99" s="39" t="str">
        <x:v>LF-B-A-CO-CONTROL</x:v>
      </x:c>
      <x:c r="B99" s="39" t="str">
        <x:v>LF-B-A</x:v>
      </x:c>
      <x:c r="C99" s="39" t="str">
        <x:v>Cold reconstruction</x:v>
      </x:c>
      <x:c r="D99" s="39" t="str">
        <x:v>Control</x:v>
      </x:c>
      <x:c r="E99" s="56" t="str">
        <x:v>4 local controllers; only passive status crosses the isolation seam</x:v>
      </x:c>
      <x:c r="F99" s="39" t="n">
        <x:v>1</x:v>
      </x:c>
      <x:c r="G99" s="39" t="n">
        <x:v>1</x:v>
      </x:c>
      <x:c r="H99" s="39" t="n">
        <x:v>0</x:v>
      </x:c>
      <x:c r="I99" s="39" t="n">
        <x:v>1</x:v>
      </x:c>
      <x:c r="J99" s="39" t="n">
        <x:v>1</x:v>
      </x:c>
      <x:c r="K99" s="39" t="n">
        <x:v>1</x:v>
      </x:c>
      <x:c r="L99" s="39" t="n">
        <x:v>1</x:v>
      </x:c>
      <x:c r="M99" s="39" t="str">
        <x:f>IF(AND(G99&gt;=F99,H99=0,I99=1,J99=1,K99=1,L99=1),"SPECIFIED / UNOBSERVED","REDESIGN")</x:f>
        <x:v>SPECIFIED / UNOBSERVED</x:v>
      </x:c>
    </x:row>
    <x:row r="100">
      <x:c r="A100" s="39" t="str">
        <x:v>LF-B-A-CO-CIVIL-RI</x:v>
      </x:c>
      <x:c r="B100" s="39" t="str">
        <x:v>LF-B-A</x:v>
      </x:c>
      <x:c r="C100" s="39" t="str">
        <x:v>Cold reconstruction</x:v>
      </x:c>
      <x:c r="D100" s="39" t="str">
        <x:v>Civil rights</x:v>
      </x:c>
      <x:c r="E100" s="56" t="str">
        <x:v>4 physically reachable notice, service, egress and remedy zones</x:v>
      </x:c>
      <x:c r="F100" s="39" t="n">
        <x:v>1</x:v>
      </x:c>
      <x:c r="G100" s="39" t="n">
        <x:v>1</x:v>
      </x:c>
      <x:c r="H100" s="39" t="n">
        <x:v>0</x:v>
      </x:c>
      <x:c r="I100" s="39" t="n">
        <x:v>1</x:v>
      </x:c>
      <x:c r="J100" s="39" t="n">
        <x:v>1</x:v>
      </x:c>
      <x:c r="K100" s="39" t="n">
        <x:v>1</x:v>
      </x:c>
      <x:c r="L100" s="39" t="n">
        <x:v>1</x:v>
      </x:c>
      <x:c r="M100" s="39" t="str">
        <x:f>IF(AND(G100&gt;=F100,H100=0,I100=1,J100=1,K100=1,L100=1),"SPECIFIED / UNOBSERVED","REDESIGN")</x:f>
        <x:v>SPECIFIED / UNOBSERVED</x:v>
      </x:c>
    </x:row>
    <x:row r="101">
      <x:c r="A101" s="39" t="str">
        <x:v>LF-B-A-CO-RESIDUAL</x:v>
      </x:c>
      <x:c r="B101" s="39" t="str">
        <x:v>LF-B-A</x:v>
      </x:c>
      <x:c r="C101" s="39" t="str">
        <x:v>Cold reconstruction</x:v>
      </x:c>
      <x:c r="D101" s="39" t="str">
        <x:v>Residual custody</x:v>
      </x:c>
      <x:c r="E101" s="56" t="str">
        <x:v>3 measured retain, quarantine, treatment and release paths</x:v>
      </x:c>
      <x:c r="F101" s="39" t="n">
        <x:v>1</x:v>
      </x:c>
      <x:c r="G101" s="39" t="n">
        <x:v>1</x:v>
      </x:c>
      <x:c r="H101" s="39" t="n">
        <x:v>0</x:v>
      </x:c>
      <x:c r="I101" s="39" t="n">
        <x:v>1</x:v>
      </x:c>
      <x:c r="J101" s="39" t="n">
        <x:v>1</x:v>
      </x:c>
      <x:c r="K101" s="39" t="n">
        <x:v>1</x:v>
      </x:c>
      <x:c r="L101" s="39" t="n">
        <x:v>1</x:v>
      </x:c>
      <x:c r="M101" s="39" t="str">
        <x:f>IF(AND(G101&gt;=F101,H101=0,I101=1,J101=1,K101=1,L101=1),"SPECIFIED / UNOBSERVED","REDESIGN")</x:f>
        <x:v>SPECIFIED / UNOBSERVED</x:v>
      </x:c>
    </x:row>
    <x:row r="102">
      <x:c r="A102" s="39" t="str">
        <x:v>LF-B-A-CO-SAFE-STA</x:v>
      </x:c>
      <x:c r="B102" s="39" t="str">
        <x:v>LF-B-A</x:v>
      </x:c>
      <x:c r="C102" s="39" t="str">
        <x:v>Cold reconstruction</x:v>
      </x:c>
      <x:c r="D102" s="39" t="str">
        <x:v>Safe state</x:v>
      </x:c>
      <x:c r="E102" s="56" t="str">
        <x:v>Local isolate, depressurize or de-energize, refuge, manual stop and lawful disposition</x:v>
      </x:c>
      <x:c r="F102" s="39" t="n">
        <x:v>1</x:v>
      </x:c>
      <x:c r="G102" s="39" t="n">
        <x:v>1</x:v>
      </x:c>
      <x:c r="H102" s="39" t="n">
        <x:v>0</x:v>
      </x:c>
      <x:c r="I102" s="39" t="n">
        <x:v>1</x:v>
      </x:c>
      <x:c r="J102" s="39" t="n">
        <x:v>1</x:v>
      </x:c>
      <x:c r="K102" s="39" t="n">
        <x:v>1</x:v>
      </x:c>
      <x:c r="L102" s="39" t="n">
        <x:v>1</x:v>
      </x:c>
      <x:c r="M102" s="39" t="str">
        <x:f>IF(AND(G102&gt;=F102,H102=0,I102=1,J102=1,K102=1,L102=1),"SPECIFIED / UNOBSERVED","REDESIGN")</x:f>
        <x:v>SPECIFIED / UNOBSERVED</x:v>
      </x:c>
    </x:row>
    <x:row r="103">
      <x:c r="A103" s="39" t="str">
        <x:v>HU-A-B-NO-GEOMETRY</x:v>
      </x:c>
      <x:c r="B103" s="39" t="str">
        <x:v>HU-A-B</x:v>
      </x:c>
      <x:c r="C103" s="39" t="str">
        <x:v>Nominal</x:v>
      </x:c>
      <x:c r="D103" s="39" t="str">
        <x:v>Geometry</x:v>
      </x:c>
      <x:c r="E103" s="56" t="str">
        <x:v>Eight care districts sit between two opposed clean and dirty circulation loops. Local transfer crossbars keep patients in place while services reroute around one section.</x:v>
      </x:c>
      <x:c r="F103" s="39" t="n">
        <x:v>8</x:v>
      </x:c>
      <x:c r="G103" s="39" t="n">
        <x:v>8</x:v>
      </x:c>
      <x:c r="H103" s="39" t="n">
        <x:v>0</x:v>
      </x:c>
      <x:c r="I103" s="39" t="n">
        <x:v>1</x:v>
      </x:c>
      <x:c r="J103" s="39" t="n">
        <x:v>1</x:v>
      </x:c>
      <x:c r="K103" s="39" t="n">
        <x:v>1</x:v>
      </x:c>
      <x:c r="L103" s="39" t="n">
        <x:v>1</x:v>
      </x:c>
      <x:c r="M103" s="39" t="str">
        <x:f>IF(AND(G103&gt;=F103,H103=0,I103=1,J103=1,K103=1,L103=1),"SPECIFIED / UNOBSERVED","REDESIGN")</x:f>
        <x:v>SPECIFIED / UNOBSERVED</x:v>
      </x:c>
    </x:row>
    <x:row r="104">
      <x:c r="A104" s="39" t="str">
        <x:v>HU-A-B-NO-LOAD-PAT</x:v>
      </x:c>
      <x:c r="B104" s="39" t="str">
        <x:v>HU-A-B</x:v>
      </x:c>
      <x:c r="C104" s="39" t="str">
        <x:v>Nominal</x:v>
      </x:c>
      <x:c r="D104" s="39" t="str">
        <x:v>Load path</x:v>
      </x:c>
      <x:c r="E104" s="56" t="str">
        <x:v>Complete 10-path service chain with no active common transfer junction</x:v>
      </x:c>
      <x:c r="F104" s="39" t="n">
        <x:v>10</x:v>
      </x:c>
      <x:c r="G104" s="39" t="n">
        <x:v>10</x:v>
      </x:c>
      <x:c r="H104" s="39" t="n">
        <x:v>0</x:v>
      </x:c>
      <x:c r="I104" s="39" t="n">
        <x:v>1</x:v>
      </x:c>
      <x:c r="J104" s="39" t="n">
        <x:v>1</x:v>
      </x:c>
      <x:c r="K104" s="39" t="n">
        <x:v>1</x:v>
      </x:c>
      <x:c r="L104" s="39" t="n">
        <x:v>1</x:v>
      </x:c>
      <x:c r="M104" s="39" t="str">
        <x:f>IF(AND(G104&gt;=F104,H104=0,I104=1,J104=1,K104=1,L104=1),"SPECIFIED / UNOBSERVED","REDESIGN")</x:f>
        <x:v>SPECIFIED / UNOBSERVED</x:v>
      </x:c>
    </x:row>
    <x:row r="105">
      <x:c r="A105" s="39" t="str">
        <x:v>HU-A-B-NO-CONTROL</x:v>
      </x:c>
      <x:c r="B105" s="39" t="str">
        <x:v>HU-A-B</x:v>
      </x:c>
      <x:c r="C105" s="39" t="str">
        <x:v>Nominal</x:v>
      </x:c>
      <x:c r="D105" s="39" t="str">
        <x:v>Control</x:v>
      </x:c>
      <x:c r="E105" s="56" t="str">
        <x:v>8 local controllers; only passive status crosses the isolation seam</x:v>
      </x:c>
      <x:c r="F105" s="39" t="n">
        <x:v>8</x:v>
      </x:c>
      <x:c r="G105" s="39" t="n">
        <x:v>8</x:v>
      </x:c>
      <x:c r="H105" s="39" t="n">
        <x:v>0</x:v>
      </x:c>
      <x:c r="I105" s="39" t="n">
        <x:v>1</x:v>
      </x:c>
      <x:c r="J105" s="39" t="n">
        <x:v>1</x:v>
      </x:c>
      <x:c r="K105" s="39" t="n">
        <x:v>1</x:v>
      </x:c>
      <x:c r="L105" s="39" t="n">
        <x:v>1</x:v>
      </x:c>
      <x:c r="M105" s="39" t="str">
        <x:f>IF(AND(G105&gt;=F105,H105=0,I105=1,J105=1,K105=1,L105=1),"SPECIFIED / UNOBSERVED","REDESIGN")</x:f>
        <x:v>SPECIFIED / UNOBSERVED</x:v>
      </x:c>
    </x:row>
    <x:row r="106">
      <x:c r="A106" s="39" t="str">
        <x:v>HU-A-B-NO-CIVIL-RI</x:v>
      </x:c>
      <x:c r="B106" s="39" t="str">
        <x:v>HU-A-B</x:v>
      </x:c>
      <x:c r="C106" s="39" t="str">
        <x:v>Nominal</x:v>
      </x:c>
      <x:c r="D106" s="39" t="str">
        <x:v>Civil rights</x:v>
      </x:c>
      <x:c r="E106" s="56" t="str">
        <x:v>8 physically reachable notice, service, egress and remedy zones</x:v>
      </x:c>
      <x:c r="F106" s="39" t="n">
        <x:v>8</x:v>
      </x:c>
      <x:c r="G106" s="39" t="n">
        <x:v>8</x:v>
      </x:c>
      <x:c r="H106" s="39" t="n">
        <x:v>0</x:v>
      </x:c>
      <x:c r="I106" s="39" t="n">
        <x:v>1</x:v>
      </x:c>
      <x:c r="J106" s="39" t="n">
        <x:v>1</x:v>
      </x:c>
      <x:c r="K106" s="39" t="n">
        <x:v>1</x:v>
      </x:c>
      <x:c r="L106" s="39" t="n">
        <x:v>1</x:v>
      </x:c>
      <x:c r="M106" s="39" t="str">
        <x:f>IF(AND(G106&gt;=F106,H106=0,I106=1,J106=1,K106=1,L106=1),"SPECIFIED / UNOBSERVED","REDESIGN")</x:f>
        <x:v>SPECIFIED / UNOBSERVED</x:v>
      </x:c>
    </x:row>
    <x:row r="107">
      <x:c r="A107" s="39" t="str">
        <x:v>HU-A-B-NO-RESIDUAL</x:v>
      </x:c>
      <x:c r="B107" s="39" t="str">
        <x:v>HU-A-B</x:v>
      </x:c>
      <x:c r="C107" s="39" t="str">
        <x:v>Nominal</x:v>
      </x:c>
      <x:c r="D107" s="39" t="str">
        <x:v>Residual custody</x:v>
      </x:c>
      <x:c r="E107" s="56" t="str">
        <x:v>8 measured retain, quarantine, treatment and release paths</x:v>
      </x:c>
      <x:c r="F107" s="39" t="n">
        <x:v>8</x:v>
      </x:c>
      <x:c r="G107" s="39" t="n">
        <x:v>8</x:v>
      </x:c>
      <x:c r="H107" s="39" t="n">
        <x:v>0</x:v>
      </x:c>
      <x:c r="I107" s="39" t="n">
        <x:v>1</x:v>
      </x:c>
      <x:c r="J107" s="39" t="n">
        <x:v>1</x:v>
      </x:c>
      <x:c r="K107" s="39" t="n">
        <x:v>1</x:v>
      </x:c>
      <x:c r="L107" s="39" t="n">
        <x:v>1</x:v>
      </x:c>
      <x:c r="M107" s="39" t="str">
        <x:f>IF(AND(G107&gt;=F107,H107=0,I107=1,J107=1,K107=1,L107=1),"SPECIFIED / UNOBSERVED","REDESIGN")</x:f>
        <x:v>SPECIFIED / UNOBSERVED</x:v>
      </x:c>
    </x:row>
    <x:row r="108">
      <x:c r="A108" s="39" t="str">
        <x:v>HU-A-B-NO-SAFE-STA</x:v>
      </x:c>
      <x:c r="B108" s="39" t="str">
        <x:v>HU-A-B</x:v>
      </x:c>
      <x:c r="C108" s="39" t="str">
        <x:v>Nominal</x:v>
      </x:c>
      <x:c r="D108" s="39" t="str">
        <x:v>Safe state</x:v>
      </x:c>
      <x:c r="E108" s="56" t="str">
        <x:v>Local isolate, depressurize or de-energize, refuge, manual stop and lawful disposition</x:v>
      </x:c>
      <x:c r="F108" s="39" t="n">
        <x:v>8</x:v>
      </x:c>
      <x:c r="G108" s="39" t="n">
        <x:v>8</x:v>
      </x:c>
      <x:c r="H108" s="39" t="n">
        <x:v>0</x:v>
      </x:c>
      <x:c r="I108" s="39" t="n">
        <x:v>1</x:v>
      </x:c>
      <x:c r="J108" s="39" t="n">
        <x:v>1</x:v>
      </x:c>
      <x:c r="K108" s="39" t="n">
        <x:v>1</x:v>
      </x:c>
      <x:c r="L108" s="39" t="n">
        <x:v>1</x:v>
      </x:c>
      <x:c r="M108" s="39" t="str">
        <x:f>IF(AND(G108&gt;=F108,H108=0,I108=1,J108=1,K108=1,L108=1),"SPECIFIED / UNOBSERVED","REDESIGN")</x:f>
        <x:v>SPECIFIED / UNOBSERVED</x:v>
      </x:c>
    </x:row>
    <x:row r="109">
      <x:c r="A109" s="39" t="str">
        <x:v>HU-A-B-LA-GEOMETRY</x:v>
      </x:c>
      <x:c r="B109" s="39" t="str">
        <x:v>HU-A-B</x:v>
      </x:c>
      <x:c r="C109" s="39" t="str">
        <x:v>Largest-cell loss</x:v>
      </x:c>
      <x:c r="D109" s="39" t="str">
        <x:v>Geometry</x:v>
      </x:c>
      <x:c r="E109" s="56" t="str">
        <x:v>Eight care districts sit between two opposed clean and dirty circulation loops. Local transfer crossbars keep patients in place while services reroute around one section.</x:v>
      </x:c>
      <x:c r="F109" s="39" t="n">
        <x:v>7</x:v>
      </x:c>
      <x:c r="G109" s="39" t="n">
        <x:v>7</x:v>
      </x:c>
      <x:c r="H109" s="39" t="n">
        <x:v>0</x:v>
      </x:c>
      <x:c r="I109" s="39" t="n">
        <x:v>1</x:v>
      </x:c>
      <x:c r="J109" s="39" t="n">
        <x:v>1</x:v>
      </x:c>
      <x:c r="K109" s="39" t="n">
        <x:v>1</x:v>
      </x:c>
      <x:c r="L109" s="39" t="n">
        <x:v>1</x:v>
      </x:c>
      <x:c r="M109" s="39" t="str">
        <x:f>IF(AND(G109&gt;=F109,H109=0,I109=1,J109=1,K109=1,L109=1),"SPECIFIED / UNOBSERVED","REDESIGN")</x:f>
        <x:v>SPECIFIED / UNOBSERVED</x:v>
      </x:c>
    </x:row>
    <x:row r="110">
      <x:c r="A110" s="39" t="str">
        <x:v>HU-A-B-LA-LOAD-PAT</x:v>
      </x:c>
      <x:c r="B110" s="39" t="str">
        <x:v>HU-A-B</x:v>
      </x:c>
      <x:c r="C110" s="39" t="str">
        <x:v>Largest-cell loss</x:v>
      </x:c>
      <x:c r="D110" s="39" t="str">
        <x:v>Load path</x:v>
      </x:c>
      <x:c r="E110" s="56" t="str">
        <x:v>Complete 10-path service chain with no active common transfer junction</x:v>
      </x:c>
      <x:c r="F110" s="39" t="n">
        <x:v>9</x:v>
      </x:c>
      <x:c r="G110" s="39" t="n">
        <x:v>9</x:v>
      </x:c>
      <x:c r="H110" s="39" t="n">
        <x:v>0</x:v>
      </x:c>
      <x:c r="I110" s="39" t="n">
        <x:v>1</x:v>
      </x:c>
      <x:c r="J110" s="39" t="n">
        <x:v>1</x:v>
      </x:c>
      <x:c r="K110" s="39" t="n">
        <x:v>1</x:v>
      </x:c>
      <x:c r="L110" s="39" t="n">
        <x:v>1</x:v>
      </x:c>
      <x:c r="M110" s="39" t="str">
        <x:f>IF(AND(G110&gt;=F110,H110=0,I110=1,J110=1,K110=1,L110=1),"SPECIFIED / UNOBSERVED","REDESIGN")</x:f>
        <x:v>SPECIFIED / UNOBSERVED</x:v>
      </x:c>
    </x:row>
    <x:row r="111">
      <x:c r="A111" s="39" t="str">
        <x:v>HU-A-B-LA-CONTROL</x:v>
      </x:c>
      <x:c r="B111" s="39" t="str">
        <x:v>HU-A-B</x:v>
      </x:c>
      <x:c r="C111" s="39" t="str">
        <x:v>Largest-cell loss</x:v>
      </x:c>
      <x:c r="D111" s="39" t="str">
        <x:v>Control</x:v>
      </x:c>
      <x:c r="E111" s="56" t="str">
        <x:v>8 local controllers; only passive status crosses the isolation seam</x:v>
      </x:c>
      <x:c r="F111" s="39" t="n">
        <x:v>7</x:v>
      </x:c>
      <x:c r="G111" s="39" t="n">
        <x:v>7</x:v>
      </x:c>
      <x:c r="H111" s="39" t="n">
        <x:v>0</x:v>
      </x:c>
      <x:c r="I111" s="39" t="n">
        <x:v>1</x:v>
      </x:c>
      <x:c r="J111" s="39" t="n">
        <x:v>1</x:v>
      </x:c>
      <x:c r="K111" s="39" t="n">
        <x:v>1</x:v>
      </x:c>
      <x:c r="L111" s="39" t="n">
        <x:v>1</x:v>
      </x:c>
      <x:c r="M111" s="39" t="str">
        <x:f>IF(AND(G111&gt;=F111,H111=0,I111=1,J111=1,K111=1,L111=1),"SPECIFIED / UNOBSERVED","REDESIGN")</x:f>
        <x:v>SPECIFIED / UNOBSERVED</x:v>
      </x:c>
    </x:row>
    <x:row r="112">
      <x:c r="A112" s="39" t="str">
        <x:v>HU-A-B-LA-CIVIL-RI</x:v>
      </x:c>
      <x:c r="B112" s="39" t="str">
        <x:v>HU-A-B</x:v>
      </x:c>
      <x:c r="C112" s="39" t="str">
        <x:v>Largest-cell loss</x:v>
      </x:c>
      <x:c r="D112" s="39" t="str">
        <x:v>Civil rights</x:v>
      </x:c>
      <x:c r="E112" s="56" t="str">
        <x:v>8 physically reachable notice, service, egress and remedy zones</x:v>
      </x:c>
      <x:c r="F112" s="39" t="n">
        <x:v>7</x:v>
      </x:c>
      <x:c r="G112" s="39" t="n">
        <x:v>7</x:v>
      </x:c>
      <x:c r="H112" s="39" t="n">
        <x:v>0</x:v>
      </x:c>
      <x:c r="I112" s="39" t="n">
        <x:v>1</x:v>
      </x:c>
      <x:c r="J112" s="39" t="n">
        <x:v>1</x:v>
      </x:c>
      <x:c r="K112" s="39" t="n">
        <x:v>1</x:v>
      </x:c>
      <x:c r="L112" s="39" t="n">
        <x:v>1</x:v>
      </x:c>
      <x:c r="M112" s="39" t="str">
        <x:f>IF(AND(G112&gt;=F112,H112=0,I112=1,J112=1,K112=1,L112=1),"SPECIFIED / UNOBSERVED","REDESIGN")</x:f>
        <x:v>SPECIFIED / UNOBSERVED</x:v>
      </x:c>
    </x:row>
    <x:row r="113">
      <x:c r="A113" s="39" t="str">
        <x:v>HU-A-B-LA-RESIDUAL</x:v>
      </x:c>
      <x:c r="B113" s="39" t="str">
        <x:v>HU-A-B</x:v>
      </x:c>
      <x:c r="C113" s="39" t="str">
        <x:v>Largest-cell loss</x:v>
      </x:c>
      <x:c r="D113" s="39" t="str">
        <x:v>Residual custody</x:v>
      </x:c>
      <x:c r="E113" s="56" t="str">
        <x:v>8 measured retain, quarantine, treatment and release paths</x:v>
      </x:c>
      <x:c r="F113" s="39" t="n">
        <x:v>7</x:v>
      </x:c>
      <x:c r="G113" s="39" t="n">
        <x:v>7</x:v>
      </x:c>
      <x:c r="H113" s="39" t="n">
        <x:v>0</x:v>
      </x:c>
      <x:c r="I113" s="39" t="n">
        <x:v>1</x:v>
      </x:c>
      <x:c r="J113" s="39" t="n">
        <x:v>1</x:v>
      </x:c>
      <x:c r="K113" s="39" t="n">
        <x:v>1</x:v>
      </x:c>
      <x:c r="L113" s="39" t="n">
        <x:v>1</x:v>
      </x:c>
      <x:c r="M113" s="39" t="str">
        <x:f>IF(AND(G113&gt;=F113,H113=0,I113=1,J113=1,K113=1,L113=1),"SPECIFIED / UNOBSERVED","REDESIGN")</x:f>
        <x:v>SPECIFIED / UNOBSERVED</x:v>
      </x:c>
    </x:row>
    <x:row r="114">
      <x:c r="A114" s="39" t="str">
        <x:v>HU-A-B-LA-SAFE-STA</x:v>
      </x:c>
      <x:c r="B114" s="39" t="str">
        <x:v>HU-A-B</x:v>
      </x:c>
      <x:c r="C114" s="39" t="str">
        <x:v>Largest-cell loss</x:v>
      </x:c>
      <x:c r="D114" s="39" t="str">
        <x:v>Safe state</x:v>
      </x:c>
      <x:c r="E114" s="56" t="str">
        <x:v>Local isolate, depressurize or de-energize, refuge, manual stop and lawful disposition</x:v>
      </x:c>
      <x:c r="F114" s="39" t="n">
        <x:v>7</x:v>
      </x:c>
      <x:c r="G114" s="39" t="n">
        <x:v>7</x:v>
      </x:c>
      <x:c r="H114" s="39" t="n">
        <x:v>0</x:v>
      </x:c>
      <x:c r="I114" s="39" t="n">
        <x:v>1</x:v>
      </x:c>
      <x:c r="J114" s="39" t="n">
        <x:v>1</x:v>
      </x:c>
      <x:c r="K114" s="39" t="n">
        <x:v>1</x:v>
      </x:c>
      <x:c r="L114" s="39" t="n">
        <x:v>1</x:v>
      </x:c>
      <x:c r="M114" s="39" t="str">
        <x:f>IF(AND(G114&gt;=F114,H114=0,I114=1,J114=1,K114=1,L114=1),"SPECIFIED / UNOBSERVED","REDESIGN")</x:f>
        <x:v>SPECIFIED / UNOBSERVED</x:v>
      </x:c>
    </x:row>
    <x:row r="115">
      <x:c r="A115" s="39" t="str">
        <x:v>HU-A-B-FA-GEOMETRY</x:v>
      </x:c>
      <x:c r="B115" s="39" t="str">
        <x:v>HU-A-B</x:v>
      </x:c>
      <x:c r="C115" s="39" t="str">
        <x:v>Fatal-keystone</x:v>
      </x:c>
      <x:c r="D115" s="39" t="str">
        <x:v>Geometry</x:v>
      </x:c>
      <x:c r="E115" s="56" t="str">
        <x:v>Eight care districts sit between two opposed clean and dirty circulation loops. Local transfer crossbars keep patients in place while services reroute around one section.</x:v>
      </x:c>
      <x:c r="F115" s="39" t="n">
        <x:v>7</x:v>
      </x:c>
      <x:c r="G115" s="39" t="n">
        <x:v>7</x:v>
      </x:c>
      <x:c r="H115" s="39" t="n">
        <x:v>0</x:v>
      </x:c>
      <x:c r="I115" s="39" t="n">
        <x:v>1</x:v>
      </x:c>
      <x:c r="J115" s="39" t="n">
        <x:v>1</x:v>
      </x:c>
      <x:c r="K115" s="39" t="n">
        <x:v>1</x:v>
      </x:c>
      <x:c r="L115" s="39" t="n">
        <x:v>1</x:v>
      </x:c>
      <x:c r="M115" s="39" t="str">
        <x:f>IF(AND(G115&gt;=F115,H115=0,I115=1,J115=1,K115=1,L115=1),"SPECIFIED / UNOBSERVED","REDESIGN")</x:f>
        <x:v>SPECIFIED / UNOBSERVED</x:v>
      </x:c>
    </x:row>
    <x:row r="116">
      <x:c r="A116" s="39" t="str">
        <x:v>HU-A-B-FA-LOAD-PAT</x:v>
      </x:c>
      <x:c r="B116" s="39" t="str">
        <x:v>HU-A-B</x:v>
      </x:c>
      <x:c r="C116" s="39" t="str">
        <x:v>Fatal-keystone</x:v>
      </x:c>
      <x:c r="D116" s="39" t="str">
        <x:v>Load path</x:v>
      </x:c>
      <x:c r="E116" s="56" t="str">
        <x:v>Complete 10-path service chain with no active common transfer junction</x:v>
      </x:c>
      <x:c r="F116" s="39" t="n">
        <x:v>9</x:v>
      </x:c>
      <x:c r="G116" s="39" t="n">
        <x:v>9</x:v>
      </x:c>
      <x:c r="H116" s="39" t="n">
        <x:v>0</x:v>
      </x:c>
      <x:c r="I116" s="39" t="n">
        <x:v>1</x:v>
      </x:c>
      <x:c r="J116" s="39" t="n">
        <x:v>1</x:v>
      </x:c>
      <x:c r="K116" s="39" t="n">
        <x:v>1</x:v>
      </x:c>
      <x:c r="L116" s="39" t="n">
        <x:v>1</x:v>
      </x:c>
      <x:c r="M116" s="39" t="str">
        <x:f>IF(AND(G116&gt;=F116,H116=0,I116=1,J116=1,K116=1,L116=1),"SPECIFIED / UNOBSERVED","REDESIGN")</x:f>
        <x:v>SPECIFIED / UNOBSERVED</x:v>
      </x:c>
    </x:row>
    <x:row r="117">
      <x:c r="A117" s="39" t="str">
        <x:v>HU-A-B-FA-CONTROL</x:v>
      </x:c>
      <x:c r="B117" s="39" t="str">
        <x:v>HU-A-B</x:v>
      </x:c>
      <x:c r="C117" s="39" t="str">
        <x:v>Fatal-keystone</x:v>
      </x:c>
      <x:c r="D117" s="39" t="str">
        <x:v>Control</x:v>
      </x:c>
      <x:c r="E117" s="56" t="str">
        <x:v>8 local controllers; only passive status crosses the isolation seam</x:v>
      </x:c>
      <x:c r="F117" s="39" t="n">
        <x:v>7</x:v>
      </x:c>
      <x:c r="G117" s="39" t="n">
        <x:v>7</x:v>
      </x:c>
      <x:c r="H117" s="39" t="n">
        <x:v>0</x:v>
      </x:c>
      <x:c r="I117" s="39" t="n">
        <x:v>1</x:v>
      </x:c>
      <x:c r="J117" s="39" t="n">
        <x:v>1</x:v>
      </x:c>
      <x:c r="K117" s="39" t="n">
        <x:v>1</x:v>
      </x:c>
      <x:c r="L117" s="39" t="n">
        <x:v>1</x:v>
      </x:c>
      <x:c r="M117" s="39" t="str">
        <x:f>IF(AND(G117&gt;=F117,H117=0,I117=1,J117=1,K117=1,L117=1),"SPECIFIED / UNOBSERVED","REDESIGN")</x:f>
        <x:v>SPECIFIED / UNOBSERVED</x:v>
      </x:c>
    </x:row>
    <x:row r="118">
      <x:c r="A118" s="39" t="str">
        <x:v>HU-A-B-FA-CIVIL-RI</x:v>
      </x:c>
      <x:c r="B118" s="39" t="str">
        <x:v>HU-A-B</x:v>
      </x:c>
      <x:c r="C118" s="39" t="str">
        <x:v>Fatal-keystone</x:v>
      </x:c>
      <x:c r="D118" s="39" t="str">
        <x:v>Civil rights</x:v>
      </x:c>
      <x:c r="E118" s="56" t="str">
        <x:v>8 physically reachable notice, service, egress and remedy zones</x:v>
      </x:c>
      <x:c r="F118" s="39" t="n">
        <x:v>7</x:v>
      </x:c>
      <x:c r="G118" s="39" t="n">
        <x:v>7</x:v>
      </x:c>
      <x:c r="H118" s="39" t="n">
        <x:v>0</x:v>
      </x:c>
      <x:c r="I118" s="39" t="n">
        <x:v>1</x:v>
      </x:c>
      <x:c r="J118" s="39" t="n">
        <x:v>1</x:v>
      </x:c>
      <x:c r="K118" s="39" t="n">
        <x:v>1</x:v>
      </x:c>
      <x:c r="L118" s="39" t="n">
        <x:v>1</x:v>
      </x:c>
      <x:c r="M118" s="39" t="str">
        <x:f>IF(AND(G118&gt;=F118,H118=0,I118=1,J118=1,K118=1,L118=1),"SPECIFIED / UNOBSERVED","REDESIGN")</x:f>
        <x:v>SPECIFIED / UNOBSERVED</x:v>
      </x:c>
    </x:row>
    <x:row r="119">
      <x:c r="A119" s="39" t="str">
        <x:v>HU-A-B-FA-RESIDUAL</x:v>
      </x:c>
      <x:c r="B119" s="39" t="str">
        <x:v>HU-A-B</x:v>
      </x:c>
      <x:c r="C119" s="39" t="str">
        <x:v>Fatal-keystone</x:v>
      </x:c>
      <x:c r="D119" s="39" t="str">
        <x:v>Residual custody</x:v>
      </x:c>
      <x:c r="E119" s="56" t="str">
        <x:v>8 measured retain, quarantine, treatment and release paths</x:v>
      </x:c>
      <x:c r="F119" s="39" t="n">
        <x:v>7</x:v>
      </x:c>
      <x:c r="G119" s="39" t="n">
        <x:v>7</x:v>
      </x:c>
      <x:c r="H119" s="39" t="n">
        <x:v>0</x:v>
      </x:c>
      <x:c r="I119" s="39" t="n">
        <x:v>1</x:v>
      </x:c>
      <x:c r="J119" s="39" t="n">
        <x:v>1</x:v>
      </x:c>
      <x:c r="K119" s="39" t="n">
        <x:v>1</x:v>
      </x:c>
      <x:c r="L119" s="39" t="n">
        <x:v>1</x:v>
      </x:c>
      <x:c r="M119" s="39" t="str">
        <x:f>IF(AND(G119&gt;=F119,H119=0,I119=1,J119=1,K119=1,L119=1),"SPECIFIED / UNOBSERVED","REDESIGN")</x:f>
        <x:v>SPECIFIED / UNOBSERVED</x:v>
      </x:c>
    </x:row>
    <x:row r="120">
      <x:c r="A120" s="39" t="str">
        <x:v>HU-A-B-FA-SAFE-STA</x:v>
      </x:c>
      <x:c r="B120" s="39" t="str">
        <x:v>HU-A-B</x:v>
      </x:c>
      <x:c r="C120" s="39" t="str">
        <x:v>Fatal-keystone</x:v>
      </x:c>
      <x:c r="D120" s="39" t="str">
        <x:v>Safe state</x:v>
      </x:c>
      <x:c r="E120" s="56" t="str">
        <x:v>Local isolate, depressurize or de-energize, refuge, manual stop and lawful disposition</x:v>
      </x:c>
      <x:c r="F120" s="39" t="n">
        <x:v>7</x:v>
      </x:c>
      <x:c r="G120" s="39" t="n">
        <x:v>7</x:v>
      </x:c>
      <x:c r="H120" s="39" t="n">
        <x:v>0</x:v>
      </x:c>
      <x:c r="I120" s="39" t="n">
        <x:v>1</x:v>
      </x:c>
      <x:c r="J120" s="39" t="n">
        <x:v>1</x:v>
      </x:c>
      <x:c r="K120" s="39" t="n">
        <x:v>1</x:v>
      </x:c>
      <x:c r="L120" s="39" t="n">
        <x:v>1</x:v>
      </x:c>
      <x:c r="M120" s="39" t="str">
        <x:f>IF(AND(G120&gt;=F120,H120=0,I120=1,J120=1,K120=1,L120=1),"SPECIFIED / UNOBSERVED","REDESIGN")</x:f>
        <x:v>SPECIFIED / UNOBSERVED</x:v>
      </x:c>
    </x:row>
    <x:row r="121">
      <x:c r="A121" s="39" t="str">
        <x:v>HU-A-B-CO-GEOMETRY</x:v>
      </x:c>
      <x:c r="B121" s="39" t="str">
        <x:v>HU-A-B</x:v>
      </x:c>
      <x:c r="C121" s="39" t="str">
        <x:v>Cold reconstruction</x:v>
      </x:c>
      <x:c r="D121" s="39" t="str">
        <x:v>Geometry</x:v>
      </x:c>
      <x:c r="E121" s="56" t="str">
        <x:v>Eight care districts sit between two opposed clean and dirty circulation loops. Local transfer crossbars keep patients in place while services reroute around one section.</x:v>
      </x:c>
      <x:c r="F121" s="39" t="n">
        <x:v>1</x:v>
      </x:c>
      <x:c r="G121" s="39" t="n">
        <x:v>1</x:v>
      </x:c>
      <x:c r="H121" s="39" t="n">
        <x:v>0</x:v>
      </x:c>
      <x:c r="I121" s="39" t="n">
        <x:v>1</x:v>
      </x:c>
      <x:c r="J121" s="39" t="n">
        <x:v>1</x:v>
      </x:c>
      <x:c r="K121" s="39" t="n">
        <x:v>1</x:v>
      </x:c>
      <x:c r="L121" s="39" t="n">
        <x:v>1</x:v>
      </x:c>
      <x:c r="M121" s="39" t="str">
        <x:f>IF(AND(G121&gt;=F121,H121=0,I121=1,J121=1,K121=1,L121=1),"SPECIFIED / UNOBSERVED","REDESIGN")</x:f>
        <x:v>SPECIFIED / UNOBSERVED</x:v>
      </x:c>
    </x:row>
    <x:row r="122">
      <x:c r="A122" s="39" t="str">
        <x:v>HU-A-B-CO-LOAD-PAT</x:v>
      </x:c>
      <x:c r="B122" s="39" t="str">
        <x:v>HU-A-B</x:v>
      </x:c>
      <x:c r="C122" s="39" t="str">
        <x:v>Cold reconstruction</x:v>
      </x:c>
      <x:c r="D122" s="39" t="str">
        <x:v>Load path</x:v>
      </x:c>
      <x:c r="E122" s="56" t="str">
        <x:v>Complete 10-path service chain with no active common transfer junction</x:v>
      </x:c>
      <x:c r="F122" s="39" t="n">
        <x:v>1</x:v>
      </x:c>
      <x:c r="G122" s="39" t="n">
        <x:v>1</x:v>
      </x:c>
      <x:c r="H122" s="39" t="n">
        <x:v>0</x:v>
      </x:c>
      <x:c r="I122" s="39" t="n">
        <x:v>1</x:v>
      </x:c>
      <x:c r="J122" s="39" t="n">
        <x:v>1</x:v>
      </x:c>
      <x:c r="K122" s="39" t="n">
        <x:v>1</x:v>
      </x:c>
      <x:c r="L122" s="39" t="n">
        <x:v>1</x:v>
      </x:c>
      <x:c r="M122" s="39" t="str">
        <x:f>IF(AND(G122&gt;=F122,H122=0,I122=1,J122=1,K122=1,L122=1),"SPECIFIED / UNOBSERVED","REDESIGN")</x:f>
        <x:v>SPECIFIED / UNOBSERVED</x:v>
      </x:c>
    </x:row>
    <x:row r="123">
      <x:c r="A123" s="39" t="str">
        <x:v>HU-A-B-CO-CONTROL</x:v>
      </x:c>
      <x:c r="B123" s="39" t="str">
        <x:v>HU-A-B</x:v>
      </x:c>
      <x:c r="C123" s="39" t="str">
        <x:v>Cold reconstruction</x:v>
      </x:c>
      <x:c r="D123" s="39" t="str">
        <x:v>Control</x:v>
      </x:c>
      <x:c r="E123" s="56" t="str">
        <x:v>8 local controllers; only passive status crosses the isolation seam</x:v>
      </x:c>
      <x:c r="F123" s="39" t="n">
        <x:v>1</x:v>
      </x:c>
      <x:c r="G123" s="39" t="n">
        <x:v>1</x:v>
      </x:c>
      <x:c r="H123" s="39" t="n">
        <x:v>0</x:v>
      </x:c>
      <x:c r="I123" s="39" t="n">
        <x:v>1</x:v>
      </x:c>
      <x:c r="J123" s="39" t="n">
        <x:v>1</x:v>
      </x:c>
      <x:c r="K123" s="39" t="n">
        <x:v>1</x:v>
      </x:c>
      <x:c r="L123" s="39" t="n">
        <x:v>1</x:v>
      </x:c>
      <x:c r="M123" s="39" t="str">
        <x:f>IF(AND(G123&gt;=F123,H123=0,I123=1,J123=1,K123=1,L123=1),"SPECIFIED / UNOBSERVED","REDESIGN")</x:f>
        <x:v>SPECIFIED / UNOBSERVED</x:v>
      </x:c>
    </x:row>
    <x:row r="124">
      <x:c r="A124" s="39" t="str">
        <x:v>HU-A-B-CO-CIVIL-RI</x:v>
      </x:c>
      <x:c r="B124" s="39" t="str">
        <x:v>HU-A-B</x:v>
      </x:c>
      <x:c r="C124" s="39" t="str">
        <x:v>Cold reconstruction</x:v>
      </x:c>
      <x:c r="D124" s="39" t="str">
        <x:v>Civil rights</x:v>
      </x:c>
      <x:c r="E124" s="56" t="str">
        <x:v>8 physically reachable notice, service, egress and remedy zones</x:v>
      </x:c>
      <x:c r="F124" s="39" t="n">
        <x:v>1</x:v>
      </x:c>
      <x:c r="G124" s="39" t="n">
        <x:v>1</x:v>
      </x:c>
      <x:c r="H124" s="39" t="n">
        <x:v>0</x:v>
      </x:c>
      <x:c r="I124" s="39" t="n">
        <x:v>1</x:v>
      </x:c>
      <x:c r="J124" s="39" t="n">
        <x:v>1</x:v>
      </x:c>
      <x:c r="K124" s="39" t="n">
        <x:v>1</x:v>
      </x:c>
      <x:c r="L124" s="39" t="n">
        <x:v>1</x:v>
      </x:c>
      <x:c r="M124" s="39" t="str">
        <x:f>IF(AND(G124&gt;=F124,H124=0,I124=1,J124=1,K124=1,L124=1),"SPECIFIED / UNOBSERVED","REDESIGN")</x:f>
        <x:v>SPECIFIED / UNOBSERVED</x:v>
      </x:c>
    </x:row>
    <x:row r="125">
      <x:c r="A125" s="39" t="str">
        <x:v>HU-A-B-CO-RESIDUAL</x:v>
      </x:c>
      <x:c r="B125" s="39" t="str">
        <x:v>HU-A-B</x:v>
      </x:c>
      <x:c r="C125" s="39" t="str">
        <x:v>Cold reconstruction</x:v>
      </x:c>
      <x:c r="D125" s="39" t="str">
        <x:v>Residual custody</x:v>
      </x:c>
      <x:c r="E125" s="56" t="str">
        <x:v>8 measured retain, quarantine, treatment and release paths</x:v>
      </x:c>
      <x:c r="F125" s="39" t="n">
        <x:v>1</x:v>
      </x:c>
      <x:c r="G125" s="39" t="n">
        <x:v>1</x:v>
      </x:c>
      <x:c r="H125" s="39" t="n">
        <x:v>0</x:v>
      </x:c>
      <x:c r="I125" s="39" t="n">
        <x:v>1</x:v>
      </x:c>
      <x:c r="J125" s="39" t="n">
        <x:v>1</x:v>
      </x:c>
      <x:c r="K125" s="39" t="n">
        <x:v>1</x:v>
      </x:c>
      <x:c r="L125" s="39" t="n">
        <x:v>1</x:v>
      </x:c>
      <x:c r="M125" s="39" t="str">
        <x:f>IF(AND(G125&gt;=F125,H125=0,I125=1,J125=1,K125=1,L125=1),"SPECIFIED / UNOBSERVED","REDESIGN")</x:f>
        <x:v>SPECIFIED / UNOBSERVED</x:v>
      </x:c>
    </x:row>
    <x:row r="126">
      <x:c r="A126" s="39" t="str">
        <x:v>HU-A-B-CO-SAFE-STA</x:v>
      </x:c>
      <x:c r="B126" s="39" t="str">
        <x:v>HU-A-B</x:v>
      </x:c>
      <x:c r="C126" s="39" t="str">
        <x:v>Cold reconstruction</x:v>
      </x:c>
      <x:c r="D126" s="39" t="str">
        <x:v>Safe state</x:v>
      </x:c>
      <x:c r="E126" s="56" t="str">
        <x:v>Local isolate, depressurize or de-energize, refuge, manual stop and lawful disposition</x:v>
      </x:c>
      <x:c r="F126" s="39" t="n">
        <x:v>1</x:v>
      </x:c>
      <x:c r="G126" s="39" t="n">
        <x:v>1</x:v>
      </x:c>
      <x:c r="H126" s="39" t="n">
        <x:v>0</x:v>
      </x:c>
      <x:c r="I126" s="39" t="n">
        <x:v>1</x:v>
      </x:c>
      <x:c r="J126" s="39" t="n">
        <x:v>1</x:v>
      </x:c>
      <x:c r="K126" s="39" t="n">
        <x:v>1</x:v>
      </x:c>
      <x:c r="L126" s="39" t="n">
        <x:v>1</x:v>
      </x:c>
      <x:c r="M126" s="39" t="str">
        <x:f>IF(AND(G126&gt;=F126,H126=0,I126=1,J126=1,K126=1,L126=1),"SPECIFIED / UNOBSERVED","REDESIGN")</x:f>
        <x:v>SPECIFIED / UNOBSERVED</x:v>
      </x:c>
    </x:row>
    <x:row r="127">
      <x:c r="A127" s="39" t="str">
        <x:v>RT-B-C-NO-GEOMETRY</x:v>
      </x:c>
      <x:c r="B127" s="39" t="str">
        <x:v>RT-B-C</x:v>
      </x:c>
      <x:c r="C127" s="39" t="str">
        <x:v>Nominal</x:v>
      </x:c>
      <x:c r="D127" s="39" t="str">
        <x:v>Geometry</x:v>
      </x:c>
      <x:c r="E127" s="56" t="str">
        <x:v>Five road-mobile dirty-return-to-signed-release trainlets. Each owns process energy, heat rejection, field standards, quarantine and material ancestry.</x:v>
      </x:c>
      <x:c r="F127" s="39" t="n">
        <x:v>5</x:v>
      </x:c>
      <x:c r="G127" s="39" t="n">
        <x:v>5</x:v>
      </x:c>
      <x:c r="H127" s="39" t="n">
        <x:v>0</x:v>
      </x:c>
      <x:c r="I127" s="39" t="n">
        <x:v>1</x:v>
      </x:c>
      <x:c r="J127" s="39" t="n">
        <x:v>1</x:v>
      </x:c>
      <x:c r="K127" s="39" t="n">
        <x:v>1</x:v>
      </x:c>
      <x:c r="L127" s="39" t="n">
        <x:v>1</x:v>
      </x:c>
      <x:c r="M127" s="39" t="str">
        <x:f>IF(AND(G127&gt;=F127,H127=0,I127=1,J127=1,K127=1,L127=1),"SPECIFIED / UNOBSERVED","REDESIGN")</x:f>
        <x:v>SPECIFIED / UNOBSERVED</x:v>
      </x:c>
    </x:row>
    <x:row r="128">
      <x:c r="A128" s="39" t="str">
        <x:v>RT-B-C-NO-LOAD-PAT</x:v>
      </x:c>
      <x:c r="B128" s="39" t="str">
        <x:v>RT-B-C</x:v>
      </x:c>
      <x:c r="C128" s="39" t="str">
        <x:v>Nominal</x:v>
      </x:c>
      <x:c r="D128" s="39" t="str">
        <x:v>Load path</x:v>
      </x:c>
      <x:c r="E128" s="56" t="str">
        <x:v>Complete 5-path service chain with no active common transfer junction</x:v>
      </x:c>
      <x:c r="F128" s="39" t="n">
        <x:v>5</x:v>
      </x:c>
      <x:c r="G128" s="39" t="n">
        <x:v>5</x:v>
      </x:c>
      <x:c r="H128" s="39" t="n">
        <x:v>0</x:v>
      </x:c>
      <x:c r="I128" s="39" t="n">
        <x:v>1</x:v>
      </x:c>
      <x:c r="J128" s="39" t="n">
        <x:v>1</x:v>
      </x:c>
      <x:c r="K128" s="39" t="n">
        <x:v>1</x:v>
      </x:c>
      <x:c r="L128" s="39" t="n">
        <x:v>1</x:v>
      </x:c>
      <x:c r="M128" s="39" t="str">
        <x:f>IF(AND(G128&gt;=F128,H128=0,I128=1,J128=1,K128=1,L128=1),"SPECIFIED / UNOBSERVED","REDESIGN")</x:f>
        <x:v>SPECIFIED / UNOBSERVED</x:v>
      </x:c>
    </x:row>
    <x:row r="129">
      <x:c r="A129" s="39" t="str">
        <x:v>RT-B-C-NO-CONTROL</x:v>
      </x:c>
      <x:c r="B129" s="39" t="str">
        <x:v>RT-B-C</x:v>
      </x:c>
      <x:c r="C129" s="39" t="str">
        <x:v>Nominal</x:v>
      </x:c>
      <x:c r="D129" s="39" t="str">
        <x:v>Control</x:v>
      </x:c>
      <x:c r="E129" s="56" t="str">
        <x:v>5 local controllers; only passive status crosses the isolation seam</x:v>
      </x:c>
      <x:c r="F129" s="39" t="n">
        <x:v>5</x:v>
      </x:c>
      <x:c r="G129" s="39" t="n">
        <x:v>5</x:v>
      </x:c>
      <x:c r="H129" s="39" t="n">
        <x:v>0</x:v>
      </x:c>
      <x:c r="I129" s="39" t="n">
        <x:v>1</x:v>
      </x:c>
      <x:c r="J129" s="39" t="n">
        <x:v>1</x:v>
      </x:c>
      <x:c r="K129" s="39" t="n">
        <x:v>1</x:v>
      </x:c>
      <x:c r="L129" s="39" t="n">
        <x:v>1</x:v>
      </x:c>
      <x:c r="M129" s="39" t="str">
        <x:f>IF(AND(G129&gt;=F129,H129=0,I129=1,J129=1,K129=1,L129=1),"SPECIFIED / UNOBSERVED","REDESIGN")</x:f>
        <x:v>SPECIFIED / UNOBSERVED</x:v>
      </x:c>
    </x:row>
    <x:row r="130">
      <x:c r="A130" s="39" t="str">
        <x:v>RT-B-C-NO-CIVIL-RI</x:v>
      </x:c>
      <x:c r="B130" s="39" t="str">
        <x:v>RT-B-C</x:v>
      </x:c>
      <x:c r="C130" s="39" t="str">
        <x:v>Nominal</x:v>
      </x:c>
      <x:c r="D130" s="39" t="str">
        <x:v>Civil rights</x:v>
      </x:c>
      <x:c r="E130" s="56" t="str">
        <x:v>5 physically reachable notice, service, egress and remedy zones</x:v>
      </x:c>
      <x:c r="F130" s="39" t="n">
        <x:v>5</x:v>
      </x:c>
      <x:c r="G130" s="39" t="n">
        <x:v>5</x:v>
      </x:c>
      <x:c r="H130" s="39" t="n">
        <x:v>0</x:v>
      </x:c>
      <x:c r="I130" s="39" t="n">
        <x:v>1</x:v>
      </x:c>
      <x:c r="J130" s="39" t="n">
        <x:v>1</x:v>
      </x:c>
      <x:c r="K130" s="39" t="n">
        <x:v>1</x:v>
      </x:c>
      <x:c r="L130" s="39" t="n">
        <x:v>1</x:v>
      </x:c>
      <x:c r="M130" s="39" t="str">
        <x:f>IF(AND(G130&gt;=F130,H130=0,I130=1,J130=1,K130=1,L130=1),"SPECIFIED / UNOBSERVED","REDESIGN")</x:f>
        <x:v>SPECIFIED / UNOBSERVED</x:v>
      </x:c>
    </x:row>
    <x:row r="131">
      <x:c r="A131" s="39" t="str">
        <x:v>RT-B-C-NO-RESIDUAL</x:v>
      </x:c>
      <x:c r="B131" s="39" t="str">
        <x:v>RT-B-C</x:v>
      </x:c>
      <x:c r="C131" s="39" t="str">
        <x:v>Nominal</x:v>
      </x:c>
      <x:c r="D131" s="39" t="str">
        <x:v>Residual custody</x:v>
      </x:c>
      <x:c r="E131" s="56" t="str">
        <x:v>5 measured retain, quarantine, treatment and release paths</x:v>
      </x:c>
      <x:c r="F131" s="39" t="n">
        <x:v>5</x:v>
      </x:c>
      <x:c r="G131" s="39" t="n">
        <x:v>5</x:v>
      </x:c>
      <x:c r="H131" s="39" t="n">
        <x:v>0</x:v>
      </x:c>
      <x:c r="I131" s="39" t="n">
        <x:v>1</x:v>
      </x:c>
      <x:c r="J131" s="39" t="n">
        <x:v>1</x:v>
      </x:c>
      <x:c r="K131" s="39" t="n">
        <x:v>1</x:v>
      </x:c>
      <x:c r="L131" s="39" t="n">
        <x:v>1</x:v>
      </x:c>
      <x:c r="M131" s="39" t="str">
        <x:f>IF(AND(G131&gt;=F131,H131=0,I131=1,J131=1,K131=1,L131=1),"SPECIFIED / UNOBSERVED","REDESIGN")</x:f>
        <x:v>SPECIFIED / UNOBSERVED</x:v>
      </x:c>
    </x:row>
    <x:row r="132">
      <x:c r="A132" s="39" t="str">
        <x:v>RT-B-C-NO-SAFE-STA</x:v>
      </x:c>
      <x:c r="B132" s="39" t="str">
        <x:v>RT-B-C</x:v>
      </x:c>
      <x:c r="C132" s="39" t="str">
        <x:v>Nominal</x:v>
      </x:c>
      <x:c r="D132" s="39" t="str">
        <x:v>Safe state</x:v>
      </x:c>
      <x:c r="E132" s="56" t="str">
        <x:v>Local isolate, depressurize or de-energize, refuge, manual stop and lawful disposition</x:v>
      </x:c>
      <x:c r="F132" s="39" t="n">
        <x:v>5</x:v>
      </x:c>
      <x:c r="G132" s="39" t="n">
        <x:v>5</x:v>
      </x:c>
      <x:c r="H132" s="39" t="n">
        <x:v>0</x:v>
      </x:c>
      <x:c r="I132" s="39" t="n">
        <x:v>1</x:v>
      </x:c>
      <x:c r="J132" s="39" t="n">
        <x:v>1</x:v>
      </x:c>
      <x:c r="K132" s="39" t="n">
        <x:v>1</x:v>
      </x:c>
      <x:c r="L132" s="39" t="n">
        <x:v>1</x:v>
      </x:c>
      <x:c r="M132" s="39" t="str">
        <x:f>IF(AND(G132&gt;=F132,H132=0,I132=1,J132=1,K132=1,L132=1),"SPECIFIED / UNOBSERVED","REDESIGN")</x:f>
        <x:v>SPECIFIED / UNOBSERVED</x:v>
      </x:c>
    </x:row>
    <x:row r="133">
      <x:c r="A133" s="39" t="str">
        <x:v>RT-B-C-LA-GEOMETRY</x:v>
      </x:c>
      <x:c r="B133" s="39" t="str">
        <x:v>RT-B-C</x:v>
      </x:c>
      <x:c r="C133" s="39" t="str">
        <x:v>Largest-cell loss</x:v>
      </x:c>
      <x:c r="D133" s="39" t="str">
        <x:v>Geometry</x:v>
      </x:c>
      <x:c r="E133" s="56" t="str">
        <x:v>Five road-mobile dirty-return-to-signed-release trainlets. Each owns process energy, heat rejection, field standards, quarantine and material ancestry.</x:v>
      </x:c>
      <x:c r="F133" s="39" t="n">
        <x:v>4</x:v>
      </x:c>
      <x:c r="G133" s="39" t="n">
        <x:v>4</x:v>
      </x:c>
      <x:c r="H133" s="39" t="n">
        <x:v>0</x:v>
      </x:c>
      <x:c r="I133" s="39" t="n">
        <x:v>1</x:v>
      </x:c>
      <x:c r="J133" s="39" t="n">
        <x:v>1</x:v>
      </x:c>
      <x:c r="K133" s="39" t="n">
        <x:v>1</x:v>
      </x:c>
      <x:c r="L133" s="39" t="n">
        <x:v>1</x:v>
      </x:c>
      <x:c r="M133" s="39" t="str">
        <x:f>IF(AND(G133&gt;=F133,H133=0,I133=1,J133=1,K133=1,L133=1),"SPECIFIED / UNOBSERVED","REDESIGN")</x:f>
        <x:v>SPECIFIED / UNOBSERVED</x:v>
      </x:c>
    </x:row>
    <x:row r="134">
      <x:c r="A134" s="39" t="str">
        <x:v>RT-B-C-LA-LOAD-PAT</x:v>
      </x:c>
      <x:c r="B134" s="39" t="str">
        <x:v>RT-B-C</x:v>
      </x:c>
      <x:c r="C134" s="39" t="str">
        <x:v>Largest-cell loss</x:v>
      </x:c>
      <x:c r="D134" s="39" t="str">
        <x:v>Load path</x:v>
      </x:c>
      <x:c r="E134" s="56" t="str">
        <x:v>Complete 5-path service chain with no active common transfer junction</x:v>
      </x:c>
      <x:c r="F134" s="39" t="n">
        <x:v>4</x:v>
      </x:c>
      <x:c r="G134" s="39" t="n">
        <x:v>4</x:v>
      </x:c>
      <x:c r="H134" s="39" t="n">
        <x:v>0</x:v>
      </x:c>
      <x:c r="I134" s="39" t="n">
        <x:v>1</x:v>
      </x:c>
      <x:c r="J134" s="39" t="n">
        <x:v>1</x:v>
      </x:c>
      <x:c r="K134" s="39" t="n">
        <x:v>1</x:v>
      </x:c>
      <x:c r="L134" s="39" t="n">
        <x:v>1</x:v>
      </x:c>
      <x:c r="M134" s="39" t="str">
        <x:f>IF(AND(G134&gt;=F134,H134=0,I134=1,J134=1,K134=1,L134=1),"SPECIFIED / UNOBSERVED","REDESIGN")</x:f>
        <x:v>SPECIFIED / UNOBSERVED</x:v>
      </x:c>
    </x:row>
    <x:row r="135">
      <x:c r="A135" s="39" t="str">
        <x:v>RT-B-C-LA-CONTROL</x:v>
      </x:c>
      <x:c r="B135" s="39" t="str">
        <x:v>RT-B-C</x:v>
      </x:c>
      <x:c r="C135" s="39" t="str">
        <x:v>Largest-cell loss</x:v>
      </x:c>
      <x:c r="D135" s="39" t="str">
        <x:v>Control</x:v>
      </x:c>
      <x:c r="E135" s="56" t="str">
        <x:v>5 local controllers; only passive status crosses the isolation seam</x:v>
      </x:c>
      <x:c r="F135" s="39" t="n">
        <x:v>4</x:v>
      </x:c>
      <x:c r="G135" s="39" t="n">
        <x:v>4</x:v>
      </x:c>
      <x:c r="H135" s="39" t="n">
        <x:v>0</x:v>
      </x:c>
      <x:c r="I135" s="39" t="n">
        <x:v>1</x:v>
      </x:c>
      <x:c r="J135" s="39" t="n">
        <x:v>1</x:v>
      </x:c>
      <x:c r="K135" s="39" t="n">
        <x:v>1</x:v>
      </x:c>
      <x:c r="L135" s="39" t="n">
        <x:v>1</x:v>
      </x:c>
      <x:c r="M135" s="39" t="str">
        <x:f>IF(AND(G135&gt;=F135,H135=0,I135=1,J135=1,K135=1,L135=1),"SPECIFIED / UNOBSERVED","REDESIGN")</x:f>
        <x:v>SPECIFIED / UNOBSERVED</x:v>
      </x:c>
    </x:row>
    <x:row r="136">
      <x:c r="A136" s="39" t="str">
        <x:v>RT-B-C-LA-CIVIL-RI</x:v>
      </x:c>
      <x:c r="B136" s="39" t="str">
        <x:v>RT-B-C</x:v>
      </x:c>
      <x:c r="C136" s="39" t="str">
        <x:v>Largest-cell loss</x:v>
      </x:c>
      <x:c r="D136" s="39" t="str">
        <x:v>Civil rights</x:v>
      </x:c>
      <x:c r="E136" s="56" t="str">
        <x:v>5 physically reachable notice, service, egress and remedy zones</x:v>
      </x:c>
      <x:c r="F136" s="39" t="n">
        <x:v>4</x:v>
      </x:c>
      <x:c r="G136" s="39" t="n">
        <x:v>4</x:v>
      </x:c>
      <x:c r="H136" s="39" t="n">
        <x:v>0</x:v>
      </x:c>
      <x:c r="I136" s="39" t="n">
        <x:v>1</x:v>
      </x:c>
      <x:c r="J136" s="39" t="n">
        <x:v>1</x:v>
      </x:c>
      <x:c r="K136" s="39" t="n">
        <x:v>1</x:v>
      </x:c>
      <x:c r="L136" s="39" t="n">
        <x:v>1</x:v>
      </x:c>
      <x:c r="M136" s="39" t="str">
        <x:f>IF(AND(G136&gt;=F136,H136=0,I136=1,J136=1,K136=1,L136=1),"SPECIFIED / UNOBSERVED","REDESIGN")</x:f>
        <x:v>SPECIFIED / UNOBSERVED</x:v>
      </x:c>
    </x:row>
    <x:row r="137">
      <x:c r="A137" s="39" t="str">
        <x:v>RT-B-C-LA-RESIDUAL</x:v>
      </x:c>
      <x:c r="B137" s="39" t="str">
        <x:v>RT-B-C</x:v>
      </x:c>
      <x:c r="C137" s="39" t="str">
        <x:v>Largest-cell loss</x:v>
      </x:c>
      <x:c r="D137" s="39" t="str">
        <x:v>Residual custody</x:v>
      </x:c>
      <x:c r="E137" s="56" t="str">
        <x:v>5 measured retain, quarantine, treatment and release paths</x:v>
      </x:c>
      <x:c r="F137" s="39" t="n">
        <x:v>4</x:v>
      </x:c>
      <x:c r="G137" s="39" t="n">
        <x:v>4</x:v>
      </x:c>
      <x:c r="H137" s="39" t="n">
        <x:v>0</x:v>
      </x:c>
      <x:c r="I137" s="39" t="n">
        <x:v>1</x:v>
      </x:c>
      <x:c r="J137" s="39" t="n">
        <x:v>1</x:v>
      </x:c>
      <x:c r="K137" s="39" t="n">
        <x:v>1</x:v>
      </x:c>
      <x:c r="L137" s="39" t="n">
        <x:v>1</x:v>
      </x:c>
      <x:c r="M137" s="39" t="str">
        <x:f>IF(AND(G137&gt;=F137,H137=0,I137=1,J137=1,K137=1,L137=1),"SPECIFIED / UNOBSERVED","REDESIGN")</x:f>
        <x:v>SPECIFIED / UNOBSERVED</x:v>
      </x:c>
    </x:row>
    <x:row r="138">
      <x:c r="A138" s="39" t="str">
        <x:v>RT-B-C-LA-SAFE-STA</x:v>
      </x:c>
      <x:c r="B138" s="39" t="str">
        <x:v>RT-B-C</x:v>
      </x:c>
      <x:c r="C138" s="39" t="str">
        <x:v>Largest-cell loss</x:v>
      </x:c>
      <x:c r="D138" s="39" t="str">
        <x:v>Safe state</x:v>
      </x:c>
      <x:c r="E138" s="56" t="str">
        <x:v>Local isolate, depressurize or de-energize, refuge, manual stop and lawful disposition</x:v>
      </x:c>
      <x:c r="F138" s="39" t="n">
        <x:v>4</x:v>
      </x:c>
      <x:c r="G138" s="39" t="n">
        <x:v>4</x:v>
      </x:c>
      <x:c r="H138" s="39" t="n">
        <x:v>0</x:v>
      </x:c>
      <x:c r="I138" s="39" t="n">
        <x:v>1</x:v>
      </x:c>
      <x:c r="J138" s="39" t="n">
        <x:v>1</x:v>
      </x:c>
      <x:c r="K138" s="39" t="n">
        <x:v>1</x:v>
      </x:c>
      <x:c r="L138" s="39" t="n">
        <x:v>1</x:v>
      </x:c>
      <x:c r="M138" s="39" t="str">
        <x:f>IF(AND(G138&gt;=F138,H138=0,I138=1,J138=1,K138=1,L138=1),"SPECIFIED / UNOBSERVED","REDESIGN")</x:f>
        <x:v>SPECIFIED / UNOBSERVED</x:v>
      </x:c>
    </x:row>
    <x:row r="139">
      <x:c r="A139" s="39" t="str">
        <x:v>RT-B-C-FA-GEOMETRY</x:v>
      </x:c>
      <x:c r="B139" s="39" t="str">
        <x:v>RT-B-C</x:v>
      </x:c>
      <x:c r="C139" s="39" t="str">
        <x:v>Fatal-keystone</x:v>
      </x:c>
      <x:c r="D139" s="39" t="str">
        <x:v>Geometry</x:v>
      </x:c>
      <x:c r="E139" s="56" t="str">
        <x:v>Five road-mobile dirty-return-to-signed-release trainlets. Each owns process energy, heat rejection, field standards, quarantine and material ancestry.</x:v>
      </x:c>
      <x:c r="F139" s="39" t="n">
        <x:v>4</x:v>
      </x:c>
      <x:c r="G139" s="39" t="n">
        <x:v>4</x:v>
      </x:c>
      <x:c r="H139" s="39" t="n">
        <x:v>0</x:v>
      </x:c>
      <x:c r="I139" s="39" t="n">
        <x:v>1</x:v>
      </x:c>
      <x:c r="J139" s="39" t="n">
        <x:v>1</x:v>
      </x:c>
      <x:c r="K139" s="39" t="n">
        <x:v>1</x:v>
      </x:c>
      <x:c r="L139" s="39" t="n">
        <x:v>1</x:v>
      </x:c>
      <x:c r="M139" s="39" t="str">
        <x:f>IF(AND(G139&gt;=F139,H139=0,I139=1,J139=1,K139=1,L139=1),"SPECIFIED / UNOBSERVED","REDESIGN")</x:f>
        <x:v>SPECIFIED / UNOBSERVED</x:v>
      </x:c>
    </x:row>
    <x:row r="140">
      <x:c r="A140" s="39" t="str">
        <x:v>RT-B-C-FA-LOAD-PAT</x:v>
      </x:c>
      <x:c r="B140" s="39" t="str">
        <x:v>RT-B-C</x:v>
      </x:c>
      <x:c r="C140" s="39" t="str">
        <x:v>Fatal-keystone</x:v>
      </x:c>
      <x:c r="D140" s="39" t="str">
        <x:v>Load path</x:v>
      </x:c>
      <x:c r="E140" s="56" t="str">
        <x:v>Complete 5-path service chain with no active common transfer junction</x:v>
      </x:c>
      <x:c r="F140" s="39" t="n">
        <x:v>4</x:v>
      </x:c>
      <x:c r="G140" s="39" t="n">
        <x:v>4</x:v>
      </x:c>
      <x:c r="H140" s="39" t="n">
        <x:v>0</x:v>
      </x:c>
      <x:c r="I140" s="39" t="n">
        <x:v>1</x:v>
      </x:c>
      <x:c r="J140" s="39" t="n">
        <x:v>1</x:v>
      </x:c>
      <x:c r="K140" s="39" t="n">
        <x:v>1</x:v>
      </x:c>
      <x:c r="L140" s="39" t="n">
        <x:v>1</x:v>
      </x:c>
      <x:c r="M140" s="39" t="str">
        <x:f>IF(AND(G140&gt;=F140,H140=0,I140=1,J140=1,K140=1,L140=1),"SPECIFIED / UNOBSERVED","REDESIGN")</x:f>
        <x:v>SPECIFIED / UNOBSERVED</x:v>
      </x:c>
    </x:row>
    <x:row r="141">
      <x:c r="A141" s="39" t="str">
        <x:v>RT-B-C-FA-CONTROL</x:v>
      </x:c>
      <x:c r="B141" s="39" t="str">
        <x:v>RT-B-C</x:v>
      </x:c>
      <x:c r="C141" s="39" t="str">
        <x:v>Fatal-keystone</x:v>
      </x:c>
      <x:c r="D141" s="39" t="str">
        <x:v>Control</x:v>
      </x:c>
      <x:c r="E141" s="56" t="str">
        <x:v>5 local controllers; only passive status crosses the isolation seam</x:v>
      </x:c>
      <x:c r="F141" s="39" t="n">
        <x:v>4</x:v>
      </x:c>
      <x:c r="G141" s="39" t="n">
        <x:v>4</x:v>
      </x:c>
      <x:c r="H141" s="39" t="n">
        <x:v>0</x:v>
      </x:c>
      <x:c r="I141" s="39" t="n">
        <x:v>1</x:v>
      </x:c>
      <x:c r="J141" s="39" t="n">
        <x:v>1</x:v>
      </x:c>
      <x:c r="K141" s="39" t="n">
        <x:v>1</x:v>
      </x:c>
      <x:c r="L141" s="39" t="n">
        <x:v>1</x:v>
      </x:c>
      <x:c r="M141" s="39" t="str">
        <x:f>IF(AND(G141&gt;=F141,H141=0,I141=1,J141=1,K141=1,L141=1),"SPECIFIED / UNOBSERVED","REDESIGN")</x:f>
        <x:v>SPECIFIED / UNOBSERVED</x:v>
      </x:c>
    </x:row>
    <x:row r="142">
      <x:c r="A142" s="39" t="str">
        <x:v>RT-B-C-FA-CIVIL-RI</x:v>
      </x:c>
      <x:c r="B142" s="39" t="str">
        <x:v>RT-B-C</x:v>
      </x:c>
      <x:c r="C142" s="39" t="str">
        <x:v>Fatal-keystone</x:v>
      </x:c>
      <x:c r="D142" s="39" t="str">
        <x:v>Civil rights</x:v>
      </x:c>
      <x:c r="E142" s="56" t="str">
        <x:v>5 physically reachable notice, service, egress and remedy zones</x:v>
      </x:c>
      <x:c r="F142" s="39" t="n">
        <x:v>4</x:v>
      </x:c>
      <x:c r="G142" s="39" t="n">
        <x:v>4</x:v>
      </x:c>
      <x:c r="H142" s="39" t="n">
        <x:v>0</x:v>
      </x:c>
      <x:c r="I142" s="39" t="n">
        <x:v>1</x:v>
      </x:c>
      <x:c r="J142" s="39" t="n">
        <x:v>1</x:v>
      </x:c>
      <x:c r="K142" s="39" t="n">
        <x:v>1</x:v>
      </x:c>
      <x:c r="L142" s="39" t="n">
        <x:v>1</x:v>
      </x:c>
      <x:c r="M142" s="39" t="str">
        <x:f>IF(AND(G142&gt;=F142,H142=0,I142=1,J142=1,K142=1,L142=1),"SPECIFIED / UNOBSERVED","REDESIGN")</x:f>
        <x:v>SPECIFIED / UNOBSERVED</x:v>
      </x:c>
    </x:row>
    <x:row r="143">
      <x:c r="A143" s="39" t="str">
        <x:v>RT-B-C-FA-RESIDUAL</x:v>
      </x:c>
      <x:c r="B143" s="39" t="str">
        <x:v>RT-B-C</x:v>
      </x:c>
      <x:c r="C143" s="39" t="str">
        <x:v>Fatal-keystone</x:v>
      </x:c>
      <x:c r="D143" s="39" t="str">
        <x:v>Residual custody</x:v>
      </x:c>
      <x:c r="E143" s="56" t="str">
        <x:v>5 measured retain, quarantine, treatment and release paths</x:v>
      </x:c>
      <x:c r="F143" s="39" t="n">
        <x:v>4</x:v>
      </x:c>
      <x:c r="G143" s="39" t="n">
        <x:v>4</x:v>
      </x:c>
      <x:c r="H143" s="39" t="n">
        <x:v>0</x:v>
      </x:c>
      <x:c r="I143" s="39" t="n">
        <x:v>1</x:v>
      </x:c>
      <x:c r="J143" s="39" t="n">
        <x:v>1</x:v>
      </x:c>
      <x:c r="K143" s="39" t="n">
        <x:v>1</x:v>
      </x:c>
      <x:c r="L143" s="39" t="n">
        <x:v>1</x:v>
      </x:c>
      <x:c r="M143" s="39" t="str">
        <x:f>IF(AND(G143&gt;=F143,H143=0,I143=1,J143=1,K143=1,L143=1),"SPECIFIED / UNOBSERVED","REDESIGN")</x:f>
        <x:v>SPECIFIED / UNOBSERVED</x:v>
      </x:c>
    </x:row>
    <x:row r="144">
      <x:c r="A144" s="39" t="str">
        <x:v>RT-B-C-FA-SAFE-STA</x:v>
      </x:c>
      <x:c r="B144" s="39" t="str">
        <x:v>RT-B-C</x:v>
      </x:c>
      <x:c r="C144" s="39" t="str">
        <x:v>Fatal-keystone</x:v>
      </x:c>
      <x:c r="D144" s="39" t="str">
        <x:v>Safe state</x:v>
      </x:c>
      <x:c r="E144" s="56" t="str">
        <x:v>Local isolate, depressurize or de-energize, refuge, manual stop and lawful disposition</x:v>
      </x:c>
      <x:c r="F144" s="39" t="n">
        <x:v>4</x:v>
      </x:c>
      <x:c r="G144" s="39" t="n">
        <x:v>4</x:v>
      </x:c>
      <x:c r="H144" s="39" t="n">
        <x:v>0</x:v>
      </x:c>
      <x:c r="I144" s="39" t="n">
        <x:v>1</x:v>
      </x:c>
      <x:c r="J144" s="39" t="n">
        <x:v>1</x:v>
      </x:c>
      <x:c r="K144" s="39" t="n">
        <x:v>1</x:v>
      </x:c>
      <x:c r="L144" s="39" t="n">
        <x:v>1</x:v>
      </x:c>
      <x:c r="M144" s="39" t="str">
        <x:f>IF(AND(G144&gt;=F144,H144=0,I144=1,J144=1,K144=1,L144=1),"SPECIFIED / UNOBSERVED","REDESIGN")</x:f>
        <x:v>SPECIFIED / UNOBSERVED</x:v>
      </x:c>
    </x:row>
    <x:row r="145">
      <x:c r="A145" s="39" t="str">
        <x:v>RT-B-C-CO-GEOMETRY</x:v>
      </x:c>
      <x:c r="B145" s="39" t="str">
        <x:v>RT-B-C</x:v>
      </x:c>
      <x:c r="C145" s="39" t="str">
        <x:v>Cold reconstruction</x:v>
      </x:c>
      <x:c r="D145" s="39" t="str">
        <x:v>Geometry</x:v>
      </x:c>
      <x:c r="E145" s="56" t="str">
        <x:v>Five road-mobile dirty-return-to-signed-release trainlets. Each owns process energy, heat rejection, field standards, quarantine and material ancestry.</x:v>
      </x:c>
      <x:c r="F145" s="39" t="n">
        <x:v>1</x:v>
      </x:c>
      <x:c r="G145" s="39" t="n">
        <x:v>1</x:v>
      </x:c>
      <x:c r="H145" s="39" t="n">
        <x:v>0</x:v>
      </x:c>
      <x:c r="I145" s="39" t="n">
        <x:v>1</x:v>
      </x:c>
      <x:c r="J145" s="39" t="n">
        <x:v>1</x:v>
      </x:c>
      <x:c r="K145" s="39" t="n">
        <x:v>1</x:v>
      </x:c>
      <x:c r="L145" s="39" t="n">
        <x:v>1</x:v>
      </x:c>
      <x:c r="M145" s="39" t="str">
        <x:f>IF(AND(G145&gt;=F145,H145=0,I145=1,J145=1,K145=1,L145=1),"SPECIFIED / UNOBSERVED","REDESIGN")</x:f>
        <x:v>SPECIFIED / UNOBSERVED</x:v>
      </x:c>
    </x:row>
    <x:row r="146">
      <x:c r="A146" s="39" t="str">
        <x:v>RT-B-C-CO-LOAD-PAT</x:v>
      </x:c>
      <x:c r="B146" s="39" t="str">
        <x:v>RT-B-C</x:v>
      </x:c>
      <x:c r="C146" s="39" t="str">
        <x:v>Cold reconstruction</x:v>
      </x:c>
      <x:c r="D146" s="39" t="str">
        <x:v>Load path</x:v>
      </x:c>
      <x:c r="E146" s="56" t="str">
        <x:v>Complete 5-path service chain with no active common transfer junction</x:v>
      </x:c>
      <x:c r="F146" s="39" t="n">
        <x:v>1</x:v>
      </x:c>
      <x:c r="G146" s="39" t="n">
        <x:v>1</x:v>
      </x:c>
      <x:c r="H146" s="39" t="n">
        <x:v>0</x:v>
      </x:c>
      <x:c r="I146" s="39" t="n">
        <x:v>1</x:v>
      </x:c>
      <x:c r="J146" s="39" t="n">
        <x:v>1</x:v>
      </x:c>
      <x:c r="K146" s="39" t="n">
        <x:v>1</x:v>
      </x:c>
      <x:c r="L146" s="39" t="n">
        <x:v>1</x:v>
      </x:c>
      <x:c r="M146" s="39" t="str">
        <x:f>IF(AND(G146&gt;=F146,H146=0,I146=1,J146=1,K146=1,L146=1),"SPECIFIED / UNOBSERVED","REDESIGN")</x:f>
        <x:v>SPECIFIED / UNOBSERVED</x:v>
      </x:c>
    </x:row>
    <x:row r="147">
      <x:c r="A147" s="39" t="str">
        <x:v>RT-B-C-CO-CONTROL</x:v>
      </x:c>
      <x:c r="B147" s="39" t="str">
        <x:v>RT-B-C</x:v>
      </x:c>
      <x:c r="C147" s="39" t="str">
        <x:v>Cold reconstruction</x:v>
      </x:c>
      <x:c r="D147" s="39" t="str">
        <x:v>Control</x:v>
      </x:c>
      <x:c r="E147" s="56" t="str">
        <x:v>5 local controllers; only passive status crosses the isolation seam</x:v>
      </x:c>
      <x:c r="F147" s="39" t="n">
        <x:v>1</x:v>
      </x:c>
      <x:c r="G147" s="39" t="n">
        <x:v>1</x:v>
      </x:c>
      <x:c r="H147" s="39" t="n">
        <x:v>0</x:v>
      </x:c>
      <x:c r="I147" s="39" t="n">
        <x:v>1</x:v>
      </x:c>
      <x:c r="J147" s="39" t="n">
        <x:v>1</x:v>
      </x:c>
      <x:c r="K147" s="39" t="n">
        <x:v>1</x:v>
      </x:c>
      <x:c r="L147" s="39" t="n">
        <x:v>1</x:v>
      </x:c>
      <x:c r="M147" s="39" t="str">
        <x:f>IF(AND(G147&gt;=F147,H147=0,I147=1,J147=1,K147=1,L147=1),"SPECIFIED / UNOBSERVED","REDESIGN")</x:f>
        <x:v>SPECIFIED / UNOBSERVED</x:v>
      </x:c>
    </x:row>
    <x:row r="148">
      <x:c r="A148" s="39" t="str">
        <x:v>RT-B-C-CO-CIVIL-RI</x:v>
      </x:c>
      <x:c r="B148" s="39" t="str">
        <x:v>RT-B-C</x:v>
      </x:c>
      <x:c r="C148" s="39" t="str">
        <x:v>Cold reconstruction</x:v>
      </x:c>
      <x:c r="D148" s="39" t="str">
        <x:v>Civil rights</x:v>
      </x:c>
      <x:c r="E148" s="56" t="str">
        <x:v>5 physically reachable notice, service, egress and remedy zones</x:v>
      </x:c>
      <x:c r="F148" s="39" t="n">
        <x:v>1</x:v>
      </x:c>
      <x:c r="G148" s="39" t="n">
        <x:v>1</x:v>
      </x:c>
      <x:c r="H148" s="39" t="n">
        <x:v>0</x:v>
      </x:c>
      <x:c r="I148" s="39" t="n">
        <x:v>1</x:v>
      </x:c>
      <x:c r="J148" s="39" t="n">
        <x:v>1</x:v>
      </x:c>
      <x:c r="K148" s="39" t="n">
        <x:v>1</x:v>
      </x:c>
      <x:c r="L148" s="39" t="n">
        <x:v>1</x:v>
      </x:c>
      <x:c r="M148" s="39" t="str">
        <x:f>IF(AND(G148&gt;=F148,H148=0,I148=1,J148=1,K148=1,L148=1),"SPECIFIED / UNOBSERVED","REDESIGN")</x:f>
        <x:v>SPECIFIED / UNOBSERVED</x:v>
      </x:c>
    </x:row>
    <x:row r="149">
      <x:c r="A149" s="39" t="str">
        <x:v>RT-B-C-CO-RESIDUAL</x:v>
      </x:c>
      <x:c r="B149" s="39" t="str">
        <x:v>RT-B-C</x:v>
      </x:c>
      <x:c r="C149" s="39" t="str">
        <x:v>Cold reconstruction</x:v>
      </x:c>
      <x:c r="D149" s="39" t="str">
        <x:v>Residual custody</x:v>
      </x:c>
      <x:c r="E149" s="56" t="str">
        <x:v>5 measured retain, quarantine, treatment and release paths</x:v>
      </x:c>
      <x:c r="F149" s="39" t="n">
        <x:v>1</x:v>
      </x:c>
      <x:c r="G149" s="39" t="n">
        <x:v>1</x:v>
      </x:c>
      <x:c r="H149" s="39" t="n">
        <x:v>0</x:v>
      </x:c>
      <x:c r="I149" s="39" t="n">
        <x:v>1</x:v>
      </x:c>
      <x:c r="J149" s="39" t="n">
        <x:v>1</x:v>
      </x:c>
      <x:c r="K149" s="39" t="n">
        <x:v>1</x:v>
      </x:c>
      <x:c r="L149" s="39" t="n">
        <x:v>1</x:v>
      </x:c>
      <x:c r="M149" s="39" t="str">
        <x:f>IF(AND(G149&gt;=F149,H149=0,I149=1,J149=1,K149=1,L149=1),"SPECIFIED / UNOBSERVED","REDESIGN")</x:f>
        <x:v>SPECIFIED / UNOBSERVED</x:v>
      </x:c>
    </x:row>
    <x:row r="150">
      <x:c r="A150" s="39" t="str">
        <x:v>RT-B-C-CO-SAFE-STA</x:v>
      </x:c>
      <x:c r="B150" s="39" t="str">
        <x:v>RT-B-C</x:v>
      </x:c>
      <x:c r="C150" s="39" t="str">
        <x:v>Cold reconstruction</x:v>
      </x:c>
      <x:c r="D150" s="39" t="str">
        <x:v>Safe state</x:v>
      </x:c>
      <x:c r="E150" s="56" t="str">
        <x:v>Local isolate, depressurize or de-energize, refuge, manual stop and lawful disposition</x:v>
      </x:c>
      <x:c r="F150" s="39" t="n">
        <x:v>1</x:v>
      </x:c>
      <x:c r="G150" s="39" t="n">
        <x:v>1</x:v>
      </x:c>
      <x:c r="H150" s="39" t="n">
        <x:v>0</x:v>
      </x:c>
      <x:c r="I150" s="39" t="n">
        <x:v>1</x:v>
      </x:c>
      <x:c r="J150" s="39" t="n">
        <x:v>1</x:v>
      </x:c>
      <x:c r="K150" s="39" t="n">
        <x:v>1</x:v>
      </x:c>
      <x:c r="L150" s="39" t="n">
        <x:v>1</x:v>
      </x:c>
      <x:c r="M150" s="39" t="str">
        <x:f>IF(AND(G150&gt;=F150,H150=0,I150=1,J150=1,K150=1,L150=1),"SPECIFIED / UNOBSERVED","REDESIGN")</x:f>
        <x:v>SPECIFIED / UNOBSERVED</x:v>
      </x:c>
    </x:row>
  </x:sheetData>
  <x:conditionalFormatting sqref="M7:M150">
    <x:cfRule type="containsText" dxfId="3" priority="1" operator="containsText" text="REDESIGN"/>
    <x:cfRule type="containsText" dxfId="4" priority="2" operator="containsText" text="SPECIFIED"/>
    <x:cfRule type="containsText" dxfId="5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82319b25932a475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22" hidden="0" customWidth="1"/>
    <x:col min="4" max="4" width="38" hidden="0" customWidth="1"/>
    <x:col min="5" max="5" width="36" hidden="0" customWidth="1"/>
    <x:col min="6" max="6" width="42" hidden="0" customWidth="1"/>
    <x:col min="7" max="7" width="68" hidden="0" customWidth="1"/>
    <x:col min="8" max="8" width="24" hidden="0" customWidth="1"/>
    <x:col min="9" max="9" width="22" hidden="0" customWidth="1"/>
  </x:cols>
  <x:sheetData>
    <x:row r="1">
      <x:c r="A1" s="39"/>
      <x:c r="B1" s="39"/>
      <x:c r="C1" s="39"/>
      <x:c r="D1" s="39"/>
      <x:c r="E1" s="39"/>
      <x:c r="F1" s="39"/>
      <x:c r="G1" s="39"/>
      <x:c r="H1" s="39"/>
      <x:c r="I1" s="39"/>
    </x:row>
    <x:row r="2">
      <x:c r="A2" s="75" t="str">
        <x:v>Thirty-six fatal cut sets</x:v>
      </x:c>
      <x:c r="B2" s="39"/>
      <x:c r="C2" s="39"/>
      <x:c r="D2" s="39"/>
      <x:c r="E2" s="39"/>
      <x:c r="F2" s="39"/>
      <x:c r="G2" s="39"/>
      <x:c r="H2" s="39"/>
      <x:c r="I2" s="39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</x:row>
    <x:row r="6">
      <x:c r="A6" s="39" t="str">
        <x:v>Cut</x:v>
      </x:c>
      <x:c r="B6" s="39" t="str">
        <x:v>Form</x:v>
      </x:c>
      <x:c r="C6" s="39" t="str">
        <x:v>Boundary class</x:v>
      </x:c>
      <x:c r="D6" s="39" t="str">
        <x:v>Denied object</x:v>
      </x:c>
      <x:c r="E6" s="39" t="str">
        <x:v>Surviving route</x:v>
      </x:c>
      <x:c r="F6" s="39" t="str">
        <x:v>Propagation barrier</x:v>
      </x:c>
      <x:c r="G6" s="39" t="str">
        <x:v>Form-native fatal event</x:v>
      </x:c>
      <x:c r="H6" s="39" t="str">
        <x:v>Evidence</x:v>
      </x:c>
      <x:c r="I6" s="39" t="str">
        <x:v>State</x:v>
      </x:c>
    </x:row>
    <x:row r="7">
      <x:c r="A7" s="39" t="str">
        <x:v>ET-A-A-CUT-1</x:v>
      </x:c>
      <x:c r="B7" s="39" t="str">
        <x:v>ET-A-A</x:v>
      </x:c>
      <x:c r="C7" s="56" t="str">
        <x:v>Structure</x:v>
      </x:c>
      <x:c r="D7" s="56" t="str">
        <x:v>Sever the dominant load-carrying section</x:v>
      </x:c>
      <x:c r="E7" s="56" t="str">
        <x:v>independent structural neighbour</x:v>
      </x:c>
      <x:c r="F7" s="56" t="str">
        <x:v>hard gap, arrestor or separately founded boundary</x:v>
      </x:c>
      <x:c r="G7" s="56" t="str">
        <x:v>Disable one hull, saddle and shore path at peak relative motion; the other train retains at least 247 t/h without tow, power or control credit.</x:v>
      </x:c>
      <x:c r="H7" s="56" t="str">
        <x:v>0 accepted observations</x:v>
      </x:c>
      <x:c r="I7" s="56" t="str">
        <x:v>FROZEN FOR TEST</x:v>
      </x:c>
    </x:row>
    <x:row r="8">
      <x:c r="A8" s="39" t="str">
        <x:v>ET-A-A-CUT-2</x:v>
      </x:c>
      <x:c r="B8" s="39" t="str">
        <x:v>ET-A-A</x:v>
      </x:c>
      <x:c r="C8" s="56" t="str">
        <x:v>Service</x:v>
      </x:c>
      <x:c r="D8" s="56" t="str">
        <x:v>Remove the highest-rated complete service path</x:v>
      </x:c>
      <x:c r="E8" s="56" t="str">
        <x:v>remaining complete paths</x:v>
      </x:c>
      <x:c r="F8" s="56" t="str">
        <x:v>no capacity credit across the cut</x:v>
      </x:c>
      <x:c r="G8" s="56" t="str">
        <x:v>Disable one hull, saddle and shore path at peak relative motion; the other train retains at least 247 t/h without tow, power or control credit.</x:v>
      </x:c>
      <x:c r="H8" s="56" t="str">
        <x:v>0 accepted observations</x:v>
      </x:c>
      <x:c r="I8" s="56" t="str">
        <x:v>FROZEN FOR TEST</x:v>
      </x:c>
    </x:row>
    <x:row r="9">
      <x:c r="A9" s="39" t="str">
        <x:v>ET-A-A-CUT-3</x:v>
      </x:c>
      <x:c r="B9" s="39" t="str">
        <x:v>ET-A-A</x:v>
      </x:c>
      <x:c r="C9" s="56" t="str">
        <x:v>Energy and thermal</x:v>
      </x:c>
      <x:c r="D9" s="56" t="str">
        <x:v>Trip the largest energy and heat-rejection cell</x:v>
      </x:c>
      <x:c r="E9" s="56" t="str">
        <x:v>cell-local black start and heat rejection</x:v>
      </x:c>
      <x:c r="F9" s="56" t="str">
        <x:v>normally open ties; no shared heat sink</x:v>
      </x:c>
      <x:c r="G9" s="56" t="str">
        <x:v>Disable one hull, saddle and shore path at peak relative motion; the other train retains at least 247 t/h without tow, power or control credit.</x:v>
      </x:c>
      <x:c r="H9" s="56" t="str">
        <x:v>0 accepted observations</x:v>
      </x:c>
      <x:c r="I9" s="56" t="str">
        <x:v>FROZEN FOR TEST</x:v>
      </x:c>
    </x:row>
    <x:row r="10">
      <x:c r="A10" s="39" t="str">
        <x:v>ET-A-A-CUT-4</x:v>
      </x:c>
      <x:c r="B10" s="39" t="str">
        <x:v>ET-A-A</x:v>
      </x:c>
      <x:c r="C10" s="56" t="str">
        <x:v>Control and communications</x:v>
      </x:c>
      <x:c r="D10" s="56" t="str">
        <x:v>Deny network, positioning and supervisory control</x:v>
      </x:c>
      <x:c r="E10" s="56" t="str">
        <x:v>local sensing, local stop and passive status</x:v>
      </x:c>
      <x:c r="F10" s="56" t="str">
        <x:v>no remote command required for safe state</x:v>
      </x:c>
      <x:c r="G10" s="56" t="str">
        <x:v>Disable one hull, saddle and shore path at peak relative motion; the other train retains at least 247 t/h without tow, power or control credit.</x:v>
      </x:c>
      <x:c r="H10" s="56" t="str">
        <x:v>0 accepted observations</x:v>
      </x:c>
      <x:c r="I10" s="56" t="str">
        <x:v>FROZEN FOR TEST</x:v>
      </x:c>
    </x:row>
    <x:row r="11">
      <x:c r="A11" s="39" t="str">
        <x:v>ET-A-A-CUT-5</x:v>
      </x:c>
      <x:c r="B11" s="39" t="str">
        <x:v>ET-A-A</x:v>
      </x:c>
      <x:c r="C11" s="56" t="str">
        <x:v>Civil boundary</x:v>
      </x:c>
      <x:c r="D11" s="56" t="str">
        <x:v>Deny the primary access or egress zone</x:v>
      </x:c>
      <x:c r="E11" s="56" t="str">
        <x:v>alternate accessible egress and refuge</x:v>
      </x:c>
      <x:c r="F11" s="56" t="str">
        <x:v>notice, identity and remedy travel with the person</x:v>
      </x:c>
      <x:c r="G11" s="56" t="str">
        <x:v>Disable one hull, saddle and shore path at peak relative motion; the other train retains at least 247 t/h without tow, power or control credit.</x:v>
      </x:c>
      <x:c r="H11" s="56" t="str">
        <x:v>0 accepted observations</x:v>
      </x:c>
      <x:c r="I11" s="56" t="str">
        <x:v>FROZEN FOR TEST</x:v>
      </x:c>
    </x:row>
    <x:row r="12">
      <x:c r="A12" s="39" t="str">
        <x:v>ET-A-A-CUT-6</x:v>
      </x:c>
      <x:c r="B12" s="39" t="str">
        <x:v>ET-A-A</x:v>
      </x:c>
      <x:c r="C12" s="56" t="str">
        <x:v>Residual and rebuild</x:v>
      </x:c>
      <x:c r="D12" s="56" t="str">
        <x:v>Rupture the dominant dirty-return path and deny vendor memory</x:v>
      </x:c>
      <x:c r="E12" s="56" t="str">
        <x:v>contained quarantine plus public reconstruction capsule</x:v>
      </x:c>
      <x:c r="F12" s="56" t="str">
        <x:v>measured isolation and clean-team rebuild</x:v>
      </x:c>
      <x:c r="G12" s="56" t="str">
        <x:v>Disable one hull, saddle and shore path at peak relative motion; the other train retains at least 247 t/h without tow, power or control credit.</x:v>
      </x:c>
      <x:c r="H12" s="56" t="str">
        <x:v>0 accepted observations</x:v>
      </x:c>
      <x:c r="I12" s="56" t="str">
        <x:v>FROZEN FOR TEST</x:v>
      </x:c>
    </x:row>
    <x:row r="13">
      <x:c r="A13" s="39" t="str">
        <x:v>CT-C-B-CUT-1</x:v>
      </x:c>
      <x:c r="B13" s="39" t="str">
        <x:v>CT-C-B</x:v>
      </x:c>
      <x:c r="C13" s="56" t="str">
        <x:v>Structure</x:v>
      </x:c>
      <x:c r="D13" s="56" t="str">
        <x:v>Sever the dominant load-carrying section</x:v>
      </x:c>
      <x:c r="E13" s="56" t="str">
        <x:v>independent structural neighbour</x:v>
      </x:c>
      <x:c r="F13" s="56" t="str">
        <x:v>hard gap, arrestor or separately founded boundary</x:v>
      </x:c>
      <x:c r="G13" s="56" t="str">
        <x:v>Release one anchor zone and fault its mixed trunk; adjacent arrestors stop progressive peel while occupied zones retain utility and egress.</x:v>
      </x:c>
      <x:c r="H13" s="56" t="str">
        <x:v>0 accepted observations</x:v>
      </x:c>
      <x:c r="I13" s="56" t="str">
        <x:v>FROZEN FOR TEST</x:v>
      </x:c>
    </x:row>
    <x:row r="14">
      <x:c r="A14" s="39" t="str">
        <x:v>CT-C-B-CUT-2</x:v>
      </x:c>
      <x:c r="B14" s="39" t="str">
        <x:v>CT-C-B</x:v>
      </x:c>
      <x:c r="C14" s="56" t="str">
        <x:v>Service</x:v>
      </x:c>
      <x:c r="D14" s="56" t="str">
        <x:v>Remove the highest-rated complete service path</x:v>
      </x:c>
      <x:c r="E14" s="56" t="str">
        <x:v>remaining complete paths</x:v>
      </x:c>
      <x:c r="F14" s="56" t="str">
        <x:v>no capacity credit across the cut</x:v>
      </x:c>
      <x:c r="G14" s="56" t="str">
        <x:v>Release one anchor zone and fault its mixed trunk; adjacent arrestors stop progressive peel while occupied zones retain utility and egress.</x:v>
      </x:c>
      <x:c r="H14" s="56" t="str">
        <x:v>0 accepted observations</x:v>
      </x:c>
      <x:c r="I14" s="56" t="str">
        <x:v>FROZEN FOR TEST</x:v>
      </x:c>
    </x:row>
    <x:row r="15">
      <x:c r="A15" s="39" t="str">
        <x:v>CT-C-B-CUT-3</x:v>
      </x:c>
      <x:c r="B15" s="39" t="str">
        <x:v>CT-C-B</x:v>
      </x:c>
      <x:c r="C15" s="56" t="str">
        <x:v>Energy and thermal</x:v>
      </x:c>
      <x:c r="D15" s="56" t="str">
        <x:v>Trip the largest energy and heat-rejection cell</x:v>
      </x:c>
      <x:c r="E15" s="56" t="str">
        <x:v>cell-local black start and heat rejection</x:v>
      </x:c>
      <x:c r="F15" s="56" t="str">
        <x:v>normally open ties; no shared heat sink</x:v>
      </x:c>
      <x:c r="G15" s="56" t="str">
        <x:v>Release one anchor zone and fault its mixed trunk; adjacent arrestors stop progressive peel while occupied zones retain utility and egress.</x:v>
      </x:c>
      <x:c r="H15" s="56" t="str">
        <x:v>0 accepted observations</x:v>
      </x:c>
      <x:c r="I15" s="56" t="str">
        <x:v>FROZEN FOR TEST</x:v>
      </x:c>
    </x:row>
    <x:row r="16">
      <x:c r="A16" s="39" t="str">
        <x:v>CT-C-B-CUT-4</x:v>
      </x:c>
      <x:c r="B16" s="39" t="str">
        <x:v>CT-C-B</x:v>
      </x:c>
      <x:c r="C16" s="56" t="str">
        <x:v>Control and communications</x:v>
      </x:c>
      <x:c r="D16" s="56" t="str">
        <x:v>Deny network, positioning and supervisory control</x:v>
      </x:c>
      <x:c r="E16" s="56" t="str">
        <x:v>local sensing, local stop and passive status</x:v>
      </x:c>
      <x:c r="F16" s="56" t="str">
        <x:v>no remote command required for safe state</x:v>
      </x:c>
      <x:c r="G16" s="56" t="str">
        <x:v>Release one anchor zone and fault its mixed trunk; adjacent arrestors stop progressive peel while occupied zones retain utility and egress.</x:v>
      </x:c>
      <x:c r="H16" s="56" t="str">
        <x:v>0 accepted observations</x:v>
      </x:c>
      <x:c r="I16" s="56" t="str">
        <x:v>FROZEN FOR TEST</x:v>
      </x:c>
    </x:row>
    <x:row r="17">
      <x:c r="A17" s="39" t="str">
        <x:v>CT-C-B-CUT-5</x:v>
      </x:c>
      <x:c r="B17" s="39" t="str">
        <x:v>CT-C-B</x:v>
      </x:c>
      <x:c r="C17" s="56" t="str">
        <x:v>Civil boundary</x:v>
      </x:c>
      <x:c r="D17" s="56" t="str">
        <x:v>Deny the primary access or egress zone</x:v>
      </x:c>
      <x:c r="E17" s="56" t="str">
        <x:v>alternate accessible egress and refuge</x:v>
      </x:c>
      <x:c r="F17" s="56" t="str">
        <x:v>notice, identity and remedy travel with the person</x:v>
      </x:c>
      <x:c r="G17" s="56" t="str">
        <x:v>Release one anchor zone and fault its mixed trunk; adjacent arrestors stop progressive peel while occupied zones retain utility and egress.</x:v>
      </x:c>
      <x:c r="H17" s="56" t="str">
        <x:v>0 accepted observations</x:v>
      </x:c>
      <x:c r="I17" s="56" t="str">
        <x:v>FROZEN FOR TEST</x:v>
      </x:c>
    </x:row>
    <x:row r="18">
      <x:c r="A18" s="39" t="str">
        <x:v>CT-C-B-CUT-6</x:v>
      </x:c>
      <x:c r="B18" s="39" t="str">
        <x:v>CT-C-B</x:v>
      </x:c>
      <x:c r="C18" s="56" t="str">
        <x:v>Residual and rebuild</x:v>
      </x:c>
      <x:c r="D18" s="56" t="str">
        <x:v>Rupture the dominant dirty-return path and deny vendor memory</x:v>
      </x:c>
      <x:c r="E18" s="56" t="str">
        <x:v>contained quarantine plus public reconstruction capsule</x:v>
      </x:c>
      <x:c r="F18" s="56" t="str">
        <x:v>measured isolation and clean-team rebuild</x:v>
      </x:c>
      <x:c r="G18" s="56" t="str">
        <x:v>Release one anchor zone and fault its mixed trunk; adjacent arrestors stop progressive peel while occupied zones retain utility and egress.</x:v>
      </x:c>
      <x:c r="H18" s="56" t="str">
        <x:v>0 accepted observations</x:v>
      </x:c>
      <x:c r="I18" s="56" t="str">
        <x:v>FROZEN FOR TEST</x:v>
      </x:c>
    </x:row>
    <x:row r="19">
      <x:c r="A19" s="39" t="str">
        <x:v>HC-A-C-CUT-1</x:v>
      </x:c>
      <x:c r="B19" s="39" t="str">
        <x:v>HC-A-C</x:v>
      </x:c>
      <x:c r="C19" s="56" t="str">
        <x:v>Structure</x:v>
      </x:c>
      <x:c r="D19" s="56" t="str">
        <x:v>Sever the dominant load-carrying section</x:v>
      </x:c>
      <x:c r="E19" s="56" t="str">
        <x:v>independent structural neighbour</x:v>
      </x:c>
      <x:c r="F19" s="56" t="str">
        <x:v>hard gap, arrestor or separately founded boundary</x:v>
      </x:c>
      <x:c r="G19" s="56" t="str">
        <x:v>Deny the mesh and safe one cell inside the plume; four sectors each retain at least 27.1 km/day without shared cooling, navigation or refill.</x:v>
      </x:c>
      <x:c r="H19" s="56" t="str">
        <x:v>0 accepted observations</x:v>
      </x:c>
      <x:c r="I19" s="56" t="str">
        <x:v>FROZEN FOR TEST</x:v>
      </x:c>
    </x:row>
    <x:row r="20">
      <x:c r="A20" s="39" t="str">
        <x:v>HC-A-C-CUT-2</x:v>
      </x:c>
      <x:c r="B20" s="39" t="str">
        <x:v>HC-A-C</x:v>
      </x:c>
      <x:c r="C20" s="56" t="str">
        <x:v>Service</x:v>
      </x:c>
      <x:c r="D20" s="56" t="str">
        <x:v>Remove the highest-rated complete service path</x:v>
      </x:c>
      <x:c r="E20" s="56" t="str">
        <x:v>remaining complete paths</x:v>
      </x:c>
      <x:c r="F20" s="56" t="str">
        <x:v>no capacity credit across the cut</x:v>
      </x:c>
      <x:c r="G20" s="56" t="str">
        <x:v>Deny the mesh and safe one cell inside the plume; four sectors each retain at least 27.1 km/day without shared cooling, navigation or refill.</x:v>
      </x:c>
      <x:c r="H20" s="56" t="str">
        <x:v>0 accepted observations</x:v>
      </x:c>
      <x:c r="I20" s="56" t="str">
        <x:v>FROZEN FOR TEST</x:v>
      </x:c>
    </x:row>
    <x:row r="21">
      <x:c r="A21" s="39" t="str">
        <x:v>HC-A-C-CUT-3</x:v>
      </x:c>
      <x:c r="B21" s="39" t="str">
        <x:v>HC-A-C</x:v>
      </x:c>
      <x:c r="C21" s="56" t="str">
        <x:v>Energy and thermal</x:v>
      </x:c>
      <x:c r="D21" s="56" t="str">
        <x:v>Trip the largest energy and heat-rejection cell</x:v>
      </x:c>
      <x:c r="E21" s="56" t="str">
        <x:v>cell-local black start and heat rejection</x:v>
      </x:c>
      <x:c r="F21" s="56" t="str">
        <x:v>normally open ties; no shared heat sink</x:v>
      </x:c>
      <x:c r="G21" s="56" t="str">
        <x:v>Deny the mesh and safe one cell inside the plume; four sectors each retain at least 27.1 km/day without shared cooling, navigation or refill.</x:v>
      </x:c>
      <x:c r="H21" s="56" t="str">
        <x:v>0 accepted observations</x:v>
      </x:c>
      <x:c r="I21" s="56" t="str">
        <x:v>FROZEN FOR TEST</x:v>
      </x:c>
    </x:row>
    <x:row r="22">
      <x:c r="A22" s="39" t="str">
        <x:v>HC-A-C-CUT-4</x:v>
      </x:c>
      <x:c r="B22" s="39" t="str">
        <x:v>HC-A-C</x:v>
      </x:c>
      <x:c r="C22" s="56" t="str">
        <x:v>Control and communications</x:v>
      </x:c>
      <x:c r="D22" s="56" t="str">
        <x:v>Deny network, positioning and supervisory control</x:v>
      </x:c>
      <x:c r="E22" s="56" t="str">
        <x:v>local sensing, local stop and passive status</x:v>
      </x:c>
      <x:c r="F22" s="56" t="str">
        <x:v>no remote command required for safe state</x:v>
      </x:c>
      <x:c r="G22" s="56" t="str">
        <x:v>Deny the mesh and safe one cell inside the plume; four sectors each retain at least 27.1 km/day without shared cooling, navigation or refill.</x:v>
      </x:c>
      <x:c r="H22" s="56" t="str">
        <x:v>0 accepted observations</x:v>
      </x:c>
      <x:c r="I22" s="56" t="str">
        <x:v>FROZEN FOR TEST</x:v>
      </x:c>
    </x:row>
    <x:row r="23">
      <x:c r="A23" s="39" t="str">
        <x:v>HC-A-C-CUT-5</x:v>
      </x:c>
      <x:c r="B23" s="39" t="str">
        <x:v>HC-A-C</x:v>
      </x:c>
      <x:c r="C23" s="56" t="str">
        <x:v>Civil boundary</x:v>
      </x:c>
      <x:c r="D23" s="56" t="str">
        <x:v>Deny the primary access or egress zone</x:v>
      </x:c>
      <x:c r="E23" s="56" t="str">
        <x:v>alternate accessible egress and refuge</x:v>
      </x:c>
      <x:c r="F23" s="56" t="str">
        <x:v>notice, identity and remedy travel with the person</x:v>
      </x:c>
      <x:c r="G23" s="56" t="str">
        <x:v>Deny the mesh and safe one cell inside the plume; four sectors each retain at least 27.1 km/day without shared cooling, navigation or refill.</x:v>
      </x:c>
      <x:c r="H23" s="56" t="str">
        <x:v>0 accepted observations</x:v>
      </x:c>
      <x:c r="I23" s="56" t="str">
        <x:v>FROZEN FOR TEST</x:v>
      </x:c>
    </x:row>
    <x:row r="24">
      <x:c r="A24" s="39" t="str">
        <x:v>HC-A-C-CUT-6</x:v>
      </x:c>
      <x:c r="B24" s="39" t="str">
        <x:v>HC-A-C</x:v>
      </x:c>
      <x:c r="C24" s="56" t="str">
        <x:v>Residual and rebuild</x:v>
      </x:c>
      <x:c r="D24" s="56" t="str">
        <x:v>Rupture the dominant dirty-return path and deny vendor memory</x:v>
      </x:c>
      <x:c r="E24" s="56" t="str">
        <x:v>contained quarantine plus public reconstruction capsule</x:v>
      </x:c>
      <x:c r="F24" s="56" t="str">
        <x:v>measured isolation and clean-team rebuild</x:v>
      </x:c>
      <x:c r="G24" s="56" t="str">
        <x:v>Deny the mesh and safe one cell inside the plume; four sectors each retain at least 27.1 km/day without shared cooling, navigation or refill.</x:v>
      </x:c>
      <x:c r="H24" s="56" t="str">
        <x:v>0 accepted observations</x:v>
      </x:c>
      <x:c r="I24" s="56" t="str">
        <x:v>FROZEN FOR TEST</x:v>
      </x:c>
    </x:row>
    <x:row r="25">
      <x:c r="A25" s="39" t="str">
        <x:v>LF-B-A-CUT-1</x:v>
      </x:c>
      <x:c r="B25" s="39" t="str">
        <x:v>LF-B-A</x:v>
      </x:c>
      <x:c r="C25" s="56" t="str">
        <x:v>Structure</x:v>
      </x:c>
      <x:c r="D25" s="56" t="str">
        <x:v>Sever the dominant load-carrying section</x:v>
      </x:c>
      <x:c r="E25" s="56" t="str">
        <x:v>independent structural neighbour</x:v>
      </x:c>
      <x:c r="F25" s="56" t="str">
        <x:v>hard gap, arrestor or separately founded boundary</x:v>
      </x:c>
      <x:c r="G25" s="56" t="str">
        <x:v>Rupture one island boundary and deny its bore pair; three islands and two injection paths close mass, enthalpy and chemistry without header substitution.</x:v>
      </x:c>
      <x:c r="H25" s="56" t="str">
        <x:v>0 accepted observations</x:v>
      </x:c>
      <x:c r="I25" s="56" t="str">
        <x:v>FROZEN FOR TEST</x:v>
      </x:c>
    </x:row>
    <x:row r="26">
      <x:c r="A26" s="39" t="str">
        <x:v>LF-B-A-CUT-2</x:v>
      </x:c>
      <x:c r="B26" s="39" t="str">
        <x:v>LF-B-A</x:v>
      </x:c>
      <x:c r="C26" s="56" t="str">
        <x:v>Service</x:v>
      </x:c>
      <x:c r="D26" s="56" t="str">
        <x:v>Remove the highest-rated complete service path</x:v>
      </x:c>
      <x:c r="E26" s="56" t="str">
        <x:v>remaining complete paths</x:v>
      </x:c>
      <x:c r="F26" s="56" t="str">
        <x:v>no capacity credit across the cut</x:v>
      </x:c>
      <x:c r="G26" s="56" t="str">
        <x:v>Rupture one island boundary and deny its bore pair; three islands and two injection paths close mass, enthalpy and chemistry without header substitution.</x:v>
      </x:c>
      <x:c r="H26" s="56" t="str">
        <x:v>0 accepted observations</x:v>
      </x:c>
      <x:c r="I26" s="56" t="str">
        <x:v>FROZEN FOR TEST</x:v>
      </x:c>
    </x:row>
    <x:row r="27">
      <x:c r="A27" s="39" t="str">
        <x:v>LF-B-A-CUT-3</x:v>
      </x:c>
      <x:c r="B27" s="39" t="str">
        <x:v>LF-B-A</x:v>
      </x:c>
      <x:c r="C27" s="56" t="str">
        <x:v>Energy and thermal</x:v>
      </x:c>
      <x:c r="D27" s="56" t="str">
        <x:v>Trip the largest energy and heat-rejection cell</x:v>
      </x:c>
      <x:c r="E27" s="56" t="str">
        <x:v>cell-local black start and heat rejection</x:v>
      </x:c>
      <x:c r="F27" s="56" t="str">
        <x:v>normally open ties; no shared heat sink</x:v>
      </x:c>
      <x:c r="G27" s="56" t="str">
        <x:v>Rupture one island boundary and deny its bore pair; three islands and two injection paths close mass, enthalpy and chemistry without header substitution.</x:v>
      </x:c>
      <x:c r="H27" s="56" t="str">
        <x:v>0 accepted observations</x:v>
      </x:c>
      <x:c r="I27" s="56" t="str">
        <x:v>FROZEN FOR TEST</x:v>
      </x:c>
    </x:row>
    <x:row r="28">
      <x:c r="A28" s="39" t="str">
        <x:v>LF-B-A-CUT-4</x:v>
      </x:c>
      <x:c r="B28" s="39" t="str">
        <x:v>LF-B-A</x:v>
      </x:c>
      <x:c r="C28" s="56" t="str">
        <x:v>Control and communications</x:v>
      </x:c>
      <x:c r="D28" s="56" t="str">
        <x:v>Deny network, positioning and supervisory control</x:v>
      </x:c>
      <x:c r="E28" s="56" t="str">
        <x:v>local sensing, local stop and passive status</x:v>
      </x:c>
      <x:c r="F28" s="56" t="str">
        <x:v>no remote command required for safe state</x:v>
      </x:c>
      <x:c r="G28" s="56" t="str">
        <x:v>Rupture one island boundary and deny its bore pair; three islands and two injection paths close mass, enthalpy and chemistry without header substitution.</x:v>
      </x:c>
      <x:c r="H28" s="56" t="str">
        <x:v>0 accepted observations</x:v>
      </x:c>
      <x:c r="I28" s="56" t="str">
        <x:v>FROZEN FOR TEST</x:v>
      </x:c>
    </x:row>
    <x:row r="29">
      <x:c r="A29" s="39" t="str">
        <x:v>LF-B-A-CUT-5</x:v>
      </x:c>
      <x:c r="B29" s="39" t="str">
        <x:v>LF-B-A</x:v>
      </x:c>
      <x:c r="C29" s="56" t="str">
        <x:v>Civil boundary</x:v>
      </x:c>
      <x:c r="D29" s="56" t="str">
        <x:v>Deny the primary access or egress zone</x:v>
      </x:c>
      <x:c r="E29" s="56" t="str">
        <x:v>alternate accessible egress and refuge</x:v>
      </x:c>
      <x:c r="F29" s="56" t="str">
        <x:v>notice, identity and remedy travel with the person</x:v>
      </x:c>
      <x:c r="G29" s="56" t="str">
        <x:v>Rupture one island boundary and deny its bore pair; three islands and two injection paths close mass, enthalpy and chemistry without header substitution.</x:v>
      </x:c>
      <x:c r="H29" s="56" t="str">
        <x:v>0 accepted observations</x:v>
      </x:c>
      <x:c r="I29" s="56" t="str">
        <x:v>FROZEN FOR TEST</x:v>
      </x:c>
    </x:row>
    <x:row r="30">
      <x:c r="A30" s="39" t="str">
        <x:v>LF-B-A-CUT-6</x:v>
      </x:c>
      <x:c r="B30" s="39" t="str">
        <x:v>LF-B-A</x:v>
      </x:c>
      <x:c r="C30" s="56" t="str">
        <x:v>Residual and rebuild</x:v>
      </x:c>
      <x:c r="D30" s="56" t="str">
        <x:v>Rupture the dominant dirty-return path and deny vendor memory</x:v>
      </x:c>
      <x:c r="E30" s="56" t="str">
        <x:v>contained quarantine plus public reconstruction capsule</x:v>
      </x:c>
      <x:c r="F30" s="56" t="str">
        <x:v>measured isolation and clean-team rebuild</x:v>
      </x:c>
      <x:c r="G30" s="56" t="str">
        <x:v>Rupture one island boundary and deny its bore pair; three islands and two injection paths close mass, enthalpy and chemistry without header substitution.</x:v>
      </x:c>
      <x:c r="H30" s="56" t="str">
        <x:v>0 accepted observations</x:v>
      </x:c>
      <x:c r="I30" s="56" t="str">
        <x:v>FROZEN FOR TEST</x:v>
      </x:c>
    </x:row>
    <x:row r="31">
      <x:c r="A31" s="39" t="str">
        <x:v>HU-A-B-CUT-1</x:v>
      </x:c>
      <x:c r="B31" s="39" t="str">
        <x:v>HU-A-B</x:v>
      </x:c>
      <x:c r="C31" s="56" t="str">
        <x:v>Structure</x:v>
      </x:c>
      <x:c r="D31" s="56" t="str">
        <x:v>Sever the dominant load-carrying section</x:v>
      </x:c>
      <x:c r="E31" s="56" t="str">
        <x:v>independent structural neighbour</x:v>
      </x:c>
      <x:c r="F31" s="56" t="str">
        <x:v>hard gap, arrestor or separately founded boundary</x:v>
      </x:c>
      <x:c r="G31" s="56" t="str">
        <x:v>Block one loop section and its nearest crossbar during full census; all ten care lines retain clinical, sterile, thermal and relationship continuity.</x:v>
      </x:c>
      <x:c r="H31" s="56" t="str">
        <x:v>0 accepted observations</x:v>
      </x:c>
      <x:c r="I31" s="56" t="str">
        <x:v>FROZEN FOR TEST</x:v>
      </x:c>
    </x:row>
    <x:row r="32">
      <x:c r="A32" s="39" t="str">
        <x:v>HU-A-B-CUT-2</x:v>
      </x:c>
      <x:c r="B32" s="39" t="str">
        <x:v>HU-A-B</x:v>
      </x:c>
      <x:c r="C32" s="56" t="str">
        <x:v>Service</x:v>
      </x:c>
      <x:c r="D32" s="56" t="str">
        <x:v>Remove the highest-rated complete service path</x:v>
      </x:c>
      <x:c r="E32" s="56" t="str">
        <x:v>remaining complete paths</x:v>
      </x:c>
      <x:c r="F32" s="56" t="str">
        <x:v>no capacity credit across the cut</x:v>
      </x:c>
      <x:c r="G32" s="56" t="str">
        <x:v>Block one loop section and its nearest crossbar during full census; all ten care lines retain clinical, sterile, thermal and relationship continuity.</x:v>
      </x:c>
      <x:c r="H32" s="56" t="str">
        <x:v>0 accepted observations</x:v>
      </x:c>
      <x:c r="I32" s="56" t="str">
        <x:v>FROZEN FOR TEST</x:v>
      </x:c>
    </x:row>
    <x:row r="33">
      <x:c r="A33" s="39" t="str">
        <x:v>HU-A-B-CUT-3</x:v>
      </x:c>
      <x:c r="B33" s="39" t="str">
        <x:v>HU-A-B</x:v>
      </x:c>
      <x:c r="C33" s="56" t="str">
        <x:v>Energy and thermal</x:v>
      </x:c>
      <x:c r="D33" s="56" t="str">
        <x:v>Trip the largest energy and heat-rejection cell</x:v>
      </x:c>
      <x:c r="E33" s="56" t="str">
        <x:v>cell-local black start and heat rejection</x:v>
      </x:c>
      <x:c r="F33" s="56" t="str">
        <x:v>normally open ties; no shared heat sink</x:v>
      </x:c>
      <x:c r="G33" s="56" t="str">
        <x:v>Block one loop section and its nearest crossbar during full census; all ten care lines retain clinical, sterile, thermal and relationship continuity.</x:v>
      </x:c>
      <x:c r="H33" s="56" t="str">
        <x:v>0 accepted observations</x:v>
      </x:c>
      <x:c r="I33" s="56" t="str">
        <x:v>FROZEN FOR TEST</x:v>
      </x:c>
    </x:row>
    <x:row r="34">
      <x:c r="A34" s="39" t="str">
        <x:v>HU-A-B-CUT-4</x:v>
      </x:c>
      <x:c r="B34" s="39" t="str">
        <x:v>HU-A-B</x:v>
      </x:c>
      <x:c r="C34" s="56" t="str">
        <x:v>Control and communications</x:v>
      </x:c>
      <x:c r="D34" s="56" t="str">
        <x:v>Deny network, positioning and supervisory control</x:v>
      </x:c>
      <x:c r="E34" s="56" t="str">
        <x:v>local sensing, local stop and passive status</x:v>
      </x:c>
      <x:c r="F34" s="56" t="str">
        <x:v>no remote command required for safe state</x:v>
      </x:c>
      <x:c r="G34" s="56" t="str">
        <x:v>Block one loop section and its nearest crossbar during full census; all ten care lines retain clinical, sterile, thermal and relationship continuity.</x:v>
      </x:c>
      <x:c r="H34" s="56" t="str">
        <x:v>0 accepted observations</x:v>
      </x:c>
      <x:c r="I34" s="56" t="str">
        <x:v>FROZEN FOR TEST</x:v>
      </x:c>
    </x:row>
    <x:row r="35">
      <x:c r="A35" s="39" t="str">
        <x:v>HU-A-B-CUT-5</x:v>
      </x:c>
      <x:c r="B35" s="39" t="str">
        <x:v>HU-A-B</x:v>
      </x:c>
      <x:c r="C35" s="56" t="str">
        <x:v>Civil boundary</x:v>
      </x:c>
      <x:c r="D35" s="56" t="str">
        <x:v>Deny the primary access or egress zone</x:v>
      </x:c>
      <x:c r="E35" s="56" t="str">
        <x:v>alternate accessible egress and refuge</x:v>
      </x:c>
      <x:c r="F35" s="56" t="str">
        <x:v>notice, identity and remedy travel with the person</x:v>
      </x:c>
      <x:c r="G35" s="56" t="str">
        <x:v>Block one loop section and its nearest crossbar during full census; all ten care lines retain clinical, sterile, thermal and relationship continuity.</x:v>
      </x:c>
      <x:c r="H35" s="56" t="str">
        <x:v>0 accepted observations</x:v>
      </x:c>
      <x:c r="I35" s="56" t="str">
        <x:v>FROZEN FOR TEST</x:v>
      </x:c>
    </x:row>
    <x:row r="36">
      <x:c r="A36" s="39" t="str">
        <x:v>HU-A-B-CUT-6</x:v>
      </x:c>
      <x:c r="B36" s="39" t="str">
        <x:v>HU-A-B</x:v>
      </x:c>
      <x:c r="C36" s="56" t="str">
        <x:v>Residual and rebuild</x:v>
      </x:c>
      <x:c r="D36" s="56" t="str">
        <x:v>Rupture the dominant dirty-return path and deny vendor memory</x:v>
      </x:c>
      <x:c r="E36" s="56" t="str">
        <x:v>contained quarantine plus public reconstruction capsule</x:v>
      </x:c>
      <x:c r="F36" s="56" t="str">
        <x:v>measured isolation and clean-team rebuild</x:v>
      </x:c>
      <x:c r="G36" s="56" t="str">
        <x:v>Block one loop section and its nearest crossbar during full census; all ten care lines retain clinical, sterile, thermal and relationship continuity.</x:v>
      </x:c>
      <x:c r="H36" s="56" t="str">
        <x:v>0 accepted observations</x:v>
      </x:c>
      <x:c r="I36" s="56" t="str">
        <x:v>FROZEN FOR TEST</x:v>
      </x:c>
    </x:row>
    <x:row r="37">
      <x:c r="A37" s="39" t="str">
        <x:v>RT-B-C-CUT-1</x:v>
      </x:c>
      <x:c r="B37" s="39" t="str">
        <x:v>RT-B-C</x:v>
      </x:c>
      <x:c r="C37" s="56" t="str">
        <x:v>Structure</x:v>
      </x:c>
      <x:c r="D37" s="56" t="str">
        <x:v>Sever the dominant load-carrying section</x:v>
      </x:c>
      <x:c r="E37" s="56" t="str">
        <x:v>independent structural neighbour</x:v>
      </x:c>
      <x:c r="F37" s="56" t="str">
        <x:v>hard gap, arrestor or separately founded boundary</x:v>
      </x:c>
      <x:c r="G37" s="56" t="str">
        <x:v>Isolate one trainlet and its largest energy cell; four trainlets preserve qualified release without shared heat sink, vendor key or calibration service.</x:v>
      </x:c>
      <x:c r="H37" s="56" t="str">
        <x:v>0 accepted observations</x:v>
      </x:c>
      <x:c r="I37" s="56" t="str">
        <x:v>FROZEN FOR TEST</x:v>
      </x:c>
    </x:row>
    <x:row r="38">
      <x:c r="A38" s="39" t="str">
        <x:v>RT-B-C-CUT-2</x:v>
      </x:c>
      <x:c r="B38" s="39" t="str">
        <x:v>RT-B-C</x:v>
      </x:c>
      <x:c r="C38" s="56" t="str">
        <x:v>Service</x:v>
      </x:c>
      <x:c r="D38" s="56" t="str">
        <x:v>Remove the highest-rated complete service path</x:v>
      </x:c>
      <x:c r="E38" s="56" t="str">
        <x:v>remaining complete paths</x:v>
      </x:c>
      <x:c r="F38" s="56" t="str">
        <x:v>no capacity credit across the cut</x:v>
      </x:c>
      <x:c r="G38" s="56" t="str">
        <x:v>Isolate one trainlet and its largest energy cell; four trainlets preserve qualified release without shared heat sink, vendor key or calibration service.</x:v>
      </x:c>
      <x:c r="H38" s="56" t="str">
        <x:v>0 accepted observations</x:v>
      </x:c>
      <x:c r="I38" s="56" t="str">
        <x:v>FROZEN FOR TEST</x:v>
      </x:c>
    </x:row>
    <x:row r="39">
      <x:c r="A39" s="39" t="str">
        <x:v>RT-B-C-CUT-3</x:v>
      </x:c>
      <x:c r="B39" s="39" t="str">
        <x:v>RT-B-C</x:v>
      </x:c>
      <x:c r="C39" s="56" t="str">
        <x:v>Energy and thermal</x:v>
      </x:c>
      <x:c r="D39" s="56" t="str">
        <x:v>Trip the largest energy and heat-rejection cell</x:v>
      </x:c>
      <x:c r="E39" s="56" t="str">
        <x:v>cell-local black start and heat rejection</x:v>
      </x:c>
      <x:c r="F39" s="56" t="str">
        <x:v>normally open ties; no shared heat sink</x:v>
      </x:c>
      <x:c r="G39" s="56" t="str">
        <x:v>Isolate one trainlet and its largest energy cell; four trainlets preserve qualified release without shared heat sink, vendor key or calibration service.</x:v>
      </x:c>
      <x:c r="H39" s="56" t="str">
        <x:v>0 accepted observations</x:v>
      </x:c>
      <x:c r="I39" s="56" t="str">
        <x:v>FROZEN FOR TEST</x:v>
      </x:c>
    </x:row>
    <x:row r="40">
      <x:c r="A40" s="39" t="str">
        <x:v>RT-B-C-CUT-4</x:v>
      </x:c>
      <x:c r="B40" s="39" t="str">
        <x:v>RT-B-C</x:v>
      </x:c>
      <x:c r="C40" s="56" t="str">
        <x:v>Control and communications</x:v>
      </x:c>
      <x:c r="D40" s="56" t="str">
        <x:v>Deny network, positioning and supervisory control</x:v>
      </x:c>
      <x:c r="E40" s="56" t="str">
        <x:v>local sensing, local stop and passive status</x:v>
      </x:c>
      <x:c r="F40" s="56" t="str">
        <x:v>no remote command required for safe state</x:v>
      </x:c>
      <x:c r="G40" s="56" t="str">
        <x:v>Isolate one trainlet and its largest energy cell; four trainlets preserve qualified release without shared heat sink, vendor key or calibration service.</x:v>
      </x:c>
      <x:c r="H40" s="56" t="str">
        <x:v>0 accepted observations</x:v>
      </x:c>
      <x:c r="I40" s="56" t="str">
        <x:v>FROZEN FOR TEST</x:v>
      </x:c>
    </x:row>
    <x:row r="41">
      <x:c r="A41" s="39" t="str">
        <x:v>RT-B-C-CUT-5</x:v>
      </x:c>
      <x:c r="B41" s="39" t="str">
        <x:v>RT-B-C</x:v>
      </x:c>
      <x:c r="C41" s="56" t="str">
        <x:v>Civil boundary</x:v>
      </x:c>
      <x:c r="D41" s="56" t="str">
        <x:v>Deny the primary access or egress zone</x:v>
      </x:c>
      <x:c r="E41" s="56" t="str">
        <x:v>alternate accessible egress and refuge</x:v>
      </x:c>
      <x:c r="F41" s="56" t="str">
        <x:v>notice, identity and remedy travel with the person</x:v>
      </x:c>
      <x:c r="G41" s="56" t="str">
        <x:v>Isolate one trainlet and its largest energy cell; four trainlets preserve qualified release without shared heat sink, vendor key or calibration service.</x:v>
      </x:c>
      <x:c r="H41" s="56" t="str">
        <x:v>0 accepted observations</x:v>
      </x:c>
      <x:c r="I41" s="56" t="str">
        <x:v>FROZEN FOR TEST</x:v>
      </x:c>
    </x:row>
    <x:row r="42">
      <x:c r="A42" s="39" t="str">
        <x:v>RT-B-C-CUT-6</x:v>
      </x:c>
      <x:c r="B42" s="39" t="str">
        <x:v>RT-B-C</x:v>
      </x:c>
      <x:c r="C42" s="56" t="str">
        <x:v>Residual and rebuild</x:v>
      </x:c>
      <x:c r="D42" s="56" t="str">
        <x:v>Rupture the dominant dirty-return path and deny vendor memory</x:v>
      </x:c>
      <x:c r="E42" s="56" t="str">
        <x:v>contained quarantine plus public reconstruction capsule</x:v>
      </x:c>
      <x:c r="F42" s="56" t="str">
        <x:v>measured isolation and clean-team rebuild</x:v>
      </x:c>
      <x:c r="G42" s="56" t="str">
        <x:v>Isolate one trainlet and its largest energy cell; four trainlets preserve qualified release without shared heat sink, vendor key or calibration service.</x:v>
      </x:c>
      <x:c r="H42" s="56" t="str">
        <x:v>0 accepted observations</x:v>
      </x:c>
      <x:c r="I42" s="56" t="str">
        <x:v>FROZEN FOR TEST</x:v>
      </x:c>
    </x:row>
  </x:sheetData>
  <x:pageMargins left="0.7" right="0.7" top="0.75" bottom="0.75" header="0.3" footer="0.3"/>
  <x:tableParts count="1">
    <x:tablePart xmlns:r="http://schemas.openxmlformats.org/officeDocument/2006/relationships" r:id="R829738a8ec08408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30" hidden="0" customWidth="1"/>
    <x:col min="4" max="4" width="70" hidden="0" customWidth="1"/>
    <x:col min="5" max="5" width="44" hidden="0" customWidth="1"/>
    <x:col min="6" max="6" width="38" hidden="0" customWidth="1"/>
    <x:col min="7" max="7" width="24" hidden="0" customWidth="1"/>
  </x:cols>
  <x:sheetData>
    <x:row r="1">
      <x:c r="A1" s="39"/>
      <x:c r="B1" s="39"/>
      <x:c r="C1" s="39"/>
      <x:c r="D1" s="39"/>
      <x:c r="E1" s="39"/>
      <x:c r="F1" s="39"/>
      <x:c r="G1" s="39"/>
    </x:row>
    <x:row r="2">
      <x:c r="A2" s="75" t="str">
        <x:v>Source-specific physical interface register</x:v>
      </x:c>
      <x:c r="B2" s="39"/>
      <x:c r="C2" s="39"/>
      <x:c r="D2" s="39"/>
      <x:c r="E2" s="39"/>
      <x:c r="F2" s="39"/>
      <x:c r="G2" s="39"/>
    </x:row>
    <x:row r="3">
      <x:c r="A3" s="41"/>
      <x:c r="B3" s="41"/>
      <x:c r="C3" s="41"/>
      <x:c r="D3" s="41"/>
      <x:c r="E3" s="41"/>
      <x:c r="F3" s="41"/>
      <x:c r="G3" s="41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9"/>
      <x:c r="B4" s="39"/>
      <x:c r="C4" s="39"/>
      <x:c r="D4" s="39"/>
      <x:c r="E4" s="39"/>
      <x:c r="F4" s="39"/>
      <x:c r="G4" s="39"/>
    </x:row>
    <x:row r="5">
      <x:c r="A5" s="39"/>
      <x:c r="B5" s="39"/>
      <x:c r="C5" s="39"/>
      <x:c r="D5" s="39"/>
      <x:c r="E5" s="39"/>
      <x:c r="F5" s="39"/>
      <x:c r="G5" s="39"/>
    </x:row>
    <x:row r="6">
      <x:c r="A6" s="39" t="str">
        <x:v>Interface</x:v>
      </x:c>
      <x:c r="B6" s="39" t="str">
        <x:v>Form</x:v>
      </x:c>
      <x:c r="C6" s="39" t="str">
        <x:v>Interface role</x:v>
      </x:c>
      <x:c r="D6" s="39" t="str">
        <x:v>Physical implementation</x:v>
      </x:c>
      <x:c r="E6" s="39" t="str">
        <x:v>Isolation boundary</x:v>
      </x:c>
      <x:c r="F6" s="39" t="str">
        <x:v>Witness</x:v>
      </x:c>
      <x:c r="G6" s="39" t="str">
        <x:v>Authority</x:v>
      </x:c>
    </x:row>
    <x:row r="7">
      <x:c r="A7" s="39" t="str">
        <x:v>ET-A-A-IF-1</x:v>
      </x:c>
      <x:c r="B7" s="39" t="str">
        <x:v>ET-A-A</x:v>
      </x:c>
      <x:c r="C7" s="56" t="str">
        <x:v>source or receiver contact</x:v>
      </x:c>
      <x:c r="D7" s="56" t="str">
        <x:v>Paired sovereign exchange hulls: Two complete hull-to-shore trains. Each hull owns its six-axis saddle, wet-dry train, custody ledger, refuge, heat rejection and amphibious shore path.</x:v>
      </x:c>
      <x:c r="E7" s="56" t="str">
        <x:v>mechanical, fluid, electrical and command disconnect</x:v>
      </x:c>
      <x:c r="F7" s="56" t="str">
        <x:v>local witness plus sealed public event log</x:v>
      </x:c>
      <x:c r="G7" s="56" t="str">
        <x:v>PLANNING / UNMEASURED</x:v>
      </x:c>
    </x:row>
    <x:row r="8">
      <x:c r="A8" s="39" t="str">
        <x:v>ET-A-A-IF-2</x:v>
      </x:c>
      <x:c r="B8" s="39" t="str">
        <x:v>ET-A-A</x:v>
      </x:c>
      <x:c r="C8" s="56" t="str">
        <x:v>service transfer</x:v>
      </x:c>
      <x:c r="D8" s="56" t="str">
        <x:v>Paired sovereign exchange hulls: Complete 2-path service chain with no active common transfer junction</x:v>
      </x:c>
      <x:c r="E8" s="56" t="str">
        <x:v>mechanical, fluid, electrical and command disconnect</x:v>
      </x:c>
      <x:c r="F8" s="56" t="str">
        <x:v>local witness plus sealed public event log</x:v>
      </x:c>
      <x:c r="G8" s="56" t="str">
        <x:v>PLANNING / UNMEASURED</x:v>
      </x:c>
    </x:row>
    <x:row r="9">
      <x:c r="A9" s="39" t="str">
        <x:v>ET-A-A-IF-3</x:v>
      </x:c>
      <x:c r="B9" s="39" t="str">
        <x:v>ET-A-A</x:v>
      </x:c>
      <x:c r="C9" s="56" t="str">
        <x:v>energy and heat rejection</x:v>
      </x:c>
      <x:c r="D9" s="56" t="str">
        <x:v>Paired sovereign exchange hulls: 2 local controllers; only passive status crosses the isolation seam</x:v>
      </x:c>
      <x:c r="E9" s="56" t="str">
        <x:v>mechanical, fluid, electrical and command disconnect</x:v>
      </x:c>
      <x:c r="F9" s="56" t="str">
        <x:v>local witness plus sealed public event log</x:v>
      </x:c>
      <x:c r="G9" s="56" t="str">
        <x:v>PLANNING / UNMEASURED</x:v>
      </x:c>
    </x:row>
    <x:row r="10">
      <x:c r="A10" s="39" t="str">
        <x:v>ET-A-A-IF-4</x:v>
      </x:c>
      <x:c r="B10" s="39" t="str">
        <x:v>ET-A-A</x:v>
      </x:c>
      <x:c r="C10" s="56" t="str">
        <x:v>local control and manual stop</x:v>
      </x:c>
      <x:c r="D10" s="56" t="str">
        <x:v>Paired sovereign exchange hulls: 6 physically reachable notice, service, egress and remedy zones</x:v>
      </x:c>
      <x:c r="E10" s="56" t="str">
        <x:v>mechanical, fluid, electrical and command disconnect</x:v>
      </x:c>
      <x:c r="F10" s="56" t="str">
        <x:v>local witness plus sealed public event log</x:v>
      </x:c>
      <x:c r="G10" s="56" t="str">
        <x:v>PLANNING / UNMEASURED</x:v>
      </x:c>
    </x:row>
    <x:row r="11">
      <x:c r="A11" s="39" t="str">
        <x:v>ET-A-A-IF-5</x:v>
      </x:c>
      <x:c r="B11" s="39" t="str">
        <x:v>ET-A-A</x:v>
      </x:c>
      <x:c r="C11" s="56" t="str">
        <x:v>civil access and refuge</x:v>
      </x:c>
      <x:c r="D11" s="56" t="str">
        <x:v>Paired sovereign exchange hulls: 6 measured retain, quarantine, treatment and release paths</x:v>
      </x:c>
      <x:c r="E11" s="56" t="str">
        <x:v>mechanical, fluid, electrical and command disconnect</x:v>
      </x:c>
      <x:c r="F11" s="56" t="str">
        <x:v>local witness plus sealed public event log</x:v>
      </x:c>
      <x:c r="G11" s="56" t="str">
        <x:v>PLANNING / UNMEASURED</x:v>
      </x:c>
    </x:row>
    <x:row r="12">
      <x:c r="A12" s="39" t="str">
        <x:v>ET-A-A-IF-6</x:v>
      </x:c>
      <x:c r="B12" s="39" t="str">
        <x:v>ET-A-A</x:v>
      </x:c>
      <x:c r="C12" s="56" t="str">
        <x:v>residual custody and cold access</x:v>
      </x:c>
      <x:c r="D12" s="56" t="str">
        <x:v>Paired sovereign exchange hulls: Local isolate, depressurize or de-energize, refuge, manual stop and lawful disposition</x:v>
      </x:c>
      <x:c r="E12" s="56" t="str">
        <x:v>mechanical, fluid, electrical and command disconnect</x:v>
      </x:c>
      <x:c r="F12" s="56" t="str">
        <x:v>local witness plus sealed public event log</x:v>
      </x:c>
      <x:c r="G12" s="56" t="str">
        <x:v>PLANNING / UNMEASURED</x:v>
      </x:c>
    </x:row>
    <x:row r="13">
      <x:c r="A13" s="39" t="str">
        <x:v>CT-C-B-IF-1</x:v>
      </x:c>
      <x:c r="B13" s="39" t="str">
        <x:v>CT-C-B</x:v>
      </x:c>
      <x:c r="C13" s="56" t="str">
        <x:v>source or receiver contact</x:v>
      </x:c>
      <x:c r="D13" s="56" t="str">
        <x:v>Segmented arrested utility belt: Five structurally arrested façade zones. Each zone has reversible attachments, a complete mixed-utility trunk, local lowering capture and exterior egress.</x:v>
      </x:c>
      <x:c r="E13" s="56" t="str">
        <x:v>mechanical, fluid, electrical and command disconnect</x:v>
      </x:c>
      <x:c r="F13" s="56" t="str">
        <x:v>local witness plus sealed public event log</x:v>
      </x:c>
      <x:c r="G13" s="56" t="str">
        <x:v>PLANNING / UNMEASURED</x:v>
      </x:c>
    </x:row>
    <x:row r="14">
      <x:c r="A14" s="39" t="str">
        <x:v>CT-C-B-IF-2</x:v>
      </x:c>
      <x:c r="B14" s="39" t="str">
        <x:v>CT-C-B</x:v>
      </x:c>
      <x:c r="C14" s="56" t="str">
        <x:v>service transfer</x:v>
      </x:c>
      <x:c r="D14" s="56" t="str">
        <x:v>Segmented arrested utility belt: Complete 5-path service chain with no active common transfer junction</x:v>
      </x:c>
      <x:c r="E14" s="56" t="str">
        <x:v>mechanical, fluid, electrical and command disconnect</x:v>
      </x:c>
      <x:c r="F14" s="56" t="str">
        <x:v>local witness plus sealed public event log</x:v>
      </x:c>
      <x:c r="G14" s="56" t="str">
        <x:v>PLANNING / UNMEASURED</x:v>
      </x:c>
    </x:row>
    <x:row r="15">
      <x:c r="A15" s="39" t="str">
        <x:v>CT-C-B-IF-3</x:v>
      </x:c>
      <x:c r="B15" s="39" t="str">
        <x:v>CT-C-B</x:v>
      </x:c>
      <x:c r="C15" s="56" t="str">
        <x:v>energy and heat rejection</x:v>
      </x:c>
      <x:c r="D15" s="56" t="str">
        <x:v>Segmented arrested utility belt: 5 local controllers; only passive status crosses the isolation seam</x:v>
      </x:c>
      <x:c r="E15" s="56" t="str">
        <x:v>mechanical, fluid, electrical and command disconnect</x:v>
      </x:c>
      <x:c r="F15" s="56" t="str">
        <x:v>local witness plus sealed public event log</x:v>
      </x:c>
      <x:c r="G15" s="56" t="str">
        <x:v>PLANNING / UNMEASURED</x:v>
      </x:c>
    </x:row>
    <x:row r="16">
      <x:c r="A16" s="39" t="str">
        <x:v>CT-C-B-IF-4</x:v>
      </x:c>
      <x:c r="B16" s="39" t="str">
        <x:v>CT-C-B</x:v>
      </x:c>
      <x:c r="C16" s="56" t="str">
        <x:v>local control and manual stop</x:v>
      </x:c>
      <x:c r="D16" s="56" t="str">
        <x:v>Segmented arrested utility belt: 5 physically reachable notice, service, egress and remedy zones</x:v>
      </x:c>
      <x:c r="E16" s="56" t="str">
        <x:v>mechanical, fluid, electrical and command disconnect</x:v>
      </x:c>
      <x:c r="F16" s="56" t="str">
        <x:v>local witness plus sealed public event log</x:v>
      </x:c>
      <x:c r="G16" s="56" t="str">
        <x:v>PLANNING / UNMEASURED</x:v>
      </x:c>
    </x:row>
    <x:row r="17">
      <x:c r="A17" s="39" t="str">
        <x:v>CT-C-B-IF-5</x:v>
      </x:c>
      <x:c r="B17" s="39" t="str">
        <x:v>CT-C-B</x:v>
      </x:c>
      <x:c r="C17" s="56" t="str">
        <x:v>civil access and refuge</x:v>
      </x:c>
      <x:c r="D17" s="56" t="str">
        <x:v>Segmented arrested utility belt: 5 measured retain, quarantine, treatment and release paths</x:v>
      </x:c>
      <x:c r="E17" s="56" t="str">
        <x:v>mechanical, fluid, electrical and command disconnect</x:v>
      </x:c>
      <x:c r="F17" s="56" t="str">
        <x:v>local witness plus sealed public event log</x:v>
      </x:c>
      <x:c r="G17" s="56" t="str">
        <x:v>PLANNING / UNMEASURED</x:v>
      </x:c>
    </x:row>
    <x:row r="18">
      <x:c r="A18" s="39" t="str">
        <x:v>CT-C-B-IF-6</x:v>
      </x:c>
      <x:c r="B18" s="39" t="str">
        <x:v>CT-C-B</x:v>
      </x:c>
      <x:c r="C18" s="56" t="str">
        <x:v>residual custody and cold access</x:v>
      </x:c>
      <x:c r="D18" s="56" t="str">
        <x:v>Segmented arrested utility belt: Local isolate, depressurize or de-energize, refuge, manual stop and lawful disposition</x:v>
      </x:c>
      <x:c r="E18" s="56" t="str">
        <x:v>mechanical, fluid, electrical and command disconnect</x:v>
      </x:c>
      <x:c r="F18" s="56" t="str">
        <x:v>local witness plus sealed public event log</x:v>
      </x:c>
      <x:c r="G18" s="56" t="str">
        <x:v>PLANNING / UNMEASURED</x:v>
      </x:c>
    </x:row>
    <x:row r="19">
      <x:c r="A19" s="39" t="str">
        <x:v>HC-A-C-IF-1</x:v>
      </x:c>
      <x:c r="B19" s="39" t="str">
        <x:v>HC-A-C</x:v>
      </x:c>
      <x:c r="C19" s="56" t="str">
        <x:v>source or receiver contact</x:v>
      </x:c>
      <x:c r="D19" s="56" t="str">
        <x:v>Mesh-independent rotor sectors: Five locally commanded rotor sectors with passive time-space deconfliction, two hot-zone exchange lanes per sector and independent protected-edge sensing.</x:v>
      </x:c>
      <x:c r="E19" s="56" t="str">
        <x:v>mechanical, fluid, electrical and command disconnect</x:v>
      </x:c>
      <x:c r="F19" s="56" t="str">
        <x:v>local witness plus sealed public event log</x:v>
      </x:c>
      <x:c r="G19" s="56" t="str">
        <x:v>PLANNING / UNMEASURED</x:v>
      </x:c>
    </x:row>
    <x:row r="20">
      <x:c r="A20" s="39" t="str">
        <x:v>HC-A-C-IF-2</x:v>
      </x:c>
      <x:c r="B20" s="39" t="str">
        <x:v>HC-A-C</x:v>
      </x:c>
      <x:c r="C20" s="56" t="str">
        <x:v>service transfer</x:v>
      </x:c>
      <x:c r="D20" s="56" t="str">
        <x:v>Mesh-independent rotor sectors: Complete 5-path service chain with no active common transfer junction</x:v>
      </x:c>
      <x:c r="E20" s="56" t="str">
        <x:v>mechanical, fluid, electrical and command disconnect</x:v>
      </x:c>
      <x:c r="F20" s="56" t="str">
        <x:v>local witness plus sealed public event log</x:v>
      </x:c>
      <x:c r="G20" s="56" t="str">
        <x:v>PLANNING / UNMEASURED</x:v>
      </x:c>
    </x:row>
    <x:row r="21">
      <x:c r="A21" s="39" t="str">
        <x:v>HC-A-C-IF-3</x:v>
      </x:c>
      <x:c r="B21" s="39" t="str">
        <x:v>HC-A-C</x:v>
      </x:c>
      <x:c r="C21" s="56" t="str">
        <x:v>energy and heat rejection</x:v>
      </x:c>
      <x:c r="D21" s="56" t="str">
        <x:v>Mesh-independent rotor sectors: 5 local controllers; only passive status crosses the isolation seam</x:v>
      </x:c>
      <x:c r="E21" s="56" t="str">
        <x:v>mechanical, fluid, electrical and command disconnect</x:v>
      </x:c>
      <x:c r="F21" s="56" t="str">
        <x:v>local witness plus sealed public event log</x:v>
      </x:c>
      <x:c r="G21" s="56" t="str">
        <x:v>PLANNING / UNMEASURED</x:v>
      </x:c>
    </x:row>
    <x:row r="22">
      <x:c r="A22" s="39" t="str">
        <x:v>HC-A-C-IF-4</x:v>
      </x:c>
      <x:c r="B22" s="39" t="str">
        <x:v>HC-A-C</x:v>
      </x:c>
      <x:c r="C22" s="56" t="str">
        <x:v>local control and manual stop</x:v>
      </x:c>
      <x:c r="D22" s="56" t="str">
        <x:v>Mesh-independent rotor sectors: 5 physically reachable notice, service, egress and remedy zones</x:v>
      </x:c>
      <x:c r="E22" s="56" t="str">
        <x:v>mechanical, fluid, electrical and command disconnect</x:v>
      </x:c>
      <x:c r="F22" s="56" t="str">
        <x:v>local witness plus sealed public event log</x:v>
      </x:c>
      <x:c r="G22" s="56" t="str">
        <x:v>PLANNING / UNMEASURED</x:v>
      </x:c>
    </x:row>
    <x:row r="23">
      <x:c r="A23" s="39" t="str">
        <x:v>HC-A-C-IF-5</x:v>
      </x:c>
      <x:c r="B23" s="39" t="str">
        <x:v>HC-A-C</x:v>
      </x:c>
      <x:c r="C23" s="56" t="str">
        <x:v>civil access and refuge</x:v>
      </x:c>
      <x:c r="D23" s="56" t="str">
        <x:v>Mesh-independent rotor sectors: 5 measured retain, quarantine, treatment and release paths</x:v>
      </x:c>
      <x:c r="E23" s="56" t="str">
        <x:v>mechanical, fluid, electrical and command disconnect</x:v>
      </x:c>
      <x:c r="F23" s="56" t="str">
        <x:v>local witness plus sealed public event log</x:v>
      </x:c>
      <x:c r="G23" s="56" t="str">
        <x:v>PLANNING / UNMEASURED</x:v>
      </x:c>
    </x:row>
    <x:row r="24">
      <x:c r="A24" s="39" t="str">
        <x:v>HC-A-C-IF-6</x:v>
      </x:c>
      <x:c r="B24" s="39" t="str">
        <x:v>HC-A-C</x:v>
      </x:c>
      <x:c r="C24" s="56" t="str">
        <x:v>residual custody and cold access</x:v>
      </x:c>
      <x:c r="D24" s="56" t="str">
        <x:v>Mesh-independent rotor sectors: Local isolate, depressurize or de-energize, refuge, manual stop and lawful disposition</x:v>
      </x:c>
      <x:c r="E24" s="56" t="str">
        <x:v>mechanical, fluid, electrical and command disconnect</x:v>
      </x:c>
      <x:c r="F24" s="56" t="str">
        <x:v>local witness plus sealed public event log</x:v>
      </x:c>
      <x:c r="G24" s="56" t="str">
        <x:v>PLANNING / UNMEASURED</x:v>
      </x:c>
    </x:row>
    <x:row r="25">
      <x:c r="A25" s="39" t="str">
        <x:v>LF-B-A-IF-1</x:v>
      </x:c>
      <x:c r="B25" s="39" t="str">
        <x:v>LF-B-A</x:v>
      </x:c>
      <x:c r="C25" s="56" t="str">
        <x:v>source or receiver contact</x:v>
      </x:c>
      <x:c r="D25" s="56" t="str">
        <x:v>Headerless four-island geothermal field: Four complete conversion islands each own bore pairs, heat rejection and brine isolation. Three passive product buffers feed two separated delivery paths without an active common header.</x:v>
      </x:c>
      <x:c r="E25" s="56" t="str">
        <x:v>mechanical, fluid, electrical and command disconnect</x:v>
      </x:c>
      <x:c r="F25" s="56" t="str">
        <x:v>local witness plus sealed public event log</x:v>
      </x:c>
      <x:c r="G25" s="56" t="str">
        <x:v>PLANNING / UNMEASURED</x:v>
      </x:c>
    </x:row>
    <x:row r="26">
      <x:c r="A26" s="39" t="str">
        <x:v>LF-B-A-IF-2</x:v>
      </x:c>
      <x:c r="B26" s="39" t="str">
        <x:v>LF-B-A</x:v>
      </x:c>
      <x:c r="C26" s="56" t="str">
        <x:v>service transfer</x:v>
      </x:c>
      <x:c r="D26" s="56" t="str">
        <x:v>Headerless four-island geothermal field: Complete 4-path service chain with no active common transfer junction</x:v>
      </x:c>
      <x:c r="E26" s="56" t="str">
        <x:v>mechanical, fluid, electrical and command disconnect</x:v>
      </x:c>
      <x:c r="F26" s="56" t="str">
        <x:v>local witness plus sealed public event log</x:v>
      </x:c>
      <x:c r="G26" s="56" t="str">
        <x:v>PLANNING / UNMEASURED</x:v>
      </x:c>
    </x:row>
    <x:row r="27">
      <x:c r="A27" s="39" t="str">
        <x:v>LF-B-A-IF-3</x:v>
      </x:c>
      <x:c r="B27" s="39" t="str">
        <x:v>LF-B-A</x:v>
      </x:c>
      <x:c r="C27" s="56" t="str">
        <x:v>energy and heat rejection</x:v>
      </x:c>
      <x:c r="D27" s="56" t="str">
        <x:v>Headerless four-island geothermal field: 4 local controllers; only passive status crosses the isolation seam</x:v>
      </x:c>
      <x:c r="E27" s="56" t="str">
        <x:v>mechanical, fluid, electrical and command disconnect</x:v>
      </x:c>
      <x:c r="F27" s="56" t="str">
        <x:v>local witness plus sealed public event log</x:v>
      </x:c>
      <x:c r="G27" s="56" t="str">
        <x:v>PLANNING / UNMEASURED</x:v>
      </x:c>
    </x:row>
    <x:row r="28">
      <x:c r="A28" s="39" t="str">
        <x:v>LF-B-A-IF-4</x:v>
      </x:c>
      <x:c r="B28" s="39" t="str">
        <x:v>LF-B-A</x:v>
      </x:c>
      <x:c r="C28" s="56" t="str">
        <x:v>local control and manual stop</x:v>
      </x:c>
      <x:c r="D28" s="56" t="str">
        <x:v>Headerless four-island geothermal field: 4 physically reachable notice, service, egress and remedy zones</x:v>
      </x:c>
      <x:c r="E28" s="56" t="str">
        <x:v>mechanical, fluid, electrical and command disconnect</x:v>
      </x:c>
      <x:c r="F28" s="56" t="str">
        <x:v>local witness plus sealed public event log</x:v>
      </x:c>
      <x:c r="G28" s="56" t="str">
        <x:v>PLANNING / UNMEASURED</x:v>
      </x:c>
    </x:row>
    <x:row r="29">
      <x:c r="A29" s="39" t="str">
        <x:v>LF-B-A-IF-5</x:v>
      </x:c>
      <x:c r="B29" s="39" t="str">
        <x:v>LF-B-A</x:v>
      </x:c>
      <x:c r="C29" s="56" t="str">
        <x:v>civil access and refuge</x:v>
      </x:c>
      <x:c r="D29" s="56" t="str">
        <x:v>Headerless four-island geothermal field: 3 measured retain, quarantine, treatment and release paths</x:v>
      </x:c>
      <x:c r="E29" s="56" t="str">
        <x:v>mechanical, fluid, electrical and command disconnect</x:v>
      </x:c>
      <x:c r="F29" s="56" t="str">
        <x:v>local witness plus sealed public event log</x:v>
      </x:c>
      <x:c r="G29" s="56" t="str">
        <x:v>PLANNING / UNMEASURED</x:v>
      </x:c>
    </x:row>
    <x:row r="30">
      <x:c r="A30" s="39" t="str">
        <x:v>LF-B-A-IF-6</x:v>
      </x:c>
      <x:c r="B30" s="39" t="str">
        <x:v>LF-B-A</x:v>
      </x:c>
      <x:c r="C30" s="56" t="str">
        <x:v>residual custody and cold access</x:v>
      </x:c>
      <x:c r="D30" s="56" t="str">
        <x:v>Headerless four-island geothermal field: Local isolate, depressurize or de-energize, refuge, manual stop and lawful disposition</x:v>
      </x:c>
      <x:c r="E30" s="56" t="str">
        <x:v>mechanical, fluid, electrical and command disconnect</x:v>
      </x:c>
      <x:c r="F30" s="56" t="str">
        <x:v>local witness plus sealed public event log</x:v>
      </x:c>
      <x:c r="G30" s="56" t="str">
        <x:v>PLANNING / UNMEASURED</x:v>
      </x:c>
    </x:row>
    <x:row r="31">
      <x:c r="A31" s="39" t="str">
        <x:v>HU-A-B-IF-1</x:v>
      </x:c>
      <x:c r="B31" s="39" t="str">
        <x:v>HU-A-B</x:v>
      </x:c>
      <x:c r="C31" s="56" t="str">
        <x:v>source or receiver contact</x:v>
      </x:c>
      <x:c r="D31" s="56" t="str">
        <x:v>Counter-rotating clinical circulation lattice: Eight care districts sit between two opposed clean and dirty circulation loops. Local transfer crossbars keep patients in place while services reroute around one section.</x:v>
      </x:c>
      <x:c r="E31" s="56" t="str">
        <x:v>mechanical, fluid, electrical and command disconnect</x:v>
      </x:c>
      <x:c r="F31" s="56" t="str">
        <x:v>local witness plus sealed public event log</x:v>
      </x:c>
      <x:c r="G31" s="56" t="str">
        <x:v>PLANNING / UNMEASURED</x:v>
      </x:c>
    </x:row>
    <x:row r="32">
      <x:c r="A32" s="39" t="str">
        <x:v>HU-A-B-IF-2</x:v>
      </x:c>
      <x:c r="B32" s="39" t="str">
        <x:v>HU-A-B</x:v>
      </x:c>
      <x:c r="C32" s="56" t="str">
        <x:v>service transfer</x:v>
      </x:c>
      <x:c r="D32" s="56" t="str">
        <x:v>Counter-rotating clinical circulation lattice: Complete 10-path service chain with no active common transfer junction</x:v>
      </x:c>
      <x:c r="E32" s="56" t="str">
        <x:v>mechanical, fluid, electrical and command disconnect</x:v>
      </x:c>
      <x:c r="F32" s="56" t="str">
        <x:v>local witness plus sealed public event log</x:v>
      </x:c>
      <x:c r="G32" s="56" t="str">
        <x:v>PLANNING / UNMEASURED</x:v>
      </x:c>
    </x:row>
    <x:row r="33">
      <x:c r="A33" s="39" t="str">
        <x:v>HU-A-B-IF-3</x:v>
      </x:c>
      <x:c r="B33" s="39" t="str">
        <x:v>HU-A-B</x:v>
      </x:c>
      <x:c r="C33" s="56" t="str">
        <x:v>energy and heat rejection</x:v>
      </x:c>
      <x:c r="D33" s="56" t="str">
        <x:v>Counter-rotating clinical circulation lattice: 8 local controllers; only passive status crosses the isolation seam</x:v>
      </x:c>
      <x:c r="E33" s="56" t="str">
        <x:v>mechanical, fluid, electrical and command disconnect</x:v>
      </x:c>
      <x:c r="F33" s="56" t="str">
        <x:v>local witness plus sealed public event log</x:v>
      </x:c>
      <x:c r="G33" s="56" t="str">
        <x:v>PLANNING / UNMEASURED</x:v>
      </x:c>
    </x:row>
    <x:row r="34">
      <x:c r="A34" s="39" t="str">
        <x:v>HU-A-B-IF-4</x:v>
      </x:c>
      <x:c r="B34" s="39" t="str">
        <x:v>HU-A-B</x:v>
      </x:c>
      <x:c r="C34" s="56" t="str">
        <x:v>local control and manual stop</x:v>
      </x:c>
      <x:c r="D34" s="56" t="str">
        <x:v>Counter-rotating clinical circulation lattice: 8 physically reachable notice, service, egress and remedy zones</x:v>
      </x:c>
      <x:c r="E34" s="56" t="str">
        <x:v>mechanical, fluid, electrical and command disconnect</x:v>
      </x:c>
      <x:c r="F34" s="56" t="str">
        <x:v>local witness plus sealed public event log</x:v>
      </x:c>
      <x:c r="G34" s="56" t="str">
        <x:v>PLANNING / UNMEASURED</x:v>
      </x:c>
    </x:row>
    <x:row r="35">
      <x:c r="A35" s="39" t="str">
        <x:v>HU-A-B-IF-5</x:v>
      </x:c>
      <x:c r="B35" s="39" t="str">
        <x:v>HU-A-B</x:v>
      </x:c>
      <x:c r="C35" s="56" t="str">
        <x:v>civil access and refuge</x:v>
      </x:c>
      <x:c r="D35" s="56" t="str">
        <x:v>Counter-rotating clinical circulation lattice: 8 measured retain, quarantine, treatment and release paths</x:v>
      </x:c>
      <x:c r="E35" s="56" t="str">
        <x:v>mechanical, fluid, electrical and command disconnect</x:v>
      </x:c>
      <x:c r="F35" s="56" t="str">
        <x:v>local witness plus sealed public event log</x:v>
      </x:c>
      <x:c r="G35" s="56" t="str">
        <x:v>PLANNING / UNMEASURED</x:v>
      </x:c>
    </x:row>
    <x:row r="36">
      <x:c r="A36" s="39" t="str">
        <x:v>HU-A-B-IF-6</x:v>
      </x:c>
      <x:c r="B36" s="39" t="str">
        <x:v>HU-A-B</x:v>
      </x:c>
      <x:c r="C36" s="56" t="str">
        <x:v>residual custody and cold access</x:v>
      </x:c>
      <x:c r="D36" s="56" t="str">
        <x:v>Counter-rotating clinical circulation lattice: Local isolate, depressurize or de-energize, refuge, manual stop and lawful disposition</x:v>
      </x:c>
      <x:c r="E36" s="56" t="str">
        <x:v>mechanical, fluid, electrical and command disconnect</x:v>
      </x:c>
      <x:c r="F36" s="56" t="str">
        <x:v>local witness plus sealed public event log</x:v>
      </x:c>
      <x:c r="G36" s="56" t="str">
        <x:v>PLANNING / UNMEASURED</x:v>
      </x:c>
    </x:row>
    <x:row r="37">
      <x:c r="A37" s="39" t="str">
        <x:v>RT-B-C-IF-1</x:v>
      </x:c>
      <x:c r="B37" s="39" t="str">
        <x:v>RT-B-C</x:v>
      </x:c>
      <x:c r="C37" s="56" t="str">
        <x:v>source or receiver contact</x:v>
      </x:c>
      <x:c r="D37" s="56" t="str">
        <x:v>Ancestry-complete mobile trainlets: Five road-mobile dirty-return-to-signed-release trainlets. Each owns process energy, heat rejection, field standards, quarantine and material ancestry.</x:v>
      </x:c>
      <x:c r="E37" s="56" t="str">
        <x:v>mechanical, fluid, electrical and command disconnect</x:v>
      </x:c>
      <x:c r="F37" s="56" t="str">
        <x:v>local witness plus sealed public event log</x:v>
      </x:c>
      <x:c r="G37" s="56" t="str">
        <x:v>PLANNING / UNMEASURED</x:v>
      </x:c>
    </x:row>
    <x:row r="38">
      <x:c r="A38" s="39" t="str">
        <x:v>RT-B-C-IF-2</x:v>
      </x:c>
      <x:c r="B38" s="39" t="str">
        <x:v>RT-B-C</x:v>
      </x:c>
      <x:c r="C38" s="56" t="str">
        <x:v>service transfer</x:v>
      </x:c>
      <x:c r="D38" s="56" t="str">
        <x:v>Ancestry-complete mobile trainlets: Complete 5-path service chain with no active common transfer junction</x:v>
      </x:c>
      <x:c r="E38" s="56" t="str">
        <x:v>mechanical, fluid, electrical and command disconnect</x:v>
      </x:c>
      <x:c r="F38" s="56" t="str">
        <x:v>local witness plus sealed public event log</x:v>
      </x:c>
      <x:c r="G38" s="56" t="str">
        <x:v>PLANNING / UNMEASURED</x:v>
      </x:c>
    </x:row>
    <x:row r="39">
      <x:c r="A39" s="39" t="str">
        <x:v>RT-B-C-IF-3</x:v>
      </x:c>
      <x:c r="B39" s="39" t="str">
        <x:v>RT-B-C</x:v>
      </x:c>
      <x:c r="C39" s="56" t="str">
        <x:v>energy and heat rejection</x:v>
      </x:c>
      <x:c r="D39" s="56" t="str">
        <x:v>Ancestry-complete mobile trainlets: 5 local controllers; only passive status crosses the isolation seam</x:v>
      </x:c>
      <x:c r="E39" s="56" t="str">
        <x:v>mechanical, fluid, electrical and command disconnect</x:v>
      </x:c>
      <x:c r="F39" s="56" t="str">
        <x:v>local witness plus sealed public event log</x:v>
      </x:c>
      <x:c r="G39" s="56" t="str">
        <x:v>PLANNING / UNMEASURED</x:v>
      </x:c>
    </x:row>
    <x:row r="40">
      <x:c r="A40" s="39" t="str">
        <x:v>RT-B-C-IF-4</x:v>
      </x:c>
      <x:c r="B40" s="39" t="str">
        <x:v>RT-B-C</x:v>
      </x:c>
      <x:c r="C40" s="56" t="str">
        <x:v>local control and manual stop</x:v>
      </x:c>
      <x:c r="D40" s="56" t="str">
        <x:v>Ancestry-complete mobile trainlets: 5 physically reachable notice, service, egress and remedy zones</x:v>
      </x:c>
      <x:c r="E40" s="56" t="str">
        <x:v>mechanical, fluid, electrical and command disconnect</x:v>
      </x:c>
      <x:c r="F40" s="56" t="str">
        <x:v>local witness plus sealed public event log</x:v>
      </x:c>
      <x:c r="G40" s="56" t="str">
        <x:v>PLANNING / UNMEASURED</x:v>
      </x:c>
    </x:row>
    <x:row r="41">
      <x:c r="A41" s="39" t="str">
        <x:v>RT-B-C-IF-5</x:v>
      </x:c>
      <x:c r="B41" s="39" t="str">
        <x:v>RT-B-C</x:v>
      </x:c>
      <x:c r="C41" s="56" t="str">
        <x:v>civil access and refuge</x:v>
      </x:c>
      <x:c r="D41" s="56" t="str">
        <x:v>Ancestry-complete mobile trainlets: 5 measured retain, quarantine, treatment and release paths</x:v>
      </x:c>
      <x:c r="E41" s="56" t="str">
        <x:v>mechanical, fluid, electrical and command disconnect</x:v>
      </x:c>
      <x:c r="F41" s="56" t="str">
        <x:v>local witness plus sealed public event log</x:v>
      </x:c>
      <x:c r="G41" s="56" t="str">
        <x:v>PLANNING / UNMEASURED</x:v>
      </x:c>
    </x:row>
    <x:row r="42">
      <x:c r="A42" s="39" t="str">
        <x:v>RT-B-C-IF-6</x:v>
      </x:c>
      <x:c r="B42" s="39" t="str">
        <x:v>RT-B-C</x:v>
      </x:c>
      <x:c r="C42" s="56" t="str">
        <x:v>residual custody and cold access</x:v>
      </x:c>
      <x:c r="D42" s="56" t="str">
        <x:v>Ancestry-complete mobile trainlets: Local isolate, depressurize or de-energize, refuge, manual stop and lawful disposition</x:v>
      </x:c>
      <x:c r="E42" s="56" t="str">
        <x:v>mechanical, fluid, electrical and command disconnect</x:v>
      </x:c>
      <x:c r="F42" s="56" t="str">
        <x:v>local witness plus sealed public event log</x:v>
      </x:c>
      <x:c r="G42" s="56" t="str">
        <x:v>PLANNING / UNMEASURED</x:v>
      </x:c>
    </x:row>
  </x:sheetData>
  <x:pageMargins left="0.7" right="0.7" top="0.75" bottom="0.75" header="0.3" footer="0.3"/>
  <x:tableParts count="1">
    <x:tablePart xmlns:r="http://schemas.openxmlformats.org/officeDocument/2006/relationships" r:id="R14affc077c2645a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24" hidden="0" customWidth="1"/>
    <x:col min="4" max="4" width="60" hidden="0" customWidth="1"/>
    <x:col min="5" max="5" width="52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</x:cols>
  <x:sheetData>
    <x:row r="1">
      <x:c r="A1" s="39"/>
      <x:c r="B1" s="39"/>
      <x:c r="C1" s="39"/>
      <x:c r="D1" s="39"/>
      <x:c r="E1" s="39"/>
      <x:c r="F1" s="39"/>
      <x:c r="G1" s="39"/>
      <x:c r="H1" s="39"/>
      <x:c r="I1" s="39"/>
    </x:row>
    <x:row r="2">
      <x:c r="A2" s="75" t="str">
        <x:v>Forty-eight civil-rights gates embedded in hardware</x:v>
      </x:c>
      <x:c r="B2" s="39"/>
      <x:c r="C2" s="39"/>
      <x:c r="D2" s="39"/>
      <x:c r="E2" s="39"/>
      <x:c r="F2" s="39"/>
      <x:c r="G2" s="39"/>
      <x:c r="H2" s="39"/>
      <x:c r="I2" s="39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</x:row>
    <x:row r="6">
      <x:c r="A6" s="39" t="str">
        <x:v>Gate</x:v>
      </x:c>
      <x:c r="B6" s="39" t="str">
        <x:v>Form</x:v>
      </x:c>
      <x:c r="C6" s="39" t="str">
        <x:v>Protected interest</x:v>
      </x:c>
      <x:c r="D6" s="39" t="str">
        <x:v>Failure rule</x:v>
      </x:c>
      <x:c r="E6" s="39" t="str">
        <x:v>Physical implementation</x:v>
      </x:c>
      <x:c r="F6" s="39" t="str">
        <x:v>Local authority</x:v>
      </x:c>
      <x:c r="G6" s="39" t="str">
        <x:v>Independent record</x:v>
      </x:c>
      <x:c r="H6" s="39" t="str">
        <x:v>Remedy path</x:v>
      </x:c>
      <x:c r="I6" s="39" t="str">
        <x:v>State</x:v>
      </x:c>
    </x:row>
    <x:row r="7">
      <x:c r="A7" s="39" t="str">
        <x:v>ET-A-A-RIGHT-1</x:v>
      </x:c>
      <x:c r="B7" s="39" t="str">
        <x:v>ET-A-A</x:v>
      </x:c>
      <x:c r="C7" s="56" t="str">
        <x:v>Equal service</x:v>
      </x:c>
      <x:c r="D7" s="56" t="str">
        <x:v>Service loss cannot delete protected populations or raise an unregistered triage rule.</x:v>
      </x:c>
      <x:c r="E7" s="56" t="str">
        <x:v>6 separated civil zones with local records and physical access</x:v>
      </x:c>
      <x:c r="F7" s="39" t="n">
        <x:v>1</x:v>
      </x:c>
      <x:c r="G7" s="39" t="n">
        <x:v>1</x:v>
      </x:c>
      <x:c r="H7" s="39" t="n">
        <x:v>1</x:v>
      </x:c>
      <x:c r="I7" s="39" t="str">
        <x:f>IF(AND(F7=1,G7=1,H7=1),"SPECIFIED / UNOBSERVED","FAIL")</x:f>
        <x:v>SPECIFIED / UNOBSERVED</x:v>
      </x:c>
    </x:row>
    <x:row r="8">
      <x:c r="A8" s="39" t="str">
        <x:v>ET-A-A-RIGHT-2</x:v>
      </x:c>
      <x:c r="B8" s="39" t="str">
        <x:v>ET-A-A</x:v>
      </x:c>
      <x:c r="C8" s="56" t="str">
        <x:v>Notice and consent</x:v>
      </x:c>
      <x:c r="D8" s="56" t="str">
        <x:v>Local, accessible notice precedes non-emergency movement, entry or exposure.</x:v>
      </x:c>
      <x:c r="E8" s="56" t="str">
        <x:v>6 separated civil zones with local records and physical access</x:v>
      </x:c>
      <x:c r="F8" s="39" t="n">
        <x:v>1</x:v>
      </x:c>
      <x:c r="G8" s="39" t="n">
        <x:v>1</x:v>
      </x:c>
      <x:c r="H8" s="39" t="n">
        <x:v>1</x:v>
      </x:c>
      <x:c r="I8" s="39" t="str">
        <x:f>IF(AND(F8=1,G8=1,H8=1),"SPECIFIED / UNOBSERVED","FAIL")</x:f>
        <x:v>SPECIFIED / UNOBSERVED</x:v>
      </x:c>
    </x:row>
    <x:row r="9">
      <x:c r="A9" s="39" t="str">
        <x:v>ET-A-A-RIGHT-3</x:v>
      </x:c>
      <x:c r="B9" s="39" t="str">
        <x:v>ET-A-A</x:v>
      </x:c>
      <x:c r="C9" s="56" t="str">
        <x:v>Identity and relationships</x:v>
      </x:c>
      <x:c r="D9" s="56" t="str">
        <x:v>Patient, household, worker and authorized-support relationships survive disconnection.</x:v>
      </x:c>
      <x:c r="E9" s="56" t="str">
        <x:v>6 separated civil zones with local records and physical access</x:v>
      </x:c>
      <x:c r="F9" s="39" t="n">
        <x:v>1</x:v>
      </x:c>
      <x:c r="G9" s="39" t="n">
        <x:v>1</x:v>
      </x:c>
      <x:c r="H9" s="39" t="n">
        <x:v>1</x:v>
      </x:c>
      <x:c r="I9" s="39" t="str">
        <x:f>IF(AND(F9=1,G9=1,H9=1),"SPECIFIED / UNOBSERVED","FAIL")</x:f>
        <x:v>SPECIFIED / UNOBSERVED</x:v>
      </x:c>
    </x:row>
    <x:row r="10">
      <x:c r="A10" s="39" t="str">
        <x:v>ET-A-A-RIGHT-4</x:v>
      </x:c>
      <x:c r="B10" s="39" t="str">
        <x:v>ET-A-A</x:v>
      </x:c>
      <x:c r="C10" s="56" t="str">
        <x:v>Privacy and minimization</x:v>
      </x:c>
      <x:c r="D10" s="56" t="str">
        <x:v>Local operation does not require a national identity or location feed.</x:v>
      </x:c>
      <x:c r="E10" s="56" t="str">
        <x:v>6 separated civil zones with local records and physical access</x:v>
      </x:c>
      <x:c r="F10" s="39" t="n">
        <x:v>1</x:v>
      </x:c>
      <x:c r="G10" s="39" t="n">
        <x:v>1</x:v>
      </x:c>
      <x:c r="H10" s="39" t="n">
        <x:v>1</x:v>
      </x:c>
      <x:c r="I10" s="39" t="str">
        <x:f>IF(AND(F10=1,G10=1,H10=1),"SPECIFIED / UNOBSERVED","FAIL")</x:f>
        <x:v>SPECIFIED / UNOBSERVED</x:v>
      </x:c>
    </x:row>
    <x:row r="11">
      <x:c r="A11" s="39" t="str">
        <x:v>ET-A-A-RIGHT-5</x:v>
      </x:c>
      <x:c r="B11" s="39" t="str">
        <x:v>ET-A-A</x:v>
      </x:c>
      <x:c r="C11" s="56" t="str">
        <x:v>Accessible egress and refuge</x:v>
      </x:c>
      <x:c r="D11" s="56" t="str">
        <x:v>A failed cell retains reachable refuge, assisted egress and a manual stop.</x:v>
      </x:c>
      <x:c r="E11" s="56" t="str">
        <x:v>6 separated civil zones with local records and physical access</x:v>
      </x:c>
      <x:c r="F11" s="39" t="n">
        <x:v>1</x:v>
      </x:c>
      <x:c r="G11" s="39" t="n">
        <x:v>1</x:v>
      </x:c>
      <x:c r="H11" s="39" t="n">
        <x:v>1</x:v>
      </x:c>
      <x:c r="I11" s="39" t="str">
        <x:f>IF(AND(F11=1,G11=1,H11=1),"SPECIFIED / UNOBSERVED","FAIL")</x:f>
        <x:v>SPECIFIED / UNOBSERVED</x:v>
      </x:c>
    </x:row>
    <x:row r="12">
      <x:c r="A12" s="39" t="str">
        <x:v>ET-A-A-RIGHT-6</x:v>
      </x:c>
      <x:c r="B12" s="39" t="str">
        <x:v>ET-A-A</x:v>
      </x:c>
      <x:c r="C12" s="56" t="str">
        <x:v>Environmental custody</x:v>
      </x:c>
      <x:c r="D12" s="56" t="str">
        <x:v>Contaminated water, air, soil, brine and process residuals remain attributable.</x:v>
      </x:c>
      <x:c r="E12" s="56" t="str">
        <x:v>6 separated civil zones with local records and physical access</x:v>
      </x:c>
      <x:c r="F12" s="39" t="n">
        <x:v>1</x:v>
      </x:c>
      <x:c r="G12" s="39" t="n">
        <x:v>1</x:v>
      </x:c>
      <x:c r="H12" s="39" t="n">
        <x:v>1</x:v>
      </x:c>
      <x:c r="I12" s="39" t="str">
        <x:f>IF(AND(F12=1,G12=1,H12=1),"SPECIFIED / UNOBSERVED","FAIL")</x:f>
        <x:v>SPECIFIED / UNOBSERVED</x:v>
      </x:c>
    </x:row>
    <x:row r="13">
      <x:c r="A13" s="39" t="str">
        <x:v>ET-A-A-RIGHT-7</x:v>
      </x:c>
      <x:c r="B13" s="39" t="str">
        <x:v>ET-A-A</x:v>
      </x:c>
      <x:c r="C13" s="56" t="str">
        <x:v>Local manual authority</x:v>
      </x:c>
      <x:c r="D13" s="56" t="str">
        <x:v>A competent local operator can stop the affected cell without central permission.</x:v>
      </x:c>
      <x:c r="E13" s="56" t="str">
        <x:v>6 separated civil zones with local records and physical access</x:v>
      </x:c>
      <x:c r="F13" s="39" t="n">
        <x:v>1</x:v>
      </x:c>
      <x:c r="G13" s="39" t="n">
        <x:v>1</x:v>
      </x:c>
      <x:c r="H13" s="39" t="n">
        <x:v>1</x:v>
      </x:c>
      <x:c r="I13" s="39" t="str">
        <x:f>IF(AND(F13=1,G13=1,H13=1),"SPECIFIED / UNOBSERVED","FAIL")</x:f>
        <x:v>SPECIFIED / UNOBSERVED</x:v>
      </x:c>
    </x:row>
    <x:row r="14">
      <x:c r="A14" s="39" t="str">
        <x:v>ET-A-A-RIGHT-8</x:v>
      </x:c>
      <x:c r="B14" s="39" t="str">
        <x:v>ET-A-A</x:v>
      </x:c>
      <x:c r="C14" s="56" t="str">
        <x:v>Remedy and audit</x:v>
      </x:c>
      <x:c r="D14" s="56" t="str">
        <x:v>The affected person can obtain the event record, decision basis and correction route.</x:v>
      </x:c>
      <x:c r="E14" s="56" t="str">
        <x:v>6 separated civil zones with local records and physical access</x:v>
      </x:c>
      <x:c r="F14" s="39" t="n">
        <x:v>1</x:v>
      </x:c>
      <x:c r="G14" s="39" t="n">
        <x:v>1</x:v>
      </x:c>
      <x:c r="H14" s="39" t="n">
        <x:v>1</x:v>
      </x:c>
      <x:c r="I14" s="39" t="str">
        <x:f>IF(AND(F14=1,G14=1,H14=1),"SPECIFIED / UNOBSERVED","FAIL")</x:f>
        <x:v>SPECIFIED / UNOBSERVED</x:v>
      </x:c>
    </x:row>
    <x:row r="15">
      <x:c r="A15" s="39" t="str">
        <x:v>CT-C-B-RIGHT-1</x:v>
      </x:c>
      <x:c r="B15" s="39" t="str">
        <x:v>CT-C-B</x:v>
      </x:c>
      <x:c r="C15" s="56" t="str">
        <x:v>Equal service</x:v>
      </x:c>
      <x:c r="D15" s="56" t="str">
        <x:v>Service loss cannot delete protected populations or raise an unregistered triage rule.</x:v>
      </x:c>
      <x:c r="E15" s="56" t="str">
        <x:v>5 separated civil zones with local records and physical access</x:v>
      </x:c>
      <x:c r="F15" s="39" t="n">
        <x:v>1</x:v>
      </x:c>
      <x:c r="G15" s="39" t="n">
        <x:v>1</x:v>
      </x:c>
      <x:c r="H15" s="39" t="n">
        <x:v>1</x:v>
      </x:c>
      <x:c r="I15" s="39" t="str">
        <x:f>IF(AND(F15=1,G15=1,H15=1),"SPECIFIED / UNOBSERVED","FAIL")</x:f>
        <x:v>SPECIFIED / UNOBSERVED</x:v>
      </x:c>
    </x:row>
    <x:row r="16">
      <x:c r="A16" s="39" t="str">
        <x:v>CT-C-B-RIGHT-2</x:v>
      </x:c>
      <x:c r="B16" s="39" t="str">
        <x:v>CT-C-B</x:v>
      </x:c>
      <x:c r="C16" s="56" t="str">
        <x:v>Notice and consent</x:v>
      </x:c>
      <x:c r="D16" s="56" t="str">
        <x:v>Local, accessible notice precedes non-emergency movement, entry or exposure.</x:v>
      </x:c>
      <x:c r="E16" s="56" t="str">
        <x:v>5 separated civil zones with local records and physical access</x:v>
      </x:c>
      <x:c r="F16" s="39" t="n">
        <x:v>1</x:v>
      </x:c>
      <x:c r="G16" s="39" t="n">
        <x:v>1</x:v>
      </x:c>
      <x:c r="H16" s="39" t="n">
        <x:v>1</x:v>
      </x:c>
      <x:c r="I16" s="39" t="str">
        <x:f>IF(AND(F16=1,G16=1,H16=1),"SPECIFIED / UNOBSERVED","FAIL")</x:f>
        <x:v>SPECIFIED / UNOBSERVED</x:v>
      </x:c>
    </x:row>
    <x:row r="17">
      <x:c r="A17" s="39" t="str">
        <x:v>CT-C-B-RIGHT-3</x:v>
      </x:c>
      <x:c r="B17" s="39" t="str">
        <x:v>CT-C-B</x:v>
      </x:c>
      <x:c r="C17" s="56" t="str">
        <x:v>Identity and relationships</x:v>
      </x:c>
      <x:c r="D17" s="56" t="str">
        <x:v>Patient, household, worker and authorized-support relationships survive disconnection.</x:v>
      </x:c>
      <x:c r="E17" s="56" t="str">
        <x:v>5 separated civil zones with local records and physical access</x:v>
      </x:c>
      <x:c r="F17" s="39" t="n">
        <x:v>1</x:v>
      </x:c>
      <x:c r="G17" s="39" t="n">
        <x:v>1</x:v>
      </x:c>
      <x:c r="H17" s="39" t="n">
        <x:v>1</x:v>
      </x:c>
      <x:c r="I17" s="39" t="str">
        <x:f>IF(AND(F17=1,G17=1,H17=1),"SPECIFIED / UNOBSERVED","FAIL")</x:f>
        <x:v>SPECIFIED / UNOBSERVED</x:v>
      </x:c>
    </x:row>
    <x:row r="18">
      <x:c r="A18" s="39" t="str">
        <x:v>CT-C-B-RIGHT-4</x:v>
      </x:c>
      <x:c r="B18" s="39" t="str">
        <x:v>CT-C-B</x:v>
      </x:c>
      <x:c r="C18" s="56" t="str">
        <x:v>Privacy and minimization</x:v>
      </x:c>
      <x:c r="D18" s="56" t="str">
        <x:v>Local operation does not require a national identity or location feed.</x:v>
      </x:c>
      <x:c r="E18" s="56" t="str">
        <x:v>5 separated civil zones with local records and physical access</x:v>
      </x:c>
      <x:c r="F18" s="39" t="n">
        <x:v>1</x:v>
      </x:c>
      <x:c r="G18" s="39" t="n">
        <x:v>1</x:v>
      </x:c>
      <x:c r="H18" s="39" t="n">
        <x:v>1</x:v>
      </x:c>
      <x:c r="I18" s="39" t="str">
        <x:f>IF(AND(F18=1,G18=1,H18=1),"SPECIFIED / UNOBSERVED","FAIL")</x:f>
        <x:v>SPECIFIED / UNOBSERVED</x:v>
      </x:c>
    </x:row>
    <x:row r="19">
      <x:c r="A19" s="39" t="str">
        <x:v>CT-C-B-RIGHT-5</x:v>
      </x:c>
      <x:c r="B19" s="39" t="str">
        <x:v>CT-C-B</x:v>
      </x:c>
      <x:c r="C19" s="56" t="str">
        <x:v>Accessible egress and refuge</x:v>
      </x:c>
      <x:c r="D19" s="56" t="str">
        <x:v>A failed cell retains reachable refuge, assisted egress and a manual stop.</x:v>
      </x:c>
      <x:c r="E19" s="56" t="str">
        <x:v>5 separated civil zones with local records and physical access</x:v>
      </x:c>
      <x:c r="F19" s="39" t="n">
        <x:v>1</x:v>
      </x:c>
      <x:c r="G19" s="39" t="n">
        <x:v>1</x:v>
      </x:c>
      <x:c r="H19" s="39" t="n">
        <x:v>1</x:v>
      </x:c>
      <x:c r="I19" s="39" t="str">
        <x:f>IF(AND(F19=1,G19=1,H19=1),"SPECIFIED / UNOBSERVED","FAIL")</x:f>
        <x:v>SPECIFIED / UNOBSERVED</x:v>
      </x:c>
    </x:row>
    <x:row r="20">
      <x:c r="A20" s="39" t="str">
        <x:v>CT-C-B-RIGHT-6</x:v>
      </x:c>
      <x:c r="B20" s="39" t="str">
        <x:v>CT-C-B</x:v>
      </x:c>
      <x:c r="C20" s="56" t="str">
        <x:v>Environmental custody</x:v>
      </x:c>
      <x:c r="D20" s="56" t="str">
        <x:v>Contaminated water, air, soil, brine and process residuals remain attributable.</x:v>
      </x:c>
      <x:c r="E20" s="56" t="str">
        <x:v>5 separated civil zones with local records and physical access</x:v>
      </x:c>
      <x:c r="F20" s="39" t="n">
        <x:v>1</x:v>
      </x:c>
      <x:c r="G20" s="39" t="n">
        <x:v>1</x:v>
      </x:c>
      <x:c r="H20" s="39" t="n">
        <x:v>1</x:v>
      </x:c>
      <x:c r="I20" s="39" t="str">
        <x:f>IF(AND(F20=1,G20=1,H20=1),"SPECIFIED / UNOBSERVED","FAIL")</x:f>
        <x:v>SPECIFIED / UNOBSERVED</x:v>
      </x:c>
    </x:row>
    <x:row r="21">
      <x:c r="A21" s="39" t="str">
        <x:v>CT-C-B-RIGHT-7</x:v>
      </x:c>
      <x:c r="B21" s="39" t="str">
        <x:v>CT-C-B</x:v>
      </x:c>
      <x:c r="C21" s="56" t="str">
        <x:v>Local manual authority</x:v>
      </x:c>
      <x:c r="D21" s="56" t="str">
        <x:v>A competent local operator can stop the affected cell without central permission.</x:v>
      </x:c>
      <x:c r="E21" s="56" t="str">
        <x:v>5 separated civil zones with local records and physical access</x:v>
      </x:c>
      <x:c r="F21" s="39" t="n">
        <x:v>1</x:v>
      </x:c>
      <x:c r="G21" s="39" t="n">
        <x:v>1</x:v>
      </x:c>
      <x:c r="H21" s="39" t="n">
        <x:v>1</x:v>
      </x:c>
      <x:c r="I21" s="39" t="str">
        <x:f>IF(AND(F21=1,G21=1,H21=1),"SPECIFIED / UNOBSERVED","FAIL")</x:f>
        <x:v>SPECIFIED / UNOBSERVED</x:v>
      </x:c>
    </x:row>
    <x:row r="22">
      <x:c r="A22" s="39" t="str">
        <x:v>CT-C-B-RIGHT-8</x:v>
      </x:c>
      <x:c r="B22" s="39" t="str">
        <x:v>CT-C-B</x:v>
      </x:c>
      <x:c r="C22" s="56" t="str">
        <x:v>Remedy and audit</x:v>
      </x:c>
      <x:c r="D22" s="56" t="str">
        <x:v>The affected person can obtain the event record, decision basis and correction route.</x:v>
      </x:c>
      <x:c r="E22" s="56" t="str">
        <x:v>5 separated civil zones with local records and physical access</x:v>
      </x:c>
      <x:c r="F22" s="39" t="n">
        <x:v>1</x:v>
      </x:c>
      <x:c r="G22" s="39" t="n">
        <x:v>1</x:v>
      </x:c>
      <x:c r="H22" s="39" t="n">
        <x:v>1</x:v>
      </x:c>
      <x:c r="I22" s="39" t="str">
        <x:f>IF(AND(F22=1,G22=1,H22=1),"SPECIFIED / UNOBSERVED","FAIL")</x:f>
        <x:v>SPECIFIED / UNOBSERVED</x:v>
      </x:c>
    </x:row>
    <x:row r="23">
      <x:c r="A23" s="39" t="str">
        <x:v>HC-A-C-RIGHT-1</x:v>
      </x:c>
      <x:c r="B23" s="39" t="str">
        <x:v>HC-A-C</x:v>
      </x:c>
      <x:c r="C23" s="56" t="str">
        <x:v>Equal service</x:v>
      </x:c>
      <x:c r="D23" s="56" t="str">
        <x:v>Service loss cannot delete protected populations or raise an unregistered triage rule.</x:v>
      </x:c>
      <x:c r="E23" s="56" t="str">
        <x:v>5 separated civil zones with local records and physical access</x:v>
      </x:c>
      <x:c r="F23" s="39" t="n">
        <x:v>1</x:v>
      </x:c>
      <x:c r="G23" s="39" t="n">
        <x:v>1</x:v>
      </x:c>
      <x:c r="H23" s="39" t="n">
        <x:v>1</x:v>
      </x:c>
      <x:c r="I23" s="39" t="str">
        <x:f>IF(AND(F23=1,G23=1,H23=1),"SPECIFIED / UNOBSERVED","FAIL")</x:f>
        <x:v>SPECIFIED / UNOBSERVED</x:v>
      </x:c>
    </x:row>
    <x:row r="24">
      <x:c r="A24" s="39" t="str">
        <x:v>HC-A-C-RIGHT-2</x:v>
      </x:c>
      <x:c r="B24" s="39" t="str">
        <x:v>HC-A-C</x:v>
      </x:c>
      <x:c r="C24" s="56" t="str">
        <x:v>Notice and consent</x:v>
      </x:c>
      <x:c r="D24" s="56" t="str">
        <x:v>Local, accessible notice precedes non-emergency movement, entry or exposure.</x:v>
      </x:c>
      <x:c r="E24" s="56" t="str">
        <x:v>5 separated civil zones with local records and physical access</x:v>
      </x:c>
      <x:c r="F24" s="39" t="n">
        <x:v>1</x:v>
      </x:c>
      <x:c r="G24" s="39" t="n">
        <x:v>1</x:v>
      </x:c>
      <x:c r="H24" s="39" t="n">
        <x:v>1</x:v>
      </x:c>
      <x:c r="I24" s="39" t="str">
        <x:f>IF(AND(F24=1,G24=1,H24=1),"SPECIFIED / UNOBSERVED","FAIL")</x:f>
        <x:v>SPECIFIED / UNOBSERVED</x:v>
      </x:c>
    </x:row>
    <x:row r="25">
      <x:c r="A25" s="39" t="str">
        <x:v>HC-A-C-RIGHT-3</x:v>
      </x:c>
      <x:c r="B25" s="39" t="str">
        <x:v>HC-A-C</x:v>
      </x:c>
      <x:c r="C25" s="56" t="str">
        <x:v>Identity and relationships</x:v>
      </x:c>
      <x:c r="D25" s="56" t="str">
        <x:v>Patient, household, worker and authorized-support relationships survive disconnection.</x:v>
      </x:c>
      <x:c r="E25" s="56" t="str">
        <x:v>5 separated civil zones with local records and physical access</x:v>
      </x:c>
      <x:c r="F25" s="39" t="n">
        <x:v>1</x:v>
      </x:c>
      <x:c r="G25" s="39" t="n">
        <x:v>1</x:v>
      </x:c>
      <x:c r="H25" s="39" t="n">
        <x:v>1</x:v>
      </x:c>
      <x:c r="I25" s="39" t="str">
        <x:f>IF(AND(F25=1,G25=1,H25=1),"SPECIFIED / UNOBSERVED","FAIL")</x:f>
        <x:v>SPECIFIED / UNOBSERVED</x:v>
      </x:c>
    </x:row>
    <x:row r="26">
      <x:c r="A26" s="39" t="str">
        <x:v>HC-A-C-RIGHT-4</x:v>
      </x:c>
      <x:c r="B26" s="39" t="str">
        <x:v>HC-A-C</x:v>
      </x:c>
      <x:c r="C26" s="56" t="str">
        <x:v>Privacy and minimization</x:v>
      </x:c>
      <x:c r="D26" s="56" t="str">
        <x:v>Local operation does not require a national identity or location feed.</x:v>
      </x:c>
      <x:c r="E26" s="56" t="str">
        <x:v>5 separated civil zones with local records and physical access</x:v>
      </x:c>
      <x:c r="F26" s="39" t="n">
        <x:v>1</x:v>
      </x:c>
      <x:c r="G26" s="39" t="n">
        <x:v>1</x:v>
      </x:c>
      <x:c r="H26" s="39" t="n">
        <x:v>1</x:v>
      </x:c>
      <x:c r="I26" s="39" t="str">
        <x:f>IF(AND(F26=1,G26=1,H26=1),"SPECIFIED / UNOBSERVED","FAIL")</x:f>
        <x:v>SPECIFIED / UNOBSERVED</x:v>
      </x:c>
    </x:row>
    <x:row r="27">
      <x:c r="A27" s="39" t="str">
        <x:v>HC-A-C-RIGHT-5</x:v>
      </x:c>
      <x:c r="B27" s="39" t="str">
        <x:v>HC-A-C</x:v>
      </x:c>
      <x:c r="C27" s="56" t="str">
        <x:v>Accessible egress and refuge</x:v>
      </x:c>
      <x:c r="D27" s="56" t="str">
        <x:v>A failed cell retains reachable refuge, assisted egress and a manual stop.</x:v>
      </x:c>
      <x:c r="E27" s="56" t="str">
        <x:v>5 separated civil zones with local records and physical access</x:v>
      </x:c>
      <x:c r="F27" s="39" t="n">
        <x:v>1</x:v>
      </x:c>
      <x:c r="G27" s="39" t="n">
        <x:v>1</x:v>
      </x:c>
      <x:c r="H27" s="39" t="n">
        <x:v>1</x:v>
      </x:c>
      <x:c r="I27" s="39" t="str">
        <x:f>IF(AND(F27=1,G27=1,H27=1),"SPECIFIED / UNOBSERVED","FAIL")</x:f>
        <x:v>SPECIFIED / UNOBSERVED</x:v>
      </x:c>
    </x:row>
    <x:row r="28">
      <x:c r="A28" s="39" t="str">
        <x:v>HC-A-C-RIGHT-6</x:v>
      </x:c>
      <x:c r="B28" s="39" t="str">
        <x:v>HC-A-C</x:v>
      </x:c>
      <x:c r="C28" s="56" t="str">
        <x:v>Environmental custody</x:v>
      </x:c>
      <x:c r="D28" s="56" t="str">
        <x:v>Contaminated water, air, soil, brine and process residuals remain attributable.</x:v>
      </x:c>
      <x:c r="E28" s="56" t="str">
        <x:v>5 separated civil zones with local records and physical access</x:v>
      </x:c>
      <x:c r="F28" s="39" t="n">
        <x:v>1</x:v>
      </x:c>
      <x:c r="G28" s="39" t="n">
        <x:v>1</x:v>
      </x:c>
      <x:c r="H28" s="39" t="n">
        <x:v>1</x:v>
      </x:c>
      <x:c r="I28" s="39" t="str">
        <x:f>IF(AND(F28=1,G28=1,H28=1),"SPECIFIED / UNOBSERVED","FAIL")</x:f>
        <x:v>SPECIFIED / UNOBSERVED</x:v>
      </x:c>
    </x:row>
    <x:row r="29">
      <x:c r="A29" s="39" t="str">
        <x:v>HC-A-C-RIGHT-7</x:v>
      </x:c>
      <x:c r="B29" s="39" t="str">
        <x:v>HC-A-C</x:v>
      </x:c>
      <x:c r="C29" s="56" t="str">
        <x:v>Local manual authority</x:v>
      </x:c>
      <x:c r="D29" s="56" t="str">
        <x:v>A competent local operator can stop the affected cell without central permission.</x:v>
      </x:c>
      <x:c r="E29" s="56" t="str">
        <x:v>5 separated civil zones with local records and physical access</x:v>
      </x:c>
      <x:c r="F29" s="39" t="n">
        <x:v>1</x:v>
      </x:c>
      <x:c r="G29" s="39" t="n">
        <x:v>1</x:v>
      </x:c>
      <x:c r="H29" s="39" t="n">
        <x:v>1</x:v>
      </x:c>
      <x:c r="I29" s="39" t="str">
        <x:f>IF(AND(F29=1,G29=1,H29=1),"SPECIFIED / UNOBSERVED","FAIL")</x:f>
        <x:v>SPECIFIED / UNOBSERVED</x:v>
      </x:c>
    </x:row>
    <x:row r="30">
      <x:c r="A30" s="39" t="str">
        <x:v>HC-A-C-RIGHT-8</x:v>
      </x:c>
      <x:c r="B30" s="39" t="str">
        <x:v>HC-A-C</x:v>
      </x:c>
      <x:c r="C30" s="56" t="str">
        <x:v>Remedy and audit</x:v>
      </x:c>
      <x:c r="D30" s="56" t="str">
        <x:v>The affected person can obtain the event record, decision basis and correction route.</x:v>
      </x:c>
      <x:c r="E30" s="56" t="str">
        <x:v>5 separated civil zones with local records and physical access</x:v>
      </x:c>
      <x:c r="F30" s="39" t="n">
        <x:v>1</x:v>
      </x:c>
      <x:c r="G30" s="39" t="n">
        <x:v>1</x:v>
      </x:c>
      <x:c r="H30" s="39" t="n">
        <x:v>1</x:v>
      </x:c>
      <x:c r="I30" s="39" t="str">
        <x:f>IF(AND(F30=1,G30=1,H30=1),"SPECIFIED / UNOBSERVED","FAIL")</x:f>
        <x:v>SPECIFIED / UNOBSERVED</x:v>
      </x:c>
    </x:row>
    <x:row r="31">
      <x:c r="A31" s="39" t="str">
        <x:v>LF-B-A-RIGHT-1</x:v>
      </x:c>
      <x:c r="B31" s="39" t="str">
        <x:v>LF-B-A</x:v>
      </x:c>
      <x:c r="C31" s="56" t="str">
        <x:v>Equal service</x:v>
      </x:c>
      <x:c r="D31" s="56" t="str">
        <x:v>Service loss cannot delete protected populations or raise an unregistered triage rule.</x:v>
      </x:c>
      <x:c r="E31" s="56" t="str">
        <x:v>4 separated civil zones with local records and physical access</x:v>
      </x:c>
      <x:c r="F31" s="39" t="n">
        <x:v>1</x:v>
      </x:c>
      <x:c r="G31" s="39" t="n">
        <x:v>1</x:v>
      </x:c>
      <x:c r="H31" s="39" t="n">
        <x:v>1</x:v>
      </x:c>
      <x:c r="I31" s="39" t="str">
        <x:f>IF(AND(F31=1,G31=1,H31=1),"SPECIFIED / UNOBSERVED","FAIL")</x:f>
        <x:v>SPECIFIED / UNOBSERVED</x:v>
      </x:c>
    </x:row>
    <x:row r="32">
      <x:c r="A32" s="39" t="str">
        <x:v>LF-B-A-RIGHT-2</x:v>
      </x:c>
      <x:c r="B32" s="39" t="str">
        <x:v>LF-B-A</x:v>
      </x:c>
      <x:c r="C32" s="56" t="str">
        <x:v>Notice and consent</x:v>
      </x:c>
      <x:c r="D32" s="56" t="str">
        <x:v>Local, accessible notice precedes non-emergency movement, entry or exposure.</x:v>
      </x:c>
      <x:c r="E32" s="56" t="str">
        <x:v>4 separated civil zones with local records and physical access</x:v>
      </x:c>
      <x:c r="F32" s="39" t="n">
        <x:v>1</x:v>
      </x:c>
      <x:c r="G32" s="39" t="n">
        <x:v>1</x:v>
      </x:c>
      <x:c r="H32" s="39" t="n">
        <x:v>1</x:v>
      </x:c>
      <x:c r="I32" s="39" t="str">
        <x:f>IF(AND(F32=1,G32=1,H32=1),"SPECIFIED / UNOBSERVED","FAIL")</x:f>
        <x:v>SPECIFIED / UNOBSERVED</x:v>
      </x:c>
    </x:row>
    <x:row r="33">
      <x:c r="A33" s="39" t="str">
        <x:v>LF-B-A-RIGHT-3</x:v>
      </x:c>
      <x:c r="B33" s="39" t="str">
        <x:v>LF-B-A</x:v>
      </x:c>
      <x:c r="C33" s="56" t="str">
        <x:v>Identity and relationships</x:v>
      </x:c>
      <x:c r="D33" s="56" t="str">
        <x:v>Patient, household, worker and authorized-support relationships survive disconnection.</x:v>
      </x:c>
      <x:c r="E33" s="56" t="str">
        <x:v>4 separated civil zones with local records and physical access</x:v>
      </x:c>
      <x:c r="F33" s="39" t="n">
        <x:v>1</x:v>
      </x:c>
      <x:c r="G33" s="39" t="n">
        <x:v>1</x:v>
      </x:c>
      <x:c r="H33" s="39" t="n">
        <x:v>1</x:v>
      </x:c>
      <x:c r="I33" s="39" t="str">
        <x:f>IF(AND(F33=1,G33=1,H33=1),"SPECIFIED / UNOBSERVED","FAIL")</x:f>
        <x:v>SPECIFIED / UNOBSERVED</x:v>
      </x:c>
    </x:row>
    <x:row r="34">
      <x:c r="A34" s="39" t="str">
        <x:v>LF-B-A-RIGHT-4</x:v>
      </x:c>
      <x:c r="B34" s="39" t="str">
        <x:v>LF-B-A</x:v>
      </x:c>
      <x:c r="C34" s="56" t="str">
        <x:v>Privacy and minimization</x:v>
      </x:c>
      <x:c r="D34" s="56" t="str">
        <x:v>Local operation does not require a national identity or location feed.</x:v>
      </x:c>
      <x:c r="E34" s="56" t="str">
        <x:v>4 separated civil zones with local records and physical access</x:v>
      </x:c>
      <x:c r="F34" s="39" t="n">
        <x:v>1</x:v>
      </x:c>
      <x:c r="G34" s="39" t="n">
        <x:v>1</x:v>
      </x:c>
      <x:c r="H34" s="39" t="n">
        <x:v>1</x:v>
      </x:c>
      <x:c r="I34" s="39" t="str">
        <x:f>IF(AND(F34=1,G34=1,H34=1),"SPECIFIED / UNOBSERVED","FAIL")</x:f>
        <x:v>SPECIFIED / UNOBSERVED</x:v>
      </x:c>
    </x:row>
    <x:row r="35">
      <x:c r="A35" s="39" t="str">
        <x:v>LF-B-A-RIGHT-5</x:v>
      </x:c>
      <x:c r="B35" s="39" t="str">
        <x:v>LF-B-A</x:v>
      </x:c>
      <x:c r="C35" s="56" t="str">
        <x:v>Accessible egress and refuge</x:v>
      </x:c>
      <x:c r="D35" s="56" t="str">
        <x:v>A failed cell retains reachable refuge, assisted egress and a manual stop.</x:v>
      </x:c>
      <x:c r="E35" s="56" t="str">
        <x:v>4 separated civil zones with local records and physical access</x:v>
      </x:c>
      <x:c r="F35" s="39" t="n">
        <x:v>1</x:v>
      </x:c>
      <x:c r="G35" s="39" t="n">
        <x:v>1</x:v>
      </x:c>
      <x:c r="H35" s="39" t="n">
        <x:v>1</x:v>
      </x:c>
      <x:c r="I35" s="39" t="str">
        <x:f>IF(AND(F35=1,G35=1,H35=1),"SPECIFIED / UNOBSERVED","FAIL")</x:f>
        <x:v>SPECIFIED / UNOBSERVED</x:v>
      </x:c>
    </x:row>
    <x:row r="36">
      <x:c r="A36" s="39" t="str">
        <x:v>LF-B-A-RIGHT-6</x:v>
      </x:c>
      <x:c r="B36" s="39" t="str">
        <x:v>LF-B-A</x:v>
      </x:c>
      <x:c r="C36" s="56" t="str">
        <x:v>Environmental custody</x:v>
      </x:c>
      <x:c r="D36" s="56" t="str">
        <x:v>Contaminated water, air, soil, brine and process residuals remain attributable.</x:v>
      </x:c>
      <x:c r="E36" s="56" t="str">
        <x:v>4 separated civil zones with local records and physical access</x:v>
      </x:c>
      <x:c r="F36" s="39" t="n">
        <x:v>1</x:v>
      </x:c>
      <x:c r="G36" s="39" t="n">
        <x:v>1</x:v>
      </x:c>
      <x:c r="H36" s="39" t="n">
        <x:v>1</x:v>
      </x:c>
      <x:c r="I36" s="39" t="str">
        <x:f>IF(AND(F36=1,G36=1,H36=1),"SPECIFIED / UNOBSERVED","FAIL")</x:f>
        <x:v>SPECIFIED / UNOBSERVED</x:v>
      </x:c>
    </x:row>
    <x:row r="37">
      <x:c r="A37" s="39" t="str">
        <x:v>LF-B-A-RIGHT-7</x:v>
      </x:c>
      <x:c r="B37" s="39" t="str">
        <x:v>LF-B-A</x:v>
      </x:c>
      <x:c r="C37" s="56" t="str">
        <x:v>Local manual authority</x:v>
      </x:c>
      <x:c r="D37" s="56" t="str">
        <x:v>A competent local operator can stop the affected cell without central permission.</x:v>
      </x:c>
      <x:c r="E37" s="56" t="str">
        <x:v>4 separated civil zones with local records and physical access</x:v>
      </x:c>
      <x:c r="F37" s="39" t="n">
        <x:v>1</x:v>
      </x:c>
      <x:c r="G37" s="39" t="n">
        <x:v>1</x:v>
      </x:c>
      <x:c r="H37" s="39" t="n">
        <x:v>1</x:v>
      </x:c>
      <x:c r="I37" s="39" t="str">
        <x:f>IF(AND(F37=1,G37=1,H37=1),"SPECIFIED / UNOBSERVED","FAIL")</x:f>
        <x:v>SPECIFIED / UNOBSERVED</x:v>
      </x:c>
    </x:row>
    <x:row r="38">
      <x:c r="A38" s="39" t="str">
        <x:v>LF-B-A-RIGHT-8</x:v>
      </x:c>
      <x:c r="B38" s="39" t="str">
        <x:v>LF-B-A</x:v>
      </x:c>
      <x:c r="C38" s="56" t="str">
        <x:v>Remedy and audit</x:v>
      </x:c>
      <x:c r="D38" s="56" t="str">
        <x:v>The affected person can obtain the event record, decision basis and correction route.</x:v>
      </x:c>
      <x:c r="E38" s="56" t="str">
        <x:v>4 separated civil zones with local records and physical access</x:v>
      </x:c>
      <x:c r="F38" s="39" t="n">
        <x:v>1</x:v>
      </x:c>
      <x:c r="G38" s="39" t="n">
        <x:v>1</x:v>
      </x:c>
      <x:c r="H38" s="39" t="n">
        <x:v>1</x:v>
      </x:c>
      <x:c r="I38" s="39" t="str">
        <x:f>IF(AND(F38=1,G38=1,H38=1),"SPECIFIED / UNOBSERVED","FAIL")</x:f>
        <x:v>SPECIFIED / UNOBSERVED</x:v>
      </x:c>
    </x:row>
    <x:row r="39">
      <x:c r="A39" s="39" t="str">
        <x:v>HU-A-B-RIGHT-1</x:v>
      </x:c>
      <x:c r="B39" s="39" t="str">
        <x:v>HU-A-B</x:v>
      </x:c>
      <x:c r="C39" s="56" t="str">
        <x:v>Equal service</x:v>
      </x:c>
      <x:c r="D39" s="56" t="str">
        <x:v>Service loss cannot delete protected populations or raise an unregistered triage rule.</x:v>
      </x:c>
      <x:c r="E39" s="56" t="str">
        <x:v>8 separated civil zones with local records and physical access</x:v>
      </x:c>
      <x:c r="F39" s="39" t="n">
        <x:v>1</x:v>
      </x:c>
      <x:c r="G39" s="39" t="n">
        <x:v>1</x:v>
      </x:c>
      <x:c r="H39" s="39" t="n">
        <x:v>1</x:v>
      </x:c>
      <x:c r="I39" s="39" t="str">
        <x:f>IF(AND(F39=1,G39=1,H39=1),"SPECIFIED / UNOBSERVED","FAIL")</x:f>
        <x:v>SPECIFIED / UNOBSERVED</x:v>
      </x:c>
    </x:row>
    <x:row r="40">
      <x:c r="A40" s="39" t="str">
        <x:v>HU-A-B-RIGHT-2</x:v>
      </x:c>
      <x:c r="B40" s="39" t="str">
        <x:v>HU-A-B</x:v>
      </x:c>
      <x:c r="C40" s="56" t="str">
        <x:v>Notice and consent</x:v>
      </x:c>
      <x:c r="D40" s="56" t="str">
        <x:v>Local, accessible notice precedes non-emergency movement, entry or exposure.</x:v>
      </x:c>
      <x:c r="E40" s="56" t="str">
        <x:v>8 separated civil zones with local records and physical access</x:v>
      </x:c>
      <x:c r="F40" s="39" t="n">
        <x:v>1</x:v>
      </x:c>
      <x:c r="G40" s="39" t="n">
        <x:v>1</x:v>
      </x:c>
      <x:c r="H40" s="39" t="n">
        <x:v>1</x:v>
      </x:c>
      <x:c r="I40" s="39" t="str">
        <x:f>IF(AND(F40=1,G40=1,H40=1),"SPECIFIED / UNOBSERVED","FAIL")</x:f>
        <x:v>SPECIFIED / UNOBSERVED</x:v>
      </x:c>
    </x:row>
    <x:row r="41">
      <x:c r="A41" s="39" t="str">
        <x:v>HU-A-B-RIGHT-3</x:v>
      </x:c>
      <x:c r="B41" s="39" t="str">
        <x:v>HU-A-B</x:v>
      </x:c>
      <x:c r="C41" s="56" t="str">
        <x:v>Identity and relationships</x:v>
      </x:c>
      <x:c r="D41" s="56" t="str">
        <x:v>Patient, household, worker and authorized-support relationships survive disconnection.</x:v>
      </x:c>
      <x:c r="E41" s="56" t="str">
        <x:v>8 separated civil zones with local records and physical access</x:v>
      </x:c>
      <x:c r="F41" s="39" t="n">
        <x:v>1</x:v>
      </x:c>
      <x:c r="G41" s="39" t="n">
        <x:v>1</x:v>
      </x:c>
      <x:c r="H41" s="39" t="n">
        <x:v>1</x:v>
      </x:c>
      <x:c r="I41" s="39" t="str">
        <x:f>IF(AND(F41=1,G41=1,H41=1),"SPECIFIED / UNOBSERVED","FAIL")</x:f>
        <x:v>SPECIFIED / UNOBSERVED</x:v>
      </x:c>
    </x:row>
    <x:row r="42">
      <x:c r="A42" s="39" t="str">
        <x:v>HU-A-B-RIGHT-4</x:v>
      </x:c>
      <x:c r="B42" s="39" t="str">
        <x:v>HU-A-B</x:v>
      </x:c>
      <x:c r="C42" s="56" t="str">
        <x:v>Privacy and minimization</x:v>
      </x:c>
      <x:c r="D42" s="56" t="str">
        <x:v>Local operation does not require a national identity or location feed.</x:v>
      </x:c>
      <x:c r="E42" s="56" t="str">
        <x:v>8 separated civil zones with local records and physical access</x:v>
      </x:c>
      <x:c r="F42" s="39" t="n">
        <x:v>1</x:v>
      </x:c>
      <x:c r="G42" s="39" t="n">
        <x:v>1</x:v>
      </x:c>
      <x:c r="H42" s="39" t="n">
        <x:v>1</x:v>
      </x:c>
      <x:c r="I42" s="39" t="str">
        <x:f>IF(AND(F42=1,G42=1,H42=1),"SPECIFIED / UNOBSERVED","FAIL")</x:f>
        <x:v>SPECIFIED / UNOBSERVED</x:v>
      </x:c>
    </x:row>
    <x:row r="43">
      <x:c r="A43" s="39" t="str">
        <x:v>HU-A-B-RIGHT-5</x:v>
      </x:c>
      <x:c r="B43" s="39" t="str">
        <x:v>HU-A-B</x:v>
      </x:c>
      <x:c r="C43" s="56" t="str">
        <x:v>Accessible egress and refuge</x:v>
      </x:c>
      <x:c r="D43" s="56" t="str">
        <x:v>A failed cell retains reachable refuge, assisted egress and a manual stop.</x:v>
      </x:c>
      <x:c r="E43" s="56" t="str">
        <x:v>8 separated civil zones with local records and physical access</x:v>
      </x:c>
      <x:c r="F43" s="39" t="n">
        <x:v>1</x:v>
      </x:c>
      <x:c r="G43" s="39" t="n">
        <x:v>1</x:v>
      </x:c>
      <x:c r="H43" s="39" t="n">
        <x:v>1</x:v>
      </x:c>
      <x:c r="I43" s="39" t="str">
        <x:f>IF(AND(F43=1,G43=1,H43=1),"SPECIFIED / UNOBSERVED","FAIL")</x:f>
        <x:v>SPECIFIED / UNOBSERVED</x:v>
      </x:c>
    </x:row>
    <x:row r="44">
      <x:c r="A44" s="39" t="str">
        <x:v>HU-A-B-RIGHT-6</x:v>
      </x:c>
      <x:c r="B44" s="39" t="str">
        <x:v>HU-A-B</x:v>
      </x:c>
      <x:c r="C44" s="56" t="str">
        <x:v>Environmental custody</x:v>
      </x:c>
      <x:c r="D44" s="56" t="str">
        <x:v>Contaminated water, air, soil, brine and process residuals remain attributable.</x:v>
      </x:c>
      <x:c r="E44" s="56" t="str">
        <x:v>8 separated civil zones with local records and physical access</x:v>
      </x:c>
      <x:c r="F44" s="39" t="n">
        <x:v>1</x:v>
      </x:c>
      <x:c r="G44" s="39" t="n">
        <x:v>1</x:v>
      </x:c>
      <x:c r="H44" s="39" t="n">
        <x:v>1</x:v>
      </x:c>
      <x:c r="I44" s="39" t="str">
        <x:f>IF(AND(F44=1,G44=1,H44=1),"SPECIFIED / UNOBSERVED","FAIL")</x:f>
        <x:v>SPECIFIED / UNOBSERVED</x:v>
      </x:c>
    </x:row>
    <x:row r="45">
      <x:c r="A45" s="39" t="str">
        <x:v>HU-A-B-RIGHT-7</x:v>
      </x:c>
      <x:c r="B45" s="39" t="str">
        <x:v>HU-A-B</x:v>
      </x:c>
      <x:c r="C45" s="56" t="str">
        <x:v>Local manual authority</x:v>
      </x:c>
      <x:c r="D45" s="56" t="str">
        <x:v>A competent local operator can stop the affected cell without central permission.</x:v>
      </x:c>
      <x:c r="E45" s="56" t="str">
        <x:v>8 separated civil zones with local records and physical access</x:v>
      </x:c>
      <x:c r="F45" s="39" t="n">
        <x:v>1</x:v>
      </x:c>
      <x:c r="G45" s="39" t="n">
        <x:v>1</x:v>
      </x:c>
      <x:c r="H45" s="39" t="n">
        <x:v>1</x:v>
      </x:c>
      <x:c r="I45" s="39" t="str">
        <x:f>IF(AND(F45=1,G45=1,H45=1),"SPECIFIED / UNOBSERVED","FAIL")</x:f>
        <x:v>SPECIFIED / UNOBSERVED</x:v>
      </x:c>
    </x:row>
    <x:row r="46">
      <x:c r="A46" s="39" t="str">
        <x:v>HU-A-B-RIGHT-8</x:v>
      </x:c>
      <x:c r="B46" s="39" t="str">
        <x:v>HU-A-B</x:v>
      </x:c>
      <x:c r="C46" s="56" t="str">
        <x:v>Remedy and audit</x:v>
      </x:c>
      <x:c r="D46" s="56" t="str">
        <x:v>The affected person can obtain the event record, decision basis and correction route.</x:v>
      </x:c>
      <x:c r="E46" s="56" t="str">
        <x:v>8 separated civil zones with local records and physical access</x:v>
      </x:c>
      <x:c r="F46" s="39" t="n">
        <x:v>1</x:v>
      </x:c>
      <x:c r="G46" s="39" t="n">
        <x:v>1</x:v>
      </x:c>
      <x:c r="H46" s="39" t="n">
        <x:v>1</x:v>
      </x:c>
      <x:c r="I46" s="39" t="str">
        <x:f>IF(AND(F46=1,G46=1,H46=1),"SPECIFIED / UNOBSERVED","FAIL")</x:f>
        <x:v>SPECIFIED / UNOBSERVED</x:v>
      </x:c>
    </x:row>
    <x:row r="47">
      <x:c r="A47" s="39" t="str">
        <x:v>RT-B-C-RIGHT-1</x:v>
      </x:c>
      <x:c r="B47" s="39" t="str">
        <x:v>RT-B-C</x:v>
      </x:c>
      <x:c r="C47" s="56" t="str">
        <x:v>Equal service</x:v>
      </x:c>
      <x:c r="D47" s="56" t="str">
        <x:v>Service loss cannot delete protected populations or raise an unregistered triage rule.</x:v>
      </x:c>
      <x:c r="E47" s="56" t="str">
        <x:v>5 separated civil zones with local records and physical access</x:v>
      </x:c>
      <x:c r="F47" s="39" t="n">
        <x:v>1</x:v>
      </x:c>
      <x:c r="G47" s="39" t="n">
        <x:v>1</x:v>
      </x:c>
      <x:c r="H47" s="39" t="n">
        <x:v>1</x:v>
      </x:c>
      <x:c r="I47" s="39" t="str">
        <x:f>IF(AND(F47=1,G47=1,H47=1),"SPECIFIED / UNOBSERVED","FAIL")</x:f>
        <x:v>SPECIFIED / UNOBSERVED</x:v>
      </x:c>
    </x:row>
    <x:row r="48">
      <x:c r="A48" s="39" t="str">
        <x:v>RT-B-C-RIGHT-2</x:v>
      </x:c>
      <x:c r="B48" s="39" t="str">
        <x:v>RT-B-C</x:v>
      </x:c>
      <x:c r="C48" s="56" t="str">
        <x:v>Notice and consent</x:v>
      </x:c>
      <x:c r="D48" s="56" t="str">
        <x:v>Local, accessible notice precedes non-emergency movement, entry or exposure.</x:v>
      </x:c>
      <x:c r="E48" s="56" t="str">
        <x:v>5 separated civil zones with local records and physical access</x:v>
      </x:c>
      <x:c r="F48" s="39" t="n">
        <x:v>1</x:v>
      </x:c>
      <x:c r="G48" s="39" t="n">
        <x:v>1</x:v>
      </x:c>
      <x:c r="H48" s="39" t="n">
        <x:v>1</x:v>
      </x:c>
      <x:c r="I48" s="39" t="str">
        <x:f>IF(AND(F48=1,G48=1,H48=1),"SPECIFIED / UNOBSERVED","FAIL")</x:f>
        <x:v>SPECIFIED / UNOBSERVED</x:v>
      </x:c>
    </x:row>
    <x:row r="49">
      <x:c r="A49" s="39" t="str">
        <x:v>RT-B-C-RIGHT-3</x:v>
      </x:c>
      <x:c r="B49" s="39" t="str">
        <x:v>RT-B-C</x:v>
      </x:c>
      <x:c r="C49" s="56" t="str">
        <x:v>Identity and relationships</x:v>
      </x:c>
      <x:c r="D49" s="56" t="str">
        <x:v>Patient, household, worker and authorized-support relationships survive disconnection.</x:v>
      </x:c>
      <x:c r="E49" s="56" t="str">
        <x:v>5 separated civil zones with local records and physical access</x:v>
      </x:c>
      <x:c r="F49" s="39" t="n">
        <x:v>1</x:v>
      </x:c>
      <x:c r="G49" s="39" t="n">
        <x:v>1</x:v>
      </x:c>
      <x:c r="H49" s="39" t="n">
        <x:v>1</x:v>
      </x:c>
      <x:c r="I49" s="39" t="str">
        <x:f>IF(AND(F49=1,G49=1,H49=1),"SPECIFIED / UNOBSERVED","FAIL")</x:f>
        <x:v>SPECIFIED / UNOBSERVED</x:v>
      </x:c>
    </x:row>
    <x:row r="50">
      <x:c r="A50" s="39" t="str">
        <x:v>RT-B-C-RIGHT-4</x:v>
      </x:c>
      <x:c r="B50" s="39" t="str">
        <x:v>RT-B-C</x:v>
      </x:c>
      <x:c r="C50" s="56" t="str">
        <x:v>Privacy and minimization</x:v>
      </x:c>
      <x:c r="D50" s="56" t="str">
        <x:v>Local operation does not require a national identity or location feed.</x:v>
      </x:c>
      <x:c r="E50" s="56" t="str">
        <x:v>5 separated civil zones with local records and physical access</x:v>
      </x:c>
      <x:c r="F50" s="39" t="n">
        <x:v>1</x:v>
      </x:c>
      <x:c r="G50" s="39" t="n">
        <x:v>1</x:v>
      </x:c>
      <x:c r="H50" s="39" t="n">
        <x:v>1</x:v>
      </x:c>
      <x:c r="I50" s="39" t="str">
        <x:f>IF(AND(F50=1,G50=1,H50=1),"SPECIFIED / UNOBSERVED","FAIL")</x:f>
        <x:v>SPECIFIED / UNOBSERVED</x:v>
      </x:c>
    </x:row>
    <x:row r="51">
      <x:c r="A51" s="39" t="str">
        <x:v>RT-B-C-RIGHT-5</x:v>
      </x:c>
      <x:c r="B51" s="39" t="str">
        <x:v>RT-B-C</x:v>
      </x:c>
      <x:c r="C51" s="56" t="str">
        <x:v>Accessible egress and refuge</x:v>
      </x:c>
      <x:c r="D51" s="56" t="str">
        <x:v>A failed cell retains reachable refuge, assisted egress and a manual stop.</x:v>
      </x:c>
      <x:c r="E51" s="56" t="str">
        <x:v>5 separated civil zones with local records and physical access</x:v>
      </x:c>
      <x:c r="F51" s="39" t="n">
        <x:v>1</x:v>
      </x:c>
      <x:c r="G51" s="39" t="n">
        <x:v>1</x:v>
      </x:c>
      <x:c r="H51" s="39" t="n">
        <x:v>1</x:v>
      </x:c>
      <x:c r="I51" s="39" t="str">
        <x:f>IF(AND(F51=1,G51=1,H51=1),"SPECIFIED / UNOBSERVED","FAIL")</x:f>
        <x:v>SPECIFIED / UNOBSERVED</x:v>
      </x:c>
    </x:row>
    <x:row r="52">
      <x:c r="A52" s="39" t="str">
        <x:v>RT-B-C-RIGHT-6</x:v>
      </x:c>
      <x:c r="B52" s="39" t="str">
        <x:v>RT-B-C</x:v>
      </x:c>
      <x:c r="C52" s="56" t="str">
        <x:v>Environmental custody</x:v>
      </x:c>
      <x:c r="D52" s="56" t="str">
        <x:v>Contaminated water, air, soil, brine and process residuals remain attributable.</x:v>
      </x:c>
      <x:c r="E52" s="56" t="str">
        <x:v>5 separated civil zones with local records and physical access</x:v>
      </x:c>
      <x:c r="F52" s="39" t="n">
        <x:v>1</x:v>
      </x:c>
      <x:c r="G52" s="39" t="n">
        <x:v>1</x:v>
      </x:c>
      <x:c r="H52" s="39" t="n">
        <x:v>1</x:v>
      </x:c>
      <x:c r="I52" s="39" t="str">
        <x:f>IF(AND(F52=1,G52=1,H52=1),"SPECIFIED / UNOBSERVED","FAIL")</x:f>
        <x:v>SPECIFIED / UNOBSERVED</x:v>
      </x:c>
    </x:row>
    <x:row r="53">
      <x:c r="A53" s="39" t="str">
        <x:v>RT-B-C-RIGHT-7</x:v>
      </x:c>
      <x:c r="B53" s="39" t="str">
        <x:v>RT-B-C</x:v>
      </x:c>
      <x:c r="C53" s="56" t="str">
        <x:v>Local manual authority</x:v>
      </x:c>
      <x:c r="D53" s="56" t="str">
        <x:v>A competent local operator can stop the affected cell without central permission.</x:v>
      </x:c>
      <x:c r="E53" s="56" t="str">
        <x:v>5 separated civil zones with local records and physical access</x:v>
      </x:c>
      <x:c r="F53" s="39" t="n">
        <x:v>1</x:v>
      </x:c>
      <x:c r="G53" s="39" t="n">
        <x:v>1</x:v>
      </x:c>
      <x:c r="H53" s="39" t="n">
        <x:v>1</x:v>
      </x:c>
      <x:c r="I53" s="39" t="str">
        <x:f>IF(AND(F53=1,G53=1,H53=1),"SPECIFIED / UNOBSERVED","FAIL")</x:f>
        <x:v>SPECIFIED / UNOBSERVED</x:v>
      </x:c>
    </x:row>
    <x:row r="54">
      <x:c r="A54" s="39" t="str">
        <x:v>RT-B-C-RIGHT-8</x:v>
      </x:c>
      <x:c r="B54" s="39" t="str">
        <x:v>RT-B-C</x:v>
      </x:c>
      <x:c r="C54" s="56" t="str">
        <x:v>Remedy and audit</x:v>
      </x:c>
      <x:c r="D54" s="56" t="str">
        <x:v>The affected person can obtain the event record, decision basis and correction route.</x:v>
      </x:c>
      <x:c r="E54" s="56" t="str">
        <x:v>5 separated civil zones with local records and physical access</x:v>
      </x:c>
      <x:c r="F54" s="39" t="n">
        <x:v>1</x:v>
      </x:c>
      <x:c r="G54" s="39" t="n">
        <x:v>1</x:v>
      </x:c>
      <x:c r="H54" s="39" t="n">
        <x:v>1</x:v>
      </x:c>
      <x:c r="I54" s="39" t="str">
        <x:f>IF(AND(F54=1,G54=1,H54=1),"SPECIFIED / UNOBSERVED","FAIL")</x:f>
        <x:v>SPECIFIED / UNOBSERVED</x:v>
      </x:c>
    </x:row>
  </x:sheetData>
  <x:conditionalFormatting sqref="I7:I54">
    <x:cfRule type="containsText" dxfId="6" priority="1" operator="containsText" text="REDESIGN"/>
    <x:cfRule type="containsText" dxfId="7" priority="2" operator="containsText" text="SPECIFIED"/>
    <x:cfRule type="containsText" dxfId="8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bcb1132648e44e2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26" hidden="0" customWidth="1"/>
    <x:col min="4" max="4" width="58" hidden="0" customWidth="1"/>
    <x:col min="5" max="5" width="52" hidden="0" customWidth="1"/>
    <x:col min="6" max="6" width="30" hidden="0" customWidth="1"/>
    <x:col min="7" max="7" width="32" hidden="0" customWidth="1"/>
    <x:col min="8" max="8" width="24" hidden="0" customWidth="1"/>
  </x:cols>
  <x:sheetData>
    <x:row r="1">
      <x:c r="A1" s="39"/>
      <x:c r="B1" s="39"/>
      <x:c r="C1" s="39"/>
      <x:c r="D1" s="39"/>
      <x:c r="E1" s="39"/>
      <x:c r="F1" s="39"/>
      <x:c r="G1" s="39"/>
      <x:c r="H1" s="39"/>
    </x:row>
    <x:row r="2">
      <x:c r="A2" s="75" t="str">
        <x:v>Twenty-four residual-custody chains</x:v>
      </x:c>
      <x:c r="B2" s="39"/>
      <x:c r="C2" s="39"/>
      <x:c r="D2" s="39"/>
      <x:c r="E2" s="39"/>
      <x:c r="F2" s="39"/>
      <x:c r="G2" s="39"/>
      <x:c r="H2" s="39"/>
    </x:row>
    <x:row r="3">
      <x:c r="A3" s="41"/>
      <x:c r="B3" s="41"/>
      <x:c r="C3" s="41"/>
      <x:c r="D3" s="41"/>
      <x:c r="E3" s="41"/>
      <x:c r="F3" s="41"/>
      <x:c r="G3" s="41"/>
      <x:c r="H3" s="41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9"/>
      <x:c r="B4" s="39"/>
      <x:c r="C4" s="39"/>
      <x:c r="D4" s="39"/>
      <x:c r="E4" s="39"/>
      <x:c r="F4" s="39"/>
      <x:c r="G4" s="39"/>
      <x:c r="H4" s="39"/>
    </x:row>
    <x:row r="5">
      <x:c r="A5" s="39"/>
      <x:c r="B5" s="39"/>
      <x:c r="C5" s="39"/>
      <x:c r="D5" s="39"/>
      <x:c r="E5" s="39"/>
      <x:c r="F5" s="39"/>
      <x:c r="G5" s="39"/>
      <x:c r="H5" s="39"/>
    </x:row>
    <x:row r="6">
      <x:c r="A6" s="39" t="str">
        <x:v>Chain</x:v>
      </x:c>
      <x:c r="B6" s="39" t="str">
        <x:v>Form</x:v>
      </x:c>
      <x:c r="C6" s="39" t="str">
        <x:v>Stage</x:v>
      </x:c>
      <x:c r="D6" s="39" t="str">
        <x:v>Custody requirement</x:v>
      </x:c>
      <x:c r="E6" s="39" t="str">
        <x:v>Physical route</x:v>
      </x:c>
      <x:c r="F6" s="39" t="str">
        <x:v>Account</x:v>
      </x:c>
      <x:c r="G6" s="39" t="str">
        <x:v>Safe state</x:v>
      </x:c>
      <x:c r="H6" s="39" t="str">
        <x:v>State</x:v>
      </x:c>
    </x:row>
    <x:row r="7">
      <x:c r="A7" s="39" t="str">
        <x:v>ET-A-A-RES-1</x:v>
      </x:c>
      <x:c r="B7" s="39" t="str">
        <x:v>ET-A-A</x:v>
      </x:c>
      <x:c r="C7" s="56" t="str">
        <x:v>Incoming state</x:v>
      </x:c>
      <x:c r="D7" s="56" t="str">
        <x:v>Meter and identify source material before it enters a process boundary.</x:v>
      </x:c>
      <x:c r="E7" s="56" t="str">
        <x:v>Paired sovereign exchange hulls local residual path 1</x:v>
      </x:c>
      <x:c r="F7" s="56" t="str">
        <x:v>mass, energy and identity balance</x:v>
      </x:c>
      <x:c r="G7" s="56" t="str">
        <x:v>isolate, retain and sample</x:v>
      </x:c>
      <x:c r="H7" s="56" t="str">
        <x:v>SPECIFIED / UNOBSERVED</x:v>
      </x:c>
    </x:row>
    <x:row r="8">
      <x:c r="A8" s="39" t="str">
        <x:v>ET-A-A-RES-2</x:v>
      </x:c>
      <x:c r="B8" s="39" t="str">
        <x:v>ET-A-A</x:v>
      </x:c>
      <x:c r="C8" s="56" t="str">
        <x:v>Dirty return</x:v>
      </x:c>
      <x:c r="D8" s="56" t="str">
        <x:v>Keep contaminated return physically separate from service output.</x:v>
      </x:c>
      <x:c r="E8" s="56" t="str">
        <x:v>Paired sovereign exchange hulls local residual path 2</x:v>
      </x:c>
      <x:c r="F8" s="56" t="str">
        <x:v>mass, energy and identity balance</x:v>
      </x:c>
      <x:c r="G8" s="56" t="str">
        <x:v>isolate, retain and sample</x:v>
      </x:c>
      <x:c r="H8" s="56" t="str">
        <x:v>SPECIFIED / UNOBSERVED</x:v>
      </x:c>
    </x:row>
    <x:row r="9">
      <x:c r="A9" s="39" t="str">
        <x:v>ET-A-A-RES-3</x:v>
      </x:c>
      <x:c r="B9" s="39" t="str">
        <x:v>ET-A-A</x:v>
      </x:c>
      <x:c r="C9" s="56" t="str">
        <x:v>Quarantine and treatment</x:v>
      </x:c>
      <x:c r="D9" s="56" t="str">
        <x:v>Hold uncertain or failed material inside a cell-local measured inventory.</x:v>
      </x:c>
      <x:c r="E9" s="56" t="str">
        <x:v>Paired sovereign exchange hulls local residual path 3</x:v>
      </x:c>
      <x:c r="F9" s="56" t="str">
        <x:v>mass, energy and identity balance</x:v>
      </x:c>
      <x:c r="G9" s="56" t="str">
        <x:v>isolate, retain and sample</x:v>
      </x:c>
      <x:c r="H9" s="56" t="str">
        <x:v>SPECIFIED / UNOBSERVED</x:v>
      </x:c>
    </x:row>
    <x:row r="10">
      <x:c r="A10" s="39" t="str">
        <x:v>ET-A-A-RES-4</x:v>
      </x:c>
      <x:c r="B10" s="39" t="str">
        <x:v>ET-A-A</x:v>
      </x:c>
      <x:c r="C10" s="56" t="str">
        <x:v>Accepted release or recovery</x:v>
      </x:c>
      <x:c r="D10" s="56" t="str">
        <x:v>Release only through an independent measured destination with lawful custody.</x:v>
      </x:c>
      <x:c r="E10" s="56" t="str">
        <x:v>Paired sovereign exchange hulls local residual path 4</x:v>
      </x:c>
      <x:c r="F10" s="56" t="str">
        <x:v>mass, energy and identity balance</x:v>
      </x:c>
      <x:c r="G10" s="56" t="str">
        <x:v>isolate, retain and sample</x:v>
      </x:c>
      <x:c r="H10" s="56" t="str">
        <x:v>SPECIFIED / UNOBSERVED</x:v>
      </x:c>
    </x:row>
    <x:row r="11">
      <x:c r="A11" s="39" t="str">
        <x:v>CT-C-B-RES-1</x:v>
      </x:c>
      <x:c r="B11" s="39" t="str">
        <x:v>CT-C-B</x:v>
      </x:c>
      <x:c r="C11" s="56" t="str">
        <x:v>Incoming state</x:v>
      </x:c>
      <x:c r="D11" s="56" t="str">
        <x:v>Meter and identify source material before it enters a process boundary.</x:v>
      </x:c>
      <x:c r="E11" s="56" t="str">
        <x:v>Segmented arrested utility belt local residual path 1</x:v>
      </x:c>
      <x:c r="F11" s="56" t="str">
        <x:v>mass, energy and identity balance</x:v>
      </x:c>
      <x:c r="G11" s="56" t="str">
        <x:v>isolate, retain and sample</x:v>
      </x:c>
      <x:c r="H11" s="56" t="str">
        <x:v>SPECIFIED / UNOBSERVED</x:v>
      </x:c>
    </x:row>
    <x:row r="12">
      <x:c r="A12" s="39" t="str">
        <x:v>CT-C-B-RES-2</x:v>
      </x:c>
      <x:c r="B12" s="39" t="str">
        <x:v>CT-C-B</x:v>
      </x:c>
      <x:c r="C12" s="56" t="str">
        <x:v>Dirty return</x:v>
      </x:c>
      <x:c r="D12" s="56" t="str">
        <x:v>Keep contaminated return physically separate from service output.</x:v>
      </x:c>
      <x:c r="E12" s="56" t="str">
        <x:v>Segmented arrested utility belt local residual path 2</x:v>
      </x:c>
      <x:c r="F12" s="56" t="str">
        <x:v>mass, energy and identity balance</x:v>
      </x:c>
      <x:c r="G12" s="56" t="str">
        <x:v>isolate, retain and sample</x:v>
      </x:c>
      <x:c r="H12" s="56" t="str">
        <x:v>SPECIFIED / UNOBSERVED</x:v>
      </x:c>
    </x:row>
    <x:row r="13">
      <x:c r="A13" s="39" t="str">
        <x:v>CT-C-B-RES-3</x:v>
      </x:c>
      <x:c r="B13" s="39" t="str">
        <x:v>CT-C-B</x:v>
      </x:c>
      <x:c r="C13" s="56" t="str">
        <x:v>Quarantine and treatment</x:v>
      </x:c>
      <x:c r="D13" s="56" t="str">
        <x:v>Hold uncertain or failed material inside a cell-local measured inventory.</x:v>
      </x:c>
      <x:c r="E13" s="56" t="str">
        <x:v>Segmented arrested utility belt local residual path 3</x:v>
      </x:c>
      <x:c r="F13" s="56" t="str">
        <x:v>mass, energy and identity balance</x:v>
      </x:c>
      <x:c r="G13" s="56" t="str">
        <x:v>isolate, retain and sample</x:v>
      </x:c>
      <x:c r="H13" s="56" t="str">
        <x:v>SPECIFIED / UNOBSERVED</x:v>
      </x:c>
    </x:row>
    <x:row r="14">
      <x:c r="A14" s="39" t="str">
        <x:v>CT-C-B-RES-4</x:v>
      </x:c>
      <x:c r="B14" s="39" t="str">
        <x:v>CT-C-B</x:v>
      </x:c>
      <x:c r="C14" s="56" t="str">
        <x:v>Accepted release or recovery</x:v>
      </x:c>
      <x:c r="D14" s="56" t="str">
        <x:v>Release only through an independent measured destination with lawful custody.</x:v>
      </x:c>
      <x:c r="E14" s="56" t="str">
        <x:v>Segmented arrested utility belt local residual path 4</x:v>
      </x:c>
      <x:c r="F14" s="56" t="str">
        <x:v>mass, energy and identity balance</x:v>
      </x:c>
      <x:c r="G14" s="56" t="str">
        <x:v>isolate, retain and sample</x:v>
      </x:c>
      <x:c r="H14" s="56" t="str">
        <x:v>SPECIFIED / UNOBSERVED</x:v>
      </x:c>
    </x:row>
    <x:row r="15">
      <x:c r="A15" s="39" t="str">
        <x:v>HC-A-C-RES-1</x:v>
      </x:c>
      <x:c r="B15" s="39" t="str">
        <x:v>HC-A-C</x:v>
      </x:c>
      <x:c r="C15" s="56" t="str">
        <x:v>Incoming state</x:v>
      </x:c>
      <x:c r="D15" s="56" t="str">
        <x:v>Meter and identify source material before it enters a process boundary.</x:v>
      </x:c>
      <x:c r="E15" s="56" t="str">
        <x:v>Mesh-independent rotor sectors local residual path 1</x:v>
      </x:c>
      <x:c r="F15" s="56" t="str">
        <x:v>mass, energy and identity balance</x:v>
      </x:c>
      <x:c r="G15" s="56" t="str">
        <x:v>isolate, retain and sample</x:v>
      </x:c>
      <x:c r="H15" s="56" t="str">
        <x:v>SPECIFIED / UNOBSERVED</x:v>
      </x:c>
    </x:row>
    <x:row r="16">
      <x:c r="A16" s="39" t="str">
        <x:v>HC-A-C-RES-2</x:v>
      </x:c>
      <x:c r="B16" s="39" t="str">
        <x:v>HC-A-C</x:v>
      </x:c>
      <x:c r="C16" s="56" t="str">
        <x:v>Dirty return</x:v>
      </x:c>
      <x:c r="D16" s="56" t="str">
        <x:v>Keep contaminated return physically separate from service output.</x:v>
      </x:c>
      <x:c r="E16" s="56" t="str">
        <x:v>Mesh-independent rotor sectors local residual path 2</x:v>
      </x:c>
      <x:c r="F16" s="56" t="str">
        <x:v>mass, energy and identity balance</x:v>
      </x:c>
      <x:c r="G16" s="56" t="str">
        <x:v>isolate, retain and sample</x:v>
      </x:c>
      <x:c r="H16" s="56" t="str">
        <x:v>SPECIFIED / UNOBSERVED</x:v>
      </x:c>
    </x:row>
    <x:row r="17">
      <x:c r="A17" s="39" t="str">
        <x:v>HC-A-C-RES-3</x:v>
      </x:c>
      <x:c r="B17" s="39" t="str">
        <x:v>HC-A-C</x:v>
      </x:c>
      <x:c r="C17" s="56" t="str">
        <x:v>Quarantine and treatment</x:v>
      </x:c>
      <x:c r="D17" s="56" t="str">
        <x:v>Hold uncertain or failed material inside a cell-local measured inventory.</x:v>
      </x:c>
      <x:c r="E17" s="56" t="str">
        <x:v>Mesh-independent rotor sectors local residual path 3</x:v>
      </x:c>
      <x:c r="F17" s="56" t="str">
        <x:v>mass, energy and identity balance</x:v>
      </x:c>
      <x:c r="G17" s="56" t="str">
        <x:v>isolate, retain and sample</x:v>
      </x:c>
      <x:c r="H17" s="56" t="str">
        <x:v>SPECIFIED / UNOBSERVED</x:v>
      </x:c>
    </x:row>
    <x:row r="18">
      <x:c r="A18" s="39" t="str">
        <x:v>HC-A-C-RES-4</x:v>
      </x:c>
      <x:c r="B18" s="39" t="str">
        <x:v>HC-A-C</x:v>
      </x:c>
      <x:c r="C18" s="56" t="str">
        <x:v>Accepted release or recovery</x:v>
      </x:c>
      <x:c r="D18" s="56" t="str">
        <x:v>Release only through an independent measured destination with lawful custody.</x:v>
      </x:c>
      <x:c r="E18" s="56" t="str">
        <x:v>Mesh-independent rotor sectors local residual path 4</x:v>
      </x:c>
      <x:c r="F18" s="56" t="str">
        <x:v>mass, energy and identity balance</x:v>
      </x:c>
      <x:c r="G18" s="56" t="str">
        <x:v>isolate, retain and sample</x:v>
      </x:c>
      <x:c r="H18" s="56" t="str">
        <x:v>SPECIFIED / UNOBSERVED</x:v>
      </x:c>
    </x:row>
    <x:row r="19">
      <x:c r="A19" s="39" t="str">
        <x:v>LF-B-A-RES-1</x:v>
      </x:c>
      <x:c r="B19" s="39" t="str">
        <x:v>LF-B-A</x:v>
      </x:c>
      <x:c r="C19" s="56" t="str">
        <x:v>Incoming state</x:v>
      </x:c>
      <x:c r="D19" s="56" t="str">
        <x:v>Meter and identify source material before it enters a process boundary.</x:v>
      </x:c>
      <x:c r="E19" s="56" t="str">
        <x:v>Headerless four-island geothermal field local residual path 1</x:v>
      </x:c>
      <x:c r="F19" s="56" t="str">
        <x:v>mass, energy and identity balance</x:v>
      </x:c>
      <x:c r="G19" s="56" t="str">
        <x:v>isolate, retain and sample</x:v>
      </x:c>
      <x:c r="H19" s="56" t="str">
        <x:v>SPECIFIED / UNOBSERVED</x:v>
      </x:c>
    </x:row>
    <x:row r="20">
      <x:c r="A20" s="39" t="str">
        <x:v>LF-B-A-RES-2</x:v>
      </x:c>
      <x:c r="B20" s="39" t="str">
        <x:v>LF-B-A</x:v>
      </x:c>
      <x:c r="C20" s="56" t="str">
        <x:v>Dirty return</x:v>
      </x:c>
      <x:c r="D20" s="56" t="str">
        <x:v>Keep contaminated return physically separate from service output.</x:v>
      </x:c>
      <x:c r="E20" s="56" t="str">
        <x:v>Headerless four-island geothermal field local residual path 2</x:v>
      </x:c>
      <x:c r="F20" s="56" t="str">
        <x:v>mass, energy and identity balance</x:v>
      </x:c>
      <x:c r="G20" s="56" t="str">
        <x:v>isolate, retain and sample</x:v>
      </x:c>
      <x:c r="H20" s="56" t="str">
        <x:v>SPECIFIED / UNOBSERVED</x:v>
      </x:c>
    </x:row>
    <x:row r="21">
      <x:c r="A21" s="39" t="str">
        <x:v>LF-B-A-RES-3</x:v>
      </x:c>
      <x:c r="B21" s="39" t="str">
        <x:v>LF-B-A</x:v>
      </x:c>
      <x:c r="C21" s="56" t="str">
        <x:v>Quarantine and treatment</x:v>
      </x:c>
      <x:c r="D21" s="56" t="str">
        <x:v>Hold uncertain or failed material inside a cell-local measured inventory.</x:v>
      </x:c>
      <x:c r="E21" s="56" t="str">
        <x:v>Headerless four-island geothermal field local residual path 3</x:v>
      </x:c>
      <x:c r="F21" s="56" t="str">
        <x:v>mass, energy and identity balance</x:v>
      </x:c>
      <x:c r="G21" s="56" t="str">
        <x:v>isolate, retain and sample</x:v>
      </x:c>
      <x:c r="H21" s="56" t="str">
        <x:v>SPECIFIED / UNOBSERVED</x:v>
      </x:c>
    </x:row>
    <x:row r="22">
      <x:c r="A22" s="39" t="str">
        <x:v>LF-B-A-RES-4</x:v>
      </x:c>
      <x:c r="B22" s="39" t="str">
        <x:v>LF-B-A</x:v>
      </x:c>
      <x:c r="C22" s="56" t="str">
        <x:v>Accepted release or recovery</x:v>
      </x:c>
      <x:c r="D22" s="56" t="str">
        <x:v>Release only through an independent measured destination with lawful custody.</x:v>
      </x:c>
      <x:c r="E22" s="56" t="str">
        <x:v>Headerless four-island geothermal field local residual path 4</x:v>
      </x:c>
      <x:c r="F22" s="56" t="str">
        <x:v>mass, energy and identity balance</x:v>
      </x:c>
      <x:c r="G22" s="56" t="str">
        <x:v>isolate, retain and sample</x:v>
      </x:c>
      <x:c r="H22" s="56" t="str">
        <x:v>SPECIFIED / UNOBSERVED</x:v>
      </x:c>
    </x:row>
    <x:row r="23">
      <x:c r="A23" s="39" t="str">
        <x:v>HU-A-B-RES-1</x:v>
      </x:c>
      <x:c r="B23" s="39" t="str">
        <x:v>HU-A-B</x:v>
      </x:c>
      <x:c r="C23" s="56" t="str">
        <x:v>Incoming state</x:v>
      </x:c>
      <x:c r="D23" s="56" t="str">
        <x:v>Meter and identify source material before it enters a process boundary.</x:v>
      </x:c>
      <x:c r="E23" s="56" t="str">
        <x:v>Counter-rotating clinical circulation lattice local residual path 1</x:v>
      </x:c>
      <x:c r="F23" s="56" t="str">
        <x:v>mass, energy and identity balance</x:v>
      </x:c>
      <x:c r="G23" s="56" t="str">
        <x:v>isolate, retain and sample</x:v>
      </x:c>
      <x:c r="H23" s="56" t="str">
        <x:v>SPECIFIED / UNOBSERVED</x:v>
      </x:c>
    </x:row>
    <x:row r="24">
      <x:c r="A24" s="39" t="str">
        <x:v>HU-A-B-RES-2</x:v>
      </x:c>
      <x:c r="B24" s="39" t="str">
        <x:v>HU-A-B</x:v>
      </x:c>
      <x:c r="C24" s="56" t="str">
        <x:v>Dirty return</x:v>
      </x:c>
      <x:c r="D24" s="56" t="str">
        <x:v>Keep contaminated return physically separate from service output.</x:v>
      </x:c>
      <x:c r="E24" s="56" t="str">
        <x:v>Counter-rotating clinical circulation lattice local residual path 2</x:v>
      </x:c>
      <x:c r="F24" s="56" t="str">
        <x:v>mass, energy and identity balance</x:v>
      </x:c>
      <x:c r="G24" s="56" t="str">
        <x:v>isolate, retain and sample</x:v>
      </x:c>
      <x:c r="H24" s="56" t="str">
        <x:v>SPECIFIED / UNOBSERVED</x:v>
      </x:c>
    </x:row>
    <x:row r="25">
      <x:c r="A25" s="39" t="str">
        <x:v>HU-A-B-RES-3</x:v>
      </x:c>
      <x:c r="B25" s="39" t="str">
        <x:v>HU-A-B</x:v>
      </x:c>
      <x:c r="C25" s="56" t="str">
        <x:v>Quarantine and treatment</x:v>
      </x:c>
      <x:c r="D25" s="56" t="str">
        <x:v>Hold uncertain or failed material inside a cell-local measured inventory.</x:v>
      </x:c>
      <x:c r="E25" s="56" t="str">
        <x:v>Counter-rotating clinical circulation lattice local residual path 3</x:v>
      </x:c>
      <x:c r="F25" s="56" t="str">
        <x:v>mass, energy and identity balance</x:v>
      </x:c>
      <x:c r="G25" s="56" t="str">
        <x:v>isolate, retain and sample</x:v>
      </x:c>
      <x:c r="H25" s="56" t="str">
        <x:v>SPECIFIED / UNOBSERVED</x:v>
      </x:c>
    </x:row>
    <x:row r="26">
      <x:c r="A26" s="39" t="str">
        <x:v>HU-A-B-RES-4</x:v>
      </x:c>
      <x:c r="B26" s="39" t="str">
        <x:v>HU-A-B</x:v>
      </x:c>
      <x:c r="C26" s="56" t="str">
        <x:v>Accepted release or recovery</x:v>
      </x:c>
      <x:c r="D26" s="56" t="str">
        <x:v>Release only through an independent measured destination with lawful custody.</x:v>
      </x:c>
      <x:c r="E26" s="56" t="str">
        <x:v>Counter-rotating clinical circulation lattice local residual path 4</x:v>
      </x:c>
      <x:c r="F26" s="56" t="str">
        <x:v>mass, energy and identity balance</x:v>
      </x:c>
      <x:c r="G26" s="56" t="str">
        <x:v>isolate, retain and sample</x:v>
      </x:c>
      <x:c r="H26" s="56" t="str">
        <x:v>SPECIFIED / UNOBSERVED</x:v>
      </x:c>
    </x:row>
    <x:row r="27">
      <x:c r="A27" s="39" t="str">
        <x:v>RT-B-C-RES-1</x:v>
      </x:c>
      <x:c r="B27" s="39" t="str">
        <x:v>RT-B-C</x:v>
      </x:c>
      <x:c r="C27" s="56" t="str">
        <x:v>Incoming state</x:v>
      </x:c>
      <x:c r="D27" s="56" t="str">
        <x:v>Meter and identify source material before it enters a process boundary.</x:v>
      </x:c>
      <x:c r="E27" s="56" t="str">
        <x:v>Ancestry-complete mobile trainlets local residual path 1</x:v>
      </x:c>
      <x:c r="F27" s="56" t="str">
        <x:v>mass, energy and identity balance</x:v>
      </x:c>
      <x:c r="G27" s="56" t="str">
        <x:v>isolate, retain and sample</x:v>
      </x:c>
      <x:c r="H27" s="56" t="str">
        <x:v>SPECIFIED / UNOBSERVED</x:v>
      </x:c>
    </x:row>
    <x:row r="28">
      <x:c r="A28" s="39" t="str">
        <x:v>RT-B-C-RES-2</x:v>
      </x:c>
      <x:c r="B28" s="39" t="str">
        <x:v>RT-B-C</x:v>
      </x:c>
      <x:c r="C28" s="56" t="str">
        <x:v>Dirty return</x:v>
      </x:c>
      <x:c r="D28" s="56" t="str">
        <x:v>Keep contaminated return physically separate from service output.</x:v>
      </x:c>
      <x:c r="E28" s="56" t="str">
        <x:v>Ancestry-complete mobile trainlets local residual path 2</x:v>
      </x:c>
      <x:c r="F28" s="56" t="str">
        <x:v>mass, energy and identity balance</x:v>
      </x:c>
      <x:c r="G28" s="56" t="str">
        <x:v>isolate, retain and sample</x:v>
      </x:c>
      <x:c r="H28" s="56" t="str">
        <x:v>SPECIFIED / UNOBSERVED</x:v>
      </x:c>
    </x:row>
    <x:row r="29">
      <x:c r="A29" s="39" t="str">
        <x:v>RT-B-C-RES-3</x:v>
      </x:c>
      <x:c r="B29" s="39" t="str">
        <x:v>RT-B-C</x:v>
      </x:c>
      <x:c r="C29" s="56" t="str">
        <x:v>Quarantine and treatment</x:v>
      </x:c>
      <x:c r="D29" s="56" t="str">
        <x:v>Hold uncertain or failed material inside a cell-local measured inventory.</x:v>
      </x:c>
      <x:c r="E29" s="56" t="str">
        <x:v>Ancestry-complete mobile trainlets local residual path 3</x:v>
      </x:c>
      <x:c r="F29" s="56" t="str">
        <x:v>mass, energy and identity balance</x:v>
      </x:c>
      <x:c r="G29" s="56" t="str">
        <x:v>isolate, retain and sample</x:v>
      </x:c>
      <x:c r="H29" s="56" t="str">
        <x:v>SPECIFIED / UNOBSERVED</x:v>
      </x:c>
    </x:row>
    <x:row r="30">
      <x:c r="A30" s="39" t="str">
        <x:v>RT-B-C-RES-4</x:v>
      </x:c>
      <x:c r="B30" s="39" t="str">
        <x:v>RT-B-C</x:v>
      </x:c>
      <x:c r="C30" s="56" t="str">
        <x:v>Accepted release or recovery</x:v>
      </x:c>
      <x:c r="D30" s="56" t="str">
        <x:v>Release only through an independent measured destination with lawful custody.</x:v>
      </x:c>
      <x:c r="E30" s="56" t="str">
        <x:v>Ancestry-complete mobile trainlets local residual path 4</x:v>
      </x:c>
      <x:c r="F30" s="56" t="str">
        <x:v>mass, energy and identity balance</x:v>
      </x:c>
      <x:c r="G30" s="56" t="str">
        <x:v>isolate, retain and sample</x:v>
      </x:c>
      <x:c r="H30" s="56" t="str">
        <x:v>SPECIFIED / UNOBSERVED</x:v>
      </x:c>
    </x:row>
  </x:sheetData>
  <x:pageMargins left="0.7" right="0.7" top="0.75" bottom="0.75" header="0.3" footer="0.3"/>
  <x:tableParts count="1">
    <x:tablePart xmlns:r="http://schemas.openxmlformats.org/officeDocument/2006/relationships" r:id="R321f19c5c81440a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12" hidden="0" customWidth="1"/>
    <x:col min="3" max="3" width="20" hidden="0" customWidth="1"/>
    <x:col min="4" max="4" width="60" hidden="0" customWidth="1"/>
    <x:col min="5" max="5" width="62" hidden="0" customWidth="1"/>
    <x:col min="6" max="6" width="18" hidden="0" customWidth="1"/>
    <x:col min="7" max="7" width="10" hidden="0" customWidth="1"/>
    <x:col min="8" max="8" width="24" hidden="0" customWidth="1"/>
  </x:cols>
  <x:sheetData>
    <x:row r="1">
      <x:c r="A1" s="39"/>
      <x:c r="B1" s="39"/>
      <x:c r="C1" s="39"/>
      <x:c r="D1" s="39"/>
      <x:c r="E1" s="39"/>
      <x:c r="F1" s="39"/>
      <x:c r="G1" s="39"/>
      <x:c r="H1" s="39"/>
    </x:row>
    <x:row r="2">
      <x:c r="A2" s="75" t="str">
        <x:v>Twenty-four world-specific safe states</x:v>
      </x:c>
      <x:c r="B2" s="39"/>
      <x:c r="C2" s="39"/>
      <x:c r="D2" s="39"/>
      <x:c r="E2" s="39"/>
      <x:c r="F2" s="39"/>
      <x:c r="G2" s="39"/>
      <x:c r="H2" s="39"/>
    </x:row>
    <x:row r="3">
      <x:c r="A3" s="41"/>
      <x:c r="B3" s="41"/>
      <x:c r="C3" s="41"/>
      <x:c r="D3" s="41"/>
      <x:c r="E3" s="41"/>
      <x:c r="F3" s="41"/>
      <x:c r="G3" s="41"/>
      <x:c r="H3" s="41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9"/>
      <x:c r="B4" s="39"/>
      <x:c r="C4" s="39"/>
      <x:c r="D4" s="39"/>
      <x:c r="E4" s="39"/>
      <x:c r="F4" s="39"/>
      <x:c r="G4" s="39"/>
      <x:c r="H4" s="39"/>
    </x:row>
    <x:row r="5">
      <x:c r="A5" s="39"/>
      <x:c r="B5" s="39"/>
      <x:c r="C5" s="39"/>
      <x:c r="D5" s="39"/>
      <x:c r="E5" s="39"/>
      <x:c r="F5" s="39"/>
      <x:c r="G5" s="39"/>
      <x:c r="H5" s="39"/>
    </x:row>
    <x:row r="6">
      <x:c r="A6" s="39" t="str">
        <x:v>Safe-state record</x:v>
      </x:c>
      <x:c r="B6" s="39" t="str">
        <x:v>Form</x:v>
      </x:c>
      <x:c r="C6" s="39" t="str">
        <x:v>World</x:v>
      </x:c>
      <x:c r="D6" s="39" t="str">
        <x:v>Required terminal state</x:v>
      </x:c>
      <x:c r="E6" s="39" t="str">
        <x:v>Prohibited credit</x:v>
      </x:c>
      <x:c r="F6" s="39" t="str">
        <x:v>Sustain or rebuild ceiling</x:v>
      </x:c>
      <x:c r="G6" s="39" t="str">
        <x:v>Unit</x:v>
      </x:c>
      <x:c r="H6" s="39" t="str">
        <x:v>State</x:v>
      </x:c>
    </x:row>
    <x:row r="7">
      <x:c r="A7" s="39" t="str">
        <x:v>ET-A-A-SAFE-1</x:v>
      </x:c>
      <x:c r="B7" s="39" t="str">
        <x:v>ET-A-A</x:v>
      </x:c>
      <x:c r="C7" s="56" t="str">
        <x:v>Nominal</x:v>
      </x:c>
      <x:c r="D7" s="56" t="str">
        <x:v>All cell boundaries armed; local stop and refuge available</x:v>
      </x:c>
      <x:c r="E7" s="56" t="str">
        <x:v>No shared power, control, safeing, heat sink, custody station or receiver substitution</x:v>
      </x:c>
      <x:c r="F7" s="39" t="n">
        <x:v>72</x:v>
      </x:c>
      <x:c r="G7" s="39" t="str">
        <x:v>h</x:v>
      </x:c>
      <x:c r="H7" s="39" t="str">
        <x:v>SPECIFIED / UNOBSERVED</x:v>
      </x:c>
    </x:row>
    <x:row r="8">
      <x:c r="A8" s="39" t="str">
        <x:v>ET-A-A-SAFE-2</x:v>
      </x:c>
      <x:c r="B8" s="39" t="str">
        <x:v>ET-A-A</x:v>
      </x:c>
      <x:c r="C8" s="56" t="str">
        <x:v>Largest-cell loss</x:v>
      </x:c>
      <x:c r="D8" s="56" t="str">
        <x:v>Failed cell isolated; surviving cells remain independent</x:v>
      </x:c>
      <x:c r="E8" s="56" t="str">
        <x:v>No shared power, control, safeing, heat sink, custody station or receiver substitution</x:v>
      </x:c>
      <x:c r="F8" s="39" t="n">
        <x:v>72</x:v>
      </x:c>
      <x:c r="G8" s="39" t="str">
        <x:v>h</x:v>
      </x:c>
      <x:c r="H8" s="39" t="str">
        <x:v>SPECIFIED / UNOBSERVED</x:v>
      </x:c>
    </x:row>
    <x:row r="9">
      <x:c r="A9" s="39" t="str">
        <x:v>ET-A-A-SAFE-3</x:v>
      </x:c>
      <x:c r="B9" s="39" t="str">
        <x:v>ET-A-A</x:v>
      </x:c>
      <x:c r="C9" s="56" t="str">
        <x:v>Fatal-keystone</x:v>
      </x:c>
      <x:c r="D9" s="56" t="str">
        <x:v>Cut cannot propagate; people and residuals reach lawful custody</x:v>
      </x:c>
      <x:c r="E9" s="56" t="str">
        <x:v>No shared power, control, safeing, heat sink, custody station or receiver substitution</x:v>
      </x:c>
      <x:c r="F9" s="39" t="n">
        <x:v>72</x:v>
      </x:c>
      <x:c r="G9" s="39" t="str">
        <x:v>h</x:v>
      </x:c>
      <x:c r="H9" s="39" t="str">
        <x:v>SPECIFIED / UNOBSERVED</x:v>
      </x:c>
    </x:row>
    <x:row r="10">
      <x:c r="A10" s="39" t="str">
        <x:v>ET-A-A-SAFE-4</x:v>
      </x:c>
      <x:c r="B10" s="39" t="str">
        <x:v>ET-A-A</x:v>
      </x:c>
      <x:c r="C10" s="56" t="str">
        <x:v>Cold reconstruction</x:v>
      </x:c>
      <x:c r="D10" s="56" t="str">
        <x:v>Clean team restores one complete cell from public datums</x:v>
      </x:c>
      <x:c r="E10" s="56" t="str">
        <x:v>No shared power, control, safeing, heat sink, custody station or receiver substitution</x:v>
      </x:c>
      <x:c r="F10" s="39" t="n">
        <x:v>168</x:v>
      </x:c>
      <x:c r="G10" s="39" t="str">
        <x:v>h</x:v>
      </x:c>
      <x:c r="H10" s="39" t="str">
        <x:v>SPECIFIED / UNOBSERVED</x:v>
      </x:c>
    </x:row>
    <x:row r="11">
      <x:c r="A11" s="39" t="str">
        <x:v>CT-C-B-SAFE-1</x:v>
      </x:c>
      <x:c r="B11" s="39" t="str">
        <x:v>CT-C-B</x:v>
      </x:c>
      <x:c r="C11" s="56" t="str">
        <x:v>Nominal</x:v>
      </x:c>
      <x:c r="D11" s="56" t="str">
        <x:v>All cell boundaries armed; local stop and refuge available</x:v>
      </x:c>
      <x:c r="E11" s="56" t="str">
        <x:v>No shared power, control, safeing, heat sink, custody station or receiver substitution</x:v>
      </x:c>
      <x:c r="F11" s="39" t="n">
        <x:v>72</x:v>
      </x:c>
      <x:c r="G11" s="39" t="str">
        <x:v>h</x:v>
      </x:c>
      <x:c r="H11" s="39" t="str">
        <x:v>SPECIFIED / UNOBSERVED</x:v>
      </x:c>
    </x:row>
    <x:row r="12">
      <x:c r="A12" s="39" t="str">
        <x:v>CT-C-B-SAFE-2</x:v>
      </x:c>
      <x:c r="B12" s="39" t="str">
        <x:v>CT-C-B</x:v>
      </x:c>
      <x:c r="C12" s="56" t="str">
        <x:v>Largest-cell loss</x:v>
      </x:c>
      <x:c r="D12" s="56" t="str">
        <x:v>Failed cell isolated; surviving cells remain independent</x:v>
      </x:c>
      <x:c r="E12" s="56" t="str">
        <x:v>No shared power, control, safeing, heat sink, custody station or receiver substitution</x:v>
      </x:c>
      <x:c r="F12" s="39" t="n">
        <x:v>72</x:v>
      </x:c>
      <x:c r="G12" s="39" t="str">
        <x:v>h</x:v>
      </x:c>
      <x:c r="H12" s="39" t="str">
        <x:v>SPECIFIED / UNOBSERVED</x:v>
      </x:c>
    </x:row>
    <x:row r="13">
      <x:c r="A13" s="39" t="str">
        <x:v>CT-C-B-SAFE-3</x:v>
      </x:c>
      <x:c r="B13" s="39" t="str">
        <x:v>CT-C-B</x:v>
      </x:c>
      <x:c r="C13" s="56" t="str">
        <x:v>Fatal-keystone</x:v>
      </x:c>
      <x:c r="D13" s="56" t="str">
        <x:v>Cut cannot propagate; people and residuals reach lawful custody</x:v>
      </x:c>
      <x:c r="E13" s="56" t="str">
        <x:v>No shared power, control, safeing, heat sink, custody station or receiver substitution</x:v>
      </x:c>
      <x:c r="F13" s="39" t="n">
        <x:v>72</x:v>
      </x:c>
      <x:c r="G13" s="39" t="str">
        <x:v>h</x:v>
      </x:c>
      <x:c r="H13" s="39" t="str">
        <x:v>SPECIFIED / UNOBSERVED</x:v>
      </x:c>
    </x:row>
    <x:row r="14">
      <x:c r="A14" s="39" t="str">
        <x:v>CT-C-B-SAFE-4</x:v>
      </x:c>
      <x:c r="B14" s="39" t="str">
        <x:v>CT-C-B</x:v>
      </x:c>
      <x:c r="C14" s="56" t="str">
        <x:v>Cold reconstruction</x:v>
      </x:c>
      <x:c r="D14" s="56" t="str">
        <x:v>Clean team restores one complete cell from public datums</x:v>
      </x:c>
      <x:c r="E14" s="56" t="str">
        <x:v>No shared power, control, safeing, heat sink, custody station or receiver substitution</x:v>
      </x:c>
      <x:c r="F14" s="39" t="n">
        <x:v>168</x:v>
      </x:c>
      <x:c r="G14" s="39" t="str">
        <x:v>h</x:v>
      </x:c>
      <x:c r="H14" s="39" t="str">
        <x:v>SPECIFIED / UNOBSERVED</x:v>
      </x:c>
    </x:row>
    <x:row r="15">
      <x:c r="A15" s="39" t="str">
        <x:v>HC-A-C-SAFE-1</x:v>
      </x:c>
      <x:c r="B15" s="39" t="str">
        <x:v>HC-A-C</x:v>
      </x:c>
      <x:c r="C15" s="56" t="str">
        <x:v>Nominal</x:v>
      </x:c>
      <x:c r="D15" s="56" t="str">
        <x:v>All cell boundaries armed; local stop and refuge available</x:v>
      </x:c>
      <x:c r="E15" s="56" t="str">
        <x:v>No shared power, control, safeing, heat sink, custody station or receiver substitution</x:v>
      </x:c>
      <x:c r="F15" s="39" t="n">
        <x:v>72</x:v>
      </x:c>
      <x:c r="G15" s="39" t="str">
        <x:v>h</x:v>
      </x:c>
      <x:c r="H15" s="39" t="str">
        <x:v>SPECIFIED / UNOBSERVED</x:v>
      </x:c>
    </x:row>
    <x:row r="16">
      <x:c r="A16" s="39" t="str">
        <x:v>HC-A-C-SAFE-2</x:v>
      </x:c>
      <x:c r="B16" s="39" t="str">
        <x:v>HC-A-C</x:v>
      </x:c>
      <x:c r="C16" s="56" t="str">
        <x:v>Largest-cell loss</x:v>
      </x:c>
      <x:c r="D16" s="56" t="str">
        <x:v>Failed cell isolated; surviving cells remain independent</x:v>
      </x:c>
      <x:c r="E16" s="56" t="str">
        <x:v>No shared power, control, safeing, heat sink, custody station or receiver substitution</x:v>
      </x:c>
      <x:c r="F16" s="39" t="n">
        <x:v>72</x:v>
      </x:c>
      <x:c r="G16" s="39" t="str">
        <x:v>h</x:v>
      </x:c>
      <x:c r="H16" s="39" t="str">
        <x:v>SPECIFIED / UNOBSERVED</x:v>
      </x:c>
    </x:row>
    <x:row r="17">
      <x:c r="A17" s="39" t="str">
        <x:v>HC-A-C-SAFE-3</x:v>
      </x:c>
      <x:c r="B17" s="39" t="str">
        <x:v>HC-A-C</x:v>
      </x:c>
      <x:c r="C17" s="56" t="str">
        <x:v>Fatal-keystone</x:v>
      </x:c>
      <x:c r="D17" s="56" t="str">
        <x:v>Cut cannot propagate; people and residuals reach lawful custody</x:v>
      </x:c>
      <x:c r="E17" s="56" t="str">
        <x:v>No shared power, control, safeing, heat sink, custody station or receiver substitution</x:v>
      </x:c>
      <x:c r="F17" s="39" t="n">
        <x:v>72</x:v>
      </x:c>
      <x:c r="G17" s="39" t="str">
        <x:v>h</x:v>
      </x:c>
      <x:c r="H17" s="39" t="str">
        <x:v>SPECIFIED / UNOBSERVED</x:v>
      </x:c>
    </x:row>
    <x:row r="18">
      <x:c r="A18" s="39" t="str">
        <x:v>HC-A-C-SAFE-4</x:v>
      </x:c>
      <x:c r="B18" s="39" t="str">
        <x:v>HC-A-C</x:v>
      </x:c>
      <x:c r="C18" s="56" t="str">
        <x:v>Cold reconstruction</x:v>
      </x:c>
      <x:c r="D18" s="56" t="str">
        <x:v>Clean team restores one complete cell from public datums</x:v>
      </x:c>
      <x:c r="E18" s="56" t="str">
        <x:v>No shared power, control, safeing, heat sink, custody station or receiver substitution</x:v>
      </x:c>
      <x:c r="F18" s="39" t="n">
        <x:v>168</x:v>
      </x:c>
      <x:c r="G18" s="39" t="str">
        <x:v>h</x:v>
      </x:c>
      <x:c r="H18" s="39" t="str">
        <x:v>SPECIFIED / UNOBSERVED</x:v>
      </x:c>
    </x:row>
    <x:row r="19">
      <x:c r="A19" s="39" t="str">
        <x:v>LF-B-A-SAFE-1</x:v>
      </x:c>
      <x:c r="B19" s="39" t="str">
        <x:v>LF-B-A</x:v>
      </x:c>
      <x:c r="C19" s="56" t="str">
        <x:v>Nominal</x:v>
      </x:c>
      <x:c r="D19" s="56" t="str">
        <x:v>All cell boundaries armed; local stop and refuge available</x:v>
      </x:c>
      <x:c r="E19" s="56" t="str">
        <x:v>No shared power, control, safeing, heat sink, custody station or receiver substitution</x:v>
      </x:c>
      <x:c r="F19" s="39" t="n">
        <x:v>72</x:v>
      </x:c>
      <x:c r="G19" s="39" t="str">
        <x:v>h</x:v>
      </x:c>
      <x:c r="H19" s="39" t="str">
        <x:v>SPECIFIED / UNOBSERVED</x:v>
      </x:c>
    </x:row>
    <x:row r="20">
      <x:c r="A20" s="39" t="str">
        <x:v>LF-B-A-SAFE-2</x:v>
      </x:c>
      <x:c r="B20" s="39" t="str">
        <x:v>LF-B-A</x:v>
      </x:c>
      <x:c r="C20" s="56" t="str">
        <x:v>Largest-cell loss</x:v>
      </x:c>
      <x:c r="D20" s="56" t="str">
        <x:v>Failed cell isolated; surviving cells remain independent</x:v>
      </x:c>
      <x:c r="E20" s="56" t="str">
        <x:v>No shared power, control, safeing, heat sink, custody station or receiver substitution</x:v>
      </x:c>
      <x:c r="F20" s="39" t="n">
        <x:v>72</x:v>
      </x:c>
      <x:c r="G20" s="39" t="str">
        <x:v>h</x:v>
      </x:c>
      <x:c r="H20" s="39" t="str">
        <x:v>SPECIFIED / UNOBSERVED</x:v>
      </x:c>
    </x:row>
    <x:row r="21">
      <x:c r="A21" s="39" t="str">
        <x:v>LF-B-A-SAFE-3</x:v>
      </x:c>
      <x:c r="B21" s="39" t="str">
        <x:v>LF-B-A</x:v>
      </x:c>
      <x:c r="C21" s="56" t="str">
        <x:v>Fatal-keystone</x:v>
      </x:c>
      <x:c r="D21" s="56" t="str">
        <x:v>Cut cannot propagate; people and residuals reach lawful custody</x:v>
      </x:c>
      <x:c r="E21" s="56" t="str">
        <x:v>No shared power, control, safeing, heat sink, custody station or receiver substitution</x:v>
      </x:c>
      <x:c r="F21" s="39" t="n">
        <x:v>72</x:v>
      </x:c>
      <x:c r="G21" s="39" t="str">
        <x:v>h</x:v>
      </x:c>
      <x:c r="H21" s="39" t="str">
        <x:v>SPECIFIED / UNOBSERVED</x:v>
      </x:c>
    </x:row>
    <x:row r="22">
      <x:c r="A22" s="39" t="str">
        <x:v>LF-B-A-SAFE-4</x:v>
      </x:c>
      <x:c r="B22" s="39" t="str">
        <x:v>LF-B-A</x:v>
      </x:c>
      <x:c r="C22" s="56" t="str">
        <x:v>Cold reconstruction</x:v>
      </x:c>
      <x:c r="D22" s="56" t="str">
        <x:v>Clean team restores one complete cell from public datums</x:v>
      </x:c>
      <x:c r="E22" s="56" t="str">
        <x:v>No shared power, control, safeing, heat sink, custody station or receiver substitution</x:v>
      </x:c>
      <x:c r="F22" s="39" t="n">
        <x:v>168</x:v>
      </x:c>
      <x:c r="G22" s="39" t="str">
        <x:v>h</x:v>
      </x:c>
      <x:c r="H22" s="39" t="str">
        <x:v>SPECIFIED / UNOBSERVED</x:v>
      </x:c>
    </x:row>
    <x:row r="23">
      <x:c r="A23" s="39" t="str">
        <x:v>HU-A-B-SAFE-1</x:v>
      </x:c>
      <x:c r="B23" s="39" t="str">
        <x:v>HU-A-B</x:v>
      </x:c>
      <x:c r="C23" s="56" t="str">
        <x:v>Nominal</x:v>
      </x:c>
      <x:c r="D23" s="56" t="str">
        <x:v>All cell boundaries armed; local stop and refuge available</x:v>
      </x:c>
      <x:c r="E23" s="56" t="str">
        <x:v>No shared power, control, safeing, heat sink, custody station or receiver substitution</x:v>
      </x:c>
      <x:c r="F23" s="39" t="n">
        <x:v>72</x:v>
      </x:c>
      <x:c r="G23" s="39" t="str">
        <x:v>h</x:v>
      </x:c>
      <x:c r="H23" s="39" t="str">
        <x:v>SPECIFIED / UNOBSERVED</x:v>
      </x:c>
    </x:row>
    <x:row r="24">
      <x:c r="A24" s="39" t="str">
        <x:v>HU-A-B-SAFE-2</x:v>
      </x:c>
      <x:c r="B24" s="39" t="str">
        <x:v>HU-A-B</x:v>
      </x:c>
      <x:c r="C24" s="56" t="str">
        <x:v>Largest-cell loss</x:v>
      </x:c>
      <x:c r="D24" s="56" t="str">
        <x:v>Failed cell isolated; surviving cells remain independent</x:v>
      </x:c>
      <x:c r="E24" s="56" t="str">
        <x:v>No shared power, control, safeing, heat sink, custody station or receiver substitution</x:v>
      </x:c>
      <x:c r="F24" s="39" t="n">
        <x:v>72</x:v>
      </x:c>
      <x:c r="G24" s="39" t="str">
        <x:v>h</x:v>
      </x:c>
      <x:c r="H24" s="39" t="str">
        <x:v>SPECIFIED / UNOBSERVED</x:v>
      </x:c>
    </x:row>
    <x:row r="25">
      <x:c r="A25" s="39" t="str">
        <x:v>HU-A-B-SAFE-3</x:v>
      </x:c>
      <x:c r="B25" s="39" t="str">
        <x:v>HU-A-B</x:v>
      </x:c>
      <x:c r="C25" s="56" t="str">
        <x:v>Fatal-keystone</x:v>
      </x:c>
      <x:c r="D25" s="56" t="str">
        <x:v>Cut cannot propagate; people and residuals reach lawful custody</x:v>
      </x:c>
      <x:c r="E25" s="56" t="str">
        <x:v>No shared power, control, safeing, heat sink, custody station or receiver substitution</x:v>
      </x:c>
      <x:c r="F25" s="39" t="n">
        <x:v>72</x:v>
      </x:c>
      <x:c r="G25" s="39" t="str">
        <x:v>h</x:v>
      </x:c>
      <x:c r="H25" s="39" t="str">
        <x:v>SPECIFIED / UNOBSERVED</x:v>
      </x:c>
    </x:row>
    <x:row r="26">
      <x:c r="A26" s="39" t="str">
        <x:v>HU-A-B-SAFE-4</x:v>
      </x:c>
      <x:c r="B26" s="39" t="str">
        <x:v>HU-A-B</x:v>
      </x:c>
      <x:c r="C26" s="56" t="str">
        <x:v>Cold reconstruction</x:v>
      </x:c>
      <x:c r="D26" s="56" t="str">
        <x:v>Clean team restores one complete cell from public datums</x:v>
      </x:c>
      <x:c r="E26" s="56" t="str">
        <x:v>No shared power, control, safeing, heat sink, custody station or receiver substitution</x:v>
      </x:c>
      <x:c r="F26" s="39" t="n">
        <x:v>168</x:v>
      </x:c>
      <x:c r="G26" s="39" t="str">
        <x:v>h</x:v>
      </x:c>
      <x:c r="H26" s="39" t="str">
        <x:v>SPECIFIED / UNOBSERVED</x:v>
      </x:c>
    </x:row>
    <x:row r="27">
      <x:c r="A27" s="39" t="str">
        <x:v>RT-B-C-SAFE-1</x:v>
      </x:c>
      <x:c r="B27" s="39" t="str">
        <x:v>RT-B-C</x:v>
      </x:c>
      <x:c r="C27" s="56" t="str">
        <x:v>Nominal</x:v>
      </x:c>
      <x:c r="D27" s="56" t="str">
        <x:v>All cell boundaries armed; local stop and refuge available</x:v>
      </x:c>
      <x:c r="E27" s="56" t="str">
        <x:v>No shared power, control, safeing, heat sink, custody station or receiver substitution</x:v>
      </x:c>
      <x:c r="F27" s="39" t="n">
        <x:v>72</x:v>
      </x:c>
      <x:c r="G27" s="39" t="str">
        <x:v>h</x:v>
      </x:c>
      <x:c r="H27" s="39" t="str">
        <x:v>SPECIFIED / UNOBSERVED</x:v>
      </x:c>
    </x:row>
    <x:row r="28">
      <x:c r="A28" s="39" t="str">
        <x:v>RT-B-C-SAFE-2</x:v>
      </x:c>
      <x:c r="B28" s="39" t="str">
        <x:v>RT-B-C</x:v>
      </x:c>
      <x:c r="C28" s="56" t="str">
        <x:v>Largest-cell loss</x:v>
      </x:c>
      <x:c r="D28" s="56" t="str">
        <x:v>Failed cell isolated; surviving cells remain independent</x:v>
      </x:c>
      <x:c r="E28" s="56" t="str">
        <x:v>No shared power, control, safeing, heat sink, custody station or receiver substitution</x:v>
      </x:c>
      <x:c r="F28" s="39" t="n">
        <x:v>72</x:v>
      </x:c>
      <x:c r="G28" s="39" t="str">
        <x:v>h</x:v>
      </x:c>
      <x:c r="H28" s="39" t="str">
        <x:v>SPECIFIED / UNOBSERVED</x:v>
      </x:c>
    </x:row>
    <x:row r="29">
      <x:c r="A29" s="39" t="str">
        <x:v>RT-B-C-SAFE-3</x:v>
      </x:c>
      <x:c r="B29" s="39" t="str">
        <x:v>RT-B-C</x:v>
      </x:c>
      <x:c r="C29" s="56" t="str">
        <x:v>Fatal-keystone</x:v>
      </x:c>
      <x:c r="D29" s="56" t="str">
        <x:v>Cut cannot propagate; people and residuals reach lawful custody</x:v>
      </x:c>
      <x:c r="E29" s="56" t="str">
        <x:v>No shared power, control, safeing, heat sink, custody station or receiver substitution</x:v>
      </x:c>
      <x:c r="F29" s="39" t="n">
        <x:v>72</x:v>
      </x:c>
      <x:c r="G29" s="39" t="str">
        <x:v>h</x:v>
      </x:c>
      <x:c r="H29" s="39" t="str">
        <x:v>SPECIFIED / UNOBSERVED</x:v>
      </x:c>
    </x:row>
    <x:row r="30">
      <x:c r="A30" s="39" t="str">
        <x:v>RT-B-C-SAFE-4</x:v>
      </x:c>
      <x:c r="B30" s="39" t="str">
        <x:v>RT-B-C</x:v>
      </x:c>
      <x:c r="C30" s="56" t="str">
        <x:v>Cold reconstruction</x:v>
      </x:c>
      <x:c r="D30" s="56" t="str">
        <x:v>Clean team restores one complete cell from public datums</x:v>
      </x:c>
      <x:c r="E30" s="56" t="str">
        <x:v>No shared power, control, safeing, heat sink, custody station or receiver substitution</x:v>
      </x:c>
      <x:c r="F30" s="39" t="n">
        <x:v>168</x:v>
      </x:c>
      <x:c r="G30" s="39" t="str">
        <x:v>h</x:v>
      </x:c>
      <x:c r="H30" s="39" t="str">
        <x:v>SPECIFIED / UNOBSERVED</x:v>
      </x:c>
    </x:row>
  </x:sheetData>
  <x:pageMargins left="0.7" right="0.7" top="0.75" bottom="0.75" header="0.3" footer="0.3"/>
  <x:tableParts count="1">
    <x:tablePart xmlns:r="http://schemas.openxmlformats.org/officeDocument/2006/relationships" r:id="Rabfbd49e761348e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0" hidden="0" customWidth="1"/>
    <x:col min="4" max="4" width="26" hidden="0" customWidth="1"/>
    <x:col min="5" max="5" width="66" hidden="0" customWidth="1"/>
    <x:col min="6" max="6" width="30" hidden="0" customWidth="1"/>
    <x:col min="7" max="7" width="16" hidden="0" customWidth="1"/>
    <x:col min="8" max="8" width="10" hidden="0" customWidth="1"/>
    <x:col min="9" max="9" width="12" hidden="0" customWidth="1"/>
    <x:col min="10" max="10" width="24" hidden="0" customWidth="1"/>
  </x:cols>
  <x:sheetData>
    <x:row r="1">
      <x:c r="A1" s="39"/>
      <x:c r="B1" s="39"/>
      <x:c r="C1" s="39"/>
      <x:c r="D1" s="39"/>
      <x:c r="E1" s="39"/>
      <x:c r="F1" s="39"/>
      <x:c r="G1" s="39"/>
      <x:c r="H1" s="39"/>
      <x:c r="I1" s="39"/>
      <x:c r="J1" s="39"/>
    </x:row>
    <x:row r="2">
      <x:c r="A2" s="75" t="str">
        <x:v>Thirty-six cold reconstruction stages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  <x:c r="J4" s="39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</x:row>
    <x:row r="6">
      <x:c r="A6" s="39" t="str">
        <x:v>Stage record</x:v>
      </x:c>
      <x:c r="B6" s="39" t="str">
        <x:v>Form</x:v>
      </x:c>
      <x:c r="C6" s="39" t="str">
        <x:v>Sequence</x:v>
      </x:c>
      <x:c r="D6" s="39" t="str">
        <x:v>Stage</x:v>
      </x:c>
      <x:c r="E6" s="39" t="str">
        <x:v>Completion rule</x:v>
      </x:c>
      <x:c r="F6" s="39" t="str">
        <x:v>Witness</x:v>
      </x:c>
      <x:c r="G6" s="39" t="str">
        <x:v>Elapsed ceiling</x:v>
      </x:c>
      <x:c r="H6" s="39" t="str">
        <x:v>Unit</x:v>
      </x:c>
      <x:c r="I6" s="39" t="str">
        <x:v>Accepted</x:v>
      </x:c>
      <x:c r="J6" s="39" t="str">
        <x:v>State</x:v>
      </x:c>
    </x:row>
    <x:row r="7">
      <x:c r="A7" s="39" t="str">
        <x:v>ET-A-A-RC-1</x:v>
      </x:c>
      <x:c r="B7" s="39" t="str">
        <x:v>ET-A-A</x:v>
      </x:c>
      <x:c r="C7" s="39" t="n">
        <x:v>1</x:v>
      </x:c>
      <x:c r="D7" s="56" t="str">
        <x:v>Public datum</x:v>
      </x:c>
      <x:c r="E7" s="56" t="str">
        <x:v>Release root-native coordinates, boundary meanings and configuration hash.</x:v>
      </x:c>
      <x:c r="F7" s="56" t="str">
        <x:v>clean reconstruction team</x:v>
      </x:c>
      <x:c r="G7" s="39"/>
      <x:c r="H7" s="39" t="str">
        <x:v>h</x:v>
      </x:c>
      <x:c r="I7" s="39" t="n">
        <x:v>0</x:v>
      </x:c>
      <x:c r="J7" s="39" t="str">
        <x:v>READY TO BUILD / UNTRIED</x:v>
      </x:c>
    </x:row>
    <x:row r="8">
      <x:c r="A8" s="39" t="str">
        <x:v>ET-A-A-RC-2</x:v>
      </x:c>
      <x:c r="B8" s="39" t="str">
        <x:v>ET-A-A</x:v>
      </x:c>
      <x:c r="C8" s="39" t="n">
        <x:v>2</x:v>
      </x:c>
      <x:c r="D8" s="56" t="str">
        <x:v>Physical inventory</x:v>
      </x:c>
      <x:c r="E8" s="56" t="str">
        <x:v>Reconcile every article, tool, spare, consumable and residual destination.</x:v>
      </x:c>
      <x:c r="F8" s="56" t="str">
        <x:v>clean reconstruction team</x:v>
      </x:c>
      <x:c r="G8" s="39"/>
      <x:c r="H8" s="39" t="str">
        <x:v>h</x:v>
      </x:c>
      <x:c r="I8" s="39" t="n">
        <x:v>0</x:v>
      </x:c>
      <x:c r="J8" s="39" t="str">
        <x:v>READY TO BUILD / UNTRIED</x:v>
      </x:c>
    </x:row>
    <x:row r="9">
      <x:c r="A9" s="39" t="str">
        <x:v>ET-A-A-RC-3</x:v>
      </x:c>
      <x:c r="B9" s="39" t="str">
        <x:v>ET-A-A</x:v>
      </x:c>
      <x:c r="C9" s="39" t="n">
        <x:v>3</x:v>
      </x:c>
      <x:c r="D9" s="56" t="str">
        <x:v>Tools and fixtures</x:v>
      </x:c>
      <x:c r="E9" s="56" t="str">
        <x:v>Recreate fixtures from public geometry without origin-team craft memory.</x:v>
      </x:c>
      <x:c r="F9" s="56" t="str">
        <x:v>clean reconstruction team</x:v>
      </x:c>
      <x:c r="G9" s="39"/>
      <x:c r="H9" s="39" t="str">
        <x:v>h</x:v>
      </x:c>
      <x:c r="I9" s="39" t="n">
        <x:v>0</x:v>
      </x:c>
      <x:c r="J9" s="39" t="str">
        <x:v>READY TO BUILD / UNTRIED</x:v>
      </x:c>
    </x:row>
    <x:row r="10">
      <x:c r="A10" s="39" t="str">
        <x:v>ET-A-A-RC-4</x:v>
      </x:c>
      <x:c r="B10" s="39" t="str">
        <x:v>ET-A-A</x:v>
      </x:c>
      <x:c r="C10" s="39" t="n">
        <x:v>4</x:v>
      </x:c>
      <x:c r="D10" s="56" t="str">
        <x:v>Control logic</x:v>
      </x:c>
      <x:c r="E10" s="56" t="str">
        <x:v>Build local deterministic control and safeing without vendor keys or hosted runtime.</x:v>
      </x:c>
      <x:c r="F10" s="56" t="str">
        <x:v>clean reconstruction team</x:v>
      </x:c>
      <x:c r="G10" s="39"/>
      <x:c r="H10" s="39" t="str">
        <x:v>h</x:v>
      </x:c>
      <x:c r="I10" s="39" t="n">
        <x:v>0</x:v>
      </x:c>
      <x:c r="J10" s="39" t="str">
        <x:v>READY TO BUILD / UNTRIED</x:v>
      </x:c>
    </x:row>
    <x:row r="11">
      <x:c r="A11" s="39" t="str">
        <x:v>ET-A-A-RC-5</x:v>
      </x:c>
      <x:c r="B11" s="39" t="str">
        <x:v>ET-A-A</x:v>
      </x:c>
      <x:c r="C11" s="39" t="n">
        <x:v>5</x:v>
      </x:c>
      <x:c r="D11" s="56" t="str">
        <x:v>Safe-state qualification</x:v>
      </x:c>
      <x:c r="E11" s="56" t="str">
        <x:v>Demonstrate isolation, refuge, residual custody and manual stop.</x:v>
      </x:c>
      <x:c r="F11" s="56" t="str">
        <x:v>clean reconstruction team</x:v>
      </x:c>
      <x:c r="G11" s="39"/>
      <x:c r="H11" s="39" t="str">
        <x:v>h</x:v>
      </x:c>
      <x:c r="I11" s="39" t="n">
        <x:v>0</x:v>
      </x:c>
      <x:c r="J11" s="39" t="str">
        <x:v>READY TO BUILD / UNTRIED</x:v>
      </x:c>
    </x:row>
    <x:row r="12">
      <x:c r="A12" s="39" t="str">
        <x:v>ET-A-A-RC-6</x:v>
      </x:c>
      <x:c r="B12" s="39" t="str">
        <x:v>ET-A-A</x:v>
      </x:c>
      <x:c r="C12" s="39" t="n">
        <x:v>6</x:v>
      </x:c>
      <x:c r="D12" s="56" t="str">
        <x:v>Account requalification</x:v>
      </x:c>
      <x:c r="E12" s="56" t="str">
        <x:v>Repeat nominal and loss-world account tests with signed ancestry.</x:v>
      </x:c>
      <x:c r="F12" s="56" t="str">
        <x:v>independent evidence custodian</x:v>
      </x:c>
      <x:c r="G12" s="39" t="n">
        <x:v>168</x:v>
      </x:c>
      <x:c r="H12" s="39" t="str">
        <x:v>h</x:v>
      </x:c>
      <x:c r="I12" s="39" t="n">
        <x:v>0</x:v>
      </x:c>
      <x:c r="J12" s="39" t="str">
        <x:v>READY TO BUILD / UNTRIED</x:v>
      </x:c>
    </x:row>
    <x:row r="13">
      <x:c r="A13" s="39" t="str">
        <x:v>CT-C-B-RC-1</x:v>
      </x:c>
      <x:c r="B13" s="39" t="str">
        <x:v>CT-C-B</x:v>
      </x:c>
      <x:c r="C13" s="39" t="n">
        <x:v>1</x:v>
      </x:c>
      <x:c r="D13" s="56" t="str">
        <x:v>Public datum</x:v>
      </x:c>
      <x:c r="E13" s="56" t="str">
        <x:v>Release root-native coordinates, boundary meanings and configuration hash.</x:v>
      </x:c>
      <x:c r="F13" s="56" t="str">
        <x:v>clean reconstruction team</x:v>
      </x:c>
      <x:c r="G13" s="39"/>
      <x:c r="H13" s="39" t="str">
        <x:v>h</x:v>
      </x:c>
      <x:c r="I13" s="39" t="n">
        <x:v>0</x:v>
      </x:c>
      <x:c r="J13" s="39" t="str">
        <x:v>READY TO BUILD / UNTRIED</x:v>
      </x:c>
    </x:row>
    <x:row r="14">
      <x:c r="A14" s="39" t="str">
        <x:v>CT-C-B-RC-2</x:v>
      </x:c>
      <x:c r="B14" s="39" t="str">
        <x:v>CT-C-B</x:v>
      </x:c>
      <x:c r="C14" s="39" t="n">
        <x:v>2</x:v>
      </x:c>
      <x:c r="D14" s="56" t="str">
        <x:v>Physical inventory</x:v>
      </x:c>
      <x:c r="E14" s="56" t="str">
        <x:v>Reconcile every article, tool, spare, consumable and residual destination.</x:v>
      </x:c>
      <x:c r="F14" s="56" t="str">
        <x:v>clean reconstruction team</x:v>
      </x:c>
      <x:c r="G14" s="39"/>
      <x:c r="H14" s="39" t="str">
        <x:v>h</x:v>
      </x:c>
      <x:c r="I14" s="39" t="n">
        <x:v>0</x:v>
      </x:c>
      <x:c r="J14" s="39" t="str">
        <x:v>READY TO BUILD / UNTRIED</x:v>
      </x:c>
    </x:row>
    <x:row r="15">
      <x:c r="A15" s="39" t="str">
        <x:v>CT-C-B-RC-3</x:v>
      </x:c>
      <x:c r="B15" s="39" t="str">
        <x:v>CT-C-B</x:v>
      </x:c>
      <x:c r="C15" s="39" t="n">
        <x:v>3</x:v>
      </x:c>
      <x:c r="D15" s="56" t="str">
        <x:v>Tools and fixtures</x:v>
      </x:c>
      <x:c r="E15" s="56" t="str">
        <x:v>Recreate fixtures from public geometry without origin-team craft memory.</x:v>
      </x:c>
      <x:c r="F15" s="56" t="str">
        <x:v>clean reconstruction team</x:v>
      </x:c>
      <x:c r="G15" s="39"/>
      <x:c r="H15" s="39" t="str">
        <x:v>h</x:v>
      </x:c>
      <x:c r="I15" s="39" t="n">
        <x:v>0</x:v>
      </x:c>
      <x:c r="J15" s="39" t="str">
        <x:v>READY TO BUILD / UNTRIED</x:v>
      </x:c>
    </x:row>
    <x:row r="16">
      <x:c r="A16" s="39" t="str">
        <x:v>CT-C-B-RC-4</x:v>
      </x:c>
      <x:c r="B16" s="39" t="str">
        <x:v>CT-C-B</x:v>
      </x:c>
      <x:c r="C16" s="39" t="n">
        <x:v>4</x:v>
      </x:c>
      <x:c r="D16" s="56" t="str">
        <x:v>Control logic</x:v>
      </x:c>
      <x:c r="E16" s="56" t="str">
        <x:v>Build local deterministic control and safeing without vendor keys or hosted runtime.</x:v>
      </x:c>
      <x:c r="F16" s="56" t="str">
        <x:v>clean reconstruction team</x:v>
      </x:c>
      <x:c r="G16" s="39"/>
      <x:c r="H16" s="39" t="str">
        <x:v>h</x:v>
      </x:c>
      <x:c r="I16" s="39" t="n">
        <x:v>0</x:v>
      </x:c>
      <x:c r="J16" s="39" t="str">
        <x:v>READY TO BUILD / UNTRIED</x:v>
      </x:c>
    </x:row>
    <x:row r="17">
      <x:c r="A17" s="39" t="str">
        <x:v>CT-C-B-RC-5</x:v>
      </x:c>
      <x:c r="B17" s="39" t="str">
        <x:v>CT-C-B</x:v>
      </x:c>
      <x:c r="C17" s="39" t="n">
        <x:v>5</x:v>
      </x:c>
      <x:c r="D17" s="56" t="str">
        <x:v>Safe-state qualification</x:v>
      </x:c>
      <x:c r="E17" s="56" t="str">
        <x:v>Demonstrate isolation, refuge, residual custody and manual stop.</x:v>
      </x:c>
      <x:c r="F17" s="56" t="str">
        <x:v>clean reconstruction team</x:v>
      </x:c>
      <x:c r="G17" s="39"/>
      <x:c r="H17" s="39" t="str">
        <x:v>h</x:v>
      </x:c>
      <x:c r="I17" s="39" t="n">
        <x:v>0</x:v>
      </x:c>
      <x:c r="J17" s="39" t="str">
        <x:v>READY TO BUILD / UNTRIED</x:v>
      </x:c>
    </x:row>
    <x:row r="18">
      <x:c r="A18" s="39" t="str">
        <x:v>CT-C-B-RC-6</x:v>
      </x:c>
      <x:c r="B18" s="39" t="str">
        <x:v>CT-C-B</x:v>
      </x:c>
      <x:c r="C18" s="39" t="n">
        <x:v>6</x:v>
      </x:c>
      <x:c r="D18" s="56" t="str">
        <x:v>Account requalification</x:v>
      </x:c>
      <x:c r="E18" s="56" t="str">
        <x:v>Repeat nominal and loss-world account tests with signed ancestry.</x:v>
      </x:c>
      <x:c r="F18" s="56" t="str">
        <x:v>independent evidence custodian</x:v>
      </x:c>
      <x:c r="G18" s="39" t="n">
        <x:v>168</x:v>
      </x:c>
      <x:c r="H18" s="39" t="str">
        <x:v>h</x:v>
      </x:c>
      <x:c r="I18" s="39" t="n">
        <x:v>0</x:v>
      </x:c>
      <x:c r="J18" s="39" t="str">
        <x:v>READY TO BUILD / UNTRIED</x:v>
      </x:c>
    </x:row>
    <x:row r="19">
      <x:c r="A19" s="39" t="str">
        <x:v>HC-A-C-RC-1</x:v>
      </x:c>
      <x:c r="B19" s="39" t="str">
        <x:v>HC-A-C</x:v>
      </x:c>
      <x:c r="C19" s="39" t="n">
        <x:v>1</x:v>
      </x:c>
      <x:c r="D19" s="56" t="str">
        <x:v>Public datum</x:v>
      </x:c>
      <x:c r="E19" s="56" t="str">
        <x:v>Release root-native coordinates, boundary meanings and configuration hash.</x:v>
      </x:c>
      <x:c r="F19" s="56" t="str">
        <x:v>clean reconstruction team</x:v>
      </x:c>
      <x:c r="G19" s="39"/>
      <x:c r="H19" s="39" t="str">
        <x:v>h</x:v>
      </x:c>
      <x:c r="I19" s="39" t="n">
        <x:v>0</x:v>
      </x:c>
      <x:c r="J19" s="39" t="str">
        <x:v>READY TO BUILD / UNTRIED</x:v>
      </x:c>
    </x:row>
    <x:row r="20">
      <x:c r="A20" s="39" t="str">
        <x:v>HC-A-C-RC-2</x:v>
      </x:c>
      <x:c r="B20" s="39" t="str">
        <x:v>HC-A-C</x:v>
      </x:c>
      <x:c r="C20" s="39" t="n">
        <x:v>2</x:v>
      </x:c>
      <x:c r="D20" s="56" t="str">
        <x:v>Physical inventory</x:v>
      </x:c>
      <x:c r="E20" s="56" t="str">
        <x:v>Reconcile every article, tool, spare, consumable and residual destination.</x:v>
      </x:c>
      <x:c r="F20" s="56" t="str">
        <x:v>clean reconstruction team</x:v>
      </x:c>
      <x:c r="G20" s="39"/>
      <x:c r="H20" s="39" t="str">
        <x:v>h</x:v>
      </x:c>
      <x:c r="I20" s="39" t="n">
        <x:v>0</x:v>
      </x:c>
      <x:c r="J20" s="39" t="str">
        <x:v>READY TO BUILD / UNTRIED</x:v>
      </x:c>
    </x:row>
    <x:row r="21">
      <x:c r="A21" s="39" t="str">
        <x:v>HC-A-C-RC-3</x:v>
      </x:c>
      <x:c r="B21" s="39" t="str">
        <x:v>HC-A-C</x:v>
      </x:c>
      <x:c r="C21" s="39" t="n">
        <x:v>3</x:v>
      </x:c>
      <x:c r="D21" s="56" t="str">
        <x:v>Tools and fixtures</x:v>
      </x:c>
      <x:c r="E21" s="56" t="str">
        <x:v>Recreate fixtures from public geometry without origin-team craft memory.</x:v>
      </x:c>
      <x:c r="F21" s="56" t="str">
        <x:v>clean reconstruction team</x:v>
      </x:c>
      <x:c r="G21" s="39"/>
      <x:c r="H21" s="39" t="str">
        <x:v>h</x:v>
      </x:c>
      <x:c r="I21" s="39" t="n">
        <x:v>0</x:v>
      </x:c>
      <x:c r="J21" s="39" t="str">
        <x:v>READY TO BUILD / UNTRIED</x:v>
      </x:c>
    </x:row>
    <x:row r="22">
      <x:c r="A22" s="39" t="str">
        <x:v>HC-A-C-RC-4</x:v>
      </x:c>
      <x:c r="B22" s="39" t="str">
        <x:v>HC-A-C</x:v>
      </x:c>
      <x:c r="C22" s="39" t="n">
        <x:v>4</x:v>
      </x:c>
      <x:c r="D22" s="56" t="str">
        <x:v>Control logic</x:v>
      </x:c>
      <x:c r="E22" s="56" t="str">
        <x:v>Build local deterministic control and safeing without vendor keys or hosted runtime.</x:v>
      </x:c>
      <x:c r="F22" s="56" t="str">
        <x:v>clean reconstruction team</x:v>
      </x:c>
      <x:c r="G22" s="39"/>
      <x:c r="H22" s="39" t="str">
        <x:v>h</x:v>
      </x:c>
      <x:c r="I22" s="39" t="n">
        <x:v>0</x:v>
      </x:c>
      <x:c r="J22" s="39" t="str">
        <x:v>READY TO BUILD / UNTRIED</x:v>
      </x:c>
    </x:row>
    <x:row r="23">
      <x:c r="A23" s="39" t="str">
        <x:v>HC-A-C-RC-5</x:v>
      </x:c>
      <x:c r="B23" s="39" t="str">
        <x:v>HC-A-C</x:v>
      </x:c>
      <x:c r="C23" s="39" t="n">
        <x:v>5</x:v>
      </x:c>
      <x:c r="D23" s="56" t="str">
        <x:v>Safe-state qualification</x:v>
      </x:c>
      <x:c r="E23" s="56" t="str">
        <x:v>Demonstrate isolation, refuge, residual custody and manual stop.</x:v>
      </x:c>
      <x:c r="F23" s="56" t="str">
        <x:v>clean reconstruction team</x:v>
      </x:c>
      <x:c r="G23" s="39"/>
      <x:c r="H23" s="39" t="str">
        <x:v>h</x:v>
      </x:c>
      <x:c r="I23" s="39" t="n">
        <x:v>0</x:v>
      </x:c>
      <x:c r="J23" s="39" t="str">
        <x:v>READY TO BUILD / UNTRIED</x:v>
      </x:c>
    </x:row>
    <x:row r="24">
      <x:c r="A24" s="39" t="str">
        <x:v>HC-A-C-RC-6</x:v>
      </x:c>
      <x:c r="B24" s="39" t="str">
        <x:v>HC-A-C</x:v>
      </x:c>
      <x:c r="C24" s="39" t="n">
        <x:v>6</x:v>
      </x:c>
      <x:c r="D24" s="56" t="str">
        <x:v>Account requalification</x:v>
      </x:c>
      <x:c r="E24" s="56" t="str">
        <x:v>Repeat nominal and loss-world account tests with signed ancestry.</x:v>
      </x:c>
      <x:c r="F24" s="56" t="str">
        <x:v>independent evidence custodian</x:v>
      </x:c>
      <x:c r="G24" s="39" t="n">
        <x:v>168</x:v>
      </x:c>
      <x:c r="H24" s="39" t="str">
        <x:v>h</x:v>
      </x:c>
      <x:c r="I24" s="39" t="n">
        <x:v>0</x:v>
      </x:c>
      <x:c r="J24" s="39" t="str">
        <x:v>READY TO BUILD / UNTRIED</x:v>
      </x:c>
    </x:row>
    <x:row r="25">
      <x:c r="A25" s="39" t="str">
        <x:v>LF-B-A-RC-1</x:v>
      </x:c>
      <x:c r="B25" s="39" t="str">
        <x:v>LF-B-A</x:v>
      </x:c>
      <x:c r="C25" s="39" t="n">
        <x:v>1</x:v>
      </x:c>
      <x:c r="D25" s="56" t="str">
        <x:v>Public datum</x:v>
      </x:c>
      <x:c r="E25" s="56" t="str">
        <x:v>Release root-native coordinates, boundary meanings and configuration hash.</x:v>
      </x:c>
      <x:c r="F25" s="56" t="str">
        <x:v>clean reconstruction team</x:v>
      </x:c>
      <x:c r="G25" s="39"/>
      <x:c r="H25" s="39" t="str">
        <x:v>h</x:v>
      </x:c>
      <x:c r="I25" s="39" t="n">
        <x:v>0</x:v>
      </x:c>
      <x:c r="J25" s="39" t="str">
        <x:v>READY TO BUILD / UNTRIED</x:v>
      </x:c>
    </x:row>
    <x:row r="26">
      <x:c r="A26" s="39" t="str">
        <x:v>LF-B-A-RC-2</x:v>
      </x:c>
      <x:c r="B26" s="39" t="str">
        <x:v>LF-B-A</x:v>
      </x:c>
      <x:c r="C26" s="39" t="n">
        <x:v>2</x:v>
      </x:c>
      <x:c r="D26" s="56" t="str">
        <x:v>Physical inventory</x:v>
      </x:c>
      <x:c r="E26" s="56" t="str">
        <x:v>Reconcile every article, tool, spare, consumable and residual destination.</x:v>
      </x:c>
      <x:c r="F26" s="56" t="str">
        <x:v>clean reconstruction team</x:v>
      </x:c>
      <x:c r="G26" s="39"/>
      <x:c r="H26" s="39" t="str">
        <x:v>h</x:v>
      </x:c>
      <x:c r="I26" s="39" t="n">
        <x:v>0</x:v>
      </x:c>
      <x:c r="J26" s="39" t="str">
        <x:v>READY TO BUILD / UNTRIED</x:v>
      </x:c>
    </x:row>
    <x:row r="27">
      <x:c r="A27" s="39" t="str">
        <x:v>LF-B-A-RC-3</x:v>
      </x:c>
      <x:c r="B27" s="39" t="str">
        <x:v>LF-B-A</x:v>
      </x:c>
      <x:c r="C27" s="39" t="n">
        <x:v>3</x:v>
      </x:c>
      <x:c r="D27" s="56" t="str">
        <x:v>Tools and fixtures</x:v>
      </x:c>
      <x:c r="E27" s="56" t="str">
        <x:v>Recreate fixtures from public geometry without origin-team craft memory.</x:v>
      </x:c>
      <x:c r="F27" s="56" t="str">
        <x:v>clean reconstruction team</x:v>
      </x:c>
      <x:c r="G27" s="39"/>
      <x:c r="H27" s="39" t="str">
        <x:v>h</x:v>
      </x:c>
      <x:c r="I27" s="39" t="n">
        <x:v>0</x:v>
      </x:c>
      <x:c r="J27" s="39" t="str">
        <x:v>READY TO BUILD / UNTRIED</x:v>
      </x:c>
    </x:row>
    <x:row r="28">
      <x:c r="A28" s="39" t="str">
        <x:v>LF-B-A-RC-4</x:v>
      </x:c>
      <x:c r="B28" s="39" t="str">
        <x:v>LF-B-A</x:v>
      </x:c>
      <x:c r="C28" s="39" t="n">
        <x:v>4</x:v>
      </x:c>
      <x:c r="D28" s="56" t="str">
        <x:v>Control logic</x:v>
      </x:c>
      <x:c r="E28" s="56" t="str">
        <x:v>Build local deterministic control and safeing without vendor keys or hosted runtime.</x:v>
      </x:c>
      <x:c r="F28" s="56" t="str">
        <x:v>clean reconstruction team</x:v>
      </x:c>
      <x:c r="G28" s="39"/>
      <x:c r="H28" s="39" t="str">
        <x:v>h</x:v>
      </x:c>
      <x:c r="I28" s="39" t="n">
        <x:v>0</x:v>
      </x:c>
      <x:c r="J28" s="39" t="str">
        <x:v>READY TO BUILD / UNTRIED</x:v>
      </x:c>
    </x:row>
    <x:row r="29">
      <x:c r="A29" s="39" t="str">
        <x:v>LF-B-A-RC-5</x:v>
      </x:c>
      <x:c r="B29" s="39" t="str">
        <x:v>LF-B-A</x:v>
      </x:c>
      <x:c r="C29" s="39" t="n">
        <x:v>5</x:v>
      </x:c>
      <x:c r="D29" s="56" t="str">
        <x:v>Safe-state qualification</x:v>
      </x:c>
      <x:c r="E29" s="56" t="str">
        <x:v>Demonstrate isolation, refuge, residual custody and manual stop.</x:v>
      </x:c>
      <x:c r="F29" s="56" t="str">
        <x:v>clean reconstruction team</x:v>
      </x:c>
      <x:c r="G29" s="39"/>
      <x:c r="H29" s="39" t="str">
        <x:v>h</x:v>
      </x:c>
      <x:c r="I29" s="39" t="n">
        <x:v>0</x:v>
      </x:c>
      <x:c r="J29" s="39" t="str">
        <x:v>READY TO BUILD / UNTRIED</x:v>
      </x:c>
    </x:row>
    <x:row r="30">
      <x:c r="A30" s="39" t="str">
        <x:v>LF-B-A-RC-6</x:v>
      </x:c>
      <x:c r="B30" s="39" t="str">
        <x:v>LF-B-A</x:v>
      </x:c>
      <x:c r="C30" s="39" t="n">
        <x:v>6</x:v>
      </x:c>
      <x:c r="D30" s="56" t="str">
        <x:v>Account requalification</x:v>
      </x:c>
      <x:c r="E30" s="56" t="str">
        <x:v>Repeat nominal and loss-world account tests with signed ancestry.</x:v>
      </x:c>
      <x:c r="F30" s="56" t="str">
        <x:v>independent evidence custodian</x:v>
      </x:c>
      <x:c r="G30" s="39" t="n">
        <x:v>168</x:v>
      </x:c>
      <x:c r="H30" s="39" t="str">
        <x:v>h</x:v>
      </x:c>
      <x:c r="I30" s="39" t="n">
        <x:v>0</x:v>
      </x:c>
      <x:c r="J30" s="39" t="str">
        <x:v>READY TO BUILD / UNTRIED</x:v>
      </x:c>
    </x:row>
    <x:row r="31">
      <x:c r="A31" s="39" t="str">
        <x:v>HU-A-B-RC-1</x:v>
      </x:c>
      <x:c r="B31" s="39" t="str">
        <x:v>HU-A-B</x:v>
      </x:c>
      <x:c r="C31" s="39" t="n">
        <x:v>1</x:v>
      </x:c>
      <x:c r="D31" s="56" t="str">
        <x:v>Public datum</x:v>
      </x:c>
      <x:c r="E31" s="56" t="str">
        <x:v>Release root-native coordinates, boundary meanings and configuration hash.</x:v>
      </x:c>
      <x:c r="F31" s="56" t="str">
        <x:v>clean reconstruction team</x:v>
      </x:c>
      <x:c r="G31" s="39"/>
      <x:c r="H31" s="39" t="str">
        <x:v>h</x:v>
      </x:c>
      <x:c r="I31" s="39" t="n">
        <x:v>0</x:v>
      </x:c>
      <x:c r="J31" s="39" t="str">
        <x:v>READY TO BUILD / UNTRIED</x:v>
      </x:c>
    </x:row>
    <x:row r="32">
      <x:c r="A32" s="39" t="str">
        <x:v>HU-A-B-RC-2</x:v>
      </x:c>
      <x:c r="B32" s="39" t="str">
        <x:v>HU-A-B</x:v>
      </x:c>
      <x:c r="C32" s="39" t="n">
        <x:v>2</x:v>
      </x:c>
      <x:c r="D32" s="56" t="str">
        <x:v>Physical inventory</x:v>
      </x:c>
      <x:c r="E32" s="56" t="str">
        <x:v>Reconcile every article, tool, spare, consumable and residual destination.</x:v>
      </x:c>
      <x:c r="F32" s="56" t="str">
        <x:v>clean reconstruction team</x:v>
      </x:c>
      <x:c r="G32" s="39"/>
      <x:c r="H32" s="39" t="str">
        <x:v>h</x:v>
      </x:c>
      <x:c r="I32" s="39" t="n">
        <x:v>0</x:v>
      </x:c>
      <x:c r="J32" s="39" t="str">
        <x:v>READY TO BUILD / UNTRIED</x:v>
      </x:c>
    </x:row>
    <x:row r="33">
      <x:c r="A33" s="39" t="str">
        <x:v>HU-A-B-RC-3</x:v>
      </x:c>
      <x:c r="B33" s="39" t="str">
        <x:v>HU-A-B</x:v>
      </x:c>
      <x:c r="C33" s="39" t="n">
        <x:v>3</x:v>
      </x:c>
      <x:c r="D33" s="56" t="str">
        <x:v>Tools and fixtures</x:v>
      </x:c>
      <x:c r="E33" s="56" t="str">
        <x:v>Recreate fixtures from public geometry without origin-team craft memory.</x:v>
      </x:c>
      <x:c r="F33" s="56" t="str">
        <x:v>clean reconstruction team</x:v>
      </x:c>
      <x:c r="G33" s="39"/>
      <x:c r="H33" s="39" t="str">
        <x:v>h</x:v>
      </x:c>
      <x:c r="I33" s="39" t="n">
        <x:v>0</x:v>
      </x:c>
      <x:c r="J33" s="39" t="str">
        <x:v>READY TO BUILD / UNTRIED</x:v>
      </x:c>
    </x:row>
    <x:row r="34">
      <x:c r="A34" s="39" t="str">
        <x:v>HU-A-B-RC-4</x:v>
      </x:c>
      <x:c r="B34" s="39" t="str">
        <x:v>HU-A-B</x:v>
      </x:c>
      <x:c r="C34" s="39" t="n">
        <x:v>4</x:v>
      </x:c>
      <x:c r="D34" s="56" t="str">
        <x:v>Control logic</x:v>
      </x:c>
      <x:c r="E34" s="56" t="str">
        <x:v>Build local deterministic control and safeing without vendor keys or hosted runtime.</x:v>
      </x:c>
      <x:c r="F34" s="56" t="str">
        <x:v>clean reconstruction team</x:v>
      </x:c>
      <x:c r="G34" s="39"/>
      <x:c r="H34" s="39" t="str">
        <x:v>h</x:v>
      </x:c>
      <x:c r="I34" s="39" t="n">
        <x:v>0</x:v>
      </x:c>
      <x:c r="J34" s="39" t="str">
        <x:v>READY TO BUILD / UNTRIED</x:v>
      </x:c>
    </x:row>
    <x:row r="35">
      <x:c r="A35" s="39" t="str">
        <x:v>HU-A-B-RC-5</x:v>
      </x:c>
      <x:c r="B35" s="39" t="str">
        <x:v>HU-A-B</x:v>
      </x:c>
      <x:c r="C35" s="39" t="n">
        <x:v>5</x:v>
      </x:c>
      <x:c r="D35" s="56" t="str">
        <x:v>Safe-state qualification</x:v>
      </x:c>
      <x:c r="E35" s="56" t="str">
        <x:v>Demonstrate isolation, refuge, residual custody and manual stop.</x:v>
      </x:c>
      <x:c r="F35" s="56" t="str">
        <x:v>clean reconstruction team</x:v>
      </x:c>
      <x:c r="G35" s="39"/>
      <x:c r="H35" s="39" t="str">
        <x:v>h</x:v>
      </x:c>
      <x:c r="I35" s="39" t="n">
        <x:v>0</x:v>
      </x:c>
      <x:c r="J35" s="39" t="str">
        <x:v>READY TO BUILD / UNTRIED</x:v>
      </x:c>
    </x:row>
    <x:row r="36">
      <x:c r="A36" s="39" t="str">
        <x:v>HU-A-B-RC-6</x:v>
      </x:c>
      <x:c r="B36" s="39" t="str">
        <x:v>HU-A-B</x:v>
      </x:c>
      <x:c r="C36" s="39" t="n">
        <x:v>6</x:v>
      </x:c>
      <x:c r="D36" s="56" t="str">
        <x:v>Account requalification</x:v>
      </x:c>
      <x:c r="E36" s="56" t="str">
        <x:v>Repeat nominal and loss-world account tests with signed ancestry.</x:v>
      </x:c>
      <x:c r="F36" s="56" t="str">
        <x:v>independent evidence custodian</x:v>
      </x:c>
      <x:c r="G36" s="39" t="n">
        <x:v>168</x:v>
      </x:c>
      <x:c r="H36" s="39" t="str">
        <x:v>h</x:v>
      </x:c>
      <x:c r="I36" s="39" t="n">
        <x:v>0</x:v>
      </x:c>
      <x:c r="J36" s="39" t="str">
        <x:v>READY TO BUILD / UNTRIED</x:v>
      </x:c>
    </x:row>
    <x:row r="37">
      <x:c r="A37" s="39" t="str">
        <x:v>RT-B-C-RC-1</x:v>
      </x:c>
      <x:c r="B37" s="39" t="str">
        <x:v>RT-B-C</x:v>
      </x:c>
      <x:c r="C37" s="39" t="n">
        <x:v>1</x:v>
      </x:c>
      <x:c r="D37" s="56" t="str">
        <x:v>Public datum</x:v>
      </x:c>
      <x:c r="E37" s="56" t="str">
        <x:v>Release root-native coordinates, boundary meanings and configuration hash.</x:v>
      </x:c>
      <x:c r="F37" s="56" t="str">
        <x:v>clean reconstruction team</x:v>
      </x:c>
      <x:c r="G37" s="39"/>
      <x:c r="H37" s="39" t="str">
        <x:v>h</x:v>
      </x:c>
      <x:c r="I37" s="39" t="n">
        <x:v>0</x:v>
      </x:c>
      <x:c r="J37" s="39" t="str">
        <x:v>READY TO BUILD / UNTRIED</x:v>
      </x:c>
    </x:row>
    <x:row r="38">
      <x:c r="A38" s="39" t="str">
        <x:v>RT-B-C-RC-2</x:v>
      </x:c>
      <x:c r="B38" s="39" t="str">
        <x:v>RT-B-C</x:v>
      </x:c>
      <x:c r="C38" s="39" t="n">
        <x:v>2</x:v>
      </x:c>
      <x:c r="D38" s="56" t="str">
        <x:v>Physical inventory</x:v>
      </x:c>
      <x:c r="E38" s="56" t="str">
        <x:v>Reconcile every article, tool, spare, consumable and residual destination.</x:v>
      </x:c>
      <x:c r="F38" s="56" t="str">
        <x:v>clean reconstruction team</x:v>
      </x:c>
      <x:c r="G38" s="39"/>
      <x:c r="H38" s="39" t="str">
        <x:v>h</x:v>
      </x:c>
      <x:c r="I38" s="39" t="n">
        <x:v>0</x:v>
      </x:c>
      <x:c r="J38" s="39" t="str">
        <x:v>READY TO BUILD / UNTRIED</x:v>
      </x:c>
    </x:row>
    <x:row r="39">
      <x:c r="A39" s="39" t="str">
        <x:v>RT-B-C-RC-3</x:v>
      </x:c>
      <x:c r="B39" s="39" t="str">
        <x:v>RT-B-C</x:v>
      </x:c>
      <x:c r="C39" s="39" t="n">
        <x:v>3</x:v>
      </x:c>
      <x:c r="D39" s="56" t="str">
        <x:v>Tools and fixtures</x:v>
      </x:c>
      <x:c r="E39" s="56" t="str">
        <x:v>Recreate fixtures from public geometry without origin-team craft memory.</x:v>
      </x:c>
      <x:c r="F39" s="56" t="str">
        <x:v>clean reconstruction team</x:v>
      </x:c>
      <x:c r="G39" s="39"/>
      <x:c r="H39" s="39" t="str">
        <x:v>h</x:v>
      </x:c>
      <x:c r="I39" s="39" t="n">
        <x:v>0</x:v>
      </x:c>
      <x:c r="J39" s="39" t="str">
        <x:v>READY TO BUILD / UNTRIED</x:v>
      </x:c>
    </x:row>
    <x:row r="40">
      <x:c r="A40" s="39" t="str">
        <x:v>RT-B-C-RC-4</x:v>
      </x:c>
      <x:c r="B40" s="39" t="str">
        <x:v>RT-B-C</x:v>
      </x:c>
      <x:c r="C40" s="39" t="n">
        <x:v>4</x:v>
      </x:c>
      <x:c r="D40" s="56" t="str">
        <x:v>Control logic</x:v>
      </x:c>
      <x:c r="E40" s="56" t="str">
        <x:v>Build local deterministic control and safeing without vendor keys or hosted runtime.</x:v>
      </x:c>
      <x:c r="F40" s="56" t="str">
        <x:v>clean reconstruction team</x:v>
      </x:c>
      <x:c r="G40" s="39"/>
      <x:c r="H40" s="39" t="str">
        <x:v>h</x:v>
      </x:c>
      <x:c r="I40" s="39" t="n">
        <x:v>0</x:v>
      </x:c>
      <x:c r="J40" s="39" t="str">
        <x:v>READY TO BUILD / UNTRIED</x:v>
      </x:c>
    </x:row>
    <x:row r="41">
      <x:c r="A41" s="39" t="str">
        <x:v>RT-B-C-RC-5</x:v>
      </x:c>
      <x:c r="B41" s="39" t="str">
        <x:v>RT-B-C</x:v>
      </x:c>
      <x:c r="C41" s="39" t="n">
        <x:v>5</x:v>
      </x:c>
      <x:c r="D41" s="56" t="str">
        <x:v>Safe-state qualification</x:v>
      </x:c>
      <x:c r="E41" s="56" t="str">
        <x:v>Demonstrate isolation, refuge, residual custody and manual stop.</x:v>
      </x:c>
      <x:c r="F41" s="56" t="str">
        <x:v>clean reconstruction team</x:v>
      </x:c>
      <x:c r="G41" s="39"/>
      <x:c r="H41" s="39" t="str">
        <x:v>h</x:v>
      </x:c>
      <x:c r="I41" s="39" t="n">
        <x:v>0</x:v>
      </x:c>
      <x:c r="J41" s="39" t="str">
        <x:v>READY TO BUILD / UNTRIED</x:v>
      </x:c>
    </x:row>
    <x:row r="42">
      <x:c r="A42" s="39" t="str">
        <x:v>RT-B-C-RC-6</x:v>
      </x:c>
      <x:c r="B42" s="39" t="str">
        <x:v>RT-B-C</x:v>
      </x:c>
      <x:c r="C42" s="39" t="n">
        <x:v>6</x:v>
      </x:c>
      <x:c r="D42" s="56" t="str">
        <x:v>Account requalification</x:v>
      </x:c>
      <x:c r="E42" s="56" t="str">
        <x:v>Repeat nominal and loss-world account tests with signed ancestry.</x:v>
      </x:c>
      <x:c r="F42" s="56" t="str">
        <x:v>independent evidence custodian</x:v>
      </x:c>
      <x:c r="G42" s="39" t="n">
        <x:v>168</x:v>
      </x:c>
      <x:c r="H42" s="39" t="str">
        <x:v>h</x:v>
      </x:c>
      <x:c r="I42" s="39" t="n">
        <x:v>0</x:v>
      </x:c>
      <x:c r="J42" s="39" t="str">
        <x:v>READY TO BUILD / UNTRIED</x:v>
      </x:c>
    </x:row>
  </x:sheetData>
  <x:pageMargins left="0.7" right="0.7" top="0.75" bottom="0.75" header="0.3" footer="0.3"/>
  <x:tableParts count="1">
    <x:tablePart xmlns:r="http://schemas.openxmlformats.org/officeDocument/2006/relationships" r:id="R91df25547a324c1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12" hidden="0" customWidth="1"/>
    <x:col min="3" max="3" width="34" hidden="0" customWidth="1"/>
    <x:col min="4" max="4" width="58" hidden="0" customWidth="1"/>
    <x:col min="5" max="5" width="70" hidden="0" customWidth="1"/>
    <x:col min="6" max="6" width="28" hidden="0" customWidth="1"/>
    <x:col min="7" max="7" width="16" hidden="0" customWidth="1"/>
    <x:col min="8" max="8" width="24" hidden="0" customWidth="1"/>
  </x:cols>
  <x:sheetData>
    <x:row r="1">
      <x:c r="A1" s="39"/>
      <x:c r="B1" s="39"/>
      <x:c r="C1" s="39"/>
      <x:c r="D1" s="39"/>
      <x:c r="E1" s="39"/>
      <x:c r="F1" s="39"/>
      <x:c r="G1" s="39"/>
      <x:c r="H1" s="39"/>
    </x:row>
    <x:row r="2">
      <x:c r="A2" s="75" t="str">
        <x:v>Twenty-four source-specific technology orders</x:v>
      </x:c>
      <x:c r="B2" s="39"/>
      <x:c r="C2" s="39"/>
      <x:c r="D2" s="39"/>
      <x:c r="E2" s="39"/>
      <x:c r="F2" s="39"/>
      <x:c r="G2" s="39"/>
      <x:c r="H2" s="39"/>
    </x:row>
    <x:row r="3">
      <x:c r="A3" s="41"/>
      <x:c r="B3" s="41"/>
      <x:c r="C3" s="41"/>
      <x:c r="D3" s="41"/>
      <x:c r="E3" s="41"/>
      <x:c r="F3" s="41"/>
      <x:c r="G3" s="41"/>
      <x:c r="H3" s="41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9"/>
      <x:c r="B4" s="39"/>
      <x:c r="C4" s="39"/>
      <x:c r="D4" s="39"/>
      <x:c r="E4" s="39"/>
      <x:c r="F4" s="39"/>
      <x:c r="G4" s="39"/>
      <x:c r="H4" s="39"/>
    </x:row>
    <x:row r="5">
      <x:c r="A5" s="39"/>
      <x:c r="B5" s="39"/>
      <x:c r="C5" s="39"/>
      <x:c r="D5" s="39"/>
      <x:c r="E5" s="39"/>
      <x:c r="F5" s="39"/>
      <x:c r="G5" s="39"/>
      <x:c r="H5" s="39"/>
    </x:row>
    <x:row r="6">
      <x:c r="A6" s="39" t="str">
        <x:v>Order</x:v>
      </x:c>
      <x:c r="B6" s="39" t="str">
        <x:v>Form</x:v>
      </x:c>
      <x:c r="C6" s="39" t="str">
        <x:v>Technology</x:v>
      </x:c>
      <x:c r="D6" s="39" t="str">
        <x:v>Required advance</x:v>
      </x:c>
      <x:c r="E6" s="39" t="str">
        <x:v>Fatal prototype event</x:v>
      </x:c>
      <x:c r="F6" s="39" t="str">
        <x:v>First article</x:v>
      </x:c>
      <x:c r="G6" s="39" t="str">
        <x:v>Accepted evidence</x:v>
      </x:c>
      <x:c r="H6" s="39" t="str">
        <x:v>State</x:v>
      </x:c>
    </x:row>
    <x:row r="7">
      <x:c r="A7" s="39" t="str">
        <x:v>ET-A-A-TECH-1</x:v>
      </x:c>
      <x:c r="B7" s="39" t="str">
        <x:v>ET-A-A</x:v>
      </x:c>
      <x:c r="C7" s="56" t="str">
        <x:v>Independent six-axis transfer saddle</x:v>
      </x:c>
      <x:c r="D7" s="56" t="str">
        <x:v>full-scale coupled motion and load cancellation</x:v>
      </x:c>
      <x:c r="E7" s="56" t="str">
        <x:v>Disable one hull, saddle and shore path at peak relative motion; the other train retains at least 247 t/h without tow, power or control credit.</x:v>
      </x:c>
      <x:c r="F7" s="56" t="str">
        <x:v>full causal-interface article</x:v>
      </x:c>
      <x:c r="G7" s="56" t="n">
        <x:v>0</x:v>
      </x:c>
      <x:c r="H7" s="56" t="str">
        <x:v>OPEN / BUILD-TO-TEST</x:v>
      </x:c>
    </x:row>
    <x:row r="8">
      <x:c r="A8" s="39" t="str">
        <x:v>ET-A-A-TECH-2</x:v>
      </x:c>
      <x:c r="B8" s="39" t="str">
        <x:v>ET-A-A</x:v>
      </x:c>
      <x:c r="C8" s="56" t="str">
        <x:v>Self-forming shore path</x:v>
      </x:c>
      <x:c r="D8" s="56" t="str">
        <x:v>robotic amphibious support and verified local bearing</x:v>
      </x:c>
      <x:c r="E8" s="56" t="str">
        <x:v>Destroy or deny the governing self-forming shore path boundary</x:v>
      </x:c>
      <x:c r="F8" s="56" t="str">
        <x:v>full causal-interface article</x:v>
      </x:c>
      <x:c r="G8" s="56" t="n">
        <x:v>0</x:v>
      </x:c>
      <x:c r="H8" s="56" t="str">
        <x:v>OPEN / BUILD-TO-TEST</x:v>
      </x:c>
    </x:row>
    <x:row r="9">
      <x:c r="A9" s="39" t="str">
        <x:v>ET-A-A-TECH-3</x:v>
      </x:c>
      <x:c r="B9" s="39" t="str">
        <x:v>ET-A-A</x:v>
      </x:c>
      <x:c r="C9" s="56" t="str">
        <x:v>Distributed custody metrology</x:v>
      </x:c>
      <x:c r="D9" s="56" t="str">
        <x:v>salt-tolerant mass and identity reconciliation without a central meter</x:v>
      </x:c>
      <x:c r="E9" s="56" t="str">
        <x:v>Destroy or deny the governing distributed custody metrology boundary</x:v>
      </x:c>
      <x:c r="F9" s="56" t="str">
        <x:v>full causal-interface article</x:v>
      </x:c>
      <x:c r="G9" s="56" t="n">
        <x:v>0</x:v>
      </x:c>
      <x:c r="H9" s="56" t="str">
        <x:v>OPEN / BUILD-TO-TEST</x:v>
      </x:c>
    </x:row>
    <x:row r="10">
      <x:c r="A10" s="39" t="str">
        <x:v>ET-A-A-TECH-4</x:v>
      </x:c>
      <x:c r="B10" s="39" t="str">
        <x:v>ET-A-A</x:v>
      </x:c>
      <x:c r="C10" s="56" t="str">
        <x:v>Hull-local thermal metabolism</x:v>
      </x:c>
      <x:c r="D10" s="56" t="str">
        <x:v>drying, refuge and refrigeration heat rejection inside each train</x:v>
      </x:c>
      <x:c r="E10" s="56" t="str">
        <x:v>Destroy or deny the governing hull-local thermal metabolism boundary</x:v>
      </x:c>
      <x:c r="F10" s="56" t="str">
        <x:v>full causal-interface article</x:v>
      </x:c>
      <x:c r="G10" s="56" t="n">
        <x:v>0</x:v>
      </x:c>
      <x:c r="H10" s="56" t="str">
        <x:v>OPEN / BUILD-TO-TEST</x:v>
      </x:c>
    </x:row>
    <x:row r="11">
      <x:c r="A11" s="39" t="str">
        <x:v>CT-C-B-TECH-1</x:v>
      </x:c>
      <x:c r="B11" s="39" t="str">
        <x:v>CT-C-B</x:v>
      </x:c>
      <x:c r="C11" s="56" t="str">
        <x:v>Proof-loaded reversible attachment</x:v>
      </x:c>
      <x:c r="D11" s="56" t="str">
        <x:v>robotic anchor installation with continuous structural proof</x:v>
      </x:c>
      <x:c r="E11" s="56" t="str">
        <x:v>Release one anchor zone and fault its mixed trunk; adjacent arrestors stop progressive peel while occupied zones retain utility and egress.</x:v>
      </x:c>
      <x:c r="F11" s="56" t="str">
        <x:v>full causal-interface article</x:v>
      </x:c>
      <x:c r="G11" s="56" t="n">
        <x:v>0</x:v>
      </x:c>
      <x:c r="H11" s="56" t="str">
        <x:v>OPEN / BUILD-TO-TEST</x:v>
      </x:c>
    </x:row>
    <x:row r="12">
      <x:c r="A12" s="39" t="str">
        <x:v>CT-C-B-TECH-2</x:v>
      </x:c>
      <x:c r="B12" s="39" t="str">
        <x:v>CT-C-B</x:v>
      </x:c>
      <x:c r="C12" s="56" t="str">
        <x:v>Passive progressive-peel arrest</x:v>
      </x:c>
      <x:c r="D12" s="56" t="str">
        <x:v>segment gap that arrests a released façade zone</x:v>
      </x:c>
      <x:c r="E12" s="56" t="str">
        <x:v>Destroy or deny the governing passive progressive-peel arrest boundary</x:v>
      </x:c>
      <x:c r="F12" s="56" t="str">
        <x:v>full causal-interface article</x:v>
      </x:c>
      <x:c r="G12" s="56" t="n">
        <x:v>0</x:v>
      </x:c>
      <x:c r="H12" s="56" t="str">
        <x:v>OPEN / BUILD-TO-TEST</x:v>
      </x:c>
    </x:row>
    <x:row r="13">
      <x:c r="A13" s="39" t="str">
        <x:v>CT-C-B-TECH-3</x:v>
      </x:c>
      <x:c r="B13" s="39" t="str">
        <x:v>CT-C-B</x:v>
      </x:c>
      <x:c r="C13" s="56" t="str">
        <x:v>Mixed-utility guillotine</x:v>
      </x:c>
      <x:c r="D13" s="56" t="str">
        <x:v>coordinated electrical, hydraulic, smoke and dirty-return isolation</x:v>
      </x:c>
      <x:c r="E13" s="56" t="str">
        <x:v>Destroy or deny the governing mixed-utility guillotine boundary</x:v>
      </x:c>
      <x:c r="F13" s="56" t="str">
        <x:v>full causal-interface article</x:v>
      </x:c>
      <x:c r="G13" s="56" t="n">
        <x:v>0</x:v>
      </x:c>
      <x:c r="H13" s="56" t="str">
        <x:v>OPEN / BUILD-TO-TEST</x:v>
      </x:c>
    </x:row>
    <x:row r="14">
      <x:c r="A14" s="39" t="str">
        <x:v>CT-C-B-TECH-4</x:v>
      </x:c>
      <x:c r="B14" s="39" t="str">
        <x:v>CT-C-B</x:v>
      </x:c>
      <x:c r="C14" s="56" t="str">
        <x:v>Occupied-zone installation robotics</x:v>
      </x:c>
      <x:c r="D14" s="56" t="str">
        <x:v>low-noise, contamination-aware work around continuing occupancy</x:v>
      </x:c>
      <x:c r="E14" s="56" t="str">
        <x:v>Destroy or deny the governing occupied-zone installation robotics boundary</x:v>
      </x:c>
      <x:c r="F14" s="56" t="str">
        <x:v>full causal-interface article</x:v>
      </x:c>
      <x:c r="G14" s="56" t="n">
        <x:v>0</x:v>
      </x:c>
      <x:c r="H14" s="56" t="str">
        <x:v>OPEN / BUILD-TO-TEST</x:v>
      </x:c>
    </x:row>
    <x:row r="15">
      <x:c r="A15" s="39" t="str">
        <x:v>HC-A-C-TECH-1</x:v>
      </x:c>
      <x:c r="B15" s="39" t="str">
        <x:v>HC-A-C</x:v>
      </x:c>
      <x:c r="C15" s="56" t="str">
        <x:v>Mesh-independent heavy rotor cell</x:v>
      </x:c>
      <x:c r="D15" s="56" t="str">
        <x:v>local flight, causal delivery and safeing in denied navigation</x:v>
      </x:c>
      <x:c r="E15" s="56" t="str">
        <x:v>Deny the mesh and safe one cell inside the plume; four sectors each retain at least 27.1 km/day without shared cooling, navigation or refill.</x:v>
      </x:c>
      <x:c r="F15" s="56" t="str">
        <x:v>full causal-interface article</x:v>
      </x:c>
      <x:c r="G15" s="56" t="n">
        <x:v>0</x:v>
      </x:c>
      <x:c r="H15" s="56" t="str">
        <x:v>OPEN / BUILD-TO-TEST</x:v>
      </x:c>
    </x:row>
    <x:row r="16">
      <x:c r="A16" s="39" t="str">
        <x:v>HC-A-C-TECH-2</x:v>
      </x:c>
      <x:c r="B16" s="39" t="str">
        <x:v>HC-A-C</x:v>
      </x:c>
      <x:c r="C16" s="56" t="str">
        <x:v>Hot-zone exchange lane</x:v>
      </x:c>
      <x:c r="D16" s="56" t="str">
        <x:v>robotic battery or working-fluid exchange inside plume conditions</x:v>
      </x:c>
      <x:c r="E16" s="56" t="str">
        <x:v>Destroy or deny the governing hot-zone exchange lane boundary</x:v>
      </x:c>
      <x:c r="F16" s="56" t="str">
        <x:v>full causal-interface article</x:v>
      </x:c>
      <x:c r="G16" s="56" t="n">
        <x:v>0</x:v>
      </x:c>
      <x:c r="H16" s="56" t="str">
        <x:v>OPEN / BUILD-TO-TEST</x:v>
      </x:c>
    </x:row>
    <x:row r="17">
      <x:c r="A17" s="39" t="str">
        <x:v>HC-A-C-TECH-3</x:v>
      </x:c>
      <x:c r="B17" s="39" t="str">
        <x:v>HC-A-C</x:v>
      </x:c>
      <x:c r="C17" s="56" t="str">
        <x:v>Self-calibrating plume tomography</x:v>
      </x:c>
      <x:c r="D17" s="56" t="str">
        <x:v>visible hold under correlated sensor drift</x:v>
      </x:c>
      <x:c r="E17" s="56" t="str">
        <x:v>Destroy or deny the governing self-calibrating plume tomography boundary</x:v>
      </x:c>
      <x:c r="F17" s="56" t="str">
        <x:v>full causal-interface article</x:v>
      </x:c>
      <x:c r="G17" s="56" t="n">
        <x:v>0</x:v>
      </x:c>
      <x:c r="H17" s="56" t="str">
        <x:v>OPEN / BUILD-TO-TEST</x:v>
      </x:c>
    </x:row>
    <x:row r="18">
      <x:c r="A18" s="39" t="str">
        <x:v>HC-A-C-TECH-4</x:v>
      </x:c>
      <x:c r="B18" s="39" t="str">
        <x:v>HC-A-C</x:v>
      </x:c>
      <x:c r="C18" s="56" t="str">
        <x:v>Cell-local aero-thermal system</x:v>
      </x:c>
      <x:c r="D18" s="56" t="str">
        <x:v>72-hour rotor and payload thermal control without shared cooling</x:v>
      </x:c>
      <x:c r="E18" s="56" t="str">
        <x:v>Destroy or deny the governing cell-local aero-thermal system boundary</x:v>
      </x:c>
      <x:c r="F18" s="56" t="str">
        <x:v>full causal-interface article</x:v>
      </x:c>
      <x:c r="G18" s="56" t="n">
        <x:v>0</x:v>
      </x:c>
      <x:c r="H18" s="56" t="str">
        <x:v>OPEN / BUILD-TO-TEST</x:v>
      </x:c>
    </x:row>
    <x:row r="19">
      <x:c r="A19" s="39" t="str">
        <x:v>LF-B-A-TECH-1</x:v>
      </x:c>
      <x:c r="B19" s="39" t="str">
        <x:v>LF-B-A</x:v>
      </x:c>
      <x:c r="C19" s="56" t="str">
        <x:v>Rapid multi-bore inference</x:v>
      </x:c>
      <x:c r="D19" s="56" t="str">
        <x:v>local reservoir bounds without a central subsurface model</x:v>
      </x:c>
      <x:c r="E19" s="56" t="str">
        <x:v>Rupture one island boundary and deny its bore pair; three islands and two injection paths close mass, enthalpy and chemistry without header substitution.</x:v>
      </x:c>
      <x:c r="F19" s="56" t="str">
        <x:v>full causal-interface article</x:v>
      </x:c>
      <x:c r="G19" s="56" t="n">
        <x:v>0</x:v>
      </x:c>
      <x:c r="H19" s="56" t="str">
        <x:v>OPEN / BUILD-TO-TEST</x:v>
      </x:c>
    </x:row>
    <x:row r="20">
      <x:c r="A20" s="39" t="str">
        <x:v>LF-B-A-TECH-2</x:v>
      </x:c>
      <x:c r="B20" s="39" t="str">
        <x:v>LF-B-A</x:v>
      </x:c>
      <x:c r="C20" s="56" t="str">
        <x:v>Headerless high-temperature switching</x:v>
      </x:c>
      <x:c r="D20" s="56" t="str">
        <x:v>island-local production and reinjection isolation</x:v>
      </x:c>
      <x:c r="E20" s="56" t="str">
        <x:v>Destroy or deny the governing headerless high-temperature switching boundary</x:v>
      </x:c>
      <x:c r="F20" s="56" t="str">
        <x:v>full causal-interface article</x:v>
      </x:c>
      <x:c r="G20" s="56" t="n">
        <x:v>0</x:v>
      </x:c>
      <x:c r="H20" s="56" t="str">
        <x:v>OPEN / BUILD-TO-TEST</x:v>
      </x:c>
    </x:row>
    <x:row r="21">
      <x:c r="A21" s="39" t="str">
        <x:v>LF-B-A-TECH-3</x:v>
      </x:c>
      <x:c r="B21" s="39" t="str">
        <x:v>LF-B-A</x:v>
      </x:c>
      <x:c r="C21" s="56" t="str">
        <x:v>Closed brine-mineral metabolism</x:v>
      </x:c>
      <x:c r="D21" s="56" t="str">
        <x:v>continuous mass, chemistry and heat reconciliation</x:v>
      </x:c>
      <x:c r="E21" s="56" t="str">
        <x:v>Destroy or deny the governing closed brine-mineral metabolism boundary</x:v>
      </x:c>
      <x:c r="F21" s="56" t="str">
        <x:v>full causal-interface article</x:v>
      </x:c>
      <x:c r="G21" s="56" t="n">
        <x:v>0</x:v>
      </x:c>
      <x:c r="H21" s="56" t="str">
        <x:v>OPEN / BUILD-TO-TEST</x:v>
      </x:c>
    </x:row>
    <x:row r="22">
      <x:c r="A22" s="39" t="str">
        <x:v>LF-B-A-TECH-4</x:v>
      </x:c>
      <x:c r="B22" s="39" t="str">
        <x:v>LF-B-A</x:v>
      </x:c>
      <x:c r="C22" s="56" t="str">
        <x:v>Autonomous trenchless lifeline corridor</x:v>
      </x:c>
      <x:c r="D22" s="56" t="str">
        <x:v>two reconstructable water-power paths across broken terrain</x:v>
      </x:c>
      <x:c r="E22" s="56" t="str">
        <x:v>Destroy or deny the governing autonomous trenchless lifeline corridor boundary</x:v>
      </x:c>
      <x:c r="F22" s="56" t="str">
        <x:v>full causal-interface article</x:v>
      </x:c>
      <x:c r="G22" s="56" t="n">
        <x:v>0</x:v>
      </x:c>
      <x:c r="H22" s="56" t="str">
        <x:v>OPEN / BUILD-TO-TEST</x:v>
      </x:c>
    </x:row>
    <x:row r="23">
      <x:c r="A23" s="39" t="str">
        <x:v>HU-A-B-TECH-1</x:v>
      </x:c>
      <x:c r="B23" s="39" t="str">
        <x:v>HU-A-B</x:v>
      </x:c>
      <x:c r="C23" s="56" t="str">
        <x:v>Counter-rotating clinical loops</x:v>
      </x:c>
      <x:c r="D23" s="56" t="str">
        <x:v>clean-dirty circulation that survives one section and crossbar cut</x:v>
      </x:c>
      <x:c r="E23" s="56" t="str">
        <x:v>Block one loop section and its nearest crossbar during full census; all ten care lines retain clinical, sterile, thermal and relationship continuity.</x:v>
      </x:c>
      <x:c r="F23" s="56" t="str">
        <x:v>full causal-interface article</x:v>
      </x:c>
      <x:c r="G23" s="56" t="n">
        <x:v>0</x:v>
      </x:c>
      <x:c r="H23" s="56" t="str">
        <x:v>OPEN / BUILD-TO-TEST</x:v>
      </x:c>
    </x:row>
    <x:row r="24">
      <x:c r="A24" s="39" t="str">
        <x:v>HU-A-B-TECH-2</x:v>
      </x:c>
      <x:c r="B24" s="39" t="str">
        <x:v>HU-A-B</x:v>
      </x:c>
      <x:c r="C24" s="56" t="str">
        <x:v>Acuity-reconfigurable care district</x:v>
      </x:c>
      <x:c r="D24" s="56" t="str">
        <x:v>convert a bay without deleting any of ten care lines</x:v>
      </x:c>
      <x:c r="E24" s="56" t="str">
        <x:v>Destroy or deny the governing acuity-reconfigurable care district boundary</x:v>
      </x:c>
      <x:c r="F24" s="56" t="str">
        <x:v>full causal-interface article</x:v>
      </x:c>
      <x:c r="G24" s="56" t="n">
        <x:v>0</x:v>
      </x:c>
      <x:c r="H24" s="56" t="str">
        <x:v>OPEN / BUILD-TO-TEST</x:v>
      </x:c>
    </x:row>
    <x:row r="25">
      <x:c r="A25" s="39" t="str">
        <x:v>HU-A-B-TECH-3</x:v>
      </x:c>
      <x:c r="B25" s="39" t="str">
        <x:v>HU-A-B</x:v>
      </x:c>
      <x:c r="C25" s="56" t="str">
        <x:v>Distributed sterile ancestry</x:v>
      </x:c>
      <x:c r="D25" s="56" t="str">
        <x:v>qualify replacement sterile supply without a central core</x:v>
      </x:c>
      <x:c r="E25" s="56" t="str">
        <x:v>Destroy or deny the governing distributed sterile ancestry boundary</x:v>
      </x:c>
      <x:c r="F25" s="56" t="str">
        <x:v>full causal-interface article</x:v>
      </x:c>
      <x:c r="G25" s="56" t="n">
        <x:v>0</x:v>
      </x:c>
      <x:c r="H25" s="56" t="str">
        <x:v>OPEN / BUILD-TO-TEST</x:v>
      </x:c>
    </x:row>
    <x:row r="26">
      <x:c r="A26" s="39" t="str">
        <x:v>HU-A-B-TECH-4</x:v>
      </x:c>
      <x:c r="B26" s="39" t="str">
        <x:v>HU-A-B</x:v>
      </x:c>
      <x:c r="C26" s="56" t="str">
        <x:v>Offline relationship continuity</x:v>
      </x:c>
      <x:c r="D26" s="56" t="str">
        <x:v>identity, consent and authorized-support records without network dependence</x:v>
      </x:c>
      <x:c r="E26" s="56" t="str">
        <x:v>Destroy or deny the governing offline relationship continuity boundary</x:v>
      </x:c>
      <x:c r="F26" s="56" t="str">
        <x:v>full causal-interface article</x:v>
      </x:c>
      <x:c r="G26" s="56" t="n">
        <x:v>0</x:v>
      </x:c>
      <x:c r="H26" s="56" t="str">
        <x:v>OPEN / BUILD-TO-TEST</x:v>
      </x:c>
    </x:row>
    <x:row r="27">
      <x:c r="A27" s="39" t="str">
        <x:v>RT-B-C-TECH-1</x:v>
      </x:c>
      <x:c r="B27" s="39" t="str">
        <x:v>RT-B-C</x:v>
      </x:c>
      <x:c r="C27" s="56" t="str">
        <x:v>Ancestry-complete mobile trainlet</x:v>
      </x:c>
      <x:c r="D27" s="56" t="str">
        <x:v>portable processing from dirty return through signed release</x:v>
      </x:c>
      <x:c r="E27" s="56" t="str">
        <x:v>Isolate one trainlet and its largest energy cell; four trainlets preserve qualified release without shared heat sink, vendor key or calibration service.</x:v>
      </x:c>
      <x:c r="F27" s="56" t="str">
        <x:v>full causal-interface article</x:v>
      </x:c>
      <x:c r="G27" s="56" t="n">
        <x:v>0</x:v>
      </x:c>
      <x:c r="H27" s="56" t="str">
        <x:v>OPEN / BUILD-TO-TEST</x:v>
      </x:c>
    </x:row>
    <x:row r="28">
      <x:c r="A28" s="39" t="str">
        <x:v>RT-B-C-TECH-2</x:v>
      </x:c>
      <x:c r="B28" s="39" t="str">
        <x:v>RT-B-C</x:v>
      </x:c>
      <x:c r="C28" s="56" t="str">
        <x:v>Pulsed process microgrid</x:v>
      </x:c>
      <x:c r="D28" s="56" t="str">
        <x:v>trainlet-local power and heat rejection after largest-cell loss</x:v>
      </x:c>
      <x:c r="E28" s="56" t="str">
        <x:v>Destroy or deny the governing pulsed process microgrid boundary</x:v>
      </x:c>
      <x:c r="F28" s="56" t="str">
        <x:v>full causal-interface article</x:v>
      </x:c>
      <x:c r="G28" s="56" t="n">
        <x:v>0</x:v>
      </x:c>
      <x:c r="H28" s="56" t="str">
        <x:v>OPEN / BUILD-TO-TEST</x:v>
      </x:c>
    </x:row>
    <x:row r="29">
      <x:c r="A29" s="39" t="str">
        <x:v>RT-B-C-TECH-3</x:v>
      </x:c>
      <x:c r="B29" s="39" t="str">
        <x:v>RT-B-C</x:v>
      </x:c>
      <x:c r="C29" s="56" t="str">
        <x:v>Self-describing machines and fixtures</x:v>
      </x:c>
      <x:c r="D29" s="56" t="str">
        <x:v>cold rebuild without private keys or tacit setup</x:v>
      </x:c>
      <x:c r="E29" s="56" t="str">
        <x:v>Destroy or deny the governing self-describing machines and fixtures boundary</x:v>
      </x:c>
      <x:c r="F29" s="56" t="str">
        <x:v>full causal-interface article</x:v>
      </x:c>
      <x:c r="G29" s="56" t="n">
        <x:v>0</x:v>
      </x:c>
      <x:c r="H29" s="56" t="str">
        <x:v>OPEN / BUILD-TO-TEST</x:v>
      </x:c>
    </x:row>
    <x:row r="30">
      <x:c r="A30" s="39" t="str">
        <x:v>RT-B-C-TECH-4</x:v>
      </x:c>
      <x:c r="B30" s="39" t="str">
        <x:v>RT-B-C</x:v>
      </x:c>
      <x:c r="C30" s="56" t="str">
        <x:v>Portable primary metrology</x:v>
      </x:c>
      <x:c r="D30" s="56" t="str">
        <x:v>field standards that qualify release without a central laboratory</x:v>
      </x:c>
      <x:c r="E30" s="56" t="str">
        <x:v>Destroy or deny the governing portable primary metrology boundary</x:v>
      </x:c>
      <x:c r="F30" s="56" t="str">
        <x:v>full causal-interface article</x:v>
      </x:c>
      <x:c r="G30" s="56" t="n">
        <x:v>0</x:v>
      </x:c>
      <x:c r="H30" s="56" t="str">
        <x:v>OPEN / BUILD-TO-TEST</x:v>
      </x:c>
    </x:row>
  </x:sheetData>
  <x:pageMargins left="0.7" right="0.7" top="0.75" bottom="0.75" header="0.3" footer="0.3"/>
  <x:tableParts count="1">
    <x:tablePart xmlns:r="http://schemas.openxmlformats.org/officeDocument/2006/relationships" r:id="R5f38c0ed688c448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39"/>
      <x:c r="B1" s="39"/>
      <x:c r="C1" s="39"/>
      <x:c r="D1" s="39"/>
      <x:c r="E1" s="39"/>
      <x:c r="F1" s="39"/>
      <x:c r="G1" s="39"/>
      <x:c r="H1" s="39"/>
    </x:row>
    <x:row r="2">
      <x:c r="A2" s="75" t="str">
        <x:v>Conserved cohort-one design obligation</x:v>
      </x:c>
      <x:c r="B2" s="39"/>
      <x:c r="C2" s="39"/>
      <x:c r="D2" s="39"/>
      <x:c r="E2" s="39"/>
      <x:c r="F2" s="39"/>
      <x:c r="G2" s="39"/>
      <x:c r="H2" s="39"/>
    </x:row>
    <x:row r="3">
      <x:c r="A3" s="41"/>
      <x:c r="B3" s="41"/>
      <x:c r="C3" s="41"/>
      <x:c r="D3" s="41"/>
      <x:c r="E3" s="41"/>
      <x:c r="F3" s="41"/>
      <x:c r="G3" s="41"/>
      <x:c r="H3" s="41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56" t="str">
        <x:v>Topology revision does not authorize a cost uplift. The existing form ceiling funds definition of the revised physical object; prototype and production costs remain open.</x:v>
      </x:c>
      <x:c r="B4" s="39"/>
      <x:c r="C4" s="39"/>
      <x:c r="D4" s="39"/>
      <x:c r="E4" s="39"/>
      <x:c r="F4" s="39"/>
      <x:c r="G4" s="39"/>
      <x:c r="H4" s="39"/>
    </x:row>
    <x:row r="5">
      <x:c r="A5" s="39"/>
      <x:c r="B5" s="39"/>
      <x:c r="C5" s="39"/>
      <x:c r="D5" s="39"/>
      <x:c r="E5" s="39"/>
      <x:c r="F5" s="39"/>
      <x:c r="G5" s="39"/>
      <x:c r="H5" s="39"/>
    </x:row>
    <x:row r="6">
      <x:c r="A6" s="39" t="str">
        <x:v>Form</x:v>
      </x:c>
      <x:c r="B6" s="39" t="str">
        <x:v>Ceiling (USD M)</x:v>
      </x:c>
      <x:c r="C6" s="39" t="str">
        <x:v>Event method 20%</x:v>
      </x:c>
      <x:c r="D6" s="39" t="str">
        <x:v>Instrumentation 25%</x:v>
      </x:c>
      <x:c r="E6" s="39" t="str">
        <x:v>Civil closure 15%</x:v>
      </x:c>
      <x:c r="F6" s="39" t="str">
        <x:v>Article engineering 25%</x:v>
      </x:c>
      <x:c r="G6" s="39" t="str">
        <x:v>Cold reconstruction 15%</x:v>
      </x:c>
      <x:c r="H6" s="39" t="str">
        <x:v>Reconciled ceiling</x:v>
      </x:c>
    </x:row>
    <x:row r="7">
      <x:c r="A7" s="39" t="str">
        <x:v>ET-A-A</x:v>
      </x:c>
      <x:c r="B7" s="65" t="n">
        <x:v>25.0237309040925</x:v>
      </x:c>
      <x:c r="C7" s="65" t="n">
        <x:f>B7*20%</x:f>
        <x:v>5.0047461808185005</x:v>
      </x:c>
      <x:c r="D7" s="65" t="n">
        <x:f>B7*25%</x:f>
        <x:v>6.255932726023125</x:v>
      </x:c>
      <x:c r="E7" s="65" t="n">
        <x:f>B7*15%</x:f>
        <x:v>3.7535596356138745</x:v>
      </x:c>
      <x:c r="F7" s="65" t="n">
        <x:f>B7*25%</x:f>
        <x:v>6.255932726023125</x:v>
      </x:c>
      <x:c r="G7" s="65" t="n">
        <x:f>B7*15%</x:f>
        <x:v>3.7535596356138745</x:v>
      </x:c>
      <x:c r="H7" s="65" t="n">
        <x:f>SUM(C7:G7)</x:f>
        <x:v>25.023730904092503</x:v>
      </x:c>
    </x:row>
    <x:row r="8">
      <x:c r="A8" s="39" t="str">
        <x:v>CT-C-B</x:v>
      </x:c>
      <x:c r="B8" s="65" t="n">
        <x:v>25.824674088698</x:v>
      </x:c>
      <x:c r="C8" s="65" t="n">
        <x:f>B8*20%</x:f>
        <x:v>5.1649348177396</x:v>
      </x:c>
      <x:c r="D8" s="65" t="n">
        <x:f>B8*25%</x:f>
        <x:v>6.4561685221745</x:v>
      </x:c>
      <x:c r="E8" s="65" t="n">
        <x:f>B8*15%</x:f>
        <x:v>3.8737011133047</x:v>
      </x:c>
      <x:c r="F8" s="65" t="n">
        <x:f>B8*25%</x:f>
        <x:v>6.4561685221745</x:v>
      </x:c>
      <x:c r="G8" s="65" t="n">
        <x:f>B8*15%</x:f>
        <x:v>3.8737011133047</x:v>
      </x:c>
      <x:c r="H8" s="65" t="n">
        <x:f>SUM(C8:G8)</x:f>
        <x:v>25.824674088698</x:v>
      </x:c>
    </x:row>
    <x:row r="9">
      <x:c r="A9" s="39" t="str">
        <x:v>HC-A-C</x:v>
      </x:c>
      <x:c r="B9" s="65" t="n">
        <x:v>15.3610827033567</x:v>
      </x:c>
      <x:c r="C9" s="65" t="n">
        <x:f>B9*20%</x:f>
        <x:v>3.07221654067134</x:v>
      </x:c>
      <x:c r="D9" s="65" t="n">
        <x:f>B9*25%</x:f>
        <x:v>3.840270675839175</x:v>
      </x:c>
      <x:c r="E9" s="65" t="n">
        <x:f>B9*15%</x:f>
        <x:v>2.304162405503505</x:v>
      </x:c>
      <x:c r="F9" s="65" t="n">
        <x:f>B9*25%</x:f>
        <x:v>3.840270675839175</x:v>
      </x:c>
      <x:c r="G9" s="65" t="n">
        <x:f>B9*15%</x:f>
        <x:v>2.304162405503505</x:v>
      </x:c>
      <x:c r="H9" s="65" t="n">
        <x:f>SUM(C9:G9)</x:f>
        <x:v>15.361082703356699</x:v>
      </x:c>
    </x:row>
    <x:row r="10">
      <x:c r="A10" s="39" t="str">
        <x:v>LF-B-A</x:v>
      </x:c>
      <x:c r="B10" s="65" t="n">
        <x:v>44.9706409660283</x:v>
      </x:c>
      <x:c r="C10" s="65" t="n">
        <x:f>B10*20%</x:f>
        <x:v>8.99412819320566</x:v>
      </x:c>
      <x:c r="D10" s="65" t="n">
        <x:f>B10*25%</x:f>
        <x:v>11.242660241507075</x:v>
      </x:c>
      <x:c r="E10" s="65" t="n">
        <x:f>B10*15%</x:f>
        <x:v>6.745596144904245</x:v>
      </x:c>
      <x:c r="F10" s="65" t="n">
        <x:f>B10*25%</x:f>
        <x:v>11.242660241507075</x:v>
      </x:c>
      <x:c r="G10" s="65" t="n">
        <x:f>B10*15%</x:f>
        <x:v>6.745596144904245</x:v>
      </x:c>
      <x:c r="H10" s="65" t="n">
        <x:f>SUM(C10:G10)</x:f>
        <x:v>44.970640966028306</x:v>
      </x:c>
    </x:row>
    <x:row r="11">
      <x:c r="A11" s="39" t="str">
        <x:v>HU-A-B</x:v>
      </x:c>
      <x:c r="B11" s="65" t="n">
        <x:v>43.0356226470548</x:v>
      </x:c>
      <x:c r="C11" s="65" t="n">
        <x:f>B11*20%</x:f>
        <x:v>8.60712452941096</x:v>
      </x:c>
      <x:c r="D11" s="65" t="n">
        <x:f>B11*25%</x:f>
        <x:v>10.7589056617637</x:v>
      </x:c>
      <x:c r="E11" s="65" t="n">
        <x:f>B11*15%</x:f>
        <x:v>6.45534339705822</x:v>
      </x:c>
      <x:c r="F11" s="65" t="n">
        <x:f>B11*25%</x:f>
        <x:v>10.7589056617637</x:v>
      </x:c>
      <x:c r="G11" s="65" t="n">
        <x:f>B11*15%</x:f>
        <x:v>6.45534339705822</x:v>
      </x:c>
      <x:c r="H11" s="65" t="n">
        <x:f>SUM(C11:G11)</x:f>
        <x:v>43.0356226470548</x:v>
      </x:c>
    </x:row>
    <x:row r="12">
      <x:c r="A12" s="39" t="str">
        <x:v>RT-B-C</x:v>
      </x:c>
      <x:c r="B12" s="65" t="n">
        <x:v>25.1298896567982</x:v>
      </x:c>
      <x:c r="C12" s="65" t="n">
        <x:f>B12*20%</x:f>
        <x:v>5.02597793135964</x:v>
      </x:c>
      <x:c r="D12" s="65" t="n">
        <x:f>B12*25%</x:f>
        <x:v>6.28247241419955</x:v>
      </x:c>
      <x:c r="E12" s="65" t="n">
        <x:f>B12*15%</x:f>
        <x:v>3.7694834485197295</x:v>
      </x:c>
      <x:c r="F12" s="65" t="n">
        <x:f>B12*25%</x:f>
        <x:v>6.28247241419955</x:v>
      </x:c>
      <x:c r="G12" s="65" t="n">
        <x:f>B12*15%</x:f>
        <x:v>3.7694834485197295</x:v>
      </x:c>
      <x:c r="H12" s="65" t="n">
        <x:f>SUM(C12:G12)</x:f>
        <x:v>25.1298896567982</x:v>
      </x:c>
    </x:row>
    <x:row r="13">
      <x:c r="A13" s="39"/>
      <x:c r="B13" s="65"/>
      <x:c r="C13" s="65"/>
      <x:c r="D13" s="65"/>
      <x:c r="E13" s="65"/>
      <x:c r="F13" s="65"/>
      <x:c r="G13" s="65"/>
      <x:c r="H13" s="65"/>
    </x:row>
    <x:row r="14">
      <x:c r="A14" s="66" t="str">
        <x:v>Boundary</x:v>
      </x:c>
      <x:c r="B14" s="67" t="str">
        <x:v>Value (USD M)</x:v>
      </x:c>
      <x:c r="C14" s="67" t="str">
        <x:v>State</x:v>
      </x:c>
      <x:c r="D14" s="65"/>
      <x:c r="E14" s="65"/>
      <x:c r="F14" s="65"/>
      <x:c r="G14" s="65"/>
      <x:c r="H14" s="65"/>
    </x:row>
    <x:row r="15">
      <x:c r="A15" s="39" t="str">
        <x:v>Cohort-one obligation</x:v>
      </x:c>
      <x:c r="B15" s="65" t="n">
        <x:f>SUM(B7:B12)</x:f>
        <x:v>179.3456409660285</x:v>
      </x:c>
      <x:c r="C15" s="65" t="str">
        <x:v>CONSERVE</x:v>
      </x:c>
      <x:c r="D15" s="65"/>
      <x:c r="E15" s="65"/>
      <x:c r="F15" s="65"/>
      <x:c r="G15" s="65"/>
      <x:c r="H15" s="65"/>
    </x:row>
    <x:row r="16">
      <x:c r="A16" s="39" t="str">
        <x:v>Protected sibling reserve</x:v>
      </x:c>
      <x:c r="B16" s="65" t="n">
        <x:v>358.691281932057</x:v>
      </x:c>
      <x:c r="C16" s="65" t="str">
        <x:v>CONSERVE</x:v>
      </x:c>
      <x:c r="D16" s="65"/>
      <x:c r="E16" s="65"/>
      <x:c r="F16" s="65"/>
      <x:c r="G16" s="65"/>
      <x:c r="H16" s="65"/>
    </x:row>
    <x:row r="17">
      <x:c r="A17" s="39" t="str">
        <x:v>FRAME ceiling</x:v>
      </x:c>
      <x:c r="B17" s="65" t="n">
        <x:v>538.036922898085</x:v>
      </x:c>
      <x:c r="C17" s="65" t="str">
        <x:v>CONSERVE</x:v>
      </x:c>
      <x:c r="D17" s="65"/>
      <x:c r="E17" s="65"/>
      <x:c r="F17" s="65"/>
      <x:c r="G17" s="65"/>
      <x:c r="H17" s="65"/>
    </x:row>
    <x:row r="18">
      <x:c r="A18" s="39" t="str">
        <x:v>New obligation authorized</x:v>
      </x:c>
      <x:c r="B18" s="65" t="n">
        <x:v>0</x:v>
      </x:c>
      <x:c r="C18" s="65" t="str">
        <x:v>NONE</x:v>
      </x:c>
      <x:c r="D18" s="65"/>
      <x:c r="E18" s="65"/>
      <x:c r="F18" s="65"/>
      <x:c r="G18" s="65"/>
      <x:c r="H18" s="65"/>
    </x:row>
    <x:row r="19">
      <x:c r="A19" s="39" t="str">
        <x:v>Reconciliation</x:v>
      </x:c>
      <x:c r="B19" s="39" t="str">
        <x:v>Difference (USD M)</x:v>
      </x:c>
      <x:c r="C19" s="39" t="str">
        <x:v>State</x:v>
      </x:c>
      <x:c r="D19" s="39"/>
      <x:c r="E19" s="39"/>
      <x:c r="F19" s="39"/>
      <x:c r="G19" s="39"/>
      <x:c r="H19" s="39"/>
    </x:row>
    <x:row r="20">
      <x:c r="A20" s="39" t="str">
        <x:v>Obligation + reserve less FRAME</x:v>
      </x:c>
      <x:c r="B20" s="68" t="n">
        <x:f>ROUND(B15+B16-B17,2)</x:f>
        <x:v>0</x:v>
      </x:c>
      <x:c r="C20" s="39" t="str">
        <x:f>IF(ABS(B20)&lt;0.01,"PASS","FAIL")</x:f>
        <x:v>PASS</x:v>
      </x:c>
      <x:c r="D20" s="39"/>
      <x:c r="E20" s="39"/>
      <x:c r="F20" s="39"/>
      <x:c r="G20" s="39"/>
      <x:c r="H20" s="39"/>
    </x:row>
  </x:sheetData>
  <x:pageMargins left="0.7" right="0.7" top="0.75" bottom="0.75" header="0.3" footer="0.3"/>
  <x:tableParts count="1">
    <x:tablePart xmlns:r="http://schemas.openxmlformats.org/officeDocument/2006/relationships" r:id="R15772227063d41df"/>
  </x:tableParts>
</x:worksheet>
</file>

<file path=xl/worksheets/sheet12.xml><?xml version="1.0" encoding="utf-8"?>
<x:worksheet xmlns:x="http://schemas.openxmlformats.org/spreadsheetml/2006/main">
  <x:sheetPr>
    <x:tabColor rgb="FF9DC3E6"/>
  </x:sheetPr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18" hidden="0" customWidth="1"/>
    <x:col min="4" max="4" width="34" hidden="0" customWidth="1"/>
  </x:cols>
  <x:sheetData>
    <x:row r="1">
      <x:c r="A1" s="39"/>
      <x:c r="B1" s="39"/>
      <x:c r="C1" s="39"/>
      <x:c r="D1" s="39"/>
      <x:c r="E1" s="39"/>
      <x:c r="F1" s="39"/>
    </x:row>
    <x:row r="2">
      <x:c r="A2" s="75" t="str">
        <x:v>Inherited controls and authority holds</x:v>
      </x:c>
      <x:c r="B2" s="39"/>
      <x:c r="C2" s="39"/>
      <x:c r="D2" s="39"/>
      <x:c r="E2" s="39"/>
      <x:c r="F2" s="39"/>
    </x:row>
    <x:row r="3">
      <x:c r="A3" s="41"/>
      <x:c r="B3" s="41"/>
      <x:c r="C3" s="41"/>
      <x:c r="D3" s="41"/>
      <x:c r="E3" s="41"/>
      <x:c r="F3" s="41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9"/>
      <x:c r="B4" s="39"/>
      <x:c r="C4" s="39"/>
      <x:c r="D4" s="39"/>
      <x:c r="E4" s="39"/>
      <x:c r="F4" s="39"/>
    </x:row>
    <x:row r="5">
      <x:c r="A5" s="39"/>
      <x:c r="B5" s="39"/>
      <x:c r="C5" s="39"/>
      <x:c r="D5" s="39"/>
      <x:c r="E5" s="39"/>
      <x:c r="F5" s="39"/>
    </x:row>
    <x:row r="6">
      <x:c r="A6" s="39" t="str">
        <x:v>Input</x:v>
      </x:c>
      <x:c r="B6" s="39" t="str">
        <x:v>Value</x:v>
      </x:c>
      <x:c r="C6" s="39" t="str">
        <x:v>Unit</x:v>
      </x:c>
      <x:c r="D6" s="39" t="str">
        <x:v>Basis</x:v>
      </x:c>
      <x:c r="E6" s="39"/>
      <x:c r="F6" s="39"/>
    </x:row>
    <x:row r="7">
      <x:c r="A7" s="39" t="str">
        <x:v>PIL decision</x:v>
      </x:c>
      <x:c r="B7" s="39" t="str">
        <x:v>PIL-1</x:v>
      </x:c>
      <x:c r="C7" s="39" t="str">
        <x:v>Design decision</x:v>
      </x:c>
      <x:c r="D7" s="39" t="str">
        <x:v>Pass 238</x:v>
      </x:c>
      <x:c r="E7" s="39"/>
      <x:c r="F7" s="39"/>
    </x:row>
    <x:row r="8">
      <x:c r="A8" s="39" t="str">
        <x:v>Cohort-one forms</x:v>
      </x:c>
      <x:c r="B8" s="39" t="n">
        <x:v>6</x:v>
      </x:c>
      <x:c r="C8" s="39" t="str">
        <x:v>count</x:v>
      </x:c>
      <x:c r="D8" s="39" t="str">
        <x:v>Pass 236</x:v>
      </x:c>
      <x:c r="E8" s="39"/>
      <x:c r="F8" s="39"/>
    </x:row>
    <x:row r="9">
      <x:c r="A9" s="39" t="str">
        <x:v>Physical worlds</x:v>
      </x:c>
      <x:c r="B9" s="39" t="n">
        <x:v>4</x:v>
      </x:c>
      <x:c r="C9" s="39" t="str">
        <x:v>count</x:v>
      </x:c>
      <x:c r="D9" s="39" t="str">
        <x:v>Pass 236</x:v>
      </x:c>
      <x:c r="E9" s="39"/>
      <x:c r="F9" s="39"/>
    </x:row>
    <x:row r="10">
      <x:c r="A10" s="39" t="str">
        <x:v>Integration domains</x:v>
      </x:c>
      <x:c r="B10" s="39" t="n">
        <x:v>6</x:v>
      </x:c>
      <x:c r="C10" s="39" t="str">
        <x:v>count</x:v>
      </x:c>
      <x:c r="D10" s="39" t="str">
        <x:v>Pass 238</x:v>
      </x:c>
      <x:c r="E10" s="39"/>
      <x:c r="F10" s="39"/>
    </x:row>
    <x:row r="11">
      <x:c r="A11" s="39" t="str">
        <x:v>Two-sided half-width</x:v>
      </x:c>
      <x:c r="B11" s="73" t="n">
        <x:v>0.025</x:v>
      </x:c>
      <x:c r="C11" s="39" t="str">
        <x:v>fraction</x:v>
      </x:c>
      <x:c r="D11" s="39" t="str">
        <x:v>Pass 237</x:v>
      </x:c>
      <x:c r="E11" s="39"/>
      <x:c r="F11" s="39"/>
    </x:row>
    <x:row r="12">
      <x:c r="A12" s="39" t="str">
        <x:v>Required raw ratio</x:v>
      </x:c>
      <x:c r="B12" s="74" t="n">
        <x:v>1.05128205128205</x:v>
      </x:c>
      <x:c r="C12" s="39" t="str">
        <x:v>ratio</x:v>
      </x:c>
      <x:c r="D12" s="39" t="str">
        <x:v>Pass 237</x:v>
      </x:c>
      <x:c r="E12" s="39"/>
      <x:c r="F12" s="39"/>
    </x:row>
    <x:row r="13">
      <x:c r="A13" s="39" t="str">
        <x:v>Uprating orders</x:v>
      </x:c>
      <x:c r="B13" s="39" t="n">
        <x:v>21</x:v>
      </x:c>
      <x:c r="C13" s="39" t="str">
        <x:v>count</x:v>
      </x:c>
      <x:c r="D13" s="39" t="str">
        <x:v>Pass 237</x:v>
      </x:c>
      <x:c r="E13" s="39"/>
      <x:c r="F13" s="39"/>
    </x:row>
    <x:row r="14">
      <x:c r="A14" s="39" t="str">
        <x:v>Unmeasured coefficients</x:v>
      </x:c>
      <x:c r="B14" s="39" t="n">
        <x:v>36</x:v>
      </x:c>
      <x:c r="C14" s="39" t="str">
        <x:v>count</x:v>
      </x:c>
      <x:c r="D14" s="39" t="str">
        <x:v>Pass 237</x:v>
      </x:c>
      <x:c r="E14" s="39"/>
      <x:c r="F14" s="39"/>
    </x:row>
    <x:row r="15">
      <x:c r="A15" s="39" t="str">
        <x:v>Cold rebuild ceiling</x:v>
      </x:c>
      <x:c r="B15" s="39" t="n">
        <x:v>168</x:v>
      </x:c>
      <x:c r="C15" s="39" t="str">
        <x:v>h</x:v>
      </x:c>
      <x:c r="D15" s="39" t="str">
        <x:v>Pass 219</x:v>
      </x:c>
      <x:c r="E15" s="39"/>
      <x:c r="F15" s="39"/>
    </x:row>
    <x:row r="16">
      <x:c r="A16" s="39" t="str">
        <x:v>Fatal sustain window</x:v>
      </x:c>
      <x:c r="B16" s="39" t="n">
        <x:v>72</x:v>
      </x:c>
      <x:c r="C16" s="39" t="str">
        <x:v>h</x:v>
      </x:c>
      <x:c r="D16" s="39" t="str">
        <x:v>Pass 219</x:v>
      </x:c>
      <x:c r="E16" s="39"/>
      <x:c r="F16" s="39"/>
    </x:row>
    <x:row r="17">
      <x:c r="A17" s="39" t="str">
        <x:v>Accepted observations</x:v>
      </x:c>
      <x:c r="B17" s="39" t="n">
        <x:v>0</x:v>
      </x:c>
      <x:c r="C17" s="39" t="str">
        <x:v>count</x:v>
      </x:c>
      <x:c r="D17" s="39" t="str">
        <x:v>Authority hold</x:v>
      </x:c>
      <x:c r="E17" s="39"/>
      <x:c r="F17" s="39"/>
    </x:row>
    <x:row r="18">
      <x:c r="A18" s="39" t="str">
        <x:v>MAKE authority</x:v>
      </x:c>
      <x:c r="B18" s="39" t="n">
        <x:v>0</x:v>
      </x:c>
      <x:c r="C18" s="39" t="str">
        <x:v>binary</x:v>
      </x:c>
      <x:c r="D18" s="39" t="str">
        <x:v>Authority hold</x:v>
      </x:c>
      <x:c r="E18" s="39"/>
      <x:c r="F18" s="39"/>
    </x:row>
    <x:row r="19">
      <x:c r="A19" s="39" t="str">
        <x:v>REP-4 authority</x:v>
      </x:c>
      <x:c r="B19" s="39" t="n">
        <x:v>0</x:v>
      </x:c>
      <x:c r="C19" s="39" t="str">
        <x:v>binary</x:v>
      </x:c>
      <x:c r="D19" s="39" t="str">
        <x:v>Authority hold</x:v>
      </x:c>
      <x:c r="E19" s="39"/>
      <x:c r="F19" s="39"/>
    </x:row>
    <x:row r="20">
      <x:c r="A20" s="39" t="str">
        <x:v>Selection authority</x:v>
      </x:c>
      <x:c r="B20" s="39" t="n">
        <x:v>0</x:v>
      </x:c>
      <x:c r="C20" s="39" t="str">
        <x:v>binary</x:v>
      </x:c>
      <x:c r="D20" s="39" t="str">
        <x:v>Authority hold</x:v>
      </x:c>
      <x:c r="E20" s="39"/>
      <x:c r="F20" s="39"/>
    </x:row>
    <x:row r="21">
      <x:c r="A21" s="39" t="str">
        <x:v>Rendering authority</x:v>
      </x:c>
      <x:c r="B21" s="39" t="n">
        <x:v>0</x:v>
      </x:c>
      <x:c r="C21" s="39" t="str">
        <x:v>binary</x:v>
      </x:c>
      <x:c r="D21" s="39" t="str">
        <x:v>Authority hold</x:v>
      </x:c>
      <x:c r="E21" s="39"/>
      <x:c r="F21" s="39"/>
    </x:row>
  </x:sheetData>
  <x:pageMargins left="0.7" right="0.7" top="0.75" bottom="0.75" header="0.3" footer="0.3"/>
  <x:tableParts count="1">
    <x:tablePart xmlns:r="http://schemas.openxmlformats.org/officeDocument/2006/relationships" r:id="Rbf3577e3f4194e9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44" hidden="0" customWidth="1"/>
    <x:col min="5" max="5" width="40" hidden="0" customWidth="1"/>
    <x:col min="6" max="6" width="34" hidden="0" customWidth="1"/>
    <x:col min="7" max="7" width="24" hidden="0" customWidth="1"/>
  </x:cols>
  <x:sheetData>
    <x:row r="1">
      <x:c r="A1" s="39"/>
      <x:c r="B1" s="39"/>
      <x:c r="C1" s="39"/>
      <x:c r="D1" s="39"/>
      <x:c r="E1" s="39"/>
      <x:c r="F1" s="39"/>
      <x:c r="G1" s="39"/>
    </x:row>
    <x:row r="2">
      <x:c r="A2" s="75" t="str">
        <x:v>Disposable mutation protocol</x:v>
      </x:c>
      <x:c r="B2" s="39"/>
      <x:c r="C2" s="39"/>
      <x:c r="D2" s="39"/>
      <x:c r="E2" s="39"/>
      <x:c r="F2" s="39"/>
      <x:c r="G2" s="39"/>
    </x:row>
    <x:row r="3">
      <x:c r="A3" s="41"/>
      <x:c r="B3" s="41"/>
      <x:c r="C3" s="41"/>
      <x:c r="D3" s="41"/>
      <x:c r="E3" s="41"/>
      <x:c r="F3" s="41"/>
      <x:c r="G3" s="41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9"/>
      <x:c r="B4" s="39"/>
      <x:c r="C4" s="39"/>
      <x:c r="D4" s="39"/>
      <x:c r="E4" s="39"/>
      <x:c r="F4" s="39"/>
      <x:c r="G4" s="39"/>
    </x:row>
    <x:row r="5">
      <x:c r="A5" s="39"/>
      <x:c r="B5" s="39"/>
      <x:c r="C5" s="39"/>
      <x:c r="D5" s="39"/>
      <x:c r="E5" s="39"/>
      <x:c r="F5" s="39"/>
      <x:c r="G5" s="39"/>
    </x:row>
    <x:row r="6">
      <x:c r="A6" s="39" t="str">
        <x:v>Mutation</x:v>
      </x:c>
      <x:c r="B6" s="39" t="str">
        <x:v>Sheet</x:v>
      </x:c>
      <x:c r="C6" s="39" t="str">
        <x:v>Cell</x:v>
      </x:c>
      <x:c r="D6" s="39" t="str">
        <x:v>Disposable change</x:v>
      </x:c>
      <x:c r="E6" s="39" t="str">
        <x:v>Expected result</x:v>
      </x:c>
      <x:c r="F6" s="39" t="str">
        <x:v>Observed result</x:v>
      </x:c>
      <x:c r="G6" s="39" t="str">
        <x:v>Disposition</x:v>
      </x:c>
    </x:row>
    <x:row r="7">
      <x:c r="A7" s="39" t="str">
        <x:v>M01</x:v>
      </x:c>
      <x:c r="B7" s="39" t="str">
        <x:v>Integration Gates</x:v>
      </x:c>
      <x:c r="C7" s="39" t="str">
        <x:v>G7</x:v>
      </x:c>
      <x:c r="D7" s="56" t="str">
        <x:v>Set specified sets below requirement</x:v>
      </x:c>
      <x:c r="E7" s="56" t="str">
        <x:v>Summary gate count falls</x:v>
      </x:c>
      <x:c r="F7" s="56" t="str">
        <x:v>Audit changed as specified</x:v>
      </x:c>
      <x:c r="G7" s="56" t="str">
        <x:v>DETECTED / RESTORED</x:v>
      </x:c>
    </x:row>
    <x:row r="8">
      <x:c r="A8" s="39" t="str">
        <x:v>M02</x:v>
      </x:c>
      <x:c r="B8" s="39" t="str">
        <x:v>Integration Gates</x:v>
      </x:c>
      <x:c r="C8" s="39" t="str">
        <x:v>H18</x:v>
      </x:c>
      <x:c r="D8" s="56" t="str">
        <x:v>Insert common active keystone</x:v>
      </x:c>
      <x:c r="E8" s="56" t="str">
        <x:v>Gate changes to REDESIGN</x:v>
      </x:c>
      <x:c r="F8" s="56" t="str">
        <x:v>Audit changed as specified</x:v>
      </x:c>
      <x:c r="G8" s="56" t="str">
        <x:v>DETECTED / RESTORED</x:v>
      </x:c>
    </x:row>
    <x:row r="9">
      <x:c r="A9" s="39" t="str">
        <x:v>M03</x:v>
      </x:c>
      <x:c r="B9" s="39" t="str">
        <x:v>Integration Gates</x:v>
      </x:c>
      <x:c r="C9" s="39" t="str">
        <x:v>I29</x:v>
      </x:c>
      <x:c r="D9" s="56" t="str">
        <x:v>Remove local termination</x:v>
      </x:c>
      <x:c r="E9" s="56" t="str">
        <x:v>Gate changes to REDESIGN</x:v>
      </x:c>
      <x:c r="F9" s="56" t="str">
        <x:v>Audit changed as specified</x:v>
      </x:c>
      <x:c r="G9" s="56" t="str">
        <x:v>DETECTED / RESTORED</x:v>
      </x:c>
    </x:row>
    <x:row r="10">
      <x:c r="A10" s="39" t="str">
        <x:v>M04</x:v>
      </x:c>
      <x:c r="B10" s="39" t="str">
        <x:v>Integration Gates</x:v>
      </x:c>
      <x:c r="C10" s="39" t="str">
        <x:v>J40</x:v>
      </x:c>
      <x:c r="D10" s="56" t="str">
        <x:v>Remove rights route</x:v>
      </x:c>
      <x:c r="E10" s="56" t="str">
        <x:v>Gate changes to REDESIGN</x:v>
      </x:c>
      <x:c r="F10" s="56" t="str">
        <x:v>Audit changed as specified</x:v>
      </x:c>
      <x:c r="G10" s="56" t="str">
        <x:v>DETECTED / RESTORED</x:v>
      </x:c>
    </x:row>
    <x:row r="11">
      <x:c r="A11" s="39" t="str">
        <x:v>M05</x:v>
      </x:c>
      <x:c r="B11" s="39" t="str">
        <x:v>Integration Gates</x:v>
      </x:c>
      <x:c r="C11" s="39" t="str">
        <x:v>K51</x:v>
      </x:c>
      <x:c r="D11" s="56" t="str">
        <x:v>Remove residual route</x:v>
      </x:c>
      <x:c r="E11" s="56" t="str">
        <x:v>Gate changes to REDESIGN</x:v>
      </x:c>
      <x:c r="F11" s="56" t="str">
        <x:v>Audit changed as specified</x:v>
      </x:c>
      <x:c r="G11" s="56" t="str">
        <x:v>DETECTED / RESTORED</x:v>
      </x:c>
    </x:row>
    <x:row r="12">
      <x:c r="A12" s="39" t="str">
        <x:v>M06</x:v>
      </x:c>
      <x:c r="B12" s="39" t="str">
        <x:v>Integration Gates</x:v>
      </x:c>
      <x:c r="C12" s="39" t="str">
        <x:v>L62</x:v>
      </x:c>
      <x:c r="D12" s="56" t="str">
        <x:v>Remove public rebuild route</x:v>
      </x:c>
      <x:c r="E12" s="56" t="str">
        <x:v>Gate changes to REDESIGN</x:v>
      </x:c>
      <x:c r="F12" s="56" t="str">
        <x:v>Audit changed as specified</x:v>
      </x:c>
      <x:c r="G12" s="56" t="str">
        <x:v>DETECTED / RESTORED</x:v>
      </x:c>
    </x:row>
    <x:row r="13">
      <x:c r="A13" s="39" t="str">
        <x:v>M07</x:v>
      </x:c>
      <x:c r="B13" s="39" t="str">
        <x:v>Rights Gates</x:v>
      </x:c>
      <x:c r="C13" s="39" t="str">
        <x:v>F7</x:v>
      </x:c>
      <x:c r="D13" s="56" t="str">
        <x:v>Remove local authority</x:v>
      </x:c>
      <x:c r="E13" s="56" t="str">
        <x:v>Rights state changes to FAIL</x:v>
      </x:c>
      <x:c r="F13" s="56" t="str">
        <x:v>Audit changed as specified</x:v>
      </x:c>
      <x:c r="G13" s="56" t="str">
        <x:v>DETECTED / RESTORED</x:v>
      </x:c>
    </x:row>
    <x:row r="14">
      <x:c r="A14" s="39" t="str">
        <x:v>M08</x:v>
      </x:c>
      <x:c r="B14" s="39" t="str">
        <x:v>Rights Gates</x:v>
      </x:c>
      <x:c r="C14" s="39" t="str">
        <x:v>G14</x:v>
      </x:c>
      <x:c r="D14" s="56" t="str">
        <x:v>Remove independent record</x:v>
      </x:c>
      <x:c r="E14" s="56" t="str">
        <x:v>Rights state changes to FAIL</x:v>
      </x:c>
      <x:c r="F14" s="56" t="str">
        <x:v>Audit changed as specified</x:v>
      </x:c>
      <x:c r="G14" s="56" t="str">
        <x:v>DETECTED / RESTORED</x:v>
      </x:c>
    </x:row>
    <x:row r="15">
      <x:c r="A15" s="39" t="str">
        <x:v>M09</x:v>
      </x:c>
      <x:c r="B15" s="39" t="str">
        <x:v>Rights Gates</x:v>
      </x:c>
      <x:c r="C15" s="39" t="str">
        <x:v>H21</x:v>
      </x:c>
      <x:c r="D15" s="56" t="str">
        <x:v>Remove remedy path</x:v>
      </x:c>
      <x:c r="E15" s="56" t="str">
        <x:v>Rights state changes to FAIL</x:v>
      </x:c>
      <x:c r="F15" s="56" t="str">
        <x:v>Audit changed as specified</x:v>
      </x:c>
      <x:c r="G15" s="56" t="str">
        <x:v>DETECTED / RESTORED</x:v>
      </x:c>
    </x:row>
    <x:row r="16">
      <x:c r="A16" s="39" t="str">
        <x:v>M10</x:v>
      </x:c>
      <x:c r="B16" s="39" t="str">
        <x:v>Finance</x:v>
      </x:c>
      <x:c r="C16" s="39" t="str">
        <x:v>B7</x:v>
      </x:c>
      <x:c r="D16" s="56" t="str">
        <x:v>Increase form ceiling</x:v>
      </x:c>
      <x:c r="E16" s="56" t="str">
        <x:v>Finance reconciliation fails</x:v>
      </x:c>
      <x:c r="F16" s="56" t="str">
        <x:v>Audit changed as specified</x:v>
      </x:c>
      <x:c r="G16" s="56" t="str">
        <x:v>DETECTED / RESTORED</x:v>
      </x:c>
    </x:row>
    <x:row r="17">
      <x:c r="A17" s="39" t="str">
        <x:v>M11</x:v>
      </x:c>
      <x:c r="B17" s="39" t="str">
        <x:v>Finance</x:v>
      </x:c>
      <x:c r="C17" s="39" t="str">
        <x:v>B16</x:v>
      </x:c>
      <x:c r="D17" s="56" t="str">
        <x:v>Reduce sibling reserve</x:v>
      </x:c>
      <x:c r="E17" s="56" t="str">
        <x:v>Finance reconciliation fails</x:v>
      </x:c>
      <x:c r="F17" s="56" t="str">
        <x:v>Audit changed as specified</x:v>
      </x:c>
      <x:c r="G17" s="56" t="str">
        <x:v>DETECTED / RESTORED</x:v>
      </x:c>
    </x:row>
    <x:row r="18">
      <x:c r="A18" s="39" t="str">
        <x:v>M12</x:v>
      </x:c>
      <x:c r="B18" s="39" t="str">
        <x:v>Inputs</x:v>
      </x:c>
      <x:c r="C18" s="39" t="str">
        <x:v>B17</x:v>
      </x:c>
      <x:c r="D18" s="56" t="str">
        <x:v>Grant observation</x:v>
      </x:c>
      <x:c r="E18" s="56" t="str">
        <x:v>Authority-hold audit fails</x:v>
      </x:c>
      <x:c r="F18" s="56" t="str">
        <x:v>Audit changed as specified</x:v>
      </x:c>
      <x:c r="G18" s="56" t="str">
        <x:v>DETECTED / RESTORED</x:v>
      </x:c>
    </x:row>
    <x:row r="19">
      <x:c r="A19" s="39" t="str">
        <x:v>M13</x:v>
      </x:c>
      <x:c r="B19" s="39" t="str">
        <x:v>Inputs</x:v>
      </x:c>
      <x:c r="C19" s="39" t="str">
        <x:v>B18</x:v>
      </x:c>
      <x:c r="D19" s="56" t="str">
        <x:v>Grant MAKE</x:v>
      </x:c>
      <x:c r="E19" s="56" t="str">
        <x:v>Authority-hold audit fails</x:v>
      </x:c>
      <x:c r="F19" s="56" t="str">
        <x:v>Audit changed as specified</x:v>
      </x:c>
      <x:c r="G19" s="56" t="str">
        <x:v>DETECTED / RESTORED</x:v>
      </x:c>
    </x:row>
    <x:row r="20">
      <x:c r="A20" s="39" t="str">
        <x:v>M14</x:v>
      </x:c>
      <x:c r="B20" s="39" t="str">
        <x:v>Inputs</x:v>
      </x:c>
      <x:c r="C20" s="39" t="str">
        <x:v>B19</x:v>
      </x:c>
      <x:c r="D20" s="56" t="str">
        <x:v>Grant REP-4</x:v>
      </x:c>
      <x:c r="E20" s="56" t="str">
        <x:v>Authority-hold audit fails</x:v>
      </x:c>
      <x:c r="F20" s="56" t="str">
        <x:v>Audit changed as specified</x:v>
      </x:c>
      <x:c r="G20" s="56" t="str">
        <x:v>DETECTED / RESTORED</x:v>
      </x:c>
    </x:row>
    <x:row r="21">
      <x:c r="A21" s="39" t="str">
        <x:v>M15</x:v>
      </x:c>
      <x:c r="B21" s="39" t="str">
        <x:v>Inputs</x:v>
      </x:c>
      <x:c r="C21" s="39" t="str">
        <x:v>B20</x:v>
      </x:c>
      <x:c r="D21" s="56" t="str">
        <x:v>Grant selection</x:v>
      </x:c>
      <x:c r="E21" s="56" t="str">
        <x:v>Authority-hold audit fails</x:v>
      </x:c>
      <x:c r="F21" s="56" t="str">
        <x:v>Audit changed as specified</x:v>
      </x:c>
      <x:c r="G21" s="56" t="str">
        <x:v>DETECTED / RESTORED</x:v>
      </x:c>
    </x:row>
    <x:row r="22">
      <x:c r="A22" s="39" t="str">
        <x:v>M16</x:v>
      </x:c>
      <x:c r="B22" s="39" t="str">
        <x:v>Inputs</x:v>
      </x:c>
      <x:c r="C22" s="39" t="str">
        <x:v>B21</x:v>
      </x:c>
      <x:c r="D22" s="56" t="str">
        <x:v>Grant rendering</x:v>
      </x:c>
      <x:c r="E22" s="56" t="str">
        <x:v>Authority-hold audit fails</x:v>
      </x:c>
      <x:c r="F22" s="56" t="str">
        <x:v>Audit changed as specified</x:v>
      </x:c>
      <x:c r="G22" s="56" t="str">
        <x:v>DETECTED / RESTORED</x:v>
      </x:c>
    </x:row>
    <x:row r="23">
      <x:c r="A23" s="39" t="str">
        <x:v>M17</x:v>
      </x:c>
      <x:c r="B23" s="39" t="str">
        <x:v>Form Decisions</x:v>
      </x:c>
      <x:c r="C23" s="39" t="str">
        <x:v>D7</x:v>
      </x:c>
      <x:c r="D23" s="56" t="str">
        <x:v>Change topology disposition</x:v>
      </x:c>
      <x:c r="E23" s="56" t="str">
        <x:v>Topology-count audit fails</x:v>
      </x:c>
      <x:c r="F23" s="56" t="str">
        <x:v>Audit changed as specified</x:v>
      </x:c>
      <x:c r="G23" s="56" t="str">
        <x:v>DETECTED / RESTORED</x:v>
      </x:c>
    </x:row>
    <x:row r="24">
      <x:c r="A24" s="39" t="str">
        <x:v>M18</x:v>
      </x:c>
      <x:c r="B24" s="39" t="str">
        <x:v>Form Decisions</x:v>
      </x:c>
      <x:c r="C24" s="39" t="str">
        <x:v>J8</x:v>
      </x:c>
      <x:c r="D24" s="56" t="str">
        <x:v>Delete structural set</x:v>
      </x:c>
      <x:c r="E24" s="56" t="str">
        <x:v>Decision completeness audit fails</x:v>
      </x:c>
      <x:c r="F24" s="56" t="str">
        <x:v>Audit changed as specified</x:v>
      </x:c>
      <x:c r="G24" s="56" t="str">
        <x:v>DETECTED / RESTORED</x:v>
      </x:c>
    </x:row>
    <x:row r="25">
      <x:c r="A25" s="39" t="str">
        <x:v>M19</x:v>
      </x:c>
      <x:c r="B25" s="39" t="str">
        <x:v>Safe States</x:v>
      </x:c>
      <x:c r="C25" s="39" t="str">
        <x:v>F7</x:v>
      </x:c>
      <x:c r="D25" s="56" t="str">
        <x:v>Delete sustain ceiling</x:v>
      </x:c>
      <x:c r="E25" s="56" t="str">
        <x:v>Safe-state completeness audit fails</x:v>
      </x:c>
      <x:c r="F25" s="56" t="str">
        <x:v>Audit changed as specified</x:v>
      </x:c>
      <x:c r="G25" s="56" t="str">
        <x:v>DETECTED / RESTORED</x:v>
      </x:c>
    </x:row>
    <x:row r="26">
      <x:c r="A26" s="39" t="str">
        <x:v>M20</x:v>
      </x:c>
      <x:c r="B26" s="39" t="str">
        <x:v>Cold Reconstruction</x:v>
      </x:c>
      <x:c r="C26" s="39" t="str">
        <x:v>I7</x:v>
      </x:c>
      <x:c r="D26" s="56" t="str">
        <x:v>Grant accepted rebuild</x:v>
      </x:c>
      <x:c r="E26" s="56" t="str">
        <x:v>Evidence-hold audit fails</x:v>
      </x:c>
      <x:c r="F26" s="56" t="str">
        <x:v>Audit changed as specified</x:v>
      </x:c>
      <x:c r="G26" s="56" t="str">
        <x:v>DETECTED / RESTORED</x:v>
      </x:c>
    </x:row>
    <x:row r="27">
      <x:c r="A27" s="39" t="str">
        <x:v>M21</x:v>
      </x:c>
      <x:c r="B27" s="39" t="str">
        <x:v>Technology Orders</x:v>
      </x:c>
      <x:c r="C27" s="39" t="str">
        <x:v>G7</x:v>
      </x:c>
      <x:c r="D27" s="56" t="str">
        <x:v>Grant accepted technology evidence</x:v>
      </x:c>
      <x:c r="E27" s="56" t="str">
        <x:v>Evidence-hold audit fails</x:v>
      </x:c>
      <x:c r="F27" s="56" t="str">
        <x:v>Audit changed as specified</x:v>
      </x:c>
      <x:c r="G27" s="56" t="str">
        <x:v>DETECTED / RESTORED</x:v>
      </x:c>
    </x:row>
    <x:row r="28">
      <x:c r="A28" s="39" t="str">
        <x:v>M22</x:v>
      </x:c>
      <x:c r="B28" s="39" t="str">
        <x:v>Cut Sets</x:v>
      </x:c>
      <x:c r="C28" s="39" t="str">
        <x:v>H7</x:v>
      </x:c>
      <x:c r="D28" s="56" t="str">
        <x:v>Grant accepted observation</x:v>
      </x:c>
      <x:c r="E28" s="56" t="str">
        <x:v>Evidence-hold audit fails</x:v>
      </x:c>
      <x:c r="F28" s="56" t="str">
        <x:v>Audit changed as specified</x:v>
      </x:c>
      <x:c r="G28" s="56" t="str">
        <x:v>DETECTED / RESTORED</x:v>
      </x:c>
    </x:row>
  </x:sheetData>
  <x:pageMargins left="0.7" right="0.7" top="0.75" bottom="0.75" header="0.3" footer="0.3"/>
  <x:tableParts count="1">
    <x:tablePart xmlns:r="http://schemas.openxmlformats.org/officeDocument/2006/relationships" r:id="Rb34f6b373c424423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6" hidden="0" customWidth="1"/>
    <x:col min="3" max="3" width="18" hidden="0" customWidth="1"/>
    <x:col min="4" max="4" width="18" hidden="0" customWidth="1"/>
    <x:col min="5" max="5" width="14" hidden="0" customWidth="1"/>
  </x:cols>
  <x:sheetData>
    <x:row r="1">
      <x:c r="A1" s="39"/>
      <x:c r="B1" s="39"/>
      <x:c r="C1" s="39"/>
      <x:c r="D1" s="39"/>
      <x:c r="E1" s="39"/>
    </x:row>
    <x:row r="2">
      <x:c r="A2" s="75" t="str">
        <x:v>Terminal workbook audits</x:v>
      </x:c>
      <x:c r="B2" s="39"/>
      <x:c r="C2" s="39"/>
      <x:c r="D2" s="39"/>
      <x:c r="E2" s="39"/>
    </x:row>
    <x:row r="3">
      <x:c r="A3" s="41"/>
      <x:c r="B3" s="41"/>
      <x:c r="C3" s="41"/>
      <x:c r="D3" s="41"/>
      <x:c r="E3" s="41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9"/>
      <x:c r="B4" s="39"/>
      <x:c r="C4" s="39"/>
      <x:c r="D4" s="39"/>
      <x:c r="E4" s="39"/>
    </x:row>
    <x:row r="5">
      <x:c r="A5" s="39"/>
      <x:c r="B5" s="39"/>
      <x:c r="C5" s="39"/>
      <x:c r="D5" s="39"/>
      <x:c r="E5" s="39"/>
    </x:row>
    <x:row r="6">
      <x:c r="A6" s="39" t="str">
        <x:v>Audit</x:v>
      </x:c>
      <x:c r="B6" s="39" t="str">
        <x:v>Test</x:v>
      </x:c>
      <x:c r="C6" s="39" t="str">
        <x:v>Calculated</x:v>
      </x:c>
      <x:c r="D6" s="39" t="str">
        <x:v>Expected</x:v>
      </x:c>
      <x:c r="E6" s="39" t="str">
        <x:v>State</x:v>
      </x:c>
    </x:row>
    <x:row r="7">
      <x:c r="A7" s="39" t="str">
        <x:v>A01</x:v>
      </x:c>
      <x:c r="B7" s="39" t="str">
        <x:v>Six form decisions</x:v>
      </x:c>
      <x:c r="C7" s="39" t="n">
        <x:f>COUNTA('Form Decisions'!$A$7:$A$12)</x:f>
        <x:v>6</x:v>
      </x:c>
      <x:c r="D7" s="39" t="n">
        <x:v>6</x:v>
      </x:c>
      <x:c r="E7" s="39" t="str">
        <x:f>IF(C7=D7,"PASS","FAIL")</x:f>
        <x:v>PASS</x:v>
      </x:c>
    </x:row>
    <x:row r="8">
      <x:c r="A8" s="39" t="str">
        <x:v>A02</x:v>
      </x:c>
      <x:c r="B8" s="39" t="str">
        <x:v>Three topology retentions</x:v>
      </x:c>
      <x:c r="C8" s="39" t="n">
        <x:f>COUNTIF('Form Decisions'!$D$7:$D$12,"RETAIN TOPOLOGY")</x:f>
        <x:v>3</x:v>
      </x:c>
      <x:c r="D8" s="39" t="n">
        <x:v>3</x:v>
      </x:c>
      <x:c r="E8" s="39" t="str">
        <x:f>IF(C8=D8,"PASS","FAIL")</x:f>
        <x:v>PASS</x:v>
      </x:c>
    </x:row>
    <x:row r="9">
      <x:c r="A9" s="39" t="str">
        <x:v>A03</x:v>
      </x:c>
      <x:c r="B9" s="39" t="str">
        <x:v>Three topology revisions</x:v>
      </x:c>
      <x:c r="C9" s="39" t="n">
        <x:f>COUNTIF('Form Decisions'!$D$7:$D$12,"REVISE TOPOLOGY")</x:f>
        <x:v>3</x:v>
      </x:c>
      <x:c r="D9" s="39" t="n">
        <x:v>3</x:v>
      </x:c>
      <x:c r="E9" s="39" t="str">
        <x:f>IF(C9=D9,"PASS","FAIL")</x:f>
        <x:v>PASS</x:v>
      </x:c>
    </x:row>
    <x:row r="10">
      <x:c r="A10" s="39" t="str">
        <x:v>A04</x:v>
      </x:c>
      <x:c r="B10" s="39" t="str">
        <x:v>144 integration gates</x:v>
      </x:c>
      <x:c r="C10" s="39" t="n">
        <x:f>COUNTA('Integration Gates'!$A$7:$A$150)</x:f>
        <x:v>144</x:v>
      </x:c>
      <x:c r="D10" s="39" t="n">
        <x:v>144</x:v>
      </x:c>
      <x:c r="E10" s="39" t="str">
        <x:f>IF(C10=D10,"PASS","FAIL")</x:f>
        <x:v>PASS</x:v>
      </x:c>
    </x:row>
    <x:row r="11">
      <x:c r="A11" s="39" t="str">
        <x:v>A05</x:v>
      </x:c>
      <x:c r="B11" s="39" t="str">
        <x:v>144 gates specified</x:v>
      </x:c>
      <x:c r="C11" s="39" t="n">
        <x:f>COUNTIF('Integration Gates'!$M$7:$M$150,"SPECIFIED / UNOBSERVED")</x:f>
        <x:v>144</x:v>
      </x:c>
      <x:c r="D11" s="39" t="n">
        <x:v>144</x:v>
      </x:c>
      <x:c r="E11" s="39" t="str">
        <x:f>IF(C11=D11,"PASS","FAIL")</x:f>
        <x:v>PASS</x:v>
      </x:c>
    </x:row>
    <x:row r="12">
      <x:c r="A12" s="39" t="str">
        <x:v>A06</x:v>
      </x:c>
      <x:c r="B12" s="39" t="str">
        <x:v>No integration redesign remains</x:v>
      </x:c>
      <x:c r="C12" s="39" t="n">
        <x:f>COUNTIF('Integration Gates'!$M$7:$M$150,"REDESIGN")</x:f>
        <x:v>0</x:v>
      </x:c>
      <x:c r="D12" s="39" t="n">
        <x:v>0</x:v>
      </x:c>
      <x:c r="E12" s="39" t="str">
        <x:f>IF(C12=D12,"PASS","FAIL")</x:f>
        <x:v>PASS</x:v>
      </x:c>
    </x:row>
    <x:row r="13">
      <x:c r="A13" s="39" t="str">
        <x:v>A07</x:v>
      </x:c>
      <x:c r="B13" s="39" t="str">
        <x:v>No active common keystones</x:v>
      </x:c>
      <x:c r="C13" s="39" t="n">
        <x:f>SUM('Integration Gates'!$H$7:$H$150)</x:f>
        <x:v>0</x:v>
      </x:c>
      <x:c r="D13" s="39" t="n">
        <x:v>0</x:v>
      </x:c>
      <x:c r="E13" s="39" t="str">
        <x:f>IF(C13=D13,"PASS","FAIL")</x:f>
        <x:v>PASS</x:v>
      </x:c>
    </x:row>
    <x:row r="14">
      <x:c r="A14" s="39" t="str">
        <x:v>A08</x:v>
      </x:c>
      <x:c r="B14" s="39" t="str">
        <x:v>All local termination routes</x:v>
      </x:c>
      <x:c r="C14" s="39" t="n">
        <x:f>SUM('Integration Gates'!$I$7:$I$150)</x:f>
        <x:v>144</x:v>
      </x:c>
      <x:c r="D14" s="39" t="n">
        <x:v>144</x:v>
      </x:c>
      <x:c r="E14" s="39" t="str">
        <x:f>IF(C14=D14,"PASS","FAIL")</x:f>
        <x:v>PASS</x:v>
      </x:c>
    </x:row>
    <x:row r="15">
      <x:c r="A15" s="39" t="str">
        <x:v>A09</x:v>
      </x:c>
      <x:c r="B15" s="39" t="str">
        <x:v>All rights routes</x:v>
      </x:c>
      <x:c r="C15" s="39" t="n">
        <x:f>SUM('Integration Gates'!$J$7:$J$150)</x:f>
        <x:v>144</x:v>
      </x:c>
      <x:c r="D15" s="39" t="n">
        <x:v>144</x:v>
      </x:c>
      <x:c r="E15" s="39" t="str">
        <x:f>IF(C15=D15,"PASS","FAIL")</x:f>
        <x:v>PASS</x:v>
      </x:c>
    </x:row>
    <x:row r="16">
      <x:c r="A16" s="39" t="str">
        <x:v>A10</x:v>
      </x:c>
      <x:c r="B16" s="39" t="str">
        <x:v>All residual routes</x:v>
      </x:c>
      <x:c r="C16" s="39" t="n">
        <x:f>SUM('Integration Gates'!$K$7:$K$150)</x:f>
        <x:v>144</x:v>
      </x:c>
      <x:c r="D16" s="39" t="n">
        <x:v>144</x:v>
      </x:c>
      <x:c r="E16" s="39" t="str">
        <x:f>IF(C16=D16,"PASS","FAIL")</x:f>
        <x:v>PASS</x:v>
      </x:c>
    </x:row>
    <x:row r="17">
      <x:c r="A17" s="39" t="str">
        <x:v>A11</x:v>
      </x:c>
      <x:c r="B17" s="39" t="str">
        <x:v>All public rebuild routes</x:v>
      </x:c>
      <x:c r="C17" s="39" t="n">
        <x:f>SUM('Integration Gates'!$L$7:$L$150)</x:f>
        <x:v>144</x:v>
      </x:c>
      <x:c r="D17" s="39" t="n">
        <x:v>144</x:v>
      </x:c>
      <x:c r="E17" s="39" t="str">
        <x:f>IF(C17=D17,"PASS","FAIL")</x:f>
        <x:v>PASS</x:v>
      </x:c>
    </x:row>
    <x:row r="18">
      <x:c r="A18" s="39" t="str">
        <x:v>A12</x:v>
      </x:c>
      <x:c r="B18" s="39" t="str">
        <x:v>Thirty-six cut sets</x:v>
      </x:c>
      <x:c r="C18" s="39" t="n">
        <x:f>COUNTA('Cut Sets'!$A$7:$A$42)</x:f>
        <x:v>36</x:v>
      </x:c>
      <x:c r="D18" s="39" t="n">
        <x:v>36</x:v>
      </x:c>
      <x:c r="E18" s="39" t="str">
        <x:f>IF(C18=D18,"PASS","FAIL")</x:f>
        <x:v>PASS</x:v>
      </x:c>
    </x:row>
    <x:row r="19">
      <x:c r="A19" s="39" t="str">
        <x:v>A13</x:v>
      </x:c>
      <x:c r="B19" s="39" t="str">
        <x:v>Thirty-six physical interfaces</x:v>
      </x:c>
      <x:c r="C19" s="39" t="n">
        <x:f>COUNTA('Physical Interfaces'!$A$7:$A$42)</x:f>
        <x:v>36</x:v>
      </x:c>
      <x:c r="D19" s="39" t="n">
        <x:v>36</x:v>
      </x:c>
      <x:c r="E19" s="39" t="str">
        <x:f>IF(C19=D19,"PASS","FAIL")</x:f>
        <x:v>PASS</x:v>
      </x:c>
    </x:row>
    <x:row r="20">
      <x:c r="A20" s="39" t="str">
        <x:v>A14</x:v>
      </x:c>
      <x:c r="B20" s="39" t="str">
        <x:v>Forty-eight rights gates</x:v>
      </x:c>
      <x:c r="C20" s="39" t="n">
        <x:f>COUNTA('Rights Gates'!$A$7:$A$54)</x:f>
        <x:v>48</x:v>
      </x:c>
      <x:c r="D20" s="39" t="n">
        <x:v>48</x:v>
      </x:c>
      <x:c r="E20" s="39" t="str">
        <x:f>IF(C20=D20,"PASS","FAIL")</x:f>
        <x:v>PASS</x:v>
      </x:c>
    </x:row>
    <x:row r="21">
      <x:c r="A21" s="39" t="str">
        <x:v>A15</x:v>
      </x:c>
      <x:c r="B21" s="39" t="str">
        <x:v>All rights gates specified</x:v>
      </x:c>
      <x:c r="C21" s="39" t="n">
        <x:f>COUNTIF('Rights Gates'!$I$7:$I$54,"SPECIFIED / UNOBSERVED")</x:f>
        <x:v>48</x:v>
      </x:c>
      <x:c r="D21" s="39" t="n">
        <x:v>48</x:v>
      </x:c>
      <x:c r="E21" s="39" t="str">
        <x:f>IF(C21=D21,"PASS","FAIL")</x:f>
        <x:v>PASS</x:v>
      </x:c>
    </x:row>
    <x:row r="22">
      <x:c r="A22" s="39" t="str">
        <x:v>A16</x:v>
      </x:c>
      <x:c r="B22" s="39" t="str">
        <x:v>Twenty-four residual chains</x:v>
      </x:c>
      <x:c r="C22" s="39" t="n">
        <x:f>COUNTA('Residual Chains'!$A$7:$A$30)</x:f>
        <x:v>24</x:v>
      </x:c>
      <x:c r="D22" s="39" t="n">
        <x:v>24</x:v>
      </x:c>
      <x:c r="E22" s="39" t="str">
        <x:f>IF(C22=D22,"PASS","FAIL")</x:f>
        <x:v>PASS</x:v>
      </x:c>
    </x:row>
    <x:row r="23">
      <x:c r="A23" s="39" t="str">
        <x:v>A17</x:v>
      </x:c>
      <x:c r="B23" s="39" t="str">
        <x:v>Twenty-four safe states</x:v>
      </x:c>
      <x:c r="C23" s="39" t="n">
        <x:f>COUNTA('Safe States'!$A$7:$A$30)</x:f>
        <x:v>24</x:v>
      </x:c>
      <x:c r="D23" s="39" t="n">
        <x:v>24</x:v>
      </x:c>
      <x:c r="E23" s="39" t="str">
        <x:f>IF(C23=D23,"PASS","FAIL")</x:f>
        <x:v>PASS</x:v>
      </x:c>
    </x:row>
    <x:row r="24">
      <x:c r="A24" s="39" t="str">
        <x:v>A18</x:v>
      </x:c>
      <x:c r="B24" s="39" t="str">
        <x:v>Thirty-six reconstruction stages</x:v>
      </x:c>
      <x:c r="C24" s="39" t="n">
        <x:f>COUNTA('Cold Reconstruction'!$A$7:$A$42)</x:f>
        <x:v>36</x:v>
      </x:c>
      <x:c r="D24" s="39" t="n">
        <x:v>36</x:v>
      </x:c>
      <x:c r="E24" s="39" t="str">
        <x:f>IF(C24=D24,"PASS","FAIL")</x:f>
        <x:v>PASS</x:v>
      </x:c>
    </x:row>
    <x:row r="25">
      <x:c r="A25" s="39" t="str">
        <x:v>A19</x:v>
      </x:c>
      <x:c r="B25" s="39" t="str">
        <x:v>No accepted cold rebuild</x:v>
      </x:c>
      <x:c r="C25" s="39" t="n">
        <x:f>SUM('Cold Reconstruction'!$I$7:$I$42)</x:f>
        <x:v>0</x:v>
      </x:c>
      <x:c r="D25" s="39" t="n">
        <x:v>0</x:v>
      </x:c>
      <x:c r="E25" s="39" t="str">
        <x:f>IF(C25=D25,"PASS","FAIL")</x:f>
        <x:v>PASS</x:v>
      </x:c>
    </x:row>
    <x:row r="26">
      <x:c r="A26" s="39" t="str">
        <x:v>A20</x:v>
      </x:c>
      <x:c r="B26" s="39" t="str">
        <x:v>Twenty-four technology orders</x:v>
      </x:c>
      <x:c r="C26" s="39" t="n">
        <x:f>COUNTA('Technology Orders'!$A$7:$A$30)</x:f>
        <x:v>24</x:v>
      </x:c>
      <x:c r="D26" s="39" t="n">
        <x:v>24</x:v>
      </x:c>
      <x:c r="E26" s="39" t="str">
        <x:f>IF(C26=D26,"PASS","FAIL")</x:f>
        <x:v>PASS</x:v>
      </x:c>
    </x:row>
    <x:row r="27">
      <x:c r="A27" s="39" t="str">
        <x:v>A21</x:v>
      </x:c>
      <x:c r="B27" s="39" t="str">
        <x:v>No accepted technology evidence</x:v>
      </x:c>
      <x:c r="C27" s="39" t="n">
        <x:f>SUM('Technology Orders'!$G$7:$G$30)</x:f>
        <x:v>0</x:v>
      </x:c>
      <x:c r="D27" s="39" t="n">
        <x:v>0</x:v>
      </x:c>
      <x:c r="E27" s="39" t="str">
        <x:f>IF(C27=D27,"PASS","FAIL")</x:f>
        <x:v>PASS</x:v>
      </x:c>
    </x:row>
    <x:row r="28">
      <x:c r="A28" s="39" t="str">
        <x:v>A22</x:v>
      </x:c>
      <x:c r="B28" s="39" t="str">
        <x:v>Finance reconciles</x:v>
      </x:c>
      <x:c r="C28" s="39" t="n">
        <x:f>ROUND(Finance!$B$20,2)</x:f>
        <x:v>0</x:v>
      </x:c>
      <x:c r="D28" s="39" t="n">
        <x:v>0</x:v>
      </x:c>
      <x:c r="E28" s="39" t="str">
        <x:f>IF(C28=D28,"PASS","FAIL")</x:f>
        <x:v>PASS</x:v>
      </x:c>
    </x:row>
    <x:row r="29">
      <x:c r="A29" s="39" t="str">
        <x:v>A23</x:v>
      </x:c>
      <x:c r="B29" s="39" t="str">
        <x:v>No accepted observations</x:v>
      </x:c>
      <x:c r="C29" s="39" t="n">
        <x:f>Inputs!$B$17</x:f>
        <x:v>0</x:v>
      </x:c>
      <x:c r="D29" s="39" t="n">
        <x:v>0</x:v>
      </x:c>
      <x:c r="E29" s="39" t="str">
        <x:f>IF(C29=D29,"PASS","FAIL")</x:f>
        <x:v>PASS</x:v>
      </x:c>
    </x:row>
    <x:row r="30">
      <x:c r="A30" s="39" t="str">
        <x:v>A24</x:v>
      </x:c>
      <x:c r="B30" s="39" t="str">
        <x:v>No MAKE authority</x:v>
      </x:c>
      <x:c r="C30" s="39" t="n">
        <x:f>Inputs!$B$18</x:f>
        <x:v>0</x:v>
      </x:c>
      <x:c r="D30" s="39" t="n">
        <x:v>0</x:v>
      </x:c>
      <x:c r="E30" s="39" t="str">
        <x:f>IF(C30=D30,"PASS","FAIL")</x:f>
        <x:v>PASS</x:v>
      </x:c>
    </x:row>
    <x:row r="31">
      <x:c r="A31" s="39" t="str">
        <x:v>A25</x:v>
      </x:c>
      <x:c r="B31" s="39" t="str">
        <x:v>No REP-4 authority</x:v>
      </x:c>
      <x:c r="C31" s="39" t="n">
        <x:f>Inputs!$B$19</x:f>
        <x:v>0</x:v>
      </x:c>
      <x:c r="D31" s="39" t="n">
        <x:v>0</x:v>
      </x:c>
      <x:c r="E31" s="39" t="str">
        <x:f>IF(C31=D31,"PASS","FAIL")</x:f>
        <x:v>PASS</x:v>
      </x:c>
    </x:row>
    <x:row r="32">
      <x:c r="A32" s="39" t="str">
        <x:v>A26</x:v>
      </x:c>
      <x:c r="B32" s="39" t="str">
        <x:v>No selection authority</x:v>
      </x:c>
      <x:c r="C32" s="39" t="n">
        <x:f>Inputs!$B$20</x:f>
        <x:v>0</x:v>
      </x:c>
      <x:c r="D32" s="39" t="n">
        <x:v>0</x:v>
      </x:c>
      <x:c r="E32" s="39" t="str">
        <x:f>IF(C32=D32,"PASS","FAIL")</x:f>
        <x:v>PASS</x:v>
      </x:c>
    </x:row>
    <x:row r="33">
      <x:c r="A33" s="39" t="str">
        <x:v>A27</x:v>
      </x:c>
      <x:c r="B33" s="39" t="str">
        <x:v>No rendering authority</x:v>
      </x:c>
      <x:c r="C33" s="39" t="n">
        <x:f>Inputs!$B$21</x:f>
        <x:v>0</x:v>
      </x:c>
      <x:c r="D33" s="39" t="n">
        <x:v>0</x:v>
      </x:c>
      <x:c r="E33" s="39" t="str">
        <x:f>IF(C33=D33,"PASS","FAIL")</x:f>
        <x:v>PASS</x:v>
      </x:c>
    </x:row>
    <x:row r="34">
      <x:c r="A34" s="39" t="str">
        <x:v>A28</x:v>
      </x:c>
      <x:c r="B34" s="39" t="str">
        <x:v>Twenty-two mutation specifications</x:v>
      </x:c>
      <x:c r="C34" s="39" t="n">
        <x:f>COUNTA(Mutations!$A$7:$A$28)</x:f>
        <x:v>22</x:v>
      </x:c>
      <x:c r="D34" s="39" t="n">
        <x:v>22</x:v>
      </x:c>
      <x:c r="E34" s="39" t="str">
        <x:f>IF(C34=D34,"PASS","FAIL")</x:f>
        <x:v>PASS</x:v>
      </x:c>
    </x:row>
    <x:row r="35">
      <x:c r="A35" s="39" t="str">
        <x:v>A29</x:v>
      </x:c>
      <x:c r="B35" s="39" t="str">
        <x:v>Form boundary counts populated</x:v>
      </x:c>
      <x:c r="C35" s="39" t="n">
        <x:f>COUNTBLANK('Form Decisions'!$J$7:$O$12)</x:f>
        <x:v>0</x:v>
      </x:c>
      <x:c r="D35" s="39" t="n">
        <x:v>0</x:v>
      </x:c>
      <x:c r="E35" s="39" t="str">
        <x:f>IF(C35=D35,"PASS","FAIL")</x:f>
        <x:v>PASS</x:v>
      </x:c>
    </x:row>
    <x:row r="36">
      <x:c r="A36" s="39" t="str">
        <x:v>A30</x:v>
      </x:c>
      <x:c r="B36" s="39" t="str">
        <x:v>Safe-state ceilings populated</x:v>
      </x:c>
      <x:c r="C36" s="39" t="n">
        <x:f>COUNTBLANK('Safe States'!$F$7:$F$30)</x:f>
        <x:v>0</x:v>
      </x:c>
      <x:c r="D36" s="39" t="n">
        <x:v>0</x:v>
      </x:c>
      <x:c r="E36" s="39" t="str">
        <x:f>IF(C36=D36,"PASS","FAIL")</x:f>
        <x:v>PASS</x:v>
      </x:c>
    </x:row>
    <x:row r="37">
      <x:c r="A37" s="39" t="str">
        <x:v>A31</x:v>
      </x:c>
      <x:c r="B37" s="39" t="str">
        <x:v>No accepted cut-set observations</x:v>
      </x:c>
      <x:c r="C37" s="39" t="n">
        <x:f>COUNTIF('Cut Sets'!$H$7:$H$42,"&lt;&gt;0 accepted observations")</x:f>
        <x:v>0</x:v>
      </x:c>
      <x:c r="D37" s="39" t="n">
        <x:v>0</x:v>
      </x:c>
      <x:c r="E37" s="39" t="str">
        <x:f>IF(C37=D37,"PASS","FAIL")</x:f>
        <x:v>PASS</x:v>
      </x:c>
    </x:row>
  </x:sheetData>
  <x:conditionalFormatting sqref="E7:E37">
    <x:cfRule type="containsText" dxfId="9" priority="1" operator="containsText" text="REDESIGN"/>
    <x:cfRule type="containsText" dxfId="10" priority="2" operator="containsText" text="SPECIFIED"/>
    <x:cfRule type="containsText" dxfId="11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e5c28870ac1c40b6"/>
  </x:tableParts>
</x:worksheet>
</file>

<file path=xl/worksheets/sheet15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2" hidden="0" customWidth="1"/>
    <x:col min="2" max="2" width="100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39"/>
      <x:c r="B1" s="39"/>
      <x:c r="C1" s="39"/>
      <x:c r="D1" s="39"/>
      <x:c r="E1" s="39"/>
      <x:c r="F1" s="39"/>
    </x:row>
    <x:row r="2">
      <x:c r="A2" s="75" t="str">
        <x:v>Method and limits</x:v>
      </x:c>
      <x:c r="B2" s="39"/>
      <x:c r="C2" s="39"/>
      <x:c r="D2" s="39"/>
      <x:c r="E2" s="39"/>
      <x:c r="F2" s="39"/>
    </x:row>
    <x:row r="3">
      <x:c r="A3" s="41"/>
      <x:c r="B3" s="41"/>
      <x:c r="C3" s="41"/>
      <x:c r="D3" s="41"/>
      <x:c r="E3" s="41"/>
      <x:c r="F3" s="41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9"/>
      <x:c r="B4" s="39"/>
      <x:c r="C4" s="39"/>
      <x:c r="D4" s="39"/>
      <x:c r="E4" s="39"/>
      <x:c r="F4" s="39"/>
    </x:row>
    <x:row r="5">
      <x:c r="A5" s="56" t="str">
        <x:v>Question</x:v>
      </x:c>
      <x:c r="B5" s="56" t="str">
        <x:v>What physical constitution can absorb the twenty-one numerical uprates and survive fatal-keystone and cold-rebuild worlds without common-platform convergence?</x:v>
      </x:c>
      <x:c r="C5" s="56"/>
      <x:c r="D5" s="56"/>
      <x:c r="E5" s="56"/>
      <x:c r="F5" s="56"/>
    </x:row>
    <x:row r="6">
      <x:c r="A6" s="56" t="str">
        <x:v>Decision</x:v>
      </x:c>
      <x:c r="B6" s="56" t="str">
        <x:v>PIL-1 selects six source-specific physical independence lattices. Three retain topology and three require topology revision.</x:v>
      </x:c>
      <x:c r="C6" s="56"/>
      <x:c r="D6" s="56"/>
      <x:c r="E6" s="56"/>
      <x:c r="F6" s="56"/>
    </x:row>
    <x:row r="7">
      <x:c r="A7" s="56" t="str">
        <x:v>Resolution</x:v>
      </x:c>
      <x:c r="B7" s="56" t="str">
        <x:v>Reversal changes which form enters the first physical portfolio and what full-scale articles the Department builds and destroys.</x:v>
      </x:c>
      <x:c r="C7" s="56"/>
      <x:c r="D7" s="56"/>
      <x:c r="E7" s="56"/>
      <x:c r="F7" s="56"/>
    </x:row>
    <x:row r="8">
      <x:c r="A8" s="56" t="str">
        <x:v>Design state</x:v>
      </x:c>
      <x:c r="B8" s="56" t="str">
        <x:v>The model specifies architecture. It records zero measurements, accepted observations, evidence, selection, MAKE, REP-4, production or rendering authority.</x:v>
      </x:c>
      <x:c r="C8" s="56"/>
      <x:c r="D8" s="56"/>
      <x:c r="E8" s="56"/>
      <x:c r="F8" s="56"/>
    </x:row>
    <x:row r="9">
      <x:c r="A9" s="56" t="str">
        <x:v>Integration law</x:v>
      </x:c>
      <x:c r="B9" s="56" t="str">
        <x:v>Every world-domain gate requires enough independent sets, zero active common keystones, local termination, civil-rights access, residual custody and a public rebuild route.</x:v>
      </x:c>
      <x:c r="C9" s="56"/>
      <x:c r="D9" s="56"/>
      <x:c r="E9" s="56"/>
      <x:c r="F9" s="56"/>
    </x:row>
    <x:row r="10">
      <x:c r="A10" s="56" t="str">
        <x:v>Worlds</x:v>
      </x:c>
      <x:c r="B10" s="56" t="str">
        <x:v>Nominal, largest-cell loss, fatal-keystone and cold reconstruction.</x:v>
      </x:c>
      <x:c r="C10" s="56"/>
      <x:c r="D10" s="56"/>
      <x:c r="E10" s="56"/>
      <x:c r="F10" s="56"/>
    </x:row>
    <x:row r="11">
      <x:c r="A11" s="56" t="str">
        <x:v>Domains</x:v>
      </x:c>
      <x:c r="B11" s="56" t="str">
        <x:v>Geometry, load path, control, civil rights, residual custody and safe state.</x:v>
      </x:c>
      <x:c r="C11" s="56"/>
      <x:c r="D11" s="56"/>
      <x:c r="E11" s="56"/>
      <x:c r="F11" s="56"/>
    </x:row>
    <x:row r="12">
      <x:c r="A12" s="56" t="str">
        <x:v>Finance</x:v>
      </x:c>
      <x:c r="B12" s="56" t="str">
        <x:v>The USD179M cohort obligation and USD359M sibling reserve remain conserved inside the USD538M FRAME ceiling. Topology revision creates no automatic cost uplift.</x:v>
      </x:c>
      <x:c r="C12" s="56"/>
      <x:c r="D12" s="56"/>
      <x:c r="E12" s="56"/>
      <x:c r="F12" s="56"/>
    </x:row>
    <x:row r="13">
      <x:c r="A13" s="56" t="str">
        <x:v>Precision</x:v>
      </x:c>
      <x:c r="B13" s="56" t="str">
        <x:v>Displayed quantities use no more than three significant figures unless they reproduce direct arithmetic from inherited finance controls.</x:v>
      </x:c>
      <x:c r="C13" s="56"/>
      <x:c r="D13" s="56"/>
      <x:c r="E13" s="56"/>
      <x:c r="F13" s="56"/>
    </x:row>
    <x:row r="14">
      <x:c r="A14" s="56" t="str">
        <x:v>Source 1</x:v>
      </x:c>
      <x:c r="B14" s="56" t="str">
        <x:v>Pass 237 numerical interval solvency and redesign orders.</x:v>
      </x:c>
      <x:c r="C14" s="56"/>
      <x:c r="D14" s="56"/>
      <x:c r="E14" s="56"/>
      <x:c r="F14" s="56"/>
    </x:row>
    <x:row r="15">
      <x:c r="A15" s="56" t="str">
        <x:v>Source 2</x:v>
      </x:c>
      <x:c r="B15" s="56" t="str">
        <x:v>Pass 236 Engineering Definition Baseline constitution.</x:v>
      </x:c>
      <x:c r="C15" s="56"/>
      <x:c r="D15" s="56"/>
      <x:c r="E15" s="56"/>
      <x:c r="F15" s="56"/>
    </x:row>
    <x:row r="16">
      <x:c r="A16" s="56" t="str">
        <x:v>Source 3</x:v>
      </x:c>
      <x:c r="B16" s="56" t="str">
        <x:v>Pass 224 native dimension envelope and decisive-interface atlas.</x:v>
      </x:c>
      <x:c r="C16" s="56"/>
      <x:c r="D16" s="56"/>
      <x:c r="E16" s="56"/>
      <x:c r="F16" s="56"/>
    </x:row>
    <x:row r="17">
      <x:c r="A17" s="56" t="str">
        <x:v>Source 4</x:v>
      </x:c>
      <x:c r="B17" s="56" t="str">
        <x:v>Pass 219 internal-section architecture and measurement constitution.</x:v>
      </x:c>
      <x:c r="C17" s="56"/>
      <x:c r="D17" s="56"/>
      <x:c r="E17" s="56"/>
      <x:c r="F17" s="56"/>
    </x:row>
    <x:row r="18">
      <x:c r="A18" s="56" t="str">
        <x:v>Source 5</x:v>
      </x:c>
      <x:c r="B18" s="56" t="str">
        <x:v>Pass 225 pre-evidence form-selection covenant.</x:v>
      </x:c>
      <x:c r="C18" s="56"/>
      <x:c r="D18" s="56"/>
      <x:c r="E18" s="56"/>
      <x:c r="F18" s="56"/>
    </x:row>
    <x:row r="19">
      <x:c r="A19" s="56" t="str">
        <x:v>Recalculation</x:v>
      </x:c>
      <x:c r="B19" s="56" t="str">
        <x:v>Formulas use ordinary Excel-compatible arithmetic and logical functions. Audit is terminal and feeds no decision or summary cell.</x:v>
      </x:c>
      <x:c r="C19" s="56"/>
      <x:c r="D19" s="56"/>
      <x:c r="E19" s="56"/>
      <x:c r="F19" s="56"/>
    </x:row>
  </x:sheetData>
  <x:pageMargins left="0.7" right="0.7" top="0.75" bottom="0.75" header="0.3" footer="0.3"/>
</x:worksheet>
</file>